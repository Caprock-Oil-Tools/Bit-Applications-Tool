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8479\"/>
    </mc:Choice>
  </mc:AlternateContent>
  <xr:revisionPtr revIDLastSave="0" documentId="13_ncr:1_{59C458ED-114C-4743-A8E3-C79131884BCD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Volumetric Analysis" sheetId="5" r:id="rId1"/>
    <sheet name="Settings" sheetId="4" r:id="rId2"/>
    <sheet name="Settings (2)" sheetId="9" r:id="rId3"/>
    <sheet name="Assy.Model" sheetId="1" r:id="rId4"/>
    <sheet name="SN#.Run#" sheetId="7" r:id="rId5"/>
    <sheet name="Point Cloud Alignment" sheetId="10" r:id="rId6"/>
  </sheets>
  <externalReferences>
    <externalReference r:id="rId7"/>
  </externalReferences>
  <definedNames>
    <definedName name="Check">'Settings (2)'!$L$5:$L$6</definedName>
    <definedName name="PolyWorks_to_Text_1" localSheetId="4">'SN#.Run#'!$B$9:$K$34</definedName>
    <definedName name="_xlnm.Print_Area" localSheetId="3">Assy.Model!$A$1:$HI$41</definedName>
    <definedName name="_xlnm.Print_Area" localSheetId="1">Settings!$O$11:$AE$20</definedName>
    <definedName name="_xlnm.Print_Area" localSheetId="2">'Settings (2)'!$T$7:$AJ$14</definedName>
    <definedName name="_xlnm.Print_Area" localSheetId="4">'SN#.Run#'!$A$1:$BB$98</definedName>
    <definedName name="_xlnm.Print_Area" localSheetId="0">'Volumetric Analysis'!$A$2:$J$73</definedName>
    <definedName name="Print_Options" localSheetId="2">'Settings (2)'!$K$16:$K$17</definedName>
    <definedName name="Print_Options">Settings!$K$2:$K$3</definedName>
    <definedName name="solver_adj" localSheetId="3" hidden="1">Assy.Model!$GW$2</definedName>
    <definedName name="solver_adj" localSheetId="5" hidden="1">'Point Cloud Alignment'!$Y$3,'Point Cloud Alignment'!$AN$3,'Point Cloud Alignment'!$BC$3</definedName>
    <definedName name="solver_cvg" localSheetId="3" hidden="1">0.0001</definedName>
    <definedName name="solver_cvg" localSheetId="5" hidden="1">0.0001</definedName>
    <definedName name="solver_drv" localSheetId="3" hidden="1">1</definedName>
    <definedName name="solver_drv" localSheetId="5" hidden="1">1</definedName>
    <definedName name="solver_est" localSheetId="3" hidden="1">1</definedName>
    <definedName name="solver_est" localSheetId="5" hidden="1">1</definedName>
    <definedName name="solver_itr" localSheetId="3" hidden="1">100</definedName>
    <definedName name="solver_itr" localSheetId="5" hidden="1">100</definedName>
    <definedName name="solver_lhs1" localSheetId="5" hidden="1">'Point Cloud Alignment'!$Y$3</definedName>
    <definedName name="solver_lhs2" localSheetId="5" hidden="1">'Point Cloud Alignment'!$AN$3</definedName>
    <definedName name="solver_lhs3" localSheetId="5" hidden="1">'Point Cloud Alignment'!$BC$3</definedName>
    <definedName name="solver_lhs4" localSheetId="5" hidden="1">'Point Cloud Alignment'!$Y$3</definedName>
    <definedName name="solver_lhs5" localSheetId="5" hidden="1">'Point Cloud Alignment'!$AN$3</definedName>
    <definedName name="solver_lhs6" localSheetId="5" hidden="1">'Point Cloud Alignment'!$BC$3</definedName>
    <definedName name="solver_lin" localSheetId="3" hidden="1">2</definedName>
    <definedName name="solver_lin" localSheetId="5" hidden="1">2</definedName>
    <definedName name="solver_neg" localSheetId="3" hidden="1">2</definedName>
    <definedName name="solver_neg" localSheetId="5" hidden="1">2</definedName>
    <definedName name="solver_num" localSheetId="3" hidden="1">0</definedName>
    <definedName name="solver_num" localSheetId="5" hidden="1">6</definedName>
    <definedName name="solver_nwt" localSheetId="3" hidden="1">1</definedName>
    <definedName name="solver_nwt" localSheetId="5" hidden="1">1</definedName>
    <definedName name="solver_opt" localSheetId="3" hidden="1">Assy.Model!$GX$2</definedName>
    <definedName name="solver_opt" localSheetId="5" hidden="1">'Point Cloud Alignment'!$BN$37</definedName>
    <definedName name="solver_pre" localSheetId="3" hidden="1">0.000001</definedName>
    <definedName name="solver_pre" localSheetId="5" hidden="1">0.000001</definedName>
    <definedName name="solver_rel1" localSheetId="5" hidden="1">1</definedName>
    <definedName name="solver_rel2" localSheetId="5" hidden="1">1</definedName>
    <definedName name="solver_rel3" localSheetId="5" hidden="1">1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hs1" localSheetId="5" hidden="1">5</definedName>
    <definedName name="solver_rhs2" localSheetId="5" hidden="1">5</definedName>
    <definedName name="solver_rhs3" localSheetId="5" hidden="1">5</definedName>
    <definedName name="solver_rhs4" localSheetId="5" hidden="1">-5</definedName>
    <definedName name="solver_rhs5" localSheetId="5" hidden="1">-5</definedName>
    <definedName name="solver_rhs6" localSheetId="5" hidden="1">-5</definedName>
    <definedName name="solver_scl" localSheetId="3" hidden="1">2</definedName>
    <definedName name="solver_scl" localSheetId="5" hidden="1">2</definedName>
    <definedName name="solver_sho" localSheetId="3" hidden="1">2</definedName>
    <definedName name="solver_sho" localSheetId="5" hidden="1">2</definedName>
    <definedName name="solver_tim" localSheetId="3" hidden="1">100</definedName>
    <definedName name="solver_tim" localSheetId="5" hidden="1">100</definedName>
    <definedName name="solver_tol" localSheetId="3" hidden="1">0.05</definedName>
    <definedName name="solver_tol" localSheetId="5" hidden="1">0.05</definedName>
    <definedName name="solver_typ" localSheetId="3" hidden="1">3</definedName>
    <definedName name="solver_typ" localSheetId="5" hidden="1">2</definedName>
    <definedName name="solver_val" localSheetId="3" hidden="1">15000</definedName>
    <definedName name="solver_val" localSheetId="5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X14" i="1" l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0" i="1"/>
  <c r="K9" i="1"/>
  <c r="K11" i="1"/>
  <c r="AV93" i="1" l="1"/>
  <c r="CO93" i="1" s="1"/>
  <c r="AV85" i="1"/>
  <c r="CO85" i="1" s="1"/>
  <c r="AV77" i="1"/>
  <c r="CO77" i="1" s="1"/>
  <c r="AV69" i="1"/>
  <c r="AV15" i="1"/>
  <c r="CO15" i="1" s="1"/>
  <c r="AV130" i="1"/>
  <c r="FK130" i="1" s="1"/>
  <c r="AV129" i="1"/>
  <c r="CO129" i="1" s="1"/>
  <c r="AV128" i="1"/>
  <c r="AV127" i="1"/>
  <c r="CO127" i="1" s="1"/>
  <c r="AV126" i="1"/>
  <c r="AV125" i="1"/>
  <c r="CO125" i="1" s="1"/>
  <c r="AV124" i="1"/>
  <c r="CO124" i="1" s="1"/>
  <c r="AV123" i="1"/>
  <c r="CO123" i="1" s="1"/>
  <c r="AV122" i="1"/>
  <c r="FA122" i="1" s="1"/>
  <c r="AV121" i="1"/>
  <c r="CO121" i="1" s="1"/>
  <c r="AV120" i="1"/>
  <c r="DT120" i="1" s="1"/>
  <c r="AV119" i="1"/>
  <c r="CO119" i="1" s="1"/>
  <c r="AV118" i="1"/>
  <c r="AV117" i="1"/>
  <c r="CO117" i="1" s="1"/>
  <c r="AV116" i="1"/>
  <c r="CO116" i="1" s="1"/>
  <c r="AV115" i="1"/>
  <c r="AV114" i="1"/>
  <c r="GO114" i="1" s="1"/>
  <c r="AV113" i="1"/>
  <c r="CO113" i="1" s="1"/>
  <c r="AV112" i="1"/>
  <c r="AV111" i="1"/>
  <c r="CO111" i="1" s="1"/>
  <c r="AV110" i="1"/>
  <c r="AV109" i="1"/>
  <c r="CO109" i="1" s="1"/>
  <c r="AV108" i="1"/>
  <c r="AV107" i="1"/>
  <c r="AV106" i="1"/>
  <c r="AV105" i="1"/>
  <c r="CO105" i="1" s="1"/>
  <c r="AV104" i="1"/>
  <c r="GY104" i="1" s="1"/>
  <c r="AV103" i="1"/>
  <c r="CO103" i="1" s="1"/>
  <c r="AV102" i="1"/>
  <c r="AV101" i="1"/>
  <c r="CO101" i="1" s="1"/>
  <c r="AV100" i="1"/>
  <c r="CO100" i="1" s="1"/>
  <c r="AV99" i="1"/>
  <c r="AV98" i="1"/>
  <c r="HE98" i="1" s="1"/>
  <c r="AV97" i="1"/>
  <c r="CO97" i="1" s="1"/>
  <c r="AV96" i="1"/>
  <c r="EB96" i="1" s="1"/>
  <c r="AV95" i="1"/>
  <c r="CO95" i="1" s="1"/>
  <c r="AV94" i="1"/>
  <c r="AV92" i="1"/>
  <c r="CO92" i="1" s="1"/>
  <c r="AV91" i="1"/>
  <c r="AV90" i="1"/>
  <c r="AV89" i="1"/>
  <c r="FW89" i="1" s="1"/>
  <c r="AV88" i="1"/>
  <c r="CO88" i="1" s="1"/>
  <c r="AV87" i="1"/>
  <c r="EI87" i="1" s="1"/>
  <c r="AV86" i="1"/>
  <c r="CO86" i="1" s="1"/>
  <c r="AV84" i="1"/>
  <c r="CO84" i="1" s="1"/>
  <c r="AV83" i="1"/>
  <c r="AV82" i="1"/>
  <c r="CO82" i="1" s="1"/>
  <c r="AV81" i="1"/>
  <c r="AV80" i="1"/>
  <c r="GE80" i="1" s="1"/>
  <c r="AV79" i="1"/>
  <c r="CO79" i="1" s="1"/>
  <c r="AV78" i="1"/>
  <c r="AV76" i="1"/>
  <c r="CO76" i="1" s="1"/>
  <c r="AV75" i="1"/>
  <c r="CO75" i="1" s="1"/>
  <c r="AV74" i="1"/>
  <c r="CO74" i="1" s="1"/>
  <c r="AV73" i="1"/>
  <c r="CO73" i="1" s="1"/>
  <c r="AV72" i="1"/>
  <c r="CO72" i="1" s="1"/>
  <c r="AV71" i="1"/>
  <c r="GZ71" i="1" s="1"/>
  <c r="AV70" i="1"/>
  <c r="CO70" i="1" s="1"/>
  <c r="AV68" i="1"/>
  <c r="AV67" i="1"/>
  <c r="CO67" i="1" s="1"/>
  <c r="AV66" i="1"/>
  <c r="AV65" i="1"/>
  <c r="CO65" i="1" s="1"/>
  <c r="M10" i="1"/>
  <c r="O10" i="1" s="1"/>
  <c r="AV64" i="1"/>
  <c r="CO64" i="1" s="1"/>
  <c r="AV63" i="1"/>
  <c r="BU63" i="1" s="1"/>
  <c r="AV62" i="1"/>
  <c r="CO62" i="1" s="1"/>
  <c r="AV61" i="1"/>
  <c r="AV60" i="1"/>
  <c r="CO60" i="1" s="1"/>
  <c r="AV59" i="1"/>
  <c r="CO59" i="1" s="1"/>
  <c r="AV58" i="1"/>
  <c r="CO58" i="1" s="1"/>
  <c r="AV54" i="1"/>
  <c r="CO54" i="1" s="1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GO129" i="1"/>
  <c r="GO127" i="1"/>
  <c r="AZ125" i="1"/>
  <c r="GQ121" i="1"/>
  <c r="AZ119" i="1"/>
  <c r="GF118" i="1"/>
  <c r="AZ117" i="1"/>
  <c r="AZ113" i="1"/>
  <c r="GX111" i="1"/>
  <c r="AZ109" i="1"/>
  <c r="AZ105" i="1"/>
  <c r="AZ103" i="1"/>
  <c r="AZ97" i="1"/>
  <c r="AZ95" i="1"/>
  <c r="AZ82" i="1"/>
  <c r="GX79" i="1"/>
  <c r="AZ70" i="1"/>
  <c r="GZ125" i="1"/>
  <c r="GT129" i="1"/>
  <c r="GT121" i="1"/>
  <c r="GT95" i="1"/>
  <c r="GX129" i="1"/>
  <c r="GX127" i="1"/>
  <c r="GX125" i="1"/>
  <c r="GX121" i="1"/>
  <c r="GX119" i="1"/>
  <c r="GX105" i="1"/>
  <c r="GL119" i="1"/>
  <c r="GM119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GM127" i="1"/>
  <c r="GB121" i="1"/>
  <c r="GM111" i="1"/>
  <c r="GB105" i="1"/>
  <c r="BD7" i="1"/>
  <c r="BC7" i="1"/>
  <c r="BE6" i="1"/>
  <c r="BC6" i="1"/>
  <c r="BC4" i="1"/>
  <c r="W4" i="1"/>
  <c r="Y6" i="1"/>
  <c r="X7" i="1"/>
  <c r="W7" i="1"/>
  <c r="W6" i="1"/>
  <c r="M9" i="1"/>
  <c r="AA9" i="1" s="1"/>
  <c r="M15" i="4"/>
  <c r="M16" i="4"/>
  <c r="C18" i="4"/>
  <c r="AH37" i="5"/>
  <c r="AH36" i="5"/>
  <c r="AH35" i="5"/>
  <c r="AH34" i="5"/>
  <c r="AH33" i="5"/>
  <c r="AH32" i="5"/>
  <c r="AH31" i="5"/>
  <c r="Z36" i="5"/>
  <c r="Z35" i="5"/>
  <c r="Z34" i="5"/>
  <c r="Z33" i="5"/>
  <c r="Z32" i="5"/>
  <c r="H36" i="5"/>
  <c r="H32" i="5"/>
  <c r="Z31" i="5"/>
  <c r="H31" i="5"/>
  <c r="AS130" i="1"/>
  <c r="AS129" i="1"/>
  <c r="AS128" i="1"/>
  <c r="AS127" i="1"/>
  <c r="AS126" i="1"/>
  <c r="AS125" i="1"/>
  <c r="AS124" i="1"/>
  <c r="AS123" i="1"/>
  <c r="AS122" i="1"/>
  <c r="AS121" i="1"/>
  <c r="AS120" i="1"/>
  <c r="X9" i="10"/>
  <c r="AM9" i="10"/>
  <c r="W9" i="10"/>
  <c r="Y33" i="10"/>
  <c r="X33" i="10"/>
  <c r="AM33" i="10"/>
  <c r="W33" i="10"/>
  <c r="Y32" i="10"/>
  <c r="X32" i="10"/>
  <c r="AM32" i="10"/>
  <c r="W32" i="10"/>
  <c r="Y31" i="10"/>
  <c r="X31" i="10"/>
  <c r="AM31" i="10"/>
  <c r="W31" i="10"/>
  <c r="Y30" i="10"/>
  <c r="X30" i="10"/>
  <c r="AM30" i="10"/>
  <c r="W30" i="10"/>
  <c r="AL30" i="10"/>
  <c r="Y29" i="10"/>
  <c r="X29" i="10"/>
  <c r="AM29" i="10" s="1"/>
  <c r="W29" i="10"/>
  <c r="Y28" i="10"/>
  <c r="X28" i="10"/>
  <c r="AM28" i="10" s="1"/>
  <c r="W28" i="10"/>
  <c r="Y27" i="10"/>
  <c r="AL27" i="10"/>
  <c r="X27" i="10"/>
  <c r="AM27" i="10"/>
  <c r="W27" i="10"/>
  <c r="Y26" i="10"/>
  <c r="X26" i="10"/>
  <c r="AM26" i="10"/>
  <c r="W26" i="10"/>
  <c r="Y25" i="10"/>
  <c r="X25" i="10"/>
  <c r="AM25" i="10"/>
  <c r="W25" i="10"/>
  <c r="Y24" i="10"/>
  <c r="X24" i="10"/>
  <c r="AM24" i="10"/>
  <c r="W24" i="10"/>
  <c r="Y23" i="10"/>
  <c r="AL23" i="10" s="1"/>
  <c r="X23" i="10"/>
  <c r="AM23" i="10" s="1"/>
  <c r="W23" i="10"/>
  <c r="Y22" i="10"/>
  <c r="AL22" i="10"/>
  <c r="BA22" i="10" s="1"/>
  <c r="BK22" i="10" s="1"/>
  <c r="X22" i="10"/>
  <c r="AM22" i="10"/>
  <c r="W22" i="10"/>
  <c r="Y21" i="10"/>
  <c r="X21" i="10"/>
  <c r="AM21" i="10"/>
  <c r="W21" i="10"/>
  <c r="Y20" i="10"/>
  <c r="X20" i="10"/>
  <c r="AM20" i="10"/>
  <c r="W20" i="10"/>
  <c r="Y19" i="10"/>
  <c r="AL19" i="10" s="1"/>
  <c r="BA19" i="10" s="1"/>
  <c r="BK19" i="10" s="1"/>
  <c r="X19" i="10"/>
  <c r="AM19" i="10" s="1"/>
  <c r="W19" i="10"/>
  <c r="Y18" i="10"/>
  <c r="AL18" i="10"/>
  <c r="X18" i="10"/>
  <c r="AM18" i="10"/>
  <c r="W18" i="10"/>
  <c r="Y17" i="10"/>
  <c r="X17" i="10"/>
  <c r="AM17" i="10"/>
  <c r="W17" i="10"/>
  <c r="Y16" i="10"/>
  <c r="X16" i="10"/>
  <c r="AM16" i="10"/>
  <c r="W16" i="10"/>
  <c r="Y15" i="10"/>
  <c r="AL15" i="10" s="1"/>
  <c r="X15" i="10"/>
  <c r="AM15" i="10" s="1"/>
  <c r="W15" i="10"/>
  <c r="Y14" i="10"/>
  <c r="AL14" i="10" s="1"/>
  <c r="X14" i="10"/>
  <c r="AM14" i="10" s="1"/>
  <c r="W14" i="10"/>
  <c r="Y13" i="10"/>
  <c r="X13" i="10"/>
  <c r="AM13" i="10"/>
  <c r="W13" i="10"/>
  <c r="Y12" i="10"/>
  <c r="X12" i="10"/>
  <c r="AM12" i="10"/>
  <c r="W12" i="10"/>
  <c r="Y11" i="10"/>
  <c r="AL11" i="10" s="1"/>
  <c r="X11" i="10"/>
  <c r="AM11" i="10" s="1"/>
  <c r="BB11" i="10"/>
  <c r="BL11" i="10" s="1"/>
  <c r="W11" i="10"/>
  <c r="Y10" i="10"/>
  <c r="AL10" i="10"/>
  <c r="X10" i="10"/>
  <c r="AM10" i="10"/>
  <c r="W10" i="10"/>
  <c r="Y9" i="10"/>
  <c r="AL9" i="10" s="1"/>
  <c r="BB9" i="10" s="1"/>
  <c r="BL9" i="10" s="1"/>
  <c r="Y8" i="10"/>
  <c r="AL8" i="10" s="1"/>
  <c r="X8" i="10"/>
  <c r="AM8" i="10" s="1"/>
  <c r="W8" i="10"/>
  <c r="BA101" i="7"/>
  <c r="AZ101" i="7"/>
  <c r="AY101" i="7"/>
  <c r="BA100" i="7"/>
  <c r="AZ100" i="7"/>
  <c r="AY100" i="7"/>
  <c r="BA8" i="7"/>
  <c r="BA7" i="7"/>
  <c r="AZ8" i="7"/>
  <c r="AZ7" i="7"/>
  <c r="AY7" i="7"/>
  <c r="AY8" i="7"/>
  <c r="BH3" i="10"/>
  <c r="AS3" i="10"/>
  <c r="AD3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BK6" i="10"/>
  <c r="BH6" i="10"/>
  <c r="BD6" i="10"/>
  <c r="BA6" i="10"/>
  <c r="AX6" i="10"/>
  <c r="BH5" i="10"/>
  <c r="AX5" i="10"/>
  <c r="BN4" i="10"/>
  <c r="BH4" i="10"/>
  <c r="AX4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S6" i="10"/>
  <c r="AO6" i="10"/>
  <c r="AL6" i="10"/>
  <c r="AI6" i="10"/>
  <c r="AS5" i="10"/>
  <c r="AI5" i="10"/>
  <c r="AV4" i="10"/>
  <c r="AS4" i="10"/>
  <c r="AI4" i="10"/>
  <c r="AF7" i="10"/>
  <c r="AE7" i="10"/>
  <c r="AD7" i="10"/>
  <c r="AD6" i="10"/>
  <c r="AD5" i="10"/>
  <c r="AD4" i="10"/>
  <c r="Y7" i="10"/>
  <c r="X7" i="10"/>
  <c r="W7" i="10"/>
  <c r="V7" i="10"/>
  <c r="U7" i="10"/>
  <c r="T7" i="10"/>
  <c r="W6" i="10"/>
  <c r="T6" i="10"/>
  <c r="T5" i="10"/>
  <c r="T4" i="10"/>
  <c r="AG7" i="10"/>
  <c r="AG4" i="10"/>
  <c r="AB7" i="10"/>
  <c r="AA7" i="10"/>
  <c r="Z7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25" i="10"/>
  <c r="L25" i="10"/>
  <c r="K25" i="10"/>
  <c r="M24" i="10"/>
  <c r="L24" i="10"/>
  <c r="K24" i="10"/>
  <c r="M23" i="10"/>
  <c r="L23" i="10"/>
  <c r="K23" i="10"/>
  <c r="M22" i="10"/>
  <c r="L22" i="10"/>
  <c r="K22" i="10"/>
  <c r="M21" i="10"/>
  <c r="L21" i="10"/>
  <c r="K21" i="10"/>
  <c r="M20" i="10"/>
  <c r="L20" i="10"/>
  <c r="K20" i="10"/>
  <c r="M19" i="10"/>
  <c r="L19" i="10"/>
  <c r="K19" i="10"/>
  <c r="M18" i="10"/>
  <c r="L18" i="10"/>
  <c r="K18" i="10"/>
  <c r="M17" i="10"/>
  <c r="L17" i="10"/>
  <c r="K17" i="10"/>
  <c r="M16" i="10"/>
  <c r="L16" i="10"/>
  <c r="K16" i="10"/>
  <c r="M15" i="10"/>
  <c r="L15" i="10"/>
  <c r="K15" i="10"/>
  <c r="M14" i="10"/>
  <c r="L14" i="10"/>
  <c r="K14" i="10"/>
  <c r="M13" i="10"/>
  <c r="L13" i="10"/>
  <c r="K13" i="10"/>
  <c r="M12" i="10"/>
  <c r="L12" i="10"/>
  <c r="K12" i="10"/>
  <c r="M11" i="10"/>
  <c r="L11" i="10"/>
  <c r="K11" i="10"/>
  <c r="M10" i="10"/>
  <c r="L10" i="10"/>
  <c r="K10" i="10"/>
  <c r="M9" i="10"/>
  <c r="L9" i="10"/>
  <c r="K9" i="10"/>
  <c r="M8" i="10"/>
  <c r="M35" i="10" s="1"/>
  <c r="M36" i="10" s="1"/>
  <c r="L8" i="10"/>
  <c r="K8" i="10"/>
  <c r="AC7" i="10"/>
  <c r="Z6" i="10"/>
  <c r="R7" i="10"/>
  <c r="E6" i="10"/>
  <c r="G7" i="10"/>
  <c r="F7" i="10"/>
  <c r="E7" i="10"/>
  <c r="O4" i="10"/>
  <c r="O5" i="10"/>
  <c r="O6" i="10"/>
  <c r="Q7" i="10"/>
  <c r="P7" i="10"/>
  <c r="O7" i="10"/>
  <c r="R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AY4" i="7"/>
  <c r="AV4" i="7"/>
  <c r="M12" i="7"/>
  <c r="O12" i="7"/>
  <c r="B5" i="7"/>
  <c r="J173" i="1"/>
  <c r="AS6" i="1"/>
  <c r="AS5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G232" i="1"/>
  <c r="F232" i="1"/>
  <c r="E232" i="1"/>
  <c r="G231" i="1"/>
  <c r="F231" i="1"/>
  <c r="E231" i="1"/>
  <c r="G230" i="1"/>
  <c r="F230" i="1"/>
  <c r="E230" i="1"/>
  <c r="G229" i="1"/>
  <c r="F229" i="1"/>
  <c r="E229" i="1"/>
  <c r="G228" i="1"/>
  <c r="F228" i="1"/>
  <c r="E228" i="1"/>
  <c r="G227" i="1"/>
  <c r="F227" i="1"/>
  <c r="E227" i="1"/>
  <c r="G226" i="1"/>
  <c r="F226" i="1"/>
  <c r="E226" i="1"/>
  <c r="G225" i="1"/>
  <c r="F225" i="1"/>
  <c r="E225" i="1"/>
  <c r="G224" i="1"/>
  <c r="F224" i="1"/>
  <c r="E224" i="1"/>
  <c r="G223" i="1"/>
  <c r="F223" i="1"/>
  <c r="E223" i="1"/>
  <c r="G222" i="1"/>
  <c r="F222" i="1"/>
  <c r="E222" i="1"/>
  <c r="G221" i="1"/>
  <c r="F221" i="1"/>
  <c r="E221" i="1"/>
  <c r="G220" i="1"/>
  <c r="F220" i="1"/>
  <c r="E220" i="1"/>
  <c r="G219" i="1"/>
  <c r="F219" i="1"/>
  <c r="E219" i="1"/>
  <c r="G218" i="1"/>
  <c r="F218" i="1"/>
  <c r="E218" i="1"/>
  <c r="G217" i="1"/>
  <c r="F217" i="1"/>
  <c r="E217" i="1"/>
  <c r="G216" i="1"/>
  <c r="F216" i="1"/>
  <c r="E216" i="1"/>
  <c r="G215" i="1"/>
  <c r="F215" i="1"/>
  <c r="E215" i="1"/>
  <c r="G214" i="1"/>
  <c r="F214" i="1"/>
  <c r="E214" i="1"/>
  <c r="G213" i="1"/>
  <c r="F213" i="1"/>
  <c r="E213" i="1"/>
  <c r="G212" i="1"/>
  <c r="F212" i="1"/>
  <c r="E212" i="1"/>
  <c r="G211" i="1"/>
  <c r="F211" i="1"/>
  <c r="E211" i="1"/>
  <c r="G210" i="1"/>
  <c r="F210" i="1"/>
  <c r="E210" i="1"/>
  <c r="G209" i="1"/>
  <c r="F209" i="1"/>
  <c r="E209" i="1"/>
  <c r="G208" i="1"/>
  <c r="F208" i="1"/>
  <c r="E208" i="1"/>
  <c r="G207" i="1"/>
  <c r="F207" i="1"/>
  <c r="E207" i="1"/>
  <c r="G206" i="1"/>
  <c r="F206" i="1"/>
  <c r="E206" i="1"/>
  <c r="G205" i="1"/>
  <c r="F205" i="1"/>
  <c r="E205" i="1"/>
  <c r="G204" i="1"/>
  <c r="F204" i="1"/>
  <c r="E204" i="1"/>
  <c r="G203" i="1"/>
  <c r="F203" i="1"/>
  <c r="E203" i="1"/>
  <c r="G202" i="1"/>
  <c r="F202" i="1"/>
  <c r="E202" i="1"/>
  <c r="G201" i="1"/>
  <c r="F201" i="1"/>
  <c r="E201" i="1"/>
  <c r="G200" i="1"/>
  <c r="F200" i="1"/>
  <c r="E200" i="1"/>
  <c r="G199" i="1"/>
  <c r="F199" i="1"/>
  <c r="E199" i="1"/>
  <c r="G198" i="1"/>
  <c r="F198" i="1"/>
  <c r="E198" i="1"/>
  <c r="G197" i="1"/>
  <c r="F197" i="1"/>
  <c r="E197" i="1"/>
  <c r="G196" i="1"/>
  <c r="F196" i="1"/>
  <c r="E196" i="1"/>
  <c r="G195" i="1"/>
  <c r="F195" i="1"/>
  <c r="E195" i="1"/>
  <c r="G194" i="1"/>
  <c r="F194" i="1"/>
  <c r="E194" i="1"/>
  <c r="G193" i="1"/>
  <c r="F193" i="1"/>
  <c r="E193" i="1"/>
  <c r="G192" i="1"/>
  <c r="F192" i="1"/>
  <c r="E192" i="1"/>
  <c r="G191" i="1"/>
  <c r="F191" i="1"/>
  <c r="E191" i="1"/>
  <c r="G190" i="1"/>
  <c r="F190" i="1"/>
  <c r="E190" i="1"/>
  <c r="G189" i="1"/>
  <c r="F189" i="1"/>
  <c r="E189" i="1"/>
  <c r="G188" i="1"/>
  <c r="F188" i="1"/>
  <c r="E188" i="1"/>
  <c r="G187" i="1"/>
  <c r="F187" i="1"/>
  <c r="E187" i="1"/>
  <c r="G186" i="1"/>
  <c r="F186" i="1"/>
  <c r="E186" i="1"/>
  <c r="G185" i="1"/>
  <c r="F185" i="1"/>
  <c r="E185" i="1"/>
  <c r="G184" i="1"/>
  <c r="F184" i="1"/>
  <c r="E184" i="1"/>
  <c r="G183" i="1"/>
  <c r="F183" i="1"/>
  <c r="E183" i="1"/>
  <c r="G182" i="1"/>
  <c r="F182" i="1"/>
  <c r="E182" i="1"/>
  <c r="G181" i="1"/>
  <c r="F181" i="1"/>
  <c r="E181" i="1"/>
  <c r="G180" i="1"/>
  <c r="F180" i="1"/>
  <c r="E180" i="1"/>
  <c r="G179" i="1"/>
  <c r="F179" i="1"/>
  <c r="E179" i="1"/>
  <c r="G178" i="1"/>
  <c r="F178" i="1"/>
  <c r="E178" i="1"/>
  <c r="G177" i="1"/>
  <c r="F177" i="1"/>
  <c r="E177" i="1"/>
  <c r="G176" i="1"/>
  <c r="F176" i="1"/>
  <c r="E176" i="1"/>
  <c r="G175" i="1"/>
  <c r="F175" i="1"/>
  <c r="E175" i="1"/>
  <c r="G174" i="1"/>
  <c r="F174" i="1"/>
  <c r="E174" i="1"/>
  <c r="G173" i="1"/>
  <c r="F173" i="1"/>
  <c r="E173" i="1"/>
  <c r="G172" i="1"/>
  <c r="F172" i="1"/>
  <c r="E172" i="1"/>
  <c r="G171" i="1"/>
  <c r="F171" i="1"/>
  <c r="E171" i="1"/>
  <c r="G170" i="1"/>
  <c r="F170" i="1"/>
  <c r="E170" i="1"/>
  <c r="G169" i="1"/>
  <c r="F169" i="1"/>
  <c r="E169" i="1"/>
  <c r="G168" i="1"/>
  <c r="F168" i="1"/>
  <c r="E168" i="1"/>
  <c r="G167" i="1"/>
  <c r="F167" i="1"/>
  <c r="E167" i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4" i="1"/>
  <c r="F154" i="1"/>
  <c r="E154" i="1"/>
  <c r="G153" i="1"/>
  <c r="F153" i="1"/>
  <c r="E153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40" i="1"/>
  <c r="F140" i="1"/>
  <c r="E140" i="1"/>
  <c r="G139" i="1"/>
  <c r="F139" i="1"/>
  <c r="E139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 s="1"/>
  <c r="G16" i="9" s="1"/>
  <c r="H16" i="9" s="1"/>
  <c r="I16" i="9" s="1"/>
  <c r="J16" i="9" s="1"/>
  <c r="K16" i="9" s="1"/>
  <c r="C6" i="4"/>
  <c r="I13" i="4"/>
  <c r="H13" i="4"/>
  <c r="G13" i="4"/>
  <c r="F13" i="4"/>
  <c r="E13" i="4"/>
  <c r="D14" i="4"/>
  <c r="D13" i="4"/>
  <c r="C13" i="4"/>
  <c r="D18" i="4"/>
  <c r="P14" i="4"/>
  <c r="Q14" i="4"/>
  <c r="S7" i="4"/>
  <c r="R8" i="4"/>
  <c r="R13" i="4"/>
  <c r="AU2" i="7"/>
  <c r="T4" i="7"/>
  <c r="W4" i="7"/>
  <c r="AV5" i="7" s="1"/>
  <c r="Z5" i="7"/>
  <c r="AG5" i="7"/>
  <c r="AR5" i="7"/>
  <c r="AR6" i="7" s="1"/>
  <c r="AY5" i="7"/>
  <c r="T6" i="7"/>
  <c r="U6" i="7"/>
  <c r="V6" i="7"/>
  <c r="W6" i="7"/>
  <c r="AV100" i="7" s="1"/>
  <c r="AV7" i="7"/>
  <c r="Y6" i="7"/>
  <c r="AX100" i="7" s="1"/>
  <c r="AK6" i="7"/>
  <c r="AY6" i="7"/>
  <c r="W7" i="7"/>
  <c r="AV8" i="7" s="1"/>
  <c r="X7" i="7"/>
  <c r="AW101" i="7"/>
  <c r="Z7" i="7"/>
  <c r="AA7" i="7"/>
  <c r="AL7" i="7"/>
  <c r="AB7" i="7"/>
  <c r="AM7" i="7"/>
  <c r="M9" i="7"/>
  <c r="N9" i="7"/>
  <c r="M10" i="7"/>
  <c r="AU10" i="7" s="1"/>
  <c r="M11" i="7"/>
  <c r="N11" i="7"/>
  <c r="Z12" i="7"/>
  <c r="M13" i="7"/>
  <c r="M14" i="7"/>
  <c r="AU14" i="7"/>
  <c r="M15" i="7"/>
  <c r="P15" i="7" s="1"/>
  <c r="S15" i="7"/>
  <c r="M16" i="7"/>
  <c r="AU16" i="7"/>
  <c r="M17" i="7"/>
  <c r="AB17" i="7"/>
  <c r="M18" i="7"/>
  <c r="AU18" i="7" s="1"/>
  <c r="M19" i="7"/>
  <c r="M20" i="7"/>
  <c r="O20" i="7" s="1"/>
  <c r="M21" i="7"/>
  <c r="N21" i="7" s="1"/>
  <c r="R21" i="7" s="1"/>
  <c r="M22" i="7"/>
  <c r="AU22" i="7"/>
  <c r="M23" i="7"/>
  <c r="M24" i="7"/>
  <c r="AU24" i="7"/>
  <c r="M25" i="7"/>
  <c r="AU25" i="7"/>
  <c r="M26" i="7"/>
  <c r="M27" i="7"/>
  <c r="M28" i="7"/>
  <c r="AU28" i="7" s="1"/>
  <c r="M29" i="7"/>
  <c r="M30" i="7"/>
  <c r="M31" i="7"/>
  <c r="M32" i="7"/>
  <c r="M33" i="7"/>
  <c r="AA33" i="7"/>
  <c r="M34" i="7"/>
  <c r="AU34" i="7" s="1"/>
  <c r="M35" i="7"/>
  <c r="AF35" i="7" s="1"/>
  <c r="M36" i="7"/>
  <c r="BB36" i="7"/>
  <c r="M37" i="7"/>
  <c r="AU37" i="7"/>
  <c r="M38" i="7"/>
  <c r="BB38" i="7" s="1"/>
  <c r="M39" i="7"/>
  <c r="AB39" i="7"/>
  <c r="M40" i="7"/>
  <c r="M41" i="7"/>
  <c r="BB41" i="7" s="1"/>
  <c r="M42" i="7"/>
  <c r="M43" i="7"/>
  <c r="Y43" i="7" s="1"/>
  <c r="M44" i="7"/>
  <c r="M45" i="7"/>
  <c r="M46" i="7"/>
  <c r="M47" i="7"/>
  <c r="BB47" i="7" s="1"/>
  <c r="M48" i="7"/>
  <c r="AU48" i="7"/>
  <c r="M49" i="7"/>
  <c r="M50" i="7"/>
  <c r="BB50" i="7"/>
  <c r="M51" i="7"/>
  <c r="BB51" i="7" s="1"/>
  <c r="Y51" i="7"/>
  <c r="O51" i="7"/>
  <c r="M52" i="7"/>
  <c r="BB52" i="7" s="1"/>
  <c r="M53" i="7"/>
  <c r="BB53" i="7"/>
  <c r="M54" i="7"/>
  <c r="M55" i="7"/>
  <c r="Y55" i="7" s="1"/>
  <c r="M56" i="7"/>
  <c r="M57" i="7"/>
  <c r="M58" i="7"/>
  <c r="Y58" i="7" s="1"/>
  <c r="M59" i="7"/>
  <c r="AE59" i="7" s="1"/>
  <c r="M60" i="7"/>
  <c r="BB60" i="7" s="1"/>
  <c r="M61" i="7"/>
  <c r="BB61" i="7"/>
  <c r="M62" i="7"/>
  <c r="AU62" i="7" s="1"/>
  <c r="M63" i="7"/>
  <c r="S63" i="7" s="1"/>
  <c r="M64" i="7"/>
  <c r="AF64" i="7" s="1"/>
  <c r="V64" i="7"/>
  <c r="M65" i="7"/>
  <c r="AZ65" i="7" s="1"/>
  <c r="AC65" i="7"/>
  <c r="M66" i="7"/>
  <c r="AW66" i="7" s="1"/>
  <c r="Y66" i="7"/>
  <c r="M67" i="7"/>
  <c r="S67" i="7" s="1"/>
  <c r="BB67" i="7"/>
  <c r="AC67" i="7"/>
  <c r="AU67" i="7"/>
  <c r="AZ67" i="7"/>
  <c r="M68" i="7"/>
  <c r="BB68" i="7" s="1"/>
  <c r="R68" i="7"/>
  <c r="M69" i="7"/>
  <c r="BB69" i="7" s="1"/>
  <c r="W69" i="7"/>
  <c r="AD69" i="7"/>
  <c r="BA69" i="7"/>
  <c r="M70" i="7"/>
  <c r="BB70" i="7" s="1"/>
  <c r="M71" i="7"/>
  <c r="M72" i="7"/>
  <c r="AD72" i="7" s="1"/>
  <c r="R72" i="7"/>
  <c r="AC72" i="7"/>
  <c r="AH72" i="7"/>
  <c r="AP72" i="7"/>
  <c r="BA72" i="7"/>
  <c r="M73" i="7"/>
  <c r="AC73" i="7" s="1"/>
  <c r="AK73" i="7"/>
  <c r="M74" i="7"/>
  <c r="M75" i="7"/>
  <c r="N75" i="7" s="1"/>
  <c r="M76" i="7"/>
  <c r="M77" i="7"/>
  <c r="BA77" i="7"/>
  <c r="AE77" i="7"/>
  <c r="M78" i="7"/>
  <c r="M79" i="7"/>
  <c r="U79" i="7"/>
  <c r="M80" i="7"/>
  <c r="AF80" i="7" s="1"/>
  <c r="N80" i="7"/>
  <c r="S80" i="7"/>
  <c r="V80" i="7"/>
  <c r="AE80" i="7"/>
  <c r="AN80" i="7"/>
  <c r="AV80" i="7"/>
  <c r="M81" i="7"/>
  <c r="X81" i="7" s="1"/>
  <c r="AJ81" i="7"/>
  <c r="T81" i="7"/>
  <c r="AE81" i="7"/>
  <c r="AK81" i="7"/>
  <c r="AO81" i="7"/>
  <c r="BA81" i="7"/>
  <c r="M82" i="7"/>
  <c r="AE82" i="7" s="1"/>
  <c r="AA82" i="7"/>
  <c r="Y82" i="7"/>
  <c r="R82" i="7"/>
  <c r="V82" i="7"/>
  <c r="AI82" i="7"/>
  <c r="AM82" i="7"/>
  <c r="AR82" i="7"/>
  <c r="AW82" i="7"/>
  <c r="M83" i="7"/>
  <c r="R83" i="7" s="1"/>
  <c r="AE83" i="7"/>
  <c r="M84" i="7"/>
  <c r="N84" i="7" s="1"/>
  <c r="V84" i="7"/>
  <c r="M85" i="7"/>
  <c r="X85" i="7" s="1"/>
  <c r="S85" i="7"/>
  <c r="AJ85" i="7"/>
  <c r="M86" i="7"/>
  <c r="BB86" i="7" s="1"/>
  <c r="O86" i="7"/>
  <c r="Y86" i="7"/>
  <c r="T86" i="7"/>
  <c r="X86" i="7"/>
  <c r="AA86" i="7"/>
  <c r="AC86" i="7"/>
  <c r="AH86" i="7"/>
  <c r="AL86" i="7"/>
  <c r="AM86" i="7"/>
  <c r="AU86" i="7"/>
  <c r="AV86" i="7"/>
  <c r="AZ86" i="7"/>
  <c r="M87" i="7"/>
  <c r="AK87" i="7" s="1"/>
  <c r="AW87" i="7"/>
  <c r="M88" i="7"/>
  <c r="M89" i="7"/>
  <c r="M90" i="7"/>
  <c r="M91" i="7"/>
  <c r="O91" i="7" s="1"/>
  <c r="R91" i="7"/>
  <c r="V91" i="7"/>
  <c r="T91" i="7"/>
  <c r="X91" i="7"/>
  <c r="Z91" i="7"/>
  <c r="AA91" i="7"/>
  <c r="AC91" i="7"/>
  <c r="AD91" i="7"/>
  <c r="AI91" i="7"/>
  <c r="AL91" i="7"/>
  <c r="AM91" i="7"/>
  <c r="AO91" i="7"/>
  <c r="AP91" i="7"/>
  <c r="AW91" i="7"/>
  <c r="AY91" i="7"/>
  <c r="M92" i="7"/>
  <c r="AF92" i="7" s="1"/>
  <c r="Z92" i="7"/>
  <c r="AE92" i="7"/>
  <c r="AV92" i="7"/>
  <c r="M93" i="7"/>
  <c r="T93" i="7" s="1"/>
  <c r="M94" i="7"/>
  <c r="AW94" i="7" s="1"/>
  <c r="M95" i="7"/>
  <c r="V95" i="7" s="1"/>
  <c r="AV95" i="7"/>
  <c r="M96" i="7"/>
  <c r="M97" i="7"/>
  <c r="Z97" i="7" s="1"/>
  <c r="M98" i="7"/>
  <c r="T4" i="1"/>
  <c r="B5" i="1"/>
  <c r="Z5" i="1"/>
  <c r="AG5" i="1"/>
  <c r="T6" i="1"/>
  <c r="U6" i="1"/>
  <c r="V6" i="1"/>
  <c r="AK6" i="1"/>
  <c r="Z7" i="1"/>
  <c r="AD7" i="1" s="1"/>
  <c r="AA7" i="1"/>
  <c r="AB7" i="1"/>
  <c r="M11" i="1"/>
  <c r="M12" i="1"/>
  <c r="M13" i="1"/>
  <c r="M14" i="1"/>
  <c r="M15" i="1"/>
  <c r="O15" i="1" s="1"/>
  <c r="M16" i="1"/>
  <c r="M17" i="1"/>
  <c r="AV17" i="1"/>
  <c r="M18" i="1"/>
  <c r="P18" i="1" s="1"/>
  <c r="M19" i="1"/>
  <c r="M20" i="1"/>
  <c r="N20" i="1" s="1"/>
  <c r="M21" i="1"/>
  <c r="P21" i="1" s="1"/>
  <c r="M22" i="1"/>
  <c r="M23" i="1"/>
  <c r="M24" i="1"/>
  <c r="AV24" i="1" s="1"/>
  <c r="M25" i="1"/>
  <c r="AB25" i="1" s="1"/>
  <c r="M26" i="1"/>
  <c r="M27" i="1"/>
  <c r="M28" i="1"/>
  <c r="AA28" i="1" s="1"/>
  <c r="M29" i="1"/>
  <c r="N29" i="1" s="1"/>
  <c r="M30" i="1"/>
  <c r="P30" i="1" s="1"/>
  <c r="M31" i="1"/>
  <c r="AA31" i="1" s="1"/>
  <c r="M32" i="1"/>
  <c r="AV32" i="1"/>
  <c r="M33" i="1"/>
  <c r="AV33" i="1" s="1"/>
  <c r="DE33" i="1" s="1"/>
  <c r="M34" i="1"/>
  <c r="AA34" i="1" s="1"/>
  <c r="M35" i="1"/>
  <c r="N35" i="1" s="1"/>
  <c r="M36" i="1"/>
  <c r="N36" i="1" s="1"/>
  <c r="M37" i="1"/>
  <c r="P37" i="1" s="1"/>
  <c r="M38" i="1"/>
  <c r="M39" i="1"/>
  <c r="M40" i="1"/>
  <c r="M41" i="1"/>
  <c r="M42" i="1"/>
  <c r="M43" i="1"/>
  <c r="M44" i="1"/>
  <c r="M45" i="1"/>
  <c r="M46" i="1"/>
  <c r="M47" i="1"/>
  <c r="M48" i="1"/>
  <c r="AV48" i="1"/>
  <c r="CO48" i="1" s="1"/>
  <c r="M49" i="1"/>
  <c r="M50" i="1"/>
  <c r="M51" i="1"/>
  <c r="M52" i="1"/>
  <c r="M53" i="1"/>
  <c r="M54" i="1"/>
  <c r="M55" i="1"/>
  <c r="AV55" i="1" s="1"/>
  <c r="M56" i="1"/>
  <c r="M57" i="1"/>
  <c r="AV57" i="1" s="1"/>
  <c r="CO57" i="1" s="1"/>
  <c r="M58" i="1"/>
  <c r="M59" i="1"/>
  <c r="M60" i="1"/>
  <c r="M61" i="1"/>
  <c r="O61" i="1" s="1"/>
  <c r="M62" i="1"/>
  <c r="AO62" i="1" s="1"/>
  <c r="M63" i="1"/>
  <c r="M64" i="1"/>
  <c r="M65" i="1"/>
  <c r="AO65" i="1" s="1"/>
  <c r="M66" i="1"/>
  <c r="AO66" i="1" s="1"/>
  <c r="M67" i="1"/>
  <c r="AO67" i="1" s="1"/>
  <c r="P67" i="1"/>
  <c r="M68" i="1"/>
  <c r="M69" i="1"/>
  <c r="M70" i="1"/>
  <c r="AO70" i="1" s="1"/>
  <c r="M71" i="1"/>
  <c r="M72" i="1"/>
  <c r="AO72" i="1" s="1"/>
  <c r="M73" i="1"/>
  <c r="T73" i="1" s="1"/>
  <c r="M74" i="1"/>
  <c r="M75" i="1"/>
  <c r="M76" i="1"/>
  <c r="AO76" i="1" s="1"/>
  <c r="M77" i="1"/>
  <c r="M78" i="1"/>
  <c r="AO78" i="1" s="1"/>
  <c r="M79" i="1"/>
  <c r="M80" i="1"/>
  <c r="AO80" i="1" s="1"/>
  <c r="M81" i="1"/>
  <c r="X81" i="1" s="1"/>
  <c r="M82" i="1"/>
  <c r="AZ51" i="7"/>
  <c r="M83" i="1"/>
  <c r="AO83" i="1" s="1"/>
  <c r="AZ52" i="7"/>
  <c r="M84" i="1"/>
  <c r="AO84" i="1" s="1"/>
  <c r="M85" i="1"/>
  <c r="AZ54" i="7"/>
  <c r="M86" i="1"/>
  <c r="AV55" i="7"/>
  <c r="M87" i="1"/>
  <c r="M88" i="1"/>
  <c r="AO88" i="1" s="1"/>
  <c r="M89" i="1"/>
  <c r="AZ58" i="7"/>
  <c r="M90" i="1"/>
  <c r="M91" i="1"/>
  <c r="AO91" i="1" s="1"/>
  <c r="M92" i="1"/>
  <c r="AD92" i="1" s="1"/>
  <c r="M93" i="1"/>
  <c r="AO93" i="1" s="1"/>
  <c r="M94" i="1"/>
  <c r="M95" i="1"/>
  <c r="AO95" i="1" s="1"/>
  <c r="M96" i="1"/>
  <c r="AO96" i="1" s="1"/>
  <c r="M97" i="1"/>
  <c r="AO97" i="1" s="1"/>
  <c r="M98" i="1"/>
  <c r="AO98" i="1" s="1"/>
  <c r="M99" i="1"/>
  <c r="AO99" i="1" s="1"/>
  <c r="M100" i="1"/>
  <c r="AO100" i="1" s="1"/>
  <c r="M101" i="1"/>
  <c r="AO101" i="1" s="1"/>
  <c r="M102" i="1"/>
  <c r="AO102" i="1" s="1"/>
  <c r="M103" i="1"/>
  <c r="AO103" i="1" s="1"/>
  <c r="M104" i="1"/>
  <c r="AO104" i="1" s="1"/>
  <c r="M105" i="1"/>
  <c r="AO105" i="1" s="1"/>
  <c r="M106" i="1"/>
  <c r="M107" i="1"/>
  <c r="M108" i="1"/>
  <c r="AO108" i="1" s="1"/>
  <c r="M109" i="1"/>
  <c r="AO109" i="1" s="1"/>
  <c r="M110" i="1"/>
  <c r="AO110" i="1" s="1"/>
  <c r="M111" i="1"/>
  <c r="AO111" i="1" s="1"/>
  <c r="M112" i="1"/>
  <c r="M113" i="1"/>
  <c r="M114" i="1"/>
  <c r="O114" i="1" s="1"/>
  <c r="M115" i="1"/>
  <c r="M116" i="1"/>
  <c r="AO116" i="1" s="1"/>
  <c r="M117" i="1"/>
  <c r="AO117" i="1" s="1"/>
  <c r="M118" i="1"/>
  <c r="AO118" i="1" s="1"/>
  <c r="M119" i="1"/>
  <c r="AO119" i="1" s="1"/>
  <c r="M120" i="1"/>
  <c r="AO120" i="1" s="1"/>
  <c r="M121" i="1"/>
  <c r="M122" i="1"/>
  <c r="M123" i="1"/>
  <c r="M124" i="1"/>
  <c r="AH124" i="1" s="1"/>
  <c r="M125" i="1"/>
  <c r="AO125" i="1" s="1"/>
  <c r="M126" i="1"/>
  <c r="AO126" i="1" s="1"/>
  <c r="M127" i="1"/>
  <c r="AO127" i="1" s="1"/>
  <c r="M128" i="1"/>
  <c r="AA128" i="1" s="1"/>
  <c r="M129" i="1"/>
  <c r="M130" i="1"/>
  <c r="AO130" i="1" s="1"/>
  <c r="AH130" i="1"/>
  <c r="D2" i="4"/>
  <c r="E2" i="4"/>
  <c r="F2" i="4" s="1"/>
  <c r="G2" i="4" s="1"/>
  <c r="H2" i="4" s="1"/>
  <c r="I2" i="4" s="1"/>
  <c r="J2" i="4" s="1"/>
  <c r="K2" i="4" s="1"/>
  <c r="C25" i="4"/>
  <c r="H8" i="5"/>
  <c r="Z8" i="5"/>
  <c r="AH8" i="5"/>
  <c r="H9" i="5"/>
  <c r="Z9" i="5"/>
  <c r="AH9" i="5"/>
  <c r="H10" i="5"/>
  <c r="Z10" i="5"/>
  <c r="AH10" i="5"/>
  <c r="H11" i="5"/>
  <c r="Z11" i="5"/>
  <c r="AH11" i="5"/>
  <c r="H12" i="5"/>
  <c r="Z12" i="5"/>
  <c r="AH12" i="5"/>
  <c r="H13" i="5"/>
  <c r="Z13" i="5"/>
  <c r="AH13" i="5"/>
  <c r="H14" i="5"/>
  <c r="Z14" i="5"/>
  <c r="AH14" i="5"/>
  <c r="H15" i="5"/>
  <c r="Z15" i="5"/>
  <c r="AH15" i="5"/>
  <c r="H16" i="5"/>
  <c r="Z16" i="5"/>
  <c r="AH16" i="5"/>
  <c r="H17" i="5"/>
  <c r="Z17" i="5"/>
  <c r="AH17" i="5"/>
  <c r="H18" i="5"/>
  <c r="Z18" i="5"/>
  <c r="AH18" i="5"/>
  <c r="H19" i="5"/>
  <c r="Z19" i="5"/>
  <c r="AH19" i="5"/>
  <c r="H20" i="5"/>
  <c r="Z20" i="5"/>
  <c r="AH20" i="5"/>
  <c r="H21" i="5"/>
  <c r="Z21" i="5"/>
  <c r="AH21" i="5"/>
  <c r="H22" i="5"/>
  <c r="Z22" i="5"/>
  <c r="AH22" i="5"/>
  <c r="H23" i="5"/>
  <c r="Z23" i="5"/>
  <c r="AH23" i="5"/>
  <c r="H24" i="5"/>
  <c r="Z24" i="5"/>
  <c r="AH24" i="5"/>
  <c r="H25" i="5"/>
  <c r="Z25" i="5"/>
  <c r="AH25" i="5"/>
  <c r="H26" i="5"/>
  <c r="Z26" i="5"/>
  <c r="AH26" i="5"/>
  <c r="H27" i="5"/>
  <c r="Z27" i="5"/>
  <c r="AH27" i="5"/>
  <c r="H28" i="5"/>
  <c r="Z28" i="5"/>
  <c r="AH28" i="5"/>
  <c r="H29" i="5"/>
  <c r="Z29" i="5"/>
  <c r="AH29" i="5"/>
  <c r="H30" i="5"/>
  <c r="Z30" i="5"/>
  <c r="AH30" i="5"/>
  <c r="H33" i="5"/>
  <c r="H34" i="5"/>
  <c r="H35" i="5"/>
  <c r="H37" i="5"/>
  <c r="Z37" i="5"/>
  <c r="G38" i="5"/>
  <c r="Y38" i="5"/>
  <c r="AG38" i="5"/>
  <c r="P15" i="4"/>
  <c r="R15" i="4" s="1"/>
  <c r="R14" i="4"/>
  <c r="S13" i="4"/>
  <c r="T13" i="4" s="1"/>
  <c r="T14" i="4" s="1"/>
  <c r="R9" i="4"/>
  <c r="S8" i="4"/>
  <c r="S9" i="4" s="1"/>
  <c r="V13" i="4"/>
  <c r="U14" i="4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AY58" i="7"/>
  <c r="AY55" i="7"/>
  <c r="AY54" i="7"/>
  <c r="AV53" i="7"/>
  <c r="AZ50" i="7"/>
  <c r="AZ56" i="7"/>
  <c r="AY53" i="7"/>
  <c r="AY56" i="7"/>
  <c r="AV51" i="7"/>
  <c r="BA54" i="7"/>
  <c r="AV54" i="7"/>
  <c r="BA52" i="7"/>
  <c r="AV52" i="7"/>
  <c r="BA58" i="7"/>
  <c r="AV58" i="7"/>
  <c r="BA50" i="7"/>
  <c r="AV50" i="7"/>
  <c r="BA56" i="7"/>
  <c r="AV56" i="7"/>
  <c r="BA55" i="7"/>
  <c r="BA53" i="7"/>
  <c r="BA51" i="7"/>
  <c r="AV44" i="7"/>
  <c r="AV43" i="7"/>
  <c r="AV42" i="7"/>
  <c r="AV49" i="7"/>
  <c r="AV46" i="7"/>
  <c r="AV47" i="7"/>
  <c r="AV41" i="7"/>
  <c r="AV39" i="7"/>
  <c r="AZ47" i="7"/>
  <c r="AY47" i="7"/>
  <c r="AZ44" i="7"/>
  <c r="BA44" i="7"/>
  <c r="AY44" i="7"/>
  <c r="AY43" i="7"/>
  <c r="BA43" i="7"/>
  <c r="AZ43" i="7"/>
  <c r="AZ41" i="7"/>
  <c r="BA41" i="7"/>
  <c r="AY39" i="7"/>
  <c r="BA49" i="7"/>
  <c r="BA47" i="7"/>
  <c r="AY46" i="7"/>
  <c r="AZ46" i="7"/>
  <c r="BA46" i="7"/>
  <c r="AY42" i="7"/>
  <c r="AZ42" i="7"/>
  <c r="BA42" i="7"/>
  <c r="AY41" i="7"/>
  <c r="AY40" i="7"/>
  <c r="BA39" i="7"/>
  <c r="AZ39" i="7"/>
  <c r="AW55" i="7"/>
  <c r="O72" i="7"/>
  <c r="S72" i="7"/>
  <c r="AA72" i="7"/>
  <c r="AE72" i="7"/>
  <c r="AI72" i="7"/>
  <c r="AM72" i="7"/>
  <c r="AR72" i="7"/>
  <c r="AX72" i="7"/>
  <c r="O64" i="7"/>
  <c r="S64" i="7"/>
  <c r="AA64" i="7"/>
  <c r="AE64" i="7"/>
  <c r="AI64" i="7"/>
  <c r="AM64" i="7"/>
  <c r="AR64" i="7"/>
  <c r="AX64" i="7"/>
  <c r="AF55" i="7"/>
  <c r="AC55" i="7"/>
  <c r="X45" i="7"/>
  <c r="S45" i="7"/>
  <c r="AZ70" i="7"/>
  <c r="AO70" i="7"/>
  <c r="AJ70" i="7"/>
  <c r="AD70" i="7"/>
  <c r="T70" i="7"/>
  <c r="N70" i="7"/>
  <c r="BA68" i="7"/>
  <c r="AP68" i="7"/>
  <c r="AK68" i="7"/>
  <c r="AF68" i="7"/>
  <c r="Z68" i="7"/>
  <c r="U68" i="7"/>
  <c r="AV66" i="7"/>
  <c r="AS66" i="7"/>
  <c r="AL66" i="7"/>
  <c r="AG66" i="7"/>
  <c r="AB66" i="7"/>
  <c r="V66" i="7"/>
  <c r="AZ62" i="7"/>
  <c r="AO62" i="7"/>
  <c r="AJ62" i="7"/>
  <c r="AD62" i="7"/>
  <c r="T62" i="7"/>
  <c r="N62" i="7"/>
  <c r="BA60" i="7"/>
  <c r="AP60" i="7"/>
  <c r="AK60" i="7"/>
  <c r="AF60" i="7"/>
  <c r="Z60" i="7"/>
  <c r="U60" i="7"/>
  <c r="AB58" i="7"/>
  <c r="AB54" i="7"/>
  <c r="AF54" i="7"/>
  <c r="AF51" i="7"/>
  <c r="O66" i="7"/>
  <c r="S66" i="7"/>
  <c r="AA66" i="7"/>
  <c r="AE66" i="7"/>
  <c r="AI66" i="7"/>
  <c r="AM66" i="7"/>
  <c r="AR66" i="7"/>
  <c r="AX66" i="7"/>
  <c r="N58" i="7"/>
  <c r="Z58" i="7"/>
  <c r="O58" i="7"/>
  <c r="S58" i="7"/>
  <c r="AA58" i="7"/>
  <c r="AE58" i="7"/>
  <c r="N54" i="7"/>
  <c r="R54" i="7"/>
  <c r="X54" i="7"/>
  <c r="Z54" i="7"/>
  <c r="AD54" i="7"/>
  <c r="AH54" i="7"/>
  <c r="AW54" i="7"/>
  <c r="O54" i="7"/>
  <c r="S54" i="7"/>
  <c r="AA54" i="7"/>
  <c r="AE54" i="7"/>
  <c r="AJ54" i="7"/>
  <c r="AI54" i="7"/>
  <c r="BA70" i="7"/>
  <c r="AP70" i="7"/>
  <c r="AK70" i="7"/>
  <c r="AF70" i="7"/>
  <c r="Z70" i="7"/>
  <c r="U70" i="7"/>
  <c r="AV68" i="7"/>
  <c r="AS68" i="7"/>
  <c r="AL68" i="7"/>
  <c r="AG68" i="7"/>
  <c r="AB68" i="7"/>
  <c r="V68" i="7"/>
  <c r="BA62" i="7"/>
  <c r="AP62" i="7"/>
  <c r="AK62" i="7"/>
  <c r="AF62" i="7"/>
  <c r="Z62" i="7"/>
  <c r="U62" i="7"/>
  <c r="AV60" i="7"/>
  <c r="AS60" i="7"/>
  <c r="AL60" i="7"/>
  <c r="AG60" i="7"/>
  <c r="AB60" i="7"/>
  <c r="V60" i="7"/>
  <c r="O68" i="7"/>
  <c r="S68" i="7"/>
  <c r="AA68" i="7"/>
  <c r="AE68" i="7"/>
  <c r="AI68" i="7"/>
  <c r="AM68" i="7"/>
  <c r="AR68" i="7"/>
  <c r="AX68" i="7"/>
  <c r="O60" i="7"/>
  <c r="S60" i="7"/>
  <c r="AA60" i="7"/>
  <c r="AE60" i="7"/>
  <c r="AI60" i="7"/>
  <c r="AM60" i="7"/>
  <c r="AR60" i="7"/>
  <c r="AX60" i="7"/>
  <c r="AF57" i="7"/>
  <c r="AC57" i="7"/>
  <c r="AF53" i="7"/>
  <c r="AC53" i="7"/>
  <c r="N50" i="7"/>
  <c r="Z50" i="7"/>
  <c r="AB50" i="7"/>
  <c r="AF50" i="7"/>
  <c r="O50" i="7"/>
  <c r="S50" i="7"/>
  <c r="AA50" i="7"/>
  <c r="AE50" i="7"/>
  <c r="AV70" i="7"/>
  <c r="AS70" i="7"/>
  <c r="AL70" i="7"/>
  <c r="AG70" i="7"/>
  <c r="AB70" i="7"/>
  <c r="V70" i="7"/>
  <c r="AV62" i="7"/>
  <c r="AS62" i="7"/>
  <c r="AL62" i="7"/>
  <c r="AG62" i="7"/>
  <c r="AB62" i="7"/>
  <c r="V62" i="7"/>
  <c r="R57" i="7"/>
  <c r="X57" i="7"/>
  <c r="AB56" i="7"/>
  <c r="AF56" i="7"/>
  <c r="R53" i="7"/>
  <c r="X53" i="7"/>
  <c r="AB52" i="7"/>
  <c r="AF52" i="7"/>
  <c r="O70" i="7"/>
  <c r="S70" i="7"/>
  <c r="AA70" i="7"/>
  <c r="AE70" i="7"/>
  <c r="AI70" i="7"/>
  <c r="AM70" i="7"/>
  <c r="AR70" i="7"/>
  <c r="AX70" i="7"/>
  <c r="O62" i="7"/>
  <c r="S62" i="7"/>
  <c r="AA62" i="7"/>
  <c r="AE62" i="7"/>
  <c r="AI62" i="7"/>
  <c r="AM62" i="7"/>
  <c r="AR62" i="7"/>
  <c r="AX62" i="7"/>
  <c r="N56" i="7"/>
  <c r="Z56" i="7"/>
  <c r="O56" i="7"/>
  <c r="S56" i="7"/>
  <c r="AA56" i="7"/>
  <c r="AE56" i="7"/>
  <c r="N52" i="7"/>
  <c r="R52" i="7"/>
  <c r="X52" i="7"/>
  <c r="Z52" i="7"/>
  <c r="O52" i="7"/>
  <c r="S52" i="7"/>
  <c r="AA52" i="7"/>
  <c r="AE52" i="7"/>
  <c r="N49" i="7"/>
  <c r="Z49" i="7"/>
  <c r="S46" i="7"/>
  <c r="AB46" i="7"/>
  <c r="AE46" i="7"/>
  <c r="N41" i="7"/>
  <c r="Z41" i="7"/>
  <c r="AD41" i="7"/>
  <c r="AH41" i="7"/>
  <c r="S38" i="7"/>
  <c r="AB38" i="7"/>
  <c r="N33" i="7"/>
  <c r="Z33" i="7"/>
  <c r="AC51" i="7"/>
  <c r="AA48" i="7"/>
  <c r="AE47" i="7"/>
  <c r="AJ47" i="7"/>
  <c r="R46" i="7"/>
  <c r="X46" i="7"/>
  <c r="AB43" i="7"/>
  <c r="Z42" i="7"/>
  <c r="O42" i="7"/>
  <c r="AA37" i="7"/>
  <c r="S37" i="7"/>
  <c r="Z34" i="7"/>
  <c r="O34" i="7"/>
  <c r="Q34" i="7" s="1"/>
  <c r="AU26" i="7"/>
  <c r="S48" i="7"/>
  <c r="AB48" i="7"/>
  <c r="AF48" i="7"/>
  <c r="N43" i="7"/>
  <c r="Z43" i="7"/>
  <c r="AC43" i="7"/>
  <c r="AF40" i="7"/>
  <c r="AA42" i="7"/>
  <c r="AE42" i="7"/>
  <c r="AB37" i="7"/>
  <c r="AF37" i="7"/>
  <c r="AA34" i="7"/>
  <c r="AB42" i="7"/>
  <c r="AF42" i="7"/>
  <c r="N37" i="7"/>
  <c r="Z37" i="7"/>
  <c r="AC37" i="7"/>
  <c r="AD37" i="7"/>
  <c r="AH37" i="7"/>
  <c r="AB34" i="7"/>
  <c r="AB26" i="7"/>
  <c r="O26" i="7"/>
  <c r="AA26" i="7"/>
  <c r="N26" i="7"/>
  <c r="Q26" i="7"/>
  <c r="Z26" i="7"/>
  <c r="AC26" i="7" s="1"/>
  <c r="N47" i="7"/>
  <c r="R47" i="7"/>
  <c r="X47" i="7"/>
  <c r="Z47" i="7"/>
  <c r="AC47" i="7"/>
  <c r="AD47" i="7"/>
  <c r="AH47" i="7"/>
  <c r="AW47" i="7"/>
  <c r="S44" i="7"/>
  <c r="X44" i="7"/>
  <c r="AB44" i="7"/>
  <c r="AE44" i="7"/>
  <c r="AF44" i="7"/>
  <c r="N39" i="7"/>
  <c r="R39" i="7"/>
  <c r="X39" i="7"/>
  <c r="Z39" i="7"/>
  <c r="AC39" i="7"/>
  <c r="AW39" i="7"/>
  <c r="S36" i="7"/>
  <c r="AB36" i="7"/>
  <c r="AA30" i="7"/>
  <c r="Z48" i="7"/>
  <c r="O48" i="7"/>
  <c r="AA43" i="7"/>
  <c r="S43" i="7"/>
  <c r="S42" i="7"/>
  <c r="N42" i="7"/>
  <c r="R42" i="7"/>
  <c r="X42" i="7"/>
  <c r="Z40" i="7"/>
  <c r="AE37" i="7"/>
  <c r="AJ37" i="7"/>
  <c r="O37" i="7"/>
  <c r="R37" i="7"/>
  <c r="X37" i="7"/>
  <c r="N34" i="7"/>
  <c r="O32" i="7"/>
  <c r="AA32" i="7"/>
  <c r="AB28" i="7"/>
  <c r="O28" i="7"/>
  <c r="AA28" i="7"/>
  <c r="AF28" i="7" s="1"/>
  <c r="AB24" i="7"/>
  <c r="O24" i="7"/>
  <c r="R24" i="7" s="1"/>
  <c r="X24" i="7" s="1"/>
  <c r="AA24" i="7"/>
  <c r="AE24" i="7" s="1"/>
  <c r="N24" i="7"/>
  <c r="Z24" i="7"/>
  <c r="AB22" i="7"/>
  <c r="AC22" i="7" s="1"/>
  <c r="O22" i="7"/>
  <c r="AA22" i="7"/>
  <c r="N22" i="7"/>
  <c r="Q22" i="7" s="1"/>
  <c r="Z22" i="7"/>
  <c r="Z18" i="7"/>
  <c r="AC18" i="7" s="1"/>
  <c r="N18" i="7"/>
  <c r="Z16" i="7"/>
  <c r="N16" i="7"/>
  <c r="Z14" i="7"/>
  <c r="AC14" i="7"/>
  <c r="N14" i="7"/>
  <c r="AA18" i="7"/>
  <c r="O18" i="7"/>
  <c r="AA16" i="7"/>
  <c r="O16" i="7"/>
  <c r="R16" i="7"/>
  <c r="X16" i="7" s="1"/>
  <c r="AA14" i="7"/>
  <c r="O14" i="7"/>
  <c r="R14" i="7" s="1"/>
  <c r="AB11" i="7"/>
  <c r="Z10" i="7"/>
  <c r="N10" i="7"/>
  <c r="AB9" i="7"/>
  <c r="AB18" i="7"/>
  <c r="AB16" i="7"/>
  <c r="AB14" i="7"/>
  <c r="AA10" i="7"/>
  <c r="AM42" i="7"/>
  <c r="AI42" i="7"/>
  <c r="AG42" i="7"/>
  <c r="AW46" i="7"/>
  <c r="AW52" i="7"/>
  <c r="AM56" i="7"/>
  <c r="AG56" i="7"/>
  <c r="AI56" i="7"/>
  <c r="AG50" i="7"/>
  <c r="AM50" i="7"/>
  <c r="AI50" i="7"/>
  <c r="AM45" i="7"/>
  <c r="AW42" i="7"/>
  <c r="AG40" i="7"/>
  <c r="AX55" i="7"/>
  <c r="V55" i="7"/>
  <c r="V44" i="7"/>
  <c r="AX44" i="7"/>
  <c r="AI52" i="7"/>
  <c r="AG52" i="7"/>
  <c r="AM52" i="7"/>
  <c r="AX50" i="7"/>
  <c r="V50" i="7"/>
  <c r="AV48" i="7"/>
  <c r="AX52" i="7"/>
  <c r="V52" i="7"/>
  <c r="AM48" i="7"/>
  <c r="AI48" i="7"/>
  <c r="AC48" i="7"/>
  <c r="AD48" i="7"/>
  <c r="AH48" i="7"/>
  <c r="AM44" i="7"/>
  <c r="AG44" i="7"/>
  <c r="AF41" i="7"/>
  <c r="AC41" i="7"/>
  <c r="AG53" i="7"/>
  <c r="AM53" i="7"/>
  <c r="AI53" i="7"/>
  <c r="AD58" i="7"/>
  <c r="AH58" i="7"/>
  <c r="AC58" i="7"/>
  <c r="AG51" i="7"/>
  <c r="AM51" i="7"/>
  <c r="AI51" i="7"/>
  <c r="AG55" i="7"/>
  <c r="AI55" i="7"/>
  <c r="AM55" i="7"/>
  <c r="AD42" i="7"/>
  <c r="AH42" i="7"/>
  <c r="AE43" i="7"/>
  <c r="U47" i="7"/>
  <c r="R48" i="7"/>
  <c r="X48" i="7"/>
  <c r="R56" i="7"/>
  <c r="X56" i="7"/>
  <c r="AC46" i="7"/>
  <c r="AL54" i="7"/>
  <c r="AC44" i="7"/>
  <c r="AC49" i="7"/>
  <c r="AF49" i="7"/>
  <c r="AM35" i="7"/>
  <c r="AE39" i="7"/>
  <c r="AI44" i="7"/>
  <c r="AF47" i="7"/>
  <c r="AC52" i="7"/>
  <c r="AC50" i="7"/>
  <c r="AE49" i="7"/>
  <c r="U54" i="7"/>
  <c r="AK58" i="7"/>
  <c r="AE41" i="7"/>
  <c r="AJ41" i="7"/>
  <c r="AG54" i="7"/>
  <c r="AL58" i="7"/>
  <c r="T54" i="7"/>
  <c r="AW44" i="7"/>
  <c r="T57" i="7"/>
  <c r="U57" i="7"/>
  <c r="AW57" i="7"/>
  <c r="AG57" i="7"/>
  <c r="AM57" i="7"/>
  <c r="AI57" i="7"/>
  <c r="AL47" i="7"/>
  <c r="AD43" i="7"/>
  <c r="AH43" i="7"/>
  <c r="AC42" i="7"/>
  <c r="AD44" i="7"/>
  <c r="AH44" i="7"/>
  <c r="R41" i="7"/>
  <c r="X41" i="7"/>
  <c r="AF46" i="7"/>
  <c r="AD49" i="7"/>
  <c r="AH49" i="7"/>
  <c r="AL49" i="7"/>
  <c r="U42" i="7"/>
  <c r="AD52" i="7"/>
  <c r="AH52" i="7"/>
  <c r="AC56" i="7"/>
  <c r="U46" i="7"/>
  <c r="AD50" i="7"/>
  <c r="AH50" i="7"/>
  <c r="T52" i="7"/>
  <c r="AM54" i="7"/>
  <c r="R58" i="7"/>
  <c r="X58" i="7"/>
  <c r="AF39" i="7"/>
  <c r="AK47" i="7"/>
  <c r="AK51" i="7"/>
  <c r="AK53" i="7"/>
  <c r="AK55" i="7"/>
  <c r="AK57" i="7"/>
  <c r="AK52" i="7"/>
  <c r="AL55" i="7"/>
  <c r="AK56" i="7"/>
  <c r="AL53" i="7"/>
  <c r="AK54" i="7"/>
  <c r="AL57" i="7"/>
  <c r="AK49" i="7"/>
  <c r="T53" i="7"/>
  <c r="U53" i="7"/>
  <c r="AW53" i="7"/>
  <c r="AF43" i="7"/>
  <c r="AE48" i="7"/>
  <c r="AJ48" i="7"/>
  <c r="AD39" i="7"/>
  <c r="AH39" i="7"/>
  <c r="AL42" i="7"/>
  <c r="R43" i="7"/>
  <c r="X43" i="7"/>
  <c r="T39" i="7"/>
  <c r="T47" i="7"/>
  <c r="AL41" i="7"/>
  <c r="R49" i="7"/>
  <c r="X49" i="7"/>
  <c r="AD56" i="7"/>
  <c r="AH56" i="7"/>
  <c r="R50" i="7"/>
  <c r="X50" i="7"/>
  <c r="AD46" i="7"/>
  <c r="AH46" i="7"/>
  <c r="AC54" i="7"/>
  <c r="AF58" i="7"/>
  <c r="AP58" i="7"/>
  <c r="AO58" i="7"/>
  <c r="AR44" i="7"/>
  <c r="T44" i="7"/>
  <c r="AI43" i="7"/>
  <c r="AG43" i="7"/>
  <c r="AM43" i="7"/>
  <c r="AM58" i="7"/>
  <c r="AN58" i="7"/>
  <c r="AG58" i="7"/>
  <c r="AI58" i="7"/>
  <c r="AX41" i="7"/>
  <c r="V41" i="7"/>
  <c r="T43" i="7"/>
  <c r="AW43" i="7"/>
  <c r="U43" i="7"/>
  <c r="AR39" i="7"/>
  <c r="AX49" i="7"/>
  <c r="V49" i="7"/>
  <c r="AO51" i="7"/>
  <c r="U41" i="7"/>
  <c r="T41" i="7"/>
  <c r="AW41" i="7"/>
  <c r="T49" i="7"/>
  <c r="AW49" i="7"/>
  <c r="U49" i="7"/>
  <c r="AR51" i="7"/>
  <c r="U51" i="7"/>
  <c r="T51" i="7"/>
  <c r="AO53" i="7"/>
  <c r="AZ53" i="7"/>
  <c r="AP53" i="7"/>
  <c r="AR50" i="7"/>
  <c r="AG46" i="7"/>
  <c r="AI46" i="7"/>
  <c r="AM46" i="7"/>
  <c r="AN46" i="7"/>
  <c r="AR57" i="7"/>
  <c r="AR55" i="7"/>
  <c r="U55" i="7"/>
  <c r="T55" i="7"/>
  <c r="U56" i="7"/>
  <c r="T56" i="7"/>
  <c r="AW56" i="7"/>
  <c r="AL44" i="7"/>
  <c r="AK46" i="7"/>
  <c r="AL51" i="7"/>
  <c r="AP51" i="7"/>
  <c r="AK41" i="7"/>
  <c r="AL46" i="7"/>
  <c r="AK50" i="7"/>
  <c r="AK43" i="7"/>
  <c r="AJ58" i="7"/>
  <c r="AJ49" i="7"/>
  <c r="AJ39" i="7"/>
  <c r="AL48" i="7"/>
  <c r="AN48" i="7"/>
  <c r="AY48" i="7"/>
  <c r="AL43" i="7"/>
  <c r="AJ43" i="7"/>
  <c r="AN44" i="7"/>
  <c r="AJ56" i="7"/>
  <c r="AJ40" i="7"/>
  <c r="AR53" i="7"/>
  <c r="AJ42" i="7"/>
  <c r="AR43" i="7"/>
  <c r="AN42" i="7"/>
  <c r="AO49" i="7"/>
  <c r="AP49" i="7"/>
  <c r="AO52" i="7"/>
  <c r="AO55" i="7"/>
  <c r="AZ55" i="7"/>
  <c r="AP55" i="7"/>
  <c r="V58" i="7"/>
  <c r="AX58" i="7"/>
  <c r="AR42" i="7"/>
  <c r="V46" i="7"/>
  <c r="AX46" i="7"/>
  <c r="AX47" i="7"/>
  <c r="V47" i="7"/>
  <c r="AR58" i="7"/>
  <c r="AS58" i="7"/>
  <c r="V56" i="7"/>
  <c r="AX56" i="7"/>
  <c r="V42" i="7"/>
  <c r="AX42" i="7"/>
  <c r="AG49" i="7"/>
  <c r="AM49" i="7"/>
  <c r="AN49" i="7"/>
  <c r="AI49" i="7"/>
  <c r="V51" i="7"/>
  <c r="AX51" i="7"/>
  <c r="U40" i="7"/>
  <c r="AK39" i="7"/>
  <c r="AK48" i="7"/>
  <c r="AL56" i="7"/>
  <c r="AN53" i="7"/>
  <c r="AJ46" i="7"/>
  <c r="AR48" i="7"/>
  <c r="AJ52" i="7"/>
  <c r="AR40" i="7"/>
  <c r="T42" i="7"/>
  <c r="AJ44" i="7"/>
  <c r="U50" i="7"/>
  <c r="AW50" i="7"/>
  <c r="T50" i="7"/>
  <c r="AO54" i="7"/>
  <c r="AP54" i="7"/>
  <c r="AO57" i="7"/>
  <c r="AP57" i="7"/>
  <c r="U58" i="7"/>
  <c r="AW58" i="7"/>
  <c r="T58" i="7"/>
  <c r="AR52" i="7"/>
  <c r="AR46" i="7"/>
  <c r="AS46" i="7"/>
  <c r="AX53" i="7"/>
  <c r="V53" i="7"/>
  <c r="AX39" i="7"/>
  <c r="V39" i="7"/>
  <c r="AO45" i="7"/>
  <c r="V54" i="7"/>
  <c r="AX54" i="7"/>
  <c r="AI47" i="7"/>
  <c r="AM47" i="7"/>
  <c r="AN47" i="7"/>
  <c r="AG47" i="7"/>
  <c r="AR54" i="7"/>
  <c r="AS54" i="7"/>
  <c r="AW48" i="7"/>
  <c r="U48" i="7"/>
  <c r="T48" i="7"/>
  <c r="AG41" i="7"/>
  <c r="AM41" i="7"/>
  <c r="AN41" i="7"/>
  <c r="AI41" i="7"/>
  <c r="AK44" i="7"/>
  <c r="U44" i="7"/>
  <c r="AL50" i="7"/>
  <c r="U39" i="7"/>
  <c r="AN55" i="7"/>
  <c r="AN51" i="7"/>
  <c r="AY51" i="7"/>
  <c r="AJ50" i="7"/>
  <c r="AG48" i="7"/>
  <c r="AN50" i="7"/>
  <c r="AY50" i="7"/>
  <c r="AN56" i="7"/>
  <c r="T46" i="7"/>
  <c r="AX48" i="7"/>
  <c r="V48" i="7"/>
  <c r="AS48" i="7"/>
  <c r="AO56" i="7"/>
  <c r="AP56" i="7"/>
  <c r="AO47" i="7"/>
  <c r="AP47" i="7"/>
  <c r="AI39" i="7"/>
  <c r="AG39" i="7"/>
  <c r="AM39" i="7"/>
  <c r="AR49" i="7"/>
  <c r="AS49" i="7"/>
  <c r="AX43" i="7"/>
  <c r="AS43" i="7"/>
  <c r="V43" i="7"/>
  <c r="AS57" i="7"/>
  <c r="AX57" i="7"/>
  <c r="V57" i="7"/>
  <c r="AR41" i="7"/>
  <c r="AS41" i="7"/>
  <c r="AR47" i="7"/>
  <c r="AS47" i="7"/>
  <c r="AN54" i="7"/>
  <c r="AN57" i="7"/>
  <c r="AL39" i="7"/>
  <c r="AL52" i="7"/>
  <c r="AP52" i="7"/>
  <c r="AK42" i="7"/>
  <c r="AR56" i="7"/>
  <c r="AS56" i="7"/>
  <c r="AN52" i="7"/>
  <c r="AY52" i="7"/>
  <c r="AN40" i="7"/>
  <c r="U52" i="7"/>
  <c r="AO39" i="7"/>
  <c r="AP39" i="7"/>
  <c r="AP50" i="7"/>
  <c r="AO50" i="7"/>
  <c r="AO46" i="7"/>
  <c r="AP46" i="7"/>
  <c r="AS39" i="7"/>
  <c r="AS53" i="7"/>
  <c r="AS55" i="7"/>
  <c r="AO43" i="7"/>
  <c r="AP43" i="7"/>
  <c r="AN39" i="7"/>
  <c r="AS52" i="7"/>
  <c r="AS50" i="7"/>
  <c r="AN43" i="7"/>
  <c r="AO48" i="7"/>
  <c r="AZ48" i="7"/>
  <c r="AP48" i="7"/>
  <c r="BA48" i="7"/>
  <c r="AS42" i="7"/>
  <c r="AS44" i="7"/>
  <c r="AP42" i="7"/>
  <c r="AO42" i="7"/>
  <c r="AP44" i="7"/>
  <c r="AO44" i="7"/>
  <c r="AO41" i="7"/>
  <c r="AP41" i="7"/>
  <c r="AS51" i="7"/>
  <c r="P32" i="1"/>
  <c r="S32" i="1" s="1"/>
  <c r="Y32" i="1" s="1"/>
  <c r="AB25" i="7"/>
  <c r="AD16" i="7"/>
  <c r="AJ16" i="7" s="1"/>
  <c r="AH16" i="7"/>
  <c r="R51" i="7"/>
  <c r="AB49" i="7"/>
  <c r="O49" i="7"/>
  <c r="AF16" i="7"/>
  <c r="AI16" i="7"/>
  <c r="Z71" i="7"/>
  <c r="AZ66" i="7"/>
  <c r="AP66" i="7"/>
  <c r="AC66" i="7"/>
  <c r="N66" i="7"/>
  <c r="AV65" i="7"/>
  <c r="AG65" i="7"/>
  <c r="AY62" i="7"/>
  <c r="AH62" i="7"/>
  <c r="T60" i="7"/>
  <c r="O55" i="7"/>
  <c r="Z51" i="7"/>
  <c r="AU49" i="7"/>
  <c r="AA47" i="7"/>
  <c r="Z38" i="7"/>
  <c r="Z29" i="7"/>
  <c r="O25" i="7"/>
  <c r="Z15" i="7"/>
  <c r="AA13" i="7"/>
  <c r="AB12" i="7"/>
  <c r="N12" i="7"/>
  <c r="Q12" i="7" s="1"/>
  <c r="AA9" i="7"/>
  <c r="AV73" i="7"/>
  <c r="AG73" i="7"/>
  <c r="AG71" i="7"/>
  <c r="AB71" i="7"/>
  <c r="AY70" i="7"/>
  <c r="AH70" i="7"/>
  <c r="T68" i="7"/>
  <c r="AF66" i="7"/>
  <c r="R66" i="7"/>
  <c r="AK65" i="7"/>
  <c r="U65" i="7"/>
  <c r="AZ64" i="7"/>
  <c r="AO64" i="7"/>
  <c r="AJ64" i="7"/>
  <c r="AD64" i="7"/>
  <c r="T64" i="7"/>
  <c r="AN62" i="7"/>
  <c r="AZ61" i="7"/>
  <c r="AO61" i="7"/>
  <c r="AJ61" i="7"/>
  <c r="AD61" i="7"/>
  <c r="T61" i="7"/>
  <c r="N61" i="7"/>
  <c r="AD60" i="7"/>
  <c r="O59" i="7"/>
  <c r="AA55" i="7"/>
  <c r="AH53" i="7"/>
  <c r="Z25" i="7"/>
  <c r="AU15" i="7"/>
  <c r="AU12" i="7"/>
  <c r="AB32" i="7"/>
  <c r="AA19" i="7"/>
  <c r="O19" i="7"/>
  <c r="AU13" i="7"/>
  <c r="O13" i="7"/>
  <c r="AU11" i="7"/>
  <c r="AB10" i="7"/>
  <c r="AF10" i="7" s="1"/>
  <c r="Z32" i="7"/>
  <c r="AF32" i="7" s="1"/>
  <c r="AU19" i="7"/>
  <c r="Z19" i="7"/>
  <c r="O11" i="7"/>
  <c r="AW37" i="7"/>
  <c r="AG37" i="7"/>
  <c r="AI37" i="7"/>
  <c r="AM37" i="7"/>
  <c r="BA73" i="7"/>
  <c r="AW73" i="7"/>
  <c r="AP73" i="7"/>
  <c r="AL73" i="7"/>
  <c r="AH73" i="7"/>
  <c r="AD73" i="7"/>
  <c r="Z73" i="7"/>
  <c r="V73" i="7"/>
  <c r="R73" i="7"/>
  <c r="N73" i="7"/>
  <c r="AR71" i="7"/>
  <c r="AM71" i="7"/>
  <c r="AX69" i="7"/>
  <c r="AR69" i="7"/>
  <c r="AM69" i="7"/>
  <c r="AI69" i="7"/>
  <c r="AE69" i="7"/>
  <c r="AA69" i="7"/>
  <c r="S69" i="7"/>
  <c r="AY68" i="7"/>
  <c r="AU68" i="7"/>
  <c r="AH68" i="7"/>
  <c r="X68" i="7"/>
  <c r="AY67" i="7"/>
  <c r="AS67" i="7"/>
  <c r="AN67" i="7"/>
  <c r="AJ67" i="7"/>
  <c r="AF67" i="7"/>
  <c r="AB67" i="7"/>
  <c r="X67" i="7"/>
  <c r="T67" i="7"/>
  <c r="BA66" i="7"/>
  <c r="AU66" i="7"/>
  <c r="AK66" i="7"/>
  <c r="AD66" i="7"/>
  <c r="X66" i="7"/>
  <c r="BA65" i="7"/>
  <c r="AW65" i="7"/>
  <c r="AP65" i="7"/>
  <c r="AL65" i="7"/>
  <c r="AH65" i="7"/>
  <c r="AD65" i="7"/>
  <c r="Z65" i="7"/>
  <c r="V65" i="7"/>
  <c r="R65" i="7"/>
  <c r="N65" i="7"/>
  <c r="AX63" i="7"/>
  <c r="AR63" i="7"/>
  <c r="AX61" i="7"/>
  <c r="AR61" i="7"/>
  <c r="AM61" i="7"/>
  <c r="AI61" i="7"/>
  <c r="AE61" i="7"/>
  <c r="AA61" i="7"/>
  <c r="S61" i="7"/>
  <c r="AY60" i="7"/>
  <c r="AU60" i="7"/>
  <c r="AH60" i="7"/>
  <c r="X60" i="7"/>
  <c r="AF59" i="7"/>
  <c r="X59" i="7"/>
  <c r="T59" i="7"/>
  <c r="AA57" i="7"/>
  <c r="Z57" i="7"/>
  <c r="AE53" i="7"/>
  <c r="O53" i="7"/>
  <c r="AU44" i="7"/>
  <c r="AU43" i="7"/>
  <c r="S41" i="7"/>
  <c r="AU39" i="7"/>
  <c r="AX73" i="7"/>
  <c r="AR73" i="7"/>
  <c r="AM73" i="7"/>
  <c r="AI73" i="7"/>
  <c r="AE73" i="7"/>
  <c r="AA73" i="7"/>
  <c r="S73" i="7"/>
  <c r="O73" i="7"/>
  <c r="AZ68" i="7"/>
  <c r="AJ68" i="7"/>
  <c r="N68" i="7"/>
  <c r="AX65" i="7"/>
  <c r="AR65" i="7"/>
  <c r="AM65" i="7"/>
  <c r="AI65" i="7"/>
  <c r="AE65" i="7"/>
  <c r="AA65" i="7"/>
  <c r="S65" i="7"/>
  <c r="O65" i="7"/>
  <c r="AZ60" i="7"/>
  <c r="AJ60" i="7"/>
  <c r="N60" i="7"/>
  <c r="AJ53" i="7"/>
  <c r="AA41" i="7"/>
  <c r="Z27" i="7"/>
  <c r="Z21" i="7"/>
  <c r="O21" i="7"/>
  <c r="X21" i="7"/>
  <c r="Z17" i="7"/>
  <c r="AY73" i="7"/>
  <c r="AS73" i="7"/>
  <c r="AN73" i="7"/>
  <c r="AJ73" i="7"/>
  <c r="AF73" i="7"/>
  <c r="AB73" i="7"/>
  <c r="X73" i="7"/>
  <c r="T73" i="7"/>
  <c r="AW68" i="7"/>
  <c r="AN68" i="7"/>
  <c r="AC68" i="7"/>
  <c r="BA67" i="7"/>
  <c r="AW67" i="7"/>
  <c r="AP67" i="7"/>
  <c r="AL67" i="7"/>
  <c r="AH67" i="7"/>
  <c r="AD67" i="7"/>
  <c r="Z67" i="7"/>
  <c r="V67" i="7"/>
  <c r="R67" i="7"/>
  <c r="AY66" i="7"/>
  <c r="AO66" i="7"/>
  <c r="AH66" i="7"/>
  <c r="Z66" i="7"/>
  <c r="T66" i="7"/>
  <c r="AY65" i="7"/>
  <c r="AS65" i="7"/>
  <c r="AN65" i="7"/>
  <c r="AJ65" i="7"/>
  <c r="AF65" i="7"/>
  <c r="AB65" i="7"/>
  <c r="X65" i="7"/>
  <c r="T65" i="7"/>
  <c r="AW60" i="7"/>
  <c r="AN60" i="7"/>
  <c r="AC60" i="7"/>
  <c r="AH59" i="7"/>
  <c r="AD59" i="7"/>
  <c r="AU53" i="7"/>
  <c r="AD53" i="7"/>
  <c r="O44" i="7"/>
  <c r="AU40" i="7"/>
  <c r="AA36" i="7"/>
  <c r="AU21" i="7"/>
  <c r="AA21" i="7"/>
  <c r="AA11" i="7"/>
  <c r="AD55" i="7"/>
  <c r="AE55" i="7"/>
  <c r="N55" i="7"/>
  <c r="AU51" i="7"/>
  <c r="AB51" i="7"/>
  <c r="AA51" i="7"/>
  <c r="X51" i="7"/>
  <c r="N51" i="7"/>
  <c r="N48" i="7"/>
  <c r="AA38" i="7"/>
  <c r="N38" i="7"/>
  <c r="R38" i="7"/>
  <c r="X38" i="7"/>
  <c r="AU36" i="7"/>
  <c r="N36" i="7"/>
  <c r="AB33" i="7"/>
  <c r="O33" i="7"/>
  <c r="R33" i="7"/>
  <c r="X33" i="7" s="1"/>
  <c r="AB29" i="7"/>
  <c r="AD29" i="7" s="1"/>
  <c r="AH29" i="7" s="1"/>
  <c r="AA29" i="7"/>
  <c r="N29" i="7"/>
  <c r="N28" i="7"/>
  <c r="Q28" i="7" s="1"/>
  <c r="AB27" i="7"/>
  <c r="AC27" i="7" s="1"/>
  <c r="N27" i="7"/>
  <c r="AA23" i="7"/>
  <c r="N23" i="7"/>
  <c r="N17" i="7"/>
  <c r="AH55" i="7"/>
  <c r="AJ55" i="7"/>
  <c r="S55" i="7"/>
  <c r="R55" i="7"/>
  <c r="S53" i="7"/>
  <c r="N53" i="7"/>
  <c r="AW51" i="7"/>
  <c r="AE51" i="7"/>
  <c r="AD51" i="7"/>
  <c r="AB47" i="7"/>
  <c r="O47" i="7"/>
  <c r="Z44" i="7"/>
  <c r="N44" i="7"/>
  <c r="AB41" i="7"/>
  <c r="O41" i="7"/>
  <c r="AU38" i="7"/>
  <c r="O36" i="7"/>
  <c r="AU33" i="7"/>
  <c r="AU29" i="7"/>
  <c r="Z28" i="7"/>
  <c r="AA27" i="7"/>
  <c r="AB23" i="7"/>
  <c r="O23" i="7"/>
  <c r="AA17" i="7"/>
  <c r="AE17" i="7" s="1"/>
  <c r="AB15" i="7"/>
  <c r="N15" i="7"/>
  <c r="Z13" i="7"/>
  <c r="AD13" i="7"/>
  <c r="AH13" i="7" s="1"/>
  <c r="R11" i="7"/>
  <c r="X11" i="7"/>
  <c r="AU9" i="7"/>
  <c r="O9" i="7"/>
  <c r="Q9" i="7"/>
  <c r="Z55" i="7"/>
  <c r="AB53" i="7"/>
  <c r="AA53" i="7"/>
  <c r="Z53" i="7"/>
  <c r="AJ51" i="7"/>
  <c r="AH51" i="7"/>
  <c r="S51" i="7"/>
  <c r="AU47" i="7"/>
  <c r="AA44" i="7"/>
  <c r="AU41" i="7"/>
  <c r="AU32" i="7"/>
  <c r="AB31" i="7"/>
  <c r="AA31" i="7"/>
  <c r="AC31" i="7" s="1"/>
  <c r="Z31" i="7"/>
  <c r="AU27" i="7"/>
  <c r="AA25" i="7"/>
  <c r="AE25" i="7" s="1"/>
  <c r="AU23" i="7"/>
  <c r="Z23" i="7"/>
  <c r="AE23" i="7" s="1"/>
  <c r="AD23" i="7"/>
  <c r="AB21" i="7"/>
  <c r="AD21" i="7" s="1"/>
  <c r="AH21" i="7" s="1"/>
  <c r="AU17" i="7"/>
  <c r="AA15" i="7"/>
  <c r="AB13" i="7"/>
  <c r="AA12" i="7"/>
  <c r="AE12" i="7" s="1"/>
  <c r="Z11" i="7"/>
  <c r="AD11" i="7" s="1"/>
  <c r="AH11" i="7" s="1"/>
  <c r="R36" i="7"/>
  <c r="X36" i="7"/>
  <c r="R35" i="7"/>
  <c r="AF38" i="7"/>
  <c r="AE38" i="7"/>
  <c r="AC38" i="7"/>
  <c r="AD38" i="7"/>
  <c r="AH38" i="7"/>
  <c r="AW38" i="7"/>
  <c r="AE36" i="7"/>
  <c r="AJ36" i="7"/>
  <c r="AD36" i="7"/>
  <c r="AH36" i="7"/>
  <c r="AC36" i="7"/>
  <c r="AF36" i="7"/>
  <c r="AN35" i="7"/>
  <c r="AK35" i="7"/>
  <c r="AK37" i="7"/>
  <c r="AW36" i="7"/>
  <c r="AJ38" i="7"/>
  <c r="AM36" i="7"/>
  <c r="AI36" i="7"/>
  <c r="AG36" i="7"/>
  <c r="AI38" i="7"/>
  <c r="AG38" i="7"/>
  <c r="AM38" i="7"/>
  <c r="AO37" i="7"/>
  <c r="AZ37" i="7"/>
  <c r="AR36" i="7"/>
  <c r="AV36" i="7"/>
  <c r="V36" i="7"/>
  <c r="AX36" i="7"/>
  <c r="V38" i="7"/>
  <c r="AX38" i="7"/>
  <c r="AR38" i="7"/>
  <c r="AV38" i="7"/>
  <c r="U38" i="7"/>
  <c r="T38" i="7"/>
  <c r="AS36" i="7"/>
  <c r="V37" i="7"/>
  <c r="AX37" i="7"/>
  <c r="AZ35" i="7"/>
  <c r="AP35" i="7"/>
  <c r="U36" i="7"/>
  <c r="AK38" i="7"/>
  <c r="AK36" i="7"/>
  <c r="T37" i="7"/>
  <c r="AR37" i="7"/>
  <c r="AS37" i="7"/>
  <c r="U37" i="7"/>
  <c r="AV37" i="7"/>
  <c r="T36" i="7"/>
  <c r="AL38" i="7"/>
  <c r="AN38" i="7"/>
  <c r="AY38" i="7"/>
  <c r="AL36" i="7"/>
  <c r="AN36" i="7"/>
  <c r="AY36" i="7"/>
  <c r="AL37" i="7"/>
  <c r="AN37" i="7"/>
  <c r="AY37" i="7"/>
  <c r="AO36" i="7"/>
  <c r="AZ36" i="7"/>
  <c r="AP36" i="7"/>
  <c r="BA36" i="7"/>
  <c r="AP38" i="7"/>
  <c r="BA38" i="7"/>
  <c r="AO38" i="7"/>
  <c r="AZ38" i="7"/>
  <c r="AS38" i="7"/>
  <c r="AP37" i="7"/>
  <c r="BA37" i="7"/>
  <c r="AE33" i="7"/>
  <c r="AE15" i="7"/>
  <c r="R26" i="7"/>
  <c r="X26" i="7"/>
  <c r="BA97" i="7"/>
  <c r="AU97" i="7"/>
  <c r="AM97" i="7"/>
  <c r="AH97" i="7"/>
  <c r="AC97" i="7"/>
  <c r="V97" i="7"/>
  <c r="AZ96" i="7"/>
  <c r="AV96" i="7"/>
  <c r="AP96" i="7"/>
  <c r="AL96" i="7"/>
  <c r="AH96" i="7"/>
  <c r="AD96" i="7"/>
  <c r="Z96" i="7"/>
  <c r="U96" i="7"/>
  <c r="AZ95" i="7"/>
  <c r="AR95" i="7"/>
  <c r="AI95" i="7"/>
  <c r="AA95" i="7"/>
  <c r="R95" i="7"/>
  <c r="BA93" i="7"/>
  <c r="AU93" i="7"/>
  <c r="AM93" i="7"/>
  <c r="AH93" i="7"/>
  <c r="AC93" i="7"/>
  <c r="V93" i="7"/>
  <c r="AZ92" i="7"/>
  <c r="AL92" i="7"/>
  <c r="AA92" i="7"/>
  <c r="N92" i="7"/>
  <c r="AX90" i="7"/>
  <c r="AS90" i="7"/>
  <c r="AN90" i="7"/>
  <c r="AJ90" i="7"/>
  <c r="AF90" i="7"/>
  <c r="AB90" i="7"/>
  <c r="S90" i="7"/>
  <c r="N90" i="7"/>
  <c r="AW89" i="7"/>
  <c r="AN89" i="7"/>
  <c r="AG89" i="7"/>
  <c r="X89" i="7"/>
  <c r="R89" i="7"/>
  <c r="AX86" i="7"/>
  <c r="AS86" i="7"/>
  <c r="AN86" i="7"/>
  <c r="AJ86" i="7"/>
  <c r="AF86" i="7"/>
  <c r="AB86" i="7"/>
  <c r="S86" i="7"/>
  <c r="N86" i="7"/>
  <c r="AY85" i="7"/>
  <c r="AS85" i="7"/>
  <c r="AM85" i="7"/>
  <c r="AG85" i="7"/>
  <c r="AB85" i="7"/>
  <c r="V85" i="7"/>
  <c r="O85" i="7"/>
  <c r="AY84" i="7"/>
  <c r="AN84" i="7"/>
  <c r="AH84" i="7"/>
  <c r="Z84" i="7"/>
  <c r="R84" i="7"/>
  <c r="AP83" i="7"/>
  <c r="T83" i="7"/>
  <c r="AY82" i="7"/>
  <c r="AU82" i="7"/>
  <c r="AO82" i="7"/>
  <c r="AK82" i="7"/>
  <c r="AG82" i="7"/>
  <c r="AC82" i="7"/>
  <c r="X82" i="7"/>
  <c r="T82" i="7"/>
  <c r="O82" i="7"/>
  <c r="AZ81" i="7"/>
  <c r="AU81" i="7"/>
  <c r="AN81" i="7"/>
  <c r="AI81" i="7"/>
  <c r="AC81" i="7"/>
  <c r="R81" i="7"/>
  <c r="AX78" i="7"/>
  <c r="AS78" i="7"/>
  <c r="AN78" i="7"/>
  <c r="AJ78" i="7"/>
  <c r="AF78" i="7"/>
  <c r="AB78" i="7"/>
  <c r="S78" i="7"/>
  <c r="N78" i="7"/>
  <c r="AY77" i="7"/>
  <c r="AS77" i="7"/>
  <c r="AM77" i="7"/>
  <c r="AG77" i="7"/>
  <c r="AB77" i="7"/>
  <c r="V77" i="7"/>
  <c r="O77" i="7"/>
  <c r="AP75" i="7"/>
  <c r="AH75" i="7"/>
  <c r="Z75" i="7"/>
  <c r="AY74" i="7"/>
  <c r="AU74" i="7"/>
  <c r="AO74" i="7"/>
  <c r="AK74" i="7"/>
  <c r="AG74" i="7"/>
  <c r="AC74" i="7"/>
  <c r="X74" i="7"/>
  <c r="T74" i="7"/>
  <c r="O74" i="7"/>
  <c r="AC70" i="7"/>
  <c r="AY69" i="7"/>
  <c r="AS69" i="7"/>
  <c r="AL69" i="7"/>
  <c r="AG69" i="7"/>
  <c r="AB69" i="7"/>
  <c r="U69" i="7"/>
  <c r="N69" i="7"/>
  <c r="AD68" i="7"/>
  <c r="AX67" i="7"/>
  <c r="AI67" i="7"/>
  <c r="U66" i="7"/>
  <c r="AU65" i="7"/>
  <c r="BA64" i="7"/>
  <c r="AS64" i="7"/>
  <c r="AH64" i="7"/>
  <c r="X64" i="7"/>
  <c r="AH63" i="7"/>
  <c r="V63" i="7"/>
  <c r="AB61" i="7"/>
  <c r="AU58" i="7"/>
  <c r="AB55" i="7"/>
  <c r="N46" i="7"/>
  <c r="AU42" i="7"/>
  <c r="O39" i="7"/>
  <c r="AD15" i="7"/>
  <c r="AH15" i="7" s="1"/>
  <c r="AW97" i="7"/>
  <c r="AO97" i="7"/>
  <c r="AI97" i="7"/>
  <c r="AD97" i="7"/>
  <c r="X97" i="7"/>
  <c r="R97" i="7"/>
  <c r="AS95" i="7"/>
  <c r="AJ95" i="7"/>
  <c r="AB95" i="7"/>
  <c r="S95" i="7"/>
  <c r="AW93" i="7"/>
  <c r="AO93" i="7"/>
  <c r="AI93" i="7"/>
  <c r="AD93" i="7"/>
  <c r="X93" i="7"/>
  <c r="R93" i="7"/>
  <c r="AY89" i="7"/>
  <c r="AO89" i="7"/>
  <c r="AI89" i="7"/>
  <c r="AB89" i="7"/>
  <c r="S89" i="7"/>
  <c r="AZ85" i="7"/>
  <c r="AU85" i="7"/>
  <c r="AN85" i="7"/>
  <c r="AI85" i="7"/>
  <c r="AC85" i="7"/>
  <c r="R85" i="7"/>
  <c r="AZ84" i="7"/>
  <c r="AP84" i="7"/>
  <c r="AI84" i="7"/>
  <c r="AB84" i="7"/>
  <c r="S84" i="7"/>
  <c r="AZ82" i="7"/>
  <c r="AV82" i="7"/>
  <c r="AP82" i="7"/>
  <c r="AL82" i="7"/>
  <c r="AH82" i="7"/>
  <c r="AD82" i="7"/>
  <c r="Z82" i="7"/>
  <c r="U82" i="7"/>
  <c r="AZ77" i="7"/>
  <c r="AU77" i="7"/>
  <c r="AN77" i="7"/>
  <c r="AI77" i="7"/>
  <c r="AC77" i="7"/>
  <c r="R77" i="7"/>
  <c r="AZ74" i="7"/>
  <c r="AV74" i="7"/>
  <c r="AP74" i="7"/>
  <c r="AL74" i="7"/>
  <c r="AH74" i="7"/>
  <c r="AD74" i="7"/>
  <c r="Z74" i="7"/>
  <c r="U74" i="7"/>
  <c r="AZ69" i="7"/>
  <c r="AU69" i="7"/>
  <c r="AN69" i="7"/>
  <c r="AH69" i="7"/>
  <c r="AC69" i="7"/>
  <c r="V69" i="7"/>
  <c r="AO68" i="7"/>
  <c r="AN66" i="7"/>
  <c r="AH61" i="7"/>
  <c r="AU55" i="7"/>
  <c r="AA46" i="7"/>
  <c r="X14" i="7"/>
  <c r="R18" i="7"/>
  <c r="X18" i="7" s="1"/>
  <c r="AE16" i="7"/>
  <c r="AD22" i="7"/>
  <c r="AH22" i="7" s="1"/>
  <c r="AM98" i="7"/>
  <c r="AY97" i="7"/>
  <c r="AR97" i="7"/>
  <c r="AL97" i="7"/>
  <c r="AG97" i="7"/>
  <c r="AA97" i="7"/>
  <c r="U97" i="7"/>
  <c r="O97" i="7"/>
  <c r="AY96" i="7"/>
  <c r="AU96" i="7"/>
  <c r="AO96" i="7"/>
  <c r="AK96" i="7"/>
  <c r="AG96" i="7"/>
  <c r="AC96" i="7"/>
  <c r="X96" i="7"/>
  <c r="T96" i="7"/>
  <c r="AY95" i="7"/>
  <c r="AN95" i="7"/>
  <c r="AF95" i="7"/>
  <c r="N95" i="7"/>
  <c r="AY93" i="7"/>
  <c r="AR93" i="7"/>
  <c r="AL93" i="7"/>
  <c r="AG93" i="7"/>
  <c r="AA93" i="7"/>
  <c r="U93" i="7"/>
  <c r="O93" i="7"/>
  <c r="AU89" i="7"/>
  <c r="AM89" i="7"/>
  <c r="AE89" i="7"/>
  <c r="O89" i="7"/>
  <c r="AP88" i="7"/>
  <c r="AE88" i="7"/>
  <c r="AW85" i="7"/>
  <c r="AR85" i="7"/>
  <c r="AK85" i="7"/>
  <c r="AF85" i="7"/>
  <c r="AA85" i="7"/>
  <c r="T85" i="7"/>
  <c r="AX84" i="7"/>
  <c r="AM84" i="7"/>
  <c r="AE84" i="7"/>
  <c r="AX82" i="7"/>
  <c r="AS82" i="7"/>
  <c r="AN82" i="7"/>
  <c r="AJ82" i="7"/>
  <c r="AF82" i="7"/>
  <c r="AB82" i="7"/>
  <c r="S82" i="7"/>
  <c r="N82" i="7"/>
  <c r="AY81" i="7"/>
  <c r="AS81" i="7"/>
  <c r="AM81" i="7"/>
  <c r="AG81" i="7"/>
  <c r="AB81" i="7"/>
  <c r="V81" i="7"/>
  <c r="O81" i="7"/>
  <c r="AW77" i="7"/>
  <c r="AR77" i="7"/>
  <c r="AK77" i="7"/>
  <c r="AF77" i="7"/>
  <c r="AA77" i="7"/>
  <c r="T77" i="7"/>
  <c r="N77" i="7"/>
  <c r="AX74" i="7"/>
  <c r="AS74" i="7"/>
  <c r="AN74" i="7"/>
  <c r="AJ74" i="7"/>
  <c r="AF74" i="7"/>
  <c r="AB74" i="7"/>
  <c r="S74" i="7"/>
  <c r="N74" i="7"/>
  <c r="AW69" i="7"/>
  <c r="AP69" i="7"/>
  <c r="AK69" i="7"/>
  <c r="AF69" i="7"/>
  <c r="Z69" i="7"/>
  <c r="T69" i="7"/>
  <c r="AO63" i="7"/>
  <c r="AW61" i="7"/>
  <c r="U61" i="7"/>
  <c r="AU59" i="7"/>
  <c r="X55" i="7"/>
  <c r="O46" i="7"/>
  <c r="AG16" i="7"/>
  <c r="P96" i="7"/>
  <c r="Y96" i="7"/>
  <c r="N91" i="7"/>
  <c r="S91" i="7"/>
  <c r="AB91" i="7"/>
  <c r="AF91" i="7"/>
  <c r="AJ91" i="7"/>
  <c r="AN91" i="7"/>
  <c r="AS91" i="7"/>
  <c r="AV91" i="7"/>
  <c r="AZ91" i="7"/>
  <c r="Y91" i="7"/>
  <c r="P91" i="7"/>
  <c r="U85" i="7"/>
  <c r="Z85" i="7"/>
  <c r="AD85" i="7"/>
  <c r="AH85" i="7"/>
  <c r="AL85" i="7"/>
  <c r="AP85" i="7"/>
  <c r="AX85" i="7"/>
  <c r="Y85" i="7"/>
  <c r="P85" i="7"/>
  <c r="AF22" i="7"/>
  <c r="AU98" i="7"/>
  <c r="AK98" i="7"/>
  <c r="AZ97" i="7"/>
  <c r="AV97" i="7"/>
  <c r="AS97" i="7"/>
  <c r="AN97" i="7"/>
  <c r="AJ97" i="7"/>
  <c r="AF97" i="7"/>
  <c r="AB97" i="7"/>
  <c r="S97" i="7"/>
  <c r="AX95" i="7"/>
  <c r="AP95" i="7"/>
  <c r="AL95" i="7"/>
  <c r="AH95" i="7"/>
  <c r="AD95" i="7"/>
  <c r="Z95" i="7"/>
  <c r="U95" i="7"/>
  <c r="AO94" i="7"/>
  <c r="AK94" i="7"/>
  <c r="O94" i="7"/>
  <c r="AZ93" i="7"/>
  <c r="AV93" i="7"/>
  <c r="AS93" i="7"/>
  <c r="AN93" i="7"/>
  <c r="AJ93" i="7"/>
  <c r="AF93" i="7"/>
  <c r="AB93" i="7"/>
  <c r="S93" i="7"/>
  <c r="AY92" i="7"/>
  <c r="AN92" i="7"/>
  <c r="AI92" i="7"/>
  <c r="AD92" i="7"/>
  <c r="BA89" i="7"/>
  <c r="AV89" i="7"/>
  <c r="AR89" i="7"/>
  <c r="AK89" i="7"/>
  <c r="AF89" i="7"/>
  <c r="AA89" i="7"/>
  <c r="T89" i="7"/>
  <c r="AB88" i="7"/>
  <c r="AY87" i="7"/>
  <c r="AO87" i="7"/>
  <c r="AI87" i="7"/>
  <c r="AD87" i="7"/>
  <c r="X87" i="7"/>
  <c r="AV84" i="7"/>
  <c r="AR84" i="7"/>
  <c r="AL84" i="7"/>
  <c r="AF84" i="7"/>
  <c r="AA84" i="7"/>
  <c r="U84" i="7"/>
  <c r="AX83" i="7"/>
  <c r="AU83" i="7"/>
  <c r="AM83" i="7"/>
  <c r="AH83" i="7"/>
  <c r="AC83" i="7"/>
  <c r="V83" i="7"/>
  <c r="AZ80" i="7"/>
  <c r="AS80" i="7"/>
  <c r="AJ80" i="7"/>
  <c r="AB80" i="7"/>
  <c r="AY79" i="7"/>
  <c r="AR79" i="7"/>
  <c r="AI79" i="7"/>
  <c r="AA79" i="7"/>
  <c r="R79" i="7"/>
  <c r="Y95" i="7"/>
  <c r="P95" i="7"/>
  <c r="P92" i="7"/>
  <c r="O92" i="7"/>
  <c r="T92" i="7"/>
  <c r="X92" i="7"/>
  <c r="AC92" i="7"/>
  <c r="AG92" i="7"/>
  <c r="AK92" i="7"/>
  <c r="AO92" i="7"/>
  <c r="AU92" i="7"/>
  <c r="AW92" i="7"/>
  <c r="Y92" i="7"/>
  <c r="N87" i="7"/>
  <c r="S87" i="7"/>
  <c r="AB87" i="7"/>
  <c r="AF87" i="7"/>
  <c r="AJ87" i="7"/>
  <c r="AN87" i="7"/>
  <c r="AS87" i="7"/>
  <c r="AV87" i="7"/>
  <c r="AZ87" i="7"/>
  <c r="Y87" i="7"/>
  <c r="P87" i="7"/>
  <c r="P80" i="7"/>
  <c r="O80" i="7"/>
  <c r="T80" i="7"/>
  <c r="X80" i="7"/>
  <c r="AC80" i="7"/>
  <c r="AG80" i="7"/>
  <c r="AK80" i="7"/>
  <c r="AO80" i="7"/>
  <c r="AU80" i="7"/>
  <c r="AW80" i="7"/>
  <c r="BA80" i="7"/>
  <c r="Y80" i="7"/>
  <c r="U80" i="7"/>
  <c r="Z80" i="7"/>
  <c r="AD80" i="7"/>
  <c r="AH80" i="7"/>
  <c r="AL80" i="7"/>
  <c r="AP80" i="7"/>
  <c r="AX80" i="7"/>
  <c r="AC12" i="7"/>
  <c r="AF15" i="7"/>
  <c r="AI15" i="7" s="1"/>
  <c r="AC15" i="7"/>
  <c r="AP98" i="7"/>
  <c r="AL98" i="7"/>
  <c r="AX94" i="7"/>
  <c r="AL94" i="7"/>
  <c r="AH94" i="7"/>
  <c r="AY83" i="7"/>
  <c r="AO83" i="7"/>
  <c r="AI83" i="7"/>
  <c r="AD83" i="7"/>
  <c r="X83" i="7"/>
  <c r="AL79" i="7"/>
  <c r="AD79" i="7"/>
  <c r="Y98" i="7"/>
  <c r="Y94" i="7"/>
  <c r="P94" i="7"/>
  <c r="AC88" i="7"/>
  <c r="AK88" i="7"/>
  <c r="AO88" i="7"/>
  <c r="N83" i="7"/>
  <c r="S83" i="7"/>
  <c r="AB83" i="7"/>
  <c r="AF83" i="7"/>
  <c r="AJ83" i="7"/>
  <c r="AN83" i="7"/>
  <c r="AS83" i="7"/>
  <c r="AV83" i="7"/>
  <c r="AZ83" i="7"/>
  <c r="Y83" i="7"/>
  <c r="P83" i="7"/>
  <c r="N79" i="7"/>
  <c r="S79" i="7"/>
  <c r="AB79" i="7"/>
  <c r="AF79" i="7"/>
  <c r="AJ79" i="7"/>
  <c r="AN79" i="7"/>
  <c r="AS79" i="7"/>
  <c r="AV79" i="7"/>
  <c r="AZ79" i="7"/>
  <c r="Y79" i="7"/>
  <c r="P79" i="7"/>
  <c r="O79" i="7"/>
  <c r="T79" i="7"/>
  <c r="X79" i="7"/>
  <c r="AC79" i="7"/>
  <c r="AG79" i="7"/>
  <c r="AK79" i="7"/>
  <c r="AO79" i="7"/>
  <c r="AU79" i="7"/>
  <c r="AW79" i="7"/>
  <c r="BA79" i="7"/>
  <c r="AL87" i="7"/>
  <c r="AG87" i="7"/>
  <c r="AA87" i="7"/>
  <c r="U87" i="7"/>
  <c r="O87" i="7"/>
  <c r="Y97" i="7"/>
  <c r="P97" i="7"/>
  <c r="Y93" i="7"/>
  <c r="P93" i="7"/>
  <c r="U89" i="7"/>
  <c r="Z89" i="7"/>
  <c r="AD89" i="7"/>
  <c r="AH89" i="7"/>
  <c r="AL89" i="7"/>
  <c r="AP89" i="7"/>
  <c r="AX89" i="7"/>
  <c r="Y89" i="7"/>
  <c r="P89" i="7"/>
  <c r="P84" i="7"/>
  <c r="O84" i="7"/>
  <c r="T84" i="7"/>
  <c r="X84" i="7"/>
  <c r="AC84" i="7"/>
  <c r="AG84" i="7"/>
  <c r="AK84" i="7"/>
  <c r="AO84" i="7"/>
  <c r="AU84" i="7"/>
  <c r="AW84" i="7"/>
  <c r="BA84" i="7"/>
  <c r="Y84" i="7"/>
  <c r="O76" i="7"/>
  <c r="X76" i="7"/>
  <c r="AC76" i="7"/>
  <c r="AW76" i="7"/>
  <c r="N76" i="7"/>
  <c r="S76" i="7"/>
  <c r="AS76" i="7"/>
  <c r="AZ76" i="7"/>
  <c r="Y76" i="7"/>
  <c r="AL76" i="7"/>
  <c r="AX76" i="7"/>
  <c r="AZ98" i="7"/>
  <c r="AF98" i="7"/>
  <c r="S98" i="7"/>
  <c r="N98" i="7"/>
  <c r="BA95" i="7"/>
  <c r="AW95" i="7"/>
  <c r="AU95" i="7"/>
  <c r="AO95" i="7"/>
  <c r="AK95" i="7"/>
  <c r="AG95" i="7"/>
  <c r="AC95" i="7"/>
  <c r="X95" i="7"/>
  <c r="T95" i="7"/>
  <c r="O95" i="7"/>
  <c r="AS94" i="7"/>
  <c r="AJ94" i="7"/>
  <c r="AF94" i="7"/>
  <c r="AX92" i="7"/>
  <c r="AS92" i="7"/>
  <c r="AM92" i="7"/>
  <c r="AH92" i="7"/>
  <c r="AB92" i="7"/>
  <c r="V92" i="7"/>
  <c r="AR88" i="7"/>
  <c r="AF88" i="7"/>
  <c r="U88" i="7"/>
  <c r="N88" i="7"/>
  <c r="AX87" i="7"/>
  <c r="AU87" i="7"/>
  <c r="AM87" i="7"/>
  <c r="AH87" i="7"/>
  <c r="AC87" i="7"/>
  <c r="V87" i="7"/>
  <c r="AW83" i="7"/>
  <c r="AR83" i="7"/>
  <c r="AL83" i="7"/>
  <c r="AG83" i="7"/>
  <c r="AA83" i="7"/>
  <c r="U83" i="7"/>
  <c r="O83" i="7"/>
  <c r="AY80" i="7"/>
  <c r="AR80" i="7"/>
  <c r="AI80" i="7"/>
  <c r="AA80" i="7"/>
  <c r="R80" i="7"/>
  <c r="AX79" i="7"/>
  <c r="AP79" i="7"/>
  <c r="AH79" i="7"/>
  <c r="Z79" i="7"/>
  <c r="BA75" i="7"/>
  <c r="AW75" i="7"/>
  <c r="AU75" i="7"/>
  <c r="AO75" i="7"/>
  <c r="AK75" i="7"/>
  <c r="AG75" i="7"/>
  <c r="AC75" i="7"/>
  <c r="X75" i="7"/>
  <c r="T75" i="7"/>
  <c r="O75" i="7"/>
  <c r="AW70" i="7"/>
  <c r="X70" i="7"/>
  <c r="AV67" i="7"/>
  <c r="AO67" i="7"/>
  <c r="AG67" i="7"/>
  <c r="O67" i="7"/>
  <c r="AL63" i="7"/>
  <c r="AB63" i="7"/>
  <c r="N63" i="7"/>
  <c r="AV61" i="7"/>
  <c r="AN61" i="7"/>
  <c r="AG61" i="7"/>
  <c r="Z61" i="7"/>
  <c r="R61" i="7"/>
  <c r="AO60" i="7"/>
  <c r="AO59" i="7"/>
  <c r="AC59" i="7"/>
  <c r="AE57" i="7"/>
  <c r="O57" i="7"/>
  <c r="AA49" i="7"/>
  <c r="AU31" i="7"/>
  <c r="AF7" i="7"/>
  <c r="P81" i="7"/>
  <c r="P77" i="7"/>
  <c r="P73" i="7"/>
  <c r="P69" i="7"/>
  <c r="P65" i="7"/>
  <c r="P61" i="7"/>
  <c r="P57" i="7"/>
  <c r="P53" i="7"/>
  <c r="P49" i="7"/>
  <c r="P45" i="7"/>
  <c r="P41" i="7"/>
  <c r="P37" i="7"/>
  <c r="P33" i="7"/>
  <c r="S33" i="7"/>
  <c r="P29" i="7"/>
  <c r="S29" i="7"/>
  <c r="P25" i="7"/>
  <c r="S25" i="7"/>
  <c r="P21" i="7"/>
  <c r="P17" i="7"/>
  <c r="S17" i="7" s="1"/>
  <c r="P13" i="7"/>
  <c r="S13" i="7" s="1"/>
  <c r="P9" i="7"/>
  <c r="S9" i="7" s="1"/>
  <c r="Y37" i="7"/>
  <c r="Y41" i="7"/>
  <c r="Y49" i="7"/>
  <c r="Y53" i="7"/>
  <c r="Y57" i="7"/>
  <c r="Y61" i="7"/>
  <c r="Y65" i="7"/>
  <c r="Y69" i="7"/>
  <c r="Y73" i="7"/>
  <c r="Y77" i="7"/>
  <c r="Y81" i="7"/>
  <c r="P90" i="7"/>
  <c r="P86" i="7"/>
  <c r="P82" i="7"/>
  <c r="P78" i="7"/>
  <c r="P74" i="7"/>
  <c r="P70" i="7"/>
  <c r="P66" i="7"/>
  <c r="P62" i="7"/>
  <c r="P58" i="7"/>
  <c r="P54" i="7"/>
  <c r="P50" i="7"/>
  <c r="P46" i="7"/>
  <c r="P42" i="7"/>
  <c r="P38" i="7"/>
  <c r="P34" i="7"/>
  <c r="P26" i="7"/>
  <c r="S26" i="7"/>
  <c r="P22" i="7"/>
  <c r="S22" i="7"/>
  <c r="P18" i="7"/>
  <c r="S18" i="7" s="1"/>
  <c r="P14" i="7"/>
  <c r="S14" i="7"/>
  <c r="P10" i="7"/>
  <c r="S10" i="7"/>
  <c r="Y36" i="7"/>
  <c r="Y44" i="7"/>
  <c r="Y48" i="7"/>
  <c r="Y52" i="7"/>
  <c r="Y56" i="7"/>
  <c r="Y60" i="7"/>
  <c r="Y64" i="7"/>
  <c r="Y68" i="7"/>
  <c r="Y72" i="7"/>
  <c r="AY71" i="7"/>
  <c r="AH71" i="7"/>
  <c r="AN70" i="7"/>
  <c r="AY61" i="7"/>
  <c r="AS61" i="7"/>
  <c r="AK61" i="7"/>
  <c r="AC61" i="7"/>
  <c r="V61" i="7"/>
  <c r="O61" i="7"/>
  <c r="AB57" i="7"/>
  <c r="AD57" i="7"/>
  <c r="AU54" i="7"/>
  <c r="AU52" i="7"/>
  <c r="AU50" i="7"/>
  <c r="O43" i="7"/>
  <c r="O38" i="7"/>
  <c r="Z36" i="7"/>
  <c r="N32" i="7"/>
  <c r="Q32" i="7" s="1"/>
  <c r="N31" i="7"/>
  <c r="O29" i="7"/>
  <c r="O27" i="7"/>
  <c r="R27" i="7" s="1"/>
  <c r="X27" i="7" s="1"/>
  <c r="N25" i="7"/>
  <c r="R25" i="7" s="1"/>
  <c r="X25" i="7" s="1"/>
  <c r="N19" i="7"/>
  <c r="R19" i="7"/>
  <c r="X19" i="7" s="1"/>
  <c r="O17" i="7"/>
  <c r="O15" i="7"/>
  <c r="N13" i="7"/>
  <c r="R13" i="7"/>
  <c r="X13" i="7"/>
  <c r="Q13" i="7"/>
  <c r="Z9" i="7"/>
  <c r="P75" i="7"/>
  <c r="P67" i="7"/>
  <c r="P59" i="7"/>
  <c r="P55" i="7"/>
  <c r="P51" i="7"/>
  <c r="P47" i="7"/>
  <c r="P43" i="7"/>
  <c r="P39" i="7"/>
  <c r="P35" i="7"/>
  <c r="P31" i="7"/>
  <c r="S31" i="7" s="1"/>
  <c r="P27" i="7"/>
  <c r="S27" i="7" s="1"/>
  <c r="P23" i="7"/>
  <c r="S23" i="7" s="1"/>
  <c r="P19" i="7"/>
  <c r="S19" i="7" s="1"/>
  <c r="P11" i="7"/>
  <c r="S11" i="7" s="1"/>
  <c r="Y47" i="7"/>
  <c r="Y59" i="7"/>
  <c r="Y63" i="7"/>
  <c r="Y67" i="7"/>
  <c r="Y71" i="7"/>
  <c r="Y75" i="7"/>
  <c r="AX81" i="7"/>
  <c r="AP81" i="7"/>
  <c r="AL81" i="7"/>
  <c r="AH81" i="7"/>
  <c r="AD81" i="7"/>
  <c r="Z81" i="7"/>
  <c r="U81" i="7"/>
  <c r="AX77" i="7"/>
  <c r="AP77" i="7"/>
  <c r="AL77" i="7"/>
  <c r="AH77" i="7"/>
  <c r="AD77" i="7"/>
  <c r="Z77" i="7"/>
  <c r="U77" i="7"/>
  <c r="AZ75" i="7"/>
  <c r="AV75" i="7"/>
  <c r="AS75" i="7"/>
  <c r="AN75" i="7"/>
  <c r="AJ75" i="7"/>
  <c r="AF75" i="7"/>
  <c r="AB75" i="7"/>
  <c r="S75" i="7"/>
  <c r="AN71" i="7"/>
  <c r="AU70" i="7"/>
  <c r="R70" i="7"/>
  <c r="AM67" i="7"/>
  <c r="AE67" i="7"/>
  <c r="U67" i="7"/>
  <c r="AJ66" i="7"/>
  <c r="AV64" i="7"/>
  <c r="AN64" i="7"/>
  <c r="AG64" i="7"/>
  <c r="Z64" i="7"/>
  <c r="R64" i="7"/>
  <c r="BA63" i="7"/>
  <c r="AV63" i="7"/>
  <c r="AP63" i="7"/>
  <c r="AK63" i="7"/>
  <c r="AF63" i="7"/>
  <c r="Z63" i="7"/>
  <c r="T63" i="7"/>
  <c r="AC62" i="7"/>
  <c r="BA61" i="7"/>
  <c r="AU61" i="7"/>
  <c r="AL61" i="7"/>
  <c r="AF61" i="7"/>
  <c r="X61" i="7"/>
  <c r="R60" i="7"/>
  <c r="AV59" i="7"/>
  <c r="AK59" i="7"/>
  <c r="AA59" i="7"/>
  <c r="AU57" i="7"/>
  <c r="AH57" i="7"/>
  <c r="Z46" i="7"/>
  <c r="O31" i="7"/>
  <c r="AB19" i="7"/>
  <c r="AC19" i="7"/>
  <c r="M8" i="7"/>
  <c r="Q8" i="7" s="1"/>
  <c r="W34" i="7" s="1"/>
  <c r="U34" i="7" s="1"/>
  <c r="P72" i="7"/>
  <c r="P68" i="7"/>
  <c r="P64" i="7"/>
  <c r="P60" i="7"/>
  <c r="P56" i="7"/>
  <c r="P52" i="7"/>
  <c r="P48" i="7"/>
  <c r="P44" i="7"/>
  <c r="P40" i="7"/>
  <c r="P36" i="7"/>
  <c r="P32" i="7"/>
  <c r="S32" i="7" s="1"/>
  <c r="P28" i="7"/>
  <c r="S28" i="7" s="1"/>
  <c r="P24" i="7"/>
  <c r="S24" i="7" s="1"/>
  <c r="P20" i="7"/>
  <c r="S20" i="7" s="1"/>
  <c r="P16" i="7"/>
  <c r="S16" i="7" s="1"/>
  <c r="P12" i="7"/>
  <c r="S12" i="7" s="1"/>
  <c r="S8" i="7" s="1"/>
  <c r="S21" i="7"/>
  <c r="AI22" i="7"/>
  <c r="AM22" i="7"/>
  <c r="T5" i="7"/>
  <c r="AM15" i="7"/>
  <c r="S34" i="7"/>
  <c r="AL12" i="10"/>
  <c r="BB12" i="10" s="1"/>
  <c r="BL12" i="10" s="1"/>
  <c r="AL16" i="10"/>
  <c r="BB16" i="10"/>
  <c r="BL16" i="10" s="1"/>
  <c r="AL24" i="10"/>
  <c r="BA24" i="10" s="1"/>
  <c r="BK24" i="10" s="1"/>
  <c r="AL32" i="10"/>
  <c r="BB32" i="10"/>
  <c r="BL32" i="10" s="1"/>
  <c r="AL31" i="10"/>
  <c r="BA31" i="10" s="1"/>
  <c r="BK31" i="10" s="1"/>
  <c r="BB15" i="10"/>
  <c r="BL15" i="10"/>
  <c r="BB19" i="10"/>
  <c r="BL19" i="10"/>
  <c r="BB23" i="10"/>
  <c r="BL23" i="10"/>
  <c r="BB27" i="10"/>
  <c r="BL27" i="10"/>
  <c r="AE27" i="7"/>
  <c r="AD28" i="7"/>
  <c r="AM16" i="7"/>
  <c r="AF31" i="7"/>
  <c r="AM31" i="7" s="1"/>
  <c r="BA9" i="10"/>
  <c r="BK9" i="10"/>
  <c r="AL28" i="10"/>
  <c r="BA8" i="10"/>
  <c r="BK8" i="10" s="1"/>
  <c r="BA10" i="10"/>
  <c r="BK10" i="10" s="1"/>
  <c r="BA14" i="10"/>
  <c r="BK14" i="10" s="1"/>
  <c r="BA18" i="10"/>
  <c r="BK18" i="10" s="1"/>
  <c r="BA30" i="10"/>
  <c r="BK30" i="10" s="1"/>
  <c r="BA12" i="10"/>
  <c r="BK12" i="10" s="1"/>
  <c r="BA32" i="10"/>
  <c r="BK32" i="10" s="1"/>
  <c r="AN13" i="10"/>
  <c r="BC13" i="10" s="1"/>
  <c r="BM13" i="10" s="1"/>
  <c r="AN17" i="10"/>
  <c r="BC17" i="10"/>
  <c r="BM17" i="10" s="1"/>
  <c r="AN21" i="10"/>
  <c r="BC21" i="10" s="1"/>
  <c r="BM21" i="10" s="1"/>
  <c r="AN25" i="10"/>
  <c r="BC25" i="10"/>
  <c r="BM25" i="10" s="1"/>
  <c r="AN29" i="10"/>
  <c r="BC29" i="10" s="1"/>
  <c r="BM29" i="10" s="1"/>
  <c r="AN33" i="10"/>
  <c r="BC33" i="10"/>
  <c r="BM33" i="10" s="1"/>
  <c r="AN18" i="10"/>
  <c r="BC18" i="10" s="1"/>
  <c r="BM18" i="10" s="1"/>
  <c r="BB8" i="10"/>
  <c r="BL8" i="10"/>
  <c r="BA11" i="10"/>
  <c r="BK11" i="10"/>
  <c r="BA15" i="10"/>
  <c r="BK15" i="10"/>
  <c r="BA23" i="10"/>
  <c r="BK23" i="10"/>
  <c r="BA27" i="10"/>
  <c r="BK27" i="10"/>
  <c r="AN22" i="10"/>
  <c r="BC22" i="10"/>
  <c r="BM22" i="10" s="1"/>
  <c r="AN26" i="10"/>
  <c r="BC26" i="10" s="1"/>
  <c r="BM26" i="10" s="1"/>
  <c r="AN10" i="10"/>
  <c r="BC10" i="10"/>
  <c r="BM10" i="10" s="1"/>
  <c r="BB10" i="10"/>
  <c r="BL10" i="10" s="1"/>
  <c r="BB14" i="10"/>
  <c r="BL14" i="10" s="1"/>
  <c r="BB18" i="10"/>
  <c r="BL18" i="10" s="1"/>
  <c r="BB22" i="10"/>
  <c r="BL22" i="10" s="1"/>
  <c r="BB30" i="10"/>
  <c r="BL30" i="10" s="1"/>
  <c r="AN12" i="10"/>
  <c r="BC12" i="10" s="1"/>
  <c r="BM12" i="10" s="1"/>
  <c r="AN16" i="10"/>
  <c r="BC16" i="10"/>
  <c r="BM16" i="10" s="1"/>
  <c r="AN20" i="10"/>
  <c r="BC20" i="10" s="1"/>
  <c r="BM20" i="10" s="1"/>
  <c r="AN24" i="10"/>
  <c r="BC24" i="10"/>
  <c r="BM24" i="10" s="1"/>
  <c r="AN28" i="10"/>
  <c r="BC28" i="10" s="1"/>
  <c r="BM28" i="10" s="1"/>
  <c r="AN32" i="10"/>
  <c r="BC32" i="10"/>
  <c r="BM32" i="10" s="1"/>
  <c r="AN14" i="10"/>
  <c r="BC14" i="10" s="1"/>
  <c r="BM14" i="10" s="1"/>
  <c r="AL20" i="10"/>
  <c r="BA20" i="10" s="1"/>
  <c r="BK20" i="10" s="1"/>
  <c r="AN30" i="10"/>
  <c r="BC30" i="10" s="1"/>
  <c r="BM30" i="10" s="1"/>
  <c r="AN8" i="10"/>
  <c r="BC8" i="10"/>
  <c r="BM8" i="10" s="1"/>
  <c r="AN11" i="10"/>
  <c r="BC11" i="10" s="1"/>
  <c r="BM11" i="10" s="1"/>
  <c r="AL13" i="10"/>
  <c r="AN15" i="10"/>
  <c r="BC15" i="10" s="1"/>
  <c r="BM15" i="10" s="1"/>
  <c r="AL17" i="10"/>
  <c r="BB17" i="10" s="1"/>
  <c r="BL17" i="10" s="1"/>
  <c r="AN19" i="10"/>
  <c r="BC19" i="10" s="1"/>
  <c r="BM19" i="10" s="1"/>
  <c r="AL21" i="10"/>
  <c r="AN23" i="10"/>
  <c r="BC23" i="10" s="1"/>
  <c r="BM23" i="10" s="1"/>
  <c r="AL25" i="10"/>
  <c r="BB25" i="10" s="1"/>
  <c r="BL25" i="10" s="1"/>
  <c r="AN27" i="10"/>
  <c r="BC27" i="10" s="1"/>
  <c r="BM27" i="10" s="1"/>
  <c r="AL29" i="10"/>
  <c r="AN31" i="10"/>
  <c r="BC31" i="10" s="1"/>
  <c r="BM31" i="10" s="1"/>
  <c r="AL33" i="10"/>
  <c r="AN9" i="10"/>
  <c r="BC9" i="10" s="1"/>
  <c r="BM9" i="10" s="1"/>
  <c r="N34" i="10"/>
  <c r="AC25" i="7"/>
  <c r="AE18" i="7"/>
  <c r="AD18" i="7"/>
  <c r="AH18" i="7" s="1"/>
  <c r="AD33" i="7"/>
  <c r="AH33" i="7" s="1"/>
  <c r="AF17" i="7"/>
  <c r="AG17" i="7" s="1"/>
  <c r="AD9" i="7"/>
  <c r="AH9" i="7"/>
  <c r="AF11" i="7"/>
  <c r="R28" i="7"/>
  <c r="X28" i="7" s="1"/>
  <c r="AF25" i="7"/>
  <c r="AI25" i="7" s="1"/>
  <c r="AF27" i="7"/>
  <c r="AI27" i="7" s="1"/>
  <c r="AF21" i="7"/>
  <c r="AG21" i="7" s="1"/>
  <c r="AD17" i="7"/>
  <c r="AH17" i="7" s="1"/>
  <c r="AD10" i="7"/>
  <c r="AH10" i="7"/>
  <c r="AI31" i="7"/>
  <c r="AI10" i="7"/>
  <c r="AM10" i="7"/>
  <c r="Q17" i="7"/>
  <c r="AC21" i="7"/>
  <c r="AE21" i="7"/>
  <c r="AJ21" i="7"/>
  <c r="AD27" i="7"/>
  <c r="AJ27" i="7" s="1"/>
  <c r="AH27" i="7"/>
  <c r="AC33" i="7"/>
  <c r="AD31" i="7"/>
  <c r="AH31" i="7"/>
  <c r="AD25" i="7"/>
  <c r="AH25" i="7" s="1"/>
  <c r="AC10" i="7"/>
  <c r="AC17" i="7"/>
  <c r="Q23" i="7"/>
  <c r="AF33" i="7"/>
  <c r="AG33" i="7"/>
  <c r="AE10" i="7"/>
  <c r="AG10" i="7"/>
  <c r="AE22" i="7"/>
  <c r="AJ22" i="7" s="1"/>
  <c r="Q24" i="7"/>
  <c r="Q33" i="7"/>
  <c r="Q21" i="7"/>
  <c r="AD19" i="7"/>
  <c r="AH19" i="7"/>
  <c r="AF19" i="7"/>
  <c r="AM19" i="7" s="1"/>
  <c r="Q27" i="7"/>
  <c r="R22" i="7"/>
  <c r="X22" i="7"/>
  <c r="Q14" i="7"/>
  <c r="Q18" i="7"/>
  <c r="R34" i="7"/>
  <c r="X34" i="7"/>
  <c r="R17" i="7"/>
  <c r="X17" i="7" s="1"/>
  <c r="AE19" i="7"/>
  <c r="AJ19" i="7" s="1"/>
  <c r="AC16" i="7"/>
  <c r="Q11" i="7"/>
  <c r="M34" i="10"/>
  <c r="AG22" i="7"/>
  <c r="BA16" i="10"/>
  <c r="BK16" i="10"/>
  <c r="AJ33" i="7"/>
  <c r="AH28" i="7"/>
  <c r="BA13" i="10"/>
  <c r="BK13" i="10"/>
  <c r="BB13" i="10"/>
  <c r="BL13" i="10"/>
  <c r="BA21" i="10"/>
  <c r="BK21" i="10"/>
  <c r="BB21" i="10"/>
  <c r="BL21" i="10"/>
  <c r="BB20" i="10"/>
  <c r="BL20" i="10"/>
  <c r="BA29" i="10"/>
  <c r="BK29" i="10"/>
  <c r="BB29" i="10"/>
  <c r="BL29" i="10"/>
  <c r="AJ18" i="7"/>
  <c r="AJ17" i="7"/>
  <c r="H38" i="5"/>
  <c r="I26" i="5" s="1"/>
  <c r="I22" i="5"/>
  <c r="I28" i="5"/>
  <c r="I37" i="5"/>
  <c r="I12" i="5"/>
  <c r="I20" i="5"/>
  <c r="I31" i="5"/>
  <c r="AA76" i="1"/>
  <c r="AH120" i="1"/>
  <c r="R120" i="1"/>
  <c r="AC120" i="1"/>
  <c r="P83" i="1"/>
  <c r="S83" i="1"/>
  <c r="Y83" i="1"/>
  <c r="AM120" i="1"/>
  <c r="W120" i="1"/>
  <c r="N88" i="1"/>
  <c r="W127" i="1"/>
  <c r="V15" i="4"/>
  <c r="U15" i="4"/>
  <c r="AB72" i="1"/>
  <c r="P77" i="1"/>
  <c r="N96" i="1"/>
  <c r="AM128" i="1"/>
  <c r="W128" i="1"/>
  <c r="N80" i="1"/>
  <c r="P95" i="1"/>
  <c r="S95" i="1"/>
  <c r="Y95" i="1"/>
  <c r="AB99" i="1"/>
  <c r="AA88" i="1"/>
  <c r="P72" i="1"/>
  <c r="S72" i="1"/>
  <c r="Y72" i="1"/>
  <c r="AB88" i="1"/>
  <c r="N76" i="1"/>
  <c r="P80" i="1"/>
  <c r="S80" i="1"/>
  <c r="Y80" i="1"/>
  <c r="AB83" i="1"/>
  <c r="CF70" i="1"/>
  <c r="CJ70" i="1"/>
  <c r="CK90" i="1"/>
  <c r="CJ126" i="1"/>
  <c r="CG82" i="1"/>
  <c r="CJ74" i="1"/>
  <c r="CJ90" i="1"/>
  <c r="CK94" i="1"/>
  <c r="CN62" i="1"/>
  <c r="CN126" i="1"/>
  <c r="CG62" i="1"/>
  <c r="CF82" i="1"/>
  <c r="CG94" i="1"/>
  <c r="CF118" i="1"/>
  <c r="CJ62" i="1"/>
  <c r="CK82" i="1"/>
  <c r="CL74" i="1"/>
  <c r="CL82" i="1"/>
  <c r="CL126" i="1"/>
  <c r="CG70" i="1"/>
  <c r="CG102" i="1"/>
  <c r="CK70" i="1"/>
  <c r="CH117" i="1"/>
  <c r="CZ95" i="1"/>
  <c r="CW103" i="1"/>
  <c r="CZ111" i="1"/>
  <c r="CX119" i="1"/>
  <c r="CI119" i="1"/>
  <c r="CW127" i="1"/>
  <c r="CH113" i="1"/>
  <c r="CH129" i="1"/>
  <c r="CJ81" i="1"/>
  <c r="AC123" i="1"/>
  <c r="P76" i="1"/>
  <c r="CW73" i="1"/>
  <c r="CK73" i="1"/>
  <c r="CX81" i="1"/>
  <c r="CT81" i="1"/>
  <c r="CM81" i="1"/>
  <c r="CV81" i="1"/>
  <c r="CG81" i="1"/>
  <c r="CX97" i="1"/>
  <c r="CW97" i="1"/>
  <c r="BF105" i="1"/>
  <c r="CX105" i="1"/>
  <c r="CT105" i="1"/>
  <c r="CP105" i="1"/>
  <c r="CY105" i="1"/>
  <c r="CU105" i="1"/>
  <c r="CQ105" i="1"/>
  <c r="CZ105" i="1"/>
  <c r="CV105" i="1"/>
  <c r="CR105" i="1"/>
  <c r="CS105" i="1"/>
  <c r="CW105" i="1"/>
  <c r="DA105" i="1"/>
  <c r="CL105" i="1"/>
  <c r="CJ105" i="1"/>
  <c r="CM105" i="1"/>
  <c r="CK105" i="1"/>
  <c r="CN105" i="1"/>
  <c r="CG105" i="1"/>
  <c r="BF109" i="1"/>
  <c r="CX109" i="1"/>
  <c r="CT109" i="1"/>
  <c r="CP109" i="1"/>
  <c r="CY109" i="1"/>
  <c r="CU109" i="1"/>
  <c r="CQ109" i="1"/>
  <c r="CZ109" i="1"/>
  <c r="CV109" i="1"/>
  <c r="CR109" i="1"/>
  <c r="DA109" i="1"/>
  <c r="CW109" i="1"/>
  <c r="CS109" i="1"/>
  <c r="CL109" i="1"/>
  <c r="CN109" i="1"/>
  <c r="CI109" i="1"/>
  <c r="CJ109" i="1"/>
  <c r="CK109" i="1"/>
  <c r="CM109" i="1"/>
  <c r="CG109" i="1"/>
  <c r="BI113" i="1"/>
  <c r="CX113" i="1"/>
  <c r="CT113" i="1"/>
  <c r="CP113" i="1"/>
  <c r="CY113" i="1"/>
  <c r="CU113" i="1"/>
  <c r="CQ113" i="1"/>
  <c r="CZ113" i="1"/>
  <c r="CV113" i="1"/>
  <c r="CR113" i="1"/>
  <c r="DA113" i="1"/>
  <c r="CW113" i="1"/>
  <c r="CS113" i="1"/>
  <c r="CL113" i="1"/>
  <c r="CM113" i="1"/>
  <c r="CI113" i="1"/>
  <c r="CN113" i="1"/>
  <c r="CJ113" i="1"/>
  <c r="CK113" i="1"/>
  <c r="CG113" i="1"/>
  <c r="BK117" i="1"/>
  <c r="CX117" i="1"/>
  <c r="CT117" i="1"/>
  <c r="CP117" i="1"/>
  <c r="CY117" i="1"/>
  <c r="CU117" i="1"/>
  <c r="CQ117" i="1"/>
  <c r="CZ117" i="1"/>
  <c r="CV117" i="1"/>
  <c r="CR117" i="1"/>
  <c r="DA117" i="1"/>
  <c r="CW117" i="1"/>
  <c r="CS117" i="1"/>
  <c r="CL117" i="1"/>
  <c r="CI117" i="1"/>
  <c r="CM117" i="1"/>
  <c r="CJ117" i="1"/>
  <c r="CN117" i="1"/>
  <c r="CK117" i="1"/>
  <c r="CG117" i="1"/>
  <c r="CX121" i="1"/>
  <c r="CT121" i="1"/>
  <c r="CP121" i="1"/>
  <c r="CY121" i="1"/>
  <c r="CU121" i="1"/>
  <c r="CQ121" i="1"/>
  <c r="CZ121" i="1"/>
  <c r="CV121" i="1"/>
  <c r="CR121" i="1"/>
  <c r="DA121" i="1"/>
  <c r="CW121" i="1"/>
  <c r="CS121" i="1"/>
  <c r="CL121" i="1"/>
  <c r="CI121" i="1"/>
  <c r="CJ121" i="1"/>
  <c r="CM121" i="1"/>
  <c r="CK121" i="1"/>
  <c r="CN121" i="1"/>
  <c r="CG121" i="1"/>
  <c r="BH125" i="1"/>
  <c r="CX125" i="1"/>
  <c r="CT125" i="1"/>
  <c r="CP125" i="1"/>
  <c r="CY125" i="1"/>
  <c r="CU125" i="1"/>
  <c r="CQ125" i="1"/>
  <c r="CZ125" i="1"/>
  <c r="CV125" i="1"/>
  <c r="CR125" i="1"/>
  <c r="DA125" i="1"/>
  <c r="CW125" i="1"/>
  <c r="CS125" i="1"/>
  <c r="CL125" i="1"/>
  <c r="CN125" i="1"/>
  <c r="CI125" i="1"/>
  <c r="CJ125" i="1"/>
  <c r="CK125" i="1"/>
  <c r="CM125" i="1"/>
  <c r="CG125" i="1"/>
  <c r="CX129" i="1"/>
  <c r="CT129" i="1"/>
  <c r="CP129" i="1"/>
  <c r="CY129" i="1"/>
  <c r="CU129" i="1"/>
  <c r="CQ129" i="1"/>
  <c r="CZ129" i="1"/>
  <c r="CV129" i="1"/>
  <c r="CR129" i="1"/>
  <c r="DA129" i="1"/>
  <c r="CW129" i="1"/>
  <c r="CS129" i="1"/>
  <c r="CL129" i="1"/>
  <c r="CM129" i="1"/>
  <c r="CI129" i="1"/>
  <c r="CN129" i="1"/>
  <c r="CJ129" i="1"/>
  <c r="CK129" i="1"/>
  <c r="CG129" i="1"/>
  <c r="CH105" i="1"/>
  <c r="CF109" i="1"/>
  <c r="CF111" i="1"/>
  <c r="CH121" i="1"/>
  <c r="CF125" i="1"/>
  <c r="CI105" i="1"/>
  <c r="CT62" i="1"/>
  <c r="CX66" i="1"/>
  <c r="CP66" i="1"/>
  <c r="BL70" i="1"/>
  <c r="CX70" i="1"/>
  <c r="CT70" i="1"/>
  <c r="CP70" i="1"/>
  <c r="CW70" i="1"/>
  <c r="CR70" i="1"/>
  <c r="CM70" i="1"/>
  <c r="CX74" i="1"/>
  <c r="BK82" i="1"/>
  <c r="CX82" i="1"/>
  <c r="CT82" i="1"/>
  <c r="CP82" i="1"/>
  <c r="CW82" i="1"/>
  <c r="CR82" i="1"/>
  <c r="CM82" i="1"/>
  <c r="CX86" i="1"/>
  <c r="CX90" i="1"/>
  <c r="CT90" i="1"/>
  <c r="CT102" i="1"/>
  <c r="CU102" i="1"/>
  <c r="CQ102" i="1"/>
  <c r="CT118" i="1"/>
  <c r="CV118" i="1"/>
  <c r="DA118" i="1"/>
  <c r="CQ126" i="1"/>
  <c r="CV126" i="1"/>
  <c r="CH70" i="1"/>
  <c r="CH82" i="1"/>
  <c r="CH102" i="1"/>
  <c r="CI70" i="1"/>
  <c r="CI74" i="1"/>
  <c r="CI82" i="1"/>
  <c r="CI102" i="1"/>
  <c r="CL70" i="1"/>
  <c r="CN82" i="1"/>
  <c r="DA66" i="1"/>
  <c r="CV70" i="1"/>
  <c r="CY74" i="1"/>
  <c r="CU82" i="1"/>
  <c r="DA82" i="1"/>
  <c r="CS66" i="1"/>
  <c r="CU70" i="1"/>
  <c r="DA70" i="1"/>
  <c r="CS82" i="1"/>
  <c r="CZ82" i="1"/>
  <c r="CV62" i="1"/>
  <c r="CS70" i="1"/>
  <c r="CZ70" i="1"/>
  <c r="DA74" i="1"/>
  <c r="CQ82" i="1"/>
  <c r="CY82" i="1"/>
  <c r="CQ70" i="1"/>
  <c r="CY70" i="1"/>
  <c r="CV82" i="1"/>
  <c r="CQ86" i="1"/>
  <c r="BQ79" i="1"/>
  <c r="CC95" i="1"/>
  <c r="CD95" i="1"/>
  <c r="BY95" i="1"/>
  <c r="BN95" i="1"/>
  <c r="BK95" i="1"/>
  <c r="BZ95" i="1"/>
  <c r="BR103" i="1"/>
  <c r="CC111" i="1"/>
  <c r="BV111" i="1"/>
  <c r="CE111" i="1"/>
  <c r="BL111" i="1"/>
  <c r="BI111" i="1"/>
  <c r="BT111" i="1"/>
  <c r="BR119" i="1"/>
  <c r="CD119" i="1"/>
  <c r="BY119" i="1"/>
  <c r="BX119" i="1"/>
  <c r="BS119" i="1"/>
  <c r="BW119" i="1"/>
  <c r="BE127" i="1"/>
  <c r="CB127" i="1"/>
  <c r="CE127" i="1"/>
  <c r="BU127" i="1"/>
  <c r="BN127" i="1"/>
  <c r="BJ127" i="1"/>
  <c r="BW127" i="1"/>
  <c r="AT130" i="1"/>
  <c r="AM127" i="1"/>
  <c r="AC127" i="1"/>
  <c r="P88" i="1"/>
  <c r="S88" i="1"/>
  <c r="Y88" i="1"/>
  <c r="S76" i="1"/>
  <c r="Y76" i="1"/>
  <c r="BG70" i="1"/>
  <c r="BL73" i="1"/>
  <c r="BG86" i="1"/>
  <c r="BJ105" i="1"/>
  <c r="BR62" i="1"/>
  <c r="BX62" i="1"/>
  <c r="BO66" i="1"/>
  <c r="CB66" i="1"/>
  <c r="CA66" i="1"/>
  <c r="BW66" i="1"/>
  <c r="BJ66" i="1"/>
  <c r="CC70" i="1"/>
  <c r="CE70" i="1"/>
  <c r="BO70" i="1"/>
  <c r="BP70" i="1"/>
  <c r="CB70" i="1"/>
  <c r="BQ70" i="1"/>
  <c r="CD70" i="1"/>
  <c r="BR70" i="1"/>
  <c r="BZ70" i="1"/>
  <c r="BV70" i="1"/>
  <c r="BW70" i="1"/>
  <c r="BX70" i="1"/>
  <c r="BS70" i="1"/>
  <c r="BY70" i="1"/>
  <c r="BT70" i="1"/>
  <c r="CA70" i="1"/>
  <c r="BU70" i="1"/>
  <c r="BN70" i="1"/>
  <c r="BJ70" i="1"/>
  <c r="BF70" i="1"/>
  <c r="BR74" i="1"/>
  <c r="BU74" i="1"/>
  <c r="CC82" i="1"/>
  <c r="CE82" i="1"/>
  <c r="BO82" i="1"/>
  <c r="BP82" i="1"/>
  <c r="CB82" i="1"/>
  <c r="BQ82" i="1"/>
  <c r="CD82" i="1"/>
  <c r="BR82" i="1"/>
  <c r="BZ82" i="1"/>
  <c r="BV82" i="1"/>
  <c r="CA82" i="1"/>
  <c r="BU82" i="1"/>
  <c r="BW82" i="1"/>
  <c r="BX82" i="1"/>
  <c r="BS82" i="1"/>
  <c r="BY82" i="1"/>
  <c r="BT82" i="1"/>
  <c r="BN82" i="1"/>
  <c r="BJ82" i="1"/>
  <c r="BF82" i="1"/>
  <c r="CD86" i="1"/>
  <c r="BT86" i="1"/>
  <c r="BR90" i="1"/>
  <c r="CB90" i="1"/>
  <c r="BK90" i="1"/>
  <c r="BG90" i="1"/>
  <c r="BW90" i="1"/>
  <c r="BN90" i="1"/>
  <c r="BP94" i="1"/>
  <c r="BK70" i="1"/>
  <c r="BH81" i="1"/>
  <c r="BI82" i="1"/>
  <c r="BB73" i="1"/>
  <c r="BR73" i="1"/>
  <c r="BZ73" i="1"/>
  <c r="CD81" i="1"/>
  <c r="BO81" i="1"/>
  <c r="BW81" i="1"/>
  <c r="BS81" i="1"/>
  <c r="BK81" i="1"/>
  <c r="BG81" i="1"/>
  <c r="BQ97" i="1"/>
  <c r="BW97" i="1"/>
  <c r="BM97" i="1"/>
  <c r="BB105" i="1"/>
  <c r="CC105" i="1"/>
  <c r="BQ105" i="1"/>
  <c r="CD105" i="1"/>
  <c r="BO105" i="1"/>
  <c r="CE105" i="1"/>
  <c r="BP105" i="1"/>
  <c r="BR105" i="1"/>
  <c r="CB105" i="1"/>
  <c r="CA105" i="1"/>
  <c r="BW105" i="1"/>
  <c r="BS105" i="1"/>
  <c r="BV105" i="1"/>
  <c r="BL105" i="1"/>
  <c r="BH105" i="1"/>
  <c r="BX105" i="1"/>
  <c r="BM105" i="1"/>
  <c r="BI105" i="1"/>
  <c r="BY105" i="1"/>
  <c r="BT105" i="1"/>
  <c r="BZ105" i="1"/>
  <c r="BU105" i="1"/>
  <c r="BK105" i="1"/>
  <c r="BG105" i="1"/>
  <c r="BB109" i="1"/>
  <c r="CC109" i="1"/>
  <c r="BQ109" i="1"/>
  <c r="CD109" i="1"/>
  <c r="BO109" i="1"/>
  <c r="CE109" i="1"/>
  <c r="BP109" i="1"/>
  <c r="BR109" i="1"/>
  <c r="CB109" i="1"/>
  <c r="CA109" i="1"/>
  <c r="BW109" i="1"/>
  <c r="BS109" i="1"/>
  <c r="BX109" i="1"/>
  <c r="BL109" i="1"/>
  <c r="BH109" i="1"/>
  <c r="BY109" i="1"/>
  <c r="BT109" i="1"/>
  <c r="BM109" i="1"/>
  <c r="BI109" i="1"/>
  <c r="BZ109" i="1"/>
  <c r="BU109" i="1"/>
  <c r="BV109" i="1"/>
  <c r="BK109" i="1"/>
  <c r="BG109" i="1"/>
  <c r="BB113" i="1"/>
  <c r="CC113" i="1"/>
  <c r="BQ113" i="1"/>
  <c r="CD113" i="1"/>
  <c r="BO113" i="1"/>
  <c r="BX113" i="1"/>
  <c r="BT113" i="1"/>
  <c r="CE113" i="1"/>
  <c r="BP113" i="1"/>
  <c r="BR113" i="1"/>
  <c r="CB113" i="1"/>
  <c r="CA113" i="1"/>
  <c r="BW113" i="1"/>
  <c r="BS113" i="1"/>
  <c r="BN113" i="1"/>
  <c r="BJ113" i="1"/>
  <c r="BF113" i="1"/>
  <c r="BV113" i="1"/>
  <c r="BL113" i="1"/>
  <c r="BG113" i="1"/>
  <c r="BY113" i="1"/>
  <c r="BM113" i="1"/>
  <c r="BH113" i="1"/>
  <c r="BZ113" i="1"/>
  <c r="BU113" i="1"/>
  <c r="BK113" i="1"/>
  <c r="BB117" i="1"/>
  <c r="CC117" i="1"/>
  <c r="BQ117" i="1"/>
  <c r="CD117" i="1"/>
  <c r="BO117" i="1"/>
  <c r="BX117" i="1"/>
  <c r="BT117" i="1"/>
  <c r="CE117" i="1"/>
  <c r="BP117" i="1"/>
  <c r="BR117" i="1"/>
  <c r="CB117" i="1"/>
  <c r="CA117" i="1"/>
  <c r="BW117" i="1"/>
  <c r="BS117" i="1"/>
  <c r="BN117" i="1"/>
  <c r="BJ117" i="1"/>
  <c r="BF117" i="1"/>
  <c r="BZ117" i="1"/>
  <c r="BM117" i="1"/>
  <c r="BH117" i="1"/>
  <c r="BU117" i="1"/>
  <c r="BI117" i="1"/>
  <c r="BV117" i="1"/>
  <c r="BY117" i="1"/>
  <c r="BL117" i="1"/>
  <c r="BG117" i="1"/>
  <c r="BB121" i="1"/>
  <c r="CC121" i="1"/>
  <c r="BQ121" i="1"/>
  <c r="CD121" i="1"/>
  <c r="BO121" i="1"/>
  <c r="BX121" i="1"/>
  <c r="BT121" i="1"/>
  <c r="CE121" i="1"/>
  <c r="BP121" i="1"/>
  <c r="BR121" i="1"/>
  <c r="CB121" i="1"/>
  <c r="CA121" i="1"/>
  <c r="BW121" i="1"/>
  <c r="BS121" i="1"/>
  <c r="BN121" i="1"/>
  <c r="BJ121" i="1"/>
  <c r="BF121" i="1"/>
  <c r="BV121" i="1"/>
  <c r="BI121" i="1"/>
  <c r="BY121" i="1"/>
  <c r="BK121" i="1"/>
  <c r="BZ121" i="1"/>
  <c r="BU121" i="1"/>
  <c r="BM121" i="1"/>
  <c r="BH121" i="1"/>
  <c r="BB125" i="1"/>
  <c r="CC125" i="1"/>
  <c r="BQ125" i="1"/>
  <c r="CD125" i="1"/>
  <c r="BO125" i="1"/>
  <c r="BX125" i="1"/>
  <c r="BT125" i="1"/>
  <c r="CE125" i="1"/>
  <c r="BP125" i="1"/>
  <c r="BR125" i="1"/>
  <c r="CB125" i="1"/>
  <c r="CA125" i="1"/>
  <c r="BW125" i="1"/>
  <c r="BS125" i="1"/>
  <c r="BN125" i="1"/>
  <c r="BJ125" i="1"/>
  <c r="BF125" i="1"/>
  <c r="BZ125" i="1"/>
  <c r="BK125" i="1"/>
  <c r="BU125" i="1"/>
  <c r="BL125" i="1"/>
  <c r="BG125" i="1"/>
  <c r="BV125" i="1"/>
  <c r="BY125" i="1"/>
  <c r="BI125" i="1"/>
  <c r="BB129" i="1"/>
  <c r="CD129" i="1"/>
  <c r="CC129" i="1"/>
  <c r="BQ129" i="1"/>
  <c r="CB129" i="1"/>
  <c r="BO129" i="1"/>
  <c r="BX129" i="1"/>
  <c r="BT129" i="1"/>
  <c r="CE129" i="1"/>
  <c r="BP129" i="1"/>
  <c r="BY129" i="1"/>
  <c r="BU129" i="1"/>
  <c r="BR129" i="1"/>
  <c r="CA129" i="1"/>
  <c r="BW129" i="1"/>
  <c r="BS129" i="1"/>
  <c r="BN129" i="1"/>
  <c r="BJ129" i="1"/>
  <c r="BF129" i="1"/>
  <c r="BL129" i="1"/>
  <c r="BG129" i="1"/>
  <c r="BM129" i="1"/>
  <c r="BH129" i="1"/>
  <c r="BV129" i="1"/>
  <c r="BI129" i="1"/>
  <c r="BZ129" i="1"/>
  <c r="BK129" i="1"/>
  <c r="BL62" i="1"/>
  <c r="BI70" i="1"/>
  <c r="BN73" i="1"/>
  <c r="BF81" i="1"/>
  <c r="BL81" i="1"/>
  <c r="BH82" i="1"/>
  <c r="BM82" i="1"/>
  <c r="BN109" i="1"/>
  <c r="BL121" i="1"/>
  <c r="BH70" i="1"/>
  <c r="BM70" i="1"/>
  <c r="BG82" i="1"/>
  <c r="BL82" i="1"/>
  <c r="BM86" i="1"/>
  <c r="BN105" i="1"/>
  <c r="BJ109" i="1"/>
  <c r="BG121" i="1"/>
  <c r="BM125" i="1"/>
  <c r="CE102" i="1"/>
  <c r="BR102" i="1"/>
  <c r="BP110" i="1"/>
  <c r="BW118" i="1"/>
  <c r="BR118" i="1"/>
  <c r="BM118" i="1"/>
  <c r="CC126" i="1"/>
  <c r="BR126" i="1"/>
  <c r="CE126" i="1"/>
  <c r="BN102" i="1"/>
  <c r="BK126" i="1"/>
  <c r="CA102" i="1"/>
  <c r="BT102" i="1"/>
  <c r="BH102" i="1"/>
  <c r="BK118" i="1"/>
  <c r="BX102" i="1"/>
  <c r="BG102" i="1"/>
  <c r="BJ118" i="1"/>
  <c r="AB76" i="1"/>
  <c r="AB32" i="1"/>
  <c r="BE70" i="1"/>
  <c r="BE82" i="1"/>
  <c r="BE90" i="1"/>
  <c r="BD70" i="1"/>
  <c r="BE73" i="1"/>
  <c r="BD82" i="1"/>
  <c r="BE105" i="1"/>
  <c r="BE109" i="1"/>
  <c r="BE113" i="1"/>
  <c r="BE117" i="1"/>
  <c r="BE121" i="1"/>
  <c r="BE125" i="1"/>
  <c r="BE129" i="1"/>
  <c r="BB66" i="1"/>
  <c r="BB70" i="1"/>
  <c r="BB82" i="1"/>
  <c r="BB90" i="1"/>
  <c r="BD105" i="1"/>
  <c r="BD109" i="1"/>
  <c r="BD113" i="1"/>
  <c r="BD117" i="1"/>
  <c r="BD121" i="1"/>
  <c r="BD125" i="1"/>
  <c r="BD129" i="1"/>
  <c r="FA95" i="1"/>
  <c r="EP95" i="1"/>
  <c r="EQ95" i="1"/>
  <c r="EM95" i="1"/>
  <c r="ES95" i="1"/>
  <c r="FC95" i="1"/>
  <c r="EO95" i="1"/>
  <c r="FC103" i="1"/>
  <c r="EZ110" i="1"/>
  <c r="CK118" i="1"/>
  <c r="EN118" i="1"/>
  <c r="EP118" i="1"/>
  <c r="FB126" i="1"/>
  <c r="EZ126" i="1"/>
  <c r="ES126" i="1"/>
  <c r="ET126" i="1"/>
  <c r="O107" i="1"/>
  <c r="O109" i="1"/>
  <c r="X120" i="1"/>
  <c r="AF125" i="1"/>
  <c r="P125" i="1"/>
  <c r="AF127" i="1"/>
  <c r="AG125" i="1"/>
  <c r="AG127" i="1"/>
  <c r="O120" i="1"/>
  <c r="O123" i="1"/>
  <c r="O125" i="1"/>
  <c r="AK125" i="1"/>
  <c r="AE127" i="1"/>
  <c r="Z95" i="1"/>
  <c r="AA99" i="1"/>
  <c r="R127" i="1"/>
  <c r="AH127" i="1"/>
  <c r="AH125" i="1"/>
  <c r="FA66" i="1"/>
  <c r="FC66" i="1"/>
  <c r="ER66" i="1"/>
  <c r="ES70" i="1"/>
  <c r="EO70" i="1"/>
  <c r="FA70" i="1"/>
  <c r="ET70" i="1"/>
  <c r="EP70" i="1"/>
  <c r="FB70" i="1"/>
  <c r="EU70" i="1"/>
  <c r="FC70" i="1"/>
  <c r="EZ70" i="1"/>
  <c r="ER70" i="1"/>
  <c r="EN70" i="1"/>
  <c r="ES74" i="1"/>
  <c r="FB74" i="1"/>
  <c r="CJ82" i="1"/>
  <c r="FA82" i="1"/>
  <c r="ES82" i="1"/>
  <c r="EO82" i="1"/>
  <c r="FB82" i="1"/>
  <c r="ET82" i="1"/>
  <c r="EP82" i="1"/>
  <c r="FC82" i="1"/>
  <c r="EU82" i="1"/>
  <c r="EQ82" i="1"/>
  <c r="EM82" i="1"/>
  <c r="EZ82" i="1"/>
  <c r="ER82" i="1"/>
  <c r="EN82" i="1"/>
  <c r="ET86" i="1"/>
  <c r="ER86" i="1"/>
  <c r="EP90" i="1"/>
  <c r="FA90" i="1"/>
  <c r="EP102" i="1"/>
  <c r="EQ102" i="1"/>
  <c r="EO102" i="1"/>
  <c r="FC109" i="1"/>
  <c r="ET109" i="1"/>
  <c r="EP109" i="1"/>
  <c r="EU109" i="1"/>
  <c r="EO109" i="1"/>
  <c r="FA109" i="1"/>
  <c r="EZ109" i="1"/>
  <c r="EQ109" i="1"/>
  <c r="FB109" i="1"/>
  <c r="ER109" i="1"/>
  <c r="EM109" i="1"/>
  <c r="ES109" i="1"/>
  <c r="EN109" i="1"/>
  <c r="CF113" i="1"/>
  <c r="FA113" i="1"/>
  <c r="FB113" i="1"/>
  <c r="FC113" i="1"/>
  <c r="ET113" i="1"/>
  <c r="EP113" i="1"/>
  <c r="ER113" i="1"/>
  <c r="EM113" i="1"/>
  <c r="ES113" i="1"/>
  <c r="EN113" i="1"/>
  <c r="EU113" i="1"/>
  <c r="EO113" i="1"/>
  <c r="EZ113" i="1"/>
  <c r="EQ113" i="1"/>
  <c r="CF117" i="1"/>
  <c r="FA117" i="1"/>
  <c r="FB117" i="1"/>
  <c r="FC117" i="1"/>
  <c r="ET117" i="1"/>
  <c r="EP117" i="1"/>
  <c r="EU117" i="1"/>
  <c r="EO117" i="1"/>
  <c r="EZ117" i="1"/>
  <c r="EQ117" i="1"/>
  <c r="ER117" i="1"/>
  <c r="EM117" i="1"/>
  <c r="ES117" i="1"/>
  <c r="EN117" i="1"/>
  <c r="CF121" i="1"/>
  <c r="FA121" i="1"/>
  <c r="FB121" i="1"/>
  <c r="FC121" i="1"/>
  <c r="ET121" i="1"/>
  <c r="EP121" i="1"/>
  <c r="ER121" i="1"/>
  <c r="EM121" i="1"/>
  <c r="ES121" i="1"/>
  <c r="EN121" i="1"/>
  <c r="EU121" i="1"/>
  <c r="EO121" i="1"/>
  <c r="EZ121" i="1"/>
  <c r="EQ121" i="1"/>
  <c r="CH125" i="1"/>
  <c r="FA125" i="1"/>
  <c r="FB125" i="1"/>
  <c r="FC125" i="1"/>
  <c r="ET125" i="1"/>
  <c r="EP125" i="1"/>
  <c r="EU125" i="1"/>
  <c r="EO125" i="1"/>
  <c r="EZ125" i="1"/>
  <c r="EQ125" i="1"/>
  <c r="ER125" i="1"/>
  <c r="EM125" i="1"/>
  <c r="ES125" i="1"/>
  <c r="EN125" i="1"/>
  <c r="CF129" i="1"/>
  <c r="FA129" i="1"/>
  <c r="FB129" i="1"/>
  <c r="FC129" i="1"/>
  <c r="ET129" i="1"/>
  <c r="EP129" i="1"/>
  <c r="ER129" i="1"/>
  <c r="EM129" i="1"/>
  <c r="ES129" i="1"/>
  <c r="EN129" i="1"/>
  <c r="EU129" i="1"/>
  <c r="EO129" i="1"/>
  <c r="EZ129" i="1"/>
  <c r="EQ129" i="1"/>
  <c r="EU66" i="1"/>
  <c r="EM70" i="1"/>
  <c r="EO62" i="1"/>
  <c r="FA73" i="1"/>
  <c r="ES73" i="1"/>
  <c r="EU81" i="1"/>
  <c r="EQ81" i="1"/>
  <c r="EO81" i="1"/>
  <c r="FB81" i="1"/>
  <c r="FA97" i="1"/>
  <c r="FC105" i="1"/>
  <c r="ET105" i="1"/>
  <c r="EP105" i="1"/>
  <c r="FA105" i="1"/>
  <c r="ER105" i="1"/>
  <c r="EM105" i="1"/>
  <c r="FB105" i="1"/>
  <c r="ES105" i="1"/>
  <c r="EN105" i="1"/>
  <c r="EU105" i="1"/>
  <c r="EO105" i="1"/>
  <c r="EZ105" i="1"/>
  <c r="EQ105" i="1"/>
  <c r="EN124" i="1"/>
  <c r="EM124" i="1"/>
  <c r="EQ66" i="1"/>
  <c r="FB88" i="1"/>
  <c r="EM88" i="1"/>
  <c r="FB111" i="1"/>
  <c r="FC111" i="1"/>
  <c r="FA111" i="1"/>
  <c r="EP111" i="1"/>
  <c r="EZ111" i="1"/>
  <c r="EQ111" i="1"/>
  <c r="EM111" i="1"/>
  <c r="ES111" i="1"/>
  <c r="EN111" i="1"/>
  <c r="EO111" i="1"/>
  <c r="FB119" i="1"/>
  <c r="FC119" i="1"/>
  <c r="FA119" i="1"/>
  <c r="EP119" i="1"/>
  <c r="EZ119" i="1"/>
  <c r="EQ119" i="1"/>
  <c r="EM119" i="1"/>
  <c r="ES119" i="1"/>
  <c r="EN119" i="1"/>
  <c r="EO119" i="1"/>
  <c r="FB127" i="1"/>
  <c r="FC127" i="1"/>
  <c r="ET127" i="1"/>
  <c r="EP127" i="1"/>
  <c r="EO127" i="1"/>
  <c r="EN127" i="1"/>
  <c r="ES127" i="1"/>
  <c r="EM127" i="1"/>
  <c r="EQ127" i="1"/>
  <c r="EZ127" i="1"/>
  <c r="T120" i="1"/>
  <c r="AJ123" i="1"/>
  <c r="AN126" i="1"/>
  <c r="AJ127" i="1"/>
  <c r="P127" i="1"/>
  <c r="AG123" i="1"/>
  <c r="AA126" i="1"/>
  <c r="Y130" i="1"/>
  <c r="N83" i="1"/>
  <c r="Z83" i="1"/>
  <c r="U127" i="1"/>
  <c r="AJ130" i="1"/>
  <c r="Z77" i="1"/>
  <c r="O95" i="1"/>
  <c r="N91" i="1"/>
  <c r="AB77" i="1"/>
  <c r="AQ123" i="1"/>
  <c r="AJ120" i="1"/>
  <c r="X121" i="1"/>
  <c r="X123" i="1"/>
  <c r="AJ126" i="1"/>
  <c r="AN127" i="1"/>
  <c r="X127" i="1"/>
  <c r="X129" i="1"/>
  <c r="V120" i="1"/>
  <c r="AG121" i="1"/>
  <c r="V127" i="1"/>
  <c r="AK120" i="1"/>
  <c r="Z127" i="1"/>
  <c r="AA95" i="1"/>
  <c r="AA96" i="1"/>
  <c r="P99" i="1"/>
  <c r="S99" i="1"/>
  <c r="Y99" i="1"/>
  <c r="AK7" i="1"/>
  <c r="DV66" i="1"/>
  <c r="DN66" i="1"/>
  <c r="DU66" i="1"/>
  <c r="DM66" i="1"/>
  <c r="DG66" i="1"/>
  <c r="DX66" i="1"/>
  <c r="DS66" i="1"/>
  <c r="DC66" i="1"/>
  <c r="ED74" i="1"/>
  <c r="DN74" i="1"/>
  <c r="DO74" i="1"/>
  <c r="DL74" i="1"/>
  <c r="DI74" i="1"/>
  <c r="EK82" i="1"/>
  <c r="EL82" i="1"/>
  <c r="EH82" i="1"/>
  <c r="ED82" i="1"/>
  <c r="DZ82" i="1"/>
  <c r="DV82" i="1"/>
  <c r="DR82" i="1"/>
  <c r="DN82" i="1"/>
  <c r="DJ82" i="1"/>
  <c r="DF82" i="1"/>
  <c r="DB82" i="1"/>
  <c r="EI82" i="1"/>
  <c r="EC82" i="1"/>
  <c r="DX82" i="1"/>
  <c r="DS82" i="1"/>
  <c r="DM82" i="1"/>
  <c r="DH82" i="1"/>
  <c r="DC82" i="1"/>
  <c r="EJ82" i="1"/>
  <c r="EE82" i="1"/>
  <c r="DY82" i="1"/>
  <c r="DT82" i="1"/>
  <c r="DO82" i="1"/>
  <c r="DI82" i="1"/>
  <c r="DD82" i="1"/>
  <c r="EF82" i="1"/>
  <c r="EA82" i="1"/>
  <c r="DU82" i="1"/>
  <c r="DP82" i="1"/>
  <c r="DK82" i="1"/>
  <c r="DE82" i="1"/>
  <c r="EG82" i="1"/>
  <c r="EB82" i="1"/>
  <c r="DW82" i="1"/>
  <c r="DQ82" i="1"/>
  <c r="DL82" i="1"/>
  <c r="DG82" i="1"/>
  <c r="EK90" i="1"/>
  <c r="EL90" i="1"/>
  <c r="DJ90" i="1"/>
  <c r="DF90" i="1"/>
  <c r="DH90" i="1"/>
  <c r="DC90" i="1"/>
  <c r="DD90" i="1"/>
  <c r="EF90" i="1"/>
  <c r="EB90" i="1"/>
  <c r="DW90" i="1"/>
  <c r="EK109" i="1"/>
  <c r="EL109" i="1"/>
  <c r="EG109" i="1"/>
  <c r="EC109" i="1"/>
  <c r="DY109" i="1"/>
  <c r="DU109" i="1"/>
  <c r="DQ109" i="1"/>
  <c r="DM109" i="1"/>
  <c r="DI109" i="1"/>
  <c r="EJ109" i="1"/>
  <c r="EE109" i="1"/>
  <c r="DZ109" i="1"/>
  <c r="DT109" i="1"/>
  <c r="DO109" i="1"/>
  <c r="DJ109" i="1"/>
  <c r="DE109" i="1"/>
  <c r="EF109" i="1"/>
  <c r="EA109" i="1"/>
  <c r="DV109" i="1"/>
  <c r="DP109" i="1"/>
  <c r="DK109" i="1"/>
  <c r="DF109" i="1"/>
  <c r="DB109" i="1"/>
  <c r="EH109" i="1"/>
  <c r="EB109" i="1"/>
  <c r="DW109" i="1"/>
  <c r="DR109" i="1"/>
  <c r="DL109" i="1"/>
  <c r="DG109" i="1"/>
  <c r="DC109" i="1"/>
  <c r="EI109" i="1"/>
  <c r="ED109" i="1"/>
  <c r="DX109" i="1"/>
  <c r="DS109" i="1"/>
  <c r="DN109" i="1"/>
  <c r="DH109" i="1"/>
  <c r="DD109" i="1"/>
  <c r="CH109" i="1"/>
  <c r="N120" i="1"/>
  <c r="AI120" i="1"/>
  <c r="AI122" i="1"/>
  <c r="N126" i="1"/>
  <c r="AI126" i="1"/>
  <c r="N128" i="1"/>
  <c r="AI128" i="1"/>
  <c r="N130" i="1"/>
  <c r="AI130" i="1"/>
  <c r="AF120" i="1"/>
  <c r="P120" i="1"/>
  <c r="P124" i="1"/>
  <c r="AF126" i="1"/>
  <c r="P126" i="1"/>
  <c r="AF128" i="1"/>
  <c r="P128" i="1"/>
  <c r="AG120" i="1"/>
  <c r="AG126" i="1"/>
  <c r="AG128" i="1"/>
  <c r="AC130" i="1"/>
  <c r="Z120" i="1"/>
  <c r="U126" i="1"/>
  <c r="AP126" i="1"/>
  <c r="U128" i="1"/>
  <c r="X130" i="1"/>
  <c r="Z96" i="1"/>
  <c r="AF96" i="1"/>
  <c r="O96" i="1"/>
  <c r="S77" i="1"/>
  <c r="Y77" i="1"/>
  <c r="EF79" i="1"/>
  <c r="EE79" i="1"/>
  <c r="DV79" i="1"/>
  <c r="DM79" i="1"/>
  <c r="DI79" i="1"/>
  <c r="EK95" i="1"/>
  <c r="EL95" i="1"/>
  <c r="EJ95" i="1"/>
  <c r="EF95" i="1"/>
  <c r="EB95" i="1"/>
  <c r="DX95" i="1"/>
  <c r="DT95" i="1"/>
  <c r="DP95" i="1"/>
  <c r="DL95" i="1"/>
  <c r="DH95" i="1"/>
  <c r="DD95" i="1"/>
  <c r="EE95" i="1"/>
  <c r="DZ95" i="1"/>
  <c r="DU95" i="1"/>
  <c r="DO95" i="1"/>
  <c r="DJ95" i="1"/>
  <c r="DE95" i="1"/>
  <c r="EG95" i="1"/>
  <c r="EA95" i="1"/>
  <c r="DV95" i="1"/>
  <c r="DQ95" i="1"/>
  <c r="DK95" i="1"/>
  <c r="DF95" i="1"/>
  <c r="EH95" i="1"/>
  <c r="EC95" i="1"/>
  <c r="DW95" i="1"/>
  <c r="DR95" i="1"/>
  <c r="DM95" i="1"/>
  <c r="DG95" i="1"/>
  <c r="DB95" i="1"/>
  <c r="EI95" i="1"/>
  <c r="ED95" i="1"/>
  <c r="DY95" i="1"/>
  <c r="DS95" i="1"/>
  <c r="DN95" i="1"/>
  <c r="DI95" i="1"/>
  <c r="DC95" i="1"/>
  <c r="CK95" i="1"/>
  <c r="EC103" i="1"/>
  <c r="ED103" i="1"/>
  <c r="EI103" i="1"/>
  <c r="DL103" i="1"/>
  <c r="DK103" i="1"/>
  <c r="U120" i="1"/>
  <c r="AP120" i="1"/>
  <c r="O126" i="1"/>
  <c r="AK126" i="1"/>
  <c r="O128" i="1"/>
  <c r="AP128" i="1"/>
  <c r="T130" i="1"/>
  <c r="AN130" i="1"/>
  <c r="AB96" i="1"/>
  <c r="EK62" i="1"/>
  <c r="DE62" i="1"/>
  <c r="EJ62" i="1"/>
  <c r="EA62" i="1"/>
  <c r="DR62" i="1"/>
  <c r="EK70" i="1"/>
  <c r="EL70" i="1"/>
  <c r="EH70" i="1"/>
  <c r="ED70" i="1"/>
  <c r="DZ70" i="1"/>
  <c r="DV70" i="1"/>
  <c r="DR70" i="1"/>
  <c r="DN70" i="1"/>
  <c r="DJ70" i="1"/>
  <c r="DF70" i="1"/>
  <c r="DB70" i="1"/>
  <c r="EI70" i="1"/>
  <c r="EE70" i="1"/>
  <c r="EA70" i="1"/>
  <c r="DW70" i="1"/>
  <c r="DS70" i="1"/>
  <c r="EG70" i="1"/>
  <c r="EC70" i="1"/>
  <c r="DY70" i="1"/>
  <c r="DU70" i="1"/>
  <c r="DQ70" i="1"/>
  <c r="DM70" i="1"/>
  <c r="DI70" i="1"/>
  <c r="DE70" i="1"/>
  <c r="EB70" i="1"/>
  <c r="DO70" i="1"/>
  <c r="DG70" i="1"/>
  <c r="EF70" i="1"/>
  <c r="DP70" i="1"/>
  <c r="DH70" i="1"/>
  <c r="EJ70" i="1"/>
  <c r="DT70" i="1"/>
  <c r="DK70" i="1"/>
  <c r="DC70" i="1"/>
  <c r="DX70" i="1"/>
  <c r="DL70" i="1"/>
  <c r="DD70" i="1"/>
  <c r="DT73" i="1"/>
  <c r="DU73" i="1"/>
  <c r="DV73" i="1"/>
  <c r="EA73" i="1"/>
  <c r="EK81" i="1"/>
  <c r="EL81" i="1"/>
  <c r="EJ81" i="1"/>
  <c r="EF81" i="1"/>
  <c r="EB81" i="1"/>
  <c r="DX81" i="1"/>
  <c r="DT81" i="1"/>
  <c r="DP81" i="1"/>
  <c r="DL81" i="1"/>
  <c r="DH81" i="1"/>
  <c r="DD81" i="1"/>
  <c r="EI81" i="1"/>
  <c r="ED81" i="1"/>
  <c r="DY81" i="1"/>
  <c r="DS81" i="1"/>
  <c r="DN81" i="1"/>
  <c r="DI81" i="1"/>
  <c r="DC81" i="1"/>
  <c r="EE81" i="1"/>
  <c r="DZ81" i="1"/>
  <c r="DU81" i="1"/>
  <c r="DO81" i="1"/>
  <c r="DJ81" i="1"/>
  <c r="DE81" i="1"/>
  <c r="EG81" i="1"/>
  <c r="EA81" i="1"/>
  <c r="DV81" i="1"/>
  <c r="DQ81" i="1"/>
  <c r="DK81" i="1"/>
  <c r="DF81" i="1"/>
  <c r="EH81" i="1"/>
  <c r="EC81" i="1"/>
  <c r="DW81" i="1"/>
  <c r="DR81" i="1"/>
  <c r="DM81" i="1"/>
  <c r="DG81" i="1"/>
  <c r="DB81" i="1"/>
  <c r="CI81" i="1"/>
  <c r="EK86" i="1"/>
  <c r="EL86" i="1"/>
  <c r="EH86" i="1"/>
  <c r="ED86" i="1"/>
  <c r="DZ86" i="1"/>
  <c r="DV86" i="1"/>
  <c r="DR86" i="1"/>
  <c r="DN86" i="1"/>
  <c r="DJ86" i="1"/>
  <c r="DF86" i="1"/>
  <c r="DB86" i="1"/>
  <c r="EF86" i="1"/>
  <c r="EA86" i="1"/>
  <c r="DU86" i="1"/>
  <c r="DP86" i="1"/>
  <c r="DK86" i="1"/>
  <c r="DE86" i="1"/>
  <c r="EG86" i="1"/>
  <c r="EB86" i="1"/>
  <c r="DW86" i="1"/>
  <c r="DQ86" i="1"/>
  <c r="DL86" i="1"/>
  <c r="DG86" i="1"/>
  <c r="EI86" i="1"/>
  <c r="EC86" i="1"/>
  <c r="DX86" i="1"/>
  <c r="DS86" i="1"/>
  <c r="DM86" i="1"/>
  <c r="DH86" i="1"/>
  <c r="DC86" i="1"/>
  <c r="EJ86" i="1"/>
  <c r="EE86" i="1"/>
  <c r="DY86" i="1"/>
  <c r="DT86" i="1"/>
  <c r="DO86" i="1"/>
  <c r="DI86" i="1"/>
  <c r="DD86" i="1"/>
  <c r="EH94" i="1"/>
  <c r="EB94" i="1"/>
  <c r="EL97" i="1"/>
  <c r="DH97" i="1"/>
  <c r="DC97" i="1"/>
  <c r="EA97" i="1"/>
  <c r="DR97" i="1"/>
  <c r="EK102" i="1"/>
  <c r="DS102" i="1"/>
  <c r="DK102" i="1"/>
  <c r="DX102" i="1"/>
  <c r="DP102" i="1"/>
  <c r="DZ102" i="1"/>
  <c r="DR102" i="1"/>
  <c r="DI102" i="1"/>
  <c r="DM102" i="1"/>
  <c r="EK105" i="1"/>
  <c r="EL105" i="1"/>
  <c r="EG105" i="1"/>
  <c r="EC105" i="1"/>
  <c r="DY105" i="1"/>
  <c r="DU105" i="1"/>
  <c r="DQ105" i="1"/>
  <c r="DM105" i="1"/>
  <c r="DI105" i="1"/>
  <c r="DE105" i="1"/>
  <c r="EH105" i="1"/>
  <c r="ED105" i="1"/>
  <c r="DZ105" i="1"/>
  <c r="DV105" i="1"/>
  <c r="DR105" i="1"/>
  <c r="DN105" i="1"/>
  <c r="DJ105" i="1"/>
  <c r="DF105" i="1"/>
  <c r="DB105" i="1"/>
  <c r="EI105" i="1"/>
  <c r="EE105" i="1"/>
  <c r="EA105" i="1"/>
  <c r="DW105" i="1"/>
  <c r="DS105" i="1"/>
  <c r="DO105" i="1"/>
  <c r="DK105" i="1"/>
  <c r="DG105" i="1"/>
  <c r="DC105" i="1"/>
  <c r="EJ105" i="1"/>
  <c r="EF105" i="1"/>
  <c r="EB105" i="1"/>
  <c r="DX105" i="1"/>
  <c r="DT105" i="1"/>
  <c r="DP105" i="1"/>
  <c r="DL105" i="1"/>
  <c r="DH105" i="1"/>
  <c r="DD105" i="1"/>
  <c r="CF105" i="1"/>
  <c r="EG110" i="1"/>
  <c r="EK127" i="1"/>
  <c r="EL127" i="1"/>
  <c r="EG127" i="1"/>
  <c r="EC127" i="1"/>
  <c r="DY127" i="1"/>
  <c r="DU127" i="1"/>
  <c r="DQ127" i="1"/>
  <c r="DM127" i="1"/>
  <c r="DI127" i="1"/>
  <c r="DE127" i="1"/>
  <c r="EI127" i="1"/>
  <c r="ED127" i="1"/>
  <c r="DX127" i="1"/>
  <c r="DS127" i="1"/>
  <c r="DN127" i="1"/>
  <c r="DH127" i="1"/>
  <c r="DC127" i="1"/>
  <c r="EJ127" i="1"/>
  <c r="EE127" i="1"/>
  <c r="DZ127" i="1"/>
  <c r="DT127" i="1"/>
  <c r="DO127" i="1"/>
  <c r="DJ127" i="1"/>
  <c r="DD127" i="1"/>
  <c r="EF127" i="1"/>
  <c r="EA127" i="1"/>
  <c r="DV127" i="1"/>
  <c r="DP127" i="1"/>
  <c r="DK127" i="1"/>
  <c r="DF127" i="1"/>
  <c r="EH127" i="1"/>
  <c r="EB127" i="1"/>
  <c r="DW127" i="1"/>
  <c r="DR127" i="1"/>
  <c r="DL127" i="1"/>
  <c r="DG127" i="1"/>
  <c r="DB127" i="1"/>
  <c r="DR88" i="1"/>
  <c r="DT88" i="1"/>
  <c r="DK88" i="1"/>
  <c r="EI88" i="1"/>
  <c r="EA118" i="1"/>
  <c r="DS118" i="1"/>
  <c r="ED118" i="1"/>
  <c r="DT118" i="1"/>
  <c r="DU118" i="1"/>
  <c r="DJ118" i="1"/>
  <c r="DL118" i="1"/>
  <c r="EH118" i="1"/>
  <c r="DB118" i="1"/>
  <c r="DZ124" i="1"/>
  <c r="DV124" i="1"/>
  <c r="EE126" i="1"/>
  <c r="DW126" i="1"/>
  <c r="EJ126" i="1"/>
  <c r="DY126" i="1"/>
  <c r="DZ126" i="1"/>
  <c r="DP126" i="1"/>
  <c r="DQ126" i="1"/>
  <c r="DF126" i="1"/>
  <c r="DH126" i="1"/>
  <c r="EK129" i="1"/>
  <c r="EL129" i="1"/>
  <c r="EG129" i="1"/>
  <c r="EC129" i="1"/>
  <c r="DY129" i="1"/>
  <c r="DU129" i="1"/>
  <c r="DQ129" i="1"/>
  <c r="DM129" i="1"/>
  <c r="DI129" i="1"/>
  <c r="DE129" i="1"/>
  <c r="EH129" i="1"/>
  <c r="EB129" i="1"/>
  <c r="DW129" i="1"/>
  <c r="DR129" i="1"/>
  <c r="DL129" i="1"/>
  <c r="DG129" i="1"/>
  <c r="DB129" i="1"/>
  <c r="EI129" i="1"/>
  <c r="ED129" i="1"/>
  <c r="DX129" i="1"/>
  <c r="DS129" i="1"/>
  <c r="DN129" i="1"/>
  <c r="DH129" i="1"/>
  <c r="DC129" i="1"/>
  <c r="EJ129" i="1"/>
  <c r="EE129" i="1"/>
  <c r="DZ129" i="1"/>
  <c r="DT129" i="1"/>
  <c r="DO129" i="1"/>
  <c r="DJ129" i="1"/>
  <c r="DD129" i="1"/>
  <c r="EF129" i="1"/>
  <c r="EA129" i="1"/>
  <c r="DV129" i="1"/>
  <c r="DP129" i="1"/>
  <c r="DK129" i="1"/>
  <c r="DF129" i="1"/>
  <c r="AA106" i="1"/>
  <c r="AT120" i="1"/>
  <c r="AB120" i="1"/>
  <c r="AB122" i="1"/>
  <c r="AT126" i="1"/>
  <c r="AB126" i="1"/>
  <c r="AT128" i="1"/>
  <c r="AB128" i="1"/>
  <c r="Z104" i="1"/>
  <c r="AL120" i="1"/>
  <c r="AL126" i="1"/>
  <c r="AL128" i="1"/>
  <c r="AG130" i="1"/>
  <c r="AE120" i="1"/>
  <c r="Z126" i="1"/>
  <c r="Z128" i="1"/>
  <c r="AF130" i="1"/>
  <c r="AB24" i="1"/>
  <c r="CN70" i="1"/>
  <c r="CK86" i="1"/>
  <c r="EK111" i="1"/>
  <c r="EL111" i="1"/>
  <c r="EG111" i="1"/>
  <c r="EC111" i="1"/>
  <c r="DY111" i="1"/>
  <c r="DU111" i="1"/>
  <c r="DQ111" i="1"/>
  <c r="DM111" i="1"/>
  <c r="DI111" i="1"/>
  <c r="DE111" i="1"/>
  <c r="EI111" i="1"/>
  <c r="ED111" i="1"/>
  <c r="DX111" i="1"/>
  <c r="DS111" i="1"/>
  <c r="DN111" i="1"/>
  <c r="DH111" i="1"/>
  <c r="DC111" i="1"/>
  <c r="EJ111" i="1"/>
  <c r="EE111" i="1"/>
  <c r="DZ111" i="1"/>
  <c r="DT111" i="1"/>
  <c r="DO111" i="1"/>
  <c r="DJ111" i="1"/>
  <c r="DD111" i="1"/>
  <c r="EF111" i="1"/>
  <c r="EA111" i="1"/>
  <c r="DV111" i="1"/>
  <c r="DP111" i="1"/>
  <c r="DK111" i="1"/>
  <c r="DF111" i="1"/>
  <c r="EH111" i="1"/>
  <c r="EB111" i="1"/>
  <c r="DW111" i="1"/>
  <c r="DR111" i="1"/>
  <c r="DL111" i="1"/>
  <c r="DG111" i="1"/>
  <c r="DB111" i="1"/>
  <c r="EK113" i="1"/>
  <c r="EL113" i="1"/>
  <c r="EG113" i="1"/>
  <c r="EC113" i="1"/>
  <c r="DY113" i="1"/>
  <c r="DU113" i="1"/>
  <c r="DQ113" i="1"/>
  <c r="DM113" i="1"/>
  <c r="DI113" i="1"/>
  <c r="DE113" i="1"/>
  <c r="EH113" i="1"/>
  <c r="EB113" i="1"/>
  <c r="DW113" i="1"/>
  <c r="DR113" i="1"/>
  <c r="DL113" i="1"/>
  <c r="DG113" i="1"/>
  <c r="DB113" i="1"/>
  <c r="EI113" i="1"/>
  <c r="ED113" i="1"/>
  <c r="DX113" i="1"/>
  <c r="DS113" i="1"/>
  <c r="DN113" i="1"/>
  <c r="DH113" i="1"/>
  <c r="DC113" i="1"/>
  <c r="EJ113" i="1"/>
  <c r="EE113" i="1"/>
  <c r="DZ113" i="1"/>
  <c r="DT113" i="1"/>
  <c r="DO113" i="1"/>
  <c r="DJ113" i="1"/>
  <c r="DD113" i="1"/>
  <c r="EF113" i="1"/>
  <c r="EA113" i="1"/>
  <c r="DV113" i="1"/>
  <c r="DP113" i="1"/>
  <c r="DK113" i="1"/>
  <c r="DF113" i="1"/>
  <c r="EK117" i="1"/>
  <c r="EL117" i="1"/>
  <c r="EG117" i="1"/>
  <c r="EC117" i="1"/>
  <c r="DY117" i="1"/>
  <c r="DU117" i="1"/>
  <c r="DQ117" i="1"/>
  <c r="DM117" i="1"/>
  <c r="DI117" i="1"/>
  <c r="DE117" i="1"/>
  <c r="EJ117" i="1"/>
  <c r="EE117" i="1"/>
  <c r="DZ117" i="1"/>
  <c r="DT117" i="1"/>
  <c r="DO117" i="1"/>
  <c r="DJ117" i="1"/>
  <c r="DD117" i="1"/>
  <c r="EF117" i="1"/>
  <c r="EA117" i="1"/>
  <c r="DV117" i="1"/>
  <c r="DP117" i="1"/>
  <c r="DK117" i="1"/>
  <c r="DF117" i="1"/>
  <c r="EH117" i="1"/>
  <c r="EB117" i="1"/>
  <c r="DW117" i="1"/>
  <c r="DR117" i="1"/>
  <c r="DL117" i="1"/>
  <c r="DG117" i="1"/>
  <c r="DB117" i="1"/>
  <c r="EI117" i="1"/>
  <c r="ED117" i="1"/>
  <c r="DX117" i="1"/>
  <c r="DS117" i="1"/>
  <c r="DN117" i="1"/>
  <c r="DH117" i="1"/>
  <c r="DC117" i="1"/>
  <c r="EK119" i="1"/>
  <c r="EL119" i="1"/>
  <c r="EG119" i="1"/>
  <c r="EC119" i="1"/>
  <c r="DY119" i="1"/>
  <c r="DU119" i="1"/>
  <c r="DQ119" i="1"/>
  <c r="DM119" i="1"/>
  <c r="DI119" i="1"/>
  <c r="DE119" i="1"/>
  <c r="EI119" i="1"/>
  <c r="ED119" i="1"/>
  <c r="DX119" i="1"/>
  <c r="DS119" i="1"/>
  <c r="DN119" i="1"/>
  <c r="DH119" i="1"/>
  <c r="DC119" i="1"/>
  <c r="EJ119" i="1"/>
  <c r="EE119" i="1"/>
  <c r="DZ119" i="1"/>
  <c r="DT119" i="1"/>
  <c r="DO119" i="1"/>
  <c r="DJ119" i="1"/>
  <c r="DD119" i="1"/>
  <c r="EF119" i="1"/>
  <c r="EA119" i="1"/>
  <c r="DV119" i="1"/>
  <c r="DP119" i="1"/>
  <c r="DK119" i="1"/>
  <c r="DF119" i="1"/>
  <c r="EH119" i="1"/>
  <c r="EB119" i="1"/>
  <c r="DW119" i="1"/>
  <c r="DR119" i="1"/>
  <c r="DL119" i="1"/>
  <c r="DG119" i="1"/>
  <c r="DB119" i="1"/>
  <c r="EK121" i="1"/>
  <c r="EL121" i="1"/>
  <c r="EG121" i="1"/>
  <c r="EC121" i="1"/>
  <c r="DY121" i="1"/>
  <c r="DU121" i="1"/>
  <c r="DQ121" i="1"/>
  <c r="DM121" i="1"/>
  <c r="DI121" i="1"/>
  <c r="DE121" i="1"/>
  <c r="EH121" i="1"/>
  <c r="EB121" i="1"/>
  <c r="DW121" i="1"/>
  <c r="DR121" i="1"/>
  <c r="DL121" i="1"/>
  <c r="DG121" i="1"/>
  <c r="DB121" i="1"/>
  <c r="EI121" i="1"/>
  <c r="ED121" i="1"/>
  <c r="DX121" i="1"/>
  <c r="DS121" i="1"/>
  <c r="DN121" i="1"/>
  <c r="DH121" i="1"/>
  <c r="DC121" i="1"/>
  <c r="EJ121" i="1"/>
  <c r="EE121" i="1"/>
  <c r="DZ121" i="1"/>
  <c r="DT121" i="1"/>
  <c r="DO121" i="1"/>
  <c r="DJ121" i="1"/>
  <c r="DD121" i="1"/>
  <c r="EF121" i="1"/>
  <c r="EA121" i="1"/>
  <c r="DV121" i="1"/>
  <c r="DP121" i="1"/>
  <c r="DK121" i="1"/>
  <c r="DF121" i="1"/>
  <c r="EK125" i="1"/>
  <c r="EL125" i="1"/>
  <c r="EG125" i="1"/>
  <c r="EC125" i="1"/>
  <c r="DY125" i="1"/>
  <c r="DU125" i="1"/>
  <c r="DQ125" i="1"/>
  <c r="DM125" i="1"/>
  <c r="DI125" i="1"/>
  <c r="DE125" i="1"/>
  <c r="EJ125" i="1"/>
  <c r="EE125" i="1"/>
  <c r="DZ125" i="1"/>
  <c r="DT125" i="1"/>
  <c r="DO125" i="1"/>
  <c r="DJ125" i="1"/>
  <c r="DD125" i="1"/>
  <c r="EF125" i="1"/>
  <c r="EA125" i="1"/>
  <c r="DV125" i="1"/>
  <c r="DP125" i="1"/>
  <c r="DK125" i="1"/>
  <c r="DF125" i="1"/>
  <c r="EH125" i="1"/>
  <c r="EB125" i="1"/>
  <c r="DW125" i="1"/>
  <c r="DR125" i="1"/>
  <c r="DL125" i="1"/>
  <c r="DG125" i="1"/>
  <c r="DB125" i="1"/>
  <c r="EI125" i="1"/>
  <c r="ED125" i="1"/>
  <c r="DX125" i="1"/>
  <c r="DS125" i="1"/>
  <c r="DN125" i="1"/>
  <c r="DH125" i="1"/>
  <c r="DC125" i="1"/>
  <c r="R125" i="1"/>
  <c r="EQ70" i="1"/>
  <c r="AE125" i="1"/>
  <c r="AK127" i="1"/>
  <c r="Z99" i="1"/>
  <c r="AA72" i="1"/>
  <c r="Z76" i="1"/>
  <c r="Z80" i="1"/>
  <c r="Z88" i="1"/>
  <c r="AD88" i="1"/>
  <c r="AH88" i="1"/>
  <c r="N104" i="1"/>
  <c r="S128" i="1"/>
  <c r="X126" i="1"/>
  <c r="U130" i="1"/>
  <c r="O83" i="1"/>
  <c r="R83" i="1"/>
  <c r="X83" i="1"/>
  <c r="AE77" i="1"/>
  <c r="Z122" i="1"/>
  <c r="FK81" i="1"/>
  <c r="FK105" i="1"/>
  <c r="FK109" i="1"/>
  <c r="FK113" i="1"/>
  <c r="FK117" i="1"/>
  <c r="FP121" i="1"/>
  <c r="FL121" i="1"/>
  <c r="FM121" i="1"/>
  <c r="FK121" i="1"/>
  <c r="FP125" i="1"/>
  <c r="FL125" i="1"/>
  <c r="FM125" i="1"/>
  <c r="FK125" i="1"/>
  <c r="FP129" i="1"/>
  <c r="FL129" i="1"/>
  <c r="FM129" i="1"/>
  <c r="FN129" i="1"/>
  <c r="FK129" i="1"/>
  <c r="N121" i="1"/>
  <c r="AD126" i="1"/>
  <c r="S130" i="1"/>
  <c r="X125" i="1"/>
  <c r="AA122" i="1"/>
  <c r="FP79" i="1"/>
  <c r="FL81" i="1"/>
  <c r="FL82" i="1"/>
  <c r="FL90" i="1"/>
  <c r="FP95" i="1"/>
  <c r="FL105" i="1"/>
  <c r="FN109" i="1"/>
  <c r="FP111" i="1"/>
  <c r="FL113" i="1"/>
  <c r="FN117" i="1"/>
  <c r="FP119" i="1"/>
  <c r="FN125" i="1"/>
  <c r="FP66" i="1"/>
  <c r="FN70" i="1"/>
  <c r="FK82" i="1"/>
  <c r="FP82" i="1"/>
  <c r="FN86" i="1"/>
  <c r="FK90" i="1"/>
  <c r="FP90" i="1"/>
  <c r="FN94" i="1"/>
  <c r="FP113" i="1"/>
  <c r="FM117" i="1"/>
  <c r="FK79" i="1"/>
  <c r="FK95" i="1"/>
  <c r="FK111" i="1"/>
  <c r="FK119" i="1"/>
  <c r="FP127" i="1"/>
  <c r="FL127" i="1"/>
  <c r="FM127" i="1"/>
  <c r="FK127" i="1"/>
  <c r="FM79" i="1"/>
  <c r="FM95" i="1"/>
  <c r="FN105" i="1"/>
  <c r="FL109" i="1"/>
  <c r="FM111" i="1"/>
  <c r="FN113" i="1"/>
  <c r="FL117" i="1"/>
  <c r="FM119" i="1"/>
  <c r="FN121" i="1"/>
  <c r="FM62" i="1"/>
  <c r="FM66" i="1"/>
  <c r="FM70" i="1"/>
  <c r="FM82" i="1"/>
  <c r="FM86" i="1"/>
  <c r="FM90" i="1"/>
  <c r="FK126" i="1"/>
  <c r="FP62" i="1"/>
  <c r="FN66" i="1"/>
  <c r="FK70" i="1"/>
  <c r="FP70" i="1"/>
  <c r="FL79" i="1"/>
  <c r="FM81" i="1"/>
  <c r="FN82" i="1"/>
  <c r="FK86" i="1"/>
  <c r="FP86" i="1"/>
  <c r="FN90" i="1"/>
  <c r="FL95" i="1"/>
  <c r="FK102" i="1"/>
  <c r="FM105" i="1"/>
  <c r="FP109" i="1"/>
  <c r="FL111" i="1"/>
  <c r="FM113" i="1"/>
  <c r="FP117" i="1"/>
  <c r="FL119" i="1"/>
  <c r="FN127" i="1"/>
  <c r="Z91" i="1"/>
  <c r="O91" i="1"/>
  <c r="AB91" i="1"/>
  <c r="N115" i="1"/>
  <c r="AD121" i="1"/>
  <c r="AD125" i="1"/>
  <c r="Y126" i="1"/>
  <c r="S127" i="1"/>
  <c r="AA130" i="1"/>
  <c r="P104" i="1"/>
  <c r="S104" i="1"/>
  <c r="Y104" i="1"/>
  <c r="O115" i="1"/>
  <c r="R115" i="1"/>
  <c r="X115" i="1"/>
  <c r="AT121" i="1"/>
  <c r="AB125" i="1"/>
  <c r="T126" i="1"/>
  <c r="AN128" i="1"/>
  <c r="V121" i="1"/>
  <c r="V126" i="1"/>
  <c r="AE121" i="1"/>
  <c r="Z124" i="1"/>
  <c r="AE126" i="1"/>
  <c r="O130" i="1"/>
  <c r="O77" i="1"/>
  <c r="N62" i="1"/>
  <c r="AQ127" i="1"/>
  <c r="AQ125" i="1"/>
  <c r="Z123" i="1"/>
  <c r="AH121" i="1"/>
  <c r="O99" i="1"/>
  <c r="AA93" i="1"/>
  <c r="N107" i="1"/>
  <c r="Q107" i="1"/>
  <c r="Y121" i="1"/>
  <c r="N123" i="1"/>
  <c r="Y125" i="1"/>
  <c r="N127" i="1"/>
  <c r="AI127" i="1"/>
  <c r="P105" i="1"/>
  <c r="S105" i="1"/>
  <c r="Y105" i="1"/>
  <c r="P107" i="1"/>
  <c r="S107" i="1"/>
  <c r="Y107" i="1"/>
  <c r="P109" i="1"/>
  <c r="S109" i="1"/>
  <c r="Y109" i="1"/>
  <c r="AB115" i="1"/>
  <c r="AC115" i="1"/>
  <c r="S115" i="1"/>
  <c r="Y115" i="1"/>
  <c r="P121" i="1"/>
  <c r="AJ125" i="1"/>
  <c r="T127" i="1"/>
  <c r="AB129" i="1"/>
  <c r="Z109" i="1"/>
  <c r="Z115" i="1"/>
  <c r="AL125" i="1"/>
  <c r="O121" i="1"/>
  <c r="AP123" i="1"/>
  <c r="AP125" i="1"/>
  <c r="AE129" i="1"/>
  <c r="O97" i="1"/>
  <c r="P84" i="1"/>
  <c r="S121" i="1"/>
  <c r="S125" i="1"/>
  <c r="AD127" i="1"/>
  <c r="AA105" i="1"/>
  <c r="AN125" i="1"/>
  <c r="T125" i="1"/>
  <c r="AB127" i="1"/>
  <c r="AA125" i="1"/>
  <c r="AL127" i="1"/>
  <c r="Z130" i="1"/>
  <c r="AQ128" i="1"/>
  <c r="AQ120" i="1"/>
  <c r="T128" i="1"/>
  <c r="AD77" i="1"/>
  <c r="AH77" i="1"/>
  <c r="N77" i="1"/>
  <c r="AB70" i="1"/>
  <c r="FR121" i="1"/>
  <c r="FT105" i="1"/>
  <c r="Z14" i="1"/>
  <c r="FR81" i="1"/>
  <c r="FR113" i="1"/>
  <c r="FR105" i="1"/>
  <c r="FT121" i="1"/>
  <c r="FR129" i="1"/>
  <c r="FT113" i="1"/>
  <c r="FT81" i="1"/>
  <c r="FR79" i="1"/>
  <c r="FR95" i="1"/>
  <c r="FR111" i="1"/>
  <c r="FR119" i="1"/>
  <c r="FR127" i="1"/>
  <c r="FT79" i="1"/>
  <c r="FT95" i="1"/>
  <c r="FT111" i="1"/>
  <c r="FT119" i="1"/>
  <c r="FT127" i="1"/>
  <c r="O127" i="1"/>
  <c r="FR85" i="1"/>
  <c r="FR109" i="1"/>
  <c r="FR117" i="1"/>
  <c r="FR125" i="1"/>
  <c r="FT93" i="1"/>
  <c r="FT109" i="1"/>
  <c r="FT117" i="1"/>
  <c r="FT125" i="1"/>
  <c r="R130" i="1"/>
  <c r="AH122" i="1"/>
  <c r="FQ79" i="1"/>
  <c r="FQ81" i="1"/>
  <c r="FQ95" i="1"/>
  <c r="FQ105" i="1"/>
  <c r="FQ109" i="1"/>
  <c r="FQ111" i="1"/>
  <c r="FQ113" i="1"/>
  <c r="FQ117" i="1"/>
  <c r="FQ119" i="1"/>
  <c r="FQ121" i="1"/>
  <c r="FQ125" i="1"/>
  <c r="FQ127" i="1"/>
  <c r="FQ129" i="1"/>
  <c r="FS79" i="1"/>
  <c r="FS81" i="1"/>
  <c r="FS85" i="1"/>
  <c r="FS95" i="1"/>
  <c r="FS105" i="1"/>
  <c r="FS109" i="1"/>
  <c r="FS111" i="1"/>
  <c r="FS113" i="1"/>
  <c r="FS117" i="1"/>
  <c r="FS119" i="1"/>
  <c r="FS121" i="1"/>
  <c r="FS125" i="1"/>
  <c r="FS127" i="1"/>
  <c r="FS129" i="1"/>
  <c r="AM122" i="1"/>
  <c r="FR66" i="1"/>
  <c r="FR70" i="1"/>
  <c r="FR82" i="1"/>
  <c r="FR86" i="1"/>
  <c r="FR88" i="1"/>
  <c r="FR90" i="1"/>
  <c r="FR102" i="1"/>
  <c r="FR126" i="1"/>
  <c r="FT62" i="1"/>
  <c r="FT70" i="1"/>
  <c r="FT82" i="1"/>
  <c r="FT86" i="1"/>
  <c r="FT88" i="1"/>
  <c r="FT90" i="1"/>
  <c r="FT118" i="1"/>
  <c r="AL130" i="1"/>
  <c r="AD130" i="1"/>
  <c r="FQ62" i="1"/>
  <c r="FQ70" i="1"/>
  <c r="FQ82" i="1"/>
  <c r="FQ86" i="1"/>
  <c r="FQ90" i="1"/>
  <c r="FQ102" i="1"/>
  <c r="FQ110" i="1"/>
  <c r="FQ118" i="1"/>
  <c r="FQ126" i="1"/>
  <c r="FS62" i="1"/>
  <c r="FS66" i="1"/>
  <c r="FS70" i="1"/>
  <c r="FS74" i="1"/>
  <c r="FS82" i="1"/>
  <c r="FS86" i="1"/>
  <c r="FS90" i="1"/>
  <c r="FS102" i="1"/>
  <c r="FS118" i="1"/>
  <c r="FS126" i="1"/>
  <c r="FT129" i="1"/>
  <c r="FY90" i="1"/>
  <c r="FY70" i="1"/>
  <c r="FY86" i="1"/>
  <c r="FY102" i="1"/>
  <c r="FY118" i="1"/>
  <c r="FY66" i="1"/>
  <c r="FY82" i="1"/>
  <c r="FY62" i="1"/>
  <c r="FY126" i="1"/>
  <c r="N72" i="1"/>
  <c r="AE88" i="1"/>
  <c r="AJ88" i="1"/>
  <c r="Z107" i="1"/>
  <c r="FY81" i="1"/>
  <c r="FY105" i="1"/>
  <c r="FY109" i="1"/>
  <c r="FY113" i="1"/>
  <c r="FY117" i="1"/>
  <c r="FY121" i="1"/>
  <c r="FY125" i="1"/>
  <c r="FY129" i="1"/>
  <c r="FY88" i="1"/>
  <c r="FY79" i="1"/>
  <c r="FY95" i="1"/>
  <c r="FY111" i="1"/>
  <c r="FY119" i="1"/>
  <c r="FY127" i="1"/>
  <c r="Y120" i="1"/>
  <c r="FX79" i="1"/>
  <c r="FZ81" i="1"/>
  <c r="FX95" i="1"/>
  <c r="FZ97" i="1"/>
  <c r="FZ105" i="1"/>
  <c r="FZ109" i="1"/>
  <c r="FX111" i="1"/>
  <c r="FZ113" i="1"/>
  <c r="FZ117" i="1"/>
  <c r="FX119" i="1"/>
  <c r="FZ121" i="1"/>
  <c r="FZ125" i="1"/>
  <c r="FX127" i="1"/>
  <c r="FZ129" i="1"/>
  <c r="FZ62" i="1"/>
  <c r="FZ66" i="1"/>
  <c r="FZ70" i="1"/>
  <c r="FZ82" i="1"/>
  <c r="FZ86" i="1"/>
  <c r="FZ90" i="1"/>
  <c r="FZ102" i="1"/>
  <c r="FZ118" i="1"/>
  <c r="FZ126" i="1"/>
  <c r="FO79" i="1"/>
  <c r="FO95" i="1"/>
  <c r="FO111" i="1"/>
  <c r="FO119" i="1"/>
  <c r="FO127" i="1"/>
  <c r="FX73" i="1"/>
  <c r="FZ79" i="1"/>
  <c r="FX81" i="1"/>
  <c r="FZ95" i="1"/>
  <c r="FX105" i="1"/>
  <c r="FX109" i="1"/>
  <c r="FZ111" i="1"/>
  <c r="FX113" i="1"/>
  <c r="FX117" i="1"/>
  <c r="FZ119" i="1"/>
  <c r="FX121" i="1"/>
  <c r="FX125" i="1"/>
  <c r="FZ127" i="1"/>
  <c r="FX129" i="1"/>
  <c r="FO62" i="1"/>
  <c r="FO66" i="1"/>
  <c r="FO70" i="1"/>
  <c r="FO74" i="1"/>
  <c r="FO82" i="1"/>
  <c r="FO86" i="1"/>
  <c r="FO90" i="1"/>
  <c r="FO102" i="1"/>
  <c r="FO118" i="1"/>
  <c r="FO126" i="1"/>
  <c r="FX62" i="1"/>
  <c r="FX66" i="1"/>
  <c r="FX70" i="1"/>
  <c r="FZ72" i="1"/>
  <c r="FX86" i="1"/>
  <c r="FX90" i="1"/>
  <c r="FX102" i="1"/>
  <c r="FX118" i="1"/>
  <c r="FX126" i="1"/>
  <c r="FO73" i="1"/>
  <c r="FO81" i="1"/>
  <c r="FO93" i="1"/>
  <c r="FO105" i="1"/>
  <c r="FO109" i="1"/>
  <c r="FO113" i="1"/>
  <c r="FO117" i="1"/>
  <c r="FO121" i="1"/>
  <c r="FO125" i="1"/>
  <c r="FO129" i="1"/>
  <c r="AA83" i="1"/>
  <c r="FJ62" i="1"/>
  <c r="FJ66" i="1"/>
  <c r="FJ70" i="1"/>
  <c r="FJ82" i="1"/>
  <c r="FJ86" i="1"/>
  <c r="FJ90" i="1"/>
  <c r="FJ102" i="1"/>
  <c r="FJ118" i="1"/>
  <c r="FJ126" i="1"/>
  <c r="FJ81" i="1"/>
  <c r="FJ93" i="1"/>
  <c r="FJ105" i="1"/>
  <c r="FJ109" i="1"/>
  <c r="FJ113" i="1"/>
  <c r="FJ117" i="1"/>
  <c r="FJ121" i="1"/>
  <c r="FJ125" i="1"/>
  <c r="FJ129" i="1"/>
  <c r="S120" i="1"/>
  <c r="Y128" i="1"/>
  <c r="Z24" i="1"/>
  <c r="O24" i="1"/>
  <c r="P24" i="1"/>
  <c r="S24" i="1" s="1"/>
  <c r="Y24" i="1" s="1"/>
  <c r="AA24" i="1"/>
  <c r="N24" i="1"/>
  <c r="Z16" i="1"/>
  <c r="O16" i="1"/>
  <c r="P16" i="1"/>
  <c r="S16" i="1" s="1"/>
  <c r="Y16" i="1" s="1"/>
  <c r="V16" i="1" s="1"/>
  <c r="AB16" i="1"/>
  <c r="AA16" i="1"/>
  <c r="N16" i="1"/>
  <c r="AE7" i="1"/>
  <c r="AL7" i="1"/>
  <c r="FG79" i="1"/>
  <c r="CP79" i="1"/>
  <c r="CN79" i="1"/>
  <c r="CR79" i="1"/>
  <c r="CI79" i="1"/>
  <c r="BJ79" i="1"/>
  <c r="BG79" i="1"/>
  <c r="CH79" i="1"/>
  <c r="BH79" i="1"/>
  <c r="CT79" i="1"/>
  <c r="CQ79" i="1"/>
  <c r="CY79" i="1"/>
  <c r="CS79" i="1"/>
  <c r="CJ79" i="1"/>
  <c r="CX79" i="1"/>
  <c r="CV79" i="1"/>
  <c r="CM79" i="1"/>
  <c r="CZ79" i="1"/>
  <c r="CL79" i="1"/>
  <c r="CW79" i="1"/>
  <c r="CG79" i="1"/>
  <c r="CC79" i="1"/>
  <c r="CD79" i="1"/>
  <c r="BY79" i="1"/>
  <c r="BW79" i="1"/>
  <c r="BT79" i="1"/>
  <c r="BF79" i="1"/>
  <c r="BD79" i="1"/>
  <c r="BB79" i="1"/>
  <c r="EU79" i="1"/>
  <c r="ER79" i="1"/>
  <c r="EO79" i="1"/>
  <c r="DA79" i="1"/>
  <c r="BL79" i="1"/>
  <c r="CF79" i="1"/>
  <c r="BE79" i="1"/>
  <c r="BP79" i="1"/>
  <c r="BR79" i="1"/>
  <c r="BV79" i="1"/>
  <c r="BZ79" i="1"/>
  <c r="CU79" i="1"/>
  <c r="BN79" i="1"/>
  <c r="CB79" i="1"/>
  <c r="CE79" i="1"/>
  <c r="CA79" i="1"/>
  <c r="BS79" i="1"/>
  <c r="BI79" i="1"/>
  <c r="EM79" i="1"/>
  <c r="FB79" i="1"/>
  <c r="ET79" i="1"/>
  <c r="FD95" i="1"/>
  <c r="CP95" i="1"/>
  <c r="CS95" i="1"/>
  <c r="CN95" i="1"/>
  <c r="CI95" i="1"/>
  <c r="CH95" i="1"/>
  <c r="CT95" i="1"/>
  <c r="CY95" i="1"/>
  <c r="CQ95" i="1"/>
  <c r="CU95" i="1"/>
  <c r="CJ95" i="1"/>
  <c r="BH95" i="1"/>
  <c r="BL95" i="1"/>
  <c r="CX95" i="1"/>
  <c r="CR95" i="1"/>
  <c r="CV95" i="1"/>
  <c r="CL95" i="1"/>
  <c r="CM95" i="1"/>
  <c r="CG95" i="1"/>
  <c r="CF95" i="1"/>
  <c r="BE95" i="1"/>
  <c r="CB95" i="1"/>
  <c r="BP95" i="1"/>
  <c r="BV95" i="1"/>
  <c r="BW95" i="1"/>
  <c r="BS95" i="1"/>
  <c r="BI95" i="1"/>
  <c r="BD95" i="1"/>
  <c r="BB95" i="1"/>
  <c r="ET95" i="1"/>
  <c r="ER95" i="1"/>
  <c r="EN95" i="1"/>
  <c r="DA95" i="1"/>
  <c r="BR95" i="1"/>
  <c r="CE95" i="1"/>
  <c r="CA95" i="1"/>
  <c r="BF95" i="1"/>
  <c r="BX95" i="1"/>
  <c r="BM95" i="1"/>
  <c r="CW95" i="1"/>
  <c r="BQ95" i="1"/>
  <c r="BO95" i="1"/>
  <c r="BU95" i="1"/>
  <c r="BJ95" i="1"/>
  <c r="BG95" i="1"/>
  <c r="BT95" i="1"/>
  <c r="EZ95" i="1"/>
  <c r="FB95" i="1"/>
  <c r="EU95" i="1"/>
  <c r="CT103" i="1"/>
  <c r="CR103" i="1"/>
  <c r="BK103" i="1"/>
  <c r="CD103" i="1"/>
  <c r="CB103" i="1"/>
  <c r="ET103" i="1"/>
  <c r="FD111" i="1"/>
  <c r="CT111" i="1"/>
  <c r="CQ111" i="1"/>
  <c r="DA111" i="1"/>
  <c r="CM111" i="1"/>
  <c r="CL111" i="1"/>
  <c r="CH111" i="1"/>
  <c r="CX111" i="1"/>
  <c r="CU111" i="1"/>
  <c r="CR111" i="1"/>
  <c r="CN111" i="1"/>
  <c r="CI111" i="1"/>
  <c r="CY111" i="1"/>
  <c r="CV111" i="1"/>
  <c r="CS111" i="1"/>
  <c r="CP111" i="1"/>
  <c r="CJ111" i="1"/>
  <c r="CG111" i="1"/>
  <c r="BE111" i="1"/>
  <c r="BZ111" i="1"/>
  <c r="BO111" i="1"/>
  <c r="BU111" i="1"/>
  <c r="BN111" i="1"/>
  <c r="BJ111" i="1"/>
  <c r="BG111" i="1"/>
  <c r="BD111" i="1"/>
  <c r="BB111" i="1"/>
  <c r="CK111" i="1"/>
  <c r="BK111" i="1"/>
  <c r="BR111" i="1"/>
  <c r="CD111" i="1"/>
  <c r="BY111" i="1"/>
  <c r="BX111" i="1"/>
  <c r="BS111" i="1"/>
  <c r="BM111" i="1"/>
  <c r="BF111" i="1"/>
  <c r="CW111" i="1"/>
  <c r="BQ111" i="1"/>
  <c r="CB111" i="1"/>
  <c r="BP111" i="1"/>
  <c r="BH111" i="1"/>
  <c r="CA111" i="1"/>
  <c r="BW111" i="1"/>
  <c r="ET111" i="1"/>
  <c r="ER111" i="1"/>
  <c r="EU111" i="1"/>
  <c r="FD119" i="1"/>
  <c r="CY119" i="1"/>
  <c r="CV119" i="1"/>
  <c r="CS119" i="1"/>
  <c r="CM119" i="1"/>
  <c r="CP119" i="1"/>
  <c r="CZ119" i="1"/>
  <c r="CW119" i="1"/>
  <c r="CL119" i="1"/>
  <c r="CJ119" i="1"/>
  <c r="CF119" i="1"/>
  <c r="CT119" i="1"/>
  <c r="CQ119" i="1"/>
  <c r="DA119" i="1"/>
  <c r="CK119" i="1"/>
  <c r="CN119" i="1"/>
  <c r="BI119" i="1"/>
  <c r="BQ119" i="1"/>
  <c r="CB119" i="1"/>
  <c r="BP119" i="1"/>
  <c r="BH119" i="1"/>
  <c r="CA119" i="1"/>
  <c r="BT119" i="1"/>
  <c r="CR119" i="1"/>
  <c r="CC119" i="1"/>
  <c r="BV119" i="1"/>
  <c r="CE119" i="1"/>
  <c r="BL119" i="1"/>
  <c r="BF119" i="1"/>
  <c r="BG119" i="1"/>
  <c r="CU119" i="1"/>
  <c r="BN119" i="1"/>
  <c r="CH119" i="1"/>
  <c r="BE119" i="1"/>
  <c r="BZ119" i="1"/>
  <c r="BO119" i="1"/>
  <c r="BU119" i="1"/>
  <c r="BK119" i="1"/>
  <c r="BM119" i="1"/>
  <c r="BJ119" i="1"/>
  <c r="BD119" i="1"/>
  <c r="BB119" i="1"/>
  <c r="CG119" i="1"/>
  <c r="ET119" i="1"/>
  <c r="ER119" i="1"/>
  <c r="EU119" i="1"/>
  <c r="FD127" i="1"/>
  <c r="CT127" i="1"/>
  <c r="CQ127" i="1"/>
  <c r="DA127" i="1"/>
  <c r="CM127" i="1"/>
  <c r="CL127" i="1"/>
  <c r="CH127" i="1"/>
  <c r="CX127" i="1"/>
  <c r="CU127" i="1"/>
  <c r="CR127" i="1"/>
  <c r="CN127" i="1"/>
  <c r="CI127" i="1"/>
  <c r="CY127" i="1"/>
  <c r="CV127" i="1"/>
  <c r="CS127" i="1"/>
  <c r="CZ127" i="1"/>
  <c r="BQ127" i="1"/>
  <c r="BV127" i="1"/>
  <c r="BY127" i="1"/>
  <c r="BX127" i="1"/>
  <c r="BS127" i="1"/>
  <c r="BF127" i="1"/>
  <c r="BD127" i="1"/>
  <c r="BB127" i="1"/>
  <c r="CP127" i="1"/>
  <c r="CJ127" i="1"/>
  <c r="CG127" i="1"/>
  <c r="CC127" i="1"/>
  <c r="BZ127" i="1"/>
  <c r="BP127" i="1"/>
  <c r="BH127" i="1"/>
  <c r="CA127" i="1"/>
  <c r="BK127" i="1"/>
  <c r="BG127" i="1"/>
  <c r="CK127" i="1"/>
  <c r="CF127" i="1"/>
  <c r="CD127" i="1"/>
  <c r="BR127" i="1"/>
  <c r="BO127" i="1"/>
  <c r="BL127" i="1"/>
  <c r="BI127" i="1"/>
  <c r="BT127" i="1"/>
  <c r="BM127" i="1"/>
  <c r="FA127" i="1"/>
  <c r="EU127" i="1"/>
  <c r="ER127" i="1"/>
  <c r="AI129" i="1"/>
  <c r="Z125" i="1"/>
  <c r="AM125" i="1"/>
  <c r="W125" i="1"/>
  <c r="N125" i="1"/>
  <c r="Q125" i="1"/>
  <c r="AC125" i="1"/>
  <c r="AI121" i="1"/>
  <c r="AP121" i="1"/>
  <c r="AC121" i="1"/>
  <c r="AQ121" i="1"/>
  <c r="U121" i="1"/>
  <c r="W121" i="1"/>
  <c r="R121" i="1"/>
  <c r="AB109" i="1"/>
  <c r="AB105" i="1"/>
  <c r="Z97" i="1"/>
  <c r="N97" i="1"/>
  <c r="Z93" i="1"/>
  <c r="N93" i="1"/>
  <c r="O84" i="1"/>
  <c r="AB84" i="1"/>
  <c r="S84" i="1"/>
  <c r="Y84" i="1"/>
  <c r="N84" i="1"/>
  <c r="Z82" i="1"/>
  <c r="O82" i="1"/>
  <c r="R82" i="1"/>
  <c r="X82" i="1"/>
  <c r="AA82" i="1"/>
  <c r="AB82" i="1"/>
  <c r="P82" i="1"/>
  <c r="S82" i="1"/>
  <c r="Y82" i="1"/>
  <c r="Z78" i="1"/>
  <c r="P70" i="1"/>
  <c r="S70" i="1"/>
  <c r="Y70" i="1"/>
  <c r="O70" i="1"/>
  <c r="AA70" i="1"/>
  <c r="AE70" i="1"/>
  <c r="N70" i="1"/>
  <c r="P63" i="1"/>
  <c r="S63" i="1"/>
  <c r="Y63" i="1"/>
  <c r="AB63" i="1"/>
  <c r="Z63" i="1"/>
  <c r="N55" i="1"/>
  <c r="R55" i="1" s="1"/>
  <c r="X55" i="1" s="1"/>
  <c r="P55" i="1"/>
  <c r="S55" i="1" s="1"/>
  <c r="Y55" i="1" s="1"/>
  <c r="O55" i="1"/>
  <c r="AB43" i="1"/>
  <c r="AB39" i="1"/>
  <c r="AN124" i="1"/>
  <c r="Y123" i="1"/>
  <c r="Y127" i="1"/>
  <c r="EV66" i="1"/>
  <c r="EV82" i="1"/>
  <c r="EV62" i="1"/>
  <c r="EV94" i="1"/>
  <c r="EV126" i="1"/>
  <c r="EV90" i="1"/>
  <c r="EV70" i="1"/>
  <c r="EV86" i="1"/>
  <c r="EV102" i="1"/>
  <c r="EV118" i="1"/>
  <c r="O80" i="1"/>
  <c r="Q80" i="1"/>
  <c r="EV77" i="1"/>
  <c r="EV81" i="1"/>
  <c r="EV105" i="1"/>
  <c r="EV109" i="1"/>
  <c r="EV113" i="1"/>
  <c r="EV117" i="1"/>
  <c r="EV121" i="1"/>
  <c r="EV125" i="1"/>
  <c r="EV129" i="1"/>
  <c r="EV64" i="1"/>
  <c r="EV88" i="1"/>
  <c r="EV79" i="1"/>
  <c r="EV95" i="1"/>
  <c r="EV111" i="1"/>
  <c r="EV119" i="1"/>
  <c r="EV127" i="1"/>
  <c r="AB80" i="1"/>
  <c r="O48" i="1"/>
  <c r="O72" i="1"/>
  <c r="AA91" i="1"/>
  <c r="AE91" i="1"/>
  <c r="O78" i="1"/>
  <c r="N105" i="1"/>
  <c r="S122" i="1"/>
  <c r="AI125" i="1"/>
  <c r="AJ121" i="1"/>
  <c r="AC77" i="1"/>
  <c r="N113" i="1"/>
  <c r="Q113" i="1"/>
  <c r="AA104" i="1"/>
  <c r="AN120" i="1"/>
  <c r="AB78" i="1"/>
  <c r="FF62" i="1"/>
  <c r="FF66" i="1"/>
  <c r="FF70" i="1"/>
  <c r="FE81" i="1"/>
  <c r="FF82" i="1"/>
  <c r="FF86" i="1"/>
  <c r="FD88" i="1"/>
  <c r="FF90" i="1"/>
  <c r="FF102" i="1"/>
  <c r="FE105" i="1"/>
  <c r="FE109" i="1"/>
  <c r="FE113" i="1"/>
  <c r="FE117" i="1"/>
  <c r="FF118" i="1"/>
  <c r="FE121" i="1"/>
  <c r="FE125" i="1"/>
  <c r="FF126" i="1"/>
  <c r="FE129" i="1"/>
  <c r="AE123" i="1"/>
  <c r="AA107" i="1"/>
  <c r="EY127" i="1"/>
  <c r="FE62" i="1"/>
  <c r="FE66" i="1"/>
  <c r="FE70" i="1"/>
  <c r="FF79" i="1"/>
  <c r="FD81" i="1"/>
  <c r="FE82" i="1"/>
  <c r="FE86" i="1"/>
  <c r="FE90" i="1"/>
  <c r="FF95" i="1"/>
  <c r="FE102" i="1"/>
  <c r="FD105" i="1"/>
  <c r="FD109" i="1"/>
  <c r="FF111" i="1"/>
  <c r="FD113" i="1"/>
  <c r="FD117" i="1"/>
  <c r="FE118" i="1"/>
  <c r="FF119" i="1"/>
  <c r="FD121" i="1"/>
  <c r="FD125" i="1"/>
  <c r="FE126" i="1"/>
  <c r="FF127" i="1"/>
  <c r="FD129" i="1"/>
  <c r="AP127" i="1"/>
  <c r="EY119" i="1"/>
  <c r="FE79" i="1"/>
  <c r="FD82" i="1"/>
  <c r="FD86" i="1"/>
  <c r="FD90" i="1"/>
  <c r="FD94" i="1"/>
  <c r="FE95" i="1"/>
  <c r="FD102" i="1"/>
  <c r="FE111" i="1"/>
  <c r="FD118" i="1"/>
  <c r="FE119" i="1"/>
  <c r="FD126" i="1"/>
  <c r="FE127" i="1"/>
  <c r="Z65" i="1"/>
  <c r="FN119" i="1"/>
  <c r="EY117" i="1"/>
  <c r="FD79" i="1"/>
  <c r="FF81" i="1"/>
  <c r="FF97" i="1"/>
  <c r="FD103" i="1"/>
  <c r="FF113" i="1"/>
  <c r="FF125" i="1"/>
  <c r="AD120" i="1"/>
  <c r="AE130" i="1"/>
  <c r="AF121" i="1"/>
  <c r="AA97" i="1"/>
  <c r="FL62" i="1"/>
  <c r="FL70" i="1"/>
  <c r="FM109" i="1"/>
  <c r="FN111" i="1"/>
  <c r="FP81" i="1"/>
  <c r="AT125" i="1"/>
  <c r="V125" i="1"/>
  <c r="U125" i="1"/>
  <c r="FL118" i="1"/>
  <c r="FL126" i="1"/>
  <c r="EW62" i="1"/>
  <c r="FU62" i="1"/>
  <c r="EX62" i="1"/>
  <c r="FW62" i="1"/>
  <c r="FI62" i="1"/>
  <c r="EW64" i="1"/>
  <c r="EW66" i="1"/>
  <c r="FU66" i="1"/>
  <c r="EX66" i="1"/>
  <c r="FW66" i="1"/>
  <c r="FI66" i="1"/>
  <c r="EW70" i="1"/>
  <c r="FU70" i="1"/>
  <c r="EX70" i="1"/>
  <c r="FW70" i="1"/>
  <c r="FI70" i="1"/>
  <c r="FV72" i="1"/>
  <c r="EW74" i="1"/>
  <c r="EX81" i="1"/>
  <c r="FW81" i="1"/>
  <c r="FI81" i="1"/>
  <c r="EW81" i="1"/>
  <c r="FV81" i="1"/>
  <c r="FH81" i="1"/>
  <c r="EX117" i="1"/>
  <c r="FW117" i="1"/>
  <c r="FI117" i="1"/>
  <c r="FU117" i="1"/>
  <c r="EW117" i="1"/>
  <c r="FV117" i="1"/>
  <c r="FH117" i="1"/>
  <c r="EX119" i="1"/>
  <c r="FU119" i="1"/>
  <c r="FG119" i="1"/>
  <c r="FV119" i="1"/>
  <c r="FH119" i="1"/>
  <c r="FW119" i="1"/>
  <c r="EW119" i="1"/>
  <c r="EX125" i="1"/>
  <c r="FW125" i="1"/>
  <c r="FI125" i="1"/>
  <c r="FU125" i="1"/>
  <c r="EW125" i="1"/>
  <c r="FV125" i="1"/>
  <c r="FH125" i="1"/>
  <c r="EX127" i="1"/>
  <c r="FU127" i="1"/>
  <c r="FG127" i="1"/>
  <c r="FV127" i="1"/>
  <c r="FH127" i="1"/>
  <c r="FW127" i="1"/>
  <c r="EW127" i="1"/>
  <c r="Y124" i="1"/>
  <c r="S126" i="1"/>
  <c r="AD128" i="1"/>
  <c r="AM130" i="1"/>
  <c r="AB104" i="1"/>
  <c r="O104" i="1"/>
  <c r="AB116" i="1"/>
  <c r="AT127" i="1"/>
  <c r="FN79" i="1"/>
  <c r="FL86" i="1"/>
  <c r="FP88" i="1"/>
  <c r="FL102" i="1"/>
  <c r="FN81" i="1"/>
  <c r="FP97" i="1"/>
  <c r="EY62" i="1"/>
  <c r="EY66" i="1"/>
  <c r="EY70" i="1"/>
  <c r="EY82" i="1"/>
  <c r="EY86" i="1"/>
  <c r="EY90" i="1"/>
  <c r="EY102" i="1"/>
  <c r="EY118" i="1"/>
  <c r="FG62" i="1"/>
  <c r="FI79" i="1"/>
  <c r="FH82" i="1"/>
  <c r="FG109" i="1"/>
  <c r="FI119" i="1"/>
  <c r="FG125" i="1"/>
  <c r="FV70" i="1"/>
  <c r="FU81" i="1"/>
  <c r="FV86" i="1"/>
  <c r="FV102" i="1"/>
  <c r="FV85" i="1"/>
  <c r="EX95" i="1"/>
  <c r="FU95" i="1"/>
  <c r="FG95" i="1"/>
  <c r="FV95" i="1"/>
  <c r="FH95" i="1"/>
  <c r="EW95" i="1"/>
  <c r="FH103" i="1"/>
  <c r="EX121" i="1"/>
  <c r="FW121" i="1"/>
  <c r="FI121" i="1"/>
  <c r="FU121" i="1"/>
  <c r="EW121" i="1"/>
  <c r="FV121" i="1"/>
  <c r="FH121" i="1"/>
  <c r="EX129" i="1"/>
  <c r="FW129" i="1"/>
  <c r="FI129" i="1"/>
  <c r="FU129" i="1"/>
  <c r="EW129" i="1"/>
  <c r="FV129" i="1"/>
  <c r="FH129" i="1"/>
  <c r="FP105" i="1"/>
  <c r="EY85" i="1"/>
  <c r="EY97" i="1"/>
  <c r="EY105" i="1"/>
  <c r="EY109" i="1"/>
  <c r="EY113" i="1"/>
  <c r="EY121" i="1"/>
  <c r="FH70" i="1"/>
  <c r="FH79" i="1"/>
  <c r="FG81" i="1"/>
  <c r="FG129" i="1"/>
  <c r="FW79" i="1"/>
  <c r="FV90" i="1"/>
  <c r="FW95" i="1"/>
  <c r="EW82" i="1"/>
  <c r="FU82" i="1"/>
  <c r="FG82" i="1"/>
  <c r="EX82" i="1"/>
  <c r="FW82" i="1"/>
  <c r="FI82" i="1"/>
  <c r="EX105" i="1"/>
  <c r="FW105" i="1"/>
  <c r="FI105" i="1"/>
  <c r="EW105" i="1"/>
  <c r="FV105" i="1"/>
  <c r="FH105" i="1"/>
  <c r="EX109" i="1"/>
  <c r="FW109" i="1"/>
  <c r="FI109" i="1"/>
  <c r="FU109" i="1"/>
  <c r="EW109" i="1"/>
  <c r="FV109" i="1"/>
  <c r="FH109" i="1"/>
  <c r="EX111" i="1"/>
  <c r="FU111" i="1"/>
  <c r="FG111" i="1"/>
  <c r="FV111" i="1"/>
  <c r="FH111" i="1"/>
  <c r="FW111" i="1"/>
  <c r="EW111" i="1"/>
  <c r="EW118" i="1"/>
  <c r="FU118" i="1"/>
  <c r="FG118" i="1"/>
  <c r="EX118" i="1"/>
  <c r="FV118" i="1"/>
  <c r="FW118" i="1"/>
  <c r="FI118" i="1"/>
  <c r="EW126" i="1"/>
  <c r="FU126" i="1"/>
  <c r="FG126" i="1"/>
  <c r="EX126" i="1"/>
  <c r="FV126" i="1"/>
  <c r="FW126" i="1"/>
  <c r="FI126" i="1"/>
  <c r="FN95" i="1"/>
  <c r="FM77" i="1"/>
  <c r="EY129" i="1"/>
  <c r="FI64" i="1"/>
  <c r="FH66" i="1"/>
  <c r="FG70" i="1"/>
  <c r="FI95" i="1"/>
  <c r="FI111" i="1"/>
  <c r="FG117" i="1"/>
  <c r="FI127" i="1"/>
  <c r="FV62" i="1"/>
  <c r="FU105" i="1"/>
  <c r="EW77" i="1"/>
  <c r="EX79" i="1"/>
  <c r="FU79" i="1"/>
  <c r="FV79" i="1"/>
  <c r="EW79" i="1"/>
  <c r="EW86" i="1"/>
  <c r="FU86" i="1"/>
  <c r="FG86" i="1"/>
  <c r="EX86" i="1"/>
  <c r="FW86" i="1"/>
  <c r="FI86" i="1"/>
  <c r="FV88" i="1"/>
  <c r="FH88" i="1"/>
  <c r="EW88" i="1"/>
  <c r="FW88" i="1"/>
  <c r="FI88" i="1"/>
  <c r="EX88" i="1"/>
  <c r="FU88" i="1"/>
  <c r="FG88" i="1"/>
  <c r="EW90" i="1"/>
  <c r="FU90" i="1"/>
  <c r="FG90" i="1"/>
  <c r="EX90" i="1"/>
  <c r="FW90" i="1"/>
  <c r="FI90" i="1"/>
  <c r="FW94" i="1"/>
  <c r="EW102" i="1"/>
  <c r="FU102" i="1"/>
  <c r="FG102" i="1"/>
  <c r="EX102" i="1"/>
  <c r="FW102" i="1"/>
  <c r="FI102" i="1"/>
  <c r="EX113" i="1"/>
  <c r="FW113" i="1"/>
  <c r="FI113" i="1"/>
  <c r="FU113" i="1"/>
  <c r="EW113" i="1"/>
  <c r="FV113" i="1"/>
  <c r="FH113" i="1"/>
  <c r="EY79" i="1"/>
  <c r="EY95" i="1"/>
  <c r="EY111" i="1"/>
  <c r="FH62" i="1"/>
  <c r="FH64" i="1"/>
  <c r="FG66" i="1"/>
  <c r="FG73" i="1"/>
  <c r="FG105" i="1"/>
  <c r="FG121" i="1"/>
  <c r="FH126" i="1"/>
  <c r="FV66" i="1"/>
  <c r="FV82" i="1"/>
  <c r="FW103" i="1"/>
  <c r="Y71" i="1"/>
  <c r="GE64" i="1"/>
  <c r="CR64" i="1"/>
  <c r="BM64" i="1"/>
  <c r="CC64" i="1"/>
  <c r="BP64" i="1"/>
  <c r="BX64" i="1"/>
  <c r="BS64" i="1"/>
  <c r="BV64" i="1"/>
  <c r="BE64" i="1"/>
  <c r="CP64" i="1"/>
  <c r="CF64" i="1"/>
  <c r="BD64" i="1"/>
  <c r="CD64" i="1"/>
  <c r="BR64" i="1"/>
  <c r="BY64" i="1"/>
  <c r="CA64" i="1"/>
  <c r="BN64" i="1"/>
  <c r="BB64" i="1"/>
  <c r="EU64" i="1"/>
  <c r="CW64" i="1"/>
  <c r="BO64" i="1"/>
  <c r="BQ64" i="1"/>
  <c r="BW64" i="1"/>
  <c r="BU64" i="1"/>
  <c r="BH64" i="1"/>
  <c r="BI64" i="1"/>
  <c r="CA72" i="1"/>
  <c r="BR72" i="1"/>
  <c r="BH72" i="1"/>
  <c r="HI88" i="1"/>
  <c r="DA88" i="1"/>
  <c r="CC88" i="1"/>
  <c r="BP88" i="1"/>
  <c r="BX88" i="1"/>
  <c r="CA88" i="1"/>
  <c r="BS88" i="1"/>
  <c r="BF88" i="1"/>
  <c r="BB88" i="1"/>
  <c r="BE88" i="1"/>
  <c r="CN88" i="1"/>
  <c r="BD88" i="1"/>
  <c r="CD88" i="1"/>
  <c r="BR88" i="1"/>
  <c r="BU88" i="1"/>
  <c r="BY88" i="1"/>
  <c r="BO88" i="1"/>
  <c r="BQ88" i="1"/>
  <c r="BZ88" i="1"/>
  <c r="BW88" i="1"/>
  <c r="BH88" i="1"/>
  <c r="BS124" i="1"/>
  <c r="BL124" i="1"/>
  <c r="R126" i="1"/>
  <c r="GE62" i="1"/>
  <c r="GE66" i="1"/>
  <c r="GE70" i="1"/>
  <c r="GE82" i="1"/>
  <c r="GE86" i="1"/>
  <c r="GE90" i="1"/>
  <c r="GE94" i="1"/>
  <c r="GE102" i="1"/>
  <c r="GE118" i="1"/>
  <c r="GE126" i="1"/>
  <c r="GE81" i="1"/>
  <c r="GE105" i="1"/>
  <c r="GE109" i="1"/>
  <c r="GE113" i="1"/>
  <c r="GE117" i="1"/>
  <c r="GE121" i="1"/>
  <c r="GE125" i="1"/>
  <c r="GE129" i="1"/>
  <c r="GE88" i="1"/>
  <c r="GE79" i="1"/>
  <c r="GE95" i="1"/>
  <c r="GE111" i="1"/>
  <c r="GE119" i="1"/>
  <c r="GE127" i="1"/>
  <c r="AK130" i="1"/>
  <c r="V130" i="1"/>
  <c r="AQ130" i="1"/>
  <c r="AP130" i="1"/>
  <c r="Q130" i="1"/>
  <c r="W130" i="1"/>
  <c r="AB130" i="1"/>
  <c r="AM126" i="1"/>
  <c r="AH126" i="1"/>
  <c r="Q126" i="1"/>
  <c r="W126" i="1"/>
  <c r="AQ126" i="1"/>
  <c r="AQ122" i="1"/>
  <c r="AC122" i="1"/>
  <c r="W122" i="1"/>
  <c r="Q122" i="1"/>
  <c r="Z114" i="1"/>
  <c r="AD114" i="1"/>
  <c r="AH114" i="1"/>
  <c r="R114" i="1"/>
  <c r="X114" i="1"/>
  <c r="AA98" i="1"/>
  <c r="AB75" i="1"/>
  <c r="AA71" i="1"/>
  <c r="AA63" i="1"/>
  <c r="AA55" i="1"/>
  <c r="GD64" i="1"/>
  <c r="CI64" i="1"/>
  <c r="CX64" i="1"/>
  <c r="CU64" i="1"/>
  <c r="CS64" i="1"/>
  <c r="CM64" i="1"/>
  <c r="CN64" i="1"/>
  <c r="BK64" i="1"/>
  <c r="BJ64" i="1"/>
  <c r="CZ64" i="1"/>
  <c r="DA64" i="1"/>
  <c r="CQ64" i="1"/>
  <c r="CG64" i="1"/>
  <c r="BF64" i="1"/>
  <c r="CT64" i="1"/>
  <c r="CY64" i="1"/>
  <c r="CL64" i="1"/>
  <c r="CJ64" i="1"/>
  <c r="CK64" i="1"/>
  <c r="BG64" i="1"/>
  <c r="CX72" i="1"/>
  <c r="CZ72" i="1"/>
  <c r="CQ72" i="1"/>
  <c r="GD88" i="1"/>
  <c r="CX88" i="1"/>
  <c r="CU88" i="1"/>
  <c r="CW88" i="1"/>
  <c r="CR88" i="1"/>
  <c r="CL88" i="1"/>
  <c r="BJ88" i="1"/>
  <c r="BN88" i="1"/>
  <c r="BG88" i="1"/>
  <c r="CG88" i="1"/>
  <c r="BM88" i="1"/>
  <c r="CZ88" i="1"/>
  <c r="CM88" i="1"/>
  <c r="CY88" i="1"/>
  <c r="CS88" i="1"/>
  <c r="BI88" i="1"/>
  <c r="CI88" i="1"/>
  <c r="CT88" i="1"/>
  <c r="CV88" i="1"/>
  <c r="CQ88" i="1"/>
  <c r="CJ88" i="1"/>
  <c r="CK88" i="1"/>
  <c r="CN124" i="1"/>
  <c r="CV128" i="1"/>
  <c r="HI64" i="1"/>
  <c r="HI57" i="1"/>
  <c r="HI65" i="1"/>
  <c r="HI73" i="1"/>
  <c r="HI81" i="1"/>
  <c r="HI105" i="1"/>
  <c r="HI109" i="1"/>
  <c r="HI113" i="1"/>
  <c r="HI117" i="1"/>
  <c r="HI121" i="1"/>
  <c r="HI125" i="1"/>
  <c r="HI129" i="1"/>
  <c r="HI79" i="1"/>
  <c r="HI95" i="1"/>
  <c r="HI111" i="1"/>
  <c r="HI119" i="1"/>
  <c r="HI127" i="1"/>
  <c r="HI62" i="1"/>
  <c r="HI66" i="1"/>
  <c r="HI70" i="1"/>
  <c r="HI82" i="1"/>
  <c r="HI86" i="1"/>
  <c r="HI90" i="1"/>
  <c r="HI94" i="1"/>
  <c r="HI102" i="1"/>
  <c r="HI118" i="1"/>
  <c r="HI126" i="1"/>
  <c r="HI130" i="1"/>
  <c r="FD62" i="1"/>
  <c r="P91" i="1"/>
  <c r="S91" i="1"/>
  <c r="Y91" i="1"/>
  <c r="Z62" i="1"/>
  <c r="FF117" i="1"/>
  <c r="AD124" i="1"/>
  <c r="GA103" i="1"/>
  <c r="FD66" i="1"/>
  <c r="EY125" i="1"/>
  <c r="FE64" i="1"/>
  <c r="FF73" i="1"/>
  <c r="GA126" i="1"/>
  <c r="GN129" i="1"/>
  <c r="O88" i="1"/>
  <c r="R88" i="1"/>
  <c r="X88" i="1"/>
  <c r="FF105" i="1"/>
  <c r="FF129" i="1"/>
  <c r="AF91" i="1"/>
  <c r="AI91" i="1"/>
  <c r="Z69" i="1"/>
  <c r="Z72" i="1"/>
  <c r="O76" i="1"/>
  <c r="R76" i="1"/>
  <c r="X76" i="1"/>
  <c r="P57" i="1"/>
  <c r="S57" i="1" s="1"/>
  <c r="Y57" i="1" s="1"/>
  <c r="FF109" i="1"/>
  <c r="FF121" i="1"/>
  <c r="GN81" i="1"/>
  <c r="GN105" i="1"/>
  <c r="GA73" i="1"/>
  <c r="GA77" i="1"/>
  <c r="GA81" i="1"/>
  <c r="GA105" i="1"/>
  <c r="GA109" i="1"/>
  <c r="GA113" i="1"/>
  <c r="GA117" i="1"/>
  <c r="GA121" i="1"/>
  <c r="GA125" i="1"/>
  <c r="GA129" i="1"/>
  <c r="GC64" i="1"/>
  <c r="GD73" i="1"/>
  <c r="GB79" i="1"/>
  <c r="GD81" i="1"/>
  <c r="GC88" i="1"/>
  <c r="GB95" i="1"/>
  <c r="GD105" i="1"/>
  <c r="GD109" i="1"/>
  <c r="GB111" i="1"/>
  <c r="GD113" i="1"/>
  <c r="GD117" i="1"/>
  <c r="GB119" i="1"/>
  <c r="GD121" i="1"/>
  <c r="GD125" i="1"/>
  <c r="GB127" i="1"/>
  <c r="GD129" i="1"/>
  <c r="BA64" i="1"/>
  <c r="GA64" i="1"/>
  <c r="GA88" i="1"/>
  <c r="GD62" i="1"/>
  <c r="GB64" i="1"/>
  <c r="GD66" i="1"/>
  <c r="GD70" i="1"/>
  <c r="GC73" i="1"/>
  <c r="GC81" i="1"/>
  <c r="GD82" i="1"/>
  <c r="GD86" i="1"/>
  <c r="GB88" i="1"/>
  <c r="GD90" i="1"/>
  <c r="GC93" i="1"/>
  <c r="GD94" i="1"/>
  <c r="GC101" i="1"/>
  <c r="GD102" i="1"/>
  <c r="GC105" i="1"/>
  <c r="GC109" i="1"/>
  <c r="GC113" i="1"/>
  <c r="GC117" i="1"/>
  <c r="GD118" i="1"/>
  <c r="GC121" i="1"/>
  <c r="GC125" i="1"/>
  <c r="GD126" i="1"/>
  <c r="GC129" i="1"/>
  <c r="GA79" i="1"/>
  <c r="GA95" i="1"/>
  <c r="GA111" i="1"/>
  <c r="GA119" i="1"/>
  <c r="GA127" i="1"/>
  <c r="GC62" i="1"/>
  <c r="GC66" i="1"/>
  <c r="GC70" i="1"/>
  <c r="GB73" i="1"/>
  <c r="GD79" i="1"/>
  <c r="GB81" i="1"/>
  <c r="GC82" i="1"/>
  <c r="GC86" i="1"/>
  <c r="GC90" i="1"/>
  <c r="GC94" i="1"/>
  <c r="GD95" i="1"/>
  <c r="GC102" i="1"/>
  <c r="GD111" i="1"/>
  <c r="GB113" i="1"/>
  <c r="GC118" i="1"/>
  <c r="GD119" i="1"/>
  <c r="GC126" i="1"/>
  <c r="GD127" i="1"/>
  <c r="FG113" i="1"/>
  <c r="GN113" i="1"/>
  <c r="GA62" i="1"/>
  <c r="GA66" i="1"/>
  <c r="GA70" i="1"/>
  <c r="GA74" i="1"/>
  <c r="GA82" i="1"/>
  <c r="GA86" i="1"/>
  <c r="GA90" i="1"/>
  <c r="GA94" i="1"/>
  <c r="GA102" i="1"/>
  <c r="GA110" i="1"/>
  <c r="GA118" i="1"/>
  <c r="GB70" i="1"/>
  <c r="GB86" i="1"/>
  <c r="GC95" i="1"/>
  <c r="GC111" i="1"/>
  <c r="GC119" i="1"/>
  <c r="GC127" i="1"/>
  <c r="GG62" i="1"/>
  <c r="GH62" i="1"/>
  <c r="GI62" i="1"/>
  <c r="GN62" i="1"/>
  <c r="GH64" i="1"/>
  <c r="GI64" i="1"/>
  <c r="GG64" i="1"/>
  <c r="BA66" i="1"/>
  <c r="GG66" i="1"/>
  <c r="GH66" i="1"/>
  <c r="GI66" i="1"/>
  <c r="GI73" i="1"/>
  <c r="GG73" i="1"/>
  <c r="GH73" i="1"/>
  <c r="GN73" i="1"/>
  <c r="GI81" i="1"/>
  <c r="GG81" i="1"/>
  <c r="GH81" i="1"/>
  <c r="GI97" i="1"/>
  <c r="GI105" i="1"/>
  <c r="GG105" i="1"/>
  <c r="GH105" i="1"/>
  <c r="GI113" i="1"/>
  <c r="GG113" i="1"/>
  <c r="GH113" i="1"/>
  <c r="GI121" i="1"/>
  <c r="GG121" i="1"/>
  <c r="GH121" i="1"/>
  <c r="GN121" i="1"/>
  <c r="GI124" i="1"/>
  <c r="GI129" i="1"/>
  <c r="GG129" i="1"/>
  <c r="GH129" i="1"/>
  <c r="N95" i="1"/>
  <c r="P130" i="1"/>
  <c r="FJ79" i="1"/>
  <c r="FJ95" i="1"/>
  <c r="FJ119" i="1"/>
  <c r="FJ127" i="1"/>
  <c r="GG70" i="1"/>
  <c r="GH70" i="1"/>
  <c r="GI70" i="1"/>
  <c r="FD70" i="1"/>
  <c r="GG86" i="1"/>
  <c r="GH86" i="1"/>
  <c r="GI86" i="1"/>
  <c r="FH86" i="1"/>
  <c r="GG94" i="1"/>
  <c r="GH94" i="1"/>
  <c r="GI94" i="1"/>
  <c r="FV94" i="1"/>
  <c r="GG102" i="1"/>
  <c r="GH102" i="1"/>
  <c r="GI102" i="1"/>
  <c r="FH102" i="1"/>
  <c r="GH110" i="1"/>
  <c r="BA118" i="1"/>
  <c r="GG118" i="1"/>
  <c r="GH118" i="1"/>
  <c r="GI118" i="1"/>
  <c r="FH118" i="1"/>
  <c r="BA126" i="1"/>
  <c r="GG126" i="1"/>
  <c r="GH126" i="1"/>
  <c r="GI126" i="1"/>
  <c r="GN126" i="1"/>
  <c r="EY126" i="1"/>
  <c r="GN94" i="1"/>
  <c r="BA70" i="1"/>
  <c r="BA102" i="1"/>
  <c r="GH88" i="1"/>
  <c r="GI88" i="1"/>
  <c r="GG88" i="1"/>
  <c r="EY88" i="1"/>
  <c r="GI109" i="1"/>
  <c r="GG109" i="1"/>
  <c r="GH109" i="1"/>
  <c r="GI117" i="1"/>
  <c r="GG117" i="1"/>
  <c r="GH117" i="1"/>
  <c r="GI125" i="1"/>
  <c r="GG125" i="1"/>
  <c r="GH125" i="1"/>
  <c r="GN102" i="1"/>
  <c r="GN118" i="1"/>
  <c r="GI74" i="1"/>
  <c r="GG79" i="1"/>
  <c r="GH79" i="1"/>
  <c r="GI79" i="1"/>
  <c r="BA82" i="1"/>
  <c r="GG82" i="1"/>
  <c r="GH82" i="1"/>
  <c r="GI82" i="1"/>
  <c r="FX82" i="1"/>
  <c r="GJ90" i="1"/>
  <c r="GG90" i="1"/>
  <c r="GH90" i="1"/>
  <c r="GI90" i="1"/>
  <c r="FH90" i="1"/>
  <c r="GG95" i="1"/>
  <c r="GH95" i="1"/>
  <c r="GI95" i="1"/>
  <c r="GG111" i="1"/>
  <c r="GH111" i="1"/>
  <c r="GI111" i="1"/>
  <c r="GG119" i="1"/>
  <c r="GH119" i="1"/>
  <c r="GI119" i="1"/>
  <c r="GG127" i="1"/>
  <c r="GH127" i="1"/>
  <c r="GI127" i="1"/>
  <c r="GN109" i="1"/>
  <c r="GN117" i="1"/>
  <c r="GN125" i="1"/>
  <c r="BA86" i="1"/>
  <c r="GJ57" i="1"/>
  <c r="BA73" i="1"/>
  <c r="GJ73" i="1"/>
  <c r="GJ77" i="1"/>
  <c r="GJ79" i="1"/>
  <c r="BA81" i="1"/>
  <c r="GJ81" i="1"/>
  <c r="BA93" i="1"/>
  <c r="GJ95" i="1"/>
  <c r="BA105" i="1"/>
  <c r="GJ105" i="1"/>
  <c r="BA109" i="1"/>
  <c r="GJ109" i="1"/>
  <c r="BA111" i="1"/>
  <c r="GJ111" i="1"/>
  <c r="BA113" i="1"/>
  <c r="GJ113" i="1"/>
  <c r="BA117" i="1"/>
  <c r="GJ117" i="1"/>
  <c r="BA119" i="1"/>
  <c r="GJ119" i="1"/>
  <c r="BA121" i="1"/>
  <c r="GJ121" i="1"/>
  <c r="BA125" i="1"/>
  <c r="GJ125" i="1"/>
  <c r="BA127" i="1"/>
  <c r="GJ127" i="1"/>
  <c r="BA129" i="1"/>
  <c r="GJ129" i="1"/>
  <c r="Q127" i="1"/>
  <c r="Z25" i="1"/>
  <c r="N25" i="1"/>
  <c r="O71" i="1"/>
  <c r="GJ66" i="1"/>
  <c r="GN79" i="1"/>
  <c r="GJ82" i="1"/>
  <c r="GN95" i="1"/>
  <c r="GN111" i="1"/>
  <c r="GN119" i="1"/>
  <c r="GN127" i="1"/>
  <c r="AA120" i="1"/>
  <c r="P96" i="1"/>
  <c r="S96" i="1"/>
  <c r="Y96" i="1"/>
  <c r="P35" i="1"/>
  <c r="S35" i="1" s="1"/>
  <c r="Y35" i="1" s="1"/>
  <c r="GJ62" i="1"/>
  <c r="GN64" i="1"/>
  <c r="GJ70" i="1"/>
  <c r="GJ86" i="1"/>
  <c r="GN88" i="1"/>
  <c r="GJ94" i="1"/>
  <c r="GJ102" i="1"/>
  <c r="GJ118" i="1"/>
  <c r="GJ126" i="1"/>
  <c r="BA74" i="1"/>
  <c r="BA79" i="1"/>
  <c r="BA90" i="1"/>
  <c r="BA95" i="1"/>
  <c r="GJ64" i="1"/>
  <c r="GN66" i="1"/>
  <c r="GN77" i="1"/>
  <c r="GN82" i="1"/>
  <c r="GJ88" i="1"/>
  <c r="GN90" i="1"/>
  <c r="BA62" i="1"/>
  <c r="BA88" i="1"/>
  <c r="BA94" i="1"/>
  <c r="Z32" i="1"/>
  <c r="O42" i="1"/>
  <c r="AA80" i="1"/>
  <c r="AD80" i="1"/>
  <c r="AH80" i="1"/>
  <c r="GT79" i="1"/>
  <c r="GZ105" i="1"/>
  <c r="GF117" i="1"/>
  <c r="GT66" i="1"/>
  <c r="GT94" i="1"/>
  <c r="GZ86" i="1"/>
  <c r="GZ126" i="1"/>
  <c r="GF93" i="1"/>
  <c r="GF109" i="1"/>
  <c r="GF125" i="1"/>
  <c r="GF73" i="1"/>
  <c r="GF105" i="1"/>
  <c r="GF121" i="1"/>
  <c r="GF85" i="1"/>
  <c r="GZ62" i="1"/>
  <c r="GZ66" i="1"/>
  <c r="GZ82" i="1"/>
  <c r="GZ88" i="1"/>
  <c r="GF64" i="1"/>
  <c r="GF88" i="1"/>
  <c r="GF100" i="1"/>
  <c r="GF79" i="1"/>
  <c r="GF95" i="1"/>
  <c r="GF103" i="1"/>
  <c r="GF111" i="1"/>
  <c r="GF119" i="1"/>
  <c r="GF127" i="1"/>
  <c r="AF77" i="1"/>
  <c r="AM77" i="1"/>
  <c r="EY81" i="1"/>
  <c r="GB90" i="1"/>
  <c r="GB129" i="1"/>
  <c r="GM62" i="1"/>
  <c r="GM66" i="1"/>
  <c r="GM70" i="1"/>
  <c r="GM82" i="1"/>
  <c r="GM86" i="1"/>
  <c r="GM90" i="1"/>
  <c r="GM94" i="1"/>
  <c r="GM102" i="1"/>
  <c r="GM118" i="1"/>
  <c r="GM126" i="1"/>
  <c r="GL64" i="1"/>
  <c r="GL88" i="1"/>
  <c r="GL124" i="1"/>
  <c r="GM73" i="1"/>
  <c r="GM77" i="1"/>
  <c r="GM81" i="1"/>
  <c r="GM93" i="1"/>
  <c r="GM105" i="1"/>
  <c r="GM109" i="1"/>
  <c r="GM113" i="1"/>
  <c r="GM121" i="1"/>
  <c r="GM125" i="1"/>
  <c r="GM129" i="1"/>
  <c r="GL79" i="1"/>
  <c r="GL95" i="1"/>
  <c r="GL111" i="1"/>
  <c r="GL127" i="1"/>
  <c r="GM64" i="1"/>
  <c r="GM88" i="1"/>
  <c r="GL62" i="1"/>
  <c r="GL66" i="1"/>
  <c r="GL70" i="1"/>
  <c r="GL82" i="1"/>
  <c r="GL86" i="1"/>
  <c r="GL90" i="1"/>
  <c r="GL102" i="1"/>
  <c r="GL118" i="1"/>
  <c r="GB77" i="1"/>
  <c r="GC79" i="1"/>
  <c r="GB93" i="1"/>
  <c r="GB109" i="1"/>
  <c r="FJ111" i="1"/>
  <c r="GB125" i="1"/>
  <c r="GL57" i="1"/>
  <c r="GL73" i="1"/>
  <c r="GL77" i="1"/>
  <c r="GL81" i="1"/>
  <c r="GL85" i="1"/>
  <c r="GL93" i="1"/>
  <c r="GL105" i="1"/>
  <c r="GL109" i="1"/>
  <c r="GL113" i="1"/>
  <c r="GL117" i="1"/>
  <c r="GL121" i="1"/>
  <c r="GL125" i="1"/>
  <c r="GL129" i="1"/>
  <c r="GT73" i="1"/>
  <c r="GT82" i="1"/>
  <c r="GT93" i="1"/>
  <c r="GZ90" i="1"/>
  <c r="GZ101" i="1"/>
  <c r="GZ109" i="1"/>
  <c r="GZ117" i="1"/>
  <c r="GF70" i="1"/>
  <c r="GZ79" i="1"/>
  <c r="GF81" i="1"/>
  <c r="GF90" i="1"/>
  <c r="GZ103" i="1"/>
  <c r="GZ111" i="1"/>
  <c r="GZ95" i="1"/>
  <c r="GZ119" i="1"/>
  <c r="GO62" i="1"/>
  <c r="GQ64" i="1"/>
  <c r="GO66" i="1"/>
  <c r="GO118" i="1"/>
  <c r="GQ124" i="1"/>
  <c r="GX69" i="1"/>
  <c r="GX73" i="1"/>
  <c r="GX77" i="1"/>
  <c r="GX85" i="1"/>
  <c r="GT74" i="1"/>
  <c r="GT85" i="1"/>
  <c r="GT90" i="1"/>
  <c r="GT109" i="1"/>
  <c r="GT119" i="1"/>
  <c r="GT127" i="1"/>
  <c r="GZ73" i="1"/>
  <c r="GZ102" i="1"/>
  <c r="GZ129" i="1"/>
  <c r="GZ127" i="1"/>
  <c r="GF129" i="1"/>
  <c r="GQ70" i="1"/>
  <c r="GQ79" i="1"/>
  <c r="GP81" i="1"/>
  <c r="GO85" i="1"/>
  <c r="GQ93" i="1"/>
  <c r="GQ109" i="1"/>
  <c r="GP113" i="1"/>
  <c r="GQ118" i="1"/>
  <c r="GQ125" i="1"/>
  <c r="GQ127" i="1"/>
  <c r="GP129" i="1"/>
  <c r="GO86" i="1"/>
  <c r="GQ88" i="1"/>
  <c r="GP95" i="1"/>
  <c r="GO102" i="1"/>
  <c r="GP111" i="1"/>
  <c r="GO126" i="1"/>
  <c r="GQ73" i="1"/>
  <c r="GP77" i="1"/>
  <c r="GP86" i="1"/>
  <c r="GO88" i="1"/>
  <c r="GO95" i="1"/>
  <c r="GP102" i="1"/>
  <c r="GP109" i="1"/>
  <c r="GO111" i="1"/>
  <c r="GP125" i="1"/>
  <c r="GO70" i="1"/>
  <c r="GP79" i="1"/>
  <c r="GO82" i="1"/>
  <c r="GO94" i="1"/>
  <c r="GF86" i="1"/>
  <c r="GT88" i="1"/>
  <c r="GF102" i="1"/>
  <c r="GF126" i="1"/>
  <c r="GO77" i="1"/>
  <c r="GP82" i="1"/>
  <c r="GQ94" i="1"/>
  <c r="GP105" i="1"/>
  <c r="GQ117" i="1"/>
  <c r="GQ126" i="1"/>
  <c r="GO90" i="1"/>
  <c r="GP119" i="1"/>
  <c r="GP127" i="1"/>
  <c r="GO73" i="1"/>
  <c r="GP85" i="1"/>
  <c r="GQ90" i="1"/>
  <c r="GP94" i="1"/>
  <c r="GO105" i="1"/>
  <c r="GQ113" i="1"/>
  <c r="GP117" i="1"/>
  <c r="GO119" i="1"/>
  <c r="GP126" i="1"/>
  <c r="GQ129" i="1"/>
  <c r="GW57" i="1"/>
  <c r="GV64" i="1"/>
  <c r="GW65" i="1"/>
  <c r="GV72" i="1"/>
  <c r="GW73" i="1"/>
  <c r="GW77" i="1"/>
  <c r="GU79" i="1"/>
  <c r="GW81" i="1"/>
  <c r="GW85" i="1"/>
  <c r="GV88" i="1"/>
  <c r="GW93" i="1"/>
  <c r="GU95" i="1"/>
  <c r="GW97" i="1"/>
  <c r="GW105" i="1"/>
  <c r="GW109" i="1"/>
  <c r="GU111" i="1"/>
  <c r="GW113" i="1"/>
  <c r="GW117" i="1"/>
  <c r="GU119" i="1"/>
  <c r="GW121" i="1"/>
  <c r="GV124" i="1"/>
  <c r="GW125" i="1"/>
  <c r="GU127" i="1"/>
  <c r="GW129" i="1"/>
  <c r="GS79" i="1"/>
  <c r="GS95" i="1"/>
  <c r="GS111" i="1"/>
  <c r="GS119" i="1"/>
  <c r="GS127" i="1"/>
  <c r="GY62" i="1"/>
  <c r="GY66" i="1"/>
  <c r="GY70" i="1"/>
  <c r="GY82" i="1"/>
  <c r="GY86" i="1"/>
  <c r="GY90" i="1"/>
  <c r="GY94" i="1"/>
  <c r="GY102" i="1"/>
  <c r="GY118" i="1"/>
  <c r="GY126" i="1"/>
  <c r="GR64" i="1"/>
  <c r="GR88" i="1"/>
  <c r="GR120" i="1"/>
  <c r="GR124" i="1"/>
  <c r="GW62" i="1"/>
  <c r="GU64" i="1"/>
  <c r="GW66" i="1"/>
  <c r="GW70" i="1"/>
  <c r="GU72" i="1"/>
  <c r="GV73" i="1"/>
  <c r="GV77" i="1"/>
  <c r="GV81" i="1"/>
  <c r="GW82" i="1"/>
  <c r="GV85" i="1"/>
  <c r="GW86" i="1"/>
  <c r="GU88" i="1"/>
  <c r="GW90" i="1"/>
  <c r="GV93" i="1"/>
  <c r="GW94" i="1"/>
  <c r="GW102" i="1"/>
  <c r="GV105" i="1"/>
  <c r="GV109" i="1"/>
  <c r="GV113" i="1"/>
  <c r="GV117" i="1"/>
  <c r="GW118" i="1"/>
  <c r="GV121" i="1"/>
  <c r="GV125" i="1"/>
  <c r="GW126" i="1"/>
  <c r="GV129" i="1"/>
  <c r="GS62" i="1"/>
  <c r="GS66" i="1"/>
  <c r="GS70" i="1"/>
  <c r="GS82" i="1"/>
  <c r="GS86" i="1"/>
  <c r="GS90" i="1"/>
  <c r="GS94" i="1"/>
  <c r="GS102" i="1"/>
  <c r="GS110" i="1"/>
  <c r="GS118" i="1"/>
  <c r="GS126" i="1"/>
  <c r="GY73" i="1"/>
  <c r="GY77" i="1"/>
  <c r="GY81" i="1"/>
  <c r="GY85" i="1"/>
  <c r="GY93" i="1"/>
  <c r="GY105" i="1"/>
  <c r="GY109" i="1"/>
  <c r="GY113" i="1"/>
  <c r="GY117" i="1"/>
  <c r="GY121" i="1"/>
  <c r="GY125" i="1"/>
  <c r="GY129" i="1"/>
  <c r="GR79" i="1"/>
  <c r="GR95" i="1"/>
  <c r="GR111" i="1"/>
  <c r="GR119" i="1"/>
  <c r="GR127" i="1"/>
  <c r="AB53" i="1"/>
  <c r="GV62" i="1"/>
  <c r="GV66" i="1"/>
  <c r="GV70" i="1"/>
  <c r="GU73" i="1"/>
  <c r="GU77" i="1"/>
  <c r="GW79" i="1"/>
  <c r="GU81" i="1"/>
  <c r="GV82" i="1"/>
  <c r="GU85" i="1"/>
  <c r="GV86" i="1"/>
  <c r="GV90" i="1"/>
  <c r="GU93" i="1"/>
  <c r="GV94" i="1"/>
  <c r="GW95" i="1"/>
  <c r="GU97" i="1"/>
  <c r="GV102" i="1"/>
  <c r="GU105" i="1"/>
  <c r="GU109" i="1"/>
  <c r="GW111" i="1"/>
  <c r="GU113" i="1"/>
  <c r="GU117" i="1"/>
  <c r="GV118" i="1"/>
  <c r="GW119" i="1"/>
  <c r="GU121" i="1"/>
  <c r="GU125" i="1"/>
  <c r="GV126" i="1"/>
  <c r="GW127" i="1"/>
  <c r="GU129" i="1"/>
  <c r="GS73" i="1"/>
  <c r="GS77" i="1"/>
  <c r="GS81" i="1"/>
  <c r="GS85" i="1"/>
  <c r="GS93" i="1"/>
  <c r="GS97" i="1"/>
  <c r="GS105" i="1"/>
  <c r="GS109" i="1"/>
  <c r="GS113" i="1"/>
  <c r="GS117" i="1"/>
  <c r="GS121" i="1"/>
  <c r="GS125" i="1"/>
  <c r="GS129" i="1"/>
  <c r="GY64" i="1"/>
  <c r="GY88" i="1"/>
  <c r="GR62" i="1"/>
  <c r="GR66" i="1"/>
  <c r="GR70" i="1"/>
  <c r="GR82" i="1"/>
  <c r="GR86" i="1"/>
  <c r="GR90" i="1"/>
  <c r="GR94" i="1"/>
  <c r="GR102" i="1"/>
  <c r="GR118" i="1"/>
  <c r="GR126" i="1"/>
  <c r="GU62" i="1"/>
  <c r="GW64" i="1"/>
  <c r="GU66" i="1"/>
  <c r="GU70" i="1"/>
  <c r="GW72" i="1"/>
  <c r="GU74" i="1"/>
  <c r="GV79" i="1"/>
  <c r="GU82" i="1"/>
  <c r="GU86" i="1"/>
  <c r="GW88" i="1"/>
  <c r="GU90" i="1"/>
  <c r="GU94" i="1"/>
  <c r="GV95" i="1"/>
  <c r="GU102" i="1"/>
  <c r="GV111" i="1"/>
  <c r="GU118" i="1"/>
  <c r="GV119" i="1"/>
  <c r="GU126" i="1"/>
  <c r="GV127" i="1"/>
  <c r="GS64" i="1"/>
  <c r="GS88" i="1"/>
  <c r="GY79" i="1"/>
  <c r="GY95" i="1"/>
  <c r="GY111" i="1"/>
  <c r="GY119" i="1"/>
  <c r="GY127" i="1"/>
  <c r="GR73" i="1"/>
  <c r="GR77" i="1"/>
  <c r="GR81" i="1"/>
  <c r="GR85" i="1"/>
  <c r="GR93" i="1"/>
  <c r="GR105" i="1"/>
  <c r="GR109" i="1"/>
  <c r="GR113" i="1"/>
  <c r="GR117" i="1"/>
  <c r="GR121" i="1"/>
  <c r="GR125" i="1"/>
  <c r="GR129" i="1"/>
  <c r="GT62" i="1"/>
  <c r="GQ86" i="1"/>
  <c r="HA79" i="1"/>
  <c r="HA95" i="1"/>
  <c r="HA111" i="1"/>
  <c r="HA119" i="1"/>
  <c r="HA127" i="1"/>
  <c r="HE62" i="1"/>
  <c r="HE64" i="1"/>
  <c r="HE66" i="1"/>
  <c r="HE70" i="1"/>
  <c r="HE72" i="1"/>
  <c r="HE73" i="1"/>
  <c r="HE77" i="1"/>
  <c r="HE79" i="1"/>
  <c r="HE81" i="1"/>
  <c r="HE82" i="1"/>
  <c r="HE85" i="1"/>
  <c r="HE86" i="1"/>
  <c r="HE88" i="1"/>
  <c r="HE90" i="1"/>
  <c r="HE93" i="1"/>
  <c r="HE94" i="1"/>
  <c r="HE95" i="1"/>
  <c r="HE102" i="1"/>
  <c r="HE103" i="1"/>
  <c r="HE105" i="1"/>
  <c r="HE109" i="1"/>
  <c r="HE111" i="1"/>
  <c r="HE113" i="1"/>
  <c r="HE117" i="1"/>
  <c r="HE118" i="1"/>
  <c r="HE119" i="1"/>
  <c r="HE121" i="1"/>
  <c r="HE125" i="1"/>
  <c r="HE126" i="1"/>
  <c r="HE127" i="1"/>
  <c r="HE129" i="1"/>
  <c r="HA62" i="1"/>
  <c r="HA66" i="1"/>
  <c r="HA70" i="1"/>
  <c r="HA82" i="1"/>
  <c r="HA86" i="1"/>
  <c r="HA90" i="1"/>
  <c r="HA94" i="1"/>
  <c r="HA102" i="1"/>
  <c r="HA118" i="1"/>
  <c r="HA126" i="1"/>
  <c r="HH62" i="1"/>
  <c r="HH64" i="1"/>
  <c r="HH66" i="1"/>
  <c r="HH70" i="1"/>
  <c r="HH73" i="1"/>
  <c r="HH77" i="1"/>
  <c r="HH79" i="1"/>
  <c r="HH81" i="1"/>
  <c r="HH82" i="1"/>
  <c r="HH85" i="1"/>
  <c r="HH86" i="1"/>
  <c r="HH88" i="1"/>
  <c r="HH90" i="1"/>
  <c r="HH93" i="1"/>
  <c r="HH94" i="1"/>
  <c r="HH95" i="1"/>
  <c r="HH102" i="1"/>
  <c r="HH105" i="1"/>
  <c r="HH109" i="1"/>
  <c r="HH111" i="1"/>
  <c r="HH113" i="1"/>
  <c r="HH117" i="1"/>
  <c r="HH118" i="1"/>
  <c r="HH119" i="1"/>
  <c r="HH121" i="1"/>
  <c r="HH125" i="1"/>
  <c r="HH126" i="1"/>
  <c r="HH127" i="1"/>
  <c r="HH129" i="1"/>
  <c r="HA69" i="1"/>
  <c r="HA73" i="1"/>
  <c r="HA77" i="1"/>
  <c r="HA81" i="1"/>
  <c r="HA85" i="1"/>
  <c r="HA93" i="1"/>
  <c r="HA105" i="1"/>
  <c r="HA109" i="1"/>
  <c r="HA113" i="1"/>
  <c r="HA117" i="1"/>
  <c r="HA121" i="1"/>
  <c r="HA125" i="1"/>
  <c r="HA129" i="1"/>
  <c r="HG62" i="1"/>
  <c r="HG64" i="1"/>
  <c r="HG66" i="1"/>
  <c r="HG70" i="1"/>
  <c r="HG73" i="1"/>
  <c r="HG77" i="1"/>
  <c r="HG79" i="1"/>
  <c r="HG81" i="1"/>
  <c r="HG82" i="1"/>
  <c r="HG85" i="1"/>
  <c r="HG86" i="1"/>
  <c r="HG88" i="1"/>
  <c r="HG90" i="1"/>
  <c r="HG93" i="1"/>
  <c r="HG94" i="1"/>
  <c r="HG95" i="1"/>
  <c r="HG102" i="1"/>
  <c r="HG105" i="1"/>
  <c r="HG109" i="1"/>
  <c r="HG111" i="1"/>
  <c r="HG113" i="1"/>
  <c r="HG117" i="1"/>
  <c r="HG118" i="1"/>
  <c r="HG119" i="1"/>
  <c r="HG121" i="1"/>
  <c r="HG125" i="1"/>
  <c r="HG126" i="1"/>
  <c r="HG127" i="1"/>
  <c r="HG129" i="1"/>
  <c r="GT64" i="1"/>
  <c r="HA64" i="1"/>
  <c r="HA88" i="1"/>
  <c r="HF54" i="1"/>
  <c r="HF62" i="1"/>
  <c r="HF64" i="1"/>
  <c r="HF66" i="1"/>
  <c r="HF70" i="1"/>
  <c r="HF73" i="1"/>
  <c r="HF74" i="1"/>
  <c r="HF77" i="1"/>
  <c r="HF79" i="1"/>
  <c r="HF81" i="1"/>
  <c r="HF82" i="1"/>
  <c r="HF85" i="1"/>
  <c r="HF86" i="1"/>
  <c r="HF88" i="1"/>
  <c r="HF90" i="1"/>
  <c r="HF93" i="1"/>
  <c r="HF94" i="1"/>
  <c r="HF95" i="1"/>
  <c r="HF102" i="1"/>
  <c r="HF105" i="1"/>
  <c r="HF109" i="1"/>
  <c r="HF111" i="1"/>
  <c r="HF113" i="1"/>
  <c r="HF117" i="1"/>
  <c r="HF118" i="1"/>
  <c r="HF119" i="1"/>
  <c r="HF121" i="1"/>
  <c r="HF125" i="1"/>
  <c r="HF126" i="1"/>
  <c r="HF127" i="1"/>
  <c r="HF129" i="1"/>
  <c r="GK105" i="1"/>
  <c r="HC73" i="1"/>
  <c r="HC77" i="1"/>
  <c r="HC79" i="1"/>
  <c r="HC81" i="1"/>
  <c r="HC85" i="1"/>
  <c r="HC93" i="1"/>
  <c r="HC95" i="1"/>
  <c r="HC101" i="1"/>
  <c r="HC105" i="1"/>
  <c r="HC109" i="1"/>
  <c r="HC111" i="1"/>
  <c r="HC113" i="1"/>
  <c r="HC117" i="1"/>
  <c r="HC119" i="1"/>
  <c r="HC121" i="1"/>
  <c r="HC125" i="1"/>
  <c r="HC127" i="1"/>
  <c r="HC129" i="1"/>
  <c r="GO93" i="1"/>
  <c r="GK93" i="1"/>
  <c r="HB73" i="1"/>
  <c r="HB77" i="1"/>
  <c r="HB79" i="1"/>
  <c r="HB81" i="1"/>
  <c r="HB85" i="1"/>
  <c r="HB93" i="1"/>
  <c r="HB95" i="1"/>
  <c r="HB105" i="1"/>
  <c r="HB109" i="1"/>
  <c r="HB111" i="1"/>
  <c r="HB113" i="1"/>
  <c r="HB117" i="1"/>
  <c r="HB119" i="1"/>
  <c r="HB121" i="1"/>
  <c r="HB125" i="1"/>
  <c r="HB127" i="1"/>
  <c r="HB129" i="1"/>
  <c r="HD62" i="1"/>
  <c r="HD64" i="1"/>
  <c r="HD66" i="1"/>
  <c r="HD70" i="1"/>
  <c r="HD82" i="1"/>
  <c r="HD86" i="1"/>
  <c r="HD88" i="1"/>
  <c r="HD90" i="1"/>
  <c r="HD94" i="1"/>
  <c r="HD102" i="1"/>
  <c r="HD118" i="1"/>
  <c r="HD126" i="1"/>
  <c r="GP70" i="1"/>
  <c r="GP73" i="1"/>
  <c r="GQ105" i="1"/>
  <c r="GO117" i="1"/>
  <c r="GK88" i="1"/>
  <c r="HC62" i="1"/>
  <c r="HC64" i="1"/>
  <c r="HC66" i="1"/>
  <c r="HC70" i="1"/>
  <c r="HC82" i="1"/>
  <c r="HC86" i="1"/>
  <c r="HC88" i="1"/>
  <c r="HC90" i="1"/>
  <c r="HC94" i="1"/>
  <c r="HC102" i="1"/>
  <c r="HC110" i="1"/>
  <c r="HC118" i="1"/>
  <c r="HC126" i="1"/>
  <c r="GF65" i="1"/>
  <c r="GQ77" i="1"/>
  <c r="GO79" i="1"/>
  <c r="GF82" i="1"/>
  <c r="GQ85" i="1"/>
  <c r="GF113" i="1"/>
  <c r="GQ119" i="1"/>
  <c r="GK117" i="1"/>
  <c r="HB62" i="1"/>
  <c r="HB64" i="1"/>
  <c r="HB66" i="1"/>
  <c r="HB70" i="1"/>
  <c r="HB82" i="1"/>
  <c r="HB86" i="1"/>
  <c r="HB88" i="1"/>
  <c r="HB90" i="1"/>
  <c r="HB94" i="1"/>
  <c r="HB102" i="1"/>
  <c r="HB118" i="1"/>
  <c r="HB126" i="1"/>
  <c r="HD73" i="1"/>
  <c r="HD77" i="1"/>
  <c r="HD79" i="1"/>
  <c r="HD81" i="1"/>
  <c r="HD85" i="1"/>
  <c r="HD93" i="1"/>
  <c r="HD95" i="1"/>
  <c r="HD105" i="1"/>
  <c r="HD109" i="1"/>
  <c r="HD111" i="1"/>
  <c r="HD113" i="1"/>
  <c r="HD117" i="1"/>
  <c r="HD119" i="1"/>
  <c r="HD121" i="1"/>
  <c r="HD125" i="1"/>
  <c r="HD127" i="1"/>
  <c r="HD129" i="1"/>
  <c r="O32" i="1"/>
  <c r="N32" i="1"/>
  <c r="P62" i="1"/>
  <c r="S62" i="1"/>
  <c r="Y62" i="1"/>
  <c r="N99" i="1"/>
  <c r="R99" i="1"/>
  <c r="GT113" i="1"/>
  <c r="GT125" i="1"/>
  <c r="GZ64" i="1"/>
  <c r="GZ81" i="1"/>
  <c r="GZ94" i="1"/>
  <c r="GZ113" i="1"/>
  <c r="GZ121" i="1"/>
  <c r="GF62" i="1"/>
  <c r="GQ82" i="1"/>
  <c r="GQ95" i="1"/>
  <c r="GO109" i="1"/>
  <c r="GQ111" i="1"/>
  <c r="GO113" i="1"/>
  <c r="GP64" i="1"/>
  <c r="GO81" i="1"/>
  <c r="GP93" i="1"/>
  <c r="GP121" i="1"/>
  <c r="GK79" i="1"/>
  <c r="GK95" i="1"/>
  <c r="GK111" i="1"/>
  <c r="GK119" i="1"/>
  <c r="GK127" i="1"/>
  <c r="AZ127" i="1"/>
  <c r="GO64" i="1"/>
  <c r="GO121" i="1"/>
  <c r="GK62" i="1"/>
  <c r="GK66" i="1"/>
  <c r="GK70" i="1"/>
  <c r="GK82" i="1"/>
  <c r="GK86" i="1"/>
  <c r="GK90" i="1"/>
  <c r="GK94" i="1"/>
  <c r="GK102" i="1"/>
  <c r="GK118" i="1"/>
  <c r="GK126" i="1"/>
  <c r="AZ62" i="1"/>
  <c r="AZ66" i="1"/>
  <c r="AZ90" i="1"/>
  <c r="AZ94" i="1"/>
  <c r="AZ102" i="1"/>
  <c r="AZ110" i="1"/>
  <c r="AZ118" i="1"/>
  <c r="GF66" i="1"/>
  <c r="GO125" i="1"/>
  <c r="GQ62" i="1"/>
  <c r="GQ66" i="1"/>
  <c r="GP118" i="1"/>
  <c r="GK57" i="1"/>
  <c r="GK73" i="1"/>
  <c r="GK77" i="1"/>
  <c r="GK81" i="1"/>
  <c r="GK85" i="1"/>
  <c r="GK109" i="1"/>
  <c r="GK113" i="1"/>
  <c r="GK121" i="1"/>
  <c r="GK125" i="1"/>
  <c r="GK129" i="1"/>
  <c r="AZ81" i="1"/>
  <c r="AZ121" i="1"/>
  <c r="AZ129" i="1"/>
  <c r="GK64" i="1"/>
  <c r="I21" i="5"/>
  <c r="I32" i="5"/>
  <c r="I17" i="5"/>
  <c r="I36" i="5"/>
  <c r="I9" i="5"/>
  <c r="I30" i="5"/>
  <c r="I27" i="5"/>
  <c r="AM28" i="7"/>
  <c r="AI28" i="7"/>
  <c r="R31" i="7"/>
  <c r="X31" i="7" s="1"/>
  <c r="Q31" i="7"/>
  <c r="R15" i="7"/>
  <c r="X15" i="7"/>
  <c r="Q15" i="7"/>
  <c r="BA33" i="10"/>
  <c r="BK33" i="10" s="1"/>
  <c r="BB33" i="10"/>
  <c r="BL33" i="10" s="1"/>
  <c r="AM27" i="7"/>
  <c r="P8" i="7"/>
  <c r="AC8" i="7"/>
  <c r="Z8" i="7"/>
  <c r="AB8" i="7"/>
  <c r="AE8" i="7"/>
  <c r="AH23" i="7"/>
  <c r="AJ23" i="7"/>
  <c r="AF9" i="7"/>
  <c r="AE9" i="7"/>
  <c r="AC9" i="7"/>
  <c r="BB28" i="10"/>
  <c r="BL28" i="10" s="1"/>
  <c r="BA28" i="10"/>
  <c r="BK28" i="10" s="1"/>
  <c r="W5" i="7"/>
  <c r="AV6" i="7" s="1"/>
  <c r="R29" i="7"/>
  <c r="X29" i="7" s="1"/>
  <c r="Q29" i="7"/>
  <c r="AE28" i="7"/>
  <c r="AG28" i="7"/>
  <c r="S14" i="4"/>
  <c r="AP97" i="7"/>
  <c r="AW96" i="7"/>
  <c r="AB96" i="7"/>
  <c r="AM95" i="7"/>
  <c r="AP93" i="7"/>
  <c r="U92" i="7"/>
  <c r="BA92" i="7"/>
  <c r="BB92" i="7"/>
  <c r="W92" i="7"/>
  <c r="Q92" i="7"/>
  <c r="BA90" i="7"/>
  <c r="AK90" i="7"/>
  <c r="V90" i="7"/>
  <c r="R87" i="7"/>
  <c r="BA87" i="7"/>
  <c r="AE87" i="7"/>
  <c r="BB87" i="7"/>
  <c r="W87" i="7"/>
  <c r="Q87" i="7"/>
  <c r="AO85" i="7"/>
  <c r="N85" i="7"/>
  <c r="AM79" i="7"/>
  <c r="AP78" i="7"/>
  <c r="X78" i="7"/>
  <c r="BB44" i="7"/>
  <c r="W44" i="7"/>
  <c r="Q44" i="7"/>
  <c r="R44" i="7"/>
  <c r="Q85" i="7"/>
  <c r="W85" i="7"/>
  <c r="BB85" i="7"/>
  <c r="AF23" i="7"/>
  <c r="AM23" i="7" s="1"/>
  <c r="AC28" i="7"/>
  <c r="AG77" i="1"/>
  <c r="S15" i="4"/>
  <c r="AK97" i="7"/>
  <c r="AS96" i="7"/>
  <c r="AA96" i="7"/>
  <c r="AK93" i="7"/>
  <c r="AP92" i="7"/>
  <c r="AZ90" i="7"/>
  <c r="AI90" i="7"/>
  <c r="U90" i="7"/>
  <c r="Z88" i="7"/>
  <c r="BB88" i="7"/>
  <c r="W88" i="7"/>
  <c r="Q88" i="7"/>
  <c r="AS84" i="7"/>
  <c r="Z83" i="7"/>
  <c r="BB83" i="7"/>
  <c r="W83" i="7"/>
  <c r="Q83" i="7"/>
  <c r="BA83" i="7"/>
  <c r="AE79" i="7"/>
  <c r="AO78" i="7"/>
  <c r="U78" i="7"/>
  <c r="AX75" i="7"/>
  <c r="N59" i="7"/>
  <c r="BB59" i="7"/>
  <c r="W59" i="7"/>
  <c r="Q59" i="7"/>
  <c r="S59" i="7"/>
  <c r="AI59" i="7"/>
  <c r="BB54" i="7"/>
  <c r="W54" i="7"/>
  <c r="Q54" i="7"/>
  <c r="Y54" i="7"/>
  <c r="Q93" i="7"/>
  <c r="W93" i="7"/>
  <c r="BB93" i="7"/>
  <c r="AY98" i="7"/>
  <c r="AR96" i="7"/>
  <c r="S96" i="7"/>
  <c r="AE95" i="7"/>
  <c r="BB95" i="7"/>
  <c r="W95" i="7"/>
  <c r="Q95" i="7"/>
  <c r="AE93" i="7"/>
  <c r="AW90" i="7"/>
  <c r="AH90" i="7"/>
  <c r="R90" i="7"/>
  <c r="AK78" i="7"/>
  <c r="AL75" i="7"/>
  <c r="BB42" i="7"/>
  <c r="W42" i="7"/>
  <c r="Q42" i="7"/>
  <c r="Y42" i="7"/>
  <c r="Q37" i="7"/>
  <c r="W37" i="7"/>
  <c r="BB37" i="7"/>
  <c r="R9" i="7"/>
  <c r="X9" i="7"/>
  <c r="W13" i="4"/>
  <c r="AI98" i="7"/>
  <c r="AM96" i="7"/>
  <c r="R96" i="7"/>
  <c r="Z93" i="7"/>
  <c r="AV90" i="7"/>
  <c r="AG90" i="7"/>
  <c r="V79" i="7"/>
  <c r="BB79" i="7"/>
  <c r="W79" i="7"/>
  <c r="Q79" i="7"/>
  <c r="BB78" i="7"/>
  <c r="W78" i="7"/>
  <c r="Q78" i="7"/>
  <c r="V78" i="7"/>
  <c r="AH78" i="7"/>
  <c r="AU78" i="7"/>
  <c r="Y78" i="7"/>
  <c r="AA78" i="7"/>
  <c r="AL78" i="7"/>
  <c r="AY78" i="7"/>
  <c r="O78" i="7"/>
  <c r="AC78" i="7"/>
  <c r="AM78" i="7"/>
  <c r="AZ78" i="7"/>
  <c r="T78" i="7"/>
  <c r="AI75" i="7"/>
  <c r="BB35" i="7"/>
  <c r="W35" i="7"/>
  <c r="Q35" i="7"/>
  <c r="Y35" i="7"/>
  <c r="AU35" i="7"/>
  <c r="V14" i="4"/>
  <c r="Y90" i="7"/>
  <c r="AA90" i="7"/>
  <c r="AL90" i="7"/>
  <c r="AY90" i="7"/>
  <c r="T90" i="7"/>
  <c r="AE90" i="7"/>
  <c r="AP90" i="7"/>
  <c r="BB90" i="7"/>
  <c r="W90" i="7"/>
  <c r="Q90" i="7"/>
  <c r="AF12" i="7"/>
  <c r="AI12" i="7" s="1"/>
  <c r="AI8" i="7" s="1"/>
  <c r="T97" i="7"/>
  <c r="BB97" i="7"/>
  <c r="W97" i="7"/>
  <c r="Q97" i="7"/>
  <c r="AI96" i="7"/>
  <c r="N93" i="7"/>
  <c r="AR90" i="7"/>
  <c r="AC90" i="7"/>
  <c r="AJ84" i="7"/>
  <c r="BB84" i="7"/>
  <c r="W84" i="7"/>
  <c r="Q84" i="7"/>
  <c r="AW78" i="7"/>
  <c r="AE78" i="7"/>
  <c r="BB62" i="7"/>
  <c r="W62" i="7"/>
  <c r="Q62" i="7"/>
  <c r="Y62" i="7"/>
  <c r="R62" i="7"/>
  <c r="X62" i="7"/>
  <c r="AW62" i="7"/>
  <c r="BB46" i="7"/>
  <c r="W46" i="7"/>
  <c r="Q46" i="7"/>
  <c r="Y46" i="7"/>
  <c r="AU46" i="7"/>
  <c r="AD7" i="7"/>
  <c r="AK7" i="7"/>
  <c r="I18" i="5"/>
  <c r="BB98" i="7"/>
  <c r="W98" i="7"/>
  <c r="Q98" i="7"/>
  <c r="V96" i="7"/>
  <c r="AN96" i="7"/>
  <c r="BB96" i="7"/>
  <c r="W96" i="7"/>
  <c r="Q96" i="7"/>
  <c r="AO90" i="7"/>
  <c r="Z90" i="7"/>
  <c r="AV77" i="7"/>
  <c r="S77" i="7"/>
  <c r="X77" i="7"/>
  <c r="AJ77" i="7"/>
  <c r="AO77" i="7"/>
  <c r="AE75" i="7"/>
  <c r="BB75" i="7"/>
  <c r="W75" i="7"/>
  <c r="Q75" i="7"/>
  <c r="R75" i="7"/>
  <c r="AM75" i="7"/>
  <c r="U75" i="7"/>
  <c r="AR75" i="7"/>
  <c r="AA75" i="7"/>
  <c r="AY75" i="7"/>
  <c r="AD75" i="7"/>
  <c r="AA39" i="7"/>
  <c r="Y39" i="7"/>
  <c r="BB39" i="7"/>
  <c r="W39" i="7"/>
  <c r="Q39" i="7"/>
  <c r="S39" i="7"/>
  <c r="AX96" i="7"/>
  <c r="AE96" i="7"/>
  <c r="BB94" i="7"/>
  <c r="W94" i="7"/>
  <c r="Q94" i="7"/>
  <c r="AM90" i="7"/>
  <c r="X90" i="7"/>
  <c r="AR78" i="7"/>
  <c r="Z78" i="7"/>
  <c r="AC71" i="7"/>
  <c r="BB71" i="7"/>
  <c r="W71" i="7"/>
  <c r="Q71" i="7"/>
  <c r="AU56" i="7"/>
  <c r="BB56" i="7"/>
  <c r="W56" i="7"/>
  <c r="Q56" i="7"/>
  <c r="Q77" i="7"/>
  <c r="W77" i="7"/>
  <c r="BB77" i="7"/>
  <c r="Y74" i="7"/>
  <c r="Y50" i="7"/>
  <c r="Q47" i="7"/>
  <c r="Q55" i="7"/>
  <c r="Q63" i="7"/>
  <c r="W47" i="7"/>
  <c r="W55" i="7"/>
  <c r="W63" i="7"/>
  <c r="BB55" i="7"/>
  <c r="BB63" i="7"/>
  <c r="GX66" i="1"/>
  <c r="AZ88" i="1"/>
  <c r="AK64" i="7"/>
  <c r="AZ63" i="7"/>
  <c r="Q40" i="7"/>
  <c r="Q48" i="7"/>
  <c r="Q64" i="7"/>
  <c r="Q72" i="7"/>
  <c r="Q80" i="7"/>
  <c r="W40" i="7"/>
  <c r="W48" i="7"/>
  <c r="W64" i="7"/>
  <c r="W72" i="7"/>
  <c r="W80" i="7"/>
  <c r="BB40" i="7"/>
  <c r="BB48" i="7"/>
  <c r="BB64" i="7"/>
  <c r="BB72" i="7"/>
  <c r="BB80" i="7"/>
  <c r="GB62" i="1"/>
  <c r="GM85" i="1"/>
  <c r="GT77" i="1"/>
  <c r="AZ54" i="1"/>
  <c r="GP62" i="1"/>
  <c r="GP66" i="1"/>
  <c r="GQ81" i="1"/>
  <c r="AZ85" i="1"/>
  <c r="Q41" i="7"/>
  <c r="Q49" i="7"/>
  <c r="Q57" i="7"/>
  <c r="Q65" i="7"/>
  <c r="Q73" i="7"/>
  <c r="Q81" i="7"/>
  <c r="Q89" i="7"/>
  <c r="W41" i="7"/>
  <c r="W49" i="7"/>
  <c r="W57" i="7"/>
  <c r="W65" i="7"/>
  <c r="W73" i="7"/>
  <c r="W81" i="7"/>
  <c r="W89" i="7"/>
  <c r="BB73" i="7"/>
  <c r="BB81" i="7"/>
  <c r="AI74" i="7"/>
  <c r="AU73" i="7"/>
  <c r="AO69" i="7"/>
  <c r="AC64" i="7"/>
  <c r="AN63" i="7"/>
  <c r="O10" i="7"/>
  <c r="R10" i="7" s="1"/>
  <c r="X10" i="7" s="1"/>
  <c r="Q50" i="7"/>
  <c r="Q58" i="7"/>
  <c r="Q66" i="7"/>
  <c r="Q74" i="7"/>
  <c r="Q82" i="7"/>
  <c r="W50" i="7"/>
  <c r="W58" i="7"/>
  <c r="W66" i="7"/>
  <c r="W74" i="7"/>
  <c r="W82" i="7"/>
  <c r="BB58" i="7"/>
  <c r="BB74" i="7"/>
  <c r="BB82" i="7"/>
  <c r="AV101" i="7"/>
  <c r="AF81" i="7"/>
  <c r="AE74" i="7"/>
  <c r="AO73" i="7"/>
  <c r="AW72" i="7"/>
  <c r="AK72" i="7"/>
  <c r="Z72" i="7"/>
  <c r="AJ69" i="7"/>
  <c r="AY64" i="7"/>
  <c r="AB64" i="7"/>
  <c r="AJ63" i="7"/>
  <c r="AE7" i="7"/>
  <c r="Q43" i="7"/>
  <c r="Q51" i="7"/>
  <c r="Q67" i="7"/>
  <c r="Q91" i="7"/>
  <c r="W43" i="7"/>
  <c r="W51" i="7"/>
  <c r="W67" i="7"/>
  <c r="W91" i="7"/>
  <c r="BB43" i="7"/>
  <c r="BB91" i="7"/>
  <c r="GB85" i="1"/>
  <c r="Q36" i="7"/>
  <c r="Q52" i="7"/>
  <c r="Q60" i="7"/>
  <c r="Q68" i="7"/>
  <c r="Q76" i="7"/>
  <c r="W36" i="7"/>
  <c r="W52" i="7"/>
  <c r="W60" i="7"/>
  <c r="W68" i="7"/>
  <c r="W76" i="7"/>
  <c r="BB76" i="7"/>
  <c r="AU91" i="7"/>
  <c r="AH91" i="7"/>
  <c r="AR86" i="7"/>
  <c r="AG86" i="7"/>
  <c r="U86" i="7"/>
  <c r="AV81" i="7"/>
  <c r="BA74" i="7"/>
  <c r="AS72" i="7"/>
  <c r="AG72" i="7"/>
  <c r="Y70" i="7"/>
  <c r="AP64" i="7"/>
  <c r="Q38" i="7"/>
  <c r="Q70" i="7"/>
  <c r="Q86" i="7"/>
  <c r="W38" i="7"/>
  <c r="W70" i="7"/>
  <c r="W86" i="7"/>
  <c r="AX7" i="7"/>
  <c r="W14" i="4"/>
  <c r="X13" i="4"/>
  <c r="W15" i="4"/>
  <c r="AM12" i="7"/>
  <c r="AG12" i="7"/>
  <c r="AH8" i="7" s="1"/>
  <c r="AF8" i="7"/>
  <c r="AJ9" i="7"/>
  <c r="AJ28" i="7"/>
  <c r="AG9" i="7"/>
  <c r="AM9" i="7"/>
  <c r="AI9" i="7"/>
  <c r="Y13" i="4"/>
  <c r="X14" i="4"/>
  <c r="X15" i="4"/>
  <c r="AG8" i="7"/>
  <c r="AM8" i="7"/>
  <c r="Y15" i="4"/>
  <c r="Z13" i="4"/>
  <c r="Z15" i="4" s="1"/>
  <c r="Y14" i="4"/>
  <c r="AB44" i="1"/>
  <c r="AF44" i="1" s="1"/>
  <c r="Z44" i="1"/>
  <c r="P36" i="1"/>
  <c r="S36" i="1" s="1"/>
  <c r="Y36" i="1" s="1"/>
  <c r="V36" i="1" s="1"/>
  <c r="AA59" i="1"/>
  <c r="HD100" i="1"/>
  <c r="FC60" i="1"/>
  <c r="O67" i="1"/>
  <c r="AA87" i="1"/>
  <c r="BZ60" i="1"/>
  <c r="EV100" i="1"/>
  <c r="Z35" i="1"/>
  <c r="HD116" i="1"/>
  <c r="AA11" i="1"/>
  <c r="DD116" i="1"/>
  <c r="GM116" i="1"/>
  <c r="GB76" i="1"/>
  <c r="N94" i="1"/>
  <c r="CJ60" i="1"/>
  <c r="AB19" i="1"/>
  <c r="Z94" i="1"/>
  <c r="GB117" i="1"/>
  <c r="AB110" i="1"/>
  <c r="GX109" i="1"/>
  <c r="AD104" i="1"/>
  <c r="AH104" i="1"/>
  <c r="GX102" i="1"/>
  <c r="AM96" i="1"/>
  <c r="AG96" i="1"/>
  <c r="AC96" i="1"/>
  <c r="AD96" i="1"/>
  <c r="AE96" i="1"/>
  <c r="GX95" i="1"/>
  <c r="Q95" i="1"/>
  <c r="Z90" i="1"/>
  <c r="AA85" i="1"/>
  <c r="Z85" i="1"/>
  <c r="Q85" i="1"/>
  <c r="N85" i="1"/>
  <c r="AB85" i="1"/>
  <c r="P85" i="1"/>
  <c r="S85" i="1"/>
  <c r="Y85" i="1"/>
  <c r="AB79" i="1"/>
  <c r="P79" i="1"/>
  <c r="S79" i="1"/>
  <c r="Y79" i="1"/>
  <c r="AA79" i="1"/>
  <c r="N79" i="1"/>
  <c r="O79" i="1"/>
  <c r="GX74" i="1"/>
  <c r="AE71" i="1"/>
  <c r="GT70" i="1"/>
  <c r="O68" i="1"/>
  <c r="P68" i="1"/>
  <c r="S68" i="1"/>
  <c r="Y68" i="1"/>
  <c r="V68" i="1"/>
  <c r="AA68" i="1"/>
  <c r="N68" i="1"/>
  <c r="Z68" i="1"/>
  <c r="AC68" i="1"/>
  <c r="R63" i="1"/>
  <c r="X63" i="1"/>
  <c r="AQ63" i="1"/>
  <c r="O60" i="1"/>
  <c r="AA60" i="1"/>
  <c r="AD60" i="1" s="1"/>
  <c r="AH60" i="1" s="1"/>
  <c r="Z60" i="1"/>
  <c r="P60" i="1"/>
  <c r="S60" i="1" s="1"/>
  <c r="Y60" i="1" s="1"/>
  <c r="AB60" i="1"/>
  <c r="N44" i="1"/>
  <c r="O44" i="1"/>
  <c r="AA44" i="1"/>
  <c r="AB12" i="1"/>
  <c r="DO60" i="1"/>
  <c r="EH60" i="1"/>
  <c r="ED60" i="1"/>
  <c r="DX60" i="1"/>
  <c r="DS60" i="1"/>
  <c r="FL60" i="1"/>
  <c r="DN60" i="1"/>
  <c r="EE60" i="1"/>
  <c r="DV60" i="1"/>
  <c r="DA60" i="1"/>
  <c r="FU60" i="1"/>
  <c r="FI60" i="1"/>
  <c r="FG60" i="1"/>
  <c r="DC60" i="1"/>
  <c r="FX60" i="1"/>
  <c r="BR60" i="1"/>
  <c r="CD100" i="1"/>
  <c r="FB100" i="1"/>
  <c r="EZ100" i="1"/>
  <c r="CH100" i="1"/>
  <c r="BS100" i="1"/>
  <c r="EF100" i="1"/>
  <c r="DT100" i="1"/>
  <c r="DX100" i="1"/>
  <c r="DP100" i="1"/>
  <c r="ED100" i="1"/>
  <c r="DD100" i="1"/>
  <c r="DH100" i="1"/>
  <c r="BX100" i="1"/>
  <c r="EU100" i="1"/>
  <c r="FQ100" i="1"/>
  <c r="FU100" i="1"/>
  <c r="FR100" i="1"/>
  <c r="FG100" i="1"/>
  <c r="FS100" i="1"/>
  <c r="FJ100" i="1"/>
  <c r="BK100" i="1"/>
  <c r="DS100" i="1"/>
  <c r="FO100" i="1"/>
  <c r="HF76" i="1"/>
  <c r="GJ116" i="1"/>
  <c r="GG76" i="1"/>
  <c r="CR116" i="1"/>
  <c r="CW60" i="1"/>
  <c r="BN60" i="1"/>
  <c r="BV60" i="1"/>
  <c r="GX76" i="1"/>
  <c r="EU76" i="1"/>
  <c r="FP76" i="1"/>
  <c r="BT76" i="1"/>
  <c r="EC76" i="1"/>
  <c r="DP76" i="1"/>
  <c r="BY76" i="1"/>
  <c r="DX76" i="1"/>
  <c r="FL76" i="1"/>
  <c r="EB76" i="1"/>
  <c r="DE76" i="1"/>
  <c r="DM76" i="1"/>
  <c r="GM76" i="1"/>
  <c r="CJ76" i="1"/>
  <c r="EN76" i="1"/>
  <c r="EJ76" i="1"/>
  <c r="BM76" i="1"/>
  <c r="EF76" i="1"/>
  <c r="CF76" i="1"/>
  <c r="BB76" i="1"/>
  <c r="EA76" i="1"/>
  <c r="FV76" i="1"/>
  <c r="CH76" i="1"/>
  <c r="DN76" i="1"/>
  <c r="FH76" i="1"/>
  <c r="CC76" i="1"/>
  <c r="GE76" i="1"/>
  <c r="FN76" i="1"/>
  <c r="CD76" i="1"/>
  <c r="BQ76" i="1"/>
  <c r="AZ84" i="1"/>
  <c r="EP84" i="1"/>
  <c r="DH84" i="1"/>
  <c r="CF84" i="1"/>
  <c r="BD84" i="1"/>
  <c r="BO84" i="1"/>
  <c r="BD116" i="1"/>
  <c r="ER116" i="1"/>
  <c r="DL116" i="1"/>
  <c r="DB116" i="1"/>
  <c r="EN116" i="1"/>
  <c r="EJ116" i="1"/>
  <c r="DO116" i="1"/>
  <c r="DJ116" i="1"/>
  <c r="BB116" i="1"/>
  <c r="CH116" i="1"/>
  <c r="DK116" i="1"/>
  <c r="CY116" i="1"/>
  <c r="EU116" i="1"/>
  <c r="EL116" i="1"/>
  <c r="DT116" i="1"/>
  <c r="FL116" i="1"/>
  <c r="BM116" i="1"/>
  <c r="DC116" i="1"/>
  <c r="DN116" i="1"/>
  <c r="DZ116" i="1"/>
  <c r="FJ116" i="1"/>
  <c r="FD116" i="1"/>
  <c r="BX116" i="1"/>
  <c r="BR116" i="1"/>
  <c r="GE116" i="1"/>
  <c r="DV116" i="1"/>
  <c r="FO116" i="1"/>
  <c r="FU116" i="1"/>
  <c r="FQ116" i="1"/>
  <c r="EV116" i="1"/>
  <c r="FF116" i="1"/>
  <c r="FG116" i="1"/>
  <c r="FN116" i="1"/>
  <c r="BV116" i="1"/>
  <c r="BF116" i="1"/>
  <c r="FB116" i="1"/>
  <c r="DM116" i="1"/>
  <c r="FS116" i="1"/>
  <c r="FV116" i="1"/>
  <c r="EY116" i="1"/>
  <c r="HI116" i="1"/>
  <c r="BZ116" i="1"/>
  <c r="BI116" i="1"/>
  <c r="BJ116" i="1"/>
  <c r="EZ116" i="1"/>
  <c r="DH116" i="1"/>
  <c r="FM116" i="1"/>
  <c r="FZ116" i="1"/>
  <c r="FH116" i="1"/>
  <c r="BE116" i="1"/>
  <c r="CV116" i="1"/>
  <c r="EQ116" i="1"/>
  <c r="EE116" i="1"/>
  <c r="DI116" i="1"/>
  <c r="FT116" i="1"/>
  <c r="EW116" i="1"/>
  <c r="HB100" i="1"/>
  <c r="HB84" i="1"/>
  <c r="HC60" i="1"/>
  <c r="HD76" i="1"/>
  <c r="HF116" i="1"/>
  <c r="HA116" i="1"/>
  <c r="HE76" i="1"/>
  <c r="GY116" i="1"/>
  <c r="GY76" i="1"/>
  <c r="GU84" i="1"/>
  <c r="GU60" i="1"/>
  <c r="GP60" i="1"/>
  <c r="GO60" i="1"/>
  <c r="GN76" i="1"/>
  <c r="GG116" i="1"/>
  <c r="EY100" i="1"/>
  <c r="GI76" i="1"/>
  <c r="GA116" i="1"/>
  <c r="GA76" i="1"/>
  <c r="GJ76" i="1"/>
  <c r="CI116" i="1"/>
  <c r="CU116" i="1"/>
  <c r="BG100" i="1"/>
  <c r="CW76" i="1"/>
  <c r="CZ76" i="1"/>
  <c r="GD76" i="1"/>
  <c r="CT60" i="1"/>
  <c r="BI60" i="1"/>
  <c r="CC100" i="1"/>
  <c r="BR76" i="1"/>
  <c r="BE60" i="1"/>
  <c r="FH100" i="1"/>
  <c r="FW116" i="1"/>
  <c r="EY76" i="1"/>
  <c r="FZ76" i="1"/>
  <c r="FR60" i="1"/>
  <c r="DG76" i="1"/>
  <c r="EP76" i="1"/>
  <c r="ES116" i="1"/>
  <c r="GT100" i="1"/>
  <c r="HB116" i="1"/>
  <c r="HC76" i="1"/>
  <c r="HA76" i="1"/>
  <c r="HG116" i="1"/>
  <c r="HH116" i="1"/>
  <c r="HE116" i="1"/>
  <c r="GW92" i="1"/>
  <c r="GR100" i="1"/>
  <c r="GM100" i="1"/>
  <c r="GI116" i="1"/>
  <c r="GG100" i="1"/>
  <c r="GH76" i="1"/>
  <c r="GC60" i="1"/>
  <c r="CW116" i="1"/>
  <c r="CX116" i="1"/>
  <c r="CS100" i="1"/>
  <c r="CI100" i="1"/>
  <c r="CT76" i="1"/>
  <c r="BN76" i="1"/>
  <c r="CG60" i="1"/>
  <c r="BF60" i="1"/>
  <c r="CS116" i="1"/>
  <c r="CZ100" i="1"/>
  <c r="BU76" i="1"/>
  <c r="BB60" i="1"/>
  <c r="EY60" i="1"/>
  <c r="CG100" i="1"/>
  <c r="ET76" i="1"/>
  <c r="GK116" i="1"/>
  <c r="HB60" i="1"/>
  <c r="GY60" i="1"/>
  <c r="GP76" i="1"/>
  <c r="GQ76" i="1"/>
  <c r="GP116" i="1"/>
  <c r="GF76" i="1"/>
  <c r="GH116" i="1"/>
  <c r="GI100" i="1"/>
  <c r="BA76" i="1"/>
  <c r="GG60" i="1"/>
  <c r="GA60" i="1"/>
  <c r="GC76" i="1"/>
  <c r="BA116" i="1"/>
  <c r="CZ116" i="1"/>
  <c r="CQ100" i="1"/>
  <c r="CM100" i="1"/>
  <c r="CG76" i="1"/>
  <c r="BJ60" i="1"/>
  <c r="CN60" i="1"/>
  <c r="BL116" i="1"/>
  <c r="CA116" i="1"/>
  <c r="CE100" i="1"/>
  <c r="BH60" i="1"/>
  <c r="BU60" i="1"/>
  <c r="FU76" i="1"/>
  <c r="FW60" i="1"/>
  <c r="FD76" i="1"/>
  <c r="FD60" i="1"/>
  <c r="FX100" i="1"/>
  <c r="FB108" i="1"/>
  <c r="BX108" i="1"/>
  <c r="GK60" i="1"/>
  <c r="GT76" i="1"/>
  <c r="HF60" i="1"/>
  <c r="HA60" i="1"/>
  <c r="HH60" i="1"/>
  <c r="GS76" i="1"/>
  <c r="GW76" i="1"/>
  <c r="GU116" i="1"/>
  <c r="GR92" i="1"/>
  <c r="GV76" i="1"/>
  <c r="GV60" i="1"/>
  <c r="GF116" i="1"/>
  <c r="GL76" i="1"/>
  <c r="BA100" i="1"/>
  <c r="GN116" i="1"/>
  <c r="GH100" i="1"/>
  <c r="GI60" i="1"/>
  <c r="FE60" i="1"/>
  <c r="CT100" i="1"/>
  <c r="CN100" i="1"/>
  <c r="BK60" i="1"/>
  <c r="CM60" i="1"/>
  <c r="GE100" i="1"/>
  <c r="BP116" i="1"/>
  <c r="BO116" i="1"/>
  <c r="BQ100" i="1"/>
  <c r="BH76" i="1"/>
  <c r="BX76" i="1"/>
  <c r="BS60" i="1"/>
  <c r="HI60" i="1"/>
  <c r="HB76" i="1"/>
  <c r="HF100" i="1"/>
  <c r="HA100" i="1"/>
  <c r="HG60" i="1"/>
  <c r="GW100" i="1"/>
  <c r="GY100" i="1"/>
  <c r="GV116" i="1"/>
  <c r="GO116" i="1"/>
  <c r="GZ60" i="1"/>
  <c r="GF60" i="1"/>
  <c r="GN60" i="1"/>
  <c r="GN100" i="1"/>
  <c r="GH60" i="1"/>
  <c r="GB116" i="1"/>
  <c r="GC116" i="1"/>
  <c r="CG116" i="1"/>
  <c r="DA116" i="1"/>
  <c r="CL108" i="1"/>
  <c r="CJ100" i="1"/>
  <c r="DA84" i="1"/>
  <c r="BK76" i="1"/>
  <c r="CS76" i="1"/>
  <c r="CK60" i="1"/>
  <c r="CS60" i="1"/>
  <c r="BU116" i="1"/>
  <c r="CB116" i="1"/>
  <c r="CL100" i="1"/>
  <c r="CP92" i="1"/>
  <c r="BS76" i="1"/>
  <c r="FX116" i="1"/>
  <c r="DV100" i="1"/>
  <c r="EM60" i="1"/>
  <c r="AA109" i="1"/>
  <c r="AF109" i="1"/>
  <c r="N109" i="1"/>
  <c r="P93" i="1"/>
  <c r="S93" i="1"/>
  <c r="Y93" i="1"/>
  <c r="V93" i="1"/>
  <c r="AB93" i="1"/>
  <c r="AD93" i="1"/>
  <c r="AH93" i="1"/>
  <c r="O93" i="1"/>
  <c r="Q93" i="1"/>
  <c r="P58" i="1"/>
  <c r="Z58" i="1"/>
  <c r="AA18" i="1"/>
  <c r="Z116" i="1"/>
  <c r="N116" i="1"/>
  <c r="P116" i="1"/>
  <c r="S116" i="1"/>
  <c r="Y116" i="1"/>
  <c r="O116" i="1"/>
  <c r="AA116" i="1"/>
  <c r="AD116" i="1"/>
  <c r="AH116" i="1"/>
  <c r="O108" i="1"/>
  <c r="N108" i="1"/>
  <c r="Q108" i="1"/>
  <c r="O100" i="1"/>
  <c r="AA100" i="1"/>
  <c r="S81" i="1"/>
  <c r="AQ81" i="1"/>
  <c r="P65" i="1"/>
  <c r="S65" i="1"/>
  <c r="Y65" i="1"/>
  <c r="V65" i="1"/>
  <c r="AB65" i="1"/>
  <c r="AA65" i="1"/>
  <c r="O65" i="1"/>
  <c r="N65" i="1"/>
  <c r="O57" i="1"/>
  <c r="AB57" i="1"/>
  <c r="Z57" i="1"/>
  <c r="AA57" i="1"/>
  <c r="AE57" i="1" s="1"/>
  <c r="N57" i="1"/>
  <c r="Q57" i="1" s="1"/>
  <c r="AA25" i="1"/>
  <c r="AD25" i="1" s="1"/>
  <c r="AH25" i="1" s="1"/>
  <c r="P25" i="1"/>
  <c r="O117" i="1"/>
  <c r="AB117" i="1"/>
  <c r="Z117" i="1"/>
  <c r="P117" i="1"/>
  <c r="S117" i="1"/>
  <c r="Y117" i="1"/>
  <c r="N117" i="1"/>
  <c r="Q117" i="1"/>
  <c r="GX113" i="1"/>
  <c r="Z108" i="1"/>
  <c r="AB108" i="1"/>
  <c r="AF108" i="1"/>
  <c r="AM108" i="1"/>
  <c r="AA108" i="1"/>
  <c r="P108" i="1"/>
  <c r="S108" i="1"/>
  <c r="Y108" i="1"/>
  <c r="AC107" i="1"/>
  <c r="GT102" i="1"/>
  <c r="AD99" i="1"/>
  <c r="AH99" i="1"/>
  <c r="N98" i="1"/>
  <c r="Q98" i="1"/>
  <c r="O98" i="1"/>
  <c r="P98" i="1"/>
  <c r="S98" i="1"/>
  <c r="Y98" i="1"/>
  <c r="Z98" i="1"/>
  <c r="AD98" i="1"/>
  <c r="AH98" i="1"/>
  <c r="AE95" i="1"/>
  <c r="P90" i="1"/>
  <c r="S90" i="1"/>
  <c r="Y90" i="1"/>
  <c r="V90" i="1"/>
  <c r="N90" i="1"/>
  <c r="AA90" i="1"/>
  <c r="AE90" i="1"/>
  <c r="O90" i="1"/>
  <c r="Z89" i="1"/>
  <c r="AB89" i="1"/>
  <c r="S89" i="1"/>
  <c r="Y89" i="1"/>
  <c r="V89" i="1"/>
  <c r="AA89" i="1"/>
  <c r="O89" i="1"/>
  <c r="R89" i="1"/>
  <c r="X89" i="1"/>
  <c r="AQ89" i="1"/>
  <c r="N89" i="1"/>
  <c r="Q82" i="1"/>
  <c r="GX82" i="1"/>
  <c r="GB82" i="1"/>
  <c r="R79" i="1"/>
  <c r="X79" i="1"/>
  <c r="AC79" i="1"/>
  <c r="AA74" i="1"/>
  <c r="O74" i="1"/>
  <c r="AB74" i="1"/>
  <c r="P74" i="1"/>
  <c r="S74" i="1"/>
  <c r="Y74" i="1"/>
  <c r="N74" i="1"/>
  <c r="AC72" i="1"/>
  <c r="AB66" i="1"/>
  <c r="N66" i="1"/>
  <c r="P66" i="1"/>
  <c r="S66" i="1"/>
  <c r="Y66" i="1"/>
  <c r="V66" i="1"/>
  <c r="O66" i="1"/>
  <c r="AA66" i="1"/>
  <c r="AE66" i="1"/>
  <c r="AC65" i="1"/>
  <c r="O64" i="1"/>
  <c r="R64" i="1"/>
  <c r="X64" i="1"/>
  <c r="AQ64" i="1"/>
  <c r="AA64" i="1"/>
  <c r="N64" i="1"/>
  <c r="Z64" i="1"/>
  <c r="Q63" i="1"/>
  <c r="N58" i="1"/>
  <c r="O58" i="1"/>
  <c r="AB58" i="1"/>
  <c r="AA58" i="1"/>
  <c r="Q55" i="1"/>
  <c r="AB42" i="1"/>
  <c r="AA42" i="1"/>
  <c r="Z42" i="1"/>
  <c r="N42" i="1"/>
  <c r="R42" i="1" s="1"/>
  <c r="X42" i="1" s="1"/>
  <c r="N34" i="1"/>
  <c r="AB118" i="1"/>
  <c r="AA118" i="1"/>
  <c r="AC118" i="1"/>
  <c r="Z118" i="1"/>
  <c r="O118" i="1"/>
  <c r="Q118" i="1"/>
  <c r="P118" i="1"/>
  <c r="S118" i="1"/>
  <c r="Y118" i="1"/>
  <c r="O110" i="1"/>
  <c r="P110" i="1"/>
  <c r="S110" i="1"/>
  <c r="Y110" i="1"/>
  <c r="Z110" i="1"/>
  <c r="AC110" i="1"/>
  <c r="N110" i="1"/>
  <c r="AA94" i="1"/>
  <c r="O94" i="1"/>
  <c r="R94" i="1"/>
  <c r="X94" i="1"/>
  <c r="AQ94" i="1"/>
  <c r="P94" i="1"/>
  <c r="S94" i="1"/>
  <c r="Y94" i="1"/>
  <c r="N87" i="1"/>
  <c r="O87" i="1"/>
  <c r="Z87" i="1"/>
  <c r="P87" i="1"/>
  <c r="S87" i="1"/>
  <c r="Y87" i="1"/>
  <c r="V87" i="1"/>
  <c r="Z75" i="1"/>
  <c r="AF75" i="1"/>
  <c r="O75" i="1"/>
  <c r="N75" i="1"/>
  <c r="AA75" i="1"/>
  <c r="O59" i="1"/>
  <c r="N59" i="1"/>
  <c r="Q59" i="1"/>
  <c r="AB59" i="1"/>
  <c r="P59" i="1"/>
  <c r="S59" i="1"/>
  <c r="Y59" i="1" s="1"/>
  <c r="AA43" i="1"/>
  <c r="O43" i="1"/>
  <c r="N43" i="1"/>
  <c r="P43" i="1"/>
  <c r="S43" i="1" s="1"/>
  <c r="Y43" i="1" s="1"/>
  <c r="Z43" i="1"/>
  <c r="AB35" i="1"/>
  <c r="O35" i="1"/>
  <c r="AA35" i="1"/>
  <c r="AZ64" i="1"/>
  <c r="ET64" i="1"/>
  <c r="EK64" i="1"/>
  <c r="DI64" i="1"/>
  <c r="DB64" i="1"/>
  <c r="EJ64" i="1"/>
  <c r="EA64" i="1"/>
  <c r="FK64" i="1"/>
  <c r="FR64" i="1"/>
  <c r="FU64" i="1"/>
  <c r="EP64" i="1"/>
  <c r="EL64" i="1"/>
  <c r="DE64" i="1"/>
  <c r="EI64" i="1"/>
  <c r="EE64" i="1"/>
  <c r="DV64" i="1"/>
  <c r="FT64" i="1"/>
  <c r="FG64" i="1"/>
  <c r="CB64" i="1"/>
  <c r="FB64" i="1"/>
  <c r="ER64" i="1"/>
  <c r="EC64" i="1"/>
  <c r="EB64" i="1"/>
  <c r="DX64" i="1"/>
  <c r="DT64" i="1"/>
  <c r="DK64" i="1"/>
  <c r="FO64" i="1"/>
  <c r="FD64" i="1"/>
  <c r="FF64" i="1"/>
  <c r="CE64" i="1"/>
  <c r="FA64" i="1"/>
  <c r="EN64" i="1"/>
  <c r="EM64" i="1"/>
  <c r="DY64" i="1"/>
  <c r="DW64" i="1"/>
  <c r="DS64" i="1"/>
  <c r="DO64" i="1"/>
  <c r="DF64" i="1"/>
  <c r="FM64" i="1"/>
  <c r="FL64" i="1"/>
  <c r="FX64" i="1"/>
  <c r="FP64" i="1"/>
  <c r="FV64" i="1"/>
  <c r="CV64" i="1"/>
  <c r="BT64" i="1"/>
  <c r="ES64" i="1"/>
  <c r="DU64" i="1"/>
  <c r="DR64" i="1"/>
  <c r="DN64" i="1"/>
  <c r="DJ64" i="1"/>
  <c r="EQ64" i="1"/>
  <c r="FJ64" i="1"/>
  <c r="BZ64" i="1"/>
  <c r="EO64" i="1"/>
  <c r="DQ64" i="1"/>
  <c r="DL64" i="1"/>
  <c r="DH64" i="1"/>
  <c r="DD64" i="1"/>
  <c r="FQ64" i="1"/>
  <c r="FY64" i="1"/>
  <c r="EY64" i="1"/>
  <c r="FW64" i="1"/>
  <c r="GX64" i="1"/>
  <c r="BL64" i="1"/>
  <c r="FC64" i="1"/>
  <c r="DM64" i="1"/>
  <c r="DG64" i="1"/>
  <c r="DC64" i="1"/>
  <c r="EF64" i="1"/>
  <c r="FN64" i="1"/>
  <c r="FS64" i="1"/>
  <c r="FZ64" i="1"/>
  <c r="EX64" i="1"/>
  <c r="DZ72" i="1"/>
  <c r="FR72" i="1"/>
  <c r="EE72" i="1"/>
  <c r="EJ72" i="1"/>
  <c r="DD72" i="1"/>
  <c r="FF72" i="1"/>
  <c r="DE72" i="1"/>
  <c r="FY72" i="1"/>
  <c r="FX72" i="1"/>
  <c r="GP88" i="1"/>
  <c r="CP88" i="1"/>
  <c r="BL88" i="1"/>
  <c r="EU88" i="1"/>
  <c r="DZ88" i="1"/>
  <c r="EE88" i="1"/>
  <c r="DU88" i="1"/>
  <c r="DL88" i="1"/>
  <c r="DC88" i="1"/>
  <c r="FM88" i="1"/>
  <c r="FN88" i="1"/>
  <c r="FS88" i="1"/>
  <c r="FZ88" i="1"/>
  <c r="CF88" i="1"/>
  <c r="CH88" i="1"/>
  <c r="EQ88" i="1"/>
  <c r="DV88" i="1"/>
  <c r="DY88" i="1"/>
  <c r="DP88" i="1"/>
  <c r="DG88" i="1"/>
  <c r="FL88" i="1"/>
  <c r="FJ88" i="1"/>
  <c r="ES88" i="1"/>
  <c r="FC88" i="1"/>
  <c r="DN88" i="1"/>
  <c r="DO88" i="1"/>
  <c r="DE88" i="1"/>
  <c r="EC88" i="1"/>
  <c r="CB88" i="1"/>
  <c r="EO88" i="1"/>
  <c r="EZ88" i="1"/>
  <c r="EK88" i="1"/>
  <c r="DJ88" i="1"/>
  <c r="DI88" i="1"/>
  <c r="EG88" i="1"/>
  <c r="DX88" i="1"/>
  <c r="CE88" i="1"/>
  <c r="BK88" i="1"/>
  <c r="ET88" i="1"/>
  <c r="ER88" i="1"/>
  <c r="EL88" i="1"/>
  <c r="DF88" i="1"/>
  <c r="DD88" i="1"/>
  <c r="EB88" i="1"/>
  <c r="DS88" i="1"/>
  <c r="GX88" i="1"/>
  <c r="BT88" i="1"/>
  <c r="EP88" i="1"/>
  <c r="EN88" i="1"/>
  <c r="EH88" i="1"/>
  <c r="DB88" i="1"/>
  <c r="EF88" i="1"/>
  <c r="DW88" i="1"/>
  <c r="DM88" i="1"/>
  <c r="FO88" i="1"/>
  <c r="FX88" i="1"/>
  <c r="FE88" i="1"/>
  <c r="BV88" i="1"/>
  <c r="FA88" i="1"/>
  <c r="ED88" i="1"/>
  <c r="EJ88" i="1"/>
  <c r="EA88" i="1"/>
  <c r="DQ88" i="1"/>
  <c r="DH88" i="1"/>
  <c r="FK88" i="1"/>
  <c r="FQ88" i="1"/>
  <c r="FF88" i="1"/>
  <c r="EF96" i="1"/>
  <c r="EG96" i="1"/>
  <c r="Q120" i="1"/>
  <c r="DN96" i="1"/>
  <c r="FX96" i="1"/>
  <c r="GM95" i="1"/>
  <c r="GZ93" i="1"/>
  <c r="DQ96" i="1"/>
  <c r="AF65" i="1"/>
  <c r="AD65" i="1"/>
  <c r="AH65" i="1"/>
  <c r="AC24" i="1"/>
  <c r="AD107" i="1"/>
  <c r="AH107" i="1"/>
  <c r="Q116" i="1"/>
  <c r="AC117" i="1"/>
  <c r="AE89" i="1"/>
  <c r="AF72" i="1"/>
  <c r="AE113" i="1"/>
  <c r="Q115" i="1"/>
  <c r="AJ77" i="1"/>
  <c r="AE63" i="1"/>
  <c r="AC98" i="1"/>
  <c r="AE107" i="1"/>
  <c r="R118" i="1"/>
  <c r="X118" i="1"/>
  <c r="Q97" i="1"/>
  <c r="R75" i="1"/>
  <c r="X75" i="1"/>
  <c r="AE110" i="1"/>
  <c r="AF87" i="1"/>
  <c r="AM87" i="1"/>
  <c r="AD82" i="1"/>
  <c r="AH82" i="1"/>
  <c r="R104" i="1"/>
  <c r="X104" i="1"/>
  <c r="AD64" i="1"/>
  <c r="AH64" i="1"/>
  <c r="AD72" i="1"/>
  <c r="AH72" i="1"/>
  <c r="AD74" i="1"/>
  <c r="AH74" i="1"/>
  <c r="Q84" i="1"/>
  <c r="AE83" i="1"/>
  <c r="Q89" i="1"/>
  <c r="AF60" i="1"/>
  <c r="AI60" i="1" s="1"/>
  <c r="GT118" i="1"/>
  <c r="AE117" i="1"/>
  <c r="AF117" i="1"/>
  <c r="GM117" i="1"/>
  <c r="GT116" i="1"/>
  <c r="AF115" i="1"/>
  <c r="AE115" i="1"/>
  <c r="AE114" i="1"/>
  <c r="AJ114" i="1"/>
  <c r="Z112" i="1"/>
  <c r="AA112" i="1"/>
  <c r="N112" i="1"/>
  <c r="Q112" i="1"/>
  <c r="AB112" i="1"/>
  <c r="P112" i="1"/>
  <c r="S112" i="1"/>
  <c r="Y112" i="1"/>
  <c r="GT111" i="1"/>
  <c r="AD110" i="1"/>
  <c r="AH110" i="1"/>
  <c r="AD108" i="1"/>
  <c r="AH108" i="1"/>
  <c r="AF107" i="1"/>
  <c r="R107" i="1"/>
  <c r="X107" i="1"/>
  <c r="Q106" i="1"/>
  <c r="AD106" i="1"/>
  <c r="AE104" i="1"/>
  <c r="AC104" i="1"/>
  <c r="Q104" i="1"/>
  <c r="GZ100" i="1"/>
  <c r="AE99" i="1"/>
  <c r="AJ99" i="1"/>
  <c r="AF99" i="1"/>
  <c r="AC99" i="1"/>
  <c r="R97" i="1"/>
  <c r="X97" i="1"/>
  <c r="AQ97" i="1"/>
  <c r="AJ96" i="1"/>
  <c r="R96" i="1"/>
  <c r="X96" i="1"/>
  <c r="AC95" i="1"/>
  <c r="AF94" i="1"/>
  <c r="AE94" i="1"/>
  <c r="Q94" i="1"/>
  <c r="R93" i="1"/>
  <c r="X93" i="1"/>
  <c r="AQ93" i="1"/>
  <c r="AF93" i="1"/>
  <c r="GX93" i="1"/>
  <c r="S92" i="1"/>
  <c r="AM91" i="1"/>
  <c r="Q91" i="1"/>
  <c r="HC91" i="1"/>
  <c r="AC91" i="1"/>
  <c r="AF90" i="1"/>
  <c r="AC90" i="1"/>
  <c r="AD90" i="1"/>
  <c r="AH90" i="1"/>
  <c r="AF89" i="1"/>
  <c r="AC89" i="1"/>
  <c r="AD89" i="1"/>
  <c r="AJ89" i="1"/>
  <c r="Q88" i="1"/>
  <c r="AE87" i="1"/>
  <c r="AD87" i="1"/>
  <c r="AH87" i="1"/>
  <c r="R85" i="1"/>
  <c r="X85" i="1"/>
  <c r="AQ85" i="1"/>
  <c r="Q83" i="1"/>
  <c r="AF83" i="1"/>
  <c r="AM83" i="1"/>
  <c r="AF82" i="1"/>
  <c r="AI82" i="1"/>
  <c r="AE82" i="1"/>
  <c r="AE80" i="1"/>
  <c r="AJ80" i="1"/>
  <c r="Q79" i="1"/>
  <c r="AF79" i="1"/>
  <c r="AE79" i="1"/>
  <c r="Q77" i="1"/>
  <c r="AF76" i="1"/>
  <c r="AE75" i="1"/>
  <c r="AC75" i="1"/>
  <c r="AD75" i="1"/>
  <c r="AC74" i="1"/>
  <c r="AF74" i="1"/>
  <c r="AM74" i="1"/>
  <c r="R74" i="1"/>
  <c r="X74" i="1"/>
  <c r="AQ74" i="1"/>
  <c r="AE72" i="1"/>
  <c r="Q72" i="1"/>
  <c r="R72" i="1"/>
  <c r="X72" i="1"/>
  <c r="R71" i="1"/>
  <c r="X71" i="1"/>
  <c r="AD70" i="1"/>
  <c r="AH70" i="1"/>
  <c r="GZ70" i="1"/>
  <c r="Q70" i="1"/>
  <c r="R70" i="1"/>
  <c r="X70" i="1"/>
  <c r="AQ70" i="1"/>
  <c r="GX70" i="1"/>
  <c r="GN70" i="1"/>
  <c r="P69" i="1"/>
  <c r="S69" i="1"/>
  <c r="Y69" i="1"/>
  <c r="V69" i="1"/>
  <c r="O69" i="1"/>
  <c r="AB69" i="1"/>
  <c r="AF69" i="1"/>
  <c r="AM69" i="1"/>
  <c r="N69" i="1"/>
  <c r="EI68" i="1"/>
  <c r="AE68" i="1"/>
  <c r="R68" i="1"/>
  <c r="X68" i="1"/>
  <c r="AQ68" i="1"/>
  <c r="Z67" i="1"/>
  <c r="N67" i="1"/>
  <c r="R67" i="1"/>
  <c r="X67" i="1"/>
  <c r="AA67" i="1"/>
  <c r="S67" i="1"/>
  <c r="Y67" i="1"/>
  <c r="AB67" i="1"/>
  <c r="AF64" i="1"/>
  <c r="AC63" i="1"/>
  <c r="EF61" i="1"/>
  <c r="FR61" i="1"/>
  <c r="AE60" i="1"/>
  <c r="AJ60" i="1"/>
  <c r="AC60" i="1"/>
  <c r="S58" i="1"/>
  <c r="Y58" i="1"/>
  <c r="R58" i="1"/>
  <c r="X58" i="1" s="1"/>
  <c r="AD57" i="1"/>
  <c r="N41" i="1"/>
  <c r="AA32" i="1"/>
  <c r="AC25" i="1"/>
  <c r="Z11" i="1"/>
  <c r="P11" i="1"/>
  <c r="S11" i="1" s="1"/>
  <c r="Y11" i="1" s="1"/>
  <c r="N11" i="1"/>
  <c r="O11" i="1"/>
  <c r="AB11" i="1"/>
  <c r="CQ99" i="1"/>
  <c r="EU92" i="1"/>
  <c r="FB92" i="1"/>
  <c r="EQ92" i="1"/>
  <c r="DL92" i="1"/>
  <c r="DG92" i="1"/>
  <c r="DF92" i="1"/>
  <c r="EC92" i="1"/>
  <c r="CB92" i="1"/>
  <c r="BI92" i="1"/>
  <c r="BP92" i="1"/>
  <c r="FY92" i="1"/>
  <c r="GG92" i="1"/>
  <c r="BW92" i="1"/>
  <c r="GY92" i="1"/>
  <c r="BS92" i="1"/>
  <c r="CM92" i="1"/>
  <c r="Z22" i="1"/>
  <c r="O14" i="1"/>
  <c r="N14" i="1"/>
  <c r="AB14" i="1"/>
  <c r="P14" i="1"/>
  <c r="S14" i="1" s="1"/>
  <c r="Y14" i="1" s="1"/>
  <c r="AA14" i="1"/>
  <c r="AB9" i="1"/>
  <c r="BO107" i="1"/>
  <c r="DB107" i="1"/>
  <c r="X99" i="1"/>
  <c r="BG107" i="1"/>
  <c r="AZ86" i="1"/>
  <c r="CT86" i="1"/>
  <c r="CI86" i="1"/>
  <c r="CY86" i="1"/>
  <c r="BR86" i="1"/>
  <c r="CA86" i="1"/>
  <c r="BE86" i="1"/>
  <c r="EP86" i="1"/>
  <c r="EN86" i="1"/>
  <c r="CJ86" i="1"/>
  <c r="CP86" i="1"/>
  <c r="CS86" i="1"/>
  <c r="CC86" i="1"/>
  <c r="BZ86" i="1"/>
  <c r="BU86" i="1"/>
  <c r="FB86" i="1"/>
  <c r="CN86" i="1"/>
  <c r="CW86" i="1"/>
  <c r="CZ86" i="1"/>
  <c r="CE86" i="1"/>
  <c r="BV86" i="1"/>
  <c r="BN86" i="1"/>
  <c r="EU86" i="1"/>
  <c r="CR86" i="1"/>
  <c r="CH86" i="1"/>
  <c r="CL86" i="1"/>
  <c r="BO86" i="1"/>
  <c r="BW86" i="1"/>
  <c r="BJ86" i="1"/>
  <c r="EQ86" i="1"/>
  <c r="GT86" i="1"/>
  <c r="BP86" i="1"/>
  <c r="BX86" i="1"/>
  <c r="BF86" i="1"/>
  <c r="BI86" i="1"/>
  <c r="ES86" i="1"/>
  <c r="EM86" i="1"/>
  <c r="GN86" i="1"/>
  <c r="CG86" i="1"/>
  <c r="CF86" i="1"/>
  <c r="CM86" i="1"/>
  <c r="CV86" i="1"/>
  <c r="CU86" i="1"/>
  <c r="CB86" i="1"/>
  <c r="BS86" i="1"/>
  <c r="BB86" i="1"/>
  <c r="EO86" i="1"/>
  <c r="FC86" i="1"/>
  <c r="BL86" i="1"/>
  <c r="DA86" i="1"/>
  <c r="BQ86" i="1"/>
  <c r="BY86" i="1"/>
  <c r="BK86" i="1"/>
  <c r="BH86" i="1"/>
  <c r="BD86" i="1"/>
  <c r="FA86" i="1"/>
  <c r="EZ86" i="1"/>
  <c r="AZ57" i="1"/>
  <c r="BZ57" i="1"/>
  <c r="DF57" i="1"/>
  <c r="BW57" i="1"/>
  <c r="BS57" i="1"/>
  <c r="CD57" i="1" s="1"/>
  <c r="BG57" i="1"/>
  <c r="BV57" i="1"/>
  <c r="BH57" i="1"/>
  <c r="DE57" i="1"/>
  <c r="BY57" i="1"/>
  <c r="CZ65" i="1"/>
  <c r="CR65" i="1"/>
  <c r="DV65" i="1"/>
  <c r="BN65" i="1"/>
  <c r="ER65" i="1"/>
  <c r="EN65" i="1"/>
  <c r="BP65" i="1"/>
  <c r="BQ65" i="1"/>
  <c r="AZ72" i="1"/>
  <c r="BK72" i="1"/>
  <c r="CB72" i="1"/>
  <c r="ET72" i="1"/>
  <c r="ER72" i="1"/>
  <c r="AZ79" i="1"/>
  <c r="GM79" i="1"/>
  <c r="BU79" i="1"/>
  <c r="FA79" i="1"/>
  <c r="EB79" i="1"/>
  <c r="DZ79" i="1"/>
  <c r="DQ79" i="1"/>
  <c r="DG79" i="1"/>
  <c r="DC79" i="1"/>
  <c r="BX79" i="1"/>
  <c r="EQ79" i="1"/>
  <c r="DX79" i="1"/>
  <c r="DU79" i="1"/>
  <c r="DK79" i="1"/>
  <c r="DB79" i="1"/>
  <c r="CK79" i="1"/>
  <c r="BM79" i="1"/>
  <c r="EZ79" i="1"/>
  <c r="DT79" i="1"/>
  <c r="DO79" i="1"/>
  <c r="DF79" i="1"/>
  <c r="EI79" i="1"/>
  <c r="BK79" i="1"/>
  <c r="EN79" i="1"/>
  <c r="DP79" i="1"/>
  <c r="DJ79" i="1"/>
  <c r="EH79" i="1"/>
  <c r="ED79" i="1"/>
  <c r="ES79" i="1"/>
  <c r="EK79" i="1"/>
  <c r="DL79" i="1"/>
  <c r="DE79" i="1"/>
  <c r="EC79" i="1"/>
  <c r="DY79" i="1"/>
  <c r="FC79" i="1"/>
  <c r="EL79" i="1"/>
  <c r="DH79" i="1"/>
  <c r="EG79" i="1"/>
  <c r="DW79" i="1"/>
  <c r="DS79" i="1"/>
  <c r="BO79" i="1"/>
  <c r="EP79" i="1"/>
  <c r="EJ79" i="1"/>
  <c r="DD79" i="1"/>
  <c r="EA79" i="1"/>
  <c r="DR79" i="1"/>
  <c r="DN79" i="1"/>
  <c r="Z105" i="1"/>
  <c r="AC105" i="1"/>
  <c r="O105" i="1"/>
  <c r="Q105" i="1"/>
  <c r="P97" i="1"/>
  <c r="S97" i="1"/>
  <c r="Y97" i="1"/>
  <c r="V97" i="1"/>
  <c r="AB97" i="1"/>
  <c r="AF97" i="1"/>
  <c r="Z84" i="1"/>
  <c r="AA84" i="1"/>
  <c r="P78" i="1"/>
  <c r="S78" i="1"/>
  <c r="Y78" i="1"/>
  <c r="AA78" i="1"/>
  <c r="N78" i="1"/>
  <c r="R78" i="1"/>
  <c r="X78" i="1"/>
  <c r="AQ78" i="1"/>
  <c r="AA62" i="1"/>
  <c r="AE62" i="1"/>
  <c r="O62" i="1"/>
  <c r="Q62" i="1"/>
  <c r="AB62" i="1"/>
  <c r="Z119" i="1"/>
  <c r="N119" i="1"/>
  <c r="R119" i="1"/>
  <c r="X119" i="1"/>
  <c r="AA119" i="1"/>
  <c r="AB119" i="1"/>
  <c r="P119" i="1"/>
  <c r="S119" i="1"/>
  <c r="Y119" i="1"/>
  <c r="V118" i="1"/>
  <c r="AQ118" i="1"/>
  <c r="GZ118" i="1"/>
  <c r="GB118" i="1"/>
  <c r="V117" i="1"/>
  <c r="AI117" i="1"/>
  <c r="AG117" i="1"/>
  <c r="AM117" i="1"/>
  <c r="AD117" i="1"/>
  <c r="AH117" i="1"/>
  <c r="GX117" i="1"/>
  <c r="GT117" i="1"/>
  <c r="V116" i="1"/>
  <c r="R116" i="1"/>
  <c r="X116" i="1"/>
  <c r="GZ116" i="1"/>
  <c r="V115" i="1"/>
  <c r="AI115" i="1"/>
  <c r="AM115" i="1"/>
  <c r="AG115" i="1"/>
  <c r="AQ115" i="1"/>
  <c r="AD115" i="1"/>
  <c r="AH115" i="1"/>
  <c r="AQ114" i="1"/>
  <c r="V114" i="1"/>
  <c r="AF114" i="1"/>
  <c r="AC114" i="1"/>
  <c r="AJ113" i="1"/>
  <c r="V113" i="1"/>
  <c r="AD112" i="1"/>
  <c r="AH112" i="1"/>
  <c r="R112" i="1"/>
  <c r="X112" i="1"/>
  <c r="AC112" i="1"/>
  <c r="Z111" i="1"/>
  <c r="AZ111" i="1"/>
  <c r="N111" i="1"/>
  <c r="AB111" i="1"/>
  <c r="AA111" i="1"/>
  <c r="P111" i="1"/>
  <c r="S111" i="1"/>
  <c r="Y111" i="1"/>
  <c r="O111" i="1"/>
  <c r="V110" i="1"/>
  <c r="GW110" i="1"/>
  <c r="GO110" i="1"/>
  <c r="GN110" i="1"/>
  <c r="GG110" i="1"/>
  <c r="FI110" i="1"/>
  <c r="FZ110" i="1"/>
  <c r="FY110" i="1"/>
  <c r="FP110" i="1"/>
  <c r="EC110" i="1"/>
  <c r="DE110" i="1"/>
  <c r="DN110" i="1"/>
  <c r="DO110" i="1"/>
  <c r="EM110" i="1"/>
  <c r="FC110" i="1"/>
  <c r="BE110" i="1"/>
  <c r="BV110" i="1"/>
  <c r="CE110" i="1"/>
  <c r="CZ110" i="1"/>
  <c r="BJ110" i="1"/>
  <c r="GB110" i="1"/>
  <c r="GT110" i="1"/>
  <c r="HD110" i="1"/>
  <c r="GV110" i="1"/>
  <c r="GQ110" i="1"/>
  <c r="BA110" i="1"/>
  <c r="GC110" i="1"/>
  <c r="FH110" i="1"/>
  <c r="FW110" i="1"/>
  <c r="FR110" i="1"/>
  <c r="FK110" i="1"/>
  <c r="FN110" i="1"/>
  <c r="EH110" i="1"/>
  <c r="DJ110" i="1"/>
  <c r="DT110" i="1"/>
  <c r="DS110" i="1"/>
  <c r="ES110" i="1"/>
  <c r="FB110" i="1"/>
  <c r="BW110" i="1"/>
  <c r="BZ110" i="1"/>
  <c r="BQ110" i="1"/>
  <c r="CM110" i="1"/>
  <c r="CQ110" i="1"/>
  <c r="CK110" i="1"/>
  <c r="HH110" i="1"/>
  <c r="HA110" i="1"/>
  <c r="GJ110" i="1"/>
  <c r="GE110" i="1"/>
  <c r="EY110" i="1"/>
  <c r="FV110" i="1"/>
  <c r="FL110" i="1"/>
  <c r="AF110" i="1"/>
  <c r="DF110" i="1"/>
  <c r="DP110" i="1"/>
  <c r="DY110" i="1"/>
  <c r="DW110" i="1"/>
  <c r="EQ110" i="1"/>
  <c r="BO110" i="1"/>
  <c r="CC110" i="1"/>
  <c r="CU110" i="1"/>
  <c r="HF110" i="1"/>
  <c r="HG110" i="1"/>
  <c r="GF110" i="1"/>
  <c r="GM110" i="1"/>
  <c r="GD110" i="1"/>
  <c r="EX110" i="1"/>
  <c r="FF110" i="1"/>
  <c r="EV110" i="1"/>
  <c r="FO110" i="1"/>
  <c r="DB110" i="1"/>
  <c r="DL110" i="1"/>
  <c r="DU110" i="1"/>
  <c r="ED110" i="1"/>
  <c r="EA110" i="1"/>
  <c r="EP110" i="1"/>
  <c r="BY110" i="1"/>
  <c r="BL110" i="1"/>
  <c r="CD110" i="1"/>
  <c r="CH110" i="1"/>
  <c r="CS110" i="1"/>
  <c r="CY110" i="1"/>
  <c r="CL110" i="1"/>
  <c r="GX110" i="1"/>
  <c r="HI110" i="1"/>
  <c r="FG110" i="1"/>
  <c r="FJ110" i="1"/>
  <c r="FS110" i="1"/>
  <c r="DH110" i="1"/>
  <c r="DQ110" i="1"/>
  <c r="DZ110" i="1"/>
  <c r="EJ110" i="1"/>
  <c r="EE110" i="1"/>
  <c r="EU110" i="1"/>
  <c r="BD110" i="1"/>
  <c r="BT110" i="1"/>
  <c r="BG110" i="1"/>
  <c r="BX110" i="1"/>
  <c r="BK110" i="1"/>
  <c r="CB110" i="1"/>
  <c r="CW110" i="1"/>
  <c r="CP110" i="1"/>
  <c r="CJ110" i="1"/>
  <c r="HE110" i="1"/>
  <c r="GR110" i="1"/>
  <c r="GZ110" i="1"/>
  <c r="FD110" i="1"/>
  <c r="FU110" i="1"/>
  <c r="FX110" i="1"/>
  <c r="CN110" i="1"/>
  <c r="DM110" i="1"/>
  <c r="DV110" i="1"/>
  <c r="EF110" i="1"/>
  <c r="DC110" i="1"/>
  <c r="EI110" i="1"/>
  <c r="EO110" i="1"/>
  <c r="EN110" i="1"/>
  <c r="BN110" i="1"/>
  <c r="BS110" i="1"/>
  <c r="BF110" i="1"/>
  <c r="BR110" i="1"/>
  <c r="CI110" i="1"/>
  <c r="DA110" i="1"/>
  <c r="CT110" i="1"/>
  <c r="CG110" i="1"/>
  <c r="GL110" i="1"/>
  <c r="GK110" i="1"/>
  <c r="HB110" i="1"/>
  <c r="GY110" i="1"/>
  <c r="GP110" i="1"/>
  <c r="GI110" i="1"/>
  <c r="EW110" i="1"/>
  <c r="FE110" i="1"/>
  <c r="FT110" i="1"/>
  <c r="DR110" i="1"/>
  <c r="EB110" i="1"/>
  <c r="DD110" i="1"/>
  <c r="DG110" i="1"/>
  <c r="EL110" i="1"/>
  <c r="ET110" i="1"/>
  <c r="ER110" i="1"/>
  <c r="BH110" i="1"/>
  <c r="BI110" i="1"/>
  <c r="CA110" i="1"/>
  <c r="CR110" i="1"/>
  <c r="CX110" i="1"/>
  <c r="CF110" i="1"/>
  <c r="V109" i="1"/>
  <c r="V108" i="1"/>
  <c r="GZ108" i="1"/>
  <c r="AQ107" i="1"/>
  <c r="V107" i="1"/>
  <c r="V105" i="1"/>
  <c r="AD105" i="1"/>
  <c r="AH105" i="1"/>
  <c r="R105" i="1"/>
  <c r="X105" i="1"/>
  <c r="GT105" i="1"/>
  <c r="AJ104" i="1"/>
  <c r="AQ104" i="1"/>
  <c r="V104" i="1"/>
  <c r="AF104" i="1"/>
  <c r="GQ103" i="1"/>
  <c r="GD103" i="1"/>
  <c r="FV103" i="1"/>
  <c r="BB103" i="1"/>
  <c r="BE103" i="1"/>
  <c r="CC103" i="1"/>
  <c r="BJ103" i="1"/>
  <c r="CU103" i="1"/>
  <c r="CG103" i="1"/>
  <c r="FT103" i="1"/>
  <c r="O103" i="1"/>
  <c r="EA103" i="1"/>
  <c r="DP103" i="1"/>
  <c r="DB103" i="1"/>
  <c r="EH103" i="1"/>
  <c r="EG103" i="1"/>
  <c r="EZ103" i="1"/>
  <c r="GI103" i="1"/>
  <c r="EY103" i="1"/>
  <c r="FG103" i="1"/>
  <c r="FF103" i="1"/>
  <c r="BD103" i="1"/>
  <c r="BH103" i="1"/>
  <c r="CY103" i="1"/>
  <c r="BU103" i="1"/>
  <c r="CX103" i="1"/>
  <c r="CM103" i="1"/>
  <c r="FX103" i="1"/>
  <c r="DG103" i="1"/>
  <c r="DT103" i="1"/>
  <c r="DF103" i="1"/>
  <c r="DE103" i="1"/>
  <c r="EL103" i="1"/>
  <c r="EP103" i="1"/>
  <c r="CH103" i="1"/>
  <c r="GT103" i="1"/>
  <c r="HD103" i="1"/>
  <c r="HF103" i="1"/>
  <c r="GV103" i="1"/>
  <c r="GP103" i="1"/>
  <c r="GH103" i="1"/>
  <c r="FU103" i="1"/>
  <c r="BI103" i="1"/>
  <c r="CI103" i="1"/>
  <c r="EU103" i="1"/>
  <c r="BO103" i="1"/>
  <c r="CF103" i="1"/>
  <c r="CS103" i="1"/>
  <c r="FQ103" i="1"/>
  <c r="DW103" i="1"/>
  <c r="DX103" i="1"/>
  <c r="DJ103" i="1"/>
  <c r="DI103" i="1"/>
  <c r="EK103" i="1"/>
  <c r="P103" i="1"/>
  <c r="FA103" i="1"/>
  <c r="BM103" i="1"/>
  <c r="GK103" i="1"/>
  <c r="HG103" i="1"/>
  <c r="HH103" i="1"/>
  <c r="HA103" i="1"/>
  <c r="GY103" i="1"/>
  <c r="GR103" i="1"/>
  <c r="GU103" i="1"/>
  <c r="GN103" i="1"/>
  <c r="GJ103" i="1"/>
  <c r="GG103" i="1"/>
  <c r="N103" i="1"/>
  <c r="FN103" i="1"/>
  <c r="EX103" i="1"/>
  <c r="EV103" i="1"/>
  <c r="CA103" i="1"/>
  <c r="BV103" i="1"/>
  <c r="ER103" i="1"/>
  <c r="BQ103" i="1"/>
  <c r="CJ103" i="1"/>
  <c r="CZ103" i="1"/>
  <c r="DC103" i="1"/>
  <c r="EB103" i="1"/>
  <c r="DN103" i="1"/>
  <c r="DM103" i="1"/>
  <c r="AB103" i="1"/>
  <c r="BG103" i="1"/>
  <c r="GL103" i="1"/>
  <c r="HC103" i="1"/>
  <c r="GO103" i="1"/>
  <c r="GW103" i="1"/>
  <c r="BA103" i="1"/>
  <c r="HI103" i="1"/>
  <c r="FE103" i="1"/>
  <c r="BZ103" i="1"/>
  <c r="BT103" i="1"/>
  <c r="FB103" i="1"/>
  <c r="CV103" i="1"/>
  <c r="CL103" i="1"/>
  <c r="CP103" i="1"/>
  <c r="FO103" i="1"/>
  <c r="FR103" i="1"/>
  <c r="DS103" i="1"/>
  <c r="EF103" i="1"/>
  <c r="DR103" i="1"/>
  <c r="DQ103" i="1"/>
  <c r="EO103" i="1"/>
  <c r="BF103" i="1"/>
  <c r="HB103" i="1"/>
  <c r="FJ103" i="1"/>
  <c r="GC103" i="1"/>
  <c r="GB103" i="1"/>
  <c r="GE103" i="1"/>
  <c r="ES103" i="1"/>
  <c r="BS103" i="1"/>
  <c r="BN103" i="1"/>
  <c r="BL103" i="1"/>
  <c r="DA103" i="1"/>
  <c r="FI103" i="1"/>
  <c r="FS103" i="1"/>
  <c r="FL103" i="1"/>
  <c r="FM103" i="1"/>
  <c r="FK103" i="1"/>
  <c r="CK103" i="1"/>
  <c r="DD103" i="1"/>
  <c r="EJ103" i="1"/>
  <c r="DV103" i="1"/>
  <c r="DU103" i="1"/>
  <c r="EN103" i="1"/>
  <c r="S103" i="1"/>
  <c r="Y103" i="1"/>
  <c r="BX103" i="1"/>
  <c r="AA103" i="1"/>
  <c r="GM103" i="1"/>
  <c r="GX103" i="1"/>
  <c r="GS103" i="1"/>
  <c r="EW103" i="1"/>
  <c r="EQ103" i="1"/>
  <c r="BP103" i="1"/>
  <c r="BY103" i="1"/>
  <c r="BW103" i="1"/>
  <c r="CN103" i="1"/>
  <c r="CQ103" i="1"/>
  <c r="FZ103" i="1"/>
  <c r="FY103" i="1"/>
  <c r="FP103" i="1"/>
  <c r="DO103" i="1"/>
  <c r="DH103" i="1"/>
  <c r="EE103" i="1"/>
  <c r="DZ103" i="1"/>
  <c r="DY103" i="1"/>
  <c r="EM103" i="1"/>
  <c r="Z103" i="1"/>
  <c r="CE103" i="1"/>
  <c r="Q103" i="1"/>
  <c r="AB102" i="1"/>
  <c r="O102" i="1"/>
  <c r="P102" i="1"/>
  <c r="S102" i="1"/>
  <c r="Y102" i="1"/>
  <c r="AA102" i="1"/>
  <c r="Z102" i="1"/>
  <c r="N102" i="1"/>
  <c r="N101" i="1"/>
  <c r="Z101" i="1"/>
  <c r="AA101" i="1"/>
  <c r="O101" i="1"/>
  <c r="P101" i="1"/>
  <c r="S101" i="1"/>
  <c r="Y101" i="1"/>
  <c r="AB101" i="1"/>
  <c r="P100" i="1"/>
  <c r="S100" i="1"/>
  <c r="Y100" i="1"/>
  <c r="Z100" i="1"/>
  <c r="AB100" i="1"/>
  <c r="N100" i="1"/>
  <c r="R100" i="1"/>
  <c r="X100" i="1"/>
  <c r="AQ100" i="1"/>
  <c r="V99" i="1"/>
  <c r="AM99" i="1"/>
  <c r="AI99" i="1"/>
  <c r="AG99" i="1"/>
  <c r="AQ99" i="1"/>
  <c r="Q99" i="1"/>
  <c r="V98" i="1"/>
  <c r="AE98" i="1"/>
  <c r="AJ98" i="1"/>
  <c r="AF98" i="1"/>
  <c r="AM97" i="1"/>
  <c r="AI97" i="1"/>
  <c r="HF97" i="1"/>
  <c r="FH97" i="1"/>
  <c r="FY97" i="1"/>
  <c r="FS97" i="1"/>
  <c r="DW97" i="1"/>
  <c r="EG97" i="1"/>
  <c r="DI97" i="1"/>
  <c r="DL97" i="1"/>
  <c r="EK97" i="1"/>
  <c r="EN97" i="1"/>
  <c r="BU97" i="1"/>
  <c r="CA97" i="1"/>
  <c r="CC97" i="1"/>
  <c r="CK97" i="1"/>
  <c r="CQ97" i="1"/>
  <c r="BN97" i="1"/>
  <c r="HE97" i="1"/>
  <c r="GV97" i="1"/>
  <c r="FU97" i="1"/>
  <c r="HI97" i="1"/>
  <c r="FV97" i="1"/>
  <c r="EV97" i="1"/>
  <c r="FT97" i="1"/>
  <c r="FM97" i="1"/>
  <c r="FL97" i="1"/>
  <c r="EC97" i="1"/>
  <c r="DE97" i="1"/>
  <c r="DN97" i="1"/>
  <c r="DP97" i="1"/>
  <c r="ES97" i="1"/>
  <c r="BJ97" i="1"/>
  <c r="BZ97" i="1"/>
  <c r="CB97" i="1"/>
  <c r="BB97" i="1"/>
  <c r="CN97" i="1"/>
  <c r="CV97" i="1"/>
  <c r="CJ97" i="1"/>
  <c r="HD97" i="1"/>
  <c r="HG97" i="1"/>
  <c r="HA97" i="1"/>
  <c r="GY97" i="1"/>
  <c r="GJ97" i="1"/>
  <c r="EW97" i="1"/>
  <c r="FO97" i="1"/>
  <c r="FR97" i="1"/>
  <c r="EH97" i="1"/>
  <c r="DJ97" i="1"/>
  <c r="DS97" i="1"/>
  <c r="DT97" i="1"/>
  <c r="EQ97" i="1"/>
  <c r="EM97" i="1"/>
  <c r="BD97" i="1"/>
  <c r="BE97" i="1"/>
  <c r="BG97" i="1"/>
  <c r="BH97" i="1"/>
  <c r="BR97" i="1"/>
  <c r="CM97" i="1"/>
  <c r="DA97" i="1"/>
  <c r="CH97" i="1"/>
  <c r="GP97" i="1"/>
  <c r="GO97" i="1"/>
  <c r="GX97" i="1"/>
  <c r="GM97" i="1"/>
  <c r="GB97" i="1"/>
  <c r="BA97" i="1"/>
  <c r="GC97" i="1"/>
  <c r="GD97" i="1"/>
  <c r="FG97" i="1"/>
  <c r="FI97" i="1"/>
  <c r="FE97" i="1"/>
  <c r="AD97" i="1"/>
  <c r="AH97" i="1"/>
  <c r="FX97" i="1"/>
  <c r="FK97" i="1"/>
  <c r="CI97" i="1"/>
  <c r="DF97" i="1"/>
  <c r="DO97" i="1"/>
  <c r="DY97" i="1"/>
  <c r="DX97" i="1"/>
  <c r="EZ97" i="1"/>
  <c r="ER97" i="1"/>
  <c r="BF97" i="1"/>
  <c r="BK97" i="1"/>
  <c r="BL97" i="1"/>
  <c r="BP97" i="1"/>
  <c r="CL97" i="1"/>
  <c r="CU97" i="1"/>
  <c r="HH97" i="1"/>
  <c r="GR97" i="1"/>
  <c r="GQ97" i="1"/>
  <c r="FN97" i="1"/>
  <c r="FW97" i="1"/>
  <c r="FD97" i="1"/>
  <c r="FJ97" i="1"/>
  <c r="DB97" i="1"/>
  <c r="DK97" i="1"/>
  <c r="DU97" i="1"/>
  <c r="ED97" i="1"/>
  <c r="EB97" i="1"/>
  <c r="FB97" i="1"/>
  <c r="EP97" i="1"/>
  <c r="BX97" i="1"/>
  <c r="BT97" i="1"/>
  <c r="CE97" i="1"/>
  <c r="CS97" i="1"/>
  <c r="CZ97" i="1"/>
  <c r="GF97" i="1"/>
  <c r="GZ97" i="1"/>
  <c r="GH97" i="1"/>
  <c r="GE97" i="1"/>
  <c r="EX97" i="1"/>
  <c r="DG97" i="1"/>
  <c r="DQ97" i="1"/>
  <c r="DZ97" i="1"/>
  <c r="EI97" i="1"/>
  <c r="EF97" i="1"/>
  <c r="EO97" i="1"/>
  <c r="ET97" i="1"/>
  <c r="BV97" i="1"/>
  <c r="BY97" i="1"/>
  <c r="BO97" i="1"/>
  <c r="CY97" i="1"/>
  <c r="CP97" i="1"/>
  <c r="CF97" i="1"/>
  <c r="GK97" i="1"/>
  <c r="HB97" i="1"/>
  <c r="HC97" i="1"/>
  <c r="GL97" i="1"/>
  <c r="GN97" i="1"/>
  <c r="GG97" i="1"/>
  <c r="GA97" i="1"/>
  <c r="FQ97" i="1"/>
  <c r="DM97" i="1"/>
  <c r="DV97" i="1"/>
  <c r="EE97" i="1"/>
  <c r="DD97" i="1"/>
  <c r="EJ97" i="1"/>
  <c r="EU97" i="1"/>
  <c r="FC97" i="1"/>
  <c r="BI97" i="1"/>
  <c r="BS97" i="1"/>
  <c r="CD97" i="1"/>
  <c r="CG97" i="1"/>
  <c r="CR97" i="1"/>
  <c r="CT97" i="1"/>
  <c r="GT97" i="1"/>
  <c r="V96" i="1"/>
  <c r="AQ96" i="1"/>
  <c r="AI96" i="1"/>
  <c r="Q96" i="1"/>
  <c r="AH96" i="1"/>
  <c r="V95" i="1"/>
  <c r="AD95" i="1"/>
  <c r="AH95" i="1"/>
  <c r="AF95" i="1"/>
  <c r="R95" i="1"/>
  <c r="X95" i="1"/>
  <c r="V94" i="1"/>
  <c r="AI94" i="1"/>
  <c r="AG94" i="1"/>
  <c r="AM94" i="1"/>
  <c r="AC93" i="1"/>
  <c r="AM93" i="1"/>
  <c r="AE93" i="1"/>
  <c r="AI93" i="1"/>
  <c r="V91" i="1"/>
  <c r="AG91" i="1"/>
  <c r="AD91" i="1"/>
  <c r="AH91" i="1"/>
  <c r="R91" i="1"/>
  <c r="X91" i="1"/>
  <c r="AG90" i="1"/>
  <c r="AM90" i="1"/>
  <c r="AI90" i="1"/>
  <c r="R90" i="1"/>
  <c r="X90" i="1"/>
  <c r="AM89" i="1"/>
  <c r="AI89" i="1"/>
  <c r="AG89" i="1"/>
  <c r="V88" i="1"/>
  <c r="AQ88" i="1"/>
  <c r="AF88" i="1"/>
  <c r="AC88" i="1"/>
  <c r="AI87" i="1"/>
  <c r="AC87" i="1"/>
  <c r="GX86" i="1"/>
  <c r="V85" i="1"/>
  <c r="AE85" i="1"/>
  <c r="AC85" i="1"/>
  <c r="AF85" i="1"/>
  <c r="V84" i="1"/>
  <c r="AD84" i="1"/>
  <c r="AH84" i="1"/>
  <c r="AC84" i="1"/>
  <c r="AE84" i="1"/>
  <c r="GK84" i="1"/>
  <c r="HC84" i="1"/>
  <c r="GP84" i="1"/>
  <c r="HA84" i="1"/>
  <c r="HH84" i="1"/>
  <c r="GW84" i="1"/>
  <c r="GM84" i="1"/>
  <c r="GN84" i="1"/>
  <c r="GA84" i="1"/>
  <c r="CT84" i="1"/>
  <c r="BF84" i="1"/>
  <c r="CI84" i="1"/>
  <c r="CW84" i="1"/>
  <c r="CY84" i="1"/>
  <c r="CP84" i="1"/>
  <c r="FH84" i="1"/>
  <c r="FR84" i="1"/>
  <c r="DI84" i="1"/>
  <c r="DM84" i="1"/>
  <c r="DW84" i="1"/>
  <c r="DV84" i="1"/>
  <c r="EN84" i="1"/>
  <c r="ET84" i="1"/>
  <c r="CB84" i="1"/>
  <c r="HF84" i="1"/>
  <c r="GY84" i="1"/>
  <c r="GF84" i="1"/>
  <c r="BG84" i="1"/>
  <c r="BM84" i="1"/>
  <c r="GD84" i="1"/>
  <c r="CG84" i="1"/>
  <c r="BE84" i="1"/>
  <c r="HI84" i="1"/>
  <c r="FV84" i="1"/>
  <c r="EV84" i="1"/>
  <c r="DE84" i="1"/>
  <c r="DO84" i="1"/>
  <c r="DS84" i="1"/>
  <c r="EB84" i="1"/>
  <c r="DZ84" i="1"/>
  <c r="ER84" i="1"/>
  <c r="FA84" i="1"/>
  <c r="GX84" i="1"/>
  <c r="BI84" i="1"/>
  <c r="BN84" i="1"/>
  <c r="BJ84" i="1"/>
  <c r="BW84" i="1"/>
  <c r="FG84" i="1"/>
  <c r="FS84" i="1"/>
  <c r="DK84" i="1"/>
  <c r="DT84" i="1"/>
  <c r="DX84" i="1"/>
  <c r="EG84" i="1"/>
  <c r="ED84" i="1"/>
  <c r="EZ84" i="1"/>
  <c r="EO84" i="1"/>
  <c r="GZ84" i="1"/>
  <c r="FE84" i="1"/>
  <c r="CR84" i="1"/>
  <c r="CM84" i="1"/>
  <c r="BH84" i="1"/>
  <c r="BV84" i="1"/>
  <c r="BZ84" i="1"/>
  <c r="FU84" i="1"/>
  <c r="FM84" i="1"/>
  <c r="DP84" i="1"/>
  <c r="DY84" i="1"/>
  <c r="EC84" i="1"/>
  <c r="DB84" i="1"/>
  <c r="EH84" i="1"/>
  <c r="EM84" i="1"/>
  <c r="ES84" i="1"/>
  <c r="CS84" i="1"/>
  <c r="HD84" i="1"/>
  <c r="GR84" i="1"/>
  <c r="GJ84" i="1"/>
  <c r="CK84" i="1"/>
  <c r="CQ84" i="1"/>
  <c r="CL84" i="1"/>
  <c r="CA84" i="1"/>
  <c r="BS84" i="1"/>
  <c r="BX84" i="1"/>
  <c r="EX84" i="1"/>
  <c r="R84" i="1"/>
  <c r="X84" i="1"/>
  <c r="FX84" i="1"/>
  <c r="FT84" i="1"/>
  <c r="DU84" i="1"/>
  <c r="EE84" i="1"/>
  <c r="EI84" i="1"/>
  <c r="DF84" i="1"/>
  <c r="EL84" i="1"/>
  <c r="EQ84" i="1"/>
  <c r="FB84" i="1"/>
  <c r="BL84" i="1"/>
  <c r="HG84" i="1"/>
  <c r="GS84" i="1"/>
  <c r="GG84" i="1"/>
  <c r="GB84" i="1"/>
  <c r="CJ84" i="1"/>
  <c r="CN84" i="1"/>
  <c r="CV84" i="1"/>
  <c r="BY84" i="1"/>
  <c r="BR84" i="1"/>
  <c r="BP84" i="1"/>
  <c r="FI84" i="1"/>
  <c r="FZ84" i="1"/>
  <c r="FO84" i="1"/>
  <c r="FP84" i="1"/>
  <c r="EA84" i="1"/>
  <c r="EJ84" i="1"/>
  <c r="DG84" i="1"/>
  <c r="DJ84" i="1"/>
  <c r="EK84" i="1"/>
  <c r="EU84" i="1"/>
  <c r="CH84" i="1"/>
  <c r="BB84" i="1"/>
  <c r="BU84" i="1"/>
  <c r="HE84" i="1"/>
  <c r="GV84" i="1"/>
  <c r="GQ84" i="1"/>
  <c r="GT84" i="1"/>
  <c r="GL84" i="1"/>
  <c r="GI84" i="1"/>
  <c r="CZ84" i="1"/>
  <c r="CU84" i="1"/>
  <c r="GE84" i="1"/>
  <c r="BQ84" i="1"/>
  <c r="CD84" i="1"/>
  <c r="CC84" i="1"/>
  <c r="FW84" i="1"/>
  <c r="FD84" i="1"/>
  <c r="FY84" i="1"/>
  <c r="FQ84" i="1"/>
  <c r="FK84" i="1"/>
  <c r="FL84" i="1"/>
  <c r="EF84" i="1"/>
  <c r="DC84" i="1"/>
  <c r="DL84" i="1"/>
  <c r="DN84" i="1"/>
  <c r="FC84" i="1"/>
  <c r="BT84" i="1"/>
  <c r="AQ83" i="1"/>
  <c r="AD83" i="1"/>
  <c r="AH83" i="1"/>
  <c r="AC83" i="1"/>
  <c r="V83" i="1"/>
  <c r="V82" i="1"/>
  <c r="AQ82" i="1"/>
  <c r="AC82" i="1"/>
  <c r="GT81" i="1"/>
  <c r="V80" i="1"/>
  <c r="AF80" i="1"/>
  <c r="R80" i="1"/>
  <c r="X80" i="1"/>
  <c r="AC80" i="1"/>
  <c r="V79" i="1"/>
  <c r="AI79" i="1"/>
  <c r="AM79" i="1"/>
  <c r="AG79" i="1"/>
  <c r="AQ79" i="1"/>
  <c r="AD79" i="1"/>
  <c r="AH79" i="1"/>
  <c r="V78" i="1"/>
  <c r="V77" i="1"/>
  <c r="AI77" i="1"/>
  <c r="R77" i="1"/>
  <c r="X77" i="1"/>
  <c r="V76" i="1"/>
  <c r="AM76" i="1"/>
  <c r="AI76" i="1"/>
  <c r="AQ76" i="1"/>
  <c r="Q76" i="1"/>
  <c r="AD76" i="1"/>
  <c r="AH76" i="1"/>
  <c r="AE76" i="1"/>
  <c r="AC76" i="1"/>
  <c r="AJ75" i="1"/>
  <c r="AH75" i="1"/>
  <c r="AQ75" i="1"/>
  <c r="V75" i="1"/>
  <c r="V74" i="1"/>
  <c r="Q74" i="1"/>
  <c r="AE74" i="1"/>
  <c r="AJ72" i="1"/>
  <c r="V72" i="1"/>
  <c r="HH72" i="1"/>
  <c r="GC72" i="1"/>
  <c r="CV72" i="1"/>
  <c r="BM72" i="1"/>
  <c r="CG72" i="1"/>
  <c r="BW72" i="1"/>
  <c r="CD72" i="1"/>
  <c r="BX72" i="1"/>
  <c r="FD72" i="1"/>
  <c r="FS72" i="1"/>
  <c r="FL72" i="1"/>
  <c r="FM72" i="1"/>
  <c r="DI72" i="1"/>
  <c r="DH72" i="1"/>
  <c r="DC72" i="1"/>
  <c r="EI72" i="1"/>
  <c r="ED72" i="1"/>
  <c r="EZ72" i="1"/>
  <c r="EO72" i="1"/>
  <c r="GQ72" i="1"/>
  <c r="GZ72" i="1"/>
  <c r="BA72" i="1"/>
  <c r="GJ72" i="1"/>
  <c r="AG72" i="1"/>
  <c r="CT72" i="1"/>
  <c r="BG72" i="1"/>
  <c r="GD72" i="1"/>
  <c r="BZ72" i="1"/>
  <c r="BD72" i="1"/>
  <c r="BP72" i="1"/>
  <c r="FK72" i="1"/>
  <c r="DM72" i="1"/>
  <c r="DL72" i="1"/>
  <c r="DG72" i="1"/>
  <c r="DB72" i="1"/>
  <c r="EH72" i="1"/>
  <c r="FC72" i="1"/>
  <c r="ES72" i="1"/>
  <c r="CF72" i="1"/>
  <c r="HD72" i="1"/>
  <c r="GY72" i="1"/>
  <c r="FE72" i="1"/>
  <c r="GA72" i="1"/>
  <c r="CH72" i="1"/>
  <c r="BN72" i="1"/>
  <c r="BQ72" i="1"/>
  <c r="BJ72" i="1"/>
  <c r="CC72" i="1"/>
  <c r="FH72" i="1"/>
  <c r="FI72" i="1"/>
  <c r="FG72" i="1"/>
  <c r="FT72" i="1"/>
  <c r="DQ72" i="1"/>
  <c r="DP72" i="1"/>
  <c r="DK72" i="1"/>
  <c r="DF72" i="1"/>
  <c r="EL72" i="1"/>
  <c r="EM72" i="1"/>
  <c r="FB72" i="1"/>
  <c r="CP72" i="1"/>
  <c r="AQ72" i="1"/>
  <c r="HB72" i="1"/>
  <c r="GP72" i="1"/>
  <c r="GT72" i="1"/>
  <c r="GG72" i="1"/>
  <c r="BI72" i="1"/>
  <c r="CL72" i="1"/>
  <c r="GE72" i="1"/>
  <c r="BO72" i="1"/>
  <c r="CN72" i="1"/>
  <c r="DA72" i="1"/>
  <c r="FU72" i="1"/>
  <c r="DU72" i="1"/>
  <c r="DT72" i="1"/>
  <c r="DO72" i="1"/>
  <c r="DJ72" i="1"/>
  <c r="EK72" i="1"/>
  <c r="EQ72" i="1"/>
  <c r="CI72" i="1"/>
  <c r="BL72" i="1"/>
  <c r="GK72" i="1"/>
  <c r="HG72" i="1"/>
  <c r="GF72" i="1"/>
  <c r="GI72" i="1"/>
  <c r="GB72" i="1"/>
  <c r="CS72" i="1"/>
  <c r="CR72" i="1"/>
  <c r="BE72" i="1"/>
  <c r="HI72" i="1"/>
  <c r="EX72" i="1"/>
  <c r="EV72" i="1"/>
  <c r="DY72" i="1"/>
  <c r="DX72" i="1"/>
  <c r="DS72" i="1"/>
  <c r="DN72" i="1"/>
  <c r="EU72" i="1"/>
  <c r="BV72" i="1"/>
  <c r="GO72" i="1"/>
  <c r="HC72" i="1"/>
  <c r="HA72" i="1"/>
  <c r="GS72" i="1"/>
  <c r="GM72" i="1"/>
  <c r="GL72" i="1"/>
  <c r="GH72" i="1"/>
  <c r="CK72" i="1"/>
  <c r="CY72" i="1"/>
  <c r="CW72" i="1"/>
  <c r="BY72" i="1"/>
  <c r="BF72" i="1"/>
  <c r="FW72" i="1"/>
  <c r="FP72" i="1"/>
  <c r="FJ72" i="1"/>
  <c r="FO72" i="1"/>
  <c r="FQ72" i="1"/>
  <c r="EC72" i="1"/>
  <c r="EB72" i="1"/>
  <c r="DW72" i="1"/>
  <c r="DR72" i="1"/>
  <c r="FA72" i="1"/>
  <c r="BT72" i="1"/>
  <c r="GX72" i="1"/>
  <c r="HF72" i="1"/>
  <c r="GR72" i="1"/>
  <c r="GN72" i="1"/>
  <c r="CJ72" i="1"/>
  <c r="CM72" i="1"/>
  <c r="CU72" i="1"/>
  <c r="BB72" i="1"/>
  <c r="BU72" i="1"/>
  <c r="BS72" i="1"/>
  <c r="EW72" i="1"/>
  <c r="EY72" i="1"/>
  <c r="FN72" i="1"/>
  <c r="EG72" i="1"/>
  <c r="EF72" i="1"/>
  <c r="EA72" i="1"/>
  <c r="DV72" i="1"/>
  <c r="EN72" i="1"/>
  <c r="EP72" i="1"/>
  <c r="CE72" i="1"/>
  <c r="AQ71" i="1"/>
  <c r="V71" i="1"/>
  <c r="AF71" i="1"/>
  <c r="Q71" i="1"/>
  <c r="AD71" i="1"/>
  <c r="AH71" i="1"/>
  <c r="AC71" i="1"/>
  <c r="V70" i="1"/>
  <c r="AC70" i="1"/>
  <c r="AF70" i="1"/>
  <c r="AF68" i="1"/>
  <c r="AD68" i="1"/>
  <c r="AH68" i="1"/>
  <c r="V67" i="1"/>
  <c r="AQ67" i="1"/>
  <c r="Q66" i="1"/>
  <c r="AI65" i="1"/>
  <c r="AI64" i="1"/>
  <c r="AM64" i="1"/>
  <c r="V64" i="1"/>
  <c r="AE64" i="1"/>
  <c r="AC64" i="1"/>
  <c r="V63" i="1"/>
  <c r="AF63" i="1"/>
  <c r="AD63" i="1"/>
  <c r="AH63" i="1"/>
  <c r="V62" i="1"/>
  <c r="AF62" i="1"/>
  <c r="GX60" i="1"/>
  <c r="AZ60" i="1"/>
  <c r="R59" i="1"/>
  <c r="X59" i="1"/>
  <c r="V58" i="1"/>
  <c r="GX58" i="1"/>
  <c r="GO58" i="1"/>
  <c r="DI58" i="1"/>
  <c r="EI58" i="1"/>
  <c r="BH58" i="1"/>
  <c r="EW58" i="1"/>
  <c r="GD58" i="1"/>
  <c r="ES58" i="1"/>
  <c r="DY58" i="1"/>
  <c r="HC58" i="1"/>
  <c r="DJ58" i="1"/>
  <c r="BF58" i="1"/>
  <c r="P50" i="1"/>
  <c r="S50" i="1" s="1"/>
  <c r="Y50" i="1" s="1"/>
  <c r="O50" i="1"/>
  <c r="AB50" i="1"/>
  <c r="Z50" i="1"/>
  <c r="N50" i="1"/>
  <c r="N49" i="1"/>
  <c r="R49" i="1" s="1"/>
  <c r="X49" i="1" s="1"/>
  <c r="P49" i="1"/>
  <c r="S49" i="1"/>
  <c r="Y49" i="1" s="1"/>
  <c r="AB49" i="1"/>
  <c r="Z49" i="1"/>
  <c r="O49" i="1"/>
  <c r="AF25" i="1"/>
  <c r="O25" i="1"/>
  <c r="Q25" i="1" s="1"/>
  <c r="AB17" i="1"/>
  <c r="AA17" i="1"/>
  <c r="P17" i="1"/>
  <c r="S17" i="1" s="1"/>
  <c r="Y17" i="1" s="1"/>
  <c r="O17" i="1"/>
  <c r="BG17" i="1" s="1"/>
  <c r="N17" i="1"/>
  <c r="P31" i="1"/>
  <c r="S31" i="1" s="1"/>
  <c r="Y31" i="1" s="1"/>
  <c r="V31" i="1" s="1"/>
  <c r="Z17" i="1"/>
  <c r="Z31" i="1"/>
  <c r="AB36" i="1"/>
  <c r="AE25" i="1"/>
  <c r="AG25" i="7"/>
  <c r="AJ25" i="7"/>
  <c r="Z38" i="5"/>
  <c r="N40" i="7"/>
  <c r="BA40" i="7"/>
  <c r="AV40" i="7"/>
  <c r="I10" i="5"/>
  <c r="I33" i="5"/>
  <c r="AI19" i="7"/>
  <c r="AI11" i="7"/>
  <c r="AC29" i="7"/>
  <c r="AF13" i="7"/>
  <c r="AF24" i="7"/>
  <c r="K35" i="10"/>
  <c r="O8" i="7"/>
  <c r="AD12" i="7"/>
  <c r="T40" i="7"/>
  <c r="AM40" i="7"/>
  <c r="AE40" i="7"/>
  <c r="AB40" i="7"/>
  <c r="O96" i="7"/>
  <c r="N96" i="7"/>
  <c r="AF96" i="7"/>
  <c r="AJ96" i="7"/>
  <c r="BA96" i="7"/>
  <c r="BB57" i="7"/>
  <c r="AY57" i="7"/>
  <c r="N57" i="7"/>
  <c r="AZ57" i="7"/>
  <c r="S57" i="7"/>
  <c r="AV57" i="7"/>
  <c r="AJ57" i="7"/>
  <c r="BA57" i="7"/>
  <c r="AU45" i="7"/>
  <c r="BB45" i="7"/>
  <c r="Q45" i="7"/>
  <c r="AZ45" i="7"/>
  <c r="BA45" i="7"/>
  <c r="W45" i="7"/>
  <c r="AV45" i="7"/>
  <c r="M17" i="4"/>
  <c r="P16" i="4"/>
  <c r="L35" i="10"/>
  <c r="AE13" i="7"/>
  <c r="AD26" i="7"/>
  <c r="AF29" i="7"/>
  <c r="AC11" i="7"/>
  <c r="R32" i="7"/>
  <c r="X32" i="7" s="1"/>
  <c r="AJ15" i="7"/>
  <c r="AW40" i="7"/>
  <c r="V40" i="7"/>
  <c r="AC40" i="7"/>
  <c r="AI40" i="7"/>
  <c r="S40" i="7"/>
  <c r="AA40" i="7"/>
  <c r="AH89" i="1"/>
  <c r="AZ40" i="7"/>
  <c r="R78" i="7"/>
  <c r="AD78" i="7"/>
  <c r="AG78" i="7"/>
  <c r="AI78" i="7"/>
  <c r="AV78" i="7"/>
  <c r="BA78" i="7"/>
  <c r="R74" i="7"/>
  <c r="V74" i="7"/>
  <c r="AA74" i="7"/>
  <c r="AM74" i="7"/>
  <c r="AR74" i="7"/>
  <c r="AW74" i="7"/>
  <c r="AJ10" i="7"/>
  <c r="N8" i="7"/>
  <c r="Q16" i="7"/>
  <c r="AC24" i="7"/>
  <c r="AC13" i="7"/>
  <c r="AX40" i="7"/>
  <c r="AH40" i="7"/>
  <c r="I29" i="5"/>
  <c r="I15" i="5"/>
  <c r="I19" i="5"/>
  <c r="AD8" i="7"/>
  <c r="AD32" i="7"/>
  <c r="AA8" i="7"/>
  <c r="Q19" i="7"/>
  <c r="AE11" i="7"/>
  <c r="AK40" i="7"/>
  <c r="AD40" i="7"/>
  <c r="AE94" i="7"/>
  <c r="R94" i="7"/>
  <c r="AI94" i="7"/>
  <c r="AY94" i="7"/>
  <c r="O90" i="7"/>
  <c r="AD90" i="7"/>
  <c r="AU90" i="7"/>
  <c r="I13" i="5"/>
  <c r="I34" i="5"/>
  <c r="I11" i="5"/>
  <c r="AM33" i="7"/>
  <c r="AM11" i="7"/>
  <c r="N35" i="10"/>
  <c r="N36" i="10" s="1"/>
  <c r="AE14" i="7"/>
  <c r="AJ14" i="7" s="1"/>
  <c r="AD14" i="7"/>
  <c r="AF14" i="7"/>
  <c r="M37" i="10"/>
  <c r="X40" i="7"/>
  <c r="AE26" i="7"/>
  <c r="AJ26" i="7" s="1"/>
  <c r="BB89" i="7"/>
  <c r="N89" i="7"/>
  <c r="V89" i="7"/>
  <c r="AC89" i="7"/>
  <c r="AJ89" i="7"/>
  <c r="AS89" i="7"/>
  <c r="AZ89" i="7"/>
  <c r="BB49" i="7"/>
  <c r="S49" i="7"/>
  <c r="AZ49" i="7"/>
  <c r="AY49" i="7"/>
  <c r="I8" i="5"/>
  <c r="I14" i="5"/>
  <c r="AI33" i="7"/>
  <c r="AF26" i="7"/>
  <c r="L37" i="10"/>
  <c r="K37" i="10"/>
  <c r="BB31" i="10"/>
  <c r="BL31" i="10" s="1"/>
  <c r="Y40" i="7"/>
  <c r="AP40" i="7"/>
  <c r="AL40" i="7"/>
  <c r="R40" i="7"/>
  <c r="I25" i="5"/>
  <c r="R12" i="7"/>
  <c r="AC23" i="7"/>
  <c r="AO40" i="7"/>
  <c r="AS40" i="7"/>
  <c r="O40" i="7"/>
  <c r="AL26" i="10"/>
  <c r="AE97" i="7"/>
  <c r="AR91" i="7"/>
  <c r="AE91" i="7"/>
  <c r="AZ88" i="7"/>
  <c r="AP87" i="7"/>
  <c r="AW86" i="7"/>
  <c r="AI86" i="7"/>
  <c r="V86" i="7"/>
  <c r="AV85" i="7"/>
  <c r="AD84" i="7"/>
  <c r="AA81" i="7"/>
  <c r="AM80" i="7"/>
  <c r="AZ73" i="7"/>
  <c r="AV72" i="7"/>
  <c r="AF72" i="7"/>
  <c r="N72" i="7"/>
  <c r="AV69" i="7"/>
  <c r="N67" i="7"/>
  <c r="AW8" i="7"/>
  <c r="W53" i="7"/>
  <c r="AE98" i="7"/>
  <c r="AJ88" i="7"/>
  <c r="Z87" i="7"/>
  <c r="AE85" i="7"/>
  <c r="AK83" i="7"/>
  <c r="AW81" i="7"/>
  <c r="S81" i="7"/>
  <c r="U73" i="7"/>
  <c r="X69" i="7"/>
  <c r="S47" i="7"/>
  <c r="Y38" i="7"/>
  <c r="W61" i="7"/>
  <c r="T87" i="7"/>
  <c r="AP86" i="7"/>
  <c r="AD86" i="7"/>
  <c r="AR81" i="7"/>
  <c r="N81" i="7"/>
  <c r="AO72" i="7"/>
  <c r="AB72" i="7"/>
  <c r="O69" i="7"/>
  <c r="AR67" i="7"/>
  <c r="AP61" i="7"/>
  <c r="GP74" i="1"/>
  <c r="T15" i="4"/>
  <c r="AX97" i="7"/>
  <c r="Q53" i="7"/>
  <c r="AZ72" i="7"/>
  <c r="AJ72" i="7"/>
  <c r="Q61" i="7"/>
  <c r="R44" i="1"/>
  <c r="X44" i="1" s="1"/>
  <c r="R43" i="1"/>
  <c r="X43" i="1" s="1"/>
  <c r="AQ43" i="1" s="1"/>
  <c r="AF118" i="1"/>
  <c r="AE118" i="1"/>
  <c r="AJ118" i="1"/>
  <c r="AD118" i="1"/>
  <c r="AH118" i="1"/>
  <c r="R117" i="1"/>
  <c r="X117" i="1"/>
  <c r="AQ117" i="1"/>
  <c r="AE116" i="1"/>
  <c r="AC116" i="1"/>
  <c r="AF116" i="1"/>
  <c r="AM109" i="1"/>
  <c r="AI109" i="1"/>
  <c r="AD109" i="1"/>
  <c r="AH109" i="1"/>
  <c r="AE109" i="1"/>
  <c r="AG109" i="1"/>
  <c r="AC109" i="1"/>
  <c r="Q109" i="1"/>
  <c r="R109" i="1"/>
  <c r="X109" i="1"/>
  <c r="AQ109" i="1"/>
  <c r="R108" i="1"/>
  <c r="X108" i="1"/>
  <c r="AI108" i="1"/>
  <c r="AE108" i="1"/>
  <c r="AG108" i="1"/>
  <c r="AC108" i="1"/>
  <c r="AG107" i="1"/>
  <c r="R103" i="1"/>
  <c r="X103" i="1"/>
  <c r="AQ103" i="1"/>
  <c r="R98" i="1"/>
  <c r="X98" i="1"/>
  <c r="AQ98" i="1"/>
  <c r="AJ93" i="1"/>
  <c r="Q90" i="1"/>
  <c r="R87" i="1"/>
  <c r="X87" i="1"/>
  <c r="AQ87" i="1"/>
  <c r="AD85" i="1"/>
  <c r="AH85" i="1"/>
  <c r="AF84" i="1"/>
  <c r="Q75" i="1"/>
  <c r="AF73" i="1"/>
  <c r="Q68" i="1"/>
  <c r="R66" i="1"/>
  <c r="X66" i="1"/>
  <c r="AQ66" i="1"/>
  <c r="AG65" i="1"/>
  <c r="AM65" i="1"/>
  <c r="Q65" i="1"/>
  <c r="R65" i="1"/>
  <c r="X65" i="1"/>
  <c r="AQ65" i="1"/>
  <c r="AE65" i="1"/>
  <c r="AJ64" i="1"/>
  <c r="AD58" i="1"/>
  <c r="AH58" i="1" s="1"/>
  <c r="AF58" i="1"/>
  <c r="AE58" i="1"/>
  <c r="AG58" i="1" s="1"/>
  <c r="S25" i="1"/>
  <c r="Y25" i="1" s="1"/>
  <c r="V25" i="1" s="1"/>
  <c r="W112" i="1"/>
  <c r="T112" i="1"/>
  <c r="Q110" i="1"/>
  <c r="R110" i="1"/>
  <c r="X110" i="1"/>
  <c r="AQ110" i="1"/>
  <c r="AJ107" i="1"/>
  <c r="AC94" i="1"/>
  <c r="AD94" i="1"/>
  <c r="AH94" i="1"/>
  <c r="AH92" i="1"/>
  <c r="AJ87" i="1"/>
  <c r="Q87" i="1"/>
  <c r="AJ82" i="1"/>
  <c r="AG75" i="1"/>
  <c r="AI75" i="1"/>
  <c r="AM75" i="1"/>
  <c r="Q67" i="1"/>
  <c r="AD67" i="1"/>
  <c r="AH67" i="1"/>
  <c r="AF66" i="1"/>
  <c r="AC66" i="1"/>
  <c r="AD66" i="1"/>
  <c r="AH66" i="1"/>
  <c r="Q64" i="1"/>
  <c r="R62" i="1"/>
  <c r="X62" i="1"/>
  <c r="Q58" i="1"/>
  <c r="AJ71" i="1"/>
  <c r="AI74" i="1"/>
  <c r="AC100" i="1"/>
  <c r="Q102" i="1"/>
  <c r="AM82" i="1"/>
  <c r="AI83" i="1"/>
  <c r="AD102" i="1"/>
  <c r="AH102" i="1"/>
  <c r="AI107" i="1"/>
  <c r="AF112" i="1"/>
  <c r="AG76" i="1"/>
  <c r="AG82" i="1"/>
  <c r="AG83" i="1"/>
  <c r="AJ84" i="1"/>
  <c r="AF101" i="1"/>
  <c r="AM107" i="1"/>
  <c r="AJ90" i="1"/>
  <c r="AC67" i="1"/>
  <c r="AM72" i="1"/>
  <c r="AI72" i="1"/>
  <c r="AI69" i="1"/>
  <c r="AJ74" i="1"/>
  <c r="Q78" i="1"/>
  <c r="AF111" i="1"/>
  <c r="AI111" i="1"/>
  <c r="AE97" i="1"/>
  <c r="AG97" i="1"/>
  <c r="AJ65" i="1"/>
  <c r="Q69" i="1"/>
  <c r="AC62" i="1"/>
  <c r="AC69" i="1"/>
  <c r="AF119" i="1"/>
  <c r="AM119" i="1"/>
  <c r="AD119" i="1"/>
  <c r="AH119" i="1"/>
  <c r="V112" i="1"/>
  <c r="AE112" i="1"/>
  <c r="Q111" i="1"/>
  <c r="AE111" i="1"/>
  <c r="AJ110" i="1"/>
  <c r="AJ108" i="1"/>
  <c r="AG106" i="1"/>
  <c r="AI106" i="1"/>
  <c r="AE105" i="1"/>
  <c r="AJ105" i="1"/>
  <c r="AF105" i="1"/>
  <c r="AF103" i="1"/>
  <c r="AE103" i="1"/>
  <c r="AE102" i="1"/>
  <c r="AJ102" i="1"/>
  <c r="AF102" i="1"/>
  <c r="AI102" i="1"/>
  <c r="AI101" i="1"/>
  <c r="AC101" i="1"/>
  <c r="R101" i="1"/>
  <c r="X101" i="1"/>
  <c r="AQ101" i="1"/>
  <c r="AE101" i="1"/>
  <c r="AD101" i="1"/>
  <c r="AH101" i="1"/>
  <c r="AC97" i="1"/>
  <c r="AQ92" i="1"/>
  <c r="AG87" i="1"/>
  <c r="AM84" i="1"/>
  <c r="AI84" i="1"/>
  <c r="AC78" i="1"/>
  <c r="AE78" i="1"/>
  <c r="AD78" i="1"/>
  <c r="AH78" i="1"/>
  <c r="AF78" i="1"/>
  <c r="AJ70" i="1"/>
  <c r="AD69" i="1"/>
  <c r="AH69" i="1"/>
  <c r="AE69" i="1"/>
  <c r="R69" i="1"/>
  <c r="X69" i="1"/>
  <c r="AQ69" i="1"/>
  <c r="AF67" i="1"/>
  <c r="AE67" i="1"/>
  <c r="AD62" i="1"/>
  <c r="V119" i="1"/>
  <c r="AQ119" i="1"/>
  <c r="AC119" i="1"/>
  <c r="AE119" i="1"/>
  <c r="Q119" i="1"/>
  <c r="AJ117" i="1"/>
  <c r="AJ116" i="1"/>
  <c r="AQ116" i="1"/>
  <c r="AJ115" i="1"/>
  <c r="AG114" i="1"/>
  <c r="AI114" i="1"/>
  <c r="AM114" i="1"/>
  <c r="AQ112" i="1"/>
  <c r="V111" i="1"/>
  <c r="AG111" i="1"/>
  <c r="AM111" i="1"/>
  <c r="R111" i="1"/>
  <c r="X111" i="1"/>
  <c r="AC111" i="1"/>
  <c r="AD111" i="1"/>
  <c r="AH111" i="1"/>
  <c r="AG110" i="1"/>
  <c r="AM110" i="1"/>
  <c r="AI110" i="1"/>
  <c r="AJ109" i="1"/>
  <c r="AQ108" i="1"/>
  <c r="AQ105" i="1"/>
  <c r="AM104" i="1"/>
  <c r="AG104" i="1"/>
  <c r="AI104" i="1"/>
  <c r="V103" i="1"/>
  <c r="AM103" i="1"/>
  <c r="AI103" i="1"/>
  <c r="AD103" i="1"/>
  <c r="AH103" i="1"/>
  <c r="AC103" i="1"/>
  <c r="V102" i="1"/>
  <c r="AM102" i="1"/>
  <c r="AC102" i="1"/>
  <c r="R102" i="1"/>
  <c r="X102" i="1"/>
  <c r="V101" i="1"/>
  <c r="AM101" i="1"/>
  <c r="Q101" i="1"/>
  <c r="V100" i="1"/>
  <c r="AE100" i="1"/>
  <c r="Q100" i="1"/>
  <c r="AF100" i="1"/>
  <c r="AD100" i="1"/>
  <c r="AH100" i="1"/>
  <c r="AG98" i="1"/>
  <c r="AI98" i="1"/>
  <c r="AM98" i="1"/>
  <c r="AQ95" i="1"/>
  <c r="AG95" i="1"/>
  <c r="AM95" i="1"/>
  <c r="AI95" i="1"/>
  <c r="AJ95" i="1"/>
  <c r="AG93" i="1"/>
  <c r="AJ91" i="1"/>
  <c r="AQ91" i="1"/>
  <c r="AQ90" i="1"/>
  <c r="AI88" i="1"/>
  <c r="AM88" i="1"/>
  <c r="AG88" i="1"/>
  <c r="AG85" i="1"/>
  <c r="AI85" i="1"/>
  <c r="AM85" i="1"/>
  <c r="AQ84" i="1"/>
  <c r="AG84" i="1"/>
  <c r="AJ83" i="1"/>
  <c r="AQ80" i="1"/>
  <c r="AI80" i="1"/>
  <c r="AG80" i="1"/>
  <c r="AM80" i="1"/>
  <c r="AJ79" i="1"/>
  <c r="AQ77" i="1"/>
  <c r="AJ76" i="1"/>
  <c r="AG74" i="1"/>
  <c r="AG71" i="1"/>
  <c r="AM71" i="1"/>
  <c r="AI71" i="1"/>
  <c r="AI70" i="1"/>
  <c r="AG70" i="1"/>
  <c r="AM70" i="1"/>
  <c r="AM68" i="1"/>
  <c r="AI68" i="1"/>
  <c r="AG68" i="1"/>
  <c r="AJ68" i="1"/>
  <c r="AJ66" i="1"/>
  <c r="AG64" i="1"/>
  <c r="AM63" i="1"/>
  <c r="AG63" i="1"/>
  <c r="AI63" i="1"/>
  <c r="AJ63" i="1"/>
  <c r="AM62" i="1"/>
  <c r="AI62" i="1"/>
  <c r="AG62" i="1"/>
  <c r="AQ62" i="1"/>
  <c r="AQ59" i="1"/>
  <c r="AI25" i="1"/>
  <c r="AJ13" i="7"/>
  <c r="AA24" i="5"/>
  <c r="AA13" i="5"/>
  <c r="AA11" i="5"/>
  <c r="AA22" i="5"/>
  <c r="AA12" i="5"/>
  <c r="AA8" i="5"/>
  <c r="AA38" i="5" s="1"/>
  <c r="AA21" i="5"/>
  <c r="AA10" i="5"/>
  <c r="AA30" i="5"/>
  <c r="AA20" i="5"/>
  <c r="AA9" i="5"/>
  <c r="AA37" i="5"/>
  <c r="AA29" i="5"/>
  <c r="AA18" i="5"/>
  <c r="AA27" i="5"/>
  <c r="AA26" i="5"/>
  <c r="AA16" i="5"/>
  <c r="AA19" i="5"/>
  <c r="AA25" i="5"/>
  <c r="AA14" i="5"/>
  <c r="AA15" i="5"/>
  <c r="AA28" i="5"/>
  <c r="AA17" i="5"/>
  <c r="AA23" i="5"/>
  <c r="AA31" i="5"/>
  <c r="AA35" i="5"/>
  <c r="AA36" i="5"/>
  <c r="AA32" i="5"/>
  <c r="AA34" i="5"/>
  <c r="AA33" i="5"/>
  <c r="R8" i="7"/>
  <c r="X12" i="7"/>
  <c r="AJ11" i="7"/>
  <c r="AG24" i="7"/>
  <c r="AM24" i="7"/>
  <c r="AI24" i="7"/>
  <c r="O27" i="10"/>
  <c r="O22" i="10"/>
  <c r="O28" i="10"/>
  <c r="O33" i="10"/>
  <c r="T33" i="10" s="1"/>
  <c r="Z33" i="10" s="1"/>
  <c r="O18" i="10"/>
  <c r="O15" i="10"/>
  <c r="T15" i="10" s="1"/>
  <c r="O17" i="10"/>
  <c r="O14" i="10"/>
  <c r="O11" i="10"/>
  <c r="O32" i="10"/>
  <c r="O12" i="10"/>
  <c r="O29" i="10"/>
  <c r="O13" i="10"/>
  <c r="O24" i="10"/>
  <c r="T24" i="10" s="1"/>
  <c r="AC24" i="10" s="1"/>
  <c r="O26" i="10"/>
  <c r="O23" i="10"/>
  <c r="O19" i="10"/>
  <c r="O10" i="10"/>
  <c r="O9" i="10"/>
  <c r="O16" i="10"/>
  <c r="R16" i="10" s="1"/>
  <c r="O20" i="10"/>
  <c r="T20" i="10" s="1"/>
  <c r="O8" i="10"/>
  <c r="T8" i="10" s="1"/>
  <c r="AC8" i="10" s="1"/>
  <c r="O30" i="10"/>
  <c r="O25" i="10"/>
  <c r="O31" i="10"/>
  <c r="O21" i="10"/>
  <c r="AG13" i="7"/>
  <c r="AI13" i="7"/>
  <c r="AM13" i="7"/>
  <c r="BB26" i="10"/>
  <c r="BL26" i="10" s="1"/>
  <c r="BA26" i="10"/>
  <c r="BK26" i="10" s="1"/>
  <c r="P18" i="10"/>
  <c r="R18" i="10" s="1"/>
  <c r="P14" i="10"/>
  <c r="P8" i="10"/>
  <c r="P29" i="10"/>
  <c r="P11" i="10"/>
  <c r="U11" i="10" s="1"/>
  <c r="AC11" i="10" s="1"/>
  <c r="P15" i="10"/>
  <c r="P32" i="10"/>
  <c r="V32" i="10" s="1"/>
  <c r="P13" i="10"/>
  <c r="P22" i="10"/>
  <c r="U22" i="10" s="1"/>
  <c r="P9" i="10"/>
  <c r="P24" i="10"/>
  <c r="P21" i="10"/>
  <c r="P30" i="10"/>
  <c r="R30" i="10" s="1"/>
  <c r="P23" i="10"/>
  <c r="P19" i="10"/>
  <c r="U19" i="10" s="1"/>
  <c r="AA19" i="10" s="1"/>
  <c r="P27" i="10"/>
  <c r="U27" i="10" s="1"/>
  <c r="P20" i="10"/>
  <c r="V20" i="10" s="1"/>
  <c r="AB20" i="10" s="1"/>
  <c r="P12" i="10"/>
  <c r="P16" i="10"/>
  <c r="P28" i="10"/>
  <c r="P25" i="10"/>
  <c r="U25" i="10" s="1"/>
  <c r="P17" i="10"/>
  <c r="P10" i="10"/>
  <c r="P31" i="10"/>
  <c r="P33" i="10"/>
  <c r="V33" i="10" s="1"/>
  <c r="AB33" i="10" s="1"/>
  <c r="P26" i="10"/>
  <c r="Q24" i="10"/>
  <c r="Q13" i="10"/>
  <c r="Q31" i="10"/>
  <c r="Q10" i="10"/>
  <c r="Q32" i="10"/>
  <c r="Q27" i="10"/>
  <c r="Q30" i="10"/>
  <c r="Q18" i="10"/>
  <c r="Q16" i="10"/>
  <c r="Q20" i="10"/>
  <c r="Q19" i="10"/>
  <c r="Q25" i="10"/>
  <c r="Q15" i="10"/>
  <c r="V15" i="10" s="1"/>
  <c r="Q23" i="10"/>
  <c r="R23" i="10" s="1"/>
  <c r="Q8" i="10"/>
  <c r="Q26" i="10"/>
  <c r="Q28" i="10"/>
  <c r="Q22" i="10"/>
  <c r="Q33" i="10"/>
  <c r="Q21" i="10"/>
  <c r="Q29" i="10"/>
  <c r="V29" i="10" s="1"/>
  <c r="AB29" i="10" s="1"/>
  <c r="Q14" i="10"/>
  <c r="V14" i="10" s="1"/>
  <c r="AB14" i="10" s="1"/>
  <c r="Q17" i="10"/>
  <c r="R17" i="10" s="1"/>
  <c r="Q9" i="10"/>
  <c r="Q11" i="10"/>
  <c r="Q12" i="10"/>
  <c r="S16" i="4"/>
  <c r="T16" i="4"/>
  <c r="U16" i="4"/>
  <c r="R16" i="4"/>
  <c r="Q16" i="4"/>
  <c r="W16" i="4"/>
  <c r="X16" i="4"/>
  <c r="V16" i="4"/>
  <c r="Y16" i="4"/>
  <c r="Z16" i="4"/>
  <c r="AM26" i="7"/>
  <c r="AI26" i="7"/>
  <c r="AG26" i="7"/>
  <c r="AM14" i="7"/>
  <c r="AG14" i="7"/>
  <c r="AI14" i="7"/>
  <c r="AH32" i="7"/>
  <c r="AM29" i="7"/>
  <c r="AI29" i="7"/>
  <c r="M18" i="4"/>
  <c r="P17" i="4"/>
  <c r="AH14" i="7"/>
  <c r="AH26" i="7"/>
  <c r="AH12" i="7"/>
  <c r="AG11" i="7"/>
  <c r="AJ12" i="7"/>
  <c r="AJ8" i="7" s="1"/>
  <c r="AM118" i="1"/>
  <c r="AG118" i="1"/>
  <c r="AI118" i="1"/>
  <c r="AI116" i="1"/>
  <c r="AM116" i="1"/>
  <c r="AG116" i="1"/>
  <c r="AJ97" i="1"/>
  <c r="AJ85" i="1"/>
  <c r="AJ67" i="1"/>
  <c r="AI58" i="1"/>
  <c r="AM58" i="1"/>
  <c r="AI119" i="1"/>
  <c r="AJ119" i="1"/>
  <c r="AG103" i="1"/>
  <c r="AG101" i="1"/>
  <c r="AJ94" i="1"/>
  <c r="AM66" i="1"/>
  <c r="AI66" i="1"/>
  <c r="AG66" i="1"/>
  <c r="W100" i="1"/>
  <c r="W101" i="1"/>
  <c r="T101" i="1"/>
  <c r="W103" i="1"/>
  <c r="T103" i="1"/>
  <c r="W108" i="1"/>
  <c r="U108" i="1"/>
  <c r="W105" i="1"/>
  <c r="AL105" i="1"/>
  <c r="W104" i="1"/>
  <c r="AK104" i="1"/>
  <c r="AL112" i="1"/>
  <c r="AN112" i="1"/>
  <c r="AI112" i="1"/>
  <c r="AM112" i="1"/>
  <c r="AJ101" i="1"/>
  <c r="AG102" i="1"/>
  <c r="AK112" i="1"/>
  <c r="W119" i="1"/>
  <c r="U119" i="1"/>
  <c r="W106" i="1"/>
  <c r="AJ103" i="1"/>
  <c r="U112" i="1"/>
  <c r="W98" i="1"/>
  <c r="AL113" i="1"/>
  <c r="AN113" i="1"/>
  <c r="W114" i="1"/>
  <c r="AL114" i="1"/>
  <c r="AN114" i="1"/>
  <c r="W118" i="1"/>
  <c r="AL118" i="1"/>
  <c r="AN118" i="1"/>
  <c r="W117" i="1"/>
  <c r="AL117" i="1"/>
  <c r="AN117" i="1"/>
  <c r="W107" i="1"/>
  <c r="AL107" i="1"/>
  <c r="AN107" i="1"/>
  <c r="W110" i="1"/>
  <c r="AK110" i="1"/>
  <c r="W109" i="1"/>
  <c r="W111" i="1"/>
  <c r="W116" i="1"/>
  <c r="AL116" i="1"/>
  <c r="AN116" i="1"/>
  <c r="W102" i="1"/>
  <c r="T102" i="1"/>
  <c r="T108" i="1"/>
  <c r="AK117" i="1"/>
  <c r="AJ78" i="1"/>
  <c r="W115" i="1"/>
  <c r="AL115" i="1"/>
  <c r="AN115" i="1"/>
  <c r="AG112" i="1"/>
  <c r="AJ112" i="1"/>
  <c r="AM105" i="1"/>
  <c r="AN105" i="1"/>
  <c r="AI105" i="1"/>
  <c r="AG105" i="1"/>
  <c r="W99" i="1"/>
  <c r="W96" i="1"/>
  <c r="AK96" i="1"/>
  <c r="W97" i="1"/>
  <c r="W94" i="1"/>
  <c r="AL94" i="1"/>
  <c r="AN94" i="1"/>
  <c r="W95" i="1"/>
  <c r="W93" i="1"/>
  <c r="W90" i="1"/>
  <c r="W91" i="1"/>
  <c r="W88" i="1"/>
  <c r="AL88" i="1"/>
  <c r="AN88" i="1"/>
  <c r="W89" i="1"/>
  <c r="W87" i="1"/>
  <c r="W84" i="1"/>
  <c r="W85" i="1"/>
  <c r="W82" i="1"/>
  <c r="W83" i="1"/>
  <c r="W80" i="1"/>
  <c r="W78" i="1"/>
  <c r="U78" i="1"/>
  <c r="W79" i="1"/>
  <c r="AI78" i="1"/>
  <c r="AG78" i="1"/>
  <c r="AM78" i="1"/>
  <c r="W76" i="1"/>
  <c r="T76" i="1"/>
  <c r="W77" i="1"/>
  <c r="AK77" i="1"/>
  <c r="W75" i="1"/>
  <c r="AK75" i="1"/>
  <c r="W74" i="1"/>
  <c r="W70" i="1"/>
  <c r="T70" i="1"/>
  <c r="W72" i="1"/>
  <c r="W71" i="1"/>
  <c r="W68" i="1"/>
  <c r="AK68" i="1"/>
  <c r="W69" i="1"/>
  <c r="AJ69" i="1"/>
  <c r="AG69" i="1"/>
  <c r="W66" i="1"/>
  <c r="U66" i="1"/>
  <c r="W67" i="1"/>
  <c r="AG67" i="1"/>
  <c r="AM67" i="1"/>
  <c r="AI67" i="1"/>
  <c r="W64" i="1"/>
  <c r="AK64" i="1"/>
  <c r="W65" i="1"/>
  <c r="W63" i="1"/>
  <c r="AH62" i="1"/>
  <c r="AJ62" i="1"/>
  <c r="W62" i="1"/>
  <c r="AG119" i="1"/>
  <c r="AJ111" i="1"/>
  <c r="AL111" i="1"/>
  <c r="AN111" i="1"/>
  <c r="T111" i="1"/>
  <c r="AQ111" i="1"/>
  <c r="U111" i="1"/>
  <c r="AK111" i="1"/>
  <c r="AQ102" i="1"/>
  <c r="AG100" i="1"/>
  <c r="AM100" i="1"/>
  <c r="AI100" i="1"/>
  <c r="AK100" i="1"/>
  <c r="AL100" i="1"/>
  <c r="U100" i="1"/>
  <c r="T100" i="1"/>
  <c r="AJ100" i="1"/>
  <c r="V26" i="10"/>
  <c r="U26" i="10"/>
  <c r="V12" i="10"/>
  <c r="U12" i="10"/>
  <c r="V9" i="10"/>
  <c r="U9" i="10"/>
  <c r="U14" i="10"/>
  <c r="T25" i="10"/>
  <c r="R25" i="10"/>
  <c r="T23" i="10"/>
  <c r="T14" i="10"/>
  <c r="R14" i="10"/>
  <c r="U33" i="10"/>
  <c r="AA33" i="10" s="1"/>
  <c r="V22" i="10"/>
  <c r="V18" i="10"/>
  <c r="U18" i="10"/>
  <c r="T30" i="10"/>
  <c r="T26" i="10"/>
  <c r="R26" i="10"/>
  <c r="T17" i="10"/>
  <c r="V31" i="10"/>
  <c r="U31" i="10"/>
  <c r="V27" i="10"/>
  <c r="U13" i="10"/>
  <c r="V13" i="10"/>
  <c r="R24" i="10"/>
  <c r="R15" i="10"/>
  <c r="V10" i="10"/>
  <c r="AB10" i="10" s="1"/>
  <c r="U10" i="10"/>
  <c r="AA10" i="10" s="1"/>
  <c r="U32" i="10"/>
  <c r="R20" i="10"/>
  <c r="T13" i="10"/>
  <c r="R13" i="10"/>
  <c r="T18" i="10"/>
  <c r="V17" i="4"/>
  <c r="R17" i="4"/>
  <c r="T17" i="4"/>
  <c r="U17" i="4"/>
  <c r="S17" i="4"/>
  <c r="Q17" i="4"/>
  <c r="Y17" i="4"/>
  <c r="X17" i="4"/>
  <c r="W17" i="4"/>
  <c r="Z17" i="4"/>
  <c r="V17" i="10"/>
  <c r="U17" i="10"/>
  <c r="V23" i="10"/>
  <c r="AB23" i="10" s="1"/>
  <c r="T16" i="10"/>
  <c r="T29" i="10"/>
  <c r="R29" i="10"/>
  <c r="R33" i="10"/>
  <c r="X8" i="7"/>
  <c r="M19" i="4"/>
  <c r="P18" i="4"/>
  <c r="U18" i="4" s="1"/>
  <c r="V25" i="10"/>
  <c r="AB25" i="10" s="1"/>
  <c r="V30" i="10"/>
  <c r="AB30" i="10" s="1"/>
  <c r="U30" i="10"/>
  <c r="V11" i="10"/>
  <c r="R9" i="10"/>
  <c r="T9" i="10"/>
  <c r="T12" i="10"/>
  <c r="R12" i="10"/>
  <c r="T28" i="10"/>
  <c r="AC28" i="10" s="1"/>
  <c r="R28" i="10"/>
  <c r="V28" i="10"/>
  <c r="U28" i="10"/>
  <c r="U21" i="10"/>
  <c r="V21" i="10"/>
  <c r="U29" i="10"/>
  <c r="T21" i="10"/>
  <c r="AC21" i="10" s="1"/>
  <c r="R21" i="10"/>
  <c r="T10" i="10"/>
  <c r="R10" i="10"/>
  <c r="R32" i="10"/>
  <c r="T32" i="10"/>
  <c r="T22" i="10"/>
  <c r="R22" i="10"/>
  <c r="V16" i="10"/>
  <c r="U16" i="10"/>
  <c r="AA16" i="10" s="1"/>
  <c r="U24" i="10"/>
  <c r="V24" i="10"/>
  <c r="U8" i="10"/>
  <c r="V8" i="10"/>
  <c r="T31" i="10"/>
  <c r="R31" i="10"/>
  <c r="R19" i="10"/>
  <c r="T19" i="10"/>
  <c r="T11" i="10"/>
  <c r="R11" i="10"/>
  <c r="R27" i="10"/>
  <c r="T27" i="10"/>
  <c r="U101" i="1"/>
  <c r="AL108" i="1"/>
  <c r="AN108" i="1"/>
  <c r="AL101" i="1"/>
  <c r="AN101" i="1"/>
  <c r="AK101" i="1"/>
  <c r="AK108" i="1"/>
  <c r="AK105" i="1"/>
  <c r="AL104" i="1"/>
  <c r="AN104" i="1"/>
  <c r="AK103" i="1"/>
  <c r="U105" i="1"/>
  <c r="T105" i="1"/>
  <c r="U103" i="1"/>
  <c r="AL103" i="1"/>
  <c r="AN103" i="1"/>
  <c r="AL119" i="1"/>
  <c r="AN119" i="1"/>
  <c r="AK118" i="1"/>
  <c r="AP112" i="1"/>
  <c r="U102" i="1"/>
  <c r="AL110" i="1"/>
  <c r="AN110" i="1"/>
  <c r="AK114" i="1"/>
  <c r="AP117" i="1"/>
  <c r="U110" i="1"/>
  <c r="T110" i="1"/>
  <c r="T98" i="1"/>
  <c r="AK98" i="1"/>
  <c r="AL98" i="1"/>
  <c r="AN98" i="1"/>
  <c r="U98" i="1"/>
  <c r="U107" i="1"/>
  <c r="T107" i="1"/>
  <c r="T119" i="1"/>
  <c r="U117" i="1"/>
  <c r="T117" i="1"/>
  <c r="U115" i="1"/>
  <c r="T115" i="1"/>
  <c r="AK115" i="1"/>
  <c r="U114" i="1"/>
  <c r="T114" i="1"/>
  <c r="T104" i="1"/>
  <c r="U104" i="1"/>
  <c r="AL102" i="1"/>
  <c r="AN102" i="1"/>
  <c r="AK102" i="1"/>
  <c r="AK116" i="1"/>
  <c r="T116" i="1"/>
  <c r="U116" i="1"/>
  <c r="U118" i="1"/>
  <c r="T118" i="1"/>
  <c r="AK119" i="1"/>
  <c r="U109" i="1"/>
  <c r="T109" i="1"/>
  <c r="AK109" i="1"/>
  <c r="AL109" i="1"/>
  <c r="AN109" i="1"/>
  <c r="AK107" i="1"/>
  <c r="AK99" i="1"/>
  <c r="T99" i="1"/>
  <c r="U99" i="1"/>
  <c r="AL99" i="1"/>
  <c r="AN99" i="1"/>
  <c r="AL96" i="1"/>
  <c r="AN96" i="1"/>
  <c r="T96" i="1"/>
  <c r="U96" i="1"/>
  <c r="U97" i="1"/>
  <c r="T97" i="1"/>
  <c r="AK97" i="1"/>
  <c r="AL97" i="1"/>
  <c r="AN97" i="1"/>
  <c r="U94" i="1"/>
  <c r="AK94" i="1"/>
  <c r="T94" i="1"/>
  <c r="AL95" i="1"/>
  <c r="AN95" i="1"/>
  <c r="U95" i="1"/>
  <c r="T95" i="1"/>
  <c r="AK95" i="1"/>
  <c r="T93" i="1"/>
  <c r="U93" i="1"/>
  <c r="AL93" i="1"/>
  <c r="AN93" i="1"/>
  <c r="AK93" i="1"/>
  <c r="AK91" i="1"/>
  <c r="T91" i="1"/>
  <c r="U91" i="1"/>
  <c r="AL91" i="1"/>
  <c r="AN91" i="1"/>
  <c r="AK90" i="1"/>
  <c r="U90" i="1"/>
  <c r="AL90" i="1"/>
  <c r="AN90" i="1"/>
  <c r="T90" i="1"/>
  <c r="T88" i="1"/>
  <c r="U89" i="1"/>
  <c r="AK89" i="1"/>
  <c r="AL89" i="1"/>
  <c r="AN89" i="1"/>
  <c r="T89" i="1"/>
  <c r="U88" i="1"/>
  <c r="AK88" i="1"/>
  <c r="AL87" i="1"/>
  <c r="AN87" i="1"/>
  <c r="AK87" i="1"/>
  <c r="U87" i="1"/>
  <c r="T87" i="1"/>
  <c r="T85" i="1"/>
  <c r="AL85" i="1"/>
  <c r="AN85" i="1"/>
  <c r="AK85" i="1"/>
  <c r="U85" i="1"/>
  <c r="AK84" i="1"/>
  <c r="T84" i="1"/>
  <c r="AL84" i="1"/>
  <c r="AN84" i="1"/>
  <c r="U84" i="1"/>
  <c r="T83" i="1"/>
  <c r="U83" i="1"/>
  <c r="AK83" i="1"/>
  <c r="AL83" i="1"/>
  <c r="AN83" i="1"/>
  <c r="U82" i="1"/>
  <c r="AK82" i="1"/>
  <c r="T82" i="1"/>
  <c r="AL82" i="1"/>
  <c r="AN82" i="1"/>
  <c r="AL80" i="1"/>
  <c r="AN80" i="1"/>
  <c r="T80" i="1"/>
  <c r="U80" i="1"/>
  <c r="AK80" i="1"/>
  <c r="T78" i="1"/>
  <c r="AK78" i="1"/>
  <c r="AL78" i="1"/>
  <c r="AN78" i="1"/>
  <c r="U79" i="1"/>
  <c r="AK79" i="1"/>
  <c r="T79" i="1"/>
  <c r="AL79" i="1"/>
  <c r="AN79" i="1"/>
  <c r="AL76" i="1"/>
  <c r="AN76" i="1"/>
  <c r="U76" i="1"/>
  <c r="AK76" i="1"/>
  <c r="AL77" i="1"/>
  <c r="AN77" i="1"/>
  <c r="T77" i="1"/>
  <c r="U77" i="1"/>
  <c r="AL75" i="1"/>
  <c r="AN75" i="1"/>
  <c r="U73" i="1"/>
  <c r="U75" i="1"/>
  <c r="T75" i="1"/>
  <c r="AK74" i="1"/>
  <c r="T74" i="1"/>
  <c r="AL74" i="1"/>
  <c r="AN74" i="1"/>
  <c r="U74" i="1"/>
  <c r="AK70" i="1"/>
  <c r="U70" i="1"/>
  <c r="AL70" i="1"/>
  <c r="AN70" i="1"/>
  <c r="AK72" i="1"/>
  <c r="U72" i="1"/>
  <c r="AL72" i="1"/>
  <c r="AN72" i="1"/>
  <c r="T72" i="1"/>
  <c r="AK71" i="1"/>
  <c r="U71" i="1"/>
  <c r="T71" i="1"/>
  <c r="AL71" i="1"/>
  <c r="U69" i="1"/>
  <c r="AL69" i="1"/>
  <c r="AN69" i="1"/>
  <c r="T69" i="1"/>
  <c r="AK69" i="1"/>
  <c r="U68" i="1"/>
  <c r="AL68" i="1"/>
  <c r="AN68" i="1"/>
  <c r="T68" i="1"/>
  <c r="AL66" i="1"/>
  <c r="AN66" i="1"/>
  <c r="T66" i="1"/>
  <c r="AK66" i="1"/>
  <c r="T67" i="1"/>
  <c r="AL67" i="1"/>
  <c r="AN67" i="1"/>
  <c r="AK67" i="1"/>
  <c r="U67" i="1"/>
  <c r="AK65" i="1"/>
  <c r="AL65" i="1"/>
  <c r="U65" i="1"/>
  <c r="T65" i="1"/>
  <c r="U64" i="1"/>
  <c r="AL64" i="1"/>
  <c r="AN64" i="1"/>
  <c r="T64" i="1"/>
  <c r="U63" i="1"/>
  <c r="T63" i="1"/>
  <c r="AL63" i="1"/>
  <c r="AN63" i="1"/>
  <c r="AK63" i="1"/>
  <c r="AK62" i="1"/>
  <c r="U62" i="1"/>
  <c r="AL62" i="1"/>
  <c r="T62" i="1"/>
  <c r="AP111" i="1"/>
  <c r="AP101" i="1"/>
  <c r="AP100" i="1"/>
  <c r="AN100" i="1"/>
  <c r="Z19" i="10"/>
  <c r="Z32" i="10"/>
  <c r="AC32" i="10"/>
  <c r="AB21" i="10"/>
  <c r="Z15" i="10"/>
  <c r="Z17" i="10"/>
  <c r="AB22" i="10"/>
  <c r="AA14" i="10"/>
  <c r="AB16" i="10"/>
  <c r="AA21" i="10"/>
  <c r="T18" i="4"/>
  <c r="S18" i="4"/>
  <c r="Q18" i="4"/>
  <c r="V18" i="4"/>
  <c r="R18" i="4"/>
  <c r="W18" i="4"/>
  <c r="Y18" i="4"/>
  <c r="Z18" i="4"/>
  <c r="AC18" i="10"/>
  <c r="Z18" i="10"/>
  <c r="AB13" i="10"/>
  <c r="Z23" i="10"/>
  <c r="AA9" i="10"/>
  <c r="AA28" i="10"/>
  <c r="AB11" i="10"/>
  <c r="M20" i="4"/>
  <c r="P20" i="4"/>
  <c r="P19" i="4"/>
  <c r="AC33" i="10"/>
  <c r="AB15" i="10"/>
  <c r="Z24" i="10"/>
  <c r="AA13" i="10"/>
  <c r="AC26" i="10"/>
  <c r="Z26" i="10"/>
  <c r="AC31" i="10"/>
  <c r="Z10" i="10"/>
  <c r="AC10" i="10"/>
  <c r="AB28" i="10"/>
  <c r="Z28" i="10"/>
  <c r="AA11" i="10"/>
  <c r="AA32" i="10"/>
  <c r="AA27" i="10"/>
  <c r="Z25" i="10"/>
  <c r="AC25" i="10"/>
  <c r="AA12" i="10"/>
  <c r="Z27" i="10"/>
  <c r="AB8" i="10"/>
  <c r="AA30" i="10"/>
  <c r="AC13" i="10"/>
  <c r="Z13" i="10"/>
  <c r="AB32" i="10"/>
  <c r="Z8" i="10"/>
  <c r="AB27" i="10"/>
  <c r="Z30" i="10"/>
  <c r="AB12" i="10"/>
  <c r="AA8" i="10"/>
  <c r="Z21" i="10"/>
  <c r="Z12" i="10"/>
  <c r="AC12" i="10"/>
  <c r="Z29" i="10"/>
  <c r="AC29" i="10"/>
  <c r="AA17" i="10"/>
  <c r="AA31" i="10"/>
  <c r="AA18" i="10"/>
  <c r="AA26" i="10"/>
  <c r="AB24" i="10"/>
  <c r="AA29" i="10"/>
  <c r="Z9" i="10"/>
  <c r="AB17" i="10"/>
  <c r="Z20" i="10"/>
  <c r="AB18" i="10"/>
  <c r="AB26" i="10"/>
  <c r="Z11" i="10"/>
  <c r="AA24" i="10"/>
  <c r="Z22" i="10"/>
  <c r="AC22" i="10"/>
  <c r="AA25" i="10"/>
  <c r="Z16" i="10"/>
  <c r="AC16" i="10"/>
  <c r="AA22" i="10"/>
  <c r="Z14" i="10"/>
  <c r="AC14" i="10"/>
  <c r="AP108" i="1"/>
  <c r="AP105" i="1"/>
  <c r="AP104" i="1"/>
  <c r="AP110" i="1"/>
  <c r="AP114" i="1"/>
  <c r="AP103" i="1"/>
  <c r="AP118" i="1"/>
  <c r="AP102" i="1"/>
  <c r="AP119" i="1"/>
  <c r="AP109" i="1"/>
  <c r="AP115" i="1"/>
  <c r="AP116" i="1"/>
  <c r="AP107" i="1"/>
  <c r="AP98" i="1"/>
  <c r="AP99" i="1"/>
  <c r="AP96" i="1"/>
  <c r="AP97" i="1"/>
  <c r="AP94" i="1"/>
  <c r="AP95" i="1"/>
  <c r="AP93" i="1"/>
  <c r="AP90" i="1"/>
  <c r="AP91" i="1"/>
  <c r="AP88" i="1"/>
  <c r="AP89" i="1"/>
  <c r="AP87" i="1"/>
  <c r="AP84" i="1"/>
  <c r="AP85" i="1"/>
  <c r="AP82" i="1"/>
  <c r="AP83" i="1"/>
  <c r="AP78" i="1"/>
  <c r="AP80" i="1"/>
  <c r="AP79" i="1"/>
  <c r="AP76" i="1"/>
  <c r="AP77" i="1"/>
  <c r="AP75" i="1"/>
  <c r="AP74" i="1"/>
  <c r="AP70" i="1"/>
  <c r="AP72" i="1"/>
  <c r="AP71" i="1"/>
  <c r="AN71" i="1"/>
  <c r="AP68" i="1"/>
  <c r="AP69" i="1"/>
  <c r="AP66" i="1"/>
  <c r="AP67" i="1"/>
  <c r="AP64" i="1"/>
  <c r="AP65" i="1"/>
  <c r="AN65" i="1"/>
  <c r="AP63" i="1"/>
  <c r="AP62" i="1"/>
  <c r="AN62" i="1"/>
  <c r="U20" i="4"/>
  <c r="V20" i="4"/>
  <c r="R20" i="4"/>
  <c r="T20" i="4"/>
  <c r="W20" i="4"/>
  <c r="X20" i="4"/>
  <c r="Y20" i="4"/>
  <c r="U19" i="4"/>
  <c r="T19" i="4"/>
  <c r="Q19" i="4"/>
  <c r="R19" i="4"/>
  <c r="Z19" i="4"/>
  <c r="AS62" i="1"/>
  <c r="AT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S87" i="1"/>
  <c r="AT87" i="1"/>
  <c r="AS88" i="1"/>
  <c r="AT88" i="1"/>
  <c r="AS89" i="1"/>
  <c r="AT89" i="1"/>
  <c r="AS90" i="1"/>
  <c r="AT90" i="1"/>
  <c r="AS91" i="1"/>
  <c r="AT91" i="1"/>
  <c r="AS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D43" i="1"/>
  <c r="AH43" i="1" s="1"/>
  <c r="AB31" i="1"/>
  <c r="O31" i="1"/>
  <c r="R14" i="1"/>
  <c r="X14" i="1" s="1"/>
  <c r="P47" i="1"/>
  <c r="S47" i="1" s="1"/>
  <c r="Y47" i="1" s="1"/>
  <c r="O47" i="1"/>
  <c r="AB47" i="1"/>
  <c r="Z47" i="1"/>
  <c r="AD47" i="1" s="1"/>
  <c r="AH47" i="1" s="1"/>
  <c r="AA47" i="1"/>
  <c r="Q44" i="1"/>
  <c r="AC43" i="1"/>
  <c r="N31" i="1"/>
  <c r="Q31" i="1" s="1"/>
  <c r="AM25" i="1"/>
  <c r="R25" i="1"/>
  <c r="X25" i="1" s="1"/>
  <c r="Q14" i="1"/>
  <c r="R50" i="1"/>
  <c r="X50" i="1" s="1"/>
  <c r="AF43" i="1"/>
  <c r="AM43" i="1"/>
  <c r="AE43" i="1"/>
  <c r="Q43" i="1"/>
  <c r="Z54" i="1"/>
  <c r="AA54" i="1"/>
  <c r="AC54" i="1" s="1"/>
  <c r="P46" i="1"/>
  <c r="S46" i="1" s="1"/>
  <c r="Y46" i="1" s="1"/>
  <c r="AB15" i="1"/>
  <c r="O54" i="1"/>
  <c r="R54" i="1"/>
  <c r="X54" i="1" s="1"/>
  <c r="AQ54" i="1" s="1"/>
  <c r="P54" i="1"/>
  <c r="S54" i="1" s="1"/>
  <c r="Y54" i="1" s="1"/>
  <c r="P23" i="1"/>
  <c r="S23" i="1" s="1"/>
  <c r="Y23" i="1" s="1"/>
  <c r="AB54" i="1"/>
  <c r="AF54" i="1" s="1"/>
  <c r="N54" i="1"/>
  <c r="Q50" i="1"/>
  <c r="Q49" i="1"/>
  <c r="Z46" i="1"/>
  <c r="AD46" i="1" s="1"/>
  <c r="AH46" i="1" s="1"/>
  <c r="AA46" i="1"/>
  <c r="AB46" i="1"/>
  <c r="O46" i="1"/>
  <c r="AD42" i="1"/>
  <c r="AH42" i="1" s="1"/>
  <c r="AF42" i="1"/>
  <c r="AI42" i="1" s="1"/>
  <c r="AB38" i="1"/>
  <c r="AE35" i="1"/>
  <c r="Z30" i="1"/>
  <c r="AB23" i="1"/>
  <c r="Z23" i="1"/>
  <c r="N23" i="1"/>
  <c r="O23" i="1"/>
  <c r="AA23" i="1"/>
  <c r="AB48" i="1"/>
  <c r="O9" i="1"/>
  <c r="FY15" i="1"/>
  <c r="GE54" i="1"/>
  <c r="EW54" i="1"/>
  <c r="EN54" i="1"/>
  <c r="EO54" i="1"/>
  <c r="AA26" i="1"/>
  <c r="Z9" i="1"/>
  <c r="AE9" i="1" s="1"/>
  <c r="ES54" i="1"/>
  <c r="BF54" i="1"/>
  <c r="P26" i="1"/>
  <c r="S26" i="1" s="1"/>
  <c r="Y26" i="1" s="1"/>
  <c r="V26" i="1" s="1"/>
  <c r="P9" i="1"/>
  <c r="S9" i="1" s="1"/>
  <c r="Y9" i="1" s="1"/>
  <c r="HH54" i="1"/>
  <c r="GP54" i="1"/>
  <c r="FZ54" i="1"/>
  <c r="DF54" i="1"/>
  <c r="BV54" i="1"/>
  <c r="CE54" i="1"/>
  <c r="AB26" i="1"/>
  <c r="N9" i="1"/>
  <c r="Z26" i="1"/>
  <c r="HE54" i="1"/>
  <c r="GS54" i="1"/>
  <c r="FT54" i="1"/>
  <c r="FL54" i="1"/>
  <c r="FB54" i="1"/>
  <c r="BU54" i="1"/>
  <c r="N48" i="1"/>
  <c r="Q48" i="1"/>
  <c r="HB54" i="1"/>
  <c r="EY54" i="1"/>
  <c r="FW54" i="1"/>
  <c r="DZ54" i="1"/>
  <c r="ED54" i="1"/>
  <c r="BR54" i="1"/>
  <c r="CY54" i="1"/>
  <c r="P40" i="1"/>
  <c r="S40" i="1" s="1"/>
  <c r="Y40" i="1" s="1"/>
  <c r="V40" i="1" s="1"/>
  <c r="O26" i="1"/>
  <c r="Z48" i="1"/>
  <c r="GA54" i="1"/>
  <c r="HI54" i="1"/>
  <c r="EI54" i="1"/>
  <c r="EG54" i="1"/>
  <c r="CZ54" i="1"/>
  <c r="CT54" i="1"/>
  <c r="N26" i="1"/>
  <c r="FU54" i="1"/>
  <c r="EV54" i="1"/>
  <c r="EJ54" i="1"/>
  <c r="DE54" i="1"/>
  <c r="CS54" i="1"/>
  <c r="DA54" i="1"/>
  <c r="AC42" i="1"/>
  <c r="AE42" i="1"/>
  <c r="Z38" i="1"/>
  <c r="P38" i="1"/>
  <c r="S38" i="1" s="1"/>
  <c r="Y38" i="1" s="1"/>
  <c r="AA38" i="1"/>
  <c r="N38" i="1"/>
  <c r="O38" i="1"/>
  <c r="AC35" i="1"/>
  <c r="R24" i="1"/>
  <c r="X24" i="1" s="1"/>
  <c r="AB18" i="1"/>
  <c r="Z18" i="1"/>
  <c r="N18" i="1"/>
  <c r="O18" i="1"/>
  <c r="S18" i="1"/>
  <c r="Y18" i="1" s="1"/>
  <c r="AD14" i="1"/>
  <c r="AH14" i="1" s="1"/>
  <c r="Z37" i="1"/>
  <c r="O21" i="1"/>
  <c r="Q21" i="1" s="1"/>
  <c r="AA41" i="1"/>
  <c r="P41" i="1"/>
  <c r="S41" i="1" s="1"/>
  <c r="Y41" i="1" s="1"/>
  <c r="V41" i="1" s="1"/>
  <c r="Z41" i="1"/>
  <c r="AB41" i="1"/>
  <c r="AD41" i="1" s="1"/>
  <c r="O41" i="1"/>
  <c r="Q41" i="1" s="1"/>
  <c r="Z45" i="1"/>
  <c r="AC45" i="1" s="1"/>
  <c r="N51" i="1"/>
  <c r="P51" i="1"/>
  <c r="S51" i="1" s="1"/>
  <c r="Y51" i="1" s="1"/>
  <c r="AA51" i="1"/>
  <c r="Z51" i="1"/>
  <c r="AB51" i="1"/>
  <c r="O51" i="1"/>
  <c r="Q51" i="1"/>
  <c r="AB29" i="1"/>
  <c r="O33" i="1"/>
  <c r="AI43" i="1"/>
  <c r="AC46" i="1"/>
  <c r="EM67" i="1"/>
  <c r="GF67" i="1"/>
  <c r="DY67" i="1"/>
  <c r="BS67" i="1"/>
  <c r="BG67" i="1"/>
  <c r="DB67" i="1"/>
  <c r="GP67" i="1"/>
  <c r="EP67" i="1"/>
  <c r="DC67" i="1"/>
  <c r="GB67" i="1"/>
  <c r="FX67" i="1"/>
  <c r="BZ67" i="1"/>
  <c r="EU67" i="1"/>
  <c r="DH67" i="1"/>
  <c r="GG67" i="1"/>
  <c r="CV67" i="1"/>
  <c r="ET67" i="1"/>
  <c r="BL67" i="1"/>
  <c r="DP67" i="1"/>
  <c r="FV67" i="1"/>
  <c r="DU67" i="1"/>
  <c r="EC67" i="1"/>
  <c r="FU67" i="1"/>
  <c r="HB67" i="1"/>
  <c r="EO67" i="1"/>
  <c r="EG67" i="1"/>
  <c r="HI67" i="1"/>
  <c r="CD67" i="1"/>
  <c r="EI67" i="1"/>
  <c r="FF67" i="1"/>
  <c r="FY67" i="1"/>
  <c r="GU67" i="1"/>
  <c r="BK67" i="1"/>
  <c r="EL67" i="1"/>
  <c r="FJ67" i="1"/>
  <c r="FZ67" i="1"/>
  <c r="BQ67" i="1"/>
  <c r="CJ67" i="1"/>
  <c r="EN67" i="1"/>
  <c r="FB67" i="1"/>
  <c r="DQ67" i="1"/>
  <c r="CH67" i="1"/>
  <c r="CM67" i="1"/>
  <c r="GY67" i="1"/>
  <c r="BY67" i="1"/>
  <c r="EE67" i="1"/>
  <c r="FI67" i="1"/>
  <c r="CU67" i="1"/>
  <c r="EF67" i="1"/>
  <c r="BT67" i="1"/>
  <c r="DV67" i="1"/>
  <c r="GQ67" i="1"/>
  <c r="CN67" i="1"/>
  <c r="BU67" i="1"/>
  <c r="FW67" i="1"/>
  <c r="FQ67" i="1"/>
  <c r="HD67" i="1"/>
  <c r="CI67" i="1"/>
  <c r="BO67" i="1"/>
  <c r="CF67" i="1"/>
  <c r="DW67" i="1"/>
  <c r="FP67" i="1"/>
  <c r="GA67" i="1"/>
  <c r="GR67" i="1"/>
  <c r="BJ67" i="1"/>
  <c r="EB67" i="1"/>
  <c r="FL67" i="1"/>
  <c r="CW67" i="1"/>
  <c r="BM67" i="1"/>
  <c r="BX67" i="1"/>
  <c r="DR67" i="1"/>
  <c r="GH67" i="1"/>
  <c r="CR67" i="1"/>
  <c r="GK67" i="1"/>
  <c r="CE67" i="1"/>
  <c r="DE67" i="1"/>
  <c r="GS67" i="1"/>
  <c r="CX67" i="1"/>
  <c r="CQ67" i="1"/>
  <c r="BN67" i="1"/>
  <c r="DT67" i="1"/>
  <c r="EZ67" i="1"/>
  <c r="FG67" i="1"/>
  <c r="GV67" i="1"/>
  <c r="GL67" i="1"/>
  <c r="DA67" i="1"/>
  <c r="FC67" i="1"/>
  <c r="FE67" i="1"/>
  <c r="FS67" i="1"/>
  <c r="BF67" i="1"/>
  <c r="ER67" i="1"/>
  <c r="DG67" i="1"/>
  <c r="GE67" i="1"/>
  <c r="FR67" i="1"/>
  <c r="HC67" i="1"/>
  <c r="BP67" i="1"/>
  <c r="EH67" i="1"/>
  <c r="EW67" i="1"/>
  <c r="FM67" i="1"/>
  <c r="HF67" i="1"/>
  <c r="BV67" i="1"/>
  <c r="BA67" i="1"/>
  <c r="EQ67" i="1"/>
  <c r="FO67" i="1"/>
  <c r="GC67" i="1"/>
  <c r="GD67" i="1"/>
  <c r="FT67" i="1"/>
  <c r="BB67" i="1"/>
  <c r="EV67" i="1"/>
  <c r="FK67" i="1"/>
  <c r="HH67" i="1"/>
  <c r="CC67" i="1"/>
  <c r="DD67" i="1"/>
  <c r="FD67" i="1"/>
  <c r="ED67" i="1"/>
  <c r="HE67" i="1"/>
  <c r="ES67" i="1"/>
  <c r="DO67" i="1"/>
  <c r="FH67" i="1"/>
  <c r="DM67" i="1"/>
  <c r="GN67" i="1"/>
  <c r="CT67" i="1"/>
  <c r="DX67" i="1"/>
  <c r="CY67" i="1"/>
  <c r="EX67" i="1"/>
  <c r="FN67" i="1"/>
  <c r="GZ67" i="1"/>
  <c r="BI67" i="1"/>
  <c r="DN67" i="1"/>
  <c r="GW67" i="1"/>
  <c r="CL67" i="1"/>
  <c r="EJ67" i="1"/>
  <c r="BW67" i="1"/>
  <c r="DZ67" i="1"/>
  <c r="HA67" i="1"/>
  <c r="CK67" i="1"/>
  <c r="DL67" i="1"/>
  <c r="CB67" i="1"/>
  <c r="DI67" i="1"/>
  <c r="GJ67" i="1"/>
  <c r="CZ67" i="1"/>
  <c r="CG67" i="1"/>
  <c r="BD67" i="1"/>
  <c r="EY67" i="1"/>
  <c r="FA67" i="1"/>
  <c r="BR67" i="1"/>
  <c r="BH67" i="1"/>
  <c r="DF67" i="1"/>
  <c r="DK67" i="1"/>
  <c r="HG67" i="1"/>
  <c r="GO67" i="1"/>
  <c r="CA67" i="1"/>
  <c r="CP67" i="1"/>
  <c r="DJ67" i="1"/>
  <c r="EK67" i="1"/>
  <c r="GI67" i="1"/>
  <c r="BE67" i="1"/>
  <c r="CS67" i="1"/>
  <c r="DS67" i="1"/>
  <c r="AZ67" i="1"/>
  <c r="GT67" i="1"/>
  <c r="GM67" i="1"/>
  <c r="BW123" i="1"/>
  <c r="EN123" i="1"/>
  <c r="EK123" i="1"/>
  <c r="DI123" i="1"/>
  <c r="EH123" i="1"/>
  <c r="ED123" i="1"/>
  <c r="DZ123" i="1"/>
  <c r="FM123" i="1"/>
  <c r="FR123" i="1"/>
  <c r="FS123" i="1"/>
  <c r="CX123" i="1"/>
  <c r="CS123" i="1"/>
  <c r="CG123" i="1"/>
  <c r="CQ123" i="1"/>
  <c r="CT123" i="1"/>
  <c r="BS123" i="1"/>
  <c r="FV123" i="1"/>
  <c r="FJ123" i="1"/>
  <c r="GF123" i="1"/>
  <c r="GO123" i="1"/>
  <c r="GR123" i="1"/>
  <c r="HF123" i="1"/>
  <c r="CA123" i="1"/>
  <c r="EU123" i="1"/>
  <c r="EL123" i="1"/>
  <c r="DE123" i="1"/>
  <c r="EB123" i="1"/>
  <c r="DX123" i="1"/>
  <c r="DT123" i="1"/>
  <c r="FK123" i="1"/>
  <c r="FT123" i="1"/>
  <c r="CU123" i="1"/>
  <c r="CL123" i="1"/>
  <c r="CC123" i="1"/>
  <c r="BE123" i="1"/>
  <c r="CM123" i="1"/>
  <c r="FC123" i="1"/>
  <c r="FF123" i="1"/>
  <c r="FH123" i="1"/>
  <c r="HI123" i="1"/>
  <c r="HH123" i="1"/>
  <c r="EO123" i="1"/>
  <c r="EG123" i="1"/>
  <c r="EF123" i="1"/>
  <c r="DW123" i="1"/>
  <c r="DS123" i="1"/>
  <c r="DO123" i="1"/>
  <c r="FY123" i="1"/>
  <c r="CR123" i="1"/>
  <c r="CP123" i="1"/>
  <c r="BV123" i="1"/>
  <c r="BZ123" i="1"/>
  <c r="CH123" i="1"/>
  <c r="ES123" i="1"/>
  <c r="FW123" i="1"/>
  <c r="GQ123" i="1"/>
  <c r="CF123" i="1"/>
  <c r="EQ123" i="1"/>
  <c r="EC123" i="1"/>
  <c r="EA123" i="1"/>
  <c r="DR123" i="1"/>
  <c r="DN123" i="1"/>
  <c r="DJ123" i="1"/>
  <c r="CN123" i="1"/>
  <c r="CZ123" i="1"/>
  <c r="CE123" i="1"/>
  <c r="BO123" i="1"/>
  <c r="BR123" i="1"/>
  <c r="EZ123" i="1"/>
  <c r="EW123" i="1"/>
  <c r="GA123" i="1"/>
  <c r="GG123" i="1"/>
  <c r="GV123" i="1"/>
  <c r="HA123" i="1"/>
  <c r="HG123" i="1"/>
  <c r="GT123" i="1"/>
  <c r="HB123" i="1"/>
  <c r="GK123" i="1"/>
  <c r="CK123" i="1"/>
  <c r="BQ123" i="1"/>
  <c r="FB123" i="1"/>
  <c r="ER123" i="1"/>
  <c r="DY123" i="1"/>
  <c r="DV123" i="1"/>
  <c r="DL123" i="1"/>
  <c r="DH123" i="1"/>
  <c r="DD123" i="1"/>
  <c r="FQ123" i="1"/>
  <c r="CI123" i="1"/>
  <c r="CW123" i="1"/>
  <c r="BL123" i="1"/>
  <c r="BU123" i="1"/>
  <c r="CD123" i="1"/>
  <c r="EV123" i="1"/>
  <c r="FD123" i="1"/>
  <c r="GB123" i="1"/>
  <c r="GD123" i="1"/>
  <c r="GH123" i="1"/>
  <c r="BA123" i="1"/>
  <c r="GY123" i="1"/>
  <c r="GX123" i="1"/>
  <c r="GM123" i="1"/>
  <c r="CB123" i="1"/>
  <c r="BB123" i="1"/>
  <c r="FA123" i="1"/>
  <c r="EM123" i="1"/>
  <c r="DU123" i="1"/>
  <c r="DP123" i="1"/>
  <c r="DG123" i="1"/>
  <c r="DC123" i="1"/>
  <c r="FO123" i="1"/>
  <c r="BJ123" i="1"/>
  <c r="BG123" i="1"/>
  <c r="BM123" i="1"/>
  <c r="BY123" i="1"/>
  <c r="EX123" i="1"/>
  <c r="EY123" i="1"/>
  <c r="GI123" i="1"/>
  <c r="GJ123" i="1"/>
  <c r="GZ123" i="1"/>
  <c r="GS123" i="1"/>
  <c r="GW123" i="1"/>
  <c r="HC123" i="1"/>
  <c r="GC123" i="1"/>
  <c r="BP123" i="1"/>
  <c r="ET123" i="1"/>
  <c r="DQ123" i="1"/>
  <c r="DK123" i="1"/>
  <c r="DB123" i="1"/>
  <c r="EJ123" i="1"/>
  <c r="FP123" i="1"/>
  <c r="FX123" i="1"/>
  <c r="CY123" i="1"/>
  <c r="CJ123" i="1"/>
  <c r="BX123" i="1"/>
  <c r="BI123" i="1"/>
  <c r="BT123" i="1"/>
  <c r="FE123" i="1"/>
  <c r="FN123" i="1"/>
  <c r="FU123" i="1"/>
  <c r="GN123" i="1"/>
  <c r="GL123" i="1"/>
  <c r="BH123" i="1"/>
  <c r="FZ123" i="1"/>
  <c r="FI123" i="1"/>
  <c r="EP123" i="1"/>
  <c r="FL123" i="1"/>
  <c r="CV123" i="1"/>
  <c r="DA123" i="1"/>
  <c r="FG123" i="1"/>
  <c r="BF123" i="1"/>
  <c r="GU123" i="1"/>
  <c r="AZ123" i="1"/>
  <c r="DM123" i="1"/>
  <c r="BK123" i="1"/>
  <c r="DF123" i="1"/>
  <c r="BN123" i="1"/>
  <c r="GE123" i="1"/>
  <c r="GP123" i="1"/>
  <c r="HE123" i="1"/>
  <c r="BD123" i="1"/>
  <c r="EI123" i="1"/>
  <c r="EE123" i="1"/>
  <c r="HD123" i="1"/>
  <c r="HF99" i="1"/>
  <c r="BS115" i="1"/>
  <c r="DP115" i="1"/>
  <c r="BR107" i="1"/>
  <c r="BU99" i="1"/>
  <c r="BN99" i="1"/>
  <c r="EO83" i="1"/>
  <c r="BZ91" i="1"/>
  <c r="DM91" i="1"/>
  <c r="EG91" i="1"/>
  <c r="BL91" i="1"/>
  <c r="EV91" i="1"/>
  <c r="FQ91" i="1"/>
  <c r="BT91" i="1"/>
  <c r="FN91" i="1"/>
  <c r="DI91" i="1"/>
  <c r="DP91" i="1"/>
  <c r="ER91" i="1"/>
  <c r="CU91" i="1"/>
  <c r="AZ91" i="1"/>
  <c r="BU91" i="1"/>
  <c r="GF91" i="1"/>
  <c r="GO91" i="1"/>
  <c r="CI91" i="1"/>
  <c r="EZ91" i="1"/>
  <c r="FC91" i="1"/>
  <c r="CF91" i="1"/>
  <c r="BQ91" i="1"/>
  <c r="CG91" i="1"/>
  <c r="DO91" i="1"/>
  <c r="GU91" i="1"/>
  <c r="DK91" i="1"/>
  <c r="GJ91" i="1"/>
  <c r="CP91" i="1"/>
  <c r="EJ91" i="1"/>
  <c r="BA91" i="1"/>
  <c r="BW91" i="1"/>
  <c r="EE91" i="1"/>
  <c r="HE91" i="1"/>
  <c r="EK91" i="1"/>
  <c r="CT91" i="1"/>
  <c r="GL91" i="1"/>
  <c r="DA91" i="1"/>
  <c r="BD91" i="1"/>
  <c r="BR91" i="1"/>
  <c r="DJ91" i="1"/>
  <c r="GK91" i="1"/>
  <c r="BE91" i="1"/>
  <c r="DY91" i="1"/>
  <c r="FG91" i="1"/>
  <c r="DU91" i="1"/>
  <c r="GI91" i="1"/>
  <c r="CV91" i="1"/>
  <c r="ET91" i="1"/>
  <c r="GH91" i="1"/>
  <c r="CY91" i="1"/>
  <c r="DB91" i="1"/>
  <c r="GG91" i="1"/>
  <c r="FW91" i="1"/>
  <c r="BB91" i="1"/>
  <c r="EU91" i="1"/>
  <c r="FF91" i="1"/>
  <c r="GV91" i="1"/>
  <c r="BX91" i="1"/>
  <c r="DW91" i="1"/>
  <c r="GP91" i="1"/>
  <c r="CR91" i="1"/>
  <c r="EB91" i="1"/>
  <c r="CQ91" i="1"/>
  <c r="EH91" i="1"/>
  <c r="FU91" i="1"/>
  <c r="FP91" i="1"/>
  <c r="HF91" i="1"/>
  <c r="GE91" i="1"/>
  <c r="CS91" i="1"/>
  <c r="EL91" i="1"/>
  <c r="FI91" i="1"/>
  <c r="CJ91" i="1"/>
  <c r="EM91" i="1"/>
  <c r="DE91" i="1"/>
  <c r="GZ91" i="1"/>
  <c r="CZ91" i="1"/>
  <c r="DX91" i="1"/>
  <c r="FJ91" i="1"/>
  <c r="CL91" i="1"/>
  <c r="FB91" i="1"/>
  <c r="CK91" i="1"/>
  <c r="EF91" i="1"/>
  <c r="BM91" i="1"/>
  <c r="DQ91" i="1"/>
  <c r="GW91" i="1"/>
  <c r="EY91" i="1"/>
  <c r="CX91" i="1"/>
  <c r="BK91" i="1"/>
  <c r="BF91" i="1"/>
  <c r="EA91" i="1"/>
  <c r="GT91" i="1"/>
  <c r="CE91" i="1"/>
  <c r="DN91" i="1"/>
  <c r="GA91" i="1"/>
  <c r="CM91" i="1"/>
  <c r="FV91" i="1"/>
  <c r="FS91" i="1"/>
  <c r="GC91" i="1"/>
  <c r="BN91" i="1"/>
  <c r="ES91" i="1"/>
  <c r="BI91" i="1"/>
  <c r="DZ91" i="1"/>
  <c r="GR91" i="1"/>
  <c r="FL91" i="1"/>
  <c r="FY91" i="1"/>
  <c r="GQ91" i="1"/>
  <c r="CA91" i="1"/>
  <c r="DC91" i="1"/>
  <c r="HD91" i="1"/>
  <c r="BP91" i="1"/>
  <c r="DR91" i="1"/>
  <c r="FH91" i="1"/>
  <c r="FZ91" i="1"/>
  <c r="EO91" i="1"/>
  <c r="FE91" i="1"/>
  <c r="FT91" i="1"/>
  <c r="HG91" i="1"/>
  <c r="CN91" i="1"/>
  <c r="GM91" i="1"/>
  <c r="CH91" i="1"/>
  <c r="EI91" i="1"/>
  <c r="GS91" i="1"/>
  <c r="EX91" i="1"/>
  <c r="FM91" i="1"/>
  <c r="HB91" i="1"/>
  <c r="EQ91" i="1"/>
  <c r="DG91" i="1"/>
  <c r="FK91" i="1"/>
  <c r="FA91" i="1"/>
  <c r="BS91" i="1"/>
  <c r="HI91" i="1"/>
  <c r="BH91" i="1"/>
  <c r="CW91" i="1"/>
  <c r="GN91" i="1"/>
  <c r="CC91" i="1"/>
  <c r="DT91" i="1"/>
  <c r="HA91" i="1"/>
  <c r="ED91" i="1"/>
  <c r="GB91" i="1"/>
  <c r="FO91" i="1"/>
  <c r="BO91" i="1"/>
  <c r="EN91" i="1"/>
  <c r="GX91" i="1"/>
  <c r="BG91" i="1"/>
  <c r="FD91" i="1"/>
  <c r="BV91" i="1"/>
  <c r="GD91" i="1"/>
  <c r="CD91" i="1"/>
  <c r="DL91" i="1"/>
  <c r="HH91" i="1"/>
  <c r="CB91" i="1"/>
  <c r="DF91" i="1"/>
  <c r="BY91" i="1"/>
  <c r="DV91" i="1"/>
  <c r="BJ91" i="1"/>
  <c r="EW91" i="1"/>
  <c r="FR91" i="1"/>
  <c r="EC91" i="1"/>
  <c r="FX91" i="1"/>
  <c r="DH91" i="1"/>
  <c r="CZ115" i="1"/>
  <c r="FQ115" i="1"/>
  <c r="CB115" i="1"/>
  <c r="GI107" i="1"/>
  <c r="GL99" i="1"/>
  <c r="FD75" i="1"/>
  <c r="ED83" i="1"/>
  <c r="ET83" i="1"/>
  <c r="GY91" i="1"/>
  <c r="DW107" i="1"/>
  <c r="GC107" i="1"/>
  <c r="HD107" i="1"/>
  <c r="GL107" i="1"/>
  <c r="CM107" i="1"/>
  <c r="BQ107" i="1"/>
  <c r="EA107" i="1"/>
  <c r="FF107" i="1"/>
  <c r="CR107" i="1"/>
  <c r="DV107" i="1"/>
  <c r="FR107" i="1"/>
  <c r="BB107" i="1"/>
  <c r="BS107" i="1"/>
  <c r="CN107" i="1"/>
  <c r="GF107" i="1"/>
  <c r="FT107" i="1"/>
  <c r="FG107" i="1"/>
  <c r="DP107" i="1"/>
  <c r="EN107" i="1"/>
  <c r="DG107" i="1"/>
  <c r="CE107" i="1"/>
  <c r="EI107" i="1"/>
  <c r="EQ107" i="1"/>
  <c r="BA107" i="1"/>
  <c r="CL107" i="1"/>
  <c r="GJ107" i="1"/>
  <c r="GU107" i="1"/>
  <c r="BM107" i="1"/>
  <c r="GZ107" i="1"/>
  <c r="CP107" i="1"/>
  <c r="CA107" i="1"/>
  <c r="HG107" i="1"/>
  <c r="FB107" i="1"/>
  <c r="DM107" i="1"/>
  <c r="CW107" i="1"/>
  <c r="GP107" i="1"/>
  <c r="CI107" i="1"/>
  <c r="GS107" i="1"/>
  <c r="FK107" i="1"/>
  <c r="FW107" i="1"/>
  <c r="DL107" i="1"/>
  <c r="FC107" i="1"/>
  <c r="DC107" i="1"/>
  <c r="BP107" i="1"/>
  <c r="GY107" i="1"/>
  <c r="CD107" i="1"/>
  <c r="CZ107" i="1"/>
  <c r="HB107" i="1"/>
  <c r="BW107" i="1"/>
  <c r="CU107" i="1"/>
  <c r="DR107" i="1"/>
  <c r="GT107" i="1"/>
  <c r="BU107" i="1"/>
  <c r="DN107" i="1"/>
  <c r="BV107" i="1"/>
  <c r="GV107" i="1"/>
  <c r="GR107" i="1"/>
  <c r="FO107" i="1"/>
  <c r="FV107" i="1"/>
  <c r="FP107" i="1"/>
  <c r="FL107" i="1"/>
  <c r="DH107" i="1"/>
  <c r="BZ107" i="1"/>
  <c r="DY107" i="1"/>
  <c r="CT107" i="1"/>
  <c r="CF107" i="1"/>
  <c r="HH107" i="1"/>
  <c r="BD107" i="1"/>
  <c r="EO107" i="1"/>
  <c r="DS107" i="1"/>
  <c r="CH107" i="1"/>
  <c r="EK107" i="1"/>
  <c r="BX107" i="1"/>
  <c r="GW107" i="1"/>
  <c r="CY107" i="1"/>
  <c r="EY107" i="1"/>
  <c r="FN107" i="1"/>
  <c r="FH107" i="1"/>
  <c r="FS107" i="1"/>
  <c r="EM107" i="1"/>
  <c r="DZ107" i="1"/>
  <c r="BT107" i="1"/>
  <c r="HF107" i="1"/>
  <c r="BN107" i="1"/>
  <c r="FD107" i="1"/>
  <c r="DU107" i="1"/>
  <c r="GD107" i="1"/>
  <c r="GM107" i="1"/>
  <c r="FM107" i="1"/>
  <c r="EX107" i="1"/>
  <c r="ET107" i="1"/>
  <c r="BJ107" i="1"/>
  <c r="DX107" i="1"/>
  <c r="BI107" i="1"/>
  <c r="DI107" i="1"/>
  <c r="CG107" i="1"/>
  <c r="EL107" i="1"/>
  <c r="CJ107" i="1"/>
  <c r="HE107" i="1"/>
  <c r="CV107" i="1"/>
  <c r="GG107" i="1"/>
  <c r="FY107" i="1"/>
  <c r="EW107" i="1"/>
  <c r="EE107" i="1"/>
  <c r="BF107" i="1"/>
  <c r="GK107" i="1"/>
  <c r="GE107" i="1"/>
  <c r="AZ107" i="1"/>
  <c r="ES107" i="1"/>
  <c r="EZ107" i="1"/>
  <c r="FQ107" i="1"/>
  <c r="BH107" i="1"/>
  <c r="DJ107" i="1"/>
  <c r="CK107" i="1"/>
  <c r="DE107" i="1"/>
  <c r="EP107" i="1"/>
  <c r="EG107" i="1"/>
  <c r="CQ107" i="1"/>
  <c r="HA107" i="1"/>
  <c r="FI107" i="1"/>
  <c r="GB107" i="1"/>
  <c r="EJ107" i="1"/>
  <c r="EV107" i="1"/>
  <c r="DQ107" i="1"/>
  <c r="EB107" i="1"/>
  <c r="EF107" i="1"/>
  <c r="GX107" i="1"/>
  <c r="DA107" i="1"/>
  <c r="BK107" i="1"/>
  <c r="FX107" i="1"/>
  <c r="FU107" i="1"/>
  <c r="DO107" i="1"/>
  <c r="FA107" i="1"/>
  <c r="DF107" i="1"/>
  <c r="BE107" i="1"/>
  <c r="EH107" i="1"/>
  <c r="EU107" i="1"/>
  <c r="EC107" i="1"/>
  <c r="CS107" i="1"/>
  <c r="FJ107" i="1"/>
  <c r="DD107" i="1"/>
  <c r="GN107" i="1"/>
  <c r="GO107" i="1"/>
  <c r="HC107" i="1"/>
  <c r="GQ107" i="1"/>
  <c r="GM115" i="1"/>
  <c r="DV115" i="1"/>
  <c r="CX107" i="1"/>
  <c r="FE107" i="1"/>
  <c r="BH75" i="1"/>
  <c r="EA67" i="1"/>
  <c r="FP99" i="1"/>
  <c r="FL99" i="1"/>
  <c r="CZ99" i="1"/>
  <c r="BH99" i="1"/>
  <c r="BS99" i="1"/>
  <c r="DG99" i="1"/>
  <c r="BG99" i="1"/>
  <c r="DL99" i="1"/>
  <c r="CR99" i="1"/>
  <c r="DY99" i="1"/>
  <c r="EM99" i="1"/>
  <c r="GZ99" i="1"/>
  <c r="DO99" i="1"/>
  <c r="EP99" i="1"/>
  <c r="FN99" i="1"/>
  <c r="FG99" i="1"/>
  <c r="FQ99" i="1"/>
  <c r="FB99" i="1"/>
  <c r="GO99" i="1"/>
  <c r="FD99" i="1"/>
  <c r="HC99" i="1"/>
  <c r="CB99" i="1"/>
  <c r="BD99" i="1"/>
  <c r="EI99" i="1"/>
  <c r="BJ99" i="1"/>
  <c r="DB99" i="1"/>
  <c r="CM99" i="1"/>
  <c r="DH99" i="1"/>
  <c r="CT99" i="1"/>
  <c r="GU99" i="1"/>
  <c r="CH99" i="1"/>
  <c r="FU99" i="1"/>
  <c r="CI99" i="1"/>
  <c r="GG99" i="1"/>
  <c r="FX99" i="1"/>
  <c r="FE99" i="1"/>
  <c r="GI99" i="1"/>
  <c r="BY99" i="1"/>
  <c r="AZ99" i="1"/>
  <c r="EN99" i="1"/>
  <c r="BT99" i="1"/>
  <c r="CX99" i="1"/>
  <c r="GS99" i="1"/>
  <c r="FM99" i="1"/>
  <c r="BV99" i="1"/>
  <c r="DF99" i="1"/>
  <c r="EX99" i="1"/>
  <c r="HG99" i="1"/>
  <c r="CS99" i="1"/>
  <c r="EF99" i="1"/>
  <c r="BQ99" i="1"/>
  <c r="DW99" i="1"/>
  <c r="CL99" i="1"/>
  <c r="GH99" i="1"/>
  <c r="CD99" i="1"/>
  <c r="HI99" i="1"/>
  <c r="EL99" i="1"/>
  <c r="DR99" i="1"/>
  <c r="BE99" i="1"/>
  <c r="EO99" i="1"/>
  <c r="EG99" i="1"/>
  <c r="CK99" i="1"/>
  <c r="BI99" i="1"/>
  <c r="FS99" i="1"/>
  <c r="EY99" i="1"/>
  <c r="CP99" i="1"/>
  <c r="BA99" i="1"/>
  <c r="DD99" i="1"/>
  <c r="CY99" i="1"/>
  <c r="DS99" i="1"/>
  <c r="EU99" i="1"/>
  <c r="DE99" i="1"/>
  <c r="BO99" i="1"/>
  <c r="GM99" i="1"/>
  <c r="ES99" i="1"/>
  <c r="FO99" i="1"/>
  <c r="CE99" i="1"/>
  <c r="DZ99" i="1"/>
  <c r="DJ99" i="1"/>
  <c r="FR99" i="1"/>
  <c r="HB99" i="1"/>
  <c r="BF99" i="1"/>
  <c r="HD99" i="1"/>
  <c r="FH99" i="1"/>
  <c r="BM99" i="1"/>
  <c r="HH99" i="1"/>
  <c r="GE99" i="1"/>
  <c r="BB99" i="1"/>
  <c r="FW99" i="1"/>
  <c r="BR99" i="1"/>
  <c r="CA99" i="1"/>
  <c r="FY99" i="1"/>
  <c r="CV99" i="1"/>
  <c r="FZ99" i="1"/>
  <c r="DV99" i="1"/>
  <c r="GQ99" i="1"/>
  <c r="CG99" i="1"/>
  <c r="GT99" i="1"/>
  <c r="GX99" i="1"/>
  <c r="EQ99" i="1"/>
  <c r="GN99" i="1"/>
  <c r="EZ99" i="1"/>
  <c r="FF99" i="1"/>
  <c r="CN99" i="1"/>
  <c r="BX99" i="1"/>
  <c r="BL99" i="1"/>
  <c r="GP99" i="1"/>
  <c r="FJ99" i="1"/>
  <c r="GJ99" i="1"/>
  <c r="DA99" i="1"/>
  <c r="ER99" i="1"/>
  <c r="GR99" i="1"/>
  <c r="BK99" i="1"/>
  <c r="GD99" i="1"/>
  <c r="BW99" i="1"/>
  <c r="CF99" i="1"/>
  <c r="BZ99" i="1"/>
  <c r="CW99" i="1"/>
  <c r="DX99" i="1"/>
  <c r="ET99" i="1"/>
  <c r="DP99" i="1"/>
  <c r="EC99" i="1"/>
  <c r="FI99" i="1"/>
  <c r="GC99" i="1"/>
  <c r="CJ99" i="1"/>
  <c r="EV99" i="1"/>
  <c r="CC99" i="1"/>
  <c r="GF99" i="1"/>
  <c r="FA99" i="1"/>
  <c r="DC99" i="1"/>
  <c r="GB99" i="1"/>
  <c r="FC99" i="1"/>
  <c r="DQ99" i="1"/>
  <c r="EA99" i="1"/>
  <c r="EH99" i="1"/>
  <c r="HA99" i="1"/>
  <c r="GV99" i="1"/>
  <c r="GW99" i="1"/>
  <c r="FV99" i="1"/>
  <c r="DT99" i="1"/>
  <c r="EW99" i="1"/>
  <c r="BP99" i="1"/>
  <c r="FT99" i="1"/>
  <c r="DK99" i="1"/>
  <c r="DU99" i="1"/>
  <c r="HE99" i="1"/>
  <c r="GY99" i="1"/>
  <c r="EB99" i="1"/>
  <c r="GA99" i="1"/>
  <c r="ED99" i="1"/>
  <c r="GK99" i="1"/>
  <c r="DI99" i="1"/>
  <c r="DM99" i="1"/>
  <c r="BY107" i="1"/>
  <c r="BF115" i="1"/>
  <c r="CF115" i="1"/>
  <c r="GH107" i="1"/>
  <c r="DT107" i="1"/>
  <c r="EE99" i="1"/>
  <c r="BD75" i="1"/>
  <c r="FQ75" i="1"/>
  <c r="DS91" i="1"/>
  <c r="DN59" i="1"/>
  <c r="FH59" i="1"/>
  <c r="DH83" i="1"/>
  <c r="FZ83" i="1"/>
  <c r="CL83" i="1"/>
  <c r="CG83" i="1"/>
  <c r="GY83" i="1"/>
  <c r="BQ83" i="1"/>
  <c r="FD83" i="1"/>
  <c r="CK83" i="1"/>
  <c r="FV83" i="1"/>
  <c r="DZ83" i="1"/>
  <c r="DD83" i="1"/>
  <c r="BP83" i="1"/>
  <c r="EV83" i="1"/>
  <c r="GZ83" i="1"/>
  <c r="EL83" i="1"/>
  <c r="DB83" i="1"/>
  <c r="EI83" i="1"/>
  <c r="GD83" i="1"/>
  <c r="GT83" i="1"/>
  <c r="GJ83" i="1"/>
  <c r="GV83" i="1"/>
  <c r="DV83" i="1"/>
  <c r="CV83" i="1"/>
  <c r="FK83" i="1"/>
  <c r="GI83" i="1"/>
  <c r="CB83" i="1"/>
  <c r="EJ83" i="1"/>
  <c r="FB83" i="1"/>
  <c r="BJ83" i="1"/>
  <c r="CU83" i="1"/>
  <c r="HD83" i="1"/>
  <c r="DQ83" i="1"/>
  <c r="FA83" i="1"/>
  <c r="BR83" i="1"/>
  <c r="FG83" i="1"/>
  <c r="ER83" i="1"/>
  <c r="HF83" i="1"/>
  <c r="BE83" i="1"/>
  <c r="DL83" i="1"/>
  <c r="GA83" i="1"/>
  <c r="CM83" i="1"/>
  <c r="GF83" i="1"/>
  <c r="CW83" i="1"/>
  <c r="DR83" i="1"/>
  <c r="GQ83" i="1"/>
  <c r="CQ83" i="1"/>
  <c r="CH83" i="1"/>
  <c r="CA83" i="1"/>
  <c r="EC83" i="1"/>
  <c r="FW83" i="1"/>
  <c r="DK83" i="1"/>
  <c r="GR83" i="1"/>
  <c r="BV83" i="1"/>
  <c r="EK83" i="1"/>
  <c r="FJ83" i="1"/>
  <c r="CP83" i="1"/>
  <c r="BA83" i="1"/>
  <c r="BY83" i="1"/>
  <c r="DT83" i="1"/>
  <c r="GC83" i="1"/>
  <c r="CZ83" i="1"/>
  <c r="DJ83" i="1"/>
  <c r="GK83" i="1"/>
  <c r="EP83" i="1"/>
  <c r="EB83" i="1"/>
  <c r="FH83" i="1"/>
  <c r="DU83" i="1"/>
  <c r="BO83" i="1"/>
  <c r="EM83" i="1"/>
  <c r="FI83" i="1"/>
  <c r="EE83" i="1"/>
  <c r="FU83" i="1"/>
  <c r="FM83" i="1"/>
  <c r="AZ83" i="1"/>
  <c r="BG83" i="1"/>
  <c r="DI83" i="1"/>
  <c r="EY83" i="1"/>
  <c r="FO83" i="1"/>
  <c r="HE83" i="1"/>
  <c r="BT83" i="1"/>
  <c r="FS83" i="1"/>
  <c r="DX83" i="1"/>
  <c r="HH83" i="1"/>
  <c r="CY83" i="1"/>
  <c r="BZ83" i="1"/>
  <c r="ES83" i="1"/>
  <c r="EF83" i="1"/>
  <c r="HG83" i="1"/>
  <c r="FL83" i="1"/>
  <c r="EA83" i="1"/>
  <c r="GS83" i="1"/>
  <c r="BF83" i="1"/>
  <c r="DM83" i="1"/>
  <c r="FF83" i="1"/>
  <c r="FN83" i="1"/>
  <c r="HA83" i="1"/>
  <c r="BL83" i="1"/>
  <c r="FT83" i="1"/>
  <c r="EZ83" i="1"/>
  <c r="GP83" i="1"/>
  <c r="DF83" i="1"/>
  <c r="GM83" i="1"/>
  <c r="BK83" i="1"/>
  <c r="FC83" i="1"/>
  <c r="EU83" i="1"/>
  <c r="DC83" i="1"/>
  <c r="GL83" i="1"/>
  <c r="BN83" i="1"/>
  <c r="DP83" i="1"/>
  <c r="BI83" i="1"/>
  <c r="DE83" i="1"/>
  <c r="GW83" i="1"/>
  <c r="CX83" i="1"/>
  <c r="FR83" i="1"/>
  <c r="BM83" i="1"/>
  <c r="EW83" i="1"/>
  <c r="DO83" i="1"/>
  <c r="HC83" i="1"/>
  <c r="BH83" i="1"/>
  <c r="BD83" i="1"/>
  <c r="CR83" i="1"/>
  <c r="GB83" i="1"/>
  <c r="GU83" i="1"/>
  <c r="DW83" i="1"/>
  <c r="DY83" i="1"/>
  <c r="EH83" i="1"/>
  <c r="GG83" i="1"/>
  <c r="GE83" i="1"/>
  <c r="GN83" i="1"/>
  <c r="EQ83" i="1"/>
  <c r="BU83" i="1"/>
  <c r="GH83" i="1"/>
  <c r="HI83" i="1"/>
  <c r="CS83" i="1"/>
  <c r="FE83" i="1"/>
  <c r="BB83" i="1"/>
  <c r="CF83" i="1"/>
  <c r="EX83" i="1"/>
  <c r="CD83" i="1"/>
  <c r="GX83" i="1"/>
  <c r="GO83" i="1"/>
  <c r="CJ83" i="1"/>
  <c r="BS83" i="1"/>
  <c r="CI83" i="1"/>
  <c r="FX83" i="1"/>
  <c r="HB83" i="1"/>
  <c r="CE83" i="1"/>
  <c r="CN83" i="1"/>
  <c r="FQ83" i="1"/>
  <c r="DN83" i="1"/>
  <c r="FY83" i="1"/>
  <c r="BW83" i="1"/>
  <c r="BX83" i="1"/>
  <c r="DG83" i="1"/>
  <c r="EG83" i="1"/>
  <c r="FP83" i="1"/>
  <c r="CC83" i="1"/>
  <c r="DA83" i="1"/>
  <c r="HF115" i="1"/>
  <c r="GQ115" i="1"/>
  <c r="CC107" i="1"/>
  <c r="HI107" i="1"/>
  <c r="EJ99" i="1"/>
  <c r="EA75" i="1"/>
  <c r="DS115" i="1"/>
  <c r="GO115" i="1"/>
  <c r="GK115" i="1"/>
  <c r="FR115" i="1"/>
  <c r="BR115" i="1"/>
  <c r="CS115" i="1"/>
  <c r="EA115" i="1"/>
  <c r="GY115" i="1"/>
  <c r="HC115" i="1"/>
  <c r="HA115" i="1"/>
  <c r="DW115" i="1"/>
  <c r="AZ115" i="1"/>
  <c r="BI115" i="1"/>
  <c r="BE115" i="1"/>
  <c r="DL115" i="1"/>
  <c r="CE115" i="1"/>
  <c r="DG115" i="1"/>
  <c r="FU115" i="1"/>
  <c r="EJ115" i="1"/>
  <c r="FG115" i="1"/>
  <c r="EN115" i="1"/>
  <c r="BK115" i="1"/>
  <c r="EK115" i="1"/>
  <c r="FX115" i="1"/>
  <c r="FC115" i="1"/>
  <c r="DE115" i="1"/>
  <c r="CV115" i="1"/>
  <c r="GW115" i="1"/>
  <c r="DR115" i="1"/>
  <c r="EZ115" i="1"/>
  <c r="BU115" i="1"/>
  <c r="BD115" i="1"/>
  <c r="ET115" i="1"/>
  <c r="DH115" i="1"/>
  <c r="EX115" i="1"/>
  <c r="DC115" i="1"/>
  <c r="GE115" i="1"/>
  <c r="FP115" i="1"/>
  <c r="HI115" i="1"/>
  <c r="DM115" i="1"/>
  <c r="CA115" i="1"/>
  <c r="DI115" i="1"/>
  <c r="FO115" i="1"/>
  <c r="FF115" i="1"/>
  <c r="EB115" i="1"/>
  <c r="ES115" i="1"/>
  <c r="EF115" i="1"/>
  <c r="GV115" i="1"/>
  <c r="GP115" i="1"/>
  <c r="HD115" i="1"/>
  <c r="CI115" i="1"/>
  <c r="EU115" i="1"/>
  <c r="FB115" i="1"/>
  <c r="GX115" i="1"/>
  <c r="DD115" i="1"/>
  <c r="GA115" i="1"/>
  <c r="FN115" i="1"/>
  <c r="FJ115" i="1"/>
  <c r="FT115" i="1"/>
  <c r="GB115" i="1"/>
  <c r="DF115" i="1"/>
  <c r="FV115" i="1"/>
  <c r="EH115" i="1"/>
  <c r="FZ115" i="1"/>
  <c r="FL115" i="1"/>
  <c r="DX115" i="1"/>
  <c r="FW115" i="1"/>
  <c r="FY115" i="1"/>
  <c r="GZ115" i="1"/>
  <c r="BJ115" i="1"/>
  <c r="ER115" i="1"/>
  <c r="BZ115" i="1"/>
  <c r="FS115" i="1"/>
  <c r="GH115" i="1"/>
  <c r="CJ115" i="1"/>
  <c r="GI115" i="1"/>
  <c r="CT115" i="1"/>
  <c r="GD115" i="1"/>
  <c r="EI115" i="1"/>
  <c r="FI115" i="1"/>
  <c r="ED115" i="1"/>
  <c r="FD115" i="1"/>
  <c r="FH115" i="1"/>
  <c r="DT115" i="1"/>
  <c r="GJ115" i="1"/>
  <c r="DJ115" i="1"/>
  <c r="GU115" i="1"/>
  <c r="DO115" i="1"/>
  <c r="HG115" i="1"/>
  <c r="EO115" i="1"/>
  <c r="CY115" i="1"/>
  <c r="BB115" i="1"/>
  <c r="CL115" i="1"/>
  <c r="GL115" i="1"/>
  <c r="CR115" i="1"/>
  <c r="HE115" i="1"/>
  <c r="CN115" i="1"/>
  <c r="GN115" i="1"/>
  <c r="EE115" i="1"/>
  <c r="GT115" i="1"/>
  <c r="DZ115" i="1"/>
  <c r="DA115" i="1"/>
  <c r="EY115" i="1"/>
  <c r="CP115" i="1"/>
  <c r="FE115" i="1"/>
  <c r="EC115" i="1"/>
  <c r="EG115" i="1"/>
  <c r="DN115" i="1"/>
  <c r="GG115" i="1"/>
  <c r="BX115" i="1"/>
  <c r="FA115" i="1"/>
  <c r="EP115" i="1"/>
  <c r="CU115" i="1"/>
  <c r="BO115" i="1"/>
  <c r="BY115" i="1"/>
  <c r="DQ115" i="1"/>
  <c r="BT115" i="1"/>
  <c r="GF115" i="1"/>
  <c r="CQ115" i="1"/>
  <c r="GS115" i="1"/>
  <c r="FM115" i="1"/>
  <c r="BG115" i="1"/>
  <c r="BA115" i="1"/>
  <c r="BV115" i="1"/>
  <c r="HB115" i="1"/>
  <c r="EV115" i="1"/>
  <c r="EW115" i="1"/>
  <c r="CK115" i="1"/>
  <c r="CX115" i="1"/>
  <c r="CH115" i="1"/>
  <c r="EM115" i="1"/>
  <c r="DY115" i="1"/>
  <c r="CD115" i="1"/>
  <c r="DU115" i="1"/>
  <c r="BP115" i="1"/>
  <c r="DK115" i="1"/>
  <c r="BH115" i="1"/>
  <c r="HH115" i="1"/>
  <c r="CM115" i="1"/>
  <c r="GR115" i="1"/>
  <c r="FK115" i="1"/>
  <c r="BN115" i="1"/>
  <c r="GC115" i="1"/>
  <c r="CG115" i="1"/>
  <c r="CW115" i="1"/>
  <c r="CC115" i="1"/>
  <c r="BQ115" i="1"/>
  <c r="GX67" i="1"/>
  <c r="BW115" i="1"/>
  <c r="EK99" i="1"/>
  <c r="ED107" i="1"/>
  <c r="FZ107" i="1"/>
  <c r="CU99" i="1"/>
  <c r="DS83" i="1"/>
  <c r="EP91" i="1"/>
  <c r="CL75" i="1"/>
  <c r="DZ75" i="1"/>
  <c r="EQ75" i="1"/>
  <c r="BM75" i="1"/>
  <c r="GS75" i="1"/>
  <c r="EI75" i="1"/>
  <c r="EY75" i="1"/>
  <c r="BZ75" i="1"/>
  <c r="CY75" i="1"/>
  <c r="DD75" i="1"/>
  <c r="FI75" i="1"/>
  <c r="BT75" i="1"/>
  <c r="GO75" i="1"/>
  <c r="DQ75" i="1"/>
  <c r="EJ75" i="1"/>
  <c r="GJ75" i="1"/>
  <c r="BS75" i="1"/>
  <c r="EL75" i="1"/>
  <c r="EP75" i="1"/>
  <c r="DC75" i="1"/>
  <c r="GP75" i="1"/>
  <c r="BY75" i="1"/>
  <c r="DP75" i="1"/>
  <c r="GW75" i="1"/>
  <c r="CH75" i="1"/>
  <c r="FM75" i="1"/>
  <c r="GF75" i="1"/>
  <c r="FA75" i="1"/>
  <c r="DJ75" i="1"/>
  <c r="GR75" i="1"/>
  <c r="EO75" i="1"/>
  <c r="DY75" i="1"/>
  <c r="CS75" i="1"/>
  <c r="GX75" i="1"/>
  <c r="CW75" i="1"/>
  <c r="EZ75" i="1"/>
  <c r="CB75" i="1"/>
  <c r="DG75" i="1"/>
  <c r="GZ75" i="1"/>
  <c r="CX75" i="1"/>
  <c r="EU75" i="1"/>
  <c r="GH75" i="1"/>
  <c r="CD75" i="1"/>
  <c r="DE75" i="1"/>
  <c r="GG75" i="1"/>
  <c r="DA75" i="1"/>
  <c r="DS75" i="1"/>
  <c r="GU75" i="1"/>
  <c r="EC75" i="1"/>
  <c r="EX75" i="1"/>
  <c r="DK75" i="1"/>
  <c r="GN75" i="1"/>
  <c r="DV75" i="1"/>
  <c r="HH75" i="1"/>
  <c r="CV75" i="1"/>
  <c r="EM75" i="1"/>
  <c r="FJ75" i="1"/>
  <c r="FT75" i="1"/>
  <c r="GQ75" i="1"/>
  <c r="FE75" i="1"/>
  <c r="FZ75" i="1"/>
  <c r="DT75" i="1"/>
  <c r="GE75" i="1"/>
  <c r="BG75" i="1"/>
  <c r="BN75" i="1"/>
  <c r="FU75" i="1"/>
  <c r="FO75" i="1"/>
  <c r="BB75" i="1"/>
  <c r="ER75" i="1"/>
  <c r="EH75" i="1"/>
  <c r="HI75" i="1"/>
  <c r="EE75" i="1"/>
  <c r="HE75" i="1"/>
  <c r="CT75" i="1"/>
  <c r="BU75" i="1"/>
  <c r="FC75" i="1"/>
  <c r="EG75" i="1"/>
  <c r="HC75" i="1"/>
  <c r="FF75" i="1"/>
  <c r="FS75" i="1"/>
  <c r="BO75" i="1"/>
  <c r="FV75" i="1"/>
  <c r="CR75" i="1"/>
  <c r="EV75" i="1"/>
  <c r="FK75" i="1"/>
  <c r="GY75" i="1"/>
  <c r="CM75" i="1"/>
  <c r="EF75" i="1"/>
  <c r="CE75" i="1"/>
  <c r="DB75" i="1"/>
  <c r="BA75" i="1"/>
  <c r="FX75" i="1"/>
  <c r="GM75" i="1"/>
  <c r="BK75" i="1"/>
  <c r="DI75" i="1"/>
  <c r="HF75" i="1"/>
  <c r="FB75" i="1"/>
  <c r="FR75" i="1"/>
  <c r="CG75" i="1"/>
  <c r="FL75" i="1"/>
  <c r="FN75" i="1"/>
  <c r="GK75" i="1"/>
  <c r="BI75" i="1"/>
  <c r="DF75" i="1"/>
  <c r="GD75" i="1"/>
  <c r="CI75" i="1"/>
  <c r="ES75" i="1"/>
  <c r="FY75" i="1"/>
  <c r="DL75" i="1"/>
  <c r="DM75" i="1"/>
  <c r="CZ75" i="1"/>
  <c r="CU75" i="1"/>
  <c r="FG75" i="1"/>
  <c r="EN75" i="1"/>
  <c r="DH75" i="1"/>
  <c r="EK75" i="1"/>
  <c r="BQ75" i="1"/>
  <c r="FP75" i="1"/>
  <c r="CC75" i="1"/>
  <c r="BJ75" i="1"/>
  <c r="BW75" i="1"/>
  <c r="BV75" i="1"/>
  <c r="HD75" i="1"/>
  <c r="CK75" i="1"/>
  <c r="DN75" i="1"/>
  <c r="CF75" i="1"/>
  <c r="CJ75" i="1"/>
  <c r="BX75" i="1"/>
  <c r="HB75" i="1"/>
  <c r="GL75" i="1"/>
  <c r="HG75" i="1"/>
  <c r="DR75" i="1"/>
  <c r="DW75" i="1"/>
  <c r="CN75" i="1"/>
  <c r="CP75" i="1"/>
  <c r="FH75" i="1"/>
  <c r="GI75" i="1"/>
  <c r="EW75" i="1"/>
  <c r="HA75" i="1"/>
  <c r="DX75" i="1"/>
  <c r="DO75" i="1"/>
  <c r="AZ75" i="1"/>
  <c r="BP75" i="1"/>
  <c r="BE75" i="1"/>
  <c r="FW75" i="1"/>
  <c r="GC75" i="1"/>
  <c r="EB75" i="1"/>
  <c r="DU75" i="1"/>
  <c r="BR75" i="1"/>
  <c r="CA75" i="1"/>
  <c r="BL75" i="1"/>
  <c r="BF75" i="1"/>
  <c r="GB75" i="1"/>
  <c r="GV75" i="1"/>
  <c r="ET75" i="1"/>
  <c r="ED75" i="1"/>
  <c r="BM115" i="1"/>
  <c r="DB115" i="1"/>
  <c r="GA107" i="1"/>
  <c r="CB107" i="1"/>
  <c r="ER107" i="1"/>
  <c r="BL107" i="1"/>
  <c r="FK99" i="1"/>
  <c r="GA75" i="1"/>
  <c r="EN83" i="1"/>
  <c r="AC57" i="1"/>
  <c r="Q54" i="1"/>
  <c r="AC51" i="1"/>
  <c r="AE51" i="1"/>
  <c r="AV49" i="1"/>
  <c r="AG42" i="1"/>
  <c r="AE41" i="1"/>
  <c r="AV21" i="1"/>
  <c r="GL21" i="1" s="1"/>
  <c r="AF14" i="1"/>
  <c r="AV9" i="1"/>
  <c r="O29" i="1"/>
  <c r="Q29" i="1" s="1"/>
  <c r="N45" i="1"/>
  <c r="AA21" i="1"/>
  <c r="AB21" i="1"/>
  <c r="O13" i="1"/>
  <c r="P29" i="1"/>
  <c r="S29" i="1" s="1"/>
  <c r="Y29" i="1" s="1"/>
  <c r="AA37" i="1"/>
  <c r="Z21" i="1"/>
  <c r="O52" i="1"/>
  <c r="AA45" i="1"/>
  <c r="AB37" i="1"/>
  <c r="N21" i="1"/>
  <c r="N52" i="1"/>
  <c r="Q52" i="1" s="1"/>
  <c r="P45" i="1"/>
  <c r="S45" i="1"/>
  <c r="Y45" i="1" s="1"/>
  <c r="O37" i="1"/>
  <c r="AB52" i="1"/>
  <c r="AB45" i="1"/>
  <c r="N37" i="1"/>
  <c r="P52" i="1"/>
  <c r="S52" i="1" s="1"/>
  <c r="Y52" i="1" s="1"/>
  <c r="Z52" i="1"/>
  <c r="CY60" i="1"/>
  <c r="HE60" i="1"/>
  <c r="GT60" i="1"/>
  <c r="GW60" i="1"/>
  <c r="DF60" i="1"/>
  <c r="CE60" i="1"/>
  <c r="BT60" i="1"/>
  <c r="CV60" i="1"/>
  <c r="FS60" i="1"/>
  <c r="DL60" i="1"/>
  <c r="EP60" i="1"/>
  <c r="CC60" i="1"/>
  <c r="BP60" i="1"/>
  <c r="BX60" i="1"/>
  <c r="EQ60" i="1"/>
  <c r="GD60" i="1"/>
  <c r="EI60" i="1"/>
  <c r="FA60" i="1"/>
  <c r="EZ60" i="1"/>
  <c r="BY60" i="1"/>
  <c r="BL60" i="1"/>
  <c r="DH60" i="1"/>
  <c r="BM60" i="1"/>
  <c r="CH60" i="1"/>
  <c r="BD60" i="1"/>
  <c r="CD60" i="1"/>
  <c r="DZ60" i="1"/>
  <c r="GB60" i="1"/>
  <c r="CB60" i="1"/>
  <c r="EL60" i="1"/>
  <c r="EK60" i="1"/>
  <c r="ER60" i="1"/>
  <c r="BG60" i="1"/>
  <c r="DK60" i="1"/>
  <c r="DG60" i="1"/>
  <c r="CP60" i="1"/>
  <c r="CF60" i="1"/>
  <c r="BO60" i="1"/>
  <c r="FQ60" i="1"/>
  <c r="DP60" i="1"/>
  <c r="CX60" i="1"/>
  <c r="DT60" i="1"/>
  <c r="GL60" i="1"/>
  <c r="BA60" i="1"/>
  <c r="GM60" i="1"/>
  <c r="ET60" i="1"/>
  <c r="DI60" i="1"/>
  <c r="DE60" i="1"/>
  <c r="EG60" i="1"/>
  <c r="CI60" i="1"/>
  <c r="FT60" i="1"/>
  <c r="FY60" i="1"/>
  <c r="FB60" i="1"/>
  <c r="GE60" i="1"/>
  <c r="DU60" i="1"/>
  <c r="FF60" i="1"/>
  <c r="HD60" i="1"/>
  <c r="FK60" i="1"/>
  <c r="EO60" i="1"/>
  <c r="DM60" i="1"/>
  <c r="DD60" i="1"/>
  <c r="EF60" i="1"/>
  <c r="EJ60" i="1"/>
  <c r="EN60" i="1"/>
  <c r="FJ60" i="1"/>
  <c r="FZ60" i="1"/>
  <c r="DB60" i="1"/>
  <c r="ES60" i="1"/>
  <c r="FH60" i="1"/>
  <c r="FV60" i="1"/>
  <c r="CU60" i="1"/>
  <c r="GQ60" i="1"/>
  <c r="EU60" i="1"/>
  <c r="DJ60" i="1"/>
  <c r="EB60" i="1"/>
  <c r="DW60" i="1"/>
  <c r="EA60" i="1"/>
  <c r="EC60" i="1"/>
  <c r="EX60" i="1"/>
  <c r="FN60" i="1"/>
  <c r="FO60" i="1"/>
  <c r="DY60" i="1"/>
  <c r="BW60" i="1"/>
  <c r="FP60" i="1"/>
  <c r="CQ60" i="1"/>
  <c r="BQ60" i="1"/>
  <c r="GR60" i="1"/>
  <c r="GJ60" i="1"/>
  <c r="EW60" i="1"/>
  <c r="CR60" i="1"/>
  <c r="CA60" i="1"/>
  <c r="GS60" i="1"/>
  <c r="CZ60" i="1"/>
  <c r="DQ60" i="1"/>
  <c r="DR60" i="1"/>
  <c r="EV60" i="1"/>
  <c r="CQ75" i="1"/>
  <c r="GT75" i="1"/>
  <c r="GR76" i="1"/>
  <c r="CK76" i="1"/>
  <c r="DF76" i="1"/>
  <c r="CI76" i="1"/>
  <c r="FB76" i="1"/>
  <c r="BL76" i="1"/>
  <c r="ES76" i="1"/>
  <c r="EO76" i="1"/>
  <c r="FM76" i="1"/>
  <c r="FJ76" i="1"/>
  <c r="FK76" i="1"/>
  <c r="FR76" i="1"/>
  <c r="DJ76" i="1"/>
  <c r="DL76" i="1"/>
  <c r="EI76" i="1"/>
  <c r="EQ76" i="1"/>
  <c r="EM76" i="1"/>
  <c r="FC76" i="1"/>
  <c r="EZ76" i="1"/>
  <c r="ER76" i="1"/>
  <c r="FX76" i="1"/>
  <c r="HI76" i="1"/>
  <c r="FQ76" i="1"/>
  <c r="FO76" i="1"/>
  <c r="FS76" i="1"/>
  <c r="FT76" i="1"/>
  <c r="CY76" i="1"/>
  <c r="CU76" i="1"/>
  <c r="FE76" i="1"/>
  <c r="EE76" i="1"/>
  <c r="EH76" i="1"/>
  <c r="ED76" i="1"/>
  <c r="FA76" i="1"/>
  <c r="DV76" i="1"/>
  <c r="DR76" i="1"/>
  <c r="FF76" i="1"/>
  <c r="CQ76" i="1"/>
  <c r="FY76" i="1"/>
  <c r="EW76" i="1"/>
  <c r="EV76" i="1"/>
  <c r="EX76" i="1"/>
  <c r="CR76" i="1"/>
  <c r="AZ76" i="1"/>
  <c r="DU76" i="1"/>
  <c r="DB76" i="1"/>
  <c r="EG76" i="1"/>
  <c r="DZ76" i="1"/>
  <c r="DW76" i="1"/>
  <c r="DQ76" i="1"/>
  <c r="FI76" i="1"/>
  <c r="DA76" i="1"/>
  <c r="BZ76" i="1"/>
  <c r="GU76" i="1"/>
  <c r="CA76" i="1"/>
  <c r="CX76" i="1"/>
  <c r="BV76" i="1"/>
  <c r="CE76" i="1"/>
  <c r="GZ76" i="1"/>
  <c r="DY76" i="1"/>
  <c r="DT76" i="1"/>
  <c r="DS76" i="1"/>
  <c r="DI76" i="1"/>
  <c r="DD76" i="1"/>
  <c r="CP76" i="1"/>
  <c r="CB76" i="1"/>
  <c r="BF76" i="1"/>
  <c r="BD76" i="1"/>
  <c r="BP76" i="1"/>
  <c r="GO76" i="1"/>
  <c r="CL76" i="1"/>
  <c r="EL76" i="1"/>
  <c r="DK76" i="1"/>
  <c r="DH76" i="1"/>
  <c r="EK76" i="1"/>
  <c r="BO76" i="1"/>
  <c r="HH76" i="1"/>
  <c r="GK76" i="1"/>
  <c r="HG76" i="1"/>
  <c r="FG76" i="1"/>
  <c r="BI76" i="1"/>
  <c r="BW76" i="1"/>
  <c r="BJ76" i="1"/>
  <c r="CN76" i="1"/>
  <c r="DC76" i="1"/>
  <c r="BG76" i="1"/>
  <c r="DO76" i="1"/>
  <c r="BE76" i="1"/>
  <c r="CM76" i="1"/>
  <c r="FW76" i="1"/>
  <c r="CV76" i="1"/>
  <c r="DD84" i="1"/>
  <c r="FN84" i="1"/>
  <c r="BK84" i="1"/>
  <c r="CE84" i="1"/>
  <c r="FF84" i="1"/>
  <c r="EW84" i="1"/>
  <c r="BA84" i="1"/>
  <c r="CX84" i="1"/>
  <c r="GO84" i="1"/>
  <c r="GC84" i="1"/>
  <c r="DR84" i="1"/>
  <c r="EY84" i="1"/>
  <c r="DQ84" i="1"/>
  <c r="GH84" i="1"/>
  <c r="FJ84" i="1"/>
  <c r="BO92" i="1"/>
  <c r="HA92" i="1"/>
  <c r="FG92" i="1"/>
  <c r="FO92" i="1"/>
  <c r="BA92" i="1"/>
  <c r="GZ92" i="1"/>
  <c r="FV92" i="1"/>
  <c r="GK92" i="1"/>
  <c r="FM92" i="1"/>
  <c r="CQ92" i="1"/>
  <c r="CS92" i="1"/>
  <c r="GT92" i="1"/>
  <c r="BD92" i="1"/>
  <c r="FS92" i="1"/>
  <c r="CC92" i="1"/>
  <c r="GV92" i="1"/>
  <c r="GO92" i="1"/>
  <c r="CB100" i="1"/>
  <c r="GK100" i="1"/>
  <c r="GV100" i="1"/>
  <c r="EP100" i="1"/>
  <c r="FC100" i="1"/>
  <c r="ER100" i="1"/>
  <c r="BU100" i="1"/>
  <c r="CA100" i="1"/>
  <c r="FL100" i="1"/>
  <c r="FA100" i="1"/>
  <c r="DQ100" i="1"/>
  <c r="BF100" i="1"/>
  <c r="BL100" i="1"/>
  <c r="FV100" i="1"/>
  <c r="FZ100" i="1"/>
  <c r="GB100" i="1"/>
  <c r="CK100" i="1"/>
  <c r="EW100" i="1"/>
  <c r="CR100" i="1"/>
  <c r="FT100" i="1"/>
  <c r="CV100" i="1"/>
  <c r="CX100" i="1"/>
  <c r="GU100" i="1"/>
  <c r="DO100" i="1"/>
  <c r="EK100" i="1"/>
  <c r="EQ100" i="1"/>
  <c r="EN100" i="1"/>
  <c r="ET100" i="1"/>
  <c r="BH100" i="1"/>
  <c r="DY100" i="1"/>
  <c r="EX100" i="1"/>
  <c r="BJ100" i="1"/>
  <c r="BW100" i="1"/>
  <c r="CP100" i="1"/>
  <c r="FD100" i="1"/>
  <c r="GS100" i="1"/>
  <c r="DA100" i="1"/>
  <c r="FW100" i="1"/>
  <c r="BP100" i="1"/>
  <c r="HH100" i="1"/>
  <c r="DR100" i="1"/>
  <c r="DK100" i="1"/>
  <c r="EL100" i="1"/>
  <c r="ES100" i="1"/>
  <c r="EM100" i="1"/>
  <c r="EO100" i="1"/>
  <c r="FP100" i="1"/>
  <c r="BZ100" i="1"/>
  <c r="BN100" i="1"/>
  <c r="BV100" i="1"/>
  <c r="BE100" i="1"/>
  <c r="GJ100" i="1"/>
  <c r="GD100" i="1"/>
  <c r="CU100" i="1"/>
  <c r="HE100" i="1"/>
  <c r="DI100" i="1"/>
  <c r="DN100" i="1"/>
  <c r="DG100" i="1"/>
  <c r="EI100" i="1"/>
  <c r="EE100" i="1"/>
  <c r="EA100" i="1"/>
  <c r="FI100" i="1"/>
  <c r="BI100" i="1"/>
  <c r="DU100" i="1"/>
  <c r="DW100" i="1"/>
  <c r="BB100" i="1"/>
  <c r="GL100" i="1"/>
  <c r="BO100" i="1"/>
  <c r="GC100" i="1"/>
  <c r="DM100" i="1"/>
  <c r="EJ100" i="1"/>
  <c r="DJ100" i="1"/>
  <c r="DC100" i="1"/>
  <c r="EH100" i="1"/>
  <c r="HC100" i="1"/>
  <c r="HG100" i="1"/>
  <c r="AZ100" i="1"/>
  <c r="GX100" i="1"/>
  <c r="DE100" i="1"/>
  <c r="EB100" i="1"/>
  <c r="DF100" i="1"/>
  <c r="DB100" i="1"/>
  <c r="EG100" i="1"/>
  <c r="BT100" i="1"/>
  <c r="EC100" i="1"/>
  <c r="FF100" i="1"/>
  <c r="FY100" i="1"/>
  <c r="BD100" i="1"/>
  <c r="FK100" i="1"/>
  <c r="FM100" i="1"/>
  <c r="BY100" i="1"/>
  <c r="HI100" i="1"/>
  <c r="GO100" i="1"/>
  <c r="FN100" i="1"/>
  <c r="GP100" i="1"/>
  <c r="GA100" i="1"/>
  <c r="CY100" i="1"/>
  <c r="GQ100" i="1"/>
  <c r="BR100" i="1"/>
  <c r="DL100" i="1"/>
  <c r="BM100" i="1"/>
  <c r="FE100" i="1"/>
  <c r="CF100" i="1"/>
  <c r="CW100" i="1"/>
  <c r="DZ100" i="1"/>
  <c r="FV108" i="1"/>
  <c r="EG108" i="1"/>
  <c r="GG108" i="1"/>
  <c r="CE108" i="1"/>
  <c r="FN108" i="1"/>
  <c r="EM116" i="1"/>
  <c r="DS116" i="1"/>
  <c r="EH116" i="1"/>
  <c r="DE116" i="1"/>
  <c r="DG116" i="1"/>
  <c r="FA116" i="1"/>
  <c r="FK116" i="1"/>
  <c r="BG116" i="1"/>
  <c r="GR116" i="1"/>
  <c r="CC116" i="1"/>
  <c r="CD116" i="1"/>
  <c r="FI116" i="1"/>
  <c r="DW116" i="1"/>
  <c r="DP116" i="1"/>
  <c r="ED116" i="1"/>
  <c r="EC116" i="1"/>
  <c r="EG116" i="1"/>
  <c r="EP116" i="1"/>
  <c r="FY116" i="1"/>
  <c r="EF116" i="1"/>
  <c r="GQ116" i="1"/>
  <c r="DU116" i="1"/>
  <c r="DF116" i="1"/>
  <c r="BT116" i="1"/>
  <c r="DY116" i="1"/>
  <c r="DX116" i="1"/>
  <c r="EI116" i="1"/>
  <c r="EA116" i="1"/>
  <c r="CQ116" i="1"/>
  <c r="CK116" i="1"/>
  <c r="CL116" i="1"/>
  <c r="CT116" i="1"/>
  <c r="CJ116" i="1"/>
  <c r="FE116" i="1"/>
  <c r="GD116" i="1"/>
  <c r="GX116" i="1"/>
  <c r="FP116" i="1"/>
  <c r="ET116" i="1"/>
  <c r="EO116" i="1"/>
  <c r="FC116" i="1"/>
  <c r="FR116" i="1"/>
  <c r="DR116" i="1"/>
  <c r="BY116" i="1"/>
  <c r="EK116" i="1"/>
  <c r="CF116" i="1"/>
  <c r="EX116" i="1"/>
  <c r="DQ116" i="1"/>
  <c r="BH116" i="1"/>
  <c r="BW116" i="1"/>
  <c r="BN116" i="1"/>
  <c r="BQ116" i="1"/>
  <c r="CM116" i="1"/>
  <c r="GS116" i="1"/>
  <c r="GL116" i="1"/>
  <c r="CP116" i="1"/>
  <c r="GW116" i="1"/>
  <c r="HC116" i="1"/>
  <c r="CN116" i="1"/>
  <c r="AZ116" i="1"/>
  <c r="CE116" i="1"/>
  <c r="BS116" i="1"/>
  <c r="EB116" i="1"/>
  <c r="BK116" i="1"/>
  <c r="ET124" i="1"/>
  <c r="DW124" i="1"/>
  <c r="DU124" i="1"/>
  <c r="DL124" i="1"/>
  <c r="DB124" i="1"/>
  <c r="FL124" i="1"/>
  <c r="FS124" i="1"/>
  <c r="FO124" i="1"/>
  <c r="FZ124" i="1"/>
  <c r="FI124" i="1"/>
  <c r="BJ124" i="1"/>
  <c r="BO124" i="1"/>
  <c r="BR124" i="1"/>
  <c r="CH124" i="1"/>
  <c r="CR124" i="1"/>
  <c r="GC124" i="1"/>
  <c r="GB124" i="1"/>
  <c r="GG124" i="1"/>
  <c r="CC124" i="1"/>
  <c r="CG124" i="1"/>
  <c r="EO124" i="1"/>
  <c r="DS124" i="1"/>
  <c r="DP124" i="1"/>
  <c r="DF124" i="1"/>
  <c r="EJ124" i="1"/>
  <c r="FP124" i="1"/>
  <c r="FT124" i="1"/>
  <c r="FF124" i="1"/>
  <c r="EX124" i="1"/>
  <c r="HI124" i="1"/>
  <c r="BH124" i="1"/>
  <c r="BX124" i="1"/>
  <c r="BG124" i="1"/>
  <c r="GD124" i="1"/>
  <c r="CP124" i="1"/>
  <c r="CL124" i="1"/>
  <c r="BA124" i="1"/>
  <c r="GO124" i="1"/>
  <c r="GS124" i="1"/>
  <c r="GK124" i="1"/>
  <c r="BU124" i="1"/>
  <c r="FC124" i="1"/>
  <c r="EU124" i="1"/>
  <c r="DO124" i="1"/>
  <c r="DJ124" i="1"/>
  <c r="EH124" i="1"/>
  <c r="ED124" i="1"/>
  <c r="FN124" i="1"/>
  <c r="FU124" i="1"/>
  <c r="CQ124" i="1"/>
  <c r="BB124" i="1"/>
  <c r="CA124" i="1"/>
  <c r="BI124" i="1"/>
  <c r="BF124" i="1"/>
  <c r="CZ124" i="1"/>
  <c r="CJ124" i="1"/>
  <c r="FE124" i="1"/>
  <c r="GU124" i="1"/>
  <c r="HE124" i="1"/>
  <c r="HH124" i="1"/>
  <c r="HG124" i="1"/>
  <c r="HA124" i="1"/>
  <c r="HB124" i="1"/>
  <c r="BP124" i="1"/>
  <c r="FA124" i="1"/>
  <c r="EP124" i="1"/>
  <c r="EK124" i="1"/>
  <c r="DK124" i="1"/>
  <c r="DE124" i="1"/>
  <c r="EC124" i="1"/>
  <c r="DY124" i="1"/>
  <c r="FK124" i="1"/>
  <c r="FR124" i="1"/>
  <c r="FQ124" i="1"/>
  <c r="FY124" i="1"/>
  <c r="FX124" i="1"/>
  <c r="FJ124" i="1"/>
  <c r="FG124" i="1"/>
  <c r="BD124" i="1"/>
  <c r="BE124" i="1"/>
  <c r="BV124" i="1"/>
  <c r="BZ124" i="1"/>
  <c r="GE124" i="1"/>
  <c r="CY124" i="1"/>
  <c r="CW124" i="1"/>
  <c r="GW124" i="1"/>
  <c r="AZ124" i="1"/>
  <c r="BK124" i="1"/>
  <c r="FB124" i="1"/>
  <c r="EQ124" i="1"/>
  <c r="EL124" i="1"/>
  <c r="DG124" i="1"/>
  <c r="EG124" i="1"/>
  <c r="DX124" i="1"/>
  <c r="DT124" i="1"/>
  <c r="FM124" i="1"/>
  <c r="FV124" i="1"/>
  <c r="BY124" i="1"/>
  <c r="CT124" i="1"/>
  <c r="BM124" i="1"/>
  <c r="CV124" i="1"/>
  <c r="CI124" i="1"/>
  <c r="GF124" i="1"/>
  <c r="HC124" i="1"/>
  <c r="GT124" i="1"/>
  <c r="BN124" i="1"/>
  <c r="EZ124" i="1"/>
  <c r="ES124" i="1"/>
  <c r="EI124" i="1"/>
  <c r="DC124" i="1"/>
  <c r="EB124" i="1"/>
  <c r="DR124" i="1"/>
  <c r="DN124" i="1"/>
  <c r="EV124" i="1"/>
  <c r="FD124" i="1"/>
  <c r="FH124" i="1"/>
  <c r="CE124" i="1"/>
  <c r="CM124" i="1"/>
  <c r="CS124" i="1"/>
  <c r="CK124" i="1"/>
  <c r="GN124" i="1"/>
  <c r="HF124" i="1"/>
  <c r="GM124" i="1"/>
  <c r="DQ124" i="1"/>
  <c r="EW124" i="1"/>
  <c r="CB124" i="1"/>
  <c r="CF124" i="1"/>
  <c r="GJ124" i="1"/>
  <c r="GX124" i="1"/>
  <c r="DA124" i="1"/>
  <c r="DM124" i="1"/>
  <c r="FW124" i="1"/>
  <c r="BQ124" i="1"/>
  <c r="CX124" i="1"/>
  <c r="GP124" i="1"/>
  <c r="GZ124" i="1"/>
  <c r="BW124" i="1"/>
  <c r="DH124" i="1"/>
  <c r="CD124" i="1"/>
  <c r="CU124" i="1"/>
  <c r="GH124" i="1"/>
  <c r="EE124" i="1"/>
  <c r="DI124" i="1"/>
  <c r="EA124" i="1"/>
  <c r="DD124" i="1"/>
  <c r="GA124" i="1"/>
  <c r="HD124" i="1"/>
  <c r="ER124" i="1"/>
  <c r="EF124" i="1"/>
  <c r="EY124" i="1"/>
  <c r="BT124" i="1"/>
  <c r="GY124" i="1"/>
  <c r="EL115" i="1"/>
  <c r="CH101" i="1"/>
  <c r="CP101" i="1"/>
  <c r="CY101" i="1"/>
  <c r="CC101" i="1"/>
  <c r="CA101" i="1"/>
  <c r="BM101" i="1"/>
  <c r="FB101" i="1"/>
  <c r="ES101" i="1"/>
  <c r="EK101" i="1"/>
  <c r="DI101" i="1"/>
  <c r="DL101" i="1"/>
  <c r="ED101" i="1"/>
  <c r="EH101" i="1"/>
  <c r="FX101" i="1"/>
  <c r="FE101" i="1"/>
  <c r="FH101" i="1"/>
  <c r="CZ101" i="1"/>
  <c r="CS101" i="1"/>
  <c r="BQ101" i="1"/>
  <c r="BW101" i="1"/>
  <c r="BI101" i="1"/>
  <c r="BD101" i="1"/>
  <c r="EU101" i="1"/>
  <c r="EN101" i="1"/>
  <c r="EL101" i="1"/>
  <c r="DE101" i="1"/>
  <c r="DH101" i="1"/>
  <c r="DV101" i="1"/>
  <c r="DZ101" i="1"/>
  <c r="FQ101" i="1"/>
  <c r="FD101" i="1"/>
  <c r="FL101" i="1"/>
  <c r="GE101" i="1"/>
  <c r="CU101" i="1"/>
  <c r="CL101" i="1"/>
  <c r="BN101" i="1"/>
  <c r="CD101" i="1"/>
  <c r="BS101" i="1"/>
  <c r="BX101" i="1"/>
  <c r="EO101" i="1"/>
  <c r="EG101" i="1"/>
  <c r="EJ101" i="1"/>
  <c r="DD101" i="1"/>
  <c r="DN101" i="1"/>
  <c r="DR101" i="1"/>
  <c r="FS101" i="1"/>
  <c r="EY101" i="1"/>
  <c r="FG101" i="1"/>
  <c r="DA101" i="1"/>
  <c r="CM101" i="1"/>
  <c r="BO101" i="1"/>
  <c r="BZ101" i="1"/>
  <c r="BY101" i="1"/>
  <c r="BE101" i="1"/>
  <c r="EZ101" i="1"/>
  <c r="EC101" i="1"/>
  <c r="EF101" i="1"/>
  <c r="EI101" i="1"/>
  <c r="DF101" i="1"/>
  <c r="DJ101" i="1"/>
  <c r="FK101" i="1"/>
  <c r="FN101" i="1"/>
  <c r="FY101" i="1"/>
  <c r="FZ101" i="1"/>
  <c r="FJ101" i="1"/>
  <c r="EX101" i="1"/>
  <c r="CV101" i="1"/>
  <c r="CE101" i="1"/>
  <c r="BU101" i="1"/>
  <c r="BT101" i="1"/>
  <c r="EQ101" i="1"/>
  <c r="DY101" i="1"/>
  <c r="EB101" i="1"/>
  <c r="EA101" i="1"/>
  <c r="EE101" i="1"/>
  <c r="DB101" i="1"/>
  <c r="EV101" i="1"/>
  <c r="FW101" i="1"/>
  <c r="FU101" i="1"/>
  <c r="GX101" i="1"/>
  <c r="BJ101" i="1"/>
  <c r="CQ101" i="1"/>
  <c r="CN101" i="1"/>
  <c r="BP101" i="1"/>
  <c r="BL101" i="1"/>
  <c r="BK101" i="1"/>
  <c r="BF101" i="1"/>
  <c r="FC101" i="1"/>
  <c r="ER101" i="1"/>
  <c r="DU101" i="1"/>
  <c r="DX101" i="1"/>
  <c r="DS101" i="1"/>
  <c r="DW101" i="1"/>
  <c r="CF101" i="1"/>
  <c r="FP101" i="1"/>
  <c r="FO101" i="1"/>
  <c r="FI101" i="1"/>
  <c r="FM101" i="1"/>
  <c r="GM101" i="1"/>
  <c r="CI101" i="1"/>
  <c r="CX101" i="1"/>
  <c r="CW101" i="1"/>
  <c r="CK101" i="1"/>
  <c r="BR101" i="1"/>
  <c r="BH101" i="1"/>
  <c r="BG101" i="1"/>
  <c r="ET101" i="1"/>
  <c r="EM101" i="1"/>
  <c r="DQ101" i="1"/>
  <c r="DT101" i="1"/>
  <c r="DK101" i="1"/>
  <c r="DO101" i="1"/>
  <c r="FR101" i="1"/>
  <c r="FT101" i="1"/>
  <c r="EW101" i="1"/>
  <c r="BL115" i="1"/>
  <c r="CJ94" i="1"/>
  <c r="CL94" i="1"/>
  <c r="CZ94" i="1"/>
  <c r="BR94" i="1"/>
  <c r="BK94" i="1"/>
  <c r="BS94" i="1"/>
  <c r="BI94" i="1"/>
  <c r="ER94" i="1"/>
  <c r="EM94" i="1"/>
  <c r="ED94" i="1"/>
  <c r="EF94" i="1"/>
  <c r="DW94" i="1"/>
  <c r="DM94" i="1"/>
  <c r="DI94" i="1"/>
  <c r="FM94" i="1"/>
  <c r="FJ94" i="1"/>
  <c r="FI94" i="1"/>
  <c r="GB94" i="1"/>
  <c r="CU94" i="1"/>
  <c r="CB94" i="1"/>
  <c r="BG94" i="1"/>
  <c r="BN94" i="1"/>
  <c r="BD94" i="1"/>
  <c r="EN94" i="1"/>
  <c r="FA94" i="1"/>
  <c r="DZ94" i="1"/>
  <c r="EA94" i="1"/>
  <c r="DQ94" i="1"/>
  <c r="DH94" i="1"/>
  <c r="DD94" i="1"/>
  <c r="CF94" i="1"/>
  <c r="FK94" i="1"/>
  <c r="BM94" i="1"/>
  <c r="CW94" i="1"/>
  <c r="CV94" i="1"/>
  <c r="CD94" i="1"/>
  <c r="CA94" i="1"/>
  <c r="BJ94" i="1"/>
  <c r="BE94" i="1"/>
  <c r="FB94" i="1"/>
  <c r="ET94" i="1"/>
  <c r="DV94" i="1"/>
  <c r="DU94" i="1"/>
  <c r="DL94" i="1"/>
  <c r="DC94" i="1"/>
  <c r="FP94" i="1"/>
  <c r="EY94" i="1"/>
  <c r="GL94" i="1"/>
  <c r="CX94" i="1"/>
  <c r="CR94" i="1"/>
  <c r="CI94" i="1"/>
  <c r="BO94" i="1"/>
  <c r="BU94" i="1"/>
  <c r="BF94" i="1"/>
  <c r="EU94" i="1"/>
  <c r="EO94" i="1"/>
  <c r="DR94" i="1"/>
  <c r="DP94" i="1"/>
  <c r="DG94" i="1"/>
  <c r="EJ94" i="1"/>
  <c r="FY94" i="1"/>
  <c r="FZ94" i="1"/>
  <c r="FL94" i="1"/>
  <c r="EW94" i="1"/>
  <c r="FH94" i="1"/>
  <c r="CT94" i="1"/>
  <c r="CH94" i="1"/>
  <c r="CC94" i="1"/>
  <c r="BZ94" i="1"/>
  <c r="BL94" i="1"/>
  <c r="EP94" i="1"/>
  <c r="DN94" i="1"/>
  <c r="DK94" i="1"/>
  <c r="EI94" i="1"/>
  <c r="EE94" i="1"/>
  <c r="FO94" i="1"/>
  <c r="FU94" i="1"/>
  <c r="GF94" i="1"/>
  <c r="CP94" i="1"/>
  <c r="CM94" i="1"/>
  <c r="BQ94" i="1"/>
  <c r="BV94" i="1"/>
  <c r="BH94" i="1"/>
  <c r="FC94" i="1"/>
  <c r="EK94" i="1"/>
  <c r="DJ94" i="1"/>
  <c r="DE94" i="1"/>
  <c r="EC94" i="1"/>
  <c r="DY94" i="1"/>
  <c r="FT94" i="1"/>
  <c r="FG94" i="1"/>
  <c r="CN94" i="1"/>
  <c r="CY94" i="1"/>
  <c r="DA94" i="1"/>
  <c r="CE94" i="1"/>
  <c r="BY94" i="1"/>
  <c r="BW94" i="1"/>
  <c r="EQ94" i="1"/>
  <c r="EL94" i="1"/>
  <c r="DF94" i="1"/>
  <c r="EG94" i="1"/>
  <c r="DX94" i="1"/>
  <c r="DT94" i="1"/>
  <c r="FR94" i="1"/>
  <c r="FQ94" i="1"/>
  <c r="FS94" i="1"/>
  <c r="FX94" i="1"/>
  <c r="FF94" i="1"/>
  <c r="FE94" i="1"/>
  <c r="EX94" i="1"/>
  <c r="DT87" i="1"/>
  <c r="ET87" i="1"/>
  <c r="EH87" i="1"/>
  <c r="AZ87" i="1"/>
  <c r="DY87" i="1"/>
  <c r="ES87" i="1"/>
  <c r="DW87" i="1"/>
  <c r="BX87" i="1"/>
  <c r="DN87" i="1"/>
  <c r="BP87" i="1"/>
  <c r="DV87" i="1"/>
  <c r="CF87" i="1"/>
  <c r="BM87" i="1"/>
  <c r="FX87" i="1"/>
  <c r="FV87" i="1"/>
  <c r="EQ65" i="1"/>
  <c r="EA65" i="1"/>
  <c r="DL65" i="1"/>
  <c r="EJ65" i="1"/>
  <c r="DU65" i="1"/>
  <c r="EO65" i="1"/>
  <c r="FN65" i="1"/>
  <c r="FH65" i="1"/>
  <c r="CB65" i="1"/>
  <c r="EP65" i="1"/>
  <c r="DS65" i="1"/>
  <c r="DF65" i="1"/>
  <c r="ED65" i="1"/>
  <c r="DP65" i="1"/>
  <c r="FL65" i="1"/>
  <c r="FF65" i="1"/>
  <c r="GE65" i="1"/>
  <c r="BU65" i="1"/>
  <c r="DO65" i="1"/>
  <c r="EH65" i="1"/>
  <c r="DY65" i="1"/>
  <c r="DJ65" i="1"/>
  <c r="FU65" i="1"/>
  <c r="EY65" i="1"/>
  <c r="CL65" i="1"/>
  <c r="DK65" i="1"/>
  <c r="EC65" i="1"/>
  <c r="DT65" i="1"/>
  <c r="DE65" i="1"/>
  <c r="FK65" i="1"/>
  <c r="FM65" i="1"/>
  <c r="FY65" i="1"/>
  <c r="FJ65" i="1"/>
  <c r="CK65" i="1"/>
  <c r="DC65" i="1"/>
  <c r="DX65" i="1"/>
  <c r="DN65" i="1"/>
  <c r="FR65" i="1"/>
  <c r="FX65" i="1"/>
  <c r="EV65" i="1"/>
  <c r="FD65" i="1"/>
  <c r="EX65" i="1"/>
  <c r="EK65" i="1"/>
  <c r="EG65" i="1"/>
  <c r="DR65" i="1"/>
  <c r="DD65" i="1"/>
  <c r="FQ65" i="1"/>
  <c r="FO65" i="1"/>
  <c r="FE65" i="1"/>
  <c r="FW65" i="1"/>
  <c r="EI65" i="1"/>
  <c r="EB65" i="1"/>
  <c r="DH65" i="1"/>
  <c r="EF65" i="1"/>
  <c r="FS65" i="1"/>
  <c r="FZ65" i="1"/>
  <c r="FI65" i="1"/>
  <c r="EW65" i="1"/>
  <c r="FP65" i="1"/>
  <c r="BJ73" i="1"/>
  <c r="CQ73" i="1"/>
  <c r="CV73" i="1"/>
  <c r="CC73" i="1"/>
  <c r="CA73" i="1"/>
  <c r="BU73" i="1"/>
  <c r="BH73" i="1"/>
  <c r="EU73" i="1"/>
  <c r="EO73" i="1"/>
  <c r="DP73" i="1"/>
  <c r="DQ73" i="1"/>
  <c r="DR73" i="1"/>
  <c r="DW73" i="1"/>
  <c r="FR73" i="1"/>
  <c r="FT73" i="1"/>
  <c r="FQ73" i="1"/>
  <c r="CX73" i="1"/>
  <c r="CZ73" i="1"/>
  <c r="CN73" i="1"/>
  <c r="CD73" i="1"/>
  <c r="BW73" i="1"/>
  <c r="BK73" i="1"/>
  <c r="BM73" i="1"/>
  <c r="EQ73" i="1"/>
  <c r="ET73" i="1"/>
  <c r="EK73" i="1"/>
  <c r="DL73" i="1"/>
  <c r="DM73" i="1"/>
  <c r="DN73" i="1"/>
  <c r="DS73" i="1"/>
  <c r="FM73" i="1"/>
  <c r="FS73" i="1"/>
  <c r="FZ73" i="1"/>
  <c r="FE73" i="1"/>
  <c r="FD73" i="1"/>
  <c r="CT73" i="1"/>
  <c r="CR73" i="1"/>
  <c r="CG73" i="1"/>
  <c r="CH73" i="1"/>
  <c r="BO73" i="1"/>
  <c r="BS73" i="1"/>
  <c r="BG73" i="1"/>
  <c r="EM73" i="1"/>
  <c r="EP73" i="1"/>
  <c r="EL73" i="1"/>
  <c r="DH73" i="1"/>
  <c r="DI73" i="1"/>
  <c r="DJ73" i="1"/>
  <c r="DO73" i="1"/>
  <c r="EX73" i="1"/>
  <c r="FU73" i="1"/>
  <c r="CP73" i="1"/>
  <c r="CE73" i="1"/>
  <c r="BV73" i="1"/>
  <c r="FB73" i="1"/>
  <c r="EJ73" i="1"/>
  <c r="DD73" i="1"/>
  <c r="DE73" i="1"/>
  <c r="DF73" i="1"/>
  <c r="DK73" i="1"/>
  <c r="FP73" i="1"/>
  <c r="FW73" i="1"/>
  <c r="GE73" i="1"/>
  <c r="AZ73" i="1"/>
  <c r="CJ73" i="1"/>
  <c r="CY73" i="1"/>
  <c r="DA73" i="1"/>
  <c r="BP73" i="1"/>
  <c r="BX73" i="1"/>
  <c r="EZ73" i="1"/>
  <c r="EF73" i="1"/>
  <c r="EG73" i="1"/>
  <c r="EH73" i="1"/>
  <c r="DB73" i="1"/>
  <c r="DG73" i="1"/>
  <c r="EY73" i="1"/>
  <c r="EW73" i="1"/>
  <c r="CF73" i="1"/>
  <c r="CS73" i="1"/>
  <c r="CU73" i="1"/>
  <c r="BQ73" i="1"/>
  <c r="BY73" i="1"/>
  <c r="BD73" i="1"/>
  <c r="ER73" i="1"/>
  <c r="EB73" i="1"/>
  <c r="EC73" i="1"/>
  <c r="ED73" i="1"/>
  <c r="EI73" i="1"/>
  <c r="DC73" i="1"/>
  <c r="FK73" i="1"/>
  <c r="FL73" i="1"/>
  <c r="FY73" i="1"/>
  <c r="FJ73" i="1"/>
  <c r="FV73" i="1"/>
  <c r="CL73" i="1"/>
  <c r="CM73" i="1"/>
  <c r="BF73" i="1"/>
  <c r="CB73" i="1"/>
  <c r="BT73" i="1"/>
  <c r="BI73" i="1"/>
  <c r="FC73" i="1"/>
  <c r="EN73" i="1"/>
  <c r="DX73" i="1"/>
  <c r="DY73" i="1"/>
  <c r="DZ73" i="1"/>
  <c r="EE73" i="1"/>
  <c r="CI73" i="1"/>
  <c r="EV73" i="1"/>
  <c r="FN73" i="1"/>
  <c r="FH73" i="1"/>
  <c r="FI73" i="1"/>
  <c r="AZ101" i="1"/>
  <c r="BH55" i="1"/>
  <c r="AD54" i="1"/>
  <c r="AH54" i="1" s="1"/>
  <c r="AV53" i="1"/>
  <c r="GW53" i="1" s="1"/>
  <c r="AV52" i="1"/>
  <c r="HI52" i="1" s="1"/>
  <c r="AD51" i="1"/>
  <c r="AH51" i="1" s="1"/>
  <c r="AV51" i="1"/>
  <c r="CZ51" i="1" s="1"/>
  <c r="AV50" i="1"/>
  <c r="BL50" i="1" s="1"/>
  <c r="R48" i="1"/>
  <c r="X48" i="1" s="1"/>
  <c r="AV47" i="1"/>
  <c r="GW47" i="1" s="1"/>
  <c r="AV46" i="1"/>
  <c r="AV45" i="1"/>
  <c r="GL45" i="1" s="1"/>
  <c r="AV44" i="1"/>
  <c r="AG43" i="1"/>
  <c r="AV43" i="1"/>
  <c r="BG43" i="1" s="1"/>
  <c r="AV42" i="1"/>
  <c r="BM42" i="1" s="1"/>
  <c r="Q42" i="1"/>
  <c r="AV41" i="1"/>
  <c r="BT41" i="1" s="1"/>
  <c r="AV40" i="1"/>
  <c r="GE40" i="1" s="1"/>
  <c r="AV36" i="1"/>
  <c r="ET36" i="1" s="1"/>
  <c r="Q35" i="1"/>
  <c r="R35" i="1"/>
  <c r="X35" i="1" s="1"/>
  <c r="AV35" i="1"/>
  <c r="BW35" i="1" s="1"/>
  <c r="AV34" i="1"/>
  <c r="BF34" i="1" s="1"/>
  <c r="BI34" i="1" s="1"/>
  <c r="BZ32" i="1"/>
  <c r="BW32" i="1"/>
  <c r="GW32" i="1"/>
  <c r="DE32" i="1"/>
  <c r="AV31" i="1"/>
  <c r="CO31" i="1" s="1"/>
  <c r="AV29" i="1"/>
  <c r="GL29" i="1" s="1"/>
  <c r="AV27" i="1"/>
  <c r="BS27" i="1" s="1"/>
  <c r="AV26" i="1"/>
  <c r="AZ26" i="1" s="1"/>
  <c r="AV25" i="1"/>
  <c r="CZ25" i="1" s="1"/>
  <c r="AV23" i="1"/>
  <c r="AV20" i="1"/>
  <c r="AV19" i="1"/>
  <c r="CO19" i="1" s="1"/>
  <c r="HI17" i="1"/>
  <c r="BW17" i="1"/>
  <c r="GW17" i="1"/>
  <c r="BY17" i="1"/>
  <c r="BH17" i="1"/>
  <c r="DD17" i="1"/>
  <c r="BT17" i="1"/>
  <c r="BF17" i="1"/>
  <c r="AZ17" i="1"/>
  <c r="GM17" i="1" s="1"/>
  <c r="BV17" i="1"/>
  <c r="DF17" i="1"/>
  <c r="BS17" i="1"/>
  <c r="BD17" i="1"/>
  <c r="DH17" i="1" s="1"/>
  <c r="DC17" i="1"/>
  <c r="GL17" i="1"/>
  <c r="BZ17" i="1"/>
  <c r="DB17" i="1"/>
  <c r="DE17" i="1"/>
  <c r="DG17" i="1"/>
  <c r="CI17" i="1"/>
  <c r="GJ17" i="1"/>
  <c r="W29" i="7"/>
  <c r="T29" i="7" s="1"/>
  <c r="AV16" i="1"/>
  <c r="CO16" i="1" s="1"/>
  <c r="AM14" i="1"/>
  <c r="AI14" i="1"/>
  <c r="AV14" i="1"/>
  <c r="AV12" i="1"/>
  <c r="CO12" i="1" s="1"/>
  <c r="AV11" i="1"/>
  <c r="DG11" i="1" s="1"/>
  <c r="BX58" i="1"/>
  <c r="EG58" i="1"/>
  <c r="EF58" i="1"/>
  <c r="CV58" i="1"/>
  <c r="BL58" i="1"/>
  <c r="DW58" i="1"/>
  <c r="CY58" i="1"/>
  <c r="DS58" i="1"/>
  <c r="GT58" i="1"/>
  <c r="CW58" i="1"/>
  <c r="FB58" i="1"/>
  <c r="DO58" i="1"/>
  <c r="BO58" i="1"/>
  <c r="EQ58" i="1"/>
  <c r="BJ58" i="1"/>
  <c r="HG58" i="1"/>
  <c r="EB58" i="1"/>
  <c r="CZ58" i="1"/>
  <c r="GZ58" i="1"/>
  <c r="EL58" i="1"/>
  <c r="CH58" i="1"/>
  <c r="FG58" i="1"/>
  <c r="DF58" i="1"/>
  <c r="CI58" i="1"/>
  <c r="FY58" i="1"/>
  <c r="CD58" i="1"/>
  <c r="FO58" i="1"/>
  <c r="BE58" i="1"/>
  <c r="FV58" i="1"/>
  <c r="ER58" i="1"/>
  <c r="HE58" i="1"/>
  <c r="DN58" i="1"/>
  <c r="BS58" i="1"/>
  <c r="GH58" i="1"/>
  <c r="DE58" i="1"/>
  <c r="DA58" i="1"/>
  <c r="BA58" i="1"/>
  <c r="EP58" i="1"/>
  <c r="CT58" i="1"/>
  <c r="EY58" i="1"/>
  <c r="DM58" i="1"/>
  <c r="CX58" i="1"/>
  <c r="EJ58" i="1"/>
  <c r="CL58" i="1"/>
  <c r="FQ58" i="1"/>
  <c r="BT58" i="1"/>
  <c r="FP58" i="1"/>
  <c r="FC58" i="1"/>
  <c r="GY58" i="1"/>
  <c r="DR58" i="1"/>
  <c r="BP58" i="1"/>
  <c r="FK58" i="1"/>
  <c r="FJ58" i="1"/>
  <c r="GL58" i="1"/>
  <c r="GF58" i="1"/>
  <c r="GW58" i="1"/>
  <c r="FW58" i="1"/>
  <c r="EK58" i="1"/>
  <c r="CQ58" i="1"/>
  <c r="GG58" i="1"/>
  <c r="BD58" i="1"/>
  <c r="GM58" i="1"/>
  <c r="FU58" i="1"/>
  <c r="EM58" i="1"/>
  <c r="HA58" i="1"/>
  <c r="DB58" i="1"/>
  <c r="BM58" i="1"/>
  <c r="DC58" i="1"/>
  <c r="BQ58" i="1"/>
  <c r="FE58" i="1"/>
  <c r="BY58" i="1"/>
  <c r="HI58" i="1"/>
  <c r="EA58" i="1"/>
  <c r="CR58" i="1"/>
  <c r="FI58" i="1"/>
  <c r="FX58" i="1"/>
  <c r="FA58" i="1"/>
  <c r="CP58" i="1"/>
  <c r="EX58" i="1"/>
  <c r="BW58" i="1"/>
  <c r="GR58" i="1"/>
  <c r="FZ58" i="1"/>
  <c r="ET58" i="1"/>
  <c r="GV58" i="1"/>
  <c r="DK58" i="1"/>
  <c r="HB58" i="1"/>
  <c r="DG58" i="1"/>
  <c r="CJ58" i="1"/>
  <c r="DD58" i="1"/>
  <c r="CB58" i="1"/>
  <c r="FF58" i="1"/>
  <c r="EC58" i="1"/>
  <c r="FD58" i="1"/>
  <c r="FT58" i="1"/>
  <c r="BG58" i="1"/>
  <c r="CG58" i="1"/>
  <c r="DZ58" i="1"/>
  <c r="BZ58" i="1"/>
  <c r="GJ58" i="1"/>
  <c r="EU58" i="1"/>
  <c r="BK58" i="1"/>
  <c r="GS58" i="1"/>
  <c r="DQ58" i="1"/>
  <c r="GP58" i="1"/>
  <c r="DP58" i="1"/>
  <c r="GK58" i="1"/>
  <c r="DH58" i="1"/>
  <c r="EV58" i="1"/>
  <c r="EZ58" i="1"/>
  <c r="FH58" i="1"/>
  <c r="FM58" i="1"/>
  <c r="BN58" i="1"/>
  <c r="CK58" i="1"/>
  <c r="ED58" i="1"/>
  <c r="CC58" i="1"/>
  <c r="GA58" i="1"/>
  <c r="FL58" i="1"/>
  <c r="BU58" i="1"/>
  <c r="GQ58" i="1"/>
  <c r="EO58" i="1"/>
  <c r="AZ58" i="1"/>
  <c r="DU58" i="1"/>
  <c r="HD58" i="1"/>
  <c r="DL58" i="1"/>
  <c r="CF58" i="1"/>
  <c r="FS58" i="1"/>
  <c r="CN58" i="1"/>
  <c r="FN58" i="1"/>
  <c r="DT58" i="1"/>
  <c r="BV58" i="1"/>
  <c r="HF58" i="1"/>
  <c r="EH58" i="1"/>
  <c r="CS58" i="1"/>
  <c r="GC58" i="1"/>
  <c r="EE58" i="1"/>
  <c r="BR58" i="1"/>
  <c r="GB58" i="1"/>
  <c r="BB58" i="1"/>
  <c r="GU58" i="1"/>
  <c r="EN58" i="1"/>
  <c r="HH58" i="1"/>
  <c r="DV58" i="1"/>
  <c r="CM58" i="1"/>
  <c r="FR58" i="1"/>
  <c r="BI58" i="1"/>
  <c r="O40" i="1"/>
  <c r="AA40" i="1"/>
  <c r="AB40" i="1"/>
  <c r="N40" i="1"/>
  <c r="Z40" i="1"/>
  <c r="AB33" i="1"/>
  <c r="AA33" i="1"/>
  <c r="Z33" i="1"/>
  <c r="N33" i="1"/>
  <c r="R33" i="1" s="1"/>
  <c r="X33" i="1" s="1"/>
  <c r="P33" i="1"/>
  <c r="S33" i="1" s="1"/>
  <c r="Y33" i="1" s="1"/>
  <c r="O53" i="1"/>
  <c r="N53" i="1"/>
  <c r="R53" i="1" s="1"/>
  <c r="X53" i="1" s="1"/>
  <c r="AQ53" i="1" s="1"/>
  <c r="P53" i="1"/>
  <c r="S53" i="1" s="1"/>
  <c r="Y53" i="1" s="1"/>
  <c r="V53" i="1" s="1"/>
  <c r="Z53" i="1"/>
  <c r="AA53" i="1"/>
  <c r="FM60" i="1"/>
  <c r="CL60" i="1"/>
  <c r="CV54" i="1"/>
  <c r="BO54" i="1"/>
  <c r="CK62" i="1"/>
  <c r="CX62" i="1"/>
  <c r="CD62" i="1"/>
  <c r="BW62" i="1"/>
  <c r="BG62" i="1"/>
  <c r="BD62" i="1"/>
  <c r="BB62" i="1"/>
  <c r="ES62" i="1"/>
  <c r="EN62" i="1"/>
  <c r="EL62" i="1"/>
  <c r="DI62" i="1"/>
  <c r="DC62" i="1"/>
  <c r="EF62" i="1"/>
  <c r="DW62" i="1"/>
  <c r="CP62" i="1"/>
  <c r="CH62" i="1"/>
  <c r="CC62" i="1"/>
  <c r="BZ62" i="1"/>
  <c r="BS62" i="1"/>
  <c r="EQ62" i="1"/>
  <c r="FC62" i="1"/>
  <c r="EU62" i="1"/>
  <c r="EG62" i="1"/>
  <c r="EI62" i="1"/>
  <c r="EE62" i="1"/>
  <c r="DV62" i="1"/>
  <c r="DL62" i="1"/>
  <c r="FN62" i="1"/>
  <c r="FR62" i="1"/>
  <c r="GX62" i="1"/>
  <c r="CM62" i="1"/>
  <c r="CW62" i="1"/>
  <c r="CI62" i="1"/>
  <c r="CL62" i="1"/>
  <c r="CE62" i="1"/>
  <c r="BV62" i="1"/>
  <c r="BN62" i="1"/>
  <c r="ET62" i="1"/>
  <c r="EC62" i="1"/>
  <c r="ED62" i="1"/>
  <c r="DZ62" i="1"/>
  <c r="DP62" i="1"/>
  <c r="DG62" i="1"/>
  <c r="CF62" i="1"/>
  <c r="FK62" i="1"/>
  <c r="CR62" i="1"/>
  <c r="BO62" i="1"/>
  <c r="BY62" i="1"/>
  <c r="BJ62" i="1"/>
  <c r="BK62" i="1"/>
  <c r="EP62" i="1"/>
  <c r="DY62" i="1"/>
  <c r="DX62" i="1"/>
  <c r="DT62" i="1"/>
  <c r="DK62" i="1"/>
  <c r="DB62" i="1"/>
  <c r="CQ62" i="1"/>
  <c r="BP62" i="1"/>
  <c r="BT62" i="1"/>
  <c r="BF62" i="1"/>
  <c r="BH62" i="1"/>
  <c r="FA62" i="1"/>
  <c r="DU62" i="1"/>
  <c r="DS62" i="1"/>
  <c r="DO62" i="1"/>
  <c r="DF62" i="1"/>
  <c r="CS62" i="1"/>
  <c r="CY62" i="1"/>
  <c r="CU62" i="1"/>
  <c r="CB62" i="1"/>
  <c r="CA62" i="1"/>
  <c r="BM62" i="1"/>
  <c r="EZ62" i="1"/>
  <c r="DQ62" i="1"/>
  <c r="DN62" i="1"/>
  <c r="DJ62" i="1"/>
  <c r="EH62" i="1"/>
  <c r="BI62" i="1"/>
  <c r="CZ62" i="1"/>
  <c r="DA62" i="1"/>
  <c r="BQ62" i="1"/>
  <c r="BU62" i="1"/>
  <c r="BE62" i="1"/>
  <c r="FB62" i="1"/>
  <c r="ER62" i="1"/>
  <c r="DM62" i="1"/>
  <c r="DH62" i="1"/>
  <c r="DD62" i="1"/>
  <c r="EB62" i="1"/>
  <c r="EM62" i="1"/>
  <c r="DF55" i="1"/>
  <c r="ES63" i="1"/>
  <c r="DH63" i="1"/>
  <c r="AA29" i="1"/>
  <c r="Z29" i="1"/>
  <c r="CH64" i="1"/>
  <c r="EZ64" i="1"/>
  <c r="EG64" i="1"/>
  <c r="EH64" i="1"/>
  <c r="ED64" i="1"/>
  <c r="DZ64" i="1"/>
  <c r="DP64" i="1"/>
  <c r="DG57" i="1"/>
  <c r="DD57" i="1"/>
  <c r="DC57" i="1"/>
  <c r="DJ57" i="1" s="1"/>
  <c r="BT57" i="1"/>
  <c r="DB57" i="1"/>
  <c r="DI57" i="1" s="1"/>
  <c r="BD57" i="1"/>
  <c r="DH57" i="1"/>
  <c r="CI57" i="1"/>
  <c r="AE53" i="1"/>
  <c r="DF53" i="1"/>
  <c r="AJ51" i="1"/>
  <c r="GK19" i="1"/>
  <c r="GV19" i="1"/>
  <c r="BL19" i="1"/>
  <c r="BQ19" i="1"/>
  <c r="BP19" i="1"/>
  <c r="BA42" i="1"/>
  <c r="GN19" i="1"/>
  <c r="BB19" i="1"/>
  <c r="BU19" i="1"/>
  <c r="CA19" i="1"/>
  <c r="CG19" i="1"/>
  <c r="CE19" i="1"/>
  <c r="CK19" i="1"/>
  <c r="CH19" i="1"/>
  <c r="CL19" i="1"/>
  <c r="CN19" i="1"/>
  <c r="CS19" i="1"/>
  <c r="CU19" i="1"/>
  <c r="DA19" i="1"/>
  <c r="CT19" i="1"/>
  <c r="DM19" i="1"/>
  <c r="CX19" i="1"/>
  <c r="DP19" i="1"/>
  <c r="DL19" i="1"/>
  <c r="DW19" i="1"/>
  <c r="DX19" i="1"/>
  <c r="DU19" i="1"/>
  <c r="DZ19" i="1"/>
  <c r="ED19" i="1"/>
  <c r="EC19" i="1"/>
  <c r="EG19" i="1"/>
  <c r="EK19" i="1"/>
  <c r="EL19" i="1"/>
  <c r="EI19" i="1"/>
  <c r="EN19" i="1"/>
  <c r="ER19" i="1"/>
  <c r="EQ19" i="1"/>
  <c r="FC19" i="1"/>
  <c r="FA19" i="1"/>
  <c r="FF19" i="1"/>
  <c r="FY19" i="1"/>
  <c r="FE19" i="1"/>
  <c r="EX19" i="1"/>
  <c r="HF19" i="1"/>
  <c r="FD19" i="1"/>
  <c r="FH19" i="1"/>
  <c r="FG19" i="1"/>
  <c r="HG19" i="1"/>
  <c r="GQ19" i="1"/>
  <c r="FW19" i="1"/>
  <c r="FX19" i="1"/>
  <c r="GP19" i="1"/>
  <c r="FR19" i="1"/>
  <c r="FP19" i="1"/>
  <c r="FT19" i="1"/>
  <c r="GB19" i="1"/>
  <c r="GI19" i="1"/>
  <c r="GH19" i="1"/>
  <c r="GE19" i="1"/>
  <c r="GS19" i="1"/>
  <c r="BE42" i="1"/>
  <c r="GT19" i="1"/>
  <c r="HC19" i="1"/>
  <c r="GZ19" i="1"/>
  <c r="BE43" i="1"/>
  <c r="BU42" i="1"/>
  <c r="HD19" i="1"/>
  <c r="CL42" i="1"/>
  <c r="DN36" i="1"/>
  <c r="CG43" i="1"/>
  <c r="CF43" i="1"/>
  <c r="CM42" i="1"/>
  <c r="CK43" i="1"/>
  <c r="CR43" i="1"/>
  <c r="CS43" i="1"/>
  <c r="CV43" i="1"/>
  <c r="DO42" i="1"/>
  <c r="DP41" i="1"/>
  <c r="CZ43" i="1"/>
  <c r="CX43" i="1"/>
  <c r="DU42" i="1"/>
  <c r="DN42" i="1"/>
  <c r="DL43" i="1"/>
  <c r="DW43" i="1"/>
  <c r="DV42" i="1"/>
  <c r="EA43" i="1"/>
  <c r="DS43" i="1"/>
  <c r="ED42" i="1"/>
  <c r="EE41" i="1"/>
  <c r="EB43" i="1"/>
  <c r="ED43" i="1"/>
  <c r="EF42" i="1"/>
  <c r="EN42" i="1"/>
  <c r="ER42" i="1"/>
  <c r="EI43" i="1"/>
  <c r="EK43" i="1"/>
  <c r="CE53" i="1"/>
  <c r="EQ42" i="1"/>
  <c r="FC42" i="1"/>
  <c r="FI42" i="1"/>
  <c r="FB41" i="1"/>
  <c r="FA42" i="1"/>
  <c r="FY42" i="1"/>
  <c r="HB42" i="1"/>
  <c r="EX42" i="1"/>
  <c r="FL42" i="1"/>
  <c r="FC43" i="1"/>
  <c r="HE43" i="1"/>
  <c r="FO42" i="1"/>
  <c r="FH42" i="1"/>
  <c r="FF43" i="1"/>
  <c r="HH42" i="1"/>
  <c r="FA43" i="1"/>
  <c r="FG42" i="1"/>
  <c r="FN42" i="1"/>
  <c r="EX43" i="1"/>
  <c r="HG43" i="1"/>
  <c r="FO43" i="1"/>
  <c r="GP42" i="1"/>
  <c r="FE43" i="1"/>
  <c r="FU43" i="1"/>
  <c r="GD42" i="1"/>
  <c r="FP42" i="1"/>
  <c r="FQ42" i="1"/>
  <c r="FN43" i="1"/>
  <c r="FW43" i="1"/>
  <c r="FS42" i="1"/>
  <c r="GC42" i="1"/>
  <c r="GB42" i="1"/>
  <c r="DX53" i="1"/>
  <c r="GD43" i="1"/>
  <c r="FR43" i="1"/>
  <c r="GE42" i="1"/>
  <c r="GI42" i="1"/>
  <c r="FT43" i="1"/>
  <c r="GZ42" i="1"/>
  <c r="FS43" i="1"/>
  <c r="GC43" i="1"/>
  <c r="GS42" i="1"/>
  <c r="GR42" i="1"/>
  <c r="GG43" i="1"/>
  <c r="HA42" i="1"/>
  <c r="GS43" i="1"/>
  <c r="HD42" i="1"/>
  <c r="EM53" i="1"/>
  <c r="HC43" i="1"/>
  <c r="HD43" i="1"/>
  <c r="FU53" i="1"/>
  <c r="GH53" i="1"/>
  <c r="BG32" i="1"/>
  <c r="BV32" i="1"/>
  <c r="GJ32" i="1"/>
  <c r="BT32" i="1"/>
  <c r="BD32" i="1"/>
  <c r="DH32" i="1" s="1"/>
  <c r="CI32" i="1"/>
  <c r="DB32" i="1"/>
  <c r="DI32" i="1" s="1"/>
  <c r="BH32" i="1"/>
  <c r="BS32" i="1"/>
  <c r="GL32" i="1"/>
  <c r="DD32" i="1"/>
  <c r="DG32" i="1"/>
  <c r="AZ32" i="1"/>
  <c r="GM32" i="1" s="1"/>
  <c r="HI32" i="1"/>
  <c r="BY32" i="1"/>
  <c r="DF32" i="1"/>
  <c r="DC32" i="1"/>
  <c r="BT27" i="1"/>
  <c r="GX51" i="1"/>
  <c r="GK17" i="1"/>
  <c r="AZ34" i="1"/>
  <c r="DD34" i="1"/>
  <c r="BS34" i="1"/>
  <c r="GM59" i="1"/>
  <c r="CE59" i="1"/>
  <c r="EH59" i="1"/>
  <c r="DZ59" i="1"/>
  <c r="GE59" i="1"/>
  <c r="BL59" i="1"/>
  <c r="BO59" i="1"/>
  <c r="DO59" i="1"/>
  <c r="EM59" i="1"/>
  <c r="BB59" i="1"/>
  <c r="FU59" i="1"/>
  <c r="EI59" i="1"/>
  <c r="BH59" i="1"/>
  <c r="DA59" i="1"/>
  <c r="DT59" i="1"/>
  <c r="DP59" i="1"/>
  <c r="EE59" i="1"/>
  <c r="GA59" i="1"/>
  <c r="FW59" i="1"/>
  <c r="GC59" i="1"/>
  <c r="EW59" i="1"/>
  <c r="FI59" i="1"/>
  <c r="GT59" i="1"/>
  <c r="FE59" i="1"/>
  <c r="GH59" i="1"/>
  <c r="FP59" i="1"/>
  <c r="DU59" i="1"/>
  <c r="GU59" i="1"/>
  <c r="CX59" i="1"/>
  <c r="BZ59" i="1"/>
  <c r="EP59" i="1"/>
  <c r="CN59" i="1"/>
  <c r="HI59" i="1"/>
  <c r="AZ59" i="1"/>
  <c r="HC59" i="1"/>
  <c r="HG59" i="1"/>
  <c r="EV59" i="1"/>
  <c r="FA59" i="1"/>
  <c r="FK59" i="1"/>
  <c r="DH59" i="1"/>
  <c r="BX59" i="1"/>
  <c r="BW59" i="1"/>
  <c r="GO59" i="1"/>
  <c r="CD59" i="1"/>
  <c r="FX59" i="1"/>
  <c r="FO59" i="1"/>
  <c r="HH59" i="1"/>
  <c r="GL59" i="1"/>
  <c r="CP59" i="1"/>
  <c r="FT59" i="1"/>
  <c r="DM59" i="1"/>
  <c r="DY59" i="1"/>
  <c r="ES59" i="1"/>
  <c r="BA59" i="1"/>
  <c r="CW59" i="1"/>
  <c r="CA59" i="1"/>
  <c r="CK59" i="1"/>
  <c r="FN59" i="1"/>
  <c r="GY59" i="1"/>
  <c r="FG59" i="1"/>
  <c r="HE59" i="1"/>
  <c r="DC59" i="1"/>
  <c r="ED59" i="1"/>
  <c r="GX59" i="1"/>
  <c r="DG59" i="1"/>
  <c r="BD59" i="1"/>
  <c r="DR59" i="1"/>
  <c r="CM59" i="1"/>
  <c r="BS59" i="1"/>
  <c r="ET59" i="1"/>
  <c r="FJ59" i="1"/>
  <c r="CY59" i="1"/>
  <c r="GV59" i="1"/>
  <c r="GI59" i="1"/>
  <c r="EO59" i="1"/>
  <c r="DF59" i="1"/>
  <c r="EF59" i="1"/>
  <c r="DE59" i="1"/>
  <c r="BV59" i="1"/>
  <c r="CB59" i="1"/>
  <c r="CR59" i="1"/>
  <c r="CT59" i="1"/>
  <c r="DQ59" i="1"/>
  <c r="GB59" i="1"/>
  <c r="BJ59" i="1"/>
  <c r="FF59" i="1"/>
  <c r="DJ59" i="1"/>
  <c r="EA59" i="1"/>
  <c r="FL59" i="1"/>
  <c r="BN59" i="1"/>
  <c r="BY59" i="1"/>
  <c r="CG59" i="1"/>
  <c r="CZ59" i="1"/>
  <c r="HB59" i="1"/>
  <c r="FD59" i="1"/>
  <c r="CU59" i="1"/>
  <c r="GJ59" i="1"/>
  <c r="EX59" i="1"/>
  <c r="DX59" i="1"/>
  <c r="DS59" i="1"/>
  <c r="EU59" i="1"/>
  <c r="DB59" i="1"/>
  <c r="FV59" i="1"/>
  <c r="BG59" i="1"/>
  <c r="DL59" i="1"/>
  <c r="GK59" i="1"/>
  <c r="EQ59" i="1"/>
  <c r="EY59" i="1"/>
  <c r="FM59" i="1"/>
  <c r="DW59" i="1"/>
  <c r="FR59" i="1"/>
  <c r="EN59" i="1"/>
  <c r="BU59" i="1"/>
  <c r="BK59" i="1"/>
  <c r="FS59" i="1"/>
  <c r="BP59" i="1"/>
  <c r="CS59" i="1"/>
  <c r="DD59" i="1"/>
  <c r="GR59" i="1"/>
  <c r="BI59" i="1"/>
  <c r="EG59" i="1"/>
  <c r="GG59" i="1"/>
  <c r="GZ59" i="1"/>
  <c r="FC59" i="1"/>
  <c r="GW59" i="1"/>
  <c r="CQ59" i="1"/>
  <c r="FY59" i="1"/>
  <c r="DI59" i="1"/>
  <c r="HA59" i="1"/>
  <c r="GF59" i="1"/>
  <c r="GN59" i="1"/>
  <c r="CV59" i="1"/>
  <c r="BR59" i="1"/>
  <c r="EC59" i="1"/>
  <c r="FB59" i="1"/>
  <c r="GS59" i="1"/>
  <c r="GQ59" i="1"/>
  <c r="HF59" i="1"/>
  <c r="CC59" i="1"/>
  <c r="CF59" i="1"/>
  <c r="EZ59" i="1"/>
  <c r="EL59" i="1"/>
  <c r="BE59" i="1"/>
  <c r="FZ59" i="1"/>
  <c r="GD59" i="1"/>
  <c r="BM59" i="1"/>
  <c r="HD59" i="1"/>
  <c r="GP59" i="1"/>
  <c r="EK59" i="1"/>
  <c r="BY34" i="1"/>
  <c r="BQ59" i="1"/>
  <c r="DV59" i="1"/>
  <c r="BT59" i="1"/>
  <c r="BF48" i="1"/>
  <c r="BW48" i="1"/>
  <c r="HI48" i="1"/>
  <c r="AZ48" i="1"/>
  <c r="GM48" i="1" s="1"/>
  <c r="CL59" i="1"/>
  <c r="EJ59" i="1"/>
  <c r="ER59" i="1"/>
  <c r="DK59" i="1"/>
  <c r="FQ59" i="1"/>
  <c r="EB59" i="1"/>
  <c r="CI59" i="1"/>
  <c r="CJ59" i="1"/>
  <c r="BF59" i="1"/>
  <c r="CH59" i="1"/>
  <c r="CH52" i="1"/>
  <c r="CS51" i="1"/>
  <c r="DA51" i="1"/>
  <c r="DM51" i="1"/>
  <c r="DY51" i="1"/>
  <c r="DU50" i="1"/>
  <c r="DX51" i="1"/>
  <c r="DX50" i="1"/>
  <c r="EB51" i="1"/>
  <c r="EL51" i="1"/>
  <c r="EK51" i="1"/>
  <c r="EF51" i="1"/>
  <c r="EO51" i="1"/>
  <c r="FC51" i="1"/>
  <c r="EV50" i="1"/>
  <c r="FY51" i="1"/>
  <c r="FA51" i="1"/>
  <c r="EX50" i="1"/>
  <c r="EX51" i="1"/>
  <c r="FH51" i="1"/>
  <c r="EW51" i="1"/>
  <c r="FE51" i="1"/>
  <c r="FG51" i="1"/>
  <c r="FU51" i="1"/>
  <c r="GQ52" i="1"/>
  <c r="GQ51" i="1"/>
  <c r="FW51" i="1"/>
  <c r="GA51" i="1"/>
  <c r="FQ52" i="1"/>
  <c r="FP51" i="1"/>
  <c r="FR51" i="1"/>
  <c r="GB50" i="1"/>
  <c r="GC51" i="1"/>
  <c r="GH51" i="1"/>
  <c r="GY51" i="1"/>
  <c r="GE51" i="1"/>
  <c r="GS51" i="1"/>
  <c r="GI51" i="1"/>
  <c r="GR51" i="1"/>
  <c r="AH41" i="1" l="1"/>
  <c r="AJ41" i="1"/>
  <c r="AI54" i="1"/>
  <c r="AM54" i="1"/>
  <c r="AI44" i="1"/>
  <c r="AM44" i="1"/>
  <c r="GZ96" i="1"/>
  <c r="BS104" i="1"/>
  <c r="CO61" i="1"/>
  <c r="GZ61" i="1"/>
  <c r="GO61" i="1"/>
  <c r="FG61" i="1"/>
  <c r="BS61" i="1"/>
  <c r="ES61" i="1"/>
  <c r="CO68" i="1"/>
  <c r="GS68" i="1"/>
  <c r="HG68" i="1"/>
  <c r="CF68" i="1"/>
  <c r="CE68" i="1"/>
  <c r="DZ68" i="1"/>
  <c r="BS68" i="1"/>
  <c r="CQ68" i="1"/>
  <c r="DM68" i="1"/>
  <c r="CD68" i="1"/>
  <c r="CO78" i="1"/>
  <c r="BI78" i="1"/>
  <c r="CZ78" i="1"/>
  <c r="CB78" i="1"/>
  <c r="CA78" i="1"/>
  <c r="EU78" i="1"/>
  <c r="DV78" i="1"/>
  <c r="DU78" i="1"/>
  <c r="DL78" i="1"/>
  <c r="DC78" i="1"/>
  <c r="EX78" i="1"/>
  <c r="CG78" i="1"/>
  <c r="CK78" i="1"/>
  <c r="CX78" i="1"/>
  <c r="BQ78" i="1"/>
  <c r="BU78" i="1"/>
  <c r="EQ78" i="1"/>
  <c r="DR78" i="1"/>
  <c r="DP78" i="1"/>
  <c r="DG78" i="1"/>
  <c r="EJ78" i="1"/>
  <c r="FN78" i="1"/>
  <c r="FJ78" i="1"/>
  <c r="FW78" i="1"/>
  <c r="FL78" i="1"/>
  <c r="CT78" i="1"/>
  <c r="CH78" i="1"/>
  <c r="CD78" i="1"/>
  <c r="BW78" i="1"/>
  <c r="BG78" i="1"/>
  <c r="BD78" i="1"/>
  <c r="FB78" i="1"/>
  <c r="EM78" i="1"/>
  <c r="DN78" i="1"/>
  <c r="DK78" i="1"/>
  <c r="EI78" i="1"/>
  <c r="EE78" i="1"/>
  <c r="CN78" i="1"/>
  <c r="FR78" i="1"/>
  <c r="FZ78" i="1"/>
  <c r="FI78" i="1"/>
  <c r="CJ78" i="1"/>
  <c r="CP78" i="1"/>
  <c r="CU78" i="1"/>
  <c r="BR78" i="1"/>
  <c r="BX78" i="1"/>
  <c r="BL78" i="1"/>
  <c r="ES78" i="1"/>
  <c r="FA78" i="1"/>
  <c r="EK78" i="1"/>
  <c r="DJ78" i="1"/>
  <c r="DE78" i="1"/>
  <c r="EC78" i="1"/>
  <c r="DY78" i="1"/>
  <c r="FM78" i="1"/>
  <c r="CW78" i="1"/>
  <c r="DA78" i="1"/>
  <c r="CC78" i="1"/>
  <c r="BZ78" i="1"/>
  <c r="BS78" i="1"/>
  <c r="BE78" i="1"/>
  <c r="EO78" i="1"/>
  <c r="EZ78" i="1"/>
  <c r="EL78" i="1"/>
  <c r="DF78" i="1"/>
  <c r="EG78" i="1"/>
  <c r="DX78" i="1"/>
  <c r="DT78" i="1"/>
  <c r="FK78" i="1"/>
  <c r="FO78" i="1"/>
  <c r="CL78" i="1"/>
  <c r="CR78" i="1"/>
  <c r="CE78" i="1"/>
  <c r="BV78" i="1"/>
  <c r="BN78" i="1"/>
  <c r="BB78" i="1"/>
  <c r="FC78" i="1"/>
  <c r="ER78" i="1"/>
  <c r="EH78" i="1"/>
  <c r="DB78" i="1"/>
  <c r="EB78" i="1"/>
  <c r="DS78" i="1"/>
  <c r="DO78" i="1"/>
  <c r="FP78" i="1"/>
  <c r="EV78" i="1"/>
  <c r="FE78" i="1"/>
  <c r="CF78" i="1"/>
  <c r="CM78" i="1"/>
  <c r="CQ78" i="1"/>
  <c r="CV78" i="1"/>
  <c r="BO78" i="1"/>
  <c r="BY78" i="1"/>
  <c r="BJ78" i="1"/>
  <c r="BH78" i="1"/>
  <c r="BK78" i="1"/>
  <c r="ET78" i="1"/>
  <c r="EN78" i="1"/>
  <c r="ED78" i="1"/>
  <c r="EF78" i="1"/>
  <c r="DW78" i="1"/>
  <c r="DM78" i="1"/>
  <c r="DI78" i="1"/>
  <c r="FQ78" i="1"/>
  <c r="EY78" i="1"/>
  <c r="EW78" i="1"/>
  <c r="FV78" i="1"/>
  <c r="FH78" i="1"/>
  <c r="BP78" i="1"/>
  <c r="FY78" i="1"/>
  <c r="FX78" i="1"/>
  <c r="GF78" i="1"/>
  <c r="GQ78" i="1"/>
  <c r="GX78" i="1"/>
  <c r="CI78" i="1"/>
  <c r="CS78" i="1"/>
  <c r="BT78" i="1"/>
  <c r="BM78" i="1"/>
  <c r="FT78" i="1"/>
  <c r="BA78" i="1"/>
  <c r="GM78" i="1"/>
  <c r="GW78" i="1"/>
  <c r="HF78" i="1"/>
  <c r="BF78" i="1"/>
  <c r="DZ78" i="1"/>
  <c r="GD78" i="1"/>
  <c r="GA78" i="1"/>
  <c r="GL78" i="1"/>
  <c r="GY78" i="1"/>
  <c r="HE78" i="1"/>
  <c r="HH78" i="1"/>
  <c r="EA78" i="1"/>
  <c r="FF78" i="1"/>
  <c r="HG78" i="1"/>
  <c r="HD78" i="1"/>
  <c r="HC78" i="1"/>
  <c r="DQ78" i="1"/>
  <c r="FU78" i="1"/>
  <c r="GC78" i="1"/>
  <c r="GG78" i="1"/>
  <c r="GJ78" i="1"/>
  <c r="GT78" i="1"/>
  <c r="GS78" i="1"/>
  <c r="HA78" i="1"/>
  <c r="DH78" i="1"/>
  <c r="HI78" i="1"/>
  <c r="GH78" i="1"/>
  <c r="GN78" i="1"/>
  <c r="GU78" i="1"/>
  <c r="GK78" i="1"/>
  <c r="EP78" i="1"/>
  <c r="DD78" i="1"/>
  <c r="FD78" i="1"/>
  <c r="GE78" i="1"/>
  <c r="GI78" i="1"/>
  <c r="GZ78" i="1"/>
  <c r="GO78" i="1"/>
  <c r="GP78" i="1"/>
  <c r="GV78" i="1"/>
  <c r="GR78" i="1"/>
  <c r="HB78" i="1"/>
  <c r="CO128" i="1"/>
  <c r="CQ128" i="1"/>
  <c r="BX128" i="1"/>
  <c r="ER128" i="1"/>
  <c r="EP128" i="1"/>
  <c r="EE128" i="1"/>
  <c r="EH128" i="1"/>
  <c r="ED128" i="1"/>
  <c r="DU128" i="1"/>
  <c r="DL128" i="1"/>
  <c r="FT128" i="1"/>
  <c r="FZ128" i="1"/>
  <c r="FV128" i="1"/>
  <c r="EY128" i="1"/>
  <c r="BW128" i="1"/>
  <c r="EN128" i="1"/>
  <c r="EA128" i="1"/>
  <c r="EC128" i="1"/>
  <c r="DY128" i="1"/>
  <c r="DP128" i="1"/>
  <c r="DF128" i="1"/>
  <c r="FS128" i="1"/>
  <c r="FH128" i="1"/>
  <c r="BF128" i="1"/>
  <c r="EQ128" i="1"/>
  <c r="DW128" i="1"/>
  <c r="DX128" i="1"/>
  <c r="DT128" i="1"/>
  <c r="DJ128" i="1"/>
  <c r="CH128" i="1"/>
  <c r="FQ128" i="1"/>
  <c r="EW128" i="1"/>
  <c r="BV128" i="1"/>
  <c r="ES128" i="1"/>
  <c r="DS128" i="1"/>
  <c r="DR128" i="1"/>
  <c r="DN128" i="1"/>
  <c r="DE128" i="1"/>
  <c r="FL128" i="1"/>
  <c r="FC128" i="1"/>
  <c r="EM128" i="1"/>
  <c r="DO128" i="1"/>
  <c r="DM128" i="1"/>
  <c r="DI128" i="1"/>
  <c r="EG128" i="1"/>
  <c r="FN128" i="1"/>
  <c r="FR128" i="1"/>
  <c r="FX128" i="1"/>
  <c r="FI128" i="1"/>
  <c r="BD128" i="1"/>
  <c r="FA128" i="1"/>
  <c r="ET128" i="1"/>
  <c r="EK128" i="1"/>
  <c r="DK128" i="1"/>
  <c r="DH128" i="1"/>
  <c r="DD128" i="1"/>
  <c r="EB128" i="1"/>
  <c r="FK128" i="1"/>
  <c r="EV128" i="1"/>
  <c r="FD128" i="1"/>
  <c r="EX128" i="1"/>
  <c r="BY128" i="1"/>
  <c r="FB128" i="1"/>
  <c r="EO128" i="1"/>
  <c r="EL128" i="1"/>
  <c r="DG128" i="1"/>
  <c r="DB128" i="1"/>
  <c r="EF128" i="1"/>
  <c r="DV128" i="1"/>
  <c r="FM128" i="1"/>
  <c r="FY128" i="1"/>
  <c r="FO128" i="1"/>
  <c r="FU128" i="1"/>
  <c r="EJ128" i="1"/>
  <c r="CT128" i="1"/>
  <c r="BE128" i="1"/>
  <c r="BI128" i="1"/>
  <c r="BS128" i="1"/>
  <c r="CS128" i="1"/>
  <c r="CU128" i="1"/>
  <c r="HI128" i="1"/>
  <c r="GB128" i="1"/>
  <c r="GQ128" i="1"/>
  <c r="GW128" i="1"/>
  <c r="HA128" i="1"/>
  <c r="HD128" i="1"/>
  <c r="DZ128" i="1"/>
  <c r="CN128" i="1"/>
  <c r="CI128" i="1"/>
  <c r="BB128" i="1"/>
  <c r="BN128" i="1"/>
  <c r="CM128" i="1"/>
  <c r="CR128" i="1"/>
  <c r="GH128" i="1"/>
  <c r="GL128" i="1"/>
  <c r="GO128" i="1"/>
  <c r="GR128" i="1"/>
  <c r="HC128" i="1"/>
  <c r="DQ128" i="1"/>
  <c r="BQ128" i="1"/>
  <c r="CC128" i="1"/>
  <c r="DA128" i="1"/>
  <c r="CF128" i="1"/>
  <c r="CL128" i="1"/>
  <c r="GI128" i="1"/>
  <c r="GY128" i="1"/>
  <c r="FW128" i="1"/>
  <c r="BZ128" i="1"/>
  <c r="BO128" i="1"/>
  <c r="CD128" i="1"/>
  <c r="CP128" i="1"/>
  <c r="CJ128" i="1"/>
  <c r="GC128" i="1"/>
  <c r="GG128" i="1"/>
  <c r="HB128" i="1"/>
  <c r="CB128" i="1"/>
  <c r="EZ128" i="1"/>
  <c r="FF128" i="1"/>
  <c r="FG128" i="1"/>
  <c r="BR128" i="1"/>
  <c r="CE128" i="1"/>
  <c r="BU128" i="1"/>
  <c r="CZ128" i="1"/>
  <c r="CG128" i="1"/>
  <c r="GA128" i="1"/>
  <c r="FE128" i="1"/>
  <c r="EU128" i="1"/>
  <c r="BG128" i="1"/>
  <c r="BK128" i="1"/>
  <c r="BP128" i="1"/>
  <c r="GD128" i="1"/>
  <c r="CW128" i="1"/>
  <c r="GF128" i="1"/>
  <c r="GP128" i="1"/>
  <c r="HF128" i="1"/>
  <c r="EI128" i="1"/>
  <c r="BL128" i="1"/>
  <c r="CA128" i="1"/>
  <c r="BT128" i="1"/>
  <c r="CY128" i="1"/>
  <c r="CK128" i="1"/>
  <c r="HH128" i="1"/>
  <c r="GK128" i="1"/>
  <c r="EN52" i="1"/>
  <c r="GT43" i="1"/>
  <c r="GF43" i="1"/>
  <c r="FM43" i="1"/>
  <c r="FL43" i="1"/>
  <c r="FY43" i="1"/>
  <c r="EN43" i="1"/>
  <c r="EE43" i="1"/>
  <c r="EF43" i="1"/>
  <c r="CW43" i="1"/>
  <c r="CQ43" i="1"/>
  <c r="CC43" i="1"/>
  <c r="FK43" i="1"/>
  <c r="AD53" i="1"/>
  <c r="AH53" i="1" s="1"/>
  <c r="FD87" i="1"/>
  <c r="FS87" i="1"/>
  <c r="EY87" i="1"/>
  <c r="CS87" i="1"/>
  <c r="EE87" i="1"/>
  <c r="BW87" i="1"/>
  <c r="DR87" i="1"/>
  <c r="BE87" i="1"/>
  <c r="EG87" i="1"/>
  <c r="CE87" i="1"/>
  <c r="EC87" i="1"/>
  <c r="FC87" i="1"/>
  <c r="DJ87" i="1"/>
  <c r="CC87" i="1"/>
  <c r="AF46" i="1"/>
  <c r="AE54" i="1"/>
  <c r="AE47" i="1"/>
  <c r="AJ47" i="1" s="1"/>
  <c r="AM60" i="1"/>
  <c r="BB61" i="1"/>
  <c r="CR61" i="1"/>
  <c r="FR68" i="1"/>
  <c r="GU68" i="1"/>
  <c r="GX96" i="1"/>
  <c r="DH96" i="1"/>
  <c r="EY96" i="1"/>
  <c r="DO96" i="1"/>
  <c r="FR96" i="1"/>
  <c r="DM96" i="1"/>
  <c r="AJ57" i="1"/>
  <c r="ET57" i="1"/>
  <c r="HG128" i="1"/>
  <c r="BK96" i="1"/>
  <c r="BY120" i="1"/>
  <c r="BB96" i="1"/>
  <c r="GP87" i="1"/>
  <c r="CO112" i="1"/>
  <c r="FA112" i="1"/>
  <c r="ET112" i="1"/>
  <c r="EA112" i="1"/>
  <c r="EC112" i="1"/>
  <c r="DY112" i="1"/>
  <c r="DP112" i="1"/>
  <c r="DF112" i="1"/>
  <c r="FM112" i="1"/>
  <c r="FX112" i="1"/>
  <c r="FH112" i="1"/>
  <c r="CA112" i="1"/>
  <c r="BX112" i="1"/>
  <c r="BG112" i="1"/>
  <c r="CC112" i="1"/>
  <c r="FB112" i="1"/>
  <c r="EO112" i="1"/>
  <c r="DW112" i="1"/>
  <c r="DX112" i="1"/>
  <c r="DT112" i="1"/>
  <c r="DJ112" i="1"/>
  <c r="FK112" i="1"/>
  <c r="FR112" i="1"/>
  <c r="EW112" i="1"/>
  <c r="BU112" i="1"/>
  <c r="EZ112" i="1"/>
  <c r="EU112" i="1"/>
  <c r="DS112" i="1"/>
  <c r="DR112" i="1"/>
  <c r="DN112" i="1"/>
  <c r="DE112" i="1"/>
  <c r="FL112" i="1"/>
  <c r="FW112" i="1"/>
  <c r="BP112" i="1"/>
  <c r="ER112" i="1"/>
  <c r="EP112" i="1"/>
  <c r="DO112" i="1"/>
  <c r="DM112" i="1"/>
  <c r="DI112" i="1"/>
  <c r="EG112" i="1"/>
  <c r="FN112" i="1"/>
  <c r="GX112" i="1"/>
  <c r="BK112" i="1"/>
  <c r="EN112" i="1"/>
  <c r="EK112" i="1"/>
  <c r="DK112" i="1"/>
  <c r="DH112" i="1"/>
  <c r="DD112" i="1"/>
  <c r="EB112" i="1"/>
  <c r="FY112" i="1"/>
  <c r="FO112" i="1"/>
  <c r="FZ112" i="1"/>
  <c r="FE112" i="1"/>
  <c r="EX112" i="1"/>
  <c r="BY112" i="1"/>
  <c r="CJ112" i="1"/>
  <c r="CL112" i="1"/>
  <c r="BZ112" i="1"/>
  <c r="EQ112" i="1"/>
  <c r="EL112" i="1"/>
  <c r="DG112" i="1"/>
  <c r="DB112" i="1"/>
  <c r="EF112" i="1"/>
  <c r="DV112" i="1"/>
  <c r="FT112" i="1"/>
  <c r="FS112" i="1"/>
  <c r="FJ112" i="1"/>
  <c r="FD112" i="1"/>
  <c r="FF112" i="1"/>
  <c r="FU112" i="1"/>
  <c r="CR112" i="1"/>
  <c r="BS112" i="1"/>
  <c r="CH112" i="1"/>
  <c r="ES112" i="1"/>
  <c r="EI112" i="1"/>
  <c r="DC112" i="1"/>
  <c r="EJ112" i="1"/>
  <c r="DZ112" i="1"/>
  <c r="DQ112" i="1"/>
  <c r="FQ112" i="1"/>
  <c r="FG112" i="1"/>
  <c r="EH112" i="1"/>
  <c r="EV112" i="1"/>
  <c r="CE112" i="1"/>
  <c r="BO112" i="1"/>
  <c r="BV112" i="1"/>
  <c r="CT112" i="1"/>
  <c r="CS112" i="1"/>
  <c r="GB112" i="1"/>
  <c r="GY112" i="1"/>
  <c r="GO112" i="1"/>
  <c r="ED112" i="1"/>
  <c r="BT112" i="1"/>
  <c r="BW112" i="1"/>
  <c r="CQ112" i="1"/>
  <c r="CM112" i="1"/>
  <c r="GZ112" i="1"/>
  <c r="GF112" i="1"/>
  <c r="DU112" i="1"/>
  <c r="BJ112" i="1"/>
  <c r="BF112" i="1"/>
  <c r="DA112" i="1"/>
  <c r="CF112" i="1"/>
  <c r="GA112" i="1"/>
  <c r="GW112" i="1"/>
  <c r="GK112" i="1"/>
  <c r="DL112" i="1"/>
  <c r="FP112" i="1"/>
  <c r="BI112" i="1"/>
  <c r="BN112" i="1"/>
  <c r="GD112" i="1"/>
  <c r="CI112" i="1"/>
  <c r="BM112" i="1"/>
  <c r="GC112" i="1"/>
  <c r="GH112" i="1"/>
  <c r="GN112" i="1"/>
  <c r="HF112" i="1"/>
  <c r="BE112" i="1"/>
  <c r="BQ112" i="1"/>
  <c r="CP112" i="1"/>
  <c r="CN112" i="1"/>
  <c r="GI112" i="1"/>
  <c r="HH112" i="1"/>
  <c r="HD112" i="1"/>
  <c r="BB112" i="1"/>
  <c r="GE112" i="1"/>
  <c r="CX112" i="1"/>
  <c r="CD112" i="1"/>
  <c r="CZ112" i="1"/>
  <c r="BH112" i="1"/>
  <c r="GG112" i="1"/>
  <c r="GJ112" i="1"/>
  <c r="BA112" i="1"/>
  <c r="GM112" i="1"/>
  <c r="GS112" i="1"/>
  <c r="HE112" i="1"/>
  <c r="HG112" i="1"/>
  <c r="HC112" i="1"/>
  <c r="FC112" i="1"/>
  <c r="FV112" i="1"/>
  <c r="CU112" i="1"/>
  <c r="CG112" i="1"/>
  <c r="BR112" i="1"/>
  <c r="CW112" i="1"/>
  <c r="CY112" i="1"/>
  <c r="EY112" i="1"/>
  <c r="GL112" i="1"/>
  <c r="GV112" i="1"/>
  <c r="GR112" i="1"/>
  <c r="HA112" i="1"/>
  <c r="GP112" i="1"/>
  <c r="BD87" i="1"/>
  <c r="DC87" i="1"/>
  <c r="FG87" i="1"/>
  <c r="FY87" i="1"/>
  <c r="EF87" i="1"/>
  <c r="BG87" i="1"/>
  <c r="EA87" i="1"/>
  <c r="BZ87" i="1"/>
  <c r="DH87" i="1"/>
  <c r="CI87" i="1"/>
  <c r="DE87" i="1"/>
  <c r="CB87" i="1"/>
  <c r="DP87" i="1"/>
  <c r="CN87" i="1"/>
  <c r="AF45" i="1"/>
  <c r="AE46" i="1"/>
  <c r="AJ46" i="1" s="1"/>
  <c r="R57" i="1"/>
  <c r="X57" i="1" s="1"/>
  <c r="AQ57" i="1" s="1"/>
  <c r="GY61" i="1"/>
  <c r="DZ61" i="1"/>
  <c r="GD68" i="1"/>
  <c r="BX96" i="1"/>
  <c r="DE96" i="1"/>
  <c r="CA96" i="1"/>
  <c r="FD96" i="1"/>
  <c r="AF57" i="1"/>
  <c r="GO104" i="1"/>
  <c r="GT112" i="1"/>
  <c r="GM128" i="1"/>
  <c r="GC104" i="1"/>
  <c r="CT120" i="1"/>
  <c r="BP120" i="1"/>
  <c r="BD96" i="1"/>
  <c r="CQ96" i="1"/>
  <c r="CO120" i="1"/>
  <c r="BO120" i="1"/>
  <c r="EZ120" i="1"/>
  <c r="EU120" i="1"/>
  <c r="DS120" i="1"/>
  <c r="DR120" i="1"/>
  <c r="DN120" i="1"/>
  <c r="DE120" i="1"/>
  <c r="FQ120" i="1"/>
  <c r="FF120" i="1"/>
  <c r="FG120" i="1"/>
  <c r="BX120" i="1"/>
  <c r="ER120" i="1"/>
  <c r="EP120" i="1"/>
  <c r="DO120" i="1"/>
  <c r="DM120" i="1"/>
  <c r="DI120" i="1"/>
  <c r="EG120" i="1"/>
  <c r="FN120" i="1"/>
  <c r="FD120" i="1"/>
  <c r="FV120" i="1"/>
  <c r="BW120" i="1"/>
  <c r="EN120" i="1"/>
  <c r="EK120" i="1"/>
  <c r="DK120" i="1"/>
  <c r="DH120" i="1"/>
  <c r="DD120" i="1"/>
  <c r="EB120" i="1"/>
  <c r="FK120" i="1"/>
  <c r="FL120" i="1"/>
  <c r="FR120" i="1"/>
  <c r="FX120" i="1"/>
  <c r="FH120" i="1"/>
  <c r="BN120" i="1"/>
  <c r="EQ120" i="1"/>
  <c r="EL120" i="1"/>
  <c r="DG120" i="1"/>
  <c r="DB120" i="1"/>
  <c r="EF120" i="1"/>
  <c r="DV120" i="1"/>
  <c r="FM120" i="1"/>
  <c r="BV120" i="1"/>
  <c r="CH120" i="1"/>
  <c r="ES120" i="1"/>
  <c r="EI120" i="1"/>
  <c r="DC120" i="1"/>
  <c r="EJ120" i="1"/>
  <c r="DZ120" i="1"/>
  <c r="DQ120" i="1"/>
  <c r="EV120" i="1"/>
  <c r="FW120" i="1"/>
  <c r="EY120" i="1"/>
  <c r="AZ120" i="1"/>
  <c r="FC120" i="1"/>
  <c r="EM120" i="1"/>
  <c r="EE120" i="1"/>
  <c r="EH120" i="1"/>
  <c r="ED120" i="1"/>
  <c r="DU120" i="1"/>
  <c r="DL120" i="1"/>
  <c r="FY120" i="1"/>
  <c r="FO120" i="1"/>
  <c r="FP120" i="1"/>
  <c r="FI120" i="1"/>
  <c r="FA120" i="1"/>
  <c r="ET120" i="1"/>
  <c r="EA120" i="1"/>
  <c r="EC120" i="1"/>
  <c r="DY120" i="1"/>
  <c r="DP120" i="1"/>
  <c r="DF120" i="1"/>
  <c r="FZ120" i="1"/>
  <c r="FJ120" i="1"/>
  <c r="EX120" i="1"/>
  <c r="FB120" i="1"/>
  <c r="DJ120" i="1"/>
  <c r="BS120" i="1"/>
  <c r="BK120" i="1"/>
  <c r="CE120" i="1"/>
  <c r="GE120" i="1"/>
  <c r="CJ120" i="1"/>
  <c r="CQ120" i="1"/>
  <c r="HF120" i="1"/>
  <c r="EO120" i="1"/>
  <c r="HI120" i="1"/>
  <c r="BB120" i="1"/>
  <c r="BH120" i="1"/>
  <c r="BT120" i="1"/>
  <c r="BJ120" i="1"/>
  <c r="DA120" i="1"/>
  <c r="GY120" i="1"/>
  <c r="HH120" i="1"/>
  <c r="HB120" i="1"/>
  <c r="CN120" i="1"/>
  <c r="EW120" i="1"/>
  <c r="CW120" i="1"/>
  <c r="BE120" i="1"/>
  <c r="CA120" i="1"/>
  <c r="BM120" i="1"/>
  <c r="CY120" i="1"/>
  <c r="CM120" i="1"/>
  <c r="GH120" i="1"/>
  <c r="GO120" i="1"/>
  <c r="GV120" i="1"/>
  <c r="HE120" i="1"/>
  <c r="HG120" i="1"/>
  <c r="CB120" i="1"/>
  <c r="FU120" i="1"/>
  <c r="BQ120" i="1"/>
  <c r="CG120" i="1"/>
  <c r="BF120" i="1"/>
  <c r="BI120" i="1"/>
  <c r="CV120" i="1"/>
  <c r="CL120" i="1"/>
  <c r="GA120" i="1"/>
  <c r="GI120" i="1"/>
  <c r="GF120" i="1"/>
  <c r="GU120" i="1"/>
  <c r="GK120" i="1"/>
  <c r="CD120" i="1"/>
  <c r="CZ120" i="1"/>
  <c r="CP120" i="1"/>
  <c r="BL120" i="1"/>
  <c r="GD120" i="1"/>
  <c r="CS120" i="1"/>
  <c r="GB120" i="1"/>
  <c r="GG120" i="1"/>
  <c r="GP120" i="1"/>
  <c r="DW120" i="1"/>
  <c r="FS120" i="1"/>
  <c r="BR120" i="1"/>
  <c r="CC120" i="1"/>
  <c r="CK120" i="1"/>
  <c r="CX120" i="1"/>
  <c r="CI120" i="1"/>
  <c r="FE120" i="1"/>
  <c r="GN120" i="1"/>
  <c r="GW120" i="1"/>
  <c r="DX120" i="1"/>
  <c r="BG120" i="1"/>
  <c r="BU120" i="1"/>
  <c r="BD120" i="1"/>
  <c r="CU120" i="1"/>
  <c r="CF120" i="1"/>
  <c r="GJ120" i="1"/>
  <c r="BA120" i="1"/>
  <c r="GM120" i="1"/>
  <c r="GQ120" i="1"/>
  <c r="GS120" i="1"/>
  <c r="HD120" i="1"/>
  <c r="GT120" i="1"/>
  <c r="HA43" i="1"/>
  <c r="GI43" i="1"/>
  <c r="FD43" i="1"/>
  <c r="EQ43" i="1"/>
  <c r="ER43" i="1"/>
  <c r="EJ43" i="1"/>
  <c r="DP43" i="1"/>
  <c r="DA43" i="1"/>
  <c r="CH43" i="1"/>
  <c r="AE45" i="1"/>
  <c r="AD45" i="1"/>
  <c r="AH45" i="1" s="1"/>
  <c r="BS87" i="1"/>
  <c r="DG87" i="1"/>
  <c r="FE87" i="1"/>
  <c r="FQ87" i="1"/>
  <c r="EN87" i="1"/>
  <c r="BF87" i="1"/>
  <c r="DD87" i="1"/>
  <c r="BL87" i="1"/>
  <c r="EL87" i="1"/>
  <c r="BY87" i="1"/>
  <c r="DL87" i="1"/>
  <c r="BJ87" i="1"/>
  <c r="FA87" i="1"/>
  <c r="DA87" i="1"/>
  <c r="CW68" i="1"/>
  <c r="AF51" i="1"/>
  <c r="AM51" i="1" s="1"/>
  <c r="AC41" i="1"/>
  <c r="AJ43" i="1"/>
  <c r="FC61" i="1"/>
  <c r="HH68" i="1"/>
  <c r="DT96" i="1"/>
  <c r="GT87" i="1"/>
  <c r="EQ96" i="1"/>
  <c r="HB112" i="1"/>
  <c r="GS128" i="1"/>
  <c r="GV128" i="1"/>
  <c r="GQ112" i="1"/>
  <c r="GJ128" i="1"/>
  <c r="GC120" i="1"/>
  <c r="CR120" i="1"/>
  <c r="BJ128" i="1"/>
  <c r="BZ120" i="1"/>
  <c r="CY78" i="1"/>
  <c r="CO104" i="1"/>
  <c r="BL104" i="1"/>
  <c r="EZ104" i="1"/>
  <c r="EO104" i="1"/>
  <c r="EL104" i="1"/>
  <c r="DG104" i="1"/>
  <c r="DL104" i="1"/>
  <c r="DM104" i="1"/>
  <c r="DN104" i="1"/>
  <c r="FR104" i="1"/>
  <c r="FP104" i="1"/>
  <c r="FV104" i="1"/>
  <c r="CN104" i="1"/>
  <c r="CW104" i="1"/>
  <c r="CZ104" i="1"/>
  <c r="BB104" i="1"/>
  <c r="ER104" i="1"/>
  <c r="FC104" i="1"/>
  <c r="EI104" i="1"/>
  <c r="DC104" i="1"/>
  <c r="DH104" i="1"/>
  <c r="DI104" i="1"/>
  <c r="DJ104" i="1"/>
  <c r="FH104" i="1"/>
  <c r="EN104" i="1"/>
  <c r="EU104" i="1"/>
  <c r="EE104" i="1"/>
  <c r="EJ104" i="1"/>
  <c r="DD104" i="1"/>
  <c r="DE104" i="1"/>
  <c r="DF104" i="1"/>
  <c r="EV104" i="1"/>
  <c r="FD104" i="1"/>
  <c r="EW104" i="1"/>
  <c r="CE104" i="1"/>
  <c r="CB104" i="1"/>
  <c r="EQ104" i="1"/>
  <c r="EP104" i="1"/>
  <c r="EA104" i="1"/>
  <c r="EF104" i="1"/>
  <c r="EG104" i="1"/>
  <c r="EH104" i="1"/>
  <c r="DB104" i="1"/>
  <c r="CP104" i="1"/>
  <c r="BP104" i="1"/>
  <c r="ES104" i="1"/>
  <c r="DW104" i="1"/>
  <c r="EB104" i="1"/>
  <c r="EC104" i="1"/>
  <c r="ED104" i="1"/>
  <c r="FT104" i="1"/>
  <c r="FQ104" i="1"/>
  <c r="FS104" i="1"/>
  <c r="FJ104" i="1"/>
  <c r="FI104" i="1"/>
  <c r="BI104" i="1"/>
  <c r="BM104" i="1"/>
  <c r="BU104" i="1"/>
  <c r="CK104" i="1"/>
  <c r="BZ104" i="1"/>
  <c r="EM104" i="1"/>
  <c r="DS104" i="1"/>
  <c r="DX104" i="1"/>
  <c r="DY104" i="1"/>
  <c r="DZ104" i="1"/>
  <c r="FK104" i="1"/>
  <c r="EX104" i="1"/>
  <c r="CA104" i="1"/>
  <c r="CG104" i="1"/>
  <c r="FA104" i="1"/>
  <c r="DO104" i="1"/>
  <c r="DT104" i="1"/>
  <c r="DU104" i="1"/>
  <c r="DV104" i="1"/>
  <c r="FL104" i="1"/>
  <c r="FU104" i="1"/>
  <c r="BE104" i="1"/>
  <c r="CD104" i="1"/>
  <c r="BK104" i="1"/>
  <c r="CS104" i="1"/>
  <c r="GF104" i="1"/>
  <c r="GT104" i="1"/>
  <c r="GW104" i="1"/>
  <c r="HH104" i="1"/>
  <c r="FB104" i="1"/>
  <c r="CC104" i="1"/>
  <c r="BR104" i="1"/>
  <c r="CY104" i="1"/>
  <c r="CM104" i="1"/>
  <c r="GA104" i="1"/>
  <c r="HE104" i="1"/>
  <c r="HG104" i="1"/>
  <c r="GK104" i="1"/>
  <c r="BF104" i="1"/>
  <c r="ET104" i="1"/>
  <c r="EK104" i="1"/>
  <c r="FM104" i="1"/>
  <c r="BO104" i="1"/>
  <c r="BV104" i="1"/>
  <c r="GD104" i="1"/>
  <c r="CV104" i="1"/>
  <c r="CL104" i="1"/>
  <c r="GN104" i="1"/>
  <c r="GP104" i="1"/>
  <c r="GQ104" i="1"/>
  <c r="GV104" i="1"/>
  <c r="DK104" i="1"/>
  <c r="FW104" i="1"/>
  <c r="HI104" i="1"/>
  <c r="BX104" i="1"/>
  <c r="BW104" i="1"/>
  <c r="CX104" i="1"/>
  <c r="DA104" i="1"/>
  <c r="GZ104" i="1"/>
  <c r="HD104" i="1"/>
  <c r="HC104" i="1"/>
  <c r="DP104" i="1"/>
  <c r="FO104" i="1"/>
  <c r="FX104" i="1"/>
  <c r="FZ104" i="1"/>
  <c r="FE104" i="1"/>
  <c r="FG104" i="1"/>
  <c r="BQ104" i="1"/>
  <c r="BN104" i="1"/>
  <c r="BH104" i="1"/>
  <c r="CU104" i="1"/>
  <c r="CI104" i="1"/>
  <c r="GH104" i="1"/>
  <c r="GJ104" i="1"/>
  <c r="BA104" i="1"/>
  <c r="GM104" i="1"/>
  <c r="GU104" i="1"/>
  <c r="GS104" i="1"/>
  <c r="DQ104" i="1"/>
  <c r="BT104" i="1"/>
  <c r="BY104" i="1"/>
  <c r="CR104" i="1"/>
  <c r="CF104" i="1"/>
  <c r="GB104" i="1"/>
  <c r="GI104" i="1"/>
  <c r="GL104" i="1"/>
  <c r="GR104" i="1"/>
  <c r="HA104" i="1"/>
  <c r="DR104" i="1"/>
  <c r="FF104" i="1"/>
  <c r="BJ104" i="1"/>
  <c r="BG104" i="1"/>
  <c r="CJ104" i="1"/>
  <c r="CT104" i="1"/>
  <c r="GG104" i="1"/>
  <c r="HB104" i="1"/>
  <c r="HF61" i="1"/>
  <c r="AC44" i="1"/>
  <c r="AD44" i="1"/>
  <c r="AH44" i="1" s="1"/>
  <c r="FT61" i="1"/>
  <c r="FB96" i="1"/>
  <c r="EI96" i="1"/>
  <c r="HA120" i="1"/>
  <c r="HE128" i="1"/>
  <c r="GU112" i="1"/>
  <c r="GL120" i="1"/>
  <c r="CV112" i="1"/>
  <c r="BM128" i="1"/>
  <c r="BL112" i="1"/>
  <c r="CP87" i="1"/>
  <c r="FJ128" i="1"/>
  <c r="FN104" i="1"/>
  <c r="EE112" i="1"/>
  <c r="FU96" i="1"/>
  <c r="CD96" i="1"/>
  <c r="CF96" i="1"/>
  <c r="CM96" i="1"/>
  <c r="FG96" i="1"/>
  <c r="BO96" i="1"/>
  <c r="FQ96" i="1"/>
  <c r="FV96" i="1"/>
  <c r="BM96" i="1"/>
  <c r="BP96" i="1"/>
  <c r="CE96" i="1"/>
  <c r="CZ96" i="1"/>
  <c r="DV96" i="1"/>
  <c r="EZ96" i="1"/>
  <c r="DY96" i="1"/>
  <c r="EW96" i="1"/>
  <c r="GE96" i="1"/>
  <c r="BU96" i="1"/>
  <c r="BS96" i="1"/>
  <c r="BY96" i="1"/>
  <c r="ET96" i="1"/>
  <c r="DP96" i="1"/>
  <c r="FW96" i="1"/>
  <c r="DG96" i="1"/>
  <c r="FM96" i="1"/>
  <c r="FN96" i="1"/>
  <c r="FI96" i="1"/>
  <c r="CW96" i="1"/>
  <c r="BE96" i="1"/>
  <c r="BL96" i="1"/>
  <c r="BV96" i="1"/>
  <c r="BR96" i="1"/>
  <c r="BQ96" i="1"/>
  <c r="BG96" i="1"/>
  <c r="CS96" i="1"/>
  <c r="GA96" i="1"/>
  <c r="GI96" i="1"/>
  <c r="GN96" i="1"/>
  <c r="GV96" i="1"/>
  <c r="GK96" i="1"/>
  <c r="BN96" i="1"/>
  <c r="BT96" i="1"/>
  <c r="GD96" i="1"/>
  <c r="DA96" i="1"/>
  <c r="CK96" i="1"/>
  <c r="GG96" i="1"/>
  <c r="GQ96" i="1"/>
  <c r="HD96" i="1"/>
  <c r="HC96" i="1"/>
  <c r="BH96" i="1"/>
  <c r="BF96" i="1"/>
  <c r="CX96" i="1"/>
  <c r="CR96" i="1"/>
  <c r="GB96" i="1"/>
  <c r="BA96" i="1"/>
  <c r="GT96" i="1"/>
  <c r="GU96" i="1"/>
  <c r="DW96" i="1"/>
  <c r="DS96" i="1"/>
  <c r="DX96" i="1"/>
  <c r="EU96" i="1"/>
  <c r="DK96" i="1"/>
  <c r="FL96" i="1"/>
  <c r="CC96" i="1"/>
  <c r="EJ96" i="1"/>
  <c r="FH96" i="1"/>
  <c r="CP96" i="1"/>
  <c r="CV96" i="1"/>
  <c r="CU96" i="1"/>
  <c r="FE96" i="1"/>
  <c r="GJ96" i="1"/>
  <c r="GM96" i="1"/>
  <c r="GO96" i="1"/>
  <c r="GS96" i="1"/>
  <c r="EX96" i="1"/>
  <c r="CB96" i="1"/>
  <c r="CY96" i="1"/>
  <c r="CJ96" i="1"/>
  <c r="GL96" i="1"/>
  <c r="GR96" i="1"/>
  <c r="HA96" i="1"/>
  <c r="HB96" i="1"/>
  <c r="DB96" i="1"/>
  <c r="DD96" i="1"/>
  <c r="DI96" i="1"/>
  <c r="FS96" i="1"/>
  <c r="BI96" i="1"/>
  <c r="DR96" i="1"/>
  <c r="DL96" i="1"/>
  <c r="ES96" i="1"/>
  <c r="BW96" i="1"/>
  <c r="CL96" i="1"/>
  <c r="CG96" i="1"/>
  <c r="HF96" i="1"/>
  <c r="GP96" i="1"/>
  <c r="EH96" i="1"/>
  <c r="DF96" i="1"/>
  <c r="DJ96" i="1"/>
  <c r="FK96" i="1"/>
  <c r="EO96" i="1"/>
  <c r="DU96" i="1"/>
  <c r="FP96" i="1"/>
  <c r="CH96" i="1"/>
  <c r="FJ96" i="1"/>
  <c r="CI96" i="1"/>
  <c r="BZ96" i="1"/>
  <c r="CN96" i="1"/>
  <c r="CT96" i="1"/>
  <c r="HI96" i="1"/>
  <c r="GC96" i="1"/>
  <c r="GF96" i="1"/>
  <c r="GY96" i="1"/>
  <c r="GW96" i="1"/>
  <c r="HE96" i="1"/>
  <c r="HH96" i="1"/>
  <c r="FC96" i="1"/>
  <c r="EL96" i="1"/>
  <c r="EK96" i="1"/>
  <c r="EC96" i="1"/>
  <c r="FF96" i="1"/>
  <c r="ER96" i="1"/>
  <c r="EE96" i="1"/>
  <c r="FO96" i="1"/>
  <c r="FL87" i="1"/>
  <c r="CR87" i="1"/>
  <c r="CD87" i="1"/>
  <c r="GR52" i="1"/>
  <c r="CT52" i="1"/>
  <c r="DE21" i="1"/>
  <c r="FQ43" i="1"/>
  <c r="FX43" i="1"/>
  <c r="FG43" i="1"/>
  <c r="HF43" i="1"/>
  <c r="EV43" i="1"/>
  <c r="DZ43" i="1"/>
  <c r="DO43" i="1"/>
  <c r="CM43" i="1"/>
  <c r="CA43" i="1"/>
  <c r="BN61" i="1"/>
  <c r="Q53" i="1"/>
  <c r="CJ87" i="1"/>
  <c r="DZ87" i="1"/>
  <c r="BR87" i="1"/>
  <c r="FP87" i="1"/>
  <c r="FW87" i="1"/>
  <c r="FZ87" i="1"/>
  <c r="EZ87" i="1"/>
  <c r="CX87" i="1"/>
  <c r="BQ87" i="1"/>
  <c r="CW87" i="1"/>
  <c r="EU87" i="1"/>
  <c r="CL87" i="1"/>
  <c r="EW87" i="1"/>
  <c r="AE44" i="1"/>
  <c r="AJ44" i="1" s="1"/>
  <c r="AG60" i="1"/>
  <c r="BW61" i="1"/>
  <c r="FB68" i="1"/>
  <c r="FS68" i="1"/>
  <c r="GB78" i="1"/>
  <c r="EM96" i="1"/>
  <c r="FY96" i="1"/>
  <c r="BJ96" i="1"/>
  <c r="FT96" i="1"/>
  <c r="GU128" i="1"/>
  <c r="HI112" i="1"/>
  <c r="CK112" i="1"/>
  <c r="BH128" i="1"/>
  <c r="CB112" i="1"/>
  <c r="FS78" i="1"/>
  <c r="FT120" i="1"/>
  <c r="DB87" i="1"/>
  <c r="CH87" i="1"/>
  <c r="CK87" i="1"/>
  <c r="ER87" i="1"/>
  <c r="BV87" i="1"/>
  <c r="FH87" i="1"/>
  <c r="BN87" i="1"/>
  <c r="DX87" i="1"/>
  <c r="DU87" i="1"/>
  <c r="BB87" i="1"/>
  <c r="GJ87" i="1"/>
  <c r="GQ87" i="1"/>
  <c r="GO87" i="1"/>
  <c r="HE87" i="1"/>
  <c r="HH87" i="1"/>
  <c r="GD87" i="1"/>
  <c r="GG87" i="1"/>
  <c r="GZ87" i="1"/>
  <c r="GV87" i="1"/>
  <c r="GY87" i="1"/>
  <c r="HG87" i="1"/>
  <c r="HD87" i="1"/>
  <c r="GK87" i="1"/>
  <c r="DK87" i="1"/>
  <c r="EV87" i="1"/>
  <c r="GE87" i="1"/>
  <c r="GH87" i="1"/>
  <c r="GS87" i="1"/>
  <c r="GR87" i="1"/>
  <c r="HB87" i="1"/>
  <c r="EP87" i="1"/>
  <c r="GB87" i="1"/>
  <c r="GA87" i="1"/>
  <c r="GI87" i="1"/>
  <c r="BA87" i="1"/>
  <c r="GF87" i="1"/>
  <c r="FJ87" i="1"/>
  <c r="GU87" i="1"/>
  <c r="GW87" i="1"/>
  <c r="HI87" i="1"/>
  <c r="GL87" i="1"/>
  <c r="HC87" i="1"/>
  <c r="GC87" i="1"/>
  <c r="GN87" i="1"/>
  <c r="HA87" i="1"/>
  <c r="CQ52" i="1"/>
  <c r="CG87" i="1"/>
  <c r="EB87" i="1"/>
  <c r="BH87" i="1"/>
  <c r="DI87" i="1"/>
  <c r="FU87" i="1"/>
  <c r="FO87" i="1"/>
  <c r="BU87" i="1"/>
  <c r="FT87" i="1"/>
  <c r="FN87" i="1"/>
  <c r="FI87" i="1"/>
  <c r="BO87" i="1"/>
  <c r="CZ87" i="1"/>
  <c r="FB87" i="1"/>
  <c r="DF87" i="1"/>
  <c r="BF57" i="1"/>
  <c r="AH57" i="1"/>
  <c r="ES57" i="1"/>
  <c r="FK57" i="1" s="1"/>
  <c r="DW61" i="1"/>
  <c r="DR61" i="1"/>
  <c r="DX68" i="1"/>
  <c r="ED96" i="1"/>
  <c r="DZ96" i="1"/>
  <c r="FZ96" i="1"/>
  <c r="FA96" i="1"/>
  <c r="EV96" i="1"/>
  <c r="AC58" i="1"/>
  <c r="HF87" i="1"/>
  <c r="HG96" i="1"/>
  <c r="GN128" i="1"/>
  <c r="EY104" i="1"/>
  <c r="CQ104" i="1"/>
  <c r="GE104" i="1"/>
  <c r="GE128" i="1"/>
  <c r="BD112" i="1"/>
  <c r="FI112" i="1"/>
  <c r="EM112" i="1"/>
  <c r="EQ87" i="1"/>
  <c r="DQ87" i="1"/>
  <c r="BI87" i="1"/>
  <c r="BT87" i="1"/>
  <c r="CV87" i="1"/>
  <c r="EJ87" i="1"/>
  <c r="EM87" i="1"/>
  <c r="CY87" i="1"/>
  <c r="EK87" i="1"/>
  <c r="BK87" i="1"/>
  <c r="FK87" i="1"/>
  <c r="DB27" i="1"/>
  <c r="FE52" i="1"/>
  <c r="AZ27" i="1"/>
  <c r="GM27" i="1" s="1"/>
  <c r="GY43" i="1"/>
  <c r="GB43" i="1"/>
  <c r="GP43" i="1"/>
  <c r="GQ43" i="1"/>
  <c r="FH43" i="1"/>
  <c r="EH43" i="1"/>
  <c r="DV43" i="1"/>
  <c r="CY43" i="1"/>
  <c r="CL43" i="1"/>
  <c r="CM87" i="1"/>
  <c r="EO87" i="1"/>
  <c r="CT87" i="1"/>
  <c r="DM87" i="1"/>
  <c r="CA87" i="1"/>
  <c r="FR87" i="1"/>
  <c r="EX87" i="1"/>
  <c r="DS87" i="1"/>
  <c r="FF87" i="1"/>
  <c r="FM87" i="1"/>
  <c r="CQ87" i="1"/>
  <c r="ED87" i="1"/>
  <c r="CU87" i="1"/>
  <c r="DO87" i="1"/>
  <c r="R51" i="1"/>
  <c r="X51" i="1" s="1"/>
  <c r="AJ42" i="1"/>
  <c r="CB61" i="1"/>
  <c r="GT61" i="1"/>
  <c r="CN68" i="1"/>
  <c r="EA96" i="1"/>
  <c r="DC96" i="1"/>
  <c r="EN96" i="1"/>
  <c r="EP96" i="1"/>
  <c r="GX87" i="1"/>
  <c r="HC120" i="1"/>
  <c r="HF104" i="1"/>
  <c r="BA128" i="1"/>
  <c r="GH96" i="1"/>
  <c r="FG78" i="1"/>
  <c r="CX128" i="1"/>
  <c r="CH104" i="1"/>
  <c r="BD104" i="1"/>
  <c r="FP128" i="1"/>
  <c r="FY104" i="1"/>
  <c r="DC128" i="1"/>
  <c r="AO122" i="1"/>
  <c r="AF122" i="1"/>
  <c r="AG122" i="1"/>
  <c r="X122" i="1"/>
  <c r="P122" i="1"/>
  <c r="AN122" i="1"/>
  <c r="R122" i="1"/>
  <c r="AD122" i="1"/>
  <c r="AJ122" i="1"/>
  <c r="U122" i="1"/>
  <c r="AP122" i="1"/>
  <c r="O122" i="1"/>
  <c r="AE122" i="1"/>
  <c r="T122" i="1"/>
  <c r="Y122" i="1"/>
  <c r="V122" i="1"/>
  <c r="N122" i="1"/>
  <c r="AK122" i="1"/>
  <c r="AT122" i="1"/>
  <c r="AL122" i="1"/>
  <c r="AO114" i="1"/>
  <c r="P114" i="1"/>
  <c r="S114" i="1"/>
  <c r="AB114" i="1"/>
  <c r="Y114" i="1"/>
  <c r="AA114" i="1"/>
  <c r="N114" i="1"/>
  <c r="Q114" i="1"/>
  <c r="AO71" i="1"/>
  <c r="Z71" i="1"/>
  <c r="AB71" i="1"/>
  <c r="N71" i="1"/>
  <c r="P71" i="1"/>
  <c r="S71" i="1"/>
  <c r="P64" i="1"/>
  <c r="S64" i="1"/>
  <c r="Y64" i="1"/>
  <c r="O56" i="1"/>
  <c r="N56" i="1"/>
  <c r="AV56" i="1"/>
  <c r="AO129" i="1"/>
  <c r="R129" i="1"/>
  <c r="AT129" i="1"/>
  <c r="O129" i="1"/>
  <c r="AQ129" i="1"/>
  <c r="AC129" i="1"/>
  <c r="Q129" i="1"/>
  <c r="T129" i="1"/>
  <c r="AM129" i="1"/>
  <c r="AD129" i="1"/>
  <c r="AA129" i="1"/>
  <c r="AJ129" i="1"/>
  <c r="AG129" i="1"/>
  <c r="AL129" i="1"/>
  <c r="U129" i="1"/>
  <c r="Z129" i="1"/>
  <c r="V129" i="1"/>
  <c r="AP129" i="1"/>
  <c r="W129" i="1"/>
  <c r="S129" i="1"/>
  <c r="AF129" i="1"/>
  <c r="N129" i="1"/>
  <c r="AN129" i="1"/>
  <c r="AK129" i="1"/>
  <c r="P129" i="1"/>
  <c r="Y129" i="1"/>
  <c r="AH129" i="1"/>
  <c r="GL48" i="1"/>
  <c r="EA61" i="1"/>
  <c r="FP61" i="1"/>
  <c r="EY68" i="1"/>
  <c r="DU61" i="1"/>
  <c r="DC48" i="1"/>
  <c r="CX61" i="1"/>
  <c r="DY61" i="1"/>
  <c r="FI61" i="1"/>
  <c r="BZ61" i="1"/>
  <c r="EV61" i="1"/>
  <c r="BR61" i="1"/>
  <c r="FN61" i="1"/>
  <c r="GK61" i="1"/>
  <c r="FB61" i="1"/>
  <c r="FQ61" i="1"/>
  <c r="HD61" i="1"/>
  <c r="BK61" i="1"/>
  <c r="FY61" i="1"/>
  <c r="GM61" i="1"/>
  <c r="BG61" i="1"/>
  <c r="DV61" i="1"/>
  <c r="CK61" i="1"/>
  <c r="DQ61" i="1"/>
  <c r="GW61" i="1"/>
  <c r="ER68" i="1"/>
  <c r="BQ68" i="1"/>
  <c r="BU68" i="1"/>
  <c r="FQ68" i="1"/>
  <c r="BF68" i="1"/>
  <c r="HA68" i="1"/>
  <c r="EJ68" i="1"/>
  <c r="CA68" i="1"/>
  <c r="FA68" i="1"/>
  <c r="EW68" i="1"/>
  <c r="GX68" i="1"/>
  <c r="FF68" i="1"/>
  <c r="CJ68" i="1"/>
  <c r="DL68" i="1"/>
  <c r="CK68" i="1"/>
  <c r="EC68" i="1"/>
  <c r="BN68" i="1"/>
  <c r="BG68" i="1"/>
  <c r="FP68" i="1"/>
  <c r="DE48" i="1"/>
  <c r="DB48" i="1"/>
  <c r="BY61" i="1"/>
  <c r="DL61" i="1"/>
  <c r="AZ68" i="1"/>
  <c r="CL61" i="1"/>
  <c r="DP61" i="1"/>
  <c r="GQ61" i="1"/>
  <c r="BD61" i="1"/>
  <c r="FD61" i="1"/>
  <c r="BU61" i="1"/>
  <c r="FW61" i="1"/>
  <c r="CY61" i="1"/>
  <c r="EO61" i="1"/>
  <c r="FS61" i="1"/>
  <c r="CS61" i="1"/>
  <c r="EU61" i="1"/>
  <c r="FZ61" i="1"/>
  <c r="GU61" i="1"/>
  <c r="BJ61" i="1"/>
  <c r="DM61" i="1"/>
  <c r="CE61" i="1"/>
  <c r="DH61" i="1"/>
  <c r="GR61" i="1"/>
  <c r="DR68" i="1"/>
  <c r="BM68" i="1"/>
  <c r="ES68" i="1"/>
  <c r="FX68" i="1"/>
  <c r="CT68" i="1"/>
  <c r="GT68" i="1"/>
  <c r="DG68" i="1"/>
  <c r="CH68" i="1"/>
  <c r="EL68" i="1"/>
  <c r="BW68" i="1"/>
  <c r="CS68" i="1"/>
  <c r="FN68" i="1"/>
  <c r="GJ68" i="1"/>
  <c r="DP68" i="1"/>
  <c r="GZ68" i="1"/>
  <c r="EA68" i="1"/>
  <c r="CL68" i="1"/>
  <c r="CG68" i="1"/>
  <c r="DV68" i="1"/>
  <c r="GV57" i="1"/>
  <c r="GU57" i="1" s="1"/>
  <c r="CI48" i="1"/>
  <c r="BV48" i="1"/>
  <c r="FK61" i="1"/>
  <c r="CW61" i="1"/>
  <c r="BJ68" i="1"/>
  <c r="FM68" i="1"/>
  <c r="CQ61" i="1"/>
  <c r="DF61" i="1"/>
  <c r="GS61" i="1"/>
  <c r="ER61" i="1"/>
  <c r="EX61" i="1"/>
  <c r="EN61" i="1"/>
  <c r="FU61" i="1"/>
  <c r="CM61" i="1"/>
  <c r="EK61" i="1"/>
  <c r="EW61" i="1"/>
  <c r="CV61" i="1"/>
  <c r="ET61" i="1"/>
  <c r="EY61" i="1"/>
  <c r="HH61" i="1"/>
  <c r="BE61" i="1"/>
  <c r="FX61" i="1"/>
  <c r="BX61" i="1"/>
  <c r="FO61" i="1"/>
  <c r="HC61" i="1"/>
  <c r="DU68" i="1"/>
  <c r="CI68" i="1"/>
  <c r="EN68" i="1"/>
  <c r="FJ68" i="1"/>
  <c r="GC68" i="1"/>
  <c r="GP68" i="1"/>
  <c r="EM68" i="1"/>
  <c r="BK68" i="1"/>
  <c r="DF68" i="1"/>
  <c r="BV68" i="1"/>
  <c r="ET68" i="1"/>
  <c r="FW68" i="1"/>
  <c r="GG68" i="1"/>
  <c r="EV68" i="1"/>
  <c r="GL68" i="1"/>
  <c r="DH68" i="1"/>
  <c r="CR68" i="1"/>
  <c r="BD68" i="1"/>
  <c r="EE68" i="1"/>
  <c r="CM68" i="1"/>
  <c r="BZ48" i="1"/>
  <c r="BY48" i="1"/>
  <c r="BP61" i="1"/>
  <c r="ED61" i="1"/>
  <c r="EP68" i="1"/>
  <c r="BA68" i="1"/>
  <c r="CF61" i="1"/>
  <c r="CH61" i="1"/>
  <c r="HA61" i="1"/>
  <c r="DS61" i="1"/>
  <c r="HE61" i="1"/>
  <c r="DO61" i="1"/>
  <c r="GI61" i="1"/>
  <c r="BH61" i="1"/>
  <c r="DK61" i="1"/>
  <c r="GA61" i="1"/>
  <c r="CJ61" i="1"/>
  <c r="EL61" i="1"/>
  <c r="FV61" i="1"/>
  <c r="CI61" i="1"/>
  <c r="EQ61" i="1"/>
  <c r="FH61" i="1"/>
  <c r="BI61" i="1"/>
  <c r="FJ61" i="1"/>
  <c r="DK68" i="1"/>
  <c r="DN68" i="1"/>
  <c r="BX68" i="1"/>
  <c r="GB68" i="1"/>
  <c r="BL68" i="1"/>
  <c r="FY68" i="1"/>
  <c r="DA68" i="1"/>
  <c r="DI68" i="1"/>
  <c r="BH68" i="1"/>
  <c r="EH68" i="1"/>
  <c r="FH68" i="1"/>
  <c r="GM68" i="1"/>
  <c r="EX68" i="1"/>
  <c r="GK68" i="1"/>
  <c r="FL68" i="1"/>
  <c r="BI68" i="1"/>
  <c r="CC68" i="1"/>
  <c r="EZ68" i="1"/>
  <c r="BO68" i="1"/>
  <c r="BT48" i="1"/>
  <c r="BG48" i="1"/>
  <c r="GW48" i="1"/>
  <c r="GV48" i="1" s="1"/>
  <c r="GX48" i="1" s="1"/>
  <c r="FA61" i="1"/>
  <c r="BL61" i="1"/>
  <c r="CP68" i="1"/>
  <c r="HE68" i="1"/>
  <c r="BQ61" i="1"/>
  <c r="FE61" i="1"/>
  <c r="CT61" i="1"/>
  <c r="DT61" i="1"/>
  <c r="HB61" i="1"/>
  <c r="DN61" i="1"/>
  <c r="GN61" i="1"/>
  <c r="CC61" i="1"/>
  <c r="DI61" i="1"/>
  <c r="GD61" i="1"/>
  <c r="BM61" i="1"/>
  <c r="DG61" i="1"/>
  <c r="GC61" i="1"/>
  <c r="CZ61" i="1"/>
  <c r="EP61" i="1"/>
  <c r="BA61" i="1"/>
  <c r="EM61" i="1"/>
  <c r="FM61" i="1"/>
  <c r="DW68" i="1"/>
  <c r="DQ68" i="1"/>
  <c r="BR68" i="1"/>
  <c r="GN68" i="1"/>
  <c r="EO68" i="1"/>
  <c r="FZ68" i="1"/>
  <c r="GA68" i="1"/>
  <c r="EB68" i="1"/>
  <c r="CX68" i="1"/>
  <c r="DB68" i="1"/>
  <c r="HI68" i="1"/>
  <c r="GW68" i="1"/>
  <c r="CY68" i="1"/>
  <c r="CB68" i="1"/>
  <c r="FK68" i="1"/>
  <c r="FE68" i="1"/>
  <c r="HD68" i="1"/>
  <c r="FI68" i="1"/>
  <c r="GO68" i="1"/>
  <c r="BI48" i="1"/>
  <c r="GJ48" i="1"/>
  <c r="GK48" i="1" s="1"/>
  <c r="BS48" i="1"/>
  <c r="AZ61" i="1"/>
  <c r="HB68" i="1"/>
  <c r="GP61" i="1"/>
  <c r="BT61" i="1"/>
  <c r="FF61" i="1"/>
  <c r="DA61" i="1"/>
  <c r="DJ61" i="1"/>
  <c r="CP61" i="1"/>
  <c r="DE61" i="1"/>
  <c r="GL61" i="1"/>
  <c r="CA61" i="1"/>
  <c r="EG61" i="1"/>
  <c r="GG61" i="1"/>
  <c r="BF61" i="1"/>
  <c r="DD61" i="1"/>
  <c r="GB61" i="1"/>
  <c r="CN61" i="1"/>
  <c r="EI61" i="1"/>
  <c r="GV61" i="1"/>
  <c r="EE61" i="1"/>
  <c r="GE61" i="1"/>
  <c r="BT68" i="1"/>
  <c r="FD68" i="1"/>
  <c r="DC68" i="1"/>
  <c r="BY68" i="1"/>
  <c r="GR68" i="1"/>
  <c r="EK68" i="1"/>
  <c r="FV68" i="1"/>
  <c r="GH68" i="1"/>
  <c r="EF68" i="1"/>
  <c r="CZ68" i="1"/>
  <c r="DE68" i="1"/>
  <c r="BE68" i="1"/>
  <c r="ED68" i="1"/>
  <c r="BB68" i="1"/>
  <c r="EQ68" i="1"/>
  <c r="FO68" i="1"/>
  <c r="GF68" i="1"/>
  <c r="DS68" i="1"/>
  <c r="BD48" i="1"/>
  <c r="DH48" i="1" s="1"/>
  <c r="DG48" i="1"/>
  <c r="DD48" i="1"/>
  <c r="DF48" i="1"/>
  <c r="DJ48" i="1" s="1"/>
  <c r="DK57" i="1"/>
  <c r="DT57" i="1" s="1"/>
  <c r="DB61" i="1"/>
  <c r="DD68" i="1"/>
  <c r="HI61" i="1"/>
  <c r="EZ61" i="1"/>
  <c r="FL61" i="1"/>
  <c r="CG61" i="1"/>
  <c r="EH61" i="1"/>
  <c r="CU61" i="1"/>
  <c r="EC61" i="1"/>
  <c r="GX61" i="1"/>
  <c r="BV61" i="1"/>
  <c r="DX61" i="1"/>
  <c r="GF61" i="1"/>
  <c r="CD61" i="1"/>
  <c r="EB61" i="1"/>
  <c r="GH61" i="1"/>
  <c r="BO61" i="1"/>
  <c r="DC61" i="1"/>
  <c r="HG61" i="1"/>
  <c r="EJ61" i="1"/>
  <c r="GJ61" i="1"/>
  <c r="EU68" i="1"/>
  <c r="BP68" i="1"/>
  <c r="GV68" i="1"/>
  <c r="DO68" i="1"/>
  <c r="GE68" i="1"/>
  <c r="GY68" i="1"/>
  <c r="DJ68" i="1"/>
  <c r="BZ68" i="1"/>
  <c r="HF68" i="1"/>
  <c r="FT68" i="1"/>
  <c r="GI68" i="1"/>
  <c r="DT68" i="1"/>
  <c r="CU68" i="1"/>
  <c r="EG68" i="1"/>
  <c r="CV68" i="1"/>
  <c r="FC68" i="1"/>
  <c r="FU68" i="1"/>
  <c r="GQ68" i="1"/>
  <c r="HC68" i="1"/>
  <c r="DY68" i="1"/>
  <c r="FG68" i="1"/>
  <c r="EH54" i="1"/>
  <c r="BQ54" i="1"/>
  <c r="EA54" i="1"/>
  <c r="GO54" i="1"/>
  <c r="CQ54" i="1"/>
  <c r="EE54" i="1"/>
  <c r="GG54" i="1"/>
  <c r="CA54" i="1"/>
  <c r="DP54" i="1"/>
  <c r="FD54" i="1"/>
  <c r="EU54" i="1"/>
  <c r="FS54" i="1"/>
  <c r="HD54" i="1"/>
  <c r="BN54" i="1"/>
  <c r="FJ54" i="1"/>
  <c r="GK54" i="1"/>
  <c r="ER54" i="1"/>
  <c r="CN54" i="1"/>
  <c r="EL54" i="1"/>
  <c r="GD54" i="1"/>
  <c r="FV54" i="1"/>
  <c r="DN54" i="1"/>
  <c r="CJ54" i="1"/>
  <c r="BY54" i="1"/>
  <c r="DR54" i="1"/>
  <c r="GR54" i="1"/>
  <c r="BG54" i="1"/>
  <c r="DV54" i="1"/>
  <c r="GW54" i="1"/>
  <c r="BM54" i="1"/>
  <c r="DG54" i="1"/>
  <c r="GN54" i="1"/>
  <c r="CM54" i="1"/>
  <c r="DY54" i="1"/>
  <c r="FI54" i="1"/>
  <c r="GX54" i="1"/>
  <c r="BB54" i="1"/>
  <c r="FP54" i="1"/>
  <c r="DM54" i="1"/>
  <c r="BL54" i="1"/>
  <c r="DI54" i="1"/>
  <c r="FE54" i="1"/>
  <c r="FX54" i="1"/>
  <c r="BI54" i="1"/>
  <c r="DJ54" i="1"/>
  <c r="BK54" i="1"/>
  <c r="CK54" i="1"/>
  <c r="GU54" i="1"/>
  <c r="CD54" i="1"/>
  <c r="DL54" i="1"/>
  <c r="BE54" i="1"/>
  <c r="FN54" i="1"/>
  <c r="GH54" i="1"/>
  <c r="CW54" i="1"/>
  <c r="DX54" i="1"/>
  <c r="FG54" i="1"/>
  <c r="FC54" i="1"/>
  <c r="GC54" i="1"/>
  <c r="DH54" i="1"/>
  <c r="CL54" i="1"/>
  <c r="DC54" i="1"/>
  <c r="GV54" i="1"/>
  <c r="BJ54" i="1"/>
  <c r="CI54" i="1"/>
  <c r="BD54" i="1"/>
  <c r="EM54" i="1"/>
  <c r="HA54" i="1"/>
  <c r="BT54" i="1"/>
  <c r="FO54" i="1"/>
  <c r="EQ54" i="1"/>
  <c r="FM54" i="1"/>
  <c r="GJ54" i="1"/>
  <c r="CH54" i="1"/>
  <c r="DT54" i="1"/>
  <c r="GI54" i="1"/>
  <c r="DU54" i="1"/>
  <c r="BA54" i="1"/>
  <c r="CG54" i="1"/>
  <c r="DD54" i="1"/>
  <c r="CU54" i="1"/>
  <c r="EF54" i="1"/>
  <c r="HC54" i="1"/>
  <c r="EZ54" i="1"/>
  <c r="DQ54" i="1"/>
  <c r="CF54" i="1"/>
  <c r="FA54" i="1"/>
  <c r="FR54" i="1"/>
  <c r="HG54" i="1"/>
  <c r="BH54" i="1"/>
  <c r="EX54" i="1"/>
  <c r="EP54" i="1"/>
  <c r="FY54" i="1"/>
  <c r="GL54" i="1"/>
  <c r="CC54" i="1"/>
  <c r="DK54" i="1"/>
  <c r="GZ54" i="1"/>
  <c r="DS54" i="1"/>
  <c r="GT54" i="1"/>
  <c r="BP54" i="1"/>
  <c r="EB54" i="1"/>
  <c r="CB54" i="1"/>
  <c r="DW54" i="1"/>
  <c r="BW54" i="1"/>
  <c r="GB54" i="1"/>
  <c r="CX54" i="1"/>
  <c r="EK54" i="1"/>
  <c r="FQ54" i="1"/>
  <c r="ET54" i="1"/>
  <c r="FH54" i="1"/>
  <c r="CP54" i="1"/>
  <c r="EC54" i="1"/>
  <c r="FF54" i="1"/>
  <c r="GF54" i="1"/>
  <c r="BZ54" i="1"/>
  <c r="DB54" i="1"/>
  <c r="GY54" i="1"/>
  <c r="CR54" i="1"/>
  <c r="DO54" i="1"/>
  <c r="GM54" i="1"/>
  <c r="BX54" i="1"/>
  <c r="GQ54" i="1"/>
  <c r="BS54" i="1"/>
  <c r="FK54" i="1"/>
  <c r="GX57" i="1"/>
  <c r="BI57" i="1"/>
  <c r="GM57" i="1"/>
  <c r="V60" i="1"/>
  <c r="V59" i="1"/>
  <c r="AQ58" i="1"/>
  <c r="AJ58" i="1"/>
  <c r="V57" i="1"/>
  <c r="V55" i="1"/>
  <c r="AQ55" i="1"/>
  <c r="AJ54" i="1"/>
  <c r="AG54" i="1"/>
  <c r="V54" i="1"/>
  <c r="AC53" i="1"/>
  <c r="AF53" i="1"/>
  <c r="GO53" i="1"/>
  <c r="CT53" i="1"/>
  <c r="CN53" i="1"/>
  <c r="BZ53" i="1"/>
  <c r="FV53" i="1"/>
  <c r="CH53" i="1"/>
  <c r="GJ53" i="1"/>
  <c r="FO53" i="1"/>
  <c r="EY53" i="1"/>
  <c r="EV53" i="1"/>
  <c r="BD53" i="1"/>
  <c r="EE53" i="1"/>
  <c r="CX53" i="1"/>
  <c r="HA53" i="1"/>
  <c r="GX53" i="1"/>
  <c r="GY53" i="1"/>
  <c r="EW53" i="1"/>
  <c r="CR53" i="1"/>
  <c r="CF53" i="1"/>
  <c r="BE53" i="1"/>
  <c r="BR53" i="1"/>
  <c r="BF53" i="1"/>
  <c r="HI53" i="1"/>
  <c r="FR53" i="1"/>
  <c r="FF53" i="1"/>
  <c r="EA53" i="1"/>
  <c r="DO53" i="1"/>
  <c r="CZ53" i="1"/>
  <c r="DJ53" i="1"/>
  <c r="GA53" i="1"/>
  <c r="EC53" i="1"/>
  <c r="DM53" i="1"/>
  <c r="BJ53" i="1"/>
  <c r="FX53" i="1"/>
  <c r="EQ53" i="1"/>
  <c r="EJ53" i="1"/>
  <c r="BA53" i="1"/>
  <c r="V52" i="1"/>
  <c r="R52" i="1"/>
  <c r="X52" i="1" s="1"/>
  <c r="ET52" i="1"/>
  <c r="AI51" i="1"/>
  <c r="V51" i="1"/>
  <c r="AQ51" i="1"/>
  <c r="GZ51" i="1"/>
  <c r="FX51" i="1"/>
  <c r="FO51" i="1"/>
  <c r="HF51" i="1"/>
  <c r="FI51" i="1"/>
  <c r="EQ51" i="1"/>
  <c r="EH51" i="1"/>
  <c r="ER51" i="1"/>
  <c r="ED51" i="1"/>
  <c r="V50" i="1"/>
  <c r="AQ50" i="1"/>
  <c r="V49" i="1"/>
  <c r="AQ49" i="1"/>
  <c r="AQ48" i="1"/>
  <c r="V47" i="1"/>
  <c r="AF47" i="1"/>
  <c r="AC47" i="1"/>
  <c r="ET47" i="1"/>
  <c r="DF47" i="1"/>
  <c r="V46" i="1"/>
  <c r="V45" i="1"/>
  <c r="BF45" i="1"/>
  <c r="BL45" i="1" s="1"/>
  <c r="ET45" i="1"/>
  <c r="BS45" i="1"/>
  <c r="GW45" i="1"/>
  <c r="DD45" i="1"/>
  <c r="AQ44" i="1"/>
  <c r="HI44" i="1"/>
  <c r="BF44" i="1"/>
  <c r="V43" i="1"/>
  <c r="BO43" i="1"/>
  <c r="HI43" i="1"/>
  <c r="BA43" i="1"/>
  <c r="BQ43" i="1"/>
  <c r="BH43" i="1"/>
  <c r="ES43" i="1"/>
  <c r="BP43" i="1"/>
  <c r="GJ43" i="1"/>
  <c r="GV43" i="1"/>
  <c r="DE43" i="1"/>
  <c r="DK43" i="1"/>
  <c r="GW43" i="1"/>
  <c r="DI43" i="1"/>
  <c r="BI43" i="1"/>
  <c r="AQ42" i="1"/>
  <c r="FX42" i="1"/>
  <c r="FD42" i="1"/>
  <c r="HG42" i="1"/>
  <c r="EA42" i="1"/>
  <c r="CS42" i="1"/>
  <c r="AM42" i="1"/>
  <c r="HC42" i="1"/>
  <c r="GH42" i="1"/>
  <c r="FT42" i="1"/>
  <c r="GQ42" i="1"/>
  <c r="EP42" i="1"/>
  <c r="EM42" i="1"/>
  <c r="EC42" i="1"/>
  <c r="DX42" i="1"/>
  <c r="CW42" i="1"/>
  <c r="CG42" i="1"/>
  <c r="CD42" i="1"/>
  <c r="BF42" i="1"/>
  <c r="BW42" i="1"/>
  <c r="DH42" i="1"/>
  <c r="GJ42" i="1"/>
  <c r="DF42" i="1"/>
  <c r="BV42" i="1"/>
  <c r="BO42" i="1"/>
  <c r="BK42" i="1"/>
  <c r="BP42" i="1"/>
  <c r="AF41" i="1"/>
  <c r="R41" i="1"/>
  <c r="X41" i="1" s="1"/>
  <c r="EX41" i="1"/>
  <c r="GM41" i="1"/>
  <c r="DD35" i="1"/>
  <c r="BD34" i="1"/>
  <c r="DH34" i="1" s="1"/>
  <c r="DC34" i="1"/>
  <c r="DE34" i="1"/>
  <c r="HI34" i="1"/>
  <c r="BT34" i="1"/>
  <c r="BV34" i="1"/>
  <c r="DF34" i="1"/>
  <c r="BZ34" i="1"/>
  <c r="GL34" i="1"/>
  <c r="DG34" i="1"/>
  <c r="CI34" i="1"/>
  <c r="AD29" i="1"/>
  <c r="AH29" i="1" s="1"/>
  <c r="HI21" i="1"/>
  <c r="EU19" i="1"/>
  <c r="BJ19" i="1"/>
  <c r="BK19" i="1"/>
  <c r="DI19" i="1"/>
  <c r="DB19" i="1"/>
  <c r="GJ19" i="1"/>
  <c r="DD19" i="1"/>
  <c r="GW19" i="1"/>
  <c r="BN19" i="1"/>
  <c r="DG19" i="1"/>
  <c r="GL19" i="1"/>
  <c r="DF19" i="1"/>
  <c r="BG19" i="1"/>
  <c r="BS19" i="1"/>
  <c r="ET19" i="1"/>
  <c r="AZ19" i="1"/>
  <c r="BD19" i="1"/>
  <c r="GJ27" i="1"/>
  <c r="GK27" i="1" s="1"/>
  <c r="GX25" i="1"/>
  <c r="BG35" i="1"/>
  <c r="BV27" i="1"/>
  <c r="CN25" i="1"/>
  <c r="EF25" i="1"/>
  <c r="GZ43" i="1"/>
  <c r="GE43" i="1"/>
  <c r="GO43" i="1"/>
  <c r="GF42" i="1"/>
  <c r="GA43" i="1"/>
  <c r="FZ43" i="1"/>
  <c r="HH43" i="1"/>
  <c r="FZ42" i="1"/>
  <c r="HB43" i="1"/>
  <c r="FB43" i="1"/>
  <c r="FE42" i="1"/>
  <c r="EZ43" i="1"/>
  <c r="HF42" i="1"/>
  <c r="EM43" i="1"/>
  <c r="EZ42" i="1"/>
  <c r="EG43" i="1"/>
  <c r="EJ42" i="1"/>
  <c r="EC43" i="1"/>
  <c r="EB42" i="1"/>
  <c r="DU43" i="1"/>
  <c r="DX43" i="1"/>
  <c r="DS42" i="1"/>
  <c r="DM42" i="1"/>
  <c r="CT43" i="1"/>
  <c r="CP43" i="1"/>
  <c r="CN43" i="1"/>
  <c r="CJ43" i="1"/>
  <c r="CE43" i="1"/>
  <c r="CB42" i="1"/>
  <c r="BX42" i="1"/>
  <c r="CA42" i="1"/>
  <c r="GN43" i="1"/>
  <c r="BN42" i="1"/>
  <c r="DT43" i="1"/>
  <c r="GX43" i="1"/>
  <c r="BD42" i="1"/>
  <c r="DH43" i="1"/>
  <c r="BZ43" i="1"/>
  <c r="GK43" i="1"/>
  <c r="DG47" i="1"/>
  <c r="DC42" i="1"/>
  <c r="GG42" i="1"/>
  <c r="FR42" i="1"/>
  <c r="FW42" i="1"/>
  <c r="EW43" i="1"/>
  <c r="FU42" i="1"/>
  <c r="FV42" i="1"/>
  <c r="EP43" i="1"/>
  <c r="HE42" i="1"/>
  <c r="EV42" i="1"/>
  <c r="EL43" i="1"/>
  <c r="EH42" i="1"/>
  <c r="EG42" i="1"/>
  <c r="DY43" i="1"/>
  <c r="DR43" i="1"/>
  <c r="DN43" i="1"/>
  <c r="DL42" i="1"/>
  <c r="DQ42" i="1"/>
  <c r="CU43" i="1"/>
  <c r="CP42" i="1"/>
  <c r="CJ42" i="1"/>
  <c r="CB43" i="1"/>
  <c r="CF42" i="1"/>
  <c r="BX43" i="1"/>
  <c r="BB42" i="1"/>
  <c r="GX42" i="1"/>
  <c r="DT42" i="1"/>
  <c r="DK42" i="1"/>
  <c r="BY43" i="1"/>
  <c r="BL43" i="1"/>
  <c r="BT47" i="1"/>
  <c r="BY45" i="1"/>
  <c r="BT42" i="1"/>
  <c r="DY42" i="1"/>
  <c r="CX42" i="1"/>
  <c r="CZ42" i="1"/>
  <c r="CY42" i="1"/>
  <c r="CN42" i="1"/>
  <c r="CK42" i="1"/>
  <c r="CC42" i="1"/>
  <c r="GU42" i="1"/>
  <c r="GL42" i="1"/>
  <c r="BQ42" i="1"/>
  <c r="GM43" i="1"/>
  <c r="BF43" i="1"/>
  <c r="BV47" i="1"/>
  <c r="DD42" i="1"/>
  <c r="CI45" i="1"/>
  <c r="BV45" i="1"/>
  <c r="GR43" i="1"/>
  <c r="GT42" i="1"/>
  <c r="GH43" i="1"/>
  <c r="GY42" i="1"/>
  <c r="FP43" i="1"/>
  <c r="GO42" i="1"/>
  <c r="FJ43" i="1"/>
  <c r="GA42" i="1"/>
  <c r="FJ42" i="1"/>
  <c r="FV43" i="1"/>
  <c r="FM42" i="1"/>
  <c r="FI43" i="1"/>
  <c r="FB42" i="1"/>
  <c r="EO43" i="1"/>
  <c r="EI42" i="1"/>
  <c r="EE42" i="1"/>
  <c r="EK42" i="1"/>
  <c r="DZ42" i="1"/>
  <c r="DR42" i="1"/>
  <c r="DQ43" i="1"/>
  <c r="DM43" i="1"/>
  <c r="DP42" i="1"/>
  <c r="DA42" i="1"/>
  <c r="CU42" i="1"/>
  <c r="CR42" i="1"/>
  <c r="CH42" i="1"/>
  <c r="BU43" i="1"/>
  <c r="BB43" i="1"/>
  <c r="BR42" i="1"/>
  <c r="BR43" i="1"/>
  <c r="CD43" i="1"/>
  <c r="GU43" i="1"/>
  <c r="EY42" i="1"/>
  <c r="BJ42" i="1"/>
  <c r="DD43" i="1"/>
  <c r="BK43" i="1"/>
  <c r="GV45" i="1"/>
  <c r="AZ45" i="1"/>
  <c r="GM45" i="1" s="1"/>
  <c r="HI45" i="1"/>
  <c r="BL42" i="1"/>
  <c r="BZ42" i="1"/>
  <c r="DB45" i="1"/>
  <c r="DB42" i="1"/>
  <c r="HI42" i="1"/>
  <c r="AZ42" i="1"/>
  <c r="GW42" i="1"/>
  <c r="BI42" i="1"/>
  <c r="DI42" i="1"/>
  <c r="BH42" i="1"/>
  <c r="GM42" i="1"/>
  <c r="ET42" i="1"/>
  <c r="DE42" i="1"/>
  <c r="DJ42" i="1"/>
  <c r="GV42" i="1"/>
  <c r="CO45" i="1"/>
  <c r="DG45" i="1"/>
  <c r="BW45" i="1"/>
  <c r="BH45" i="1"/>
  <c r="GJ45" i="1"/>
  <c r="GK45" i="1" s="1"/>
  <c r="EU45" i="1"/>
  <c r="EY45" i="1" s="1"/>
  <c r="DE45" i="1"/>
  <c r="DC45" i="1"/>
  <c r="EW42" i="1"/>
  <c r="FF42" i="1"/>
  <c r="EO42" i="1"/>
  <c r="EL42" i="1"/>
  <c r="DW42" i="1"/>
  <c r="CV42" i="1"/>
  <c r="CT42" i="1"/>
  <c r="CQ42" i="1"/>
  <c r="CE42" i="1"/>
  <c r="GN42" i="1"/>
  <c r="GX45" i="1"/>
  <c r="BM43" i="1"/>
  <c r="BY42" i="1"/>
  <c r="GL43" i="1"/>
  <c r="BT43" i="1"/>
  <c r="BT45" i="1"/>
  <c r="BD45" i="1"/>
  <c r="DH45" i="1" s="1"/>
  <c r="GK42" i="1"/>
  <c r="DF45" i="1"/>
  <c r="DJ45" i="1" s="1"/>
  <c r="ES42" i="1"/>
  <c r="CO43" i="1"/>
  <c r="DC43" i="1"/>
  <c r="BV43" i="1"/>
  <c r="AZ43" i="1"/>
  <c r="DB43" i="1"/>
  <c r="ET43" i="1"/>
  <c r="EY43" i="1"/>
  <c r="HI47" i="1"/>
  <c r="DB47" i="1"/>
  <c r="AB31" i="10"/>
  <c r="AB9" i="10"/>
  <c r="AC9" i="10"/>
  <c r="Z31" i="10"/>
  <c r="Z34" i="10" s="1"/>
  <c r="V19" i="4"/>
  <c r="Y19" i="4"/>
  <c r="AC17" i="10"/>
  <c r="X19" i="4"/>
  <c r="W19" i="4"/>
  <c r="S20" i="4"/>
  <c r="Q20" i="4"/>
  <c r="Z20" i="4"/>
  <c r="AC27" i="10"/>
  <c r="S19" i="4"/>
  <c r="Z37" i="10"/>
  <c r="AD30" i="10" s="1"/>
  <c r="AC30" i="10"/>
  <c r="AM32" i="7"/>
  <c r="AI32" i="7"/>
  <c r="AA13" i="4"/>
  <c r="R98" i="7"/>
  <c r="AC98" i="7"/>
  <c r="AH98" i="7"/>
  <c r="AV98" i="7"/>
  <c r="X98" i="7"/>
  <c r="AD98" i="7"/>
  <c r="AS98" i="7"/>
  <c r="BA98" i="7"/>
  <c r="T98" i="7"/>
  <c r="Z98" i="7"/>
  <c r="AN98" i="7"/>
  <c r="AW98" i="7"/>
  <c r="O98" i="7"/>
  <c r="U98" i="7"/>
  <c r="AJ98" i="7"/>
  <c r="AA98" i="7"/>
  <c r="V98" i="7"/>
  <c r="AO98" i="7"/>
  <c r="AX98" i="7"/>
  <c r="P98" i="7"/>
  <c r="AB98" i="7"/>
  <c r="CO87" i="1"/>
  <c r="GM87" i="1"/>
  <c r="CO96" i="1"/>
  <c r="AZ96" i="1"/>
  <c r="U15" i="10"/>
  <c r="U20" i="10"/>
  <c r="Z14" i="4"/>
  <c r="AG23" i="7"/>
  <c r="Q10" i="7"/>
  <c r="I23" i="5"/>
  <c r="I24" i="5"/>
  <c r="BA25" i="10"/>
  <c r="BK25" i="10" s="1"/>
  <c r="BA17" i="10"/>
  <c r="BK17" i="10" s="1"/>
  <c r="AI21" i="7"/>
  <c r="AE31" i="7"/>
  <c r="AG27" i="7"/>
  <c r="AG98" i="7"/>
  <c r="AR98" i="7"/>
  <c r="AP59" i="7"/>
  <c r="AC32" i="7"/>
  <c r="AE29" i="7"/>
  <c r="AE76" i="7"/>
  <c r="AY76" i="7"/>
  <c r="AG76" i="7"/>
  <c r="AB76" i="7"/>
  <c r="U76" i="7"/>
  <c r="AA76" i="7"/>
  <c r="AI76" i="7"/>
  <c r="AR76" i="7"/>
  <c r="AK76" i="7"/>
  <c r="AF76" i="7"/>
  <c r="Z76" i="7"/>
  <c r="R76" i="7"/>
  <c r="AM76" i="7"/>
  <c r="AO76" i="7"/>
  <c r="AJ76" i="7"/>
  <c r="AD76" i="7"/>
  <c r="V76" i="7"/>
  <c r="P76" i="7"/>
  <c r="AU76" i="7"/>
  <c r="AN76" i="7"/>
  <c r="AH76" i="7"/>
  <c r="T76" i="7"/>
  <c r="BA76" i="7"/>
  <c r="AV76" i="7"/>
  <c r="AP76" i="7"/>
  <c r="V19" i="10"/>
  <c r="R8" i="10"/>
  <c r="AI23" i="7"/>
  <c r="Q25" i="7"/>
  <c r="AG19" i="7"/>
  <c r="AD34" i="7"/>
  <c r="AH34" i="7" s="1"/>
  <c r="AH38" i="5"/>
  <c r="N30" i="7"/>
  <c r="Q30" i="7" s="1"/>
  <c r="AU30" i="7"/>
  <c r="AB30" i="7"/>
  <c r="AF30" i="7" s="1"/>
  <c r="Z30" i="7"/>
  <c r="P30" i="7"/>
  <c r="S30" i="7" s="1"/>
  <c r="AC30" i="7"/>
  <c r="O30" i="7"/>
  <c r="X18" i="4"/>
  <c r="U23" i="10"/>
  <c r="I16" i="5"/>
  <c r="AM21" i="7"/>
  <c r="AG15" i="7"/>
  <c r="AO107" i="1"/>
  <c r="AB107" i="1"/>
  <c r="R23" i="7"/>
  <c r="X23" i="7" s="1"/>
  <c r="AE34" i="7"/>
  <c r="AF34" i="7"/>
  <c r="AC34" i="7"/>
  <c r="R71" i="7"/>
  <c r="AZ71" i="7"/>
  <c r="U71" i="7"/>
  <c r="V71" i="7"/>
  <c r="AI71" i="7"/>
  <c r="AW71" i="7"/>
  <c r="AU71" i="7"/>
  <c r="O71" i="7"/>
  <c r="AO71" i="7"/>
  <c r="AE71" i="7"/>
  <c r="X71" i="7"/>
  <c r="P71" i="7"/>
  <c r="AJ71" i="7"/>
  <c r="AA71" i="7"/>
  <c r="AD71" i="7"/>
  <c r="BA71" i="7"/>
  <c r="AV71" i="7"/>
  <c r="S71" i="7"/>
  <c r="T71" i="7"/>
  <c r="AP71" i="7"/>
  <c r="AS71" i="7"/>
  <c r="N71" i="7"/>
  <c r="AK71" i="7"/>
  <c r="AL71" i="7"/>
  <c r="AX71" i="7"/>
  <c r="AF71" i="7"/>
  <c r="AR59" i="7"/>
  <c r="AY59" i="7"/>
  <c r="Z59" i="7"/>
  <c r="AS59" i="7"/>
  <c r="V59" i="7"/>
  <c r="AZ59" i="7"/>
  <c r="AN59" i="7"/>
  <c r="BA59" i="7"/>
  <c r="R59" i="7"/>
  <c r="AG59" i="7"/>
  <c r="AJ59" i="7"/>
  <c r="AW59" i="7"/>
  <c r="AM59" i="7"/>
  <c r="AB59" i="7"/>
  <c r="AL59" i="7"/>
  <c r="U59" i="7"/>
  <c r="AX59" i="7"/>
  <c r="AI35" i="7"/>
  <c r="AG35" i="7"/>
  <c r="BA35" i="7"/>
  <c r="N35" i="7"/>
  <c r="AA35" i="7"/>
  <c r="AJ35" i="7"/>
  <c r="U35" i="7"/>
  <c r="V35" i="7"/>
  <c r="AR35" i="7"/>
  <c r="Z35" i="7"/>
  <c r="AD35" i="7"/>
  <c r="AH35" i="7"/>
  <c r="AW35" i="7"/>
  <c r="AX35" i="7"/>
  <c r="AS35" i="7"/>
  <c r="AE35" i="7"/>
  <c r="AL35" i="7"/>
  <c r="T35" i="7"/>
  <c r="S35" i="7"/>
  <c r="AB35" i="7"/>
  <c r="AC35" i="7"/>
  <c r="O35" i="7"/>
  <c r="X35" i="7"/>
  <c r="AY35" i="7"/>
  <c r="AV35" i="7"/>
  <c r="AO35" i="7"/>
  <c r="AM25" i="7"/>
  <c r="BB24" i="10"/>
  <c r="BL24" i="10" s="1"/>
  <c r="AF18" i="7"/>
  <c r="AG94" i="7"/>
  <c r="AD94" i="7"/>
  <c r="AB94" i="7"/>
  <c r="AR94" i="7"/>
  <c r="AM94" i="7"/>
  <c r="AC94" i="7"/>
  <c r="Z94" i="7"/>
  <c r="S94" i="7"/>
  <c r="AA94" i="7"/>
  <c r="V94" i="7"/>
  <c r="X94" i="7"/>
  <c r="U94" i="7"/>
  <c r="AZ94" i="7"/>
  <c r="N94" i="7"/>
  <c r="BA94" i="7"/>
  <c r="T94" i="7"/>
  <c r="AV94" i="7"/>
  <c r="AU94" i="7"/>
  <c r="AP94" i="7"/>
  <c r="AN94" i="7"/>
  <c r="AD88" i="7"/>
  <c r="S88" i="7"/>
  <c r="AX88" i="7"/>
  <c r="P88" i="7"/>
  <c r="AU88" i="7"/>
  <c r="R88" i="7"/>
  <c r="AS88" i="7"/>
  <c r="O88" i="7"/>
  <c r="AW88" i="7"/>
  <c r="AV88" i="7"/>
  <c r="AN88" i="7"/>
  <c r="AY88" i="7"/>
  <c r="AM88" i="7"/>
  <c r="T88" i="7"/>
  <c r="BA88" i="7"/>
  <c r="AI88" i="7"/>
  <c r="AH88" i="7"/>
  <c r="X88" i="7"/>
  <c r="Y88" i="7"/>
  <c r="AL88" i="7"/>
  <c r="V88" i="7"/>
  <c r="AG88" i="7"/>
  <c r="AA88" i="7"/>
  <c r="AZ78" i="1"/>
  <c r="AI17" i="7"/>
  <c r="AD24" i="7"/>
  <c r="AE32" i="7"/>
  <c r="AJ32" i="7" s="1"/>
  <c r="I35" i="5"/>
  <c r="AI23" i="5"/>
  <c r="N37" i="10"/>
  <c r="K34" i="10"/>
  <c r="K36" i="10" s="1"/>
  <c r="AM17" i="7"/>
  <c r="X63" i="7"/>
  <c r="AM63" i="7"/>
  <c r="AD63" i="7"/>
  <c r="AW63" i="7"/>
  <c r="O63" i="7"/>
  <c r="AI63" i="7"/>
  <c r="R63" i="7"/>
  <c r="AS63" i="7"/>
  <c r="AC63" i="7"/>
  <c r="AE63" i="7"/>
  <c r="AY63" i="7"/>
  <c r="AA63" i="7"/>
  <c r="AG63" i="7"/>
  <c r="P63" i="7"/>
  <c r="AU63" i="7"/>
  <c r="U63" i="7"/>
  <c r="Z45" i="7"/>
  <c r="AA45" i="7"/>
  <c r="AG45" i="7"/>
  <c r="AR45" i="7"/>
  <c r="Y45" i="7"/>
  <c r="AD45" i="7"/>
  <c r="AE45" i="7"/>
  <c r="AX45" i="7"/>
  <c r="AS45" i="7"/>
  <c r="AH45" i="7"/>
  <c r="V45" i="7"/>
  <c r="U45" i="7"/>
  <c r="AW45" i="7"/>
  <c r="T45" i="7"/>
  <c r="AY45" i="7"/>
  <c r="O45" i="7"/>
  <c r="AK45" i="7"/>
  <c r="AC45" i="7"/>
  <c r="AN45" i="7"/>
  <c r="N45" i="7"/>
  <c r="AB45" i="7"/>
  <c r="R45" i="7"/>
  <c r="AF45" i="7"/>
  <c r="AI45" i="7"/>
  <c r="AJ45" i="7"/>
  <c r="AL45" i="7"/>
  <c r="AP45" i="7"/>
  <c r="AU20" i="7"/>
  <c r="Z20" i="7"/>
  <c r="N20" i="7"/>
  <c r="Q20" i="7" s="1"/>
  <c r="AB20" i="7"/>
  <c r="AF20" i="7" s="1"/>
  <c r="AA20" i="7"/>
  <c r="AE20" i="7" s="1"/>
  <c r="L34" i="10"/>
  <c r="L36" i="10" s="1"/>
  <c r="AB98" i="1"/>
  <c r="N97" i="7"/>
  <c r="AX93" i="7"/>
  <c r="S92" i="7"/>
  <c r="AR87" i="7"/>
  <c r="V75" i="7"/>
  <c r="AY72" i="7"/>
  <c r="X72" i="7"/>
  <c r="AA67" i="7"/>
  <c r="AO65" i="7"/>
  <c r="U64" i="7"/>
  <c r="T8" i="4"/>
  <c r="Q15" i="4"/>
  <c r="AA127" i="1"/>
  <c r="R92" i="7"/>
  <c r="AO86" i="7"/>
  <c r="Z86" i="7"/>
  <c r="BA85" i="7"/>
  <c r="AU72" i="7"/>
  <c r="V72" i="7"/>
  <c r="BB65" i="7"/>
  <c r="N64" i="7"/>
  <c r="GX120" i="1"/>
  <c r="GT128" i="1"/>
  <c r="AZ112" i="1"/>
  <c r="AN72" i="7"/>
  <c r="U72" i="7"/>
  <c r="BB66" i="7"/>
  <c r="AW64" i="7"/>
  <c r="Q69" i="7"/>
  <c r="GZ120" i="1"/>
  <c r="AZ128" i="1"/>
  <c r="AR92" i="7"/>
  <c r="BA91" i="7"/>
  <c r="AK91" i="7"/>
  <c r="U91" i="7"/>
  <c r="BA86" i="7"/>
  <c r="AK86" i="7"/>
  <c r="R86" i="7"/>
  <c r="BA82" i="7"/>
  <c r="AL72" i="7"/>
  <c r="T72" i="7"/>
  <c r="R69" i="7"/>
  <c r="AK67" i="7"/>
  <c r="AU64" i="7"/>
  <c r="AJ92" i="7"/>
  <c r="AL64" i="7"/>
  <c r="GX104" i="1"/>
  <c r="GX128" i="1"/>
  <c r="GZ128" i="1"/>
  <c r="AX91" i="7"/>
  <c r="AG91" i="7"/>
  <c r="AY86" i="7"/>
  <c r="AE86" i="7"/>
  <c r="AZ104" i="1"/>
  <c r="R21" i="1"/>
  <c r="X21" i="1" s="1"/>
  <c r="FF25" i="1"/>
  <c r="GN25" i="1"/>
  <c r="BN25" i="1"/>
  <c r="FM25" i="1"/>
  <c r="EB25" i="1"/>
  <c r="DI25" i="1"/>
  <c r="DD33" i="1"/>
  <c r="DF33" i="1"/>
  <c r="BV33" i="1"/>
  <c r="BD33" i="1"/>
  <c r="BZ33" i="1"/>
  <c r="BZ21" i="1"/>
  <c r="BV11" i="1"/>
  <c r="DD11" i="1"/>
  <c r="DK11" i="1" s="1"/>
  <c r="DF11" i="1"/>
  <c r="CI11" i="1"/>
  <c r="BH11" i="1"/>
  <c r="BY11" i="1"/>
  <c r="HI11" i="1"/>
  <c r="AZ11" i="1"/>
  <c r="GM11" i="1" s="1"/>
  <c r="BT11" i="1"/>
  <c r="BZ11" i="1"/>
  <c r="BS11" i="1"/>
  <c r="GJ11" i="1"/>
  <c r="GK11" i="1" s="1"/>
  <c r="DC11" i="1"/>
  <c r="BD11" i="1"/>
  <c r="DH11" i="1" s="1"/>
  <c r="DE11" i="1"/>
  <c r="BW11" i="1"/>
  <c r="GL11" i="1"/>
  <c r="DB11" i="1"/>
  <c r="BG11" i="1"/>
  <c r="BF11" i="1"/>
  <c r="BI11" i="1" s="1"/>
  <c r="Q38" i="1"/>
  <c r="DK17" i="1"/>
  <c r="DJ17" i="1"/>
  <c r="GF50" i="1"/>
  <c r="GC50" i="1"/>
  <c r="EW50" i="1"/>
  <c r="EN50" i="1"/>
  <c r="DW50" i="1"/>
  <c r="DA50" i="1"/>
  <c r="HC41" i="1"/>
  <c r="HH41" i="1"/>
  <c r="FF41" i="1"/>
  <c r="DW41" i="1"/>
  <c r="CE41" i="1"/>
  <c r="BH41" i="1"/>
  <c r="BT50" i="1"/>
  <c r="AA56" i="1"/>
  <c r="GE50" i="1"/>
  <c r="ER50" i="1"/>
  <c r="EG50" i="1"/>
  <c r="DZ50" i="1"/>
  <c r="DO50" i="1"/>
  <c r="CY50" i="1"/>
  <c r="CG50" i="1"/>
  <c r="GZ41" i="1"/>
  <c r="EW41" i="1"/>
  <c r="DL41" i="1"/>
  <c r="GN41" i="1"/>
  <c r="BZ41" i="1"/>
  <c r="BV50" i="1"/>
  <c r="HH50" i="1"/>
  <c r="EF50" i="1"/>
  <c r="DN50" i="1"/>
  <c r="DM50" i="1"/>
  <c r="BA50" i="1"/>
  <c r="GY41" i="1"/>
  <c r="GC41" i="1"/>
  <c r="FQ41" i="1"/>
  <c r="DV41" i="1"/>
  <c r="BW41" i="1"/>
  <c r="Z56" i="1"/>
  <c r="FZ50" i="1"/>
  <c r="EH50" i="1"/>
  <c r="CT50" i="1"/>
  <c r="GS41" i="1"/>
  <c r="FS41" i="1"/>
  <c r="FP41" i="1"/>
  <c r="FN41" i="1"/>
  <c r="FU41" i="1"/>
  <c r="DR41" i="1"/>
  <c r="CW41" i="1"/>
  <c r="CD41" i="1"/>
  <c r="FK41" i="1"/>
  <c r="EJ50" i="1"/>
  <c r="FR41" i="1"/>
  <c r="GP41" i="1"/>
  <c r="HG41" i="1"/>
  <c r="FY41" i="1"/>
  <c r="EN41" i="1"/>
  <c r="CX41" i="1"/>
  <c r="CY41" i="1"/>
  <c r="CL41" i="1"/>
  <c r="DK41" i="1"/>
  <c r="FX41" i="1"/>
  <c r="ER41" i="1"/>
  <c r="BO41" i="1"/>
  <c r="GJ41" i="1"/>
  <c r="GE41" i="1"/>
  <c r="GA41" i="1"/>
  <c r="EZ41" i="1"/>
  <c r="EL41" i="1"/>
  <c r="CS41" i="1"/>
  <c r="FB50" i="1"/>
  <c r="ED50" i="1"/>
  <c r="DY50" i="1"/>
  <c r="CR50" i="1"/>
  <c r="FW41" i="1"/>
  <c r="EF41" i="1"/>
  <c r="CQ41" i="1"/>
  <c r="CR41" i="1"/>
  <c r="CJ41" i="1"/>
  <c r="GU41" i="1"/>
  <c r="BS41" i="1"/>
  <c r="AB56" i="1"/>
  <c r="DK32" i="1"/>
  <c r="FZ40" i="1"/>
  <c r="CL40" i="1"/>
  <c r="GT40" i="1"/>
  <c r="DJ32" i="1"/>
  <c r="AC29" i="1"/>
  <c r="Q26" i="1"/>
  <c r="AC26" i="1"/>
  <c r="AE17" i="1"/>
  <c r="ET17" i="1" s="1"/>
  <c r="GV17" i="1"/>
  <c r="GU17" i="1" s="1"/>
  <c r="DC16" i="1"/>
  <c r="DG16" i="1"/>
  <c r="BF16" i="1"/>
  <c r="BS16" i="1"/>
  <c r="BZ16" i="1"/>
  <c r="BV16" i="1"/>
  <c r="CI27" i="1"/>
  <c r="HG36" i="1"/>
  <c r="DE27" i="1"/>
  <c r="DO36" i="1"/>
  <c r="CT36" i="1"/>
  <c r="GW27" i="1"/>
  <c r="BY27" i="1"/>
  <c r="DH36" i="1"/>
  <c r="ED36" i="1"/>
  <c r="CF36" i="1"/>
  <c r="CO106" i="1"/>
  <c r="CU106" i="1"/>
  <c r="CM106" i="1"/>
  <c r="CH106" i="1"/>
  <c r="BO106" i="1"/>
  <c r="BJ106" i="1"/>
  <c r="BH106" i="1"/>
  <c r="BG106" i="1"/>
  <c r="EZ106" i="1"/>
  <c r="FA106" i="1"/>
  <c r="CK106" i="1"/>
  <c r="CL106" i="1"/>
  <c r="CQ106" i="1"/>
  <c r="CC106" i="1"/>
  <c r="BZ106" i="1"/>
  <c r="BN106" i="1"/>
  <c r="BU106" i="1"/>
  <c r="BL106" i="1"/>
  <c r="BT106" i="1"/>
  <c r="BK106" i="1"/>
  <c r="BE106" i="1"/>
  <c r="ER106" i="1"/>
  <c r="EU106" i="1"/>
  <c r="EL106" i="1"/>
  <c r="CZ106" i="1"/>
  <c r="BQ106" i="1"/>
  <c r="BV106" i="1"/>
  <c r="CA106" i="1"/>
  <c r="BY106" i="1"/>
  <c r="BB106" i="1"/>
  <c r="EN106" i="1"/>
  <c r="EP106" i="1"/>
  <c r="EI106" i="1"/>
  <c r="CJ106" i="1"/>
  <c r="CV106" i="1"/>
  <c r="CI106" i="1"/>
  <c r="CE106" i="1"/>
  <c r="BW106" i="1"/>
  <c r="BS106" i="1"/>
  <c r="FC106" i="1"/>
  <c r="FB106" i="1"/>
  <c r="EE106" i="1"/>
  <c r="CF106" i="1"/>
  <c r="CX106" i="1"/>
  <c r="CR106" i="1"/>
  <c r="BP106" i="1"/>
  <c r="BX106" i="1"/>
  <c r="ES106" i="1"/>
  <c r="EQ106" i="1"/>
  <c r="GQ106" i="1"/>
  <c r="CT106" i="1"/>
  <c r="DA106" i="1"/>
  <c r="BR106" i="1"/>
  <c r="EM106" i="1"/>
  <c r="CD106" i="1"/>
  <c r="CG106" i="1"/>
  <c r="DW106" i="1"/>
  <c r="EB106" i="1"/>
  <c r="EC106" i="1"/>
  <c r="ED106" i="1"/>
  <c r="FP106" i="1"/>
  <c r="FS106" i="1"/>
  <c r="FF106" i="1"/>
  <c r="FU106" i="1"/>
  <c r="EY106" i="1"/>
  <c r="BM106" i="1"/>
  <c r="ET106" i="1"/>
  <c r="DS106" i="1"/>
  <c r="DX106" i="1"/>
  <c r="DY106" i="1"/>
  <c r="DZ106" i="1"/>
  <c r="FL106" i="1"/>
  <c r="FG106" i="1"/>
  <c r="CP106" i="1"/>
  <c r="EO106" i="1"/>
  <c r="DO106" i="1"/>
  <c r="DT106" i="1"/>
  <c r="DU106" i="1"/>
  <c r="DV106" i="1"/>
  <c r="FZ106" i="1"/>
  <c r="EX106" i="1"/>
  <c r="CY106" i="1"/>
  <c r="DK106" i="1"/>
  <c r="DP106" i="1"/>
  <c r="DQ106" i="1"/>
  <c r="DR106" i="1"/>
  <c r="FQ106" i="1"/>
  <c r="FY106" i="1"/>
  <c r="FE106" i="1"/>
  <c r="BI106" i="1"/>
  <c r="CW106" i="1"/>
  <c r="DG106" i="1"/>
  <c r="DL106" i="1"/>
  <c r="DM106" i="1"/>
  <c r="DN106" i="1"/>
  <c r="FI106" i="1"/>
  <c r="FV106" i="1"/>
  <c r="EK106" i="1"/>
  <c r="EJ106" i="1"/>
  <c r="DD106" i="1"/>
  <c r="DE106" i="1"/>
  <c r="DF106" i="1"/>
  <c r="FM106" i="1"/>
  <c r="FT106" i="1"/>
  <c r="FX106" i="1"/>
  <c r="FJ106" i="1"/>
  <c r="DC106" i="1"/>
  <c r="FN106" i="1"/>
  <c r="GG106" i="1"/>
  <c r="GO106" i="1"/>
  <c r="GY106" i="1"/>
  <c r="GW106" i="1"/>
  <c r="HA106" i="1"/>
  <c r="GK106" i="1"/>
  <c r="EF106" i="1"/>
  <c r="FK106" i="1"/>
  <c r="GH106" i="1"/>
  <c r="GP106" i="1"/>
  <c r="GS106" i="1"/>
  <c r="HH106" i="1"/>
  <c r="CB106" i="1"/>
  <c r="DH106" i="1"/>
  <c r="GE106" i="1"/>
  <c r="HI106" i="1"/>
  <c r="GC106" i="1"/>
  <c r="GI106" i="1"/>
  <c r="CN106" i="1"/>
  <c r="EG106" i="1"/>
  <c r="FD106" i="1"/>
  <c r="GU106" i="1"/>
  <c r="GT106" i="1"/>
  <c r="BF106" i="1"/>
  <c r="DI106" i="1"/>
  <c r="GD106" i="1"/>
  <c r="GN106" i="1"/>
  <c r="GM106" i="1"/>
  <c r="HE106" i="1"/>
  <c r="HG106" i="1"/>
  <c r="HF106" i="1"/>
  <c r="HC106" i="1"/>
  <c r="AZ106" i="1"/>
  <c r="BD106" i="1"/>
  <c r="DJ106" i="1"/>
  <c r="FR106" i="1"/>
  <c r="EW106" i="1"/>
  <c r="GL106" i="1"/>
  <c r="GV106" i="1"/>
  <c r="HB106" i="1"/>
  <c r="GX106" i="1"/>
  <c r="CS106" i="1"/>
  <c r="GJ106" i="1"/>
  <c r="GF106" i="1"/>
  <c r="GZ106" i="1"/>
  <c r="EA106" i="1"/>
  <c r="GB106" i="1"/>
  <c r="EH106" i="1"/>
  <c r="FW106" i="1"/>
  <c r="DB106" i="1"/>
  <c r="FH106" i="1"/>
  <c r="BA106" i="1"/>
  <c r="DB55" i="1"/>
  <c r="FO50" i="1"/>
  <c r="FA50" i="1"/>
  <c r="EO50" i="1"/>
  <c r="EI50" i="1"/>
  <c r="EE50" i="1"/>
  <c r="DR50" i="1"/>
  <c r="DS50" i="1"/>
  <c r="CH50" i="1"/>
  <c r="BI41" i="1"/>
  <c r="AZ41" i="1"/>
  <c r="DE41" i="1"/>
  <c r="DD50" i="1"/>
  <c r="BK50" i="1"/>
  <c r="DC63" i="1"/>
  <c r="DI63" i="1"/>
  <c r="DU63" i="1"/>
  <c r="DP80" i="1"/>
  <c r="DW80" i="1"/>
  <c r="GR63" i="1"/>
  <c r="GU63" i="1"/>
  <c r="BA122" i="1"/>
  <c r="GJ130" i="1"/>
  <c r="CD71" i="1"/>
  <c r="DY89" i="1"/>
  <c r="BH130" i="1"/>
  <c r="CO55" i="1"/>
  <c r="BY55" i="1"/>
  <c r="BV55" i="1"/>
  <c r="BW55" i="1"/>
  <c r="HI55" i="1"/>
  <c r="DE55" i="1"/>
  <c r="DI55" i="1" s="1"/>
  <c r="CI55" i="1"/>
  <c r="DG55" i="1"/>
  <c r="AZ55" i="1"/>
  <c r="GW55" i="1"/>
  <c r="BF55" i="1"/>
  <c r="BG55" i="1"/>
  <c r="GM55" i="1"/>
  <c r="BZ55" i="1"/>
  <c r="BD55" i="1"/>
  <c r="DH55" i="1" s="1"/>
  <c r="BT55" i="1"/>
  <c r="CO114" i="1"/>
  <c r="GZ114" i="1"/>
  <c r="GB114" i="1"/>
  <c r="CV114" i="1"/>
  <c r="CA114" i="1"/>
  <c r="BV114" i="1"/>
  <c r="FC114" i="1"/>
  <c r="EU114" i="1"/>
  <c r="CX114" i="1"/>
  <c r="CR114" i="1"/>
  <c r="CH114" i="1"/>
  <c r="BW114" i="1"/>
  <c r="BM114" i="1"/>
  <c r="EZ114" i="1"/>
  <c r="EP114" i="1"/>
  <c r="CK114" i="1"/>
  <c r="CL114" i="1"/>
  <c r="CT114" i="1"/>
  <c r="DA114" i="1"/>
  <c r="CN114" i="1"/>
  <c r="BS114" i="1"/>
  <c r="BI114" i="1"/>
  <c r="BG114" i="1"/>
  <c r="BJ114" i="1"/>
  <c r="BH114" i="1"/>
  <c r="BD114" i="1"/>
  <c r="ER114" i="1"/>
  <c r="EQ114" i="1"/>
  <c r="CG114" i="1"/>
  <c r="CP114" i="1"/>
  <c r="CW114" i="1"/>
  <c r="BR114" i="1"/>
  <c r="BL114" i="1"/>
  <c r="BY114" i="1"/>
  <c r="BX114" i="1"/>
  <c r="BN114" i="1"/>
  <c r="BE114" i="1"/>
  <c r="EN114" i="1"/>
  <c r="CF114" i="1"/>
  <c r="CJ114" i="1"/>
  <c r="CY114" i="1"/>
  <c r="CS114" i="1"/>
  <c r="CI114" i="1"/>
  <c r="CC114" i="1"/>
  <c r="CB114" i="1"/>
  <c r="BT114" i="1"/>
  <c r="ES114" i="1"/>
  <c r="GX114" i="1"/>
  <c r="CU114" i="1"/>
  <c r="CM114" i="1"/>
  <c r="BQ114" i="1"/>
  <c r="CD114" i="1"/>
  <c r="BU114" i="1"/>
  <c r="BB114" i="1"/>
  <c r="BK114" i="1"/>
  <c r="EM114" i="1"/>
  <c r="FB114" i="1"/>
  <c r="EA114" i="1"/>
  <c r="EB114" i="1"/>
  <c r="DR114" i="1"/>
  <c r="DN114" i="1"/>
  <c r="DE114" i="1"/>
  <c r="FT114" i="1"/>
  <c r="FX114" i="1"/>
  <c r="FU114" i="1"/>
  <c r="ET114" i="1"/>
  <c r="DW114" i="1"/>
  <c r="DV114" i="1"/>
  <c r="DM114" i="1"/>
  <c r="DI114" i="1"/>
  <c r="FD114" i="1"/>
  <c r="EY114" i="1"/>
  <c r="FG114" i="1"/>
  <c r="BF114" i="1"/>
  <c r="CE114" i="1"/>
  <c r="EO114" i="1"/>
  <c r="DS114" i="1"/>
  <c r="DQ114" i="1"/>
  <c r="DH114" i="1"/>
  <c r="DD114" i="1"/>
  <c r="FK114" i="1"/>
  <c r="FN114" i="1"/>
  <c r="FS114" i="1"/>
  <c r="EX114" i="1"/>
  <c r="BP114" i="1"/>
  <c r="DO114" i="1"/>
  <c r="DL114" i="1"/>
  <c r="DB114" i="1"/>
  <c r="EF114" i="1"/>
  <c r="FP114" i="1"/>
  <c r="BO114" i="1"/>
  <c r="EK114" i="1"/>
  <c r="DK114" i="1"/>
  <c r="DF114" i="1"/>
  <c r="EJ114" i="1"/>
  <c r="DZ114" i="1"/>
  <c r="FY114" i="1"/>
  <c r="FZ114" i="1"/>
  <c r="FF114" i="1"/>
  <c r="FW114" i="1"/>
  <c r="CQ114" i="1"/>
  <c r="EI114" i="1"/>
  <c r="DC114" i="1"/>
  <c r="EC114" i="1"/>
  <c r="DY114" i="1"/>
  <c r="DP114" i="1"/>
  <c r="FL114" i="1"/>
  <c r="FQ114" i="1"/>
  <c r="FO114" i="1"/>
  <c r="EV114" i="1"/>
  <c r="GE114" i="1"/>
  <c r="CZ114" i="1"/>
  <c r="EH114" i="1"/>
  <c r="FR114" i="1"/>
  <c r="GD114" i="1"/>
  <c r="GG114" i="1"/>
  <c r="HB114" i="1"/>
  <c r="DX114" i="1"/>
  <c r="EW114" i="1"/>
  <c r="GH114" i="1"/>
  <c r="GY114" i="1"/>
  <c r="HE114" i="1"/>
  <c r="HA114" i="1"/>
  <c r="HG114" i="1"/>
  <c r="HF114" i="1"/>
  <c r="GK114" i="1"/>
  <c r="ED114" i="1"/>
  <c r="FV114" i="1"/>
  <c r="GI114" i="1"/>
  <c r="GV114" i="1"/>
  <c r="FA114" i="1"/>
  <c r="DT114" i="1"/>
  <c r="FM114" i="1"/>
  <c r="FI114" i="1"/>
  <c r="HI114" i="1"/>
  <c r="GA114" i="1"/>
  <c r="FH114" i="1"/>
  <c r="GS114" i="1"/>
  <c r="BZ114" i="1"/>
  <c r="EL114" i="1"/>
  <c r="DU114" i="1"/>
  <c r="GW114" i="1"/>
  <c r="DG114" i="1"/>
  <c r="FJ114" i="1"/>
  <c r="BA114" i="1"/>
  <c r="GN114" i="1"/>
  <c r="GF114" i="1"/>
  <c r="GT114" i="1"/>
  <c r="GQ114" i="1"/>
  <c r="GP114" i="1"/>
  <c r="GR114" i="1"/>
  <c r="GU114" i="1"/>
  <c r="HH114" i="1"/>
  <c r="AZ114" i="1"/>
  <c r="EE114" i="1"/>
  <c r="HD114" i="1"/>
  <c r="EG114" i="1"/>
  <c r="GL114" i="1"/>
  <c r="DJ114" i="1"/>
  <c r="FE114" i="1"/>
  <c r="HC114" i="1"/>
  <c r="GC114" i="1"/>
  <c r="FQ50" i="1"/>
  <c r="GZ50" i="1"/>
  <c r="FP50" i="1"/>
  <c r="FU50" i="1"/>
  <c r="FD50" i="1"/>
  <c r="EK50" i="1"/>
  <c r="CN50" i="1"/>
  <c r="BR50" i="1"/>
  <c r="GU50" i="1"/>
  <c r="BG50" i="1"/>
  <c r="DI50" i="1"/>
  <c r="EP63" i="1"/>
  <c r="EN63" i="1"/>
  <c r="EE63" i="1"/>
  <c r="CO41" i="1"/>
  <c r="ET41" i="1"/>
  <c r="DF41" i="1"/>
  <c r="BL41" i="1"/>
  <c r="BK41" i="1"/>
  <c r="DI41" i="1"/>
  <c r="BR41" i="1"/>
  <c r="BE41" i="1"/>
  <c r="BU41" i="1"/>
  <c r="CG41" i="1"/>
  <c r="CH41" i="1"/>
  <c r="CN41" i="1"/>
  <c r="DA41" i="1"/>
  <c r="DS41" i="1"/>
  <c r="EK41" i="1"/>
  <c r="EM41" i="1"/>
  <c r="HE41" i="1"/>
  <c r="HB41" i="1"/>
  <c r="FV41" i="1"/>
  <c r="FG41" i="1"/>
  <c r="FM41" i="1"/>
  <c r="GD41" i="1"/>
  <c r="HA41" i="1"/>
  <c r="HD41" i="1"/>
  <c r="GW41" i="1"/>
  <c r="DJ41" i="1"/>
  <c r="BJ41" i="1"/>
  <c r="HI41" i="1"/>
  <c r="DT41" i="1"/>
  <c r="GX41" i="1"/>
  <c r="BA41" i="1"/>
  <c r="CA41" i="1"/>
  <c r="BX41" i="1"/>
  <c r="CK41" i="1"/>
  <c r="CP41" i="1"/>
  <c r="CZ41" i="1"/>
  <c r="DY41" i="1"/>
  <c r="ED41" i="1"/>
  <c r="EI41" i="1"/>
  <c r="EO41" i="1"/>
  <c r="HF41" i="1"/>
  <c r="DC41" i="1"/>
  <c r="DD41" i="1"/>
  <c r="BG41" i="1"/>
  <c r="BV41" i="1"/>
  <c r="BY41" i="1"/>
  <c r="GK41" i="1"/>
  <c r="BN41" i="1"/>
  <c r="CM41" i="1"/>
  <c r="CU41" i="1"/>
  <c r="CV41" i="1"/>
  <c r="DX41" i="1"/>
  <c r="EG41" i="1"/>
  <c r="EP41" i="1"/>
  <c r="EQ41" i="1"/>
  <c r="DG41" i="1"/>
  <c r="ES41" i="1"/>
  <c r="CI41" i="1"/>
  <c r="DH41" i="1"/>
  <c r="CC41" i="1"/>
  <c r="CF41" i="1"/>
  <c r="CT41" i="1"/>
  <c r="DN41" i="1"/>
  <c r="DU41" i="1"/>
  <c r="EA41" i="1"/>
  <c r="DZ41" i="1"/>
  <c r="EJ41" i="1"/>
  <c r="FC41" i="1"/>
  <c r="FI41" i="1"/>
  <c r="FO41" i="1"/>
  <c r="FL41" i="1"/>
  <c r="FZ41" i="1"/>
  <c r="FT41" i="1"/>
  <c r="GG41" i="1"/>
  <c r="GT41" i="1"/>
  <c r="BS80" i="1"/>
  <c r="FW80" i="1"/>
  <c r="HG130" i="1"/>
  <c r="HH89" i="1"/>
  <c r="HA130" i="1"/>
  <c r="GE130" i="1"/>
  <c r="EV106" i="1"/>
  <c r="BV63" i="1"/>
  <c r="CO130" i="1"/>
  <c r="CX130" i="1"/>
  <c r="CR130" i="1"/>
  <c r="CD130" i="1"/>
  <c r="BX130" i="1"/>
  <c r="BV130" i="1"/>
  <c r="BN130" i="1"/>
  <c r="BD130" i="1"/>
  <c r="FA130" i="1"/>
  <c r="ET130" i="1"/>
  <c r="CT130" i="1"/>
  <c r="DA130" i="1"/>
  <c r="BK130" i="1"/>
  <c r="CC130" i="1"/>
  <c r="BT130" i="1"/>
  <c r="BM130" i="1"/>
  <c r="FB130" i="1"/>
  <c r="EO130" i="1"/>
  <c r="CP130" i="1"/>
  <c r="CW130" i="1"/>
  <c r="BQ130" i="1"/>
  <c r="CB130" i="1"/>
  <c r="BI130" i="1"/>
  <c r="FC130" i="1"/>
  <c r="EU130" i="1"/>
  <c r="CY130" i="1"/>
  <c r="CS130" i="1"/>
  <c r="CH130" i="1"/>
  <c r="CN130" i="1"/>
  <c r="BP130" i="1"/>
  <c r="BY130" i="1"/>
  <c r="BB130" i="1"/>
  <c r="EZ130" i="1"/>
  <c r="EP130" i="1"/>
  <c r="GX130" i="1"/>
  <c r="CK130" i="1"/>
  <c r="CU130" i="1"/>
  <c r="CM130" i="1"/>
  <c r="CA130" i="1"/>
  <c r="BU130" i="1"/>
  <c r="ER130" i="1"/>
  <c r="EQ130" i="1"/>
  <c r="AZ130" i="1"/>
  <c r="GB130" i="1"/>
  <c r="CF130" i="1"/>
  <c r="CL130" i="1"/>
  <c r="BF130" i="1"/>
  <c r="CQ130" i="1"/>
  <c r="BW130" i="1"/>
  <c r="CE130" i="1"/>
  <c r="BE130" i="1"/>
  <c r="EN130" i="1"/>
  <c r="CV130" i="1"/>
  <c r="BS130" i="1"/>
  <c r="BL130" i="1"/>
  <c r="BJ130" i="1"/>
  <c r="EA130" i="1"/>
  <c r="EB130" i="1"/>
  <c r="DR130" i="1"/>
  <c r="DN130" i="1"/>
  <c r="DE130" i="1"/>
  <c r="FM130" i="1"/>
  <c r="FS130" i="1"/>
  <c r="EW130" i="1"/>
  <c r="BR130" i="1"/>
  <c r="DW130" i="1"/>
  <c r="DV130" i="1"/>
  <c r="DM130" i="1"/>
  <c r="DI130" i="1"/>
  <c r="CG130" i="1"/>
  <c r="EY130" i="1"/>
  <c r="FE130" i="1"/>
  <c r="FU130" i="1"/>
  <c r="GD130" i="1"/>
  <c r="BO130" i="1"/>
  <c r="DS130" i="1"/>
  <c r="DQ130" i="1"/>
  <c r="DH130" i="1"/>
  <c r="DD130" i="1"/>
  <c r="FZ130" i="1"/>
  <c r="FO130" i="1"/>
  <c r="FG130" i="1"/>
  <c r="BZ130" i="1"/>
  <c r="DO130" i="1"/>
  <c r="DL130" i="1"/>
  <c r="DB130" i="1"/>
  <c r="EF130" i="1"/>
  <c r="FJ130" i="1"/>
  <c r="EK130" i="1"/>
  <c r="DK130" i="1"/>
  <c r="DF130" i="1"/>
  <c r="EJ130" i="1"/>
  <c r="DZ130" i="1"/>
  <c r="FN130" i="1"/>
  <c r="FR130" i="1"/>
  <c r="FQ130" i="1"/>
  <c r="FV130" i="1"/>
  <c r="ES130" i="1"/>
  <c r="EI130" i="1"/>
  <c r="DC130" i="1"/>
  <c r="EC130" i="1"/>
  <c r="DY130" i="1"/>
  <c r="DP130" i="1"/>
  <c r="FP130" i="1"/>
  <c r="FY130" i="1"/>
  <c r="FX130" i="1"/>
  <c r="FF130" i="1"/>
  <c r="FI130" i="1"/>
  <c r="CI130" i="1"/>
  <c r="EL130" i="1"/>
  <c r="DU130" i="1"/>
  <c r="FT130" i="1"/>
  <c r="FW130" i="1"/>
  <c r="GG130" i="1"/>
  <c r="BA130" i="1"/>
  <c r="EE130" i="1"/>
  <c r="DJ130" i="1"/>
  <c r="EV130" i="1"/>
  <c r="GH130" i="1"/>
  <c r="GM130" i="1"/>
  <c r="GQ130" i="1"/>
  <c r="DG130" i="1"/>
  <c r="FH130" i="1"/>
  <c r="GI130" i="1"/>
  <c r="GN130" i="1"/>
  <c r="GL130" i="1"/>
  <c r="GP130" i="1"/>
  <c r="GR130" i="1"/>
  <c r="HH130" i="1"/>
  <c r="EG130" i="1"/>
  <c r="GC130" i="1"/>
  <c r="FD130" i="1"/>
  <c r="GO130" i="1"/>
  <c r="CJ130" i="1"/>
  <c r="EM130" i="1"/>
  <c r="EH130" i="1"/>
  <c r="GV130" i="1"/>
  <c r="GZ130" i="1"/>
  <c r="GT130" i="1"/>
  <c r="CZ130" i="1"/>
  <c r="BG130" i="1"/>
  <c r="ED130" i="1"/>
  <c r="FL130" i="1"/>
  <c r="GA130" i="1"/>
  <c r="GF130" i="1"/>
  <c r="GW130" i="1"/>
  <c r="GU130" i="1"/>
  <c r="HB130" i="1"/>
  <c r="GY130" i="1"/>
  <c r="HF130" i="1"/>
  <c r="EX130" i="1"/>
  <c r="HE130" i="1"/>
  <c r="HC130" i="1"/>
  <c r="GS130" i="1"/>
  <c r="DT130" i="1"/>
  <c r="HD130" i="1"/>
  <c r="EK63" i="1"/>
  <c r="GS50" i="1"/>
  <c r="FS50" i="1"/>
  <c r="FV50" i="1"/>
  <c r="FL50" i="1"/>
  <c r="EL50" i="1"/>
  <c r="HA50" i="1"/>
  <c r="GY50" i="1"/>
  <c r="GH50" i="1"/>
  <c r="GI50" i="1"/>
  <c r="FT50" i="1"/>
  <c r="FN50" i="1"/>
  <c r="FG50" i="1"/>
  <c r="FE50" i="1"/>
  <c r="FY50" i="1"/>
  <c r="FC50" i="1"/>
  <c r="DQ50" i="1"/>
  <c r="CJ50" i="1"/>
  <c r="BO50" i="1"/>
  <c r="CE50" i="1"/>
  <c r="GI41" i="1"/>
  <c r="FH41" i="1"/>
  <c r="EH41" i="1"/>
  <c r="DQ41" i="1"/>
  <c r="BQ41" i="1"/>
  <c r="GX50" i="1"/>
  <c r="BD41" i="1"/>
  <c r="BM41" i="1"/>
  <c r="GW50" i="1"/>
  <c r="AZ50" i="1"/>
  <c r="DV63" i="1"/>
  <c r="DE63" i="1"/>
  <c r="CO34" i="1"/>
  <c r="BW34" i="1"/>
  <c r="GW34" i="1"/>
  <c r="GV34" i="1" s="1"/>
  <c r="GM34" i="1"/>
  <c r="GJ34" i="1"/>
  <c r="GK34" i="1" s="1"/>
  <c r="DB34" i="1"/>
  <c r="DI34" i="1" s="1"/>
  <c r="GL55" i="1"/>
  <c r="GV55" i="1" s="1"/>
  <c r="DV80" i="1"/>
  <c r="DE80" i="1"/>
  <c r="GK130" i="1"/>
  <c r="GM122" i="1"/>
  <c r="GA106" i="1"/>
  <c r="CO63" i="1"/>
  <c r="CY63" i="1"/>
  <c r="EQ63" i="1"/>
  <c r="CU63" i="1"/>
  <c r="BN63" i="1"/>
  <c r="CC63" i="1"/>
  <c r="CM63" i="1"/>
  <c r="CF63" i="1"/>
  <c r="FB63" i="1"/>
  <c r="EW63" i="1"/>
  <c r="FQ63" i="1"/>
  <c r="FS63" i="1"/>
  <c r="BG63" i="1"/>
  <c r="CT63" i="1"/>
  <c r="CD63" i="1"/>
  <c r="BJ63" i="1"/>
  <c r="CB63" i="1"/>
  <c r="FN63" i="1"/>
  <c r="EY63" i="1"/>
  <c r="FZ63" i="1"/>
  <c r="CH63" i="1"/>
  <c r="CQ63" i="1"/>
  <c r="BY63" i="1"/>
  <c r="BE63" i="1"/>
  <c r="CE63" i="1"/>
  <c r="BX63" i="1"/>
  <c r="EA63" i="1"/>
  <c r="FY63" i="1"/>
  <c r="FX63" i="1"/>
  <c r="FO63" i="1"/>
  <c r="BH63" i="1"/>
  <c r="CR63" i="1"/>
  <c r="BW63" i="1"/>
  <c r="BP63" i="1"/>
  <c r="CA63" i="1"/>
  <c r="EC63" i="1"/>
  <c r="FW63" i="1"/>
  <c r="CP63" i="1"/>
  <c r="CL63" i="1"/>
  <c r="BT63" i="1"/>
  <c r="BR63" i="1"/>
  <c r="BS63" i="1"/>
  <c r="FF63" i="1"/>
  <c r="FE63" i="1"/>
  <c r="FH63" i="1"/>
  <c r="DP63" i="1"/>
  <c r="CN63" i="1"/>
  <c r="CI63" i="1"/>
  <c r="CV63" i="1"/>
  <c r="BB63" i="1"/>
  <c r="BZ63" i="1"/>
  <c r="BK63" i="1"/>
  <c r="FU63" i="1"/>
  <c r="CZ63" i="1"/>
  <c r="CS63" i="1"/>
  <c r="EX63" i="1"/>
  <c r="GH63" i="1"/>
  <c r="BA63" i="1"/>
  <c r="GT63" i="1"/>
  <c r="GW63" i="1"/>
  <c r="HE63" i="1"/>
  <c r="CW63" i="1"/>
  <c r="BI63" i="1"/>
  <c r="FV63" i="1"/>
  <c r="FG63" i="1"/>
  <c r="HI63" i="1"/>
  <c r="GI63" i="1"/>
  <c r="GJ63" i="1"/>
  <c r="HF63" i="1"/>
  <c r="HC63" i="1"/>
  <c r="HB63" i="1"/>
  <c r="BL63" i="1"/>
  <c r="EM63" i="1"/>
  <c r="GE63" i="1"/>
  <c r="GA63" i="1"/>
  <c r="GF63" i="1"/>
  <c r="GQ63" i="1"/>
  <c r="GP63" i="1"/>
  <c r="HG63" i="1"/>
  <c r="GK63" i="1"/>
  <c r="DY63" i="1"/>
  <c r="CJ63" i="1"/>
  <c r="GD63" i="1"/>
  <c r="DF63" i="1"/>
  <c r="CG63" i="1"/>
  <c r="FI63" i="1"/>
  <c r="FJ63" i="1"/>
  <c r="FK63" i="1"/>
  <c r="CX63" i="1"/>
  <c r="EV63" i="1"/>
  <c r="GB63" i="1"/>
  <c r="GN63" i="1"/>
  <c r="GS63" i="1"/>
  <c r="GV63" i="1"/>
  <c r="GZ63" i="1"/>
  <c r="GO63" i="1"/>
  <c r="AZ63" i="1"/>
  <c r="EU63" i="1"/>
  <c r="BF63" i="1"/>
  <c r="FP63" i="1"/>
  <c r="DO63" i="1"/>
  <c r="DD63" i="1"/>
  <c r="DB63" i="1"/>
  <c r="EJ63" i="1"/>
  <c r="EO63" i="1"/>
  <c r="EZ63" i="1"/>
  <c r="ER63" i="1"/>
  <c r="DM63" i="1"/>
  <c r="EB63" i="1"/>
  <c r="EF63" i="1"/>
  <c r="DZ63" i="1"/>
  <c r="FD63" i="1"/>
  <c r="GC63" i="1"/>
  <c r="HA63" i="1"/>
  <c r="GM63" i="1"/>
  <c r="GX63" i="1"/>
  <c r="DA63" i="1"/>
  <c r="EH63" i="1"/>
  <c r="DW63" i="1"/>
  <c r="DR63" i="1"/>
  <c r="EG63" i="1"/>
  <c r="FR63" i="1"/>
  <c r="BQ63" i="1"/>
  <c r="FT63" i="1"/>
  <c r="BD63" i="1"/>
  <c r="GG63" i="1"/>
  <c r="GY63" i="1"/>
  <c r="HD63" i="1"/>
  <c r="ED63" i="1"/>
  <c r="DX63" i="1"/>
  <c r="DN63" i="1"/>
  <c r="FC63" i="1"/>
  <c r="BO63" i="1"/>
  <c r="FA63" i="1"/>
  <c r="DL63" i="1"/>
  <c r="DJ63" i="1"/>
  <c r="FM63" i="1"/>
  <c r="DK63" i="1"/>
  <c r="EL63" i="1"/>
  <c r="EI63" i="1"/>
  <c r="CS98" i="1"/>
  <c r="CM98" i="1"/>
  <c r="BP98" i="1"/>
  <c r="BT98" i="1"/>
  <c r="BE98" i="1"/>
  <c r="BB98" i="1"/>
  <c r="ER98" i="1"/>
  <c r="FC98" i="1"/>
  <c r="CZ98" i="1"/>
  <c r="CI98" i="1"/>
  <c r="CN98" i="1"/>
  <c r="BR98" i="1"/>
  <c r="BY98" i="1"/>
  <c r="BU98" i="1"/>
  <c r="EN98" i="1"/>
  <c r="EU98" i="1"/>
  <c r="DR98" i="1"/>
  <c r="DS98" i="1"/>
  <c r="DO98" i="1"/>
  <c r="DE98" i="1"/>
  <c r="CK98" i="1"/>
  <c r="CU98" i="1"/>
  <c r="CB98" i="1"/>
  <c r="CA98" i="1"/>
  <c r="FA98" i="1"/>
  <c r="EP98" i="1"/>
  <c r="DN98" i="1"/>
  <c r="DM98" i="1"/>
  <c r="DI98" i="1"/>
  <c r="EG98" i="1"/>
  <c r="CF98" i="1"/>
  <c r="CL98" i="1"/>
  <c r="DA98" i="1"/>
  <c r="CD98" i="1"/>
  <c r="BF98" i="1"/>
  <c r="ES98" i="1"/>
  <c r="EQ98" i="1"/>
  <c r="EK98" i="1"/>
  <c r="DJ98" i="1"/>
  <c r="DH98" i="1"/>
  <c r="DD98" i="1"/>
  <c r="EB98" i="1"/>
  <c r="BM98" i="1"/>
  <c r="CX98" i="1"/>
  <c r="CV98" i="1"/>
  <c r="BO98" i="1"/>
  <c r="BJ98" i="1"/>
  <c r="EM98" i="1"/>
  <c r="EL98" i="1"/>
  <c r="DF98" i="1"/>
  <c r="DC98" i="1"/>
  <c r="EF98" i="1"/>
  <c r="DW98" i="1"/>
  <c r="CT98" i="1"/>
  <c r="CQ98" i="1"/>
  <c r="BI98" i="1"/>
  <c r="CC98" i="1"/>
  <c r="BZ98" i="1"/>
  <c r="BN98" i="1"/>
  <c r="BH98" i="1"/>
  <c r="BG98" i="1"/>
  <c r="BD98" i="1"/>
  <c r="FB98" i="1"/>
  <c r="EH98" i="1"/>
  <c r="DB98" i="1"/>
  <c r="EJ98" i="1"/>
  <c r="EA98" i="1"/>
  <c r="DQ98" i="1"/>
  <c r="ED98" i="1"/>
  <c r="DT98" i="1"/>
  <c r="FQ98" i="1"/>
  <c r="FE98" i="1"/>
  <c r="EX98" i="1"/>
  <c r="BW98" i="1"/>
  <c r="CJ98" i="1"/>
  <c r="DZ98" i="1"/>
  <c r="DU98" i="1"/>
  <c r="FN98" i="1"/>
  <c r="FH98" i="1"/>
  <c r="FW98" i="1"/>
  <c r="BQ98" i="1"/>
  <c r="BS98" i="1"/>
  <c r="EZ98" i="1"/>
  <c r="DV98" i="1"/>
  <c r="DP98" i="1"/>
  <c r="FR98" i="1"/>
  <c r="CP98" i="1"/>
  <c r="CE98" i="1"/>
  <c r="BX98" i="1"/>
  <c r="BK98" i="1"/>
  <c r="ET98" i="1"/>
  <c r="EI98" i="1"/>
  <c r="DK98" i="1"/>
  <c r="FY98" i="1"/>
  <c r="FO98" i="1"/>
  <c r="FX98" i="1"/>
  <c r="CG98" i="1"/>
  <c r="CY98" i="1"/>
  <c r="BV98" i="1"/>
  <c r="EO98" i="1"/>
  <c r="EC98" i="1"/>
  <c r="DL98" i="1"/>
  <c r="FT98" i="1"/>
  <c r="FJ98" i="1"/>
  <c r="FF98" i="1"/>
  <c r="CR98" i="1"/>
  <c r="CH98" i="1"/>
  <c r="EE98" i="1"/>
  <c r="FL98" i="1"/>
  <c r="FP98" i="1"/>
  <c r="EY98" i="1"/>
  <c r="FU98" i="1"/>
  <c r="GD98" i="1"/>
  <c r="FK98" i="1"/>
  <c r="EV98" i="1"/>
  <c r="FV98" i="1"/>
  <c r="GE98" i="1"/>
  <c r="HI98" i="1"/>
  <c r="GC98" i="1"/>
  <c r="GA98" i="1"/>
  <c r="GU98" i="1"/>
  <c r="HG98" i="1"/>
  <c r="HF98" i="1"/>
  <c r="BL98" i="1"/>
  <c r="FZ98" i="1"/>
  <c r="EW98" i="1"/>
  <c r="GQ98" i="1"/>
  <c r="HC98" i="1"/>
  <c r="FM98" i="1"/>
  <c r="FG98" i="1"/>
  <c r="BA98" i="1"/>
  <c r="GN98" i="1"/>
  <c r="GM98" i="1"/>
  <c r="HD98" i="1"/>
  <c r="AZ98" i="1"/>
  <c r="CW98" i="1"/>
  <c r="FS98" i="1"/>
  <c r="FI98" i="1"/>
  <c r="GG98" i="1"/>
  <c r="GV98" i="1"/>
  <c r="GR98" i="1"/>
  <c r="HB98" i="1"/>
  <c r="DX98" i="1"/>
  <c r="GH98" i="1"/>
  <c r="GZ98" i="1"/>
  <c r="GL98" i="1"/>
  <c r="GT98" i="1"/>
  <c r="GW98" i="1"/>
  <c r="DG98" i="1"/>
  <c r="FD98" i="1"/>
  <c r="GY98" i="1"/>
  <c r="HA98" i="1"/>
  <c r="GK98" i="1"/>
  <c r="GI98" i="1"/>
  <c r="DY98" i="1"/>
  <c r="GJ98" i="1"/>
  <c r="GF98" i="1"/>
  <c r="HH98" i="1"/>
  <c r="GO98" i="1"/>
  <c r="GS98" i="1"/>
  <c r="CO50" i="1"/>
  <c r="DG50" i="1"/>
  <c r="DT50" i="1"/>
  <c r="GK50" i="1"/>
  <c r="BJ50" i="1"/>
  <c r="BI50" i="1"/>
  <c r="HI50" i="1"/>
  <c r="BB50" i="1"/>
  <c r="BU50" i="1"/>
  <c r="CB50" i="1"/>
  <c r="GN50" i="1"/>
  <c r="CM50" i="1"/>
  <c r="CW50" i="1"/>
  <c r="DC50" i="1"/>
  <c r="DE50" i="1"/>
  <c r="BH50" i="1"/>
  <c r="ET50" i="1"/>
  <c r="BD50" i="1"/>
  <c r="DK50" i="1"/>
  <c r="BE50" i="1"/>
  <c r="BZ50" i="1"/>
  <c r="EY50" i="1"/>
  <c r="BF50" i="1"/>
  <c r="BS50" i="1"/>
  <c r="ES50" i="1"/>
  <c r="FK50" i="1"/>
  <c r="DH50" i="1"/>
  <c r="DB50" i="1"/>
  <c r="BW50" i="1"/>
  <c r="GM50" i="1"/>
  <c r="BN50" i="1"/>
  <c r="GV50" i="1"/>
  <c r="CC50" i="1"/>
  <c r="CV50" i="1"/>
  <c r="GT50" i="1"/>
  <c r="FR50" i="1"/>
  <c r="GP50" i="1"/>
  <c r="FM50" i="1"/>
  <c r="HG50" i="1"/>
  <c r="FI50" i="1"/>
  <c r="EZ50" i="1"/>
  <c r="HG40" i="1"/>
  <c r="CX50" i="1"/>
  <c r="CQ50" i="1"/>
  <c r="CL50" i="1"/>
  <c r="BQ50" i="1"/>
  <c r="BX50" i="1"/>
  <c r="GH41" i="1"/>
  <c r="GO41" i="1"/>
  <c r="GQ41" i="1"/>
  <c r="FE41" i="1"/>
  <c r="EC41" i="1"/>
  <c r="EB41" i="1"/>
  <c r="DO41" i="1"/>
  <c r="EY41" i="1"/>
  <c r="DB41" i="1"/>
  <c r="CI50" i="1"/>
  <c r="BM50" i="1"/>
  <c r="DJ50" i="1"/>
  <c r="EU50" i="1"/>
  <c r="DG63" i="1"/>
  <c r="DS63" i="1"/>
  <c r="DD55" i="1"/>
  <c r="GJ55" i="1"/>
  <c r="GK55" i="1" s="1"/>
  <c r="CD80" i="1"/>
  <c r="DK80" i="1"/>
  <c r="HF71" i="1"/>
  <c r="FF71" i="1"/>
  <c r="DX130" i="1"/>
  <c r="CO80" i="1"/>
  <c r="FI80" i="1"/>
  <c r="CS80" i="1"/>
  <c r="CL80" i="1"/>
  <c r="FL80" i="1"/>
  <c r="CN80" i="1"/>
  <c r="CK80" i="1"/>
  <c r="BA80" i="1"/>
  <c r="BF80" i="1"/>
  <c r="CP80" i="1"/>
  <c r="CU80" i="1"/>
  <c r="GT80" i="1"/>
  <c r="GS80" i="1"/>
  <c r="HH80" i="1"/>
  <c r="HA80" i="1"/>
  <c r="ET80" i="1"/>
  <c r="BZ80" i="1"/>
  <c r="FG80" i="1"/>
  <c r="BB80" i="1"/>
  <c r="EV80" i="1"/>
  <c r="DX80" i="1"/>
  <c r="DD80" i="1"/>
  <c r="FC80" i="1"/>
  <c r="FR80" i="1"/>
  <c r="FK80" i="1"/>
  <c r="CH80" i="1"/>
  <c r="BX80" i="1"/>
  <c r="CW80" i="1"/>
  <c r="CI80" i="1"/>
  <c r="HI80" i="1"/>
  <c r="GQ80" i="1"/>
  <c r="GP80" i="1"/>
  <c r="GU80" i="1"/>
  <c r="GK80" i="1"/>
  <c r="ED80" i="1"/>
  <c r="EP80" i="1"/>
  <c r="FB80" i="1"/>
  <c r="FA80" i="1"/>
  <c r="FV80" i="1"/>
  <c r="FS80" i="1"/>
  <c r="EB80" i="1"/>
  <c r="EN80" i="1"/>
  <c r="FT80" i="1"/>
  <c r="FP80" i="1"/>
  <c r="FF80" i="1"/>
  <c r="BR80" i="1"/>
  <c r="BY80" i="1"/>
  <c r="BE80" i="1"/>
  <c r="CZ80" i="1"/>
  <c r="GA80" i="1"/>
  <c r="GD80" i="1"/>
  <c r="GH80" i="1"/>
  <c r="GZ80" i="1"/>
  <c r="HE80" i="1"/>
  <c r="HC80" i="1"/>
  <c r="EJ80" i="1"/>
  <c r="DZ80" i="1"/>
  <c r="EQ80" i="1"/>
  <c r="EM80" i="1"/>
  <c r="ES80" i="1"/>
  <c r="FO80" i="1"/>
  <c r="DS80" i="1"/>
  <c r="EH80" i="1"/>
  <c r="FJ80" i="1"/>
  <c r="DA80" i="1"/>
  <c r="GC80" i="1"/>
  <c r="GI80" i="1"/>
  <c r="HG80" i="1"/>
  <c r="HF80" i="1"/>
  <c r="HD80" i="1"/>
  <c r="EA80" i="1"/>
  <c r="EE80" i="1"/>
  <c r="DR80" i="1"/>
  <c r="DN80" i="1"/>
  <c r="EZ80" i="1"/>
  <c r="CB80" i="1"/>
  <c r="FN80" i="1"/>
  <c r="DB80" i="1"/>
  <c r="EX80" i="1"/>
  <c r="CQ80" i="1"/>
  <c r="GG80" i="1"/>
  <c r="GN80" i="1"/>
  <c r="GF80" i="1"/>
  <c r="GL80" i="1"/>
  <c r="GY80" i="1"/>
  <c r="HB80" i="1"/>
  <c r="DQ80" i="1"/>
  <c r="DU80" i="1"/>
  <c r="DT80" i="1"/>
  <c r="DO80" i="1"/>
  <c r="EK80" i="1"/>
  <c r="EO80" i="1"/>
  <c r="FZ80" i="1"/>
  <c r="EF80" i="1"/>
  <c r="GO80" i="1"/>
  <c r="AZ80" i="1"/>
  <c r="FU80" i="1"/>
  <c r="DC80" i="1"/>
  <c r="EI80" i="1"/>
  <c r="EC80" i="1"/>
  <c r="DI80" i="1"/>
  <c r="EL80" i="1"/>
  <c r="CV80" i="1"/>
  <c r="DM80" i="1"/>
  <c r="CG80" i="1"/>
  <c r="BK80" i="1"/>
  <c r="EU80" i="1"/>
  <c r="DY80" i="1"/>
  <c r="CA80" i="1"/>
  <c r="BT80" i="1"/>
  <c r="FQ80" i="1"/>
  <c r="FM80" i="1"/>
  <c r="BD80" i="1"/>
  <c r="BU80" i="1"/>
  <c r="FD80" i="1"/>
  <c r="CY80" i="1"/>
  <c r="DH80" i="1"/>
  <c r="DJ80" i="1"/>
  <c r="CR80" i="1"/>
  <c r="BQ80" i="1"/>
  <c r="CX80" i="1"/>
  <c r="BV80" i="1"/>
  <c r="GR80" i="1"/>
  <c r="GW80" i="1"/>
  <c r="GX80" i="1"/>
  <c r="EG80" i="1"/>
  <c r="CF80" i="1"/>
  <c r="BG80" i="1"/>
  <c r="BJ80" i="1"/>
  <c r="BI80" i="1"/>
  <c r="DL80" i="1"/>
  <c r="ER80" i="1"/>
  <c r="BO80" i="1"/>
  <c r="EY80" i="1"/>
  <c r="CT80" i="1"/>
  <c r="DG80" i="1"/>
  <c r="GJ80" i="1"/>
  <c r="GM80" i="1"/>
  <c r="FY80" i="1"/>
  <c r="DF80" i="1"/>
  <c r="BM80" i="1"/>
  <c r="BP80" i="1"/>
  <c r="EW80" i="1"/>
  <c r="BN80" i="1"/>
  <c r="GV80" i="1"/>
  <c r="FX80" i="1"/>
  <c r="CE80" i="1"/>
  <c r="FH80" i="1"/>
  <c r="BW80" i="1"/>
  <c r="BH80" i="1"/>
  <c r="CJ80" i="1"/>
  <c r="CO89" i="1"/>
  <c r="CF89" i="1"/>
  <c r="CX89" i="1"/>
  <c r="CZ89" i="1"/>
  <c r="CG89" i="1"/>
  <c r="BF89" i="1"/>
  <c r="BB89" i="1"/>
  <c r="CB89" i="1"/>
  <c r="BT89" i="1"/>
  <c r="BN89" i="1"/>
  <c r="EZ89" i="1"/>
  <c r="CT89" i="1"/>
  <c r="CR89" i="1"/>
  <c r="BM89" i="1"/>
  <c r="CC89" i="1"/>
  <c r="CA89" i="1"/>
  <c r="BZ89" i="1"/>
  <c r="ER89" i="1"/>
  <c r="CP89" i="1"/>
  <c r="DA89" i="1"/>
  <c r="BQ89" i="1"/>
  <c r="BW89" i="1"/>
  <c r="BU89" i="1"/>
  <c r="BI89" i="1"/>
  <c r="FC89" i="1"/>
  <c r="EN89" i="1"/>
  <c r="CY89" i="1"/>
  <c r="CU89" i="1"/>
  <c r="CD89" i="1"/>
  <c r="BS89" i="1"/>
  <c r="BK89" i="1"/>
  <c r="BE89" i="1"/>
  <c r="FA89" i="1"/>
  <c r="ES89" i="1"/>
  <c r="CS89" i="1"/>
  <c r="CM89" i="1"/>
  <c r="BO89" i="1"/>
  <c r="BV89" i="1"/>
  <c r="BG89" i="1"/>
  <c r="EU89" i="1"/>
  <c r="EO89" i="1"/>
  <c r="GP89" i="1"/>
  <c r="CL89" i="1"/>
  <c r="CK89" i="1"/>
  <c r="CH89" i="1"/>
  <c r="CE89" i="1"/>
  <c r="BL89" i="1"/>
  <c r="EQ89" i="1"/>
  <c r="ET89" i="1"/>
  <c r="FB89" i="1"/>
  <c r="DT89" i="1"/>
  <c r="DS89" i="1"/>
  <c r="DJ89" i="1"/>
  <c r="EH89" i="1"/>
  <c r="FP89" i="1"/>
  <c r="BJ89" i="1"/>
  <c r="EP89" i="1"/>
  <c r="DP89" i="1"/>
  <c r="DN89" i="1"/>
  <c r="DE89" i="1"/>
  <c r="EC89" i="1"/>
  <c r="FO89" i="1"/>
  <c r="FU89" i="1"/>
  <c r="GC89" i="1"/>
  <c r="CW89" i="1"/>
  <c r="BP89" i="1"/>
  <c r="BD89" i="1"/>
  <c r="EK89" i="1"/>
  <c r="DL89" i="1"/>
  <c r="DI89" i="1"/>
  <c r="EG89" i="1"/>
  <c r="DW89" i="1"/>
  <c r="FE89" i="1"/>
  <c r="EX89" i="1"/>
  <c r="CQ89" i="1"/>
  <c r="BR89" i="1"/>
  <c r="EL89" i="1"/>
  <c r="DH89" i="1"/>
  <c r="DC89" i="1"/>
  <c r="EA89" i="1"/>
  <c r="DR89" i="1"/>
  <c r="FL89" i="1"/>
  <c r="CV89" i="1"/>
  <c r="BX89" i="1"/>
  <c r="EJ89" i="1"/>
  <c r="DD89" i="1"/>
  <c r="EE89" i="1"/>
  <c r="DV89" i="1"/>
  <c r="DM89" i="1"/>
  <c r="FT89" i="1"/>
  <c r="FI89" i="1"/>
  <c r="EB89" i="1"/>
  <c r="ED89" i="1"/>
  <c r="DU89" i="1"/>
  <c r="DK89" i="1"/>
  <c r="DB89" i="1"/>
  <c r="FM89" i="1"/>
  <c r="FS89" i="1"/>
  <c r="FY89" i="1"/>
  <c r="FF89" i="1"/>
  <c r="FV89" i="1"/>
  <c r="EY89" i="1"/>
  <c r="GB89" i="1"/>
  <c r="DQ89" i="1"/>
  <c r="EV89" i="1"/>
  <c r="EW89" i="1"/>
  <c r="HA89" i="1"/>
  <c r="GN89" i="1"/>
  <c r="DF89" i="1"/>
  <c r="FZ89" i="1"/>
  <c r="FH89" i="1"/>
  <c r="HI89" i="1"/>
  <c r="GS89" i="1"/>
  <c r="HE89" i="1"/>
  <c r="HC89" i="1"/>
  <c r="HB89" i="1"/>
  <c r="GT89" i="1"/>
  <c r="EF89" i="1"/>
  <c r="DG89" i="1"/>
  <c r="FQ89" i="1"/>
  <c r="FX89" i="1"/>
  <c r="FJ89" i="1"/>
  <c r="FG89" i="1"/>
  <c r="GI89" i="1"/>
  <c r="BA89" i="1"/>
  <c r="GF89" i="1"/>
  <c r="GW89" i="1"/>
  <c r="HG89" i="1"/>
  <c r="HF89" i="1"/>
  <c r="GZ89" i="1"/>
  <c r="CJ89" i="1"/>
  <c r="BY89" i="1"/>
  <c r="BH89" i="1"/>
  <c r="DX89" i="1"/>
  <c r="CI89" i="1"/>
  <c r="GG89" i="1"/>
  <c r="GJ89" i="1"/>
  <c r="GR89" i="1"/>
  <c r="EI89" i="1"/>
  <c r="GH89" i="1"/>
  <c r="GY89" i="1"/>
  <c r="AZ89" i="1"/>
  <c r="DZ89" i="1"/>
  <c r="FN89" i="1"/>
  <c r="GA89" i="1"/>
  <c r="GL89" i="1"/>
  <c r="GO89" i="1"/>
  <c r="CN89" i="1"/>
  <c r="DO89" i="1"/>
  <c r="GD89" i="1"/>
  <c r="GE89" i="1"/>
  <c r="GV89" i="1"/>
  <c r="EM89" i="1"/>
  <c r="FD89" i="1"/>
  <c r="HD89" i="1"/>
  <c r="GU89" i="1"/>
  <c r="GQ89" i="1"/>
  <c r="GK89" i="1"/>
  <c r="GX89" i="1"/>
  <c r="FK89" i="1"/>
  <c r="FR89" i="1"/>
  <c r="DQ63" i="1"/>
  <c r="HH63" i="1"/>
  <c r="GQ71" i="1"/>
  <c r="GJ114" i="1"/>
  <c r="FO106" i="1"/>
  <c r="HE50" i="1"/>
  <c r="HC50" i="1"/>
  <c r="GR50" i="1"/>
  <c r="GA50" i="1"/>
  <c r="GQ50" i="1"/>
  <c r="HF50" i="1"/>
  <c r="FF50" i="1"/>
  <c r="EQ50" i="1"/>
  <c r="EB50" i="1"/>
  <c r="EF40" i="1"/>
  <c r="DV50" i="1"/>
  <c r="DL50" i="1"/>
  <c r="DP50" i="1"/>
  <c r="CU50" i="1"/>
  <c r="CP50" i="1"/>
  <c r="CF50" i="1"/>
  <c r="BP50" i="1"/>
  <c r="CD32" i="1"/>
  <c r="GR41" i="1"/>
  <c r="GF41" i="1"/>
  <c r="GB41" i="1"/>
  <c r="FJ41" i="1"/>
  <c r="FD41" i="1"/>
  <c r="FA41" i="1"/>
  <c r="EV41" i="1"/>
  <c r="CA50" i="1"/>
  <c r="DM41" i="1"/>
  <c r="CB41" i="1"/>
  <c r="BB41" i="1"/>
  <c r="EU41" i="1"/>
  <c r="GV41" i="1"/>
  <c r="CD50" i="1"/>
  <c r="DF50" i="1"/>
  <c r="BY50" i="1"/>
  <c r="ET63" i="1"/>
  <c r="CK63" i="1"/>
  <c r="BS55" i="1"/>
  <c r="CC80" i="1"/>
  <c r="HD106" i="1"/>
  <c r="GR106" i="1"/>
  <c r="GL63" i="1"/>
  <c r="GM89" i="1"/>
  <c r="GM114" i="1"/>
  <c r="FE80" i="1"/>
  <c r="CO71" i="1"/>
  <c r="BQ71" i="1"/>
  <c r="EN71" i="1"/>
  <c r="BU71" i="1"/>
  <c r="EO71" i="1"/>
  <c r="BT71" i="1"/>
  <c r="BH71" i="1"/>
  <c r="EP71" i="1"/>
  <c r="CP71" i="1"/>
  <c r="BM71" i="1"/>
  <c r="BG71" i="1"/>
  <c r="BK71" i="1"/>
  <c r="FA71" i="1"/>
  <c r="EU71" i="1"/>
  <c r="EK71" i="1"/>
  <c r="DL71" i="1"/>
  <c r="DM71" i="1"/>
  <c r="DS71" i="1"/>
  <c r="DJ71" i="1"/>
  <c r="FK71" i="1"/>
  <c r="CV71" i="1"/>
  <c r="BF71" i="1"/>
  <c r="BW71" i="1"/>
  <c r="BR71" i="1"/>
  <c r="CA71" i="1"/>
  <c r="GE71" i="1"/>
  <c r="EL71" i="1"/>
  <c r="DH71" i="1"/>
  <c r="DI71" i="1"/>
  <c r="DO71" i="1"/>
  <c r="ED71" i="1"/>
  <c r="FM71" i="1"/>
  <c r="FR71" i="1"/>
  <c r="FD71" i="1"/>
  <c r="CS71" i="1"/>
  <c r="CG71" i="1"/>
  <c r="EQ71" i="1"/>
  <c r="BS71" i="1"/>
  <c r="BI71" i="1"/>
  <c r="EX71" i="1"/>
  <c r="FH71" i="1"/>
  <c r="FW71" i="1"/>
  <c r="EJ71" i="1"/>
  <c r="DD71" i="1"/>
  <c r="DE71" i="1"/>
  <c r="DK71" i="1"/>
  <c r="DN71" i="1"/>
  <c r="FQ71" i="1"/>
  <c r="FS71" i="1"/>
  <c r="CT71" i="1"/>
  <c r="CM71" i="1"/>
  <c r="CY71" i="1"/>
  <c r="ER71" i="1"/>
  <c r="BV71" i="1"/>
  <c r="BN71" i="1"/>
  <c r="FN71" i="1"/>
  <c r="FU71" i="1"/>
  <c r="EM71" i="1"/>
  <c r="EF71" i="1"/>
  <c r="EG71" i="1"/>
  <c r="EH71" i="1"/>
  <c r="DG71" i="1"/>
  <c r="DR71" i="1"/>
  <c r="FZ71" i="1"/>
  <c r="CQ71" i="1"/>
  <c r="CF71" i="1"/>
  <c r="BL71" i="1"/>
  <c r="ET71" i="1"/>
  <c r="BJ71" i="1"/>
  <c r="BD71" i="1"/>
  <c r="BO71" i="1"/>
  <c r="EZ71" i="1"/>
  <c r="EB71" i="1"/>
  <c r="EC71" i="1"/>
  <c r="EI71" i="1"/>
  <c r="DC71" i="1"/>
  <c r="DB71" i="1"/>
  <c r="FY71" i="1"/>
  <c r="FX71" i="1"/>
  <c r="FO71" i="1"/>
  <c r="CU71" i="1"/>
  <c r="DA71" i="1"/>
  <c r="CC71" i="1"/>
  <c r="CL71" i="1"/>
  <c r="CN71" i="1"/>
  <c r="BB71" i="1"/>
  <c r="EW71" i="1"/>
  <c r="DT71" i="1"/>
  <c r="DU71" i="1"/>
  <c r="EA71" i="1"/>
  <c r="DF71" i="1"/>
  <c r="CJ71" i="1"/>
  <c r="CW71" i="1"/>
  <c r="BY71" i="1"/>
  <c r="BE71" i="1"/>
  <c r="CE71" i="1"/>
  <c r="FC71" i="1"/>
  <c r="EV71" i="1"/>
  <c r="FG71" i="1"/>
  <c r="HI71" i="1"/>
  <c r="GD71" i="1"/>
  <c r="DQ71" i="1"/>
  <c r="BZ71" i="1"/>
  <c r="FE71" i="1"/>
  <c r="GB71" i="1"/>
  <c r="GN71" i="1"/>
  <c r="GT71" i="1"/>
  <c r="GL71" i="1"/>
  <c r="GP71" i="1"/>
  <c r="GU71" i="1"/>
  <c r="GY71" i="1"/>
  <c r="HA71" i="1"/>
  <c r="HD71" i="1"/>
  <c r="EE71" i="1"/>
  <c r="CH71" i="1"/>
  <c r="EY71" i="1"/>
  <c r="GC71" i="1"/>
  <c r="BA71" i="1"/>
  <c r="DW71" i="1"/>
  <c r="BP71" i="1"/>
  <c r="FV71" i="1"/>
  <c r="GJ71" i="1"/>
  <c r="GV71" i="1"/>
  <c r="HC71" i="1"/>
  <c r="HB71" i="1"/>
  <c r="DV71" i="1"/>
  <c r="FL71" i="1"/>
  <c r="CI71" i="1"/>
  <c r="CB71" i="1"/>
  <c r="GA71" i="1"/>
  <c r="GG71" i="1"/>
  <c r="GF71" i="1"/>
  <c r="GO71" i="1"/>
  <c r="GW71" i="1"/>
  <c r="HH71" i="1"/>
  <c r="GK71" i="1"/>
  <c r="DZ71" i="1"/>
  <c r="CX71" i="1"/>
  <c r="BX71" i="1"/>
  <c r="GH71" i="1"/>
  <c r="HE71" i="1"/>
  <c r="DP71" i="1"/>
  <c r="CR71" i="1"/>
  <c r="ES71" i="1"/>
  <c r="FJ71" i="1"/>
  <c r="GR71" i="1"/>
  <c r="HG71" i="1"/>
  <c r="GM71" i="1"/>
  <c r="DX71" i="1"/>
  <c r="FB71" i="1"/>
  <c r="AZ71" i="1"/>
  <c r="DY71" i="1"/>
  <c r="GX71" i="1"/>
  <c r="CK71" i="1"/>
  <c r="FI71" i="1"/>
  <c r="GI71" i="1"/>
  <c r="FP71" i="1"/>
  <c r="FT71" i="1"/>
  <c r="CZ71" i="1"/>
  <c r="GS71" i="1"/>
  <c r="CO122" i="1"/>
  <c r="CV122" i="1"/>
  <c r="BN122" i="1"/>
  <c r="CE122" i="1"/>
  <c r="BO122" i="1"/>
  <c r="BB122" i="1"/>
  <c r="FB122" i="1"/>
  <c r="EO122" i="1"/>
  <c r="GT122" i="1"/>
  <c r="GX122" i="1"/>
  <c r="CX122" i="1"/>
  <c r="CR122" i="1"/>
  <c r="BP122" i="1"/>
  <c r="BZ122" i="1"/>
  <c r="FC122" i="1"/>
  <c r="EU122" i="1"/>
  <c r="AZ122" i="1"/>
  <c r="CT122" i="1"/>
  <c r="DA122" i="1"/>
  <c r="CH122" i="1"/>
  <c r="CA122" i="1"/>
  <c r="BV122" i="1"/>
  <c r="EZ122" i="1"/>
  <c r="EP122" i="1"/>
  <c r="CK122" i="1"/>
  <c r="CP122" i="1"/>
  <c r="CW122" i="1"/>
  <c r="BW122" i="1"/>
  <c r="BM122" i="1"/>
  <c r="ER122" i="1"/>
  <c r="EQ122" i="1"/>
  <c r="CL122" i="1"/>
  <c r="CG122" i="1"/>
  <c r="CY122" i="1"/>
  <c r="CS122" i="1"/>
  <c r="BS122" i="1"/>
  <c r="BI122" i="1"/>
  <c r="BJ122" i="1"/>
  <c r="BY122" i="1"/>
  <c r="BG122" i="1"/>
  <c r="BX122" i="1"/>
  <c r="BE122" i="1"/>
  <c r="EN122" i="1"/>
  <c r="CJ122" i="1"/>
  <c r="CU122" i="1"/>
  <c r="CM122" i="1"/>
  <c r="CI122" i="1"/>
  <c r="BR122" i="1"/>
  <c r="BT122" i="1"/>
  <c r="BL122" i="1"/>
  <c r="BF122" i="1"/>
  <c r="BD122" i="1"/>
  <c r="ES122" i="1"/>
  <c r="BU122" i="1"/>
  <c r="EM122" i="1"/>
  <c r="EL122" i="1"/>
  <c r="DG122" i="1"/>
  <c r="EH122" i="1"/>
  <c r="ED122" i="1"/>
  <c r="DU122" i="1"/>
  <c r="FN122" i="1"/>
  <c r="FO122" i="1"/>
  <c r="FW122" i="1"/>
  <c r="GE122" i="1"/>
  <c r="CC122" i="1"/>
  <c r="ET122" i="1"/>
  <c r="EI122" i="1"/>
  <c r="DC122" i="1"/>
  <c r="EC122" i="1"/>
  <c r="DY122" i="1"/>
  <c r="DP122" i="1"/>
  <c r="FL122" i="1"/>
  <c r="FK122" i="1"/>
  <c r="FR122" i="1"/>
  <c r="FQ122" i="1"/>
  <c r="FJ122" i="1"/>
  <c r="FF122" i="1"/>
  <c r="FI122" i="1"/>
  <c r="BQ122" i="1"/>
  <c r="EE122" i="1"/>
  <c r="EG122" i="1"/>
  <c r="DX122" i="1"/>
  <c r="DT122" i="1"/>
  <c r="DJ122" i="1"/>
  <c r="FM122" i="1"/>
  <c r="CF122" i="1"/>
  <c r="CQ122" i="1"/>
  <c r="CB122" i="1"/>
  <c r="EA122" i="1"/>
  <c r="EB122" i="1"/>
  <c r="DR122" i="1"/>
  <c r="DN122" i="1"/>
  <c r="DE122" i="1"/>
  <c r="FT122" i="1"/>
  <c r="FX122" i="1"/>
  <c r="CZ122" i="1"/>
  <c r="CD122" i="1"/>
  <c r="DW122" i="1"/>
  <c r="DV122" i="1"/>
  <c r="DM122" i="1"/>
  <c r="DI122" i="1"/>
  <c r="FY122" i="1"/>
  <c r="FE122" i="1"/>
  <c r="FU122" i="1"/>
  <c r="BK122" i="1"/>
  <c r="CN122" i="1"/>
  <c r="DO122" i="1"/>
  <c r="DL122" i="1"/>
  <c r="DB122" i="1"/>
  <c r="EF122" i="1"/>
  <c r="EV122" i="1"/>
  <c r="EX122" i="1"/>
  <c r="DF122" i="1"/>
  <c r="FV122" i="1"/>
  <c r="GC122" i="1"/>
  <c r="GG122" i="1"/>
  <c r="GN122" i="1"/>
  <c r="GB122" i="1"/>
  <c r="GQ122" i="1"/>
  <c r="GR122" i="1"/>
  <c r="DH122" i="1"/>
  <c r="FS122" i="1"/>
  <c r="GH122" i="1"/>
  <c r="GL122" i="1"/>
  <c r="GW122" i="1"/>
  <c r="EJ122" i="1"/>
  <c r="EY122" i="1"/>
  <c r="FH122" i="1"/>
  <c r="GI122" i="1"/>
  <c r="GU122" i="1"/>
  <c r="HD122" i="1"/>
  <c r="GP122" i="1"/>
  <c r="HC122" i="1"/>
  <c r="BH122" i="1"/>
  <c r="DD122" i="1"/>
  <c r="FD122" i="1"/>
  <c r="GY122" i="1"/>
  <c r="HA122" i="1"/>
  <c r="HB122" i="1"/>
  <c r="GF122" i="1"/>
  <c r="GK122" i="1"/>
  <c r="EK122" i="1"/>
  <c r="DZ122" i="1"/>
  <c r="HH122" i="1"/>
  <c r="DK122" i="1"/>
  <c r="EW122" i="1"/>
  <c r="GO122" i="1"/>
  <c r="GS122" i="1"/>
  <c r="GA122" i="1"/>
  <c r="GJ122" i="1"/>
  <c r="HG122" i="1"/>
  <c r="DS122" i="1"/>
  <c r="FG122" i="1"/>
  <c r="HF122" i="1"/>
  <c r="DQ122" i="1"/>
  <c r="HI122" i="1"/>
  <c r="GD122" i="1"/>
  <c r="GV122" i="1"/>
  <c r="HE122" i="1"/>
  <c r="FP122" i="1"/>
  <c r="FZ122" i="1"/>
  <c r="GZ122" i="1"/>
  <c r="BM63" i="1"/>
  <c r="CM80" i="1"/>
  <c r="FX50" i="1"/>
  <c r="FW50" i="1"/>
  <c r="HD50" i="1"/>
  <c r="GG50" i="1"/>
  <c r="GO50" i="1"/>
  <c r="GD50" i="1"/>
  <c r="FJ50" i="1"/>
  <c r="FH50" i="1"/>
  <c r="HB50" i="1"/>
  <c r="EP50" i="1"/>
  <c r="EM50" i="1"/>
  <c r="EP40" i="1"/>
  <c r="EC50" i="1"/>
  <c r="EH40" i="1"/>
  <c r="EA50" i="1"/>
  <c r="CZ50" i="1"/>
  <c r="CS50" i="1"/>
  <c r="CK50" i="1"/>
  <c r="BP41" i="1"/>
  <c r="BF41" i="1"/>
  <c r="GL41" i="1"/>
  <c r="GJ50" i="1"/>
  <c r="FL63" i="1"/>
  <c r="DT63" i="1"/>
  <c r="GL27" i="1"/>
  <c r="HI27" i="1"/>
  <c r="DD27" i="1"/>
  <c r="BW27" i="1"/>
  <c r="BD27" i="1"/>
  <c r="DH27" i="1" s="1"/>
  <c r="DC55" i="1"/>
  <c r="DJ55" i="1" s="1"/>
  <c r="BL80" i="1"/>
  <c r="GB80" i="1"/>
  <c r="GI36" i="1"/>
  <c r="EH36" i="1"/>
  <c r="GR19" i="1"/>
  <c r="GF19" i="1"/>
  <c r="GO19" i="1"/>
  <c r="GA19" i="1"/>
  <c r="FJ19" i="1"/>
  <c r="HH19" i="1"/>
  <c r="HE19" i="1"/>
  <c r="EP19" i="1"/>
  <c r="EH19" i="1"/>
  <c r="DS19" i="1"/>
  <c r="DO19" i="1"/>
  <c r="CZ19" i="1"/>
  <c r="CR19" i="1"/>
  <c r="CC19" i="1"/>
  <c r="BR19" i="1"/>
  <c r="DT36" i="1"/>
  <c r="DJ43" i="1"/>
  <c r="CD19" i="1"/>
  <c r="BV19" i="1"/>
  <c r="BY19" i="1"/>
  <c r="ES19" i="1"/>
  <c r="EY19" i="1"/>
  <c r="HI19" i="1"/>
  <c r="BK36" i="1"/>
  <c r="BD43" i="1"/>
  <c r="DG43" i="1"/>
  <c r="CI43" i="1"/>
  <c r="DF43" i="1"/>
  <c r="HA19" i="1"/>
  <c r="GY19" i="1"/>
  <c r="GG19" i="1"/>
  <c r="FZ19" i="1"/>
  <c r="FU19" i="1"/>
  <c r="HB19" i="1"/>
  <c r="FI19" i="1"/>
  <c r="EZ19" i="1"/>
  <c r="EJ19" i="1"/>
  <c r="EB19" i="1"/>
  <c r="DR19" i="1"/>
  <c r="DN19" i="1"/>
  <c r="CY19" i="1"/>
  <c r="CF19" i="1"/>
  <c r="CB19" i="1"/>
  <c r="BA19" i="1"/>
  <c r="BO19" i="1"/>
  <c r="GX19" i="1"/>
  <c r="FK19" i="1"/>
  <c r="BI19" i="1"/>
  <c r="DJ19" i="1"/>
  <c r="DE19" i="1"/>
  <c r="BM19" i="1"/>
  <c r="DC19" i="1"/>
  <c r="FS19" i="1"/>
  <c r="FQ19" i="1"/>
  <c r="FN19" i="1"/>
  <c r="EW19" i="1"/>
  <c r="FO19" i="1"/>
  <c r="FB19" i="1"/>
  <c r="EO19" i="1"/>
  <c r="EE19" i="1"/>
  <c r="EA19" i="1"/>
  <c r="DV19" i="1"/>
  <c r="CW19" i="1"/>
  <c r="CQ19" i="1"/>
  <c r="CM19" i="1"/>
  <c r="BX19" i="1"/>
  <c r="DT19" i="1"/>
  <c r="BF19" i="1"/>
  <c r="CI19" i="1"/>
  <c r="BH19" i="1"/>
  <c r="BW19" i="1"/>
  <c r="AD33" i="1"/>
  <c r="AH33" i="1" s="1"/>
  <c r="AE14" i="1"/>
  <c r="AG14" i="1" s="1"/>
  <c r="AC14" i="1"/>
  <c r="R11" i="1"/>
  <c r="X11" i="1" s="1"/>
  <c r="AW11" i="7" s="1"/>
  <c r="Q11" i="1"/>
  <c r="AD35" i="1"/>
  <c r="AH35" i="1" s="1"/>
  <c r="AF35" i="1"/>
  <c r="AM35" i="1" s="1"/>
  <c r="HE36" i="1"/>
  <c r="GC19" i="1"/>
  <c r="GD19" i="1"/>
  <c r="FM19" i="1"/>
  <c r="FV19" i="1"/>
  <c r="FL19" i="1"/>
  <c r="EV19" i="1"/>
  <c r="EM19" i="1"/>
  <c r="EF19" i="1"/>
  <c r="DY19" i="1"/>
  <c r="DQ19" i="1"/>
  <c r="CV19" i="1"/>
  <c r="CP19" i="1"/>
  <c r="CJ19" i="1"/>
  <c r="BE19" i="1"/>
  <c r="GU19" i="1"/>
  <c r="BN43" i="1"/>
  <c r="BT19" i="1"/>
  <c r="DK19" i="1"/>
  <c r="GM19" i="1"/>
  <c r="BZ19" i="1"/>
  <c r="DH19" i="1"/>
  <c r="EU43" i="1"/>
  <c r="BS43" i="1"/>
  <c r="BW43" i="1"/>
  <c r="BJ43" i="1"/>
  <c r="AE40" i="1"/>
  <c r="AF11" i="1"/>
  <c r="AV39" i="1"/>
  <c r="CI39" i="1" s="1"/>
  <c r="AA39" i="1"/>
  <c r="N39" i="1"/>
  <c r="P39" i="1"/>
  <c r="S39" i="1" s="1"/>
  <c r="Y39" i="1" s="1"/>
  <c r="O39" i="1"/>
  <c r="Z39" i="1"/>
  <c r="AG25" i="1"/>
  <c r="CO81" i="1"/>
  <c r="CP81" i="1"/>
  <c r="CN81" i="1"/>
  <c r="CE81" i="1"/>
  <c r="BY81" i="1"/>
  <c r="EM81" i="1"/>
  <c r="ET81" i="1"/>
  <c r="CY81" i="1"/>
  <c r="CW81" i="1"/>
  <c r="BP81" i="1"/>
  <c r="BT81" i="1"/>
  <c r="BE81" i="1"/>
  <c r="EZ81" i="1"/>
  <c r="EP81" i="1"/>
  <c r="CF81" i="1"/>
  <c r="CS81" i="1"/>
  <c r="CQ81" i="1"/>
  <c r="BQ81" i="1"/>
  <c r="BZ81" i="1"/>
  <c r="ER81" i="1"/>
  <c r="CH81" i="1"/>
  <c r="CL81" i="1"/>
  <c r="CK81" i="1"/>
  <c r="CB81" i="1"/>
  <c r="BU81" i="1"/>
  <c r="BJ81" i="1"/>
  <c r="EN81" i="1"/>
  <c r="DA81" i="1"/>
  <c r="CZ81" i="1"/>
  <c r="BI81" i="1"/>
  <c r="BB81" i="1"/>
  <c r="BR81" i="1"/>
  <c r="BV81" i="1"/>
  <c r="BD81" i="1"/>
  <c r="FA81" i="1"/>
  <c r="BM81" i="1"/>
  <c r="CU81" i="1"/>
  <c r="CR81" i="1"/>
  <c r="BN81" i="1"/>
  <c r="CC81" i="1"/>
  <c r="CA81" i="1"/>
  <c r="BX81" i="1"/>
  <c r="FC81" i="1"/>
  <c r="ES81" i="1"/>
  <c r="CO90" i="1"/>
  <c r="CP90" i="1"/>
  <c r="CI90" i="1"/>
  <c r="CD90" i="1"/>
  <c r="BY90" i="1"/>
  <c r="BJ90" i="1"/>
  <c r="BM90" i="1"/>
  <c r="CN90" i="1"/>
  <c r="EU90" i="1"/>
  <c r="EH90" i="1"/>
  <c r="DB90" i="1"/>
  <c r="EJ90" i="1"/>
  <c r="EA90" i="1"/>
  <c r="DQ90" i="1"/>
  <c r="GX90" i="1"/>
  <c r="CW90" i="1"/>
  <c r="BO90" i="1"/>
  <c r="BT90" i="1"/>
  <c r="BF90" i="1"/>
  <c r="EZ90" i="1"/>
  <c r="EQ90" i="1"/>
  <c r="ED90" i="1"/>
  <c r="EI90" i="1"/>
  <c r="EE90" i="1"/>
  <c r="DU90" i="1"/>
  <c r="DL90" i="1"/>
  <c r="CL90" i="1"/>
  <c r="CG90" i="1"/>
  <c r="CF90" i="1"/>
  <c r="CR90" i="1"/>
  <c r="CC90" i="1"/>
  <c r="BZ90" i="1"/>
  <c r="BL90" i="1"/>
  <c r="FC90" i="1"/>
  <c r="EM90" i="1"/>
  <c r="DZ90" i="1"/>
  <c r="EC90" i="1"/>
  <c r="DY90" i="1"/>
  <c r="DP90" i="1"/>
  <c r="DG90" i="1"/>
  <c r="CM90" i="1"/>
  <c r="CQ90" i="1"/>
  <c r="BQ90" i="1"/>
  <c r="BV90" i="1"/>
  <c r="BH90" i="1"/>
  <c r="BI90" i="1"/>
  <c r="ES90" i="1"/>
  <c r="FB90" i="1"/>
  <c r="DV90" i="1"/>
  <c r="DX90" i="1"/>
  <c r="DT90" i="1"/>
  <c r="DK90" i="1"/>
  <c r="GP90" i="1"/>
  <c r="CY90" i="1"/>
  <c r="CV90" i="1"/>
  <c r="CU90" i="1"/>
  <c r="CS90" i="1"/>
  <c r="CE90" i="1"/>
  <c r="BX90" i="1"/>
  <c r="CA90" i="1"/>
  <c r="BD90" i="1"/>
  <c r="EO90" i="1"/>
  <c r="ER90" i="1"/>
  <c r="DR90" i="1"/>
  <c r="DS90" i="1"/>
  <c r="DO90" i="1"/>
  <c r="DE90" i="1"/>
  <c r="CH90" i="1"/>
  <c r="DA90" i="1"/>
  <c r="CZ90" i="1"/>
  <c r="BP90" i="1"/>
  <c r="BS90" i="1"/>
  <c r="BU90" i="1"/>
  <c r="ET90" i="1"/>
  <c r="EN90" i="1"/>
  <c r="DN90" i="1"/>
  <c r="DM90" i="1"/>
  <c r="DI90" i="1"/>
  <c r="EG90" i="1"/>
  <c r="AO115" i="1"/>
  <c r="P115" i="1"/>
  <c r="AA115" i="1"/>
  <c r="AO82" i="1"/>
  <c r="N82" i="1"/>
  <c r="R16" i="1"/>
  <c r="X16" i="1" s="1"/>
  <c r="AW16" i="7" s="1"/>
  <c r="AO128" i="1"/>
  <c r="AE128" i="1"/>
  <c r="V128" i="1"/>
  <c r="AC128" i="1"/>
  <c r="AJ128" i="1"/>
  <c r="Q128" i="1"/>
  <c r="R128" i="1"/>
  <c r="X128" i="1"/>
  <c r="AH128" i="1"/>
  <c r="AK128" i="1"/>
  <c r="AO121" i="1"/>
  <c r="AM121" i="1"/>
  <c r="T121" i="1"/>
  <c r="Z121" i="1"/>
  <c r="AL121" i="1"/>
  <c r="Q121" i="1"/>
  <c r="AB121" i="1"/>
  <c r="AK121" i="1"/>
  <c r="AA121" i="1"/>
  <c r="AN121" i="1"/>
  <c r="AF7" i="1"/>
  <c r="AM7" i="1"/>
  <c r="GX81" i="1"/>
  <c r="AA50" i="1"/>
  <c r="N118" i="1"/>
  <c r="Z70" i="1"/>
  <c r="P42" i="1"/>
  <c r="S42" i="1" s="1"/>
  <c r="Y42" i="1" s="1"/>
  <c r="AA117" i="1"/>
  <c r="R32" i="1"/>
  <c r="X32" i="1" s="1"/>
  <c r="BF32" i="1"/>
  <c r="AC16" i="1"/>
  <c r="AD16" i="1"/>
  <c r="AH16" i="1" s="1"/>
  <c r="BL16" i="1" s="1"/>
  <c r="AF16" i="1"/>
  <c r="AM16" i="1" s="1"/>
  <c r="FZ51" i="1"/>
  <c r="HB51" i="1"/>
  <c r="HH51" i="1"/>
  <c r="HE51" i="1"/>
  <c r="EP51" i="1"/>
  <c r="FF40" i="1"/>
  <c r="EG51" i="1"/>
  <c r="EC51" i="1"/>
  <c r="EA51" i="1"/>
  <c r="DU51" i="1"/>
  <c r="DY40" i="1"/>
  <c r="DP40" i="1"/>
  <c r="BG21" i="1"/>
  <c r="FU36" i="1"/>
  <c r="DY36" i="1"/>
  <c r="CL36" i="1"/>
  <c r="BP36" i="1"/>
  <c r="BY36" i="1"/>
  <c r="AE92" i="1"/>
  <c r="AD73" i="1"/>
  <c r="P92" i="1"/>
  <c r="AO81" i="1"/>
  <c r="Z81" i="1"/>
  <c r="AI81" i="1"/>
  <c r="Q81" i="1"/>
  <c r="AM81" i="1"/>
  <c r="AN81" i="1"/>
  <c r="AA81" i="1"/>
  <c r="T81" i="1"/>
  <c r="N81" i="1"/>
  <c r="O81" i="1"/>
  <c r="U81" i="1"/>
  <c r="R81" i="1"/>
  <c r="AD81" i="1"/>
  <c r="Y81" i="1"/>
  <c r="AB81" i="1"/>
  <c r="AE81" i="1"/>
  <c r="AG81" i="1"/>
  <c r="AP81" i="1"/>
  <c r="V81" i="1"/>
  <c r="AF81" i="1"/>
  <c r="AC81" i="1"/>
  <c r="AL81" i="1"/>
  <c r="EJ36" i="1"/>
  <c r="ES52" i="1"/>
  <c r="CO52" i="1"/>
  <c r="BO52" i="1"/>
  <c r="DB52" i="1"/>
  <c r="GV52" i="1"/>
  <c r="BE52" i="1"/>
  <c r="CF52" i="1"/>
  <c r="BZ9" i="1"/>
  <c r="CO9" i="1"/>
  <c r="AJ14" i="1"/>
  <c r="AJ25" i="1"/>
  <c r="AC38" i="1"/>
  <c r="AD38" i="1"/>
  <c r="AE38" i="1"/>
  <c r="R9" i="1"/>
  <c r="X9" i="1" s="1"/>
  <c r="Q9" i="1"/>
  <c r="AF31" i="1"/>
  <c r="AD31" i="1"/>
  <c r="AH31" i="1" s="1"/>
  <c r="P81" i="1"/>
  <c r="AO113" i="1"/>
  <c r="P113" i="1"/>
  <c r="S113" i="1"/>
  <c r="Y113" i="1"/>
  <c r="AA113" i="1"/>
  <c r="AB113" i="1"/>
  <c r="Z113" i="1"/>
  <c r="AD113" i="1"/>
  <c r="AC113" i="1"/>
  <c r="AM113" i="1"/>
  <c r="T113" i="1"/>
  <c r="AK113" i="1"/>
  <c r="AP113" i="1"/>
  <c r="AH113" i="1"/>
  <c r="AF113" i="1"/>
  <c r="AG113" i="1"/>
  <c r="U113" i="1"/>
  <c r="W113" i="1"/>
  <c r="R113" i="1"/>
  <c r="AQ113" i="1"/>
  <c r="O113" i="1"/>
  <c r="X113" i="1"/>
  <c r="AI113" i="1"/>
  <c r="AO106" i="1"/>
  <c r="P106" i="1"/>
  <c r="Y106" i="1"/>
  <c r="AE106" i="1"/>
  <c r="AB106" i="1"/>
  <c r="O106" i="1"/>
  <c r="AQ106" i="1"/>
  <c r="U106" i="1"/>
  <c r="N106" i="1"/>
  <c r="R106" i="1"/>
  <c r="T106" i="1"/>
  <c r="X106" i="1"/>
  <c r="AF106" i="1"/>
  <c r="S106" i="1"/>
  <c r="AC106" i="1"/>
  <c r="AJ106" i="1"/>
  <c r="AP106" i="1"/>
  <c r="AH106" i="1"/>
  <c r="AM106" i="1"/>
  <c r="AL106" i="1"/>
  <c r="Z106" i="1"/>
  <c r="V106" i="1"/>
  <c r="AN106" i="1"/>
  <c r="AK106" i="1"/>
  <c r="AT106" i="1"/>
  <c r="AO92" i="1"/>
  <c r="AA92" i="1"/>
  <c r="Z92" i="1"/>
  <c r="AL92" i="1"/>
  <c r="T92" i="1"/>
  <c r="AN92" i="1"/>
  <c r="N92" i="1"/>
  <c r="AF92" i="1"/>
  <c r="U92" i="1"/>
  <c r="AP92" i="1"/>
  <c r="Q92" i="1"/>
  <c r="R92" i="1"/>
  <c r="AG92" i="1"/>
  <c r="AK92" i="1"/>
  <c r="AB92" i="1"/>
  <c r="X92" i="1"/>
  <c r="AI92" i="1"/>
  <c r="AT92" i="1"/>
  <c r="Y92" i="1"/>
  <c r="AJ92" i="1"/>
  <c r="O92" i="1"/>
  <c r="V92" i="1"/>
  <c r="AC92" i="1"/>
  <c r="W92" i="1"/>
  <c r="AO86" i="1"/>
  <c r="N86" i="1"/>
  <c r="P86" i="1"/>
  <c r="AM86" i="1"/>
  <c r="AJ86" i="1"/>
  <c r="U86" i="1"/>
  <c r="AP86" i="1"/>
  <c r="S86" i="1"/>
  <c r="V86" i="1"/>
  <c r="AI86" i="1"/>
  <c r="AK86" i="1"/>
  <c r="Z86" i="1"/>
  <c r="Y86" i="1"/>
  <c r="AE86" i="1"/>
  <c r="AC86" i="1"/>
  <c r="T86" i="1"/>
  <c r="AA86" i="1"/>
  <c r="R86" i="1"/>
  <c r="AD86" i="1"/>
  <c r="W86" i="1"/>
  <c r="AB86" i="1"/>
  <c r="Q86" i="1"/>
  <c r="AF86" i="1"/>
  <c r="AG86" i="1"/>
  <c r="AT86" i="1"/>
  <c r="AO73" i="1"/>
  <c r="Z73" i="1"/>
  <c r="P73" i="1"/>
  <c r="W73" i="1"/>
  <c r="S73" i="1"/>
  <c r="R73" i="1"/>
  <c r="AG73" i="1"/>
  <c r="AL73" i="1"/>
  <c r="AN73" i="1"/>
  <c r="Y73" i="1"/>
  <c r="X73" i="1"/>
  <c r="Q73" i="1"/>
  <c r="AM73" i="1"/>
  <c r="V73" i="1"/>
  <c r="AE73" i="1"/>
  <c r="AI73" i="1"/>
  <c r="AK73" i="1"/>
  <c r="AA73" i="1"/>
  <c r="AH73" i="1"/>
  <c r="O73" i="1"/>
  <c r="AC73" i="1"/>
  <c r="AQ73" i="1"/>
  <c r="AP73" i="1"/>
  <c r="CO69" i="1"/>
  <c r="GZ69" i="1"/>
  <c r="GL69" i="1"/>
  <c r="FG69" i="1"/>
  <c r="GF69" i="1"/>
  <c r="GW69" i="1"/>
  <c r="GK69" i="1"/>
  <c r="AZ69" i="1"/>
  <c r="GM69" i="1"/>
  <c r="GO69" i="1"/>
  <c r="GS69" i="1"/>
  <c r="HE69" i="1"/>
  <c r="HH69" i="1"/>
  <c r="GT69" i="1"/>
  <c r="GD69" i="1"/>
  <c r="GR69" i="1"/>
  <c r="HC69" i="1"/>
  <c r="HD69" i="1"/>
  <c r="GV69" i="1"/>
  <c r="GU69" i="1"/>
  <c r="HG69" i="1"/>
  <c r="HF69" i="1"/>
  <c r="HB69" i="1"/>
  <c r="FU69" i="1"/>
  <c r="CI36" i="1"/>
  <c r="CO51" i="1"/>
  <c r="ES51" i="1"/>
  <c r="BQ51" i="1"/>
  <c r="BV51" i="1"/>
  <c r="CY51" i="1"/>
  <c r="DN51" i="1"/>
  <c r="CW51" i="1"/>
  <c r="DP51" i="1"/>
  <c r="DV51" i="1"/>
  <c r="CN51" i="1"/>
  <c r="DL51" i="1"/>
  <c r="HC51" i="1"/>
  <c r="GG51" i="1"/>
  <c r="GI52" i="1"/>
  <c r="GB51" i="1"/>
  <c r="FS51" i="1"/>
  <c r="GP51" i="1"/>
  <c r="FN51" i="1"/>
  <c r="FR40" i="1"/>
  <c r="FH52" i="1"/>
  <c r="GA40" i="1"/>
  <c r="FL51" i="1"/>
  <c r="FV51" i="1"/>
  <c r="FB51" i="1"/>
  <c r="FF51" i="1"/>
  <c r="FB40" i="1"/>
  <c r="EM51" i="1"/>
  <c r="EJ51" i="1"/>
  <c r="EB52" i="1"/>
  <c r="DW51" i="1"/>
  <c r="CW52" i="1"/>
  <c r="HA36" i="1"/>
  <c r="FM36" i="1"/>
  <c r="GN36" i="1"/>
  <c r="BM36" i="1"/>
  <c r="BV36" i="1"/>
  <c r="BD52" i="1"/>
  <c r="AF29" i="1"/>
  <c r="AE29" i="1"/>
  <c r="AJ29" i="1" s="1"/>
  <c r="DC23" i="1"/>
  <c r="GL23" i="1"/>
  <c r="DF23" i="1"/>
  <c r="AC31" i="1"/>
  <c r="AD26" i="1"/>
  <c r="AH26" i="1" s="1"/>
  <c r="AF26" i="1"/>
  <c r="AJ81" i="1"/>
  <c r="AQ86" i="1"/>
  <c r="GP69" i="1"/>
  <c r="Q37" i="1"/>
  <c r="R37" i="1"/>
  <c r="X37" i="1" s="1"/>
  <c r="AQ37" i="1" s="1"/>
  <c r="AF37" i="1"/>
  <c r="AD37" i="1"/>
  <c r="AH37" i="1" s="1"/>
  <c r="FN36" i="1"/>
  <c r="DQ36" i="1"/>
  <c r="CU36" i="1"/>
  <c r="GJ36" i="1"/>
  <c r="HD51" i="1"/>
  <c r="HA51" i="1"/>
  <c r="GF51" i="1"/>
  <c r="GO51" i="1"/>
  <c r="FQ51" i="1"/>
  <c r="GD51" i="1"/>
  <c r="FM51" i="1"/>
  <c r="FD51" i="1"/>
  <c r="EV51" i="1"/>
  <c r="EN51" i="1"/>
  <c r="EI51" i="1"/>
  <c r="DR51" i="1"/>
  <c r="CX51" i="1"/>
  <c r="GU36" i="1"/>
  <c r="AE37" i="1"/>
  <c r="AG37" i="1" s="1"/>
  <c r="HI25" i="1"/>
  <c r="CO25" i="1"/>
  <c r="FV25" i="1"/>
  <c r="GI25" i="1"/>
  <c r="BB25" i="1"/>
  <c r="GZ25" i="1"/>
  <c r="BL25" i="1"/>
  <c r="BG25" i="1"/>
  <c r="BK25" i="1"/>
  <c r="EU44" i="1"/>
  <c r="CO44" i="1"/>
  <c r="DB44" i="1"/>
  <c r="GW44" i="1"/>
  <c r="AK81" i="1"/>
  <c r="AN86" i="1"/>
  <c r="AM92" i="1"/>
  <c r="X86" i="1"/>
  <c r="AE16" i="1"/>
  <c r="AC11" i="1"/>
  <c r="AD11" i="1"/>
  <c r="AE11" i="1"/>
  <c r="AF24" i="1"/>
  <c r="AD24" i="1"/>
  <c r="AE24" i="1"/>
  <c r="CO36" i="1"/>
  <c r="EU36" i="1"/>
  <c r="BW36" i="1"/>
  <c r="DJ36" i="1"/>
  <c r="BZ36" i="1"/>
  <c r="FK36" i="1"/>
  <c r="BL36" i="1"/>
  <c r="BB36" i="1"/>
  <c r="BU36" i="1"/>
  <c r="CC36" i="1"/>
  <c r="CK36" i="1"/>
  <c r="CQ36" i="1"/>
  <c r="CY36" i="1"/>
  <c r="DW36" i="1"/>
  <c r="DZ36" i="1"/>
  <c r="EO36" i="1"/>
  <c r="EQ36" i="1"/>
  <c r="FO36" i="1"/>
  <c r="FV36" i="1"/>
  <c r="FW36" i="1"/>
  <c r="GA36" i="1"/>
  <c r="GO36" i="1"/>
  <c r="GF36" i="1"/>
  <c r="EY36" i="1"/>
  <c r="BS36" i="1"/>
  <c r="BJ36" i="1"/>
  <c r="DG36" i="1"/>
  <c r="BI36" i="1"/>
  <c r="BE36" i="1"/>
  <c r="CE36" i="1"/>
  <c r="CR36" i="1"/>
  <c r="CZ36" i="1"/>
  <c r="CW36" i="1"/>
  <c r="DX36" i="1"/>
  <c r="EB36" i="1"/>
  <c r="EF36" i="1"/>
  <c r="ER36" i="1"/>
  <c r="EZ36" i="1"/>
  <c r="FF36" i="1"/>
  <c r="EX36" i="1"/>
  <c r="FX36" i="1"/>
  <c r="GP36" i="1"/>
  <c r="GB36" i="1"/>
  <c r="GH36" i="1"/>
  <c r="GZ36" i="1"/>
  <c r="GW36" i="1"/>
  <c r="BG36" i="1"/>
  <c r="DE36" i="1"/>
  <c r="AZ36" i="1"/>
  <c r="GX36" i="1"/>
  <c r="CA36" i="1"/>
  <c r="CB36" i="1"/>
  <c r="CP36" i="1"/>
  <c r="DA36" i="1"/>
  <c r="DP36" i="1"/>
  <c r="DR36" i="1"/>
  <c r="EC36" i="1"/>
  <c r="EE36" i="1"/>
  <c r="EN36" i="1"/>
  <c r="FC36" i="1"/>
  <c r="FI36" i="1"/>
  <c r="EW36" i="1"/>
  <c r="FZ36" i="1"/>
  <c r="FQ36" i="1"/>
  <c r="GT36" i="1"/>
  <c r="BH36" i="1"/>
  <c r="BD36" i="1"/>
  <c r="DI36" i="1"/>
  <c r="GM36" i="1"/>
  <c r="DK36" i="1"/>
  <c r="BA36" i="1"/>
  <c r="CG36" i="1"/>
  <c r="CH36" i="1"/>
  <c r="CS36" i="1"/>
  <c r="CX36" i="1"/>
  <c r="DU36" i="1"/>
  <c r="EK36" i="1"/>
  <c r="EG36" i="1"/>
  <c r="FY36" i="1"/>
  <c r="HB36" i="1"/>
  <c r="FP36" i="1"/>
  <c r="GR36" i="1"/>
  <c r="GK36" i="1"/>
  <c r="DB36" i="1"/>
  <c r="BT36" i="1"/>
  <c r="GL36" i="1"/>
  <c r="ES36" i="1"/>
  <c r="CD36" i="1"/>
  <c r="BN36" i="1"/>
  <c r="BR36" i="1"/>
  <c r="CJ36" i="1"/>
  <c r="CV36" i="1"/>
  <c r="DS36" i="1"/>
  <c r="DM36" i="1"/>
  <c r="EI36" i="1"/>
  <c r="EV36" i="1"/>
  <c r="FE36" i="1"/>
  <c r="FG36" i="1"/>
  <c r="FJ36" i="1"/>
  <c r="FS36" i="1"/>
  <c r="GG36" i="1"/>
  <c r="GS36" i="1"/>
  <c r="HC36" i="1"/>
  <c r="BF36" i="1"/>
  <c r="DF36" i="1"/>
  <c r="DC36" i="1"/>
  <c r="GV36" i="1"/>
  <c r="BO36" i="1"/>
  <c r="BQ36" i="1"/>
  <c r="BX36" i="1"/>
  <c r="CM36" i="1"/>
  <c r="CN36" i="1"/>
  <c r="DL36" i="1"/>
  <c r="DV36" i="1"/>
  <c r="EA36" i="1"/>
  <c r="EM36" i="1"/>
  <c r="EP36" i="1"/>
  <c r="FA36" i="1"/>
  <c r="FL36" i="1"/>
  <c r="FD36" i="1"/>
  <c r="FH36" i="1"/>
  <c r="GQ36" i="1"/>
  <c r="GD36" i="1"/>
  <c r="GC36" i="1"/>
  <c r="GE36" i="1"/>
  <c r="GY36" i="1"/>
  <c r="HD36" i="1"/>
  <c r="HI36" i="1"/>
  <c r="BH40" i="1"/>
  <c r="CO40" i="1"/>
  <c r="CM40" i="1"/>
  <c r="GK40" i="1"/>
  <c r="DN40" i="1"/>
  <c r="BD21" i="1"/>
  <c r="DH21" i="1" s="1"/>
  <c r="GJ21" i="1"/>
  <c r="GK21" i="1" s="1"/>
  <c r="DG21" i="1"/>
  <c r="DF21" i="1"/>
  <c r="BF21" i="1"/>
  <c r="BI21" i="1" s="1"/>
  <c r="BH21" i="1"/>
  <c r="AZ21" i="1"/>
  <c r="GM21" i="1" s="1"/>
  <c r="BV21" i="1"/>
  <c r="BY21" i="1"/>
  <c r="BS21" i="1"/>
  <c r="DD21" i="1"/>
  <c r="BW21" i="1"/>
  <c r="DB21" i="1"/>
  <c r="CI21" i="1"/>
  <c r="BT21" i="1"/>
  <c r="GW21" i="1"/>
  <c r="GV21" i="1" s="1"/>
  <c r="W81" i="1"/>
  <c r="AL86" i="1"/>
  <c r="AJ73" i="1"/>
  <c r="AF9" i="1"/>
  <c r="AD9" i="1"/>
  <c r="AH9" i="1" s="1"/>
  <c r="AI11" i="1"/>
  <c r="EU11" i="1"/>
  <c r="EY11" i="1" s="1"/>
  <c r="AG11" i="1"/>
  <c r="AM11" i="1"/>
  <c r="N73" i="1"/>
  <c r="GY69" i="1"/>
  <c r="FT36" i="1"/>
  <c r="HH36" i="1"/>
  <c r="GT51" i="1"/>
  <c r="FT51" i="1"/>
  <c r="FJ51" i="1"/>
  <c r="HG51" i="1"/>
  <c r="FO52" i="1"/>
  <c r="EZ51" i="1"/>
  <c r="EE51" i="1"/>
  <c r="ER40" i="1"/>
  <c r="DZ51" i="1"/>
  <c r="DS51" i="1"/>
  <c r="DQ51" i="1"/>
  <c r="CE51" i="1"/>
  <c r="FR36" i="1"/>
  <c r="HF36" i="1"/>
  <c r="FB36" i="1"/>
  <c r="EL36" i="1"/>
  <c r="DD36" i="1"/>
  <c r="BV52" i="1"/>
  <c r="BY9" i="1"/>
  <c r="AH86" i="1"/>
  <c r="AH81" i="1"/>
  <c r="AB73" i="1"/>
  <c r="O86" i="1"/>
  <c r="DJ34" i="1"/>
  <c r="DD29" i="1"/>
  <c r="CO29" i="1"/>
  <c r="BY47" i="1"/>
  <c r="CO47" i="1"/>
  <c r="AB94" i="1"/>
  <c r="AO94" i="1"/>
  <c r="AB87" i="1"/>
  <c r="AO87" i="1"/>
  <c r="P75" i="1"/>
  <c r="AO75" i="1"/>
  <c r="P61" i="1"/>
  <c r="S61" i="1" s="1"/>
  <c r="Y61" i="1" s="1"/>
  <c r="AA61" i="1"/>
  <c r="AB61" i="1"/>
  <c r="N61" i="1"/>
  <c r="Z61" i="1"/>
  <c r="CD17" i="1"/>
  <c r="Q17" i="1"/>
  <c r="GK32" i="1"/>
  <c r="Q40" i="1"/>
  <c r="CO46" i="1"/>
  <c r="R26" i="1"/>
  <c r="X26" i="1" s="1"/>
  <c r="AF17" i="1"/>
  <c r="EU17" i="1" s="1"/>
  <c r="EY17" i="1" s="1"/>
  <c r="AO112" i="1"/>
  <c r="O112" i="1"/>
  <c r="CO66" i="1"/>
  <c r="CF66" i="1"/>
  <c r="CG66" i="1"/>
  <c r="CM66" i="1"/>
  <c r="CY66" i="1"/>
  <c r="BR66" i="1"/>
  <c r="BY66" i="1"/>
  <c r="BI66" i="1"/>
  <c r="BH66" i="1"/>
  <c r="BG66" i="1"/>
  <c r="BE66" i="1"/>
  <c r="FB66" i="1"/>
  <c r="EH66" i="1"/>
  <c r="EG66" i="1"/>
  <c r="EE66" i="1"/>
  <c r="DB66" i="1"/>
  <c r="DT66" i="1"/>
  <c r="CK66" i="1"/>
  <c r="CV66" i="1"/>
  <c r="CC66" i="1"/>
  <c r="BZ66" i="1"/>
  <c r="BT66" i="1"/>
  <c r="BM66" i="1"/>
  <c r="BL66" i="1"/>
  <c r="ET66" i="1"/>
  <c r="ED66" i="1"/>
  <c r="EC66" i="1"/>
  <c r="DW66" i="1"/>
  <c r="EI66" i="1"/>
  <c r="DL66" i="1"/>
  <c r="CJ66" i="1"/>
  <c r="BK66" i="1"/>
  <c r="CN66" i="1"/>
  <c r="CU66" i="1"/>
  <c r="CE66" i="1"/>
  <c r="BV66" i="1"/>
  <c r="BN66" i="1"/>
  <c r="EP66" i="1"/>
  <c r="DZ66" i="1"/>
  <c r="DY66" i="1"/>
  <c r="DO66" i="1"/>
  <c r="EA66" i="1"/>
  <c r="DD66" i="1"/>
  <c r="GB66" i="1"/>
  <c r="CL66" i="1"/>
  <c r="CT66" i="1"/>
  <c r="CI66" i="1"/>
  <c r="BP66" i="1"/>
  <c r="BU66" i="1"/>
  <c r="BF66" i="1"/>
  <c r="EZ66" i="1"/>
  <c r="EM66" i="1"/>
  <c r="DR66" i="1"/>
  <c r="DQ66" i="1"/>
  <c r="EF66" i="1"/>
  <c r="DK66" i="1"/>
  <c r="FK66" i="1"/>
  <c r="CW66" i="1"/>
  <c r="CZ66" i="1"/>
  <c r="BQ66" i="1"/>
  <c r="BX66" i="1"/>
  <c r="BD66" i="1"/>
  <c r="ES66" i="1"/>
  <c r="EN66" i="1"/>
  <c r="EK66" i="1"/>
  <c r="DJ66" i="1"/>
  <c r="DI66" i="1"/>
  <c r="DP66" i="1"/>
  <c r="EJ66" i="1"/>
  <c r="FL66" i="1"/>
  <c r="FQ66" i="1"/>
  <c r="CR66" i="1"/>
  <c r="CH66" i="1"/>
  <c r="CQ66" i="1"/>
  <c r="CD66" i="1"/>
  <c r="BS66" i="1"/>
  <c r="EO66" i="1"/>
  <c r="EL66" i="1"/>
  <c r="DF66" i="1"/>
  <c r="DE66" i="1"/>
  <c r="DH66" i="1"/>
  <c r="EB66" i="1"/>
  <c r="FT66" i="1"/>
  <c r="CO94" i="1"/>
  <c r="ES94" i="1"/>
  <c r="CQ94" i="1"/>
  <c r="BB94" i="1"/>
  <c r="DB94" i="1"/>
  <c r="GX94" i="1"/>
  <c r="CS94" i="1"/>
  <c r="BT94" i="1"/>
  <c r="DS94" i="1"/>
  <c r="BX94" i="1"/>
  <c r="EZ94" i="1"/>
  <c r="DO94" i="1"/>
  <c r="CO102" i="1"/>
  <c r="CZ102" i="1"/>
  <c r="CM102" i="1"/>
  <c r="BO102" i="1"/>
  <c r="ER102" i="1"/>
  <c r="EM102" i="1"/>
  <c r="EE102" i="1"/>
  <c r="EJ102" i="1"/>
  <c r="DD102" i="1"/>
  <c r="DF102" i="1"/>
  <c r="DU102" i="1"/>
  <c r="FN102" i="1"/>
  <c r="GQ102" i="1"/>
  <c r="CJ102" i="1"/>
  <c r="CS102" i="1"/>
  <c r="BI102" i="1"/>
  <c r="CC102" i="1"/>
  <c r="BZ102" i="1"/>
  <c r="BF102" i="1"/>
  <c r="EN102" i="1"/>
  <c r="FC102" i="1"/>
  <c r="EA102" i="1"/>
  <c r="EF102" i="1"/>
  <c r="EH102" i="1"/>
  <c r="DB102" i="1"/>
  <c r="DE102" i="1"/>
  <c r="DA102" i="1"/>
  <c r="BQ102" i="1"/>
  <c r="BV102" i="1"/>
  <c r="BJ102" i="1"/>
  <c r="BU102" i="1"/>
  <c r="BS102" i="1"/>
  <c r="EU102" i="1"/>
  <c r="ET102" i="1"/>
  <c r="DW102" i="1"/>
  <c r="EB102" i="1"/>
  <c r="ED102" i="1"/>
  <c r="DY102" i="1"/>
  <c r="FM102" i="1"/>
  <c r="GB102" i="1"/>
  <c r="CF102" i="1"/>
  <c r="CX102" i="1"/>
  <c r="CV102" i="1"/>
  <c r="BP102" i="1"/>
  <c r="BY102" i="1"/>
  <c r="BW102" i="1"/>
  <c r="FA102" i="1"/>
  <c r="DO102" i="1"/>
  <c r="DT102" i="1"/>
  <c r="DV102" i="1"/>
  <c r="EC102" i="1"/>
  <c r="FP102" i="1"/>
  <c r="BM102" i="1"/>
  <c r="CK102" i="1"/>
  <c r="CP102" i="1"/>
  <c r="CW102" i="1"/>
  <c r="CL102" i="1"/>
  <c r="CB102" i="1"/>
  <c r="BL102" i="1"/>
  <c r="BK102" i="1"/>
  <c r="BE102" i="1"/>
  <c r="BB102" i="1"/>
  <c r="FB102" i="1"/>
  <c r="EL102" i="1"/>
  <c r="DG102" i="1"/>
  <c r="DL102" i="1"/>
  <c r="DN102" i="1"/>
  <c r="EG102" i="1"/>
  <c r="CY102" i="1"/>
  <c r="CR102" i="1"/>
  <c r="CD102" i="1"/>
  <c r="BD102" i="1"/>
  <c r="EZ102" i="1"/>
  <c r="ES102" i="1"/>
  <c r="EI102" i="1"/>
  <c r="DC102" i="1"/>
  <c r="DH102" i="1"/>
  <c r="DJ102" i="1"/>
  <c r="DQ102" i="1"/>
  <c r="CN102" i="1"/>
  <c r="FT102" i="1"/>
  <c r="CO110" i="1"/>
  <c r="EK110" i="1"/>
  <c r="DK110" i="1"/>
  <c r="BB110" i="1"/>
  <c r="DI110" i="1"/>
  <c r="GU110" i="1"/>
  <c r="DX110" i="1"/>
  <c r="FM110" i="1"/>
  <c r="CV110" i="1"/>
  <c r="BM110" i="1"/>
  <c r="BU110" i="1"/>
  <c r="FA110" i="1"/>
  <c r="CO118" i="1"/>
  <c r="CG118" i="1"/>
  <c r="CU118" i="1"/>
  <c r="CM118" i="1"/>
  <c r="CH118" i="1"/>
  <c r="CL118" i="1"/>
  <c r="CE118" i="1"/>
  <c r="BO118" i="1"/>
  <c r="BU118" i="1"/>
  <c r="BT118" i="1"/>
  <c r="BY118" i="1"/>
  <c r="FC118" i="1"/>
  <c r="EM118" i="1"/>
  <c r="EL118" i="1"/>
  <c r="DG118" i="1"/>
  <c r="DD118" i="1"/>
  <c r="EB118" i="1"/>
  <c r="DR118" i="1"/>
  <c r="FR118" i="1"/>
  <c r="GX118" i="1"/>
  <c r="CQ118" i="1"/>
  <c r="BP118" i="1"/>
  <c r="BZ118" i="1"/>
  <c r="BH118" i="1"/>
  <c r="EZ118" i="1"/>
  <c r="ET118" i="1"/>
  <c r="EI118" i="1"/>
  <c r="DC118" i="1"/>
  <c r="EF118" i="1"/>
  <c r="DV118" i="1"/>
  <c r="DM118" i="1"/>
  <c r="CJ118" i="1"/>
  <c r="CZ118" i="1"/>
  <c r="CA118" i="1"/>
  <c r="BV118" i="1"/>
  <c r="BN118" i="1"/>
  <c r="BF118" i="1"/>
  <c r="BE118" i="1"/>
  <c r="ER118" i="1"/>
  <c r="EO118" i="1"/>
  <c r="EE118" i="1"/>
  <c r="EJ118" i="1"/>
  <c r="DZ118" i="1"/>
  <c r="DQ118" i="1"/>
  <c r="DH118" i="1"/>
  <c r="CN118" i="1"/>
  <c r="CX118" i="1"/>
  <c r="CR118" i="1"/>
  <c r="BL118" i="1"/>
  <c r="BS118" i="1"/>
  <c r="BI118" i="1"/>
  <c r="EU118" i="1"/>
  <c r="DW118" i="1"/>
  <c r="DY118" i="1"/>
  <c r="DP118" i="1"/>
  <c r="DF118" i="1"/>
  <c r="CP118" i="1"/>
  <c r="CW118" i="1"/>
  <c r="CI118" i="1"/>
  <c r="CC118" i="1"/>
  <c r="CB118" i="1"/>
  <c r="BX118" i="1"/>
  <c r="BD118" i="1"/>
  <c r="BB118" i="1"/>
  <c r="FA118" i="1"/>
  <c r="EQ118" i="1"/>
  <c r="DO118" i="1"/>
  <c r="DN118" i="1"/>
  <c r="DE118" i="1"/>
  <c r="EC118" i="1"/>
  <c r="FM118" i="1"/>
  <c r="FK118" i="1"/>
  <c r="BG118" i="1"/>
  <c r="CY118" i="1"/>
  <c r="CS118" i="1"/>
  <c r="BQ118" i="1"/>
  <c r="CD118" i="1"/>
  <c r="FB118" i="1"/>
  <c r="ES118" i="1"/>
  <c r="EK118" i="1"/>
  <c r="DK118" i="1"/>
  <c r="DI118" i="1"/>
  <c r="EG118" i="1"/>
  <c r="DX118" i="1"/>
  <c r="FN118" i="1"/>
  <c r="FP118" i="1"/>
  <c r="CO126" i="1"/>
  <c r="GL126" i="1"/>
  <c r="CP126" i="1"/>
  <c r="CW126" i="1"/>
  <c r="CI126" i="1"/>
  <c r="CA126" i="1"/>
  <c r="BV126" i="1"/>
  <c r="BX126" i="1"/>
  <c r="EU126" i="1"/>
  <c r="EK126" i="1"/>
  <c r="DK126" i="1"/>
  <c r="DI126" i="1"/>
  <c r="EG126" i="1"/>
  <c r="DX126" i="1"/>
  <c r="CY126" i="1"/>
  <c r="CS126" i="1"/>
  <c r="BW126" i="1"/>
  <c r="BM126" i="1"/>
  <c r="CK126" i="1"/>
  <c r="EP126" i="1"/>
  <c r="EL126" i="1"/>
  <c r="DG126" i="1"/>
  <c r="DD126" i="1"/>
  <c r="EB126" i="1"/>
  <c r="DR126" i="1"/>
  <c r="FP126" i="1"/>
  <c r="CU126" i="1"/>
  <c r="CM126" i="1"/>
  <c r="CH126" i="1"/>
  <c r="BS126" i="1"/>
  <c r="BI126" i="1"/>
  <c r="BU126" i="1"/>
  <c r="BT126" i="1"/>
  <c r="BY126" i="1"/>
  <c r="BD126" i="1"/>
  <c r="BB126" i="1"/>
  <c r="FA126" i="1"/>
  <c r="EQ126" i="1"/>
  <c r="EI126" i="1"/>
  <c r="DC126" i="1"/>
  <c r="EF126" i="1"/>
  <c r="DV126" i="1"/>
  <c r="DM126" i="1"/>
  <c r="FN126" i="1"/>
  <c r="GT126" i="1"/>
  <c r="GX126" i="1"/>
  <c r="CF126" i="1"/>
  <c r="CZ126" i="1"/>
  <c r="CD126" i="1"/>
  <c r="CB126" i="1"/>
  <c r="BF126" i="1"/>
  <c r="BE126" i="1"/>
  <c r="FC126" i="1"/>
  <c r="EM126" i="1"/>
  <c r="EA126" i="1"/>
  <c r="ED126" i="1"/>
  <c r="DU126" i="1"/>
  <c r="DL126" i="1"/>
  <c r="DB126" i="1"/>
  <c r="FM126" i="1"/>
  <c r="GB126" i="1"/>
  <c r="CX126" i="1"/>
  <c r="CR126" i="1"/>
  <c r="BQ126" i="1"/>
  <c r="BO126" i="1"/>
  <c r="BH126" i="1"/>
  <c r="BG126" i="1"/>
  <c r="ER126" i="1"/>
  <c r="EO126" i="1"/>
  <c r="DS126" i="1"/>
  <c r="DT126" i="1"/>
  <c r="DJ126" i="1"/>
  <c r="EH126" i="1"/>
  <c r="AZ126" i="1"/>
  <c r="BJ126" i="1"/>
  <c r="CG126" i="1"/>
  <c r="CT126" i="1"/>
  <c r="DA126" i="1"/>
  <c r="BP126" i="1"/>
  <c r="BZ126" i="1"/>
  <c r="BN126" i="1"/>
  <c r="BL126" i="1"/>
  <c r="EN126" i="1"/>
  <c r="DO126" i="1"/>
  <c r="DN126" i="1"/>
  <c r="DE126" i="1"/>
  <c r="EC126" i="1"/>
  <c r="FT126" i="1"/>
  <c r="DK34" i="1"/>
  <c r="DI17" i="1"/>
  <c r="DT17" i="1" s="1"/>
  <c r="GV32" i="1"/>
  <c r="GU32" i="1" s="1"/>
  <c r="CI42" i="1"/>
  <c r="CO42" i="1"/>
  <c r="BZ45" i="1"/>
  <c r="GL50" i="1"/>
  <c r="DH53" i="1"/>
  <c r="CO53" i="1"/>
  <c r="AC23" i="1"/>
  <c r="AA49" i="1"/>
  <c r="CD34" i="1"/>
  <c r="CO49" i="1"/>
  <c r="AO124" i="1"/>
  <c r="AM124" i="1"/>
  <c r="AB124" i="1"/>
  <c r="AL124" i="1"/>
  <c r="W124" i="1"/>
  <c r="R124" i="1"/>
  <c r="T124" i="1"/>
  <c r="O124" i="1"/>
  <c r="AA124" i="1"/>
  <c r="AF124" i="1"/>
  <c r="AG124" i="1"/>
  <c r="AP124" i="1"/>
  <c r="X124" i="1"/>
  <c r="AC124" i="1"/>
  <c r="AJ124" i="1"/>
  <c r="S124" i="1"/>
  <c r="AQ124" i="1"/>
  <c r="AE124" i="1"/>
  <c r="N124" i="1"/>
  <c r="AK124" i="1"/>
  <c r="Q124" i="1"/>
  <c r="V124" i="1"/>
  <c r="AI124" i="1"/>
  <c r="AT124" i="1"/>
  <c r="U124" i="1"/>
  <c r="AO63" i="1"/>
  <c r="O63" i="1"/>
  <c r="N63" i="1"/>
  <c r="AB55" i="1"/>
  <c r="Z55" i="1"/>
  <c r="GW11" i="1"/>
  <c r="CO11" i="1"/>
  <c r="AE18" i="1"/>
  <c r="AC9" i="1"/>
  <c r="AO123" i="1"/>
  <c r="AB123" i="1"/>
  <c r="U123" i="1"/>
  <c r="AT123" i="1"/>
  <c r="AD123" i="1"/>
  <c r="Q123" i="1"/>
  <c r="R123" i="1"/>
  <c r="AN123" i="1"/>
  <c r="S123" i="1"/>
  <c r="AF123" i="1"/>
  <c r="P123" i="1"/>
  <c r="AK123" i="1"/>
  <c r="AM123" i="1"/>
  <c r="AH123" i="1"/>
  <c r="W123" i="1"/>
  <c r="V123" i="1"/>
  <c r="AI123" i="1"/>
  <c r="T123" i="1"/>
  <c r="AL123" i="1"/>
  <c r="AA123" i="1"/>
  <c r="AO69" i="1"/>
  <c r="AA69" i="1"/>
  <c r="AA48" i="1"/>
  <c r="P48" i="1"/>
  <c r="S48" i="1" s="1"/>
  <c r="Y48" i="1" s="1"/>
  <c r="O119" i="1"/>
  <c r="AB95" i="1"/>
  <c r="P89" i="1"/>
  <c r="AO89" i="1"/>
  <c r="AA77" i="1"/>
  <c r="AO77" i="1"/>
  <c r="P44" i="1"/>
  <c r="S44" i="1" s="1"/>
  <c r="Y44" i="1" s="1"/>
  <c r="DD91" i="1"/>
  <c r="CO91" i="1"/>
  <c r="CX108" i="1"/>
  <c r="CO108" i="1"/>
  <c r="AV18" i="1"/>
  <c r="CO18" i="1" s="1"/>
  <c r="AB64" i="1"/>
  <c r="AO64" i="1"/>
  <c r="P56" i="1"/>
  <c r="S56" i="1" s="1"/>
  <c r="Y56" i="1" s="1"/>
  <c r="CT83" i="1"/>
  <c r="CO83" i="1"/>
  <c r="Z74" i="1"/>
  <c r="AO74" i="1"/>
  <c r="AB68" i="1"/>
  <c r="AO68" i="1"/>
  <c r="N60" i="1"/>
  <c r="AA52" i="1"/>
  <c r="AE52" i="1" s="1"/>
  <c r="N47" i="1"/>
  <c r="CO33" i="1"/>
  <c r="AC126" i="1"/>
  <c r="AA110" i="1"/>
  <c r="AB90" i="1"/>
  <c r="AO90" i="1"/>
  <c r="O85" i="1"/>
  <c r="AO85" i="1"/>
  <c r="Z79" i="1"/>
  <c r="AO79" i="1"/>
  <c r="Z66" i="1"/>
  <c r="Z59" i="1"/>
  <c r="N46" i="1"/>
  <c r="GP98" i="1"/>
  <c r="CO98" i="1"/>
  <c r="O45" i="1"/>
  <c r="BG45" i="1" s="1"/>
  <c r="CO32" i="1"/>
  <c r="CO17" i="1"/>
  <c r="DN99" i="1"/>
  <c r="CO99" i="1"/>
  <c r="DK107" i="1"/>
  <c r="CO107" i="1"/>
  <c r="EQ115" i="1"/>
  <c r="CO115" i="1"/>
  <c r="CO35" i="1"/>
  <c r="GX34" i="1"/>
  <c r="GU34" i="1"/>
  <c r="GW31" i="1"/>
  <c r="BG31" i="1"/>
  <c r="CI31" i="1"/>
  <c r="AZ31" i="1"/>
  <c r="GM31" i="1" s="1"/>
  <c r="BH31" i="1"/>
  <c r="DC31" i="1"/>
  <c r="GJ31" i="1"/>
  <c r="GK31" i="1" s="1"/>
  <c r="BW31" i="1"/>
  <c r="DE31" i="1"/>
  <c r="GL31" i="1"/>
  <c r="BY31" i="1"/>
  <c r="DG31" i="1"/>
  <c r="DB31" i="1"/>
  <c r="BS31" i="1"/>
  <c r="BD31" i="1"/>
  <c r="DH31" i="1" s="1"/>
  <c r="BV31" i="1"/>
  <c r="BF31" i="1"/>
  <c r="BI31" i="1" s="1"/>
  <c r="BT31" i="1"/>
  <c r="DF31" i="1"/>
  <c r="HI31" i="1"/>
  <c r="DD31" i="1"/>
  <c r="BZ31" i="1"/>
  <c r="BZ27" i="1"/>
  <c r="CO27" i="1"/>
  <c r="BY26" i="1"/>
  <c r="CO26" i="1"/>
  <c r="CO24" i="1"/>
  <c r="BV24" i="1"/>
  <c r="ES24" i="1"/>
  <c r="BW23" i="1"/>
  <c r="CO23" i="1"/>
  <c r="DC21" i="1"/>
  <c r="CO21" i="1"/>
  <c r="BS20" i="1"/>
  <c r="CO20" i="1"/>
  <c r="BI17" i="1"/>
  <c r="BD14" i="1"/>
  <c r="DH14" i="1" s="1"/>
  <c r="CO14" i="1"/>
  <c r="BT12" i="1"/>
  <c r="GL12" i="1"/>
  <c r="DE12" i="1"/>
  <c r="DG12" i="1"/>
  <c r="BY12" i="1"/>
  <c r="DF12" i="1"/>
  <c r="DC12" i="1"/>
  <c r="BS12" i="1"/>
  <c r="CI12" i="1"/>
  <c r="DB12" i="1"/>
  <c r="HI12" i="1"/>
  <c r="GW12" i="1"/>
  <c r="BW12" i="1"/>
  <c r="AZ12" i="1"/>
  <c r="GM12" i="1" s="1"/>
  <c r="DD12" i="1"/>
  <c r="BV12" i="1"/>
  <c r="BZ12" i="1"/>
  <c r="BD12" i="1"/>
  <c r="DH12" i="1" s="1"/>
  <c r="GJ12" i="1"/>
  <c r="GK12" i="1" s="1"/>
  <c r="GT52" i="1"/>
  <c r="GG52" i="1"/>
  <c r="GO52" i="1"/>
  <c r="FJ52" i="1"/>
  <c r="HH52" i="1"/>
  <c r="HF52" i="1"/>
  <c r="FL52" i="1"/>
  <c r="ER52" i="1"/>
  <c r="ED52" i="1"/>
  <c r="DP52" i="1"/>
  <c r="CV52" i="1"/>
  <c r="CU52" i="1"/>
  <c r="CR52" i="1"/>
  <c r="CK52" i="1"/>
  <c r="CG52" i="1"/>
  <c r="CC52" i="1"/>
  <c r="BX52" i="1"/>
  <c r="BB52" i="1"/>
  <c r="BK52" i="1"/>
  <c r="BG52" i="1"/>
  <c r="CD52" i="1"/>
  <c r="DK52" i="1"/>
  <c r="DE52" i="1"/>
  <c r="CI52" i="1"/>
  <c r="GF108" i="1"/>
  <c r="FC108" i="1"/>
  <c r="CS108" i="1"/>
  <c r="BS108" i="1"/>
  <c r="FI108" i="1"/>
  <c r="CU58" i="1"/>
  <c r="GN58" i="1"/>
  <c r="GE58" i="1"/>
  <c r="DX58" i="1"/>
  <c r="GI58" i="1"/>
  <c r="CE58" i="1"/>
  <c r="CA58" i="1"/>
  <c r="GD65" i="1"/>
  <c r="GI65" i="1"/>
  <c r="FG65" i="1"/>
  <c r="GY65" i="1"/>
  <c r="BB65" i="1"/>
  <c r="BI65" i="1"/>
  <c r="DM65" i="1"/>
  <c r="BH65" i="1"/>
  <c r="CF65" i="1"/>
  <c r="CP65" i="1"/>
  <c r="BT65" i="1"/>
  <c r="BZ65" i="1"/>
  <c r="EE65" i="1"/>
  <c r="GA65" i="1"/>
  <c r="GG65" i="1"/>
  <c r="GX65" i="1"/>
  <c r="GP65" i="1"/>
  <c r="HE65" i="1"/>
  <c r="HF65" i="1"/>
  <c r="HD65" i="1"/>
  <c r="BR65" i="1"/>
  <c r="CC65" i="1"/>
  <c r="DI65" i="1"/>
  <c r="CD65" i="1"/>
  <c r="CT65" i="1"/>
  <c r="CN65" i="1"/>
  <c r="FC65" i="1"/>
  <c r="ES65" i="1"/>
  <c r="DQ65" i="1"/>
  <c r="FV65" i="1"/>
  <c r="GH65" i="1"/>
  <c r="GM65" i="1"/>
  <c r="GL65" i="1"/>
  <c r="BV65" i="1"/>
  <c r="CA65" i="1"/>
  <c r="CI65" i="1"/>
  <c r="BW65" i="1"/>
  <c r="CV65" i="1"/>
  <c r="CE65" i="1"/>
  <c r="FB65" i="1"/>
  <c r="EU65" i="1"/>
  <c r="DB65" i="1"/>
  <c r="GZ65" i="1"/>
  <c r="GR65" i="1"/>
  <c r="HA65" i="1"/>
  <c r="HC65" i="1"/>
  <c r="GK65" i="1"/>
  <c r="BE65" i="1"/>
  <c r="BX65" i="1"/>
  <c r="CH65" i="1"/>
  <c r="BK65" i="1"/>
  <c r="CG65" i="1"/>
  <c r="BY65" i="1"/>
  <c r="EL65" i="1"/>
  <c r="ET65" i="1"/>
  <c r="DZ65" i="1"/>
  <c r="GB65" i="1"/>
  <c r="BA65" i="1"/>
  <c r="GU65" i="1"/>
  <c r="GS65" i="1"/>
  <c r="AZ65" i="1"/>
  <c r="EM65" i="1"/>
  <c r="BF65" i="1"/>
  <c r="CX65" i="1"/>
  <c r="BL65" i="1"/>
  <c r="BO65" i="1"/>
  <c r="FA65" i="1"/>
  <c r="DG65" i="1"/>
  <c r="GN65" i="1"/>
  <c r="GJ65" i="1"/>
  <c r="HH65" i="1"/>
  <c r="HB65" i="1"/>
  <c r="GO65" i="1"/>
  <c r="CJ65" i="1"/>
  <c r="BM65" i="1"/>
  <c r="EZ65" i="1"/>
  <c r="CM65" i="1"/>
  <c r="BJ65" i="1"/>
  <c r="BS65" i="1"/>
  <c r="CY65" i="1"/>
  <c r="CS65" i="1"/>
  <c r="FT65" i="1"/>
  <c r="GC65" i="1"/>
  <c r="GT65" i="1"/>
  <c r="GQ65" i="1"/>
  <c r="GV65" i="1"/>
  <c r="HG65" i="1"/>
  <c r="DA65" i="1"/>
  <c r="CU65" i="1"/>
  <c r="DW65" i="1"/>
  <c r="BD65" i="1"/>
  <c r="BG65" i="1"/>
  <c r="CW65" i="1"/>
  <c r="CQ65" i="1"/>
  <c r="CN74" i="1"/>
  <c r="CT74" i="1"/>
  <c r="CS74" i="1"/>
  <c r="CC74" i="1"/>
  <c r="BZ74" i="1"/>
  <c r="BW74" i="1"/>
  <c r="EO74" i="1"/>
  <c r="EZ74" i="1"/>
  <c r="DZ74" i="1"/>
  <c r="DJ74" i="1"/>
  <c r="DK74" i="1"/>
  <c r="DH74" i="1"/>
  <c r="DE74" i="1"/>
  <c r="FU74" i="1"/>
  <c r="FD74" i="1"/>
  <c r="GL74" i="1"/>
  <c r="GR74" i="1"/>
  <c r="HE74" i="1"/>
  <c r="HD74" i="1"/>
  <c r="HC74" i="1"/>
  <c r="CP74" i="1"/>
  <c r="CH74" i="1"/>
  <c r="CZ74" i="1"/>
  <c r="CE74" i="1"/>
  <c r="BV74" i="1"/>
  <c r="BN74" i="1"/>
  <c r="BB74" i="1"/>
  <c r="ET74" i="1"/>
  <c r="ER74" i="1"/>
  <c r="DV74" i="1"/>
  <c r="DF74" i="1"/>
  <c r="DG74" i="1"/>
  <c r="DD74" i="1"/>
  <c r="FL74" i="1"/>
  <c r="FK74" i="1"/>
  <c r="FM74" i="1"/>
  <c r="FT74" i="1"/>
  <c r="FQ74" i="1"/>
  <c r="FY74" i="1"/>
  <c r="FX74" i="1"/>
  <c r="FF74" i="1"/>
  <c r="EX74" i="1"/>
  <c r="FV74" i="1"/>
  <c r="GC74" i="1"/>
  <c r="GB74" i="1"/>
  <c r="GS74" i="1"/>
  <c r="CW74" i="1"/>
  <c r="BO74" i="1"/>
  <c r="BX74" i="1"/>
  <c r="BJ74" i="1"/>
  <c r="BK74" i="1"/>
  <c r="BE74" i="1"/>
  <c r="BD74" i="1"/>
  <c r="EP74" i="1"/>
  <c r="EN74" i="1"/>
  <c r="DR74" i="1"/>
  <c r="DB74" i="1"/>
  <c r="DC74" i="1"/>
  <c r="EG74" i="1"/>
  <c r="FP74" i="1"/>
  <c r="FJ74" i="1"/>
  <c r="FW74" i="1"/>
  <c r="GE74" i="1"/>
  <c r="GD74" i="1"/>
  <c r="GN74" i="1"/>
  <c r="GM74" i="1"/>
  <c r="GO74" i="1"/>
  <c r="GF74" i="1"/>
  <c r="GQ74" i="1"/>
  <c r="GV74" i="1"/>
  <c r="GK74" i="1"/>
  <c r="CR74" i="1"/>
  <c r="CV74" i="1"/>
  <c r="BP74" i="1"/>
  <c r="BS74" i="1"/>
  <c r="BF74" i="1"/>
  <c r="BG74" i="1"/>
  <c r="BI74" i="1"/>
  <c r="FA74" i="1"/>
  <c r="EI74" i="1"/>
  <c r="EJ74" i="1"/>
  <c r="EF74" i="1"/>
  <c r="EB74" i="1"/>
  <c r="FZ74" i="1"/>
  <c r="FI74" i="1"/>
  <c r="GZ74" i="1"/>
  <c r="GY74" i="1"/>
  <c r="HH74" i="1"/>
  <c r="HB74" i="1"/>
  <c r="CK74" i="1"/>
  <c r="CB74" i="1"/>
  <c r="BY74" i="1"/>
  <c r="BL74" i="1"/>
  <c r="EU74" i="1"/>
  <c r="EK74" i="1"/>
  <c r="EC74" i="1"/>
  <c r="EE74" i="1"/>
  <c r="EA74" i="1"/>
  <c r="DW74" i="1"/>
  <c r="FN74" i="1"/>
  <c r="FR74" i="1"/>
  <c r="FH74" i="1"/>
  <c r="GJ74" i="1"/>
  <c r="GW74" i="1"/>
  <c r="HA74" i="1"/>
  <c r="HG74" i="1"/>
  <c r="AZ74" i="1"/>
  <c r="CF74" i="1"/>
  <c r="CM74" i="1"/>
  <c r="BQ74" i="1"/>
  <c r="BT74" i="1"/>
  <c r="CG74" i="1"/>
  <c r="EQ74" i="1"/>
  <c r="EL74" i="1"/>
  <c r="DX74" i="1"/>
  <c r="DY74" i="1"/>
  <c r="DU74" i="1"/>
  <c r="DQ74" i="1"/>
  <c r="FE74" i="1"/>
  <c r="EY74" i="1"/>
  <c r="FG74" i="1"/>
  <c r="GG74" i="1"/>
  <c r="BM74" i="1"/>
  <c r="CQ74" i="1"/>
  <c r="CU74" i="1"/>
  <c r="BH74" i="1"/>
  <c r="CD74" i="1"/>
  <c r="CA74" i="1"/>
  <c r="FC74" i="1"/>
  <c r="EM74" i="1"/>
  <c r="EH74" i="1"/>
  <c r="DS74" i="1"/>
  <c r="DT74" i="1"/>
  <c r="DP74" i="1"/>
  <c r="DM74" i="1"/>
  <c r="EV74" i="1"/>
  <c r="HI74" i="1"/>
  <c r="GH74" i="1"/>
  <c r="CW92" i="1"/>
  <c r="HB92" i="1"/>
  <c r="DZ92" i="1"/>
  <c r="EP92" i="1"/>
  <c r="DR92" i="1"/>
  <c r="DC92" i="1"/>
  <c r="EJ92" i="1"/>
  <c r="EI92" i="1"/>
  <c r="DY92" i="1"/>
  <c r="GE92" i="1"/>
  <c r="ED92" i="1"/>
  <c r="GD92" i="1"/>
  <c r="EY92" i="1"/>
  <c r="GQ92" i="1"/>
  <c r="CX92" i="1"/>
  <c r="GS92" i="1"/>
  <c r="BY92" i="1"/>
  <c r="BE92" i="1"/>
  <c r="EO92" i="1"/>
  <c r="HG92" i="1"/>
  <c r="EB92" i="1"/>
  <c r="DV92" i="1"/>
  <c r="DQ92" i="1"/>
  <c r="EF92" i="1"/>
  <c r="EA92" i="1"/>
  <c r="EE92" i="1"/>
  <c r="DP92" i="1"/>
  <c r="BG92" i="1"/>
  <c r="FZ92" i="1"/>
  <c r="CZ92" i="1"/>
  <c r="FW92" i="1"/>
  <c r="DX92" i="1"/>
  <c r="DA92" i="1"/>
  <c r="DT92" i="1"/>
  <c r="CU92" i="1"/>
  <c r="BH92" i="1"/>
  <c r="GX92" i="1"/>
  <c r="GJ92" i="1"/>
  <c r="HD92" i="1"/>
  <c r="HC92" i="1"/>
  <c r="CR92" i="1"/>
  <c r="HH92" i="1"/>
  <c r="CF92" i="1"/>
  <c r="DS92" i="1"/>
  <c r="DW92" i="1"/>
  <c r="DH92" i="1"/>
  <c r="BQ92" i="1"/>
  <c r="GM92" i="1"/>
  <c r="DU92" i="1"/>
  <c r="FX92" i="1"/>
  <c r="CN92" i="1"/>
  <c r="FJ92" i="1"/>
  <c r="CK92" i="1"/>
  <c r="BJ92" i="1"/>
  <c r="FP92" i="1"/>
  <c r="GC92" i="1"/>
  <c r="FR92" i="1"/>
  <c r="CV92" i="1"/>
  <c r="BL92" i="1"/>
  <c r="FT92" i="1"/>
  <c r="HF92" i="1"/>
  <c r="AZ92" i="1"/>
  <c r="DO92" i="1"/>
  <c r="DM92" i="1"/>
  <c r="DD92" i="1"/>
  <c r="EN92" i="1"/>
  <c r="CE92" i="1"/>
  <c r="BT92" i="1"/>
  <c r="FD92" i="1"/>
  <c r="GH92" i="1"/>
  <c r="FF92" i="1"/>
  <c r="GB92" i="1"/>
  <c r="BV92" i="1"/>
  <c r="EV92" i="1"/>
  <c r="GA92" i="1"/>
  <c r="FQ92" i="1"/>
  <c r="HE92" i="1"/>
  <c r="CY92" i="1"/>
  <c r="FN92" i="1"/>
  <c r="BK92" i="1"/>
  <c r="DE92" i="1"/>
  <c r="DI92" i="1"/>
  <c r="ER92" i="1"/>
  <c r="ES92" i="1"/>
  <c r="FC92" i="1"/>
  <c r="ET92" i="1"/>
  <c r="FH92" i="1"/>
  <c r="GF92" i="1"/>
  <c r="EW92" i="1"/>
  <c r="GI92" i="1"/>
  <c r="CA92" i="1"/>
  <c r="FI92" i="1"/>
  <c r="FE92" i="1"/>
  <c r="EX92" i="1"/>
  <c r="DK92" i="1"/>
  <c r="CT92" i="1"/>
  <c r="BF92" i="1"/>
  <c r="CJ92" i="1"/>
  <c r="CH92" i="1"/>
  <c r="FA92" i="1"/>
  <c r="EK92" i="1"/>
  <c r="EM92" i="1"/>
  <c r="EH92" i="1"/>
  <c r="BX92" i="1"/>
  <c r="GL92" i="1"/>
  <c r="BM92" i="1"/>
  <c r="EG92" i="1"/>
  <c r="CG92" i="1"/>
  <c r="BZ92" i="1"/>
  <c r="GN92" i="1"/>
  <c r="HI92" i="1"/>
  <c r="FL92" i="1"/>
  <c r="CI92" i="1"/>
  <c r="BU92" i="1"/>
  <c r="EZ92" i="1"/>
  <c r="DN92" i="1"/>
  <c r="DJ92" i="1"/>
  <c r="EL92" i="1"/>
  <c r="DB92" i="1"/>
  <c r="CD92" i="1"/>
  <c r="GU92" i="1"/>
  <c r="BR92" i="1"/>
  <c r="FK92" i="1"/>
  <c r="CL92" i="1"/>
  <c r="BN92" i="1"/>
  <c r="GP92" i="1"/>
  <c r="BB92" i="1"/>
  <c r="FU92" i="1"/>
  <c r="DM101" i="1"/>
  <c r="GI101" i="1"/>
  <c r="GF101" i="1"/>
  <c r="GO101" i="1"/>
  <c r="GW101" i="1"/>
  <c r="GY101" i="1"/>
  <c r="GQ101" i="1"/>
  <c r="CT101" i="1"/>
  <c r="BB101" i="1"/>
  <c r="DP101" i="1"/>
  <c r="GG101" i="1"/>
  <c r="HF101" i="1"/>
  <c r="HB101" i="1"/>
  <c r="GT101" i="1"/>
  <c r="CR101" i="1"/>
  <c r="CB101" i="1"/>
  <c r="DC101" i="1"/>
  <c r="GH101" i="1"/>
  <c r="BA101" i="1"/>
  <c r="GL101" i="1"/>
  <c r="GP101" i="1"/>
  <c r="GU101" i="1"/>
  <c r="HE101" i="1"/>
  <c r="GK101" i="1"/>
  <c r="CG101" i="1"/>
  <c r="CJ101" i="1"/>
  <c r="BV101" i="1"/>
  <c r="DG101" i="1"/>
  <c r="HI101" i="1"/>
  <c r="GN101" i="1"/>
  <c r="GJ101" i="1"/>
  <c r="GV101" i="1"/>
  <c r="GR101" i="1"/>
  <c r="HA101" i="1"/>
  <c r="EP101" i="1"/>
  <c r="FV101" i="1"/>
  <c r="GD101" i="1"/>
  <c r="FA101" i="1"/>
  <c r="GB101" i="1"/>
  <c r="GS101" i="1"/>
  <c r="HH101" i="1"/>
  <c r="HD101" i="1"/>
  <c r="GA101" i="1"/>
  <c r="HG101" i="1"/>
  <c r="FF101" i="1"/>
  <c r="GZ52" i="1"/>
  <c r="GF52" i="1"/>
  <c r="GB52" i="1"/>
  <c r="FN52" i="1"/>
  <c r="HG52" i="1"/>
  <c r="HB52" i="1"/>
  <c r="EO52" i="1"/>
  <c r="EC52" i="1"/>
  <c r="DZ52" i="1"/>
  <c r="DY52" i="1"/>
  <c r="DM52" i="1"/>
  <c r="CM52" i="1"/>
  <c r="CE52" i="1"/>
  <c r="BN52" i="1"/>
  <c r="EU46" i="1"/>
  <c r="DJ52" i="1"/>
  <c r="BW52" i="1"/>
  <c r="DD52" i="1"/>
  <c r="BH52" i="1"/>
  <c r="DG52" i="1"/>
  <c r="BZ52" i="1"/>
  <c r="GW52" i="1"/>
  <c r="BH46" i="1"/>
  <c r="DG42" i="1"/>
  <c r="FK42" i="1"/>
  <c r="ES108" i="1"/>
  <c r="HH108" i="1"/>
  <c r="FY108" i="1"/>
  <c r="CT108" i="1"/>
  <c r="GP108" i="1"/>
  <c r="GS108" i="1"/>
  <c r="HD52" i="1"/>
  <c r="GY52" i="1"/>
  <c r="GE52" i="1"/>
  <c r="GC52" i="1"/>
  <c r="FT52" i="1"/>
  <c r="FM52" i="1"/>
  <c r="FI52" i="1"/>
  <c r="EP52" i="1"/>
  <c r="EM52" i="1"/>
  <c r="DU52" i="1"/>
  <c r="DV52" i="1"/>
  <c r="CJ52" i="1"/>
  <c r="CB52" i="1"/>
  <c r="BP52" i="1"/>
  <c r="BJ52" i="1"/>
  <c r="DC52" i="1"/>
  <c r="GL52" i="1"/>
  <c r="GM52" i="1"/>
  <c r="GU52" i="1"/>
  <c r="BS52" i="1"/>
  <c r="BM108" i="1"/>
  <c r="FA108" i="1"/>
  <c r="HG108" i="1"/>
  <c r="BD108" i="1"/>
  <c r="DI108" i="1"/>
  <c r="CY108" i="1"/>
  <c r="GJ108" i="1"/>
  <c r="CN108" i="1"/>
  <c r="GU108" i="1"/>
  <c r="CK108" i="1"/>
  <c r="BL108" i="1"/>
  <c r="FJ108" i="1"/>
  <c r="FH108" i="1"/>
  <c r="GA108" i="1"/>
  <c r="BW108" i="1"/>
  <c r="DW108" i="1"/>
  <c r="DX108" i="1"/>
  <c r="DT108" i="1"/>
  <c r="DQ108" i="1"/>
  <c r="DM108" i="1"/>
  <c r="DJ108" i="1"/>
  <c r="BB108" i="1"/>
  <c r="CD108" i="1"/>
  <c r="BR108" i="1"/>
  <c r="BI108" i="1"/>
  <c r="CC108" i="1"/>
  <c r="GN108" i="1"/>
  <c r="CP108" i="1"/>
  <c r="BE108" i="1"/>
  <c r="HD108" i="1"/>
  <c r="GV108" i="1"/>
  <c r="HC108" i="1"/>
  <c r="BJ108" i="1"/>
  <c r="EB108" i="1"/>
  <c r="DY108" i="1"/>
  <c r="DU108" i="1"/>
  <c r="DR108" i="1"/>
  <c r="DN108" i="1"/>
  <c r="EH108" i="1"/>
  <c r="DF108" i="1"/>
  <c r="CB108" i="1"/>
  <c r="BP108" i="1"/>
  <c r="DD108" i="1"/>
  <c r="GD108" i="1"/>
  <c r="FE108" i="1"/>
  <c r="EC108" i="1"/>
  <c r="DZ108" i="1"/>
  <c r="DV108" i="1"/>
  <c r="GX108" i="1"/>
  <c r="FM108" i="1"/>
  <c r="EV108" i="1"/>
  <c r="FZ108" i="1"/>
  <c r="EO108" i="1"/>
  <c r="BT108" i="1"/>
  <c r="FG108" i="1"/>
  <c r="GO108" i="1"/>
  <c r="FQ108" i="1"/>
  <c r="HE108" i="1"/>
  <c r="CV108" i="1"/>
  <c r="BY108" i="1"/>
  <c r="FR108" i="1"/>
  <c r="ED108" i="1"/>
  <c r="GM108" i="1"/>
  <c r="FP108" i="1"/>
  <c r="BQ108" i="1"/>
  <c r="ET108" i="1"/>
  <c r="EY108" i="1"/>
  <c r="FW108" i="1"/>
  <c r="EJ108" i="1"/>
  <c r="EU108" i="1"/>
  <c r="GK108" i="1"/>
  <c r="CJ108" i="1"/>
  <c r="DE108" i="1"/>
  <c r="BZ108" i="1"/>
  <c r="HA108" i="1"/>
  <c r="GI108" i="1"/>
  <c r="FL108" i="1"/>
  <c r="CM108" i="1"/>
  <c r="EN108" i="1"/>
  <c r="EM108" i="1"/>
  <c r="EI108" i="1"/>
  <c r="EW108" i="1"/>
  <c r="EA108" i="1"/>
  <c r="FK108" i="1"/>
  <c r="EF108" i="1"/>
  <c r="CZ108" i="1"/>
  <c r="GQ108" i="1"/>
  <c r="BH108" i="1"/>
  <c r="GT108" i="1"/>
  <c r="GW108" i="1"/>
  <c r="GY108" i="1"/>
  <c r="CH108" i="1"/>
  <c r="AZ108" i="1"/>
  <c r="BU108" i="1"/>
  <c r="ER108" i="1"/>
  <c r="EK108" i="1"/>
  <c r="EL108" i="1"/>
  <c r="DC108" i="1"/>
  <c r="DA108" i="1"/>
  <c r="DB108" i="1"/>
  <c r="FX108" i="1"/>
  <c r="FU108" i="1"/>
  <c r="BG108" i="1"/>
  <c r="HI108" i="1"/>
  <c r="GB108" i="1"/>
  <c r="CW108" i="1"/>
  <c r="BF108" i="1"/>
  <c r="EZ108" i="1"/>
  <c r="CG108" i="1"/>
  <c r="DK108" i="1"/>
  <c r="DG108" i="1"/>
  <c r="DH108" i="1"/>
  <c r="CQ108" i="1"/>
  <c r="FT108" i="1"/>
  <c r="FD108" i="1"/>
  <c r="BV108" i="1"/>
  <c r="GH108" i="1"/>
  <c r="HC52" i="1"/>
  <c r="GS52" i="1"/>
  <c r="GP52" i="1"/>
  <c r="FZ52" i="1"/>
  <c r="FV52" i="1"/>
  <c r="FF52" i="1"/>
  <c r="FA52" i="1"/>
  <c r="FC52" i="1"/>
  <c r="EI52" i="1"/>
  <c r="EF52" i="1"/>
  <c r="DS52" i="1"/>
  <c r="DR52" i="1"/>
  <c r="DN52" i="1"/>
  <c r="DQ52" i="1"/>
  <c r="CN52" i="1"/>
  <c r="GN52" i="1"/>
  <c r="BQ52" i="1"/>
  <c r="BI52" i="1"/>
  <c r="AZ52" i="1"/>
  <c r="GK52" i="1"/>
  <c r="EY52" i="1"/>
  <c r="BG42" i="1"/>
  <c r="BS42" i="1"/>
  <c r="EX108" i="1"/>
  <c r="EQ108" i="1"/>
  <c r="FO108" i="1"/>
  <c r="GR108" i="1"/>
  <c r="HB108" i="1"/>
  <c r="DL108" i="1"/>
  <c r="GC108" i="1"/>
  <c r="GH52" i="1"/>
  <c r="FR52" i="1"/>
  <c r="GA52" i="1"/>
  <c r="FX52" i="1"/>
  <c r="FD52" i="1"/>
  <c r="HE52" i="1"/>
  <c r="EV52" i="1"/>
  <c r="EZ52" i="1"/>
  <c r="EJ52" i="1"/>
  <c r="EG52" i="1"/>
  <c r="EA52" i="1"/>
  <c r="DL52" i="1"/>
  <c r="DA52" i="1"/>
  <c r="BA52" i="1"/>
  <c r="BR52" i="1"/>
  <c r="BM52" i="1"/>
  <c r="BY52" i="1"/>
  <c r="GJ52" i="1"/>
  <c r="EU52" i="1"/>
  <c r="EU42" i="1"/>
  <c r="BO108" i="1"/>
  <c r="EP108" i="1"/>
  <c r="HF108" i="1"/>
  <c r="GL108" i="1"/>
  <c r="DP108" i="1"/>
  <c r="FP52" i="1"/>
  <c r="GD52" i="1"/>
  <c r="FW52" i="1"/>
  <c r="FU52" i="1"/>
  <c r="EW52" i="1"/>
  <c r="FY52" i="1"/>
  <c r="FB52" i="1"/>
  <c r="EQ52" i="1"/>
  <c r="EH52" i="1"/>
  <c r="EE52" i="1"/>
  <c r="DX52" i="1"/>
  <c r="CZ52" i="1"/>
  <c r="BU52" i="1"/>
  <c r="DT52" i="1"/>
  <c r="BL52" i="1"/>
  <c r="DF52" i="1"/>
  <c r="BT52" i="1"/>
  <c r="CF108" i="1"/>
  <c r="EE108" i="1"/>
  <c r="GE108" i="1"/>
  <c r="BN108" i="1"/>
  <c r="CU108" i="1"/>
  <c r="DO108" i="1"/>
  <c r="HA52" i="1"/>
  <c r="FS52" i="1"/>
  <c r="FG52" i="1"/>
  <c r="EX52" i="1"/>
  <c r="EL52" i="1"/>
  <c r="EK52" i="1"/>
  <c r="DW52" i="1"/>
  <c r="DO52" i="1"/>
  <c r="CX52" i="1"/>
  <c r="CY52" i="1"/>
  <c r="CS52" i="1"/>
  <c r="CP52" i="1"/>
  <c r="CL52" i="1"/>
  <c r="CA52" i="1"/>
  <c r="FK52" i="1"/>
  <c r="DI52" i="1"/>
  <c r="GX52" i="1"/>
  <c r="BF52" i="1"/>
  <c r="DH52" i="1"/>
  <c r="BK108" i="1"/>
  <c r="FS108" i="1"/>
  <c r="CI108" i="1"/>
  <c r="FF108" i="1"/>
  <c r="CR108" i="1"/>
  <c r="BA108" i="1"/>
  <c r="CA108" i="1"/>
  <c r="DS108" i="1"/>
  <c r="AI35" i="1"/>
  <c r="AG35" i="1"/>
  <c r="BM35" i="1" s="1"/>
  <c r="R31" i="1"/>
  <c r="X31" i="1" s="1"/>
  <c r="AW31" i="7" s="1"/>
  <c r="AV28" i="1"/>
  <c r="CO28" i="1" s="1"/>
  <c r="Z28" i="1"/>
  <c r="Q24" i="1"/>
  <c r="R23" i="1"/>
  <c r="X23" i="1" s="1"/>
  <c r="AQ23" i="1" s="1"/>
  <c r="AE23" i="1"/>
  <c r="ET23" i="1" s="1"/>
  <c r="R18" i="1"/>
  <c r="X18" i="1" s="1"/>
  <c r="AW18" i="7" s="1"/>
  <c r="R17" i="1"/>
  <c r="X17" i="1" s="1"/>
  <c r="AQ17" i="1" s="1"/>
  <c r="AJ9" i="1"/>
  <c r="BD26" i="1"/>
  <c r="DH26" i="1" s="1"/>
  <c r="DE24" i="1"/>
  <c r="Z20" i="1"/>
  <c r="O20" i="1"/>
  <c r="Q20" i="1" s="1"/>
  <c r="O34" i="1"/>
  <c r="AB28" i="1"/>
  <c r="BG26" i="1"/>
  <c r="DG26" i="1"/>
  <c r="BG24" i="1"/>
  <c r="P13" i="1"/>
  <c r="S13" i="1" s="1"/>
  <c r="Y13" i="1" s="1"/>
  <c r="AA20" i="1"/>
  <c r="DD26" i="1"/>
  <c r="BW26" i="1"/>
  <c r="DE26" i="1"/>
  <c r="DF26" i="1"/>
  <c r="N13" i="1"/>
  <c r="Q13" i="1" s="1"/>
  <c r="Z13" i="1"/>
  <c r="AB20" i="1"/>
  <c r="P28" i="1"/>
  <c r="S28" i="1" s="1"/>
  <c r="Y28" i="1" s="1"/>
  <c r="BT26" i="1"/>
  <c r="BH26" i="1"/>
  <c r="CI26" i="1"/>
  <c r="BZ26" i="1"/>
  <c r="DB26" i="1"/>
  <c r="AA13" i="1"/>
  <c r="N28" i="1"/>
  <c r="P20" i="1"/>
  <c r="S20" i="1" s="1"/>
  <c r="Y20" i="1" s="1"/>
  <c r="V20" i="1" s="1"/>
  <c r="BS26" i="1"/>
  <c r="ES26" i="1"/>
  <c r="HI26" i="1"/>
  <c r="DC26" i="1"/>
  <c r="DD24" i="1"/>
  <c r="DF24" i="1"/>
  <c r="AB13" i="1"/>
  <c r="AB34" i="1"/>
  <c r="Z34" i="1"/>
  <c r="GW26" i="1"/>
  <c r="BV26" i="1"/>
  <c r="O28" i="1"/>
  <c r="P34" i="1"/>
  <c r="BF26" i="1"/>
  <c r="BL26" i="1" s="1"/>
  <c r="BT24" i="1"/>
  <c r="BH49" i="1"/>
  <c r="HI14" i="1"/>
  <c r="DB46" i="1"/>
  <c r="BZ49" i="1"/>
  <c r="DH49" i="1"/>
  <c r="BJ11" i="1"/>
  <c r="BZ46" i="1"/>
  <c r="BS49" i="1"/>
  <c r="DG49" i="1"/>
  <c r="DE49" i="1"/>
  <c r="DD49" i="1"/>
  <c r="BG49" i="1"/>
  <c r="DC49" i="1"/>
  <c r="BD49" i="1"/>
  <c r="DF49" i="1"/>
  <c r="GL49" i="1"/>
  <c r="BT49" i="1"/>
  <c r="BY49" i="1"/>
  <c r="BW49" i="1"/>
  <c r="BF49" i="1"/>
  <c r="BI49" i="1" s="1"/>
  <c r="HI49" i="1"/>
  <c r="BV49" i="1"/>
  <c r="DB49" i="1"/>
  <c r="CI49" i="1"/>
  <c r="GW49" i="1"/>
  <c r="AZ49" i="1"/>
  <c r="GM49" i="1" s="1"/>
  <c r="GJ49" i="1"/>
  <c r="GK49" i="1" s="1"/>
  <c r="BH14" i="1"/>
  <c r="BK14" i="1" s="1"/>
  <c r="BW14" i="1"/>
  <c r="GL14" i="1"/>
  <c r="DE46" i="1"/>
  <c r="BD46" i="1"/>
  <c r="DH46" i="1" s="1"/>
  <c r="CI46" i="1"/>
  <c r="BY46" i="1"/>
  <c r="BW46" i="1"/>
  <c r="ES46" i="1"/>
  <c r="BG46" i="1"/>
  <c r="DG46" i="1"/>
  <c r="BF46" i="1"/>
  <c r="BS46" i="1"/>
  <c r="AZ46" i="1"/>
  <c r="BV46" i="1"/>
  <c r="ET46" i="1"/>
  <c r="DD46" i="1"/>
  <c r="EY46" i="1"/>
  <c r="GW46" i="1"/>
  <c r="GV46" i="1" s="1"/>
  <c r="GL46" i="1"/>
  <c r="HI46" i="1"/>
  <c r="DF46" i="1"/>
  <c r="DC46" i="1"/>
  <c r="BT46" i="1"/>
  <c r="GJ46" i="1"/>
  <c r="BH51" i="1"/>
  <c r="DG51" i="1"/>
  <c r="BU51" i="1"/>
  <c r="CJ51" i="1"/>
  <c r="BA51" i="1"/>
  <c r="CQ51" i="1"/>
  <c r="DC51" i="1"/>
  <c r="CA51" i="1"/>
  <c r="CM51" i="1"/>
  <c r="GN51" i="1"/>
  <c r="CK51" i="1"/>
  <c r="CV51" i="1"/>
  <c r="DO51" i="1"/>
  <c r="CI51" i="1"/>
  <c r="GV51" i="1"/>
  <c r="BX51" i="1"/>
  <c r="CH51" i="1"/>
  <c r="BS51" i="1"/>
  <c r="GU51" i="1"/>
  <c r="CF51" i="1"/>
  <c r="CC51" i="1"/>
  <c r="CR51" i="1"/>
  <c r="CU51" i="1"/>
  <c r="EU51" i="1"/>
  <c r="BB51" i="1"/>
  <c r="CL51" i="1"/>
  <c r="CB51" i="1"/>
  <c r="CT51" i="1"/>
  <c r="DF51" i="1"/>
  <c r="BI51" i="1"/>
  <c r="BR51" i="1"/>
  <c r="CG51" i="1"/>
  <c r="CP51" i="1"/>
  <c r="HC53" i="1"/>
  <c r="GG53" i="1"/>
  <c r="GB53" i="1"/>
  <c r="FN53" i="1"/>
  <c r="FG53" i="1"/>
  <c r="HH53" i="1"/>
  <c r="HE53" i="1"/>
  <c r="EP53" i="1"/>
  <c r="EN53" i="1"/>
  <c r="EH53" i="1"/>
  <c r="DW53" i="1"/>
  <c r="DN53" i="1"/>
  <c r="CW53" i="1"/>
  <c r="CG53" i="1"/>
  <c r="BO53" i="1"/>
  <c r="CD53" i="1"/>
  <c r="DB35" i="1"/>
  <c r="DE35" i="1"/>
  <c r="ET35" i="1"/>
  <c r="DD47" i="1"/>
  <c r="DK47" i="1" s="1"/>
  <c r="ES47" i="1"/>
  <c r="FK47" i="1" s="1"/>
  <c r="ES53" i="1"/>
  <c r="DI53" i="1"/>
  <c r="EU53" i="1"/>
  <c r="CI53" i="1"/>
  <c r="GR53" i="1"/>
  <c r="GF53" i="1"/>
  <c r="FT53" i="1"/>
  <c r="FM53" i="1"/>
  <c r="FH53" i="1"/>
  <c r="HF53" i="1"/>
  <c r="FY53" i="1"/>
  <c r="EI53" i="1"/>
  <c r="DY53" i="1"/>
  <c r="DV53" i="1"/>
  <c r="CV53" i="1"/>
  <c r="CB53" i="1"/>
  <c r="BP53" i="1"/>
  <c r="FK53" i="1"/>
  <c r="DC35" i="1"/>
  <c r="EU35" i="1"/>
  <c r="EY35" i="1" s="1"/>
  <c r="BS47" i="1"/>
  <c r="CI47" i="1"/>
  <c r="BD47" i="1"/>
  <c r="DH47" i="1" s="1"/>
  <c r="BW53" i="1"/>
  <c r="DE53" i="1"/>
  <c r="DE47" i="1"/>
  <c r="AZ47" i="1"/>
  <c r="DB53" i="1"/>
  <c r="HD53" i="1"/>
  <c r="GE53" i="1"/>
  <c r="FP53" i="1"/>
  <c r="FZ53" i="1"/>
  <c r="HG53" i="1"/>
  <c r="HB53" i="1"/>
  <c r="FI53" i="1"/>
  <c r="EL53" i="1"/>
  <c r="DZ53" i="1"/>
  <c r="DA53" i="1"/>
  <c r="CJ53" i="1"/>
  <c r="CA53" i="1"/>
  <c r="GN53" i="1"/>
  <c r="ET53" i="1"/>
  <c r="CI35" i="1"/>
  <c r="BV35" i="1"/>
  <c r="GJ47" i="1"/>
  <c r="GK47" i="1" s="1"/>
  <c r="BW47" i="1"/>
  <c r="GV53" i="1"/>
  <c r="BL53" i="1"/>
  <c r="DD53" i="1"/>
  <c r="BF47" i="1"/>
  <c r="DG53" i="1"/>
  <c r="GZ53" i="1"/>
  <c r="GI53" i="1"/>
  <c r="FQ53" i="1"/>
  <c r="FW53" i="1"/>
  <c r="FD53" i="1"/>
  <c r="FL53" i="1"/>
  <c r="EG53" i="1"/>
  <c r="EB53" i="1"/>
  <c r="DS53" i="1"/>
  <c r="DP53" i="1"/>
  <c r="CY53" i="1"/>
  <c r="CS53" i="1"/>
  <c r="CK53" i="1"/>
  <c r="BU53" i="1"/>
  <c r="BB53" i="1"/>
  <c r="BK53" i="1"/>
  <c r="GU53" i="1"/>
  <c r="AZ35" i="1"/>
  <c r="GM35" i="1" s="1"/>
  <c r="BT35" i="1"/>
  <c r="EU47" i="1"/>
  <c r="EY47" i="1" s="1"/>
  <c r="GM53" i="1"/>
  <c r="DK53" i="1"/>
  <c r="BH53" i="1"/>
  <c r="BZ47" i="1"/>
  <c r="GL53" i="1"/>
  <c r="GV12" i="1"/>
  <c r="GX12" i="1" s="1"/>
  <c r="GT53" i="1"/>
  <c r="FS53" i="1"/>
  <c r="GD53" i="1"/>
  <c r="GQ53" i="1"/>
  <c r="EX53" i="1"/>
  <c r="FA53" i="1"/>
  <c r="FC53" i="1"/>
  <c r="ER53" i="1"/>
  <c r="EF53" i="1"/>
  <c r="ED53" i="1"/>
  <c r="DU53" i="1"/>
  <c r="DQ53" i="1"/>
  <c r="CU53" i="1"/>
  <c r="CP53" i="1"/>
  <c r="CM53" i="1"/>
  <c r="CC53" i="1"/>
  <c r="BM53" i="1"/>
  <c r="BI53" i="1"/>
  <c r="GL35" i="1"/>
  <c r="DF35" i="1"/>
  <c r="BG47" i="1"/>
  <c r="AZ53" i="1"/>
  <c r="BG53" i="1"/>
  <c r="BT53" i="1"/>
  <c r="BS53" i="1"/>
  <c r="DI21" i="1"/>
  <c r="GS53" i="1"/>
  <c r="GC53" i="1"/>
  <c r="GP53" i="1"/>
  <c r="FJ53" i="1"/>
  <c r="FE53" i="1"/>
  <c r="FB53" i="1"/>
  <c r="EZ53" i="1"/>
  <c r="EO53" i="1"/>
  <c r="EK53" i="1"/>
  <c r="DR53" i="1"/>
  <c r="DL53" i="1"/>
  <c r="CQ53" i="1"/>
  <c r="CL53" i="1"/>
  <c r="BX53" i="1"/>
  <c r="BQ53" i="1"/>
  <c r="BN53" i="1"/>
  <c r="DT53" i="1"/>
  <c r="BS35" i="1"/>
  <c r="BY35" i="1"/>
  <c r="BF35" i="1"/>
  <c r="BZ35" i="1"/>
  <c r="DI47" i="1"/>
  <c r="DC47" i="1"/>
  <c r="DC53" i="1"/>
  <c r="GK53" i="1"/>
  <c r="BY53" i="1"/>
  <c r="BH47" i="1"/>
  <c r="GL47" i="1"/>
  <c r="GV47" i="1" s="1"/>
  <c r="BV53" i="1"/>
  <c r="AF40" i="1"/>
  <c r="AG40" i="1" s="1"/>
  <c r="AF38" i="1"/>
  <c r="AI38" i="1" s="1"/>
  <c r="Q34" i="1"/>
  <c r="AC33" i="1"/>
  <c r="AE33" i="1"/>
  <c r="AJ33" i="1" s="1"/>
  <c r="Q32" i="1"/>
  <c r="R29" i="1"/>
  <c r="X29" i="1" s="1"/>
  <c r="AW29" i="7" s="1"/>
  <c r="DI27" i="1"/>
  <c r="GJ26" i="1"/>
  <c r="GK26" i="1" s="1"/>
  <c r="EU26" i="1"/>
  <c r="EY26" i="1" s="1"/>
  <c r="GM26" i="1"/>
  <c r="GL26" i="1"/>
  <c r="AW23" i="7"/>
  <c r="Q23" i="1"/>
  <c r="AF23" i="1"/>
  <c r="EU23" i="1" s="1"/>
  <c r="EY23" i="1" s="1"/>
  <c r="AD21" i="1"/>
  <c r="ES21" i="1" s="1"/>
  <c r="HI20" i="1"/>
  <c r="GW20" i="1"/>
  <c r="AD20" i="1"/>
  <c r="AH20" i="1" s="1"/>
  <c r="Q18" i="1"/>
  <c r="HA25" i="1"/>
  <c r="FP25" i="1"/>
  <c r="GQ25" i="1"/>
  <c r="HG25" i="1"/>
  <c r="FD25" i="1"/>
  <c r="EG25" i="1"/>
  <c r="EC25" i="1"/>
  <c r="DQ25" i="1"/>
  <c r="CU25" i="1"/>
  <c r="CM25" i="1"/>
  <c r="CG25" i="1"/>
  <c r="BA25" i="1"/>
  <c r="GU25" i="1"/>
  <c r="BT25" i="1"/>
  <c r="BF25" i="1"/>
  <c r="BH25" i="1"/>
  <c r="BS25" i="1"/>
  <c r="CI25" i="1"/>
  <c r="S30" i="1"/>
  <c r="Y30" i="1" s="1"/>
  <c r="V30" i="1" s="1"/>
  <c r="N30" i="1"/>
  <c r="AB30" i="1"/>
  <c r="Z36" i="1"/>
  <c r="AA22" i="1"/>
  <c r="GT25" i="1"/>
  <c r="FR25" i="1"/>
  <c r="FJ25" i="1"/>
  <c r="FH25" i="1"/>
  <c r="FE25" i="1"/>
  <c r="FB25" i="1"/>
  <c r="FC25" i="1"/>
  <c r="EE25" i="1"/>
  <c r="DZ25" i="1"/>
  <c r="DR25" i="1"/>
  <c r="DA25" i="1"/>
  <c r="DM25" i="1"/>
  <c r="CJ25" i="1"/>
  <c r="CB25" i="1"/>
  <c r="BO25" i="1"/>
  <c r="EU25" i="1"/>
  <c r="DH25" i="1"/>
  <c r="DC29" i="1"/>
  <c r="GL25" i="1"/>
  <c r="GJ25" i="1"/>
  <c r="AA30" i="1"/>
  <c r="P15" i="1"/>
  <c r="S15" i="1" s="1"/>
  <c r="Y15" i="1" s="1"/>
  <c r="V15" i="1" s="1"/>
  <c r="N15" i="1"/>
  <c r="Q15" i="1" s="1"/>
  <c r="O22" i="1"/>
  <c r="GR25" i="1"/>
  <c r="FS25" i="1"/>
  <c r="FQ25" i="1"/>
  <c r="FU25" i="1"/>
  <c r="EX25" i="1"/>
  <c r="EV25" i="1"/>
  <c r="EZ25" i="1"/>
  <c r="EN25" i="1"/>
  <c r="EK25" i="1"/>
  <c r="EA25" i="1"/>
  <c r="DV25" i="1"/>
  <c r="DX25" i="1"/>
  <c r="DS25" i="1"/>
  <c r="CW25" i="1"/>
  <c r="CE25" i="1"/>
  <c r="BR25" i="1"/>
  <c r="CD25" i="1"/>
  <c r="BJ25" i="1"/>
  <c r="BW25" i="1"/>
  <c r="FK25" i="1"/>
  <c r="BZ25" i="1"/>
  <c r="DE25" i="1"/>
  <c r="O30" i="1"/>
  <c r="AA15" i="1"/>
  <c r="AA36" i="1"/>
  <c r="N22" i="1"/>
  <c r="HC25" i="1"/>
  <c r="GH25" i="1"/>
  <c r="GB25" i="1"/>
  <c r="GD25" i="1"/>
  <c r="FZ25" i="1"/>
  <c r="FG25" i="1"/>
  <c r="HH25" i="1"/>
  <c r="FA25" i="1"/>
  <c r="EQ25" i="1"/>
  <c r="ER25" i="1"/>
  <c r="EI25" i="1"/>
  <c r="DY25" i="1"/>
  <c r="DW25" i="1"/>
  <c r="DO25" i="1"/>
  <c r="DN25" i="1"/>
  <c r="CV25" i="1"/>
  <c r="BP25" i="1"/>
  <c r="DJ25" i="1"/>
  <c r="GV25" i="1"/>
  <c r="ES25" i="1"/>
  <c r="DB25" i="1"/>
  <c r="P22" i="1"/>
  <c r="S22" i="1" s="1"/>
  <c r="Y22" i="1" s="1"/>
  <c r="V22" i="1" s="1"/>
  <c r="HD25" i="1"/>
  <c r="GS25" i="1"/>
  <c r="GG25" i="1"/>
  <c r="GC25" i="1"/>
  <c r="GP25" i="1"/>
  <c r="FX25" i="1"/>
  <c r="FO25" i="1"/>
  <c r="HF25" i="1"/>
  <c r="HE25" i="1"/>
  <c r="EP25" i="1"/>
  <c r="EO25" i="1"/>
  <c r="EJ25" i="1"/>
  <c r="DU25" i="1"/>
  <c r="CY25" i="1"/>
  <c r="CX25" i="1"/>
  <c r="CT25" i="1"/>
  <c r="CK25" i="1"/>
  <c r="CL25" i="1"/>
  <c r="BI25" i="1"/>
  <c r="DF25" i="1"/>
  <c r="GW25" i="1"/>
  <c r="DK25" i="1"/>
  <c r="DD25" i="1"/>
  <c r="AB22" i="1"/>
  <c r="AF22" i="1" s="1"/>
  <c r="GY25" i="1"/>
  <c r="GF25" i="1"/>
  <c r="GO25" i="1"/>
  <c r="GA25" i="1"/>
  <c r="FW25" i="1"/>
  <c r="FL25" i="1"/>
  <c r="HB25" i="1"/>
  <c r="FY25" i="1"/>
  <c r="EM25" i="1"/>
  <c r="EH25" i="1"/>
  <c r="DP25" i="1"/>
  <c r="CS25" i="1"/>
  <c r="CR25" i="1"/>
  <c r="CH25" i="1"/>
  <c r="CF25" i="1"/>
  <c r="BU25" i="1"/>
  <c r="CA25" i="1"/>
  <c r="BQ25" i="1"/>
  <c r="GM25" i="1"/>
  <c r="BY25" i="1"/>
  <c r="DG25" i="1"/>
  <c r="BV25" i="1"/>
  <c r="GE25" i="1"/>
  <c r="FT25" i="1"/>
  <c r="FN25" i="1"/>
  <c r="EW25" i="1"/>
  <c r="FI25" i="1"/>
  <c r="EL25" i="1"/>
  <c r="ED25" i="1"/>
  <c r="DL25" i="1"/>
  <c r="CP25" i="1"/>
  <c r="CQ25" i="1"/>
  <c r="CC25" i="1"/>
  <c r="BX25" i="1"/>
  <c r="BE25" i="1"/>
  <c r="EY25" i="1"/>
  <c r="DT25" i="1"/>
  <c r="AZ25" i="1"/>
  <c r="GK25" i="1"/>
  <c r="ET25" i="1"/>
  <c r="BS29" i="1"/>
  <c r="DC25" i="1"/>
  <c r="BD25" i="1"/>
  <c r="BM25" i="1"/>
  <c r="Z15" i="1"/>
  <c r="O36" i="1"/>
  <c r="R40" i="1"/>
  <c r="X40" i="1" s="1"/>
  <c r="AQ40" i="1" s="1"/>
  <c r="AF39" i="1"/>
  <c r="AG38" i="1"/>
  <c r="R38" i="1"/>
  <c r="X38" i="1" s="1"/>
  <c r="AQ38" i="1" s="1"/>
  <c r="AV38" i="1"/>
  <c r="AC37" i="1"/>
  <c r="AF33" i="1"/>
  <c r="EU33" i="1" s="1"/>
  <c r="Q33" i="1"/>
  <c r="AD32" i="1"/>
  <c r="AI31" i="1"/>
  <c r="AM31" i="1"/>
  <c r="EU31" i="1"/>
  <c r="EY31" i="1" s="1"/>
  <c r="AE31" i="1"/>
  <c r="AG29" i="1"/>
  <c r="AE26" i="1"/>
  <c r="AJ26" i="1" s="1"/>
  <c r="AH24" i="1"/>
  <c r="AD23" i="1"/>
  <c r="AH23" i="1" s="1"/>
  <c r="AV22" i="1"/>
  <c r="BT22" i="1" s="1"/>
  <c r="AE21" i="1"/>
  <c r="ET21" i="1" s="1"/>
  <c r="GX21" i="1"/>
  <c r="AC21" i="1"/>
  <c r="AF18" i="1"/>
  <c r="AI18" i="1" s="1"/>
  <c r="AC18" i="1"/>
  <c r="AD17" i="1"/>
  <c r="ES17" i="1" s="1"/>
  <c r="Q16" i="1"/>
  <c r="AW14" i="7"/>
  <c r="AQ14" i="1"/>
  <c r="AV13" i="1"/>
  <c r="AV10" i="1"/>
  <c r="FP40" i="1"/>
  <c r="FX40" i="1"/>
  <c r="FH40" i="1"/>
  <c r="HF40" i="1"/>
  <c r="FA40" i="1"/>
  <c r="HE40" i="1"/>
  <c r="EO40" i="1"/>
  <c r="EE40" i="1"/>
  <c r="EL40" i="1"/>
  <c r="DU40" i="1"/>
  <c r="CQ40" i="1"/>
  <c r="CG40" i="1"/>
  <c r="CF40" i="1"/>
  <c r="BJ40" i="1"/>
  <c r="FK40" i="1"/>
  <c r="DE40" i="1"/>
  <c r="AZ9" i="1"/>
  <c r="GM9" i="1" s="1"/>
  <c r="Z10" i="1"/>
  <c r="N10" i="1"/>
  <c r="R10" i="1" s="1"/>
  <c r="X10" i="1" s="1"/>
  <c r="AB10" i="1"/>
  <c r="AA10" i="1"/>
  <c r="P10" i="1"/>
  <c r="S10" i="1" s="1"/>
  <c r="Y10" i="1" s="1"/>
  <c r="V10" i="1" s="1"/>
  <c r="FW40" i="1"/>
  <c r="FU40" i="1"/>
  <c r="HH40" i="1"/>
  <c r="HB40" i="1"/>
  <c r="EV40" i="1"/>
  <c r="FY40" i="1"/>
  <c r="EM40" i="1"/>
  <c r="EK40" i="1"/>
  <c r="ED40" i="1"/>
  <c r="CP40" i="1"/>
  <c r="GN40" i="1"/>
  <c r="CE40" i="1"/>
  <c r="GM40" i="1"/>
  <c r="GJ20" i="1"/>
  <c r="BY40" i="1"/>
  <c r="CI33" i="1"/>
  <c r="DB33" i="1"/>
  <c r="DI33" i="1" s="1"/>
  <c r="BG33" i="1"/>
  <c r="ES33" i="1"/>
  <c r="DG33" i="1"/>
  <c r="BY33" i="1"/>
  <c r="AZ33" i="1"/>
  <c r="DC33" i="1"/>
  <c r="DJ33" i="1" s="1"/>
  <c r="HI33" i="1"/>
  <c r="BS33" i="1"/>
  <c r="GL33" i="1"/>
  <c r="BH33" i="1"/>
  <c r="BF33" i="1"/>
  <c r="BL33" i="1" s="1"/>
  <c r="GJ33" i="1"/>
  <c r="GK33" i="1" s="1"/>
  <c r="BW33" i="1"/>
  <c r="GW33" i="1"/>
  <c r="ET33" i="1"/>
  <c r="DH33" i="1"/>
  <c r="BT33" i="1"/>
  <c r="P27" i="1"/>
  <c r="S27" i="1" s="1"/>
  <c r="Y27" i="1" s="1"/>
  <c r="V27" i="1" s="1"/>
  <c r="O27" i="1"/>
  <c r="BG27" i="1" s="1"/>
  <c r="AB27" i="1"/>
  <c r="AA27" i="1"/>
  <c r="N27" i="1"/>
  <c r="BF27" i="1" s="1"/>
  <c r="Z27" i="1"/>
  <c r="Z19" i="1"/>
  <c r="O19" i="1"/>
  <c r="AA19" i="1"/>
  <c r="P19" i="1"/>
  <c r="S19" i="1" s="1"/>
  <c r="Y19" i="1" s="1"/>
  <c r="V19" i="1" s="1"/>
  <c r="N19" i="1"/>
  <c r="M8" i="1"/>
  <c r="N12" i="1"/>
  <c r="O12" i="1"/>
  <c r="P12" i="1"/>
  <c r="BH12" i="1" s="1"/>
  <c r="AA12" i="1"/>
  <c r="Z12" i="1"/>
  <c r="AZ15" i="1"/>
  <c r="DC15" i="1"/>
  <c r="GG15" i="1"/>
  <c r="FV15" i="1"/>
  <c r="FG15" i="1"/>
  <c r="DL15" i="1"/>
  <c r="BF24" i="1"/>
  <c r="BI24" i="1" s="1"/>
  <c r="BS24" i="1"/>
  <c r="BW24" i="1"/>
  <c r="AZ24" i="1"/>
  <c r="GM24" i="1" s="1"/>
  <c r="GJ24" i="1"/>
  <c r="GK24" i="1" s="1"/>
  <c r="BH24" i="1"/>
  <c r="GL24" i="1"/>
  <c r="DC24" i="1"/>
  <c r="DJ24" i="1" s="1"/>
  <c r="GW24" i="1"/>
  <c r="DB24" i="1"/>
  <c r="HI24" i="1"/>
  <c r="DG24" i="1"/>
  <c r="CI24" i="1"/>
  <c r="BD24" i="1"/>
  <c r="DH24" i="1" s="1"/>
  <c r="BY24" i="1"/>
  <c r="BZ24" i="1"/>
  <c r="ET24" i="1"/>
  <c r="HC40" i="1"/>
  <c r="HD40" i="1"/>
  <c r="GI40" i="1"/>
  <c r="FN40" i="1"/>
  <c r="FG40" i="1"/>
  <c r="FE40" i="1"/>
  <c r="FO40" i="1"/>
  <c r="EN40" i="1"/>
  <c r="EC40" i="1"/>
  <c r="DV40" i="1"/>
  <c r="BA40" i="1"/>
  <c r="CK40" i="1"/>
  <c r="CH40" i="1"/>
  <c r="DT40" i="1"/>
  <c r="BM40" i="1"/>
  <c r="BF40" i="1"/>
  <c r="DB14" i="1"/>
  <c r="GJ14" i="1"/>
  <c r="GK14" i="1" s="1"/>
  <c r="AZ14" i="1"/>
  <c r="GM14" i="1" s="1"/>
  <c r="ET14" i="1"/>
  <c r="DG14" i="1"/>
  <c r="BT14" i="1"/>
  <c r="BY14" i="1"/>
  <c r="BG14" i="1"/>
  <c r="DF14" i="1"/>
  <c r="DE14" i="1"/>
  <c r="ES14" i="1"/>
  <c r="CI14" i="1"/>
  <c r="DD14" i="1"/>
  <c r="GW14" i="1"/>
  <c r="BZ14" i="1"/>
  <c r="BV14" i="1"/>
  <c r="DC14" i="1"/>
  <c r="EU14" i="1"/>
  <c r="EY14" i="1" s="1"/>
  <c r="GW23" i="1"/>
  <c r="GV23" i="1" s="1"/>
  <c r="BS23" i="1"/>
  <c r="BF23" i="1"/>
  <c r="BV23" i="1"/>
  <c r="DG23" i="1"/>
  <c r="BD23" i="1"/>
  <c r="DH23" i="1" s="1"/>
  <c r="BT23" i="1"/>
  <c r="CI23" i="1"/>
  <c r="BZ23" i="1"/>
  <c r="BG23" i="1"/>
  <c r="HI23" i="1"/>
  <c r="GJ23" i="1"/>
  <c r="AZ23" i="1"/>
  <c r="DE23" i="1"/>
  <c r="BH23" i="1"/>
  <c r="DD23" i="1"/>
  <c r="DB23" i="1"/>
  <c r="DG9" i="1"/>
  <c r="BS9" i="1"/>
  <c r="GJ9" i="1"/>
  <c r="GK9" i="1" s="1"/>
  <c r="ES9" i="1"/>
  <c r="DF9" i="1"/>
  <c r="BD9" i="1"/>
  <c r="DH9" i="1" s="1"/>
  <c r="BW9" i="1"/>
  <c r="BH9" i="1"/>
  <c r="DB9" i="1"/>
  <c r="BV9" i="1"/>
  <c r="GL9" i="1"/>
  <c r="ET9" i="1"/>
  <c r="FK9" i="1" s="1"/>
  <c r="HI9" i="1"/>
  <c r="GW9" i="1"/>
  <c r="BF9" i="1"/>
  <c r="BI9" i="1" s="1"/>
  <c r="BG9" i="1"/>
  <c r="DD9" i="1"/>
  <c r="DK9" i="1" s="1"/>
  <c r="CI9" i="1"/>
  <c r="BT9" i="1"/>
  <c r="EB40" i="1"/>
  <c r="DX40" i="1"/>
  <c r="DL40" i="1"/>
  <c r="ES40" i="1"/>
  <c r="DC9" i="1"/>
  <c r="AZ20" i="1"/>
  <c r="GM20" i="1" s="1"/>
  <c r="GL20" i="1"/>
  <c r="DG20" i="1"/>
  <c r="DD20" i="1"/>
  <c r="DF20" i="1"/>
  <c r="BT20" i="1"/>
  <c r="BD20" i="1"/>
  <c r="DH20" i="1" s="1"/>
  <c r="CI20" i="1"/>
  <c r="BH20" i="1"/>
  <c r="BG20" i="1"/>
  <c r="BW20" i="1"/>
  <c r="DB20" i="1"/>
  <c r="DE20" i="1"/>
  <c r="BF20" i="1"/>
  <c r="BI20" i="1" s="1"/>
  <c r="BY20" i="1"/>
  <c r="BV20" i="1"/>
  <c r="GK20" i="1"/>
  <c r="DC20" i="1"/>
  <c r="BT40" i="1"/>
  <c r="EY40" i="1"/>
  <c r="BI40" i="1"/>
  <c r="DI40" i="1"/>
  <c r="BV40" i="1"/>
  <c r="BS40" i="1"/>
  <c r="HI40" i="1"/>
  <c r="ET40" i="1"/>
  <c r="BB40" i="1"/>
  <c r="CB40" i="1"/>
  <c r="DB40" i="1"/>
  <c r="DG40" i="1"/>
  <c r="BD40" i="1"/>
  <c r="BK40" i="1"/>
  <c r="BE40" i="1"/>
  <c r="BP40" i="1"/>
  <c r="BU40" i="1"/>
  <c r="DD40" i="1"/>
  <c r="DK40" i="1"/>
  <c r="DH40" i="1"/>
  <c r="DJ40" i="1"/>
  <c r="BX40" i="1"/>
  <c r="BR40" i="1"/>
  <c r="CC40" i="1"/>
  <c r="GJ40" i="1"/>
  <c r="BW40" i="1"/>
  <c r="BG40" i="1"/>
  <c r="GW40" i="1"/>
  <c r="GX40" i="1"/>
  <c r="CA40" i="1"/>
  <c r="DF40" i="1"/>
  <c r="GL40" i="1"/>
  <c r="DC40" i="1"/>
  <c r="AZ40" i="1"/>
  <c r="BN40" i="1"/>
  <c r="CD40" i="1"/>
  <c r="GU40" i="1"/>
  <c r="BL40" i="1"/>
  <c r="BQ40" i="1"/>
  <c r="GB40" i="1"/>
  <c r="FV40" i="1"/>
  <c r="DZ40" i="1"/>
  <c r="GS40" i="1"/>
  <c r="GC40" i="1"/>
  <c r="FT40" i="1"/>
  <c r="DW40" i="1"/>
  <c r="DO40" i="1"/>
  <c r="CZ40" i="1"/>
  <c r="CW40" i="1"/>
  <c r="CT40" i="1"/>
  <c r="BO40" i="1"/>
  <c r="EU40" i="1"/>
  <c r="FL40" i="1"/>
  <c r="FD40" i="1"/>
  <c r="FC40" i="1"/>
  <c r="HA40" i="1"/>
  <c r="GZ40" i="1"/>
  <c r="GH40" i="1"/>
  <c r="GG40" i="1"/>
  <c r="GO40" i="1"/>
  <c r="FS40" i="1"/>
  <c r="GP40" i="1"/>
  <c r="GQ40" i="1"/>
  <c r="EW40" i="1"/>
  <c r="EZ40" i="1"/>
  <c r="EJ40" i="1"/>
  <c r="DR40" i="1"/>
  <c r="DQ40" i="1"/>
  <c r="DA40" i="1"/>
  <c r="CX40" i="1"/>
  <c r="CU40" i="1"/>
  <c r="CJ40" i="1"/>
  <c r="BF14" i="1"/>
  <c r="BI14" i="1" s="1"/>
  <c r="GK23" i="1"/>
  <c r="GU23" i="1" s="1"/>
  <c r="BZ40" i="1"/>
  <c r="FM40" i="1"/>
  <c r="DS40" i="1"/>
  <c r="CN40" i="1"/>
  <c r="GR40" i="1"/>
  <c r="GY40" i="1"/>
  <c r="GF40" i="1"/>
  <c r="FQ40" i="1"/>
  <c r="GD40" i="1"/>
  <c r="FJ40" i="1"/>
  <c r="EX40" i="1"/>
  <c r="FI40" i="1"/>
  <c r="EQ40" i="1"/>
  <c r="EG40" i="1"/>
  <c r="EI40" i="1"/>
  <c r="EA40" i="1"/>
  <c r="DM40" i="1"/>
  <c r="CY40" i="1"/>
  <c r="CV40" i="1"/>
  <c r="CS40" i="1"/>
  <c r="CR40" i="1"/>
  <c r="GV40" i="1"/>
  <c r="BS14" i="1"/>
  <c r="BZ20" i="1"/>
  <c r="BY23" i="1"/>
  <c r="CI40" i="1"/>
  <c r="DE9" i="1"/>
  <c r="AI40" i="1"/>
  <c r="AM40" i="1"/>
  <c r="AC40" i="1"/>
  <c r="AD40" i="1"/>
  <c r="AH40" i="1" s="1"/>
  <c r="V39" i="1"/>
  <c r="V38" i="1"/>
  <c r="AI37" i="1"/>
  <c r="AM37" i="1"/>
  <c r="S37" i="1"/>
  <c r="Y37" i="1" s="1"/>
  <c r="AV37" i="1"/>
  <c r="V35" i="1"/>
  <c r="AQ35" i="1"/>
  <c r="BD35" i="1"/>
  <c r="DH35" i="1" s="1"/>
  <c r="GJ35" i="1"/>
  <c r="DG35" i="1"/>
  <c r="DK35" i="1" s="1"/>
  <c r="BH35" i="1"/>
  <c r="HI35" i="1"/>
  <c r="ES35" i="1"/>
  <c r="FK35" i="1" s="1"/>
  <c r="GW35" i="1"/>
  <c r="AF34" i="1"/>
  <c r="EU34" i="1" s="1"/>
  <c r="EY34" i="1" s="1"/>
  <c r="AE34" i="1"/>
  <c r="AC34" i="1"/>
  <c r="V33" i="1"/>
  <c r="AW33" i="7"/>
  <c r="AQ33" i="1"/>
  <c r="AW32" i="7"/>
  <c r="AQ32" i="1"/>
  <c r="V32" i="1"/>
  <c r="AF32" i="1"/>
  <c r="EU32" i="1" s="1"/>
  <c r="EY32" i="1" s="1"/>
  <c r="AC32" i="1"/>
  <c r="AE32" i="1"/>
  <c r="AV30" i="1"/>
  <c r="CO30" i="1" s="1"/>
  <c r="W26" i="7"/>
  <c r="U26" i="7" s="1"/>
  <c r="W20" i="7"/>
  <c r="V29" i="1"/>
  <c r="EU29" i="1"/>
  <c r="EY29" i="1" s="1"/>
  <c r="DB29" i="1"/>
  <c r="BH29" i="1"/>
  <c r="BN29" i="1" s="1"/>
  <c r="DG29" i="1"/>
  <c r="DK29" i="1" s="1"/>
  <c r="DF29" i="1"/>
  <c r="DJ29" i="1" s="1"/>
  <c r="BG29" i="1"/>
  <c r="BM29" i="1" s="1"/>
  <c r="BD29" i="1"/>
  <c r="DH29" i="1" s="1"/>
  <c r="ET29" i="1"/>
  <c r="GW29" i="1"/>
  <c r="GV29" i="1" s="1"/>
  <c r="BT29" i="1"/>
  <c r="BW29" i="1"/>
  <c r="BK29" i="1"/>
  <c r="BF29" i="1"/>
  <c r="BL29" i="1" s="1"/>
  <c r="BZ29" i="1"/>
  <c r="BV29" i="1"/>
  <c r="ES29" i="1"/>
  <c r="FK29" i="1" s="1"/>
  <c r="HI29" i="1"/>
  <c r="GJ29" i="1"/>
  <c r="BY29" i="1"/>
  <c r="AZ29" i="1"/>
  <c r="GM29" i="1" s="1"/>
  <c r="CI29" i="1"/>
  <c r="DE29" i="1"/>
  <c r="V28" i="1"/>
  <c r="W32" i="7"/>
  <c r="AL32" i="7" s="1"/>
  <c r="AN32" i="7" s="1"/>
  <c r="W27" i="7"/>
  <c r="U27" i="7" s="1"/>
  <c r="W11" i="7"/>
  <c r="U11" i="7" s="1"/>
  <c r="W25" i="7"/>
  <c r="AL25" i="7" s="1"/>
  <c r="AN25" i="7" s="1"/>
  <c r="W19" i="7"/>
  <c r="U19" i="7" s="1"/>
  <c r="W33" i="7"/>
  <c r="AL33" i="7" s="1"/>
  <c r="AN33" i="7" s="1"/>
  <c r="W23" i="7"/>
  <c r="AL23" i="7" s="1"/>
  <c r="AN23" i="7" s="1"/>
  <c r="AK34" i="7"/>
  <c r="AO34" i="7" s="1"/>
  <c r="W12" i="7"/>
  <c r="T12" i="7" s="1"/>
  <c r="T8" i="7" s="1"/>
  <c r="W28" i="7"/>
  <c r="AK28" i="7" s="1"/>
  <c r="AO28" i="7" s="1"/>
  <c r="W18" i="7"/>
  <c r="T18" i="7" s="1"/>
  <c r="W9" i="7"/>
  <c r="AK9" i="7" s="1"/>
  <c r="AO9" i="7" s="1"/>
  <c r="T34" i="7"/>
  <c r="W13" i="7"/>
  <c r="U13" i="7" s="1"/>
  <c r="W14" i="7"/>
  <c r="T14" i="7" s="1"/>
  <c r="W31" i="7"/>
  <c r="T31" i="7" s="1"/>
  <c r="W15" i="7"/>
  <c r="AL15" i="7" s="1"/>
  <c r="AN15" i="7" s="1"/>
  <c r="AL34" i="7"/>
  <c r="W24" i="7"/>
  <c r="U24" i="7" s="1"/>
  <c r="W21" i="7"/>
  <c r="T21" i="7" s="1"/>
  <c r="W30" i="7"/>
  <c r="W16" i="7"/>
  <c r="T16" i="7" s="1"/>
  <c r="W10" i="7"/>
  <c r="U10" i="7" s="1"/>
  <c r="W17" i="7"/>
  <c r="AL17" i="7" s="1"/>
  <c r="AN17" i="7" s="1"/>
  <c r="W22" i="7"/>
  <c r="U22" i="7" s="1"/>
  <c r="DC27" i="1"/>
  <c r="DF27" i="1"/>
  <c r="DG27" i="1"/>
  <c r="AQ26" i="1"/>
  <c r="AW26" i="7"/>
  <c r="AW25" i="7"/>
  <c r="AQ25" i="1"/>
  <c r="V24" i="1"/>
  <c r="AW24" i="7"/>
  <c r="AQ24" i="1"/>
  <c r="V23" i="1"/>
  <c r="AW21" i="7"/>
  <c r="AQ21" i="1"/>
  <c r="AH21" i="1"/>
  <c r="BL21" i="1" s="1"/>
  <c r="AF21" i="1"/>
  <c r="AE20" i="1"/>
  <c r="V18" i="1"/>
  <c r="AD18" i="1"/>
  <c r="AH18" i="1" s="1"/>
  <c r="V17" i="1"/>
  <c r="AC17" i="1"/>
  <c r="AQ16" i="1"/>
  <c r="GA15" i="1"/>
  <c r="HC15" i="1"/>
  <c r="BB15" i="1"/>
  <c r="FU15" i="1"/>
  <c r="BL15" i="1"/>
  <c r="CU15" i="1"/>
  <c r="DH15" i="1"/>
  <c r="GB15" i="1"/>
  <c r="CH15" i="1"/>
  <c r="DA15" i="1"/>
  <c r="CM15" i="1"/>
  <c r="BU15" i="1"/>
  <c r="CX15" i="1"/>
  <c r="GK15" i="1"/>
  <c r="BW15" i="1"/>
  <c r="DV15" i="1"/>
  <c r="GO15" i="1"/>
  <c r="EY15" i="1"/>
  <c r="DR15" i="1"/>
  <c r="GP15" i="1"/>
  <c r="CT15" i="1"/>
  <c r="FQ15" i="1"/>
  <c r="GJ15" i="1"/>
  <c r="CW15" i="1"/>
  <c r="FP15" i="1"/>
  <c r="EA15" i="1"/>
  <c r="CQ15" i="1"/>
  <c r="FX15" i="1"/>
  <c r="CK15" i="1"/>
  <c r="FO15" i="1"/>
  <c r="FT15" i="1"/>
  <c r="BR15" i="1"/>
  <c r="DE15" i="1"/>
  <c r="EU15" i="1"/>
  <c r="DY15" i="1"/>
  <c r="GZ15" i="1"/>
  <c r="EC15" i="1"/>
  <c r="GQ15" i="1"/>
  <c r="CZ15" i="1"/>
  <c r="GC15" i="1"/>
  <c r="DJ15" i="1"/>
  <c r="DP15" i="1"/>
  <c r="GE15" i="1"/>
  <c r="BS15" i="1"/>
  <c r="FK15" i="1"/>
  <c r="EK15" i="1"/>
  <c r="GF15" i="1"/>
  <c r="BV15" i="1"/>
  <c r="DN15" i="1"/>
  <c r="FS15" i="1"/>
  <c r="CP15" i="1"/>
  <c r="FM15" i="1"/>
  <c r="BJ15" i="1"/>
  <c r="EV15" i="1"/>
  <c r="ES15" i="1"/>
  <c r="EL15" i="1"/>
  <c r="GU15" i="1"/>
  <c r="GM15" i="1"/>
  <c r="EH15" i="1"/>
  <c r="BI15" i="1"/>
  <c r="DW15" i="1"/>
  <c r="ET15" i="1"/>
  <c r="DX15" i="1"/>
  <c r="BH15" i="1"/>
  <c r="ER15" i="1"/>
  <c r="GS15" i="1"/>
  <c r="CY15" i="1"/>
  <c r="GH15" i="1"/>
  <c r="BD15" i="1"/>
  <c r="CV15" i="1"/>
  <c r="GD15" i="1"/>
  <c r="DQ15" i="1"/>
  <c r="CI15" i="1"/>
  <c r="BM15" i="1"/>
  <c r="EZ15" i="1"/>
  <c r="BZ15" i="1"/>
  <c r="BQ15" i="1"/>
  <c r="FC15" i="1"/>
  <c r="HI15" i="1"/>
  <c r="EG15" i="1"/>
  <c r="GR15" i="1"/>
  <c r="EF15" i="1"/>
  <c r="DI15" i="1"/>
  <c r="GN15" i="1"/>
  <c r="FB15" i="1"/>
  <c r="CD15" i="1"/>
  <c r="DS15" i="1"/>
  <c r="BT15" i="1"/>
  <c r="DO15" i="1"/>
  <c r="GX15" i="1"/>
  <c r="GI15" i="1"/>
  <c r="CJ15" i="1"/>
  <c r="BX15" i="1"/>
  <c r="FF15" i="1"/>
  <c r="BY15" i="1"/>
  <c r="CB15" i="1"/>
  <c r="FI15" i="1"/>
  <c r="DD15" i="1"/>
  <c r="EJ15" i="1"/>
  <c r="GW15" i="1"/>
  <c r="GL15" i="1"/>
  <c r="EO15" i="1"/>
  <c r="GY15" i="1"/>
  <c r="CC15" i="1"/>
  <c r="EW15" i="1"/>
  <c r="HH15" i="1"/>
  <c r="GT15" i="1"/>
  <c r="ED15" i="1"/>
  <c r="HA15" i="1"/>
  <c r="DZ15" i="1"/>
  <c r="GV15" i="1"/>
  <c r="CN15" i="1"/>
  <c r="DU15" i="1"/>
  <c r="FD15" i="1"/>
  <c r="CF15" i="1"/>
  <c r="FL15" i="1"/>
  <c r="CL15" i="1"/>
  <c r="FH15" i="1"/>
  <c r="DF15" i="1"/>
  <c r="BO15" i="1"/>
  <c r="EM15" i="1"/>
  <c r="HG15" i="1"/>
  <c r="DG15" i="1"/>
  <c r="BA15" i="1"/>
  <c r="EP15" i="1"/>
  <c r="BE15" i="1"/>
  <c r="FJ15" i="1"/>
  <c r="BN15" i="1"/>
  <c r="EN15" i="1"/>
  <c r="HD15" i="1"/>
  <c r="BF15" i="1"/>
  <c r="EB15" i="1"/>
  <c r="FW15" i="1"/>
  <c r="BG15" i="1"/>
  <c r="EI15" i="1"/>
  <c r="CR15" i="1"/>
  <c r="FN15" i="1"/>
  <c r="CS15" i="1"/>
  <c r="FR15" i="1"/>
  <c r="CG15" i="1"/>
  <c r="FE15" i="1"/>
  <c r="HF15" i="1"/>
  <c r="DB15" i="1"/>
  <c r="CE15" i="1"/>
  <c r="EX15" i="1"/>
  <c r="DT15" i="1"/>
  <c r="DM15" i="1"/>
  <c r="FZ15" i="1"/>
  <c r="CA15" i="1"/>
  <c r="FA15" i="1"/>
  <c r="BP15" i="1"/>
  <c r="EQ15" i="1"/>
  <c r="HE15" i="1"/>
  <c r="DK15" i="1"/>
  <c r="EE15" i="1"/>
  <c r="HB15" i="1"/>
  <c r="BK15" i="1"/>
  <c r="V14" i="1"/>
  <c r="V13" i="1"/>
  <c r="BG12" i="1"/>
  <c r="V11" i="1"/>
  <c r="AW9" i="7"/>
  <c r="AQ9" i="1"/>
  <c r="V9" i="1"/>
  <c r="AL29" i="7"/>
  <c r="AN29" i="7" s="1"/>
  <c r="U29" i="7"/>
  <c r="AK29" i="7"/>
  <c r="AO29" i="7" s="1"/>
  <c r="BG16" i="1"/>
  <c r="BM16" i="1" s="1"/>
  <c r="DB16" i="1"/>
  <c r="BY16" i="1"/>
  <c r="GL16" i="1"/>
  <c r="HI16" i="1"/>
  <c r="ET16" i="1"/>
  <c r="DD16" i="1"/>
  <c r="DK16" i="1" s="1"/>
  <c r="AZ16" i="1"/>
  <c r="GM16" i="1" s="1"/>
  <c r="DE16" i="1"/>
  <c r="GW16" i="1"/>
  <c r="DF16" i="1"/>
  <c r="DJ16" i="1" s="1"/>
  <c r="BT16" i="1"/>
  <c r="GJ16" i="1"/>
  <c r="GK16" i="1" s="1"/>
  <c r="BI16" i="1"/>
  <c r="CI16" i="1"/>
  <c r="BH16" i="1"/>
  <c r="BD16" i="1"/>
  <c r="DH16" i="1" s="1"/>
  <c r="BW16" i="1"/>
  <c r="DI51" i="1"/>
  <c r="BI44" i="1"/>
  <c r="DE51" i="1"/>
  <c r="DJ51" i="1"/>
  <c r="BD51" i="1"/>
  <c r="BW51" i="1"/>
  <c r="DF44" i="1"/>
  <c r="CI44" i="1"/>
  <c r="ET44" i="1"/>
  <c r="BL51" i="1"/>
  <c r="EY44" i="1"/>
  <c r="GW51" i="1"/>
  <c r="BY51" i="1"/>
  <c r="EY51" i="1"/>
  <c r="DD51" i="1"/>
  <c r="HI51" i="1"/>
  <c r="GJ44" i="1"/>
  <c r="BO51" i="1"/>
  <c r="BN51" i="1"/>
  <c r="GM51" i="1"/>
  <c r="BM51" i="1"/>
  <c r="GK51" i="1"/>
  <c r="GL51" i="1"/>
  <c r="BD44" i="1"/>
  <c r="DH44" i="1" s="1"/>
  <c r="BZ44" i="1"/>
  <c r="AZ44" i="1"/>
  <c r="GM44" i="1" s="1"/>
  <c r="BE51" i="1"/>
  <c r="BJ51" i="1"/>
  <c r="CD51" i="1"/>
  <c r="DD44" i="1"/>
  <c r="AZ51" i="1"/>
  <c r="BG51" i="1"/>
  <c r="GJ51" i="1"/>
  <c r="BP51" i="1"/>
  <c r="BW44" i="1"/>
  <c r="DG44" i="1"/>
  <c r="BT44" i="1"/>
  <c r="ET11" i="1"/>
  <c r="DK51" i="1"/>
  <c r="BT51" i="1"/>
  <c r="BF51" i="1"/>
  <c r="BZ51" i="1"/>
  <c r="BK51" i="1"/>
  <c r="BV44" i="1"/>
  <c r="GL44" i="1"/>
  <c r="GV44" i="1" s="1"/>
  <c r="DC44" i="1"/>
  <c r="DT51" i="1"/>
  <c r="BH44" i="1"/>
  <c r="BS44" i="1"/>
  <c r="DB51" i="1"/>
  <c r="FK51" i="1"/>
  <c r="ET51" i="1"/>
  <c r="DH51" i="1"/>
  <c r="DE44" i="1"/>
  <c r="BY44" i="1"/>
  <c r="BG44" i="1"/>
  <c r="CH69" i="1"/>
  <c r="CV69" i="1"/>
  <c r="CK69" i="1"/>
  <c r="BJ69" i="1"/>
  <c r="CD69" i="1"/>
  <c r="BW69" i="1"/>
  <c r="BK69" i="1"/>
  <c r="BH69" i="1"/>
  <c r="BL69" i="1"/>
  <c r="EM69" i="1"/>
  <c r="EF69" i="1"/>
  <c r="EI69" i="1"/>
  <c r="DC69" i="1"/>
  <c r="DF69" i="1"/>
  <c r="DJ69" i="1"/>
  <c r="FX69" i="1"/>
  <c r="FD69" i="1"/>
  <c r="FI69" i="1"/>
  <c r="GE69" i="1"/>
  <c r="GI69" i="1"/>
  <c r="BA69" i="1"/>
  <c r="BN69" i="1"/>
  <c r="CW69" i="1"/>
  <c r="DA69" i="1"/>
  <c r="BO69" i="1"/>
  <c r="BS69" i="1"/>
  <c r="BG69" i="1"/>
  <c r="BM69" i="1"/>
  <c r="BD69" i="1"/>
  <c r="EZ69" i="1"/>
  <c r="EB69" i="1"/>
  <c r="EE69" i="1"/>
  <c r="EC69" i="1"/>
  <c r="EG69" i="1"/>
  <c r="DB69" i="1"/>
  <c r="FY69" i="1"/>
  <c r="FO69" i="1"/>
  <c r="FE69" i="1"/>
  <c r="EX69" i="1"/>
  <c r="GC69" i="1"/>
  <c r="GG69" i="1"/>
  <c r="GJ69" i="1"/>
  <c r="CX69" i="1"/>
  <c r="CQ69" i="1"/>
  <c r="CU69" i="1"/>
  <c r="CE69" i="1"/>
  <c r="BZ69" i="1"/>
  <c r="ER69" i="1"/>
  <c r="DX69" i="1"/>
  <c r="EA69" i="1"/>
  <c r="DU69" i="1"/>
  <c r="DY69" i="1"/>
  <c r="CF69" i="1"/>
  <c r="FS69" i="1"/>
  <c r="FJ69" i="1"/>
  <c r="FW69" i="1"/>
  <c r="GB69" i="1"/>
  <c r="GH69" i="1"/>
  <c r="CT69" i="1"/>
  <c r="CM69" i="1"/>
  <c r="CG69" i="1"/>
  <c r="BI69" i="1"/>
  <c r="BP69" i="1"/>
  <c r="BU69" i="1"/>
  <c r="EN69" i="1"/>
  <c r="DT69" i="1"/>
  <c r="DW69" i="1"/>
  <c r="DM69" i="1"/>
  <c r="DQ69" i="1"/>
  <c r="FK69" i="1"/>
  <c r="FP69" i="1"/>
  <c r="FF69" i="1"/>
  <c r="EW69" i="1"/>
  <c r="CI69" i="1"/>
  <c r="CP69" i="1"/>
  <c r="CZ69" i="1"/>
  <c r="CJ69" i="1"/>
  <c r="BQ69" i="1"/>
  <c r="BV69" i="1"/>
  <c r="FC69" i="1"/>
  <c r="FA69" i="1"/>
  <c r="DP69" i="1"/>
  <c r="DS69" i="1"/>
  <c r="DE69" i="1"/>
  <c r="DI69" i="1"/>
  <c r="FT69" i="1"/>
  <c r="FZ69" i="1"/>
  <c r="FV69" i="1"/>
  <c r="HI69" i="1"/>
  <c r="GN69" i="1"/>
  <c r="CY69" i="1"/>
  <c r="CR69" i="1"/>
  <c r="CB69" i="1"/>
  <c r="BX69" i="1"/>
  <c r="BE69" i="1"/>
  <c r="FB69" i="1"/>
  <c r="ET69" i="1"/>
  <c r="EK69" i="1"/>
  <c r="DL69" i="1"/>
  <c r="DO69" i="1"/>
  <c r="ED69" i="1"/>
  <c r="EH69" i="1"/>
  <c r="FR69" i="1"/>
  <c r="FM69" i="1"/>
  <c r="EY69" i="1"/>
  <c r="FH69" i="1"/>
  <c r="GA69" i="1"/>
  <c r="CS69" i="1"/>
  <c r="BB69" i="1"/>
  <c r="BR69" i="1"/>
  <c r="BY69" i="1"/>
  <c r="EU69" i="1"/>
  <c r="EP69" i="1"/>
  <c r="ES69" i="1"/>
  <c r="EO69" i="1"/>
  <c r="EL69" i="1"/>
  <c r="DH69" i="1"/>
  <c r="DK69" i="1"/>
  <c r="DV69" i="1"/>
  <c r="DZ69" i="1"/>
  <c r="FN69" i="1"/>
  <c r="FQ69" i="1"/>
  <c r="EV69" i="1"/>
  <c r="FL69" i="1"/>
  <c r="GQ69" i="1"/>
  <c r="CL69" i="1"/>
  <c r="CN69" i="1"/>
  <c r="CC69" i="1"/>
  <c r="CA69" i="1"/>
  <c r="BT69" i="1"/>
  <c r="BF69" i="1"/>
  <c r="EQ69" i="1"/>
  <c r="EJ69" i="1"/>
  <c r="DD69" i="1"/>
  <c r="DG69" i="1"/>
  <c r="DN69" i="1"/>
  <c r="DR69" i="1"/>
  <c r="CT77" i="1"/>
  <c r="CN77" i="1"/>
  <c r="CG77" i="1"/>
  <c r="BO77" i="1"/>
  <c r="BS77" i="1"/>
  <c r="BG77" i="1"/>
  <c r="EN77" i="1"/>
  <c r="EK77" i="1"/>
  <c r="DL77" i="1"/>
  <c r="DF77" i="1"/>
  <c r="EI77" i="1"/>
  <c r="DZ77" i="1"/>
  <c r="FP77" i="1"/>
  <c r="FQ77" i="1"/>
  <c r="FV77" i="1"/>
  <c r="CP77" i="1"/>
  <c r="DA77" i="1"/>
  <c r="CE77" i="1"/>
  <c r="BX77" i="1"/>
  <c r="BE77" i="1"/>
  <c r="FC77" i="1"/>
  <c r="FB77" i="1"/>
  <c r="EL77" i="1"/>
  <c r="DH77" i="1"/>
  <c r="EH77" i="1"/>
  <c r="ED77" i="1"/>
  <c r="DU77" i="1"/>
  <c r="FN77" i="1"/>
  <c r="FH77" i="1"/>
  <c r="GE77" i="1"/>
  <c r="GZ77" i="1"/>
  <c r="CY77" i="1"/>
  <c r="CU77" i="1"/>
  <c r="BP77" i="1"/>
  <c r="BY77" i="1"/>
  <c r="EU77" i="1"/>
  <c r="ES77" i="1"/>
  <c r="EJ77" i="1"/>
  <c r="DD77" i="1"/>
  <c r="EC77" i="1"/>
  <c r="DY77" i="1"/>
  <c r="DO77" i="1"/>
  <c r="FY77" i="1"/>
  <c r="FI77" i="1"/>
  <c r="FU77" i="1"/>
  <c r="GD77" i="1"/>
  <c r="CS77" i="1"/>
  <c r="CV77" i="1"/>
  <c r="BQ77" i="1"/>
  <c r="BT77" i="1"/>
  <c r="EQ77" i="1"/>
  <c r="EO77" i="1"/>
  <c r="EF77" i="1"/>
  <c r="EG77" i="1"/>
  <c r="DW77" i="1"/>
  <c r="DS77" i="1"/>
  <c r="DJ77" i="1"/>
  <c r="FX77" i="1"/>
  <c r="FO77" i="1"/>
  <c r="FJ77" i="1"/>
  <c r="GI77" i="1"/>
  <c r="AZ77" i="1"/>
  <c r="CL77" i="1"/>
  <c r="CK77" i="1"/>
  <c r="CF77" i="1"/>
  <c r="CB77" i="1"/>
  <c r="BZ77" i="1"/>
  <c r="BI77" i="1"/>
  <c r="BD77" i="1"/>
  <c r="EM77" i="1"/>
  <c r="ET77" i="1"/>
  <c r="EB77" i="1"/>
  <c r="EA77" i="1"/>
  <c r="DR77" i="1"/>
  <c r="DN77" i="1"/>
  <c r="DE77" i="1"/>
  <c r="FK77" i="1"/>
  <c r="FS77" i="1"/>
  <c r="FE77" i="1"/>
  <c r="FD77" i="1"/>
  <c r="FF77" i="1"/>
  <c r="GG77" i="1"/>
  <c r="CI77" i="1"/>
  <c r="CZ77" i="1"/>
  <c r="CW77" i="1"/>
  <c r="CJ77" i="1"/>
  <c r="BH77" i="1"/>
  <c r="BB77" i="1"/>
  <c r="BR77" i="1"/>
  <c r="BU77" i="1"/>
  <c r="BJ77" i="1"/>
  <c r="BN77" i="1"/>
  <c r="FA77" i="1"/>
  <c r="EP77" i="1"/>
  <c r="DX77" i="1"/>
  <c r="DV77" i="1"/>
  <c r="DM77" i="1"/>
  <c r="DI77" i="1"/>
  <c r="CH77" i="1"/>
  <c r="FT77" i="1"/>
  <c r="EX77" i="1"/>
  <c r="GC77" i="1"/>
  <c r="GH77" i="1"/>
  <c r="BA77" i="1"/>
  <c r="GF77" i="1"/>
  <c r="BL77" i="1"/>
  <c r="CR77" i="1"/>
  <c r="CQ77" i="1"/>
  <c r="BM77" i="1"/>
  <c r="CC77" i="1"/>
  <c r="CA77" i="1"/>
  <c r="BV77" i="1"/>
  <c r="EZ77" i="1"/>
  <c r="DT77" i="1"/>
  <c r="DQ77" i="1"/>
  <c r="DG77" i="1"/>
  <c r="DC77" i="1"/>
  <c r="FR77" i="1"/>
  <c r="FZ77" i="1"/>
  <c r="EY77" i="1"/>
  <c r="FW77" i="1"/>
  <c r="FL77" i="1"/>
  <c r="HI77" i="1"/>
  <c r="FG77" i="1"/>
  <c r="CX77" i="1"/>
  <c r="CM77" i="1"/>
  <c r="BF77" i="1"/>
  <c r="CD77" i="1"/>
  <c r="BW77" i="1"/>
  <c r="BK77" i="1"/>
  <c r="ER77" i="1"/>
  <c r="DP77" i="1"/>
  <c r="DK77" i="1"/>
  <c r="DB77" i="1"/>
  <c r="EE77" i="1"/>
  <c r="CY85" i="1"/>
  <c r="CR85" i="1"/>
  <c r="BO85" i="1"/>
  <c r="BS85" i="1"/>
  <c r="BG85" i="1"/>
  <c r="BD85" i="1"/>
  <c r="EZ85" i="1"/>
  <c r="DX85" i="1"/>
  <c r="DV85" i="1"/>
  <c r="DM85" i="1"/>
  <c r="DI85" i="1"/>
  <c r="CF85" i="1"/>
  <c r="FE85" i="1"/>
  <c r="FH85" i="1"/>
  <c r="FU85" i="1"/>
  <c r="FL85" i="1"/>
  <c r="HI85" i="1"/>
  <c r="FF85" i="1"/>
  <c r="CH85" i="1"/>
  <c r="CS85" i="1"/>
  <c r="BJ85" i="1"/>
  <c r="CE85" i="1"/>
  <c r="BZ85" i="1"/>
  <c r="ER85" i="1"/>
  <c r="DT85" i="1"/>
  <c r="DQ85" i="1"/>
  <c r="DG85" i="1"/>
  <c r="DC85" i="1"/>
  <c r="FZ85" i="1"/>
  <c r="EV85" i="1"/>
  <c r="FD85" i="1"/>
  <c r="GA85" i="1"/>
  <c r="GN85" i="1"/>
  <c r="CL85" i="1"/>
  <c r="CN85" i="1"/>
  <c r="BP85" i="1"/>
  <c r="BU85" i="1"/>
  <c r="BF85" i="1"/>
  <c r="EN85" i="1"/>
  <c r="DP85" i="1"/>
  <c r="DK85" i="1"/>
  <c r="DB85" i="1"/>
  <c r="EE85" i="1"/>
  <c r="FG85" i="1"/>
  <c r="GC85" i="1"/>
  <c r="GI85" i="1"/>
  <c r="BA85" i="1"/>
  <c r="CV85" i="1"/>
  <c r="CK85" i="1"/>
  <c r="BQ85" i="1"/>
  <c r="BV85" i="1"/>
  <c r="BL85" i="1"/>
  <c r="FC85" i="1"/>
  <c r="ES85" i="1"/>
  <c r="EK85" i="1"/>
  <c r="DL85" i="1"/>
  <c r="DF85" i="1"/>
  <c r="EI85" i="1"/>
  <c r="DZ85" i="1"/>
  <c r="FQ85" i="1"/>
  <c r="EX85" i="1"/>
  <c r="FM85" i="1"/>
  <c r="GE85" i="1"/>
  <c r="GG85" i="1"/>
  <c r="GJ85" i="1"/>
  <c r="BN85" i="1"/>
  <c r="CW85" i="1"/>
  <c r="DA85" i="1"/>
  <c r="BI85" i="1"/>
  <c r="CB85" i="1"/>
  <c r="BX85" i="1"/>
  <c r="BH85" i="1"/>
  <c r="FB85" i="1"/>
  <c r="EO85" i="1"/>
  <c r="EL85" i="1"/>
  <c r="DH85" i="1"/>
  <c r="EH85" i="1"/>
  <c r="ED85" i="1"/>
  <c r="DU85" i="1"/>
  <c r="FY85" i="1"/>
  <c r="FW85" i="1"/>
  <c r="GH85" i="1"/>
  <c r="CX85" i="1"/>
  <c r="CQ85" i="1"/>
  <c r="CU85" i="1"/>
  <c r="BB85" i="1"/>
  <c r="BR85" i="1"/>
  <c r="BY85" i="1"/>
  <c r="BM85" i="1"/>
  <c r="BE85" i="1"/>
  <c r="EU85" i="1"/>
  <c r="FA85" i="1"/>
  <c r="EJ85" i="1"/>
  <c r="DD85" i="1"/>
  <c r="EC85" i="1"/>
  <c r="DY85" i="1"/>
  <c r="DO85" i="1"/>
  <c r="FN85" i="1"/>
  <c r="FO85" i="1"/>
  <c r="FJ85" i="1"/>
  <c r="FI85" i="1"/>
  <c r="CI85" i="1"/>
  <c r="CT85" i="1"/>
  <c r="CM85" i="1"/>
  <c r="CG85" i="1"/>
  <c r="CJ85" i="1"/>
  <c r="CC85" i="1"/>
  <c r="CA85" i="1"/>
  <c r="BT85" i="1"/>
  <c r="EQ85" i="1"/>
  <c r="ET85" i="1"/>
  <c r="EF85" i="1"/>
  <c r="EG85" i="1"/>
  <c r="DW85" i="1"/>
  <c r="DS85" i="1"/>
  <c r="DJ85" i="1"/>
  <c r="FK85" i="1"/>
  <c r="FT85" i="1"/>
  <c r="FX85" i="1"/>
  <c r="EW85" i="1"/>
  <c r="GD85" i="1"/>
  <c r="GZ85" i="1"/>
  <c r="CP85" i="1"/>
  <c r="CZ85" i="1"/>
  <c r="CD85" i="1"/>
  <c r="BW85" i="1"/>
  <c r="BK85" i="1"/>
  <c r="EM85" i="1"/>
  <c r="EP85" i="1"/>
  <c r="EB85" i="1"/>
  <c r="EA85" i="1"/>
  <c r="DR85" i="1"/>
  <c r="DN85" i="1"/>
  <c r="DE85" i="1"/>
  <c r="FP85" i="1"/>
  <c r="DA93" i="1"/>
  <c r="CW93" i="1"/>
  <c r="BQ93" i="1"/>
  <c r="BW93" i="1"/>
  <c r="BI93" i="1"/>
  <c r="BN93" i="1"/>
  <c r="BE93" i="1"/>
  <c r="EU93" i="1"/>
  <c r="ES93" i="1"/>
  <c r="EJ93" i="1"/>
  <c r="DD93" i="1"/>
  <c r="EC93" i="1"/>
  <c r="DY93" i="1"/>
  <c r="DO93" i="1"/>
  <c r="FK93" i="1"/>
  <c r="FN93" i="1"/>
  <c r="FR93" i="1"/>
  <c r="FX93" i="1"/>
  <c r="FF93" i="1"/>
  <c r="EX93" i="1"/>
  <c r="GJ93" i="1"/>
  <c r="CY93" i="1"/>
  <c r="CK93" i="1"/>
  <c r="CD93" i="1"/>
  <c r="BS93" i="1"/>
  <c r="BZ93" i="1"/>
  <c r="EO93" i="1"/>
  <c r="EN93" i="1"/>
  <c r="EF93" i="1"/>
  <c r="EG93" i="1"/>
  <c r="DW93" i="1"/>
  <c r="DS93" i="1"/>
  <c r="DJ93" i="1"/>
  <c r="FS93" i="1"/>
  <c r="FW93" i="1"/>
  <c r="EY93" i="1"/>
  <c r="FM93" i="1"/>
  <c r="GI93" i="1"/>
  <c r="BF93" i="1"/>
  <c r="CS93" i="1"/>
  <c r="CQ93" i="1"/>
  <c r="BO93" i="1"/>
  <c r="BX93" i="1"/>
  <c r="BU93" i="1"/>
  <c r="FA93" i="1"/>
  <c r="EB93" i="1"/>
  <c r="EA93" i="1"/>
  <c r="DR93" i="1"/>
  <c r="DN93" i="1"/>
  <c r="DE93" i="1"/>
  <c r="FI93" i="1"/>
  <c r="HI93" i="1"/>
  <c r="GD93" i="1"/>
  <c r="GG93" i="1"/>
  <c r="CX93" i="1"/>
  <c r="CL93" i="1"/>
  <c r="CM93" i="1"/>
  <c r="CE93" i="1"/>
  <c r="BL93" i="1"/>
  <c r="BV93" i="1"/>
  <c r="BD93" i="1"/>
  <c r="EZ93" i="1"/>
  <c r="DX93" i="1"/>
  <c r="DV93" i="1"/>
  <c r="DM93" i="1"/>
  <c r="DI93" i="1"/>
  <c r="CH93" i="1"/>
  <c r="FZ93" i="1"/>
  <c r="EV93" i="1"/>
  <c r="EW93" i="1"/>
  <c r="GA93" i="1"/>
  <c r="GH93" i="1"/>
  <c r="AZ93" i="1"/>
  <c r="CT93" i="1"/>
  <c r="CR93" i="1"/>
  <c r="CG93" i="1"/>
  <c r="BP93" i="1"/>
  <c r="BH93" i="1"/>
  <c r="BK93" i="1"/>
  <c r="EQ93" i="1"/>
  <c r="DT93" i="1"/>
  <c r="DQ93" i="1"/>
  <c r="DG93" i="1"/>
  <c r="DC93" i="1"/>
  <c r="FP93" i="1"/>
  <c r="FV93" i="1"/>
  <c r="FL93" i="1"/>
  <c r="FU93" i="1"/>
  <c r="GN93" i="1"/>
  <c r="CP93" i="1"/>
  <c r="BR93" i="1"/>
  <c r="BY93" i="1"/>
  <c r="BG93" i="1"/>
  <c r="FC93" i="1"/>
  <c r="FB93" i="1"/>
  <c r="DP93" i="1"/>
  <c r="DK93" i="1"/>
  <c r="DB93" i="1"/>
  <c r="EE93" i="1"/>
  <c r="FQ93" i="1"/>
  <c r="FE93" i="1"/>
  <c r="FD93" i="1"/>
  <c r="FH93" i="1"/>
  <c r="GE93" i="1"/>
  <c r="FG93" i="1"/>
  <c r="CZ93" i="1"/>
  <c r="CN93" i="1"/>
  <c r="CF93" i="1"/>
  <c r="BB93" i="1"/>
  <c r="CB93" i="1"/>
  <c r="BT93" i="1"/>
  <c r="ET93" i="1"/>
  <c r="ER93" i="1"/>
  <c r="EK93" i="1"/>
  <c r="DL93" i="1"/>
  <c r="DF93" i="1"/>
  <c r="EI93" i="1"/>
  <c r="DZ93" i="1"/>
  <c r="FY93" i="1"/>
  <c r="CI93" i="1"/>
  <c r="CU93" i="1"/>
  <c r="CV93" i="1"/>
  <c r="CJ93" i="1"/>
  <c r="CC93" i="1"/>
  <c r="CA93" i="1"/>
  <c r="BM93" i="1"/>
  <c r="BJ93" i="1"/>
  <c r="EP93" i="1"/>
  <c r="EM93" i="1"/>
  <c r="EL93" i="1"/>
  <c r="DH93" i="1"/>
  <c r="EH93" i="1"/>
  <c r="ED93" i="1"/>
  <c r="DU93" i="1"/>
  <c r="Y75" i="1"/>
  <c r="S75" i="1"/>
  <c r="GX98" i="1"/>
  <c r="S21" i="1"/>
  <c r="Y21" i="1" s="1"/>
  <c r="GB98" i="1"/>
  <c r="BI45" i="1" l="1"/>
  <c r="ES45" i="1"/>
  <c r="AI46" i="1"/>
  <c r="AM46" i="1"/>
  <c r="AG46" i="1"/>
  <c r="BJ46" i="1" s="1"/>
  <c r="DJ44" i="1"/>
  <c r="GU48" i="1"/>
  <c r="CO56" i="1"/>
  <c r="HI56" i="1"/>
  <c r="BW56" i="1"/>
  <c r="BS56" i="1"/>
  <c r="BH56" i="1"/>
  <c r="BF56" i="1"/>
  <c r="BD56" i="1"/>
  <c r="DH56" i="1" s="1"/>
  <c r="BY56" i="1"/>
  <c r="CI56" i="1"/>
  <c r="GL56" i="1"/>
  <c r="DG56" i="1"/>
  <c r="BZ56" i="1"/>
  <c r="BG56" i="1"/>
  <c r="GJ56" i="1"/>
  <c r="AZ56" i="1"/>
  <c r="GM56" i="1" s="1"/>
  <c r="DF56" i="1"/>
  <c r="GW56" i="1"/>
  <c r="GV56" i="1" s="1"/>
  <c r="BT56" i="1"/>
  <c r="DB56" i="1"/>
  <c r="DD56" i="1"/>
  <c r="BV56" i="1"/>
  <c r="DC56" i="1"/>
  <c r="DE56" i="1"/>
  <c r="DI56" i="1" s="1"/>
  <c r="BL57" i="1"/>
  <c r="R56" i="1"/>
  <c r="X56" i="1" s="1"/>
  <c r="AQ56" i="1" s="1"/>
  <c r="Q56" i="1"/>
  <c r="AG16" i="1"/>
  <c r="BI55" i="1"/>
  <c r="AG51" i="1"/>
  <c r="AJ45" i="1"/>
  <c r="AG44" i="1"/>
  <c r="BN44" i="1" s="1"/>
  <c r="DK44" i="1"/>
  <c r="DJ46" i="1"/>
  <c r="AE55" i="1"/>
  <c r="ET55" i="1" s="1"/>
  <c r="AG57" i="1"/>
  <c r="EU57" i="1"/>
  <c r="EY57" i="1" s="1"/>
  <c r="AI57" i="1"/>
  <c r="AM57" i="1"/>
  <c r="AF15" i="1"/>
  <c r="DJ47" i="1"/>
  <c r="DT47" i="1" s="1"/>
  <c r="DK48" i="1"/>
  <c r="BH48" i="1"/>
  <c r="AQ18" i="1"/>
  <c r="AF20" i="1"/>
  <c r="DJ21" i="1"/>
  <c r="DI45" i="1"/>
  <c r="DI48" i="1"/>
  <c r="DT48" i="1" s="1"/>
  <c r="AM45" i="1"/>
  <c r="AI45" i="1"/>
  <c r="AG45" i="1"/>
  <c r="BM45" i="1" s="1"/>
  <c r="CD46" i="1"/>
  <c r="ES44" i="1"/>
  <c r="FK44" i="1" s="1"/>
  <c r="AJ53" i="1"/>
  <c r="DI44" i="1"/>
  <c r="DJ49" i="1"/>
  <c r="DI49" i="1"/>
  <c r="BM46" i="1"/>
  <c r="DK49" i="1"/>
  <c r="DI46" i="1"/>
  <c r="GV11" i="1"/>
  <c r="GX11" i="1" s="1"/>
  <c r="DK21" i="1"/>
  <c r="CD48" i="1"/>
  <c r="GX46" i="1"/>
  <c r="GV49" i="1"/>
  <c r="GU49" i="1" s="1"/>
  <c r="FK46" i="1"/>
  <c r="DK55" i="1"/>
  <c r="DT55" i="1" s="1"/>
  <c r="DK45" i="1"/>
  <c r="CD29" i="1"/>
  <c r="BK44" i="1"/>
  <c r="DT44" i="1"/>
  <c r="FK45" i="1"/>
  <c r="BN46" i="1"/>
  <c r="BK46" i="1"/>
  <c r="BL44" i="1"/>
  <c r="CD44" i="1"/>
  <c r="BI47" i="1"/>
  <c r="BL46" i="1"/>
  <c r="BP46" i="1"/>
  <c r="BI46" i="1"/>
  <c r="BJ45" i="1"/>
  <c r="CD49" i="1"/>
  <c r="BJ44" i="1"/>
  <c r="BM44" i="1"/>
  <c r="GX44" i="1"/>
  <c r="GK44" i="1"/>
  <c r="GU44" i="1" s="1"/>
  <c r="GU47" i="1"/>
  <c r="GX47" i="1"/>
  <c r="CD47" i="1"/>
  <c r="BL47" i="1"/>
  <c r="DK46" i="1"/>
  <c r="DT46" i="1" s="1"/>
  <c r="GU45" i="1"/>
  <c r="GM46" i="1"/>
  <c r="CD45" i="1"/>
  <c r="BN45" i="1"/>
  <c r="GM47" i="1"/>
  <c r="GX49" i="1"/>
  <c r="GK46" i="1"/>
  <c r="GU46" i="1" s="1"/>
  <c r="GU55" i="1"/>
  <c r="GX55" i="1"/>
  <c r="CD55" i="1"/>
  <c r="V61" i="1"/>
  <c r="AD61" i="1"/>
  <c r="AH61" i="1" s="1"/>
  <c r="AC61" i="1"/>
  <c r="R61" i="1"/>
  <c r="X61" i="1" s="1"/>
  <c r="Q61" i="1"/>
  <c r="AF61" i="1"/>
  <c r="AE61" i="1"/>
  <c r="Q60" i="1"/>
  <c r="R60" i="1"/>
  <c r="X60" i="1" s="1"/>
  <c r="AF59" i="1"/>
  <c r="AE59" i="1"/>
  <c r="AD59" i="1"/>
  <c r="AH59" i="1" s="1"/>
  <c r="AC59" i="1"/>
  <c r="AF56" i="1"/>
  <c r="EU56" i="1" s="1"/>
  <c r="EY56" i="1" s="1"/>
  <c r="V56" i="1"/>
  <c r="AD56" i="1"/>
  <c r="AH56" i="1" s="1"/>
  <c r="BL56" i="1" s="1"/>
  <c r="AC56" i="1"/>
  <c r="AE56" i="1"/>
  <c r="AC55" i="1"/>
  <c r="AD55" i="1"/>
  <c r="AF55" i="1"/>
  <c r="EU55" i="1" s="1"/>
  <c r="EY55" i="1" s="1"/>
  <c r="AM53" i="1"/>
  <c r="AG53" i="1"/>
  <c r="AI53" i="1"/>
  <c r="AQ52" i="1"/>
  <c r="AC52" i="1"/>
  <c r="AF52" i="1"/>
  <c r="AD52" i="1"/>
  <c r="AH52" i="1" s="1"/>
  <c r="AC50" i="1"/>
  <c r="AD50" i="1"/>
  <c r="AH50" i="1" s="1"/>
  <c r="AE50" i="1"/>
  <c r="AF50" i="1"/>
  <c r="AC49" i="1"/>
  <c r="AF49" i="1"/>
  <c r="EU49" i="1" s="1"/>
  <c r="EY49" i="1" s="1"/>
  <c r="AE49" i="1"/>
  <c r="ET49" i="1" s="1"/>
  <c r="AD49" i="1"/>
  <c r="V48" i="1"/>
  <c r="AE48" i="1"/>
  <c r="ET48" i="1" s="1"/>
  <c r="AC48" i="1"/>
  <c r="AD48" i="1"/>
  <c r="AF48" i="1"/>
  <c r="EU48" i="1" s="1"/>
  <c r="EY48" i="1" s="1"/>
  <c r="R47" i="1"/>
  <c r="X47" i="1" s="1"/>
  <c r="Q47" i="1"/>
  <c r="AI47" i="1"/>
  <c r="AM47" i="1"/>
  <c r="AG47" i="1"/>
  <c r="BJ47" i="1" s="1"/>
  <c r="Q46" i="1"/>
  <c r="R46" i="1"/>
  <c r="X46" i="1" s="1"/>
  <c r="R45" i="1"/>
  <c r="X45" i="1" s="1"/>
  <c r="Q45" i="1"/>
  <c r="V44" i="1"/>
  <c r="V42" i="1"/>
  <c r="AQ41" i="1"/>
  <c r="AM41" i="1"/>
  <c r="AG41" i="1"/>
  <c r="AI41" i="1"/>
  <c r="AD36" i="1"/>
  <c r="DI31" i="1"/>
  <c r="GV27" i="1"/>
  <c r="GU27" i="1" s="1"/>
  <c r="AG17" i="1"/>
  <c r="FK17" i="1"/>
  <c r="GV14" i="1"/>
  <c r="GU14" i="1" s="1"/>
  <c r="DJ11" i="1"/>
  <c r="AW17" i="7"/>
  <c r="AG20" i="7"/>
  <c r="AI20" i="7"/>
  <c r="AM20" i="7"/>
  <c r="Q22" i="1"/>
  <c r="R20" i="7"/>
  <c r="X20" i="7" s="1"/>
  <c r="Z35" i="10"/>
  <c r="Z36" i="10" s="1"/>
  <c r="AI30" i="7"/>
  <c r="AM30" i="7"/>
  <c r="R34" i="10"/>
  <c r="R35" i="10"/>
  <c r="R37" i="10"/>
  <c r="AB19" i="10"/>
  <c r="AB35" i="10" s="1"/>
  <c r="AC19" i="10"/>
  <c r="AJ31" i="7"/>
  <c r="AG31" i="7"/>
  <c r="AC20" i="7"/>
  <c r="AA20" i="10"/>
  <c r="AC20" i="10"/>
  <c r="AC37" i="10" s="1"/>
  <c r="DT34" i="1"/>
  <c r="AD20" i="7"/>
  <c r="AH20" i="7" s="1"/>
  <c r="R30" i="7"/>
  <c r="X30" i="7" s="1"/>
  <c r="AI11" i="5"/>
  <c r="AI22" i="5"/>
  <c r="AI9" i="5"/>
  <c r="AI20" i="5"/>
  <c r="AI19" i="5"/>
  <c r="AI30" i="5"/>
  <c r="AI17" i="5"/>
  <c r="AI28" i="5"/>
  <c r="AI27" i="5"/>
  <c r="AI37" i="5"/>
  <c r="AI8" i="5"/>
  <c r="AI38" i="5" s="1"/>
  <c r="AI25" i="5"/>
  <c r="AI36" i="5"/>
  <c r="AI10" i="5"/>
  <c r="AI35" i="5"/>
  <c r="AI15" i="5"/>
  <c r="AI18" i="5"/>
  <c r="AI13" i="5"/>
  <c r="AI33" i="5"/>
  <c r="AI32" i="5"/>
  <c r="AI26" i="5"/>
  <c r="AI21" i="5"/>
  <c r="AI34" i="5"/>
  <c r="AI16" i="5"/>
  <c r="AI31" i="5"/>
  <c r="AI29" i="5"/>
  <c r="AI14" i="5"/>
  <c r="AI24" i="5"/>
  <c r="AI12" i="5"/>
  <c r="AG29" i="7"/>
  <c r="AJ29" i="7"/>
  <c r="AA15" i="10"/>
  <c r="AC15" i="10"/>
  <c r="AC35" i="10" s="1"/>
  <c r="AJ20" i="7"/>
  <c r="AM18" i="7"/>
  <c r="AG18" i="7"/>
  <c r="AI18" i="7"/>
  <c r="I38" i="5"/>
  <c r="AE39" i="1"/>
  <c r="ET39" i="1" s="1"/>
  <c r="AM34" i="7"/>
  <c r="AN34" i="7" s="1"/>
  <c r="AG34" i="7"/>
  <c r="AI34" i="7"/>
  <c r="AC23" i="10"/>
  <c r="AA23" i="10"/>
  <c r="AD30" i="7"/>
  <c r="AH30" i="7" s="1"/>
  <c r="AA14" i="4"/>
  <c r="AA17" i="4"/>
  <c r="AA19" i="4"/>
  <c r="AA16" i="4"/>
  <c r="AB13" i="4"/>
  <c r="AA15" i="4"/>
  <c r="AA18" i="4"/>
  <c r="AA20" i="4"/>
  <c r="AD25" i="10"/>
  <c r="AD12" i="10"/>
  <c r="AD18" i="10"/>
  <c r="AD13" i="10"/>
  <c r="AD29" i="10"/>
  <c r="AD15" i="10"/>
  <c r="AD23" i="10"/>
  <c r="AD24" i="10"/>
  <c r="AD33" i="10"/>
  <c r="AD10" i="10"/>
  <c r="AD27" i="10"/>
  <c r="AD9" i="10"/>
  <c r="AD8" i="10"/>
  <c r="AD28" i="10"/>
  <c r="AD16" i="10"/>
  <c r="AD19" i="10"/>
  <c r="AD22" i="10"/>
  <c r="AD32" i="10"/>
  <c r="AD20" i="10"/>
  <c r="AD11" i="10"/>
  <c r="AD14" i="10"/>
  <c r="AD17" i="10"/>
  <c r="AD26" i="10"/>
  <c r="AD21" i="10"/>
  <c r="T20" i="7"/>
  <c r="BL23" i="1"/>
  <c r="CD11" i="1"/>
  <c r="U8" i="4"/>
  <c r="V8" i="4" s="1"/>
  <c r="W8" i="4" s="1"/>
  <c r="X8" i="4" s="1"/>
  <c r="Y8" i="4" s="1"/>
  <c r="Z8" i="4" s="1"/>
  <c r="AA8" i="4" s="1"/>
  <c r="AB8" i="4" s="1"/>
  <c r="AC8" i="4" s="1"/>
  <c r="AD8" i="4" s="1"/>
  <c r="AE8" i="4" s="1"/>
  <c r="T9" i="4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J24" i="7"/>
  <c r="AH24" i="7"/>
  <c r="AJ34" i="7"/>
  <c r="AE30" i="7"/>
  <c r="AJ30" i="7" s="1"/>
  <c r="AG32" i="7"/>
  <c r="AD31" i="10"/>
  <c r="DK33" i="1"/>
  <c r="DT33" i="1" s="1"/>
  <c r="DT32" i="1"/>
  <c r="CD27" i="1"/>
  <c r="BS18" i="1"/>
  <c r="DC18" i="1"/>
  <c r="DD18" i="1"/>
  <c r="DE18" i="1"/>
  <c r="GJ18" i="1"/>
  <c r="GK18" i="1" s="1"/>
  <c r="GW18" i="1"/>
  <c r="GX17" i="1"/>
  <c r="AC36" i="1"/>
  <c r="AF30" i="1"/>
  <c r="AI30" i="1" s="1"/>
  <c r="Q28" i="1"/>
  <c r="R20" i="1"/>
  <c r="X20" i="1" s="1"/>
  <c r="AW20" i="7" s="1"/>
  <c r="DK27" i="1"/>
  <c r="DI11" i="1"/>
  <c r="DJ35" i="1"/>
  <c r="GV31" i="1"/>
  <c r="GU31" i="1" s="1"/>
  <c r="DK31" i="1"/>
  <c r="Q30" i="1"/>
  <c r="FK14" i="1"/>
  <c r="DI16" i="1"/>
  <c r="DT16" i="1" s="1"/>
  <c r="DK26" i="1"/>
  <c r="AJ35" i="1"/>
  <c r="AD34" i="1"/>
  <c r="ES34" i="1" s="1"/>
  <c r="FK33" i="1"/>
  <c r="AF28" i="1"/>
  <c r="AI28" i="1" s="1"/>
  <c r="AD27" i="1"/>
  <c r="ES27" i="1" s="1"/>
  <c r="DI23" i="1"/>
  <c r="GX23" i="1"/>
  <c r="GU21" i="1"/>
  <c r="BN14" i="1"/>
  <c r="AD13" i="1"/>
  <c r="AH13" i="1" s="1"/>
  <c r="DK12" i="1"/>
  <c r="AZ39" i="1"/>
  <c r="GM39" i="1" s="1"/>
  <c r="GL39" i="1"/>
  <c r="BV39" i="1"/>
  <c r="BS39" i="1"/>
  <c r="GX27" i="1"/>
  <c r="AI20" i="1"/>
  <c r="EU20" i="1"/>
  <c r="EY20" i="1" s="1"/>
  <c r="AM20" i="1"/>
  <c r="AC15" i="1"/>
  <c r="BF39" i="1"/>
  <c r="BI39" i="1" s="1"/>
  <c r="BZ39" i="1"/>
  <c r="GW39" i="1"/>
  <c r="GV33" i="1"/>
  <c r="GX33" i="1" s="1"/>
  <c r="AQ11" i="1"/>
  <c r="AM17" i="1"/>
  <c r="DI26" i="1"/>
  <c r="BL31" i="1"/>
  <c r="DD39" i="1"/>
  <c r="BY39" i="1"/>
  <c r="BD39" i="1"/>
  <c r="DH39" i="1" s="1"/>
  <c r="AI17" i="1"/>
  <c r="AQ31" i="1"/>
  <c r="EU39" i="1"/>
  <c r="EY39" i="1" s="1"/>
  <c r="HI39" i="1"/>
  <c r="AF27" i="1"/>
  <c r="AM27" i="1" s="1"/>
  <c r="AC39" i="1"/>
  <c r="GU12" i="1"/>
  <c r="DI12" i="1"/>
  <c r="AD39" i="1"/>
  <c r="AH39" i="1" s="1"/>
  <c r="CO39" i="1"/>
  <c r="GJ39" i="1"/>
  <c r="GK39" i="1" s="1"/>
  <c r="DB39" i="1"/>
  <c r="BT39" i="1"/>
  <c r="BK35" i="1"/>
  <c r="BW39" i="1"/>
  <c r="BG39" i="1"/>
  <c r="DF39" i="1"/>
  <c r="ES23" i="1"/>
  <c r="FK23" i="1" s="1"/>
  <c r="AM38" i="1"/>
  <c r="AE36" i="1"/>
  <c r="AJ36" i="1" s="1"/>
  <c r="AF36" i="1"/>
  <c r="AM36" i="1" s="1"/>
  <c r="GV16" i="1"/>
  <c r="GX16" i="1" s="1"/>
  <c r="DC39" i="1"/>
  <c r="DE39" i="1"/>
  <c r="BJ14" i="1"/>
  <c r="AD19" i="1"/>
  <c r="AH19" i="1" s="1"/>
  <c r="AF13" i="1"/>
  <c r="BI26" i="1"/>
  <c r="BJ35" i="1"/>
  <c r="AD28" i="1"/>
  <c r="AH28" i="1" s="1"/>
  <c r="CD12" i="1"/>
  <c r="CD21" i="1"/>
  <c r="DJ23" i="1"/>
  <c r="BH39" i="1"/>
  <c r="DG39" i="1"/>
  <c r="GV24" i="1"/>
  <c r="GX24" i="1" s="1"/>
  <c r="R15" i="1"/>
  <c r="X15" i="1" s="1"/>
  <c r="AQ15" i="1" s="1"/>
  <c r="AJ11" i="1"/>
  <c r="R39" i="1"/>
  <c r="X39" i="1" s="1"/>
  <c r="AQ39" i="1" s="1"/>
  <c r="Q39" i="1"/>
  <c r="AM30" i="1"/>
  <c r="GU11" i="1"/>
  <c r="ET34" i="1"/>
  <c r="AJ17" i="1"/>
  <c r="CI18" i="1"/>
  <c r="BZ18" i="1"/>
  <c r="AM18" i="1"/>
  <c r="ES20" i="1"/>
  <c r="DK24" i="1"/>
  <c r="Q19" i="1"/>
  <c r="AJ16" i="1"/>
  <c r="R30" i="1"/>
  <c r="X30" i="1" s="1"/>
  <c r="S34" i="1"/>
  <c r="Y34" i="1" s="1"/>
  <c r="V34" i="1" s="1"/>
  <c r="BH34" i="1"/>
  <c r="AC28" i="1"/>
  <c r="AI29" i="1"/>
  <c r="AM29" i="1"/>
  <c r="BV22" i="1"/>
  <c r="AH17" i="1"/>
  <c r="BL17" i="1" s="1"/>
  <c r="ET18" i="1"/>
  <c r="BY18" i="1"/>
  <c r="BG18" i="1"/>
  <c r="AG18" i="1"/>
  <c r="BH27" i="1"/>
  <c r="CI10" i="1"/>
  <c r="CO10" i="1"/>
  <c r="DI35" i="1"/>
  <c r="DI24" i="1"/>
  <c r="AJ24" i="1"/>
  <c r="AI16" i="1"/>
  <c r="EU16" i="1"/>
  <c r="EY16" i="1" s="1"/>
  <c r="AG24" i="1"/>
  <c r="AM24" i="1"/>
  <c r="AI24" i="1"/>
  <c r="BY22" i="1"/>
  <c r="BH18" i="1"/>
  <c r="AZ18" i="1"/>
  <c r="GM18" i="1" s="1"/>
  <c r="BT18" i="1"/>
  <c r="AJ21" i="1"/>
  <c r="AD30" i="1"/>
  <c r="AH30" i="1" s="1"/>
  <c r="AH32" i="1"/>
  <c r="BL32" i="1" s="1"/>
  <c r="ES32" i="1"/>
  <c r="AE30" i="1"/>
  <c r="AC30" i="1"/>
  <c r="CD31" i="1"/>
  <c r="GX32" i="1"/>
  <c r="AH11" i="1"/>
  <c r="ES11" i="1"/>
  <c r="FK11" i="1" s="1"/>
  <c r="AJ37" i="1"/>
  <c r="BI32" i="1"/>
  <c r="FK21" i="1"/>
  <c r="BF18" i="1"/>
  <c r="BI18" i="1" s="1"/>
  <c r="GL18" i="1"/>
  <c r="BW18" i="1"/>
  <c r="ES18" i="1"/>
  <c r="AE15" i="1"/>
  <c r="GK35" i="1"/>
  <c r="DJ26" i="1"/>
  <c r="AE28" i="1"/>
  <c r="ET28" i="1" s="1"/>
  <c r="BK11" i="1"/>
  <c r="AJ32" i="1"/>
  <c r="ET32" i="1"/>
  <c r="GV26" i="1"/>
  <c r="GU26" i="1" s="1"/>
  <c r="FK24" i="1"/>
  <c r="BN16" i="1"/>
  <c r="HI18" i="1"/>
  <c r="DG18" i="1"/>
  <c r="DK18" i="1" s="1"/>
  <c r="BV18" i="1"/>
  <c r="AQ29" i="1"/>
  <c r="AE13" i="1"/>
  <c r="AD15" i="1"/>
  <c r="AH15" i="1" s="1"/>
  <c r="R34" i="1"/>
  <c r="X34" i="1" s="1"/>
  <c r="BG34" i="1"/>
  <c r="DJ12" i="1"/>
  <c r="AI26" i="1"/>
  <c r="AM26" i="1"/>
  <c r="BK17" i="1"/>
  <c r="ES16" i="1"/>
  <c r="FK16" i="1" s="1"/>
  <c r="EU18" i="1"/>
  <c r="EY18" i="1" s="1"/>
  <c r="DF18" i="1"/>
  <c r="DJ18" i="1" s="1"/>
  <c r="DB18" i="1"/>
  <c r="DI18" i="1" s="1"/>
  <c r="BD18" i="1"/>
  <c r="DH18" i="1" s="1"/>
  <c r="GV35" i="1"/>
  <c r="GX35" i="1" s="1"/>
  <c r="AC10" i="1"/>
  <c r="R22" i="1"/>
  <c r="X22" i="1" s="1"/>
  <c r="AW22" i="7" s="1"/>
  <c r="ET26" i="1"/>
  <c r="FK26" i="1" s="1"/>
  <c r="EU24" i="1"/>
  <c r="EY24" i="1" s="1"/>
  <c r="ES31" i="1"/>
  <c r="EU9" i="1"/>
  <c r="EY9" i="1" s="1"/>
  <c r="AG9" i="1"/>
  <c r="BK9" i="1" s="1"/>
  <c r="AM9" i="1"/>
  <c r="AI9" i="1"/>
  <c r="AJ38" i="1"/>
  <c r="AH38" i="1"/>
  <c r="BJ17" i="1"/>
  <c r="BY38" i="1"/>
  <c r="CO38" i="1"/>
  <c r="BY37" i="1"/>
  <c r="CO37" i="1"/>
  <c r="BN35" i="1"/>
  <c r="CD35" i="1"/>
  <c r="BL35" i="1"/>
  <c r="BI35" i="1"/>
  <c r="EY33" i="1"/>
  <c r="BI33" i="1"/>
  <c r="GM33" i="1"/>
  <c r="CD33" i="1"/>
  <c r="DJ31" i="1"/>
  <c r="DT31" i="1" s="1"/>
  <c r="CD26" i="1"/>
  <c r="BL24" i="1"/>
  <c r="CD24" i="1"/>
  <c r="DK23" i="1"/>
  <c r="GM23" i="1"/>
  <c r="BI23" i="1"/>
  <c r="CD23" i="1"/>
  <c r="GW22" i="1"/>
  <c r="DF22" i="1"/>
  <c r="CI22" i="1"/>
  <c r="AZ22" i="1"/>
  <c r="GM22" i="1" s="1"/>
  <c r="DG22" i="1"/>
  <c r="DE22" i="1"/>
  <c r="DB22" i="1"/>
  <c r="BZ22" i="1"/>
  <c r="BD22" i="1"/>
  <c r="DH22" i="1" s="1"/>
  <c r="BW22" i="1"/>
  <c r="BF22" i="1"/>
  <c r="BI22" i="1" s="1"/>
  <c r="BS22" i="1"/>
  <c r="BH22" i="1"/>
  <c r="BG22" i="1"/>
  <c r="GJ22" i="1"/>
  <c r="GK22" i="1" s="1"/>
  <c r="HI22" i="1"/>
  <c r="CO22" i="1"/>
  <c r="DT21" i="1"/>
  <c r="GV20" i="1"/>
  <c r="GU20" i="1" s="1"/>
  <c r="BK16" i="1"/>
  <c r="CD16" i="1"/>
  <c r="BJ16" i="1"/>
  <c r="CD14" i="1"/>
  <c r="BZ13" i="1"/>
  <c r="CO13" i="1"/>
  <c r="DI9" i="1"/>
  <c r="BS38" i="1"/>
  <c r="GL38" i="1"/>
  <c r="AH36" i="1"/>
  <c r="R28" i="1"/>
  <c r="X28" i="1" s="1"/>
  <c r="BY28" i="1"/>
  <c r="GJ28" i="1"/>
  <c r="GK28" i="1" s="1"/>
  <c r="BS28" i="1"/>
  <c r="DD28" i="1"/>
  <c r="DC28" i="1"/>
  <c r="BZ28" i="1"/>
  <c r="DE28" i="1"/>
  <c r="HI28" i="1"/>
  <c r="AZ28" i="1"/>
  <c r="GM28" i="1" s="1"/>
  <c r="BG28" i="1"/>
  <c r="DG28" i="1"/>
  <c r="BH28" i="1"/>
  <c r="DB28" i="1"/>
  <c r="BF28" i="1"/>
  <c r="BI28" i="1" s="1"/>
  <c r="BV28" i="1"/>
  <c r="BT28" i="1"/>
  <c r="CI28" i="1"/>
  <c r="GW28" i="1"/>
  <c r="DF28" i="1"/>
  <c r="BW28" i="1"/>
  <c r="BD28" i="1"/>
  <c r="DH28" i="1" s="1"/>
  <c r="GL28" i="1"/>
  <c r="AC22" i="1"/>
  <c r="GL22" i="1"/>
  <c r="DC22" i="1"/>
  <c r="DD22" i="1"/>
  <c r="AC20" i="1"/>
  <c r="AC19" i="1"/>
  <c r="R19" i="1"/>
  <c r="X19" i="1" s="1"/>
  <c r="AW19" i="7" s="1"/>
  <c r="AE19" i="1"/>
  <c r="AI15" i="1"/>
  <c r="AM15" i="1"/>
  <c r="AC13" i="1"/>
  <c r="R13" i="1"/>
  <c r="X13" i="1" s="1"/>
  <c r="AF12" i="1"/>
  <c r="AM12" i="1" s="1"/>
  <c r="AM8" i="1" s="1"/>
  <c r="AW10" i="7"/>
  <c r="AQ10" i="1"/>
  <c r="Q10" i="1"/>
  <c r="AD10" i="1"/>
  <c r="ES10" i="1" s="1"/>
  <c r="BM14" i="1"/>
  <c r="DI29" i="1"/>
  <c r="DT29" i="1" s="1"/>
  <c r="DJ20" i="1"/>
  <c r="DI14" i="1"/>
  <c r="GV9" i="1"/>
  <c r="GU9" i="1" s="1"/>
  <c r="DF38" i="1"/>
  <c r="BT38" i="1"/>
  <c r="CI38" i="1"/>
  <c r="AZ38" i="1"/>
  <c r="GM38" i="1" s="1"/>
  <c r="BW38" i="1"/>
  <c r="ET38" i="1"/>
  <c r="BG38" i="1"/>
  <c r="BM38" i="1" s="1"/>
  <c r="BD38" i="1"/>
  <c r="DH38" i="1" s="1"/>
  <c r="BZ38" i="1"/>
  <c r="DG38" i="1"/>
  <c r="BH38" i="1"/>
  <c r="BK38" i="1" s="1"/>
  <c r="EU38" i="1"/>
  <c r="EY38" i="1" s="1"/>
  <c r="HI38" i="1"/>
  <c r="DC38" i="1"/>
  <c r="GJ38" i="1"/>
  <c r="GK38" i="1" s="1"/>
  <c r="DB38" i="1"/>
  <c r="ES38" i="1"/>
  <c r="BV38" i="1"/>
  <c r="DE38" i="1"/>
  <c r="BF38" i="1"/>
  <c r="BI38" i="1" s="1"/>
  <c r="Q36" i="1"/>
  <c r="R36" i="1"/>
  <c r="X36" i="1" s="1"/>
  <c r="AQ36" i="1" s="1"/>
  <c r="AC27" i="1"/>
  <c r="AG26" i="1"/>
  <c r="BN26" i="1" s="1"/>
  <c r="AI23" i="1"/>
  <c r="AM23" i="1"/>
  <c r="AG23" i="1"/>
  <c r="BN23" i="1" s="1"/>
  <c r="AI22" i="1"/>
  <c r="EU22" i="1"/>
  <c r="EY22" i="1" s="1"/>
  <c r="AM22" i="1"/>
  <c r="AD22" i="1"/>
  <c r="AE22" i="1"/>
  <c r="BL20" i="1"/>
  <c r="CD20" i="1"/>
  <c r="DK20" i="1"/>
  <c r="DK14" i="1"/>
  <c r="DJ14" i="1"/>
  <c r="AE12" i="1"/>
  <c r="AE8" i="1" s="1"/>
  <c r="BY10" i="1"/>
  <c r="DC10" i="1"/>
  <c r="DG10" i="1"/>
  <c r="GL10" i="1"/>
  <c r="AZ10" i="1"/>
  <c r="GM10" i="1" s="1"/>
  <c r="DD10" i="1"/>
  <c r="BD10" i="1"/>
  <c r="DH10" i="1" s="1"/>
  <c r="DF10" i="1"/>
  <c r="BF10" i="1"/>
  <c r="BI10" i="1" s="1"/>
  <c r="BS10" i="1"/>
  <c r="GJ10" i="1"/>
  <c r="GK10" i="1" s="1"/>
  <c r="BT10" i="1"/>
  <c r="DE10" i="1"/>
  <c r="BW10" i="1"/>
  <c r="BV10" i="1"/>
  <c r="GW10" i="1"/>
  <c r="DJ9" i="1"/>
  <c r="CD9" i="1"/>
  <c r="BF13" i="1"/>
  <c r="BI13" i="1" s="1"/>
  <c r="BT13" i="1"/>
  <c r="HI13" i="1"/>
  <c r="DB10" i="1"/>
  <c r="HI10" i="1"/>
  <c r="BD13" i="1"/>
  <c r="DH13" i="1" s="1"/>
  <c r="GL13" i="1"/>
  <c r="BH13" i="1"/>
  <c r="DB13" i="1"/>
  <c r="BV13" i="1"/>
  <c r="DF13" i="1"/>
  <c r="CI13" i="1"/>
  <c r="AG39" i="1"/>
  <c r="AI39" i="1"/>
  <c r="AM39" i="1"/>
  <c r="DD38" i="1"/>
  <c r="GW38" i="1"/>
  <c r="DD37" i="1"/>
  <c r="DF37" i="1"/>
  <c r="ES37" i="1"/>
  <c r="BZ37" i="1"/>
  <c r="AM33" i="1"/>
  <c r="AI33" i="1"/>
  <c r="AG33" i="1"/>
  <c r="BN33" i="1" s="1"/>
  <c r="ET31" i="1"/>
  <c r="AJ31" i="1"/>
  <c r="AG31" i="1"/>
  <c r="BZ30" i="1"/>
  <c r="BH30" i="1"/>
  <c r="GJ30" i="1"/>
  <c r="GK30" i="1" s="1"/>
  <c r="DC30" i="1"/>
  <c r="BD30" i="1"/>
  <c r="DH30" i="1" s="1"/>
  <c r="BG30" i="1"/>
  <c r="BT30" i="1"/>
  <c r="EU30" i="1"/>
  <c r="EY30" i="1" s="1"/>
  <c r="EU27" i="1"/>
  <c r="EY27" i="1" s="1"/>
  <c r="AI27" i="1"/>
  <c r="BI27" i="1"/>
  <c r="Q27" i="1"/>
  <c r="AE27" i="1"/>
  <c r="R27" i="1"/>
  <c r="X27" i="1" s="1"/>
  <c r="AJ23" i="1"/>
  <c r="DI20" i="1"/>
  <c r="AF19" i="1"/>
  <c r="GX14" i="1"/>
  <c r="BL14" i="1"/>
  <c r="U20" i="7"/>
  <c r="AL16" i="7"/>
  <c r="AN16" i="7" s="1"/>
  <c r="AK16" i="7"/>
  <c r="AK20" i="7"/>
  <c r="AO20" i="7" s="1"/>
  <c r="AL21" i="7"/>
  <c r="AN21" i="7" s="1"/>
  <c r="BS13" i="1"/>
  <c r="DC13" i="1"/>
  <c r="DD13" i="1"/>
  <c r="AZ13" i="1"/>
  <c r="GM13" i="1" s="1"/>
  <c r="BY13" i="1"/>
  <c r="DE13" i="1"/>
  <c r="BW13" i="1"/>
  <c r="ES13" i="1"/>
  <c r="DG13" i="1"/>
  <c r="BG13" i="1"/>
  <c r="GW13" i="1"/>
  <c r="GJ13" i="1"/>
  <c r="R12" i="1"/>
  <c r="X12" i="1" s="1"/>
  <c r="AW12" i="7" s="1"/>
  <c r="BF12" i="1"/>
  <c r="AD12" i="1"/>
  <c r="AD8" i="1" s="1"/>
  <c r="S12" i="1"/>
  <c r="Y12" i="1" s="1"/>
  <c r="V12" i="1" s="1"/>
  <c r="V8" i="1" s="1"/>
  <c r="AC12" i="1"/>
  <c r="AC8" i="1" s="1"/>
  <c r="Q12" i="1"/>
  <c r="Q8" i="1" s="1"/>
  <c r="AL26" i="7"/>
  <c r="AN26" i="7" s="1"/>
  <c r="AH10" i="1"/>
  <c r="AE10" i="1"/>
  <c r="AF10" i="1"/>
  <c r="BG10" i="1"/>
  <c r="BZ10" i="1"/>
  <c r="BH10" i="1"/>
  <c r="AL14" i="7"/>
  <c r="AN14" i="7" s="1"/>
  <c r="BL9" i="1"/>
  <c r="U23" i="7"/>
  <c r="AK23" i="7"/>
  <c r="AO23" i="7" s="1"/>
  <c r="Z8" i="1"/>
  <c r="AB8" i="1"/>
  <c r="W5" i="1"/>
  <c r="BC5" i="1" s="1"/>
  <c r="T5" i="1"/>
  <c r="P8" i="1"/>
  <c r="AA8" i="1"/>
  <c r="N8" i="1"/>
  <c r="BS30" i="1"/>
  <c r="DB30" i="1"/>
  <c r="HI37" i="1"/>
  <c r="O8" i="1"/>
  <c r="DG37" i="1"/>
  <c r="DK37" i="1" s="1"/>
  <c r="DB37" i="1"/>
  <c r="GL30" i="1"/>
  <c r="DD30" i="1"/>
  <c r="GL37" i="1"/>
  <c r="AJ40" i="1"/>
  <c r="V37" i="1"/>
  <c r="ET37" i="1"/>
  <c r="BV37" i="1"/>
  <c r="BG37" i="1"/>
  <c r="BM37" i="1" s="1"/>
  <c r="AZ37" i="1"/>
  <c r="BF37" i="1"/>
  <c r="BI37" i="1" s="1"/>
  <c r="EU37" i="1"/>
  <c r="BH37" i="1"/>
  <c r="DE37" i="1"/>
  <c r="CI37" i="1"/>
  <c r="DC37" i="1"/>
  <c r="BS37" i="1"/>
  <c r="BW37" i="1"/>
  <c r="GW37" i="1"/>
  <c r="BD37" i="1"/>
  <c r="DH37" i="1" s="1"/>
  <c r="BT37" i="1"/>
  <c r="GJ37" i="1"/>
  <c r="AK18" i="7"/>
  <c r="AO18" i="7" s="1"/>
  <c r="AL18" i="7"/>
  <c r="AN18" i="7" s="1"/>
  <c r="U18" i="7"/>
  <c r="T11" i="7"/>
  <c r="AK11" i="7"/>
  <c r="AO11" i="7" s="1"/>
  <c r="AL11" i="7"/>
  <c r="AN11" i="7" s="1"/>
  <c r="AK19" i="7"/>
  <c r="AO19" i="7" s="1"/>
  <c r="T19" i="7"/>
  <c r="AL19" i="7"/>
  <c r="AN19" i="7" s="1"/>
  <c r="T26" i="7"/>
  <c r="AK26" i="7"/>
  <c r="AO26" i="7" s="1"/>
  <c r="U21" i="7"/>
  <c r="AI34" i="1"/>
  <c r="AG34" i="1"/>
  <c r="AM34" i="1"/>
  <c r="AL9" i="7"/>
  <c r="AN9" i="7" s="1"/>
  <c r="AL24" i="7"/>
  <c r="AN24" i="7" s="1"/>
  <c r="AL20" i="7"/>
  <c r="AN20" i="7" s="1"/>
  <c r="U32" i="7"/>
  <c r="U17" i="7"/>
  <c r="AG32" i="1"/>
  <c r="AM32" i="1"/>
  <c r="AI32" i="1"/>
  <c r="AL12" i="7"/>
  <c r="AL8" i="7" s="1"/>
  <c r="T32" i="7"/>
  <c r="T17" i="7"/>
  <c r="U12" i="7"/>
  <c r="U8" i="7" s="1"/>
  <c r="AK12" i="7"/>
  <c r="AK8" i="7" s="1"/>
  <c r="AK17" i="7"/>
  <c r="AO17" i="7" s="1"/>
  <c r="W8" i="7"/>
  <c r="T15" i="7"/>
  <c r="AK32" i="7"/>
  <c r="AO32" i="7" s="1"/>
  <c r="U15" i="7"/>
  <c r="AK15" i="7"/>
  <c r="AO15" i="7" s="1"/>
  <c r="AK21" i="7"/>
  <c r="AO21" i="7" s="1"/>
  <c r="AK14" i="7"/>
  <c r="T23" i="7"/>
  <c r="U14" i="7"/>
  <c r="U16" i="7"/>
  <c r="HI30" i="1"/>
  <c r="GW30" i="1"/>
  <c r="BV30" i="1"/>
  <c r="DF30" i="1"/>
  <c r="DE30" i="1"/>
  <c r="BY30" i="1"/>
  <c r="AZ30" i="1"/>
  <c r="GM30" i="1" s="1"/>
  <c r="BF30" i="1"/>
  <c r="BW30" i="1"/>
  <c r="DG30" i="1"/>
  <c r="CI30" i="1"/>
  <c r="AK24" i="7"/>
  <c r="AO24" i="7" s="1"/>
  <c r="T25" i="7"/>
  <c r="U9" i="7"/>
  <c r="T9" i="7"/>
  <c r="AK25" i="7"/>
  <c r="AO25" i="7" s="1"/>
  <c r="U25" i="7"/>
  <c r="T24" i="7"/>
  <c r="T13" i="7"/>
  <c r="AK30" i="7"/>
  <c r="U33" i="7"/>
  <c r="AL30" i="7"/>
  <c r="AN30" i="7" s="1"/>
  <c r="AL13" i="7"/>
  <c r="AN13" i="7" s="1"/>
  <c r="T30" i="7"/>
  <c r="U30" i="7"/>
  <c r="AK13" i="7"/>
  <c r="AO13" i="7" s="1"/>
  <c r="AK33" i="7"/>
  <c r="AO33" i="7" s="1"/>
  <c r="T33" i="7"/>
  <c r="BI29" i="1"/>
  <c r="BP29" i="1" s="1"/>
  <c r="GX29" i="1"/>
  <c r="BJ29" i="1"/>
  <c r="GK29" i="1"/>
  <c r="GU29" i="1" s="1"/>
  <c r="U28" i="7"/>
  <c r="AL22" i="7"/>
  <c r="AN22" i="7" s="1"/>
  <c r="AL27" i="7"/>
  <c r="AN27" i="7" s="1"/>
  <c r="T27" i="7"/>
  <c r="T28" i="7"/>
  <c r="AK27" i="7"/>
  <c r="AO27" i="7" s="1"/>
  <c r="T22" i="7"/>
  <c r="AL28" i="7"/>
  <c r="AN28" i="7" s="1"/>
  <c r="AR29" i="7"/>
  <c r="AK10" i="7"/>
  <c r="AO10" i="7" s="1"/>
  <c r="AR19" i="7"/>
  <c r="AK31" i="7"/>
  <c r="AO31" i="7" s="1"/>
  <c r="AR10" i="7"/>
  <c r="AR32" i="7"/>
  <c r="AL31" i="7"/>
  <c r="AN31" i="7" s="1"/>
  <c r="AR33" i="7"/>
  <c r="AL10" i="7"/>
  <c r="AN10" i="7" s="1"/>
  <c r="AR15" i="7"/>
  <c r="AR13" i="7"/>
  <c r="U31" i="7"/>
  <c r="AR34" i="7"/>
  <c r="AR26" i="7"/>
  <c r="AR12" i="7"/>
  <c r="AR11" i="7"/>
  <c r="AR23" i="7"/>
  <c r="AR14" i="7"/>
  <c r="AR24" i="7"/>
  <c r="AK22" i="7"/>
  <c r="AO22" i="7" s="1"/>
  <c r="AR31" i="7"/>
  <c r="AR20" i="7"/>
  <c r="AR25" i="7"/>
  <c r="AR30" i="7"/>
  <c r="AR28" i="7"/>
  <c r="AR17" i="7"/>
  <c r="AR16" i="7"/>
  <c r="AR27" i="7"/>
  <c r="AR21" i="7"/>
  <c r="T10" i="7"/>
  <c r="AR22" i="7"/>
  <c r="AR9" i="7"/>
  <c r="AR18" i="7"/>
  <c r="AP34" i="7"/>
  <c r="DJ27" i="1"/>
  <c r="DT27" i="1" s="1"/>
  <c r="V21" i="1"/>
  <c r="EU21" i="1"/>
  <c r="AM21" i="1"/>
  <c r="AI21" i="1"/>
  <c r="AG21" i="1"/>
  <c r="ET20" i="1"/>
  <c r="FK20" i="1" s="1"/>
  <c r="AJ20" i="1"/>
  <c r="AG20" i="1"/>
  <c r="AJ18" i="1"/>
  <c r="AQ12" i="1"/>
  <c r="AQ8" i="1" s="1"/>
  <c r="AP29" i="7"/>
  <c r="BN47" i="1" l="1"/>
  <c r="DJ56" i="1"/>
  <c r="AH49" i="1"/>
  <c r="BL49" i="1" s="1"/>
  <c r="ES49" i="1"/>
  <c r="FK49" i="1" s="1"/>
  <c r="AH55" i="1"/>
  <c r="BL55" i="1" s="1"/>
  <c r="ES55" i="1"/>
  <c r="FK55" i="1" s="1"/>
  <c r="DT45" i="1"/>
  <c r="CD56" i="1"/>
  <c r="BK47" i="1"/>
  <c r="BM47" i="1"/>
  <c r="BR47" i="1" s="1"/>
  <c r="BK45" i="1"/>
  <c r="BP45" i="1" s="1"/>
  <c r="AJ56" i="1"/>
  <c r="GX56" i="1"/>
  <c r="GK56" i="1"/>
  <c r="GU56" i="1" s="1"/>
  <c r="X8" i="1"/>
  <c r="AI12" i="1"/>
  <c r="AI8" i="1" s="1"/>
  <c r="BJ57" i="1"/>
  <c r="BN57" i="1"/>
  <c r="BM57" i="1"/>
  <c r="BK57" i="1"/>
  <c r="ET56" i="1"/>
  <c r="AH48" i="1"/>
  <c r="BL48" i="1" s="1"/>
  <c r="ES48" i="1"/>
  <c r="FK48" i="1" s="1"/>
  <c r="BR45" i="1"/>
  <c r="BP44" i="1"/>
  <c r="AJ50" i="1"/>
  <c r="AJ61" i="1"/>
  <c r="ES56" i="1"/>
  <c r="FK56" i="1" s="1"/>
  <c r="BO46" i="1"/>
  <c r="DT49" i="1"/>
  <c r="DT56" i="1"/>
  <c r="DK56" i="1"/>
  <c r="BI56" i="1"/>
  <c r="DT11" i="1"/>
  <c r="BP47" i="1"/>
  <c r="BQ47" i="1"/>
  <c r="BR46" i="1"/>
  <c r="GV39" i="1"/>
  <c r="GU39" i="1" s="1"/>
  <c r="BO44" i="1"/>
  <c r="BO45" i="1"/>
  <c r="BQ45" i="1"/>
  <c r="BQ44" i="1"/>
  <c r="BR44" i="1"/>
  <c r="BQ46" i="1"/>
  <c r="AM61" i="1"/>
  <c r="AI61" i="1"/>
  <c r="AG61" i="1"/>
  <c r="W61" i="1"/>
  <c r="AL61" i="1" s="1"/>
  <c r="U61" i="1"/>
  <c r="AQ61" i="1"/>
  <c r="AK61" i="1"/>
  <c r="AQ60" i="1"/>
  <c r="W60" i="1"/>
  <c r="AL60" i="1" s="1"/>
  <c r="AN60" i="1" s="1"/>
  <c r="W59" i="1"/>
  <c r="AJ59" i="1"/>
  <c r="AI59" i="1"/>
  <c r="AG59" i="1"/>
  <c r="AM59" i="1"/>
  <c r="W58" i="1"/>
  <c r="AK58" i="1" s="1"/>
  <c r="W57" i="1"/>
  <c r="AL57" i="1" s="1"/>
  <c r="AN57" i="1" s="1"/>
  <c r="W56" i="1"/>
  <c r="AK56" i="1" s="1"/>
  <c r="AI56" i="1"/>
  <c r="AM56" i="1"/>
  <c r="AG56" i="1"/>
  <c r="W55" i="1"/>
  <c r="AI55" i="1"/>
  <c r="AM55" i="1"/>
  <c r="AG55" i="1"/>
  <c r="AJ55" i="1"/>
  <c r="W54" i="1"/>
  <c r="AL54" i="1" s="1"/>
  <c r="AN54" i="1" s="1"/>
  <c r="W53" i="1"/>
  <c r="AM52" i="1"/>
  <c r="AG52" i="1"/>
  <c r="AI52" i="1"/>
  <c r="AJ52" i="1"/>
  <c r="W52" i="1"/>
  <c r="AL52" i="1" s="1"/>
  <c r="W51" i="1"/>
  <c r="AK51" i="1" s="1"/>
  <c r="W50" i="1"/>
  <c r="AK50" i="1" s="1"/>
  <c r="AM50" i="1"/>
  <c r="AI50" i="1"/>
  <c r="AG50" i="1"/>
  <c r="AJ49" i="1"/>
  <c r="AG49" i="1"/>
  <c r="AI49" i="1"/>
  <c r="AM49" i="1"/>
  <c r="W49" i="1"/>
  <c r="AL49" i="1" s="1"/>
  <c r="W48" i="1"/>
  <c r="AG48" i="1"/>
  <c r="BK48" i="1" s="1"/>
  <c r="AI48" i="1"/>
  <c r="AM48" i="1"/>
  <c r="AJ48" i="1"/>
  <c r="W47" i="1"/>
  <c r="AL47" i="1" s="1"/>
  <c r="AN47" i="1" s="1"/>
  <c r="AQ47" i="1"/>
  <c r="AQ46" i="1"/>
  <c r="W46" i="1"/>
  <c r="AK46" i="1" s="1"/>
  <c r="W45" i="1"/>
  <c r="AK45" i="1" s="1"/>
  <c r="AQ45" i="1"/>
  <c r="W44" i="1"/>
  <c r="AL44" i="1" s="1"/>
  <c r="AN44" i="1" s="1"/>
  <c r="W43" i="1"/>
  <c r="AL43" i="1" s="1"/>
  <c r="AN43" i="1" s="1"/>
  <c r="W42" i="1"/>
  <c r="AK42" i="1" s="1"/>
  <c r="W41" i="1"/>
  <c r="GX31" i="1"/>
  <c r="AQ20" i="1"/>
  <c r="AB36" i="10"/>
  <c r="AC34" i="10"/>
  <c r="AC36" i="10" s="1"/>
  <c r="GV18" i="1"/>
  <c r="AA35" i="10"/>
  <c r="AA37" i="10"/>
  <c r="AA34" i="10"/>
  <c r="AG30" i="1"/>
  <c r="BK30" i="1" s="1"/>
  <c r="DT35" i="1"/>
  <c r="R36" i="10"/>
  <c r="DT24" i="1"/>
  <c r="AG30" i="7"/>
  <c r="AB17" i="4"/>
  <c r="AB18" i="4"/>
  <c r="AC13" i="4"/>
  <c r="AB14" i="4"/>
  <c r="AB15" i="4"/>
  <c r="AB16" i="4"/>
  <c r="AB20" i="4"/>
  <c r="AB19" i="4"/>
  <c r="AB37" i="10"/>
  <c r="AB34" i="10"/>
  <c r="DJ39" i="1"/>
  <c r="DJ22" i="1"/>
  <c r="BM18" i="1"/>
  <c r="DT12" i="1"/>
  <c r="CD39" i="1"/>
  <c r="DK39" i="1"/>
  <c r="AH34" i="1"/>
  <c r="BL34" i="1" s="1"/>
  <c r="BK18" i="1"/>
  <c r="BN17" i="1"/>
  <c r="BP17" i="1" s="1"/>
  <c r="FK31" i="1"/>
  <c r="GX20" i="1"/>
  <c r="GV10" i="1"/>
  <c r="DJ10" i="1"/>
  <c r="ES39" i="1"/>
  <c r="FK39" i="1" s="1"/>
  <c r="AJ39" i="1"/>
  <c r="GV38" i="1"/>
  <c r="GU38" i="1" s="1"/>
  <c r="FK38" i="1"/>
  <c r="BQ35" i="1"/>
  <c r="ET30" i="1"/>
  <c r="DI28" i="1"/>
  <c r="EU28" i="1"/>
  <c r="EY28" i="1" s="1"/>
  <c r="DT26" i="1"/>
  <c r="AQ22" i="1"/>
  <c r="BM17" i="1"/>
  <c r="BP16" i="1"/>
  <c r="EU12" i="1"/>
  <c r="EY12" i="1" s="1"/>
  <c r="R8" i="1"/>
  <c r="W10" i="1"/>
  <c r="T10" i="1" s="1"/>
  <c r="BJ9" i="1"/>
  <c r="GU16" i="1"/>
  <c r="GX39" i="1"/>
  <c r="BM39" i="1"/>
  <c r="FK37" i="1"/>
  <c r="AJ34" i="1"/>
  <c r="GU33" i="1"/>
  <c r="DK28" i="1"/>
  <c r="AM28" i="1"/>
  <c r="ES28" i="1"/>
  <c r="FK28" i="1" s="1"/>
  <c r="AH27" i="1"/>
  <c r="BL27" i="1" s="1"/>
  <c r="GU24" i="1"/>
  <c r="DT23" i="1"/>
  <c r="CD22" i="1"/>
  <c r="AQ19" i="1"/>
  <c r="AJ15" i="1"/>
  <c r="AW15" i="7"/>
  <c r="BR14" i="1"/>
  <c r="AJ13" i="1"/>
  <c r="DI37" i="1"/>
  <c r="BN38" i="1"/>
  <c r="BL18" i="1"/>
  <c r="BJ26" i="1"/>
  <c r="BM26" i="1"/>
  <c r="AF8" i="1"/>
  <c r="GV13" i="1"/>
  <c r="GX13" i="1" s="1"/>
  <c r="BO14" i="1"/>
  <c r="AG28" i="1"/>
  <c r="BN28" i="1" s="1"/>
  <c r="BM23" i="1"/>
  <c r="BK26" i="1"/>
  <c r="BP26" i="1" s="1"/>
  <c r="BJ18" i="1"/>
  <c r="DI39" i="1"/>
  <c r="GV28" i="1"/>
  <c r="GX28" i="1" s="1"/>
  <c r="AJ28" i="1"/>
  <c r="BR35" i="1"/>
  <c r="AI13" i="1"/>
  <c r="AM13" i="1"/>
  <c r="GX9" i="1"/>
  <c r="BL10" i="1"/>
  <c r="DJ13" i="1"/>
  <c r="AJ30" i="1"/>
  <c r="FK18" i="1"/>
  <c r="DT9" i="1"/>
  <c r="DK30" i="1"/>
  <c r="ES30" i="1"/>
  <c r="S8" i="1"/>
  <c r="ET12" i="1"/>
  <c r="EU13" i="1"/>
  <c r="EY13" i="1" s="1"/>
  <c r="DJ37" i="1"/>
  <c r="AJ19" i="1"/>
  <c r="FK32" i="1"/>
  <c r="BL39" i="1"/>
  <c r="DT18" i="1"/>
  <c r="FK34" i="1"/>
  <c r="CD18" i="1"/>
  <c r="AI36" i="1"/>
  <c r="AG36" i="1"/>
  <c r="GX18" i="1"/>
  <c r="GU18" i="1"/>
  <c r="AG12" i="1"/>
  <c r="GX26" i="1"/>
  <c r="BM34" i="1"/>
  <c r="BJ34" i="1"/>
  <c r="AW30" i="7"/>
  <c r="AQ30" i="1"/>
  <c r="BJ24" i="1"/>
  <c r="BM24" i="1"/>
  <c r="AW34" i="7"/>
  <c r="AQ34" i="1"/>
  <c r="BN18" i="1"/>
  <c r="BJ23" i="1"/>
  <c r="AG13" i="1"/>
  <c r="BK13" i="1" s="1"/>
  <c r="BL11" i="1"/>
  <c r="BM11" i="1"/>
  <c r="BM32" i="1"/>
  <c r="BN32" i="1"/>
  <c r="BJ32" i="1"/>
  <c r="BK32" i="1"/>
  <c r="AJ12" i="1"/>
  <c r="AJ8" i="1" s="1"/>
  <c r="DI13" i="1"/>
  <c r="ET13" i="1"/>
  <c r="FK13" i="1" s="1"/>
  <c r="DK22" i="1"/>
  <c r="BK23" i="1"/>
  <c r="BP23" i="1" s="1"/>
  <c r="GU35" i="1"/>
  <c r="BK24" i="1"/>
  <c r="GV37" i="1"/>
  <c r="GX37" i="1" s="1"/>
  <c r="Y8" i="1"/>
  <c r="Y1" i="7" s="1"/>
  <c r="Y14" i="7" s="1"/>
  <c r="AS14" i="7" s="1"/>
  <c r="DJ28" i="1"/>
  <c r="BN11" i="1"/>
  <c r="BN9" i="1"/>
  <c r="BP9" i="1" s="1"/>
  <c r="BN34" i="1"/>
  <c r="BK34" i="1"/>
  <c r="DJ30" i="1"/>
  <c r="BL13" i="1"/>
  <c r="BM33" i="1"/>
  <c r="BJ33" i="1"/>
  <c r="DK38" i="1"/>
  <c r="BJ38" i="1"/>
  <c r="AG15" i="1"/>
  <c r="GV22" i="1"/>
  <c r="GU22" i="1" s="1"/>
  <c r="BN24" i="1"/>
  <c r="BP24" i="1" s="1"/>
  <c r="BK33" i="1"/>
  <c r="BM9" i="1"/>
  <c r="BO35" i="1"/>
  <c r="BP35" i="1"/>
  <c r="DI30" i="1"/>
  <c r="BL28" i="1"/>
  <c r="BQ23" i="1"/>
  <c r="DI22" i="1"/>
  <c r="BR16" i="1"/>
  <c r="BO16" i="1"/>
  <c r="BQ16" i="1"/>
  <c r="DT14" i="1"/>
  <c r="CD10" i="1"/>
  <c r="GL2" i="1"/>
  <c r="W40" i="1"/>
  <c r="AL40" i="1" s="1"/>
  <c r="AN40" i="1" s="1"/>
  <c r="DJ38" i="1"/>
  <c r="W37" i="1"/>
  <c r="AL37" i="1" s="1"/>
  <c r="AN37" i="1" s="1"/>
  <c r="BJ37" i="1"/>
  <c r="W31" i="1"/>
  <c r="AK31" i="1" s="1"/>
  <c r="AO31" i="1" s="1"/>
  <c r="AZ31" i="7" s="1"/>
  <c r="W36" i="1"/>
  <c r="T36" i="1" s="1"/>
  <c r="CD30" i="1"/>
  <c r="CD28" i="1"/>
  <c r="AW28" i="7"/>
  <c r="AQ28" i="1"/>
  <c r="AW13" i="7"/>
  <c r="AQ13" i="1"/>
  <c r="DT20" i="1"/>
  <c r="DI10" i="1"/>
  <c r="DI38" i="1"/>
  <c r="GV30" i="1"/>
  <c r="GU30" i="1" s="1"/>
  <c r="CD38" i="1"/>
  <c r="HL9" i="1"/>
  <c r="HU9" i="1" s="1"/>
  <c r="BL38" i="1"/>
  <c r="BL37" i="1"/>
  <c r="W35" i="1"/>
  <c r="AL35" i="1" s="1"/>
  <c r="AN35" i="1" s="1"/>
  <c r="W34" i="1"/>
  <c r="T34" i="1" s="1"/>
  <c r="ET22" i="1"/>
  <c r="AJ22" i="1"/>
  <c r="AH22" i="1"/>
  <c r="BL22" i="1" s="1"/>
  <c r="ES22" i="1"/>
  <c r="AG22" i="1"/>
  <c r="BP14" i="1"/>
  <c r="CD13" i="1"/>
  <c r="GX10" i="1"/>
  <c r="GU10" i="1"/>
  <c r="DK10" i="1"/>
  <c r="W38" i="1"/>
  <c r="AK38" i="1" s="1"/>
  <c r="AO38" i="1" s="1"/>
  <c r="W39" i="1"/>
  <c r="AL39" i="1" s="1"/>
  <c r="AN39" i="1" s="1"/>
  <c r="BJ39" i="1"/>
  <c r="BK39" i="1"/>
  <c r="BN39" i="1"/>
  <c r="W33" i="1"/>
  <c r="AV33" i="7" s="1"/>
  <c r="W32" i="1"/>
  <c r="AL32" i="1" s="1"/>
  <c r="AN32" i="1" s="1"/>
  <c r="AY32" i="7" s="1"/>
  <c r="BJ31" i="1"/>
  <c r="BK31" i="1"/>
  <c r="BM31" i="1"/>
  <c r="BN31" i="1"/>
  <c r="W25" i="1"/>
  <c r="AK25" i="1" s="1"/>
  <c r="W24" i="1"/>
  <c r="AL24" i="1" s="1"/>
  <c r="AN24" i="1" s="1"/>
  <c r="AY24" i="7" s="1"/>
  <c r="W26" i="1"/>
  <c r="AK26" i="1" s="1"/>
  <c r="W18" i="1"/>
  <c r="T18" i="1" s="1"/>
  <c r="W27" i="1"/>
  <c r="U27" i="1" s="1"/>
  <c r="W29" i="1"/>
  <c r="AV29" i="7" s="1"/>
  <c r="W23" i="1"/>
  <c r="AK23" i="1" s="1"/>
  <c r="W28" i="1"/>
  <c r="AK28" i="1" s="1"/>
  <c r="W30" i="1"/>
  <c r="AL30" i="1" s="1"/>
  <c r="AN30" i="1" s="1"/>
  <c r="AY30" i="7" s="1"/>
  <c r="AZ131" i="1"/>
  <c r="AW27" i="7"/>
  <c r="AQ27" i="1"/>
  <c r="ET27" i="1"/>
  <c r="FK27" i="1" s="1"/>
  <c r="AJ27" i="1"/>
  <c r="AG27" i="1"/>
  <c r="W17" i="1"/>
  <c r="AL17" i="1" s="1"/>
  <c r="AN17" i="1" s="1"/>
  <c r="AY17" i="7" s="1"/>
  <c r="W20" i="1"/>
  <c r="AV20" i="7" s="1"/>
  <c r="W21" i="1"/>
  <c r="AK21" i="1" s="1"/>
  <c r="W19" i="1"/>
  <c r="AV19" i="7" s="1"/>
  <c r="W22" i="1"/>
  <c r="U22" i="1" s="1"/>
  <c r="AI19" i="1"/>
  <c r="AG19" i="1"/>
  <c r="AM19" i="1"/>
  <c r="W16" i="1"/>
  <c r="U16" i="1" s="1"/>
  <c r="W15" i="1"/>
  <c r="AL15" i="1" s="1"/>
  <c r="AN15" i="1" s="1"/>
  <c r="AY15" i="7" s="1"/>
  <c r="AP16" i="7"/>
  <c r="W14" i="1"/>
  <c r="AK14" i="1" s="1"/>
  <c r="AO14" i="1" s="1"/>
  <c r="AO16" i="7"/>
  <c r="BQ14" i="1"/>
  <c r="AP23" i="7"/>
  <c r="W13" i="1"/>
  <c r="AK13" i="1" s="1"/>
  <c r="W12" i="1"/>
  <c r="T12" i="1" s="1"/>
  <c r="T8" i="1" s="1"/>
  <c r="W9" i="1"/>
  <c r="AV9" i="7" s="1"/>
  <c r="AP17" i="7"/>
  <c r="W11" i="1"/>
  <c r="AK11" i="1" s="1"/>
  <c r="DK13" i="1"/>
  <c r="GK13" i="1"/>
  <c r="AP20" i="7"/>
  <c r="AH12" i="1"/>
  <c r="ES12" i="1"/>
  <c r="BI12" i="1"/>
  <c r="AP25" i="7"/>
  <c r="AP26" i="7"/>
  <c r="AP11" i="7"/>
  <c r="AP14" i="7"/>
  <c r="AP32" i="7"/>
  <c r="ET10" i="1"/>
  <c r="FK10" i="1" s="1"/>
  <c r="AJ10" i="1"/>
  <c r="AM10" i="1"/>
  <c r="AG10" i="1"/>
  <c r="BK10" i="1" s="1"/>
  <c r="AI10" i="1"/>
  <c r="AO12" i="7"/>
  <c r="AO8" i="7" s="1"/>
  <c r="EU10" i="1"/>
  <c r="EY10" i="1" s="1"/>
  <c r="U40" i="1"/>
  <c r="AP18" i="7"/>
  <c r="AP19" i="7"/>
  <c r="BN37" i="1"/>
  <c r="BK37" i="1"/>
  <c r="EY37" i="1"/>
  <c r="CD37" i="1"/>
  <c r="GK37" i="1"/>
  <c r="HL10" i="1"/>
  <c r="GM37" i="1"/>
  <c r="GM2" i="1" s="1"/>
  <c r="AP15" i="7"/>
  <c r="AP31" i="7"/>
  <c r="AP9" i="7"/>
  <c r="AN12" i="7"/>
  <c r="AN8" i="7" s="1"/>
  <c r="AP12" i="7"/>
  <c r="AP8" i="7" s="1"/>
  <c r="AP30" i="7"/>
  <c r="AP21" i="7"/>
  <c r="AO30" i="7"/>
  <c r="AP33" i="7"/>
  <c r="AP24" i="7"/>
  <c r="AP13" i="7"/>
  <c r="AO14" i="7"/>
  <c r="AP27" i="7"/>
  <c r="AP10" i="7"/>
  <c r="BL30" i="1"/>
  <c r="BI30" i="1"/>
  <c r="BQ29" i="1"/>
  <c r="BO29" i="1"/>
  <c r="BR29" i="1"/>
  <c r="AP28" i="7"/>
  <c r="AP22" i="7"/>
  <c r="BJ21" i="1"/>
  <c r="BN21" i="1"/>
  <c r="BM21" i="1"/>
  <c r="BK21" i="1"/>
  <c r="EY21" i="1"/>
  <c r="BJ20" i="1"/>
  <c r="BN20" i="1"/>
  <c r="BM20" i="1"/>
  <c r="BK20" i="1"/>
  <c r="BN55" i="1" l="1"/>
  <c r="BP55" i="1" s="1"/>
  <c r="BK55" i="1"/>
  <c r="BM55" i="1"/>
  <c r="BJ55" i="1"/>
  <c r="BK49" i="1"/>
  <c r="BN49" i="1"/>
  <c r="BP49" i="1" s="1"/>
  <c r="BM49" i="1"/>
  <c r="BJ49" i="1"/>
  <c r="BP57" i="1"/>
  <c r="BO57" i="1"/>
  <c r="BQ57" i="1"/>
  <c r="BR57" i="1"/>
  <c r="BN48" i="1"/>
  <c r="BP48" i="1" s="1"/>
  <c r="BJ48" i="1"/>
  <c r="BM48" i="1"/>
  <c r="BK56" i="1"/>
  <c r="BJ56" i="1"/>
  <c r="BN56" i="1"/>
  <c r="BP56" i="1" s="1"/>
  <c r="BO47" i="1"/>
  <c r="BM56" i="1"/>
  <c r="BA44" i="1"/>
  <c r="GN44" i="1" s="1"/>
  <c r="BA48" i="1"/>
  <c r="GN48" i="1" s="1"/>
  <c r="BA45" i="1"/>
  <c r="GN45" i="1" s="1"/>
  <c r="BA49" i="1"/>
  <c r="GN49" i="1" s="1"/>
  <c r="BA46" i="1"/>
  <c r="GN46" i="1" s="1"/>
  <c r="BA47" i="1"/>
  <c r="GN47" i="1" s="1"/>
  <c r="BA35" i="1"/>
  <c r="GN35" i="1" s="1"/>
  <c r="BA56" i="1"/>
  <c r="GN56" i="1" s="1"/>
  <c r="BA57" i="1"/>
  <c r="GN57" i="1" s="1"/>
  <c r="BA55" i="1"/>
  <c r="GN55" i="1" s="1"/>
  <c r="AP61" i="1"/>
  <c r="AO61" i="1"/>
  <c r="T61" i="1"/>
  <c r="AN61" i="1"/>
  <c r="T60" i="1"/>
  <c r="U60" i="1"/>
  <c r="AK60" i="1"/>
  <c r="AK57" i="1"/>
  <c r="AP57" i="1" s="1"/>
  <c r="U59" i="1"/>
  <c r="T59" i="1"/>
  <c r="AK59" i="1"/>
  <c r="AL59" i="1"/>
  <c r="AN59" i="1" s="1"/>
  <c r="AO58" i="1"/>
  <c r="T58" i="1"/>
  <c r="U58" i="1"/>
  <c r="AL58" i="1"/>
  <c r="AN58" i="1" s="1"/>
  <c r="T57" i="1"/>
  <c r="U57" i="1"/>
  <c r="AL56" i="1"/>
  <c r="AN56" i="1" s="1"/>
  <c r="AO56" i="1"/>
  <c r="U56" i="1"/>
  <c r="T56" i="1"/>
  <c r="U55" i="1"/>
  <c r="T55" i="1"/>
  <c r="AK54" i="1"/>
  <c r="AO54" i="1" s="1"/>
  <c r="AK55" i="1"/>
  <c r="AL55" i="1"/>
  <c r="AN55" i="1" s="1"/>
  <c r="T54" i="1"/>
  <c r="U54" i="1"/>
  <c r="T53" i="1"/>
  <c r="U53" i="1"/>
  <c r="AK53" i="1"/>
  <c r="AL53" i="1"/>
  <c r="AN53" i="1" s="1"/>
  <c r="U52" i="1"/>
  <c r="T52" i="1"/>
  <c r="AK52" i="1"/>
  <c r="AN52" i="1"/>
  <c r="AL50" i="1"/>
  <c r="AN50" i="1" s="1"/>
  <c r="T51" i="1"/>
  <c r="U51" i="1"/>
  <c r="AL51" i="1"/>
  <c r="AN51" i="1" s="1"/>
  <c r="AO51" i="1"/>
  <c r="AO50" i="1"/>
  <c r="U50" i="1"/>
  <c r="T50" i="1"/>
  <c r="T49" i="1"/>
  <c r="U49" i="1"/>
  <c r="AK49" i="1"/>
  <c r="AN49" i="1"/>
  <c r="T48" i="1"/>
  <c r="U48" i="1"/>
  <c r="U47" i="1"/>
  <c r="AK48" i="1"/>
  <c r="AL48" i="1"/>
  <c r="AN48" i="1" s="1"/>
  <c r="T47" i="1"/>
  <c r="AK47" i="1"/>
  <c r="AO46" i="1"/>
  <c r="U46" i="1"/>
  <c r="T46" i="1"/>
  <c r="AL46" i="1"/>
  <c r="AN46" i="1" s="1"/>
  <c r="U45" i="1"/>
  <c r="T45" i="1"/>
  <c r="AL45" i="1"/>
  <c r="AN45" i="1" s="1"/>
  <c r="AO45" i="1"/>
  <c r="T44" i="1"/>
  <c r="U44" i="1"/>
  <c r="AK44" i="1"/>
  <c r="AL42" i="1"/>
  <c r="AN42" i="1" s="1"/>
  <c r="AK40" i="1"/>
  <c r="AO40" i="1" s="1"/>
  <c r="U43" i="1"/>
  <c r="T43" i="1"/>
  <c r="AK43" i="1"/>
  <c r="AO42" i="1"/>
  <c r="T42" i="1"/>
  <c r="U42" i="1"/>
  <c r="U41" i="1"/>
  <c r="T41" i="1"/>
  <c r="AL41" i="1"/>
  <c r="AN41" i="1" s="1"/>
  <c r="AK41" i="1"/>
  <c r="BN30" i="1"/>
  <c r="BM30" i="1"/>
  <c r="BJ30" i="1"/>
  <c r="BR18" i="1"/>
  <c r="AE18" i="10"/>
  <c r="AE32" i="10"/>
  <c r="AE28" i="10"/>
  <c r="AE12" i="10"/>
  <c r="AE10" i="10"/>
  <c r="AE30" i="10"/>
  <c r="AE22" i="10"/>
  <c r="AE17" i="10"/>
  <c r="AE26" i="10"/>
  <c r="AE19" i="10"/>
  <c r="AE16" i="10"/>
  <c r="AE9" i="10"/>
  <c r="AE25" i="10"/>
  <c r="AE11" i="10"/>
  <c r="AE27" i="10"/>
  <c r="AE33" i="10"/>
  <c r="AE13" i="10"/>
  <c r="AE31" i="10"/>
  <c r="AE8" i="10"/>
  <c r="AE29" i="10"/>
  <c r="AE24" i="10"/>
  <c r="AE21" i="10"/>
  <c r="AE14" i="10"/>
  <c r="AE20" i="10"/>
  <c r="AE23" i="10"/>
  <c r="AE15" i="10"/>
  <c r="AF27" i="10"/>
  <c r="AF11" i="10"/>
  <c r="AF10" i="10"/>
  <c r="AF12" i="10"/>
  <c r="AF32" i="10"/>
  <c r="AF20" i="10"/>
  <c r="AF30" i="10"/>
  <c r="AF24" i="10"/>
  <c r="AF28" i="10"/>
  <c r="AF25" i="10"/>
  <c r="AF16" i="10"/>
  <c r="AF17" i="10"/>
  <c r="AF29" i="10"/>
  <c r="AF15" i="10"/>
  <c r="AF33" i="10"/>
  <c r="AF14" i="10"/>
  <c r="AF18" i="10"/>
  <c r="AF23" i="10"/>
  <c r="AF26" i="10"/>
  <c r="AF21" i="10"/>
  <c r="AF22" i="10"/>
  <c r="AF13" i="10"/>
  <c r="AF8" i="10"/>
  <c r="AF31" i="10"/>
  <c r="AF9" i="10"/>
  <c r="AF19" i="10"/>
  <c r="AA36" i="10"/>
  <c r="T40" i="1"/>
  <c r="DT39" i="1"/>
  <c r="AC14" i="4"/>
  <c r="AC17" i="4"/>
  <c r="AC18" i="4"/>
  <c r="AD13" i="4"/>
  <c r="AC16" i="4"/>
  <c r="AC20" i="4"/>
  <c r="AC15" i="4"/>
  <c r="AC19" i="4"/>
  <c r="FK30" i="1"/>
  <c r="GX38" i="1"/>
  <c r="BP34" i="1"/>
  <c r="BO17" i="1"/>
  <c r="BR26" i="1"/>
  <c r="BP18" i="1"/>
  <c r="BR17" i="1"/>
  <c r="BQ17" i="1"/>
  <c r="DT37" i="1"/>
  <c r="U39" i="1"/>
  <c r="BO38" i="1"/>
  <c r="DT28" i="1"/>
  <c r="GX22" i="1"/>
  <c r="BO18" i="1"/>
  <c r="BQ18" i="1"/>
  <c r="BM12" i="1"/>
  <c r="U10" i="1"/>
  <c r="AV10" i="7"/>
  <c r="AK10" i="1"/>
  <c r="AO10" i="1" s="1"/>
  <c r="AZ10" i="7" s="1"/>
  <c r="AL10" i="1"/>
  <c r="AN10" i="1" s="1"/>
  <c r="AY10" i="7" s="1"/>
  <c r="BQ9" i="1"/>
  <c r="BQ11" i="1"/>
  <c r="FK12" i="1"/>
  <c r="BO26" i="1"/>
  <c r="AK37" i="1"/>
  <c r="AP37" i="1" s="1"/>
  <c r="AK35" i="1"/>
  <c r="AO35" i="1" s="1"/>
  <c r="BP38" i="1"/>
  <c r="T37" i="1"/>
  <c r="U37" i="1"/>
  <c r="T35" i="1"/>
  <c r="U35" i="1"/>
  <c r="U34" i="1"/>
  <c r="BR33" i="1"/>
  <c r="BK28" i="1"/>
  <c r="BM13" i="1"/>
  <c r="BJ13" i="1"/>
  <c r="BN13" i="1"/>
  <c r="BP13" i="1" s="1"/>
  <c r="AW103" i="7"/>
  <c r="Y25" i="7"/>
  <c r="AS25" i="7" s="1"/>
  <c r="IE9" i="1"/>
  <c r="GU13" i="1"/>
  <c r="GU28" i="1"/>
  <c r="DT30" i="1"/>
  <c r="BQ26" i="1"/>
  <c r="BO33" i="1"/>
  <c r="AK36" i="1"/>
  <c r="AO36" i="1" s="1"/>
  <c r="DT13" i="1"/>
  <c r="Y29" i="7"/>
  <c r="AS29" i="7" s="1"/>
  <c r="BP33" i="1"/>
  <c r="BR9" i="1"/>
  <c r="Y24" i="7"/>
  <c r="AX24" i="7" s="1"/>
  <c r="BR23" i="1"/>
  <c r="BJ28" i="1"/>
  <c r="BM28" i="1"/>
  <c r="AK32" i="1"/>
  <c r="AO32" i="1" s="1"/>
  <c r="AZ32" i="7" s="1"/>
  <c r="Y16" i="7"/>
  <c r="AS16" i="7" s="1"/>
  <c r="AW105" i="7"/>
  <c r="BP28" i="1"/>
  <c r="BO9" i="1"/>
  <c r="Y23" i="7"/>
  <c r="AS23" i="7" s="1"/>
  <c r="Y20" i="7"/>
  <c r="AS20" i="7" s="1"/>
  <c r="BK12" i="1"/>
  <c r="AH8" i="1"/>
  <c r="BJ12" i="1"/>
  <c r="AG8" i="1"/>
  <c r="Y22" i="7"/>
  <c r="AS22" i="7" s="1"/>
  <c r="Y17" i="7"/>
  <c r="AX17" i="7" s="1"/>
  <c r="Y30" i="7"/>
  <c r="AS30" i="7" s="1"/>
  <c r="BO23" i="1"/>
  <c r="BR11" i="1"/>
  <c r="BR24" i="1"/>
  <c r="BQ24" i="1"/>
  <c r="GX30" i="1"/>
  <c r="IA10" i="1" s="1"/>
  <c r="AL38" i="1"/>
  <c r="AN38" i="1" s="1"/>
  <c r="Y32" i="7"/>
  <c r="AS32" i="7" s="1"/>
  <c r="Y12" i="7"/>
  <c r="AS12" i="7" s="1"/>
  <c r="Y31" i="7"/>
  <c r="AS31" i="7" s="1"/>
  <c r="Y9" i="7"/>
  <c r="AX9" i="7" s="1"/>
  <c r="Y11" i="7"/>
  <c r="V11" i="7" s="1"/>
  <c r="Y10" i="7"/>
  <c r="AX10" i="7" s="1"/>
  <c r="U38" i="1"/>
  <c r="Y28" i="7"/>
  <c r="AS28" i="7" s="1"/>
  <c r="Y18" i="7"/>
  <c r="AS18" i="7" s="1"/>
  <c r="BO24" i="1"/>
  <c r="BO32" i="1"/>
  <c r="BO34" i="1"/>
  <c r="BQ34" i="1"/>
  <c r="BR34" i="1"/>
  <c r="Y21" i="7"/>
  <c r="AS21" i="7" s="1"/>
  <c r="Y26" i="7"/>
  <c r="AS26" i="7" s="1"/>
  <c r="GU37" i="1"/>
  <c r="GU2" i="1" s="1"/>
  <c r="T38" i="1"/>
  <c r="Y19" i="7"/>
  <c r="AS19" i="7" s="1"/>
  <c r="Y27" i="7"/>
  <c r="AS27" i="7" s="1"/>
  <c r="Y15" i="7"/>
  <c r="AS15" i="7" s="1"/>
  <c r="BQ37" i="1"/>
  <c r="DT38" i="1"/>
  <c r="BQ33" i="1"/>
  <c r="BP11" i="1"/>
  <c r="BO11" i="1"/>
  <c r="BQ32" i="1"/>
  <c r="BR32" i="1"/>
  <c r="Y34" i="7"/>
  <c r="AS34" i="7" s="1"/>
  <c r="Y13" i="7"/>
  <c r="AS13" i="7" s="1"/>
  <c r="Y33" i="7"/>
  <c r="AS33" i="7" s="1"/>
  <c r="BR38" i="1"/>
  <c r="DT22" i="1"/>
  <c r="BP32" i="1"/>
  <c r="BA33" i="1"/>
  <c r="GN33" i="1" s="1"/>
  <c r="BA34" i="1"/>
  <c r="GN34" i="1" s="1"/>
  <c r="BA26" i="1"/>
  <c r="GN26" i="1" s="1"/>
  <c r="BA32" i="1"/>
  <c r="GN32" i="1" s="1"/>
  <c r="BA23" i="1"/>
  <c r="GN23" i="1" s="1"/>
  <c r="BA24" i="1"/>
  <c r="GN24" i="1" s="1"/>
  <c r="BA17" i="1"/>
  <c r="GN17" i="1" s="1"/>
  <c r="BA18" i="1"/>
  <c r="GN18" i="1" s="1"/>
  <c r="BA14" i="1"/>
  <c r="GN14" i="1" s="1"/>
  <c r="BA16" i="1"/>
  <c r="GN16" i="1" s="1"/>
  <c r="DT10" i="1"/>
  <c r="AO26" i="1"/>
  <c r="AZ26" i="7" s="1"/>
  <c r="U36" i="1"/>
  <c r="AP35" i="1"/>
  <c r="AV31" i="7"/>
  <c r="U31" i="1"/>
  <c r="AL36" i="1"/>
  <c r="AN36" i="1" s="1"/>
  <c r="AO13" i="1"/>
  <c r="AZ13" i="7" s="1"/>
  <c r="AL31" i="1"/>
  <c r="AN31" i="1" s="1"/>
  <c r="AY31" i="7" s="1"/>
  <c r="AO25" i="1"/>
  <c r="AZ25" i="7" s="1"/>
  <c r="AO11" i="1"/>
  <c r="AZ11" i="7" s="1"/>
  <c r="AO28" i="1"/>
  <c r="AZ28" i="7" s="1"/>
  <c r="T31" i="1"/>
  <c r="AL34" i="1"/>
  <c r="AN34" i="1" s="1"/>
  <c r="AY34" i="7" s="1"/>
  <c r="AO21" i="1"/>
  <c r="AZ21" i="7" s="1"/>
  <c r="AO23" i="1"/>
  <c r="AZ23" i="7" s="1"/>
  <c r="T21" i="1"/>
  <c r="AL23" i="1"/>
  <c r="AN23" i="1" s="1"/>
  <c r="AY23" i="7" s="1"/>
  <c r="AK34" i="1"/>
  <c r="FK22" i="1"/>
  <c r="U18" i="1"/>
  <c r="BL12" i="1"/>
  <c r="HZ9" i="1"/>
  <c r="HQ9" i="1"/>
  <c r="HM9" i="1"/>
  <c r="HX9" i="1"/>
  <c r="IA9" i="1"/>
  <c r="BR37" i="1"/>
  <c r="BP39" i="1"/>
  <c r="BA39" i="1"/>
  <c r="GN39" i="1" s="1"/>
  <c r="BA38" i="1"/>
  <c r="GN38" i="1" s="1"/>
  <c r="T22" i="1"/>
  <c r="U25" i="1"/>
  <c r="AV34" i="7"/>
  <c r="BQ38" i="1"/>
  <c r="BP37" i="1"/>
  <c r="U29" i="1"/>
  <c r="U21" i="1"/>
  <c r="T23" i="1"/>
  <c r="BP31" i="1"/>
  <c r="BQ31" i="1"/>
  <c r="AL29" i="1"/>
  <c r="AN29" i="1" s="1"/>
  <c r="AY29" i="7" s="1"/>
  <c r="AK29" i="1"/>
  <c r="T29" i="1"/>
  <c r="AL28" i="1"/>
  <c r="AN28" i="1" s="1"/>
  <c r="AY28" i="7" s="1"/>
  <c r="AL25" i="1"/>
  <c r="AN25" i="1" s="1"/>
  <c r="AY25" i="7" s="1"/>
  <c r="U30" i="1"/>
  <c r="T25" i="1"/>
  <c r="AK22" i="1"/>
  <c r="AL27" i="1"/>
  <c r="AN27" i="1" s="1"/>
  <c r="AY27" i="7" s="1"/>
  <c r="T28" i="1"/>
  <c r="U28" i="1"/>
  <c r="AL21" i="1"/>
  <c r="AN21" i="1" s="1"/>
  <c r="AY21" i="7" s="1"/>
  <c r="U23" i="1"/>
  <c r="AW102" i="7"/>
  <c r="AL20" i="1"/>
  <c r="AN20" i="1" s="1"/>
  <c r="AY20" i="7" s="1"/>
  <c r="U15" i="1"/>
  <c r="T15" i="1"/>
  <c r="AK20" i="1"/>
  <c r="AK15" i="1"/>
  <c r="U20" i="1"/>
  <c r="T20" i="1"/>
  <c r="AL19" i="1"/>
  <c r="AN19" i="1" s="1"/>
  <c r="AY19" i="7" s="1"/>
  <c r="T14" i="1"/>
  <c r="AK19" i="1"/>
  <c r="U14" i="1"/>
  <c r="T19" i="1"/>
  <c r="U19" i="1"/>
  <c r="BK22" i="1"/>
  <c r="BM22" i="1"/>
  <c r="BJ22" i="1"/>
  <c r="BN22" i="1"/>
  <c r="AV17" i="7"/>
  <c r="AV21" i="7"/>
  <c r="AV23" i="7"/>
  <c r="AV15" i="7"/>
  <c r="U11" i="1"/>
  <c r="AV25" i="7"/>
  <c r="AV14" i="7"/>
  <c r="AV28" i="7"/>
  <c r="AV11" i="7"/>
  <c r="T30" i="1"/>
  <c r="AK27" i="1"/>
  <c r="AL22" i="1"/>
  <c r="AN22" i="1" s="1"/>
  <c r="AY22" i="7" s="1"/>
  <c r="T27" i="1"/>
  <c r="AV22" i="7"/>
  <c r="AV27" i="7"/>
  <c r="AK30" i="1"/>
  <c r="AV30" i="7"/>
  <c r="AK39" i="1"/>
  <c r="AO39" i="1" s="1"/>
  <c r="T39" i="1"/>
  <c r="AL33" i="1"/>
  <c r="AN33" i="1" s="1"/>
  <c r="AY33" i="7" s="1"/>
  <c r="AV26" i="7"/>
  <c r="AL26" i="1"/>
  <c r="AN26" i="1" s="1"/>
  <c r="AY26" i="7" s="1"/>
  <c r="U33" i="1"/>
  <c r="T26" i="1"/>
  <c r="U26" i="1"/>
  <c r="AV18" i="7"/>
  <c r="AV32" i="7"/>
  <c r="T32" i="1"/>
  <c r="AK18" i="1"/>
  <c r="AL18" i="1"/>
  <c r="AN18" i="1" s="1"/>
  <c r="AY18" i="7" s="1"/>
  <c r="BO39" i="1"/>
  <c r="BR39" i="1"/>
  <c r="BQ39" i="1"/>
  <c r="BA37" i="1"/>
  <c r="GN37" i="1" s="1"/>
  <c r="T33" i="1"/>
  <c r="AK33" i="1"/>
  <c r="AK24" i="1"/>
  <c r="T24" i="1"/>
  <c r="AV24" i="7"/>
  <c r="U32" i="1"/>
  <c r="U24" i="1"/>
  <c r="BA13" i="1"/>
  <c r="GN13" i="1" s="1"/>
  <c r="BA21" i="1"/>
  <c r="GN21" i="1" s="1"/>
  <c r="BA10" i="1"/>
  <c r="GN10" i="1" s="1"/>
  <c r="BA31" i="1"/>
  <c r="GN31" i="1" s="1"/>
  <c r="BA28" i="1"/>
  <c r="GN28" i="1" s="1"/>
  <c r="BO31" i="1"/>
  <c r="BR31" i="1"/>
  <c r="BA12" i="1"/>
  <c r="GN12" i="1" s="1"/>
  <c r="BA30" i="1"/>
  <c r="GN30" i="1" s="1"/>
  <c r="BA27" i="1"/>
  <c r="GN27" i="1" s="1"/>
  <c r="BA29" i="1"/>
  <c r="GN29" i="1" s="1"/>
  <c r="BR30" i="1"/>
  <c r="BA9" i="1"/>
  <c r="GN9" i="1" s="1"/>
  <c r="HR9" i="1" s="1"/>
  <c r="BA20" i="1"/>
  <c r="GN20" i="1" s="1"/>
  <c r="BA22" i="1"/>
  <c r="GN22" i="1" s="1"/>
  <c r="BA11" i="1"/>
  <c r="GN11" i="1" s="1"/>
  <c r="T16" i="1"/>
  <c r="AK17" i="1"/>
  <c r="W8" i="1"/>
  <c r="T17" i="1"/>
  <c r="AL16" i="1"/>
  <c r="AN16" i="1" s="1"/>
  <c r="AY16" i="7" s="1"/>
  <c r="U17" i="1"/>
  <c r="AK16" i="1"/>
  <c r="AV16" i="7"/>
  <c r="BJ27" i="1"/>
  <c r="BM27" i="1"/>
  <c r="BK27" i="1"/>
  <c r="BN27" i="1"/>
  <c r="AL13" i="1"/>
  <c r="AN13" i="1" s="1"/>
  <c r="AY13" i="7" s="1"/>
  <c r="AL12" i="1"/>
  <c r="AN12" i="1" s="1"/>
  <c r="AV12" i="7"/>
  <c r="AK12" i="1"/>
  <c r="AO12" i="1" s="1"/>
  <c r="U12" i="1"/>
  <c r="U8" i="1" s="1"/>
  <c r="AL9" i="1"/>
  <c r="AN9" i="1" s="1"/>
  <c r="AY9" i="7" s="1"/>
  <c r="AK9" i="1"/>
  <c r="U9" i="1"/>
  <c r="T9" i="1"/>
  <c r="T13" i="1"/>
  <c r="U13" i="1"/>
  <c r="AV13" i="7"/>
  <c r="T11" i="1"/>
  <c r="AL14" i="1"/>
  <c r="AN14" i="1" s="1"/>
  <c r="AY14" i="7" s="1"/>
  <c r="AL11" i="1"/>
  <c r="AN11" i="1" s="1"/>
  <c r="AY11" i="7" s="1"/>
  <c r="AS9" i="1"/>
  <c r="AS10" i="1" s="1"/>
  <c r="AT10" i="1" s="1"/>
  <c r="BB10" i="1" s="1"/>
  <c r="BE10" i="1" s="1"/>
  <c r="CA10" i="1" s="1"/>
  <c r="BN12" i="1"/>
  <c r="BJ10" i="1"/>
  <c r="BN10" i="1"/>
  <c r="BP10" i="1" s="1"/>
  <c r="BM10" i="1"/>
  <c r="V14" i="7"/>
  <c r="AX14" i="7"/>
  <c r="AP40" i="1"/>
  <c r="AZ14" i="7"/>
  <c r="HQ10" i="1"/>
  <c r="HM10" i="1"/>
  <c r="HX10" i="1"/>
  <c r="HZ10" i="1"/>
  <c r="HU10" i="1"/>
  <c r="IE10" i="1" s="1"/>
  <c r="HK10" i="1"/>
  <c r="HL11" i="1" s="1"/>
  <c r="BO37" i="1"/>
  <c r="BP30" i="1"/>
  <c r="BP21" i="1"/>
  <c r="BR21" i="1"/>
  <c r="BO21" i="1"/>
  <c r="BQ21" i="1"/>
  <c r="BP20" i="1"/>
  <c r="BQ20" i="1"/>
  <c r="BR20" i="1"/>
  <c r="BO20" i="1"/>
  <c r="BO56" i="1" l="1"/>
  <c r="BQ56" i="1"/>
  <c r="BR56" i="1"/>
  <c r="BQ55" i="1"/>
  <c r="BO55" i="1"/>
  <c r="BR55" i="1"/>
  <c r="BQ48" i="1"/>
  <c r="BR48" i="1"/>
  <c r="BO48" i="1"/>
  <c r="BQ49" i="1"/>
  <c r="BR49" i="1"/>
  <c r="BO49" i="1"/>
  <c r="BQ30" i="1"/>
  <c r="BO30" i="1"/>
  <c r="AP60" i="1"/>
  <c r="AO60" i="1"/>
  <c r="AO57" i="1"/>
  <c r="AP59" i="1"/>
  <c r="AO59" i="1"/>
  <c r="AP58" i="1"/>
  <c r="AP56" i="1"/>
  <c r="AP54" i="1"/>
  <c r="AP55" i="1"/>
  <c r="AO55" i="1"/>
  <c r="AP53" i="1"/>
  <c r="AO53" i="1"/>
  <c r="AP50" i="1"/>
  <c r="AP52" i="1"/>
  <c r="AO52" i="1"/>
  <c r="AP51" i="1"/>
  <c r="AP49" i="1"/>
  <c r="AO49" i="1"/>
  <c r="AP48" i="1"/>
  <c r="AO48" i="1"/>
  <c r="AP47" i="1"/>
  <c r="AO47" i="1"/>
  <c r="AP46" i="1"/>
  <c r="AP45" i="1"/>
  <c r="AP44" i="1"/>
  <c r="AO44" i="1"/>
  <c r="AP42" i="1"/>
  <c r="AP43" i="1"/>
  <c r="AO43" i="1"/>
  <c r="AP41" i="1"/>
  <c r="AO41" i="1"/>
  <c r="AI22" i="10"/>
  <c r="AK22" i="10"/>
  <c r="AI29" i="10"/>
  <c r="AK29" i="10"/>
  <c r="AI32" i="10"/>
  <c r="AK32" i="10"/>
  <c r="AJ14" i="10"/>
  <c r="AG14" i="10"/>
  <c r="AJ27" i="10"/>
  <c r="AG27" i="10"/>
  <c r="AJ22" i="10"/>
  <c r="AG22" i="10"/>
  <c r="AI21" i="10"/>
  <c r="AK21" i="10"/>
  <c r="AK17" i="10"/>
  <c r="AI17" i="10"/>
  <c r="AI12" i="10"/>
  <c r="AK12" i="10"/>
  <c r="AJ21" i="10"/>
  <c r="AG21" i="10"/>
  <c r="AJ11" i="10"/>
  <c r="AG11" i="10"/>
  <c r="AJ30" i="10"/>
  <c r="AG30" i="10"/>
  <c r="AK26" i="10"/>
  <c r="AI26" i="10"/>
  <c r="AI16" i="10"/>
  <c r="AK16" i="10"/>
  <c r="AK10" i="10"/>
  <c r="AI10" i="10"/>
  <c r="AJ24" i="10"/>
  <c r="AG24" i="10"/>
  <c r="AJ25" i="10"/>
  <c r="AG25" i="10"/>
  <c r="AJ10" i="10"/>
  <c r="AG10" i="10"/>
  <c r="AK19" i="10"/>
  <c r="AI19" i="10"/>
  <c r="AK23" i="10"/>
  <c r="AI23" i="10"/>
  <c r="AK25" i="10"/>
  <c r="AI25" i="10"/>
  <c r="AI11" i="10"/>
  <c r="AK11" i="10"/>
  <c r="AJ29" i="10"/>
  <c r="AG29" i="10"/>
  <c r="AJ9" i="10"/>
  <c r="AG9" i="10"/>
  <c r="AJ12" i="10"/>
  <c r="AG12" i="10"/>
  <c r="BQ13" i="1"/>
  <c r="AD14" i="4"/>
  <c r="AD17" i="4"/>
  <c r="AD18" i="4"/>
  <c r="AD15" i="4"/>
  <c r="AE13" i="4"/>
  <c r="AD20" i="4"/>
  <c r="AD16" i="4"/>
  <c r="AD19" i="4"/>
  <c r="AI9" i="10"/>
  <c r="AK9" i="10"/>
  <c r="AK18" i="10"/>
  <c r="AI18" i="10"/>
  <c r="AK28" i="10"/>
  <c r="AI28" i="10"/>
  <c r="AI27" i="10"/>
  <c r="AK27" i="10"/>
  <c r="AJ8" i="10"/>
  <c r="AG8" i="10"/>
  <c r="AJ16" i="10"/>
  <c r="AG16" i="10"/>
  <c r="AJ28" i="10"/>
  <c r="AG28" i="10"/>
  <c r="AK31" i="10"/>
  <c r="AI31" i="10"/>
  <c r="AK14" i="10"/>
  <c r="AI14" i="10"/>
  <c r="AK24" i="10"/>
  <c r="AI24" i="10"/>
  <c r="AJ15" i="10"/>
  <c r="AG15" i="10"/>
  <c r="AJ31" i="10"/>
  <c r="AG31" i="10"/>
  <c r="AJ19" i="10"/>
  <c r="AG19" i="10"/>
  <c r="AJ32" i="10"/>
  <c r="AG32" i="10"/>
  <c r="AI8" i="10"/>
  <c r="AK8" i="10"/>
  <c r="AK33" i="10"/>
  <c r="AI33" i="10"/>
  <c r="AI30" i="10"/>
  <c r="AK30" i="10"/>
  <c r="AJ23" i="10"/>
  <c r="AG23" i="10"/>
  <c r="AJ13" i="10"/>
  <c r="AG13" i="10"/>
  <c r="AJ26" i="10"/>
  <c r="AG26" i="10"/>
  <c r="AJ18" i="10"/>
  <c r="AG18" i="10"/>
  <c r="AK13" i="10"/>
  <c r="AI13" i="10"/>
  <c r="AK15" i="10"/>
  <c r="AI15" i="10"/>
  <c r="AK20" i="10"/>
  <c r="AI20" i="10"/>
  <c r="AJ20" i="10"/>
  <c r="AG20" i="10"/>
  <c r="AJ33" i="10"/>
  <c r="AG33" i="10"/>
  <c r="AJ17" i="10"/>
  <c r="AG17" i="10"/>
  <c r="GX2" i="1"/>
  <c r="BQ12" i="1"/>
  <c r="AP38" i="1"/>
  <c r="AP10" i="1"/>
  <c r="BA10" i="7" s="1"/>
  <c r="BO13" i="1"/>
  <c r="BR13" i="1"/>
  <c r="AO37" i="1"/>
  <c r="AP36" i="1"/>
  <c r="AP32" i="1"/>
  <c r="BA32" i="7" s="1"/>
  <c r="AP31" i="1"/>
  <c r="BA31" i="7" s="1"/>
  <c r="BO28" i="1"/>
  <c r="AP23" i="1"/>
  <c r="BA23" i="7" s="1"/>
  <c r="AW104" i="7"/>
  <c r="V30" i="7"/>
  <c r="BB30" i="7" s="1"/>
  <c r="V17" i="7"/>
  <c r="BB17" i="7" s="1"/>
  <c r="AX25" i="7"/>
  <c r="AS24" i="7"/>
  <c r="Y8" i="7"/>
  <c r="AX18" i="7"/>
  <c r="V25" i="7"/>
  <c r="BB25" i="7" s="1"/>
  <c r="V20" i="7"/>
  <c r="BB20" i="7" s="1"/>
  <c r="AX26" i="7"/>
  <c r="V16" i="7"/>
  <c r="BB16" i="7" s="1"/>
  <c r="AX28" i="7"/>
  <c r="V24" i="7"/>
  <c r="BB24" i="7" s="1"/>
  <c r="AX32" i="7"/>
  <c r="V26" i="7"/>
  <c r="BB26" i="7" s="1"/>
  <c r="V28" i="7"/>
  <c r="BB28" i="7" s="1"/>
  <c r="V12" i="7"/>
  <c r="V8" i="7" s="1"/>
  <c r="AX20" i="7"/>
  <c r="V32" i="7"/>
  <c r="BB32" i="7" s="1"/>
  <c r="AX34" i="7"/>
  <c r="AX12" i="7"/>
  <c r="V13" i="7"/>
  <c r="BB13" i="7" s="1"/>
  <c r="V21" i="7"/>
  <c r="BB21" i="7" s="1"/>
  <c r="AX33" i="7"/>
  <c r="V31" i="7"/>
  <c r="BB31" i="7" s="1"/>
  <c r="V22" i="7"/>
  <c r="BB22" i="7" s="1"/>
  <c r="AS11" i="7"/>
  <c r="V33" i="7"/>
  <c r="BB33" i="7" s="1"/>
  <c r="AX11" i="7"/>
  <c r="V15" i="7"/>
  <c r="BB15" i="7" s="1"/>
  <c r="AX22" i="7"/>
  <c r="AX21" i="7"/>
  <c r="V23" i="7"/>
  <c r="BB23" i="7" s="1"/>
  <c r="AX15" i="7"/>
  <c r="AX30" i="7"/>
  <c r="AX23" i="7"/>
  <c r="AS17" i="7"/>
  <c r="V18" i="7"/>
  <c r="BB18" i="7" s="1"/>
  <c r="V34" i="7"/>
  <c r="BB34" i="7" s="1"/>
  <c r="V27" i="7"/>
  <c r="BB27" i="7" s="1"/>
  <c r="V10" i="7"/>
  <c r="BB10" i="7" s="1"/>
  <c r="AX13" i="7"/>
  <c r="AS10" i="7"/>
  <c r="BR28" i="1"/>
  <c r="BQ28" i="1"/>
  <c r="V29" i="7"/>
  <c r="BB29" i="7" s="1"/>
  <c r="AS9" i="7"/>
  <c r="V9" i="7"/>
  <c r="BB9" i="7" s="1"/>
  <c r="AX16" i="7"/>
  <c r="AX27" i="7"/>
  <c r="AX29" i="7"/>
  <c r="V19" i="7"/>
  <c r="BB19" i="7" s="1"/>
  <c r="AX31" i="7"/>
  <c r="AX19" i="7"/>
  <c r="AO29" i="1"/>
  <c r="AZ29" i="7" s="1"/>
  <c r="AO9" i="1"/>
  <c r="AZ9" i="7" s="1"/>
  <c r="AO33" i="1"/>
  <c r="AZ33" i="7" s="1"/>
  <c r="AO18" i="1"/>
  <c r="AZ18" i="7" s="1"/>
  <c r="AO20" i="1"/>
  <c r="AZ20" i="7" s="1"/>
  <c r="AP24" i="1"/>
  <c r="BA24" i="7" s="1"/>
  <c r="AO24" i="1"/>
  <c r="AZ24" i="7" s="1"/>
  <c r="AP17" i="1"/>
  <c r="BA17" i="7" s="1"/>
  <c r="AO17" i="1"/>
  <c r="AZ17" i="7" s="1"/>
  <c r="AO15" i="1"/>
  <c r="AZ15" i="7" s="1"/>
  <c r="AO34" i="1"/>
  <c r="AZ34" i="7" s="1"/>
  <c r="AO19" i="1"/>
  <c r="AZ19" i="7" s="1"/>
  <c r="AO22" i="1"/>
  <c r="AZ22" i="7" s="1"/>
  <c r="AP30" i="1"/>
  <c r="BA30" i="7" s="1"/>
  <c r="AO30" i="1"/>
  <c r="AZ30" i="7" s="1"/>
  <c r="AO27" i="1"/>
  <c r="AZ27" i="7" s="1"/>
  <c r="AO16" i="1"/>
  <c r="AZ16" i="7" s="1"/>
  <c r="AP34" i="1"/>
  <c r="BA34" i="7" s="1"/>
  <c r="AP29" i="1"/>
  <c r="BA29" i="7" s="1"/>
  <c r="AP27" i="1"/>
  <c r="BA27" i="7" s="1"/>
  <c r="AP20" i="1"/>
  <c r="BA20" i="7" s="1"/>
  <c r="BP22" i="1"/>
  <c r="AP28" i="1"/>
  <c r="BA28" i="7" s="1"/>
  <c r="AP21" i="1"/>
  <c r="BA21" i="7" s="1"/>
  <c r="AP33" i="1"/>
  <c r="BA33" i="7" s="1"/>
  <c r="AP26" i="1"/>
  <c r="BA26" i="7" s="1"/>
  <c r="AP25" i="1"/>
  <c r="BA25" i="7" s="1"/>
  <c r="BP27" i="1"/>
  <c r="HR10" i="1"/>
  <c r="AP15" i="1"/>
  <c r="BA15" i="7" s="1"/>
  <c r="AP19" i="1"/>
  <c r="BA19" i="7" s="1"/>
  <c r="AP14" i="1"/>
  <c r="BA14" i="7" s="1"/>
  <c r="AP22" i="1"/>
  <c r="BA22" i="7" s="1"/>
  <c r="BB14" i="7"/>
  <c r="BO22" i="1"/>
  <c r="BR22" i="1"/>
  <c r="BQ22" i="1"/>
  <c r="AL8" i="1"/>
  <c r="AP18" i="1"/>
  <c r="BA18" i="7" s="1"/>
  <c r="AP13" i="1"/>
  <c r="BA13" i="7" s="1"/>
  <c r="AP39" i="1"/>
  <c r="AP16" i="1"/>
  <c r="BA16" i="7" s="1"/>
  <c r="AP12" i="1"/>
  <c r="BA12" i="7" s="1"/>
  <c r="AP11" i="1"/>
  <c r="BA11" i="7" s="1"/>
  <c r="BA131" i="1"/>
  <c r="AZ12" i="7"/>
  <c r="AV103" i="7"/>
  <c r="AK8" i="1"/>
  <c r="AV105" i="7"/>
  <c r="AV102" i="7"/>
  <c r="BQ27" i="1"/>
  <c r="BR27" i="1"/>
  <c r="BO27" i="1"/>
  <c r="AS11" i="1"/>
  <c r="AT11" i="1" s="1"/>
  <c r="BB11" i="1" s="1"/>
  <c r="BE11" i="1" s="1"/>
  <c r="BU11" i="1" s="1"/>
  <c r="BU10" i="1"/>
  <c r="BX10" i="1"/>
  <c r="AP9" i="1"/>
  <c r="BA9" i="7" s="1"/>
  <c r="AT9" i="1"/>
  <c r="BB9" i="1" s="1"/>
  <c r="BE9" i="1" s="1"/>
  <c r="BX9" i="1" s="1"/>
  <c r="BB11" i="7"/>
  <c r="BP12" i="1"/>
  <c r="BO12" i="1"/>
  <c r="BR12" i="1"/>
  <c r="BO10" i="1"/>
  <c r="BR10" i="1"/>
  <c r="BQ10" i="1"/>
  <c r="HZ11" i="1"/>
  <c r="IA11" i="1"/>
  <c r="HX11" i="1"/>
  <c r="HM11" i="1"/>
  <c r="HK11" i="1"/>
  <c r="HL12" i="1" s="1"/>
  <c r="HU11" i="1"/>
  <c r="IE11" i="1" s="1"/>
  <c r="HQ11" i="1"/>
  <c r="HR11" i="1"/>
  <c r="AN8" i="1"/>
  <c r="AY12" i="7"/>
  <c r="AO15" i="10" l="1"/>
  <c r="AR15" i="10"/>
  <c r="AQ8" i="10"/>
  <c r="AO28" i="10"/>
  <c r="AR28" i="10"/>
  <c r="AP17" i="10"/>
  <c r="AQ15" i="10"/>
  <c r="AP13" i="10"/>
  <c r="AR8" i="10"/>
  <c r="AO8" i="10"/>
  <c r="AP15" i="10"/>
  <c r="AP28" i="10"/>
  <c r="AQ28" i="10"/>
  <c r="AE17" i="4"/>
  <c r="AE14" i="4"/>
  <c r="AE19" i="4"/>
  <c r="AE18" i="4"/>
  <c r="AE20" i="4"/>
  <c r="AE16" i="4"/>
  <c r="AE15" i="4"/>
  <c r="AO23" i="10"/>
  <c r="AR23" i="10"/>
  <c r="AR17" i="10"/>
  <c r="AO17" i="10"/>
  <c r="AO13" i="10"/>
  <c r="AR13" i="10"/>
  <c r="AR24" i="10"/>
  <c r="AO24" i="10"/>
  <c r="AR18" i="10"/>
  <c r="AO18" i="10"/>
  <c r="AP9" i="10"/>
  <c r="AQ23" i="10"/>
  <c r="AP24" i="10"/>
  <c r="AP30" i="10"/>
  <c r="AQ17" i="10"/>
  <c r="AP14" i="10"/>
  <c r="AP33" i="10"/>
  <c r="AQ13" i="10"/>
  <c r="AP23" i="10"/>
  <c r="AP32" i="10"/>
  <c r="AQ24" i="10"/>
  <c r="AP16" i="10"/>
  <c r="AQ18" i="10"/>
  <c r="AO19" i="10"/>
  <c r="AR19" i="10"/>
  <c r="AO10" i="10"/>
  <c r="AR10" i="10"/>
  <c r="AQ21" i="10"/>
  <c r="AQ32" i="10"/>
  <c r="AG34" i="10"/>
  <c r="AG35" i="10"/>
  <c r="AG36" i="10" s="1"/>
  <c r="AG37" i="10"/>
  <c r="AP29" i="10"/>
  <c r="AQ19" i="10"/>
  <c r="AQ10" i="10"/>
  <c r="AP11" i="10"/>
  <c r="AR21" i="10"/>
  <c r="AO21" i="10"/>
  <c r="AR32" i="10"/>
  <c r="AO32" i="10"/>
  <c r="AQ30" i="10"/>
  <c r="AO14" i="10"/>
  <c r="AR14" i="10"/>
  <c r="AQ9" i="10"/>
  <c r="AP20" i="10"/>
  <c r="AP18" i="10"/>
  <c r="AR30" i="10"/>
  <c r="AO30" i="10"/>
  <c r="AP19" i="10"/>
  <c r="AQ14" i="10"/>
  <c r="AP8" i="10"/>
  <c r="AR9" i="10"/>
  <c r="AO9" i="10"/>
  <c r="AQ11" i="10"/>
  <c r="AQ16" i="10"/>
  <c r="AQ29" i="10"/>
  <c r="AR20" i="10"/>
  <c r="AO20" i="10"/>
  <c r="AO33" i="10"/>
  <c r="AR33" i="10"/>
  <c r="AO31" i="10"/>
  <c r="AR31" i="10"/>
  <c r="AQ27" i="10"/>
  <c r="AR11" i="10"/>
  <c r="AO11" i="10"/>
  <c r="AP10" i="10"/>
  <c r="AO16" i="10"/>
  <c r="AR16" i="10"/>
  <c r="AP21" i="10"/>
  <c r="AP22" i="10"/>
  <c r="AO29" i="10"/>
  <c r="AR29" i="10"/>
  <c r="AQ20" i="10"/>
  <c r="AP26" i="10"/>
  <c r="AQ33" i="10"/>
  <c r="AP31" i="10"/>
  <c r="AQ31" i="10"/>
  <c r="AR27" i="10"/>
  <c r="AO27" i="10"/>
  <c r="AO25" i="10"/>
  <c r="AR25" i="10"/>
  <c r="AO26" i="10"/>
  <c r="AR26" i="10"/>
  <c r="AQ12" i="10"/>
  <c r="AQ22" i="10"/>
  <c r="AP12" i="10"/>
  <c r="AQ25" i="10"/>
  <c r="AP25" i="10"/>
  <c r="AQ26" i="10"/>
  <c r="AO12" i="10"/>
  <c r="AR12" i="10"/>
  <c r="AP27" i="10"/>
  <c r="AR22" i="10"/>
  <c r="AO22" i="10"/>
  <c r="AX103" i="7"/>
  <c r="BB12" i="7"/>
  <c r="BB102" i="7" s="1"/>
  <c r="AX105" i="7"/>
  <c r="X1" i="7" s="1"/>
  <c r="AX102" i="7"/>
  <c r="AZ105" i="7"/>
  <c r="AP8" i="1"/>
  <c r="AO8" i="1"/>
  <c r="AV104" i="7"/>
  <c r="CC10" i="1"/>
  <c r="CF10" i="1" s="1"/>
  <c r="CL10" i="1" s="1"/>
  <c r="CE10" i="1"/>
  <c r="CB10" i="1"/>
  <c r="CG10" i="1" s="1"/>
  <c r="BX11" i="1"/>
  <c r="CA11" i="1"/>
  <c r="AS12" i="1"/>
  <c r="AT12" i="1" s="1"/>
  <c r="BB12" i="1" s="1"/>
  <c r="BE12" i="1" s="1"/>
  <c r="BU12" i="1" s="1"/>
  <c r="BU9" i="1"/>
  <c r="CA9" i="1"/>
  <c r="HZ12" i="1"/>
  <c r="IA12" i="1"/>
  <c r="HM12" i="1"/>
  <c r="HU12" i="1"/>
  <c r="IE12" i="1" s="1"/>
  <c r="HX12" i="1"/>
  <c r="HR12" i="1"/>
  <c r="HQ12" i="1"/>
  <c r="HK12" i="1"/>
  <c r="HL13" i="1" s="1"/>
  <c r="AZ103" i="7"/>
  <c r="AY103" i="7"/>
  <c r="AY105" i="7"/>
  <c r="AY102" i="7"/>
  <c r="AZ102" i="7"/>
  <c r="BA105" i="7"/>
  <c r="BA103" i="7"/>
  <c r="BA102" i="7"/>
  <c r="AO34" i="10" l="1"/>
  <c r="AO35" i="10"/>
  <c r="AO36" i="10" s="1"/>
  <c r="AO37" i="10"/>
  <c r="AR34" i="10"/>
  <c r="AR37" i="10"/>
  <c r="AR35" i="10"/>
  <c r="AR36" i="10" s="1"/>
  <c r="AP35" i="10"/>
  <c r="AP36" i="10" s="1"/>
  <c r="AP37" i="10"/>
  <c r="AP34" i="10"/>
  <c r="AQ35" i="10"/>
  <c r="AQ34" i="10"/>
  <c r="AQ37" i="10"/>
  <c r="BB105" i="7"/>
  <c r="AX104" i="7"/>
  <c r="BB103" i="7"/>
  <c r="BB104" i="7" s="1"/>
  <c r="CE11" i="1"/>
  <c r="CH10" i="1"/>
  <c r="CJ10" i="1"/>
  <c r="CM10" i="1" s="1"/>
  <c r="CC11" i="1"/>
  <c r="CK10" i="1"/>
  <c r="CE9" i="1"/>
  <c r="CC9" i="1"/>
  <c r="CF9" i="1" s="1"/>
  <c r="CL9" i="1" s="1"/>
  <c r="AS13" i="1"/>
  <c r="AS14" i="1" s="1"/>
  <c r="AT14" i="1" s="1"/>
  <c r="BB14" i="1" s="1"/>
  <c r="BE14" i="1" s="1"/>
  <c r="CA14" i="1" s="1"/>
  <c r="CB9" i="1"/>
  <c r="CG9" i="1" s="1"/>
  <c r="CB11" i="1"/>
  <c r="CG11" i="1" s="1"/>
  <c r="CA12" i="1"/>
  <c r="BX12" i="1"/>
  <c r="IA13" i="1"/>
  <c r="HQ13" i="1"/>
  <c r="HX13" i="1"/>
  <c r="HM13" i="1"/>
  <c r="HU13" i="1"/>
  <c r="IE13" i="1" s="1"/>
  <c r="HZ13" i="1"/>
  <c r="HK13" i="1"/>
  <c r="HL14" i="1" s="1"/>
  <c r="HR13" i="1"/>
  <c r="AZ104" i="7"/>
  <c r="BA104" i="7"/>
  <c r="AY104" i="7"/>
  <c r="AS9" i="10" l="1"/>
  <c r="AS29" i="10"/>
  <c r="AS25" i="10"/>
  <c r="AS17" i="10"/>
  <c r="AS16" i="10"/>
  <c r="AS15" i="10"/>
  <c r="AS11" i="10"/>
  <c r="AS26" i="10"/>
  <c r="AS18" i="10"/>
  <c r="AS21" i="10"/>
  <c r="AS14" i="10"/>
  <c r="AS13" i="10"/>
  <c r="AS22" i="10"/>
  <c r="AS27" i="10"/>
  <c r="AS31" i="10"/>
  <c r="AS28" i="10"/>
  <c r="AS23" i="10"/>
  <c r="AS32" i="10"/>
  <c r="AS30" i="10"/>
  <c r="AS8" i="10"/>
  <c r="AS24" i="10"/>
  <c r="AS20" i="10"/>
  <c r="AS12" i="10"/>
  <c r="AS19" i="10"/>
  <c r="AS10" i="10"/>
  <c r="AS33" i="10"/>
  <c r="AQ36" i="10"/>
  <c r="AT24" i="10"/>
  <c r="AT12" i="10"/>
  <c r="AT15" i="10"/>
  <c r="AT33" i="10"/>
  <c r="AT11" i="10"/>
  <c r="AT18" i="10"/>
  <c r="AT21" i="10"/>
  <c r="AT28" i="10"/>
  <c r="AT30" i="10"/>
  <c r="AT16" i="10"/>
  <c r="AT22" i="10"/>
  <c r="AT26" i="10"/>
  <c r="AT27" i="10"/>
  <c r="AT13" i="10"/>
  <c r="AT23" i="10"/>
  <c r="AT8" i="10"/>
  <c r="AT29" i="10"/>
  <c r="AT25" i="10"/>
  <c r="AT9" i="10"/>
  <c r="AT10" i="10"/>
  <c r="AT14" i="10"/>
  <c r="AT31" i="10"/>
  <c r="AT32" i="10"/>
  <c r="AT17" i="10"/>
  <c r="AT19" i="10"/>
  <c r="AT20" i="10"/>
  <c r="AU31" i="10"/>
  <c r="AZ31" i="10" s="1"/>
  <c r="AU24" i="10"/>
  <c r="AZ24" i="10" s="1"/>
  <c r="AU8" i="10"/>
  <c r="AZ8" i="10" s="1"/>
  <c r="AU15" i="10"/>
  <c r="AZ15" i="10" s="1"/>
  <c r="AU30" i="10"/>
  <c r="AZ30" i="10" s="1"/>
  <c r="AU14" i="10"/>
  <c r="AZ14" i="10" s="1"/>
  <c r="AU25" i="10"/>
  <c r="AZ25" i="10" s="1"/>
  <c r="AU13" i="10"/>
  <c r="AZ13" i="10" s="1"/>
  <c r="AU16" i="10"/>
  <c r="AZ16" i="10" s="1"/>
  <c r="AU28" i="10"/>
  <c r="AZ28" i="10" s="1"/>
  <c r="AU29" i="10"/>
  <c r="AZ29" i="10" s="1"/>
  <c r="AU12" i="10"/>
  <c r="AZ12" i="10" s="1"/>
  <c r="AU17" i="10"/>
  <c r="AZ17" i="10" s="1"/>
  <c r="AU18" i="10"/>
  <c r="AZ18" i="10" s="1"/>
  <c r="AU21" i="10"/>
  <c r="AZ21" i="10" s="1"/>
  <c r="AU19" i="10"/>
  <c r="AZ19" i="10" s="1"/>
  <c r="AU33" i="10"/>
  <c r="AZ33" i="10" s="1"/>
  <c r="AU26" i="10"/>
  <c r="AZ26" i="10" s="1"/>
  <c r="AU32" i="10"/>
  <c r="AZ32" i="10" s="1"/>
  <c r="AU9" i="10"/>
  <c r="AZ9" i="10" s="1"/>
  <c r="AU22" i="10"/>
  <c r="AZ22" i="10" s="1"/>
  <c r="AU23" i="10"/>
  <c r="AZ23" i="10" s="1"/>
  <c r="AU10" i="10"/>
  <c r="AZ10" i="10" s="1"/>
  <c r="AU27" i="10"/>
  <c r="AZ27" i="10" s="1"/>
  <c r="AU11" i="10"/>
  <c r="AZ11" i="10" s="1"/>
  <c r="AU20" i="10"/>
  <c r="AZ20" i="10" s="1"/>
  <c r="CJ11" i="1"/>
  <c r="CM11" i="1" s="1"/>
  <c r="CK11" i="1"/>
  <c r="CF11" i="1"/>
  <c r="CL11" i="1" s="1"/>
  <c r="CN10" i="1"/>
  <c r="CQ10" i="1" s="1"/>
  <c r="CR10" i="1"/>
  <c r="CK9" i="1"/>
  <c r="CJ9" i="1"/>
  <c r="AS15" i="1"/>
  <c r="AT15" i="1" s="1"/>
  <c r="CH11" i="1"/>
  <c r="AT13" i="1"/>
  <c r="BB13" i="1" s="1"/>
  <c r="BE13" i="1" s="1"/>
  <c r="BX13" i="1" s="1"/>
  <c r="CB12" i="1"/>
  <c r="CG12" i="1" s="1"/>
  <c r="CE12" i="1"/>
  <c r="CH9" i="1"/>
  <c r="CC12" i="1"/>
  <c r="CF12" i="1" s="1"/>
  <c r="CL12" i="1" s="1"/>
  <c r="HK14" i="1"/>
  <c r="HL15" i="1" s="1"/>
  <c r="HM14" i="1"/>
  <c r="HQ14" i="1"/>
  <c r="HX14" i="1"/>
  <c r="HU14" i="1"/>
  <c r="IE14" i="1" s="1"/>
  <c r="HR14" i="1"/>
  <c r="IA14" i="1"/>
  <c r="HZ14" i="1"/>
  <c r="BX14" i="1"/>
  <c r="BU14" i="1"/>
  <c r="BF24" i="10" l="1"/>
  <c r="AX12" i="10"/>
  <c r="AY12" i="10"/>
  <c r="AV12" i="10"/>
  <c r="BF23" i="10"/>
  <c r="BF18" i="10"/>
  <c r="BF14" i="10"/>
  <c r="AX30" i="10"/>
  <c r="AY30" i="10"/>
  <c r="AV30" i="10"/>
  <c r="AX14" i="10"/>
  <c r="AY14" i="10"/>
  <c r="AV14" i="10"/>
  <c r="AY25" i="10"/>
  <c r="AX25" i="10"/>
  <c r="AV25" i="10"/>
  <c r="BF22" i="10"/>
  <c r="BF17" i="10"/>
  <c r="BF30" i="10"/>
  <c r="AY33" i="10"/>
  <c r="AV33" i="10"/>
  <c r="AX33" i="10"/>
  <c r="AV32" i="10"/>
  <c r="AX32" i="10"/>
  <c r="AY32" i="10"/>
  <c r="AY21" i="10"/>
  <c r="AV21" i="10"/>
  <c r="AX21" i="10"/>
  <c r="AX29" i="10"/>
  <c r="AY29" i="10"/>
  <c r="AV29" i="10"/>
  <c r="BF9" i="10"/>
  <c r="BF12" i="10"/>
  <c r="BF15" i="10"/>
  <c r="AV10" i="10"/>
  <c r="AX10" i="10"/>
  <c r="AY10" i="10"/>
  <c r="AX23" i="10"/>
  <c r="AV23" i="10"/>
  <c r="AY23" i="10"/>
  <c r="AX18" i="10"/>
  <c r="AY18" i="10"/>
  <c r="AV18" i="10"/>
  <c r="AY9" i="10"/>
  <c r="AV9" i="10"/>
  <c r="AX9" i="10"/>
  <c r="BF32" i="10"/>
  <c r="BF29" i="10"/>
  <c r="BF8" i="10"/>
  <c r="AY19" i="10"/>
  <c r="AX19" i="10"/>
  <c r="AV19" i="10"/>
  <c r="AV28" i="10"/>
  <c r="AY28" i="10"/>
  <c r="AX28" i="10"/>
  <c r="AY26" i="10"/>
  <c r="AV26" i="10"/>
  <c r="AX26" i="10"/>
  <c r="BF26" i="10"/>
  <c r="BF20" i="10"/>
  <c r="BF28" i="10"/>
  <c r="AX31" i="10"/>
  <c r="AV31" i="10"/>
  <c r="AY31" i="10"/>
  <c r="AY11" i="10"/>
  <c r="AV11" i="10"/>
  <c r="AX11" i="10"/>
  <c r="BF11" i="10"/>
  <c r="BF33" i="10"/>
  <c r="BF16" i="10"/>
  <c r="BF31" i="10"/>
  <c r="AV20" i="10"/>
  <c r="AX20" i="10"/>
  <c r="AY20" i="10"/>
  <c r="AY27" i="10"/>
  <c r="AV27" i="10"/>
  <c r="AX27" i="10"/>
  <c r="AV15" i="10"/>
  <c r="AY15" i="10"/>
  <c r="AX15" i="10"/>
  <c r="BF27" i="10"/>
  <c r="BF19" i="10"/>
  <c r="BF13" i="10"/>
  <c r="AV24" i="10"/>
  <c r="AY24" i="10"/>
  <c r="AX24" i="10"/>
  <c r="AY22" i="10"/>
  <c r="AX22" i="10"/>
  <c r="AV22" i="10"/>
  <c r="AX16" i="10"/>
  <c r="AY16" i="10"/>
  <c r="AV16" i="10"/>
  <c r="BF10" i="10"/>
  <c r="BF21" i="10"/>
  <c r="BF25" i="10"/>
  <c r="AY8" i="10"/>
  <c r="AV8" i="10"/>
  <c r="AX8" i="10"/>
  <c r="AV13" i="10"/>
  <c r="AX13" i="10"/>
  <c r="AY13" i="10"/>
  <c r="AV17" i="10"/>
  <c r="AX17" i="10"/>
  <c r="AY17" i="10"/>
  <c r="CR11" i="1"/>
  <c r="CN11" i="1"/>
  <c r="CQ11" i="1" s="1"/>
  <c r="AS16" i="1"/>
  <c r="AT16" i="1" s="1"/>
  <c r="BB16" i="1" s="1"/>
  <c r="BE16" i="1" s="1"/>
  <c r="CA13" i="1"/>
  <c r="BU13" i="1"/>
  <c r="CP10" i="1"/>
  <c r="CS10" i="1" s="1"/>
  <c r="CU10" i="1" s="1"/>
  <c r="CY10" i="1" s="1"/>
  <c r="CN9" i="1"/>
  <c r="CR9" i="1"/>
  <c r="CM9" i="1"/>
  <c r="CK12" i="1"/>
  <c r="CH12" i="1"/>
  <c r="CJ12" i="1"/>
  <c r="CM12" i="1" s="1"/>
  <c r="HX15" i="1"/>
  <c r="HU15" i="1"/>
  <c r="IE15" i="1" s="1"/>
  <c r="HQ15" i="1"/>
  <c r="HK15" i="1"/>
  <c r="HL16" i="1" s="1"/>
  <c r="HZ15" i="1"/>
  <c r="IA15" i="1"/>
  <c r="HR15" i="1"/>
  <c r="HM15" i="1"/>
  <c r="CB14" i="1"/>
  <c r="CG14" i="1" s="1"/>
  <c r="CE14" i="1"/>
  <c r="CC14" i="1"/>
  <c r="BE8" i="10" l="1"/>
  <c r="BG17" i="10"/>
  <c r="BD17" i="10"/>
  <c r="BD16" i="10"/>
  <c r="BG16" i="10"/>
  <c r="BG27" i="10"/>
  <c r="BD27" i="10"/>
  <c r="BE11" i="10"/>
  <c r="BE21" i="10"/>
  <c r="BE31" i="10"/>
  <c r="BG19" i="10"/>
  <c r="BD19" i="10"/>
  <c r="BG9" i="10"/>
  <c r="BD9" i="10"/>
  <c r="BD23" i="10"/>
  <c r="BG23" i="10"/>
  <c r="BE32" i="10"/>
  <c r="BE14" i="10"/>
  <c r="BE13" i="10"/>
  <c r="BG22" i="10"/>
  <c r="BD22" i="10"/>
  <c r="BE27" i="10"/>
  <c r="BG26" i="10"/>
  <c r="BD26" i="10"/>
  <c r="BE19" i="10"/>
  <c r="BE10" i="10"/>
  <c r="BG32" i="10"/>
  <c r="BD32" i="10"/>
  <c r="BD14" i="10"/>
  <c r="BG14" i="10"/>
  <c r="BG13" i="10"/>
  <c r="BD13" i="10"/>
  <c r="BE20" i="10"/>
  <c r="BE9" i="10"/>
  <c r="BG10" i="10"/>
  <c r="BD10" i="10"/>
  <c r="BE26" i="10"/>
  <c r="BE22" i="10"/>
  <c r="BG31" i="10"/>
  <c r="BD31" i="10"/>
  <c r="BF34" i="10"/>
  <c r="BF37" i="10"/>
  <c r="BF35" i="10"/>
  <c r="BF36" i="10" s="1"/>
  <c r="BG24" i="10"/>
  <c r="BD24" i="10"/>
  <c r="BD20" i="10"/>
  <c r="BG20" i="10"/>
  <c r="BE29" i="10"/>
  <c r="BD33" i="10"/>
  <c r="BG33" i="10"/>
  <c r="BE30" i="10"/>
  <c r="BD8" i="10"/>
  <c r="BG8" i="10"/>
  <c r="BE24" i="10"/>
  <c r="BD15" i="10"/>
  <c r="BG15" i="10"/>
  <c r="BG28" i="10"/>
  <c r="BD28" i="10"/>
  <c r="BE18" i="10"/>
  <c r="BG29" i="10"/>
  <c r="BD29" i="10"/>
  <c r="BD30" i="10"/>
  <c r="BG30" i="10"/>
  <c r="BE12" i="10"/>
  <c r="AV37" i="10"/>
  <c r="AV35" i="10"/>
  <c r="AV34" i="10"/>
  <c r="BE15" i="10"/>
  <c r="BG11" i="10"/>
  <c r="BD11" i="10"/>
  <c r="BE28" i="10"/>
  <c r="BD18" i="10"/>
  <c r="BG18" i="10"/>
  <c r="BD21" i="10"/>
  <c r="BG21" i="10"/>
  <c r="BE33" i="10"/>
  <c r="BD25" i="10"/>
  <c r="BG25" i="10"/>
  <c r="BG12" i="10"/>
  <c r="BD12" i="10"/>
  <c r="BE16" i="10"/>
  <c r="BE23" i="10"/>
  <c r="BE25" i="10"/>
  <c r="BE17" i="10"/>
  <c r="CC13" i="1"/>
  <c r="CF13" i="1" s="1"/>
  <c r="CL13" i="1" s="1"/>
  <c r="CP11" i="1"/>
  <c r="CS11" i="1" s="1"/>
  <c r="CT11" i="1" s="1"/>
  <c r="CV11" i="1" s="1"/>
  <c r="DL11" i="1" s="1"/>
  <c r="CE13" i="1"/>
  <c r="CA16" i="1"/>
  <c r="BU16" i="1"/>
  <c r="BX16" i="1"/>
  <c r="CB13" i="1"/>
  <c r="CG13" i="1" s="1"/>
  <c r="AS17" i="1"/>
  <c r="AT17" i="1" s="1"/>
  <c r="BB17" i="1" s="1"/>
  <c r="BE17" i="1" s="1"/>
  <c r="CN12" i="1"/>
  <c r="CP12" i="1" s="1"/>
  <c r="CR12" i="1"/>
  <c r="CP9" i="1"/>
  <c r="CQ9" i="1"/>
  <c r="CT10" i="1"/>
  <c r="CV10" i="1" s="1"/>
  <c r="DL10" i="1" s="1"/>
  <c r="HK16" i="1"/>
  <c r="HL17" i="1" s="1"/>
  <c r="HX16" i="1"/>
  <c r="HM16" i="1"/>
  <c r="IA16" i="1"/>
  <c r="HU16" i="1"/>
  <c r="IE16" i="1" s="1"/>
  <c r="HZ16" i="1"/>
  <c r="HQ16" i="1"/>
  <c r="HR16" i="1"/>
  <c r="DA10" i="1"/>
  <c r="CZ10" i="1"/>
  <c r="CJ14" i="1"/>
  <c r="CM14" i="1" s="1"/>
  <c r="CK14" i="1"/>
  <c r="CH14" i="1"/>
  <c r="CF14" i="1"/>
  <c r="CL14" i="1" s="1"/>
  <c r="AV36" i="10" l="1"/>
  <c r="BE34" i="10"/>
  <c r="BE37" i="10"/>
  <c r="BE35" i="10"/>
  <c r="BG35" i="10"/>
  <c r="BG36" i="10" s="1"/>
  <c r="BG37" i="10"/>
  <c r="BG34" i="10"/>
  <c r="BJ26" i="10"/>
  <c r="BJ32" i="10"/>
  <c r="BJ24" i="10"/>
  <c r="BJ30" i="10"/>
  <c r="BJ12" i="10"/>
  <c r="BJ14" i="10"/>
  <c r="BJ15" i="10"/>
  <c r="BJ20" i="10"/>
  <c r="BJ31" i="10"/>
  <c r="BJ29" i="10"/>
  <c r="BJ11" i="10"/>
  <c r="BJ10" i="10"/>
  <c r="BJ22" i="10"/>
  <c r="BJ8" i="10"/>
  <c r="BJ28" i="10"/>
  <c r="BJ27" i="10"/>
  <c r="BJ23" i="10"/>
  <c r="BJ33" i="10"/>
  <c r="BJ19" i="10"/>
  <c r="BJ21" i="10"/>
  <c r="BJ18" i="10"/>
  <c r="BJ17" i="10"/>
  <c r="BJ9" i="10"/>
  <c r="BJ25" i="10"/>
  <c r="BJ16" i="10"/>
  <c r="BJ13" i="10"/>
  <c r="BD35" i="10"/>
  <c r="BD36" i="10" s="1"/>
  <c r="BD34" i="10"/>
  <c r="BD37" i="10"/>
  <c r="CJ13" i="1"/>
  <c r="CM13" i="1" s="1"/>
  <c r="CQ12" i="1"/>
  <c r="CS12" i="1" s="1"/>
  <c r="CT12" i="1" s="1"/>
  <c r="CX12" i="1" s="1"/>
  <c r="CK13" i="1"/>
  <c r="CA17" i="1"/>
  <c r="BU17" i="1"/>
  <c r="BX17" i="1"/>
  <c r="CE16" i="1"/>
  <c r="CB16" i="1"/>
  <c r="CG16" i="1" s="1"/>
  <c r="CC16" i="1"/>
  <c r="AS18" i="1"/>
  <c r="AT18" i="1" s="1"/>
  <c r="BB18" i="1" s="1"/>
  <c r="BE18" i="1" s="1"/>
  <c r="CH13" i="1"/>
  <c r="CU11" i="1"/>
  <c r="CZ11" i="1" s="1"/>
  <c r="CX11" i="1"/>
  <c r="DN11" i="1" s="1"/>
  <c r="CW11" i="1"/>
  <c r="DM11" i="1" s="1"/>
  <c r="CS9" i="1"/>
  <c r="DO10" i="1"/>
  <c r="CX10" i="1"/>
  <c r="CW10" i="1"/>
  <c r="DM10" i="1" s="1"/>
  <c r="HU17" i="1"/>
  <c r="IE17" i="1" s="1"/>
  <c r="HK17" i="1"/>
  <c r="HL18" i="1" s="1"/>
  <c r="HM17" i="1"/>
  <c r="IA17" i="1"/>
  <c r="HQ17" i="1"/>
  <c r="HX17" i="1"/>
  <c r="HR17" i="1"/>
  <c r="HZ17" i="1"/>
  <c r="CN14" i="1"/>
  <c r="CQ14" i="1" s="1"/>
  <c r="CR14" i="1"/>
  <c r="BH22" i="10" l="1"/>
  <c r="BH14" i="10"/>
  <c r="BH20" i="10"/>
  <c r="BN20" i="10" s="1"/>
  <c r="BH27" i="10"/>
  <c r="BH13" i="10"/>
  <c r="BH18" i="10"/>
  <c r="BH28" i="10"/>
  <c r="BN28" i="10" s="1"/>
  <c r="BH25" i="10"/>
  <c r="BH17" i="10"/>
  <c r="BH8" i="10"/>
  <c r="BH12" i="10"/>
  <c r="BN12" i="10" s="1"/>
  <c r="BH9" i="10"/>
  <c r="BH30" i="10"/>
  <c r="BH16" i="10"/>
  <c r="BH32" i="10"/>
  <c r="BH24" i="10"/>
  <c r="BH21" i="10"/>
  <c r="BH26" i="10"/>
  <c r="BH11" i="10"/>
  <c r="BN11" i="10" s="1"/>
  <c r="BH23" i="10"/>
  <c r="BH33" i="10"/>
  <c r="BH19" i="10"/>
  <c r="BN19" i="10" s="1"/>
  <c r="BH10" i="10"/>
  <c r="BN10" i="10" s="1"/>
  <c r="BH31" i="10"/>
  <c r="BH15" i="10"/>
  <c r="BH29" i="10"/>
  <c r="BE36" i="10"/>
  <c r="BI28" i="10"/>
  <c r="BI16" i="10"/>
  <c r="BI8" i="10"/>
  <c r="BI32" i="10"/>
  <c r="BI23" i="10"/>
  <c r="BI11" i="10"/>
  <c r="BI27" i="10"/>
  <c r="BI15" i="10"/>
  <c r="BI25" i="10"/>
  <c r="BI21" i="10"/>
  <c r="BI20" i="10"/>
  <c r="BI29" i="10"/>
  <c r="BI14" i="10"/>
  <c r="BI26" i="10"/>
  <c r="BI22" i="10"/>
  <c r="BI24" i="10"/>
  <c r="BI13" i="10"/>
  <c r="BI18" i="10"/>
  <c r="BI31" i="10"/>
  <c r="BI9" i="10"/>
  <c r="BI12" i="10"/>
  <c r="BI17" i="10"/>
  <c r="BI19" i="10"/>
  <c r="BI33" i="10"/>
  <c r="BI30" i="10"/>
  <c r="BI10" i="10"/>
  <c r="AS19" i="1"/>
  <c r="AT19" i="1" s="1"/>
  <c r="CR13" i="1"/>
  <c r="CN13" i="1"/>
  <c r="CP13" i="1" s="1"/>
  <c r="DR11" i="1"/>
  <c r="DW11" i="1"/>
  <c r="DX11" i="1" s="1"/>
  <c r="CA18" i="1"/>
  <c r="BU18" i="1"/>
  <c r="BX18" i="1"/>
  <c r="CH16" i="1"/>
  <c r="CK16" i="1"/>
  <c r="CF16" i="1"/>
  <c r="CL16" i="1" s="1"/>
  <c r="CJ16" i="1"/>
  <c r="CB17" i="1"/>
  <c r="CG17" i="1" s="1"/>
  <c r="CE17" i="1"/>
  <c r="CC17" i="1"/>
  <c r="CV12" i="1"/>
  <c r="DL12" i="1" s="1"/>
  <c r="CU12" i="1"/>
  <c r="CZ12" i="1" s="1"/>
  <c r="CW12" i="1"/>
  <c r="DM12" i="1" s="1"/>
  <c r="DA11" i="1"/>
  <c r="DQ11" i="1" s="1"/>
  <c r="CY11" i="1"/>
  <c r="DO11" i="1" s="1"/>
  <c r="DP11" i="1"/>
  <c r="CU9" i="1"/>
  <c r="CT9" i="1"/>
  <c r="DP10" i="1"/>
  <c r="DN10" i="1"/>
  <c r="DQ10" i="1"/>
  <c r="HR18" i="1"/>
  <c r="HU18" i="1"/>
  <c r="IE18" i="1" s="1"/>
  <c r="IA18" i="1"/>
  <c r="HZ18" i="1"/>
  <c r="HM18" i="1"/>
  <c r="HQ18" i="1"/>
  <c r="HK18" i="1"/>
  <c r="HL19" i="1" s="1"/>
  <c r="HX18" i="1"/>
  <c r="CP14" i="1"/>
  <c r="CS14" i="1" s="1"/>
  <c r="CU14" i="1" s="1"/>
  <c r="DN12" i="1"/>
  <c r="BN31" i="10" l="1"/>
  <c r="BN24" i="10"/>
  <c r="BN25" i="10"/>
  <c r="BN16" i="10"/>
  <c r="BN18" i="10"/>
  <c r="BN32" i="10"/>
  <c r="BN33" i="10"/>
  <c r="BN30" i="10"/>
  <c r="BN13" i="10"/>
  <c r="BN23" i="10"/>
  <c r="BN9" i="10"/>
  <c r="BN27" i="10"/>
  <c r="BN29" i="10"/>
  <c r="BN26" i="10"/>
  <c r="BN8" i="10"/>
  <c r="BN14" i="10"/>
  <c r="BN15" i="10"/>
  <c r="BN21" i="10"/>
  <c r="BN17" i="10"/>
  <c r="BN22" i="10"/>
  <c r="AS20" i="1"/>
  <c r="AT20" i="1" s="1"/>
  <c r="BB20" i="1" s="1"/>
  <c r="BE20" i="1" s="1"/>
  <c r="CA20" i="1" s="1"/>
  <c r="CQ13" i="1"/>
  <c r="CS13" i="1" s="1"/>
  <c r="CU13" i="1" s="1"/>
  <c r="CY13" i="1" s="1"/>
  <c r="EA11" i="1"/>
  <c r="CJ17" i="1"/>
  <c r="CM17" i="1" s="1"/>
  <c r="CM16" i="1"/>
  <c r="CR16" i="1"/>
  <c r="CB18" i="1"/>
  <c r="CG18" i="1" s="1"/>
  <c r="CE18" i="1"/>
  <c r="CC18" i="1"/>
  <c r="CN16" i="1"/>
  <c r="DU11" i="1"/>
  <c r="CH17" i="1"/>
  <c r="CK17" i="1"/>
  <c r="CF17" i="1"/>
  <c r="CL17" i="1" s="1"/>
  <c r="DV11" i="1"/>
  <c r="DP12" i="1"/>
  <c r="CY12" i="1"/>
  <c r="DO12" i="1" s="1"/>
  <c r="DA12" i="1"/>
  <c r="DQ12" i="1" s="1"/>
  <c r="DS11" i="1"/>
  <c r="CX9" i="1"/>
  <c r="DN9" i="1" s="1"/>
  <c r="CW9" i="1"/>
  <c r="DM9" i="1" s="1"/>
  <c r="CV9" i="1"/>
  <c r="CY9" i="1"/>
  <c r="CZ9" i="1"/>
  <c r="DA9" i="1"/>
  <c r="DU10" i="1"/>
  <c r="DS10" i="1"/>
  <c r="DV10" i="1"/>
  <c r="DR10" i="1"/>
  <c r="DW10" i="1"/>
  <c r="DX10" i="1" s="1"/>
  <c r="HR19" i="1"/>
  <c r="HX19" i="1"/>
  <c r="HQ19" i="1"/>
  <c r="HK19" i="1"/>
  <c r="HL20" i="1" s="1"/>
  <c r="HM19" i="1"/>
  <c r="IA19" i="1"/>
  <c r="HU19" i="1"/>
  <c r="IE19" i="1" s="1"/>
  <c r="HZ19" i="1"/>
  <c r="CT14" i="1"/>
  <c r="CV14" i="1" s="1"/>
  <c r="CY14" i="1"/>
  <c r="CZ14" i="1"/>
  <c r="DA14" i="1"/>
  <c r="DW12" i="1"/>
  <c r="DX12" i="1" s="1"/>
  <c r="DR12" i="1"/>
  <c r="BN34" i="10" l="1"/>
  <c r="BN37" i="10"/>
  <c r="BN35" i="10"/>
  <c r="AS21" i="1"/>
  <c r="AS22" i="1" s="1"/>
  <c r="CP16" i="1"/>
  <c r="CR17" i="1"/>
  <c r="CQ16" i="1"/>
  <c r="CT13" i="1"/>
  <c r="CW13" i="1" s="1"/>
  <c r="DM13" i="1" s="1"/>
  <c r="CJ18" i="1"/>
  <c r="CM18" i="1" s="1"/>
  <c r="CF18" i="1"/>
  <c r="CL18" i="1" s="1"/>
  <c r="CH18" i="1"/>
  <c r="CK18" i="1"/>
  <c r="DY11" i="1"/>
  <c r="CN17" i="1"/>
  <c r="CQ17" i="1" s="1"/>
  <c r="DU12" i="1"/>
  <c r="CZ13" i="1"/>
  <c r="DA13" i="1"/>
  <c r="DV12" i="1"/>
  <c r="DS12" i="1"/>
  <c r="DZ11" i="1"/>
  <c r="DQ9" i="1"/>
  <c r="DP9" i="1"/>
  <c r="DO9" i="1"/>
  <c r="DL9" i="1"/>
  <c r="EA10" i="1"/>
  <c r="DY10" i="1"/>
  <c r="DZ10" i="1"/>
  <c r="IA20" i="1"/>
  <c r="HQ20" i="1"/>
  <c r="HM20" i="1"/>
  <c r="HX20" i="1"/>
  <c r="HU20" i="1"/>
  <c r="IE20" i="1" s="1"/>
  <c r="HZ20" i="1"/>
  <c r="HR20" i="1"/>
  <c r="HK20" i="1"/>
  <c r="HL21" i="1" s="1"/>
  <c r="BU20" i="1"/>
  <c r="BX20" i="1"/>
  <c r="CX14" i="1"/>
  <c r="DQ14" i="1" s="1"/>
  <c r="CW14" i="1"/>
  <c r="DP14" i="1" s="1"/>
  <c r="DO14" i="1"/>
  <c r="DL14" i="1"/>
  <c r="EA12" i="1"/>
  <c r="BN36" i="10" l="1"/>
  <c r="AT21" i="1"/>
  <c r="BB21" i="1" s="1"/>
  <c r="BE21" i="1" s="1"/>
  <c r="CA21" i="1" s="1"/>
  <c r="CS16" i="1"/>
  <c r="CT16" i="1" s="1"/>
  <c r="CW16" i="1" s="1"/>
  <c r="CR18" i="1"/>
  <c r="CV13" i="1"/>
  <c r="DO13" i="1" s="1"/>
  <c r="DP13" i="1"/>
  <c r="CX13" i="1"/>
  <c r="DN13" i="1" s="1"/>
  <c r="EC11" i="1"/>
  <c r="EK11" i="1" s="1"/>
  <c r="CP17" i="1"/>
  <c r="CS17" i="1" s="1"/>
  <c r="CT17" i="1" s="1"/>
  <c r="CN18" i="1"/>
  <c r="CQ18" i="1" s="1"/>
  <c r="ED11" i="1"/>
  <c r="EL11" i="1" s="1"/>
  <c r="DZ12" i="1"/>
  <c r="DY12" i="1"/>
  <c r="EB11" i="1"/>
  <c r="DU9" i="1"/>
  <c r="DW9" i="1"/>
  <c r="DX9" i="1" s="1"/>
  <c r="DR9" i="1"/>
  <c r="DV9" i="1"/>
  <c r="DS9" i="1"/>
  <c r="ED10" i="1"/>
  <c r="EC10" i="1"/>
  <c r="EB10" i="1"/>
  <c r="HM21" i="1"/>
  <c r="HX21" i="1"/>
  <c r="HU21" i="1"/>
  <c r="IE21" i="1" s="1"/>
  <c r="IA21" i="1"/>
  <c r="HK21" i="1"/>
  <c r="HL22" i="1" s="1"/>
  <c r="HQ21" i="1"/>
  <c r="HR21" i="1"/>
  <c r="HZ21" i="1"/>
  <c r="CB20" i="1"/>
  <c r="CG20" i="1" s="1"/>
  <c r="CC20" i="1"/>
  <c r="CF20" i="1" s="1"/>
  <c r="CL20" i="1" s="1"/>
  <c r="CE20" i="1"/>
  <c r="AT22" i="1"/>
  <c r="BB22" i="1" s="1"/>
  <c r="BE22" i="1" s="1"/>
  <c r="CA22" i="1" s="1"/>
  <c r="AS23" i="1"/>
  <c r="DN14" i="1"/>
  <c r="DM14" i="1"/>
  <c r="DU14" i="1"/>
  <c r="DS14" i="1"/>
  <c r="BU21" i="1" l="1"/>
  <c r="BX21" i="1"/>
  <c r="CX16" i="1"/>
  <c r="DN16" i="1" s="1"/>
  <c r="CV16" i="1"/>
  <c r="DL16" i="1" s="1"/>
  <c r="CU16" i="1"/>
  <c r="DA16" i="1" s="1"/>
  <c r="DL13" i="1"/>
  <c r="DR13" i="1" s="1"/>
  <c r="DQ13" i="1"/>
  <c r="DS13" i="1" s="1"/>
  <c r="EE11" i="1"/>
  <c r="EG11" i="1"/>
  <c r="EF11" i="1"/>
  <c r="CP18" i="1"/>
  <c r="CS18" i="1" s="1"/>
  <c r="CU18" i="1" s="1"/>
  <c r="CU17" i="1"/>
  <c r="CV17" i="1"/>
  <c r="CW17" i="1"/>
  <c r="CX17" i="1"/>
  <c r="DM16" i="1"/>
  <c r="EJ11" i="1"/>
  <c r="EO11" i="1" s="1"/>
  <c r="ER11" i="1" s="1"/>
  <c r="EI11" i="1"/>
  <c r="EN11" i="1" s="1"/>
  <c r="EH11" i="1"/>
  <c r="EM11" i="1" s="1"/>
  <c r="EC12" i="1"/>
  <c r="EG12" i="1" s="1"/>
  <c r="ED12" i="1"/>
  <c r="EL12" i="1" s="1"/>
  <c r="EB12" i="1"/>
  <c r="DY9" i="1"/>
  <c r="EA9" i="1"/>
  <c r="DZ9" i="1"/>
  <c r="EK10" i="1"/>
  <c r="EF10" i="1"/>
  <c r="EE10" i="1"/>
  <c r="EG10" i="1"/>
  <c r="EH10" i="1"/>
  <c r="EI10" i="1"/>
  <c r="EL10" i="1"/>
  <c r="EJ10" i="1"/>
  <c r="HZ22" i="1"/>
  <c r="HU22" i="1"/>
  <c r="IE22" i="1" s="1"/>
  <c r="HM22" i="1"/>
  <c r="HQ22" i="1"/>
  <c r="HR22" i="1"/>
  <c r="HX22" i="1"/>
  <c r="HK22" i="1"/>
  <c r="HL23" i="1" s="1"/>
  <c r="IA22" i="1"/>
  <c r="CJ20" i="1"/>
  <c r="CH20" i="1"/>
  <c r="CK20" i="1"/>
  <c r="BX22" i="1"/>
  <c r="BU22" i="1"/>
  <c r="AT23" i="1"/>
  <c r="BB23" i="1" s="1"/>
  <c r="BE23" i="1" s="1"/>
  <c r="AS24" i="1"/>
  <c r="DV14" i="1"/>
  <c r="DR14" i="1"/>
  <c r="DW14" i="1"/>
  <c r="DX14" i="1" s="1"/>
  <c r="DY14" i="1"/>
  <c r="CC21" i="1" l="1"/>
  <c r="CF21" i="1" s="1"/>
  <c r="CL21" i="1" s="1"/>
  <c r="CB21" i="1"/>
  <c r="CG21" i="1" s="1"/>
  <c r="CE21" i="1"/>
  <c r="CY16" i="1"/>
  <c r="DO16" i="1" s="1"/>
  <c r="DQ16" i="1"/>
  <c r="CZ16" i="1"/>
  <c r="DP16" i="1" s="1"/>
  <c r="DW13" i="1"/>
  <c r="DX13" i="1" s="1"/>
  <c r="EA13" i="1" s="1"/>
  <c r="DV13" i="1"/>
  <c r="DZ13" i="1" s="1"/>
  <c r="EK12" i="1"/>
  <c r="DU13" i="1"/>
  <c r="DY13" i="1" s="1"/>
  <c r="EF12" i="1"/>
  <c r="EE12" i="1"/>
  <c r="EQ11" i="1"/>
  <c r="EZ11" i="1" s="1"/>
  <c r="FC11" i="1" s="1"/>
  <c r="FF11" i="1" s="1"/>
  <c r="FI11" i="1" s="1"/>
  <c r="EH12" i="1"/>
  <c r="DL17" i="1"/>
  <c r="BU23" i="1"/>
  <c r="BX23" i="1"/>
  <c r="CA23" i="1"/>
  <c r="CY17" i="1"/>
  <c r="DO17" i="1" s="1"/>
  <c r="CZ17" i="1"/>
  <c r="DP17" i="1" s="1"/>
  <c r="DA17" i="1"/>
  <c r="DQ17" i="1" s="1"/>
  <c r="DR16" i="1"/>
  <c r="DW16" i="1"/>
  <c r="DX16" i="1" s="1"/>
  <c r="DN17" i="1"/>
  <c r="CT18" i="1"/>
  <c r="DM17" i="1"/>
  <c r="CY18" i="1"/>
  <c r="CZ18" i="1"/>
  <c r="DA18" i="1"/>
  <c r="EJ12" i="1"/>
  <c r="EI12" i="1"/>
  <c r="EP11" i="1"/>
  <c r="EC9" i="1"/>
  <c r="ED9" i="1"/>
  <c r="EB9" i="1"/>
  <c r="EM10" i="1"/>
  <c r="EO10" i="1"/>
  <c r="ER10" i="1" s="1"/>
  <c r="EN10" i="1"/>
  <c r="HR23" i="1"/>
  <c r="IA23" i="1"/>
  <c r="HZ23" i="1"/>
  <c r="HQ23" i="1"/>
  <c r="HK23" i="1"/>
  <c r="HL24" i="1" s="1"/>
  <c r="HU23" i="1"/>
  <c r="IE23" i="1" s="1"/>
  <c r="HM23" i="1"/>
  <c r="HX23" i="1"/>
  <c r="CR20" i="1"/>
  <c r="CM20" i="1"/>
  <c r="CC22" i="1"/>
  <c r="CF22" i="1" s="1"/>
  <c r="CL22" i="1" s="1"/>
  <c r="CN20" i="1"/>
  <c r="CB22" i="1"/>
  <c r="CG22" i="1" s="1"/>
  <c r="CE22" i="1"/>
  <c r="AT24" i="1"/>
  <c r="BB24" i="1" s="1"/>
  <c r="BE24" i="1" s="1"/>
  <c r="AS25" i="1"/>
  <c r="EA14" i="1"/>
  <c r="DZ14" i="1"/>
  <c r="CK21" i="1" l="1"/>
  <c r="CH21" i="1"/>
  <c r="CJ21" i="1"/>
  <c r="CM21" i="1" s="1"/>
  <c r="DV16" i="1"/>
  <c r="DS16" i="1"/>
  <c r="DU16" i="1"/>
  <c r="EO12" i="1"/>
  <c r="ER12" i="1" s="1"/>
  <c r="EN12" i="1"/>
  <c r="EM12" i="1"/>
  <c r="EA16" i="1"/>
  <c r="FY11" i="1"/>
  <c r="HE11" i="1" s="1"/>
  <c r="FA11" i="1"/>
  <c r="CV18" i="1"/>
  <c r="DO18" i="1" s="1"/>
  <c r="CW18" i="1"/>
  <c r="DP18" i="1" s="1"/>
  <c r="CX18" i="1"/>
  <c r="DV17" i="1"/>
  <c r="DR17" i="1"/>
  <c r="DW17" i="1"/>
  <c r="DX17" i="1" s="1"/>
  <c r="FB11" i="1"/>
  <c r="EV11" i="1"/>
  <c r="EX11" i="1" s="1"/>
  <c r="DS17" i="1"/>
  <c r="DU17" i="1"/>
  <c r="BX24" i="1"/>
  <c r="BU24" i="1"/>
  <c r="CA24" i="1"/>
  <c r="CC23" i="1"/>
  <c r="CE23" i="1"/>
  <c r="CB23" i="1"/>
  <c r="CG23" i="1" s="1"/>
  <c r="EB13" i="1"/>
  <c r="EC13" i="1"/>
  <c r="EE13" i="1" s="1"/>
  <c r="ED13" i="1"/>
  <c r="EI13" i="1" s="1"/>
  <c r="EJ9" i="1"/>
  <c r="EI9" i="1"/>
  <c r="EL9" i="1"/>
  <c r="EH9" i="1"/>
  <c r="EG9" i="1"/>
  <c r="EK9" i="1"/>
  <c r="EE9" i="1"/>
  <c r="EF9" i="1"/>
  <c r="EP10" i="1"/>
  <c r="EV10" i="1" s="1"/>
  <c r="EX10" i="1" s="1"/>
  <c r="EQ10" i="1"/>
  <c r="EZ10" i="1" s="1"/>
  <c r="HM24" i="1"/>
  <c r="HZ24" i="1"/>
  <c r="HX24" i="1"/>
  <c r="HQ24" i="1"/>
  <c r="HU24" i="1"/>
  <c r="IE24" i="1" s="1"/>
  <c r="HK24" i="1"/>
  <c r="HL25" i="1" s="1"/>
  <c r="IA24" i="1"/>
  <c r="HR24" i="1"/>
  <c r="CQ20" i="1"/>
  <c r="CP20" i="1"/>
  <c r="CJ22" i="1"/>
  <c r="CM22" i="1" s="1"/>
  <c r="CH22" i="1"/>
  <c r="CK22" i="1"/>
  <c r="ED14" i="1"/>
  <c r="EJ14" i="1" s="1"/>
  <c r="EC14" i="1"/>
  <c r="EK14" i="1" s="1"/>
  <c r="AT25" i="1"/>
  <c r="AS26" i="1"/>
  <c r="EB14" i="1"/>
  <c r="CN21" i="1" l="1"/>
  <c r="CQ21" i="1" s="1"/>
  <c r="CR21" i="1"/>
  <c r="DZ16" i="1"/>
  <c r="DY16" i="1"/>
  <c r="EQ12" i="1"/>
  <c r="EZ12" i="1" s="1"/>
  <c r="FC12" i="1" s="1"/>
  <c r="FF12" i="1" s="1"/>
  <c r="FI12" i="1" s="1"/>
  <c r="EP12" i="1"/>
  <c r="EV12" i="1" s="1"/>
  <c r="EW11" i="1"/>
  <c r="HB11" i="1"/>
  <c r="HF11" i="1" s="1"/>
  <c r="HG11" i="1" s="1"/>
  <c r="FD11" i="1"/>
  <c r="FV11" i="1" s="1"/>
  <c r="FE11" i="1"/>
  <c r="FH11" i="1" s="1"/>
  <c r="FO11" i="1"/>
  <c r="FL11" i="1"/>
  <c r="DY17" i="1"/>
  <c r="CK23" i="1"/>
  <c r="CJ23" i="1"/>
  <c r="CF23" i="1"/>
  <c r="CL23" i="1" s="1"/>
  <c r="CH23" i="1"/>
  <c r="CC24" i="1"/>
  <c r="CE24" i="1"/>
  <c r="CB24" i="1"/>
  <c r="CG24" i="1" s="1"/>
  <c r="DN18" i="1"/>
  <c r="EA17" i="1"/>
  <c r="DM18" i="1"/>
  <c r="DL18" i="1"/>
  <c r="DZ17" i="1"/>
  <c r="DQ18" i="1"/>
  <c r="DS18" i="1" s="1"/>
  <c r="EK13" i="1"/>
  <c r="EG13" i="1"/>
  <c r="EF13" i="1"/>
  <c r="EL13" i="1"/>
  <c r="EH13" i="1"/>
  <c r="EJ13" i="1"/>
  <c r="EM9" i="1"/>
  <c r="EO9" i="1"/>
  <c r="ER9" i="1" s="1"/>
  <c r="EN9" i="1"/>
  <c r="CS20" i="1"/>
  <c r="CT20" i="1" s="1"/>
  <c r="CV20" i="1" s="1"/>
  <c r="HB10" i="1"/>
  <c r="HF10" i="1" s="1"/>
  <c r="EW10" i="1"/>
  <c r="FU10" i="1" s="1"/>
  <c r="FC10" i="1"/>
  <c r="FA10" i="1"/>
  <c r="FB10" i="1"/>
  <c r="HZ25" i="1"/>
  <c r="HM25" i="1"/>
  <c r="IA25" i="1"/>
  <c r="HU25" i="1"/>
  <c r="IE25" i="1" s="1"/>
  <c r="HX25" i="1"/>
  <c r="HK25" i="1"/>
  <c r="HL26" i="1" s="1"/>
  <c r="HR25" i="1"/>
  <c r="HQ25" i="1"/>
  <c r="CR22" i="1"/>
  <c r="CN22" i="1"/>
  <c r="CP22" i="1" s="1"/>
  <c r="EF14" i="1"/>
  <c r="EI14" i="1"/>
  <c r="EL14" i="1"/>
  <c r="EO14" i="1" s="1"/>
  <c r="ER14" i="1" s="1"/>
  <c r="EH14" i="1"/>
  <c r="EE14" i="1"/>
  <c r="EG14" i="1"/>
  <c r="AT26" i="1"/>
  <c r="BB26" i="1" s="1"/>
  <c r="BE26" i="1" s="1"/>
  <c r="AS27" i="1"/>
  <c r="CP21" i="1" l="1"/>
  <c r="CS21" i="1" s="1"/>
  <c r="CT21" i="1" s="1"/>
  <c r="CV21" i="1" s="1"/>
  <c r="DL21" i="1" s="1"/>
  <c r="ED16" i="1"/>
  <c r="EH16" i="1" s="1"/>
  <c r="EB16" i="1"/>
  <c r="EC16" i="1"/>
  <c r="EE16" i="1" s="1"/>
  <c r="FY12" i="1"/>
  <c r="HE12" i="1" s="1"/>
  <c r="FA12" i="1"/>
  <c r="FB12" i="1"/>
  <c r="FG11" i="1"/>
  <c r="FW11" i="1" s="1"/>
  <c r="FU11" i="1"/>
  <c r="HH11" i="1"/>
  <c r="EN13" i="1"/>
  <c r="DW18" i="1"/>
  <c r="DX18" i="1" s="1"/>
  <c r="DV18" i="1"/>
  <c r="DR18" i="1"/>
  <c r="DU18" i="1"/>
  <c r="DY18" i="1" s="1"/>
  <c r="CJ24" i="1"/>
  <c r="CM23" i="1"/>
  <c r="CR23" i="1"/>
  <c r="CN23" i="1"/>
  <c r="CA26" i="1"/>
  <c r="BX26" i="1"/>
  <c r="BU26" i="1"/>
  <c r="CF24" i="1"/>
  <c r="CL24" i="1" s="1"/>
  <c r="CK24" i="1"/>
  <c r="CH24" i="1"/>
  <c r="EC17" i="1"/>
  <c r="EB17" i="1"/>
  <c r="ED17" i="1"/>
  <c r="EO13" i="1"/>
  <c r="ER13" i="1" s="1"/>
  <c r="EM13" i="1"/>
  <c r="EQ9" i="1"/>
  <c r="EP9" i="1"/>
  <c r="CX20" i="1"/>
  <c r="DN20" i="1" s="1"/>
  <c r="CW20" i="1"/>
  <c r="DM20" i="1" s="1"/>
  <c r="CU20" i="1"/>
  <c r="DA20" i="1" s="1"/>
  <c r="FD10" i="1"/>
  <c r="FO10" i="1"/>
  <c r="FE10" i="1"/>
  <c r="FH10" i="1" s="1"/>
  <c r="FL10" i="1"/>
  <c r="FY10" i="1"/>
  <c r="HE10" i="1" s="1"/>
  <c r="FF10" i="1"/>
  <c r="FI10" i="1" s="1"/>
  <c r="CQ22" i="1"/>
  <c r="CS22" i="1" s="1"/>
  <c r="CU22" i="1" s="1"/>
  <c r="HQ26" i="1"/>
  <c r="HX26" i="1"/>
  <c r="HM26" i="1"/>
  <c r="HR26" i="1"/>
  <c r="HZ26" i="1"/>
  <c r="IA26" i="1"/>
  <c r="HK26" i="1"/>
  <c r="HL27" i="1" s="1"/>
  <c r="HU26" i="1"/>
  <c r="IE26" i="1" s="1"/>
  <c r="EM14" i="1"/>
  <c r="EN14" i="1"/>
  <c r="AT27" i="1"/>
  <c r="BB27" i="1" s="1"/>
  <c r="BE27" i="1" s="1"/>
  <c r="CA27" i="1" s="1"/>
  <c r="AS28" i="1"/>
  <c r="DL20" i="1"/>
  <c r="HB12" i="1"/>
  <c r="HF12" i="1" s="1"/>
  <c r="EW12" i="1"/>
  <c r="EX12" i="1"/>
  <c r="CQ23" i="1" l="1"/>
  <c r="EJ16" i="1"/>
  <c r="EL16" i="1"/>
  <c r="CP23" i="1"/>
  <c r="EI16" i="1"/>
  <c r="EG16" i="1"/>
  <c r="EF16" i="1"/>
  <c r="EK16" i="1"/>
  <c r="HG12" i="1"/>
  <c r="FL12" i="1"/>
  <c r="FD12" i="1"/>
  <c r="FV12" i="1" s="1"/>
  <c r="FE12" i="1"/>
  <c r="FH12" i="1" s="1"/>
  <c r="FO12" i="1"/>
  <c r="FM11" i="1"/>
  <c r="FN11" i="1" s="1"/>
  <c r="FQ11" i="1" s="1"/>
  <c r="EQ13" i="1"/>
  <c r="EZ13" i="1" s="1"/>
  <c r="FC13" i="1" s="1"/>
  <c r="FF13" i="1" s="1"/>
  <c r="FI13" i="1" s="1"/>
  <c r="FX11" i="1"/>
  <c r="FZ11" i="1" s="1"/>
  <c r="GP11" i="1" s="1"/>
  <c r="FJ11" i="1"/>
  <c r="GQ11" i="1" s="1"/>
  <c r="EP13" i="1"/>
  <c r="EV13" i="1" s="1"/>
  <c r="HB13" i="1" s="1"/>
  <c r="HF13" i="1" s="1"/>
  <c r="CM24" i="1"/>
  <c r="CR24" i="1"/>
  <c r="EL17" i="1"/>
  <c r="EI17" i="1"/>
  <c r="EJ17" i="1"/>
  <c r="EH17" i="1"/>
  <c r="CC26" i="1"/>
  <c r="CB26" i="1"/>
  <c r="CG26" i="1" s="1"/>
  <c r="CE26" i="1"/>
  <c r="EK17" i="1"/>
  <c r="EF17" i="1"/>
  <c r="EG17" i="1"/>
  <c r="EE17" i="1"/>
  <c r="DZ18" i="1"/>
  <c r="EA18" i="1"/>
  <c r="CN24" i="1"/>
  <c r="CW21" i="1"/>
  <c r="DM21" i="1" s="1"/>
  <c r="CU21" i="1"/>
  <c r="DA21" i="1" s="1"/>
  <c r="CX21" i="1"/>
  <c r="DN21" i="1" s="1"/>
  <c r="DQ20" i="1"/>
  <c r="II9" i="1"/>
  <c r="EZ9" i="1"/>
  <c r="FC9" i="1" s="1"/>
  <c r="EV9" i="1"/>
  <c r="CZ20" i="1"/>
  <c r="DP20" i="1" s="1"/>
  <c r="CY20" i="1"/>
  <c r="DO20" i="1" s="1"/>
  <c r="HH10" i="1"/>
  <c r="HG10" i="1"/>
  <c r="FV10" i="1"/>
  <c r="FG10" i="1"/>
  <c r="HQ27" i="1"/>
  <c r="HZ27" i="1"/>
  <c r="HX27" i="1"/>
  <c r="HU27" i="1"/>
  <c r="IE27" i="1" s="1"/>
  <c r="IA27" i="1"/>
  <c r="HR27" i="1"/>
  <c r="HK27" i="1"/>
  <c r="HL28" i="1" s="1"/>
  <c r="HM27" i="1"/>
  <c r="EP14" i="1"/>
  <c r="EQ14" i="1"/>
  <c r="EZ14" i="1" s="1"/>
  <c r="FC14" i="1" s="1"/>
  <c r="BX27" i="1"/>
  <c r="BU27" i="1"/>
  <c r="AT28" i="1"/>
  <c r="BB28" i="1" s="1"/>
  <c r="BE28" i="1" s="1"/>
  <c r="BX28" i="1" s="1"/>
  <c r="AS29" i="1"/>
  <c r="CT22" i="1"/>
  <c r="CV22" i="1" s="1"/>
  <c r="CY22" i="1"/>
  <c r="CZ22" i="1"/>
  <c r="DA22" i="1"/>
  <c r="DR20" i="1"/>
  <c r="DW20" i="1"/>
  <c r="DX20" i="1" s="1"/>
  <c r="HH12" i="1"/>
  <c r="FU12" i="1"/>
  <c r="EM16" i="1" l="1"/>
  <c r="CS23" i="1"/>
  <c r="CU23" i="1" s="1"/>
  <c r="CY23" i="1" s="1"/>
  <c r="CQ24" i="1"/>
  <c r="EN16" i="1"/>
  <c r="EO16" i="1"/>
  <c r="ER16" i="1" s="1"/>
  <c r="DR21" i="1"/>
  <c r="DV20" i="1"/>
  <c r="FG12" i="1"/>
  <c r="FM12" i="1" s="1"/>
  <c r="FN12" i="1" s="1"/>
  <c r="ED18" i="1"/>
  <c r="EI18" i="1" s="1"/>
  <c r="GA11" i="1"/>
  <c r="GD11" i="1"/>
  <c r="FY13" i="1"/>
  <c r="HE13" i="1" s="1"/>
  <c r="HH13" i="1" s="1"/>
  <c r="FP11" i="1"/>
  <c r="GO11" i="1" s="1"/>
  <c r="FR11" i="1"/>
  <c r="FS11" i="1" s="1"/>
  <c r="FA13" i="1"/>
  <c r="FB13" i="1"/>
  <c r="CJ26" i="1"/>
  <c r="CM26" i="1" s="1"/>
  <c r="DW21" i="1"/>
  <c r="DX21" i="1" s="1"/>
  <c r="EC18" i="1"/>
  <c r="EB18" i="1"/>
  <c r="DQ21" i="1"/>
  <c r="CF26" i="1"/>
  <c r="CL26" i="1" s="1"/>
  <c r="CH26" i="1"/>
  <c r="CK26" i="1"/>
  <c r="DU20" i="1"/>
  <c r="CP24" i="1"/>
  <c r="EO17" i="1"/>
  <c r="ER17" i="1" s="1"/>
  <c r="EN17" i="1"/>
  <c r="EM17" i="1"/>
  <c r="CZ21" i="1"/>
  <c r="DP21" i="1" s="1"/>
  <c r="CY21" i="1"/>
  <c r="DO21" i="1" s="1"/>
  <c r="DS20" i="1"/>
  <c r="FA9" i="1"/>
  <c r="FB9" i="1"/>
  <c r="EX9" i="1"/>
  <c r="EW9" i="1"/>
  <c r="HB9" i="1"/>
  <c r="HF9" i="1" s="1"/>
  <c r="FF9" i="1"/>
  <c r="FI9" i="1" s="1"/>
  <c r="FY9" i="1"/>
  <c r="HE9" i="1" s="1"/>
  <c r="CB27" i="1"/>
  <c r="CG27" i="1" s="1"/>
  <c r="FM10" i="1"/>
  <c r="FN10" i="1" s="1"/>
  <c r="FW10" i="1"/>
  <c r="FX10" i="1" s="1"/>
  <c r="FZ10" i="1" s="1"/>
  <c r="FJ10" i="1"/>
  <c r="GQ10" i="1" s="1"/>
  <c r="HX28" i="1"/>
  <c r="HQ28" i="1"/>
  <c r="HZ28" i="1"/>
  <c r="HR28" i="1"/>
  <c r="HM28" i="1"/>
  <c r="HK28" i="1"/>
  <c r="HL29" i="1" s="1"/>
  <c r="HU28" i="1"/>
  <c r="IE28" i="1" s="1"/>
  <c r="IA28" i="1"/>
  <c r="CC27" i="1"/>
  <c r="CF27" i="1" s="1"/>
  <c r="CL27" i="1" s="1"/>
  <c r="BU28" i="1"/>
  <c r="CA28" i="1"/>
  <c r="CE27" i="1"/>
  <c r="FF14" i="1"/>
  <c r="FI14" i="1" s="1"/>
  <c r="FY14" i="1"/>
  <c r="HE14" i="1" s="1"/>
  <c r="EV14" i="1"/>
  <c r="FA14" i="1"/>
  <c r="FB14" i="1"/>
  <c r="AT29" i="1"/>
  <c r="BB29" i="1" s="1"/>
  <c r="BE29" i="1" s="1"/>
  <c r="BU29" i="1" s="1"/>
  <c r="AS30" i="1"/>
  <c r="EX13" i="1"/>
  <c r="EW13" i="1"/>
  <c r="FU13" i="1" s="1"/>
  <c r="CW22" i="1"/>
  <c r="DP22" i="1" s="1"/>
  <c r="CX22" i="1"/>
  <c r="DQ22" i="1" s="1"/>
  <c r="EA20" i="1"/>
  <c r="DO22" i="1"/>
  <c r="DL22" i="1"/>
  <c r="EP16" i="1" l="1"/>
  <c r="EV16" i="1" s="1"/>
  <c r="EQ16" i="1"/>
  <c r="EZ16" i="1" s="1"/>
  <c r="FC16" i="1" s="1"/>
  <c r="FY16" i="1" s="1"/>
  <c r="HE16" i="1" s="1"/>
  <c r="DA23" i="1"/>
  <c r="CZ23" i="1"/>
  <c r="CT23" i="1"/>
  <c r="CX23" i="1" s="1"/>
  <c r="CS24" i="1"/>
  <c r="CU24" i="1" s="1"/>
  <c r="EA21" i="1"/>
  <c r="DV21" i="1"/>
  <c r="DU21" i="1"/>
  <c r="HG13" i="1"/>
  <c r="EH18" i="1"/>
  <c r="EJ18" i="1"/>
  <c r="EL18" i="1"/>
  <c r="GB11" i="1"/>
  <c r="FJ12" i="1"/>
  <c r="GQ12" i="1" s="1"/>
  <c r="FW12" i="1"/>
  <c r="FX12" i="1" s="1"/>
  <c r="FZ12" i="1" s="1"/>
  <c r="GD12" i="1" s="1"/>
  <c r="FO13" i="1"/>
  <c r="FT11" i="1"/>
  <c r="FL13" i="1"/>
  <c r="FD13" i="1"/>
  <c r="FV13" i="1" s="1"/>
  <c r="FE13" i="1"/>
  <c r="FH13" i="1" s="1"/>
  <c r="GC11" i="1"/>
  <c r="CN26" i="1"/>
  <c r="CQ26" i="1" s="1"/>
  <c r="DY20" i="1"/>
  <c r="DS21" i="1"/>
  <c r="EK18" i="1"/>
  <c r="EF18" i="1"/>
  <c r="EE18" i="1"/>
  <c r="EG18" i="1"/>
  <c r="CR26" i="1"/>
  <c r="EP17" i="1"/>
  <c r="EQ17" i="1"/>
  <c r="EZ17" i="1" s="1"/>
  <c r="FC17" i="1" s="1"/>
  <c r="DZ20" i="1"/>
  <c r="CH27" i="1"/>
  <c r="FE9" i="1"/>
  <c r="FH9" i="1" s="1"/>
  <c r="FD9" i="1"/>
  <c r="FV9" i="1" s="1"/>
  <c r="FO9" i="1"/>
  <c r="FL9" i="1"/>
  <c r="FU9" i="1"/>
  <c r="HG9" i="1"/>
  <c r="HH9" i="1"/>
  <c r="CC28" i="1"/>
  <c r="CF28" i="1" s="1"/>
  <c r="CL28" i="1" s="1"/>
  <c r="CB28" i="1"/>
  <c r="CG28" i="1" s="1"/>
  <c r="CJ27" i="1"/>
  <c r="CM27" i="1" s="1"/>
  <c r="GA10" i="1"/>
  <c r="GD10" i="1"/>
  <c r="GP10" i="1"/>
  <c r="FQ10" i="1"/>
  <c r="FR10" i="1"/>
  <c r="FP10" i="1"/>
  <c r="CK27" i="1"/>
  <c r="CE28" i="1"/>
  <c r="HU29" i="1"/>
  <c r="IE29" i="1" s="1"/>
  <c r="HZ29" i="1"/>
  <c r="HK29" i="1"/>
  <c r="HL30" i="1" s="1"/>
  <c r="HR29" i="1"/>
  <c r="IA29" i="1"/>
  <c r="HQ29" i="1"/>
  <c r="HM29" i="1"/>
  <c r="HX29" i="1"/>
  <c r="CA29" i="1"/>
  <c r="BX29" i="1"/>
  <c r="AT30" i="1"/>
  <c r="BB30" i="1" s="1"/>
  <c r="BE30" i="1" s="1"/>
  <c r="BX30" i="1" s="1"/>
  <c r="AS31" i="1"/>
  <c r="FL14" i="1"/>
  <c r="FO14" i="1"/>
  <c r="FE14" i="1"/>
  <c r="EW14" i="1"/>
  <c r="FD14" i="1"/>
  <c r="FV14" i="1" s="1"/>
  <c r="EX14" i="1"/>
  <c r="HB14" i="1"/>
  <c r="HF14" i="1" s="1"/>
  <c r="DM22" i="1"/>
  <c r="DN22" i="1"/>
  <c r="DU22" i="1"/>
  <c r="DS22" i="1"/>
  <c r="FQ12" i="1"/>
  <c r="FP12" i="1"/>
  <c r="FR12" i="1"/>
  <c r="GH11" i="1" l="1"/>
  <c r="CW23" i="1"/>
  <c r="DP23" i="1" s="1"/>
  <c r="CN27" i="1"/>
  <c r="CQ27" i="1" s="1"/>
  <c r="CV23" i="1"/>
  <c r="DO23" i="1" s="1"/>
  <c r="FF16" i="1"/>
  <c r="FI16" i="1" s="1"/>
  <c r="CT24" i="1"/>
  <c r="CX24" i="1" s="1"/>
  <c r="FB16" i="1"/>
  <c r="FA16" i="1"/>
  <c r="DZ21" i="1"/>
  <c r="GI11" i="1"/>
  <c r="FG13" i="1"/>
  <c r="FW13" i="1" s="1"/>
  <c r="FX13" i="1" s="1"/>
  <c r="FZ13" i="1" s="1"/>
  <c r="GA13" i="1" s="1"/>
  <c r="DY21" i="1"/>
  <c r="GP12" i="1"/>
  <c r="EB20" i="1"/>
  <c r="GG11" i="1"/>
  <c r="GA12" i="1"/>
  <c r="GE11" i="1"/>
  <c r="GF11" i="1" s="1"/>
  <c r="DN23" i="1"/>
  <c r="EN18" i="1"/>
  <c r="EO18" i="1"/>
  <c r="ER18" i="1" s="1"/>
  <c r="EM18" i="1"/>
  <c r="CH28" i="1"/>
  <c r="CP26" i="1"/>
  <c r="CS26" i="1" s="1"/>
  <c r="EX16" i="1"/>
  <c r="EW16" i="1"/>
  <c r="HB16" i="1"/>
  <c r="HF16" i="1" s="1"/>
  <c r="HG16" i="1" s="1"/>
  <c r="DQ23" i="1"/>
  <c r="FY17" i="1"/>
  <c r="HE17" i="1" s="1"/>
  <c r="FF17" i="1"/>
  <c r="FI17" i="1" s="1"/>
  <c r="FA17" i="1"/>
  <c r="EV17" i="1"/>
  <c r="FB17" i="1"/>
  <c r="CY24" i="1"/>
  <c r="DA24" i="1"/>
  <c r="CZ24" i="1"/>
  <c r="CR27" i="1"/>
  <c r="EC20" i="1"/>
  <c r="EK20" i="1" s="1"/>
  <c r="ED20" i="1"/>
  <c r="EJ20" i="1" s="1"/>
  <c r="CJ28" i="1"/>
  <c r="CM28" i="1" s="1"/>
  <c r="FG9" i="1"/>
  <c r="FW9" i="1" s="1"/>
  <c r="FX9" i="1" s="1"/>
  <c r="FZ9" i="1" s="1"/>
  <c r="BU30" i="1"/>
  <c r="FT10" i="1"/>
  <c r="GO10" i="1"/>
  <c r="GB10" i="1"/>
  <c r="GC10" i="1"/>
  <c r="FS10" i="1"/>
  <c r="CA30" i="1"/>
  <c r="CK28" i="1"/>
  <c r="HX30" i="1"/>
  <c r="HK30" i="1"/>
  <c r="HL31" i="1" s="1"/>
  <c r="HR30" i="1"/>
  <c r="HZ30" i="1"/>
  <c r="HM30" i="1"/>
  <c r="HU30" i="1"/>
  <c r="IE30" i="1" s="1"/>
  <c r="HQ30" i="1"/>
  <c r="IA30" i="1"/>
  <c r="CE29" i="1"/>
  <c r="CB29" i="1"/>
  <c r="CG29" i="1" s="1"/>
  <c r="AT31" i="1"/>
  <c r="BB31" i="1" s="1"/>
  <c r="BE31" i="1" s="1"/>
  <c r="CA31" i="1" s="1"/>
  <c r="AS32" i="1"/>
  <c r="FH14" i="1"/>
  <c r="CC29" i="1"/>
  <c r="HH14" i="1"/>
  <c r="HG14" i="1"/>
  <c r="FU14" i="1"/>
  <c r="FG14" i="1"/>
  <c r="DV22" i="1"/>
  <c r="DR22" i="1"/>
  <c r="DW22" i="1"/>
  <c r="DX22" i="1" s="1"/>
  <c r="DY22" i="1"/>
  <c r="FT12" i="1"/>
  <c r="GO12" i="1"/>
  <c r="GC12" i="1"/>
  <c r="GB12" i="1"/>
  <c r="FS12" i="1"/>
  <c r="GS11" i="1" l="1"/>
  <c r="GT11" i="1" s="1"/>
  <c r="GY11" i="1"/>
  <c r="GZ11" i="1" s="1"/>
  <c r="CP27" i="1"/>
  <c r="CS27" i="1" s="1"/>
  <c r="CT27" i="1" s="1"/>
  <c r="CV27" i="1" s="1"/>
  <c r="DL23" i="1"/>
  <c r="DM23" i="1"/>
  <c r="FO16" i="1"/>
  <c r="CW24" i="1"/>
  <c r="DP24" i="1" s="1"/>
  <c r="CV24" i="1"/>
  <c r="DO24" i="1" s="1"/>
  <c r="CN28" i="1"/>
  <c r="CP28" i="1" s="1"/>
  <c r="EB21" i="1"/>
  <c r="FL16" i="1"/>
  <c r="FE16" i="1"/>
  <c r="FH16" i="1" s="1"/>
  <c r="EC21" i="1"/>
  <c r="EG21" i="1" s="1"/>
  <c r="FD16" i="1"/>
  <c r="FV16" i="1" s="1"/>
  <c r="FJ13" i="1"/>
  <c r="GQ13" i="1" s="1"/>
  <c r="FM13" i="1"/>
  <c r="FN13" i="1" s="1"/>
  <c r="FR13" i="1" s="1"/>
  <c r="ED21" i="1"/>
  <c r="EL21" i="1" s="1"/>
  <c r="DQ24" i="1"/>
  <c r="DS23" i="1"/>
  <c r="DU23" i="1"/>
  <c r="CT26" i="1"/>
  <c r="CU26" i="1"/>
  <c r="FU16" i="1"/>
  <c r="HH16" i="1"/>
  <c r="HB17" i="1"/>
  <c r="HF17" i="1" s="1"/>
  <c r="HG17" i="1" s="1"/>
  <c r="EX17" i="1"/>
  <c r="FD17" i="1"/>
  <c r="FV17" i="1" s="1"/>
  <c r="EW17" i="1"/>
  <c r="FE17" i="1"/>
  <c r="FL17" i="1"/>
  <c r="FO17" i="1"/>
  <c r="EQ18" i="1"/>
  <c r="EZ18" i="1" s="1"/>
  <c r="FC18" i="1" s="1"/>
  <c r="EP18" i="1"/>
  <c r="DN24" i="1"/>
  <c r="EE20" i="1"/>
  <c r="EF20" i="1"/>
  <c r="EH20" i="1"/>
  <c r="EI20" i="1"/>
  <c r="EG20" i="1"/>
  <c r="EL20" i="1"/>
  <c r="EO20" i="1" s="1"/>
  <c r="ER20" i="1" s="1"/>
  <c r="FM9" i="1"/>
  <c r="FN9" i="1" s="1"/>
  <c r="FR9" i="1" s="1"/>
  <c r="FJ9" i="1"/>
  <c r="GQ9" i="1" s="1"/>
  <c r="GP9" i="1"/>
  <c r="GA9" i="1"/>
  <c r="GD9" i="1"/>
  <c r="CR28" i="1"/>
  <c r="GH10" i="1"/>
  <c r="CC30" i="1"/>
  <c r="CF30" i="1" s="1"/>
  <c r="CL30" i="1" s="1"/>
  <c r="CK29" i="1"/>
  <c r="CB30" i="1"/>
  <c r="CG30" i="1" s="1"/>
  <c r="CE30" i="1"/>
  <c r="GI10" i="1"/>
  <c r="GE10" i="1"/>
  <c r="GF10" i="1" s="1"/>
  <c r="GG10" i="1"/>
  <c r="CH29" i="1"/>
  <c r="HR31" i="1"/>
  <c r="HU31" i="1"/>
  <c r="IE31" i="1" s="1"/>
  <c r="HQ31" i="1"/>
  <c r="IA31" i="1"/>
  <c r="HM31" i="1"/>
  <c r="HX31" i="1"/>
  <c r="HK31" i="1"/>
  <c r="HL32" i="1" s="1"/>
  <c r="HZ31" i="1"/>
  <c r="AT32" i="1"/>
  <c r="BB32" i="1" s="1"/>
  <c r="BE32" i="1" s="1"/>
  <c r="AS33" i="1"/>
  <c r="CJ29" i="1"/>
  <c r="CM29" i="1" s="1"/>
  <c r="CF29" i="1"/>
  <c r="CL29" i="1" s="1"/>
  <c r="BX31" i="1"/>
  <c r="BU31" i="1"/>
  <c r="DZ22" i="1"/>
  <c r="FW14" i="1"/>
  <c r="FX14" i="1" s="1"/>
  <c r="FZ14" i="1" s="1"/>
  <c r="FM14" i="1"/>
  <c r="FN14" i="1" s="1"/>
  <c r="FJ14" i="1"/>
  <c r="GQ14" i="1" s="1"/>
  <c r="EA22" i="1"/>
  <c r="GP13" i="1"/>
  <c r="GD13" i="1"/>
  <c r="GE12" i="1"/>
  <c r="GF12" i="1" s="1"/>
  <c r="GG12" i="1"/>
  <c r="GH12" i="1"/>
  <c r="GI12" i="1"/>
  <c r="GR11" i="1" l="1"/>
  <c r="HA11" i="1"/>
  <c r="HD11" i="1" s="1"/>
  <c r="DM24" i="1"/>
  <c r="DV23" i="1"/>
  <c r="DW23" i="1"/>
  <c r="DX23" i="1" s="1"/>
  <c r="DR23" i="1"/>
  <c r="FG16" i="1"/>
  <c r="FJ16" i="1" s="1"/>
  <c r="GQ16" i="1" s="1"/>
  <c r="EK21" i="1"/>
  <c r="DL24" i="1"/>
  <c r="FQ13" i="1"/>
  <c r="FS13" i="1" s="1"/>
  <c r="CQ28" i="1"/>
  <c r="CS28" i="1" s="1"/>
  <c r="CU28" i="1" s="1"/>
  <c r="EF21" i="1"/>
  <c r="EE21" i="1"/>
  <c r="CU27" i="1"/>
  <c r="CZ27" i="1" s="1"/>
  <c r="EI21" i="1"/>
  <c r="DY23" i="1"/>
  <c r="EJ21" i="1"/>
  <c r="FP13" i="1"/>
  <c r="GC13" i="1" s="1"/>
  <c r="EH21" i="1"/>
  <c r="EM20" i="1"/>
  <c r="FH17" i="1"/>
  <c r="FY18" i="1"/>
  <c r="HE18" i="1" s="1"/>
  <c r="FF18" i="1"/>
  <c r="FI18" i="1" s="1"/>
  <c r="DU24" i="1"/>
  <c r="DS24" i="1"/>
  <c r="BU32" i="1"/>
  <c r="BX32" i="1"/>
  <c r="CA32" i="1"/>
  <c r="HH17" i="1"/>
  <c r="CY26" i="1"/>
  <c r="CZ26" i="1"/>
  <c r="DA26" i="1"/>
  <c r="FU17" i="1"/>
  <c r="FG17" i="1"/>
  <c r="CV26" i="1"/>
  <c r="CW26" i="1"/>
  <c r="CX26" i="1"/>
  <c r="FA18" i="1"/>
  <c r="EV18" i="1"/>
  <c r="FB18" i="1"/>
  <c r="EN20" i="1"/>
  <c r="CJ30" i="1"/>
  <c r="CM30" i="1" s="1"/>
  <c r="CK30" i="1"/>
  <c r="FQ9" i="1"/>
  <c r="FT9" i="1" s="1"/>
  <c r="FP9" i="1"/>
  <c r="GC9" i="1" s="1"/>
  <c r="GY10" i="1"/>
  <c r="GS10" i="1"/>
  <c r="CN29" i="1"/>
  <c r="CQ29" i="1" s="1"/>
  <c r="CH30" i="1"/>
  <c r="CR29" i="1"/>
  <c r="ED22" i="1"/>
  <c r="EI22" i="1" s="1"/>
  <c r="IA32" i="1"/>
  <c r="HR32" i="1"/>
  <c r="HX32" i="1"/>
  <c r="HM32" i="1"/>
  <c r="HZ32" i="1"/>
  <c r="HK32" i="1"/>
  <c r="HL33" i="1" s="1"/>
  <c r="HU32" i="1"/>
  <c r="IE32" i="1" s="1"/>
  <c r="HQ32" i="1"/>
  <c r="AT33" i="1"/>
  <c r="BB33" i="1" s="1"/>
  <c r="BE33" i="1" s="1"/>
  <c r="AS34" i="1"/>
  <c r="CB31" i="1"/>
  <c r="CG31" i="1" s="1"/>
  <c r="CE31" i="1"/>
  <c r="CC31" i="1"/>
  <c r="EC22" i="1"/>
  <c r="EK22" i="1" s="1"/>
  <c r="EB22" i="1"/>
  <c r="FP14" i="1"/>
  <c r="FQ14" i="1"/>
  <c r="FR14" i="1"/>
  <c r="GD14" i="1"/>
  <c r="GA14" i="1"/>
  <c r="GP14" i="1"/>
  <c r="CW27" i="1"/>
  <c r="CX27" i="1"/>
  <c r="DN27" i="1" s="1"/>
  <c r="DL27" i="1"/>
  <c r="GS12" i="1"/>
  <c r="GY12" i="1"/>
  <c r="HC11" i="1" l="1"/>
  <c r="DV24" i="1"/>
  <c r="EM21" i="1"/>
  <c r="FM16" i="1"/>
  <c r="FN16" i="1" s="1"/>
  <c r="FR16" i="1" s="1"/>
  <c r="FW16" i="1"/>
  <c r="FX16" i="1" s="1"/>
  <c r="FZ16" i="1" s="1"/>
  <c r="GD16" i="1" s="1"/>
  <c r="EA23" i="1"/>
  <c r="DR24" i="1"/>
  <c r="DW24" i="1"/>
  <c r="DX24" i="1" s="1"/>
  <c r="DZ23" i="1"/>
  <c r="GB13" i="1"/>
  <c r="GG13" i="1" s="1"/>
  <c r="GO13" i="1"/>
  <c r="FT13" i="1"/>
  <c r="DA27" i="1"/>
  <c r="DQ27" i="1" s="1"/>
  <c r="EN21" i="1"/>
  <c r="EO21" i="1"/>
  <c r="ER21" i="1" s="1"/>
  <c r="CY27" i="1"/>
  <c r="DO27" i="1" s="1"/>
  <c r="DP27" i="1"/>
  <c r="EQ20" i="1"/>
  <c r="EZ20" i="1" s="1"/>
  <c r="FC20" i="1" s="1"/>
  <c r="FF20" i="1" s="1"/>
  <c r="FI20" i="1" s="1"/>
  <c r="EP20" i="1"/>
  <c r="EP1" i="1" s="1"/>
  <c r="CN30" i="1"/>
  <c r="CP30" i="1" s="1"/>
  <c r="CR30" i="1"/>
  <c r="DL26" i="1"/>
  <c r="DO26" i="1"/>
  <c r="BX33" i="1"/>
  <c r="BU33" i="1"/>
  <c r="CA33" i="1"/>
  <c r="CC32" i="1"/>
  <c r="CE32" i="1"/>
  <c r="CB32" i="1"/>
  <c r="CG32" i="1" s="1"/>
  <c r="EW18" i="1"/>
  <c r="HB18" i="1"/>
  <c r="HF18" i="1" s="1"/>
  <c r="HH18" i="1" s="1"/>
  <c r="FE18" i="1"/>
  <c r="EX18" i="1"/>
  <c r="FD18" i="1"/>
  <c r="FV18" i="1" s="1"/>
  <c r="FJ17" i="1"/>
  <c r="GQ17" i="1" s="1"/>
  <c r="FW17" i="1"/>
  <c r="FX17" i="1" s="1"/>
  <c r="FZ17" i="1" s="1"/>
  <c r="FM17" i="1"/>
  <c r="FN17" i="1" s="1"/>
  <c r="FL18" i="1"/>
  <c r="FO18" i="1"/>
  <c r="DN26" i="1"/>
  <c r="DQ26" i="1"/>
  <c r="DM26" i="1"/>
  <c r="DP26" i="1"/>
  <c r="DY24" i="1"/>
  <c r="CT28" i="1"/>
  <c r="CW28" i="1" s="1"/>
  <c r="EJ22" i="1"/>
  <c r="EH22" i="1"/>
  <c r="EL22" i="1"/>
  <c r="EN22" i="1" s="1"/>
  <c r="CP29" i="1"/>
  <c r="CS29" i="1" s="1"/>
  <c r="GZ10" i="1"/>
  <c r="GB9" i="1"/>
  <c r="GI9" i="1" s="1"/>
  <c r="FS9" i="1"/>
  <c r="GO9" i="1"/>
  <c r="GT10" i="1"/>
  <c r="GR10" i="1"/>
  <c r="HA10" i="1"/>
  <c r="HC10" i="1" s="1"/>
  <c r="CK31" i="1"/>
  <c r="FT14" i="1"/>
  <c r="HZ33" i="1"/>
  <c r="HU33" i="1"/>
  <c r="IE33" i="1" s="1"/>
  <c r="IA33" i="1"/>
  <c r="HQ33" i="1"/>
  <c r="HK33" i="1"/>
  <c r="HL34" i="1" s="1"/>
  <c r="HX33" i="1"/>
  <c r="HM33" i="1"/>
  <c r="HR33" i="1"/>
  <c r="AT34" i="1"/>
  <c r="BB34" i="1" s="1"/>
  <c r="BE34" i="1" s="1"/>
  <c r="AS35" i="1"/>
  <c r="CJ31" i="1"/>
  <c r="CM31" i="1" s="1"/>
  <c r="EF22" i="1"/>
  <c r="EG22" i="1"/>
  <c r="CH31" i="1"/>
  <c r="EE22" i="1"/>
  <c r="CF31" i="1"/>
  <c r="CL31" i="1" s="1"/>
  <c r="FS14" i="1"/>
  <c r="GO14" i="1"/>
  <c r="GB14" i="1"/>
  <c r="GC14" i="1"/>
  <c r="DM27" i="1"/>
  <c r="DW27" i="1" s="1"/>
  <c r="DX27" i="1" s="1"/>
  <c r="CY28" i="1"/>
  <c r="CZ28" i="1"/>
  <c r="DA28" i="1"/>
  <c r="GR12" i="1"/>
  <c r="GT12" i="1"/>
  <c r="HA12" i="1"/>
  <c r="GZ12" i="1"/>
  <c r="ED23" i="1" l="1"/>
  <c r="EL23" i="1" s="1"/>
  <c r="GI13" i="1"/>
  <c r="DZ24" i="1"/>
  <c r="EP21" i="1"/>
  <c r="EV21" i="1" s="1"/>
  <c r="EW21" i="1" s="1"/>
  <c r="FU21" i="1" s="1"/>
  <c r="GA16" i="1"/>
  <c r="GP16" i="1"/>
  <c r="EC23" i="1"/>
  <c r="EK23" i="1" s="1"/>
  <c r="GH13" i="1"/>
  <c r="GS13" i="1" s="1"/>
  <c r="GT13" i="1" s="1"/>
  <c r="GE13" i="1"/>
  <c r="GF13" i="1" s="1"/>
  <c r="FQ16" i="1"/>
  <c r="FT16" i="1" s="1"/>
  <c r="FP16" i="1"/>
  <c r="GB16" i="1" s="1"/>
  <c r="EB23" i="1"/>
  <c r="EA24" i="1"/>
  <c r="CX28" i="1"/>
  <c r="DQ28" i="1" s="1"/>
  <c r="DU27" i="1"/>
  <c r="FB20" i="1"/>
  <c r="EQ21" i="1"/>
  <c r="EZ21" i="1" s="1"/>
  <c r="FC21" i="1" s="1"/>
  <c r="FY21" i="1" s="1"/>
  <c r="HE21" i="1" s="1"/>
  <c r="EV20" i="1"/>
  <c r="EX20" i="1" s="1"/>
  <c r="FA20" i="1"/>
  <c r="FY20" i="1"/>
  <c r="HE20" i="1" s="1"/>
  <c r="HG18" i="1"/>
  <c r="CV28" i="1"/>
  <c r="DL28" i="1" s="1"/>
  <c r="CQ30" i="1"/>
  <c r="CS30" i="1" s="1"/>
  <c r="CT30" i="1" s="1"/>
  <c r="CV30" i="1" s="1"/>
  <c r="EO22" i="1"/>
  <c r="ER22" i="1" s="1"/>
  <c r="FH18" i="1"/>
  <c r="EM22" i="1"/>
  <c r="EP22" i="1" s="1"/>
  <c r="CK32" i="1"/>
  <c r="CH32" i="1"/>
  <c r="CF32" i="1"/>
  <c r="CL32" i="1" s="1"/>
  <c r="CB33" i="1"/>
  <c r="CG33" i="1" s="1"/>
  <c r="CE33" i="1"/>
  <c r="CC33" i="1"/>
  <c r="DS26" i="1"/>
  <c r="DU26" i="1"/>
  <c r="FG18" i="1"/>
  <c r="FU18" i="1"/>
  <c r="BX34" i="1"/>
  <c r="BU34" i="1"/>
  <c r="CA34" i="1"/>
  <c r="FQ17" i="1"/>
  <c r="FR17" i="1"/>
  <c r="FP17" i="1"/>
  <c r="DV26" i="1"/>
  <c r="DR26" i="1"/>
  <c r="DW26" i="1"/>
  <c r="DX26" i="1" s="1"/>
  <c r="GA17" i="1"/>
  <c r="GP17" i="1"/>
  <c r="GD17" i="1"/>
  <c r="CJ32" i="1"/>
  <c r="CT29" i="1"/>
  <c r="CV29" i="1" s="1"/>
  <c r="CU29" i="1"/>
  <c r="DA29" i="1" s="1"/>
  <c r="GE9" i="1"/>
  <c r="GF9" i="1" s="1"/>
  <c r="GG9" i="1"/>
  <c r="GH9" i="1"/>
  <c r="GY9" i="1" s="1"/>
  <c r="HD10" i="1"/>
  <c r="CN31" i="1"/>
  <c r="CP31" i="1" s="1"/>
  <c r="CR31" i="1"/>
  <c r="HK34" i="1"/>
  <c r="HL35" i="1" s="1"/>
  <c r="IA34" i="1"/>
  <c r="HM34" i="1"/>
  <c r="HX34" i="1"/>
  <c r="HR34" i="1"/>
  <c r="HU34" i="1"/>
  <c r="IE34" i="1" s="1"/>
  <c r="HZ34" i="1"/>
  <c r="HQ34" i="1"/>
  <c r="AT35" i="1"/>
  <c r="BB35" i="1" s="1"/>
  <c r="BE35" i="1" s="1"/>
  <c r="AS36" i="1"/>
  <c r="GH14" i="1"/>
  <c r="DR27" i="1"/>
  <c r="EA27" i="1" s="1"/>
  <c r="GE14" i="1"/>
  <c r="GF14" i="1" s="1"/>
  <c r="GI14" i="1"/>
  <c r="GG14" i="1"/>
  <c r="DV27" i="1"/>
  <c r="DS27" i="1"/>
  <c r="DP28" i="1"/>
  <c r="CX29" i="1"/>
  <c r="DM28" i="1"/>
  <c r="HD12" i="1"/>
  <c r="HC12" i="1"/>
  <c r="EX21" i="1" l="1"/>
  <c r="HB21" i="1"/>
  <c r="HF21" i="1" s="1"/>
  <c r="HH21" i="1" s="1"/>
  <c r="DN28" i="1"/>
  <c r="DR28" i="1" s="1"/>
  <c r="EC24" i="1"/>
  <c r="EG24" i="1" s="1"/>
  <c r="EI23" i="1"/>
  <c r="EN23" i="1" s="1"/>
  <c r="HA13" i="1"/>
  <c r="HC13" i="1" s="1"/>
  <c r="EJ23" i="1"/>
  <c r="EO23" i="1" s="1"/>
  <c r="ER23" i="1" s="1"/>
  <c r="EH23" i="1"/>
  <c r="EM23" i="1" s="1"/>
  <c r="FS16" i="1"/>
  <c r="GO16" i="1"/>
  <c r="ED24" i="1"/>
  <c r="EJ24" i="1" s="1"/>
  <c r="EG23" i="1"/>
  <c r="EB24" i="1"/>
  <c r="GY13" i="1"/>
  <c r="GZ13" i="1" s="1"/>
  <c r="EF23" i="1"/>
  <c r="EE23" i="1"/>
  <c r="GC16" i="1"/>
  <c r="GH16" i="1" s="1"/>
  <c r="DY27" i="1"/>
  <c r="DO28" i="1"/>
  <c r="DU28" i="1" s="1"/>
  <c r="FL20" i="1"/>
  <c r="CW30" i="1"/>
  <c r="DM30" i="1" s="1"/>
  <c r="FB21" i="1"/>
  <c r="CU30" i="1"/>
  <c r="CY30" i="1" s="1"/>
  <c r="DO30" i="1" s="1"/>
  <c r="CX30" i="1"/>
  <c r="DN30" i="1" s="1"/>
  <c r="FF21" i="1"/>
  <c r="FI21" i="1" s="1"/>
  <c r="HB20" i="1"/>
  <c r="HF20" i="1" s="1"/>
  <c r="HG20" i="1" s="1"/>
  <c r="FA21" i="1"/>
  <c r="EW20" i="1"/>
  <c r="FU20" i="1" s="1"/>
  <c r="FD20" i="1"/>
  <c r="FV20" i="1" s="1"/>
  <c r="FO20" i="1"/>
  <c r="FE20" i="1"/>
  <c r="FH20" i="1" s="1"/>
  <c r="EQ22" i="1"/>
  <c r="EZ22" i="1" s="1"/>
  <c r="FC22" i="1" s="1"/>
  <c r="FF22" i="1" s="1"/>
  <c r="FI22" i="1" s="1"/>
  <c r="FS17" i="1"/>
  <c r="EA26" i="1"/>
  <c r="DY26" i="1"/>
  <c r="CJ33" i="1"/>
  <c r="BX35" i="1"/>
  <c r="BU35" i="1"/>
  <c r="CA35" i="1"/>
  <c r="DZ26" i="1"/>
  <c r="CN32" i="1"/>
  <c r="FM18" i="1"/>
  <c r="FN18" i="1" s="1"/>
  <c r="FJ18" i="1"/>
  <c r="GQ18" i="1" s="1"/>
  <c r="FW18" i="1"/>
  <c r="FX18" i="1" s="1"/>
  <c r="FZ18" i="1" s="1"/>
  <c r="CM32" i="1"/>
  <c r="CR32" i="1"/>
  <c r="GO17" i="1"/>
  <c r="GC17" i="1"/>
  <c r="GB17" i="1"/>
  <c r="CE34" i="1"/>
  <c r="CC34" i="1"/>
  <c r="CB34" i="1"/>
  <c r="FT17" i="1"/>
  <c r="CK33" i="1"/>
  <c r="CH33" i="1"/>
  <c r="CF33" i="1"/>
  <c r="CL33" i="1" s="1"/>
  <c r="CW29" i="1"/>
  <c r="DM29" i="1" s="1"/>
  <c r="CZ29" i="1"/>
  <c r="CY29" i="1"/>
  <c r="DO29" i="1" s="1"/>
  <c r="CQ31" i="1"/>
  <c r="CS31" i="1" s="1"/>
  <c r="CT31" i="1" s="1"/>
  <c r="GZ9" i="1"/>
  <c r="GS9" i="1"/>
  <c r="HU35" i="1"/>
  <c r="HV35" i="1"/>
  <c r="IA35" i="1"/>
  <c r="HQ35" i="1"/>
  <c r="HW35" i="1"/>
  <c r="HY35" i="1"/>
  <c r="HP35" i="1"/>
  <c r="HS35" i="1"/>
  <c r="HO35" i="1"/>
  <c r="HR35" i="1"/>
  <c r="HZ35" i="1"/>
  <c r="HM35" i="1"/>
  <c r="HK35" i="1"/>
  <c r="HL36" i="1" s="1"/>
  <c r="HT35" i="1"/>
  <c r="HN35" i="1"/>
  <c r="HX35" i="1"/>
  <c r="AT36" i="1"/>
  <c r="AS37" i="1"/>
  <c r="GS14" i="1"/>
  <c r="GY14" i="1"/>
  <c r="DZ27" i="1"/>
  <c r="DL30" i="1"/>
  <c r="DN29" i="1"/>
  <c r="DQ29" i="1"/>
  <c r="DL29" i="1"/>
  <c r="EV22" i="1"/>
  <c r="DP29" i="1" l="1"/>
  <c r="DU29" i="1" s="1"/>
  <c r="DW28" i="1"/>
  <c r="DX28" i="1" s="1"/>
  <c r="EA28" i="1" s="1"/>
  <c r="HG21" i="1"/>
  <c r="EK24" i="1"/>
  <c r="EC27" i="1"/>
  <c r="EK27" i="1" s="1"/>
  <c r="EE24" i="1"/>
  <c r="EF24" i="1"/>
  <c r="GE16" i="1"/>
  <c r="GF16" i="1" s="1"/>
  <c r="EI24" i="1"/>
  <c r="DS28" i="1"/>
  <c r="DY28" i="1" s="1"/>
  <c r="GI16" i="1"/>
  <c r="GY16" i="1" s="1"/>
  <c r="GZ16" i="1" s="1"/>
  <c r="HD13" i="1"/>
  <c r="GG16" i="1"/>
  <c r="GS16" i="1" s="1"/>
  <c r="EH24" i="1"/>
  <c r="DA30" i="1"/>
  <c r="DQ30" i="1" s="1"/>
  <c r="EL24" i="1"/>
  <c r="DV28" i="1"/>
  <c r="GR13" i="1"/>
  <c r="CZ30" i="1"/>
  <c r="DP30" i="1" s="1"/>
  <c r="HH20" i="1"/>
  <c r="FE21" i="1"/>
  <c r="FH21" i="1" s="1"/>
  <c r="FO21" i="1"/>
  <c r="FD21" i="1"/>
  <c r="FV21" i="1" s="1"/>
  <c r="FL21" i="1"/>
  <c r="FB22" i="1"/>
  <c r="CQ32" i="1"/>
  <c r="CP32" i="1"/>
  <c r="FA22" i="1"/>
  <c r="FY22" i="1"/>
  <c r="HE22" i="1" s="1"/>
  <c r="FG20" i="1"/>
  <c r="FJ20" i="1" s="1"/>
  <c r="GQ20" i="1" s="1"/>
  <c r="GH17" i="1"/>
  <c r="CJ34" i="1"/>
  <c r="GI17" i="1"/>
  <c r="CN33" i="1"/>
  <c r="CK34" i="1"/>
  <c r="CF34" i="1"/>
  <c r="CL34" i="1" s="1"/>
  <c r="GD18" i="1"/>
  <c r="GP18" i="1"/>
  <c r="GA18" i="1"/>
  <c r="GE17" i="1"/>
  <c r="GF17" i="1" s="1"/>
  <c r="GG17" i="1"/>
  <c r="EB26" i="1"/>
  <c r="ED26" i="1"/>
  <c r="EC26" i="1"/>
  <c r="EP23" i="1"/>
  <c r="EQ23" i="1"/>
  <c r="EZ23" i="1" s="1"/>
  <c r="FC23" i="1" s="1"/>
  <c r="FQ18" i="1"/>
  <c r="FR18" i="1"/>
  <c r="FP18" i="1"/>
  <c r="CH34" i="1"/>
  <c r="CG34" i="1"/>
  <c r="CB35" i="1"/>
  <c r="CG35" i="1" s="1"/>
  <c r="CE35" i="1"/>
  <c r="CC35" i="1"/>
  <c r="CM33" i="1"/>
  <c r="CR33" i="1"/>
  <c r="CU31" i="1"/>
  <c r="CZ31" i="1" s="1"/>
  <c r="HA9" i="1"/>
  <c r="GT9" i="1"/>
  <c r="GR9" i="1"/>
  <c r="EB27" i="1"/>
  <c r="ED27" i="1"/>
  <c r="EH27" i="1" s="1"/>
  <c r="AT37" i="1"/>
  <c r="BB37" i="1" s="1"/>
  <c r="BE37" i="1" s="1"/>
  <c r="CA37" i="1" s="1"/>
  <c r="AS38" i="1"/>
  <c r="GZ14" i="1"/>
  <c r="HV36" i="1"/>
  <c r="HP36" i="1"/>
  <c r="HZ36" i="1"/>
  <c r="HR36" i="1"/>
  <c r="HS36" i="1"/>
  <c r="HN36" i="1"/>
  <c r="HM36" i="1"/>
  <c r="HQ36" i="1"/>
  <c r="HX36" i="1"/>
  <c r="HO36" i="1"/>
  <c r="HT36" i="1"/>
  <c r="IA36" i="1"/>
  <c r="HU36" i="1"/>
  <c r="HK36" i="1"/>
  <c r="HL37" i="1" s="1"/>
  <c r="HW36" i="1"/>
  <c r="HY36" i="1"/>
  <c r="GR14" i="1"/>
  <c r="GT14" i="1"/>
  <c r="HA14" i="1"/>
  <c r="CV31" i="1"/>
  <c r="CW31" i="1"/>
  <c r="CX31" i="1"/>
  <c r="DW30" i="1"/>
  <c r="DX30" i="1" s="1"/>
  <c r="DR30" i="1"/>
  <c r="DS29" i="1"/>
  <c r="DW29" i="1"/>
  <c r="DX29" i="1" s="1"/>
  <c r="DV29" i="1"/>
  <c r="DR29" i="1"/>
  <c r="HB22" i="1"/>
  <c r="HF22" i="1" s="1"/>
  <c r="EW22" i="1"/>
  <c r="EX22" i="1"/>
  <c r="EO24" i="1" l="1"/>
  <c r="ER24" i="1" s="1"/>
  <c r="EF27" i="1"/>
  <c r="EG27" i="1"/>
  <c r="EE27" i="1"/>
  <c r="EM24" i="1"/>
  <c r="EN24" i="1"/>
  <c r="DZ28" i="1"/>
  <c r="EC28" i="1" s="1"/>
  <c r="DU30" i="1"/>
  <c r="DV30" i="1"/>
  <c r="DS30" i="1"/>
  <c r="CR34" i="1"/>
  <c r="CQ33" i="1"/>
  <c r="FW20" i="1"/>
  <c r="FX20" i="1" s="1"/>
  <c r="FZ20" i="1" s="1"/>
  <c r="GA20" i="1" s="1"/>
  <c r="CM34" i="1"/>
  <c r="FL22" i="1"/>
  <c r="FG21" i="1"/>
  <c r="FM21" i="1" s="1"/>
  <c r="FN21" i="1" s="1"/>
  <c r="FE22" i="1"/>
  <c r="FH22" i="1" s="1"/>
  <c r="CS32" i="1"/>
  <c r="CU32" i="1" s="1"/>
  <c r="DA32" i="1" s="1"/>
  <c r="FD22" i="1"/>
  <c r="FV22" i="1" s="1"/>
  <c r="FM20" i="1"/>
  <c r="FN20" i="1" s="1"/>
  <c r="FQ20" i="1" s="1"/>
  <c r="FO22" i="1"/>
  <c r="CY31" i="1"/>
  <c r="DO31" i="1" s="1"/>
  <c r="HG22" i="1"/>
  <c r="GY17" i="1"/>
  <c r="GZ17" i="1" s="1"/>
  <c r="GS17" i="1"/>
  <c r="HA17" i="1" s="1"/>
  <c r="CJ35" i="1"/>
  <c r="FT18" i="1"/>
  <c r="EL26" i="1"/>
  <c r="EI26" i="1"/>
  <c r="EH26" i="1"/>
  <c r="EJ26" i="1"/>
  <c r="CK35" i="1"/>
  <c r="CF35" i="1"/>
  <c r="CL35" i="1" s="1"/>
  <c r="CH35" i="1"/>
  <c r="CP33" i="1"/>
  <c r="CN34" i="1"/>
  <c r="EK26" i="1"/>
  <c r="EF26" i="1"/>
  <c r="EG26" i="1"/>
  <c r="EE26" i="1"/>
  <c r="GT16" i="1"/>
  <c r="GR16" i="1"/>
  <c r="HA16" i="1"/>
  <c r="FF23" i="1"/>
  <c r="FI23" i="1" s="1"/>
  <c r="FY23" i="1"/>
  <c r="HE23" i="1" s="1"/>
  <c r="FS18" i="1"/>
  <c r="GO18" i="1"/>
  <c r="GC18" i="1"/>
  <c r="GB18" i="1"/>
  <c r="EV23" i="1"/>
  <c r="FA23" i="1"/>
  <c r="FB23" i="1"/>
  <c r="DA31" i="1"/>
  <c r="DQ31" i="1" s="1"/>
  <c r="EJ27" i="1"/>
  <c r="EL27" i="1"/>
  <c r="EM27" i="1" s="1"/>
  <c r="EI27" i="1"/>
  <c r="HC9" i="1"/>
  <c r="HD9" i="1"/>
  <c r="BU37" i="1"/>
  <c r="BX37" i="1"/>
  <c r="AT38" i="1"/>
  <c r="BB38" i="1" s="1"/>
  <c r="BE38" i="1" s="1"/>
  <c r="BU38" i="1" s="1"/>
  <c r="AS39" i="1"/>
  <c r="HR37" i="1"/>
  <c r="HU37" i="1"/>
  <c r="HW37" i="1"/>
  <c r="HZ37" i="1"/>
  <c r="HM37" i="1"/>
  <c r="HP37" i="1"/>
  <c r="HY37" i="1"/>
  <c r="HO37" i="1"/>
  <c r="HS37" i="1"/>
  <c r="HT37" i="1"/>
  <c r="HX37" i="1"/>
  <c r="IA37" i="1"/>
  <c r="HN37" i="1"/>
  <c r="HV37" i="1"/>
  <c r="HK37" i="1"/>
  <c r="HL38" i="1" s="1"/>
  <c r="HQ37" i="1"/>
  <c r="HD14" i="1"/>
  <c r="HC14" i="1"/>
  <c r="DN31" i="1"/>
  <c r="DM31" i="1"/>
  <c r="DL31" i="1"/>
  <c r="DP31" i="1"/>
  <c r="EA30" i="1"/>
  <c r="DY29" i="1"/>
  <c r="DZ29" i="1"/>
  <c r="EA29" i="1"/>
  <c r="HH22" i="1"/>
  <c r="FU22" i="1"/>
  <c r="EB28" i="1" l="1"/>
  <c r="DZ30" i="1"/>
  <c r="EQ24" i="1"/>
  <c r="EZ24" i="1" s="1"/>
  <c r="FC24" i="1" s="1"/>
  <c r="FF24" i="1" s="1"/>
  <c r="FI24" i="1" s="1"/>
  <c r="ED28" i="1"/>
  <c r="EJ28" i="1" s="1"/>
  <c r="EP24" i="1"/>
  <c r="EV24" i="1" s="1"/>
  <c r="FJ21" i="1"/>
  <c r="GQ21" i="1" s="1"/>
  <c r="FW21" i="1"/>
  <c r="FX21" i="1" s="1"/>
  <c r="FZ21" i="1" s="1"/>
  <c r="GD21" i="1" s="1"/>
  <c r="DY30" i="1"/>
  <c r="CN35" i="1"/>
  <c r="CR35" i="1"/>
  <c r="CS33" i="1"/>
  <c r="CU33" i="1" s="1"/>
  <c r="GP20" i="1"/>
  <c r="CQ34" i="1"/>
  <c r="GD20" i="1"/>
  <c r="FG22" i="1"/>
  <c r="FJ22" i="1" s="1"/>
  <c r="GQ22" i="1" s="1"/>
  <c r="CT32" i="1"/>
  <c r="CW32" i="1" s="1"/>
  <c r="CY32" i="1"/>
  <c r="CZ32" i="1"/>
  <c r="FR20" i="1"/>
  <c r="FT20" i="1" s="1"/>
  <c r="FP20" i="1"/>
  <c r="GO20" i="1" s="1"/>
  <c r="GT17" i="1"/>
  <c r="GR17" i="1"/>
  <c r="CM35" i="1"/>
  <c r="CE37" i="1"/>
  <c r="CP34" i="1"/>
  <c r="GG18" i="1"/>
  <c r="GE18" i="1"/>
  <c r="GF18" i="1" s="1"/>
  <c r="GI18" i="1"/>
  <c r="GH18" i="1"/>
  <c r="HD17" i="1"/>
  <c r="HC17" i="1"/>
  <c r="EO26" i="1"/>
  <c r="ER26" i="1" s="1"/>
  <c r="EM26" i="1"/>
  <c r="EN26" i="1"/>
  <c r="CB37" i="1"/>
  <c r="CG37" i="1" s="1"/>
  <c r="EN27" i="1"/>
  <c r="EP27" i="1" s="1"/>
  <c r="FL23" i="1"/>
  <c r="FO23" i="1"/>
  <c r="HD16" i="1"/>
  <c r="HC16" i="1"/>
  <c r="EO27" i="1"/>
  <c r="ER27" i="1" s="1"/>
  <c r="HB23" i="1"/>
  <c r="HF23" i="1" s="1"/>
  <c r="HG23" i="1" s="1"/>
  <c r="EW23" i="1"/>
  <c r="EX23" i="1"/>
  <c r="FD23" i="1"/>
  <c r="FV23" i="1" s="1"/>
  <c r="FE23" i="1"/>
  <c r="CC37" i="1"/>
  <c r="AT39" i="1"/>
  <c r="BB39" i="1" s="1"/>
  <c r="BE39" i="1" s="1"/>
  <c r="BX39" i="1" s="1"/>
  <c r="AS40" i="1"/>
  <c r="CA38" i="1"/>
  <c r="BX38" i="1"/>
  <c r="HK38" i="1"/>
  <c r="HL39" i="1" s="1"/>
  <c r="HN38" i="1"/>
  <c r="HT38" i="1"/>
  <c r="HR38" i="1"/>
  <c r="HU38" i="1"/>
  <c r="HS38" i="1"/>
  <c r="HV38" i="1"/>
  <c r="HM38" i="1"/>
  <c r="HY38" i="1"/>
  <c r="HZ38" i="1"/>
  <c r="HO38" i="1"/>
  <c r="HX38" i="1"/>
  <c r="HW38" i="1"/>
  <c r="HQ38" i="1"/>
  <c r="IA38" i="1"/>
  <c r="HP38" i="1"/>
  <c r="DU31" i="1"/>
  <c r="DS31" i="1"/>
  <c r="DR31" i="1"/>
  <c r="DV31" i="1"/>
  <c r="DW31" i="1"/>
  <c r="DX31" i="1" s="1"/>
  <c r="FR21" i="1"/>
  <c r="FP21" i="1"/>
  <c r="FQ21" i="1"/>
  <c r="EB29" i="1"/>
  <c r="EC29" i="1"/>
  <c r="EG29" i="1" s="1"/>
  <c r="ED29" i="1"/>
  <c r="EH29" i="1" s="1"/>
  <c r="EK28" i="1"/>
  <c r="EE28" i="1"/>
  <c r="EG28" i="1"/>
  <c r="EF28" i="1"/>
  <c r="AT40" i="1" l="1"/>
  <c r="AS41" i="1"/>
  <c r="EB30" i="1"/>
  <c r="EH28" i="1"/>
  <c r="EL28" i="1"/>
  <c r="EO28" i="1" s="1"/>
  <c r="ER28" i="1" s="1"/>
  <c r="EI28" i="1"/>
  <c r="GA21" i="1"/>
  <c r="FB24" i="1"/>
  <c r="CK37" i="1"/>
  <c r="FY24" i="1"/>
  <c r="HE24" i="1" s="1"/>
  <c r="GP21" i="1"/>
  <c r="ED30" i="1"/>
  <c r="EJ30" i="1" s="1"/>
  <c r="FA24" i="1"/>
  <c r="EC30" i="1"/>
  <c r="EK30" i="1" s="1"/>
  <c r="CP35" i="1"/>
  <c r="CF37" i="1"/>
  <c r="CL37" i="1" s="1"/>
  <c r="FM22" i="1"/>
  <c r="FN22" i="1" s="1"/>
  <c r="FQ22" i="1" s="1"/>
  <c r="FW22" i="1"/>
  <c r="FX22" i="1" s="1"/>
  <c r="FZ22" i="1" s="1"/>
  <c r="GA22" i="1" s="1"/>
  <c r="CX32" i="1"/>
  <c r="DN32" i="1" s="1"/>
  <c r="CV32" i="1"/>
  <c r="DO32" i="1" s="1"/>
  <c r="CQ35" i="1"/>
  <c r="CT33" i="1"/>
  <c r="CV33" i="1" s="1"/>
  <c r="CS34" i="1"/>
  <c r="CU34" i="1" s="1"/>
  <c r="CY34" i="1" s="1"/>
  <c r="DP32" i="1"/>
  <c r="GC20" i="1"/>
  <c r="FS20" i="1"/>
  <c r="GB20" i="1"/>
  <c r="EQ27" i="1"/>
  <c r="EZ27" i="1" s="1"/>
  <c r="FC27" i="1" s="1"/>
  <c r="FY27" i="1" s="1"/>
  <c r="HE27" i="1" s="1"/>
  <c r="FH23" i="1"/>
  <c r="CJ37" i="1"/>
  <c r="CM37" i="1" s="1"/>
  <c r="CA39" i="1"/>
  <c r="FG23" i="1"/>
  <c r="FU23" i="1"/>
  <c r="HH23" i="1"/>
  <c r="HB24" i="1"/>
  <c r="HF24" i="1" s="1"/>
  <c r="EX24" i="1"/>
  <c r="EW24" i="1"/>
  <c r="CH37" i="1"/>
  <c r="EQ26" i="1"/>
  <c r="EZ26" i="1" s="1"/>
  <c r="FC26" i="1" s="1"/>
  <c r="EP26" i="1"/>
  <c r="GS18" i="1"/>
  <c r="GY18" i="1"/>
  <c r="CY33" i="1"/>
  <c r="CZ33" i="1"/>
  <c r="DA33" i="1"/>
  <c r="DM32" i="1"/>
  <c r="BU39" i="1"/>
  <c r="CE39" i="1" s="1"/>
  <c r="CC38" i="1"/>
  <c r="CF38" i="1" s="1"/>
  <c r="CL38" i="1" s="1"/>
  <c r="CE38" i="1"/>
  <c r="CB38" i="1"/>
  <c r="CG38" i="1" s="1"/>
  <c r="HT39" i="1"/>
  <c r="IA39" i="1"/>
  <c r="HV39" i="1"/>
  <c r="HS39" i="1"/>
  <c r="HQ39" i="1"/>
  <c r="HP39" i="1"/>
  <c r="HY39" i="1"/>
  <c r="HZ39" i="1"/>
  <c r="HO39" i="1"/>
  <c r="HX39" i="1"/>
  <c r="HR39" i="1"/>
  <c r="HU39" i="1"/>
  <c r="HW39" i="1"/>
  <c r="HK39" i="1"/>
  <c r="HL40" i="1" s="1"/>
  <c r="HN39" i="1"/>
  <c r="HM39" i="1"/>
  <c r="EA31" i="1"/>
  <c r="DZ31" i="1"/>
  <c r="FS21" i="1"/>
  <c r="DY31" i="1"/>
  <c r="EK29" i="1"/>
  <c r="EM29" i="1" s="1"/>
  <c r="GC21" i="1"/>
  <c r="GB21" i="1"/>
  <c r="GO21" i="1"/>
  <c r="EJ29" i="1"/>
  <c r="FT21" i="1"/>
  <c r="EL29" i="1"/>
  <c r="EF29" i="1"/>
  <c r="EE29" i="1"/>
  <c r="EI29" i="1"/>
  <c r="EV27" i="1"/>
  <c r="AT41" i="1" l="1"/>
  <c r="AS42" i="1"/>
  <c r="CN37" i="1"/>
  <c r="CP37" i="1" s="1"/>
  <c r="EI30" i="1"/>
  <c r="EM28" i="1"/>
  <c r="EN28" i="1"/>
  <c r="FE24" i="1"/>
  <c r="FH24" i="1" s="1"/>
  <c r="EF30" i="1"/>
  <c r="FL24" i="1"/>
  <c r="HG24" i="1"/>
  <c r="EL30" i="1"/>
  <c r="EH30" i="1"/>
  <c r="FD24" i="1"/>
  <c r="FV24" i="1" s="1"/>
  <c r="FP22" i="1"/>
  <c r="GC22" i="1" s="1"/>
  <c r="FO24" i="1"/>
  <c r="CB39" i="1"/>
  <c r="CG39" i="1" s="1"/>
  <c r="CC39" i="1"/>
  <c r="CK39" i="1" s="1"/>
  <c r="EE30" i="1"/>
  <c r="EG30" i="1"/>
  <c r="CJ38" i="1"/>
  <c r="CM38" i="1" s="1"/>
  <c r="CR37" i="1"/>
  <c r="CS35" i="1"/>
  <c r="CU35" i="1" s="1"/>
  <c r="CY35" i="1" s="1"/>
  <c r="FR22" i="1"/>
  <c r="FS22" i="1" s="1"/>
  <c r="GD22" i="1"/>
  <c r="DL32" i="1"/>
  <c r="DW32" i="1" s="1"/>
  <c r="DX32" i="1" s="1"/>
  <c r="GP22" i="1"/>
  <c r="CW33" i="1"/>
  <c r="DP33" i="1" s="1"/>
  <c r="CX33" i="1"/>
  <c r="DQ33" i="1" s="1"/>
  <c r="CT34" i="1"/>
  <c r="CX34" i="1" s="1"/>
  <c r="DQ32" i="1"/>
  <c r="DS32" i="1" s="1"/>
  <c r="DA34" i="1"/>
  <c r="CZ34" i="1"/>
  <c r="FA27" i="1"/>
  <c r="GE20" i="1"/>
  <c r="GF20" i="1" s="1"/>
  <c r="GH20" i="1"/>
  <c r="FF27" i="1"/>
  <c r="FI27" i="1" s="1"/>
  <c r="GG20" i="1"/>
  <c r="GI20" i="1"/>
  <c r="FB27" i="1"/>
  <c r="HH24" i="1"/>
  <c r="GZ18" i="1"/>
  <c r="FU24" i="1"/>
  <c r="GT18" i="1"/>
  <c r="GR18" i="1"/>
  <c r="HA18" i="1"/>
  <c r="FM23" i="1"/>
  <c r="FN23" i="1" s="1"/>
  <c r="FJ23" i="1"/>
  <c r="GQ23" i="1" s="1"/>
  <c r="FW23" i="1"/>
  <c r="FX23" i="1" s="1"/>
  <c r="FZ23" i="1" s="1"/>
  <c r="DO33" i="1"/>
  <c r="FB26" i="1"/>
  <c r="FA26" i="1"/>
  <c r="EV26" i="1"/>
  <c r="DL33" i="1"/>
  <c r="FF26" i="1"/>
  <c r="FI26" i="1" s="1"/>
  <c r="FY26" i="1"/>
  <c r="HE26" i="1" s="1"/>
  <c r="CK38" i="1"/>
  <c r="CH38" i="1"/>
  <c r="EB31" i="1"/>
  <c r="CQ37" i="1"/>
  <c r="ED31" i="1"/>
  <c r="EL31" i="1" s="1"/>
  <c r="HN40" i="1"/>
  <c r="HU40" i="1"/>
  <c r="HV40" i="1"/>
  <c r="HK40" i="1"/>
  <c r="HL41" i="1" s="1"/>
  <c r="HW40" i="1"/>
  <c r="HY40" i="1"/>
  <c r="HM40" i="1"/>
  <c r="HZ40" i="1"/>
  <c r="HT40" i="1"/>
  <c r="HQ40" i="1"/>
  <c r="HS40" i="1"/>
  <c r="HP40" i="1"/>
  <c r="HO40" i="1"/>
  <c r="HR40" i="1"/>
  <c r="IA40" i="1"/>
  <c r="HX40" i="1"/>
  <c r="EC31" i="1"/>
  <c r="EF31" i="1" s="1"/>
  <c r="EO29" i="1"/>
  <c r="ER29" i="1" s="1"/>
  <c r="EN29" i="1"/>
  <c r="EQ29" i="1" s="1"/>
  <c r="EZ29" i="1" s="1"/>
  <c r="FC29" i="1" s="1"/>
  <c r="GE21" i="1"/>
  <c r="GF21" i="1" s="1"/>
  <c r="GG21" i="1"/>
  <c r="GH21" i="1"/>
  <c r="GI21" i="1"/>
  <c r="HB27" i="1"/>
  <c r="HF27" i="1" s="1"/>
  <c r="HG27" i="1" s="1"/>
  <c r="EW27" i="1"/>
  <c r="EX27" i="1"/>
  <c r="AT42" i="1" l="1"/>
  <c r="AS43" i="1"/>
  <c r="EP28" i="1"/>
  <c r="EV28" i="1" s="1"/>
  <c r="EQ28" i="1"/>
  <c r="EZ28" i="1" s="1"/>
  <c r="FC28" i="1" s="1"/>
  <c r="FY28" i="1" s="1"/>
  <c r="HE28" i="1" s="1"/>
  <c r="GO22" i="1"/>
  <c r="FG24" i="1"/>
  <c r="FM24" i="1" s="1"/>
  <c r="FN24" i="1" s="1"/>
  <c r="GB22" i="1"/>
  <c r="GI22" i="1" s="1"/>
  <c r="CJ39" i="1"/>
  <c r="CM39" i="1" s="1"/>
  <c r="CF39" i="1"/>
  <c r="CL39" i="1" s="1"/>
  <c r="CH39" i="1"/>
  <c r="CN39" i="1" s="1"/>
  <c r="EM30" i="1"/>
  <c r="EO30" i="1"/>
  <c r="ER30" i="1" s="1"/>
  <c r="EN30" i="1"/>
  <c r="DA35" i="1"/>
  <c r="CT35" i="1"/>
  <c r="CV35" i="1" s="1"/>
  <c r="DO35" i="1" s="1"/>
  <c r="CW34" i="1"/>
  <c r="DP34" i="1" s="1"/>
  <c r="CZ35" i="1"/>
  <c r="CR38" i="1"/>
  <c r="CN38" i="1"/>
  <c r="CQ38" i="1" s="1"/>
  <c r="CV34" i="1"/>
  <c r="DO34" i="1" s="1"/>
  <c r="FL27" i="1"/>
  <c r="DR32" i="1"/>
  <c r="EA32" i="1" s="1"/>
  <c r="FT22" i="1"/>
  <c r="FE27" i="1"/>
  <c r="FH27" i="1" s="1"/>
  <c r="DM33" i="1"/>
  <c r="DN33" i="1"/>
  <c r="FD27" i="1"/>
  <c r="FV27" i="1" s="1"/>
  <c r="DQ34" i="1"/>
  <c r="DU32" i="1"/>
  <c r="DY32" i="1" s="1"/>
  <c r="DV32" i="1"/>
  <c r="FO27" i="1"/>
  <c r="GY20" i="1"/>
  <c r="GS20" i="1"/>
  <c r="HA20" i="1" s="1"/>
  <c r="HD20" i="1" s="1"/>
  <c r="DU33" i="1"/>
  <c r="DS33" i="1"/>
  <c r="GD23" i="1"/>
  <c r="GP23" i="1"/>
  <c r="GA23" i="1"/>
  <c r="HD18" i="1"/>
  <c r="HC18" i="1"/>
  <c r="FP23" i="1"/>
  <c r="FQ23" i="1"/>
  <c r="FR23" i="1"/>
  <c r="DN34" i="1"/>
  <c r="EW26" i="1"/>
  <c r="EX26" i="1"/>
  <c r="FD26" i="1"/>
  <c r="FV26" i="1" s="1"/>
  <c r="FE26" i="1"/>
  <c r="HB26" i="1"/>
  <c r="HF26" i="1" s="1"/>
  <c r="HH26" i="1" s="1"/>
  <c r="FL26" i="1"/>
  <c r="FO26" i="1"/>
  <c r="CS37" i="1"/>
  <c r="CT37" i="1" s="1"/>
  <c r="CW37" i="1" s="1"/>
  <c r="EI31" i="1"/>
  <c r="EJ31" i="1"/>
  <c r="EH31" i="1"/>
  <c r="EK31" i="1"/>
  <c r="HK41" i="1"/>
  <c r="HL42" i="1" s="1"/>
  <c r="HW41" i="1"/>
  <c r="HX41" i="1"/>
  <c r="HZ41" i="1"/>
  <c r="HU41" i="1"/>
  <c r="HY41" i="1"/>
  <c r="HM41" i="1"/>
  <c r="HT41" i="1"/>
  <c r="HQ41" i="1"/>
  <c r="HV41" i="1"/>
  <c r="HS41" i="1"/>
  <c r="HN41" i="1"/>
  <c r="HO41" i="1"/>
  <c r="HR41" i="1"/>
  <c r="HP41" i="1"/>
  <c r="IA41" i="1"/>
  <c r="EG31" i="1"/>
  <c r="EE31" i="1"/>
  <c r="EP29" i="1"/>
  <c r="FA29" i="1" s="1"/>
  <c r="GS21" i="1"/>
  <c r="GY21" i="1"/>
  <c r="FF29" i="1"/>
  <c r="FI29" i="1" s="1"/>
  <c r="FY29" i="1"/>
  <c r="HE29" i="1" s="1"/>
  <c r="HH27" i="1"/>
  <c r="FU27" i="1"/>
  <c r="AT43" i="1" l="1"/>
  <c r="AS44" i="1"/>
  <c r="CR39" i="1"/>
  <c r="CP38" i="1"/>
  <c r="CS38" i="1" s="1"/>
  <c r="CT38" i="1" s="1"/>
  <c r="CW38" i="1" s="1"/>
  <c r="FG27" i="1"/>
  <c r="FJ27" i="1" s="1"/>
  <c r="GQ27" i="1" s="1"/>
  <c r="DL35" i="1"/>
  <c r="FB28" i="1"/>
  <c r="FA28" i="1"/>
  <c r="FF28" i="1"/>
  <c r="FI28" i="1" s="1"/>
  <c r="EQ30" i="1"/>
  <c r="EZ30" i="1" s="1"/>
  <c r="FC30" i="1" s="1"/>
  <c r="FY30" i="1" s="1"/>
  <c r="HE30" i="1" s="1"/>
  <c r="FW24" i="1"/>
  <c r="FX24" i="1" s="1"/>
  <c r="FZ24" i="1" s="1"/>
  <c r="GP24" i="1" s="1"/>
  <c r="FJ24" i="1"/>
  <c r="GQ24" i="1" s="1"/>
  <c r="GE22" i="1"/>
  <c r="GF22" i="1" s="1"/>
  <c r="GH22" i="1"/>
  <c r="GY22" i="1" s="1"/>
  <c r="GG22" i="1"/>
  <c r="EP30" i="1"/>
  <c r="EV30" i="1" s="1"/>
  <c r="HB30" i="1" s="1"/>
  <c r="HF30" i="1" s="1"/>
  <c r="DR33" i="1"/>
  <c r="CP39" i="1"/>
  <c r="CX35" i="1"/>
  <c r="DQ35" i="1" s="1"/>
  <c r="DM34" i="1"/>
  <c r="CW35" i="1"/>
  <c r="DM35" i="1" s="1"/>
  <c r="DU34" i="1"/>
  <c r="DL34" i="1"/>
  <c r="DS34" i="1"/>
  <c r="DV33" i="1"/>
  <c r="DW33" i="1"/>
  <c r="DX33" i="1" s="1"/>
  <c r="DZ32" i="1"/>
  <c r="EC32" i="1" s="1"/>
  <c r="GR20" i="1"/>
  <c r="GZ20" i="1"/>
  <c r="GT20" i="1"/>
  <c r="HC20" i="1"/>
  <c r="FT23" i="1"/>
  <c r="HG26" i="1"/>
  <c r="FH26" i="1"/>
  <c r="CV37" i="1"/>
  <c r="DL37" i="1" s="1"/>
  <c r="FU26" i="1"/>
  <c r="FG26" i="1"/>
  <c r="CU37" i="1"/>
  <c r="CY37" i="1" s="1"/>
  <c r="FS23" i="1"/>
  <c r="FQ24" i="1"/>
  <c r="FP24" i="1"/>
  <c r="FR24" i="1"/>
  <c r="GB23" i="1"/>
  <c r="GC23" i="1"/>
  <c r="GO23" i="1"/>
  <c r="DY33" i="1"/>
  <c r="CX37" i="1"/>
  <c r="DN37" i="1" s="1"/>
  <c r="EO31" i="1"/>
  <c r="ER31" i="1" s="1"/>
  <c r="EN31" i="1"/>
  <c r="EM31" i="1"/>
  <c r="CQ39" i="1"/>
  <c r="HM42" i="1"/>
  <c r="HU42" i="1"/>
  <c r="HZ42" i="1"/>
  <c r="HX42" i="1"/>
  <c r="HY42" i="1"/>
  <c r="HN42" i="1"/>
  <c r="HW42" i="1"/>
  <c r="HK42" i="1"/>
  <c r="HL43" i="1" s="1"/>
  <c r="HS42" i="1"/>
  <c r="HO42" i="1"/>
  <c r="HP42" i="1"/>
  <c r="HR42" i="1"/>
  <c r="HQ42" i="1"/>
  <c r="HT42" i="1"/>
  <c r="IA42" i="1"/>
  <c r="HV42" i="1"/>
  <c r="DM37" i="1"/>
  <c r="EV29" i="1"/>
  <c r="HB29" i="1" s="1"/>
  <c r="HF29" i="1" s="1"/>
  <c r="HG29" i="1" s="1"/>
  <c r="FB29" i="1"/>
  <c r="FL29" i="1" s="1"/>
  <c r="GZ21" i="1"/>
  <c r="GT21" i="1"/>
  <c r="HA21" i="1"/>
  <c r="GR21" i="1"/>
  <c r="EW28" i="1"/>
  <c r="HB28" i="1"/>
  <c r="HF28" i="1" s="1"/>
  <c r="HH28" i="1" s="1"/>
  <c r="EX28" i="1"/>
  <c r="HP9" i="1" l="1"/>
  <c r="HP11" i="1"/>
  <c r="AT44" i="1"/>
  <c r="BB44" i="1" s="1"/>
  <c r="BE44" i="1" s="1"/>
  <c r="AS45" i="1"/>
  <c r="DZ33" i="1"/>
  <c r="FW27" i="1"/>
  <c r="FX27" i="1" s="1"/>
  <c r="FZ27" i="1" s="1"/>
  <c r="GD27" i="1" s="1"/>
  <c r="FM27" i="1"/>
  <c r="FN27" i="1" s="1"/>
  <c r="FR27" i="1" s="1"/>
  <c r="EA33" i="1"/>
  <c r="FD28" i="1"/>
  <c r="FV28" i="1" s="1"/>
  <c r="DP35" i="1"/>
  <c r="DU35" i="1" s="1"/>
  <c r="FO28" i="1"/>
  <c r="FL28" i="1"/>
  <c r="EW30" i="1"/>
  <c r="FU30" i="1" s="1"/>
  <c r="EX30" i="1"/>
  <c r="FE28" i="1"/>
  <c r="FH28" i="1" s="1"/>
  <c r="FA30" i="1"/>
  <c r="HG30" i="1"/>
  <c r="FF30" i="1"/>
  <c r="FI30" i="1" s="1"/>
  <c r="FB30" i="1"/>
  <c r="GS22" i="1"/>
  <c r="GR22" i="1" s="1"/>
  <c r="GD24" i="1"/>
  <c r="GA24" i="1"/>
  <c r="DY34" i="1"/>
  <c r="DN35" i="1"/>
  <c r="DW35" i="1" s="1"/>
  <c r="DX35" i="1" s="1"/>
  <c r="CU38" i="1"/>
  <c r="CZ38" i="1" s="1"/>
  <c r="DP38" i="1" s="1"/>
  <c r="CV38" i="1"/>
  <c r="DL38" i="1" s="1"/>
  <c r="ED32" i="1"/>
  <c r="EI32" i="1" s="1"/>
  <c r="EB32" i="1"/>
  <c r="DR34" i="1"/>
  <c r="DW34" i="1"/>
  <c r="DX34" i="1" s="1"/>
  <c r="DV34" i="1"/>
  <c r="CX38" i="1"/>
  <c r="DN38" i="1" s="1"/>
  <c r="DO37" i="1"/>
  <c r="CZ37" i="1"/>
  <c r="DP37" i="1" s="1"/>
  <c r="DA37" i="1"/>
  <c r="DQ37" i="1" s="1"/>
  <c r="FT24" i="1"/>
  <c r="GI23" i="1"/>
  <c r="GH23" i="1"/>
  <c r="GC24" i="1"/>
  <c r="GB24" i="1"/>
  <c r="GO24" i="1"/>
  <c r="GE23" i="1"/>
  <c r="GF23" i="1" s="1"/>
  <c r="GG23" i="1"/>
  <c r="FS24" i="1"/>
  <c r="FM26" i="1"/>
  <c r="FN26" i="1" s="1"/>
  <c r="FJ26" i="1"/>
  <c r="GQ26" i="1" s="1"/>
  <c r="FW26" i="1"/>
  <c r="FX26" i="1" s="1"/>
  <c r="FZ26" i="1" s="1"/>
  <c r="EK32" i="1"/>
  <c r="EE32" i="1"/>
  <c r="EF32" i="1"/>
  <c r="EG32" i="1"/>
  <c r="EP31" i="1"/>
  <c r="EQ31" i="1"/>
  <c r="EZ31" i="1" s="1"/>
  <c r="FC31" i="1" s="1"/>
  <c r="FF31" i="1" s="1"/>
  <c r="FI31" i="1" s="1"/>
  <c r="CS39" i="1"/>
  <c r="CT39" i="1" s="1"/>
  <c r="DM38" i="1"/>
  <c r="DW37" i="1"/>
  <c r="DX37" i="1" s="1"/>
  <c r="DR37" i="1"/>
  <c r="HN43" i="1"/>
  <c r="HU43" i="1"/>
  <c r="HV43" i="1"/>
  <c r="HR43" i="1"/>
  <c r="HT43" i="1"/>
  <c r="IA43" i="1"/>
  <c r="HZ43" i="1"/>
  <c r="HY43" i="1"/>
  <c r="HS43" i="1"/>
  <c r="HM43" i="1"/>
  <c r="HX43" i="1"/>
  <c r="HP43" i="1"/>
  <c r="HQ43" i="1"/>
  <c r="HK43" i="1"/>
  <c r="HL44" i="1" s="1"/>
  <c r="HW43" i="1"/>
  <c r="HO43" i="1"/>
  <c r="FD29" i="1"/>
  <c r="FV29" i="1" s="1"/>
  <c r="EX29" i="1"/>
  <c r="EW29" i="1"/>
  <c r="FE29" i="1"/>
  <c r="FO29" i="1"/>
  <c r="HD21" i="1"/>
  <c r="HC21" i="1"/>
  <c r="HH30" i="1"/>
  <c r="HH29" i="1"/>
  <c r="HG28" i="1"/>
  <c r="FU28" i="1"/>
  <c r="GZ22" i="1"/>
  <c r="BU44" i="1" l="1"/>
  <c r="BX44" i="1"/>
  <c r="CA44" i="1"/>
  <c r="FQ27" i="1"/>
  <c r="FT27" i="1" s="1"/>
  <c r="AT45" i="1"/>
  <c r="BB45" i="1" s="1"/>
  <c r="BE45" i="1" s="1"/>
  <c r="AS46" i="1"/>
  <c r="GA27" i="1"/>
  <c r="EB33" i="1"/>
  <c r="GP27" i="1"/>
  <c r="FP27" i="1"/>
  <c r="GC27" i="1" s="1"/>
  <c r="ED33" i="1"/>
  <c r="EJ33" i="1" s="1"/>
  <c r="EC33" i="1"/>
  <c r="EF33" i="1" s="1"/>
  <c r="FG28" i="1"/>
  <c r="FM28" i="1" s="1"/>
  <c r="FN28" i="1" s="1"/>
  <c r="DS35" i="1"/>
  <c r="DY35" i="1" s="1"/>
  <c r="DR35" i="1"/>
  <c r="EA35" i="1" s="1"/>
  <c r="FD30" i="1"/>
  <c r="FG30" i="1" s="1"/>
  <c r="FW30" i="1" s="1"/>
  <c r="FO30" i="1"/>
  <c r="FL30" i="1"/>
  <c r="FE30" i="1"/>
  <c r="FH30" i="1" s="1"/>
  <c r="HA22" i="1"/>
  <c r="HC22" i="1" s="1"/>
  <c r="GT22" i="1"/>
  <c r="EJ32" i="1"/>
  <c r="EH32" i="1"/>
  <c r="DZ34" i="1"/>
  <c r="EA34" i="1"/>
  <c r="EL32" i="1"/>
  <c r="EN32" i="1" s="1"/>
  <c r="DV35" i="1"/>
  <c r="DA38" i="1"/>
  <c r="DQ38" i="1" s="1"/>
  <c r="CY38" i="1"/>
  <c r="DO38" i="1" s="1"/>
  <c r="DV37" i="1"/>
  <c r="DS37" i="1"/>
  <c r="DU37" i="1"/>
  <c r="FA31" i="1"/>
  <c r="FB31" i="1"/>
  <c r="FY31" i="1"/>
  <c r="HE31" i="1" s="1"/>
  <c r="EV31" i="1"/>
  <c r="EX31" i="1" s="1"/>
  <c r="GI24" i="1"/>
  <c r="GS23" i="1"/>
  <c r="HA23" i="1" s="1"/>
  <c r="GY23" i="1"/>
  <c r="GZ23" i="1" s="1"/>
  <c r="GD26" i="1"/>
  <c r="GA26" i="1"/>
  <c r="GP26" i="1"/>
  <c r="FQ26" i="1"/>
  <c r="FP26" i="1"/>
  <c r="FR26" i="1"/>
  <c r="GE24" i="1"/>
  <c r="GF24" i="1" s="1"/>
  <c r="GG24" i="1"/>
  <c r="GH24" i="1"/>
  <c r="CV39" i="1"/>
  <c r="CW39" i="1"/>
  <c r="CX39" i="1"/>
  <c r="CU39" i="1"/>
  <c r="EA37" i="1"/>
  <c r="DR38" i="1"/>
  <c r="DW38" i="1"/>
  <c r="DX38" i="1" s="1"/>
  <c r="FH29" i="1"/>
  <c r="HY44" i="1"/>
  <c r="IA44" i="1"/>
  <c r="HT44" i="1"/>
  <c r="HW44" i="1"/>
  <c r="HQ44" i="1"/>
  <c r="HK44" i="1"/>
  <c r="HL45" i="1" s="1"/>
  <c r="HR44" i="1"/>
  <c r="HO44" i="1"/>
  <c r="HP44" i="1"/>
  <c r="HU44" i="1"/>
  <c r="HZ44" i="1"/>
  <c r="HN44" i="1"/>
  <c r="HM44" i="1"/>
  <c r="HX44" i="1"/>
  <c r="HS44" i="1"/>
  <c r="HV44" i="1"/>
  <c r="FG29" i="1"/>
  <c r="FW29" i="1" s="1"/>
  <c r="FU29" i="1"/>
  <c r="CA45" i="1" l="1"/>
  <c r="BX45" i="1"/>
  <c r="BU45" i="1"/>
  <c r="CB44" i="1"/>
  <c r="CG44" i="1" s="1"/>
  <c r="CC44" i="1"/>
  <c r="CE44" i="1"/>
  <c r="CJ44" i="1" s="1"/>
  <c r="HO9" i="1"/>
  <c r="HO11" i="1"/>
  <c r="FS27" i="1"/>
  <c r="GO27" i="1"/>
  <c r="AT46" i="1"/>
  <c r="BB46" i="1" s="1"/>
  <c r="BE46" i="1" s="1"/>
  <c r="AS47" i="1"/>
  <c r="EK33" i="1"/>
  <c r="GB27" i="1"/>
  <c r="GI27" i="1" s="1"/>
  <c r="EI33" i="1"/>
  <c r="EL33" i="1"/>
  <c r="EN33" i="1" s="1"/>
  <c r="EH33" i="1"/>
  <c r="FW28" i="1"/>
  <c r="FX28" i="1" s="1"/>
  <c r="FZ28" i="1" s="1"/>
  <c r="GA28" i="1" s="1"/>
  <c r="FJ28" i="1"/>
  <c r="GQ28" i="1" s="1"/>
  <c r="DS38" i="1"/>
  <c r="EB34" i="1"/>
  <c r="ED34" i="1"/>
  <c r="EL34" i="1" s="1"/>
  <c r="EC34" i="1"/>
  <c r="EF34" i="1" s="1"/>
  <c r="EE33" i="1"/>
  <c r="EG33" i="1"/>
  <c r="DZ37" i="1"/>
  <c r="DZ35" i="1"/>
  <c r="ED35" i="1" s="1"/>
  <c r="EJ35" i="1" s="1"/>
  <c r="FV30" i="1"/>
  <c r="FX30" i="1" s="1"/>
  <c r="FZ30" i="1" s="1"/>
  <c r="GA30" i="1" s="1"/>
  <c r="EO32" i="1"/>
  <c r="ER32" i="1" s="1"/>
  <c r="HD22" i="1"/>
  <c r="EM32" i="1"/>
  <c r="EQ32" i="1" s="1"/>
  <c r="EZ32" i="1" s="1"/>
  <c r="FC32" i="1" s="1"/>
  <c r="DU38" i="1"/>
  <c r="DV38" i="1"/>
  <c r="GT23" i="1"/>
  <c r="HB31" i="1"/>
  <c r="HF31" i="1" s="1"/>
  <c r="HH31" i="1" s="1"/>
  <c r="DY37" i="1"/>
  <c r="FD31" i="1"/>
  <c r="FV31" i="1" s="1"/>
  <c r="FO31" i="1"/>
  <c r="FL31" i="1"/>
  <c r="FE31" i="1"/>
  <c r="FH31" i="1" s="1"/>
  <c r="EW31" i="1"/>
  <c r="FU31" i="1" s="1"/>
  <c r="FT26" i="1"/>
  <c r="GR23" i="1"/>
  <c r="GO26" i="1"/>
  <c r="GC26" i="1"/>
  <c r="GB26" i="1"/>
  <c r="GY24" i="1"/>
  <c r="GS24" i="1"/>
  <c r="FS26" i="1"/>
  <c r="HP12" i="1"/>
  <c r="HD23" i="1"/>
  <c r="HC23" i="1"/>
  <c r="FJ30" i="1"/>
  <c r="GQ30" i="1" s="1"/>
  <c r="FM30" i="1"/>
  <c r="FN30" i="1" s="1"/>
  <c r="FQ30" i="1" s="1"/>
  <c r="CY39" i="1"/>
  <c r="DO39" i="1" s="1"/>
  <c r="CZ39" i="1"/>
  <c r="DP39" i="1" s="1"/>
  <c r="DA39" i="1"/>
  <c r="DQ39" i="1" s="1"/>
  <c r="DN39" i="1"/>
  <c r="DM39" i="1"/>
  <c r="FM29" i="1"/>
  <c r="FN29" i="1" s="1"/>
  <c r="FQ29" i="1" s="1"/>
  <c r="DL39" i="1"/>
  <c r="EA38" i="1"/>
  <c r="FJ29" i="1"/>
  <c r="GQ29" i="1" s="1"/>
  <c r="HP15" i="1" s="1"/>
  <c r="FX29" i="1"/>
  <c r="FZ29" i="1" s="1"/>
  <c r="GA29" i="1" s="1"/>
  <c r="HT45" i="1"/>
  <c r="HX45" i="1"/>
  <c r="HQ45" i="1"/>
  <c r="HZ45" i="1"/>
  <c r="HW45" i="1"/>
  <c r="HK45" i="1"/>
  <c r="HL46" i="1" s="1"/>
  <c r="HR45" i="1"/>
  <c r="HV45" i="1"/>
  <c r="IA45" i="1"/>
  <c r="HN45" i="1"/>
  <c r="HP45" i="1"/>
  <c r="HO45" i="1"/>
  <c r="HM45" i="1"/>
  <c r="HS45" i="1"/>
  <c r="HU45" i="1"/>
  <c r="HY45" i="1"/>
  <c r="FP28" i="1"/>
  <c r="FR28" i="1"/>
  <c r="FQ28" i="1"/>
  <c r="CM44" i="1" l="1"/>
  <c r="CF44" i="1"/>
  <c r="CL44" i="1" s="1"/>
  <c r="CK44" i="1"/>
  <c r="CH44" i="1"/>
  <c r="BX46" i="1"/>
  <c r="BU46" i="1"/>
  <c r="CA46" i="1"/>
  <c r="CB45" i="1"/>
  <c r="CG45" i="1" s="1"/>
  <c r="CC45" i="1"/>
  <c r="CE45" i="1"/>
  <c r="HN9" i="1"/>
  <c r="HN11" i="1"/>
  <c r="AT47" i="1"/>
  <c r="BB47" i="1" s="1"/>
  <c r="BE47" i="1" s="1"/>
  <c r="AS48" i="1"/>
  <c r="EE34" i="1"/>
  <c r="EM33" i="1"/>
  <c r="EP33" i="1" s="1"/>
  <c r="EO33" i="1"/>
  <c r="ER33" i="1" s="1"/>
  <c r="DY38" i="1"/>
  <c r="GH27" i="1"/>
  <c r="GY27" i="1" s="1"/>
  <c r="GG27" i="1"/>
  <c r="EH34" i="1"/>
  <c r="EI34" i="1"/>
  <c r="GE27" i="1"/>
  <c r="GF27" i="1" s="1"/>
  <c r="EJ34" i="1"/>
  <c r="HP24" i="1"/>
  <c r="GD28" i="1"/>
  <c r="GP28" i="1"/>
  <c r="EG34" i="1"/>
  <c r="EK34" i="1"/>
  <c r="EN34" i="1" s="1"/>
  <c r="EH35" i="1"/>
  <c r="EL35" i="1"/>
  <c r="DZ38" i="1"/>
  <c r="ED37" i="1"/>
  <c r="EH37" i="1" s="1"/>
  <c r="EC37" i="1"/>
  <c r="EE37" i="1" s="1"/>
  <c r="EI35" i="1"/>
  <c r="EB35" i="1"/>
  <c r="EC35" i="1"/>
  <c r="EK35" i="1" s="1"/>
  <c r="GD30" i="1"/>
  <c r="GP30" i="1"/>
  <c r="EP32" i="1"/>
  <c r="FB32" i="1" s="1"/>
  <c r="HG31" i="1"/>
  <c r="EB37" i="1"/>
  <c r="HO24" i="1"/>
  <c r="FR30" i="1"/>
  <c r="FS30" i="1" s="1"/>
  <c r="FG31" i="1"/>
  <c r="FW31" i="1" s="1"/>
  <c r="FX31" i="1" s="1"/>
  <c r="FZ31" i="1" s="1"/>
  <c r="GE26" i="1"/>
  <c r="GF26" i="1" s="1"/>
  <c r="GG26" i="1"/>
  <c r="GH26" i="1"/>
  <c r="GZ24" i="1"/>
  <c r="HO12" i="1"/>
  <c r="FY32" i="1"/>
  <c r="HE32" i="1" s="1"/>
  <c r="FF32" i="1"/>
  <c r="FI32" i="1" s="1"/>
  <c r="FP30" i="1"/>
  <c r="GC30" i="1" s="1"/>
  <c r="GI26" i="1"/>
  <c r="GR24" i="1"/>
  <c r="GT24" i="1"/>
  <c r="HA24" i="1"/>
  <c r="HP19" i="1"/>
  <c r="HO19" i="1"/>
  <c r="FP29" i="1"/>
  <c r="GB29" i="1" s="1"/>
  <c r="FR29" i="1"/>
  <c r="DV39" i="1"/>
  <c r="DR39" i="1"/>
  <c r="DW39" i="1"/>
  <c r="DX39" i="1" s="1"/>
  <c r="DU39" i="1"/>
  <c r="DS39" i="1"/>
  <c r="GD29" i="1"/>
  <c r="GP29" i="1"/>
  <c r="HO15" i="1"/>
  <c r="HS46" i="1"/>
  <c r="HR46" i="1"/>
  <c r="HV46" i="1"/>
  <c r="HP46" i="1"/>
  <c r="HY46" i="1"/>
  <c r="HM46" i="1"/>
  <c r="HO46" i="1"/>
  <c r="HK46" i="1"/>
  <c r="HL47" i="1" s="1"/>
  <c r="HU46" i="1"/>
  <c r="HQ46" i="1"/>
  <c r="HX46" i="1"/>
  <c r="HZ46" i="1"/>
  <c r="HW46" i="1"/>
  <c r="HN46" i="1"/>
  <c r="HT46" i="1"/>
  <c r="IA46" i="1"/>
  <c r="FT29" i="1"/>
  <c r="FS28" i="1"/>
  <c r="FS29" i="1"/>
  <c r="FT28" i="1"/>
  <c r="GB28" i="1"/>
  <c r="GO28" i="1"/>
  <c r="GC28" i="1"/>
  <c r="BX47" i="1" l="1"/>
  <c r="BU47" i="1"/>
  <c r="CA47" i="1"/>
  <c r="CN44" i="1"/>
  <c r="CQ44" i="1" s="1"/>
  <c r="CK45" i="1"/>
  <c r="CJ45" i="1"/>
  <c r="CH45" i="1"/>
  <c r="CF45" i="1"/>
  <c r="CL45" i="1" s="1"/>
  <c r="CC46" i="1"/>
  <c r="CB46" i="1"/>
  <c r="CE46" i="1"/>
  <c r="CJ46" i="1" s="1"/>
  <c r="CR44" i="1"/>
  <c r="HV9" i="1"/>
  <c r="IF9" i="1" s="1"/>
  <c r="HV11" i="1"/>
  <c r="IF11" i="1" s="1"/>
  <c r="AT48" i="1"/>
  <c r="BB48" i="1" s="1"/>
  <c r="BE48" i="1" s="1"/>
  <c r="AS49" i="1"/>
  <c r="GS27" i="1"/>
  <c r="EQ33" i="1"/>
  <c r="EZ33" i="1" s="1"/>
  <c r="FC33" i="1" s="1"/>
  <c r="FF33" i="1" s="1"/>
  <c r="FI33" i="1" s="1"/>
  <c r="EC38" i="1"/>
  <c r="EK38" i="1" s="1"/>
  <c r="ED38" i="1"/>
  <c r="EL38" i="1" s="1"/>
  <c r="EB38" i="1"/>
  <c r="EO34" i="1"/>
  <c r="ER34" i="1" s="1"/>
  <c r="EM34" i="1"/>
  <c r="EQ34" i="1" s="1"/>
  <c r="EZ34" i="1" s="1"/>
  <c r="FC34" i="1" s="1"/>
  <c r="EF37" i="1"/>
  <c r="EL37" i="1"/>
  <c r="EK37" i="1"/>
  <c r="EI37" i="1"/>
  <c r="EJ37" i="1"/>
  <c r="EM35" i="1"/>
  <c r="EG37" i="1"/>
  <c r="EF35" i="1"/>
  <c r="EO35" i="1"/>
  <c r="ER35" i="1" s="1"/>
  <c r="EN35" i="1"/>
  <c r="EG35" i="1"/>
  <c r="EE35" i="1"/>
  <c r="EV32" i="1"/>
  <c r="HB32" i="1" s="1"/>
  <c r="HF32" i="1" s="1"/>
  <c r="HG32" i="1" s="1"/>
  <c r="FA32" i="1"/>
  <c r="FM31" i="1"/>
  <c r="FN31" i="1" s="1"/>
  <c r="FR31" i="1" s="1"/>
  <c r="FJ31" i="1"/>
  <c r="GQ31" i="1" s="1"/>
  <c r="FT30" i="1"/>
  <c r="GB30" i="1"/>
  <c r="GE30" i="1" s="1"/>
  <c r="GF30" i="1" s="1"/>
  <c r="GO30" i="1"/>
  <c r="HN12" i="1"/>
  <c r="HC24" i="1"/>
  <c r="HD24" i="1"/>
  <c r="EV33" i="1"/>
  <c r="GY26" i="1"/>
  <c r="GZ26" i="1" s="1"/>
  <c r="GS26" i="1"/>
  <c r="HN19" i="1"/>
  <c r="GO29" i="1"/>
  <c r="GC29" i="1"/>
  <c r="GH29" i="1" s="1"/>
  <c r="EA39" i="1"/>
  <c r="DY39" i="1"/>
  <c r="DZ39" i="1"/>
  <c r="HN15" i="1"/>
  <c r="HQ47" i="1"/>
  <c r="HV47" i="1"/>
  <c r="HZ47" i="1"/>
  <c r="HT47" i="1"/>
  <c r="HW47" i="1"/>
  <c r="HY47" i="1"/>
  <c r="HK47" i="1"/>
  <c r="HL48" i="1" s="1"/>
  <c r="IA47" i="1"/>
  <c r="HN47" i="1"/>
  <c r="HP47" i="1"/>
  <c r="HX47" i="1"/>
  <c r="HM47" i="1"/>
  <c r="HS47" i="1"/>
  <c r="HO47" i="1"/>
  <c r="HU47" i="1"/>
  <c r="HR47" i="1"/>
  <c r="GD31" i="1"/>
  <c r="GP31" i="1"/>
  <c r="GA31" i="1"/>
  <c r="GG29" i="1"/>
  <c r="GH28" i="1"/>
  <c r="GI28" i="1"/>
  <c r="GG28" i="1"/>
  <c r="GE28" i="1"/>
  <c r="GF28" i="1" s="1"/>
  <c r="GZ27" i="1"/>
  <c r="CM45" i="1" l="1"/>
  <c r="CR45" i="1"/>
  <c r="CN45" i="1"/>
  <c r="CH46" i="1"/>
  <c r="CG46" i="1"/>
  <c r="CM46" i="1" s="1"/>
  <c r="GI29" i="1"/>
  <c r="CF46" i="1"/>
  <c r="CL46" i="1" s="1"/>
  <c r="CK46" i="1"/>
  <c r="BX48" i="1"/>
  <c r="BU48" i="1"/>
  <c r="CA48" i="1"/>
  <c r="CQ45" i="1"/>
  <c r="CB47" i="1"/>
  <c r="CG47" i="1" s="1"/>
  <c r="CC47" i="1"/>
  <c r="CE47" i="1"/>
  <c r="CJ47" i="1" s="1"/>
  <c r="GE29" i="1"/>
  <c r="GF29" i="1" s="1"/>
  <c r="CP44" i="1"/>
  <c r="CS44" i="1" s="1"/>
  <c r="HN24" i="1"/>
  <c r="HT9" i="1"/>
  <c r="ID9" i="1" s="1"/>
  <c r="HT11" i="1"/>
  <c r="ID11" i="1" s="1"/>
  <c r="HY9" i="1"/>
  <c r="HY11" i="1"/>
  <c r="EE38" i="1"/>
  <c r="EF38" i="1"/>
  <c r="EG38" i="1"/>
  <c r="EJ38" i="1"/>
  <c r="AT49" i="1"/>
  <c r="BB49" i="1" s="1"/>
  <c r="BE49" i="1" s="1"/>
  <c r="AS50" i="1"/>
  <c r="FA33" i="1"/>
  <c r="FY33" i="1"/>
  <c r="HE33" i="1" s="1"/>
  <c r="EM37" i="1"/>
  <c r="EO37" i="1"/>
  <c r="ER37" i="1" s="1"/>
  <c r="HA27" i="1"/>
  <c r="HC27" i="1" s="1"/>
  <c r="GR27" i="1"/>
  <c r="GT27" i="1"/>
  <c r="EP34" i="1"/>
  <c r="FB34" i="1" s="1"/>
  <c r="EI38" i="1"/>
  <c r="EN38" i="1" s="1"/>
  <c r="EH38" i="1"/>
  <c r="EM38" i="1" s="1"/>
  <c r="FB33" i="1"/>
  <c r="EN37" i="1"/>
  <c r="EQ35" i="1"/>
  <c r="EZ35" i="1" s="1"/>
  <c r="FC35" i="1" s="1"/>
  <c r="FF35" i="1" s="1"/>
  <c r="FI35" i="1" s="1"/>
  <c r="EP35" i="1"/>
  <c r="FE32" i="1"/>
  <c r="EX32" i="1"/>
  <c r="FP31" i="1"/>
  <c r="GC31" i="1" s="1"/>
  <c r="FD32" i="1"/>
  <c r="FV32" i="1" s="1"/>
  <c r="EW32" i="1"/>
  <c r="FU32" i="1" s="1"/>
  <c r="FO32" i="1"/>
  <c r="FQ31" i="1"/>
  <c r="FS31" i="1" s="1"/>
  <c r="FL32" i="1"/>
  <c r="GH30" i="1"/>
  <c r="GI30" i="1"/>
  <c r="GG30" i="1"/>
  <c r="FY34" i="1"/>
  <c r="HE34" i="1" s="1"/>
  <c r="FF34" i="1"/>
  <c r="FI34" i="1" s="1"/>
  <c r="EW33" i="1"/>
  <c r="EX33" i="1"/>
  <c r="HB33" i="1"/>
  <c r="HF33" i="1" s="1"/>
  <c r="HH33" i="1" s="1"/>
  <c r="GT26" i="1"/>
  <c r="GR26" i="1"/>
  <c r="HA26" i="1"/>
  <c r="HH32" i="1"/>
  <c r="ED39" i="1"/>
  <c r="EB39" i="1"/>
  <c r="EC39" i="1"/>
  <c r="GS29" i="1"/>
  <c r="HT15" i="1" s="1"/>
  <c r="ID15" i="1" s="1"/>
  <c r="EO38" i="1"/>
  <c r="ER38" i="1" s="1"/>
  <c r="HR48" i="1"/>
  <c r="HV48" i="1"/>
  <c r="HO48" i="1"/>
  <c r="HZ48" i="1"/>
  <c r="IA48" i="1"/>
  <c r="HU48" i="1"/>
  <c r="HQ48" i="1"/>
  <c r="HK48" i="1"/>
  <c r="HL49" i="1" s="1"/>
  <c r="HS48" i="1"/>
  <c r="HM48" i="1"/>
  <c r="HY48" i="1"/>
  <c r="HT48" i="1"/>
  <c r="HX48" i="1"/>
  <c r="HW48" i="1"/>
  <c r="HN48" i="1"/>
  <c r="HP48" i="1"/>
  <c r="GY29" i="1"/>
  <c r="HV15" i="1" s="1"/>
  <c r="IF15" i="1" s="1"/>
  <c r="GS28" i="1"/>
  <c r="GY28" i="1"/>
  <c r="CU44" i="1" l="1"/>
  <c r="CT44" i="1"/>
  <c r="BU49" i="1"/>
  <c r="CA49" i="1"/>
  <c r="BX49" i="1"/>
  <c r="CS45" i="1"/>
  <c r="CU45" i="1" s="1"/>
  <c r="CT45" i="1"/>
  <c r="CC48" i="1"/>
  <c r="CB48" i="1"/>
  <c r="CG48" i="1" s="1"/>
  <c r="CE48" i="1"/>
  <c r="CM47" i="1"/>
  <c r="CR47" i="1"/>
  <c r="CN46" i="1"/>
  <c r="CP45" i="1"/>
  <c r="CK47" i="1"/>
  <c r="CF47" i="1"/>
  <c r="CL47" i="1" s="1"/>
  <c r="CH47" i="1"/>
  <c r="CQ46" i="1"/>
  <c r="CP46" i="1"/>
  <c r="CR46" i="1"/>
  <c r="HW9" i="1"/>
  <c r="HW11" i="1"/>
  <c r="HS9" i="1"/>
  <c r="IC9" i="1" s="1"/>
  <c r="HS11" i="1"/>
  <c r="IC11" i="1" s="1"/>
  <c r="FE33" i="1"/>
  <c r="FH33" i="1" s="1"/>
  <c r="HD27" i="1"/>
  <c r="AT50" i="1"/>
  <c r="AS51" i="1"/>
  <c r="EQ37" i="1"/>
  <c r="EZ37" i="1" s="1"/>
  <c r="FC37" i="1" s="1"/>
  <c r="FF37" i="1" s="1"/>
  <c r="FI37" i="1" s="1"/>
  <c r="EP37" i="1"/>
  <c r="EV37" i="1" s="1"/>
  <c r="EW37" i="1" s="1"/>
  <c r="FA34" i="1"/>
  <c r="FO34" i="1" s="1"/>
  <c r="EV34" i="1"/>
  <c r="EW34" i="1" s="1"/>
  <c r="FY35" i="1"/>
  <c r="HE35" i="1" s="1"/>
  <c r="FB35" i="1"/>
  <c r="FO33" i="1"/>
  <c r="FL33" i="1"/>
  <c r="FD33" i="1"/>
  <c r="FV33" i="1" s="1"/>
  <c r="FA35" i="1"/>
  <c r="EV35" i="1"/>
  <c r="EX35" i="1" s="1"/>
  <c r="GB31" i="1"/>
  <c r="GH31" i="1" s="1"/>
  <c r="GO31" i="1"/>
  <c r="FH32" i="1"/>
  <c r="FG32" i="1"/>
  <c r="FW32" i="1" s="1"/>
  <c r="FX32" i="1" s="1"/>
  <c r="FZ32" i="1" s="1"/>
  <c r="FT31" i="1"/>
  <c r="GS30" i="1"/>
  <c r="HA30" i="1" s="1"/>
  <c r="HD30" i="1" s="1"/>
  <c r="GY30" i="1"/>
  <c r="HV24" i="1" s="1"/>
  <c r="IF24" i="1" s="1"/>
  <c r="HT24" i="1"/>
  <c r="ID24" i="1" s="1"/>
  <c r="HG33" i="1"/>
  <c r="HB35" i="1"/>
  <c r="HF35" i="1" s="1"/>
  <c r="HH35" i="1" s="1"/>
  <c r="HC26" i="1"/>
  <c r="HD26" i="1"/>
  <c r="FU33" i="1"/>
  <c r="GZ28" i="1"/>
  <c r="FL35" i="1"/>
  <c r="FO35" i="1"/>
  <c r="GT28" i="1"/>
  <c r="HA29" i="1"/>
  <c r="HD29" i="1" s="1"/>
  <c r="GT29" i="1"/>
  <c r="HW15" i="1" s="1"/>
  <c r="GZ29" i="1"/>
  <c r="HY15" i="1" s="1"/>
  <c r="GR29" i="1"/>
  <c r="HS15" i="1" s="1"/>
  <c r="IC15" i="1" s="1"/>
  <c r="EK39" i="1"/>
  <c r="EE39" i="1"/>
  <c r="EG39" i="1"/>
  <c r="EF39" i="1"/>
  <c r="EL39" i="1"/>
  <c r="EH39" i="1"/>
  <c r="EI39" i="1"/>
  <c r="EJ39" i="1"/>
  <c r="HV19" i="1"/>
  <c r="IF19" i="1" s="1"/>
  <c r="HT19" i="1"/>
  <c r="ID19" i="1" s="1"/>
  <c r="EP38" i="1"/>
  <c r="EQ38" i="1"/>
  <c r="EZ38" i="1" s="1"/>
  <c r="FC38" i="1" s="1"/>
  <c r="HT12" i="1"/>
  <c r="ID12" i="1" s="1"/>
  <c r="HA28" i="1"/>
  <c r="HD28" i="1" s="1"/>
  <c r="HY49" i="1"/>
  <c r="IA49" i="1"/>
  <c r="HO49" i="1"/>
  <c r="HK49" i="1"/>
  <c r="HL50" i="1" s="1"/>
  <c r="HU49" i="1"/>
  <c r="HW49" i="1"/>
  <c r="HZ49" i="1"/>
  <c r="HX49" i="1"/>
  <c r="HQ49" i="1"/>
  <c r="HS49" i="1"/>
  <c r="HV49" i="1"/>
  <c r="HN49" i="1"/>
  <c r="HP49" i="1"/>
  <c r="HT49" i="1"/>
  <c r="HM49" i="1"/>
  <c r="HR49" i="1"/>
  <c r="GR28" i="1"/>
  <c r="HV12" i="1"/>
  <c r="IF12" i="1" s="1"/>
  <c r="CF48" i="1" l="1"/>
  <c r="CL48" i="1" s="1"/>
  <c r="CK48" i="1"/>
  <c r="CH48" i="1"/>
  <c r="CV45" i="1"/>
  <c r="CW45" i="1"/>
  <c r="CX45" i="1"/>
  <c r="CS46" i="1"/>
  <c r="CU46" i="1" s="1"/>
  <c r="CY45" i="1"/>
  <c r="CZ45" i="1"/>
  <c r="DA45" i="1"/>
  <c r="CQ47" i="1"/>
  <c r="CP47" i="1"/>
  <c r="CE49" i="1"/>
  <c r="CJ49" i="1" s="1"/>
  <c r="CB49" i="1"/>
  <c r="CG49" i="1" s="1"/>
  <c r="CC49" i="1"/>
  <c r="CN47" i="1"/>
  <c r="CJ48" i="1"/>
  <c r="CV44" i="1"/>
  <c r="CW44" i="1"/>
  <c r="CX44" i="1"/>
  <c r="CY44" i="1"/>
  <c r="CZ44" i="1"/>
  <c r="DA44" i="1"/>
  <c r="HC29" i="1"/>
  <c r="HB37" i="1"/>
  <c r="HF37" i="1" s="1"/>
  <c r="HB34" i="1"/>
  <c r="HF34" i="1" s="1"/>
  <c r="HG34" i="1" s="1"/>
  <c r="AT51" i="1"/>
  <c r="AS52" i="1"/>
  <c r="EX34" i="1"/>
  <c r="FY37" i="1"/>
  <c r="HE37" i="1" s="1"/>
  <c r="EX37" i="1"/>
  <c r="GG31" i="1"/>
  <c r="GS31" i="1" s="1"/>
  <c r="HA31" i="1" s="1"/>
  <c r="FB37" i="1"/>
  <c r="FA37" i="1"/>
  <c r="FE34" i="1"/>
  <c r="FL34" i="1"/>
  <c r="FD34" i="1"/>
  <c r="FV34" i="1" s="1"/>
  <c r="FG33" i="1"/>
  <c r="FW33" i="1" s="1"/>
  <c r="FX33" i="1" s="1"/>
  <c r="FZ33" i="1" s="1"/>
  <c r="GE31" i="1"/>
  <c r="GF31" i="1" s="1"/>
  <c r="GI31" i="1"/>
  <c r="GY31" i="1" s="1"/>
  <c r="FD35" i="1"/>
  <c r="FV35" i="1" s="1"/>
  <c r="EW35" i="1"/>
  <c r="FE35" i="1"/>
  <c r="FM32" i="1"/>
  <c r="FN32" i="1" s="1"/>
  <c r="FP32" i="1" s="1"/>
  <c r="FJ32" i="1"/>
  <c r="GQ32" i="1" s="1"/>
  <c r="HG35" i="1"/>
  <c r="FH35" i="1"/>
  <c r="GT30" i="1"/>
  <c r="GR30" i="1"/>
  <c r="GZ30" i="1"/>
  <c r="HC30" i="1"/>
  <c r="HS24" i="1"/>
  <c r="IC24" i="1" s="1"/>
  <c r="HW24" i="1"/>
  <c r="HW12" i="1"/>
  <c r="GA32" i="1"/>
  <c r="GP32" i="1"/>
  <c r="GD32" i="1"/>
  <c r="HY12" i="1"/>
  <c r="FU34" i="1"/>
  <c r="FG35" i="1"/>
  <c r="FU35" i="1"/>
  <c r="HS12" i="1"/>
  <c r="IC12" i="1" s="1"/>
  <c r="HH34" i="1"/>
  <c r="HY19" i="1"/>
  <c r="HS19" i="1"/>
  <c r="IC19" i="1" s="1"/>
  <c r="HW19" i="1"/>
  <c r="HC28" i="1"/>
  <c r="EO39" i="1"/>
  <c r="ER39" i="1" s="1"/>
  <c r="EN39" i="1"/>
  <c r="EM39" i="1"/>
  <c r="FF38" i="1"/>
  <c r="FI38" i="1" s="1"/>
  <c r="FY38" i="1"/>
  <c r="HE38" i="1" s="1"/>
  <c r="FA38" i="1"/>
  <c r="FB38" i="1"/>
  <c r="EV38" i="1"/>
  <c r="HQ50" i="1"/>
  <c r="HR50" i="1"/>
  <c r="HY50" i="1"/>
  <c r="HK50" i="1"/>
  <c r="HL51" i="1" s="1"/>
  <c r="HS50" i="1"/>
  <c r="HX50" i="1"/>
  <c r="HU50" i="1"/>
  <c r="HV50" i="1"/>
  <c r="HO50" i="1"/>
  <c r="HW50" i="1"/>
  <c r="HP50" i="1"/>
  <c r="HN50" i="1"/>
  <c r="HT50" i="1"/>
  <c r="IA50" i="1"/>
  <c r="HM50" i="1"/>
  <c r="HZ50" i="1"/>
  <c r="FU37" i="1"/>
  <c r="DN44" i="1" l="1"/>
  <c r="CT46" i="1"/>
  <c r="DM44" i="1"/>
  <c r="CM49" i="1"/>
  <c r="CY46" i="1"/>
  <c r="CZ46" i="1"/>
  <c r="DA46" i="1"/>
  <c r="DO44" i="1"/>
  <c r="DL44" i="1"/>
  <c r="DN45" i="1"/>
  <c r="CM48" i="1"/>
  <c r="CP48" i="1" s="1"/>
  <c r="CS47" i="1"/>
  <c r="CT47" i="1" s="1"/>
  <c r="CU47" i="1"/>
  <c r="DM45" i="1"/>
  <c r="DL45" i="1"/>
  <c r="DQ44" i="1"/>
  <c r="DQ45" i="1"/>
  <c r="HY24" i="1"/>
  <c r="DP44" i="1"/>
  <c r="DP45" i="1"/>
  <c r="CR48" i="1"/>
  <c r="CN48" i="1"/>
  <c r="CK49" i="1"/>
  <c r="CF49" i="1"/>
  <c r="CL49" i="1" s="1"/>
  <c r="CH49" i="1"/>
  <c r="DO45" i="1"/>
  <c r="FH34" i="1"/>
  <c r="HH37" i="1"/>
  <c r="AT52" i="1"/>
  <c r="AS53" i="1"/>
  <c r="FD37" i="1"/>
  <c r="FV37" i="1" s="1"/>
  <c r="HG37" i="1"/>
  <c r="FM33" i="1"/>
  <c r="FN33" i="1" s="1"/>
  <c r="FP33" i="1" s="1"/>
  <c r="FG34" i="1"/>
  <c r="FJ34" i="1" s="1"/>
  <c r="GQ34" i="1" s="1"/>
  <c r="HP25" i="1" s="1"/>
  <c r="FE37" i="1"/>
  <c r="FH37" i="1" s="1"/>
  <c r="FO37" i="1"/>
  <c r="FL37" i="1"/>
  <c r="FJ33" i="1"/>
  <c r="GQ33" i="1" s="1"/>
  <c r="FG37" i="1"/>
  <c r="FW37" i="1" s="1"/>
  <c r="FX37" i="1" s="1"/>
  <c r="FZ37" i="1" s="1"/>
  <c r="FQ32" i="1"/>
  <c r="FR32" i="1"/>
  <c r="GT31" i="1"/>
  <c r="FW35" i="1"/>
  <c r="FX35" i="1" s="1"/>
  <c r="FZ35" i="1" s="1"/>
  <c r="FM35" i="1"/>
  <c r="FN35" i="1" s="1"/>
  <c r="FJ35" i="1"/>
  <c r="GQ35" i="1" s="1"/>
  <c r="HP32" i="1" s="1"/>
  <c r="GO32" i="1"/>
  <c r="GC32" i="1"/>
  <c r="GB32" i="1"/>
  <c r="GP33" i="1"/>
  <c r="GA33" i="1"/>
  <c r="GD33" i="1"/>
  <c r="GZ31" i="1"/>
  <c r="GR31" i="1"/>
  <c r="EP39" i="1"/>
  <c r="EQ39" i="1"/>
  <c r="EZ39" i="1" s="1"/>
  <c r="FC39" i="1" s="1"/>
  <c r="FE38" i="1"/>
  <c r="HB38" i="1"/>
  <c r="HF38" i="1" s="1"/>
  <c r="HG38" i="1" s="1"/>
  <c r="EX38" i="1"/>
  <c r="EW38" i="1"/>
  <c r="FD38" i="1"/>
  <c r="FV38" i="1" s="1"/>
  <c r="FL38" i="1"/>
  <c r="FO38" i="1"/>
  <c r="HW51" i="1"/>
  <c r="HP51" i="1"/>
  <c r="HM51" i="1"/>
  <c r="HU51" i="1"/>
  <c r="HR51" i="1"/>
  <c r="HS51" i="1"/>
  <c r="IA51" i="1"/>
  <c r="HX51" i="1"/>
  <c r="HV51" i="1"/>
  <c r="HY51" i="1"/>
  <c r="HZ51" i="1"/>
  <c r="HN51" i="1"/>
  <c r="HT51" i="1"/>
  <c r="HQ51" i="1"/>
  <c r="HO51" i="1"/>
  <c r="HK51" i="1"/>
  <c r="HL52" i="1" s="1"/>
  <c r="HD31" i="1"/>
  <c r="HC31" i="1"/>
  <c r="CQ49" i="1" l="1"/>
  <c r="CR49" i="1"/>
  <c r="CN49" i="1"/>
  <c r="CP49" i="1" s="1"/>
  <c r="DP46" i="1"/>
  <c r="DO46" i="1"/>
  <c r="CV46" i="1"/>
  <c r="CW46" i="1"/>
  <c r="CX46" i="1"/>
  <c r="CY47" i="1"/>
  <c r="DO47" i="1" s="1"/>
  <c r="CZ47" i="1"/>
  <c r="DA47" i="1"/>
  <c r="CQ48" i="1"/>
  <c r="CV47" i="1"/>
  <c r="CW47" i="1"/>
  <c r="CX47" i="1"/>
  <c r="DW44" i="1"/>
  <c r="DX44" i="1" s="1"/>
  <c r="DV44" i="1"/>
  <c r="DR44" i="1"/>
  <c r="DS45" i="1"/>
  <c r="DU45" i="1"/>
  <c r="DY45" i="1" s="1"/>
  <c r="DV45" i="1"/>
  <c r="DW45" i="1"/>
  <c r="DX45" i="1" s="1"/>
  <c r="EA45" i="1" s="1"/>
  <c r="DR45" i="1"/>
  <c r="DU44" i="1"/>
  <c r="DY44" i="1" s="1"/>
  <c r="DS44" i="1"/>
  <c r="AT53" i="1"/>
  <c r="AS54" i="1"/>
  <c r="FQ33" i="1"/>
  <c r="FR33" i="1"/>
  <c r="FW34" i="1"/>
  <c r="FX34" i="1" s="1"/>
  <c r="FZ34" i="1" s="1"/>
  <c r="GP34" i="1" s="1"/>
  <c r="HO25" i="1" s="1"/>
  <c r="FM34" i="1"/>
  <c r="FN34" i="1" s="1"/>
  <c r="FR34" i="1" s="1"/>
  <c r="FJ37" i="1"/>
  <c r="GQ37" i="1" s="1"/>
  <c r="FM37" i="1"/>
  <c r="FN37" i="1" s="1"/>
  <c r="FQ37" i="1" s="1"/>
  <c r="FT32" i="1"/>
  <c r="FS32" i="1"/>
  <c r="HP31" i="1"/>
  <c r="GE32" i="1"/>
  <c r="GF32" i="1" s="1"/>
  <c r="GG32" i="1"/>
  <c r="GH32" i="1"/>
  <c r="GI32" i="1"/>
  <c r="GC33" i="1"/>
  <c r="GB33" i="1"/>
  <c r="GO33" i="1"/>
  <c r="FQ35" i="1"/>
  <c r="FP35" i="1"/>
  <c r="FR35" i="1"/>
  <c r="GP35" i="1"/>
  <c r="HO32" i="1" s="1"/>
  <c r="GA35" i="1"/>
  <c r="GD35" i="1"/>
  <c r="HP14" i="1"/>
  <c r="FH38" i="1"/>
  <c r="HH38" i="1"/>
  <c r="FY39" i="1"/>
  <c r="HE39" i="1" s="1"/>
  <c r="FF39" i="1"/>
  <c r="FI39" i="1" s="1"/>
  <c r="FA39" i="1"/>
  <c r="EV39" i="1"/>
  <c r="FB39" i="1"/>
  <c r="FU38" i="1"/>
  <c r="FG38" i="1"/>
  <c r="GD37" i="1"/>
  <c r="GP37" i="1"/>
  <c r="GA37" i="1"/>
  <c r="HS52" i="1"/>
  <c r="HO52" i="1"/>
  <c r="HM52" i="1"/>
  <c r="HP52" i="1"/>
  <c r="HZ52" i="1"/>
  <c r="HR52" i="1"/>
  <c r="HU52" i="1"/>
  <c r="HN52" i="1"/>
  <c r="HT52" i="1"/>
  <c r="HQ52" i="1"/>
  <c r="HX52" i="1"/>
  <c r="HY52" i="1"/>
  <c r="HV52" i="1"/>
  <c r="IA52" i="1"/>
  <c r="HW52" i="1"/>
  <c r="HK52" i="1"/>
  <c r="HL53" i="1" s="1"/>
  <c r="CS48" i="1" l="1"/>
  <c r="CT48" i="1" s="1"/>
  <c r="CU48" i="1"/>
  <c r="DL46" i="1"/>
  <c r="CS49" i="1"/>
  <c r="CT49" i="1" s="1"/>
  <c r="DZ44" i="1"/>
  <c r="EA44" i="1"/>
  <c r="DQ47" i="1"/>
  <c r="DZ45" i="1"/>
  <c r="DN47" i="1"/>
  <c r="DP47" i="1"/>
  <c r="DM47" i="1"/>
  <c r="DS47" i="1"/>
  <c r="DU47" i="1"/>
  <c r="DY47" i="1" s="1"/>
  <c r="DL47" i="1"/>
  <c r="DN46" i="1"/>
  <c r="DM46" i="1"/>
  <c r="DQ46" i="1"/>
  <c r="HP20" i="1"/>
  <c r="HP17" i="1"/>
  <c r="HO20" i="1"/>
  <c r="HO17" i="1"/>
  <c r="AT54" i="1"/>
  <c r="AS55" i="1"/>
  <c r="FT33" i="1"/>
  <c r="FS33" i="1"/>
  <c r="GA34" i="1"/>
  <c r="GD34" i="1"/>
  <c r="FQ34" i="1"/>
  <c r="FS34" i="1" s="1"/>
  <c r="FP34" i="1"/>
  <c r="GC34" i="1" s="1"/>
  <c r="FP37" i="1"/>
  <c r="GC37" i="1" s="1"/>
  <c r="FR37" i="1"/>
  <c r="FT37" i="1" s="1"/>
  <c r="HO31" i="1"/>
  <c r="GI33" i="1"/>
  <c r="FS35" i="1"/>
  <c r="GS32" i="1"/>
  <c r="GY32" i="1"/>
  <c r="FT35" i="1"/>
  <c r="GH33" i="1"/>
  <c r="GO35" i="1"/>
  <c r="HN32" i="1" s="1"/>
  <c r="GB35" i="1"/>
  <c r="GC35" i="1"/>
  <c r="GE33" i="1"/>
  <c r="GF33" i="1" s="1"/>
  <c r="GG33" i="1"/>
  <c r="HO14" i="1"/>
  <c r="FE39" i="1"/>
  <c r="EX39" i="1"/>
  <c r="HB39" i="1"/>
  <c r="HF39" i="1" s="1"/>
  <c r="HG39" i="1" s="1"/>
  <c r="EW39" i="1"/>
  <c r="FD39" i="1"/>
  <c r="FV39" i="1" s="1"/>
  <c r="FL39" i="1"/>
  <c r="FO39" i="1"/>
  <c r="FJ38" i="1"/>
  <c r="GQ38" i="1" s="1"/>
  <c r="FW38" i="1"/>
  <c r="FX38" i="1" s="1"/>
  <c r="FZ38" i="1" s="1"/>
  <c r="FM38" i="1"/>
  <c r="FN38" i="1" s="1"/>
  <c r="HO53" i="1"/>
  <c r="HR53" i="1"/>
  <c r="HM53" i="1"/>
  <c r="IA53" i="1"/>
  <c r="HP53" i="1"/>
  <c r="HZ53" i="1"/>
  <c r="HY53" i="1"/>
  <c r="HS53" i="1"/>
  <c r="HW53" i="1"/>
  <c r="HT53" i="1"/>
  <c r="HV53" i="1"/>
  <c r="HK53" i="1"/>
  <c r="HL54" i="1" s="1"/>
  <c r="HX53" i="1"/>
  <c r="HQ53" i="1"/>
  <c r="HU53" i="1"/>
  <c r="HN53" i="1"/>
  <c r="CV49" i="1" l="1"/>
  <c r="CW49" i="1"/>
  <c r="CX49" i="1"/>
  <c r="DR47" i="1"/>
  <c r="DV47" i="1"/>
  <c r="DZ47" i="1" s="1"/>
  <c r="DW47" i="1"/>
  <c r="DX47" i="1" s="1"/>
  <c r="EA47" i="1" s="1"/>
  <c r="DS46" i="1"/>
  <c r="DU46" i="1"/>
  <c r="EC45" i="1"/>
  <c r="ED45" i="1"/>
  <c r="EB45" i="1"/>
  <c r="DW46" i="1"/>
  <c r="DX46" i="1" s="1"/>
  <c r="EA46" i="1" s="1"/>
  <c r="DV46" i="1"/>
  <c r="DZ46" i="1" s="1"/>
  <c r="DR46" i="1"/>
  <c r="ED44" i="1"/>
  <c r="EC44" i="1"/>
  <c r="EB44" i="1"/>
  <c r="CY48" i="1"/>
  <c r="DO48" i="1" s="1"/>
  <c r="CZ48" i="1"/>
  <c r="DP48" i="1" s="1"/>
  <c r="DA48" i="1"/>
  <c r="DQ48" i="1" s="1"/>
  <c r="CU49" i="1"/>
  <c r="CV48" i="1"/>
  <c r="CW48" i="1"/>
  <c r="CX48" i="1"/>
  <c r="HP26" i="1"/>
  <c r="HP23" i="1"/>
  <c r="AT55" i="1"/>
  <c r="BB55" i="1" s="1"/>
  <c r="BE55" i="1" s="1"/>
  <c r="AS56" i="1"/>
  <c r="FT34" i="1"/>
  <c r="FS37" i="1"/>
  <c r="GO34" i="1"/>
  <c r="HN25" i="1" s="1"/>
  <c r="GB34" i="1"/>
  <c r="GG34" i="1" s="1"/>
  <c r="GO37" i="1"/>
  <c r="HN17" i="1" s="1"/>
  <c r="GB37" i="1"/>
  <c r="GI37" i="1" s="1"/>
  <c r="GH35" i="1"/>
  <c r="HN31" i="1"/>
  <c r="FH39" i="1"/>
  <c r="GS33" i="1"/>
  <c r="GY33" i="1"/>
  <c r="GI35" i="1"/>
  <c r="GE35" i="1"/>
  <c r="GF35" i="1" s="1"/>
  <c r="GG35" i="1"/>
  <c r="GZ32" i="1"/>
  <c r="GR32" i="1"/>
  <c r="GT32" i="1"/>
  <c r="HA32" i="1"/>
  <c r="HP18" i="1"/>
  <c r="HN14" i="1"/>
  <c r="HH39" i="1"/>
  <c r="FU39" i="1"/>
  <c r="FG39" i="1"/>
  <c r="GD38" i="1"/>
  <c r="GA38" i="1"/>
  <c r="GP38" i="1"/>
  <c r="FP38" i="1"/>
  <c r="FR38" i="1"/>
  <c r="FQ38" i="1"/>
  <c r="HT54" i="1"/>
  <c r="HP54" i="1"/>
  <c r="HV54" i="1"/>
  <c r="HR54" i="1"/>
  <c r="HW54" i="1"/>
  <c r="HK54" i="1"/>
  <c r="HL55" i="1" s="1"/>
  <c r="HY54" i="1"/>
  <c r="IA54" i="1"/>
  <c r="HM54" i="1"/>
  <c r="HO54" i="1"/>
  <c r="HS54" i="1"/>
  <c r="HU54" i="1"/>
  <c r="HN54" i="1"/>
  <c r="HQ54" i="1"/>
  <c r="HX54" i="1"/>
  <c r="HZ54" i="1"/>
  <c r="CY49" i="1" l="1"/>
  <c r="DO49" i="1" s="1"/>
  <c r="CZ49" i="1"/>
  <c r="DP49" i="1" s="1"/>
  <c r="DA49" i="1"/>
  <c r="DQ49" i="1" s="1"/>
  <c r="BX55" i="1"/>
  <c r="BU55" i="1"/>
  <c r="CA55" i="1"/>
  <c r="EB47" i="1"/>
  <c r="ED47" i="1"/>
  <c r="EC47" i="1"/>
  <c r="DU48" i="1"/>
  <c r="DS48" i="1"/>
  <c r="DN49" i="1"/>
  <c r="DN48" i="1"/>
  <c r="EL45" i="1"/>
  <c r="EJ45" i="1"/>
  <c r="EH45" i="1"/>
  <c r="EI45" i="1"/>
  <c r="DM49" i="1"/>
  <c r="DM48" i="1"/>
  <c r="EK44" i="1"/>
  <c r="EE44" i="1"/>
  <c r="EG44" i="1"/>
  <c r="EF44" i="1"/>
  <c r="EK45" i="1"/>
  <c r="EG45" i="1"/>
  <c r="EE45" i="1"/>
  <c r="EF45" i="1"/>
  <c r="DL49" i="1"/>
  <c r="DL48" i="1"/>
  <c r="EL44" i="1"/>
  <c r="EH44" i="1"/>
  <c r="EI44" i="1"/>
  <c r="EJ44" i="1"/>
  <c r="DY46" i="1"/>
  <c r="ED46" i="1" s="1"/>
  <c r="HO26" i="1"/>
  <c r="HO23" i="1"/>
  <c r="AT56" i="1"/>
  <c r="BB56" i="1" s="1"/>
  <c r="BE56" i="1" s="1"/>
  <c r="AS57" i="1"/>
  <c r="GG37" i="1"/>
  <c r="GH37" i="1"/>
  <c r="GY37" i="1" s="1"/>
  <c r="GE37" i="1"/>
  <c r="GF37" i="1" s="1"/>
  <c r="GE34" i="1"/>
  <c r="GF34" i="1" s="1"/>
  <c r="GI34" i="1"/>
  <c r="GH34" i="1"/>
  <c r="GS34" i="1" s="1"/>
  <c r="HN20" i="1"/>
  <c r="GZ33" i="1"/>
  <c r="GS35" i="1"/>
  <c r="GY35" i="1"/>
  <c r="GZ35" i="1" s="1"/>
  <c r="HY32" i="1" s="1"/>
  <c r="HC32" i="1"/>
  <c r="HD32" i="1"/>
  <c r="GR33" i="1"/>
  <c r="GT33" i="1"/>
  <c r="HA33" i="1"/>
  <c r="HO18" i="1"/>
  <c r="FS38" i="1"/>
  <c r="FW39" i="1"/>
  <c r="FX39" i="1" s="1"/>
  <c r="FZ39" i="1" s="1"/>
  <c r="FM39" i="1"/>
  <c r="FN39" i="1" s="1"/>
  <c r="FJ39" i="1"/>
  <c r="GQ39" i="1" s="1"/>
  <c r="FT38" i="1"/>
  <c r="GB38" i="1"/>
  <c r="GO38" i="1"/>
  <c r="GC38" i="1"/>
  <c r="IA55" i="1"/>
  <c r="HY55" i="1"/>
  <c r="HK55" i="1"/>
  <c r="HL56" i="1" s="1"/>
  <c r="HM55" i="1"/>
  <c r="HO55" i="1"/>
  <c r="HV55" i="1"/>
  <c r="HU55" i="1"/>
  <c r="HZ55" i="1"/>
  <c r="HP55" i="1"/>
  <c r="HR55" i="1"/>
  <c r="HW55" i="1"/>
  <c r="HQ55" i="1"/>
  <c r="HX55" i="1"/>
  <c r="HT55" i="1"/>
  <c r="HS55" i="1"/>
  <c r="HN55" i="1"/>
  <c r="EL46" i="1" l="1"/>
  <c r="EH46" i="1"/>
  <c r="EI46" i="1"/>
  <c r="EJ46" i="1"/>
  <c r="BU56" i="1"/>
  <c r="CA56" i="1"/>
  <c r="BX56" i="1"/>
  <c r="EB46" i="1"/>
  <c r="DY48" i="1"/>
  <c r="EC46" i="1"/>
  <c r="DR48" i="1"/>
  <c r="DV48" i="1"/>
  <c r="DZ48" i="1" s="1"/>
  <c r="DW48" i="1"/>
  <c r="DX48" i="1" s="1"/>
  <c r="EA48" i="1" s="1"/>
  <c r="EN45" i="1"/>
  <c r="EO45" i="1"/>
  <c r="ER45" i="1" s="1"/>
  <c r="EM45" i="1"/>
  <c r="EK47" i="1"/>
  <c r="EE47" i="1"/>
  <c r="EF47" i="1"/>
  <c r="EG47" i="1"/>
  <c r="EL47" i="1"/>
  <c r="EI47" i="1"/>
  <c r="EJ47" i="1"/>
  <c r="EH47" i="1"/>
  <c r="CB55" i="1"/>
  <c r="CG55" i="1" s="1"/>
  <c r="CE55" i="1"/>
  <c r="CC55" i="1"/>
  <c r="DS49" i="1"/>
  <c r="DU49" i="1"/>
  <c r="DY49" i="1" s="1"/>
  <c r="DW49" i="1"/>
  <c r="DX49" i="1" s="1"/>
  <c r="EA49" i="1" s="1"/>
  <c r="DV49" i="1"/>
  <c r="DR49" i="1"/>
  <c r="EN44" i="1"/>
  <c r="EO44" i="1"/>
  <c r="ER44" i="1" s="1"/>
  <c r="EM44" i="1"/>
  <c r="HN26" i="1"/>
  <c r="HN23" i="1"/>
  <c r="HP30" i="1"/>
  <c r="HP29" i="1"/>
  <c r="HV17" i="1"/>
  <c r="IF17" i="1" s="1"/>
  <c r="AT57" i="1"/>
  <c r="BB57" i="1" s="1"/>
  <c r="BE57" i="1" s="1"/>
  <c r="AS58" i="1"/>
  <c r="GS37" i="1"/>
  <c r="GY34" i="1"/>
  <c r="GR34" i="1" s="1"/>
  <c r="HS25" i="1" s="1"/>
  <c r="IC25" i="1" s="1"/>
  <c r="HV20" i="1"/>
  <c r="IF20" i="1" s="1"/>
  <c r="HT25" i="1"/>
  <c r="ID25" i="1" s="1"/>
  <c r="HV25" i="1"/>
  <c r="IF25" i="1" s="1"/>
  <c r="HT31" i="1"/>
  <c r="ID31" i="1" s="1"/>
  <c r="HT32" i="1"/>
  <c r="ID32" i="1" s="1"/>
  <c r="HV31" i="1"/>
  <c r="IF31" i="1" s="1"/>
  <c r="HV32" i="1"/>
  <c r="IF32" i="1" s="1"/>
  <c r="HA35" i="1"/>
  <c r="HC35" i="1" s="1"/>
  <c r="GT35" i="1"/>
  <c r="HW32" i="1" s="1"/>
  <c r="GR35" i="1"/>
  <c r="HY31" i="1"/>
  <c r="HW31" i="1"/>
  <c r="GZ34" i="1"/>
  <c r="HY25" i="1" s="1"/>
  <c r="HD33" i="1"/>
  <c r="HC33" i="1"/>
  <c r="GT34" i="1"/>
  <c r="HW25" i="1" s="1"/>
  <c r="HA34" i="1"/>
  <c r="HN18" i="1"/>
  <c r="GH38" i="1"/>
  <c r="GD39" i="1"/>
  <c r="GP39" i="1"/>
  <c r="GA39" i="1"/>
  <c r="FP39" i="1"/>
  <c r="FQ39" i="1"/>
  <c r="FR39" i="1"/>
  <c r="GI38" i="1"/>
  <c r="GG38" i="1"/>
  <c r="GS38" i="1" s="1"/>
  <c r="GE38" i="1"/>
  <c r="GF38" i="1" s="1"/>
  <c r="HV56" i="1"/>
  <c r="HM56" i="1"/>
  <c r="HX56" i="1"/>
  <c r="HS56" i="1"/>
  <c r="HQ56" i="1"/>
  <c r="HO56" i="1"/>
  <c r="HU56" i="1"/>
  <c r="HP56" i="1"/>
  <c r="HT56" i="1"/>
  <c r="HZ56" i="1"/>
  <c r="HW56" i="1"/>
  <c r="HR56" i="1"/>
  <c r="IA56" i="1"/>
  <c r="HK56" i="1"/>
  <c r="HL57" i="1" s="1"/>
  <c r="HN56" i="1"/>
  <c r="HY56" i="1"/>
  <c r="GT37" i="1"/>
  <c r="GR37" i="1"/>
  <c r="HT14" i="1"/>
  <c r="HA37" i="1"/>
  <c r="GZ37" i="1"/>
  <c r="HV14" i="1"/>
  <c r="EC48" i="1" l="1"/>
  <c r="ED48" i="1"/>
  <c r="CC56" i="1"/>
  <c r="CE56" i="1"/>
  <c r="CJ56" i="1" s="1"/>
  <c r="CB56" i="1"/>
  <c r="EP44" i="1"/>
  <c r="EQ44" i="1"/>
  <c r="EZ44" i="1" s="1"/>
  <c r="FC44" i="1" s="1"/>
  <c r="CK55" i="1"/>
  <c r="CF55" i="1"/>
  <c r="CL55" i="1" s="1"/>
  <c r="CH55" i="1"/>
  <c r="CA57" i="1"/>
  <c r="BX57" i="1"/>
  <c r="BU57" i="1"/>
  <c r="CJ55" i="1"/>
  <c r="EK46" i="1"/>
  <c r="EE46" i="1"/>
  <c r="EF46" i="1"/>
  <c r="EG46" i="1"/>
  <c r="EN47" i="1"/>
  <c r="EM47" i="1"/>
  <c r="EO47" i="1"/>
  <c r="ER47" i="1" s="1"/>
  <c r="EB48" i="1"/>
  <c r="EQ45" i="1"/>
  <c r="EZ45" i="1" s="1"/>
  <c r="FC45" i="1" s="1"/>
  <c r="EP45" i="1"/>
  <c r="DZ49" i="1"/>
  <c r="HO30" i="1"/>
  <c r="HO29" i="1"/>
  <c r="HT23" i="1"/>
  <c r="ID23" i="1" s="1"/>
  <c r="HY20" i="1"/>
  <c r="HY17" i="1"/>
  <c r="HT17" i="1"/>
  <c r="ID17" i="1" s="1"/>
  <c r="HS20" i="1"/>
  <c r="IC20" i="1" s="1"/>
  <c r="HS17" i="1"/>
  <c r="IC17" i="1" s="1"/>
  <c r="HW20" i="1"/>
  <c r="HW17" i="1"/>
  <c r="AT58" i="1"/>
  <c r="AS59" i="1"/>
  <c r="HT20" i="1"/>
  <c r="ID20" i="1" s="1"/>
  <c r="HT26" i="1"/>
  <c r="ID26" i="1" s="1"/>
  <c r="GY38" i="1"/>
  <c r="HV23" i="1" s="1"/>
  <c r="IF23" i="1" s="1"/>
  <c r="HS31" i="1"/>
  <c r="IC31" i="1" s="1"/>
  <c r="HS32" i="1"/>
  <c r="IC32" i="1" s="1"/>
  <c r="HD35" i="1"/>
  <c r="IF14" i="1"/>
  <c r="ID14" i="1"/>
  <c r="HC34" i="1"/>
  <c r="HD34" i="1"/>
  <c r="HS14" i="1"/>
  <c r="HY14" i="1"/>
  <c r="HW14" i="1"/>
  <c r="FT39" i="1"/>
  <c r="FS39" i="1"/>
  <c r="GB39" i="1"/>
  <c r="GC39" i="1"/>
  <c r="GO39" i="1"/>
  <c r="GT38" i="1"/>
  <c r="HT18" i="1"/>
  <c r="ID18" i="1" s="1"/>
  <c r="HA38" i="1"/>
  <c r="HV18" i="1"/>
  <c r="IF18" i="1" s="1"/>
  <c r="HW57" i="1"/>
  <c r="HN57" i="1"/>
  <c r="HT57" i="1"/>
  <c r="HS57" i="1"/>
  <c r="HK57" i="1"/>
  <c r="HL58" i="1" s="1"/>
  <c r="HP57" i="1"/>
  <c r="HZ57" i="1"/>
  <c r="HY57" i="1"/>
  <c r="IA57" i="1"/>
  <c r="HM57" i="1"/>
  <c r="HO57" i="1"/>
  <c r="HX57" i="1"/>
  <c r="HR57" i="1"/>
  <c r="HV57" i="1"/>
  <c r="HQ57" i="1"/>
  <c r="HU57" i="1"/>
  <c r="HC37" i="1"/>
  <c r="HD37" i="1"/>
  <c r="EM46" i="1" l="1"/>
  <c r="EN46" i="1"/>
  <c r="EO46" i="1"/>
  <c r="ER46" i="1" s="1"/>
  <c r="CM55" i="1"/>
  <c r="FF44" i="1"/>
  <c r="FI44" i="1" s="1"/>
  <c r="FY44" i="1"/>
  <c r="HE44" i="1" s="1"/>
  <c r="FA44" i="1"/>
  <c r="EV44" i="1"/>
  <c r="FB44" i="1"/>
  <c r="EQ47" i="1"/>
  <c r="EZ47" i="1" s="1"/>
  <c r="FC47" i="1" s="1"/>
  <c r="EP47" i="1"/>
  <c r="CH56" i="1"/>
  <c r="CG56" i="1"/>
  <c r="EB49" i="1"/>
  <c r="ED49" i="1"/>
  <c r="EC49" i="1"/>
  <c r="CE57" i="1"/>
  <c r="CJ57" i="1" s="1"/>
  <c r="CC57" i="1"/>
  <c r="CB57" i="1"/>
  <c r="CG57" i="1" s="1"/>
  <c r="CR56" i="1"/>
  <c r="CM56" i="1"/>
  <c r="CK56" i="1"/>
  <c r="CF56" i="1"/>
  <c r="CL56" i="1" s="1"/>
  <c r="FB45" i="1"/>
  <c r="EV45" i="1"/>
  <c r="FA45" i="1"/>
  <c r="EJ48" i="1"/>
  <c r="EL48" i="1"/>
  <c r="EH48" i="1"/>
  <c r="EI48" i="1"/>
  <c r="FY45" i="1"/>
  <c r="HE45" i="1" s="1"/>
  <c r="FF45" i="1"/>
  <c r="FI45" i="1" s="1"/>
  <c r="CR55" i="1"/>
  <c r="CN55" i="1"/>
  <c r="CP55" i="1" s="1"/>
  <c r="EK48" i="1"/>
  <c r="EG48" i="1"/>
  <c r="EF48" i="1"/>
  <c r="EE48" i="1"/>
  <c r="HW26" i="1"/>
  <c r="HW23" i="1"/>
  <c r="HN30" i="1"/>
  <c r="HN29" i="1"/>
  <c r="AT59" i="1"/>
  <c r="AS60" i="1"/>
  <c r="HV26" i="1"/>
  <c r="IF26" i="1" s="1"/>
  <c r="GZ38" i="1"/>
  <c r="GR38" i="1"/>
  <c r="HS23" i="1" s="1"/>
  <c r="IC23" i="1" s="1"/>
  <c r="IC14" i="1"/>
  <c r="HY18" i="1"/>
  <c r="HW18" i="1"/>
  <c r="HS18" i="1"/>
  <c r="IC18" i="1" s="1"/>
  <c r="GH39" i="1"/>
  <c r="GI39" i="1"/>
  <c r="GE39" i="1"/>
  <c r="GF39" i="1" s="1"/>
  <c r="GG39" i="1"/>
  <c r="HC38" i="1"/>
  <c r="HD38" i="1"/>
  <c r="HN58" i="1"/>
  <c r="HK58" i="1"/>
  <c r="HL59" i="1" s="1"/>
  <c r="HS58" i="1"/>
  <c r="IA58" i="1"/>
  <c r="HZ58" i="1"/>
  <c r="HW58" i="1"/>
  <c r="HY58" i="1"/>
  <c r="HQ58" i="1"/>
  <c r="HO58" i="1"/>
  <c r="HR58" i="1"/>
  <c r="HU58" i="1"/>
  <c r="HV58" i="1"/>
  <c r="HP58" i="1"/>
  <c r="HT58" i="1"/>
  <c r="HM58" i="1"/>
  <c r="HX58" i="1"/>
  <c r="CQ55" i="1" l="1"/>
  <c r="FL45" i="1"/>
  <c r="FO45" i="1"/>
  <c r="HB45" i="1"/>
  <c r="HF45" i="1" s="1"/>
  <c r="HG45" i="1" s="1"/>
  <c r="FD45" i="1"/>
  <c r="FV45" i="1" s="1"/>
  <c r="FE45" i="1"/>
  <c r="EX45" i="1"/>
  <c r="EW45" i="1"/>
  <c r="CK57" i="1"/>
  <c r="CF57" i="1"/>
  <c r="CL57" i="1" s="1"/>
  <c r="CH57" i="1"/>
  <c r="FB47" i="1"/>
  <c r="FA47" i="1"/>
  <c r="EV47" i="1"/>
  <c r="CM57" i="1"/>
  <c r="FY47" i="1"/>
  <c r="HE47" i="1" s="1"/>
  <c r="FF47" i="1"/>
  <c r="FI47" i="1" s="1"/>
  <c r="EM48" i="1"/>
  <c r="EO48" i="1"/>
  <c r="ER48" i="1" s="1"/>
  <c r="EN48" i="1"/>
  <c r="CN56" i="1"/>
  <c r="CP56" i="1" s="1"/>
  <c r="EK49" i="1"/>
  <c r="EE49" i="1"/>
  <c r="EF49" i="1"/>
  <c r="EG49" i="1"/>
  <c r="EL49" i="1"/>
  <c r="EJ49" i="1"/>
  <c r="EH49" i="1"/>
  <c r="EI49" i="1"/>
  <c r="HB44" i="1"/>
  <c r="HF44" i="1" s="1"/>
  <c r="HG44" i="1" s="1"/>
  <c r="EW44" i="1"/>
  <c r="EX44" i="1"/>
  <c r="FD44" i="1"/>
  <c r="FV44" i="1" s="1"/>
  <c r="FE44" i="1"/>
  <c r="FL44" i="1"/>
  <c r="FO44" i="1"/>
  <c r="EQ46" i="1"/>
  <c r="EZ46" i="1" s="1"/>
  <c r="FC46" i="1" s="1"/>
  <c r="EP46" i="1"/>
  <c r="HY26" i="1"/>
  <c r="HY23" i="1"/>
  <c r="AT60" i="1"/>
  <c r="AS61" i="1"/>
  <c r="AT61" i="1" s="1"/>
  <c r="HS26" i="1"/>
  <c r="IC26" i="1" s="1"/>
  <c r="GS39" i="1"/>
  <c r="HT29" i="1" s="1"/>
  <c r="ID29" i="1" s="1"/>
  <c r="GY39" i="1"/>
  <c r="IA59" i="1"/>
  <c r="HS59" i="1"/>
  <c r="HU59" i="1"/>
  <c r="HW59" i="1"/>
  <c r="HZ59" i="1"/>
  <c r="HV59" i="1"/>
  <c r="HX59" i="1"/>
  <c r="HM59" i="1"/>
  <c r="HR59" i="1"/>
  <c r="HK59" i="1"/>
  <c r="HL60" i="1" s="1"/>
  <c r="HO59" i="1"/>
  <c r="HP59" i="1"/>
  <c r="HY59" i="1"/>
  <c r="HN59" i="1"/>
  <c r="HT59" i="1"/>
  <c r="HQ59" i="1"/>
  <c r="FG44" i="1" l="1"/>
  <c r="FU44" i="1"/>
  <c r="FL47" i="1"/>
  <c r="FO47" i="1"/>
  <c r="FH45" i="1"/>
  <c r="FA46" i="1"/>
  <c r="FB46" i="1"/>
  <c r="EV46" i="1"/>
  <c r="EO49" i="1"/>
  <c r="ER49" i="1" s="1"/>
  <c r="EM49" i="1"/>
  <c r="EN49" i="1"/>
  <c r="FF46" i="1"/>
  <c r="FI46" i="1" s="1"/>
  <c r="FY46" i="1"/>
  <c r="HE46" i="1" s="1"/>
  <c r="CR57" i="1"/>
  <c r="CN57" i="1"/>
  <c r="CQ57" i="1" s="1"/>
  <c r="CQ56" i="1"/>
  <c r="HH45" i="1"/>
  <c r="HH44" i="1"/>
  <c r="FH44" i="1"/>
  <c r="EQ48" i="1"/>
  <c r="EZ48" i="1" s="1"/>
  <c r="FC48" i="1" s="1"/>
  <c r="EP48" i="1"/>
  <c r="FE47" i="1"/>
  <c r="EX47" i="1"/>
  <c r="FH47" i="1" s="1"/>
  <c r="EW47" i="1"/>
  <c r="FD47" i="1"/>
  <c r="FV47" i="1" s="1"/>
  <c r="HB47" i="1"/>
  <c r="HF47" i="1" s="1"/>
  <c r="HG47" i="1" s="1"/>
  <c r="FU45" i="1"/>
  <c r="FG45" i="1"/>
  <c r="CS55" i="1"/>
  <c r="CT55" i="1" s="1"/>
  <c r="CU55" i="1"/>
  <c r="GZ39" i="1"/>
  <c r="HV29" i="1"/>
  <c r="IF29" i="1" s="1"/>
  <c r="HV30" i="1"/>
  <c r="IF30" i="1" s="1"/>
  <c r="HT30" i="1"/>
  <c r="ID30" i="1" s="1"/>
  <c r="GT39" i="1"/>
  <c r="HW29" i="1" s="1"/>
  <c r="HA39" i="1"/>
  <c r="HD39" i="1" s="1"/>
  <c r="GR39" i="1"/>
  <c r="HS29" i="1" s="1"/>
  <c r="IC29" i="1" s="1"/>
  <c r="HR60" i="1"/>
  <c r="HV60" i="1"/>
  <c r="HX60" i="1"/>
  <c r="HO60" i="1"/>
  <c r="HS60" i="1"/>
  <c r="HK60" i="1"/>
  <c r="HL61" i="1" s="1"/>
  <c r="HM60" i="1"/>
  <c r="HT60" i="1"/>
  <c r="HU60" i="1"/>
  <c r="HP60" i="1"/>
  <c r="HW60" i="1"/>
  <c r="HZ60" i="1"/>
  <c r="HY60" i="1"/>
  <c r="IA60" i="1"/>
  <c r="HQ60" i="1"/>
  <c r="HN60" i="1"/>
  <c r="FG47" i="1" l="1"/>
  <c r="FU47" i="1"/>
  <c r="FE46" i="1"/>
  <c r="EX46" i="1"/>
  <c r="FH46" i="1" s="1"/>
  <c r="HB46" i="1"/>
  <c r="HF46" i="1" s="1"/>
  <c r="HG46" i="1" s="1"/>
  <c r="EW46" i="1"/>
  <c r="FD46" i="1"/>
  <c r="FV46" i="1" s="1"/>
  <c r="CS56" i="1"/>
  <c r="CU56" i="1" s="1"/>
  <c r="FY48" i="1"/>
  <c r="HE48" i="1" s="1"/>
  <c r="FF48" i="1"/>
  <c r="FI48" i="1" s="1"/>
  <c r="CY55" i="1"/>
  <c r="DA55" i="1"/>
  <c r="CZ55" i="1"/>
  <c r="FL46" i="1"/>
  <c r="FO46" i="1"/>
  <c r="EP49" i="1"/>
  <c r="EQ49" i="1"/>
  <c r="EZ49" i="1" s="1"/>
  <c r="FC49" i="1" s="1"/>
  <c r="CV55" i="1"/>
  <c r="CX55" i="1"/>
  <c r="CW55" i="1"/>
  <c r="HH47" i="1"/>
  <c r="FM45" i="1"/>
  <c r="FN45" i="1" s="1"/>
  <c r="FJ45" i="1"/>
  <c r="GQ45" i="1" s="1"/>
  <c r="HP13" i="1" s="1"/>
  <c r="FW45" i="1"/>
  <c r="FX45" i="1" s="1"/>
  <c r="FZ45" i="1" s="1"/>
  <c r="EV48" i="1"/>
  <c r="FB48" i="1"/>
  <c r="FA48" i="1"/>
  <c r="CP57" i="1"/>
  <c r="CS57" i="1" s="1"/>
  <c r="FJ44" i="1"/>
  <c r="GQ44" i="1" s="1"/>
  <c r="HP10" i="1" s="1"/>
  <c r="FW44" i="1"/>
  <c r="FX44" i="1" s="1"/>
  <c r="FZ44" i="1" s="1"/>
  <c r="FM44" i="1"/>
  <c r="FN44" i="1" s="1"/>
  <c r="HY30" i="1"/>
  <c r="HY29" i="1"/>
  <c r="HC39" i="1"/>
  <c r="HS30" i="1"/>
  <c r="IC30" i="1" s="1"/>
  <c r="HW30" i="1"/>
  <c r="HR61" i="1"/>
  <c r="HW61" i="1"/>
  <c r="HQ61" i="1"/>
  <c r="HN61" i="1"/>
  <c r="HV61" i="1"/>
  <c r="HM61" i="1"/>
  <c r="HZ61" i="1"/>
  <c r="HK61" i="1"/>
  <c r="HL62" i="1" s="1"/>
  <c r="HX61" i="1"/>
  <c r="HT61" i="1"/>
  <c r="HO61" i="1"/>
  <c r="HP61" i="1"/>
  <c r="IA61" i="1"/>
  <c r="HS61" i="1"/>
  <c r="HU61" i="1"/>
  <c r="HY61" i="1"/>
  <c r="CU57" i="1" l="1"/>
  <c r="CT57" i="1"/>
  <c r="DM55" i="1"/>
  <c r="DP55" i="1"/>
  <c r="CY56" i="1"/>
  <c r="CZ56" i="1"/>
  <c r="DA56" i="1"/>
  <c r="FQ44" i="1"/>
  <c r="FP44" i="1"/>
  <c r="FR44" i="1"/>
  <c r="FT44" i="1" s="1"/>
  <c r="FL48" i="1"/>
  <c r="FO48" i="1"/>
  <c r="DN55" i="1"/>
  <c r="DQ55" i="1"/>
  <c r="GD44" i="1"/>
  <c r="GA44" i="1"/>
  <c r="GP44" i="1"/>
  <c r="HO10" i="1" s="1"/>
  <c r="DL55" i="1"/>
  <c r="DO55" i="1"/>
  <c r="FG46" i="1"/>
  <c r="FU46" i="1"/>
  <c r="EX48" i="1"/>
  <c r="HB48" i="1"/>
  <c r="HF48" i="1" s="1"/>
  <c r="HG48" i="1" s="1"/>
  <c r="EW48" i="1"/>
  <c r="FD48" i="1"/>
  <c r="FV48" i="1" s="1"/>
  <c r="FE48" i="1"/>
  <c r="GD45" i="1"/>
  <c r="GP45" i="1"/>
  <c r="HO13" i="1" s="1"/>
  <c r="GA45" i="1"/>
  <c r="FF49" i="1"/>
  <c r="FI49" i="1" s="1"/>
  <c r="FY49" i="1"/>
  <c r="HE49" i="1" s="1"/>
  <c r="FA49" i="1"/>
  <c r="FB49" i="1"/>
  <c r="EV49" i="1"/>
  <c r="FP45" i="1"/>
  <c r="FR45" i="1"/>
  <c r="FQ45" i="1"/>
  <c r="FS45" i="1" s="1"/>
  <c r="HH46" i="1"/>
  <c r="CT56" i="1"/>
  <c r="FM47" i="1"/>
  <c r="FN47" i="1" s="1"/>
  <c r="FJ47" i="1"/>
  <c r="GQ47" i="1" s="1"/>
  <c r="HP22" i="1" s="1"/>
  <c r="FW47" i="1"/>
  <c r="FX47" i="1" s="1"/>
  <c r="FZ47" i="1" s="1"/>
  <c r="HM62" i="1"/>
  <c r="IA62" i="1"/>
  <c r="HN62" i="1"/>
  <c r="HS62" i="1"/>
  <c r="HR62" i="1"/>
  <c r="HO62" i="1"/>
  <c r="HV62" i="1"/>
  <c r="HW62" i="1"/>
  <c r="HU62" i="1"/>
  <c r="HY62" i="1"/>
  <c r="HP62" i="1"/>
  <c r="HZ62" i="1"/>
  <c r="HK62" i="1"/>
  <c r="HL63" i="1" s="1"/>
  <c r="HX62" i="1"/>
  <c r="HT62" i="1"/>
  <c r="HQ62" i="1"/>
  <c r="CV56" i="1" l="1"/>
  <c r="CW56" i="1"/>
  <c r="CX56" i="1"/>
  <c r="FL49" i="1"/>
  <c r="FO49" i="1"/>
  <c r="HG49" i="1"/>
  <c r="FU48" i="1"/>
  <c r="FG48" i="1"/>
  <c r="DW55" i="1"/>
  <c r="DX55" i="1" s="1"/>
  <c r="DR55" i="1"/>
  <c r="DV55" i="1"/>
  <c r="FT45" i="1"/>
  <c r="GD47" i="1"/>
  <c r="GA47" i="1"/>
  <c r="GP47" i="1"/>
  <c r="HO22" i="1" s="1"/>
  <c r="GO45" i="1"/>
  <c r="HN13" i="1" s="1"/>
  <c r="GC45" i="1"/>
  <c r="GH45" i="1" s="1"/>
  <c r="GB45" i="1"/>
  <c r="FH48" i="1"/>
  <c r="FX46" i="1"/>
  <c r="FZ46" i="1" s="1"/>
  <c r="GB44" i="1"/>
  <c r="GC44" i="1"/>
  <c r="GH44" i="1" s="1"/>
  <c r="GO44" i="1"/>
  <c r="HN10" i="1" s="1"/>
  <c r="FP47" i="1"/>
  <c r="FQ47" i="1"/>
  <c r="FS47" i="1" s="1"/>
  <c r="FR47" i="1"/>
  <c r="HH48" i="1"/>
  <c r="FW46" i="1"/>
  <c r="FM46" i="1"/>
  <c r="FN46" i="1" s="1"/>
  <c r="FJ46" i="1"/>
  <c r="GQ46" i="1" s="1"/>
  <c r="HP16" i="1" s="1"/>
  <c r="FS44" i="1"/>
  <c r="CV57" i="1"/>
  <c r="CW57" i="1"/>
  <c r="CX57" i="1"/>
  <c r="EW49" i="1"/>
  <c r="HB49" i="1"/>
  <c r="HF49" i="1" s="1"/>
  <c r="HH49" i="1" s="1"/>
  <c r="FE49" i="1"/>
  <c r="EX49" i="1"/>
  <c r="FH49" i="1" s="1"/>
  <c r="FD49" i="1"/>
  <c r="FV49" i="1" s="1"/>
  <c r="DU55" i="1"/>
  <c r="DY55" i="1" s="1"/>
  <c r="DS55" i="1"/>
  <c r="DQ56" i="1"/>
  <c r="CY57" i="1"/>
  <c r="DO57" i="1" s="1"/>
  <c r="CZ57" i="1"/>
  <c r="DP57" i="1" s="1"/>
  <c r="DA57" i="1"/>
  <c r="DQ57" i="1" s="1"/>
  <c r="IA63" i="1"/>
  <c r="HW63" i="1"/>
  <c r="HY63" i="1"/>
  <c r="HK63" i="1"/>
  <c r="HL64" i="1" s="1"/>
  <c r="HT63" i="1"/>
  <c r="HU63" i="1"/>
  <c r="HP63" i="1"/>
  <c r="HV63" i="1"/>
  <c r="HX63" i="1"/>
  <c r="HO63" i="1"/>
  <c r="HS63" i="1"/>
  <c r="HM63" i="1"/>
  <c r="HZ63" i="1"/>
  <c r="HN63" i="1"/>
  <c r="HR63" i="1"/>
  <c r="HQ63" i="1"/>
  <c r="GO47" i="1" l="1"/>
  <c r="HN22" i="1" s="1"/>
  <c r="GB47" i="1"/>
  <c r="GC47" i="1"/>
  <c r="GH47" i="1" s="1"/>
  <c r="DZ55" i="1"/>
  <c r="DN56" i="1"/>
  <c r="EA55" i="1"/>
  <c r="DM56" i="1"/>
  <c r="FQ46" i="1"/>
  <c r="FR46" i="1"/>
  <c r="FT46" i="1" s="1"/>
  <c r="FP46" i="1"/>
  <c r="GG44" i="1"/>
  <c r="GS44" i="1" s="1"/>
  <c r="GE44" i="1"/>
  <c r="GF44" i="1" s="1"/>
  <c r="FW48" i="1"/>
  <c r="FX48" i="1" s="1"/>
  <c r="FZ48" i="1" s="1"/>
  <c r="FJ48" i="1"/>
  <c r="GQ48" i="1" s="1"/>
  <c r="HP28" i="1" s="1"/>
  <c r="FM48" i="1"/>
  <c r="FN48" i="1" s="1"/>
  <c r="DL56" i="1"/>
  <c r="DU57" i="1"/>
  <c r="DY57" i="1" s="1"/>
  <c r="DS57" i="1"/>
  <c r="FG49" i="1"/>
  <c r="FU49" i="1"/>
  <c r="GI44" i="1"/>
  <c r="GY44" i="1" s="1"/>
  <c r="GI47" i="1"/>
  <c r="DP56" i="1"/>
  <c r="GA46" i="1"/>
  <c r="GP46" i="1"/>
  <c r="HO16" i="1" s="1"/>
  <c r="GD46" i="1"/>
  <c r="DM57" i="1"/>
  <c r="FT47" i="1"/>
  <c r="DO56" i="1"/>
  <c r="DU56" i="1" s="1"/>
  <c r="DN57" i="1"/>
  <c r="DL57" i="1"/>
  <c r="GI45" i="1"/>
  <c r="GY45" i="1" s="1"/>
  <c r="GG45" i="1"/>
  <c r="GS45" i="1" s="1"/>
  <c r="GE45" i="1"/>
  <c r="GF45" i="1" s="1"/>
  <c r="HP64" i="1"/>
  <c r="HR64" i="1"/>
  <c r="HY64" i="1"/>
  <c r="HO64" i="1"/>
  <c r="HT64" i="1"/>
  <c r="HX64" i="1"/>
  <c r="IA64" i="1"/>
  <c r="HM64" i="1"/>
  <c r="HS64" i="1"/>
  <c r="HK64" i="1"/>
  <c r="HL65" i="1" s="1"/>
  <c r="HZ64" i="1"/>
  <c r="HN64" i="1"/>
  <c r="HW64" i="1"/>
  <c r="HQ64" i="1"/>
  <c r="HU64" i="1"/>
  <c r="HV64" i="1"/>
  <c r="GZ45" i="1" l="1"/>
  <c r="HY13" i="1" s="1"/>
  <c r="HV13" i="1"/>
  <c r="IF13" i="1" s="1"/>
  <c r="GR45" i="1"/>
  <c r="HS13" i="1" s="1"/>
  <c r="IC13" i="1" s="1"/>
  <c r="GT45" i="1"/>
  <c r="HW13" i="1" s="1"/>
  <c r="HT13" i="1"/>
  <c r="ID13" i="1" s="1"/>
  <c r="HA45" i="1"/>
  <c r="GB46" i="1"/>
  <c r="GC46" i="1"/>
  <c r="GO46" i="1"/>
  <c r="HN16" i="1" s="1"/>
  <c r="DS56" i="1"/>
  <c r="DY56" i="1" s="1"/>
  <c r="DV56" i="1"/>
  <c r="DW56" i="1"/>
  <c r="DX56" i="1" s="1"/>
  <c r="EA56" i="1" s="1"/>
  <c r="DR56" i="1"/>
  <c r="FS46" i="1"/>
  <c r="EC55" i="1"/>
  <c r="EB55" i="1"/>
  <c r="ED55" i="1"/>
  <c r="GZ44" i="1"/>
  <c r="HY10" i="1" s="1"/>
  <c r="HV10" i="1"/>
  <c r="IF10" i="1" s="1"/>
  <c r="FR48" i="1"/>
  <c r="FT48" i="1" s="1"/>
  <c r="FQ48" i="1"/>
  <c r="FP48" i="1"/>
  <c r="DV57" i="1"/>
  <c r="DZ57" i="1" s="1"/>
  <c r="DR57" i="1"/>
  <c r="DW57" i="1"/>
  <c r="DX57" i="1" s="1"/>
  <c r="EA57" i="1" s="1"/>
  <c r="FM49" i="1"/>
  <c r="FN49" i="1" s="1"/>
  <c r="FW49" i="1"/>
  <c r="FX49" i="1" s="1"/>
  <c r="FZ49" i="1" s="1"/>
  <c r="FJ49" i="1"/>
  <c r="GQ49" i="1" s="1"/>
  <c r="HP34" i="1" s="1"/>
  <c r="GA48" i="1"/>
  <c r="GP48" i="1"/>
  <c r="HO28" i="1" s="1"/>
  <c r="GD48" i="1"/>
  <c r="GY47" i="1"/>
  <c r="GI46" i="1"/>
  <c r="GE47" i="1"/>
  <c r="GF47" i="1" s="1"/>
  <c r="GG47" i="1"/>
  <c r="GS47" i="1" s="1"/>
  <c r="GR44" i="1"/>
  <c r="GT44" i="1"/>
  <c r="HW10" i="1" s="1"/>
  <c r="HT10" i="1"/>
  <c r="ID10" i="1" s="1"/>
  <c r="HA44" i="1"/>
  <c r="HX65" i="1"/>
  <c r="HZ65" i="1"/>
  <c r="HO65" i="1"/>
  <c r="HM65" i="1"/>
  <c r="HK65" i="1"/>
  <c r="HL66" i="1" s="1"/>
  <c r="HT65" i="1"/>
  <c r="HS65" i="1"/>
  <c r="HY65" i="1"/>
  <c r="HW65" i="1"/>
  <c r="HQ65" i="1"/>
  <c r="HU65" i="1"/>
  <c r="HN65" i="1"/>
  <c r="HP65" i="1"/>
  <c r="HV65" i="1"/>
  <c r="HR65" i="1"/>
  <c r="IA65" i="1"/>
  <c r="GT47" i="1" l="1"/>
  <c r="HW22" i="1" s="1"/>
  <c r="GR47" i="1"/>
  <c r="HS22" i="1" s="1"/>
  <c r="IC22" i="1" s="1"/>
  <c r="HT22" i="1"/>
  <c r="ID22" i="1" s="1"/>
  <c r="HA47" i="1"/>
  <c r="HC44" i="1"/>
  <c r="HD44" i="1"/>
  <c r="FQ49" i="1"/>
  <c r="FS49" i="1" s="1"/>
  <c r="FR49" i="1"/>
  <c r="FP49" i="1"/>
  <c r="GE46" i="1"/>
  <c r="GF46" i="1" s="1"/>
  <c r="GG46" i="1"/>
  <c r="GZ47" i="1"/>
  <c r="HY22" i="1" s="1"/>
  <c r="HV22" i="1"/>
  <c r="IF22" i="1" s="1"/>
  <c r="DZ56" i="1"/>
  <c r="HD45" i="1"/>
  <c r="HC45" i="1"/>
  <c r="ED57" i="1"/>
  <c r="EB57" i="1"/>
  <c r="EC57" i="1"/>
  <c r="HS10" i="1"/>
  <c r="IC10" i="1" s="1"/>
  <c r="EL55" i="1"/>
  <c r="EH55" i="1"/>
  <c r="EJ55" i="1"/>
  <c r="EI55" i="1"/>
  <c r="GC48" i="1"/>
  <c r="GB48" i="1"/>
  <c r="GO48" i="1"/>
  <c r="HN28" i="1" s="1"/>
  <c r="EK55" i="1"/>
  <c r="EE55" i="1"/>
  <c r="EG55" i="1"/>
  <c r="EF55" i="1"/>
  <c r="GP49" i="1"/>
  <c r="HO34" i="1" s="1"/>
  <c r="GD49" i="1"/>
  <c r="GA49" i="1"/>
  <c r="FS48" i="1"/>
  <c r="GH46" i="1"/>
  <c r="GY46" i="1" s="1"/>
  <c r="HP66" i="1"/>
  <c r="HW66" i="1"/>
  <c r="HY66" i="1"/>
  <c r="HT66" i="1"/>
  <c r="HN66" i="1"/>
  <c r="HQ66" i="1"/>
  <c r="HV66" i="1"/>
  <c r="HR66" i="1"/>
  <c r="HM66" i="1"/>
  <c r="HK66" i="1"/>
  <c r="HL67" i="1" s="1"/>
  <c r="HS66" i="1"/>
  <c r="HX66" i="1"/>
  <c r="HU66" i="1"/>
  <c r="IA66" i="1"/>
  <c r="HO66" i="1"/>
  <c r="HZ66" i="1"/>
  <c r="FT49" i="1" l="1"/>
  <c r="ED56" i="1"/>
  <c r="EB56" i="1"/>
  <c r="EC56" i="1"/>
  <c r="GZ46" i="1"/>
  <c r="HY16" i="1" s="1"/>
  <c r="HV16" i="1"/>
  <c r="IF16" i="1" s="1"/>
  <c r="EN55" i="1"/>
  <c r="EM55" i="1"/>
  <c r="EO55" i="1"/>
  <c r="ER55" i="1" s="1"/>
  <c r="HD47" i="1"/>
  <c r="HC47" i="1"/>
  <c r="GI48" i="1"/>
  <c r="GE48" i="1"/>
  <c r="GF48" i="1" s="1"/>
  <c r="GG48" i="1"/>
  <c r="EK57" i="1"/>
  <c r="EG57" i="1"/>
  <c r="EF57" i="1"/>
  <c r="EE57" i="1"/>
  <c r="GS46" i="1"/>
  <c r="GH48" i="1"/>
  <c r="EL57" i="1"/>
  <c r="EJ57" i="1"/>
  <c r="EI57" i="1"/>
  <c r="EH57" i="1"/>
  <c r="GB49" i="1"/>
  <c r="GC49" i="1"/>
  <c r="GH49" i="1" s="1"/>
  <c r="GO49" i="1"/>
  <c r="HN34" i="1" s="1"/>
  <c r="HZ67" i="1"/>
  <c r="HP67" i="1"/>
  <c r="HR67" i="1"/>
  <c r="HX67" i="1"/>
  <c r="HU67" i="1"/>
  <c r="HO67" i="1"/>
  <c r="HT67" i="1"/>
  <c r="HV67" i="1"/>
  <c r="HM67" i="1"/>
  <c r="HS67" i="1"/>
  <c r="IA67" i="1"/>
  <c r="HY67" i="1"/>
  <c r="HQ67" i="1"/>
  <c r="HW67" i="1"/>
  <c r="HN67" i="1"/>
  <c r="HK67" i="1"/>
  <c r="HL68" i="1" s="1"/>
  <c r="GY48" i="1" l="1"/>
  <c r="GS48" i="1"/>
  <c r="EK56" i="1"/>
  <c r="EG56" i="1"/>
  <c r="EF56" i="1"/>
  <c r="EE56" i="1"/>
  <c r="GT46" i="1"/>
  <c r="HW16" i="1" s="1"/>
  <c r="GR46" i="1"/>
  <c r="HT16" i="1"/>
  <c r="ID16" i="1" s="1"/>
  <c r="HA46" i="1"/>
  <c r="EM57" i="1"/>
  <c r="EN57" i="1"/>
  <c r="EO57" i="1"/>
  <c r="ER57" i="1" s="1"/>
  <c r="EQ55" i="1"/>
  <c r="EZ55" i="1" s="1"/>
  <c r="FC55" i="1" s="1"/>
  <c r="EP55" i="1"/>
  <c r="EL56" i="1"/>
  <c r="EJ56" i="1"/>
  <c r="EI56" i="1"/>
  <c r="EH56" i="1"/>
  <c r="GI49" i="1"/>
  <c r="GY49" i="1" s="1"/>
  <c r="GG49" i="1"/>
  <c r="GS49" i="1" s="1"/>
  <c r="GE49" i="1"/>
  <c r="GF49" i="1" s="1"/>
  <c r="HM68" i="1"/>
  <c r="HV68" i="1"/>
  <c r="HQ68" i="1"/>
  <c r="HY68" i="1"/>
  <c r="HO68" i="1"/>
  <c r="HP68" i="1"/>
  <c r="HN68" i="1"/>
  <c r="HS68" i="1"/>
  <c r="HR68" i="1"/>
  <c r="HT68" i="1"/>
  <c r="HZ68" i="1"/>
  <c r="HU68" i="1"/>
  <c r="HW68" i="1"/>
  <c r="IA68" i="1"/>
  <c r="HX68" i="1"/>
  <c r="HK68" i="1"/>
  <c r="HL69" i="1" s="1"/>
  <c r="GZ49" i="1" l="1"/>
  <c r="HY34" i="1" s="1"/>
  <c r="HV34" i="1"/>
  <c r="IF34" i="1" s="1"/>
  <c r="GR49" i="1"/>
  <c r="HS34" i="1" s="1"/>
  <c r="IC34" i="1" s="1"/>
  <c r="GT49" i="1"/>
  <c r="HW34" i="1" s="1"/>
  <c r="HT34" i="1"/>
  <c r="ID34" i="1" s="1"/>
  <c r="HA49" i="1"/>
  <c r="EP57" i="1"/>
  <c r="EQ57" i="1"/>
  <c r="EZ57" i="1" s="1"/>
  <c r="FC57" i="1" s="1"/>
  <c r="EN56" i="1"/>
  <c r="EO56" i="1"/>
  <c r="ER56" i="1" s="1"/>
  <c r="EM56" i="1"/>
  <c r="HD46" i="1"/>
  <c r="HC46" i="1"/>
  <c r="FA55" i="1"/>
  <c r="EV55" i="1"/>
  <c r="FB55" i="1"/>
  <c r="HS16" i="1"/>
  <c r="IC16" i="1" s="1"/>
  <c r="GT48" i="1"/>
  <c r="HW28" i="1" s="1"/>
  <c r="GR48" i="1"/>
  <c r="HS28" i="1" s="1"/>
  <c r="IC28" i="1" s="1"/>
  <c r="HT28" i="1"/>
  <c r="ID28" i="1" s="1"/>
  <c r="HA48" i="1"/>
  <c r="FY55" i="1"/>
  <c r="HE55" i="1" s="1"/>
  <c r="FF55" i="1"/>
  <c r="FI55" i="1" s="1"/>
  <c r="GZ48" i="1"/>
  <c r="HY28" i="1" s="1"/>
  <c r="HV28" i="1"/>
  <c r="IF28" i="1" s="1"/>
  <c r="HY69" i="1"/>
  <c r="HS69" i="1"/>
  <c r="HN69" i="1"/>
  <c r="HX69" i="1"/>
  <c r="IA69" i="1"/>
  <c r="HM69" i="1"/>
  <c r="HZ69" i="1"/>
  <c r="HW69" i="1"/>
  <c r="HT69" i="1"/>
  <c r="HV69" i="1"/>
  <c r="HR69" i="1"/>
  <c r="HK69" i="1"/>
  <c r="HL70" i="1" s="1"/>
  <c r="HO69" i="1"/>
  <c r="HP69" i="1"/>
  <c r="HQ69" i="1"/>
  <c r="HU69" i="1"/>
  <c r="HC48" i="1" l="1"/>
  <c r="HD48" i="1"/>
  <c r="FL55" i="1"/>
  <c r="FO55" i="1"/>
  <c r="FA57" i="1"/>
  <c r="FB57" i="1"/>
  <c r="EV57" i="1"/>
  <c r="HD49" i="1"/>
  <c r="HC49" i="1"/>
  <c r="EQ56" i="1"/>
  <c r="EZ56" i="1" s="1"/>
  <c r="FC56" i="1" s="1"/>
  <c r="EP56" i="1"/>
  <c r="EX55" i="1"/>
  <c r="FH55" i="1" s="1"/>
  <c r="HB55" i="1"/>
  <c r="HF55" i="1" s="1"/>
  <c r="HH55" i="1" s="1"/>
  <c r="EW55" i="1"/>
  <c r="FD55" i="1"/>
  <c r="FV55" i="1" s="1"/>
  <c r="FE55" i="1"/>
  <c r="FF57" i="1"/>
  <c r="FI57" i="1" s="1"/>
  <c r="FY57" i="1"/>
  <c r="HE57" i="1" s="1"/>
  <c r="IA70" i="1"/>
  <c r="HM70" i="1"/>
  <c r="HY70" i="1"/>
  <c r="HV70" i="1"/>
  <c r="HQ70" i="1"/>
  <c r="HW70" i="1"/>
  <c r="HK70" i="1"/>
  <c r="HL71" i="1" s="1"/>
  <c r="HR70" i="1"/>
  <c r="HX70" i="1"/>
  <c r="HS70" i="1"/>
  <c r="HZ70" i="1"/>
  <c r="HT70" i="1"/>
  <c r="HO70" i="1"/>
  <c r="HN70" i="1"/>
  <c r="HU70" i="1"/>
  <c r="HP70" i="1"/>
  <c r="HG55" i="1" l="1"/>
  <c r="EW57" i="1"/>
  <c r="FD57" i="1"/>
  <c r="FV57" i="1" s="1"/>
  <c r="FE57" i="1"/>
  <c r="EX57" i="1"/>
  <c r="FH57" i="1" s="1"/>
  <c r="HB57" i="1"/>
  <c r="HF57" i="1" s="1"/>
  <c r="HG57" i="1" s="1"/>
  <c r="EV56" i="1"/>
  <c r="FA56" i="1"/>
  <c r="FB56" i="1"/>
  <c r="FL57" i="1"/>
  <c r="FO57" i="1"/>
  <c r="FF56" i="1"/>
  <c r="FI56" i="1" s="1"/>
  <c r="FY56" i="1"/>
  <c r="HE56" i="1" s="1"/>
  <c r="FG55" i="1"/>
  <c r="FU55" i="1"/>
  <c r="HO71" i="1"/>
  <c r="HW71" i="1"/>
  <c r="HS71" i="1"/>
  <c r="HP71" i="1"/>
  <c r="HU71" i="1"/>
  <c r="HR71" i="1"/>
  <c r="HX71" i="1"/>
  <c r="HZ71" i="1"/>
  <c r="IA71" i="1"/>
  <c r="HQ71" i="1"/>
  <c r="HY71" i="1"/>
  <c r="HN71" i="1"/>
  <c r="HK71" i="1"/>
  <c r="HL72" i="1" s="1"/>
  <c r="HM71" i="1"/>
  <c r="HV71" i="1"/>
  <c r="HT71" i="1"/>
  <c r="FM55" i="1" l="1"/>
  <c r="FN55" i="1" s="1"/>
  <c r="FW55" i="1"/>
  <c r="FX55" i="1" s="1"/>
  <c r="FZ55" i="1" s="1"/>
  <c r="FJ55" i="1"/>
  <c r="GQ55" i="1" s="1"/>
  <c r="HP21" i="1" s="1"/>
  <c r="HB56" i="1"/>
  <c r="HF56" i="1" s="1"/>
  <c r="HH56" i="1" s="1"/>
  <c r="FD56" i="1"/>
  <c r="FV56" i="1" s="1"/>
  <c r="EX56" i="1"/>
  <c r="FH56" i="1" s="1"/>
  <c r="EW56" i="1"/>
  <c r="FE56" i="1"/>
  <c r="HH57" i="1"/>
  <c r="HG8" i="1"/>
  <c r="HG56" i="1"/>
  <c r="FG57" i="1"/>
  <c r="FU57" i="1"/>
  <c r="FL56" i="1"/>
  <c r="FO56" i="1"/>
  <c r="HK72" i="1"/>
  <c r="HL73" i="1" s="1"/>
  <c r="HQ72" i="1"/>
  <c r="HN72" i="1"/>
  <c r="HT72" i="1"/>
  <c r="HV72" i="1"/>
  <c r="HZ72" i="1"/>
  <c r="HS72" i="1"/>
  <c r="HM72" i="1"/>
  <c r="HR72" i="1"/>
  <c r="HY72" i="1"/>
  <c r="HO72" i="1"/>
  <c r="IA72" i="1"/>
  <c r="HP72" i="1"/>
  <c r="HU72" i="1"/>
  <c r="HX72" i="1"/>
  <c r="HW72" i="1"/>
  <c r="FG56" i="1" l="1"/>
  <c r="FU56" i="1"/>
  <c r="FM57" i="1"/>
  <c r="FN57" i="1" s="1"/>
  <c r="FJ57" i="1"/>
  <c r="GQ57" i="1" s="1"/>
  <c r="HP33" i="1" s="1"/>
  <c r="FW57" i="1"/>
  <c r="FX57" i="1" s="1"/>
  <c r="FZ57" i="1" s="1"/>
  <c r="HH8" i="1"/>
  <c r="HF8" i="1" s="1"/>
  <c r="GP55" i="1"/>
  <c r="HO21" i="1" s="1"/>
  <c r="GD55" i="1"/>
  <c r="GA55" i="1"/>
  <c r="FP55" i="1"/>
  <c r="FQ55" i="1"/>
  <c r="FS55" i="1" s="1"/>
  <c r="FR55" i="1"/>
  <c r="HU73" i="1"/>
  <c r="HV73" i="1"/>
  <c r="HT73" i="1"/>
  <c r="HQ73" i="1"/>
  <c r="IA73" i="1"/>
  <c r="HY73" i="1"/>
  <c r="HW73" i="1"/>
  <c r="HS73" i="1"/>
  <c r="HX73" i="1"/>
  <c r="HO73" i="1"/>
  <c r="HK73" i="1"/>
  <c r="HL74" i="1" s="1"/>
  <c r="HM73" i="1"/>
  <c r="HR73" i="1"/>
  <c r="HP73" i="1"/>
  <c r="HN73" i="1"/>
  <c r="HZ73" i="1"/>
  <c r="FT55" i="1" l="1"/>
  <c r="HE8" i="1"/>
  <c r="GP57" i="1"/>
  <c r="HO33" i="1" s="1"/>
  <c r="GA57" i="1"/>
  <c r="GD57" i="1"/>
  <c r="FQ57" i="1"/>
  <c r="FS57" i="1" s="1"/>
  <c r="FP57" i="1"/>
  <c r="FR57" i="1"/>
  <c r="FT57" i="1" s="1"/>
  <c r="GC55" i="1"/>
  <c r="GB55" i="1"/>
  <c r="GO55" i="1"/>
  <c r="HN21" i="1" s="1"/>
  <c r="GI55" i="1"/>
  <c r="FJ56" i="1"/>
  <c r="GQ56" i="1" s="1"/>
  <c r="HP27" i="1" s="1"/>
  <c r="FW56" i="1"/>
  <c r="FX56" i="1" s="1"/>
  <c r="FZ56" i="1" s="1"/>
  <c r="FM56" i="1"/>
  <c r="FN56" i="1" s="1"/>
  <c r="FG8" i="1"/>
  <c r="IA74" i="1"/>
  <c r="HO74" i="1"/>
  <c r="HV74" i="1"/>
  <c r="HN74" i="1"/>
  <c r="HU74" i="1"/>
  <c r="HP74" i="1"/>
  <c r="HZ74" i="1"/>
  <c r="HY74" i="1"/>
  <c r="HK74" i="1"/>
  <c r="HL75" i="1" s="1"/>
  <c r="HW74" i="1"/>
  <c r="HQ74" i="1"/>
  <c r="HR74" i="1"/>
  <c r="HX74" i="1"/>
  <c r="HM74" i="1"/>
  <c r="HS74" i="1"/>
  <c r="HT74" i="1"/>
  <c r="FQ56" i="1" l="1"/>
  <c r="FP56" i="1"/>
  <c r="FR56" i="1"/>
  <c r="FT56" i="1" s="1"/>
  <c r="GB57" i="1"/>
  <c r="GO57" i="1"/>
  <c r="HN33" i="1" s="1"/>
  <c r="GC57" i="1"/>
  <c r="GH57" i="1" s="1"/>
  <c r="GA56" i="1"/>
  <c r="GD56" i="1"/>
  <c r="GP56" i="1"/>
  <c r="HO27" i="1" s="1"/>
  <c r="GE55" i="1"/>
  <c r="GF55" i="1" s="1"/>
  <c r="GG55" i="1"/>
  <c r="GH55" i="1"/>
  <c r="HZ75" i="1"/>
  <c r="HW75" i="1"/>
  <c r="HY75" i="1"/>
  <c r="HP75" i="1"/>
  <c r="HV75" i="1"/>
  <c r="HO75" i="1"/>
  <c r="IA75" i="1"/>
  <c r="HN75" i="1"/>
  <c r="HS75" i="1"/>
  <c r="HM75" i="1"/>
  <c r="HK75" i="1"/>
  <c r="HL76" i="1" s="1"/>
  <c r="HU75" i="1"/>
  <c r="HT75" i="1"/>
  <c r="HR75" i="1"/>
  <c r="HX75" i="1"/>
  <c r="HQ75" i="1"/>
  <c r="GG57" i="1" l="1"/>
  <c r="GS57" i="1" s="1"/>
  <c r="GE57" i="1"/>
  <c r="GF57" i="1" s="1"/>
  <c r="GS55" i="1"/>
  <c r="GY55" i="1"/>
  <c r="GI57" i="1"/>
  <c r="GY57" i="1" s="1"/>
  <c r="GC56" i="1"/>
  <c r="GB56" i="1"/>
  <c r="GO56" i="1"/>
  <c r="HN27" i="1" s="1"/>
  <c r="FS56" i="1"/>
  <c r="HP76" i="1"/>
  <c r="HT76" i="1"/>
  <c r="HK76" i="1"/>
  <c r="HL77" i="1" s="1"/>
  <c r="IA76" i="1"/>
  <c r="HS76" i="1"/>
  <c r="HM76" i="1"/>
  <c r="HY76" i="1"/>
  <c r="HN76" i="1"/>
  <c r="HZ76" i="1"/>
  <c r="HX76" i="1"/>
  <c r="HR76" i="1"/>
  <c r="HV76" i="1"/>
  <c r="HQ76" i="1"/>
  <c r="HO76" i="1"/>
  <c r="HU76" i="1"/>
  <c r="HW76" i="1"/>
  <c r="GZ57" i="1" l="1"/>
  <c r="HY33" i="1" s="1"/>
  <c r="HV33" i="1"/>
  <c r="IF33" i="1" s="1"/>
  <c r="GT57" i="1"/>
  <c r="HW33" i="1" s="1"/>
  <c r="GR57" i="1"/>
  <c r="HS33" i="1" s="1"/>
  <c r="IC33" i="1" s="1"/>
  <c r="HT33" i="1"/>
  <c r="ID33" i="1" s="1"/>
  <c r="HA57" i="1"/>
  <c r="GZ55" i="1"/>
  <c r="HY21" i="1" s="1"/>
  <c r="HV21" i="1"/>
  <c r="IF21" i="1" s="1"/>
  <c r="GR55" i="1"/>
  <c r="GT55" i="1"/>
  <c r="HW21" i="1" s="1"/>
  <c r="HT21" i="1"/>
  <c r="ID21" i="1" s="1"/>
  <c r="HA55" i="1"/>
  <c r="GE56" i="1"/>
  <c r="GF56" i="1" s="1"/>
  <c r="GG56" i="1"/>
  <c r="GH56" i="1"/>
  <c r="GI56" i="1"/>
  <c r="HN77" i="1"/>
  <c r="HS77" i="1"/>
  <c r="HQ77" i="1"/>
  <c r="HO77" i="1"/>
  <c r="HZ77" i="1"/>
  <c r="HR77" i="1"/>
  <c r="HK77" i="1"/>
  <c r="HL78" i="1" s="1"/>
  <c r="HT77" i="1"/>
  <c r="IA77" i="1"/>
  <c r="HW77" i="1"/>
  <c r="HV77" i="1"/>
  <c r="HP77" i="1"/>
  <c r="HU77" i="1"/>
  <c r="HX77" i="1"/>
  <c r="HM77" i="1"/>
  <c r="HY77" i="1"/>
  <c r="HD55" i="1" l="1"/>
  <c r="HC55" i="1"/>
  <c r="HC57" i="1"/>
  <c r="HD57" i="1"/>
  <c r="HS21" i="1"/>
  <c r="IC21" i="1" s="1"/>
  <c r="GS56" i="1"/>
  <c r="GY56" i="1"/>
  <c r="HQ78" i="1"/>
  <c r="HR78" i="1"/>
  <c r="HP78" i="1"/>
  <c r="HV78" i="1"/>
  <c r="HN78" i="1"/>
  <c r="HM78" i="1"/>
  <c r="HO78" i="1"/>
  <c r="HT78" i="1"/>
  <c r="IA78" i="1"/>
  <c r="HX78" i="1"/>
  <c r="HW78" i="1"/>
  <c r="HY78" i="1"/>
  <c r="HZ78" i="1"/>
  <c r="HK78" i="1"/>
  <c r="HL79" i="1" s="1"/>
  <c r="HU78" i="1"/>
  <c r="HS78" i="1"/>
  <c r="GZ56" i="1" l="1"/>
  <c r="HY27" i="1" s="1"/>
  <c r="HV27" i="1"/>
  <c r="IF27" i="1" s="1"/>
  <c r="GY2" i="1"/>
  <c r="GR56" i="1"/>
  <c r="GT56" i="1"/>
  <c r="HW27" i="1" s="1"/>
  <c r="HT27" i="1"/>
  <c r="ID27" i="1" s="1"/>
  <c r="HA56" i="1"/>
  <c r="GS2" i="1"/>
  <c r="HM79" i="1"/>
  <c r="HU79" i="1"/>
  <c r="HZ79" i="1"/>
  <c r="HT79" i="1"/>
  <c r="HR79" i="1"/>
  <c r="IA79" i="1"/>
  <c r="HO79" i="1"/>
  <c r="HK79" i="1"/>
  <c r="HL80" i="1" s="1"/>
  <c r="HS79" i="1"/>
  <c r="HX79" i="1"/>
  <c r="HP79" i="1"/>
  <c r="HV79" i="1"/>
  <c r="HY79" i="1"/>
  <c r="HQ79" i="1"/>
  <c r="HN79" i="1"/>
  <c r="HW79" i="1"/>
  <c r="HD56" i="1" l="1"/>
  <c r="HD8" i="1" s="1"/>
  <c r="HH3" i="1" s="1"/>
  <c r="HC56" i="1"/>
  <c r="HC8" i="1" s="1"/>
  <c r="HS27" i="1"/>
  <c r="IC27" i="1" s="1"/>
  <c r="GR2" i="1"/>
  <c r="HS80" i="1"/>
  <c r="HV80" i="1"/>
  <c r="HP80" i="1"/>
  <c r="HM80" i="1"/>
  <c r="HY80" i="1"/>
  <c r="HW80" i="1"/>
  <c r="HK80" i="1"/>
  <c r="HL81" i="1" s="1"/>
  <c r="HO80" i="1"/>
  <c r="HR80" i="1"/>
  <c r="HZ80" i="1"/>
  <c r="HN80" i="1"/>
  <c r="HT80" i="1"/>
  <c r="HQ80" i="1"/>
  <c r="HX80" i="1"/>
  <c r="IA80" i="1"/>
  <c r="HU80" i="1"/>
  <c r="HG3" i="1" l="1"/>
  <c r="HA8" i="1"/>
  <c r="HB8" i="1"/>
  <c r="HK81" i="1"/>
  <c r="HL82" i="1" s="1"/>
  <c r="IA81" i="1"/>
  <c r="HR81" i="1"/>
  <c r="HY81" i="1"/>
  <c r="HO81" i="1"/>
  <c r="HN81" i="1"/>
  <c r="HX81" i="1"/>
  <c r="HW81" i="1"/>
  <c r="HZ81" i="1"/>
  <c r="HQ81" i="1"/>
  <c r="HS81" i="1"/>
  <c r="HP81" i="1"/>
  <c r="HV81" i="1"/>
  <c r="HU81" i="1"/>
  <c r="HM81" i="1"/>
  <c r="HT81" i="1"/>
  <c r="HF3" i="1" l="1"/>
  <c r="HE3" i="1"/>
  <c r="HN82" i="1"/>
  <c r="HT82" i="1"/>
  <c r="HZ82" i="1"/>
  <c r="HO82" i="1"/>
  <c r="HU82" i="1"/>
  <c r="HP82" i="1"/>
  <c r="HW82" i="1"/>
  <c r="HK82" i="1"/>
  <c r="HL83" i="1" s="1"/>
  <c r="HX82" i="1"/>
  <c r="HV82" i="1"/>
  <c r="HY82" i="1"/>
  <c r="HR82" i="1"/>
  <c r="HM82" i="1"/>
  <c r="HS82" i="1"/>
  <c r="HQ82" i="1"/>
  <c r="IA82" i="1"/>
  <c r="HQ2" i="1" l="1"/>
  <c r="HA4" i="1"/>
  <c r="HP83" i="1"/>
  <c r="HM83" i="1"/>
  <c r="IA83" i="1"/>
  <c r="HO83" i="1"/>
  <c r="HK83" i="1"/>
  <c r="HL84" i="1" s="1"/>
  <c r="HN83" i="1"/>
  <c r="HS83" i="1"/>
  <c r="HZ83" i="1"/>
  <c r="HQ83" i="1"/>
  <c r="HR83" i="1"/>
  <c r="HY83" i="1"/>
  <c r="HX83" i="1"/>
  <c r="HU83" i="1"/>
  <c r="HT83" i="1"/>
  <c r="HW83" i="1"/>
  <c r="HV83" i="1"/>
  <c r="HZ84" i="1" l="1"/>
  <c r="HY84" i="1"/>
  <c r="IA84" i="1"/>
  <c r="HK84" i="1"/>
  <c r="HL85" i="1" s="1"/>
  <c r="HU84" i="1"/>
  <c r="HT84" i="1"/>
  <c r="HP84" i="1"/>
  <c r="HX84" i="1"/>
  <c r="HS84" i="1"/>
  <c r="HO84" i="1"/>
  <c r="HW84" i="1"/>
  <c r="HV84" i="1"/>
  <c r="HR84" i="1"/>
  <c r="HN84" i="1"/>
  <c r="HM84" i="1"/>
  <c r="HQ84" i="1"/>
  <c r="HO85" i="1" l="1"/>
  <c r="IA85" i="1"/>
  <c r="HX85" i="1"/>
  <c r="HZ85" i="1"/>
  <c r="HK85" i="1"/>
  <c r="HL86" i="1" s="1"/>
  <c r="HY85" i="1"/>
  <c r="HS85" i="1"/>
  <c r="HU85" i="1"/>
  <c r="HM85" i="1"/>
  <c r="HW85" i="1"/>
  <c r="HT85" i="1"/>
  <c r="HQ85" i="1"/>
  <c r="HV85" i="1"/>
  <c r="HN85" i="1"/>
  <c r="HR85" i="1"/>
  <c r="HP85" i="1"/>
  <c r="HZ86" i="1" l="1"/>
  <c r="HQ86" i="1"/>
  <c r="HW86" i="1"/>
  <c r="HR86" i="1"/>
  <c r="HT86" i="1"/>
  <c r="HX86" i="1"/>
  <c r="HP86" i="1"/>
  <c r="HS86" i="1"/>
  <c r="IA86" i="1"/>
  <c r="HY86" i="1"/>
  <c r="HU86" i="1"/>
  <c r="HO86" i="1"/>
  <c r="HV86" i="1"/>
  <c r="HK86" i="1"/>
  <c r="HL87" i="1" s="1"/>
  <c r="HN86" i="1"/>
  <c r="HM86" i="1"/>
  <c r="HP87" i="1" l="1"/>
  <c r="HT87" i="1"/>
  <c r="HR87" i="1"/>
  <c r="HU87" i="1"/>
  <c r="HS87" i="1"/>
  <c r="HQ87" i="1"/>
  <c r="HW87" i="1"/>
  <c r="HY87" i="1"/>
  <c r="HV87" i="1"/>
  <c r="HO87" i="1"/>
  <c r="HX87" i="1"/>
  <c r="HM87" i="1"/>
  <c r="IA87" i="1"/>
  <c r="HZ87" i="1"/>
  <c r="HN87" i="1"/>
  <c r="HK87" i="1"/>
  <c r="HL88" i="1" s="1"/>
  <c r="HR88" i="1" l="1"/>
  <c r="HZ88" i="1"/>
  <c r="HY88" i="1"/>
  <c r="HO88" i="1"/>
  <c r="HT88" i="1"/>
  <c r="HN88" i="1"/>
  <c r="IA88" i="1"/>
  <c r="HV88" i="1"/>
  <c r="HP88" i="1"/>
  <c r="HU88" i="1"/>
  <c r="HX88" i="1"/>
  <c r="HM88" i="1"/>
  <c r="HQ88" i="1"/>
  <c r="HS88" i="1"/>
  <c r="HK88" i="1"/>
  <c r="HL89" i="1" s="1"/>
  <c r="HW88" i="1"/>
  <c r="HP89" i="1" l="1"/>
  <c r="HR89" i="1"/>
  <c r="HX89" i="1"/>
  <c r="HO89" i="1"/>
  <c r="HN89" i="1"/>
  <c r="HW89" i="1"/>
  <c r="HQ89" i="1"/>
  <c r="HM89" i="1"/>
  <c r="HZ89" i="1"/>
  <c r="HT89" i="1"/>
  <c r="HY89" i="1"/>
  <c r="IA89" i="1"/>
  <c r="HV89" i="1"/>
  <c r="HS89" i="1"/>
  <c r="HK89" i="1"/>
  <c r="HL90" i="1" s="1"/>
  <c r="HU89" i="1"/>
  <c r="HK90" i="1" l="1"/>
  <c r="HL91" i="1" s="1"/>
  <c r="HT90" i="1"/>
  <c r="IA90" i="1"/>
  <c r="HO90" i="1"/>
  <c r="HQ90" i="1"/>
  <c r="HZ90" i="1"/>
  <c r="HX90" i="1"/>
  <c r="HM90" i="1"/>
  <c r="HW90" i="1"/>
  <c r="HU90" i="1"/>
  <c r="HY90" i="1"/>
  <c r="HN90" i="1"/>
  <c r="HV90" i="1"/>
  <c r="HS90" i="1"/>
  <c r="HP90" i="1"/>
  <c r="HR90" i="1"/>
  <c r="HM91" i="1" l="1"/>
  <c r="HT91" i="1"/>
  <c r="HK91" i="1"/>
  <c r="HL92" i="1" s="1"/>
  <c r="HR91" i="1"/>
  <c r="HU91" i="1"/>
  <c r="HN91" i="1"/>
  <c r="HV91" i="1"/>
  <c r="HQ91" i="1"/>
  <c r="HW91" i="1"/>
  <c r="HX91" i="1"/>
  <c r="HP91" i="1"/>
  <c r="HY91" i="1"/>
  <c r="HS91" i="1"/>
  <c r="HO91" i="1"/>
  <c r="IA91" i="1"/>
  <c r="HZ91" i="1"/>
  <c r="HX92" i="1" l="1"/>
  <c r="IA92" i="1"/>
  <c r="HS92" i="1"/>
  <c r="HY92" i="1"/>
  <c r="HW92" i="1"/>
  <c r="HQ92" i="1"/>
  <c r="HP92" i="1"/>
  <c r="HN92" i="1"/>
  <c r="HK92" i="1"/>
  <c r="HL93" i="1" s="1"/>
  <c r="HM92" i="1"/>
  <c r="HV92" i="1"/>
  <c r="HO92" i="1"/>
  <c r="HT92" i="1"/>
  <c r="HR92" i="1"/>
  <c r="HU92" i="1"/>
  <c r="HZ92" i="1"/>
  <c r="HY93" i="1" l="1"/>
  <c r="HO93" i="1"/>
  <c r="HT93" i="1"/>
  <c r="IA93" i="1"/>
  <c r="HW93" i="1"/>
  <c r="HQ93" i="1"/>
  <c r="HP93" i="1"/>
  <c r="HX93" i="1"/>
  <c r="HK93" i="1"/>
  <c r="HL94" i="1" s="1"/>
  <c r="HM93" i="1"/>
  <c r="HR93" i="1"/>
  <c r="HV93" i="1"/>
  <c r="HZ93" i="1"/>
  <c r="HN93" i="1"/>
  <c r="HS93" i="1"/>
  <c r="HU93" i="1"/>
  <c r="HZ94" i="1" l="1"/>
  <c r="HK94" i="1"/>
  <c r="HL95" i="1" s="1"/>
  <c r="HO94" i="1"/>
  <c r="HP94" i="1"/>
  <c r="HM94" i="1"/>
  <c r="HY94" i="1"/>
  <c r="IA94" i="1"/>
  <c r="HV94" i="1"/>
  <c r="HT94" i="1"/>
  <c r="HS94" i="1"/>
  <c r="HU94" i="1"/>
  <c r="HW94" i="1"/>
  <c r="HX94" i="1"/>
  <c r="HQ94" i="1"/>
  <c r="HN94" i="1"/>
  <c r="HR94" i="1"/>
  <c r="HN95" i="1" l="1"/>
  <c r="HM95" i="1"/>
  <c r="HP95" i="1"/>
  <c r="HR95" i="1"/>
  <c r="IA95" i="1"/>
  <c r="HK95" i="1"/>
  <c r="HL96" i="1" s="1"/>
  <c r="HQ95" i="1"/>
  <c r="HU95" i="1"/>
  <c r="HS95" i="1"/>
  <c r="HT95" i="1"/>
  <c r="HW95" i="1"/>
  <c r="HX95" i="1"/>
  <c r="HV95" i="1"/>
  <c r="HZ95" i="1"/>
  <c r="HO95" i="1"/>
  <c r="HY95" i="1"/>
  <c r="HP96" i="1" l="1"/>
  <c r="HR96" i="1"/>
  <c r="HY96" i="1"/>
  <c r="HT96" i="1"/>
  <c r="HO96" i="1"/>
  <c r="HU96" i="1"/>
  <c r="HW96" i="1"/>
  <c r="HZ96" i="1"/>
  <c r="IA96" i="1"/>
  <c r="HQ96" i="1"/>
  <c r="HS96" i="1"/>
  <c r="HV96" i="1"/>
  <c r="HX96" i="1"/>
  <c r="HN96" i="1"/>
  <c r="HK96" i="1"/>
  <c r="HL97" i="1" s="1"/>
  <c r="HM96" i="1"/>
  <c r="IA97" i="1" l="1"/>
  <c r="HO97" i="1"/>
  <c r="HQ97" i="1"/>
  <c r="HN97" i="1"/>
  <c r="HM97" i="1"/>
  <c r="HW97" i="1"/>
  <c r="HY97" i="1"/>
  <c r="HZ97" i="1"/>
  <c r="HR97" i="1"/>
  <c r="HV97" i="1"/>
  <c r="HK97" i="1"/>
  <c r="HL98" i="1" s="1"/>
  <c r="HS97" i="1"/>
  <c r="HX97" i="1"/>
  <c r="HP97" i="1"/>
  <c r="HT97" i="1"/>
  <c r="HU97" i="1"/>
  <c r="HS98" i="1" l="1"/>
  <c r="HP98" i="1"/>
  <c r="HN98" i="1"/>
  <c r="HO98" i="1"/>
  <c r="IA98" i="1"/>
  <c r="HW98" i="1"/>
  <c r="HQ98" i="1"/>
  <c r="HU98" i="1"/>
  <c r="HZ98" i="1"/>
  <c r="HK98" i="1"/>
  <c r="HL99" i="1" s="1"/>
  <c r="HM98" i="1"/>
  <c r="HV98" i="1"/>
  <c r="HT98" i="1"/>
  <c r="HR98" i="1"/>
  <c r="HY98" i="1"/>
  <c r="HX98" i="1"/>
  <c r="HY99" i="1" l="1"/>
  <c r="HP99" i="1"/>
  <c r="HV99" i="1"/>
  <c r="HX99" i="1"/>
  <c r="HS99" i="1"/>
  <c r="HW99" i="1"/>
  <c r="HZ99" i="1"/>
  <c r="HM99" i="1"/>
  <c r="HQ99" i="1"/>
  <c r="HU99" i="1"/>
  <c r="IA99" i="1"/>
  <c r="HO99" i="1"/>
  <c r="HT99" i="1"/>
  <c r="HK99" i="1"/>
  <c r="HL100" i="1" s="1"/>
  <c r="HN99" i="1"/>
  <c r="HR99" i="1"/>
  <c r="HM100" i="1" l="1"/>
  <c r="HO100" i="1"/>
  <c r="HR100" i="1"/>
  <c r="HY100" i="1"/>
  <c r="HU100" i="1"/>
  <c r="HS100" i="1"/>
  <c r="HT100" i="1"/>
  <c r="HV100" i="1"/>
  <c r="HK100" i="1"/>
  <c r="HL101" i="1" s="1"/>
  <c r="IA100" i="1"/>
  <c r="HZ100" i="1"/>
  <c r="HN100" i="1"/>
  <c r="HP100" i="1"/>
  <c r="HQ100" i="1"/>
  <c r="HW100" i="1"/>
  <c r="HX100" i="1"/>
  <c r="HR101" i="1" l="1"/>
  <c r="HO101" i="1"/>
  <c r="HM101" i="1"/>
  <c r="HU101" i="1"/>
  <c r="HQ101" i="1"/>
  <c r="HV101" i="1"/>
  <c r="HN101" i="1"/>
  <c r="HX101" i="1"/>
  <c r="HZ101" i="1"/>
  <c r="HT101" i="1"/>
  <c r="HK101" i="1"/>
  <c r="HL102" i="1" s="1"/>
  <c r="HS101" i="1"/>
  <c r="HP101" i="1"/>
  <c r="HW101" i="1"/>
  <c r="IA101" i="1"/>
  <c r="HY101" i="1"/>
  <c r="HV102" i="1" l="1"/>
  <c r="HT102" i="1"/>
  <c r="HK102" i="1"/>
  <c r="HL103" i="1" s="1"/>
  <c r="HW102" i="1"/>
  <c r="HY102" i="1"/>
  <c r="HQ102" i="1"/>
  <c r="HM102" i="1"/>
  <c r="HU102" i="1"/>
  <c r="HP102" i="1"/>
  <c r="HS102" i="1"/>
  <c r="HZ102" i="1"/>
  <c r="HR102" i="1"/>
  <c r="HO102" i="1"/>
  <c r="IA102" i="1"/>
  <c r="HN102" i="1"/>
  <c r="HX102" i="1"/>
  <c r="HO103" i="1" l="1"/>
  <c r="IA103" i="1"/>
  <c r="HU103" i="1"/>
  <c r="HR103" i="1"/>
  <c r="HP103" i="1"/>
  <c r="HW103" i="1"/>
  <c r="HT103" i="1"/>
  <c r="HN103" i="1"/>
  <c r="HY103" i="1"/>
  <c r="HV103" i="1"/>
  <c r="HK103" i="1"/>
  <c r="HL104" i="1" s="1"/>
  <c r="HZ103" i="1"/>
  <c r="HS103" i="1"/>
  <c r="HX103" i="1"/>
  <c r="HQ103" i="1"/>
  <c r="HM103" i="1"/>
  <c r="HU104" i="1" l="1"/>
  <c r="HW104" i="1"/>
  <c r="HZ104" i="1"/>
  <c r="HT104" i="1"/>
  <c r="HP104" i="1"/>
  <c r="HO104" i="1"/>
  <c r="HR104" i="1"/>
  <c r="HS104" i="1"/>
  <c r="HM104" i="1"/>
  <c r="HX104" i="1"/>
  <c r="HV104" i="1"/>
  <c r="HK104" i="1"/>
  <c r="HL105" i="1" s="1"/>
  <c r="HQ104" i="1"/>
  <c r="IA104" i="1"/>
  <c r="HY104" i="1"/>
  <c r="HN104" i="1"/>
  <c r="HW105" i="1" l="1"/>
  <c r="HT105" i="1"/>
  <c r="HY105" i="1"/>
  <c r="HQ105" i="1"/>
  <c r="HP105" i="1"/>
  <c r="HK105" i="1"/>
  <c r="HL106" i="1" s="1"/>
  <c r="HU105" i="1"/>
  <c r="HM105" i="1"/>
  <c r="HZ105" i="1"/>
  <c r="HV105" i="1"/>
  <c r="HR105" i="1"/>
  <c r="HS105" i="1"/>
  <c r="HO105" i="1"/>
  <c r="HN105" i="1"/>
  <c r="IA105" i="1"/>
  <c r="HX105" i="1"/>
  <c r="IA106" i="1" l="1"/>
  <c r="HZ106" i="1"/>
  <c r="HQ106" i="1"/>
  <c r="HR106" i="1"/>
  <c r="HT106" i="1"/>
  <c r="HV106" i="1"/>
  <c r="HN106" i="1"/>
  <c r="HP106" i="1"/>
  <c r="HU106" i="1"/>
  <c r="HY106" i="1"/>
  <c r="HM106" i="1"/>
  <c r="HK106" i="1"/>
  <c r="HL107" i="1" s="1"/>
  <c r="HX106" i="1"/>
  <c r="HS106" i="1"/>
  <c r="HO106" i="1"/>
  <c r="HW106" i="1"/>
  <c r="HO107" i="1" l="1"/>
  <c r="HQ107" i="1"/>
  <c r="HK107" i="1"/>
  <c r="HL108" i="1" s="1"/>
  <c r="HT107" i="1"/>
  <c r="HZ107" i="1"/>
  <c r="HY107" i="1"/>
  <c r="HP107" i="1"/>
  <c r="IA107" i="1"/>
  <c r="HR107" i="1"/>
  <c r="HN107" i="1"/>
  <c r="HV107" i="1"/>
  <c r="HX107" i="1"/>
  <c r="HW107" i="1"/>
  <c r="HS107" i="1"/>
  <c r="HM107" i="1"/>
  <c r="HU107" i="1"/>
  <c r="HM108" i="1" l="1"/>
  <c r="HO108" i="1"/>
  <c r="HR108" i="1"/>
  <c r="HN108" i="1"/>
  <c r="HU108" i="1"/>
  <c r="HP108" i="1"/>
  <c r="HQ108" i="1"/>
  <c r="HX108" i="1"/>
  <c r="HK108" i="1"/>
  <c r="HL109" i="1" s="1"/>
  <c r="HY108" i="1"/>
  <c r="HW108" i="1"/>
  <c r="HV108" i="1"/>
  <c r="HZ108" i="1"/>
  <c r="IA108" i="1"/>
  <c r="HT108" i="1"/>
  <c r="HS108" i="1"/>
  <c r="HS109" i="1" l="1"/>
  <c r="HU109" i="1"/>
  <c r="HZ109" i="1"/>
  <c r="HM109" i="1"/>
  <c r="HP109" i="1"/>
  <c r="HV109" i="1"/>
  <c r="HX109" i="1"/>
  <c r="HW109" i="1"/>
  <c r="HY109" i="1"/>
  <c r="HR109" i="1"/>
  <c r="HN109" i="1"/>
  <c r="HK109" i="1"/>
  <c r="HL110" i="1" s="1"/>
  <c r="IA109" i="1"/>
  <c r="HQ109" i="1"/>
  <c r="HO109" i="1"/>
  <c r="HT109" i="1"/>
  <c r="HU110" i="1" l="1"/>
  <c r="HM110" i="1"/>
  <c r="HT110" i="1"/>
  <c r="HW110" i="1"/>
  <c r="HK110" i="1"/>
  <c r="HL111" i="1" s="1"/>
  <c r="HN110" i="1"/>
  <c r="HX110" i="1"/>
  <c r="IA110" i="1"/>
  <c r="HO110" i="1"/>
  <c r="HQ110" i="1"/>
  <c r="HY110" i="1"/>
  <c r="HZ110" i="1"/>
  <c r="HP110" i="1"/>
  <c r="HR110" i="1"/>
  <c r="HS110" i="1"/>
  <c r="HV110" i="1"/>
  <c r="HS111" i="1" l="1"/>
  <c r="HW111" i="1"/>
  <c r="HP111" i="1"/>
  <c r="HU111" i="1"/>
  <c r="HY111" i="1"/>
  <c r="HQ111" i="1"/>
  <c r="HZ111" i="1"/>
  <c r="IA111" i="1"/>
  <c r="HN111" i="1"/>
  <c r="HR111" i="1"/>
  <c r="HK111" i="1"/>
  <c r="HL112" i="1" s="1"/>
  <c r="HO111" i="1"/>
  <c r="HX111" i="1"/>
  <c r="HT111" i="1"/>
  <c r="HV111" i="1"/>
  <c r="HM111" i="1"/>
  <c r="IA112" i="1" l="1"/>
  <c r="HT112" i="1"/>
  <c r="HY112" i="1"/>
  <c r="HM112" i="1"/>
  <c r="HQ112" i="1"/>
  <c r="HU112" i="1"/>
  <c r="HX112" i="1"/>
  <c r="HK112" i="1"/>
  <c r="HL113" i="1" s="1"/>
  <c r="HV112" i="1"/>
  <c r="HN112" i="1"/>
  <c r="HW112" i="1"/>
  <c r="HO112" i="1"/>
  <c r="HZ112" i="1"/>
  <c r="HR112" i="1"/>
  <c r="HP112" i="1"/>
  <c r="HS112" i="1"/>
  <c r="HN113" i="1" l="1"/>
  <c r="HW113" i="1"/>
  <c r="HR113" i="1"/>
  <c r="HO113" i="1"/>
  <c r="HY113" i="1"/>
  <c r="HX113" i="1"/>
  <c r="HP113" i="1"/>
  <c r="HU113" i="1"/>
  <c r="HT113" i="1"/>
  <c r="HM113" i="1"/>
  <c r="IA113" i="1"/>
  <c r="HV113" i="1"/>
  <c r="HZ113" i="1"/>
  <c r="HS113" i="1"/>
  <c r="HQ113" i="1"/>
  <c r="HK113" i="1"/>
  <c r="HL114" i="1" s="1"/>
  <c r="HW114" i="1" l="1"/>
  <c r="HO114" i="1"/>
  <c r="HT114" i="1"/>
  <c r="HU114" i="1"/>
  <c r="HR114" i="1"/>
  <c r="HS114" i="1"/>
  <c r="HV114" i="1"/>
  <c r="HP114" i="1"/>
  <c r="HK114" i="1"/>
  <c r="HL115" i="1" s="1"/>
  <c r="IA114" i="1"/>
  <c r="HQ114" i="1"/>
  <c r="HN114" i="1"/>
  <c r="HX114" i="1"/>
  <c r="HZ114" i="1"/>
  <c r="HM114" i="1"/>
  <c r="HY114" i="1"/>
  <c r="HO115" i="1" l="1"/>
  <c r="HU115" i="1"/>
  <c r="HR115" i="1"/>
  <c r="HN115" i="1"/>
  <c r="HP115" i="1"/>
  <c r="HZ115" i="1"/>
  <c r="HY115" i="1"/>
  <c r="IA115" i="1"/>
  <c r="HK115" i="1"/>
  <c r="HL116" i="1" s="1"/>
  <c r="HT115" i="1"/>
  <c r="HV115" i="1"/>
  <c r="HW115" i="1"/>
  <c r="HM115" i="1"/>
  <c r="HX115" i="1"/>
  <c r="HQ115" i="1"/>
  <c r="HS115" i="1"/>
  <c r="HR116" i="1" l="1"/>
  <c r="HN116" i="1"/>
  <c r="HO116" i="1"/>
  <c r="HY116" i="1"/>
  <c r="HM116" i="1"/>
  <c r="HU116" i="1"/>
  <c r="HZ116" i="1"/>
  <c r="HS116" i="1"/>
  <c r="HT116" i="1"/>
  <c r="IA116" i="1"/>
  <c r="HV116" i="1"/>
  <c r="HK116" i="1"/>
  <c r="HL117" i="1" s="1"/>
  <c r="HX116" i="1"/>
  <c r="HP116" i="1"/>
  <c r="HQ116" i="1"/>
  <c r="HW116" i="1"/>
  <c r="HY117" i="1" l="1"/>
  <c r="HW117" i="1"/>
  <c r="HR117" i="1"/>
  <c r="HS117" i="1"/>
  <c r="HT117" i="1"/>
  <c r="HZ117" i="1"/>
  <c r="HP117" i="1"/>
  <c r="HM117" i="1"/>
  <c r="HN117" i="1"/>
  <c r="HV117" i="1"/>
  <c r="HX117" i="1"/>
  <c r="HU117" i="1"/>
  <c r="IA117" i="1"/>
  <c r="HQ117" i="1"/>
  <c r="HK117" i="1"/>
  <c r="HL118" i="1" s="1"/>
  <c r="HO117" i="1"/>
  <c r="IA118" i="1" l="1"/>
  <c r="HK118" i="1"/>
  <c r="HL119" i="1" s="1"/>
  <c r="HP118" i="1"/>
  <c r="HZ118" i="1"/>
  <c r="HQ118" i="1"/>
  <c r="HV118" i="1"/>
  <c r="HT118" i="1"/>
  <c r="HW118" i="1"/>
  <c r="HU118" i="1"/>
  <c r="HS118" i="1"/>
  <c r="HO118" i="1"/>
  <c r="HM118" i="1"/>
  <c r="HR118" i="1"/>
  <c r="HN118" i="1"/>
  <c r="HX118" i="1"/>
  <c r="HY118" i="1"/>
  <c r="HT119" i="1" l="1"/>
  <c r="IA119" i="1"/>
  <c r="HZ119" i="1"/>
  <c r="HQ119" i="1"/>
  <c r="HR119" i="1"/>
  <c r="HW119" i="1"/>
  <c r="HX119" i="1"/>
  <c r="HY119" i="1"/>
  <c r="HU119" i="1"/>
  <c r="HM119" i="1"/>
  <c r="HV119" i="1"/>
  <c r="HO119" i="1"/>
  <c r="HK119" i="1"/>
  <c r="HL120" i="1" s="1"/>
  <c r="HP119" i="1"/>
  <c r="HN119" i="1"/>
  <c r="HS119" i="1"/>
  <c r="HX120" i="1" l="1"/>
  <c r="HM120" i="1"/>
  <c r="HU120" i="1"/>
  <c r="HV120" i="1"/>
  <c r="HQ120" i="1"/>
  <c r="HN120" i="1"/>
  <c r="HK120" i="1"/>
  <c r="HL121" i="1" s="1"/>
  <c r="HW120" i="1"/>
  <c r="HR120" i="1"/>
  <c r="HP120" i="1"/>
  <c r="HO120" i="1"/>
  <c r="HZ120" i="1"/>
  <c r="HS120" i="1"/>
  <c r="IA120" i="1"/>
  <c r="HY120" i="1"/>
  <c r="HT120" i="1"/>
  <c r="HP121" i="1" l="1"/>
  <c r="HO121" i="1"/>
  <c r="HV121" i="1"/>
  <c r="HN121" i="1"/>
  <c r="HT121" i="1"/>
  <c r="HZ121" i="1"/>
  <c r="HR121" i="1"/>
  <c r="HY121" i="1"/>
  <c r="HK121" i="1"/>
  <c r="HL122" i="1" s="1"/>
  <c r="HW121" i="1"/>
  <c r="HQ121" i="1"/>
  <c r="HX121" i="1"/>
  <c r="IA121" i="1"/>
  <c r="HS121" i="1"/>
  <c r="HU121" i="1"/>
  <c r="HM121" i="1"/>
  <c r="IA122" i="1" l="1"/>
  <c r="HO122" i="1"/>
  <c r="HP122" i="1"/>
  <c r="HY122" i="1"/>
  <c r="HK122" i="1"/>
  <c r="HL123" i="1" s="1"/>
  <c r="HM122" i="1"/>
  <c r="HZ122" i="1"/>
  <c r="HR122" i="1"/>
  <c r="HW122" i="1"/>
  <c r="HV122" i="1"/>
  <c r="HX122" i="1"/>
  <c r="HT122" i="1"/>
  <c r="HU122" i="1"/>
  <c r="HN122" i="1"/>
  <c r="HQ122" i="1"/>
  <c r="HS122" i="1"/>
  <c r="HT123" i="1" l="1"/>
  <c r="HX123" i="1"/>
  <c r="HQ123" i="1"/>
  <c r="HW123" i="1"/>
  <c r="HO123" i="1"/>
  <c r="HR123" i="1"/>
  <c r="HY123" i="1"/>
  <c r="HU123" i="1"/>
  <c r="HS123" i="1"/>
  <c r="HM123" i="1"/>
  <c r="HZ123" i="1"/>
  <c r="HV123" i="1"/>
  <c r="IA123" i="1"/>
  <c r="HN123" i="1"/>
  <c r="HK123" i="1"/>
  <c r="HL124" i="1" s="1"/>
  <c r="HP123" i="1"/>
  <c r="HU124" i="1" l="1"/>
  <c r="HW124" i="1"/>
  <c r="HM124" i="1"/>
  <c r="HK124" i="1"/>
  <c r="HL125" i="1" s="1"/>
  <c r="HR124" i="1"/>
  <c r="HN124" i="1"/>
  <c r="HS124" i="1"/>
  <c r="HT124" i="1"/>
  <c r="HV124" i="1"/>
  <c r="HY124" i="1"/>
  <c r="IA124" i="1"/>
  <c r="HO124" i="1"/>
  <c r="HZ124" i="1"/>
  <c r="HQ124" i="1"/>
  <c r="HP124" i="1"/>
  <c r="HX124" i="1"/>
  <c r="HU125" i="1" l="1"/>
  <c r="HK125" i="1"/>
  <c r="HL126" i="1" s="1"/>
  <c r="HP125" i="1"/>
  <c r="HS125" i="1"/>
  <c r="HW125" i="1"/>
  <c r="HV125" i="1"/>
  <c r="HM125" i="1"/>
  <c r="HY125" i="1"/>
  <c r="HO125" i="1"/>
  <c r="HT125" i="1"/>
  <c r="HQ125" i="1"/>
  <c r="IA125" i="1"/>
  <c r="HN125" i="1"/>
  <c r="HR125" i="1"/>
  <c r="HZ125" i="1"/>
  <c r="HX125" i="1"/>
  <c r="HR126" i="1" l="1"/>
  <c r="HU126" i="1"/>
  <c r="HZ126" i="1"/>
  <c r="HN126" i="1"/>
  <c r="HM126" i="1"/>
  <c r="HO126" i="1"/>
  <c r="IA126" i="1"/>
  <c r="HK126" i="1"/>
  <c r="HL127" i="1" s="1"/>
  <c r="HV126" i="1"/>
  <c r="HY126" i="1"/>
  <c r="HX126" i="1"/>
  <c r="HS126" i="1"/>
  <c r="HT126" i="1"/>
  <c r="HQ126" i="1"/>
  <c r="HW126" i="1"/>
  <c r="HP126" i="1"/>
  <c r="HY127" i="1" l="1"/>
  <c r="HR127" i="1"/>
  <c r="HP127" i="1"/>
  <c r="HW127" i="1"/>
  <c r="HZ127" i="1"/>
  <c r="HM127" i="1"/>
  <c r="IA127" i="1"/>
  <c r="HQ127" i="1"/>
  <c r="HT127" i="1"/>
  <c r="HX127" i="1"/>
  <c r="HU127" i="1"/>
  <c r="HS127" i="1"/>
  <c r="HO127" i="1"/>
  <c r="HN127" i="1"/>
  <c r="HK127" i="1"/>
  <c r="HL128" i="1" s="1"/>
  <c r="HV127" i="1"/>
  <c r="HX128" i="1" l="1"/>
  <c r="HR128" i="1"/>
  <c r="HT128" i="1"/>
  <c r="HY128" i="1"/>
  <c r="HS128" i="1"/>
  <c r="HM128" i="1"/>
  <c r="HN128" i="1"/>
  <c r="HU128" i="1"/>
  <c r="HP128" i="1"/>
  <c r="HZ128" i="1"/>
  <c r="HW128" i="1"/>
  <c r="HQ128" i="1"/>
  <c r="IA128" i="1"/>
  <c r="HV128" i="1"/>
  <c r="HO128" i="1"/>
  <c r="HK128" i="1"/>
  <c r="HL129" i="1" s="1"/>
  <c r="HM129" i="1" l="1"/>
  <c r="HK129" i="1"/>
  <c r="HL130" i="1" s="1"/>
  <c r="IA129" i="1"/>
  <c r="HR129" i="1"/>
  <c r="HN129" i="1"/>
  <c r="HO129" i="1"/>
  <c r="HZ129" i="1"/>
  <c r="HQ129" i="1"/>
  <c r="HW129" i="1"/>
  <c r="HT129" i="1"/>
  <c r="HU129" i="1"/>
  <c r="HY129" i="1"/>
  <c r="HV129" i="1"/>
  <c r="HP129" i="1"/>
  <c r="HS129" i="1"/>
  <c r="HX129" i="1"/>
  <c r="HM130" i="1" l="1"/>
  <c r="HK130" i="1"/>
  <c r="HT130" i="1"/>
  <c r="HT4" i="1" s="1"/>
  <c r="HS130" i="1"/>
  <c r="HS4" i="1" s="1"/>
  <c r="HN130" i="1"/>
  <c r="HU130" i="1"/>
  <c r="HU4" i="1" s="1"/>
  <c r="HW130" i="1"/>
  <c r="HW2" i="1" s="1"/>
  <c r="HV130" i="1"/>
  <c r="HV4" i="1" s="1"/>
  <c r="HZ130" i="1"/>
  <c r="HY130" i="1"/>
  <c r="HY2" i="1" s="1"/>
  <c r="HO130" i="1"/>
  <c r="HR130" i="1"/>
  <c r="HP130" i="1"/>
  <c r="HQ130" i="1"/>
  <c r="IA130" i="1"/>
  <c r="IA4" i="1" s="1"/>
  <c r="HX130" i="1"/>
  <c r="HX2" i="1" s="1"/>
  <c r="HZ3" i="1" l="1"/>
  <c r="HZ2" i="1"/>
  <c r="HZ4" i="1" l="1"/>
  <c r="HZ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olyWorks-to-Text" type="6" refreshedVersion="3" background="1" saveData="1">
    <textPr codePage="437" sourceFile="K:\Quality Assurance\Faro\Controlled\PolyWorks-to-Text.pwr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<sst xmlns="http://schemas.openxmlformats.org/spreadsheetml/2006/main" count="659" uniqueCount="318">
  <si>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</si>
  <si>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</si>
  <si>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</si>
  <si>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</si>
  <si>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</si>
  <si>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</si>
  <si>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</si>
  <si>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</si>
  <si>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</si>
  <si>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</si>
  <si>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</si>
  <si>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</si>
  <si>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</si>
  <si>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</si>
  <si>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</si>
  <si>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</si>
  <si>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</si>
  <si>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</si>
  <si>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</si>
  <si>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</si>
  <si>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</si>
  <si>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</si>
  <si>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</si>
  <si>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</si>
  <si>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</si>
  <si>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</si>
  <si>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</si>
  <si>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</si>
  <si>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</si>
  <si>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</si>
  <si>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Name 1</t>
  </si>
  <si>
    <t>Name 2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</si>
  <si>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</si>
  <si>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</si>
  <si>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</si>
  <si>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</si>
  <si>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</si>
  <si>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</si>
  <si>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</si>
  <si>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</si>
  <si>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</si>
  <si>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</si>
  <si>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</si>
  <si>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</si>
  <si>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</si>
  <si>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t>CAD Data Derived from Solid Edge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</si>
  <si>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</si>
  <si>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</si>
  <si>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</si>
  <si>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</si>
  <si>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</si>
  <si>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</si>
  <si>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t>Cutter #</t>
  </si>
  <si>
    <t>Position #</t>
  </si>
  <si>
    <t>Pattern #</t>
  </si>
  <si>
    <t>Totals: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</si>
  <si>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</si>
  <si>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</si>
  <si>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</si>
  <si>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Radial Centroid (in)</t>
  </si>
  <si>
    <t>Volume Analysis</t>
  </si>
  <si>
    <t>Cuttlet info.</t>
  </si>
  <si>
    <t>Assy.Model @ ? in/rev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</si>
  <si>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</si>
  <si>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</si>
  <si>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</si>
  <si>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</si>
  <si>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</si>
  <si>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</si>
  <si>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</si>
  <si>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</si>
  <si>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</si>
  <si>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</si>
  <si>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</si>
  <si>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</si>
  <si>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</si>
  <si>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</si>
  <si>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</si>
  <si>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</si>
  <si>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</si>
  <si>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</si>
  <si>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</si>
  <si>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</si>
  <si>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</si>
  <si>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</si>
  <si>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</si>
  <si>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</si>
  <si>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</si>
  <si>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</si>
  <si>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</si>
  <si>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</si>
  <si>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</si>
  <si>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</si>
  <si>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</si>
  <si>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</si>
  <si>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</si>
  <si>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</si>
  <si>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</si>
  <si>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</si>
  <si>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</si>
  <si>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</si>
  <si>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</si>
  <si>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</si>
  <si>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</si>
  <si>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</si>
  <si>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</si>
  <si>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</si>
  <si>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</si>
  <si>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Assembly</t>
  </si>
  <si>
    <t>Pocket Info.</t>
  </si>
  <si>
    <t>-meas-</t>
  </si>
  <si>
    <t>Circle_plane</t>
  </si>
  <si>
    <t>Avg</t>
  </si>
  <si>
    <t>Range</t>
  </si>
  <si>
    <t>Min</t>
  </si>
  <si>
    <t>Max</t>
  </si>
  <si>
    <t>Deviation</t>
  </si>
  <si>
    <t>Distance</t>
  </si>
  <si>
    <t>Master</t>
  </si>
  <si>
    <t>Point Cloud #1</t>
  </si>
  <si>
    <t>Point Cloud #2</t>
  </si>
  <si>
    <t>Point Cloud Input Data</t>
  </si>
  <si>
    <t>Absolute-Points</t>
  </si>
  <si>
    <t>Delta XYZ</t>
  </si>
  <si>
    <r>
      <t>X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-X</t>
    </r>
    <r>
      <rPr>
        <b/>
        <vertAlign val="subscript"/>
        <sz val="11"/>
        <color indexed="8"/>
        <rFont val="Calibri"/>
        <family val="2"/>
      </rPr>
      <t>1</t>
    </r>
  </si>
  <si>
    <r>
      <t>Y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-Y</t>
    </r>
    <r>
      <rPr>
        <b/>
        <vertAlign val="subscript"/>
        <sz val="11"/>
        <color indexed="8"/>
        <rFont val="Calibri"/>
        <family val="2"/>
      </rPr>
      <t>1</t>
    </r>
  </si>
  <si>
    <r>
      <t>Z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-Z</t>
    </r>
    <r>
      <rPr>
        <b/>
        <vertAlign val="subscript"/>
        <sz val="11"/>
        <color indexed="8"/>
        <rFont val="Calibri"/>
        <family val="2"/>
      </rPr>
      <t>1</t>
    </r>
  </si>
  <si>
    <t xml:space="preserve">Position shift by average </t>
  </si>
  <si>
    <t>Postion Deviation</t>
  </si>
  <si>
    <t>Rotate about X Axis</t>
  </si>
  <si>
    <t>Rotate about Y Axis</t>
  </si>
  <si>
    <t>Rotate about Z Axis</t>
  </si>
  <si>
    <t>To Be Aligned</t>
  </si>
  <si>
    <t>Assy.Model @ .400 in/rev</t>
  </si>
  <si>
    <t>Centroid</t>
  </si>
  <si>
    <t>X (Radial)</t>
  </si>
  <si>
    <t>Torque</t>
  </si>
  <si>
    <t>Magnitude</t>
  </si>
  <si>
    <t>Direction</t>
  </si>
  <si>
    <t>Axial</t>
  </si>
  <si>
    <t>Force</t>
  </si>
  <si>
    <t>Lateral</t>
  </si>
  <si>
    <t>Centroid of cuttlet</t>
  </si>
  <si>
    <t>Unit Vector (Material)</t>
  </si>
  <si>
    <t>Unit Vector (PDC Orientation)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</si>
  <si>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</si>
  <si>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</si>
  <si>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</si>
  <si>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</si>
  <si>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</si>
  <si>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</si>
  <si>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</si>
  <si>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</si>
  <si>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</si>
  <si>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</si>
  <si>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</si>
  <si>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</si>
  <si>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</si>
  <si>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</si>
  <si>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</si>
  <si>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</si>
  <si>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</si>
  <si>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</si>
  <si>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</si>
  <si>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</si>
  <si>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</si>
  <si>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</si>
  <si>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</si>
  <si>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</si>
  <si>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</si>
  <si>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</si>
  <si>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</si>
  <si>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</si>
  <si>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</si>
  <si>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</si>
  <si>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</si>
  <si>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</si>
  <si>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</si>
  <si>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</si>
  <si>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</si>
  <si>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</si>
  <si>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</si>
  <si>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</si>
  <si>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</si>
  <si>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</si>
  <si>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</si>
  <si>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</si>
  <si>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</si>
  <si>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</si>
  <si>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</si>
  <si>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</si>
  <si>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</si>
  <si>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</si>
  <si>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</si>
  <si>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</si>
  <si>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</si>
  <si>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</si>
  <si>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</si>
  <si>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</si>
  <si>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</si>
  <si>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</si>
  <si>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</si>
  <si>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</si>
  <si>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</si>
  <si>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</si>
  <si>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</si>
  <si>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</si>
  <si>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</si>
  <si>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</si>
  <si>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</si>
  <si>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</si>
  <si>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</si>
  <si>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</si>
  <si>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</si>
  <si>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</si>
  <si>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</si>
  <si>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</si>
  <si>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</si>
  <si>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</si>
  <si>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</si>
  <si>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</si>
  <si>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</si>
  <si>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</si>
  <si>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</si>
  <si>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</si>
  <si>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</si>
  <si>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</si>
  <si>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</si>
  <si>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</si>
  <si>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</si>
  <si>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</si>
  <si>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</si>
  <si>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</si>
  <si>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</si>
  <si>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</si>
  <si>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</si>
  <si>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</si>
  <si>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</si>
  <si>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</si>
  <si>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</si>
  <si>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</si>
  <si>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</si>
  <si>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%</t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</si>
  <si>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</si>
  <si>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</si>
  <si>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</si>
  <si>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</si>
  <si>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</si>
  <si>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</si>
  <si>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</si>
  <si>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</si>
  <si>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</si>
  <si>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</si>
  <si>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</si>
  <si>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</si>
  <si>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</si>
  <si>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</si>
  <si>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</si>
  <si>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</si>
  <si>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</si>
  <si>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</si>
  <si>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</si>
  <si>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</si>
  <si>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</si>
  <si>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</si>
  <si>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</si>
  <si>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</si>
  <si>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</si>
  <si>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</si>
  <si>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</si>
  <si>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</si>
  <si>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</si>
  <si>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</si>
  <si>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</si>
  <si>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</si>
  <si>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</si>
  <si>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</si>
  <si>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</si>
  <si>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</si>
  <si>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</si>
  <si>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</si>
  <si>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</si>
  <si>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</si>
  <si>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</si>
  <si>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</si>
  <si>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</si>
  <si>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</si>
  <si>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</si>
  <si>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</si>
  <si>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</si>
  <si>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</si>
  <si>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</si>
  <si>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</si>
  <si>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</si>
  <si>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</si>
  <si>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</si>
  <si>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</si>
  <si>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</si>
  <si>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</si>
  <si>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</si>
  <si>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</si>
  <si>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</si>
  <si>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</si>
  <si>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</si>
  <si>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</si>
  <si>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</si>
  <si>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</si>
  <si>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</si>
  <si>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</si>
  <si>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</si>
  <si>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</si>
  <si>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</si>
  <si>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</si>
  <si>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</si>
  <si>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r>
      <t>%Δ Σ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</si>
  <si>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%Δ Radial</t>
  </si>
  <si>
    <t>%Δ Tangential</t>
  </si>
  <si>
    <t>%Δ 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</si>
</sst>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%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sz val="12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i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298" applyNumberFormat="0" applyAlignment="0" applyProtection="0"/>
    <xf numFmtId="0" fontId="18" fillId="28" borderId="299" applyNumberFormat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21" fillId="0" borderId="300" applyNumberFormat="0" applyFill="0" applyAlignment="0" applyProtection="0"/>
    <xf numFmtId="0" fontId="22" fillId="0" borderId="301" applyNumberFormat="0" applyFill="0" applyAlignment="0" applyProtection="0"/>
    <xf numFmtId="0" fontId="23" fillId="0" borderId="302" applyNumberFormat="0" applyFill="0" applyAlignment="0" applyProtection="0"/>
    <xf numFmtId="0" fontId="23" fillId="0" borderId="0" applyNumberFormat="0" applyFill="0" applyBorder="0" applyAlignment="0" applyProtection="0"/>
    <xf numFmtId="0" fontId="24" fillId="30" borderId="298" applyNumberFormat="0" applyAlignment="0" applyProtection="0"/>
    <xf numFmtId="0" fontId="25" fillId="0" borderId="303" applyNumberFormat="0" applyFill="0" applyAlignment="0" applyProtection="0"/>
    <xf numFmtId="0" fontId="26" fillId="31" borderId="0" applyNumberFormat="0" applyBorder="0" applyAlignment="0" applyProtection="0"/>
    <xf numFmtId="0" fontId="3" fillId="0" borderId="0"/>
    <xf numFmtId="0" fontId="14" fillId="32" borderId="304" applyNumberFormat="0" applyFont="0" applyAlignment="0" applyProtection="0"/>
    <xf numFmtId="0" fontId="27" fillId="27" borderId="305" applyNumberFormat="0" applyAlignment="0" applyProtection="0"/>
    <xf numFmtId="0" fontId="28" fillId="0" borderId="0" applyNumberFormat="0" applyFill="0" applyBorder="0" applyAlignment="0" applyProtection="0"/>
    <xf numFmtId="0" fontId="29" fillId="0" borderId="306" applyNumberFormat="0" applyFill="0" applyAlignment="0" applyProtection="0"/>
    <xf numFmtId="0" fontId="30" fillId="0" borderId="0" applyNumberFormat="0" applyFill="0" applyBorder="0" applyAlignment="0" applyProtection="0"/>
  </cellStyleXfs>
  <cellXfs count="1235">
    <xf numFmtId="0" fontId="0" fillId="0" borderId="0" xfId="0"/>
    <xf numFmtId="164" fontId="0" fillId="0" borderId="0" xfId="0" applyNumberFormat="1"/>
    <xf numFmtId="0" fontId="29" fillId="0" borderId="1" xfId="0" applyFont="1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/>
    </xf>
    <xf numFmtId="164" fontId="31" fillId="0" borderId="5" xfId="0" applyNumberFormat="1" applyFont="1" applyBorder="1" applyAlignment="1">
      <alignment horizontal="center"/>
    </xf>
    <xf numFmtId="164" fontId="31" fillId="0" borderId="6" xfId="0" applyNumberFormat="1" applyFont="1" applyBorder="1" applyAlignment="1">
      <alignment horizontal="center"/>
    </xf>
    <xf numFmtId="164" fontId="31" fillId="0" borderId="7" xfId="0" applyNumberFormat="1" applyFont="1" applyBorder="1" applyAlignment="1">
      <alignment horizontal="center"/>
    </xf>
    <xf numFmtId="164" fontId="31" fillId="0" borderId="8" xfId="0" applyNumberFormat="1" applyFont="1" applyBorder="1" applyAlignment="1">
      <alignment horizontal="center"/>
    </xf>
    <xf numFmtId="164" fontId="31" fillId="0" borderId="9" xfId="0" applyNumberFormat="1" applyFont="1" applyBorder="1" applyAlignment="1">
      <alignment horizontal="center"/>
    </xf>
    <xf numFmtId="164" fontId="31" fillId="0" borderId="10" xfId="0" applyNumberFormat="1" applyFont="1" applyBorder="1" applyAlignment="1">
      <alignment horizontal="center"/>
    </xf>
    <xf numFmtId="164" fontId="31" fillId="0" borderId="11" xfId="0" applyNumberFormat="1" applyFont="1" applyBorder="1" applyAlignment="1">
      <alignment horizontal="center"/>
    </xf>
    <xf numFmtId="164" fontId="31" fillId="0" borderId="12" xfId="0" applyNumberFormat="1" applyFont="1" applyBorder="1" applyAlignment="1">
      <alignment horizontal="center"/>
    </xf>
    <xf numFmtId="2" fontId="23" fillId="0" borderId="13" xfId="0" applyNumberFormat="1" applyFont="1" applyBorder="1" applyAlignment="1">
      <alignment horizontal="center"/>
    </xf>
    <xf numFmtId="164" fontId="31" fillId="0" borderId="14" xfId="0" applyNumberFormat="1" applyFont="1" applyBorder="1" applyAlignment="1">
      <alignment horizontal="center"/>
    </xf>
    <xf numFmtId="164" fontId="31" fillId="0" borderId="15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8" xfId="0" applyNumberFormat="1" applyFont="1" applyBorder="1" applyAlignment="1">
      <alignment horizontal="center"/>
    </xf>
    <xf numFmtId="164" fontId="31" fillId="0" borderId="19" xfId="0" applyNumberFormat="1" applyFont="1" applyBorder="1" applyAlignment="1">
      <alignment horizontal="center"/>
    </xf>
    <xf numFmtId="164" fontId="31" fillId="0" borderId="20" xfId="0" applyNumberFormat="1" applyFont="1" applyBorder="1" applyAlignment="1">
      <alignment horizontal="center"/>
    </xf>
    <xf numFmtId="164" fontId="31" fillId="0" borderId="21" xfId="0" applyNumberFormat="1" applyFont="1" applyBorder="1" applyAlignment="1">
      <alignment horizontal="center"/>
    </xf>
    <xf numFmtId="164" fontId="31" fillId="0" borderId="22" xfId="0" applyNumberFormat="1" applyFont="1" applyBorder="1" applyAlignment="1">
      <alignment horizontal="center"/>
    </xf>
    <xf numFmtId="164" fontId="31" fillId="0" borderId="23" xfId="0" applyNumberFormat="1" applyFont="1" applyBorder="1" applyAlignment="1">
      <alignment horizontal="center"/>
    </xf>
    <xf numFmtId="164" fontId="31" fillId="0" borderId="24" xfId="0" applyNumberFormat="1" applyFont="1" applyBorder="1" applyAlignment="1">
      <alignment horizontal="center"/>
    </xf>
    <xf numFmtId="164" fontId="31" fillId="0" borderId="25" xfId="0" applyNumberFormat="1" applyFont="1" applyBorder="1" applyAlignment="1">
      <alignment horizontal="center"/>
    </xf>
    <xf numFmtId="164" fontId="31" fillId="0" borderId="26" xfId="0" applyNumberFormat="1" applyFont="1" applyBorder="1" applyAlignment="1">
      <alignment horizontal="center"/>
    </xf>
    <xf numFmtId="164" fontId="31" fillId="0" borderId="27" xfId="0" applyNumberFormat="1" applyFont="1" applyBorder="1" applyAlignment="1">
      <alignment horizontal="center"/>
    </xf>
    <xf numFmtId="164" fontId="31" fillId="0" borderId="28" xfId="0" applyNumberFormat="1" applyFont="1" applyBorder="1" applyAlignment="1">
      <alignment horizontal="center"/>
    </xf>
    <xf numFmtId="2" fontId="23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/>
    </xf>
    <xf numFmtId="164" fontId="31" fillId="0" borderId="31" xfId="0" applyNumberFormat="1" applyFont="1" applyBorder="1" applyAlignment="1">
      <alignment horizontal="center"/>
    </xf>
    <xf numFmtId="164" fontId="31" fillId="0" borderId="32" xfId="0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Border="1"/>
    <xf numFmtId="2" fontId="23" fillId="0" borderId="33" xfId="0" applyNumberFormat="1" applyFont="1" applyBorder="1" applyAlignment="1">
      <alignment horizontal="center"/>
    </xf>
    <xf numFmtId="0" fontId="23" fillId="0" borderId="3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31" fillId="0" borderId="30" xfId="0" applyNumberFormat="1" applyFont="1" applyFill="1" applyBorder="1" applyAlignment="1">
      <alignment horizontal="center"/>
    </xf>
    <xf numFmtId="164" fontId="31" fillId="0" borderId="22" xfId="0" applyNumberFormat="1" applyFont="1" applyFill="1" applyBorder="1" applyAlignment="1">
      <alignment horizontal="center"/>
    </xf>
    <xf numFmtId="164" fontId="31" fillId="0" borderId="32" xfId="0" applyNumberFormat="1" applyFont="1" applyFill="1" applyBorder="1" applyAlignment="1">
      <alignment horizontal="center"/>
    </xf>
    <xf numFmtId="164" fontId="31" fillId="0" borderId="5" xfId="0" applyNumberFormat="1" applyFont="1" applyFill="1" applyBorder="1" applyAlignment="1">
      <alignment horizontal="center"/>
    </xf>
    <xf numFmtId="164" fontId="31" fillId="0" borderId="6" xfId="0" applyNumberFormat="1" applyFont="1" applyFill="1" applyBorder="1" applyAlignment="1">
      <alignment horizontal="center"/>
    </xf>
    <xf numFmtId="164" fontId="31" fillId="0" borderId="9" xfId="0" applyNumberFormat="1" applyFont="1" applyFill="1" applyBorder="1" applyAlignment="1">
      <alignment horizontal="center"/>
    </xf>
    <xf numFmtId="164" fontId="31" fillId="0" borderId="14" xfId="0" applyNumberFormat="1" applyFont="1" applyFill="1" applyBorder="1" applyAlignment="1">
      <alignment horizontal="center"/>
    </xf>
    <xf numFmtId="164" fontId="31" fillId="0" borderId="15" xfId="0" applyNumberFormat="1" applyFont="1" applyFill="1" applyBorder="1" applyAlignment="1">
      <alignment horizontal="center"/>
    </xf>
    <xf numFmtId="164" fontId="31" fillId="0" borderId="18" xfId="0" applyNumberFormat="1" applyFont="1" applyFill="1" applyBorder="1" applyAlignment="1">
      <alignment horizontal="center"/>
    </xf>
    <xf numFmtId="2" fontId="23" fillId="0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38" xfId="0" applyNumberFormat="1" applyBorder="1" applyAlignment="1">
      <alignment horizontal="center"/>
    </xf>
    <xf numFmtId="2" fontId="31" fillId="0" borderId="38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>
      <alignment horizontal="center"/>
    </xf>
    <xf numFmtId="164" fontId="31" fillId="0" borderId="25" xfId="0" applyNumberFormat="1" applyFont="1" applyFill="1" applyBorder="1" applyAlignment="1">
      <alignment horizontal="center"/>
    </xf>
    <xf numFmtId="164" fontId="31" fillId="0" borderId="7" xfId="0" applyNumberFormat="1" applyFont="1" applyFill="1" applyBorder="1" applyAlignment="1">
      <alignment horizontal="center"/>
    </xf>
    <xf numFmtId="164" fontId="31" fillId="0" borderId="16" xfId="0" applyNumberFormat="1" applyFont="1" applyFill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29" fillId="0" borderId="39" xfId="0" applyFont="1" applyFill="1" applyBorder="1" applyAlignment="1">
      <alignment horizontal="center" vertical="center"/>
    </xf>
    <xf numFmtId="0" fontId="29" fillId="0" borderId="40" xfId="0" applyFont="1" applyFill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29" fillId="0" borderId="36" xfId="0" applyFont="1" applyFill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41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2" xfId="0" applyFont="1" applyFill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64" fontId="34" fillId="0" borderId="43" xfId="0" applyNumberFormat="1" applyFont="1" applyBorder="1" applyAlignment="1">
      <alignment horizontal="center" vertical="center"/>
    </xf>
    <xf numFmtId="164" fontId="31" fillId="0" borderId="44" xfId="0" applyNumberFormat="1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 vertical="center"/>
    </xf>
    <xf numFmtId="164" fontId="31" fillId="0" borderId="46" xfId="0" applyNumberFormat="1" applyFont="1" applyFill="1" applyBorder="1" applyAlignment="1">
      <alignment horizontal="center" vertical="center"/>
    </xf>
    <xf numFmtId="164" fontId="31" fillId="0" borderId="44" xfId="0" applyNumberFormat="1" applyFont="1" applyFill="1" applyBorder="1" applyAlignment="1">
      <alignment horizontal="center" vertical="center"/>
    </xf>
    <xf numFmtId="164" fontId="31" fillId="0" borderId="47" xfId="0" applyNumberFormat="1" applyFont="1" applyBorder="1" applyAlignment="1">
      <alignment horizontal="center" vertical="center"/>
    </xf>
    <xf numFmtId="164" fontId="31" fillId="0" borderId="48" xfId="0" applyNumberFormat="1" applyFont="1" applyBorder="1" applyAlignment="1">
      <alignment horizontal="center" vertical="center"/>
    </xf>
    <xf numFmtId="164" fontId="31" fillId="0" borderId="49" xfId="0" applyNumberFormat="1" applyFont="1" applyBorder="1" applyAlignment="1">
      <alignment horizontal="center" vertical="center"/>
    </xf>
    <xf numFmtId="164" fontId="31" fillId="0" borderId="50" xfId="0" applyNumberFormat="1" applyFont="1" applyFill="1" applyBorder="1" applyAlignment="1">
      <alignment horizontal="center" vertical="center"/>
    </xf>
    <xf numFmtId="164" fontId="31" fillId="0" borderId="51" xfId="0" applyNumberFormat="1" applyFont="1" applyBorder="1" applyAlignment="1">
      <alignment horizontal="center" vertical="center"/>
    </xf>
    <xf numFmtId="164" fontId="31" fillId="0" borderId="43" xfId="0" applyNumberFormat="1" applyFont="1" applyBorder="1" applyAlignment="1">
      <alignment horizontal="center" vertical="center"/>
    </xf>
    <xf numFmtId="164" fontId="31" fillId="0" borderId="49" xfId="0" applyNumberFormat="1" applyFont="1" applyFill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 vertical="center"/>
    </xf>
    <xf numFmtId="164" fontId="31" fillId="0" borderId="48" xfId="0" applyNumberFormat="1" applyFont="1" applyFill="1" applyBorder="1" applyAlignment="1">
      <alignment horizontal="center" vertical="center"/>
    </xf>
    <xf numFmtId="164" fontId="31" fillId="0" borderId="45" xfId="0" applyNumberFormat="1" applyFont="1" applyFill="1" applyBorder="1" applyAlignment="1">
      <alignment horizontal="center" vertical="center"/>
    </xf>
    <xf numFmtId="164" fontId="31" fillId="0" borderId="47" xfId="0" applyNumberFormat="1" applyFont="1" applyFill="1" applyBorder="1" applyAlignment="1">
      <alignment horizontal="center" vertical="center"/>
    </xf>
    <xf numFmtId="164" fontId="31" fillId="0" borderId="52" xfId="0" applyNumberFormat="1" applyFont="1" applyBorder="1" applyAlignment="1">
      <alignment horizontal="center" vertical="center"/>
    </xf>
    <xf numFmtId="0" fontId="23" fillId="0" borderId="40" xfId="0" applyFont="1" applyFill="1" applyBorder="1" applyAlignment="1">
      <alignment horizontal="center" vertical="center"/>
    </xf>
    <xf numFmtId="0" fontId="33" fillId="0" borderId="36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3" fillId="0" borderId="0" xfId="37"/>
    <xf numFmtId="0" fontId="4" fillId="0" borderId="0" xfId="37" applyFont="1" applyAlignment="1">
      <alignment horizontal="center"/>
    </xf>
    <xf numFmtId="0" fontId="3" fillId="0" borderId="56" xfId="37" applyFont="1" applyBorder="1" applyAlignment="1">
      <alignment horizontal="center"/>
    </xf>
    <xf numFmtId="164" fontId="3" fillId="0" borderId="57" xfId="37" applyNumberFormat="1" applyFont="1" applyFill="1" applyBorder="1" applyAlignment="1">
      <alignment horizontal="center"/>
    </xf>
    <xf numFmtId="2" fontId="35" fillId="0" borderId="57" xfId="37" applyNumberFormat="1" applyFont="1" applyFill="1" applyBorder="1" applyAlignment="1">
      <alignment horizontal="center"/>
    </xf>
    <xf numFmtId="0" fontId="3" fillId="0" borderId="58" xfId="37" applyFont="1" applyBorder="1" applyAlignment="1">
      <alignment horizontal="center"/>
    </xf>
    <xf numFmtId="164" fontId="3" fillId="0" borderId="59" xfId="37" applyNumberFormat="1" applyFont="1" applyFill="1" applyBorder="1" applyAlignment="1">
      <alignment horizontal="center"/>
    </xf>
    <xf numFmtId="2" fontId="35" fillId="0" borderId="59" xfId="37" applyNumberFormat="1" applyFont="1" applyFill="1" applyBorder="1" applyAlignment="1">
      <alignment horizontal="center"/>
    </xf>
    <xf numFmtId="0" fontId="3" fillId="0" borderId="60" xfId="37" applyFont="1" applyBorder="1" applyAlignment="1">
      <alignment horizontal="center"/>
    </xf>
    <xf numFmtId="164" fontId="3" fillId="0" borderId="61" xfId="37" applyNumberFormat="1" applyFont="1" applyFill="1" applyBorder="1" applyAlignment="1">
      <alignment horizontal="center"/>
    </xf>
    <xf numFmtId="2" fontId="35" fillId="0" borderId="61" xfId="37" applyNumberFormat="1" applyFont="1" applyFill="1" applyBorder="1" applyAlignment="1">
      <alignment horizontal="center"/>
    </xf>
    <xf numFmtId="2" fontId="35" fillId="0" borderId="62" xfId="37" applyNumberFormat="1" applyFont="1" applyBorder="1" applyAlignment="1">
      <alignment horizontal="center"/>
    </xf>
    <xf numFmtId="0" fontId="3" fillId="0" borderId="38" xfId="37" applyFont="1" applyFill="1" applyBorder="1" applyAlignment="1">
      <alignment horizontal="center" vertical="center"/>
    </xf>
    <xf numFmtId="0" fontId="3" fillId="0" borderId="63" xfId="37" applyFont="1" applyBorder="1" applyAlignment="1">
      <alignment horizontal="center" vertical="center"/>
    </xf>
    <xf numFmtId="164" fontId="3" fillId="0" borderId="38" xfId="37" applyNumberFormat="1" applyFont="1" applyBorder="1" applyAlignment="1">
      <alignment horizontal="center" vertical="center"/>
    </xf>
    <xf numFmtId="164" fontId="35" fillId="0" borderId="57" xfId="37" applyNumberFormat="1" applyFont="1" applyFill="1" applyBorder="1" applyAlignment="1">
      <alignment horizontal="center"/>
    </xf>
    <xf numFmtId="164" fontId="35" fillId="0" borderId="59" xfId="37" applyNumberFormat="1" applyFont="1" applyFill="1" applyBorder="1" applyAlignment="1">
      <alignment horizontal="center"/>
    </xf>
    <xf numFmtId="164" fontId="35" fillId="0" borderId="61" xfId="37" applyNumberFormat="1" applyFont="1" applyFill="1" applyBorder="1" applyAlignment="1">
      <alignment horizontal="center"/>
    </xf>
    <xf numFmtId="164" fontId="35" fillId="0" borderId="62" xfId="37" applyNumberFormat="1" applyFont="1" applyBorder="1" applyAlignment="1">
      <alignment horizontal="center"/>
    </xf>
    <xf numFmtId="0" fontId="3" fillId="0" borderId="64" xfId="37" applyFont="1" applyBorder="1" applyAlignment="1">
      <alignment horizontal="center"/>
    </xf>
    <xf numFmtId="164" fontId="3" fillId="0" borderId="65" xfId="37" applyNumberFormat="1" applyFont="1" applyFill="1" applyBorder="1" applyAlignment="1">
      <alignment horizontal="center"/>
    </xf>
    <xf numFmtId="164" fontId="35" fillId="0" borderId="65" xfId="37" applyNumberFormat="1" applyFont="1" applyFill="1" applyBorder="1" applyAlignment="1">
      <alignment horizontal="center"/>
    </xf>
    <xf numFmtId="2" fontId="35" fillId="0" borderId="65" xfId="37" applyNumberFormat="1" applyFont="1" applyFill="1" applyBorder="1" applyAlignment="1">
      <alignment horizontal="center"/>
    </xf>
    <xf numFmtId="0" fontId="29" fillId="0" borderId="37" xfId="0" applyFont="1" applyBorder="1" applyAlignment="1">
      <alignment horizontal="center" vertical="center"/>
    </xf>
    <xf numFmtId="164" fontId="31" fillId="0" borderId="66" xfId="0" applyNumberFormat="1" applyFont="1" applyBorder="1" applyAlignment="1">
      <alignment horizontal="center"/>
    </xf>
    <xf numFmtId="0" fontId="31" fillId="0" borderId="67" xfId="0" applyFont="1" applyBorder="1" applyAlignment="1">
      <alignment horizontal="center"/>
    </xf>
    <xf numFmtId="164" fontId="31" fillId="0" borderId="68" xfId="0" applyNumberFormat="1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0" fillId="0" borderId="68" xfId="0" applyFont="1" applyBorder="1"/>
    <xf numFmtId="0" fontId="0" fillId="0" borderId="69" xfId="0" applyBorder="1"/>
    <xf numFmtId="0" fontId="0" fillId="0" borderId="68" xfId="0" applyBorder="1"/>
    <xf numFmtId="0" fontId="0" fillId="0" borderId="70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31" fillId="0" borderId="4" xfId="0" applyFont="1" applyBorder="1" applyAlignment="1">
      <alignment horizontal="center"/>
    </xf>
    <xf numFmtId="0" fontId="31" fillId="0" borderId="74" xfId="0" applyFont="1" applyBorder="1" applyAlignment="1">
      <alignment horizontal="center"/>
    </xf>
    <xf numFmtId="0" fontId="0" fillId="0" borderId="75" xfId="0" applyBorder="1"/>
    <xf numFmtId="165" fontId="36" fillId="0" borderId="76" xfId="0" applyNumberFormat="1" applyFont="1" applyBorder="1" applyAlignment="1">
      <alignment horizontal="center"/>
    </xf>
    <xf numFmtId="165" fontId="36" fillId="0" borderId="77" xfId="0" applyNumberFormat="1" applyFont="1" applyBorder="1" applyAlignment="1">
      <alignment horizontal="center"/>
    </xf>
    <xf numFmtId="165" fontId="36" fillId="0" borderId="78" xfId="0" applyNumberFormat="1" applyFont="1" applyBorder="1" applyAlignment="1">
      <alignment horizontal="center"/>
    </xf>
    <xf numFmtId="165" fontId="36" fillId="0" borderId="79" xfId="0" applyNumberFormat="1" applyFont="1" applyBorder="1" applyAlignment="1">
      <alignment horizontal="center"/>
    </xf>
    <xf numFmtId="165" fontId="36" fillId="0" borderId="80" xfId="0" applyNumberFormat="1" applyFont="1" applyBorder="1" applyAlignment="1">
      <alignment horizontal="center"/>
    </xf>
    <xf numFmtId="0" fontId="36" fillId="0" borderId="77" xfId="0" applyFont="1" applyBorder="1" applyAlignment="1">
      <alignment horizontal="center"/>
    </xf>
    <xf numFmtId="165" fontId="36" fillId="0" borderId="5" xfId="0" applyNumberFormat="1" applyFont="1" applyBorder="1" applyAlignment="1">
      <alignment horizontal="center"/>
    </xf>
    <xf numFmtId="165" fontId="36" fillId="0" borderId="6" xfId="0" applyNumberFormat="1" applyFont="1" applyBorder="1" applyAlignment="1">
      <alignment horizontal="center"/>
    </xf>
    <xf numFmtId="165" fontId="36" fillId="0" borderId="11" xfId="0" applyNumberFormat="1" applyFont="1" applyBorder="1" applyAlignment="1">
      <alignment horizontal="center"/>
    </xf>
    <xf numFmtId="165" fontId="36" fillId="0" borderId="10" xfId="0" applyNumberFormat="1" applyFont="1" applyBorder="1" applyAlignment="1">
      <alignment horizontal="center"/>
    </xf>
    <xf numFmtId="165" fontId="36" fillId="0" borderId="9" xfId="0" applyNumberFormat="1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36" fillId="0" borderId="14" xfId="0" applyNumberFormat="1" applyFont="1" applyBorder="1" applyAlignment="1">
      <alignment horizontal="center"/>
    </xf>
    <xf numFmtId="165" fontId="36" fillId="0" borderId="15" xfId="0" applyNumberFormat="1" applyFont="1" applyBorder="1" applyAlignment="1">
      <alignment horizontal="center"/>
    </xf>
    <xf numFmtId="165" fontId="36" fillId="0" borderId="20" xfId="0" applyNumberFormat="1" applyFont="1" applyBorder="1" applyAlignment="1">
      <alignment horizontal="center"/>
    </xf>
    <xf numFmtId="165" fontId="36" fillId="0" borderId="19" xfId="0" applyNumberFormat="1" applyFont="1" applyBorder="1" applyAlignment="1">
      <alignment horizontal="center"/>
    </xf>
    <xf numFmtId="165" fontId="36" fillId="0" borderId="18" xfId="0" applyNumberFormat="1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2" xfId="0" applyBorder="1" applyAlignment="1">
      <alignment horizontal="center"/>
    </xf>
    <xf numFmtId="0" fontId="31" fillId="33" borderId="83" xfId="0" applyFont="1" applyFill="1" applyBorder="1"/>
    <xf numFmtId="0" fontId="0" fillId="33" borderId="83" xfId="0" applyFill="1" applyBorder="1"/>
    <xf numFmtId="0" fontId="0" fillId="33" borderId="84" xfId="0" applyFill="1" applyBorder="1"/>
    <xf numFmtId="0" fontId="0" fillId="0" borderId="81" xfId="0" applyBorder="1"/>
    <xf numFmtId="0" fontId="0" fillId="33" borderId="85" xfId="0" applyFill="1" applyBorder="1"/>
    <xf numFmtId="0" fontId="0" fillId="0" borderId="57" xfId="0" applyBorder="1"/>
    <xf numFmtId="0" fontId="0" fillId="0" borderId="86" xfId="0" applyBorder="1"/>
    <xf numFmtId="2" fontId="37" fillId="0" borderId="86" xfId="0" applyNumberFormat="1" applyFont="1" applyFill="1" applyBorder="1" applyAlignment="1">
      <alignment horizontal="center"/>
    </xf>
    <xf numFmtId="165" fontId="37" fillId="0" borderId="86" xfId="0" applyNumberFormat="1" applyFont="1" applyFill="1" applyBorder="1" applyAlignment="1">
      <alignment horizontal="center"/>
    </xf>
    <xf numFmtId="0" fontId="0" fillId="34" borderId="85" xfId="0" applyFill="1" applyBorder="1"/>
    <xf numFmtId="2" fontId="0" fillId="0" borderId="0" xfId="0" applyNumberFormat="1"/>
    <xf numFmtId="165" fontId="0" fillId="0" borderId="0" xfId="0" applyNumberFormat="1"/>
    <xf numFmtId="164" fontId="31" fillId="0" borderId="67" xfId="0" applyNumberFormat="1" applyFont="1" applyBorder="1" applyAlignment="1">
      <alignment horizontal="center"/>
    </xf>
    <xf numFmtId="164" fontId="31" fillId="0" borderId="69" xfId="0" applyNumberFormat="1" applyFont="1" applyBorder="1" applyAlignment="1">
      <alignment horizontal="center"/>
    </xf>
    <xf numFmtId="164" fontId="0" fillId="0" borderId="69" xfId="0" applyNumberFormat="1" applyBorder="1"/>
    <xf numFmtId="164" fontId="0" fillId="0" borderId="71" xfId="0" applyNumberFormat="1" applyBorder="1"/>
    <xf numFmtId="0" fontId="0" fillId="0" borderId="0" xfId="0" applyBorder="1" applyAlignment="1"/>
    <xf numFmtId="0" fontId="0" fillId="35" borderId="62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7" borderId="62" xfId="0" applyFill="1" applyBorder="1" applyAlignment="1">
      <alignment horizontal="center"/>
    </xf>
    <xf numFmtId="0" fontId="0" fillId="38" borderId="62" xfId="0" applyFill="1" applyBorder="1" applyAlignment="1">
      <alignment horizontal="center"/>
    </xf>
    <xf numFmtId="0" fontId="0" fillId="39" borderId="62" xfId="0" applyFill="1" applyBorder="1" applyAlignment="1">
      <alignment horizontal="center"/>
    </xf>
    <xf numFmtId="0" fontId="0" fillId="40" borderId="62" xfId="0" applyFill="1" applyBorder="1" applyAlignment="1">
      <alignment horizontal="center"/>
    </xf>
    <xf numFmtId="0" fontId="0" fillId="41" borderId="62" xfId="0" applyFill="1" applyBorder="1" applyAlignment="1">
      <alignment horizontal="center"/>
    </xf>
    <xf numFmtId="0" fontId="0" fillId="42" borderId="62" xfId="0" applyFill="1" applyBorder="1" applyAlignment="1">
      <alignment horizontal="center"/>
    </xf>
    <xf numFmtId="0" fontId="0" fillId="43" borderId="62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4" borderId="38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31" fillId="0" borderId="0" xfId="0" applyNumberFormat="1" applyFont="1" applyAlignment="1">
      <alignment horizontal="center"/>
    </xf>
    <xf numFmtId="1" fontId="37" fillId="0" borderId="89" xfId="0" applyNumberFormat="1" applyFont="1" applyBorder="1" applyAlignment="1">
      <alignment horizontal="center"/>
    </xf>
    <xf numFmtId="1" fontId="37" fillId="0" borderId="90" xfId="0" applyNumberFormat="1" applyFont="1" applyBorder="1" applyAlignment="1">
      <alignment horizontal="center"/>
    </xf>
    <xf numFmtId="1" fontId="37" fillId="0" borderId="91" xfId="0" applyNumberFormat="1" applyFont="1" applyBorder="1" applyAlignment="1">
      <alignment horizontal="center"/>
    </xf>
    <xf numFmtId="1" fontId="37" fillId="0" borderId="0" xfId="0" applyNumberFormat="1" applyFont="1" applyBorder="1" applyAlignment="1">
      <alignment horizontal="center"/>
    </xf>
    <xf numFmtId="1" fontId="37" fillId="0" borderId="92" xfId="0" applyNumberFormat="1" applyFont="1" applyBorder="1" applyAlignment="1">
      <alignment horizontal="center"/>
    </xf>
    <xf numFmtId="1" fontId="37" fillId="0" borderId="93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1" fontId="31" fillId="0" borderId="0" xfId="0" applyNumberFormat="1" applyFont="1" applyAlignment="1">
      <alignment horizontal="center"/>
    </xf>
    <xf numFmtId="0" fontId="31" fillId="0" borderId="0" xfId="0" applyNumberFormat="1" applyFont="1" applyAlignment="1">
      <alignment horizontal="center"/>
    </xf>
    <xf numFmtId="166" fontId="31" fillId="0" borderId="81" xfId="0" applyNumberFormat="1" applyFont="1" applyBorder="1" applyAlignment="1">
      <alignment horizontal="center"/>
    </xf>
    <xf numFmtId="166" fontId="37" fillId="0" borderId="94" xfId="0" applyNumberFormat="1" applyFont="1" applyBorder="1" applyAlignment="1">
      <alignment horizontal="center"/>
    </xf>
    <xf numFmtId="166" fontId="37" fillId="0" borderId="95" xfId="0" applyNumberFormat="1" applyFont="1" applyBorder="1" applyAlignment="1">
      <alignment horizontal="center"/>
    </xf>
    <xf numFmtId="166" fontId="0" fillId="0" borderId="96" xfId="0" applyNumberFormat="1" applyBorder="1" applyAlignment="1">
      <alignment horizontal="center"/>
    </xf>
    <xf numFmtId="166" fontId="0" fillId="0" borderId="97" xfId="0" applyNumberFormat="1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4" xfId="0" applyBorder="1" applyAlignment="1">
      <alignment horizontal="center"/>
    </xf>
    <xf numFmtId="166" fontId="37" fillId="0" borderId="99" xfId="0" applyNumberFormat="1" applyFon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1" fillId="0" borderId="0" xfId="0" applyFont="1" applyBorder="1" applyAlignment="1">
      <alignment horizontal="center"/>
    </xf>
    <xf numFmtId="0" fontId="38" fillId="0" borderId="0" xfId="0" applyFont="1"/>
    <xf numFmtId="165" fontId="31" fillId="0" borderId="95" xfId="0" applyNumberFormat="1" applyFont="1" applyBorder="1" applyAlignment="1">
      <alignment horizontal="center"/>
    </xf>
    <xf numFmtId="0" fontId="31" fillId="0" borderId="97" xfId="0" applyFont="1" applyBorder="1" applyAlignment="1">
      <alignment horizontal="center"/>
    </xf>
    <xf numFmtId="2" fontId="0" fillId="0" borderId="93" xfId="0" applyNumberFormat="1" applyBorder="1" applyAlignment="1"/>
    <xf numFmtId="166" fontId="0" fillId="0" borderId="10" xfId="0" applyNumberFormat="1" applyBorder="1" applyAlignment="1">
      <alignment horizontal="center"/>
    </xf>
    <xf numFmtId="166" fontId="31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7" fillId="0" borderId="101" xfId="0" applyNumberFormat="1" applyFont="1" applyBorder="1" applyAlignment="1">
      <alignment horizontal="center"/>
    </xf>
    <xf numFmtId="1" fontId="37" fillId="0" borderId="102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6" xfId="0" applyBorder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165" fontId="37" fillId="0" borderId="0" xfId="0" applyNumberFormat="1" applyFont="1" applyFill="1" applyBorder="1" applyAlignment="1">
      <alignment horizontal="center"/>
    </xf>
    <xf numFmtId="2" fontId="0" fillId="0" borderId="84" xfId="0" applyNumberFormat="1" applyBorder="1" applyAlignment="1">
      <alignment horizontal="center"/>
    </xf>
    <xf numFmtId="2" fontId="31" fillId="0" borderId="85" xfId="0" applyNumberFormat="1" applyFont="1" applyBorder="1" applyAlignment="1">
      <alignment horizontal="center"/>
    </xf>
    <xf numFmtId="0" fontId="0" fillId="0" borderId="103" xfId="0" applyBorder="1" applyAlignment="1">
      <alignment horizontal="center"/>
    </xf>
    <xf numFmtId="0" fontId="0" fillId="35" borderId="84" xfId="0" applyFill="1" applyBorder="1" applyAlignment="1">
      <alignment horizontal="center"/>
    </xf>
    <xf numFmtId="0" fontId="0" fillId="36" borderId="85" xfId="0" applyFill="1" applyBorder="1" applyAlignment="1">
      <alignment horizontal="center"/>
    </xf>
    <xf numFmtId="0" fontId="0" fillId="37" borderId="85" xfId="0" applyFill="1" applyBorder="1" applyAlignment="1">
      <alignment horizontal="center"/>
    </xf>
    <xf numFmtId="0" fontId="0" fillId="38" borderId="85" xfId="0" applyFill="1" applyBorder="1" applyAlignment="1">
      <alignment horizontal="center"/>
    </xf>
    <xf numFmtId="0" fontId="0" fillId="39" borderId="85" xfId="0" applyFill="1" applyBorder="1" applyAlignment="1">
      <alignment horizontal="center"/>
    </xf>
    <xf numFmtId="0" fontId="0" fillId="40" borderId="85" xfId="0" applyFill="1" applyBorder="1" applyAlignment="1">
      <alignment horizontal="center"/>
    </xf>
    <xf numFmtId="0" fontId="0" fillId="41" borderId="85" xfId="0" applyFill="1" applyBorder="1" applyAlignment="1">
      <alignment horizontal="center"/>
    </xf>
    <xf numFmtId="0" fontId="0" fillId="42" borderId="85" xfId="0" applyFill="1" applyBorder="1" applyAlignment="1">
      <alignment horizontal="center"/>
    </xf>
    <xf numFmtId="0" fontId="0" fillId="43" borderId="85" xfId="0" applyFill="1" applyBorder="1" applyAlignment="1">
      <alignment horizontal="center"/>
    </xf>
    <xf numFmtId="0" fontId="0" fillId="0" borderId="104" xfId="0" applyBorder="1"/>
    <xf numFmtId="166" fontId="37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7" xfId="0" applyBorder="1" applyAlignment="1">
      <alignment horizontal="center"/>
    </xf>
    <xf numFmtId="166" fontId="37" fillId="0" borderId="7" xfId="0" applyNumberFormat="1" applyFon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05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1" xfId="0" applyBorder="1" applyAlignment="1">
      <alignment horizontal="center"/>
    </xf>
    <xf numFmtId="166" fontId="37" fillId="0" borderId="9" xfId="0" applyNumberFormat="1" applyFont="1" applyBorder="1" applyAlignment="1">
      <alignment horizontal="center"/>
    </xf>
    <xf numFmtId="166" fontId="37" fillId="0" borderId="97" xfId="0" applyNumberFormat="1" applyFont="1" applyBorder="1" applyAlignment="1">
      <alignment horizontal="center"/>
    </xf>
    <xf numFmtId="0" fontId="0" fillId="0" borderId="103" xfId="0" applyFill="1" applyBorder="1" applyAlignment="1">
      <alignment horizontal="center"/>
    </xf>
    <xf numFmtId="166" fontId="37" fillId="0" borderId="80" xfId="0" applyNumberFormat="1" applyFont="1" applyBorder="1" applyAlignment="1">
      <alignment horizontal="center"/>
    </xf>
    <xf numFmtId="1" fontId="37" fillId="0" borderId="106" xfId="0" applyNumberFormat="1" applyFont="1" applyBorder="1" applyAlignment="1">
      <alignment horizontal="center"/>
    </xf>
    <xf numFmtId="1" fontId="37" fillId="0" borderId="107" xfId="0" applyNumberFormat="1" applyFont="1" applyBorder="1" applyAlignment="1">
      <alignment horizontal="center"/>
    </xf>
    <xf numFmtId="1" fontId="37" fillId="0" borderId="108" xfId="0" applyNumberFormat="1" applyFont="1" applyBorder="1" applyAlignment="1">
      <alignment horizontal="center"/>
    </xf>
    <xf numFmtId="2" fontId="31" fillId="0" borderId="0" xfId="0" applyNumberFormat="1" applyFont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37" fillId="0" borderId="58" xfId="0" applyNumberFormat="1" applyFont="1" applyBorder="1" applyAlignment="1">
      <alignment horizontal="center"/>
    </xf>
    <xf numFmtId="166" fontId="37" fillId="0" borderId="110" xfId="0" applyNumberFormat="1" applyFont="1" applyBorder="1" applyAlignment="1">
      <alignment horizontal="center"/>
    </xf>
    <xf numFmtId="166" fontId="37" fillId="0" borderId="0" xfId="0" applyNumberFormat="1" applyFont="1" applyBorder="1" applyAlignment="1">
      <alignment horizontal="center"/>
    </xf>
    <xf numFmtId="166" fontId="37" fillId="44" borderId="32" xfId="0" applyNumberFormat="1" applyFont="1" applyFill="1" applyBorder="1" applyAlignment="1">
      <alignment horizontal="center"/>
    </xf>
    <xf numFmtId="0" fontId="31" fillId="0" borderId="0" xfId="0" applyFont="1" applyBorder="1" applyAlignment="1">
      <alignment horizontal="center" vertical="center"/>
    </xf>
    <xf numFmtId="2" fontId="31" fillId="0" borderId="0" xfId="0" applyNumberFormat="1" applyFont="1" applyBorder="1" applyAlignment="1">
      <alignment horizontal="center" vertical="center"/>
    </xf>
    <xf numFmtId="165" fontId="31" fillId="0" borderId="0" xfId="0" applyNumberFormat="1" applyFont="1" applyBorder="1" applyAlignment="1">
      <alignment horizontal="center" vertical="center"/>
    </xf>
    <xf numFmtId="1" fontId="37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39" fillId="0" borderId="112" xfId="0" applyFont="1" applyBorder="1" applyAlignment="1">
      <alignment horizontal="center" vertical="center"/>
    </xf>
    <xf numFmtId="0" fontId="39" fillId="0" borderId="113" xfId="0" applyFont="1" applyBorder="1" applyAlignment="1">
      <alignment horizontal="center" vertical="center"/>
    </xf>
    <xf numFmtId="165" fontId="39" fillId="0" borderId="68" xfId="0" applyNumberFormat="1" applyFont="1" applyBorder="1" applyAlignment="1">
      <alignment horizontal="center" vertical="center"/>
    </xf>
    <xf numFmtId="165" fontId="39" fillId="0" borderId="114" xfId="0" applyNumberFormat="1" applyFont="1" applyBorder="1" applyAlignment="1">
      <alignment horizontal="center" vertical="center"/>
    </xf>
    <xf numFmtId="166" fontId="37" fillId="44" borderId="115" xfId="0" applyNumberFormat="1" applyFont="1" applyFill="1" applyBorder="1" applyAlignment="1">
      <alignment horizontal="center"/>
    </xf>
    <xf numFmtId="166" fontId="37" fillId="0" borderId="116" xfId="0" applyNumberFormat="1" applyFont="1" applyBorder="1" applyAlignment="1">
      <alignment horizontal="center"/>
    </xf>
    <xf numFmtId="166" fontId="0" fillId="0" borderId="116" xfId="0" applyNumberFormat="1" applyBorder="1" applyAlignment="1">
      <alignment horizontal="center"/>
    </xf>
    <xf numFmtId="166" fontId="0" fillId="0" borderId="117" xfId="0" applyNumberFormat="1" applyBorder="1" applyAlignment="1">
      <alignment horizontal="center"/>
    </xf>
    <xf numFmtId="0" fontId="0" fillId="0" borderId="118" xfId="0" applyBorder="1"/>
    <xf numFmtId="165" fontId="39" fillId="0" borderId="119" xfId="0" applyNumberFormat="1" applyFont="1" applyFill="1" applyBorder="1" applyAlignment="1">
      <alignment horizontal="center" vertical="center"/>
    </xf>
    <xf numFmtId="1" fontId="0" fillId="0" borderId="120" xfId="0" applyNumberFormat="1" applyFill="1" applyBorder="1" applyAlignment="1">
      <alignment horizontal="center"/>
    </xf>
    <xf numFmtId="166" fontId="0" fillId="0" borderId="120" xfId="0" applyNumberFormat="1" applyFill="1" applyBorder="1" applyAlignment="1">
      <alignment horizontal="center"/>
    </xf>
    <xf numFmtId="166" fontId="37" fillId="0" borderId="31" xfId="0" applyNumberFormat="1" applyFont="1" applyFill="1" applyBorder="1" applyAlignment="1">
      <alignment horizontal="center"/>
    </xf>
    <xf numFmtId="166" fontId="37" fillId="0" borderId="25" xfId="0" applyNumberFormat="1" applyFont="1" applyFill="1" applyBorder="1" applyAlignment="1">
      <alignment horizontal="center"/>
    </xf>
    <xf numFmtId="0" fontId="0" fillId="0" borderId="121" xfId="0" applyFill="1" applyBorder="1" applyAlignment="1">
      <alignment horizontal="center"/>
    </xf>
    <xf numFmtId="166" fontId="23" fillId="0" borderId="29" xfId="0" applyNumberFormat="1" applyFon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166" fontId="23" fillId="0" borderId="122" xfId="0" applyNumberFormat="1" applyFont="1" applyBorder="1" applyAlignment="1">
      <alignment horizontal="center"/>
    </xf>
    <xf numFmtId="166" fontId="23" fillId="0" borderId="123" xfId="0" applyNumberFormat="1" applyFont="1" applyBorder="1" applyAlignment="1">
      <alignment horizontal="center"/>
    </xf>
    <xf numFmtId="166" fontId="23" fillId="0" borderId="124" xfId="0" applyNumberFormat="1" applyFont="1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164" fontId="31" fillId="0" borderId="4" xfId="0" applyNumberFormat="1" applyFont="1" applyBorder="1" applyAlignment="1">
      <alignment horizontal="center"/>
    </xf>
    <xf numFmtId="167" fontId="31" fillId="0" borderId="74" xfId="0" applyNumberFormat="1" applyFont="1" applyBorder="1" applyAlignment="1">
      <alignment horizontal="center"/>
    </xf>
    <xf numFmtId="0" fontId="29" fillId="0" borderId="34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29" fillId="0" borderId="125" xfId="0" applyFont="1" applyFill="1" applyBorder="1" applyAlignment="1">
      <alignment horizontal="center" vertical="center"/>
    </xf>
    <xf numFmtId="0" fontId="29" fillId="0" borderId="126" xfId="0" applyFont="1" applyFill="1" applyBorder="1" applyAlignment="1">
      <alignment horizontal="center" vertical="center"/>
    </xf>
    <xf numFmtId="0" fontId="36" fillId="0" borderId="127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21" xfId="0" applyFont="1" applyBorder="1" applyAlignment="1">
      <alignment horizontal="center"/>
    </xf>
    <xf numFmtId="166" fontId="36" fillId="0" borderId="80" xfId="0" applyNumberFormat="1" applyFont="1" applyBorder="1" applyAlignment="1">
      <alignment horizontal="center"/>
    </xf>
    <xf numFmtId="166" fontId="36" fillId="0" borderId="9" xfId="0" applyNumberFormat="1" applyFont="1" applyBorder="1" applyAlignment="1">
      <alignment horizontal="center"/>
    </xf>
    <xf numFmtId="166" fontId="36" fillId="0" borderId="18" xfId="0" applyNumberFormat="1" applyFont="1" applyBorder="1" applyAlignment="1">
      <alignment horizontal="center"/>
    </xf>
    <xf numFmtId="0" fontId="29" fillId="0" borderId="42" xfId="0" applyFont="1" applyFill="1" applyBorder="1" applyAlignment="1">
      <alignment vertical="center"/>
    </xf>
    <xf numFmtId="0" fontId="36" fillId="0" borderId="80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0" fillId="0" borderId="128" xfId="0" applyBorder="1"/>
    <xf numFmtId="0" fontId="0" fillId="0" borderId="0" xfId="0" applyAlignment="1">
      <alignment horizontal="center" vertical="center"/>
    </xf>
    <xf numFmtId="164" fontId="31" fillId="0" borderId="0" xfId="0" applyNumberFormat="1" applyFont="1" applyAlignment="1">
      <alignment horizontal="center" vertical="center"/>
    </xf>
    <xf numFmtId="0" fontId="23" fillId="0" borderId="39" xfId="0" applyFont="1" applyFill="1" applyBorder="1" applyAlignment="1">
      <alignment horizontal="center" vertical="center"/>
    </xf>
    <xf numFmtId="0" fontId="23" fillId="0" borderId="41" xfId="0" applyFont="1" applyFill="1" applyBorder="1" applyAlignment="1">
      <alignment horizontal="center" vertical="center"/>
    </xf>
    <xf numFmtId="164" fontId="31" fillId="0" borderId="115" xfId="0" applyNumberFormat="1" applyFont="1" applyFill="1" applyBorder="1" applyAlignment="1">
      <alignment horizontal="center"/>
    </xf>
    <xf numFmtId="164" fontId="31" fillId="0" borderId="116" xfId="0" applyNumberFormat="1" applyFont="1" applyFill="1" applyBorder="1" applyAlignment="1">
      <alignment horizontal="center"/>
    </xf>
    <xf numFmtId="164" fontId="31" fillId="0" borderId="129" xfId="0" applyNumberFormat="1" applyFont="1" applyFill="1" applyBorder="1" applyAlignment="1">
      <alignment horizontal="center"/>
    </xf>
    <xf numFmtId="0" fontId="0" fillId="45" borderId="0" xfId="0" applyFill="1"/>
    <xf numFmtId="0" fontId="23" fillId="46" borderId="1" xfId="0" applyFont="1" applyFill="1" applyBorder="1" applyAlignment="1">
      <alignment horizontal="center" vertical="center"/>
    </xf>
    <xf numFmtId="0" fontId="23" fillId="46" borderId="42" xfId="0" applyFont="1" applyFill="1" applyBorder="1" applyAlignment="1">
      <alignment horizontal="center" vertical="center"/>
    </xf>
    <xf numFmtId="164" fontId="31" fillId="46" borderId="27" xfId="0" applyNumberFormat="1" applyFont="1" applyFill="1" applyBorder="1" applyAlignment="1">
      <alignment horizontal="center"/>
    </xf>
    <xf numFmtId="164" fontId="31" fillId="46" borderId="12" xfId="0" applyNumberFormat="1" applyFont="1" applyFill="1" applyBorder="1" applyAlignment="1">
      <alignment horizontal="center"/>
    </xf>
    <xf numFmtId="164" fontId="31" fillId="46" borderId="21" xfId="0" applyNumberFormat="1" applyFont="1" applyFill="1" applyBorder="1" applyAlignment="1">
      <alignment horizontal="center"/>
    </xf>
    <xf numFmtId="164" fontId="31" fillId="46" borderId="0" xfId="0" applyNumberFormat="1" applyFont="1" applyFill="1" applyAlignment="1">
      <alignment horizontal="center"/>
    </xf>
    <xf numFmtId="0" fontId="0" fillId="0" borderId="0" xfId="0" applyFill="1"/>
    <xf numFmtId="164" fontId="31" fillId="0" borderId="116" xfId="0" applyNumberFormat="1" applyFont="1" applyBorder="1" applyAlignment="1">
      <alignment horizontal="center"/>
    </xf>
    <xf numFmtId="0" fontId="29" fillId="0" borderId="130" xfId="0" applyFont="1" applyBorder="1" applyAlignment="1">
      <alignment horizontal="center" vertical="center"/>
    </xf>
    <xf numFmtId="0" fontId="29" fillId="0" borderId="131" xfId="0" applyFont="1" applyBorder="1" applyAlignment="1">
      <alignment horizontal="center" vertical="center"/>
    </xf>
    <xf numFmtId="164" fontId="37" fillId="0" borderId="115" xfId="0" applyNumberFormat="1" applyFont="1" applyBorder="1" applyAlignment="1">
      <alignment horizontal="center"/>
    </xf>
    <xf numFmtId="164" fontId="37" fillId="0" borderId="22" xfId="0" applyNumberFormat="1" applyFont="1" applyBorder="1" applyAlignment="1">
      <alignment horizontal="center"/>
    </xf>
    <xf numFmtId="164" fontId="37" fillId="0" borderId="25" xfId="0" applyNumberFormat="1" applyFont="1" applyBorder="1" applyAlignment="1">
      <alignment horizontal="center"/>
    </xf>
    <xf numFmtId="164" fontId="37" fillId="0" borderId="116" xfId="0" applyNumberFormat="1" applyFont="1" applyBorder="1" applyAlignment="1">
      <alignment horizontal="center"/>
    </xf>
    <xf numFmtId="164" fontId="37" fillId="0" borderId="6" xfId="0" applyNumberFormat="1" applyFont="1" applyBorder="1" applyAlignment="1">
      <alignment horizontal="center"/>
    </xf>
    <xf numFmtId="164" fontId="37" fillId="0" borderId="7" xfId="0" applyNumberFormat="1" applyFont="1" applyBorder="1" applyAlignment="1">
      <alignment horizontal="center"/>
    </xf>
    <xf numFmtId="164" fontId="31" fillId="0" borderId="59" xfId="0" applyNumberFormat="1" applyFont="1" applyBorder="1" applyAlignment="1">
      <alignment horizontal="center"/>
    </xf>
    <xf numFmtId="164" fontId="31" fillId="0" borderId="132" xfId="0" applyNumberFormat="1" applyFont="1" applyBorder="1" applyAlignment="1">
      <alignment horizontal="center"/>
    </xf>
    <xf numFmtId="164" fontId="31" fillId="0" borderId="105" xfId="0" applyNumberFormat="1" applyFont="1" applyBorder="1" applyAlignment="1">
      <alignment horizontal="center"/>
    </xf>
    <xf numFmtId="164" fontId="31" fillId="0" borderId="133" xfId="0" applyNumberFormat="1" applyFont="1" applyBorder="1" applyAlignment="1">
      <alignment horizontal="center"/>
    </xf>
    <xf numFmtId="164" fontId="31" fillId="0" borderId="96" xfId="0" applyNumberFormat="1" applyFont="1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0" xfId="0" applyAlignment="1"/>
    <xf numFmtId="164" fontId="31" fillId="0" borderId="81" xfId="0" applyNumberFormat="1" applyFont="1" applyBorder="1" applyAlignment="1">
      <alignment horizontal="center"/>
    </xf>
    <xf numFmtId="0" fontId="0" fillId="0" borderId="0" xfId="0" applyBorder="1" applyAlignment="1"/>
    <xf numFmtId="164" fontId="31" fillId="0" borderId="0" xfId="0" applyNumberFormat="1" applyFont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0" fillId="0" borderId="91" xfId="0" applyBorder="1" applyAlignment="1"/>
    <xf numFmtId="0" fontId="31" fillId="0" borderId="91" xfId="0" applyFont="1" applyBorder="1" applyAlignment="1">
      <alignment horizontal="center"/>
    </xf>
    <xf numFmtId="0" fontId="31" fillId="0" borderId="92" xfId="0" applyFont="1" applyBorder="1" applyAlignment="1">
      <alignment horizontal="center"/>
    </xf>
    <xf numFmtId="0" fontId="31" fillId="0" borderId="93" xfId="0" applyFont="1" applyBorder="1" applyAlignment="1">
      <alignment horizontal="center"/>
    </xf>
    <xf numFmtId="0" fontId="40" fillId="0" borderId="93" xfId="0" applyNumberFormat="1" applyFont="1" applyBorder="1" applyAlignment="1">
      <alignment vertical="center" wrapText="1"/>
    </xf>
    <xf numFmtId="0" fontId="0" fillId="0" borderId="93" xfId="0" applyBorder="1"/>
    <xf numFmtId="0" fontId="23" fillId="0" borderId="130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164" fontId="31" fillId="0" borderId="100" xfId="0" applyNumberFormat="1" applyFont="1" applyBorder="1" applyAlignment="1">
      <alignment horizontal="center"/>
    </xf>
    <xf numFmtId="164" fontId="31" fillId="0" borderId="117" xfId="0" applyNumberFormat="1" applyFont="1" applyBorder="1" applyAlignment="1">
      <alignment horizontal="center"/>
    </xf>
    <xf numFmtId="164" fontId="31" fillId="0" borderId="97" xfId="0" applyNumberFormat="1" applyFont="1" applyBorder="1" applyAlignment="1">
      <alignment horizontal="center"/>
    </xf>
    <xf numFmtId="164" fontId="37" fillId="0" borderId="117" xfId="0" applyNumberFormat="1" applyFont="1" applyBorder="1" applyAlignment="1">
      <alignment horizontal="center"/>
    </xf>
    <xf numFmtId="164" fontId="37" fillId="0" borderId="133" xfId="0" applyNumberFormat="1" applyFont="1" applyBorder="1" applyAlignment="1">
      <alignment horizontal="center"/>
    </xf>
    <xf numFmtId="164" fontId="37" fillId="0" borderId="105" xfId="0" applyNumberFormat="1" applyFont="1" applyBorder="1" applyAlignment="1">
      <alignment horizontal="center"/>
    </xf>
    <xf numFmtId="0" fontId="0" fillId="45" borderId="135" xfId="0" applyFill="1" applyBorder="1" applyAlignment="1"/>
    <xf numFmtId="0" fontId="0" fillId="45" borderId="135" xfId="0" applyFill="1" applyBorder="1"/>
    <xf numFmtId="0" fontId="29" fillId="0" borderId="37" xfId="0" applyFont="1" applyBorder="1" applyAlignment="1">
      <alignment horizontal="center" vertical="center"/>
    </xf>
    <xf numFmtId="164" fontId="41" fillId="0" borderId="136" xfId="0" applyNumberFormat="1" applyFont="1" applyBorder="1" applyAlignment="1">
      <alignment horizontal="center"/>
    </xf>
    <xf numFmtId="164" fontId="37" fillId="0" borderId="137" xfId="0" applyNumberFormat="1" applyFont="1" applyBorder="1" applyAlignment="1">
      <alignment horizontal="center"/>
    </xf>
    <xf numFmtId="164" fontId="37" fillId="0" borderId="138" xfId="0" applyNumberFormat="1" applyFont="1" applyBorder="1" applyAlignment="1">
      <alignment horizontal="center"/>
    </xf>
    <xf numFmtId="164" fontId="37" fillId="0" borderId="139" xfId="0" applyNumberFormat="1" applyFont="1" applyBorder="1" applyAlignment="1">
      <alignment horizontal="center"/>
    </xf>
    <xf numFmtId="0" fontId="29" fillId="0" borderId="140" xfId="0" applyFont="1" applyBorder="1" applyAlignment="1">
      <alignment horizontal="center" vertical="center"/>
    </xf>
    <xf numFmtId="164" fontId="31" fillId="0" borderId="137" xfId="0" applyNumberFormat="1" applyFont="1" applyBorder="1" applyAlignment="1">
      <alignment horizontal="center"/>
    </xf>
    <xf numFmtId="164" fontId="31" fillId="0" borderId="138" xfId="0" applyNumberFormat="1" applyFont="1" applyBorder="1" applyAlignment="1">
      <alignment horizontal="center"/>
    </xf>
    <xf numFmtId="164" fontId="31" fillId="0" borderId="139" xfId="0" applyNumberFormat="1" applyFont="1" applyBorder="1" applyAlignment="1">
      <alignment horizontal="center"/>
    </xf>
    <xf numFmtId="0" fontId="23" fillId="0" borderId="141" xfId="0" applyFont="1" applyBorder="1" applyAlignment="1">
      <alignment horizontal="center" vertical="center"/>
    </xf>
    <xf numFmtId="164" fontId="31" fillId="0" borderId="142" xfId="0" applyNumberFormat="1" applyFont="1" applyBorder="1" applyAlignment="1">
      <alignment horizontal="center"/>
    </xf>
    <xf numFmtId="164" fontId="31" fillId="0" borderId="143" xfId="0" applyNumberFormat="1" applyFont="1" applyBorder="1" applyAlignment="1">
      <alignment horizontal="center"/>
    </xf>
    <xf numFmtId="164" fontId="31" fillId="0" borderId="144" xfId="0" applyNumberFormat="1" applyFont="1" applyBorder="1" applyAlignment="1">
      <alignment horizontal="center"/>
    </xf>
    <xf numFmtId="164" fontId="31" fillId="0" borderId="145" xfId="0" applyNumberFormat="1" applyFont="1" applyBorder="1" applyAlignment="1">
      <alignment horizontal="center"/>
    </xf>
    <xf numFmtId="164" fontId="37" fillId="0" borderId="28" xfId="0" applyNumberFormat="1" applyFont="1" applyBorder="1" applyAlignment="1">
      <alignment horizontal="center"/>
    </xf>
    <xf numFmtId="164" fontId="37" fillId="0" borderId="11" xfId="0" applyNumberFormat="1" applyFont="1" applyBorder="1" applyAlignment="1">
      <alignment horizontal="center"/>
    </xf>
    <xf numFmtId="164" fontId="37" fillId="0" borderId="146" xfId="0" applyNumberFormat="1" applyFont="1" applyBorder="1" applyAlignment="1">
      <alignment horizontal="center"/>
    </xf>
    <xf numFmtId="164" fontId="37" fillId="0" borderId="120" xfId="0" applyNumberFormat="1" applyFont="1" applyBorder="1" applyAlignment="1">
      <alignment horizontal="center"/>
    </xf>
    <xf numFmtId="164" fontId="37" fillId="0" borderId="27" xfId="0" applyNumberFormat="1" applyFont="1" applyBorder="1" applyAlignment="1">
      <alignment horizontal="center"/>
    </xf>
    <xf numFmtId="164" fontId="37" fillId="0" borderId="58" xfId="0" applyNumberFormat="1" applyFont="1" applyBorder="1" applyAlignment="1">
      <alignment horizontal="center"/>
    </xf>
    <xf numFmtId="164" fontId="37" fillId="0" borderId="12" xfId="0" applyNumberFormat="1" applyFont="1" applyBorder="1" applyAlignment="1">
      <alignment horizontal="center"/>
    </xf>
    <xf numFmtId="164" fontId="37" fillId="0" borderId="110" xfId="0" applyNumberFormat="1" applyFont="1" applyBorder="1" applyAlignment="1">
      <alignment horizontal="center"/>
    </xf>
    <xf numFmtId="164" fontId="37" fillId="0" borderId="145" xfId="0" applyNumberFormat="1" applyFont="1" applyBorder="1" applyAlignment="1">
      <alignment horizontal="center"/>
    </xf>
    <xf numFmtId="164" fontId="31" fillId="0" borderId="146" xfId="0" applyNumberFormat="1" applyFont="1" applyBorder="1" applyAlignment="1">
      <alignment horizontal="center"/>
    </xf>
    <xf numFmtId="0" fontId="23" fillId="0" borderId="140" xfId="0" applyFont="1" applyBorder="1" applyAlignment="1">
      <alignment horizontal="center" vertical="center"/>
    </xf>
    <xf numFmtId="164" fontId="31" fillId="0" borderId="115" xfId="0" applyNumberFormat="1" applyFont="1" applyBorder="1" applyAlignment="1">
      <alignment horizontal="center"/>
    </xf>
    <xf numFmtId="164" fontId="31" fillId="0" borderId="120" xfId="0" applyNumberFormat="1" applyFont="1" applyBorder="1" applyAlignment="1">
      <alignment horizontal="center"/>
    </xf>
    <xf numFmtId="164" fontId="31" fillId="0" borderId="58" xfId="0" applyNumberFormat="1" applyFont="1" applyBorder="1" applyAlignment="1">
      <alignment horizontal="center"/>
    </xf>
    <xf numFmtId="164" fontId="31" fillId="0" borderId="110" xfId="0" applyNumberFormat="1" applyFont="1" applyBorder="1" applyAlignment="1">
      <alignment horizontal="center"/>
    </xf>
    <xf numFmtId="0" fontId="23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0" fontId="23" fillId="46" borderId="148" xfId="0" applyFont="1" applyFill="1" applyBorder="1" applyAlignment="1">
      <alignment horizontal="center" vertical="center"/>
    </xf>
    <xf numFmtId="0" fontId="33" fillId="0" borderId="96" xfId="0" applyFont="1" applyFill="1" applyBorder="1" applyAlignment="1">
      <alignment horizontal="center" vertical="center"/>
    </xf>
    <xf numFmtId="0" fontId="23" fillId="0" borderId="133" xfId="0" applyFont="1" applyFill="1" applyBorder="1" applyAlignment="1">
      <alignment horizontal="center" vertical="center"/>
    </xf>
    <xf numFmtId="0" fontId="23" fillId="0" borderId="117" xfId="0" applyFont="1" applyFill="1" applyBorder="1" applyAlignment="1">
      <alignment horizontal="center" vertical="center"/>
    </xf>
    <xf numFmtId="0" fontId="23" fillId="0" borderId="97" xfId="0" applyFont="1" applyFill="1" applyBorder="1" applyAlignment="1">
      <alignment horizontal="center" vertical="center"/>
    </xf>
    <xf numFmtId="0" fontId="23" fillId="46" borderId="144" xfId="0" applyFont="1" applyFill="1" applyBorder="1" applyAlignment="1">
      <alignment horizontal="center" vertical="center"/>
    </xf>
    <xf numFmtId="0" fontId="23" fillId="0" borderId="149" xfId="0" applyFont="1" applyFill="1" applyBorder="1" applyAlignment="1">
      <alignment horizontal="center" vertical="center"/>
    </xf>
    <xf numFmtId="0" fontId="23" fillId="0" borderId="105" xfId="0" applyFont="1" applyFill="1" applyBorder="1" applyAlignment="1">
      <alignment horizontal="center" vertical="center"/>
    </xf>
    <xf numFmtId="2" fontId="31" fillId="46" borderId="0" xfId="0" applyNumberFormat="1" applyFont="1" applyFill="1" applyAlignment="1">
      <alignment horizontal="center"/>
    </xf>
    <xf numFmtId="167" fontId="43" fillId="0" borderId="0" xfId="0" applyNumberFormat="1" applyFont="1" applyAlignment="1">
      <alignment horizontal="center"/>
    </xf>
    <xf numFmtId="167" fontId="44" fillId="0" borderId="0" xfId="0" applyNumberFormat="1" applyFont="1" applyAlignment="1">
      <alignment horizontal="center"/>
    </xf>
    <xf numFmtId="164" fontId="37" fillId="0" borderId="31" xfId="0" applyNumberFormat="1" applyFont="1" applyBorder="1" applyAlignment="1">
      <alignment horizontal="center"/>
    </xf>
    <xf numFmtId="164" fontId="37" fillId="0" borderId="10" xfId="0" applyNumberFormat="1" applyFont="1" applyBorder="1" applyAlignment="1">
      <alignment horizontal="center"/>
    </xf>
    <xf numFmtId="164" fontId="37" fillId="0" borderId="96" xfId="0" applyNumberFormat="1" applyFont="1" applyBorder="1" applyAlignment="1">
      <alignment horizontal="center"/>
    </xf>
    <xf numFmtId="0" fontId="23" fillId="0" borderId="3" xfId="0" applyFont="1" applyBorder="1" applyAlignment="1">
      <alignment horizontal="center" vertical="center"/>
    </xf>
    <xf numFmtId="167" fontId="31" fillId="46" borderId="0" xfId="0" applyNumberFormat="1" applyFont="1" applyFill="1" applyAlignment="1">
      <alignment horizontal="center"/>
    </xf>
    <xf numFmtId="164" fontId="31" fillId="0" borderId="70" xfId="0" applyNumberFormat="1" applyFont="1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35" borderId="56" xfId="37" applyFont="1" applyFill="1" applyBorder="1" applyAlignment="1">
      <alignment horizontal="center"/>
    </xf>
    <xf numFmtId="0" fontId="3" fillId="35" borderId="58" xfId="37" applyFont="1" applyFill="1" applyBorder="1" applyAlignment="1">
      <alignment horizontal="center"/>
    </xf>
    <xf numFmtId="0" fontId="3" fillId="36" borderId="58" xfId="37" applyFont="1" applyFill="1" applyBorder="1" applyAlignment="1">
      <alignment horizontal="center"/>
    </xf>
    <xf numFmtId="0" fontId="3" fillId="37" borderId="58" xfId="37" applyFont="1" applyFill="1" applyBorder="1" applyAlignment="1">
      <alignment horizontal="center"/>
    </xf>
    <xf numFmtId="0" fontId="3" fillId="37" borderId="64" xfId="37" applyFont="1" applyFill="1" applyBorder="1" applyAlignment="1">
      <alignment horizontal="center"/>
    </xf>
    <xf numFmtId="0" fontId="3" fillId="38" borderId="58" xfId="37" applyFont="1" applyFill="1" applyBorder="1" applyAlignment="1">
      <alignment horizontal="center"/>
    </xf>
    <xf numFmtId="0" fontId="3" fillId="39" borderId="58" xfId="37" applyFont="1" applyFill="1" applyBorder="1" applyAlignment="1">
      <alignment horizontal="center"/>
    </xf>
    <xf numFmtId="0" fontId="3" fillId="40" borderId="58" xfId="37" applyFont="1" applyFill="1" applyBorder="1" applyAlignment="1">
      <alignment horizontal="center"/>
    </xf>
    <xf numFmtId="0" fontId="3" fillId="36" borderId="64" xfId="37" applyFont="1" applyFill="1" applyBorder="1" applyAlignment="1">
      <alignment horizontal="center"/>
    </xf>
    <xf numFmtId="0" fontId="3" fillId="35" borderId="60" xfId="37" applyFont="1" applyFill="1" applyBorder="1" applyAlignment="1">
      <alignment horizontal="center"/>
    </xf>
    <xf numFmtId="0" fontId="29" fillId="0" borderId="151" xfId="0" applyFont="1" applyFill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3" fillId="0" borderId="86" xfId="37" applyBorder="1" applyAlignment="1">
      <alignment horizontal="center" vertical="center"/>
    </xf>
    <xf numFmtId="0" fontId="3" fillId="0" borderId="104" xfId="37" applyBorder="1" applyAlignment="1">
      <alignment horizontal="center" vertical="center"/>
    </xf>
    <xf numFmtId="0" fontId="3" fillId="0" borderId="0" xfId="37" applyFill="1"/>
    <xf numFmtId="0" fontId="29" fillId="0" borderId="152" xfId="0" applyFont="1" applyFill="1" applyBorder="1" applyAlignment="1">
      <alignment horizontal="center" vertical="center"/>
    </xf>
    <xf numFmtId="0" fontId="29" fillId="0" borderId="80" xfId="0" applyFont="1" applyFill="1" applyBorder="1" applyAlignment="1">
      <alignment horizontal="center" vertical="center"/>
    </xf>
    <xf numFmtId="0" fontId="29" fillId="0" borderId="54" xfId="0" applyFont="1" applyFill="1" applyBorder="1" applyAlignment="1">
      <alignment horizontal="center" vertical="center"/>
    </xf>
    <xf numFmtId="164" fontId="31" fillId="0" borderId="79" xfId="0" applyNumberFormat="1" applyFont="1" applyBorder="1" applyAlignment="1">
      <alignment horizontal="center"/>
    </xf>
    <xf numFmtId="164" fontId="31" fillId="0" borderId="153" xfId="0" applyNumberFormat="1" applyFont="1" applyBorder="1" applyAlignment="1">
      <alignment horizontal="center"/>
    </xf>
    <xf numFmtId="165" fontId="31" fillId="0" borderId="67" xfId="0" applyNumberFormat="1" applyFont="1" applyBorder="1" applyAlignment="1">
      <alignment horizontal="center"/>
    </xf>
    <xf numFmtId="165" fontId="31" fillId="0" borderId="69" xfId="0" applyNumberFormat="1" applyFont="1" applyBorder="1" applyAlignment="1">
      <alignment horizontal="center"/>
    </xf>
    <xf numFmtId="165" fontId="31" fillId="0" borderId="154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3" xfId="37" applyNumberFormat="1" applyFont="1" applyFill="1" applyBorder="1" applyAlignment="1">
      <alignment horizontal="center"/>
    </xf>
    <xf numFmtId="164" fontId="3" fillId="0" borderId="9" xfId="37" applyNumberFormat="1" applyFont="1" applyFill="1" applyBorder="1" applyAlignment="1">
      <alignment horizontal="center"/>
    </xf>
    <xf numFmtId="164" fontId="31" fillId="0" borderId="90" xfId="0" applyNumberFormat="1" applyFont="1" applyBorder="1" applyAlignment="1">
      <alignment horizontal="center"/>
    </xf>
    <xf numFmtId="164" fontId="3" fillId="0" borderId="69" xfId="37" applyNumberFormat="1" applyFont="1" applyFill="1" applyBorder="1" applyAlignment="1">
      <alignment horizontal="center"/>
    </xf>
    <xf numFmtId="2" fontId="35" fillId="0" borderId="0" xfId="37" applyNumberFormat="1" applyFont="1" applyFill="1" applyBorder="1" applyAlignment="1">
      <alignment horizontal="center"/>
    </xf>
    <xf numFmtId="164" fontId="35" fillId="0" borderId="138" xfId="37" applyNumberFormat="1" applyFont="1" applyFill="1" applyBorder="1" applyAlignment="1">
      <alignment horizontal="center"/>
    </xf>
    <xf numFmtId="164" fontId="31" fillId="0" borderId="77" xfId="0" applyNumberFormat="1" applyFont="1" applyBorder="1" applyAlignment="1">
      <alignment horizontal="center"/>
    </xf>
    <xf numFmtId="164" fontId="3" fillId="0" borderId="156" xfId="37" applyNumberFormat="1" applyFont="1" applyBorder="1" applyAlignment="1">
      <alignment horizontal="center" vertical="center"/>
    </xf>
    <xf numFmtId="164" fontId="3" fillId="0" borderId="157" xfId="37" applyNumberFormat="1" applyFont="1" applyFill="1" applyBorder="1" applyAlignment="1">
      <alignment horizontal="center"/>
    </xf>
    <xf numFmtId="164" fontId="3" fillId="0" borderId="80" xfId="37" applyNumberFormat="1" applyFont="1" applyFill="1" applyBorder="1" applyAlignment="1">
      <alignment horizontal="center"/>
    </xf>
    <xf numFmtId="164" fontId="3" fillId="0" borderId="158" xfId="37" applyNumberFormat="1" applyFont="1" applyFill="1" applyBorder="1" applyAlignment="1">
      <alignment horizontal="center"/>
    </xf>
    <xf numFmtId="0" fontId="3" fillId="0" borderId="159" xfId="37" applyBorder="1" applyAlignment="1">
      <alignment vertical="center"/>
    </xf>
    <xf numFmtId="164" fontId="3" fillId="0" borderId="52" xfId="37" applyNumberFormat="1" applyFont="1" applyBorder="1" applyAlignment="1">
      <alignment horizontal="center" vertical="center"/>
    </xf>
    <xf numFmtId="164" fontId="37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4" xfId="0" applyBorder="1"/>
    <xf numFmtId="0" fontId="0" fillId="0" borderId="47" xfId="0" applyBorder="1"/>
    <xf numFmtId="0" fontId="0" fillId="0" borderId="16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0" xfId="0" applyBorder="1"/>
    <xf numFmtId="0" fontId="0" fillId="0" borderId="46" xfId="0" applyBorder="1"/>
    <xf numFmtId="0" fontId="0" fillId="0" borderId="49" xfId="0" applyBorder="1"/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164" fontId="31" fillId="0" borderId="129" xfId="0" applyNumberFormat="1" applyFont="1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48" xfId="0" applyBorder="1"/>
    <xf numFmtId="164" fontId="31" fillId="0" borderId="71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45" fillId="0" borderId="36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/>
    </xf>
    <xf numFmtId="164" fontId="31" fillId="0" borderId="47" xfId="0" applyNumberFormat="1" applyFont="1" applyBorder="1" applyAlignment="1">
      <alignment horizontal="center"/>
    </xf>
    <xf numFmtId="164" fontId="31" fillId="0" borderId="48" xfId="0" applyNumberFormat="1" applyFont="1" applyBorder="1" applyAlignment="1">
      <alignment horizontal="center"/>
    </xf>
    <xf numFmtId="164" fontId="31" fillId="0" borderId="44" xfId="0" applyNumberFormat="1" applyFont="1" applyBorder="1" applyAlignment="1">
      <alignment horizontal="center"/>
    </xf>
    <xf numFmtId="164" fontId="31" fillId="0" borderId="49" xfId="0" applyNumberFormat="1" applyFont="1" applyBorder="1" applyAlignment="1">
      <alignment horizontal="center"/>
    </xf>
    <xf numFmtId="164" fontId="31" fillId="0" borderId="13" xfId="0" applyNumberFormat="1" applyFont="1" applyBorder="1" applyAlignment="1">
      <alignment horizontal="center"/>
    </xf>
    <xf numFmtId="164" fontId="31" fillId="0" borderId="33" xfId="0" applyNumberFormat="1" applyFont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/>
    </xf>
    <xf numFmtId="0" fontId="0" fillId="0" borderId="156" xfId="0" applyBorder="1" applyAlignment="1">
      <alignment horizontal="center"/>
    </xf>
    <xf numFmtId="164" fontId="31" fillId="0" borderId="166" xfId="0" applyNumberFormat="1" applyFont="1" applyBorder="1" applyAlignment="1">
      <alignment horizontal="center"/>
    </xf>
    <xf numFmtId="164" fontId="31" fillId="0" borderId="167" xfId="0" applyNumberFormat="1" applyFont="1" applyBorder="1" applyAlignment="1">
      <alignment horizontal="center"/>
    </xf>
    <xf numFmtId="164" fontId="31" fillId="0" borderId="50" xfId="0" applyNumberFormat="1" applyFont="1" applyBorder="1" applyAlignment="1">
      <alignment horizontal="center"/>
    </xf>
    <xf numFmtId="0" fontId="45" fillId="0" borderId="35" xfId="0" applyFont="1" applyBorder="1" applyAlignment="1">
      <alignment horizontal="center" vertical="center"/>
    </xf>
    <xf numFmtId="0" fontId="31" fillId="0" borderId="5" xfId="0" applyNumberFormat="1" applyFont="1" applyBorder="1" applyAlignment="1">
      <alignment horizontal="center"/>
    </xf>
    <xf numFmtId="164" fontId="31" fillId="0" borderId="52" xfId="0" applyNumberFormat="1" applyFont="1" applyBorder="1" applyAlignment="1">
      <alignment horizontal="center"/>
    </xf>
    <xf numFmtId="0" fontId="31" fillId="0" borderId="7" xfId="0" applyNumberFormat="1" applyFont="1" applyBorder="1" applyAlignment="1">
      <alignment horizontal="center"/>
    </xf>
    <xf numFmtId="0" fontId="0" fillId="0" borderId="0" xfId="0"/>
    <xf numFmtId="0" fontId="45" fillId="0" borderId="3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45" fillId="0" borderId="169" xfId="0" applyFont="1" applyBorder="1" applyAlignment="1">
      <alignment horizontal="center" vertical="center"/>
    </xf>
    <xf numFmtId="164" fontId="31" fillId="0" borderId="29" xfId="0" applyNumberFormat="1" applyFont="1" applyBorder="1" applyAlignment="1">
      <alignment horizontal="center"/>
    </xf>
    <xf numFmtId="164" fontId="31" fillId="0" borderId="170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31" fillId="0" borderId="16" xfId="0" applyNumberFormat="1" applyFont="1" applyBorder="1" applyAlignment="1">
      <alignment horizontal="center"/>
    </xf>
    <xf numFmtId="164" fontId="31" fillId="0" borderId="43" xfId="0" applyNumberFormat="1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5" xfId="0" applyFont="1" applyBorder="1" applyAlignment="1">
      <alignment horizontal="center"/>
    </xf>
    <xf numFmtId="164" fontId="31" fillId="0" borderId="171" xfId="0" applyNumberFormat="1" applyFont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0" xfId="0"/>
    <xf numFmtId="0" fontId="29" fillId="0" borderId="17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8" xfId="0" applyBorder="1" applyAlignment="1"/>
    <xf numFmtId="0" fontId="0" fillId="0" borderId="44" xfId="0" applyBorder="1" applyAlignment="1"/>
    <xf numFmtId="0" fontId="0" fillId="0" borderId="49" xfId="0" applyBorder="1" applyAlignment="1"/>
    <xf numFmtId="0" fontId="31" fillId="0" borderId="165" xfId="0" applyFont="1" applyBorder="1" applyAlignment="1">
      <alignment horizontal="center"/>
    </xf>
    <xf numFmtId="0" fontId="0" fillId="0" borderId="46" xfId="0" applyBorder="1" applyAlignment="1"/>
    <xf numFmtId="0" fontId="0" fillId="0" borderId="34" xfId="0" applyFont="1" applyBorder="1" applyAlignment="1">
      <alignment horizontal="center"/>
    </xf>
    <xf numFmtId="0" fontId="0" fillId="0" borderId="50" xfId="0" applyBorder="1" applyAlignment="1"/>
    <xf numFmtId="0" fontId="0" fillId="0" borderId="172" xfId="0" applyFont="1" applyBorder="1" applyAlignment="1">
      <alignment horizontal="center"/>
    </xf>
    <xf numFmtId="164" fontId="31" fillId="0" borderId="51" xfId="0" applyNumberFormat="1" applyFont="1" applyBorder="1" applyAlignment="1">
      <alignment horizontal="center"/>
    </xf>
    <xf numFmtId="164" fontId="31" fillId="0" borderId="53" xfId="0" applyNumberFormat="1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164" fontId="31" fillId="0" borderId="35" xfId="0" applyNumberFormat="1" applyFont="1" applyBorder="1" applyAlignment="1">
      <alignment horizontal="center"/>
    </xf>
    <xf numFmtId="164" fontId="31" fillId="0" borderId="34" xfId="0" applyNumberFormat="1" applyFont="1" applyBorder="1" applyAlignment="1">
      <alignment horizontal="center"/>
    </xf>
    <xf numFmtId="164" fontId="31" fillId="0" borderId="37" xfId="0" applyNumberFormat="1" applyFont="1" applyBorder="1" applyAlignment="1">
      <alignment horizontal="center"/>
    </xf>
    <xf numFmtId="164" fontId="31" fillId="0" borderId="113" xfId="0" applyNumberFormat="1" applyFont="1" applyBorder="1" applyAlignment="1">
      <alignment horizontal="center"/>
    </xf>
    <xf numFmtId="164" fontId="31" fillId="0" borderId="41" xfId="0" applyNumberFormat="1" applyFont="1" applyBorder="1" applyAlignment="1">
      <alignment horizontal="center"/>
    </xf>
    <xf numFmtId="164" fontId="31" fillId="0" borderId="172" xfId="0" applyNumberFormat="1" applyFont="1" applyBorder="1" applyAlignment="1">
      <alignment horizontal="center"/>
    </xf>
    <xf numFmtId="0" fontId="0" fillId="0" borderId="148" xfId="0" applyBorder="1" applyAlignment="1">
      <alignment horizontal="center" vertical="center"/>
    </xf>
    <xf numFmtId="164" fontId="31" fillId="0" borderId="173" xfId="0" applyNumberFormat="1" applyFont="1" applyBorder="1" applyAlignment="1">
      <alignment horizontal="center"/>
    </xf>
    <xf numFmtId="0" fontId="0" fillId="0" borderId="174" xfId="0" applyBorder="1" applyAlignment="1">
      <alignment horizontal="center"/>
    </xf>
    <xf numFmtId="168" fontId="31" fillId="0" borderId="116" xfId="0" applyNumberFormat="1" applyFont="1" applyBorder="1" applyAlignment="1">
      <alignment horizontal="center"/>
    </xf>
    <xf numFmtId="168" fontId="31" fillId="0" borderId="6" xfId="0" applyNumberFormat="1" applyFont="1" applyBorder="1" applyAlignment="1">
      <alignment horizontal="center"/>
    </xf>
    <xf numFmtId="168" fontId="31" fillId="0" borderId="153" xfId="0" applyNumberFormat="1" applyFont="1" applyBorder="1" applyAlignment="1">
      <alignment horizontal="center"/>
    </xf>
    <xf numFmtId="168" fontId="31" fillId="0" borderId="7" xfId="0" applyNumberFormat="1" applyFont="1" applyBorder="1" applyAlignment="1">
      <alignment horizontal="center"/>
    </xf>
    <xf numFmtId="164" fontId="31" fillId="0" borderId="36" xfId="0" applyNumberFormat="1" applyFont="1" applyBorder="1" applyAlignment="1">
      <alignment horizontal="center"/>
    </xf>
    <xf numFmtId="0" fontId="0" fillId="0" borderId="45" xfId="0" applyBorder="1" applyAlignment="1"/>
    <xf numFmtId="168" fontId="31" fillId="0" borderId="5" xfId="0" applyNumberFormat="1" applyFont="1" applyBorder="1" applyAlignment="1">
      <alignment horizontal="center"/>
    </xf>
    <xf numFmtId="168" fontId="31" fillId="0" borderId="11" xfId="0" applyNumberFormat="1" applyFont="1" applyBorder="1" applyAlignment="1">
      <alignment horizontal="center"/>
    </xf>
    <xf numFmtId="168" fontId="31" fillId="0" borderId="23" xfId="0" applyNumberFormat="1" applyFont="1" applyBorder="1" applyAlignment="1">
      <alignment horizontal="center"/>
    </xf>
    <xf numFmtId="0" fontId="0" fillId="47" borderId="173" xfId="0" applyFill="1" applyBorder="1" applyAlignment="1"/>
    <xf numFmtId="164" fontId="31" fillId="47" borderId="132" xfId="0" applyNumberFormat="1" applyFont="1" applyFill="1" applyBorder="1" applyAlignment="1">
      <alignment horizontal="center"/>
    </xf>
    <xf numFmtId="164" fontId="31" fillId="47" borderId="59" xfId="0" applyNumberFormat="1" applyFont="1" applyFill="1" applyBorder="1" applyAlignment="1">
      <alignment horizontal="center"/>
    </xf>
    <xf numFmtId="0" fontId="0" fillId="0" borderId="175" xfId="0" applyBorder="1" applyAlignment="1"/>
    <xf numFmtId="164" fontId="31" fillId="0" borderId="176" xfId="0" applyNumberFormat="1" applyFont="1" applyBorder="1" applyAlignment="1">
      <alignment horizontal="center"/>
    </xf>
    <xf numFmtId="10" fontId="31" fillId="0" borderId="11" xfId="0" applyNumberFormat="1" applyFont="1" applyBorder="1" applyAlignment="1">
      <alignment horizontal="center"/>
    </xf>
    <xf numFmtId="10" fontId="31" fillId="0" borderId="7" xfId="0" applyNumberFormat="1" applyFont="1" applyBorder="1" applyAlignment="1">
      <alignment horizontal="center"/>
    </xf>
    <xf numFmtId="0" fontId="31" fillId="0" borderId="46" xfId="0" applyFont="1" applyBorder="1" applyAlignment="1">
      <alignment horizontal="center"/>
    </xf>
    <xf numFmtId="0" fontId="31" fillId="0" borderId="47" xfId="0" applyFont="1" applyBorder="1" applyAlignment="1">
      <alignment horizontal="center"/>
    </xf>
    <xf numFmtId="0" fontId="31" fillId="0" borderId="48" xfId="0" applyFont="1" applyBorder="1" applyAlignment="1">
      <alignment horizontal="center"/>
    </xf>
    <xf numFmtId="10" fontId="31" fillId="0" borderId="5" xfId="0" applyNumberFormat="1" applyFont="1" applyBorder="1" applyAlignment="1">
      <alignment horizontal="center"/>
    </xf>
    <xf numFmtId="10" fontId="31" fillId="0" borderId="6" xfId="0" applyNumberFormat="1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10" fontId="35" fillId="0" borderId="90" xfId="37" applyNumberFormat="1" applyFont="1" applyFill="1" applyBorder="1" applyAlignment="1">
      <alignment horizontal="center"/>
    </xf>
    <xf numFmtId="0" fontId="3" fillId="0" borderId="167" xfId="37" applyFont="1" applyFill="1" applyBorder="1" applyAlignment="1">
      <alignment horizontal="center" vertical="center"/>
    </xf>
    <xf numFmtId="164" fontId="35" fillId="0" borderId="177" xfId="37" applyNumberFormat="1" applyFont="1" applyFill="1" applyBorder="1" applyAlignment="1">
      <alignment horizontal="center"/>
    </xf>
    <xf numFmtId="164" fontId="35" fillId="0" borderId="143" xfId="37" applyNumberFormat="1" applyFont="1" applyFill="1" applyBorder="1" applyAlignment="1">
      <alignment horizontal="center"/>
    </xf>
    <xf numFmtId="164" fontId="3" fillId="0" borderId="160" xfId="37" applyNumberFormat="1" applyFont="1" applyBorder="1" applyAlignment="1">
      <alignment horizontal="center" vertical="center"/>
    </xf>
    <xf numFmtId="0" fontId="3" fillId="0" borderId="162" xfId="37" applyFont="1" applyFill="1" applyBorder="1" applyAlignment="1">
      <alignment horizontal="center" vertical="center"/>
    </xf>
    <xf numFmtId="164" fontId="3" fillId="0" borderId="48" xfId="37" applyNumberFormat="1" applyFont="1" applyBorder="1" applyAlignment="1">
      <alignment horizontal="center" vertical="center"/>
    </xf>
    <xf numFmtId="0" fontId="3" fillId="0" borderId="47" xfId="37" applyFont="1" applyFill="1" applyBorder="1" applyAlignment="1">
      <alignment horizontal="center" vertical="center"/>
    </xf>
    <xf numFmtId="10" fontId="35" fillId="0" borderId="7" xfId="37" applyNumberFormat="1" applyFont="1" applyFill="1" applyBorder="1" applyAlignment="1">
      <alignment horizontal="center"/>
    </xf>
    <xf numFmtId="164" fontId="35" fillId="0" borderId="5" xfId="37" applyNumberFormat="1" applyFont="1" applyFill="1" applyBorder="1" applyAlignment="1">
      <alignment horizontal="center"/>
    </xf>
    <xf numFmtId="10" fontId="35" fillId="0" borderId="16" xfId="37" applyNumberFormat="1" applyFont="1" applyFill="1" applyBorder="1" applyAlignment="1">
      <alignment horizontal="center"/>
    </xf>
    <xf numFmtId="168" fontId="0" fillId="0" borderId="0" xfId="0" applyNumberFormat="1"/>
    <xf numFmtId="0" fontId="31" fillId="0" borderId="29" xfId="0" applyFont="1" applyBorder="1" applyAlignment="1">
      <alignment horizontal="center"/>
    </xf>
    <xf numFmtId="0" fontId="31" fillId="0" borderId="166" xfId="0" applyFont="1" applyBorder="1" applyAlignment="1">
      <alignment horizontal="center"/>
    </xf>
    <xf numFmtId="168" fontId="0" fillId="0" borderId="0" xfId="0" applyNumberFormat="1" applyFill="1"/>
    <xf numFmtId="10" fontId="0" fillId="0" borderId="0" xfId="0" applyNumberFormat="1" applyFill="1"/>
    <xf numFmtId="10" fontId="31" fillId="0" borderId="30" xfId="0" applyNumberFormat="1" applyFont="1" applyBorder="1" applyAlignment="1">
      <alignment horizontal="center"/>
    </xf>
    <xf numFmtId="10" fontId="31" fillId="0" borderId="22" xfId="0" applyNumberFormat="1" applyFont="1" applyBorder="1" applyAlignment="1">
      <alignment horizontal="center"/>
    </xf>
    <xf numFmtId="10" fontId="31" fillId="0" borderId="25" xfId="0" applyNumberFormat="1" applyFont="1" applyBorder="1" applyAlignment="1">
      <alignment horizontal="center"/>
    </xf>
    <xf numFmtId="10" fontId="31" fillId="0" borderId="160" xfId="0" applyNumberFormat="1" applyFont="1" applyBorder="1" applyAlignment="1">
      <alignment horizontal="center"/>
    </xf>
    <xf numFmtId="10" fontId="31" fillId="0" borderId="161" xfId="0" applyNumberFormat="1" applyFont="1" applyBorder="1" applyAlignment="1">
      <alignment horizontal="center"/>
    </xf>
    <xf numFmtId="10" fontId="31" fillId="0" borderId="162" xfId="0" applyNumberFormat="1" applyFont="1" applyBorder="1" applyAlignment="1">
      <alignment horizontal="center"/>
    </xf>
    <xf numFmtId="164" fontId="31" fillId="0" borderId="11" xfId="0" applyNumberFormat="1" applyFont="1" applyFill="1" applyBorder="1" applyAlignment="1">
      <alignment horizontal="center"/>
    </xf>
    <xf numFmtId="3" fontId="31" fillId="0" borderId="0" xfId="0" applyNumberFormat="1" applyFont="1" applyFill="1" applyAlignment="1">
      <alignment horizontal="center"/>
    </xf>
    <xf numFmtId="3" fontId="31" fillId="0" borderId="0" xfId="0" applyNumberFormat="1" applyFont="1" applyAlignment="1">
      <alignment horizontal="center"/>
    </xf>
    <xf numFmtId="0" fontId="0" fillId="0" borderId="148" xfId="0" applyFill="1" applyBorder="1" applyAlignment="1">
      <alignment horizontal="center"/>
    </xf>
    <xf numFmtId="0" fontId="0" fillId="0" borderId="174" xfId="0" applyFill="1" applyBorder="1" applyAlignment="1">
      <alignment horizontal="center"/>
    </xf>
    <xf numFmtId="164" fontId="31" fillId="0" borderId="85" xfId="0" applyNumberFormat="1" applyFont="1" applyBorder="1"/>
    <xf numFmtId="0" fontId="31" fillId="0" borderId="85" xfId="0" applyFont="1" applyBorder="1" applyAlignment="1">
      <alignment horizontal="center"/>
    </xf>
    <xf numFmtId="10" fontId="31" fillId="0" borderId="69" xfId="0" applyNumberFormat="1" applyFont="1" applyFill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1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3" xfId="0" applyFill="1" applyBorder="1" applyAlignment="1">
      <alignment horizontal="center"/>
    </xf>
    <xf numFmtId="0" fontId="0" fillId="0" borderId="178" xfId="0" applyFill="1" applyBorder="1" applyAlignment="1">
      <alignment horizontal="center"/>
    </xf>
    <xf numFmtId="164" fontId="31" fillId="0" borderId="179" xfId="0" applyNumberFormat="1" applyFont="1" applyBorder="1"/>
    <xf numFmtId="0" fontId="3" fillId="0" borderId="171" xfId="37" applyBorder="1" applyAlignment="1">
      <alignment vertical="center"/>
    </xf>
    <xf numFmtId="166" fontId="23" fillId="0" borderId="68" xfId="0" applyNumberFormat="1" applyFont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83" xfId="0" applyBorder="1" applyAlignment="1">
      <alignment horizontal="center"/>
    </xf>
    <xf numFmtId="0" fontId="0" fillId="0" borderId="0" xfId="0" applyAlignment="1">
      <alignment horizontal="center"/>
    </xf>
    <xf numFmtId="169" fontId="31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31" fillId="0" borderId="173" xfId="0" applyFont="1" applyBorder="1" applyAlignment="1">
      <alignment horizontal="center"/>
    </xf>
    <xf numFmtId="0" fontId="0" fillId="0" borderId="184" xfId="0" applyFill="1" applyBorder="1" applyAlignment="1"/>
    <xf numFmtId="0" fontId="0" fillId="0" borderId="0" xfId="0" applyFill="1" applyAlignment="1"/>
    <xf numFmtId="0" fontId="0" fillId="0" borderId="185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187" xfId="0" applyBorder="1" applyAlignment="1">
      <alignment horizontal="center"/>
    </xf>
    <xf numFmtId="0" fontId="46" fillId="0" borderId="53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192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194" xfId="0" applyFill="1" applyBorder="1" applyAlignment="1">
      <alignment horizontal="center"/>
    </xf>
    <xf numFmtId="0" fontId="0" fillId="0" borderId="188" xfId="0" applyFill="1" applyBorder="1" applyAlignment="1">
      <alignment horizontal="center" vertical="center"/>
    </xf>
    <xf numFmtId="0" fontId="0" fillId="0" borderId="189" xfId="0" applyFill="1" applyBorder="1" applyAlignment="1">
      <alignment horizontal="center" vertical="center"/>
    </xf>
    <xf numFmtId="0" fontId="0" fillId="0" borderId="19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0" borderId="35" xfId="0" applyBorder="1" applyAlignment="1">
      <alignment horizontal="center" vertical="center" wrapText="1"/>
    </xf>
    <xf numFmtId="0" fontId="0" fillId="0" borderId="195" xfId="0" applyBorder="1" applyAlignment="1">
      <alignment horizontal="center" vertical="center" wrapText="1"/>
    </xf>
    <xf numFmtId="0" fontId="31" fillId="0" borderId="196" xfId="0" applyFont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97" xfId="0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Border="1" applyAlignment="1">
      <alignment horizontal="center" vertical="center"/>
    </xf>
    <xf numFmtId="10" fontId="31" fillId="0" borderId="138" xfId="0" applyNumberFormat="1" applyFont="1" applyFill="1" applyBorder="1" applyAlignment="1">
      <alignment horizontal="center"/>
    </xf>
    <xf numFmtId="0" fontId="0" fillId="0" borderId="0" xfId="0" applyNumberFormat="1" applyFill="1"/>
    <xf numFmtId="10" fontId="0" fillId="0" borderId="0" xfId="0" applyNumberFormat="1"/>
    <xf numFmtId="3" fontId="31" fillId="0" borderId="5" xfId="0" applyNumberFormat="1" applyFont="1" applyBorder="1" applyAlignment="1">
      <alignment horizontal="center"/>
    </xf>
    <xf numFmtId="3" fontId="31" fillId="0" borderId="6" xfId="0" applyNumberFormat="1" applyFont="1" applyBorder="1" applyAlignment="1">
      <alignment horizontal="center"/>
    </xf>
    <xf numFmtId="3" fontId="31" fillId="0" borderId="10" xfId="0" applyNumberFormat="1" applyFont="1" applyBorder="1" applyAlignment="1">
      <alignment horizontal="center"/>
    </xf>
    <xf numFmtId="3" fontId="31" fillId="0" borderId="11" xfId="0" applyNumberFormat="1" applyFont="1" applyBorder="1" applyAlignment="1">
      <alignment horizontal="center"/>
    </xf>
    <xf numFmtId="3" fontId="31" fillId="0" borderId="198" xfId="0" applyNumberFormat="1" applyFont="1" applyBorder="1" applyAlignment="1">
      <alignment horizontal="center"/>
    </xf>
    <xf numFmtId="166" fontId="23" fillId="0" borderId="199" xfId="0" applyNumberFormat="1" applyFont="1" applyBorder="1" applyAlignment="1">
      <alignment horizontal="center"/>
    </xf>
    <xf numFmtId="166" fontId="23" fillId="0" borderId="200" xfId="0" applyNumberFormat="1" applyFont="1" applyBorder="1" applyAlignment="1">
      <alignment horizontal="center"/>
    </xf>
    <xf numFmtId="3" fontId="31" fillId="0" borderId="7" xfId="0" applyNumberFormat="1" applyFont="1" applyBorder="1" applyAlignment="1">
      <alignment horizontal="center"/>
    </xf>
    <xf numFmtId="3" fontId="37" fillId="0" borderId="201" xfId="0" applyNumberFormat="1" applyFont="1" applyBorder="1" applyAlignment="1">
      <alignment horizontal="right"/>
    </xf>
    <xf numFmtId="3" fontId="37" fillId="0" borderId="179" xfId="0" applyNumberFormat="1" applyFont="1" applyBorder="1" applyAlignment="1">
      <alignment horizontal="right"/>
    </xf>
    <xf numFmtId="3" fontId="37" fillId="0" borderId="202" xfId="0" applyNumberFormat="1" applyFont="1" applyBorder="1" applyAlignment="1">
      <alignment horizontal="right"/>
    </xf>
    <xf numFmtId="3" fontId="37" fillId="0" borderId="203" xfId="0" applyNumberFormat="1" applyFont="1" applyBorder="1" applyAlignment="1">
      <alignment horizontal="right"/>
    </xf>
    <xf numFmtId="3" fontId="37" fillId="0" borderId="85" xfId="0" applyNumberFormat="1" applyFont="1" applyBorder="1" applyAlignment="1">
      <alignment horizontal="right"/>
    </xf>
    <xf numFmtId="3" fontId="37" fillId="0" borderId="103" xfId="0" applyNumberFormat="1" applyFont="1" applyBorder="1" applyAlignment="1">
      <alignment horizontal="right"/>
    </xf>
    <xf numFmtId="3" fontId="0" fillId="0" borderId="0" xfId="0" applyNumberFormat="1"/>
    <xf numFmtId="0" fontId="0" fillId="0" borderId="182" xfId="0" applyBorder="1" applyAlignment="1">
      <alignment horizontal="center"/>
    </xf>
    <xf numFmtId="0" fontId="31" fillId="0" borderId="0" xfId="0" applyFont="1" applyAlignment="1">
      <alignment horizontal="center" vertical="center"/>
    </xf>
    <xf numFmtId="3" fontId="37" fillId="0" borderId="204" xfId="0" applyNumberFormat="1" applyFont="1" applyBorder="1" applyAlignment="1">
      <alignment horizontal="right"/>
    </xf>
    <xf numFmtId="3" fontId="37" fillId="0" borderId="205" xfId="0" applyNumberFormat="1" applyFont="1" applyBorder="1" applyAlignment="1">
      <alignment horizontal="right"/>
    </xf>
    <xf numFmtId="164" fontId="37" fillId="0" borderId="103" xfId="0" applyNumberFormat="1" applyFont="1" applyBorder="1" applyAlignment="1">
      <alignment horizontal="right"/>
    </xf>
    <xf numFmtId="0" fontId="0" fillId="0" borderId="174" xfId="0" applyBorder="1" applyAlignment="1">
      <alignment horizontal="center" vertical="center" wrapText="1"/>
    </xf>
    <xf numFmtId="3" fontId="31" fillId="0" borderId="0" xfId="0" applyNumberFormat="1" applyFont="1"/>
    <xf numFmtId="10" fontId="31" fillId="0" borderId="0" xfId="0" applyNumberFormat="1" applyFont="1"/>
    <xf numFmtId="164" fontId="37" fillId="0" borderId="203" xfId="0" applyNumberFormat="1" applyFont="1" applyBorder="1" applyAlignment="1">
      <alignment horizontal="right"/>
    </xf>
    <xf numFmtId="164" fontId="37" fillId="0" borderId="85" xfId="0" applyNumberFormat="1" applyFont="1" applyBorder="1" applyAlignment="1">
      <alignment horizontal="right"/>
    </xf>
    <xf numFmtId="0" fontId="0" fillId="0" borderId="111" xfId="0" applyBorder="1" applyAlignment="1">
      <alignment horizontal="center"/>
    </xf>
    <xf numFmtId="164" fontId="37" fillId="0" borderId="201" xfId="0" applyNumberFormat="1" applyFont="1" applyBorder="1" applyAlignment="1">
      <alignment horizontal="right"/>
    </xf>
    <xf numFmtId="164" fontId="37" fillId="0" borderId="179" xfId="0" applyNumberFormat="1" applyFont="1" applyBorder="1" applyAlignment="1">
      <alignment horizontal="right"/>
    </xf>
    <xf numFmtId="164" fontId="37" fillId="0" borderId="202" xfId="0" applyNumberFormat="1" applyFont="1" applyBorder="1" applyAlignment="1">
      <alignment horizontal="right"/>
    </xf>
    <xf numFmtId="164" fontId="3" fillId="0" borderId="174" xfId="37" applyNumberFormat="1" applyFon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vertical="center"/>
    </xf>
    <xf numFmtId="164" fontId="3" fillId="0" borderId="206" xfId="37" applyNumberFormat="1" applyFont="1" applyBorder="1" applyAlignment="1">
      <alignment horizontal="center" vertical="center"/>
    </xf>
    <xf numFmtId="10" fontId="37" fillId="0" borderId="207" xfId="0" applyNumberFormat="1" applyFont="1" applyBorder="1" applyAlignment="1">
      <alignment horizontal="center"/>
    </xf>
    <xf numFmtId="10" fontId="37" fillId="0" borderId="208" xfId="0" applyNumberFormat="1" applyFont="1" applyBorder="1" applyAlignment="1">
      <alignment horizontal="center"/>
    </xf>
    <xf numFmtId="0" fontId="31" fillId="0" borderId="171" xfId="0" applyFont="1" applyBorder="1" applyAlignment="1">
      <alignment horizontal="center"/>
    </xf>
    <xf numFmtId="0" fontId="0" fillId="0" borderId="113" xfId="0" applyBorder="1" applyAlignment="1">
      <alignment horizontal="center" vertical="center" wrapText="1"/>
    </xf>
    <xf numFmtId="164" fontId="3" fillId="0" borderId="34" xfId="37" applyNumberFormat="1" applyFont="1" applyBorder="1" applyAlignment="1">
      <alignment horizontal="center" vertical="center"/>
    </xf>
    <xf numFmtId="0" fontId="3" fillId="0" borderId="37" xfId="37" applyFont="1" applyFill="1" applyBorder="1" applyAlignment="1">
      <alignment horizontal="center" vertical="center"/>
    </xf>
    <xf numFmtId="0" fontId="0" fillId="0" borderId="35" xfId="0" applyFill="1" applyBorder="1" applyAlignment="1">
      <alignment horizontal="center"/>
    </xf>
    <xf numFmtId="0" fontId="0" fillId="0" borderId="188" xfId="0" applyFill="1" applyBorder="1" applyAlignment="1">
      <alignment horizontal="center"/>
    </xf>
    <xf numFmtId="3" fontId="31" fillId="0" borderId="48" xfId="0" applyNumberFormat="1" applyFont="1" applyFill="1" applyBorder="1" applyAlignment="1">
      <alignment horizontal="center"/>
    </xf>
    <xf numFmtId="3" fontId="31" fillId="0" borderId="44" xfId="0" applyNumberFormat="1" applyFont="1" applyFill="1" applyBorder="1" applyAlignment="1">
      <alignment horizontal="center"/>
    </xf>
    <xf numFmtId="0" fontId="0" fillId="0" borderId="189" xfId="0" applyFill="1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" xfId="0" applyNumberFormat="1" applyFont="1" applyBorder="1" applyAlignment="1">
      <alignment horizontal="center"/>
    </xf>
    <xf numFmtId="0" fontId="0" fillId="0" borderId="192" xfId="0" applyFill="1" applyBorder="1" applyAlignment="1">
      <alignment horizontal="center"/>
    </xf>
    <xf numFmtId="3" fontId="31" fillId="0" borderId="45" xfId="0" applyNumberFormat="1" applyFont="1" applyFill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0" fontId="0" fillId="0" borderId="193" xfId="0" applyFill="1" applyBorder="1" applyAlignment="1">
      <alignment horizontal="center"/>
    </xf>
    <xf numFmtId="3" fontId="31" fillId="0" borderId="46" xfId="0" applyNumberFormat="1" applyFont="1" applyFill="1" applyBorder="1" applyAlignment="1">
      <alignment horizontal="center"/>
    </xf>
    <xf numFmtId="3" fontId="31" fillId="0" borderId="47" xfId="0" applyNumberFormat="1" applyFont="1" applyFill="1" applyBorder="1" applyAlignment="1">
      <alignment horizontal="center"/>
    </xf>
    <xf numFmtId="3" fontId="31" fillId="0" borderId="153" xfId="0" applyNumberFormat="1" applyFont="1" applyBorder="1" applyAlignment="1">
      <alignment horizontal="center"/>
    </xf>
    <xf numFmtId="3" fontId="37" fillId="0" borderId="0" xfId="0" applyNumberFormat="1" applyFont="1" applyFill="1" applyAlignment="1">
      <alignment horizontal="center"/>
    </xf>
    <xf numFmtId="164" fontId="31" fillId="0" borderId="0" xfId="0" applyNumberFormat="1" applyFont="1" applyFill="1" applyAlignment="1">
      <alignment horizontal="center"/>
    </xf>
    <xf numFmtId="0" fontId="3" fillId="0" borderId="93" xfId="37" applyFont="1" applyFill="1" applyBorder="1" applyAlignment="1">
      <alignment vertical="center"/>
    </xf>
    <xf numFmtId="0" fontId="3" fillId="0" borderId="147" xfId="37" applyFont="1" applyFill="1" applyBorder="1" applyAlignment="1">
      <alignment horizontal="center" vertical="center"/>
    </xf>
    <xf numFmtId="0" fontId="0" fillId="0" borderId="209" xfId="0" applyFill="1" applyBorder="1" applyAlignment="1">
      <alignment horizontal="center"/>
    </xf>
    <xf numFmtId="0" fontId="0" fillId="0" borderId="210" xfId="0" applyFill="1" applyBorder="1" applyAlignment="1">
      <alignment horizontal="center"/>
    </xf>
    <xf numFmtId="0" fontId="31" fillId="0" borderId="175" xfId="0" applyFont="1" applyBorder="1" applyAlignment="1">
      <alignment horizontal="center"/>
    </xf>
    <xf numFmtId="3" fontId="31" fillId="0" borderId="176" xfId="0" applyNumberFormat="1" applyFont="1" applyBorder="1" applyAlignment="1">
      <alignment horizontal="center"/>
    </xf>
    <xf numFmtId="0" fontId="31" fillId="0" borderId="127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21" xfId="0" applyFont="1" applyBorder="1" applyAlignment="1">
      <alignment horizontal="center"/>
    </xf>
    <xf numFmtId="0" fontId="0" fillId="0" borderId="0" xfId="0" applyAlignment="1">
      <alignment horizontal="center"/>
    </xf>
    <xf numFmtId="164" fontId="31" fillId="0" borderId="211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3" fillId="0" borderId="1" xfId="37" applyNumberFormat="1" applyBorder="1" applyAlignment="1">
      <alignment horizontal="center" vertical="center"/>
    </xf>
    <xf numFmtId="164" fontId="3" fillId="0" borderId="155" xfId="37" applyNumberFormat="1" applyFont="1" applyBorder="1" applyAlignment="1">
      <alignment horizontal="center" vertical="center"/>
    </xf>
    <xf numFmtId="164" fontId="3" fillId="0" borderId="55" xfId="37" applyNumberFormat="1" applyFont="1" applyBorder="1" applyAlignment="1">
      <alignment horizontal="center" vertical="center"/>
    </xf>
    <xf numFmtId="164" fontId="3" fillId="0" borderId="43" xfId="37" applyNumberFormat="1" applyFont="1" applyBorder="1" applyAlignment="1">
      <alignment horizontal="center" vertical="center"/>
    </xf>
    <xf numFmtId="164" fontId="3" fillId="0" borderId="49" xfId="37" applyNumberFormat="1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69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71" xfId="0" applyNumberForma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3" fontId="37" fillId="0" borderId="0" xfId="0" applyNumberFormat="1" applyFont="1" applyBorder="1" applyAlignment="1">
      <alignment horizontal="right"/>
    </xf>
    <xf numFmtId="170" fontId="0" fillId="0" borderId="0" xfId="0" applyNumberFormat="1"/>
    <xf numFmtId="0" fontId="31" fillId="0" borderId="0" xfId="0" applyFont="1"/>
    <xf numFmtId="0" fontId="0" fillId="0" borderId="310" xfId="0" applyBorder="1" applyAlignment="1">
      <alignment horizontal="center"/>
    </xf>
    <xf numFmtId="164" fontId="31" fillId="0" borderId="310" xfId="0" applyNumberFormat="1" applyFont="1" applyBorder="1"/>
    <xf numFmtId="166" fontId="23" fillId="0" borderId="106" xfId="0" applyNumberFormat="1" applyFont="1" applyBorder="1" applyAlignment="1">
      <alignment horizontal="center"/>
    </xf>
    <xf numFmtId="164" fontId="37" fillId="0" borderId="311" xfId="0" applyNumberFormat="1" applyFont="1" applyBorder="1" applyAlignment="1">
      <alignment horizontal="right"/>
    </xf>
    <xf numFmtId="164" fontId="37" fillId="0" borderId="310" xfId="0" applyNumberFormat="1" applyFont="1" applyBorder="1" applyAlignment="1">
      <alignment horizontal="right"/>
    </xf>
    <xf numFmtId="164" fontId="37" fillId="0" borderId="312" xfId="0" applyNumberFormat="1" applyFont="1" applyBorder="1" applyAlignment="1">
      <alignment horizontal="right"/>
    </xf>
    <xf numFmtId="10" fontId="37" fillId="0" borderId="313" xfId="0" applyNumberFormat="1" applyFont="1" applyBorder="1" applyAlignment="1">
      <alignment horizontal="center"/>
    </xf>
    <xf numFmtId="3" fontId="37" fillId="0" borderId="314" xfId="0" applyNumberFormat="1" applyFont="1" applyBorder="1" applyAlignment="1">
      <alignment horizontal="right"/>
    </xf>
    <xf numFmtId="3" fontId="37" fillId="0" borderId="311" xfId="0" applyNumberFormat="1" applyFont="1" applyBorder="1" applyAlignment="1">
      <alignment horizontal="right"/>
    </xf>
    <xf numFmtId="3" fontId="37" fillId="0" borderId="310" xfId="0" applyNumberFormat="1" applyFont="1" applyBorder="1" applyAlignment="1">
      <alignment horizontal="right"/>
    </xf>
    <xf numFmtId="3" fontId="37" fillId="0" borderId="312" xfId="0" applyNumberFormat="1" applyFont="1" applyBorder="1" applyAlignment="1">
      <alignment horizontal="right"/>
    </xf>
    <xf numFmtId="164" fontId="31" fillId="0" borderId="38" xfId="0" applyNumberFormat="1" applyFont="1" applyBorder="1"/>
    <xf numFmtId="166" fontId="23" fillId="0" borderId="296" xfId="0" applyNumberFormat="1" applyFont="1" applyBorder="1" applyAlignment="1">
      <alignment horizontal="center"/>
    </xf>
    <xf numFmtId="164" fontId="37" fillId="0" borderId="315" xfId="0" applyNumberFormat="1" applyFont="1" applyBorder="1" applyAlignment="1">
      <alignment horizontal="right"/>
    </xf>
    <xf numFmtId="164" fontId="37" fillId="0" borderId="38" xfId="0" applyNumberFormat="1" applyFont="1" applyBorder="1" applyAlignment="1">
      <alignment horizontal="right"/>
    </xf>
    <xf numFmtId="164" fontId="37" fillId="0" borderId="316" xfId="0" applyNumberFormat="1" applyFont="1" applyBorder="1" applyAlignment="1">
      <alignment horizontal="right"/>
    </xf>
    <xf numFmtId="10" fontId="37" fillId="0" borderId="317" xfId="0" applyNumberFormat="1" applyFont="1" applyBorder="1" applyAlignment="1">
      <alignment horizontal="center"/>
    </xf>
    <xf numFmtId="3" fontId="37" fillId="0" borderId="318" xfId="0" applyNumberFormat="1" applyFont="1" applyBorder="1" applyAlignment="1">
      <alignment horizontal="right"/>
    </xf>
    <xf numFmtId="3" fontId="37" fillId="0" borderId="315" xfId="0" applyNumberFormat="1" applyFont="1" applyBorder="1" applyAlignment="1">
      <alignment horizontal="right"/>
    </xf>
    <xf numFmtId="3" fontId="37" fillId="0" borderId="38" xfId="0" applyNumberFormat="1" applyFont="1" applyBorder="1" applyAlignment="1">
      <alignment horizontal="right"/>
    </xf>
    <xf numFmtId="3" fontId="37" fillId="0" borderId="316" xfId="0" applyNumberFormat="1" applyFont="1" applyBorder="1" applyAlignment="1">
      <alignment horizontal="right"/>
    </xf>
    <xf numFmtId="170" fontId="0" fillId="0" borderId="256" xfId="0" applyNumberFormat="1" applyBorder="1"/>
    <xf numFmtId="170" fontId="0" fillId="0" borderId="0" xfId="0" applyNumberFormat="1" applyBorder="1"/>
    <xf numFmtId="170" fontId="0" fillId="0" borderId="319" xfId="0" applyNumberFormat="1" applyBorder="1"/>
    <xf numFmtId="0" fontId="3" fillId="0" borderId="214" xfId="37" applyBorder="1" applyAlignment="1">
      <alignment horizontal="center"/>
    </xf>
    <xf numFmtId="0" fontId="3" fillId="0" borderId="215" xfId="37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0" borderId="82" xfId="37" applyBorder="1" applyAlignment="1">
      <alignment horizontal="center" vertical="center"/>
    </xf>
    <xf numFmtId="0" fontId="3" fillId="0" borderId="212" xfId="37" applyBorder="1" applyAlignment="1">
      <alignment horizontal="center" vertical="center"/>
    </xf>
    <xf numFmtId="0" fontId="3" fillId="0" borderId="213" xfId="37" applyBorder="1" applyAlignment="1">
      <alignment horizontal="center" vertical="center"/>
    </xf>
    <xf numFmtId="0" fontId="3" fillId="0" borderId="200" xfId="37" applyBorder="1" applyAlignment="1">
      <alignment horizontal="center" vertical="center"/>
    </xf>
    <xf numFmtId="0" fontId="3" fillId="0" borderId="83" xfId="37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84" xfId="37" applyBorder="1" applyAlignment="1">
      <alignment horizontal="center" vertical="center"/>
    </xf>
    <xf numFmtId="0" fontId="4" fillId="0" borderId="0" xfId="37" applyFont="1" applyAlignment="1">
      <alignment horizontal="center"/>
    </xf>
    <xf numFmtId="0" fontId="5" fillId="0" borderId="0" xfId="37" applyFont="1" applyAlignment="1">
      <alignment horizontal="center"/>
    </xf>
    <xf numFmtId="0" fontId="7" fillId="0" borderId="0" xfId="37" applyFont="1" applyAlignment="1">
      <alignment horizontal="center"/>
    </xf>
    <xf numFmtId="0" fontId="0" fillId="33" borderId="200" xfId="0" applyFill="1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0" borderId="0" xfId="0" applyBorder="1" applyAlignment="1">
      <alignment horizontal="right"/>
    </xf>
    <xf numFmtId="165" fontId="31" fillId="0" borderId="217" xfId="0" applyNumberFormat="1" applyFont="1" applyBorder="1" applyAlignment="1">
      <alignment horizontal="center" vertical="center"/>
    </xf>
    <xf numFmtId="165" fontId="31" fillId="0" borderId="179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203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20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1" fillId="0" borderId="216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34" borderId="82" xfId="0" applyFill="1" applyBorder="1" applyAlignment="1">
      <alignment horizontal="center"/>
    </xf>
    <xf numFmtId="0" fontId="0" fillId="34" borderId="213" xfId="0" applyFill="1" applyBorder="1" applyAlignment="1">
      <alignment horizontal="center"/>
    </xf>
    <xf numFmtId="0" fontId="0" fillId="0" borderId="217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212" xfId="0" applyBorder="1" applyAlignment="1">
      <alignment horizontal="center" vertical="center" textRotation="90"/>
    </xf>
    <xf numFmtId="0" fontId="0" fillId="0" borderId="179" xfId="0" applyBorder="1" applyAlignment="1">
      <alignment horizontal="center" vertical="center" textRotation="90"/>
    </xf>
    <xf numFmtId="0" fontId="0" fillId="0" borderId="118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112" xfId="0" applyBorder="1" applyAlignment="1">
      <alignment horizontal="center"/>
    </xf>
    <xf numFmtId="0" fontId="0" fillId="0" borderId="148" xfId="0" applyBorder="1" applyAlignment="1">
      <alignment horizontal="center"/>
    </xf>
    <xf numFmtId="0" fontId="0" fillId="34" borderId="212" xfId="0" applyFill="1" applyBorder="1" applyAlignment="1">
      <alignment horizontal="center"/>
    </xf>
    <xf numFmtId="0" fontId="0" fillId="0" borderId="216" xfId="0" applyBorder="1" applyAlignment="1">
      <alignment horizontal="center"/>
    </xf>
    <xf numFmtId="2" fontId="31" fillId="0" borderId="217" xfId="0" applyNumberFormat="1" applyFont="1" applyBorder="1" applyAlignment="1">
      <alignment horizontal="center" vertical="center"/>
    </xf>
    <xf numFmtId="2" fontId="31" fillId="0" borderId="179" xfId="0" applyNumberFormat="1" applyFont="1" applyBorder="1" applyAlignment="1">
      <alignment horizontal="center" vertical="center"/>
    </xf>
    <xf numFmtId="165" fontId="31" fillId="0" borderId="218" xfId="0" applyNumberFormat="1" applyFont="1" applyBorder="1" applyAlignment="1">
      <alignment horizontal="center" vertical="center"/>
    </xf>
    <xf numFmtId="165" fontId="31" fillId="0" borderId="219" xfId="0" applyNumberFormat="1" applyFont="1" applyBorder="1" applyAlignment="1">
      <alignment horizontal="center" vertical="center"/>
    </xf>
    <xf numFmtId="0" fontId="0" fillId="0" borderId="229" xfId="0" applyBorder="1" applyAlignment="1">
      <alignment horizontal="center"/>
    </xf>
    <xf numFmtId="0" fontId="0" fillId="0" borderId="230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27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209" xfId="0" applyBorder="1" applyAlignment="1">
      <alignment horizontal="center"/>
    </xf>
    <xf numFmtId="165" fontId="31" fillId="0" borderId="132" xfId="0" applyNumberFormat="1" applyFont="1" applyBorder="1" applyAlignment="1">
      <alignment horizontal="center" vertical="center"/>
    </xf>
    <xf numFmtId="165" fontId="31" fillId="0" borderId="59" xfId="0" applyNumberFormat="1" applyFont="1" applyBorder="1" applyAlignment="1">
      <alignment horizontal="center" vertical="center"/>
    </xf>
    <xf numFmtId="165" fontId="31" fillId="0" borderId="81" xfId="0" applyNumberFormat="1" applyFont="1" applyBorder="1" applyAlignment="1">
      <alignment horizontal="center" vertical="center"/>
    </xf>
    <xf numFmtId="165" fontId="31" fillId="0" borderId="120" xfId="0" applyNumberFormat="1" applyFont="1" applyBorder="1" applyAlignment="1">
      <alignment horizontal="center" vertical="center"/>
    </xf>
    <xf numFmtId="165" fontId="31" fillId="0" borderId="58" xfId="0" applyNumberFormat="1" applyFont="1" applyBorder="1" applyAlignment="1">
      <alignment horizontal="center" vertical="center"/>
    </xf>
    <xf numFmtId="165" fontId="31" fillId="0" borderId="110" xfId="0" applyNumberFormat="1" applyFont="1" applyBorder="1" applyAlignment="1">
      <alignment horizontal="center" vertical="center"/>
    </xf>
    <xf numFmtId="1" fontId="37" fillId="0" borderId="59" xfId="0" applyNumberFormat="1" applyFont="1" applyBorder="1" applyAlignment="1">
      <alignment horizontal="center" vertical="center"/>
    </xf>
    <xf numFmtId="1" fontId="37" fillId="0" borderId="81" xfId="0" applyNumberFormat="1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154" xfId="0" applyBorder="1" applyAlignment="1">
      <alignment horizontal="center" vertical="center"/>
    </xf>
    <xf numFmtId="0" fontId="0" fillId="0" borderId="31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96" xfId="0" applyBorder="1" applyAlignment="1">
      <alignment horizontal="center" vertical="center" textRotation="90"/>
    </xf>
    <xf numFmtId="0" fontId="31" fillId="0" borderId="142" xfId="0" applyFont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/>
    </xf>
    <xf numFmtId="0" fontId="0" fillId="0" borderId="222" xfId="0" applyFill="1" applyBorder="1" applyAlignment="1">
      <alignment horizontal="center" vertical="center"/>
    </xf>
    <xf numFmtId="0" fontId="0" fillId="0" borderId="168" xfId="0" applyBorder="1"/>
    <xf numFmtId="0" fontId="0" fillId="0" borderId="223" xfId="0" applyBorder="1"/>
    <xf numFmtId="0" fontId="31" fillId="0" borderId="3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97" xfId="0" applyFont="1" applyBorder="1" applyAlignment="1">
      <alignment horizontal="center" vertical="center"/>
    </xf>
    <xf numFmtId="0" fontId="0" fillId="0" borderId="101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31" fillId="0" borderId="119" xfId="0" applyFont="1" applyBorder="1" applyAlignment="1">
      <alignment horizontal="center" vertical="center"/>
    </xf>
    <xf numFmtId="0" fontId="31" fillId="0" borderId="68" xfId="0" applyFont="1" applyBorder="1" applyAlignment="1">
      <alignment horizontal="center" vertical="center"/>
    </xf>
    <xf numFmtId="0" fontId="31" fillId="0" borderId="114" xfId="0" applyFont="1" applyBorder="1" applyAlignment="1">
      <alignment horizontal="center" vertical="center"/>
    </xf>
    <xf numFmtId="2" fontId="31" fillId="0" borderId="132" xfId="0" applyNumberFormat="1" applyFont="1" applyBorder="1" applyAlignment="1">
      <alignment horizontal="center" vertical="center"/>
    </xf>
    <xf numFmtId="2" fontId="31" fillId="0" borderId="59" xfId="0" applyNumberFormat="1" applyFont="1" applyBorder="1" applyAlignment="1">
      <alignment horizontal="center" vertical="center"/>
    </xf>
    <xf numFmtId="2" fontId="31" fillId="0" borderId="81" xfId="0" applyNumberFormat="1" applyFont="1" applyBorder="1" applyAlignment="1">
      <alignment horizontal="center" vertical="center"/>
    </xf>
    <xf numFmtId="165" fontId="31" fillId="0" borderId="31" xfId="0" applyNumberFormat="1" applyFont="1" applyBorder="1" applyAlignment="1">
      <alignment horizontal="center" vertical="center"/>
    </xf>
    <xf numFmtId="165" fontId="31" fillId="0" borderId="10" xfId="0" applyNumberFormat="1" applyFont="1" applyBorder="1" applyAlignment="1">
      <alignment horizontal="center" vertical="center"/>
    </xf>
    <xf numFmtId="165" fontId="31" fillId="0" borderId="9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174" xfId="0" applyFont="1" applyBorder="1" applyAlignment="1">
      <alignment horizontal="center" vertical="center"/>
    </xf>
    <xf numFmtId="0" fontId="0" fillId="0" borderId="82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54" xfId="0" applyBorder="1" applyAlignment="1">
      <alignment horizontal="center" vertical="center" wrapText="1"/>
    </xf>
    <xf numFmtId="0" fontId="0" fillId="0" borderId="273" xfId="0" applyBorder="1" applyAlignment="1">
      <alignment horizontal="center" vertical="center" wrapText="1"/>
    </xf>
    <xf numFmtId="0" fontId="0" fillId="0" borderId="288" xfId="0" applyFill="1" applyBorder="1" applyAlignment="1">
      <alignment horizontal="center"/>
    </xf>
    <xf numFmtId="0" fontId="0" fillId="0" borderId="261" xfId="0" applyFill="1" applyBorder="1" applyAlignment="1">
      <alignment horizontal="center"/>
    </xf>
    <xf numFmtId="0" fontId="0" fillId="0" borderId="264" xfId="0" applyFill="1" applyBorder="1" applyAlignment="1">
      <alignment horizontal="center"/>
    </xf>
    <xf numFmtId="0" fontId="0" fillId="0" borderId="177" xfId="0" applyFill="1" applyBorder="1" applyAlignment="1">
      <alignment horizontal="center"/>
    </xf>
    <xf numFmtId="0" fontId="29" fillId="0" borderId="111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0" fontId="29" fillId="0" borderId="226" xfId="0" applyFont="1" applyBorder="1" applyAlignment="1">
      <alignment horizontal="center" vertical="center"/>
    </xf>
    <xf numFmtId="0" fontId="0" fillId="0" borderId="151" xfId="0" applyBorder="1" applyAlignment="1">
      <alignment horizontal="center" vertical="center"/>
    </xf>
    <xf numFmtId="0" fontId="0" fillId="0" borderId="181" xfId="0" applyFont="1" applyBorder="1" applyAlignment="1">
      <alignment horizontal="center" vertical="center"/>
    </xf>
    <xf numFmtId="0" fontId="0" fillId="0" borderId="289" xfId="0" applyFont="1" applyBorder="1" applyAlignment="1">
      <alignment horizontal="center" vertical="center"/>
    </xf>
    <xf numFmtId="0" fontId="0" fillId="0" borderId="232" xfId="0" applyFill="1" applyBorder="1" applyAlignment="1">
      <alignment horizontal="center"/>
    </xf>
    <xf numFmtId="0" fontId="0" fillId="0" borderId="83" xfId="0" applyFill="1" applyBorder="1" applyAlignment="1">
      <alignment horizontal="center"/>
    </xf>
    <xf numFmtId="0" fontId="0" fillId="0" borderId="252" xfId="0" applyFill="1" applyBorder="1" applyAlignment="1">
      <alignment horizontal="center"/>
    </xf>
    <xf numFmtId="0" fontId="0" fillId="51" borderId="254" xfId="0" applyFill="1" applyBorder="1" applyAlignment="1">
      <alignment horizontal="center"/>
    </xf>
    <xf numFmtId="0" fontId="0" fillId="51" borderId="86" xfId="0" applyFill="1" applyBorder="1" applyAlignment="1">
      <alignment horizontal="center"/>
    </xf>
    <xf numFmtId="0" fontId="0" fillId="51" borderId="262" xfId="0" applyFill="1" applyBorder="1" applyAlignment="1">
      <alignment horizontal="center"/>
    </xf>
    <xf numFmtId="0" fontId="0" fillId="0" borderId="186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52" borderId="232" xfId="0" applyFill="1" applyBorder="1" applyAlignment="1">
      <alignment horizontal="center"/>
    </xf>
    <xf numFmtId="0" fontId="0" fillId="52" borderId="83" xfId="0" applyFill="1" applyBorder="1" applyAlignment="1">
      <alignment horizontal="center"/>
    </xf>
    <xf numFmtId="0" fontId="0" fillId="52" borderId="229" xfId="0" applyFill="1" applyBorder="1" applyAlignment="1">
      <alignment horizontal="center"/>
    </xf>
    <xf numFmtId="0" fontId="0" fillId="0" borderId="254" xfId="0" applyBorder="1" applyAlignment="1">
      <alignment horizontal="center" vertical="center"/>
    </xf>
    <xf numFmtId="0" fontId="0" fillId="0" borderId="264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61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49" xfId="0" applyFont="1" applyBorder="1" applyAlignment="1">
      <alignment horizontal="center" vertical="center"/>
    </xf>
    <xf numFmtId="0" fontId="0" fillId="0" borderId="180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0" fillId="0" borderId="285" xfId="0" applyFill="1" applyBorder="1" applyAlignment="1">
      <alignment horizontal="center" wrapText="1"/>
    </xf>
    <xf numFmtId="0" fontId="0" fillId="0" borderId="286" xfId="0" applyFont="1" applyFill="1" applyBorder="1" applyAlignment="1">
      <alignment horizontal="center" wrapText="1"/>
    </xf>
    <xf numFmtId="0" fontId="0" fillId="0" borderId="25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93" xfId="0" applyBorder="1" applyAlignment="1">
      <alignment horizontal="center"/>
    </xf>
    <xf numFmtId="0" fontId="48" fillId="0" borderId="26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272" xfId="0" applyFont="1" applyBorder="1" applyAlignment="1">
      <alignment horizontal="center" vertical="center"/>
    </xf>
    <xf numFmtId="0" fontId="48" fillId="0" borderId="204" xfId="0" applyFont="1" applyBorder="1" applyAlignment="1">
      <alignment horizontal="center" vertical="center"/>
    </xf>
    <xf numFmtId="0" fontId="48" fillId="0" borderId="93" xfId="0" applyFont="1" applyBorder="1" applyAlignment="1">
      <alignment horizontal="center" vertical="center"/>
    </xf>
    <xf numFmtId="0" fontId="48" fillId="0" borderId="271" xfId="0" applyFont="1" applyBorder="1" applyAlignment="1">
      <alignment horizontal="center" vertical="center"/>
    </xf>
    <xf numFmtId="0" fontId="3" fillId="0" borderId="111" xfId="37" applyBorder="1" applyAlignment="1">
      <alignment horizontal="center" vertical="center" wrapText="1"/>
    </xf>
    <xf numFmtId="0" fontId="3" fillId="0" borderId="225" xfId="37" applyBorder="1" applyAlignment="1">
      <alignment horizontal="center" vertical="center" wrapText="1"/>
    </xf>
    <xf numFmtId="0" fontId="3" fillId="0" borderId="101" xfId="37" applyBorder="1" applyAlignment="1">
      <alignment horizontal="center" vertical="center" wrapText="1"/>
    </xf>
    <xf numFmtId="0" fontId="31" fillId="0" borderId="152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23" fillId="0" borderId="153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80" xfId="0" applyFont="1" applyBorder="1" applyAlignment="1">
      <alignment horizontal="center" vertical="center"/>
    </xf>
    <xf numFmtId="0" fontId="0" fillId="0" borderId="182" xfId="0" applyFont="1" applyBorder="1" applyAlignment="1">
      <alignment horizontal="center" vertical="center"/>
    </xf>
    <xf numFmtId="167" fontId="37" fillId="0" borderId="222" xfId="0" applyNumberFormat="1" applyFont="1" applyFill="1" applyBorder="1" applyAlignment="1">
      <alignment horizontal="center" vertical="center"/>
    </xf>
    <xf numFmtId="167" fontId="37" fillId="0" borderId="241" xfId="0" applyNumberFormat="1" applyFont="1" applyFill="1" applyBorder="1" applyAlignment="1">
      <alignment horizontal="center" vertical="center"/>
    </xf>
    <xf numFmtId="167" fontId="37" fillId="0" borderId="111" xfId="0" applyNumberFormat="1" applyFont="1" applyFill="1" applyBorder="1" applyAlignment="1">
      <alignment horizontal="center" vertical="center"/>
    </xf>
    <xf numFmtId="167" fontId="37" fillId="0" borderId="158" xfId="0" applyNumberFormat="1" applyFont="1" applyFill="1" applyBorder="1" applyAlignment="1">
      <alignment horizontal="center" vertical="center"/>
    </xf>
    <xf numFmtId="167" fontId="37" fillId="0" borderId="265" xfId="0" applyNumberFormat="1" applyFont="1" applyFill="1" applyBorder="1" applyAlignment="1">
      <alignment horizontal="center" vertical="center"/>
    </xf>
    <xf numFmtId="167" fontId="37" fillId="0" borderId="287" xfId="0" applyNumberFormat="1" applyFont="1" applyFill="1" applyBorder="1" applyAlignment="1">
      <alignment horizontal="center" vertical="center"/>
    </xf>
    <xf numFmtId="0" fontId="0" fillId="0" borderId="118" xfId="0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0" borderId="288" xfId="0" applyBorder="1" applyAlignment="1">
      <alignment horizontal="center" vertical="center" wrapText="1"/>
    </xf>
    <xf numFmtId="0" fontId="0" fillId="0" borderId="261" xfId="0" applyBorder="1" applyAlignment="1">
      <alignment horizontal="center" vertical="center" wrapText="1"/>
    </xf>
    <xf numFmtId="0" fontId="0" fillId="0" borderId="127" xfId="0" applyBorder="1" applyAlignment="1">
      <alignment horizontal="center" vertical="center" wrapText="1"/>
    </xf>
    <xf numFmtId="0" fontId="23" fillId="0" borderId="110" xfId="0" applyFont="1" applyBorder="1" applyAlignment="1">
      <alignment horizontal="center" vertical="center"/>
    </xf>
    <xf numFmtId="0" fontId="23" fillId="0" borderId="139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51" xfId="0" applyBorder="1" applyAlignment="1">
      <alignment horizontal="center"/>
    </xf>
    <xf numFmtId="0" fontId="48" fillId="0" borderId="263" xfId="0" applyFont="1" applyBorder="1" applyAlignment="1">
      <alignment horizontal="center" vertical="center"/>
    </xf>
    <xf numFmtId="0" fontId="48" fillId="0" borderId="184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8" fillId="0" borderId="268" xfId="0" applyFont="1" applyBorder="1" applyAlignment="1">
      <alignment horizontal="center" vertical="center"/>
    </xf>
    <xf numFmtId="0" fontId="29" fillId="0" borderId="151" xfId="0" applyFont="1" applyFill="1" applyBorder="1" applyAlignment="1">
      <alignment horizontal="center" vertical="center"/>
    </xf>
    <xf numFmtId="0" fontId="29" fillId="0" borderId="181" xfId="0" applyFont="1" applyFill="1" applyBorder="1" applyAlignment="1">
      <alignment horizontal="center" vertical="center"/>
    </xf>
    <xf numFmtId="0" fontId="29" fillId="0" borderId="40" xfId="0" applyFont="1" applyFill="1" applyBorder="1" applyAlignment="1">
      <alignment horizontal="center" vertical="center"/>
    </xf>
    <xf numFmtId="0" fontId="23" fillId="0" borderId="251" xfId="0" applyFont="1" applyBorder="1" applyAlignment="1">
      <alignment horizontal="center" vertical="center"/>
    </xf>
    <xf numFmtId="0" fontId="23" fillId="0" borderId="269" xfId="0" applyFont="1" applyBorder="1" applyAlignment="1">
      <alignment horizontal="center" vertical="center"/>
    </xf>
    <xf numFmtId="0" fontId="49" fillId="0" borderId="91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9" fillId="0" borderId="270" xfId="0" applyFont="1" applyBorder="1" applyAlignment="1">
      <alignment horizontal="center" vertical="center"/>
    </xf>
    <xf numFmtId="0" fontId="49" fillId="0" borderId="92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49" fillId="0" borderId="271" xfId="0" applyFont="1" applyBorder="1" applyAlignment="1">
      <alignment horizontal="center" vertical="center"/>
    </xf>
    <xf numFmtId="0" fontId="50" fillId="0" borderId="89" xfId="0" applyFont="1" applyBorder="1" applyAlignment="1">
      <alignment horizontal="center" vertical="center"/>
    </xf>
    <xf numFmtId="0" fontId="29" fillId="0" borderId="90" xfId="0" applyFont="1" applyBorder="1" applyAlignment="1">
      <alignment horizontal="center" vertical="center"/>
    </xf>
    <xf numFmtId="0" fontId="29" fillId="0" borderId="272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70" xfId="0" applyFont="1" applyBorder="1" applyAlignment="1">
      <alignment horizontal="center" vertical="center"/>
    </xf>
    <xf numFmtId="0" fontId="29" fillId="0" borderId="92" xfId="0" applyFont="1" applyBorder="1" applyAlignment="1">
      <alignment horizontal="center" vertical="center"/>
    </xf>
    <xf numFmtId="0" fontId="29" fillId="0" borderId="93" xfId="0" applyFont="1" applyBorder="1" applyAlignment="1">
      <alignment horizontal="center" vertical="center"/>
    </xf>
    <xf numFmtId="0" fontId="29" fillId="0" borderId="271" xfId="0" applyFont="1" applyBorder="1" applyAlignment="1">
      <alignment horizontal="center" vertical="center"/>
    </xf>
    <xf numFmtId="0" fontId="29" fillId="0" borderId="230" xfId="0" applyFont="1" applyBorder="1" applyAlignment="1">
      <alignment horizontal="center" vertical="center"/>
    </xf>
    <xf numFmtId="0" fontId="29" fillId="0" borderId="251" xfId="0" applyFont="1" applyBorder="1" applyAlignment="1">
      <alignment horizontal="center" vertical="center"/>
    </xf>
    <xf numFmtId="0" fontId="29" fillId="0" borderId="89" xfId="0" applyFont="1" applyBorder="1" applyAlignment="1">
      <alignment horizontal="center" vertical="center"/>
    </xf>
    <xf numFmtId="0" fontId="29" fillId="0" borderId="273" xfId="0" applyFont="1" applyBorder="1" applyAlignment="1">
      <alignment horizontal="center" vertical="center"/>
    </xf>
    <xf numFmtId="0" fontId="29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9" fillId="0" borderId="276" xfId="0" applyFont="1" applyBorder="1" applyAlignment="1">
      <alignment horizontal="center" vertical="center"/>
    </xf>
    <xf numFmtId="0" fontId="29" fillId="0" borderId="277" xfId="0" applyFont="1" applyBorder="1" applyAlignment="1">
      <alignment horizontal="center" vertical="center"/>
    </xf>
    <xf numFmtId="0" fontId="29" fillId="0" borderId="278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0" fontId="29" fillId="0" borderId="275" xfId="0" applyFont="1" applyBorder="1" applyAlignment="1">
      <alignment horizontal="center" vertical="center"/>
    </xf>
    <xf numFmtId="0" fontId="29" fillId="0" borderId="139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23" fillId="0" borderId="279" xfId="0" applyFont="1" applyBorder="1" applyAlignment="1">
      <alignment horizontal="center" vertical="center"/>
    </xf>
    <xf numFmtId="0" fontId="23" fillId="0" borderId="172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88" xfId="0" applyFont="1" applyBorder="1" applyAlignment="1">
      <alignment horizontal="center" vertical="center"/>
    </xf>
    <xf numFmtId="0" fontId="23" fillId="0" borderId="278" xfId="0" applyFont="1" applyBorder="1" applyAlignment="1">
      <alignment horizontal="center" vertical="center"/>
    </xf>
    <xf numFmtId="0" fontId="23" fillId="0" borderId="189" xfId="0" applyFont="1" applyBorder="1" applyAlignment="1">
      <alignment horizontal="center" vertical="center"/>
    </xf>
    <xf numFmtId="0" fontId="23" fillId="0" borderId="280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45" xfId="0" applyFont="1" applyBorder="1" applyAlignment="1">
      <alignment horizontal="center" vertical="center"/>
    </xf>
    <xf numFmtId="0" fontId="48" fillId="0" borderId="270" xfId="0" applyFont="1" applyBorder="1" applyAlignment="1">
      <alignment horizontal="center" vertical="center"/>
    </xf>
    <xf numFmtId="0" fontId="42" fillId="0" borderId="231" xfId="0" applyFont="1" applyBorder="1" applyAlignment="1">
      <alignment horizontal="center" vertical="center"/>
    </xf>
    <xf numFmtId="0" fontId="42" fillId="0" borderId="251" xfId="0" applyFont="1" applyBorder="1" applyAlignment="1">
      <alignment horizontal="center" vertical="center"/>
    </xf>
    <xf numFmtId="0" fontId="42" fillId="0" borderId="128" xfId="0" applyFont="1" applyBorder="1" applyAlignment="1">
      <alignment horizontal="center" vertical="center"/>
    </xf>
    <xf numFmtId="0" fontId="29" fillId="0" borderId="280" xfId="0" applyFont="1" applyBorder="1" applyAlignment="1">
      <alignment horizontal="center" vertical="center"/>
    </xf>
    <xf numFmtId="0" fontId="0" fillId="0" borderId="251" xfId="0" applyBorder="1" applyAlignment="1">
      <alignment horizontal="center" wrapText="1"/>
    </xf>
    <xf numFmtId="0" fontId="0" fillId="0" borderId="128" xfId="0" applyBorder="1" applyAlignment="1">
      <alignment horizontal="center"/>
    </xf>
    <xf numFmtId="0" fontId="29" fillId="0" borderId="76" xfId="0" applyFont="1" applyBorder="1" applyAlignment="1">
      <alignment horizontal="center" vertical="center"/>
    </xf>
    <xf numFmtId="0" fontId="29" fillId="0" borderId="77" xfId="0" applyFont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3" fillId="0" borderId="249" xfId="0" applyFont="1" applyBorder="1" applyAlignment="1">
      <alignment horizontal="center" vertical="center"/>
    </xf>
    <xf numFmtId="0" fontId="23" fillId="0" borderId="190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66" xfId="0" applyFont="1" applyBorder="1" applyAlignment="1">
      <alignment horizontal="center" vertical="center"/>
    </xf>
    <xf numFmtId="0" fontId="29" fillId="0" borderId="231" xfId="0" applyFont="1" applyBorder="1" applyAlignment="1">
      <alignment horizontal="center" vertical="center"/>
    </xf>
    <xf numFmtId="0" fontId="29" fillId="0" borderId="128" xfId="0" applyFont="1" applyBorder="1" applyAlignment="1">
      <alignment horizontal="center" vertical="center"/>
    </xf>
    <xf numFmtId="0" fontId="29" fillId="0" borderId="153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0" fontId="23" fillId="0" borderId="128" xfId="0" applyFont="1" applyBorder="1" applyAlignment="1">
      <alignment horizontal="center" vertical="center"/>
    </xf>
    <xf numFmtId="0" fontId="23" fillId="0" borderId="264" xfId="0" applyFont="1" applyBorder="1" applyAlignment="1">
      <alignment horizontal="center" vertical="center"/>
    </xf>
    <xf numFmtId="0" fontId="23" fillId="0" borderId="261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64" fontId="3" fillId="0" borderId="253" xfId="37" applyNumberFormat="1" applyBorder="1" applyAlignment="1">
      <alignment horizontal="center" vertical="center"/>
    </xf>
    <xf numFmtId="164" fontId="3" fillId="0" borderId="40" xfId="37" applyNumberForma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01" xfId="0" applyFont="1" applyBorder="1" applyAlignment="1">
      <alignment horizontal="center" vertical="center"/>
    </xf>
    <xf numFmtId="0" fontId="29" fillId="0" borderId="281" xfId="0" applyFont="1" applyBorder="1" applyAlignment="1">
      <alignment horizontal="center" vertical="center"/>
    </xf>
    <xf numFmtId="0" fontId="29" fillId="0" borderId="282" xfId="0" applyFont="1" applyBorder="1" applyAlignment="1">
      <alignment horizontal="center" vertical="center"/>
    </xf>
    <xf numFmtId="0" fontId="3" fillId="0" borderId="180" xfId="37" applyBorder="1" applyAlignment="1">
      <alignment horizontal="center" vertical="center"/>
    </xf>
    <xf numFmtId="0" fontId="3" fillId="0" borderId="149" xfId="37" applyBorder="1" applyAlignment="1">
      <alignment horizontal="center" vertical="center"/>
    </xf>
    <xf numFmtId="164" fontId="0" fillId="0" borderId="259" xfId="0" applyNumberFormat="1" applyBorder="1" applyAlignment="1">
      <alignment horizontal="center" vertical="center"/>
    </xf>
    <xf numFmtId="164" fontId="0" fillId="0" borderId="86" xfId="0" applyNumberFormat="1" applyBorder="1" applyAlignment="1">
      <alignment horizontal="center" vertical="center"/>
    </xf>
    <xf numFmtId="164" fontId="0" fillId="0" borderId="125" xfId="0" applyNumberFormat="1" applyBorder="1" applyAlignment="1">
      <alignment horizontal="center" vertical="center"/>
    </xf>
    <xf numFmtId="164" fontId="0" fillId="0" borderId="204" xfId="0" applyNumberFormat="1" applyBorder="1" applyAlignment="1">
      <alignment horizontal="center" vertical="center"/>
    </xf>
    <xf numFmtId="164" fontId="0" fillId="0" borderId="93" xfId="0" applyNumberFormat="1" applyBorder="1" applyAlignment="1">
      <alignment horizontal="center" vertical="center"/>
    </xf>
    <xf numFmtId="164" fontId="0" fillId="0" borderId="271" xfId="0" applyNumberFormat="1" applyBorder="1" applyAlignment="1">
      <alignment horizontal="center" vertical="center"/>
    </xf>
    <xf numFmtId="0" fontId="29" fillId="0" borderId="149" xfId="0" applyFont="1" applyFill="1" applyBorder="1" applyAlignment="1">
      <alignment horizontal="center" wrapText="1"/>
    </xf>
    <xf numFmtId="0" fontId="29" fillId="0" borderId="162" xfId="0" applyFont="1" applyFill="1" applyBorder="1" applyAlignment="1">
      <alignment horizontal="center" wrapText="1"/>
    </xf>
    <xf numFmtId="0" fontId="0" fillId="0" borderId="283" xfId="0" applyBorder="1" applyAlignment="1">
      <alignment horizontal="center"/>
    </xf>
    <xf numFmtId="0" fontId="0" fillId="0" borderId="284" xfId="0" applyBorder="1" applyAlignment="1">
      <alignment horizontal="center"/>
    </xf>
    <xf numFmtId="0" fontId="0" fillId="0" borderId="272" xfId="0" applyFill="1" applyBorder="1" applyAlignment="1">
      <alignment horizontal="center" wrapText="1"/>
    </xf>
    <xf numFmtId="0" fontId="0" fillId="0" borderId="221" xfId="0" applyFill="1" applyBorder="1" applyAlignment="1">
      <alignment horizontal="center" wrapText="1"/>
    </xf>
    <xf numFmtId="0" fontId="48" fillId="0" borderId="89" xfId="0" applyFont="1" applyBorder="1" applyAlignment="1">
      <alignment horizontal="center" vertical="center"/>
    </xf>
    <xf numFmtId="0" fontId="48" fillId="0" borderId="92" xfId="0" applyFont="1" applyBorder="1" applyAlignment="1">
      <alignment horizontal="center" vertical="center"/>
    </xf>
    <xf numFmtId="0" fontId="48" fillId="0" borderId="258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8" xfId="0" applyBorder="1" applyAlignment="1">
      <alignment horizontal="center" vertical="center"/>
    </xf>
    <xf numFmtId="0" fontId="0" fillId="0" borderId="265" xfId="0" applyBorder="1" applyAlignment="1">
      <alignment horizontal="center" vertical="center"/>
    </xf>
    <xf numFmtId="0" fontId="0" fillId="0" borderId="261" xfId="0" applyBorder="1" applyAlignment="1">
      <alignment horizontal="center" wrapText="1"/>
    </xf>
    <xf numFmtId="0" fontId="0" fillId="0" borderId="261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80" xfId="0" applyBorder="1" applyAlignment="1">
      <alignment horizontal="center" wrapText="1"/>
    </xf>
    <xf numFmtId="0" fontId="0" fillId="0" borderId="40" xfId="0" applyBorder="1" applyAlignment="1">
      <alignment horizontal="center"/>
    </xf>
    <xf numFmtId="0" fontId="0" fillId="0" borderId="241" xfId="0" applyBorder="1" applyAlignment="1">
      <alignment horizontal="center" vertical="center" wrapText="1"/>
    </xf>
    <xf numFmtId="0" fontId="0" fillId="0" borderId="265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6" xfId="0" applyBorder="1" applyAlignment="1">
      <alignment horizontal="center" wrapText="1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 wrapText="1"/>
    </xf>
    <xf numFmtId="167" fontId="37" fillId="0" borderId="254" xfId="0" applyNumberFormat="1" applyFont="1" applyFill="1" applyBorder="1" applyAlignment="1">
      <alignment horizontal="center" vertical="center"/>
    </xf>
    <xf numFmtId="167" fontId="37" fillId="0" borderId="264" xfId="0" applyNumberFormat="1" applyFont="1" applyFill="1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37" fillId="0" borderId="125" xfId="0" applyNumberFormat="1" applyFont="1" applyFill="1" applyBorder="1" applyAlignment="1">
      <alignment horizontal="center" vertical="center"/>
    </xf>
    <xf numFmtId="0" fontId="37" fillId="0" borderId="241" xfId="0" applyNumberFormat="1" applyFont="1" applyFill="1" applyBorder="1" applyAlignment="1">
      <alignment horizontal="center" vertical="center"/>
    </xf>
    <xf numFmtId="0" fontId="37" fillId="0" borderId="127" xfId="0" applyNumberFormat="1" applyFont="1" applyFill="1" applyBorder="1" applyAlignment="1">
      <alignment horizontal="center" vertical="center"/>
    </xf>
    <xf numFmtId="0" fontId="37" fillId="0" borderId="265" xfId="0" applyNumberFormat="1" applyFont="1" applyFill="1" applyBorder="1" applyAlignment="1">
      <alignment horizontal="center" vertical="center"/>
    </xf>
    <xf numFmtId="0" fontId="0" fillId="50" borderId="232" xfId="0" applyFill="1" applyBorder="1" applyAlignment="1">
      <alignment horizontal="center"/>
    </xf>
    <xf numFmtId="0" fontId="0" fillId="50" borderId="83" xfId="0" applyFill="1" applyBorder="1" applyAlignment="1">
      <alignment horizontal="center"/>
    </xf>
    <xf numFmtId="0" fontId="0" fillId="50" borderId="229" xfId="0" applyFill="1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5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48" fillId="0" borderId="255" xfId="0" applyFont="1" applyBorder="1" applyAlignment="1">
      <alignment horizontal="center" vertical="center"/>
    </xf>
    <xf numFmtId="0" fontId="48" fillId="0" borderId="256" xfId="0" applyFont="1" applyBorder="1" applyAlignment="1">
      <alignment horizontal="center" vertical="center"/>
    </xf>
    <xf numFmtId="0" fontId="48" fillId="0" borderId="257" xfId="0" applyFont="1" applyBorder="1" applyAlignment="1">
      <alignment horizontal="center" vertical="center"/>
    </xf>
    <xf numFmtId="0" fontId="0" fillId="49" borderId="259" xfId="0" applyFill="1" applyBorder="1" applyAlignment="1">
      <alignment horizontal="center" vertical="center"/>
    </xf>
    <xf numFmtId="0" fontId="0" fillId="49" borderId="86" xfId="0" applyFill="1" applyBorder="1" applyAlignment="1">
      <alignment horizontal="center" vertical="center"/>
    </xf>
    <xf numFmtId="0" fontId="0" fillId="49" borderId="125" xfId="0" applyFill="1" applyBorder="1" applyAlignment="1">
      <alignment horizontal="center" vertical="center"/>
    </xf>
    <xf numFmtId="0" fontId="0" fillId="0" borderId="200" xfId="0" applyFill="1" applyBorder="1" applyAlignment="1">
      <alignment horizontal="center" vertical="center"/>
    </xf>
    <xf numFmtId="0" fontId="0" fillId="0" borderId="83" xfId="0" applyFill="1" applyBorder="1" applyAlignment="1">
      <alignment horizontal="center" vertical="center"/>
    </xf>
    <xf numFmtId="0" fontId="0" fillId="0" borderId="229" xfId="0" applyFill="1" applyBorder="1" applyAlignment="1">
      <alignment horizontal="center" vertical="center"/>
    </xf>
    <xf numFmtId="0" fontId="0" fillId="0" borderId="259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104" xfId="0" applyFont="1" applyBorder="1" applyAlignment="1">
      <alignment horizontal="center" vertical="center"/>
    </xf>
    <xf numFmtId="0" fontId="0" fillId="0" borderId="260" xfId="0" applyFont="1" applyBorder="1" applyAlignment="1">
      <alignment horizontal="center" vertical="center"/>
    </xf>
    <xf numFmtId="0" fontId="0" fillId="0" borderId="261" xfId="0" applyFont="1" applyBorder="1" applyAlignment="1">
      <alignment horizontal="center" vertical="center"/>
    </xf>
    <xf numFmtId="0" fontId="0" fillId="0" borderId="177" xfId="0" applyFont="1" applyBorder="1" applyAlignment="1">
      <alignment horizontal="center" vertical="center"/>
    </xf>
    <xf numFmtId="0" fontId="0" fillId="49" borderId="254" xfId="0" applyFill="1" applyBorder="1" applyAlignment="1">
      <alignment horizontal="center" vertical="center" wrapText="1"/>
    </xf>
    <xf numFmtId="0" fontId="0" fillId="49" borderId="86" xfId="0" applyFill="1" applyBorder="1" applyAlignment="1">
      <alignment horizontal="center" vertical="center" wrapText="1"/>
    </xf>
    <xf numFmtId="0" fontId="0" fillId="49" borderId="262" xfId="0" applyFill="1" applyBorder="1" applyAlignment="1">
      <alignment horizontal="center" vertical="center" wrapText="1"/>
    </xf>
    <xf numFmtId="0" fontId="0" fillId="47" borderId="82" xfId="0" applyFill="1" applyBorder="1" applyAlignment="1">
      <alignment horizontal="center" vertical="center" wrapText="1"/>
    </xf>
    <xf numFmtId="0" fontId="0" fillId="47" borderId="227" xfId="0" applyFill="1" applyBorder="1" applyAlignment="1">
      <alignment horizontal="center" vertical="center" wrapText="1"/>
    </xf>
    <xf numFmtId="0" fontId="0" fillId="0" borderId="254" xfId="0" applyFill="1" applyBorder="1" applyAlignment="1">
      <alignment horizontal="center" vertical="center"/>
    </xf>
    <xf numFmtId="0" fontId="0" fillId="0" borderId="8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86" xfId="0" applyFill="1" applyBorder="1" applyAlignment="1">
      <alignment horizontal="center" vertical="center"/>
    </xf>
    <xf numFmtId="0" fontId="0" fillId="0" borderId="193" xfId="0" applyFill="1" applyBorder="1" applyAlignment="1">
      <alignment horizontal="center" vertical="center"/>
    </xf>
    <xf numFmtId="0" fontId="0" fillId="0" borderId="125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0" borderId="82" xfId="0" applyBorder="1" applyAlignment="1">
      <alignment horizontal="center" wrapText="1"/>
    </xf>
    <xf numFmtId="0" fontId="0" fillId="0" borderId="179" xfId="0" applyBorder="1" applyAlignment="1">
      <alignment horizontal="center" wrapText="1"/>
    </xf>
    <xf numFmtId="0" fontId="0" fillId="0" borderId="230" xfId="0" applyFont="1" applyBorder="1" applyAlignment="1">
      <alignment horizontal="center" vertical="center"/>
    </xf>
    <xf numFmtId="0" fontId="0" fillId="0" borderId="251" xfId="0" applyFont="1" applyBorder="1" applyAlignment="1">
      <alignment horizontal="center" vertical="center"/>
    </xf>
    <xf numFmtId="0" fontId="0" fillId="0" borderId="12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38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232" xfId="0" applyFill="1" applyBorder="1" applyAlignment="1">
      <alignment horizontal="center" vertical="center" wrapText="1"/>
    </xf>
    <xf numFmtId="0" fontId="0" fillId="0" borderId="83" xfId="0" applyFill="1" applyBorder="1" applyAlignment="1">
      <alignment horizontal="center" vertical="center" wrapText="1"/>
    </xf>
    <xf numFmtId="0" fontId="0" fillId="0" borderId="252" xfId="0" applyFill="1" applyBorder="1" applyAlignment="1">
      <alignment horizontal="center" vertical="center" wrapText="1"/>
    </xf>
    <xf numFmtId="0" fontId="0" fillId="0" borderId="111" xfId="0" applyFont="1" applyBorder="1" applyAlignment="1">
      <alignment horizontal="center" vertical="center"/>
    </xf>
    <xf numFmtId="0" fontId="0" fillId="0" borderId="225" xfId="0" applyFont="1" applyBorder="1" applyAlignment="1">
      <alignment horizontal="center" vertical="center"/>
    </xf>
    <xf numFmtId="0" fontId="0" fillId="0" borderId="226" xfId="0" applyFont="1" applyBorder="1" applyAlignment="1">
      <alignment horizontal="center" vertical="center"/>
    </xf>
    <xf numFmtId="0" fontId="0" fillId="0" borderId="249" xfId="0" applyFill="1" applyBorder="1" applyAlignment="1">
      <alignment horizontal="center" vertical="center" wrapText="1"/>
    </xf>
    <xf numFmtId="0" fontId="0" fillId="0" borderId="190" xfId="0" applyFill="1" applyBorder="1" applyAlignment="1">
      <alignment horizontal="center" vertical="center" wrapText="1"/>
    </xf>
    <xf numFmtId="0" fontId="46" fillId="0" borderId="253" xfId="0" applyFont="1" applyBorder="1" applyAlignment="1">
      <alignment horizontal="center" vertical="center"/>
    </xf>
    <xf numFmtId="0" fontId="46" fillId="0" borderId="181" xfId="0" applyFont="1" applyBorder="1" applyAlignment="1">
      <alignment horizontal="center" vertical="center"/>
    </xf>
    <xf numFmtId="0" fontId="46" fillId="0" borderId="182" xfId="0" applyFont="1" applyBorder="1" applyAlignment="1">
      <alignment horizontal="center" vertical="center"/>
    </xf>
    <xf numFmtId="0" fontId="0" fillId="0" borderId="112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03" xfId="0" applyBorder="1" applyAlignment="1">
      <alignment horizontal="center"/>
    </xf>
    <xf numFmtId="0" fontId="0" fillId="0" borderId="13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47" xfId="0" applyBorder="1" applyAlignment="1">
      <alignment horizontal="center" wrapText="1"/>
    </xf>
    <xf numFmtId="0" fontId="0" fillId="0" borderId="248" xfId="0" applyBorder="1" applyAlignment="1">
      <alignment horizontal="center" wrapText="1"/>
    </xf>
    <xf numFmtId="0" fontId="0" fillId="47" borderId="247" xfId="0" applyFill="1" applyBorder="1" applyAlignment="1">
      <alignment horizontal="center" vertical="center" wrapText="1"/>
    </xf>
    <xf numFmtId="0" fontId="0" fillId="47" borderId="188" xfId="0" applyFill="1" applyBorder="1" applyAlignment="1">
      <alignment horizontal="center" vertical="center" wrapText="1"/>
    </xf>
    <xf numFmtId="0" fontId="0" fillId="0" borderId="249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47" borderId="249" xfId="0" applyFill="1" applyBorder="1" applyAlignment="1">
      <alignment horizontal="center" vertical="center" wrapText="1"/>
    </xf>
    <xf numFmtId="0" fontId="0" fillId="47" borderId="190" xfId="0" applyFill="1" applyBorder="1" applyAlignment="1">
      <alignment horizontal="center" vertical="center" wrapText="1"/>
    </xf>
    <xf numFmtId="0" fontId="0" fillId="0" borderId="250" xfId="0" applyBorder="1" applyAlignment="1">
      <alignment horizontal="center" vertical="center"/>
    </xf>
    <xf numFmtId="0" fontId="0" fillId="0" borderId="241" xfId="0" applyFill="1" applyBorder="1" applyAlignment="1">
      <alignment horizontal="center" vertical="center" wrapText="1"/>
    </xf>
    <xf numFmtId="0" fontId="0" fillId="0" borderId="242" xfId="0" applyFill="1" applyBorder="1" applyAlignment="1">
      <alignment horizontal="center" vertical="center" wrapText="1"/>
    </xf>
    <xf numFmtId="0" fontId="0" fillId="0" borderId="243" xfId="0" applyFill="1" applyBorder="1" applyAlignment="1">
      <alignment horizontal="center" vertical="center" wrapText="1"/>
    </xf>
    <xf numFmtId="0" fontId="0" fillId="0" borderId="219" xfId="0" applyFill="1" applyBorder="1" applyAlignment="1">
      <alignment horizontal="center"/>
    </xf>
    <xf numFmtId="0" fontId="0" fillId="0" borderId="244" xfId="0" applyFill="1" applyBorder="1" applyAlignment="1">
      <alignment horizontal="center"/>
    </xf>
    <xf numFmtId="0" fontId="0" fillId="0" borderId="245" xfId="0" applyFill="1" applyBorder="1" applyAlignment="1">
      <alignment horizontal="center"/>
    </xf>
    <xf numFmtId="0" fontId="0" fillId="0" borderId="246" xfId="0" applyFill="1" applyBorder="1" applyAlignment="1">
      <alignment horizontal="center"/>
    </xf>
    <xf numFmtId="0" fontId="0" fillId="0" borderId="92" xfId="0" applyFill="1" applyBorder="1" applyAlignment="1">
      <alignment horizontal="center"/>
    </xf>
    <xf numFmtId="0" fontId="0" fillId="0" borderId="102" xfId="0" applyFill="1" applyBorder="1" applyAlignment="1">
      <alignment horizontal="center"/>
    </xf>
    <xf numFmtId="0" fontId="0" fillId="0" borderId="168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4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3" fillId="0" borderId="148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9" xfId="37" applyBorder="1" applyAlignment="1">
      <alignment horizontal="center" vertical="center"/>
    </xf>
    <xf numFmtId="0" fontId="3" fillId="0" borderId="69" xfId="37" applyBorder="1" applyAlignment="1">
      <alignment horizontal="center" vertical="center"/>
    </xf>
    <xf numFmtId="0" fontId="0" fillId="0" borderId="227" xfId="0" applyBorder="1" applyAlignment="1">
      <alignment horizontal="center" wrapText="1"/>
    </xf>
    <xf numFmtId="0" fontId="0" fillId="0" borderId="151" xfId="0" applyFill="1" applyBorder="1" applyAlignment="1">
      <alignment horizontal="center"/>
    </xf>
    <xf numFmtId="0" fontId="0" fillId="0" borderId="182" xfId="0" applyFill="1" applyBorder="1" applyAlignment="1">
      <alignment horizontal="center"/>
    </xf>
    <xf numFmtId="0" fontId="0" fillId="0" borderId="82" xfId="0" applyFill="1" applyBorder="1" applyAlignment="1">
      <alignment horizontal="center" vertical="center" wrapText="1"/>
    </xf>
    <xf numFmtId="0" fontId="0" fillId="0" borderId="212" xfId="0" applyFill="1" applyBorder="1" applyAlignment="1">
      <alignment horizontal="center" vertical="center" wrapText="1"/>
    </xf>
    <xf numFmtId="0" fontId="0" fillId="0" borderId="227" xfId="0" applyFill="1" applyBorder="1" applyAlignment="1">
      <alignment horizontal="center" vertical="center" wrapText="1"/>
    </xf>
    <xf numFmtId="0" fontId="0" fillId="0" borderId="111" xfId="0" applyFill="1" applyBorder="1" applyAlignment="1">
      <alignment horizontal="center" vertical="center" wrapText="1"/>
    </xf>
    <xf numFmtId="0" fontId="0" fillId="0" borderId="225" xfId="0" applyFill="1" applyBorder="1" applyAlignment="1">
      <alignment horizontal="center" vertical="center" wrapText="1"/>
    </xf>
    <xf numFmtId="0" fontId="0" fillId="0" borderId="226" xfId="0" applyFill="1" applyBorder="1" applyAlignment="1">
      <alignment horizontal="center" vertical="center" wrapText="1"/>
    </xf>
    <xf numFmtId="0" fontId="0" fillId="0" borderId="212" xfId="0" applyBorder="1" applyAlignment="1">
      <alignment horizontal="center" wrapText="1"/>
    </xf>
    <xf numFmtId="0" fontId="0" fillId="0" borderId="238" xfId="0" applyFill="1" applyBorder="1" applyAlignment="1">
      <alignment horizontal="center" vertical="center" wrapText="1"/>
    </xf>
    <xf numFmtId="0" fontId="0" fillId="0" borderId="239" xfId="0" applyFill="1" applyBorder="1" applyAlignment="1">
      <alignment horizontal="center" vertical="center" wrapText="1"/>
    </xf>
    <xf numFmtId="0" fontId="0" fillId="0" borderId="240" xfId="0" applyFill="1" applyBorder="1" applyAlignment="1">
      <alignment horizontal="center" vertical="center" wrapText="1"/>
    </xf>
    <xf numFmtId="0" fontId="47" fillId="48" borderId="307" xfId="0" applyFont="1" applyFill="1" applyBorder="1" applyAlignment="1">
      <alignment horizontal="center"/>
    </xf>
    <xf numFmtId="0" fontId="47" fillId="48" borderId="308" xfId="0" applyFont="1" applyFill="1" applyBorder="1" applyAlignment="1">
      <alignment horizontal="center"/>
    </xf>
    <xf numFmtId="0" fontId="47" fillId="48" borderId="309" xfId="0" applyFont="1" applyFill="1" applyBorder="1" applyAlignment="1">
      <alignment horizontal="center"/>
    </xf>
    <xf numFmtId="0" fontId="0" fillId="0" borderId="233" xfId="0" applyFill="1" applyBorder="1" applyAlignment="1">
      <alignment horizontal="center"/>
    </xf>
    <xf numFmtId="0" fontId="0" fillId="0" borderId="234" xfId="0" applyFill="1" applyBorder="1" applyAlignment="1">
      <alignment horizontal="center"/>
    </xf>
    <xf numFmtId="0" fontId="0" fillId="0" borderId="235" xfId="0" applyFill="1" applyBorder="1" applyAlignment="1">
      <alignment horizontal="center"/>
    </xf>
    <xf numFmtId="0" fontId="0" fillId="0" borderId="76" xfId="0" applyFill="1" applyBorder="1" applyAlignment="1">
      <alignment horizontal="center"/>
    </xf>
    <xf numFmtId="0" fontId="0" fillId="0" borderId="77" xfId="0" applyFill="1" applyBorder="1" applyAlignment="1">
      <alignment horizontal="center"/>
    </xf>
    <xf numFmtId="0" fontId="0" fillId="0" borderId="78" xfId="0" applyFill="1" applyBorder="1" applyAlignment="1">
      <alignment horizontal="center"/>
    </xf>
    <xf numFmtId="0" fontId="0" fillId="0" borderId="181" xfId="0" applyFill="1" applyBorder="1" applyAlignment="1">
      <alignment horizontal="center"/>
    </xf>
    <xf numFmtId="0" fontId="0" fillId="0" borderId="149" xfId="0" applyFill="1" applyBorder="1" applyAlignment="1">
      <alignment horizontal="center"/>
    </xf>
    <xf numFmtId="0" fontId="0" fillId="0" borderId="236" xfId="0" applyFill="1" applyBorder="1" applyAlignment="1">
      <alignment horizontal="center"/>
    </xf>
    <xf numFmtId="0" fontId="0" fillId="0" borderId="237" xfId="0" applyFill="1" applyBorder="1" applyAlignment="1">
      <alignment horizontal="center"/>
    </xf>
    <xf numFmtId="0" fontId="23" fillId="47" borderId="232" xfId="0" applyFont="1" applyFill="1" applyBorder="1" applyAlignment="1">
      <alignment horizontal="center"/>
    </xf>
    <xf numFmtId="0" fontId="23" fillId="47" borderId="83" xfId="0" applyFont="1" applyFill="1" applyBorder="1" applyAlignment="1">
      <alignment horizontal="center"/>
    </xf>
    <xf numFmtId="0" fontId="23" fillId="47" borderId="229" xfId="0" applyFont="1" applyFill="1" applyBorder="1" applyAlignment="1">
      <alignment horizontal="center"/>
    </xf>
    <xf numFmtId="0" fontId="0" fillId="0" borderId="84" xfId="0" applyFill="1" applyBorder="1" applyAlignment="1">
      <alignment horizontal="center"/>
    </xf>
    <xf numFmtId="0" fontId="31" fillId="0" borderId="230" xfId="0" applyFont="1" applyFill="1" applyBorder="1" applyAlignment="1">
      <alignment horizontal="center" vertical="center"/>
    </xf>
    <xf numFmtId="0" fontId="31" fillId="0" borderId="39" xfId="0" applyFont="1" applyFill="1" applyBorder="1" applyAlignment="1">
      <alignment horizontal="center" vertical="center"/>
    </xf>
    <xf numFmtId="0" fontId="23" fillId="0" borderId="232" xfId="0" applyFont="1" applyFill="1" applyBorder="1" applyAlignment="1">
      <alignment horizontal="center" vertical="center"/>
    </xf>
    <xf numFmtId="0" fontId="23" fillId="0" borderId="83" xfId="0" applyFont="1" applyFill="1" applyBorder="1" applyAlignment="1">
      <alignment horizontal="center" vertical="center"/>
    </xf>
    <xf numFmtId="0" fontId="23" fillId="0" borderId="229" xfId="0" applyFont="1" applyFill="1" applyBorder="1" applyAlignment="1">
      <alignment horizontal="center" vertical="center"/>
    </xf>
    <xf numFmtId="0" fontId="23" fillId="0" borderId="231" xfId="0" applyFont="1" applyFill="1" applyBorder="1" applyAlignment="1">
      <alignment horizontal="center" vertical="center"/>
    </xf>
    <xf numFmtId="0" fontId="23" fillId="0" borderId="251" xfId="0" applyFont="1" applyFill="1" applyBorder="1" applyAlignment="1">
      <alignment horizontal="center" vertical="center"/>
    </xf>
    <xf numFmtId="0" fontId="23" fillId="0" borderId="128" xfId="0" applyFont="1" applyFill="1" applyBorder="1" applyAlignment="1">
      <alignment horizontal="center" vertical="center"/>
    </xf>
    <xf numFmtId="0" fontId="31" fillId="0" borderId="76" xfId="0" applyFont="1" applyFill="1" applyBorder="1" applyAlignment="1">
      <alignment horizontal="center" vertical="center"/>
    </xf>
    <xf numFmtId="0" fontId="31" fillId="0" borderId="77" xfId="0" applyFont="1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23" fillId="0" borderId="280" xfId="0" applyFont="1" applyFill="1" applyBorder="1" applyAlignment="1">
      <alignment horizontal="center" vertical="center"/>
    </xf>
    <xf numFmtId="0" fontId="23" fillId="0" borderId="139" xfId="0" applyFont="1" applyFill="1" applyBorder="1" applyAlignment="1">
      <alignment horizontal="center" vertical="center"/>
    </xf>
    <xf numFmtId="0" fontId="23" fillId="0" borderId="145" xfId="0" applyFont="1" applyFill="1" applyBorder="1" applyAlignment="1">
      <alignment horizontal="center" vertical="center"/>
    </xf>
    <xf numFmtId="0" fontId="50" fillId="0" borderId="89" xfId="0" applyFont="1" applyFill="1" applyBorder="1" applyAlignment="1">
      <alignment horizontal="center" vertical="center"/>
    </xf>
    <xf numFmtId="0" fontId="50" fillId="0" borderId="90" xfId="0" applyFont="1" applyFill="1" applyBorder="1" applyAlignment="1">
      <alignment horizontal="center" vertical="center"/>
    </xf>
    <xf numFmtId="0" fontId="50" fillId="0" borderId="272" xfId="0" applyFont="1" applyFill="1" applyBorder="1" applyAlignment="1">
      <alignment horizontal="center" vertical="center"/>
    </xf>
    <xf numFmtId="0" fontId="50" fillId="0" borderId="92" xfId="0" applyFont="1" applyFill="1" applyBorder="1" applyAlignment="1">
      <alignment horizontal="center" vertical="center"/>
    </xf>
    <xf numFmtId="0" fontId="50" fillId="0" borderId="93" xfId="0" applyFont="1" applyFill="1" applyBorder="1" applyAlignment="1">
      <alignment horizontal="center" vertical="center"/>
    </xf>
    <xf numFmtId="0" fontId="50" fillId="0" borderId="271" xfId="0" applyFont="1" applyFill="1" applyBorder="1" applyAlignment="1">
      <alignment horizontal="center" vertical="center"/>
    </xf>
    <xf numFmtId="0" fontId="23" fillId="0" borderId="153" xfId="0" applyFont="1" applyFill="1" applyBorder="1" applyAlignment="1">
      <alignment horizontal="center" vertical="center"/>
    </xf>
    <xf numFmtId="0" fontId="23" fillId="0" borderId="37" xfId="0" applyFont="1" applyFill="1" applyBorder="1" applyAlignment="1">
      <alignment horizontal="center" vertical="center"/>
    </xf>
    <xf numFmtId="0" fontId="23" fillId="0" borderId="89" xfId="0" applyFont="1" applyFill="1" applyBorder="1" applyAlignment="1">
      <alignment horizontal="center" vertical="center"/>
    </xf>
    <xf numFmtId="0" fontId="23" fillId="0" borderId="91" xfId="0" applyFont="1" applyFill="1" applyBorder="1" applyAlignment="1">
      <alignment horizontal="center" vertical="center"/>
    </xf>
    <xf numFmtId="0" fontId="23" fillId="0" borderId="273" xfId="0" applyFont="1" applyFill="1" applyBorder="1" applyAlignment="1">
      <alignment horizontal="center" vertical="center"/>
    </xf>
    <xf numFmtId="0" fontId="23" fillId="0" borderId="83" xfId="0" applyNumberFormat="1" applyFont="1" applyFill="1" applyBorder="1" applyAlignment="1">
      <alignment horizontal="center" vertical="center"/>
    </xf>
    <xf numFmtId="0" fontId="23" fillId="0" borderId="229" xfId="0" applyNumberFormat="1" applyFont="1" applyFill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31" fillId="0" borderId="72" xfId="0" applyFont="1" applyBorder="1" applyAlignment="1">
      <alignment horizontal="center"/>
    </xf>
    <xf numFmtId="0" fontId="31" fillId="0" borderId="293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31" fillId="0" borderId="110" xfId="0" applyFont="1" applyBorder="1" applyAlignment="1">
      <alignment horizontal="center"/>
    </xf>
    <xf numFmtId="0" fontId="31" fillId="0" borderId="139" xfId="0" applyFont="1" applyBorder="1" applyAlignment="1">
      <alignment horizontal="center"/>
    </xf>
    <xf numFmtId="0" fontId="31" fillId="0" borderId="145" xfId="0" applyFont="1" applyBorder="1" applyAlignment="1">
      <alignment horizontal="center"/>
    </xf>
    <xf numFmtId="0" fontId="31" fillId="0" borderId="280" xfId="0" applyFont="1" applyBorder="1" applyAlignment="1">
      <alignment horizontal="center"/>
    </xf>
    <xf numFmtId="0" fontId="23" fillId="0" borderId="151" xfId="0" applyFont="1" applyBorder="1" applyAlignment="1">
      <alignment horizontal="center" vertical="center"/>
    </xf>
    <xf numFmtId="0" fontId="23" fillId="0" borderId="181" xfId="0" applyFont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29" fillId="0" borderId="151" xfId="0" applyFont="1" applyBorder="1" applyAlignment="1">
      <alignment horizontal="center" vertical="center"/>
    </xf>
    <xf numFmtId="0" fontId="29" fillId="0" borderId="181" xfId="0" applyFont="1" applyBorder="1" applyAlignment="1">
      <alignment horizontal="center" vertical="center"/>
    </xf>
    <xf numFmtId="0" fontId="29" fillId="0" borderId="149" xfId="0" applyFont="1" applyBorder="1" applyAlignment="1">
      <alignment horizontal="center" vertical="center"/>
    </xf>
    <xf numFmtId="0" fontId="0" fillId="0" borderId="231" xfId="0" applyFont="1" applyBorder="1" applyAlignment="1">
      <alignment horizontal="center"/>
    </xf>
    <xf numFmtId="0" fontId="0" fillId="0" borderId="251" xfId="0" applyFont="1" applyBorder="1" applyAlignment="1">
      <alignment horizontal="center"/>
    </xf>
    <xf numFmtId="0" fontId="0" fillId="0" borderId="128" xfId="0" applyFont="1" applyBorder="1" applyAlignment="1">
      <alignment horizontal="center"/>
    </xf>
    <xf numFmtId="0" fontId="0" fillId="0" borderId="280" xfId="0" applyBorder="1" applyAlignment="1">
      <alignment horizontal="center"/>
    </xf>
    <xf numFmtId="0" fontId="0" fillId="0" borderId="139" xfId="0" applyFont="1" applyBorder="1" applyAlignment="1">
      <alignment horizontal="center"/>
    </xf>
    <xf numFmtId="0" fontId="0" fillId="0" borderId="145" xfId="0" applyFont="1" applyBorder="1" applyAlignment="1">
      <alignment horizontal="center"/>
    </xf>
    <xf numFmtId="0" fontId="29" fillId="0" borderId="118" xfId="0" applyFont="1" applyBorder="1" applyAlignment="1">
      <alignment horizontal="center"/>
    </xf>
    <xf numFmtId="0" fontId="29" fillId="0" borderId="86" xfId="0" applyFont="1" applyBorder="1" applyAlignment="1">
      <alignment horizontal="center"/>
    </xf>
    <xf numFmtId="0" fontId="29" fillId="0" borderId="125" xfId="0" applyFont="1" applyBorder="1" applyAlignment="1">
      <alignment horizontal="center"/>
    </xf>
    <xf numFmtId="0" fontId="31" fillId="0" borderId="294" xfId="0" applyFont="1" applyBorder="1" applyAlignment="1">
      <alignment horizontal="center"/>
    </xf>
    <xf numFmtId="0" fontId="31" fillId="0" borderId="144" xfId="0" applyFont="1" applyBorder="1" applyAlignment="1">
      <alignment horizontal="center"/>
    </xf>
    <xf numFmtId="0" fontId="0" fillId="0" borderId="64" xfId="0" applyFont="1" applyBorder="1" applyAlignment="1">
      <alignment horizontal="center"/>
    </xf>
    <xf numFmtId="0" fontId="0" fillId="0" borderId="295" xfId="0" applyFont="1" applyBorder="1" applyAlignment="1">
      <alignment horizontal="center"/>
    </xf>
    <xf numFmtId="0" fontId="0" fillId="0" borderId="75" xfId="0" applyFont="1" applyBorder="1" applyAlignment="1">
      <alignment horizontal="center"/>
    </xf>
    <xf numFmtId="0" fontId="0" fillId="0" borderId="230" xfId="0" applyFont="1" applyBorder="1" applyAlignment="1">
      <alignment horizontal="center"/>
    </xf>
    <xf numFmtId="0" fontId="23" fillId="0" borderId="180" xfId="0" applyFont="1" applyBorder="1" applyAlignment="1">
      <alignment horizontal="center" vertical="center"/>
    </xf>
    <xf numFmtId="0" fontId="23" fillId="0" borderId="182" xfId="0" applyFont="1" applyBorder="1" applyAlignment="1">
      <alignment horizontal="center" vertical="center"/>
    </xf>
    <xf numFmtId="0" fontId="31" fillId="0" borderId="291" xfId="0" applyFont="1" applyBorder="1" applyAlignment="1">
      <alignment horizontal="center"/>
    </xf>
    <xf numFmtId="0" fontId="31" fillId="0" borderId="292" xfId="0" applyFont="1" applyBorder="1" applyAlignment="1">
      <alignment horizontal="center"/>
    </xf>
    <xf numFmtId="0" fontId="31" fillId="0" borderId="63" xfId="0" applyFont="1" applyBorder="1" applyAlignment="1">
      <alignment horizontal="center"/>
    </xf>
    <xf numFmtId="0" fontId="40" fillId="0" borderId="290" xfId="0" applyNumberFormat="1" applyFont="1" applyBorder="1" applyAlignment="1">
      <alignment horizontal="center" vertical="center" wrapText="1"/>
    </xf>
    <xf numFmtId="0" fontId="40" fillId="0" borderId="101" xfId="0" applyNumberFormat="1" applyFont="1" applyBorder="1" applyAlignment="1">
      <alignment horizontal="center" vertical="center" wrapText="1"/>
    </xf>
    <xf numFmtId="0" fontId="40" fillId="0" borderId="102" xfId="0" applyNumberFormat="1" applyFont="1" applyBorder="1" applyAlignment="1">
      <alignment horizontal="center" vertical="center" wrapText="1"/>
    </xf>
    <xf numFmtId="0" fontId="23" fillId="0" borderId="83" xfId="0" applyNumberFormat="1" applyFont="1" applyBorder="1" applyAlignment="1">
      <alignment horizontal="center" vertical="center" wrapText="1"/>
    </xf>
    <xf numFmtId="0" fontId="29" fillId="0" borderId="83" xfId="0" applyFont="1" applyBorder="1" applyAlignment="1">
      <alignment horizontal="center"/>
    </xf>
    <xf numFmtId="0" fontId="40" fillId="0" borderId="217" xfId="0" applyNumberFormat="1" applyFont="1" applyBorder="1" applyAlignment="1">
      <alignment horizontal="center" vertical="center" wrapText="1"/>
    </xf>
    <xf numFmtId="0" fontId="40" fillId="0" borderId="212" xfId="0" applyNumberFormat="1" applyFont="1" applyBorder="1" applyAlignment="1">
      <alignment horizontal="center" vertical="center" wrapText="1"/>
    </xf>
    <xf numFmtId="0" fontId="40" fillId="0" borderId="179" xfId="0" applyNumberFormat="1" applyFont="1" applyBorder="1" applyAlignment="1">
      <alignment horizontal="center" vertical="center" wrapText="1"/>
    </xf>
    <xf numFmtId="0" fontId="0" fillId="0" borderId="291" xfId="0" applyBorder="1" applyAlignment="1">
      <alignment horizontal="center"/>
    </xf>
    <xf numFmtId="0" fontId="0" fillId="0" borderId="292" xfId="0" applyBorder="1" applyAlignment="1">
      <alignment horizontal="center"/>
    </xf>
    <xf numFmtId="0" fontId="0" fillId="0" borderId="63" xfId="0" applyBorder="1" applyAlignment="1">
      <alignment horizontal="center"/>
    </xf>
    <xf numFmtId="0" fontId="23" fillId="0" borderId="80" xfId="0" applyFont="1" applyBorder="1" applyAlignment="1">
      <alignment horizontal="center" vertical="center"/>
    </xf>
    <xf numFmtId="0" fontId="0" fillId="0" borderId="296" xfId="0" applyBorder="1" applyAlignment="1">
      <alignment horizontal="center"/>
    </xf>
    <xf numFmtId="0" fontId="0" fillId="0" borderId="29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83" xfId="0" applyBorder="1" applyAlignment="1">
      <alignment horizontal="center"/>
    </xf>
    <xf numFmtId="0" fontId="31" fillId="0" borderId="56" xfId="0" applyFont="1" applyBorder="1" applyAlignment="1">
      <alignment horizontal="center"/>
    </xf>
    <xf numFmtId="0" fontId="23" fillId="0" borderId="79" xfId="0" applyFont="1" applyBorder="1" applyAlignment="1">
      <alignment horizontal="center" vertical="center"/>
    </xf>
    <xf numFmtId="0" fontId="52" fillId="0" borderId="85" xfId="0" applyFont="1" applyFill="1" applyBorder="1" applyAlignment="1">
      <alignment horizontal="center"/>
    </xf>
    <xf numFmtId="0" fontId="52" fillId="0" borderId="38" xfId="0" applyFont="1" applyFill="1" applyBorder="1" applyAlignment="1">
      <alignment horizontal="center"/>
    </xf>
    <xf numFmtId="0" fontId="52" fillId="0" borderId="179" xfId="0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8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Volume Analysis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'Volumetric Analysis'!$B$3:$I$3</c:f>
              <c:strCache>
                <c:ptCount val="1"/>
                <c:pt idx="0">
                  <c:v>Assy.Model @ .400 in/rev</c:v>
                </c:pt>
              </c:strCache>
            </c:strRef>
          </c:tx>
          <c:invertIfNegative val="0"/>
          <c:cat>
            <c:numRef>
              <c:f>'Volumetric Analysis'!$B$8:$B$37</c:f>
              <c:numCache>
                <c:formatCode>General</c:formatCode>
                <c:ptCount val="30"/>
                <c:pt idx="0">
                  <c:v>1.101</c:v>
                </c:pt>
                <c:pt idx="1">
                  <c:v>5.101</c:v>
                </c:pt>
                <c:pt idx="2">
                  <c:v>3.101</c:v>
                </c:pt>
                <c:pt idx="3">
                  <c:v>1.1020000000000001</c:v>
                </c:pt>
                <c:pt idx="4">
                  <c:v>5.1020000000000003</c:v>
                </c:pt>
                <c:pt idx="5">
                  <c:v>3.1019999999999999</c:v>
                </c:pt>
                <c:pt idx="6">
                  <c:v>1.103</c:v>
                </c:pt>
                <c:pt idx="7">
                  <c:v>5.1029999999999998</c:v>
                </c:pt>
                <c:pt idx="8">
                  <c:v>4.101</c:v>
                </c:pt>
                <c:pt idx="9">
                  <c:v>3.1030000000000002</c:v>
                </c:pt>
                <c:pt idx="10">
                  <c:v>2.101</c:v>
                </c:pt>
                <c:pt idx="11">
                  <c:v>1.1040000000000001</c:v>
                </c:pt>
                <c:pt idx="12">
                  <c:v>6.101</c:v>
                </c:pt>
                <c:pt idx="13">
                  <c:v>5.1040000000000001</c:v>
                </c:pt>
                <c:pt idx="14">
                  <c:v>4.1020000000000003</c:v>
                </c:pt>
                <c:pt idx="15">
                  <c:v>3.1040000000000001</c:v>
                </c:pt>
                <c:pt idx="16">
                  <c:v>2.1019999999999999</c:v>
                </c:pt>
                <c:pt idx="17">
                  <c:v>1.105</c:v>
                </c:pt>
                <c:pt idx="18">
                  <c:v>6.1020000000000003</c:v>
                </c:pt>
                <c:pt idx="19">
                  <c:v>5.1050000000000004</c:v>
                </c:pt>
                <c:pt idx="20">
                  <c:v>4.1029999999999998</c:v>
                </c:pt>
                <c:pt idx="21">
                  <c:v>3.105</c:v>
                </c:pt>
                <c:pt idx="22">
                  <c:v>2.1030000000000002</c:v>
                </c:pt>
                <c:pt idx="23">
                  <c:v>1.1060000000000001</c:v>
                </c:pt>
                <c:pt idx="24">
                  <c:v>6.1029999999999998</c:v>
                </c:pt>
                <c:pt idx="25">
                  <c:v>5.1059999999999999</c:v>
                </c:pt>
                <c:pt idx="26">
                  <c:v>4.1040000000000001</c:v>
                </c:pt>
                <c:pt idx="27">
                  <c:v>3.1059999999999999</c:v>
                </c:pt>
                <c:pt idx="28">
                  <c:v>2.1040000000000001</c:v>
                </c:pt>
                <c:pt idx="29">
                  <c:v>1.107</c:v>
                </c:pt>
              </c:numCache>
            </c:numRef>
          </c:cat>
          <c:val>
            <c:numRef>
              <c:f>'Volumetric Analysis'!$I$8:$I$37</c:f>
              <c:numCache>
                <c:formatCode>0.00</c:formatCode>
                <c:ptCount val="30"/>
                <c:pt idx="0">
                  <c:v>5.1451830959073547E-2</c:v>
                </c:pt>
                <c:pt idx="1">
                  <c:v>0.24754825910211922</c:v>
                </c:pt>
                <c:pt idx="2">
                  <c:v>0.55763151637984765</c:v>
                </c:pt>
                <c:pt idx="3">
                  <c:v>1.0247698559575227</c:v>
                </c:pt>
                <c:pt idx="4">
                  <c:v>1.768975323109349</c:v>
                </c:pt>
                <c:pt idx="5">
                  <c:v>2.4848381776887742</c:v>
                </c:pt>
                <c:pt idx="6">
                  <c:v>3.4553081480534504</c:v>
                </c:pt>
                <c:pt idx="7">
                  <c:v>2.6419163510272341</c:v>
                </c:pt>
                <c:pt idx="8">
                  <c:v>3.0272500480055045</c:v>
                </c:pt>
                <c:pt idx="9">
                  <c:v>3.6920045678657547</c:v>
                </c:pt>
                <c:pt idx="10">
                  <c:v>3.7851491299248239</c:v>
                </c:pt>
                <c:pt idx="11">
                  <c:v>4.5641533487153998</c:v>
                </c:pt>
                <c:pt idx="12">
                  <c:v>4.8835416894118326</c:v>
                </c:pt>
                <c:pt idx="13">
                  <c:v>5.8988005632780895</c:v>
                </c:pt>
                <c:pt idx="14">
                  <c:v>5.977908229805311</c:v>
                </c:pt>
                <c:pt idx="15">
                  <c:v>6.5396210223990376</c:v>
                </c:pt>
                <c:pt idx="16">
                  <c:v>6.1441479182452667</c:v>
                </c:pt>
                <c:pt idx="17">
                  <c:v>6.6468626611186732</c:v>
                </c:pt>
                <c:pt idx="18">
                  <c:v>6.3125701039089357</c:v>
                </c:pt>
                <c:pt idx="19">
                  <c:v>6.6815070712048126</c:v>
                </c:pt>
                <c:pt idx="20">
                  <c:v>5.9386324841883553</c:v>
                </c:pt>
                <c:pt idx="21">
                  <c:v>5.4536926297227817</c:v>
                </c:pt>
                <c:pt idx="22">
                  <c:v>4.3012059685897528</c:v>
                </c:pt>
                <c:pt idx="23">
                  <c:v>3.4803052503518908</c:v>
                </c:pt>
                <c:pt idx="24">
                  <c:v>2.4362883895681806</c:v>
                </c:pt>
                <c:pt idx="25">
                  <c:v>1.3004634319981989</c:v>
                </c:pt>
                <c:pt idx="26">
                  <c:v>0.32255331699182527</c:v>
                </c:pt>
                <c:pt idx="27">
                  <c:v>0.22848583825642907</c:v>
                </c:pt>
                <c:pt idx="28">
                  <c:v>0.15241687417179184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0-45DF-8075-D9886A4B0DCC}"/>
            </c:ext>
          </c:extLst>
        </c:ser>
        <c:ser>
          <c:idx val="1"/>
          <c:order val="1"/>
          <c:tx>
            <c:strRef>
              <c:f>'Volumetric Analysis'!$U$3:$AA$3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Analysis'!$AA$8:$AA$37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0-45DF-8075-D9886A4B0DCC}"/>
            </c:ext>
          </c:extLst>
        </c:ser>
        <c:ser>
          <c:idx val="2"/>
          <c:order val="2"/>
          <c:tx>
            <c:strRef>
              <c:f>'Volumetric Analysis'!$AC$3:$AI$3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Analysis'!$AI$8:$AI$37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0-45DF-8075-D9886A4B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171248"/>
        <c:axId val="1"/>
      </c:barChart>
      <c:catAx>
        <c:axId val="81417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Cutter #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Volume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4171248"/>
        <c:crosses val="autoZero"/>
        <c:crossBetween val="between"/>
      </c:valAx>
    </c:plotArea>
    <c:legend>
      <c:legendPos val="t"/>
      <c:overlay val="0"/>
      <c:spPr>
        <a:noFill/>
        <a:ln w="25400">
          <a:noFill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38</xdr:row>
      <xdr:rowOff>123825</xdr:rowOff>
    </xdr:from>
    <xdr:to>
      <xdr:col>8</xdr:col>
      <xdr:colOff>609600</xdr:colOff>
      <xdr:row>72</xdr:row>
      <xdr:rowOff>114300</xdr:rowOff>
    </xdr:to>
    <xdr:graphicFrame macro="">
      <xdr:nvGraphicFramePr>
        <xdr:cNvPr id="1646" name="Chart 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240</xdr:col>
      <xdr:colOff>545166</xdr:colOff>
      <xdr:row>7</xdr:row>
      <xdr:rowOff>121023</xdr:rowOff>
    </xdr:from>
    <xdr:to>
      <xdr:col>244</xdr:col>
      <xdr:colOff>545166</xdr:colOff>
      <xdr:row>20</xdr:row>
      <xdr:rowOff>92448</xdr:rowOff>
    </xdr:to>
    <xdr:pic>
      <xdr:nvPicPr>
        <xdr:cNvPr id="629778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300-0000129C0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27069490" y="1768288"/>
          <a:ext cx="2420470" cy="2503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3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123825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t-dc01.cot-i.com\CapRockDocuments\Engineering\01_Designs\2176\2176%20@%200.25%20IP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ic Analysis"/>
      <sheetName val="Settings"/>
      <sheetName val="Settings (2)"/>
      <sheetName val="Assy.Model"/>
      <sheetName val="SN#.Run#"/>
      <sheetName val="Point Cloud Alignment"/>
    </sheetNames>
    <sheetDataSet>
      <sheetData sheetId="0"/>
      <sheetData sheetId="1"/>
      <sheetData sheetId="2"/>
      <sheetData sheetId="3">
        <row r="9">
          <cell r="HS9">
            <v>802.70754088701324</v>
          </cell>
          <cell r="HT9">
            <v>203.6110627294749</v>
          </cell>
          <cell r="HU9">
            <v>505.8992101277247</v>
          </cell>
          <cell r="HV9">
            <v>93.197268029813586</v>
          </cell>
        </row>
        <row r="10">
          <cell r="HS10">
            <v>1312.5493414474079</v>
          </cell>
          <cell r="HT10">
            <v>193.8610421669286</v>
          </cell>
          <cell r="HU10">
            <v>911.58546506035316</v>
          </cell>
          <cell r="HV10">
            <v>207.10283422012617</v>
          </cell>
        </row>
        <row r="11">
          <cell r="HS11">
            <v>1800.8354531798864</v>
          </cell>
          <cell r="HT11">
            <v>192.69012952689036</v>
          </cell>
          <cell r="HU11">
            <v>1334.2029135486152</v>
          </cell>
          <cell r="HV11">
            <v>273.94241010438077</v>
          </cell>
        </row>
        <row r="12">
          <cell r="HS12">
            <v>2360.3130648805418</v>
          </cell>
          <cell r="HT12">
            <v>220.60661554509977</v>
          </cell>
          <cell r="HU12">
            <v>1756.0939762980599</v>
          </cell>
          <cell r="HV12">
            <v>383.61247303738236</v>
          </cell>
        </row>
        <row r="13">
          <cell r="HS13">
            <v>3055.5178926147464</v>
          </cell>
          <cell r="HT13">
            <v>259.58278890192662</v>
          </cell>
          <cell r="HU13">
            <v>2279.5489610137761</v>
          </cell>
          <cell r="HV13">
            <v>516.38614269904372</v>
          </cell>
        </row>
        <row r="14">
          <cell r="HS14">
            <v>3447.9179482911891</v>
          </cell>
          <cell r="HT14">
            <v>275.51394572906509</v>
          </cell>
          <cell r="HU14">
            <v>2575.2150347689922</v>
          </cell>
          <cell r="HV14">
            <v>597.18896779313161</v>
          </cell>
        </row>
        <row r="15">
          <cell r="HS15">
            <v>4388.2696149430112</v>
          </cell>
          <cell r="HT15">
            <v>239.64812036835872</v>
          </cell>
          <cell r="HU15">
            <v>3617.1391199343088</v>
          </cell>
          <cell r="HV15">
            <v>531.48237464034378</v>
          </cell>
        </row>
        <row r="16">
          <cell r="HS16">
            <v>2990.3622113532515</v>
          </cell>
          <cell r="HT16">
            <v>5.6189021042682361</v>
          </cell>
          <cell r="HU16">
            <v>2391.9625896315088</v>
          </cell>
          <cell r="HV16">
            <v>592.78071961747435</v>
          </cell>
        </row>
        <row r="17">
          <cell r="HS17">
            <v>3438.9994026265708</v>
          </cell>
          <cell r="HT17">
            <v>77.239890958092701</v>
          </cell>
          <cell r="HU17">
            <v>2695.7179085409016</v>
          </cell>
          <cell r="HV17">
            <v>666.04160312757688</v>
          </cell>
        </row>
        <row r="18">
          <cell r="HS18">
            <v>3679.9103963034117</v>
          </cell>
          <cell r="HT18">
            <v>161.27378499544625</v>
          </cell>
          <cell r="HU18">
            <v>2828.4759669876967</v>
          </cell>
          <cell r="HV18">
            <v>690.16064432026849</v>
          </cell>
        </row>
        <row r="19">
          <cell r="HS19">
            <v>3777.3943947745943</v>
          </cell>
          <cell r="HT19">
            <v>244.45258838644585</v>
          </cell>
          <cell r="HU19">
            <v>2853.0265378415861</v>
          </cell>
          <cell r="HV19">
            <v>679.91526854656252</v>
          </cell>
        </row>
        <row r="20">
          <cell r="HS20">
            <v>4072.0962573896149</v>
          </cell>
          <cell r="HT20">
            <v>317.89083288556537</v>
          </cell>
          <cell r="HU20">
            <v>3041.5269715751688</v>
          </cell>
          <cell r="HV20">
            <v>712.67845292888069</v>
          </cell>
        </row>
        <row r="21">
          <cell r="HS21">
            <v>4187.3618651478373</v>
          </cell>
          <cell r="HT21">
            <v>426.0215993043642</v>
          </cell>
          <cell r="HU21">
            <v>3082.243404445685</v>
          </cell>
          <cell r="HV21">
            <v>679.0968613977883</v>
          </cell>
        </row>
        <row r="22">
          <cell r="HS22">
            <v>4579.0278817599292</v>
          </cell>
          <cell r="HT22">
            <v>539.88114887328038</v>
          </cell>
          <cell r="HU22">
            <v>3342.5599806066889</v>
          </cell>
          <cell r="HV22">
            <v>696.58675227996014</v>
          </cell>
        </row>
        <row r="23">
          <cell r="HS23">
            <v>4414.7670473369153</v>
          </cell>
          <cell r="HT23">
            <v>586.8204724452828</v>
          </cell>
          <cell r="HU23">
            <v>3204.6892415688103</v>
          </cell>
          <cell r="HV23">
            <v>623.25733332282232</v>
          </cell>
        </row>
        <row r="24">
          <cell r="HS24">
            <v>4472.5503717451747</v>
          </cell>
          <cell r="HT24">
            <v>657.89868772748719</v>
          </cell>
          <cell r="HU24">
            <v>3237.1231850682889</v>
          </cell>
          <cell r="HV24">
            <v>577.52849894939811</v>
          </cell>
        </row>
        <row r="25">
          <cell r="HS25">
            <v>4157.8701789719198</v>
          </cell>
          <cell r="HT25">
            <v>678.62535401494051</v>
          </cell>
          <cell r="HU25">
            <v>2954.7928017143386</v>
          </cell>
          <cell r="HV25">
            <v>524.45202324264051</v>
          </cell>
        </row>
        <row r="26">
          <cell r="HS26">
            <v>4201.0313941829418</v>
          </cell>
          <cell r="HT26">
            <v>753.8261127979863</v>
          </cell>
          <cell r="HU26">
            <v>2937.0658931973458</v>
          </cell>
          <cell r="HV26">
            <v>510.13938818760965</v>
          </cell>
        </row>
        <row r="27">
          <cell r="HS27">
            <v>3945.0991953455487</v>
          </cell>
          <cell r="HT27">
            <v>769.71058252799298</v>
          </cell>
          <cell r="HU27">
            <v>2718.8709623691088</v>
          </cell>
          <cell r="HV27">
            <v>456.51765044844694</v>
          </cell>
        </row>
        <row r="28">
          <cell r="HS28">
            <v>3936.6564355503706</v>
          </cell>
          <cell r="HT28">
            <v>845.36550655259805</v>
          </cell>
          <cell r="HU28">
            <v>2631.17746064632</v>
          </cell>
          <cell r="HV28">
            <v>460.11346835145218</v>
          </cell>
        </row>
        <row r="29">
          <cell r="HS29">
            <v>3410.4237413776646</v>
          </cell>
          <cell r="HT29">
            <v>784.68795537063136</v>
          </cell>
          <cell r="HU29">
            <v>2256.6566735245292</v>
          </cell>
          <cell r="HV29">
            <v>369.079112482504</v>
          </cell>
        </row>
        <row r="30">
          <cell r="HS30">
            <v>2967.7073256038357</v>
          </cell>
          <cell r="HT30">
            <v>741.89041729465282</v>
          </cell>
          <cell r="HU30">
            <v>1912.5580000092668</v>
          </cell>
          <cell r="HV30">
            <v>313.25890829991602</v>
          </cell>
        </row>
        <row r="31">
          <cell r="HS31">
            <v>2396.90208841708</v>
          </cell>
          <cell r="HT31">
            <v>635.80359714707595</v>
          </cell>
          <cell r="HU31">
            <v>1535.9632390823388</v>
          </cell>
          <cell r="HV31">
            <v>225.13525218766532</v>
          </cell>
        </row>
        <row r="32">
          <cell r="HS32">
            <v>1584.4658359086473</v>
          </cell>
          <cell r="HT32">
            <v>443.89640979527519</v>
          </cell>
          <cell r="HU32">
            <v>1012.0514437088149</v>
          </cell>
          <cell r="HV32">
            <v>128.51798240455722</v>
          </cell>
        </row>
        <row r="33">
          <cell r="HS33">
            <v>1118.1208452283117</v>
          </cell>
          <cell r="HT33">
            <v>336.41812236388319</v>
          </cell>
          <cell r="HU33">
            <v>700.09058779432769</v>
          </cell>
          <cell r="HV33">
            <v>81.612135070100919</v>
          </cell>
        </row>
        <row r="34">
          <cell r="HS34">
            <v>386.52205288301082</v>
          </cell>
          <cell r="HT34">
            <v>124.45722537930156</v>
          </cell>
          <cell r="HU34">
            <v>238.22489459349143</v>
          </cell>
          <cell r="HV34">
            <v>23.839932910217854</v>
          </cell>
        </row>
      </sheetData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lyWorks-to-Text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I68"/>
  <sheetViews>
    <sheetView zoomScaleNormal="100" workbookViewId="0">
      <selection activeCell="L31" sqref="L31"/>
    </sheetView>
  </sheetViews>
  <sheetFormatPr defaultRowHeight="15" x14ac:dyDescent="0.25"/>
  <cols>
    <col min="1" max="1" width="2.7109375" customWidth="1"/>
    <col min="2" max="4" width="10.7109375" customWidth="1"/>
    <col min="5" max="5" width="17.7109375" customWidth="1"/>
    <col min="6" max="6" width="17.7109375" style="342" customWidth="1"/>
    <col min="7" max="9" width="10.7109375" customWidth="1"/>
    <col min="10" max="10" width="2.7109375" customWidth="1"/>
    <col min="11" max="19" width="10.7109375" style="342" customWidth="1"/>
    <col min="20" max="20" width="2.7109375" style="342" customWidth="1"/>
    <col min="24" max="24" width="17.7109375" customWidth="1"/>
    <col min="32" max="32" width="17.7109375" customWidth="1"/>
  </cols>
  <sheetData>
    <row r="1" spans="1:35" ht="12.75" customHeight="1" x14ac:dyDescent="0.2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</row>
    <row r="2" spans="1:35" ht="20.25" x14ac:dyDescent="0.3">
      <c r="A2" s="97"/>
      <c r="B2" s="753" t="s">
        <v>60</v>
      </c>
      <c r="C2" s="753"/>
      <c r="D2" s="753"/>
      <c r="E2" s="753"/>
      <c r="F2" s="753"/>
      <c r="G2" s="753"/>
      <c r="H2" s="753"/>
      <c r="I2" s="753"/>
      <c r="U2" s="753" t="s">
        <v>60</v>
      </c>
      <c r="V2" s="753"/>
      <c r="W2" s="753"/>
      <c r="X2" s="753"/>
      <c r="Y2" s="753"/>
      <c r="Z2" s="753"/>
      <c r="AA2" s="753"/>
      <c r="AC2" s="753" t="s">
        <v>60</v>
      </c>
      <c r="AD2" s="753"/>
      <c r="AE2" s="753"/>
      <c r="AF2" s="753"/>
      <c r="AG2" s="753"/>
      <c r="AH2" s="753"/>
      <c r="AI2" s="753"/>
    </row>
    <row r="3" spans="1:35" ht="12.75" customHeight="1" x14ac:dyDescent="0.25">
      <c r="A3" s="97"/>
      <c r="B3" s="754" t="s">
        <v>133</v>
      </c>
      <c r="C3" s="754"/>
      <c r="D3" s="754"/>
      <c r="E3" s="754"/>
      <c r="F3" s="754"/>
      <c r="G3" s="754"/>
      <c r="H3" s="754"/>
      <c r="I3" s="754"/>
      <c r="U3" s="754" t="s">
        <v>62</v>
      </c>
      <c r="V3" s="755"/>
      <c r="W3" s="755"/>
      <c r="X3" s="755"/>
      <c r="Y3" s="755"/>
      <c r="Z3" s="755"/>
      <c r="AA3" s="755"/>
      <c r="AC3" s="754" t="s">
        <v>62</v>
      </c>
      <c r="AD3" s="754"/>
      <c r="AE3" s="754"/>
      <c r="AF3" s="754"/>
      <c r="AG3" s="754"/>
      <c r="AH3" s="754"/>
      <c r="AI3" s="754"/>
    </row>
    <row r="4" spans="1:35" ht="12.75" customHeight="1" x14ac:dyDescent="0.3">
      <c r="A4" s="97"/>
      <c r="B4" s="97"/>
      <c r="C4" s="97"/>
      <c r="D4" s="97"/>
      <c r="E4" s="98"/>
      <c r="F4" s="98"/>
      <c r="G4" s="98"/>
      <c r="H4" s="98"/>
      <c r="I4" s="98"/>
      <c r="U4" s="97"/>
      <c r="V4" s="97"/>
      <c r="W4" s="97"/>
      <c r="X4" s="98"/>
      <c r="Y4" s="98"/>
      <c r="Z4" s="98"/>
      <c r="AA4" s="98"/>
      <c r="AC4" s="97"/>
      <c r="AD4" s="97"/>
      <c r="AE4" s="97"/>
      <c r="AF4" s="98"/>
      <c r="AG4" s="98"/>
      <c r="AH4" s="98"/>
      <c r="AI4" s="98"/>
    </row>
    <row r="5" spans="1:35" ht="15" customHeight="1" x14ac:dyDescent="0.25">
      <c r="A5" s="97"/>
      <c r="B5" s="746" t="s">
        <v>52</v>
      </c>
      <c r="C5" s="746" t="s">
        <v>53</v>
      </c>
      <c r="D5" s="746" t="s">
        <v>54</v>
      </c>
      <c r="E5" s="750" t="s">
        <v>61</v>
      </c>
      <c r="F5" s="750"/>
      <c r="G5" s="750"/>
      <c r="H5" s="750"/>
      <c r="I5" s="752"/>
      <c r="U5" s="746" t="s">
        <v>52</v>
      </c>
      <c r="V5" s="746" t="s">
        <v>53</v>
      </c>
      <c r="W5" s="746" t="s">
        <v>54</v>
      </c>
      <c r="X5" s="750" t="s">
        <v>61</v>
      </c>
      <c r="Y5" s="750"/>
      <c r="Z5" s="750"/>
      <c r="AA5" s="752"/>
      <c r="AC5" s="746" t="s">
        <v>52</v>
      </c>
      <c r="AD5" s="746" t="s">
        <v>53</v>
      </c>
      <c r="AE5" s="746" t="s">
        <v>54</v>
      </c>
      <c r="AF5" s="750" t="s">
        <v>61</v>
      </c>
      <c r="AG5" s="750"/>
      <c r="AH5" s="750"/>
      <c r="AI5" s="752"/>
    </row>
    <row r="6" spans="1:35" s="342" customFormat="1" ht="15" customHeight="1" x14ac:dyDescent="0.25">
      <c r="A6" s="97"/>
      <c r="B6" s="747"/>
      <c r="C6" s="747"/>
      <c r="D6" s="747"/>
      <c r="E6" s="749" t="s">
        <v>134</v>
      </c>
      <c r="F6" s="750"/>
      <c r="G6" s="426"/>
      <c r="H6" s="426"/>
      <c r="I6" s="427"/>
      <c r="K6" s="751" t="s">
        <v>142</v>
      </c>
      <c r="L6" s="751"/>
      <c r="M6" s="751"/>
      <c r="N6" s="751" t="s">
        <v>144</v>
      </c>
      <c r="O6" s="751"/>
      <c r="P6" s="751"/>
      <c r="Q6" s="751" t="s">
        <v>143</v>
      </c>
      <c r="R6" s="751"/>
      <c r="S6" s="751"/>
      <c r="U6" s="747"/>
      <c r="V6" s="747"/>
      <c r="W6" s="747"/>
      <c r="X6" s="426"/>
      <c r="Y6" s="426"/>
      <c r="Z6" s="426"/>
      <c r="AA6" s="427"/>
      <c r="AC6" s="747"/>
      <c r="AD6" s="747"/>
      <c r="AE6" s="747"/>
      <c r="AF6" s="426"/>
      <c r="AG6" s="426"/>
      <c r="AH6" s="426"/>
      <c r="AI6" s="427"/>
    </row>
    <row r="7" spans="1:35" ht="15" customHeight="1" thickBot="1" x14ac:dyDescent="0.3">
      <c r="A7" s="97"/>
      <c r="B7" s="748"/>
      <c r="C7" s="748"/>
      <c r="D7" s="748"/>
      <c r="E7" s="110" t="s">
        <v>135</v>
      </c>
      <c r="F7" s="110" t="s">
        <v>10</v>
      </c>
      <c r="G7" s="111" t="s">
        <v>56</v>
      </c>
      <c r="H7" s="111" t="s">
        <v>57</v>
      </c>
      <c r="I7" s="109" t="s">
        <v>58</v>
      </c>
      <c r="K7" s="53" t="s">
        <v>8</v>
      </c>
      <c r="L7" s="53" t="s">
        <v>9</v>
      </c>
      <c r="M7" s="247" t="s">
        <v>10</v>
      </c>
      <c r="N7" s="53" t="s">
        <v>8</v>
      </c>
      <c r="O7" s="53" t="s">
        <v>9</v>
      </c>
      <c r="P7" s="247" t="s">
        <v>10</v>
      </c>
      <c r="Q7" s="53" t="s">
        <v>8</v>
      </c>
      <c r="R7" s="53" t="s">
        <v>9</v>
      </c>
      <c r="S7" s="247" t="s">
        <v>10</v>
      </c>
      <c r="U7" s="748"/>
      <c r="V7" s="748"/>
      <c r="W7" s="748"/>
      <c r="X7" s="110" t="s">
        <v>59</v>
      </c>
      <c r="Y7" s="111" t="s">
        <v>56</v>
      </c>
      <c r="Z7" s="111" t="s">
        <v>57</v>
      </c>
      <c r="AA7" s="109" t="s">
        <v>58</v>
      </c>
      <c r="AC7" s="748"/>
      <c r="AD7" s="748"/>
      <c r="AE7" s="748"/>
      <c r="AF7" s="110" t="s">
        <v>59</v>
      </c>
      <c r="AG7" s="111" t="s">
        <v>56</v>
      </c>
      <c r="AH7" s="111" t="s">
        <v>57</v>
      </c>
      <c r="AI7" s="109" t="s">
        <v>58</v>
      </c>
    </row>
    <row r="8" spans="1:35" ht="12.75" customHeight="1" x14ac:dyDescent="0.25">
      <c r="A8" s="97"/>
      <c r="B8" s="414">
        <v>1.101</v>
      </c>
      <c r="C8" s="99"/>
      <c r="D8" s="99"/>
      <c r="E8" s="100">
        <v>0.2036</v>
      </c>
      <c r="F8" s="100">
        <v>-2.7900000000000001E-2</v>
      </c>
      <c r="G8" s="100">
        <v>0.1008</v>
      </c>
      <c r="H8" s="112">
        <f t="shared" ref="H8:H37" si="0">G8*(E8^2*PI())</f>
        <v>1.3127014112239597E-2</v>
      </c>
      <c r="I8" s="101">
        <f t="shared" ref="I8:I37" si="1">H8/($H$38/100)</f>
        <v>5.1451830959073547E-2</v>
      </c>
      <c r="U8" s="99"/>
      <c r="V8" s="99"/>
      <c r="W8" s="99"/>
      <c r="X8" s="100"/>
      <c r="Y8" s="100"/>
      <c r="Z8" s="112">
        <f>Y8*(X8^2*PI())</f>
        <v>0</v>
      </c>
      <c r="AA8" s="101" t="e">
        <f t="shared" ref="AA8:AA37" si="2">Z8/($Z$38/100)</f>
        <v>#DIV/0!</v>
      </c>
      <c r="AC8" s="99"/>
      <c r="AD8" s="99"/>
      <c r="AE8" s="99"/>
      <c r="AF8" s="100"/>
      <c r="AG8" s="100"/>
      <c r="AH8" s="112">
        <f>AG8*(AF8^2*PI())</f>
        <v>0</v>
      </c>
      <c r="AI8" s="101" t="e">
        <f t="shared" ref="AI8:AI30" si="3">AH8/($AH$38/100)</f>
        <v>#DIV/0!</v>
      </c>
    </row>
    <row r="9" spans="1:35" ht="12.75" customHeight="1" x14ac:dyDescent="0.25">
      <c r="A9" s="97"/>
      <c r="B9" s="420">
        <v>5.101</v>
      </c>
      <c r="C9" s="102"/>
      <c r="D9" s="102"/>
      <c r="E9" s="103">
        <v>0.44769999999999999</v>
      </c>
      <c r="F9" s="103">
        <v>0.33600000000000002</v>
      </c>
      <c r="G9" s="103">
        <v>0.1003</v>
      </c>
      <c r="H9" s="113">
        <f t="shared" si="0"/>
        <v>6.3157509268789214E-2</v>
      </c>
      <c r="I9" s="104">
        <f t="shared" si="1"/>
        <v>0.24754825910211922</v>
      </c>
      <c r="U9" s="102"/>
      <c r="V9" s="102"/>
      <c r="W9" s="102"/>
      <c r="X9" s="103"/>
      <c r="Y9" s="103"/>
      <c r="Z9" s="113">
        <f t="shared" ref="Z9:Z30" si="4">Y9*(X9^2*PI())</f>
        <v>0</v>
      </c>
      <c r="AA9" s="104" t="e">
        <f t="shared" si="2"/>
        <v>#DIV/0!</v>
      </c>
      <c r="AC9" s="102"/>
      <c r="AD9" s="102"/>
      <c r="AE9" s="102"/>
      <c r="AF9" s="103"/>
      <c r="AG9" s="103"/>
      <c r="AH9" s="113">
        <f t="shared" ref="AH9:AH30" si="5">AG9*(AF9^2*PI())</f>
        <v>0</v>
      </c>
      <c r="AI9" s="104" t="e">
        <f t="shared" si="3"/>
        <v>#DIV/0!</v>
      </c>
    </row>
    <row r="10" spans="1:35" ht="12.75" customHeight="1" x14ac:dyDescent="0.25">
      <c r="A10" s="97"/>
      <c r="B10" s="417">
        <v>3.101</v>
      </c>
      <c r="C10" s="102"/>
      <c r="D10" s="102"/>
      <c r="E10" s="103">
        <v>0.68789999999999996</v>
      </c>
      <c r="F10" s="103">
        <v>0.27089999999999997</v>
      </c>
      <c r="G10" s="103">
        <v>9.5699999999999993E-2</v>
      </c>
      <c r="H10" s="113">
        <f t="shared" si="0"/>
        <v>0.14226970446922327</v>
      </c>
      <c r="I10" s="104">
        <f t="shared" si="1"/>
        <v>0.55763151637984765</v>
      </c>
      <c r="U10" s="102"/>
      <c r="V10" s="102"/>
      <c r="W10" s="102"/>
      <c r="X10" s="103"/>
      <c r="Y10" s="103"/>
      <c r="Z10" s="113">
        <f t="shared" si="4"/>
        <v>0</v>
      </c>
      <c r="AA10" s="104" t="e">
        <f t="shared" si="2"/>
        <v>#DIV/0!</v>
      </c>
      <c r="AC10" s="102"/>
      <c r="AD10" s="102"/>
      <c r="AE10" s="102"/>
      <c r="AF10" s="103"/>
      <c r="AG10" s="103"/>
      <c r="AH10" s="113">
        <f t="shared" si="5"/>
        <v>0</v>
      </c>
      <c r="AI10" s="104" t="e">
        <f t="shared" si="3"/>
        <v>#DIV/0!</v>
      </c>
    </row>
    <row r="11" spans="1:35" ht="12.75" customHeight="1" x14ac:dyDescent="0.25">
      <c r="A11" s="97"/>
      <c r="B11" s="415">
        <v>1.1020000000000001</v>
      </c>
      <c r="C11" s="102"/>
      <c r="D11" s="102"/>
      <c r="E11" s="103">
        <v>0.92769999999999997</v>
      </c>
      <c r="F11" s="103">
        <v>0.19900000000000001</v>
      </c>
      <c r="G11" s="103">
        <v>9.6699999999999994E-2</v>
      </c>
      <c r="H11" s="113">
        <f t="shared" si="0"/>
        <v>0.26145169394753764</v>
      </c>
      <c r="I11" s="104">
        <f t="shared" si="1"/>
        <v>1.0247698559575227</v>
      </c>
      <c r="U11" s="102"/>
      <c r="V11" s="102"/>
      <c r="W11" s="102"/>
      <c r="X11" s="103"/>
      <c r="Y11" s="103"/>
      <c r="Z11" s="113">
        <f t="shared" si="4"/>
        <v>0</v>
      </c>
      <c r="AA11" s="104" t="e">
        <f t="shared" si="2"/>
        <v>#DIV/0!</v>
      </c>
      <c r="AC11" s="102"/>
      <c r="AD11" s="102"/>
      <c r="AE11" s="102"/>
      <c r="AF11" s="103"/>
      <c r="AG11" s="103"/>
      <c r="AH11" s="113">
        <f t="shared" si="5"/>
        <v>0</v>
      </c>
      <c r="AI11" s="104" t="e">
        <f t="shared" si="3"/>
        <v>#DIV/0!</v>
      </c>
    </row>
    <row r="12" spans="1:35" ht="12.75" customHeight="1" x14ac:dyDescent="0.25">
      <c r="A12" s="97"/>
      <c r="B12" s="420">
        <v>5.1020000000000003</v>
      </c>
      <c r="C12" s="102"/>
      <c r="D12" s="102"/>
      <c r="E12" s="103">
        <v>1.181</v>
      </c>
      <c r="F12" s="103">
        <v>0.53339999999999999</v>
      </c>
      <c r="G12" s="103">
        <v>0.10299999999999999</v>
      </c>
      <c r="H12" s="113">
        <f t="shared" si="0"/>
        <v>0.45132240384469602</v>
      </c>
      <c r="I12" s="104">
        <f t="shared" si="1"/>
        <v>1.768975323109349</v>
      </c>
      <c r="U12" s="102"/>
      <c r="V12" s="102"/>
      <c r="W12" s="102"/>
      <c r="X12" s="103"/>
      <c r="Y12" s="103"/>
      <c r="Z12" s="113">
        <f t="shared" si="4"/>
        <v>0</v>
      </c>
      <c r="AA12" s="104" t="e">
        <f t="shared" si="2"/>
        <v>#DIV/0!</v>
      </c>
      <c r="AC12" s="102"/>
      <c r="AD12" s="102"/>
      <c r="AE12" s="102"/>
      <c r="AF12" s="103"/>
      <c r="AG12" s="103"/>
      <c r="AH12" s="113">
        <f t="shared" si="5"/>
        <v>0</v>
      </c>
      <c r="AI12" s="104" t="e">
        <f t="shared" si="3"/>
        <v>#DIV/0!</v>
      </c>
    </row>
    <row r="13" spans="1:35" ht="12.75" customHeight="1" x14ac:dyDescent="0.25">
      <c r="A13" s="97"/>
      <c r="B13" s="417">
        <v>3.1019999999999999</v>
      </c>
      <c r="C13" s="102"/>
      <c r="D13" s="102"/>
      <c r="E13" s="103">
        <v>1.4306000000000001</v>
      </c>
      <c r="F13" s="103">
        <v>0.46600000000000003</v>
      </c>
      <c r="G13" s="103">
        <v>9.8599999999999993E-2</v>
      </c>
      <c r="H13" s="113">
        <f t="shared" si="0"/>
        <v>0.63396200323945862</v>
      </c>
      <c r="I13" s="104">
        <f t="shared" si="1"/>
        <v>2.4848381776887742</v>
      </c>
      <c r="U13" s="102"/>
      <c r="V13" s="102"/>
      <c r="W13" s="102"/>
      <c r="X13" s="103"/>
      <c r="Y13" s="103"/>
      <c r="Z13" s="113">
        <f t="shared" si="4"/>
        <v>0</v>
      </c>
      <c r="AA13" s="104" t="e">
        <f t="shared" si="2"/>
        <v>#DIV/0!</v>
      </c>
      <c r="AC13" s="102"/>
      <c r="AD13" s="102"/>
      <c r="AE13" s="102"/>
      <c r="AF13" s="103"/>
      <c r="AG13" s="103"/>
      <c r="AH13" s="113">
        <f t="shared" si="5"/>
        <v>0</v>
      </c>
      <c r="AI13" s="104" t="e">
        <f t="shared" si="3"/>
        <v>#DIV/0!</v>
      </c>
    </row>
    <row r="14" spans="1:35" ht="12.75" customHeight="1" x14ac:dyDescent="0.25">
      <c r="A14" s="97"/>
      <c r="B14" s="415">
        <v>1.103</v>
      </c>
      <c r="C14" s="102"/>
      <c r="D14" s="102"/>
      <c r="E14" s="103">
        <v>1.6785000000000001</v>
      </c>
      <c r="F14" s="103">
        <v>0.39710000000000001</v>
      </c>
      <c r="G14" s="103">
        <v>9.9599999999999994E-2</v>
      </c>
      <c r="H14" s="113">
        <f t="shared" si="0"/>
        <v>0.8815600528912807</v>
      </c>
      <c r="I14" s="104">
        <f t="shared" si="1"/>
        <v>3.4553081480534504</v>
      </c>
      <c r="U14" s="102"/>
      <c r="V14" s="102"/>
      <c r="W14" s="102"/>
      <c r="X14" s="103"/>
      <c r="Y14" s="103"/>
      <c r="Z14" s="113">
        <f t="shared" si="4"/>
        <v>0</v>
      </c>
      <c r="AA14" s="104" t="e">
        <f t="shared" si="2"/>
        <v>#DIV/0!</v>
      </c>
      <c r="AC14" s="102"/>
      <c r="AD14" s="102"/>
      <c r="AE14" s="102"/>
      <c r="AF14" s="103"/>
      <c r="AG14" s="103"/>
      <c r="AH14" s="113">
        <f t="shared" si="5"/>
        <v>0</v>
      </c>
      <c r="AI14" s="104" t="e">
        <f t="shared" si="3"/>
        <v>#DIV/0!</v>
      </c>
    </row>
    <row r="15" spans="1:35" ht="12.75" customHeight="1" x14ac:dyDescent="0.25">
      <c r="A15" s="97"/>
      <c r="B15" s="420">
        <v>5.1029999999999998</v>
      </c>
      <c r="C15" s="102"/>
      <c r="D15" s="102"/>
      <c r="E15" s="103">
        <v>1.891</v>
      </c>
      <c r="F15" s="103">
        <v>0.75460000000000005</v>
      </c>
      <c r="G15" s="103">
        <v>0.06</v>
      </c>
      <c r="H15" s="113">
        <f t="shared" si="0"/>
        <v>0.67403768878267933</v>
      </c>
      <c r="I15" s="104">
        <f t="shared" si="1"/>
        <v>2.6419163510272341</v>
      </c>
      <c r="U15" s="102"/>
      <c r="V15" s="102"/>
      <c r="W15" s="102"/>
      <c r="X15" s="103"/>
      <c r="Y15" s="103"/>
      <c r="Z15" s="113">
        <f t="shared" si="4"/>
        <v>0</v>
      </c>
      <c r="AA15" s="104" t="e">
        <f t="shared" si="2"/>
        <v>#DIV/0!</v>
      </c>
      <c r="AC15" s="102"/>
      <c r="AD15" s="102"/>
      <c r="AE15" s="102"/>
      <c r="AF15" s="103"/>
      <c r="AG15" s="103"/>
      <c r="AH15" s="113">
        <f t="shared" si="5"/>
        <v>0</v>
      </c>
      <c r="AI15" s="104" t="e">
        <f t="shared" si="3"/>
        <v>#DIV/0!</v>
      </c>
    </row>
    <row r="16" spans="1:35" ht="12.75" customHeight="1" x14ac:dyDescent="0.25">
      <c r="A16" s="97"/>
      <c r="B16" s="419">
        <v>4.101</v>
      </c>
      <c r="C16" s="102"/>
      <c r="D16" s="102"/>
      <c r="E16" s="103">
        <v>2.0327000000000002</v>
      </c>
      <c r="F16" s="103">
        <v>0.71079999999999999</v>
      </c>
      <c r="G16" s="103">
        <v>5.9499999999999997E-2</v>
      </c>
      <c r="H16" s="113">
        <f t="shared" si="0"/>
        <v>0.77234868731990791</v>
      </c>
      <c r="I16" s="104">
        <f t="shared" si="1"/>
        <v>3.0272500480055045</v>
      </c>
      <c r="U16" s="102"/>
      <c r="V16" s="102"/>
      <c r="W16" s="102"/>
      <c r="X16" s="103"/>
      <c r="Y16" s="103"/>
      <c r="Z16" s="113">
        <f t="shared" si="4"/>
        <v>0</v>
      </c>
      <c r="AA16" s="104" t="e">
        <f t="shared" si="2"/>
        <v>#DIV/0!</v>
      </c>
      <c r="AC16" s="102"/>
      <c r="AD16" s="102"/>
      <c r="AE16" s="102"/>
      <c r="AF16" s="103"/>
      <c r="AG16" s="103"/>
      <c r="AH16" s="113">
        <f t="shared" si="5"/>
        <v>0</v>
      </c>
      <c r="AI16" s="104" t="e">
        <f t="shared" si="3"/>
        <v>#DIV/0!</v>
      </c>
    </row>
    <row r="17" spans="1:35" ht="12.75" customHeight="1" x14ac:dyDescent="0.25">
      <c r="A17" s="97"/>
      <c r="B17" s="417">
        <v>3.1030000000000002</v>
      </c>
      <c r="C17" s="102"/>
      <c r="D17" s="102"/>
      <c r="E17" s="103">
        <v>2.1833</v>
      </c>
      <c r="F17" s="103">
        <v>0.66090000000000004</v>
      </c>
      <c r="G17" s="103">
        <v>6.2899999999999998E-2</v>
      </c>
      <c r="H17" s="113">
        <f t="shared" si="0"/>
        <v>0.94194890952233445</v>
      </c>
      <c r="I17" s="104">
        <f t="shared" si="1"/>
        <v>3.6920045678657547</v>
      </c>
      <c r="U17" s="102"/>
      <c r="V17" s="102"/>
      <c r="W17" s="102"/>
      <c r="X17" s="103"/>
      <c r="Y17" s="103"/>
      <c r="Z17" s="113">
        <f t="shared" si="4"/>
        <v>0</v>
      </c>
      <c r="AA17" s="104" t="e">
        <f t="shared" si="2"/>
        <v>#DIV/0!</v>
      </c>
      <c r="AC17" s="102"/>
      <c r="AD17" s="102"/>
      <c r="AE17" s="102"/>
      <c r="AF17" s="103"/>
      <c r="AG17" s="103"/>
      <c r="AH17" s="113">
        <f t="shared" si="5"/>
        <v>0</v>
      </c>
      <c r="AI17" s="104" t="e">
        <f t="shared" si="3"/>
        <v>#DIV/0!</v>
      </c>
    </row>
    <row r="18" spans="1:35" ht="12.75" customHeight="1" x14ac:dyDescent="0.25">
      <c r="A18" s="97"/>
      <c r="B18" s="416">
        <v>2.101</v>
      </c>
      <c r="C18" s="102"/>
      <c r="D18" s="102"/>
      <c r="E18" s="103">
        <v>2.3283999999999998</v>
      </c>
      <c r="F18" s="103">
        <v>0.59670000000000001</v>
      </c>
      <c r="G18" s="103">
        <v>5.67E-2</v>
      </c>
      <c r="H18" s="113">
        <f t="shared" si="0"/>
        <v>0.96571307802394446</v>
      </c>
      <c r="I18" s="104">
        <f>H18/($H$38/100)</f>
        <v>3.7851491299248239</v>
      </c>
      <c r="U18" s="102"/>
      <c r="V18" s="102"/>
      <c r="W18" s="102"/>
      <c r="X18" s="103"/>
      <c r="Y18" s="103"/>
      <c r="Z18" s="113">
        <f t="shared" si="4"/>
        <v>0</v>
      </c>
      <c r="AA18" s="104" t="e">
        <f t="shared" si="2"/>
        <v>#DIV/0!</v>
      </c>
      <c r="AC18" s="102"/>
      <c r="AD18" s="102"/>
      <c r="AE18" s="102"/>
      <c r="AF18" s="103"/>
      <c r="AG18" s="103"/>
      <c r="AH18" s="113">
        <f t="shared" si="5"/>
        <v>0</v>
      </c>
      <c r="AI18" s="104" t="e">
        <f t="shared" si="3"/>
        <v>#DIV/0!</v>
      </c>
    </row>
    <row r="19" spans="1:35" ht="12.75" customHeight="1" x14ac:dyDescent="0.25">
      <c r="A19" s="97"/>
      <c r="B19" s="415">
        <v>1.1040000000000001</v>
      </c>
      <c r="C19" s="102"/>
      <c r="D19" s="102"/>
      <c r="E19" s="103">
        <v>2.4792999999999998</v>
      </c>
      <c r="F19" s="103">
        <v>0.52180000000000004</v>
      </c>
      <c r="G19" s="103">
        <v>6.0299999999999999E-2</v>
      </c>
      <c r="H19" s="113">
        <f t="shared" si="0"/>
        <v>1.1644620667954455</v>
      </c>
      <c r="I19" s="104">
        <f t="shared" si="1"/>
        <v>4.5641533487153998</v>
      </c>
      <c r="U19" s="102"/>
      <c r="V19" s="102"/>
      <c r="W19" s="102"/>
      <c r="X19" s="103"/>
      <c r="Y19" s="103"/>
      <c r="Z19" s="113">
        <f t="shared" si="4"/>
        <v>0</v>
      </c>
      <c r="AA19" s="104" t="e">
        <f t="shared" si="2"/>
        <v>#DIV/0!</v>
      </c>
      <c r="AC19" s="102"/>
      <c r="AD19" s="102"/>
      <c r="AE19" s="102"/>
      <c r="AF19" s="103"/>
      <c r="AG19" s="103"/>
      <c r="AH19" s="113">
        <f t="shared" si="5"/>
        <v>0</v>
      </c>
      <c r="AI19" s="104" t="e">
        <f t="shared" si="3"/>
        <v>#DIV/0!</v>
      </c>
    </row>
    <row r="20" spans="1:35" ht="12.75" customHeight="1" x14ac:dyDescent="0.25">
      <c r="A20" s="97"/>
      <c r="B20" s="421">
        <v>6.101</v>
      </c>
      <c r="C20" s="102"/>
      <c r="D20" s="102"/>
      <c r="E20" s="103">
        <v>2.6240000000000001</v>
      </c>
      <c r="F20" s="103">
        <v>0.83169999999999999</v>
      </c>
      <c r="G20" s="103">
        <v>5.7599999999999998E-2</v>
      </c>
      <c r="H20" s="113">
        <f t="shared" si="0"/>
        <v>1.2459482875470802</v>
      </c>
      <c r="I20" s="104">
        <f t="shared" si="1"/>
        <v>4.8835416894118326</v>
      </c>
      <c r="U20" s="102"/>
      <c r="V20" s="102"/>
      <c r="W20" s="102"/>
      <c r="X20" s="103"/>
      <c r="Y20" s="103"/>
      <c r="Z20" s="113">
        <f t="shared" si="4"/>
        <v>0</v>
      </c>
      <c r="AA20" s="104" t="e">
        <f t="shared" si="2"/>
        <v>#DIV/0!</v>
      </c>
      <c r="AC20" s="102"/>
      <c r="AD20" s="102"/>
      <c r="AE20" s="102"/>
      <c r="AF20" s="103"/>
      <c r="AG20" s="103"/>
      <c r="AH20" s="113">
        <f t="shared" si="5"/>
        <v>0</v>
      </c>
      <c r="AI20" s="104" t="e">
        <f t="shared" si="3"/>
        <v>#DIV/0!</v>
      </c>
    </row>
    <row r="21" spans="1:35" ht="12.75" customHeight="1" x14ac:dyDescent="0.25">
      <c r="A21" s="97"/>
      <c r="B21" s="420">
        <v>5.1040000000000001</v>
      </c>
      <c r="C21" s="102"/>
      <c r="D21" s="102"/>
      <c r="E21" s="103">
        <v>2.7751999999999999</v>
      </c>
      <c r="F21" s="103">
        <v>0.72740000000000005</v>
      </c>
      <c r="G21" s="103">
        <v>6.2199999999999998E-2</v>
      </c>
      <c r="H21" s="113">
        <f t="shared" si="0"/>
        <v>1.5049734245809754</v>
      </c>
      <c r="I21" s="104">
        <f t="shared" si="1"/>
        <v>5.8988005632780895</v>
      </c>
      <c r="U21" s="102"/>
      <c r="V21" s="102"/>
      <c r="W21" s="102"/>
      <c r="X21" s="103"/>
      <c r="Y21" s="103"/>
      <c r="Z21" s="113">
        <f t="shared" si="4"/>
        <v>0</v>
      </c>
      <c r="AA21" s="104" t="e">
        <f t="shared" si="2"/>
        <v>#DIV/0!</v>
      </c>
      <c r="AC21" s="102"/>
      <c r="AD21" s="102"/>
      <c r="AE21" s="102"/>
      <c r="AF21" s="103"/>
      <c r="AG21" s="103"/>
      <c r="AH21" s="113">
        <f t="shared" si="5"/>
        <v>0</v>
      </c>
      <c r="AI21" s="104" t="e">
        <f t="shared" si="3"/>
        <v>#DIV/0!</v>
      </c>
    </row>
    <row r="22" spans="1:35" ht="12.75" customHeight="1" x14ac:dyDescent="0.25">
      <c r="A22" s="97"/>
      <c r="B22" s="419">
        <v>4.1020000000000003</v>
      </c>
      <c r="C22" s="102"/>
      <c r="D22" s="102"/>
      <c r="E22" s="103">
        <v>2.9184000000000001</v>
      </c>
      <c r="F22" s="103">
        <v>0.60699999999999998</v>
      </c>
      <c r="G22" s="103">
        <v>5.7000000000000002E-2</v>
      </c>
      <c r="H22" s="113">
        <f t="shared" si="0"/>
        <v>1.5251563303305335</v>
      </c>
      <c r="I22" s="104">
        <f t="shared" si="1"/>
        <v>5.977908229805311</v>
      </c>
      <c r="U22" s="102"/>
      <c r="V22" s="102"/>
      <c r="W22" s="102"/>
      <c r="X22" s="103"/>
      <c r="Y22" s="103"/>
      <c r="Z22" s="113">
        <f t="shared" si="4"/>
        <v>0</v>
      </c>
      <c r="AA22" s="104" t="e">
        <f t="shared" si="2"/>
        <v>#DIV/0!</v>
      </c>
      <c r="AC22" s="102"/>
      <c r="AD22" s="102"/>
      <c r="AE22" s="102"/>
      <c r="AF22" s="103"/>
      <c r="AG22" s="103"/>
      <c r="AH22" s="113">
        <f t="shared" si="5"/>
        <v>0</v>
      </c>
      <c r="AI22" s="104" t="e">
        <f t="shared" si="3"/>
        <v>#DIV/0!</v>
      </c>
    </row>
    <row r="23" spans="1:35" ht="12.75" customHeight="1" x14ac:dyDescent="0.25">
      <c r="A23" s="97"/>
      <c r="B23" s="417">
        <v>3.1040000000000001</v>
      </c>
      <c r="C23" s="102"/>
      <c r="D23" s="102"/>
      <c r="E23" s="103">
        <v>3.0605000000000002</v>
      </c>
      <c r="F23" s="103">
        <v>0.47260000000000002</v>
      </c>
      <c r="G23" s="103">
        <v>5.67E-2</v>
      </c>
      <c r="H23" s="113">
        <f t="shared" si="0"/>
        <v>1.6684672994050562</v>
      </c>
      <c r="I23" s="104">
        <f t="shared" si="1"/>
        <v>6.5396210223990376</v>
      </c>
      <c r="U23" s="102"/>
      <c r="V23" s="102"/>
      <c r="W23" s="102"/>
      <c r="X23" s="103"/>
      <c r="Y23" s="103"/>
      <c r="Z23" s="113">
        <f t="shared" si="4"/>
        <v>0</v>
      </c>
      <c r="AA23" s="104" t="e">
        <f t="shared" si="2"/>
        <v>#DIV/0!</v>
      </c>
      <c r="AC23" s="102"/>
      <c r="AD23" s="102"/>
      <c r="AE23" s="102"/>
      <c r="AF23" s="103"/>
      <c r="AG23" s="103"/>
      <c r="AH23" s="113">
        <f t="shared" si="5"/>
        <v>0</v>
      </c>
      <c r="AI23" s="104" t="e">
        <f t="shared" si="3"/>
        <v>#DIV/0!</v>
      </c>
    </row>
    <row r="24" spans="1:35" ht="12.75" customHeight="1" x14ac:dyDescent="0.25">
      <c r="A24" s="97"/>
      <c r="B24" s="416">
        <v>2.1019999999999999</v>
      </c>
      <c r="C24" s="102"/>
      <c r="D24" s="102"/>
      <c r="E24" s="103">
        <v>3.1911</v>
      </c>
      <c r="F24" s="103">
        <v>0.32729999999999998</v>
      </c>
      <c r="G24" s="103">
        <v>4.9000000000000002E-2</v>
      </c>
      <c r="H24" s="113">
        <f t="shared" si="0"/>
        <v>1.5675694125374899</v>
      </c>
      <c r="I24" s="104">
        <f t="shared" si="1"/>
        <v>6.1441479182452667</v>
      </c>
      <c r="U24" s="102"/>
      <c r="V24" s="102"/>
      <c r="W24" s="102"/>
      <c r="X24" s="103"/>
      <c r="Y24" s="103"/>
      <c r="Z24" s="113">
        <f t="shared" si="4"/>
        <v>0</v>
      </c>
      <c r="AA24" s="104" t="e">
        <f t="shared" si="2"/>
        <v>#DIV/0!</v>
      </c>
      <c r="AC24" s="102"/>
      <c r="AD24" s="102"/>
      <c r="AE24" s="102"/>
      <c r="AF24" s="103"/>
      <c r="AG24" s="103"/>
      <c r="AH24" s="113">
        <f t="shared" si="5"/>
        <v>0</v>
      </c>
      <c r="AI24" s="104" t="e">
        <f t="shared" si="3"/>
        <v>#DIV/0!</v>
      </c>
    </row>
    <row r="25" spans="1:35" ht="12.75" customHeight="1" x14ac:dyDescent="0.25">
      <c r="A25" s="97"/>
      <c r="B25" s="415">
        <v>1.105</v>
      </c>
      <c r="C25" s="102"/>
      <c r="D25" s="102"/>
      <c r="E25" s="103">
        <v>3.3157000000000001</v>
      </c>
      <c r="F25" s="103">
        <v>0.1716</v>
      </c>
      <c r="G25" s="103">
        <v>4.9099999999999998E-2</v>
      </c>
      <c r="H25" s="113">
        <f t="shared" si="0"/>
        <v>1.6958280847969724</v>
      </c>
      <c r="I25" s="104">
        <f t="shared" si="1"/>
        <v>6.6468626611186732</v>
      </c>
      <c r="U25" s="102"/>
      <c r="V25" s="102"/>
      <c r="W25" s="102"/>
      <c r="X25" s="103"/>
      <c r="Y25" s="103"/>
      <c r="Z25" s="113">
        <f t="shared" si="4"/>
        <v>0</v>
      </c>
      <c r="AA25" s="104" t="e">
        <f t="shared" si="2"/>
        <v>#DIV/0!</v>
      </c>
      <c r="AC25" s="102"/>
      <c r="AD25" s="102"/>
      <c r="AE25" s="102"/>
      <c r="AF25" s="103"/>
      <c r="AG25" s="103"/>
      <c r="AH25" s="113">
        <f t="shared" si="5"/>
        <v>0</v>
      </c>
      <c r="AI25" s="104" t="e">
        <f t="shared" si="3"/>
        <v>#DIV/0!</v>
      </c>
    </row>
    <row r="26" spans="1:35" ht="12.75" customHeight="1" x14ac:dyDescent="0.25">
      <c r="A26" s="97"/>
      <c r="B26" s="421">
        <v>6.1020000000000003</v>
      </c>
      <c r="C26" s="102"/>
      <c r="D26" s="102"/>
      <c r="E26" s="103">
        <v>3.4289999999999998</v>
      </c>
      <c r="F26" s="103">
        <v>0.40510000000000002</v>
      </c>
      <c r="G26" s="103">
        <v>4.36E-2</v>
      </c>
      <c r="H26" s="113">
        <f t="shared" si="0"/>
        <v>1.6105393198626505</v>
      </c>
      <c r="I26" s="104">
        <f t="shared" si="1"/>
        <v>6.3125701039089357</v>
      </c>
      <c r="U26" s="102"/>
      <c r="V26" s="102"/>
      <c r="W26" s="102"/>
      <c r="X26" s="103"/>
      <c r="Y26" s="103"/>
      <c r="Z26" s="113">
        <f t="shared" si="4"/>
        <v>0</v>
      </c>
      <c r="AA26" s="104" t="e">
        <f t="shared" si="2"/>
        <v>#DIV/0!</v>
      </c>
      <c r="AC26" s="102"/>
      <c r="AD26" s="102"/>
      <c r="AE26" s="102"/>
      <c r="AF26" s="103"/>
      <c r="AG26" s="103"/>
      <c r="AH26" s="113">
        <f t="shared" si="5"/>
        <v>0</v>
      </c>
      <c r="AI26" s="104" t="e">
        <f t="shared" si="3"/>
        <v>#DIV/0!</v>
      </c>
    </row>
    <row r="27" spans="1:35" ht="12.75" customHeight="1" x14ac:dyDescent="0.25">
      <c r="A27" s="97"/>
      <c r="B27" s="420">
        <v>5.1050000000000004</v>
      </c>
      <c r="C27" s="102"/>
      <c r="D27" s="102"/>
      <c r="E27" s="103">
        <v>3.5358999999999998</v>
      </c>
      <c r="F27" s="103">
        <v>0.22439999999999999</v>
      </c>
      <c r="G27" s="103">
        <v>4.3400000000000001E-2</v>
      </c>
      <c r="H27" s="113">
        <f t="shared" si="0"/>
        <v>1.7046669861855879</v>
      </c>
      <c r="I27" s="104">
        <f t="shared" si="1"/>
        <v>6.6815070712048126</v>
      </c>
      <c r="U27" s="102"/>
      <c r="V27" s="102"/>
      <c r="W27" s="102"/>
      <c r="X27" s="103"/>
      <c r="Y27" s="103"/>
      <c r="Z27" s="113">
        <f t="shared" si="4"/>
        <v>0</v>
      </c>
      <c r="AA27" s="104" t="e">
        <f t="shared" si="2"/>
        <v>#DIV/0!</v>
      </c>
      <c r="AC27" s="102"/>
      <c r="AD27" s="102"/>
      <c r="AE27" s="102"/>
      <c r="AF27" s="103"/>
      <c r="AG27" s="103"/>
      <c r="AH27" s="113">
        <f t="shared" si="5"/>
        <v>0</v>
      </c>
      <c r="AI27" s="104" t="e">
        <f t="shared" si="3"/>
        <v>#DIV/0!</v>
      </c>
    </row>
    <row r="28" spans="1:35" ht="12.75" customHeight="1" x14ac:dyDescent="0.25">
      <c r="A28" s="97"/>
      <c r="B28" s="419">
        <v>4.1029999999999998</v>
      </c>
      <c r="C28" s="102"/>
      <c r="D28" s="102"/>
      <c r="E28" s="103">
        <v>3.6349999999999998</v>
      </c>
      <c r="F28" s="103">
        <v>2.7199999999999998E-2</v>
      </c>
      <c r="G28" s="103">
        <v>3.6499999999999998E-2</v>
      </c>
      <c r="H28" s="113">
        <f t="shared" si="0"/>
        <v>1.5151358265433579</v>
      </c>
      <c r="I28" s="104">
        <f t="shared" si="1"/>
        <v>5.9386324841883553</v>
      </c>
      <c r="U28" s="102"/>
      <c r="V28" s="102"/>
      <c r="W28" s="102"/>
      <c r="X28" s="103"/>
      <c r="Y28" s="103"/>
      <c r="Z28" s="113">
        <f t="shared" si="4"/>
        <v>0</v>
      </c>
      <c r="AA28" s="104" t="e">
        <f t="shared" si="2"/>
        <v>#DIV/0!</v>
      </c>
      <c r="AC28" s="102"/>
      <c r="AD28" s="102"/>
      <c r="AE28" s="102"/>
      <c r="AF28" s="103"/>
      <c r="AG28" s="103"/>
      <c r="AH28" s="113">
        <f t="shared" si="5"/>
        <v>0</v>
      </c>
      <c r="AI28" s="104" t="e">
        <f t="shared" si="3"/>
        <v>#DIV/0!</v>
      </c>
    </row>
    <row r="29" spans="1:35" ht="12.75" customHeight="1" x14ac:dyDescent="0.25">
      <c r="A29" s="97"/>
      <c r="B29" s="417">
        <v>3.105</v>
      </c>
      <c r="C29" s="102"/>
      <c r="D29" s="102"/>
      <c r="E29" s="103">
        <v>3.7202999999999999</v>
      </c>
      <c r="F29" s="103">
        <v>-0.1799</v>
      </c>
      <c r="G29" s="103">
        <v>3.2000000000000001E-2</v>
      </c>
      <c r="H29" s="113">
        <f t="shared" si="0"/>
        <v>1.3914120990394607</v>
      </c>
      <c r="I29" s="104">
        <f t="shared" si="1"/>
        <v>5.4536926297227817</v>
      </c>
      <c r="U29" s="102"/>
      <c r="V29" s="102"/>
      <c r="W29" s="102"/>
      <c r="X29" s="103"/>
      <c r="Y29" s="103"/>
      <c r="Z29" s="113">
        <f t="shared" si="4"/>
        <v>0</v>
      </c>
      <c r="AA29" s="104" t="e">
        <f t="shared" si="2"/>
        <v>#DIV/0!</v>
      </c>
      <c r="AC29" s="102"/>
      <c r="AD29" s="102"/>
      <c r="AE29" s="102"/>
      <c r="AF29" s="103"/>
      <c r="AG29" s="103"/>
      <c r="AH29" s="113">
        <f t="shared" si="5"/>
        <v>0</v>
      </c>
      <c r="AI29" s="104" t="e">
        <f t="shared" si="3"/>
        <v>#DIV/0!</v>
      </c>
    </row>
    <row r="30" spans="1:35" ht="12.75" customHeight="1" x14ac:dyDescent="0.25">
      <c r="A30" s="97"/>
      <c r="B30" s="416">
        <v>2.1030000000000002</v>
      </c>
      <c r="C30" s="102"/>
      <c r="D30" s="102"/>
      <c r="E30" s="103">
        <v>3.7913999999999999</v>
      </c>
      <c r="F30" s="103">
        <v>-0.39579999999999999</v>
      </c>
      <c r="G30" s="103">
        <v>2.4299999999999999E-2</v>
      </c>
      <c r="H30" s="113">
        <f t="shared" si="0"/>
        <v>1.0973757473128325</v>
      </c>
      <c r="I30" s="104">
        <f t="shared" si="1"/>
        <v>4.3012059685897528</v>
      </c>
      <c r="U30" s="102"/>
      <c r="V30" s="102"/>
      <c r="W30" s="102"/>
      <c r="X30" s="103"/>
      <c r="Y30" s="103"/>
      <c r="Z30" s="113">
        <f t="shared" si="4"/>
        <v>0</v>
      </c>
      <c r="AA30" s="104" t="e">
        <f t="shared" si="2"/>
        <v>#DIV/0!</v>
      </c>
      <c r="AC30" s="102"/>
      <c r="AD30" s="102"/>
      <c r="AE30" s="102"/>
      <c r="AF30" s="103"/>
      <c r="AG30" s="103"/>
      <c r="AH30" s="113">
        <f t="shared" si="5"/>
        <v>0</v>
      </c>
      <c r="AI30" s="104" t="e">
        <f t="shared" si="3"/>
        <v>#DIV/0!</v>
      </c>
    </row>
    <row r="31" spans="1:35" ht="12.75" customHeight="1" x14ac:dyDescent="0.25">
      <c r="A31" s="97"/>
      <c r="B31" s="415">
        <v>1.1060000000000001</v>
      </c>
      <c r="C31" s="102"/>
      <c r="D31" s="102"/>
      <c r="E31" s="103">
        <v>3.8468</v>
      </c>
      <c r="F31" s="103">
        <v>-0.61150000000000004</v>
      </c>
      <c r="G31" s="103">
        <v>1.9099999999999999E-2</v>
      </c>
      <c r="H31" s="113">
        <f t="shared" si="0"/>
        <v>0.88793761630389734</v>
      </c>
      <c r="I31" s="104">
        <f t="shared" si="1"/>
        <v>3.4803052503518908</v>
      </c>
      <c r="U31" s="102"/>
      <c r="V31" s="102"/>
      <c r="W31" s="102"/>
      <c r="X31" s="103"/>
      <c r="Y31" s="103"/>
      <c r="Z31" s="113">
        <f t="shared" ref="Z31:Z37" si="6">Y31*(X31^2*PI())</f>
        <v>0</v>
      </c>
      <c r="AA31" s="104" t="e">
        <f t="shared" si="2"/>
        <v>#DIV/0!</v>
      </c>
      <c r="AC31" s="102"/>
      <c r="AD31" s="102"/>
      <c r="AE31" s="102"/>
      <c r="AF31" s="103"/>
      <c r="AG31" s="103"/>
      <c r="AH31" s="113">
        <f t="shared" ref="AH31:AH36" si="7">AG31*(AF31^2*PI())</f>
        <v>0</v>
      </c>
      <c r="AI31" s="104" t="e">
        <f t="shared" ref="AI31:AI36" si="8">AH31/($AH$38/100)</f>
        <v>#DIV/0!</v>
      </c>
    </row>
    <row r="32" spans="1:35" s="342" customFormat="1" ht="12.75" customHeight="1" x14ac:dyDescent="0.25">
      <c r="A32" s="97"/>
      <c r="B32" s="421">
        <v>6.1029999999999998</v>
      </c>
      <c r="C32" s="102"/>
      <c r="D32" s="102"/>
      <c r="E32" s="103">
        <v>3.8862999999999999</v>
      </c>
      <c r="F32" s="103">
        <v>-0.4294</v>
      </c>
      <c r="G32" s="103">
        <v>1.3100000000000001E-2</v>
      </c>
      <c r="H32" s="113">
        <f t="shared" si="0"/>
        <v>0.62157539343518919</v>
      </c>
      <c r="I32" s="104">
        <f t="shared" si="1"/>
        <v>2.4362883895681806</v>
      </c>
      <c r="U32" s="102"/>
      <c r="V32" s="102"/>
      <c r="W32" s="102"/>
      <c r="X32" s="103"/>
      <c r="Y32" s="103"/>
      <c r="Z32" s="113">
        <f t="shared" si="6"/>
        <v>0</v>
      </c>
      <c r="AA32" s="104" t="e">
        <f>Z32/($Z$38/100)</f>
        <v>#DIV/0!</v>
      </c>
      <c r="AC32" s="102"/>
      <c r="AD32" s="102"/>
      <c r="AE32" s="102"/>
      <c r="AF32" s="103"/>
      <c r="AG32" s="103"/>
      <c r="AH32" s="113">
        <f t="shared" si="7"/>
        <v>0</v>
      </c>
      <c r="AI32" s="104" t="e">
        <f t="shared" si="8"/>
        <v>#DIV/0!</v>
      </c>
    </row>
    <row r="33" spans="1:35" ht="12.75" customHeight="1" x14ac:dyDescent="0.25">
      <c r="A33" s="97"/>
      <c r="B33" s="420">
        <v>5.1059999999999999</v>
      </c>
      <c r="C33" s="102"/>
      <c r="D33" s="102"/>
      <c r="E33" s="103">
        <v>3.9123000000000001</v>
      </c>
      <c r="F33" s="103">
        <v>-0.64490000000000003</v>
      </c>
      <c r="G33" s="103">
        <v>6.8999999999999999E-3</v>
      </c>
      <c r="H33" s="113">
        <f t="shared" si="0"/>
        <v>0.33178997726768722</v>
      </c>
      <c r="I33" s="104">
        <f t="shared" si="1"/>
        <v>1.3004634319981989</v>
      </c>
      <c r="U33" s="102"/>
      <c r="V33" s="102"/>
      <c r="W33" s="102"/>
      <c r="X33" s="103"/>
      <c r="Y33" s="103"/>
      <c r="Z33" s="113">
        <f t="shared" si="6"/>
        <v>0</v>
      </c>
      <c r="AA33" s="104" t="e">
        <f>Z33/($Z$38/100)</f>
        <v>#DIV/0!</v>
      </c>
      <c r="AC33" s="102"/>
      <c r="AD33" s="102"/>
      <c r="AE33" s="102"/>
      <c r="AF33" s="103"/>
      <c r="AG33" s="103"/>
      <c r="AH33" s="113">
        <f t="shared" si="7"/>
        <v>0</v>
      </c>
      <c r="AI33" s="104" t="e">
        <f t="shared" si="8"/>
        <v>#DIV/0!</v>
      </c>
    </row>
    <row r="34" spans="1:35" ht="12.75" customHeight="1" x14ac:dyDescent="0.25">
      <c r="A34" s="97"/>
      <c r="B34" s="419">
        <v>4.1040000000000001</v>
      </c>
      <c r="C34" s="102"/>
      <c r="D34" s="102"/>
      <c r="E34" s="103">
        <v>3.9253999999999998</v>
      </c>
      <c r="F34" s="103">
        <v>-0.83799999999999997</v>
      </c>
      <c r="G34" s="103">
        <v>1.6999999999999999E-3</v>
      </c>
      <c r="H34" s="113">
        <f t="shared" si="0"/>
        <v>8.229370782682878E-2</v>
      </c>
      <c r="I34" s="104">
        <f t="shared" si="1"/>
        <v>0.32255331699182527</v>
      </c>
      <c r="U34" s="102"/>
      <c r="V34" s="102"/>
      <c r="W34" s="102"/>
      <c r="X34" s="103"/>
      <c r="Y34" s="103"/>
      <c r="Z34" s="113">
        <f t="shared" si="6"/>
        <v>0</v>
      </c>
      <c r="AA34" s="104" t="e">
        <f>Z34/($Z$38/100)</f>
        <v>#DIV/0!</v>
      </c>
      <c r="AC34" s="102"/>
      <c r="AD34" s="102"/>
      <c r="AE34" s="102"/>
      <c r="AF34" s="103"/>
      <c r="AG34" s="103"/>
      <c r="AH34" s="113">
        <f t="shared" si="7"/>
        <v>0</v>
      </c>
      <c r="AI34" s="104" t="e">
        <f t="shared" si="8"/>
        <v>#DIV/0!</v>
      </c>
    </row>
    <row r="35" spans="1:35" s="35" customFormat="1" ht="12.75" customHeight="1" x14ac:dyDescent="0.25">
      <c r="A35" s="97"/>
      <c r="B35" s="418">
        <v>3.1059999999999999</v>
      </c>
      <c r="C35" s="116"/>
      <c r="D35" s="116"/>
      <c r="E35" s="117">
        <v>3.9323000000000001</v>
      </c>
      <c r="F35" s="117">
        <v>-0.99399999999999999</v>
      </c>
      <c r="G35" s="117">
        <v>1.1999999999999999E-3</v>
      </c>
      <c r="H35" s="118">
        <f t="shared" si="0"/>
        <v>5.8294073647734868E-2</v>
      </c>
      <c r="I35" s="119">
        <f t="shared" si="1"/>
        <v>0.22848583825642907</v>
      </c>
      <c r="K35" s="342"/>
      <c r="L35" s="342"/>
      <c r="M35" s="342"/>
      <c r="N35" s="342"/>
      <c r="O35" s="342"/>
      <c r="P35" s="342"/>
      <c r="Q35" s="342"/>
      <c r="R35" s="342"/>
      <c r="S35" s="342"/>
      <c r="T35" s="342"/>
      <c r="U35" s="116"/>
      <c r="V35" s="116"/>
      <c r="W35" s="116"/>
      <c r="X35" s="117"/>
      <c r="Y35" s="117"/>
      <c r="Z35" s="113">
        <f t="shared" si="6"/>
        <v>0</v>
      </c>
      <c r="AA35" s="104" t="e">
        <f>Z35/($Z$38/100)</f>
        <v>#DIV/0!</v>
      </c>
      <c r="AC35" s="116"/>
      <c r="AD35" s="116"/>
      <c r="AE35" s="116"/>
      <c r="AF35" s="117"/>
      <c r="AG35" s="117"/>
      <c r="AH35" s="113">
        <f t="shared" si="7"/>
        <v>0</v>
      </c>
      <c r="AI35" s="104" t="e">
        <f t="shared" si="8"/>
        <v>#DIV/0!</v>
      </c>
    </row>
    <row r="36" spans="1:35" s="342" customFormat="1" ht="12.75" customHeight="1" x14ac:dyDescent="0.25">
      <c r="A36" s="97"/>
      <c r="B36" s="422">
        <v>2.1040000000000001</v>
      </c>
      <c r="C36" s="116"/>
      <c r="D36" s="116"/>
      <c r="E36" s="117">
        <v>3.9335</v>
      </c>
      <c r="F36" s="117">
        <v>-1.1951000000000001</v>
      </c>
      <c r="G36" s="117">
        <v>8.0000000000000004E-4</v>
      </c>
      <c r="H36" s="118">
        <f t="shared" si="0"/>
        <v>3.8886438459071408E-2</v>
      </c>
      <c r="I36" s="119">
        <f t="shared" si="1"/>
        <v>0.15241687417179184</v>
      </c>
      <c r="U36" s="116"/>
      <c r="V36" s="116"/>
      <c r="W36" s="116"/>
      <c r="X36" s="117"/>
      <c r="Y36" s="117"/>
      <c r="Z36" s="113">
        <f t="shared" si="6"/>
        <v>0</v>
      </c>
      <c r="AA36" s="104" t="e">
        <f>Z36/($Z$38/100)</f>
        <v>#DIV/0!</v>
      </c>
      <c r="AC36" s="116"/>
      <c r="AD36" s="116"/>
      <c r="AE36" s="116"/>
      <c r="AF36" s="117"/>
      <c r="AG36" s="117"/>
      <c r="AH36" s="113">
        <f t="shared" si="7"/>
        <v>0</v>
      </c>
      <c r="AI36" s="104" t="e">
        <f t="shared" si="8"/>
        <v>#DIV/0!</v>
      </c>
    </row>
    <row r="37" spans="1:35" ht="12.75" customHeight="1" thickBot="1" x14ac:dyDescent="0.3">
      <c r="A37" s="97"/>
      <c r="B37" s="423">
        <v>1.107</v>
      </c>
      <c r="C37" s="105"/>
      <c r="D37" s="105"/>
      <c r="E37" s="106">
        <v>3.9365999999999999</v>
      </c>
      <c r="F37" s="106">
        <v>-1.3291999999999999</v>
      </c>
      <c r="G37" s="106">
        <v>0</v>
      </c>
      <c r="H37" s="114">
        <f t="shared" si="0"/>
        <v>0</v>
      </c>
      <c r="I37" s="107">
        <f t="shared" si="1"/>
        <v>0</v>
      </c>
      <c r="U37" s="105"/>
      <c r="V37" s="105"/>
      <c r="W37" s="105"/>
      <c r="X37" s="106"/>
      <c r="Y37" s="106"/>
      <c r="Z37" s="114">
        <f t="shared" si="6"/>
        <v>0</v>
      </c>
      <c r="AA37" s="107" t="e">
        <f t="shared" si="2"/>
        <v>#DIV/0!</v>
      </c>
      <c r="AC37" s="105"/>
      <c r="AD37" s="105"/>
      <c r="AE37" s="105"/>
      <c r="AF37" s="106"/>
      <c r="AG37" s="106"/>
      <c r="AH37" s="114">
        <f>AG37*(AF37^2*PI())</f>
        <v>0</v>
      </c>
      <c r="AI37" s="107" t="e">
        <f>AH37/($AH$38/100)</f>
        <v>#DIV/0!</v>
      </c>
    </row>
    <row r="38" spans="1:35" ht="12.75" customHeight="1" x14ac:dyDescent="0.25">
      <c r="A38" s="97"/>
      <c r="B38" s="743" t="s">
        <v>55</v>
      </c>
      <c r="C38" s="744"/>
      <c r="D38" s="744"/>
      <c r="E38" s="745"/>
      <c r="F38" s="413"/>
      <c r="G38" s="115">
        <f>SUM(G8:G37)</f>
        <v>1.5482999999999996</v>
      </c>
      <c r="H38" s="115">
        <f>SUM(H8:H37)</f>
        <v>25.513210837299937</v>
      </c>
      <c r="I38" s="108">
        <f>SUM(I8:I37)</f>
        <v>100.00000000000003</v>
      </c>
      <c r="U38" s="743" t="s">
        <v>55</v>
      </c>
      <c r="V38" s="744"/>
      <c r="W38" s="744"/>
      <c r="X38" s="745"/>
      <c r="Y38" s="115">
        <f>SUM(Y8:Y37)</f>
        <v>0</v>
      </c>
      <c r="Z38" s="115">
        <f>SUM(Z8:Z37)</f>
        <v>0</v>
      </c>
      <c r="AA38" s="108" t="e">
        <f>SUM(AA8:AA37)</f>
        <v>#DIV/0!</v>
      </c>
      <c r="AC38" s="743" t="s">
        <v>55</v>
      </c>
      <c r="AD38" s="744"/>
      <c r="AE38" s="744"/>
      <c r="AF38" s="745"/>
      <c r="AG38" s="115">
        <f>SUM(AG8:AG37)</f>
        <v>0</v>
      </c>
      <c r="AH38" s="115">
        <f>SUM(AH8:AH37)</f>
        <v>0</v>
      </c>
      <c r="AI38" s="108" t="e">
        <f>SUM(AI8:AI37)</f>
        <v>#DIV/0!</v>
      </c>
    </row>
    <row r="39" spans="1:35" ht="12.75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U39" s="97"/>
      <c r="V39" s="97"/>
      <c r="W39" s="97"/>
      <c r="X39" s="97"/>
      <c r="Y39" s="97"/>
      <c r="Z39" s="97"/>
      <c r="AA39" s="97"/>
      <c r="AC39" s="97"/>
      <c r="AD39" s="97"/>
      <c r="AE39" s="97"/>
      <c r="AF39" s="97"/>
      <c r="AG39" s="97"/>
      <c r="AH39" s="97"/>
      <c r="AI39" s="97"/>
    </row>
    <row r="40" spans="1:35" ht="12.75" customHeight="1" x14ac:dyDescent="0.25">
      <c r="A40" s="97"/>
      <c r="B40" s="97"/>
      <c r="C40" s="97"/>
      <c r="D40" s="97"/>
      <c r="E40" s="97"/>
      <c r="F40" s="97"/>
      <c r="G40" s="97"/>
      <c r="H40" s="97"/>
      <c r="I40" s="97"/>
      <c r="K40" s="97" t="s">
        <v>140</v>
      </c>
      <c r="L40" s="97" t="s">
        <v>137</v>
      </c>
      <c r="M40" s="97" t="s">
        <v>138</v>
      </c>
      <c r="N40" s="97"/>
      <c r="O40" s="97"/>
      <c r="P40" s="97"/>
      <c r="U40" s="97"/>
      <c r="V40" s="97"/>
      <c r="W40" s="97"/>
      <c r="X40" s="97"/>
      <c r="Y40" s="97"/>
      <c r="Z40" s="97"/>
      <c r="AA40" s="97"/>
      <c r="AC40" s="97"/>
      <c r="AD40" s="97"/>
      <c r="AE40" s="97"/>
      <c r="AF40" s="97"/>
      <c r="AG40" s="97"/>
      <c r="AH40" s="97"/>
      <c r="AI40" s="97"/>
    </row>
    <row r="41" spans="1:35" ht="12.75" customHeight="1" x14ac:dyDescent="0.25">
      <c r="A41" s="97"/>
      <c r="B41" s="97"/>
      <c r="C41" s="97"/>
      <c r="D41" s="97"/>
      <c r="E41" s="97"/>
      <c r="F41" s="97"/>
      <c r="G41" s="97"/>
      <c r="H41" s="97"/>
      <c r="I41" s="97"/>
      <c r="K41" s="97" t="s">
        <v>136</v>
      </c>
      <c r="L41" s="97"/>
      <c r="M41" s="97"/>
      <c r="N41" s="97"/>
      <c r="O41" s="97"/>
      <c r="P41" s="97"/>
      <c r="U41" s="97"/>
      <c r="V41" s="97"/>
      <c r="W41" s="97"/>
      <c r="X41" s="97"/>
      <c r="Y41" s="97"/>
      <c r="Z41" s="97"/>
      <c r="AA41" s="97"/>
      <c r="AC41" s="97"/>
      <c r="AD41" s="97"/>
      <c r="AE41" s="97"/>
      <c r="AF41" s="97"/>
      <c r="AG41" s="97"/>
      <c r="AH41" s="97"/>
      <c r="AI41" s="97"/>
    </row>
    <row r="42" spans="1:35" ht="12.75" customHeight="1" x14ac:dyDescent="0.25">
      <c r="A42" s="97"/>
      <c r="B42" s="97"/>
      <c r="C42" s="97"/>
      <c r="D42" s="97"/>
      <c r="E42" s="97"/>
      <c r="F42" s="97"/>
      <c r="G42" s="97"/>
      <c r="H42" s="97"/>
      <c r="I42" s="97"/>
      <c r="K42" s="97" t="s">
        <v>139</v>
      </c>
      <c r="L42" s="97"/>
      <c r="M42" s="97"/>
      <c r="N42" s="97"/>
      <c r="O42" s="97"/>
      <c r="P42" s="97"/>
      <c r="U42" s="97"/>
      <c r="Y42" s="97"/>
      <c r="Z42" s="97"/>
      <c r="AA42" s="97"/>
      <c r="AC42" s="97"/>
      <c r="AD42" s="97"/>
      <c r="AE42" s="97"/>
      <c r="AF42" s="97"/>
      <c r="AG42" s="97"/>
      <c r="AH42" s="97"/>
      <c r="AI42" s="97"/>
    </row>
    <row r="43" spans="1:35" ht="12.75" customHeight="1" x14ac:dyDescent="0.25">
      <c r="A43" s="97"/>
      <c r="B43" s="97"/>
      <c r="C43" s="97"/>
      <c r="D43" s="97"/>
      <c r="E43" s="97"/>
      <c r="F43" s="97"/>
      <c r="G43" s="97"/>
      <c r="H43" s="97"/>
      <c r="I43" s="97"/>
      <c r="K43" s="428" t="s">
        <v>141</v>
      </c>
      <c r="U43" s="97"/>
      <c r="Y43" s="97"/>
      <c r="Z43" s="97"/>
      <c r="AA43" s="97"/>
      <c r="AC43" s="97"/>
      <c r="AD43" s="97"/>
      <c r="AE43" s="97"/>
      <c r="AF43" s="97"/>
      <c r="AG43" s="97"/>
      <c r="AH43" s="97"/>
      <c r="AI43" s="97"/>
    </row>
    <row r="44" spans="1:35" ht="12.75" customHeight="1" x14ac:dyDescent="0.25">
      <c r="A44" s="97"/>
      <c r="B44" s="97"/>
      <c r="C44" s="97"/>
      <c r="D44" s="97"/>
      <c r="E44" s="97"/>
      <c r="F44" s="97"/>
      <c r="G44" s="97"/>
      <c r="H44" s="97"/>
      <c r="I44" s="97"/>
      <c r="U44" s="97"/>
      <c r="Y44" s="97"/>
      <c r="Z44" s="97"/>
      <c r="AA44" s="97"/>
      <c r="AC44" s="97"/>
      <c r="AD44" s="97"/>
      <c r="AE44" s="97"/>
      <c r="AF44" s="97"/>
      <c r="AG44" s="97"/>
      <c r="AH44" s="97"/>
      <c r="AI44" s="97"/>
    </row>
    <row r="45" spans="1:35" ht="12.75" customHeight="1" x14ac:dyDescent="0.25">
      <c r="A45" s="97"/>
      <c r="B45" s="97"/>
      <c r="C45" s="97"/>
      <c r="D45" s="97"/>
      <c r="E45" s="97"/>
      <c r="F45" s="97"/>
      <c r="G45" s="97"/>
      <c r="H45" s="97"/>
      <c r="I45" s="97"/>
      <c r="U45" s="97"/>
      <c r="V45" s="97"/>
      <c r="W45" s="97"/>
      <c r="X45" s="97"/>
      <c r="Y45" s="97"/>
      <c r="Z45" s="97"/>
      <c r="AA45" s="97"/>
      <c r="AC45" s="97"/>
      <c r="AD45" s="97"/>
      <c r="AE45" s="97"/>
      <c r="AF45" s="97"/>
      <c r="AG45" s="97"/>
      <c r="AH45" s="97"/>
      <c r="AI45" s="97"/>
    </row>
    <row r="46" spans="1:35" ht="12.75" customHeight="1" x14ac:dyDescent="0.25">
      <c r="A46" s="97"/>
      <c r="B46" s="97"/>
      <c r="C46" s="97"/>
      <c r="D46" s="97"/>
      <c r="E46" s="97"/>
      <c r="F46" s="97"/>
      <c r="G46" s="97"/>
      <c r="H46" s="97"/>
      <c r="I46" s="97"/>
      <c r="U46" s="97"/>
      <c r="V46" s="97"/>
      <c r="W46" s="97"/>
      <c r="X46" s="97"/>
      <c r="Y46" s="97"/>
      <c r="Z46" s="97"/>
      <c r="AA46" s="97"/>
      <c r="AC46" s="97"/>
      <c r="AD46" s="97"/>
      <c r="AE46" s="97"/>
      <c r="AF46" s="97"/>
      <c r="AG46" s="97"/>
      <c r="AH46" s="97"/>
      <c r="AI46" s="97"/>
    </row>
    <row r="47" spans="1:35" ht="12.75" customHeight="1" x14ac:dyDescent="0.25">
      <c r="A47" s="97"/>
      <c r="B47" s="97"/>
      <c r="C47" s="97"/>
      <c r="D47" s="97"/>
      <c r="E47" s="97"/>
      <c r="F47" s="97"/>
      <c r="G47" s="97"/>
      <c r="H47" s="97"/>
      <c r="I47" s="97"/>
      <c r="U47" s="97"/>
      <c r="V47" s="97"/>
      <c r="W47" s="97"/>
      <c r="X47" s="97"/>
      <c r="Y47" s="97"/>
      <c r="Z47" s="97"/>
      <c r="AA47" s="97"/>
      <c r="AC47" s="97"/>
      <c r="AD47" s="97"/>
      <c r="AE47" s="97"/>
      <c r="AF47" s="97"/>
      <c r="AG47" s="97"/>
      <c r="AH47" s="97"/>
      <c r="AI47" s="97"/>
    </row>
    <row r="48" spans="1:35" ht="12.75" customHeight="1" x14ac:dyDescent="0.25">
      <c r="A48" s="97"/>
      <c r="B48" s="97"/>
      <c r="C48" s="97"/>
      <c r="D48" s="97"/>
      <c r="E48" s="97"/>
      <c r="F48" s="97"/>
      <c r="G48" s="97"/>
      <c r="H48" s="97"/>
      <c r="I48" s="97"/>
      <c r="U48" s="97"/>
      <c r="V48" s="97"/>
      <c r="W48" s="97"/>
      <c r="X48" s="97"/>
      <c r="Y48" s="97"/>
      <c r="Z48" s="97"/>
      <c r="AA48" s="97"/>
      <c r="AC48" s="97"/>
      <c r="AD48" s="97"/>
      <c r="AE48" s="97"/>
      <c r="AF48" s="97"/>
      <c r="AG48" s="97"/>
      <c r="AH48" s="97"/>
      <c r="AI48" s="97"/>
    </row>
    <row r="49" spans="1:35" ht="12.75" customHeight="1" x14ac:dyDescent="0.25">
      <c r="A49" s="97"/>
      <c r="B49" s="97"/>
      <c r="C49" s="97"/>
      <c r="D49" s="97"/>
      <c r="E49" s="97"/>
      <c r="F49" s="97"/>
      <c r="G49" s="97"/>
      <c r="H49" s="97"/>
      <c r="I49" s="97"/>
      <c r="U49" s="97"/>
      <c r="V49" s="97"/>
      <c r="W49" s="97"/>
      <c r="X49" s="97"/>
      <c r="Y49" s="97"/>
      <c r="Z49" s="97"/>
      <c r="AA49" s="97"/>
      <c r="AC49" s="97"/>
      <c r="AD49" s="97"/>
      <c r="AE49" s="97"/>
      <c r="AF49" s="97"/>
      <c r="AG49" s="97"/>
      <c r="AH49" s="97"/>
      <c r="AI49" s="97"/>
    </row>
    <row r="50" spans="1:35" ht="12.75" customHeight="1" x14ac:dyDescent="0.25">
      <c r="A50" s="97"/>
      <c r="B50" s="97"/>
      <c r="C50" s="97"/>
      <c r="D50" s="97"/>
      <c r="E50" s="97"/>
      <c r="F50" s="97"/>
      <c r="G50" s="97"/>
      <c r="H50" s="97"/>
      <c r="I50" s="97"/>
      <c r="U50" s="97"/>
      <c r="V50" s="97"/>
      <c r="W50" s="97"/>
      <c r="X50" s="97"/>
      <c r="Y50" s="97"/>
      <c r="Z50" s="97"/>
      <c r="AA50" s="97"/>
      <c r="AC50" s="97"/>
      <c r="AD50" s="97"/>
      <c r="AE50" s="97"/>
      <c r="AF50" s="97"/>
      <c r="AG50" s="97"/>
      <c r="AH50" s="97"/>
      <c r="AI50" s="97"/>
    </row>
    <row r="51" spans="1:35" ht="12.75" customHeight="1" x14ac:dyDescent="0.25">
      <c r="A51" s="97"/>
      <c r="B51" s="97"/>
      <c r="C51" s="97"/>
      <c r="D51" s="97"/>
      <c r="E51" s="97"/>
      <c r="F51" s="97"/>
      <c r="G51" s="97"/>
      <c r="H51" s="97"/>
      <c r="I51" s="97"/>
      <c r="U51" s="97"/>
      <c r="V51" s="97"/>
      <c r="W51" s="97"/>
      <c r="X51" s="97"/>
      <c r="Y51" s="97"/>
      <c r="Z51" s="97"/>
      <c r="AA51" s="97"/>
      <c r="AC51" s="97"/>
      <c r="AD51" s="97"/>
      <c r="AE51" s="97"/>
      <c r="AF51" s="97"/>
      <c r="AG51" s="97"/>
      <c r="AH51" s="97"/>
      <c r="AI51" s="97"/>
    </row>
    <row r="52" spans="1:35" ht="12.75" customHeight="1" x14ac:dyDescent="0.25">
      <c r="A52" s="97"/>
      <c r="B52" s="97"/>
      <c r="C52" s="97"/>
      <c r="D52" s="97"/>
      <c r="E52" s="97"/>
      <c r="F52" s="97"/>
      <c r="G52" s="97"/>
      <c r="H52" s="97"/>
      <c r="I52" s="97"/>
      <c r="U52" s="97"/>
      <c r="V52" s="97"/>
      <c r="W52" s="97"/>
      <c r="X52" s="97"/>
      <c r="Y52" s="97"/>
      <c r="Z52" s="97"/>
      <c r="AA52" s="97"/>
      <c r="AC52" s="97"/>
      <c r="AD52" s="97"/>
      <c r="AE52" s="97"/>
      <c r="AF52" s="97"/>
      <c r="AG52" s="97"/>
      <c r="AH52" s="97"/>
      <c r="AI52" s="97"/>
    </row>
    <row r="53" spans="1:35" ht="12.75" customHeight="1" x14ac:dyDescent="0.25">
      <c r="A53" s="97"/>
      <c r="B53" s="97"/>
      <c r="C53" s="97"/>
      <c r="D53" s="97"/>
      <c r="E53" s="97"/>
      <c r="F53" s="97"/>
      <c r="G53" s="97"/>
      <c r="H53" s="97"/>
      <c r="I53" s="97"/>
      <c r="U53" s="97"/>
      <c r="V53" s="97"/>
      <c r="W53" s="97"/>
      <c r="X53" s="97"/>
      <c r="Y53" s="97"/>
      <c r="Z53" s="97"/>
      <c r="AA53" s="97"/>
      <c r="AC53" s="97"/>
      <c r="AD53" s="97"/>
      <c r="AE53" s="97"/>
      <c r="AF53" s="97"/>
      <c r="AG53" s="97"/>
      <c r="AH53" s="97"/>
      <c r="AI53" s="97"/>
    </row>
    <row r="54" spans="1:35" ht="12.75" customHeight="1" x14ac:dyDescent="0.25">
      <c r="A54" s="97"/>
      <c r="B54" s="97"/>
      <c r="C54" s="97"/>
      <c r="D54" s="97"/>
      <c r="E54" s="97"/>
      <c r="F54" s="97"/>
      <c r="G54" s="97"/>
      <c r="H54" s="97"/>
      <c r="I54" s="97"/>
      <c r="U54" s="97"/>
      <c r="V54" s="97"/>
      <c r="W54" s="97"/>
      <c r="X54" s="97"/>
      <c r="Y54" s="97"/>
      <c r="Z54" s="97"/>
      <c r="AA54" s="97"/>
      <c r="AC54" s="97"/>
      <c r="AD54" s="97"/>
      <c r="AE54" s="97"/>
      <c r="AF54" s="97"/>
      <c r="AG54" s="97"/>
      <c r="AH54" s="97"/>
      <c r="AI54" s="97"/>
    </row>
    <row r="55" spans="1:35" ht="12.75" customHeight="1" x14ac:dyDescent="0.25">
      <c r="A55" s="97"/>
      <c r="B55" s="97"/>
      <c r="C55" s="97"/>
      <c r="D55" s="97"/>
      <c r="E55" s="97"/>
      <c r="F55" s="97"/>
      <c r="G55" s="97"/>
      <c r="H55" s="97"/>
      <c r="I55" s="97"/>
      <c r="U55" s="97"/>
      <c r="V55" s="97"/>
      <c r="W55" s="97"/>
      <c r="X55" s="97"/>
      <c r="Y55" s="97"/>
      <c r="Z55" s="97"/>
      <c r="AA55" s="97"/>
      <c r="AC55" s="97"/>
      <c r="AD55" s="97"/>
      <c r="AE55" s="97"/>
      <c r="AF55" s="97"/>
      <c r="AG55" s="97"/>
      <c r="AH55" s="97"/>
      <c r="AI55" s="97"/>
    </row>
    <row r="56" spans="1:35" ht="12.75" customHeight="1" x14ac:dyDescent="0.25">
      <c r="A56" s="97"/>
      <c r="B56" s="97"/>
      <c r="C56" s="97"/>
      <c r="D56" s="97"/>
      <c r="E56" s="97"/>
      <c r="F56" s="97"/>
      <c r="G56" s="97"/>
      <c r="H56" s="97"/>
      <c r="I56" s="97"/>
      <c r="U56" s="97"/>
      <c r="V56" s="97"/>
      <c r="W56" s="97"/>
      <c r="X56" s="97"/>
      <c r="Y56" s="97"/>
      <c r="Z56" s="97"/>
      <c r="AA56" s="97"/>
      <c r="AC56" s="97"/>
      <c r="AD56" s="97"/>
      <c r="AE56" s="97"/>
      <c r="AF56" s="97"/>
      <c r="AG56" s="97"/>
      <c r="AH56" s="97"/>
      <c r="AI56" s="97"/>
    </row>
    <row r="57" spans="1:35" ht="12.75" customHeight="1" x14ac:dyDescent="0.25">
      <c r="A57" s="97"/>
      <c r="AC57" s="97"/>
      <c r="AD57" s="97"/>
      <c r="AE57" s="97"/>
      <c r="AF57" s="97"/>
      <c r="AG57" s="97"/>
      <c r="AH57" s="97"/>
      <c r="AI57" s="97"/>
    </row>
    <row r="58" spans="1:35" ht="12.75" customHeight="1" x14ac:dyDescent="0.25">
      <c r="A58" s="97"/>
    </row>
    <row r="59" spans="1:35" ht="12.75" customHeight="1" x14ac:dyDescent="0.25">
      <c r="A59" s="97"/>
    </row>
    <row r="60" spans="1:35" ht="12.75" customHeight="1" x14ac:dyDescent="0.25">
      <c r="A60" s="97"/>
      <c r="B60" s="97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</row>
    <row r="61" spans="1:35" ht="12.75" customHeight="1" x14ac:dyDescent="0.25">
      <c r="A61" s="97"/>
      <c r="B61" s="97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</row>
    <row r="62" spans="1:35" ht="12.75" customHeight="1" x14ac:dyDescent="0.25"/>
    <row r="63" spans="1:35" ht="12.75" customHeight="1" x14ac:dyDescent="0.25"/>
    <row r="64" spans="1:35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</sheetData>
  <mergeCells count="25">
    <mergeCell ref="AC2:AI2"/>
    <mergeCell ref="B3:I3"/>
    <mergeCell ref="AF5:AI5"/>
    <mergeCell ref="U2:AA2"/>
    <mergeCell ref="AD5:AD7"/>
    <mergeCell ref="X5:AA5"/>
    <mergeCell ref="U3:AA3"/>
    <mergeCell ref="C5:C7"/>
    <mergeCell ref="B2:I2"/>
    <mergeCell ref="W5:W7"/>
    <mergeCell ref="AC3:AI3"/>
    <mergeCell ref="AC38:AF38"/>
    <mergeCell ref="B38:E38"/>
    <mergeCell ref="V5:V7"/>
    <mergeCell ref="AE5:AE7"/>
    <mergeCell ref="U38:X38"/>
    <mergeCell ref="U5:U7"/>
    <mergeCell ref="E6:F6"/>
    <mergeCell ref="K6:M6"/>
    <mergeCell ref="Q6:S6"/>
    <mergeCell ref="N6:P6"/>
    <mergeCell ref="B5:B7"/>
    <mergeCell ref="E5:I5"/>
    <mergeCell ref="D5:D7"/>
    <mergeCell ref="AC5:AC7"/>
  </mergeCells>
  <pageMargins left="0.7" right="0.7" top="0.75" bottom="0.75" header="0.3" footer="0.3"/>
  <pageSetup paperSize="17" orientation="portrait" r:id="rId1"/>
  <rowBreaks count="1" manualBreakCount="1">
    <brk id="39" max="9" man="1"/>
  </rowBreaks>
  <colBreaks count="2" manualBreakCount="2">
    <brk id="20" max="77" man="1"/>
    <brk id="28" max="7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G131"/>
  <sheetViews>
    <sheetView zoomScaleNormal="100" workbookViewId="0">
      <selection activeCell="C31" sqref="C31"/>
    </sheetView>
  </sheetViews>
  <sheetFormatPr defaultRowHeight="15" x14ac:dyDescent="0.25"/>
  <cols>
    <col min="1" max="1" width="29" style="35" customWidth="1"/>
    <col min="2" max="8" width="9.28515625" customWidth="1"/>
    <col min="9" max="9" width="9.28515625" style="35" customWidth="1"/>
    <col min="10" max="11" width="9.2851562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7.5703125" bestFit="1" customWidth="1"/>
    <col min="17" max="31" width="5.28515625" customWidth="1"/>
  </cols>
  <sheetData>
    <row r="1" spans="1:33" s="35" customFormat="1" x14ac:dyDescent="0.25"/>
    <row r="2" spans="1:33" ht="15.75" thickBot="1" x14ac:dyDescent="0.3">
      <c r="B2" s="188" t="s">
        <v>87</v>
      </c>
      <c r="C2" s="54">
        <v>1</v>
      </c>
      <c r="D2" s="55">
        <f t="shared" ref="D2:K2" si="0">C2+1</f>
        <v>2</v>
      </c>
      <c r="E2" s="55">
        <f t="shared" si="0"/>
        <v>3</v>
      </c>
      <c r="F2" s="55">
        <f t="shared" si="0"/>
        <v>4</v>
      </c>
      <c r="G2" s="55">
        <f t="shared" si="0"/>
        <v>5</v>
      </c>
      <c r="H2" s="55">
        <f t="shared" si="0"/>
        <v>6</v>
      </c>
      <c r="I2" s="55">
        <f t="shared" si="0"/>
        <v>7</v>
      </c>
      <c r="J2" s="55">
        <f t="shared" si="0"/>
        <v>8</v>
      </c>
      <c r="K2" s="55">
        <f t="shared" si="0"/>
        <v>9</v>
      </c>
    </row>
    <row r="3" spans="1:33" x14ac:dyDescent="0.25">
      <c r="B3" s="189" t="s">
        <v>88</v>
      </c>
      <c r="C3" s="178" t="s">
        <v>78</v>
      </c>
      <c r="D3" s="179" t="s">
        <v>79</v>
      </c>
      <c r="E3" s="180" t="s">
        <v>80</v>
      </c>
      <c r="F3" s="181" t="s">
        <v>76</v>
      </c>
      <c r="G3" s="182" t="s">
        <v>81</v>
      </c>
      <c r="H3" s="183" t="s">
        <v>82</v>
      </c>
      <c r="I3" s="184" t="s">
        <v>83</v>
      </c>
      <c r="J3" s="185" t="s">
        <v>84</v>
      </c>
      <c r="K3" s="186" t="s">
        <v>85</v>
      </c>
    </row>
    <row r="4" spans="1:33" s="35" customFormat="1" x14ac:dyDescent="0.25"/>
    <row r="5" spans="1:33" x14ac:dyDescent="0.25">
      <c r="B5" s="36"/>
      <c r="C5" s="61"/>
      <c r="D5" s="36"/>
      <c r="E5" s="36"/>
      <c r="F5" s="36"/>
      <c r="G5" s="36"/>
    </row>
    <row r="6" spans="1:33" s="35" customFormat="1" x14ac:dyDescent="0.25">
      <c r="A6" s="758" t="s">
        <v>90</v>
      </c>
      <c r="B6" s="758"/>
      <c r="C6" s="216" t="str">
        <f>SUBSTITUTE(ADDRESS(1,COLUMN(Assy.Model!B9),4),"1","")</f>
        <v>B</v>
      </c>
      <c r="D6" s="36"/>
      <c r="E6" s="36"/>
      <c r="F6" s="36"/>
      <c r="G6" s="36"/>
    </row>
    <row r="7" spans="1:33" x14ac:dyDescent="0.25">
      <c r="B7" s="36"/>
      <c r="C7" s="36"/>
      <c r="D7" s="36"/>
      <c r="E7" s="36"/>
      <c r="F7" s="36"/>
      <c r="G7" s="36"/>
      <c r="M7" s="35"/>
      <c r="N7" s="35"/>
      <c r="O7" s="35"/>
      <c r="P7" s="35"/>
      <c r="Q7" s="53"/>
      <c r="R7" s="53">
        <v>10</v>
      </c>
      <c r="S7" s="201">
        <f>(AE7-R7)/(COLUMNS(R8:AE8)-1)</f>
        <v>0.65934076923076923</v>
      </c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>
        <v>18.571429999999999</v>
      </c>
    </row>
    <row r="8" spans="1:33" s="35" customFormat="1" x14ac:dyDescent="0.25">
      <c r="B8" s="61"/>
      <c r="C8" s="220"/>
      <c r="D8" s="220"/>
      <c r="E8" s="220"/>
      <c r="F8" s="220"/>
      <c r="G8" s="220"/>
      <c r="Q8" s="53"/>
      <c r="R8" s="201">
        <f>R7</f>
        <v>10</v>
      </c>
      <c r="S8" s="201">
        <f t="shared" ref="S8:AE8" si="1">R8+$S$7</f>
        <v>10.65934076923077</v>
      </c>
      <c r="T8" s="201">
        <f t="shared" si="1"/>
        <v>11.31868153846154</v>
      </c>
      <c r="U8" s="201">
        <f t="shared" si="1"/>
        <v>11.97802230769231</v>
      </c>
      <c r="V8" s="201">
        <f t="shared" si="1"/>
        <v>12.63736307692308</v>
      </c>
      <c r="W8" s="201">
        <f t="shared" si="1"/>
        <v>13.29670384615385</v>
      </c>
      <c r="X8" s="201">
        <f t="shared" si="1"/>
        <v>13.95604461538462</v>
      </c>
      <c r="Y8" s="201">
        <f t="shared" si="1"/>
        <v>14.61538538461539</v>
      </c>
      <c r="Z8" s="201">
        <f t="shared" si="1"/>
        <v>15.27472615384616</v>
      </c>
      <c r="AA8" s="201">
        <f t="shared" si="1"/>
        <v>15.93406692307693</v>
      </c>
      <c r="AB8" s="201">
        <f t="shared" si="1"/>
        <v>16.5934076923077</v>
      </c>
      <c r="AC8" s="201">
        <f t="shared" si="1"/>
        <v>17.25274846153847</v>
      </c>
      <c r="AD8" s="201">
        <f t="shared" si="1"/>
        <v>17.91208923076924</v>
      </c>
      <c r="AE8" s="201">
        <f t="shared" si="1"/>
        <v>18.57143000000001</v>
      </c>
    </row>
    <row r="9" spans="1:33" s="35" customFormat="1" x14ac:dyDescent="0.25">
      <c r="A9" s="170"/>
      <c r="B9" s="160" t="s">
        <v>39</v>
      </c>
      <c r="C9" s="765">
        <v>9</v>
      </c>
      <c r="D9" s="766"/>
      <c r="E9" s="766"/>
      <c r="F9" s="766"/>
      <c r="G9" s="766"/>
      <c r="H9" s="766"/>
      <c r="I9" s="766"/>
      <c r="J9" s="766"/>
      <c r="K9" s="767"/>
      <c r="L9" s="177"/>
      <c r="Q9" s="215">
        <v>50</v>
      </c>
      <c r="R9" s="202">
        <f>$Q$9+R8</f>
        <v>60</v>
      </c>
      <c r="S9" s="202">
        <f t="shared" ref="S9:AE9" si="2">R9+S8</f>
        <v>70.659340769230766</v>
      </c>
      <c r="T9" s="202">
        <f t="shared" si="2"/>
        <v>81.978022307692299</v>
      </c>
      <c r="U9" s="202">
        <f t="shared" si="2"/>
        <v>93.956044615384613</v>
      </c>
      <c r="V9" s="202">
        <f t="shared" si="2"/>
        <v>106.59340769230769</v>
      </c>
      <c r="W9" s="202">
        <f t="shared" si="2"/>
        <v>119.89011153846154</v>
      </c>
      <c r="X9" s="202">
        <f t="shared" si="2"/>
        <v>133.84615615384615</v>
      </c>
      <c r="Y9" s="202">
        <f t="shared" si="2"/>
        <v>148.46154153846155</v>
      </c>
      <c r="Z9" s="202">
        <f t="shared" si="2"/>
        <v>163.73626769230771</v>
      </c>
      <c r="AA9" s="202">
        <f t="shared" si="2"/>
        <v>179.67033461538463</v>
      </c>
      <c r="AB9" s="202">
        <f t="shared" si="2"/>
        <v>196.26374230769233</v>
      </c>
      <c r="AC9" s="202">
        <f t="shared" si="2"/>
        <v>213.51649076923078</v>
      </c>
      <c r="AD9" s="202">
        <f t="shared" si="2"/>
        <v>231.42858000000001</v>
      </c>
      <c r="AE9" s="202">
        <f t="shared" si="2"/>
        <v>250.00001000000003</v>
      </c>
    </row>
    <row r="10" spans="1:33" s="35" customFormat="1" ht="3.95" customHeight="1" x14ac:dyDescent="0.25">
      <c r="A10" s="165"/>
      <c r="B10" s="756"/>
      <c r="C10" s="757"/>
      <c r="D10" s="757"/>
      <c r="E10" s="757"/>
      <c r="F10" s="757"/>
      <c r="G10" s="757"/>
      <c r="H10" s="161"/>
      <c r="I10" s="161"/>
      <c r="J10" s="162"/>
      <c r="K10" s="163"/>
      <c r="Q10" s="5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</row>
    <row r="11" spans="1:33" ht="18" customHeight="1" x14ac:dyDescent="0.25">
      <c r="A11" s="772"/>
      <c r="B11" s="761" t="s">
        <v>35</v>
      </c>
      <c r="C11" s="785" t="s">
        <v>36</v>
      </c>
      <c r="D11" s="785"/>
      <c r="E11" s="768" t="s">
        <v>41</v>
      </c>
      <c r="F11" s="761" t="s">
        <v>37</v>
      </c>
      <c r="G11" s="761" t="s">
        <v>38</v>
      </c>
      <c r="H11" s="761" t="s">
        <v>46</v>
      </c>
      <c r="I11" s="770" t="s">
        <v>77</v>
      </c>
      <c r="J11" s="785" t="s">
        <v>66</v>
      </c>
      <c r="K11" s="785"/>
      <c r="M11" s="53"/>
      <c r="N11" s="53"/>
      <c r="P11" s="187">
        <v>350</v>
      </c>
      <c r="Q11" s="35" t="s">
        <v>86</v>
      </c>
      <c r="R11" s="53"/>
      <c r="S11" s="53"/>
      <c r="T11" s="53"/>
      <c r="U11" s="53"/>
      <c r="V11" s="53"/>
      <c r="W11" s="53"/>
      <c r="X11" s="53"/>
      <c r="Y11" s="35"/>
      <c r="Z11" s="35"/>
      <c r="AA11" s="35"/>
      <c r="AB11" s="35"/>
      <c r="AC11" s="35"/>
      <c r="AD11" s="35"/>
      <c r="AE11" s="35"/>
    </row>
    <row r="12" spans="1:33" ht="15.75" thickBot="1" x14ac:dyDescent="0.3">
      <c r="A12" s="784"/>
      <c r="B12" s="762"/>
      <c r="C12" s="95" t="s">
        <v>8</v>
      </c>
      <c r="D12" s="96" t="s">
        <v>10</v>
      </c>
      <c r="E12" s="769"/>
      <c r="F12" s="762"/>
      <c r="G12" s="762"/>
      <c r="H12" s="762"/>
      <c r="I12" s="771"/>
      <c r="J12" s="155" t="s">
        <v>8</v>
      </c>
      <c r="K12" s="156" t="s">
        <v>10</v>
      </c>
      <c r="M12" s="53"/>
      <c r="N12" s="53"/>
      <c r="O12" s="778" t="s">
        <v>49</v>
      </c>
      <c r="P12" s="779"/>
      <c r="Q12" s="763" t="s">
        <v>48</v>
      </c>
      <c r="R12" s="764"/>
      <c r="S12" s="764"/>
      <c r="T12" s="764"/>
      <c r="U12" s="764"/>
      <c r="V12" s="764"/>
      <c r="W12" s="764"/>
      <c r="X12" s="764"/>
      <c r="Y12" s="764"/>
      <c r="Z12" s="764"/>
      <c r="AA12" s="764"/>
      <c r="AB12" s="764"/>
      <c r="AC12" s="764"/>
      <c r="AD12" s="764"/>
      <c r="AE12" s="765"/>
      <c r="AF12" s="782" t="s">
        <v>66</v>
      </c>
      <c r="AG12" s="783"/>
    </row>
    <row r="13" spans="1:33" ht="15.75" thickBot="1" x14ac:dyDescent="0.3">
      <c r="A13" s="166" t="s">
        <v>67</v>
      </c>
      <c r="B13" s="786" t="s">
        <v>107</v>
      </c>
      <c r="C13" s="788" t="str">
        <f>SUBSTITUTE(ADDRESS(1,COLUMN(Assy.Model!X9),4),"1","")</f>
        <v>X</v>
      </c>
      <c r="D13" s="218" t="str">
        <f>SUBSTITUTE(ADDRESS(1,COLUMN(Assy.Model!Y9),4),"1","")</f>
        <v>Y</v>
      </c>
      <c r="E13" s="759" t="str">
        <f>SUBSTITUTE(ADDRESS(1,COLUMN(Assy.Model!H9),4),"1","")</f>
        <v>H</v>
      </c>
      <c r="F13" s="759" t="str">
        <f>SUBSTITUTE(ADDRESS(1,COLUMN(Assy.Model!AN9),4),"1","")</f>
        <v>AN</v>
      </c>
      <c r="G13" s="759" t="str">
        <f>SUBSTITUTE(ADDRESS(1,COLUMN(Assy.Model!AO9),4),"1","")</f>
        <v>AO</v>
      </c>
      <c r="H13" s="759" t="str">
        <f>SUBSTITUTE(ADDRESS(1,COLUMN(Assy.Model!AO9),4),"1","")</f>
        <v>AO</v>
      </c>
      <c r="I13" s="759" t="str">
        <f>SUBSTITUTE(ADDRESS(1,COLUMN(Assy.Model!Q9),4),"1","")</f>
        <v>Q</v>
      </c>
      <c r="J13" s="205">
        <v>36</v>
      </c>
      <c r="K13" s="206">
        <v>18</v>
      </c>
      <c r="M13" s="438">
        <v>1.5</v>
      </c>
      <c r="N13" s="53"/>
      <c r="O13" s="780"/>
      <c r="P13" s="781"/>
      <c r="Q13" s="190">
        <v>50</v>
      </c>
      <c r="R13" s="191">
        <f>Q13+10</f>
        <v>60</v>
      </c>
      <c r="S13" s="191">
        <f>R13+10</f>
        <v>70</v>
      </c>
      <c r="T13" s="191">
        <f>S13+10</f>
        <v>80</v>
      </c>
      <c r="U13" s="191">
        <v>90</v>
      </c>
      <c r="V13" s="191">
        <f>U13+10</f>
        <v>100</v>
      </c>
      <c r="W13" s="191">
        <f t="shared" ref="W13:AB13" si="3">V13+15</f>
        <v>115</v>
      </c>
      <c r="X13" s="191">
        <f t="shared" si="3"/>
        <v>130</v>
      </c>
      <c r="Y13" s="191">
        <f t="shared" si="3"/>
        <v>145</v>
      </c>
      <c r="Z13" s="191">
        <f t="shared" si="3"/>
        <v>160</v>
      </c>
      <c r="AA13" s="191">
        <f t="shared" si="3"/>
        <v>175</v>
      </c>
      <c r="AB13" s="191">
        <f t="shared" si="3"/>
        <v>190</v>
      </c>
      <c r="AC13" s="191">
        <f>AB13+20</f>
        <v>210</v>
      </c>
      <c r="AD13" s="191">
        <f>AC13+20</f>
        <v>230</v>
      </c>
      <c r="AE13" s="209">
        <f>AD13+20</f>
        <v>250</v>
      </c>
      <c r="AF13" s="210" t="s">
        <v>8</v>
      </c>
      <c r="AG13" s="156" t="s">
        <v>10</v>
      </c>
    </row>
    <row r="14" spans="1:33" x14ac:dyDescent="0.25">
      <c r="A14" s="164" t="s">
        <v>68</v>
      </c>
      <c r="B14" s="787"/>
      <c r="C14" s="789"/>
      <c r="D14" s="219" t="str">
        <f>SUBSTITUTE(ADDRESS(1,COLUMN(Assy.Model!AT9),4),"1","")</f>
        <v>AT</v>
      </c>
      <c r="E14" s="760"/>
      <c r="F14" s="760"/>
      <c r="G14" s="760"/>
      <c r="H14" s="760"/>
      <c r="I14" s="760"/>
      <c r="J14" s="207">
        <v>32</v>
      </c>
      <c r="K14" s="208">
        <v>9</v>
      </c>
      <c r="L14" s="53"/>
      <c r="M14" s="437">
        <v>6.25E-2</v>
      </c>
      <c r="N14" s="192">
        <v>32</v>
      </c>
      <c r="O14" s="776" t="s">
        <v>50</v>
      </c>
      <c r="P14" s="434">
        <f t="shared" ref="P14:P19" si="4">ROUND(M14/(1/N14),0)/N14</f>
        <v>6.25E-2</v>
      </c>
      <c r="Q14" s="195">
        <f t="shared" ref="Q14:AE20" si="5">IF(ROUNDDOWN(((Q$13*$P14*60)/12),0)&gt;$P$11,"",(Q$13*$P14*60)/12)</f>
        <v>15.625</v>
      </c>
      <c r="R14" s="196">
        <f t="shared" si="5"/>
        <v>18.75</v>
      </c>
      <c r="S14" s="196">
        <f t="shared" si="5"/>
        <v>21.875</v>
      </c>
      <c r="T14" s="196">
        <f t="shared" si="5"/>
        <v>25</v>
      </c>
      <c r="U14" s="196">
        <f t="shared" si="5"/>
        <v>28.125</v>
      </c>
      <c r="V14" s="196">
        <f t="shared" si="5"/>
        <v>31.25</v>
      </c>
      <c r="W14" s="196">
        <f t="shared" si="5"/>
        <v>35.9375</v>
      </c>
      <c r="X14" s="196">
        <f t="shared" si="5"/>
        <v>40.625</v>
      </c>
      <c r="Y14" s="196">
        <f t="shared" si="5"/>
        <v>45.3125</v>
      </c>
      <c r="Z14" s="196">
        <f t="shared" si="5"/>
        <v>50</v>
      </c>
      <c r="AA14" s="196">
        <f t="shared" si="5"/>
        <v>54.6875</v>
      </c>
      <c r="AB14" s="196">
        <f t="shared" si="5"/>
        <v>59.375</v>
      </c>
      <c r="AC14" s="196">
        <f t="shared" si="5"/>
        <v>65.625</v>
      </c>
      <c r="AD14" s="196">
        <f t="shared" si="5"/>
        <v>71.875</v>
      </c>
      <c r="AE14" s="196">
        <f t="shared" si="5"/>
        <v>78.125</v>
      </c>
      <c r="AF14" s="211">
        <v>32</v>
      </c>
      <c r="AG14" s="206">
        <v>18</v>
      </c>
    </row>
    <row r="15" spans="1:33" x14ac:dyDescent="0.25">
      <c r="A15" s="167"/>
      <c r="B15" s="168"/>
      <c r="C15" s="169" t="s">
        <v>40</v>
      </c>
      <c r="D15" s="169"/>
      <c r="E15" s="169"/>
      <c r="F15" s="169" t="s">
        <v>40</v>
      </c>
      <c r="G15" s="169"/>
      <c r="H15" s="169"/>
      <c r="I15" s="169"/>
      <c r="J15" s="167"/>
      <c r="K15" s="167"/>
      <c r="M15" s="295">
        <f t="shared" ref="M15:M20" si="6">M14*$M$13</f>
        <v>9.375E-2</v>
      </c>
      <c r="N15" s="192">
        <v>32</v>
      </c>
      <c r="O15" s="776"/>
      <c r="P15" s="435">
        <f t="shared" si="4"/>
        <v>9.375E-2</v>
      </c>
      <c r="Q15" s="197">
        <f t="shared" si="5"/>
        <v>23.4375</v>
      </c>
      <c r="R15" s="198">
        <f t="shared" si="5"/>
        <v>28.125</v>
      </c>
      <c r="S15" s="198">
        <f t="shared" si="5"/>
        <v>32.8125</v>
      </c>
      <c r="T15" s="198">
        <f t="shared" si="5"/>
        <v>37.5</v>
      </c>
      <c r="U15" s="198">
        <f t="shared" si="5"/>
        <v>42.1875</v>
      </c>
      <c r="V15" s="198">
        <f t="shared" si="5"/>
        <v>46.875</v>
      </c>
      <c r="W15" s="198">
        <f t="shared" si="5"/>
        <v>53.90625</v>
      </c>
      <c r="X15" s="198">
        <f t="shared" si="5"/>
        <v>60.9375</v>
      </c>
      <c r="Y15" s="198">
        <f t="shared" si="5"/>
        <v>67.96875</v>
      </c>
      <c r="Z15" s="198">
        <f t="shared" si="5"/>
        <v>75</v>
      </c>
      <c r="AA15" s="198">
        <f t="shared" si="5"/>
        <v>82.03125</v>
      </c>
      <c r="AB15" s="198">
        <f t="shared" si="5"/>
        <v>89.0625</v>
      </c>
      <c r="AC15" s="198">
        <f t="shared" si="5"/>
        <v>98.4375</v>
      </c>
      <c r="AD15" s="198">
        <f t="shared" si="5"/>
        <v>107.8125</v>
      </c>
      <c r="AE15" s="198">
        <f t="shared" si="5"/>
        <v>117.1875</v>
      </c>
      <c r="AF15" s="213">
        <v>28</v>
      </c>
      <c r="AG15" s="214">
        <v>18</v>
      </c>
    </row>
    <row r="16" spans="1:33" x14ac:dyDescent="0.25">
      <c r="A16" s="36"/>
      <c r="B16" s="61"/>
      <c r="C16" s="61"/>
      <c r="D16" s="61"/>
      <c r="E16" s="61"/>
      <c r="F16" s="61"/>
      <c r="G16" s="61"/>
      <c r="H16" s="61"/>
      <c r="I16" s="61"/>
      <c r="J16" s="36"/>
      <c r="K16" s="36"/>
      <c r="M16" s="295">
        <f t="shared" si="6"/>
        <v>0.140625</v>
      </c>
      <c r="N16" s="192">
        <v>32</v>
      </c>
      <c r="O16" s="776"/>
      <c r="P16" s="435">
        <f t="shared" si="4"/>
        <v>0.15625</v>
      </c>
      <c r="Q16" s="197">
        <f t="shared" si="5"/>
        <v>39.0625</v>
      </c>
      <c r="R16" s="198">
        <f t="shared" si="5"/>
        <v>46.875</v>
      </c>
      <c r="S16" s="198">
        <f t="shared" si="5"/>
        <v>54.6875</v>
      </c>
      <c r="T16" s="198">
        <f t="shared" si="5"/>
        <v>62.5</v>
      </c>
      <c r="U16" s="198">
        <f t="shared" si="5"/>
        <v>70.3125</v>
      </c>
      <c r="V16" s="198">
        <f t="shared" si="5"/>
        <v>78.125</v>
      </c>
      <c r="W16" s="198">
        <f t="shared" si="5"/>
        <v>89.84375</v>
      </c>
      <c r="X16" s="198">
        <f t="shared" si="5"/>
        <v>101.5625</v>
      </c>
      <c r="Y16" s="198">
        <f t="shared" si="5"/>
        <v>113.28125</v>
      </c>
      <c r="Z16" s="198">
        <f t="shared" si="5"/>
        <v>125</v>
      </c>
      <c r="AA16" s="198">
        <f t="shared" si="5"/>
        <v>136.71875</v>
      </c>
      <c r="AB16" s="198">
        <f t="shared" si="5"/>
        <v>148.4375</v>
      </c>
      <c r="AC16" s="198">
        <f t="shared" si="5"/>
        <v>164.0625</v>
      </c>
      <c r="AD16" s="198">
        <f t="shared" si="5"/>
        <v>179.6875</v>
      </c>
      <c r="AE16" s="198">
        <f t="shared" si="5"/>
        <v>195.3125</v>
      </c>
      <c r="AF16" s="213">
        <v>24</v>
      </c>
      <c r="AG16" s="214">
        <v>18</v>
      </c>
    </row>
    <row r="17" spans="1:33" x14ac:dyDescent="0.25">
      <c r="A17" s="36"/>
      <c r="B17" s="61"/>
      <c r="C17" s="61"/>
      <c r="D17" s="61"/>
      <c r="E17" s="61"/>
      <c r="F17" s="61"/>
      <c r="G17" s="61"/>
      <c r="H17" s="61"/>
      <c r="I17" s="61"/>
      <c r="J17" s="36"/>
      <c r="K17" s="36"/>
      <c r="M17" s="295">
        <f t="shared" si="6"/>
        <v>0.2109375</v>
      </c>
      <c r="N17" s="192">
        <v>32</v>
      </c>
      <c r="O17" s="776"/>
      <c r="P17" s="435">
        <f t="shared" si="4"/>
        <v>0.21875</v>
      </c>
      <c r="Q17" s="197">
        <f t="shared" si="5"/>
        <v>54.6875</v>
      </c>
      <c r="R17" s="198">
        <f t="shared" si="5"/>
        <v>65.625</v>
      </c>
      <c r="S17" s="198">
        <f t="shared" si="5"/>
        <v>76.5625</v>
      </c>
      <c r="T17" s="198">
        <f t="shared" si="5"/>
        <v>87.5</v>
      </c>
      <c r="U17" s="198">
        <f t="shared" si="5"/>
        <v>98.4375</v>
      </c>
      <c r="V17" s="198">
        <f t="shared" si="5"/>
        <v>109.375</v>
      </c>
      <c r="W17" s="198">
        <f t="shared" si="5"/>
        <v>125.78125</v>
      </c>
      <c r="X17" s="198">
        <f t="shared" si="5"/>
        <v>142.1875</v>
      </c>
      <c r="Y17" s="198">
        <f t="shared" si="5"/>
        <v>158.59375</v>
      </c>
      <c r="Z17" s="198">
        <f t="shared" si="5"/>
        <v>175</v>
      </c>
      <c r="AA17" s="198">
        <f t="shared" si="5"/>
        <v>191.40625</v>
      </c>
      <c r="AB17" s="198">
        <f t="shared" si="5"/>
        <v>207.8125</v>
      </c>
      <c r="AC17" s="198">
        <f t="shared" si="5"/>
        <v>229.6875</v>
      </c>
      <c r="AD17" s="198">
        <f t="shared" si="5"/>
        <v>251.5625</v>
      </c>
      <c r="AE17" s="198">
        <f t="shared" si="5"/>
        <v>273.4375</v>
      </c>
      <c r="AF17" s="213">
        <v>20</v>
      </c>
      <c r="AG17" s="214">
        <v>18</v>
      </c>
    </row>
    <row r="18" spans="1:33" s="35" customFormat="1" x14ac:dyDescent="0.25">
      <c r="A18" s="36"/>
      <c r="B18" s="61" t="s">
        <v>75</v>
      </c>
      <c r="C18" s="216" t="str">
        <f>SUBSTITUTE(ADDRESS(1,COLUMN(Assy.Model!AS9),4),"1","")</f>
        <v>AS</v>
      </c>
      <c r="D18" s="216">
        <f>ROW(Assy.Model!AS5)</f>
        <v>5</v>
      </c>
      <c r="E18" s="61"/>
      <c r="F18" s="61"/>
      <c r="G18" s="61"/>
      <c r="H18" s="61"/>
      <c r="I18" s="61"/>
      <c r="J18" s="36"/>
      <c r="K18" s="36"/>
      <c r="M18" s="295">
        <f t="shared" si="6"/>
        <v>0.31640625</v>
      </c>
      <c r="N18" s="192">
        <v>32</v>
      </c>
      <c r="O18" s="776"/>
      <c r="P18" s="435">
        <f t="shared" si="4"/>
        <v>0.3125</v>
      </c>
      <c r="Q18" s="197">
        <f t="shared" si="5"/>
        <v>78.125</v>
      </c>
      <c r="R18" s="198">
        <f t="shared" si="5"/>
        <v>93.75</v>
      </c>
      <c r="S18" s="198">
        <f t="shared" si="5"/>
        <v>109.375</v>
      </c>
      <c r="T18" s="198">
        <f t="shared" si="5"/>
        <v>125</v>
      </c>
      <c r="U18" s="198">
        <f t="shared" si="5"/>
        <v>140.625</v>
      </c>
      <c r="V18" s="198">
        <f t="shared" si="5"/>
        <v>156.25</v>
      </c>
      <c r="W18" s="198">
        <f t="shared" si="5"/>
        <v>179.6875</v>
      </c>
      <c r="X18" s="198">
        <f t="shared" si="5"/>
        <v>203.125</v>
      </c>
      <c r="Y18" s="198">
        <f t="shared" si="5"/>
        <v>226.5625</v>
      </c>
      <c r="Z18" s="198">
        <f t="shared" si="5"/>
        <v>250</v>
      </c>
      <c r="AA18" s="198">
        <f t="shared" si="5"/>
        <v>273.4375</v>
      </c>
      <c r="AB18" s="198">
        <f t="shared" si="5"/>
        <v>296.875</v>
      </c>
      <c r="AC18" s="198">
        <f t="shared" si="5"/>
        <v>328.125</v>
      </c>
      <c r="AD18" s="198" t="str">
        <f t="shared" si="5"/>
        <v/>
      </c>
      <c r="AE18" s="198" t="str">
        <f t="shared" si="5"/>
        <v/>
      </c>
      <c r="AF18" s="213">
        <v>16</v>
      </c>
      <c r="AG18" s="214">
        <v>18</v>
      </c>
    </row>
    <row r="19" spans="1:33" x14ac:dyDescent="0.25">
      <c r="B19" s="53" t="s">
        <v>89</v>
      </c>
      <c r="C19" s="193">
        <v>7.875</v>
      </c>
      <c r="D19" s="53"/>
      <c r="E19" s="53"/>
      <c r="F19" s="53"/>
      <c r="G19" s="53"/>
      <c r="H19" s="53"/>
      <c r="I19" s="53"/>
      <c r="M19" s="295">
        <f t="shared" si="6"/>
        <v>0.474609375</v>
      </c>
      <c r="N19" s="192">
        <v>32</v>
      </c>
      <c r="O19" s="776"/>
      <c r="P19" s="435">
        <f t="shared" si="4"/>
        <v>0.46875</v>
      </c>
      <c r="Q19" s="197">
        <f t="shared" si="5"/>
        <v>117.1875</v>
      </c>
      <c r="R19" s="198">
        <f t="shared" si="5"/>
        <v>140.625</v>
      </c>
      <c r="S19" s="198">
        <f t="shared" si="5"/>
        <v>164.0625</v>
      </c>
      <c r="T19" s="198">
        <f t="shared" si="5"/>
        <v>187.5</v>
      </c>
      <c r="U19" s="198">
        <f t="shared" si="5"/>
        <v>210.9375</v>
      </c>
      <c r="V19" s="198">
        <f t="shared" si="5"/>
        <v>234.375</v>
      </c>
      <c r="W19" s="198">
        <f t="shared" si="5"/>
        <v>269.53125</v>
      </c>
      <c r="X19" s="198">
        <f t="shared" si="5"/>
        <v>304.6875</v>
      </c>
      <c r="Y19" s="198">
        <f t="shared" si="5"/>
        <v>339.84375</v>
      </c>
      <c r="Z19" s="198" t="str">
        <f t="shared" si="5"/>
        <v/>
      </c>
      <c r="AA19" s="198" t="str">
        <f t="shared" si="5"/>
        <v/>
      </c>
      <c r="AB19" s="198" t="str">
        <f t="shared" si="5"/>
        <v/>
      </c>
      <c r="AC19" s="198" t="str">
        <f t="shared" si="5"/>
        <v/>
      </c>
      <c r="AD19" s="198" t="str">
        <f t="shared" si="5"/>
        <v/>
      </c>
      <c r="AE19" s="198" t="str">
        <f t="shared" si="5"/>
        <v/>
      </c>
      <c r="AF19" s="213">
        <v>8</v>
      </c>
      <c r="AG19" s="214">
        <v>18</v>
      </c>
    </row>
    <row r="20" spans="1:33" x14ac:dyDescent="0.25">
      <c r="B20" s="53"/>
      <c r="C20" s="53"/>
      <c r="D20" s="53"/>
      <c r="E20" s="53"/>
      <c r="F20" s="53"/>
      <c r="G20" s="53"/>
      <c r="H20" s="53"/>
      <c r="I20" s="53"/>
      <c r="M20" s="295">
        <f t="shared" si="6"/>
        <v>0.7119140625</v>
      </c>
      <c r="N20" s="192">
        <v>32</v>
      </c>
      <c r="O20" s="777"/>
      <c r="P20" s="436">
        <f>ROUND(M20/(1/N20),0)/N20</f>
        <v>0.71875</v>
      </c>
      <c r="Q20" s="199">
        <f t="shared" si="5"/>
        <v>179.6875</v>
      </c>
      <c r="R20" s="200">
        <f t="shared" si="5"/>
        <v>215.625</v>
      </c>
      <c r="S20" s="200">
        <f t="shared" si="5"/>
        <v>251.5625</v>
      </c>
      <c r="T20" s="200">
        <f t="shared" si="5"/>
        <v>287.5</v>
      </c>
      <c r="U20" s="200">
        <f t="shared" si="5"/>
        <v>323.4375</v>
      </c>
      <c r="V20" s="200" t="str">
        <f t="shared" si="5"/>
        <v/>
      </c>
      <c r="W20" s="200" t="str">
        <f t="shared" si="5"/>
        <v/>
      </c>
      <c r="X20" s="200" t="str">
        <f t="shared" si="5"/>
        <v/>
      </c>
      <c r="Y20" s="200" t="str">
        <f t="shared" si="5"/>
        <v/>
      </c>
      <c r="Z20" s="200" t="str">
        <f t="shared" si="5"/>
        <v/>
      </c>
      <c r="AA20" s="200" t="str">
        <f t="shared" si="5"/>
        <v/>
      </c>
      <c r="AB20" s="200" t="str">
        <f t="shared" si="5"/>
        <v/>
      </c>
      <c r="AC20" s="200" t="str">
        <f t="shared" si="5"/>
        <v/>
      </c>
      <c r="AD20" s="200" t="str">
        <f t="shared" si="5"/>
        <v/>
      </c>
      <c r="AE20" s="200" t="str">
        <f t="shared" si="5"/>
        <v/>
      </c>
      <c r="AF20" s="212">
        <v>4</v>
      </c>
      <c r="AG20" s="208">
        <v>18</v>
      </c>
    </row>
    <row r="21" spans="1:33" x14ac:dyDescent="0.25">
      <c r="B21" s="765" t="s">
        <v>74</v>
      </c>
      <c r="C21" s="766"/>
      <c r="D21" s="766"/>
      <c r="E21" s="766"/>
      <c r="F21" s="767"/>
      <c r="G21" s="53"/>
      <c r="H21" s="53"/>
      <c r="I21" s="53"/>
    </row>
    <row r="22" spans="1:33" x14ac:dyDescent="0.25">
      <c r="B22" s="772"/>
      <c r="C22" s="765" t="s">
        <v>73</v>
      </c>
      <c r="D22" s="767"/>
      <c r="E22" s="770" t="s">
        <v>70</v>
      </c>
      <c r="F22" s="770" t="s">
        <v>71</v>
      </c>
      <c r="G22" s="53"/>
      <c r="H22" s="53"/>
      <c r="I22" s="53"/>
    </row>
    <row r="23" spans="1:33" s="35" customFormat="1" ht="15.75" thickBot="1" x14ac:dyDescent="0.3">
      <c r="B23" s="773"/>
      <c r="C23" s="159" t="s">
        <v>8</v>
      </c>
      <c r="D23" s="159" t="s">
        <v>9</v>
      </c>
      <c r="E23" s="771"/>
      <c r="F23" s="771"/>
      <c r="G23" s="53"/>
      <c r="H23" s="53"/>
      <c r="I23" s="53"/>
      <c r="N23" s="53"/>
    </row>
    <row r="24" spans="1:33" s="35" customFormat="1" x14ac:dyDescent="0.25">
      <c r="B24" s="157" t="s">
        <v>69</v>
      </c>
      <c r="C24" s="157">
        <v>0</v>
      </c>
      <c r="D24" s="774">
        <v>0</v>
      </c>
      <c r="E24" s="774">
        <v>2</v>
      </c>
      <c r="F24" s="774">
        <v>270</v>
      </c>
      <c r="G24" s="53"/>
      <c r="H24" s="53"/>
      <c r="I24" s="53"/>
      <c r="N24" s="53"/>
    </row>
    <row r="25" spans="1:33" s="35" customFormat="1" x14ac:dyDescent="0.25">
      <c r="B25" s="158" t="s">
        <v>72</v>
      </c>
      <c r="C25" s="204">
        <f>C19/2</f>
        <v>3.9375</v>
      </c>
      <c r="D25" s="775"/>
      <c r="E25" s="775"/>
      <c r="F25" s="775"/>
      <c r="G25" s="53"/>
      <c r="H25" s="53"/>
      <c r="I25" s="53"/>
    </row>
    <row r="26" spans="1:33" s="35" customFormat="1" x14ac:dyDescent="0.25">
      <c r="G26" s="53"/>
      <c r="H26" s="53"/>
      <c r="I26" s="53"/>
    </row>
    <row r="27" spans="1:33" s="35" customFormat="1" x14ac:dyDescent="0.25">
      <c r="B27" s="53" t="s">
        <v>108</v>
      </c>
      <c r="C27" s="53"/>
      <c r="G27" s="53"/>
      <c r="H27" s="53"/>
      <c r="I27" s="53"/>
    </row>
    <row r="28" spans="1:33" s="35" customFormat="1" x14ac:dyDescent="0.25">
      <c r="B28" s="53">
        <v>8479</v>
      </c>
      <c r="C28" s="53"/>
      <c r="G28" s="53"/>
      <c r="H28" s="53"/>
      <c r="I28" s="53"/>
    </row>
    <row r="29" spans="1:33" s="35" customFormat="1" x14ac:dyDescent="0.25">
      <c r="B29" s="217"/>
      <c r="D29" s="217"/>
    </row>
    <row r="30" spans="1:33" s="35" customFormat="1" x14ac:dyDescent="0.25">
      <c r="AF30" s="217"/>
    </row>
    <row r="31" spans="1:33" x14ac:dyDescent="0.25">
      <c r="AB31" s="35"/>
      <c r="AF31" s="35"/>
    </row>
    <row r="32" spans="1:33" s="35" customFormat="1" x14ac:dyDescent="0.25">
      <c r="B32" s="217"/>
    </row>
    <row r="33" ht="15" customHeight="1" x14ac:dyDescent="0.25"/>
    <row r="40" ht="15" customHeight="1" x14ac:dyDescent="0.25"/>
    <row r="56" spans="2:9" x14ac:dyDescent="0.25">
      <c r="B56" s="53"/>
      <c r="C56" s="53"/>
      <c r="D56" s="53"/>
      <c r="E56" s="53"/>
      <c r="F56" s="53"/>
      <c r="G56" s="53"/>
      <c r="H56" s="53"/>
      <c r="I56" s="53"/>
    </row>
    <row r="57" spans="2:9" x14ac:dyDescent="0.25">
      <c r="B57" s="53"/>
      <c r="C57" s="53"/>
      <c r="D57" s="53"/>
      <c r="E57" s="53"/>
      <c r="F57" s="53"/>
      <c r="G57" s="53"/>
      <c r="H57" s="53"/>
      <c r="I57" s="53"/>
    </row>
    <row r="58" spans="2:9" x14ac:dyDescent="0.25">
      <c r="B58" s="53"/>
      <c r="C58" s="53"/>
      <c r="D58" s="53"/>
      <c r="E58" s="53"/>
      <c r="F58" s="53"/>
      <c r="G58" s="53"/>
      <c r="H58" s="53"/>
      <c r="I58" s="53"/>
    </row>
    <row r="69" spans="2:9" x14ac:dyDescent="0.25">
      <c r="B69" s="53"/>
      <c r="C69" s="53"/>
      <c r="D69" s="53"/>
      <c r="E69" s="53"/>
      <c r="F69" s="53"/>
      <c r="G69" s="53"/>
      <c r="H69" s="53"/>
      <c r="I69" s="53"/>
    </row>
    <row r="70" spans="2:9" x14ac:dyDescent="0.25">
      <c r="B70" s="53"/>
      <c r="C70" s="53"/>
      <c r="D70" s="53"/>
      <c r="E70" s="53"/>
      <c r="F70" s="53"/>
      <c r="G70" s="53"/>
      <c r="H70" s="53"/>
      <c r="I70" s="53"/>
    </row>
    <row r="71" spans="2:9" x14ac:dyDescent="0.25">
      <c r="B71" s="53"/>
      <c r="C71" s="53"/>
      <c r="D71" s="53"/>
      <c r="E71" s="53"/>
      <c r="F71" s="53"/>
      <c r="G71" s="53"/>
      <c r="H71" s="53"/>
      <c r="I71" s="53"/>
    </row>
    <row r="72" spans="2:9" x14ac:dyDescent="0.25">
      <c r="B72" s="53"/>
      <c r="C72" s="53"/>
      <c r="D72" s="53"/>
      <c r="E72" s="53"/>
      <c r="F72" s="53"/>
      <c r="G72" s="53"/>
      <c r="H72" s="53"/>
      <c r="I72" s="53"/>
    </row>
    <row r="73" spans="2:9" x14ac:dyDescent="0.25">
      <c r="B73" s="53"/>
      <c r="C73" s="53"/>
      <c r="D73" s="53"/>
      <c r="E73" s="53"/>
      <c r="F73" s="53"/>
      <c r="G73" s="53"/>
      <c r="H73" s="53"/>
      <c r="I73" s="53"/>
    </row>
    <row r="74" spans="2:9" x14ac:dyDescent="0.25">
      <c r="B74" s="53"/>
      <c r="C74" s="53"/>
      <c r="D74" s="53"/>
      <c r="E74" s="53"/>
      <c r="F74" s="53"/>
      <c r="G74" s="53"/>
      <c r="H74" s="53"/>
      <c r="I74" s="53"/>
    </row>
    <row r="75" spans="2:9" x14ac:dyDescent="0.25">
      <c r="B75" s="53"/>
      <c r="C75" s="53"/>
      <c r="D75" s="53"/>
      <c r="E75" s="53"/>
      <c r="F75" s="53"/>
      <c r="G75" s="53"/>
      <c r="H75" s="53"/>
      <c r="I75" s="53"/>
    </row>
    <row r="76" spans="2:9" x14ac:dyDescent="0.25">
      <c r="B76" s="53"/>
      <c r="C76" s="53"/>
      <c r="D76" s="53"/>
      <c r="E76" s="53"/>
      <c r="F76" s="53"/>
      <c r="G76" s="53"/>
      <c r="H76" s="53"/>
      <c r="I76" s="53"/>
    </row>
    <row r="77" spans="2:9" x14ac:dyDescent="0.25">
      <c r="B77" s="53"/>
      <c r="C77" s="53"/>
      <c r="D77" s="53"/>
      <c r="E77" s="53"/>
      <c r="F77" s="53"/>
      <c r="G77" s="53"/>
      <c r="H77" s="53"/>
      <c r="I77" s="53"/>
    </row>
    <row r="78" spans="2:9" x14ac:dyDescent="0.25">
      <c r="B78" s="53"/>
      <c r="C78" s="53"/>
      <c r="D78" s="53"/>
      <c r="E78" s="53"/>
      <c r="F78" s="53"/>
      <c r="G78" s="53"/>
      <c r="H78" s="53"/>
      <c r="I78" s="53"/>
    </row>
    <row r="79" spans="2:9" x14ac:dyDescent="0.25">
      <c r="B79" s="53"/>
      <c r="C79" s="53"/>
      <c r="D79" s="53"/>
      <c r="E79" s="53"/>
      <c r="F79" s="53"/>
      <c r="G79" s="53"/>
      <c r="H79" s="53"/>
      <c r="I79" s="53"/>
    </row>
    <row r="80" spans="2:9" x14ac:dyDescent="0.25">
      <c r="B80" s="53"/>
      <c r="C80" s="53"/>
      <c r="D80" s="53"/>
      <c r="E80" s="53"/>
      <c r="F80" s="53"/>
      <c r="G80" s="53"/>
      <c r="H80" s="53"/>
      <c r="I80" s="53"/>
    </row>
    <row r="81" spans="2:9" x14ac:dyDescent="0.25">
      <c r="B81" s="53"/>
      <c r="C81" s="53"/>
      <c r="D81" s="53"/>
      <c r="E81" s="53"/>
      <c r="F81" s="53"/>
      <c r="G81" s="53"/>
      <c r="H81" s="53"/>
      <c r="I81" s="53"/>
    </row>
    <row r="82" spans="2:9" x14ac:dyDescent="0.25">
      <c r="B82" s="53"/>
      <c r="C82" s="53"/>
      <c r="D82" s="53"/>
      <c r="E82" s="53"/>
      <c r="F82" s="53"/>
      <c r="G82" s="53"/>
      <c r="H82" s="53"/>
      <c r="I82" s="53"/>
    </row>
    <row r="83" spans="2:9" x14ac:dyDescent="0.25">
      <c r="B83" s="53"/>
      <c r="C83" s="53"/>
      <c r="D83" s="53"/>
      <c r="E83" s="53"/>
      <c r="F83" s="53"/>
      <c r="G83" s="53"/>
      <c r="H83" s="53"/>
      <c r="I83" s="53"/>
    </row>
    <row r="84" spans="2:9" x14ac:dyDescent="0.25">
      <c r="B84" s="53"/>
      <c r="C84" s="53"/>
      <c r="D84" s="53"/>
      <c r="E84" s="53"/>
      <c r="F84" s="53"/>
      <c r="G84" s="53"/>
      <c r="H84" s="53"/>
      <c r="I84" s="53"/>
    </row>
    <row r="85" spans="2:9" x14ac:dyDescent="0.25">
      <c r="B85" s="53"/>
      <c r="C85" s="53"/>
      <c r="D85" s="53"/>
      <c r="E85" s="53"/>
      <c r="F85" s="53"/>
      <c r="G85" s="53"/>
      <c r="H85" s="53"/>
      <c r="I85" s="53"/>
    </row>
    <row r="86" spans="2:9" x14ac:dyDescent="0.25">
      <c r="B86" s="53"/>
      <c r="C86" s="53"/>
      <c r="D86" s="53"/>
      <c r="E86" s="53"/>
      <c r="F86" s="53"/>
      <c r="G86" s="53"/>
      <c r="H86" s="53"/>
      <c r="I86" s="53"/>
    </row>
    <row r="87" spans="2:9" x14ac:dyDescent="0.25">
      <c r="B87" s="53"/>
      <c r="C87" s="53"/>
      <c r="D87" s="53"/>
      <c r="E87" s="53"/>
      <c r="F87" s="53"/>
      <c r="G87" s="53"/>
      <c r="H87" s="53"/>
      <c r="I87" s="53"/>
    </row>
    <row r="88" spans="2:9" x14ac:dyDescent="0.25">
      <c r="B88" s="53"/>
      <c r="C88" s="53"/>
      <c r="D88" s="53"/>
      <c r="E88" s="53"/>
      <c r="F88" s="53"/>
      <c r="G88" s="53"/>
      <c r="H88" s="53"/>
      <c r="I88" s="53"/>
    </row>
    <row r="89" spans="2:9" x14ac:dyDescent="0.25">
      <c r="B89" s="53"/>
      <c r="C89" s="53"/>
      <c r="D89" s="53"/>
      <c r="E89" s="53"/>
      <c r="F89" s="53"/>
      <c r="G89" s="53"/>
      <c r="H89" s="53"/>
      <c r="I89" s="53"/>
    </row>
    <row r="90" spans="2:9" x14ac:dyDescent="0.25">
      <c r="B90" s="53"/>
      <c r="C90" s="53"/>
      <c r="D90" s="53"/>
      <c r="E90" s="53"/>
      <c r="F90" s="53"/>
      <c r="G90" s="53"/>
      <c r="H90" s="53"/>
      <c r="I90" s="53"/>
    </row>
    <row r="91" spans="2:9" x14ac:dyDescent="0.25">
      <c r="B91" s="53"/>
      <c r="C91" s="53"/>
      <c r="D91" s="53"/>
      <c r="E91" s="53"/>
      <c r="F91" s="53"/>
      <c r="G91" s="53"/>
      <c r="H91" s="53"/>
      <c r="I91" s="53"/>
    </row>
    <row r="92" spans="2:9" x14ac:dyDescent="0.25">
      <c r="B92" s="53"/>
      <c r="C92" s="53"/>
      <c r="D92" s="53"/>
      <c r="E92" s="53"/>
      <c r="F92" s="53"/>
      <c r="G92" s="53"/>
      <c r="H92" s="53"/>
      <c r="I92" s="53"/>
    </row>
    <row r="93" spans="2:9" x14ac:dyDescent="0.25">
      <c r="B93" s="53"/>
      <c r="C93" s="53"/>
      <c r="D93" s="53"/>
      <c r="E93" s="53"/>
      <c r="F93" s="53"/>
      <c r="G93" s="53"/>
      <c r="H93" s="53"/>
      <c r="I93" s="53"/>
    </row>
    <row r="94" spans="2:9" x14ac:dyDescent="0.25">
      <c r="B94" s="53"/>
      <c r="C94" s="53"/>
      <c r="D94" s="53"/>
      <c r="E94" s="53"/>
      <c r="F94" s="53"/>
      <c r="G94" s="53"/>
      <c r="H94" s="53"/>
      <c r="I94" s="53"/>
    </row>
    <row r="95" spans="2:9" x14ac:dyDescent="0.25">
      <c r="B95" s="53"/>
      <c r="C95" s="53"/>
      <c r="D95" s="53"/>
      <c r="E95" s="53"/>
      <c r="F95" s="53"/>
      <c r="G95" s="53"/>
      <c r="H95" s="53"/>
      <c r="I95" s="53"/>
    </row>
    <row r="96" spans="2:9" x14ac:dyDescent="0.25">
      <c r="B96" s="53"/>
      <c r="C96" s="53"/>
      <c r="D96" s="53"/>
      <c r="E96" s="53"/>
      <c r="F96" s="53"/>
      <c r="G96" s="53"/>
      <c r="H96" s="53"/>
      <c r="I96" s="53"/>
    </row>
    <row r="97" spans="2:9" x14ac:dyDescent="0.25">
      <c r="B97" s="53"/>
      <c r="C97" s="53"/>
      <c r="D97" s="53"/>
      <c r="E97" s="53"/>
      <c r="F97" s="53"/>
      <c r="G97" s="53"/>
      <c r="H97" s="53"/>
      <c r="I97" s="53"/>
    </row>
    <row r="98" spans="2:9" x14ac:dyDescent="0.25">
      <c r="B98" s="53"/>
      <c r="C98" s="53"/>
      <c r="D98" s="53"/>
      <c r="E98" s="53"/>
      <c r="F98" s="53"/>
      <c r="G98" s="53"/>
      <c r="H98" s="53"/>
      <c r="I98" s="53"/>
    </row>
    <row r="99" spans="2:9" x14ac:dyDescent="0.25">
      <c r="B99" s="53"/>
      <c r="C99" s="53"/>
      <c r="D99" s="53"/>
      <c r="E99" s="53"/>
      <c r="F99" s="53"/>
      <c r="G99" s="53"/>
      <c r="H99" s="53"/>
      <c r="I99" s="53"/>
    </row>
    <row r="100" spans="2:9" x14ac:dyDescent="0.25">
      <c r="B100" s="53"/>
      <c r="C100" s="53"/>
      <c r="D100" s="53"/>
      <c r="E100" s="53"/>
      <c r="F100" s="53"/>
      <c r="G100" s="53"/>
      <c r="H100" s="53"/>
      <c r="I100" s="53"/>
    </row>
    <row r="101" spans="2:9" x14ac:dyDescent="0.25">
      <c r="B101" s="53"/>
      <c r="C101" s="53"/>
      <c r="D101" s="53"/>
      <c r="E101" s="53"/>
      <c r="F101" s="53"/>
      <c r="G101" s="53"/>
      <c r="H101" s="53"/>
      <c r="I101" s="53"/>
    </row>
    <row r="102" spans="2:9" x14ac:dyDescent="0.25">
      <c r="B102" s="53"/>
      <c r="C102" s="53"/>
      <c r="D102" s="53"/>
      <c r="E102" s="53"/>
      <c r="F102" s="53"/>
      <c r="G102" s="53"/>
      <c r="H102" s="53"/>
      <c r="I102" s="53"/>
    </row>
    <row r="103" spans="2:9" x14ac:dyDescent="0.25">
      <c r="B103" s="53"/>
      <c r="C103" s="53"/>
      <c r="D103" s="53"/>
      <c r="E103" s="53"/>
      <c r="F103" s="53"/>
      <c r="G103" s="53"/>
      <c r="H103" s="53"/>
      <c r="I103" s="53"/>
    </row>
    <row r="104" spans="2:9" x14ac:dyDescent="0.25">
      <c r="B104" s="53"/>
      <c r="C104" s="53"/>
      <c r="D104" s="53"/>
      <c r="E104" s="53"/>
      <c r="F104" s="53"/>
      <c r="G104" s="53"/>
      <c r="H104" s="53"/>
      <c r="I104" s="53"/>
    </row>
    <row r="105" spans="2:9" x14ac:dyDescent="0.25">
      <c r="B105" s="53"/>
      <c r="C105" s="53"/>
      <c r="D105" s="53"/>
      <c r="E105" s="53"/>
      <c r="F105" s="53"/>
      <c r="G105" s="53"/>
      <c r="H105" s="53"/>
      <c r="I105" s="53"/>
    </row>
    <row r="106" spans="2:9" x14ac:dyDescent="0.25">
      <c r="B106" s="53"/>
      <c r="C106" s="53"/>
      <c r="D106" s="53"/>
      <c r="E106" s="53"/>
      <c r="F106" s="53"/>
      <c r="G106" s="53"/>
      <c r="H106" s="53"/>
      <c r="I106" s="53"/>
    </row>
    <row r="107" spans="2:9" x14ac:dyDescent="0.25">
      <c r="B107" s="53"/>
      <c r="C107" s="53"/>
      <c r="D107" s="53"/>
      <c r="E107" s="53"/>
      <c r="F107" s="53"/>
      <c r="G107" s="53"/>
      <c r="H107" s="53"/>
      <c r="I107" s="53"/>
    </row>
    <row r="108" spans="2:9" x14ac:dyDescent="0.25">
      <c r="B108" s="53"/>
      <c r="C108" s="53"/>
      <c r="D108" s="53"/>
      <c r="E108" s="53"/>
      <c r="F108" s="53"/>
      <c r="G108" s="53"/>
      <c r="H108" s="53"/>
      <c r="I108" s="53"/>
    </row>
    <row r="109" spans="2:9" x14ac:dyDescent="0.25">
      <c r="B109" s="53"/>
      <c r="C109" s="53"/>
      <c r="D109" s="53"/>
      <c r="E109" s="53"/>
      <c r="F109" s="53"/>
      <c r="G109" s="53"/>
      <c r="H109" s="53"/>
      <c r="I109" s="53"/>
    </row>
    <row r="110" spans="2:9" x14ac:dyDescent="0.25">
      <c r="B110" s="53"/>
      <c r="C110" s="53"/>
      <c r="D110" s="53"/>
      <c r="E110" s="53"/>
      <c r="F110" s="53"/>
      <c r="G110" s="53"/>
      <c r="H110" s="53"/>
      <c r="I110" s="53"/>
    </row>
    <row r="111" spans="2:9" x14ac:dyDescent="0.25">
      <c r="B111" s="53"/>
      <c r="C111" s="53"/>
      <c r="D111" s="53"/>
      <c r="E111" s="53"/>
      <c r="F111" s="53"/>
      <c r="G111" s="53"/>
      <c r="H111" s="53"/>
      <c r="I111" s="53"/>
    </row>
    <row r="112" spans="2:9" x14ac:dyDescent="0.25">
      <c r="B112" s="53"/>
      <c r="C112" s="53"/>
      <c r="D112" s="53"/>
      <c r="E112" s="53"/>
      <c r="F112" s="53"/>
      <c r="G112" s="53"/>
      <c r="H112" s="53"/>
      <c r="I112" s="53"/>
    </row>
    <row r="113" spans="2:9" x14ac:dyDescent="0.25">
      <c r="B113" s="53"/>
      <c r="C113" s="53"/>
      <c r="D113" s="53"/>
      <c r="E113" s="53"/>
      <c r="F113" s="53"/>
      <c r="G113" s="53"/>
      <c r="H113" s="53"/>
      <c r="I113" s="53"/>
    </row>
    <row r="114" spans="2:9" x14ac:dyDescent="0.25">
      <c r="B114" s="53"/>
      <c r="C114" s="53"/>
      <c r="D114" s="53"/>
      <c r="E114" s="53"/>
      <c r="F114" s="53"/>
      <c r="G114" s="53"/>
      <c r="H114" s="53"/>
      <c r="I114" s="53"/>
    </row>
    <row r="115" spans="2:9" x14ac:dyDescent="0.25">
      <c r="B115" s="53"/>
      <c r="C115" s="53"/>
      <c r="D115" s="53"/>
      <c r="E115" s="53"/>
      <c r="F115" s="53"/>
      <c r="G115" s="53"/>
      <c r="H115" s="53"/>
      <c r="I115" s="53"/>
    </row>
    <row r="116" spans="2:9" x14ac:dyDescent="0.25">
      <c r="B116" s="53"/>
      <c r="C116" s="53"/>
      <c r="D116" s="53"/>
      <c r="E116" s="53"/>
      <c r="F116" s="53"/>
      <c r="G116" s="53"/>
      <c r="H116" s="53"/>
      <c r="I116" s="53"/>
    </row>
    <row r="117" spans="2:9" x14ac:dyDescent="0.25">
      <c r="B117" s="53"/>
      <c r="C117" s="53"/>
      <c r="D117" s="53"/>
      <c r="E117" s="53"/>
      <c r="F117" s="53"/>
      <c r="G117" s="53"/>
      <c r="H117" s="53"/>
      <c r="I117" s="53"/>
    </row>
    <row r="118" spans="2:9" x14ac:dyDescent="0.25">
      <c r="B118" s="53"/>
      <c r="C118" s="53"/>
      <c r="D118" s="53"/>
      <c r="E118" s="53"/>
      <c r="F118" s="53"/>
      <c r="G118" s="53"/>
      <c r="H118" s="53"/>
      <c r="I118" s="53"/>
    </row>
    <row r="119" spans="2:9" x14ac:dyDescent="0.25">
      <c r="B119" s="53"/>
      <c r="C119" s="53"/>
      <c r="D119" s="53"/>
      <c r="E119" s="53"/>
      <c r="F119" s="53"/>
      <c r="G119" s="53"/>
      <c r="H119" s="53"/>
      <c r="I119" s="53"/>
    </row>
    <row r="120" spans="2:9" x14ac:dyDescent="0.25">
      <c r="B120" s="53"/>
      <c r="C120" s="53"/>
      <c r="D120" s="53"/>
      <c r="E120" s="53"/>
      <c r="F120" s="53"/>
      <c r="G120" s="53"/>
      <c r="H120" s="53"/>
      <c r="I120" s="53"/>
    </row>
    <row r="121" spans="2:9" x14ac:dyDescent="0.25">
      <c r="B121" s="53"/>
      <c r="C121" s="53"/>
      <c r="D121" s="53"/>
      <c r="E121" s="53"/>
      <c r="F121" s="53"/>
      <c r="G121" s="53"/>
      <c r="H121" s="53"/>
      <c r="I121" s="53"/>
    </row>
    <row r="122" spans="2:9" x14ac:dyDescent="0.25">
      <c r="B122" s="53"/>
      <c r="C122" s="53"/>
      <c r="D122" s="53"/>
      <c r="E122" s="53"/>
      <c r="F122" s="53"/>
      <c r="G122" s="53"/>
      <c r="H122" s="53"/>
      <c r="I122" s="53"/>
    </row>
    <row r="123" spans="2:9" x14ac:dyDescent="0.25">
      <c r="B123" s="53"/>
      <c r="C123" s="53"/>
      <c r="D123" s="53"/>
      <c r="E123" s="53"/>
      <c r="F123" s="53"/>
      <c r="G123" s="53"/>
      <c r="H123" s="53"/>
      <c r="I123" s="53"/>
    </row>
    <row r="124" spans="2:9" x14ac:dyDescent="0.25">
      <c r="B124" s="53"/>
      <c r="C124" s="53"/>
      <c r="D124" s="53"/>
      <c r="E124" s="53"/>
      <c r="F124" s="53"/>
      <c r="G124" s="53"/>
      <c r="H124" s="53"/>
      <c r="I124" s="53"/>
    </row>
    <row r="125" spans="2:9" x14ac:dyDescent="0.25">
      <c r="B125" s="53"/>
      <c r="C125" s="53"/>
      <c r="D125" s="53"/>
      <c r="E125" s="53"/>
      <c r="F125" s="53"/>
      <c r="G125" s="53"/>
      <c r="H125" s="53"/>
      <c r="I125" s="53"/>
    </row>
    <row r="126" spans="2:9" x14ac:dyDescent="0.25">
      <c r="B126" s="53"/>
      <c r="C126" s="53"/>
      <c r="D126" s="53"/>
      <c r="E126" s="53"/>
      <c r="F126" s="53"/>
      <c r="G126" s="53"/>
      <c r="H126" s="53"/>
      <c r="I126" s="53"/>
    </row>
    <row r="127" spans="2:9" x14ac:dyDescent="0.25">
      <c r="B127" s="53"/>
      <c r="C127" s="53"/>
      <c r="D127" s="53"/>
      <c r="E127" s="53"/>
      <c r="F127" s="53"/>
      <c r="G127" s="53"/>
      <c r="H127" s="53"/>
      <c r="I127" s="53"/>
    </row>
    <row r="128" spans="2:9" x14ac:dyDescent="0.25">
      <c r="B128" s="53"/>
      <c r="C128" s="53"/>
      <c r="D128" s="53"/>
      <c r="E128" s="53"/>
      <c r="F128" s="53"/>
      <c r="G128" s="53"/>
      <c r="H128" s="53"/>
      <c r="I128" s="53"/>
    </row>
    <row r="129" spans="2:9" x14ac:dyDescent="0.25">
      <c r="B129" s="53"/>
      <c r="C129" s="53"/>
      <c r="D129" s="53"/>
      <c r="E129" s="53"/>
      <c r="F129" s="53"/>
      <c r="G129" s="53"/>
      <c r="H129" s="53"/>
      <c r="I129" s="53"/>
    </row>
    <row r="130" spans="2:9" x14ac:dyDescent="0.25">
      <c r="B130" s="53"/>
      <c r="C130" s="53"/>
      <c r="D130" s="53"/>
      <c r="E130" s="53"/>
      <c r="F130" s="53"/>
      <c r="G130" s="53"/>
      <c r="H130" s="53"/>
      <c r="I130" s="53"/>
    </row>
    <row r="131" spans="2:9" x14ac:dyDescent="0.25">
      <c r="B131" s="53"/>
      <c r="C131" s="53"/>
      <c r="D131" s="53"/>
      <c r="E131" s="53"/>
      <c r="F131" s="53"/>
      <c r="G131" s="53"/>
      <c r="H131" s="53"/>
      <c r="I131" s="53"/>
    </row>
  </sheetData>
  <mergeCells count="31">
    <mergeCell ref="AF12:AG12"/>
    <mergeCell ref="A11:A12"/>
    <mergeCell ref="J11:K11"/>
    <mergeCell ref="B13:B14"/>
    <mergeCell ref="C13:C14"/>
    <mergeCell ref="E13:E14"/>
    <mergeCell ref="F13:F14"/>
    <mergeCell ref="I13:I14"/>
    <mergeCell ref="C11:D11"/>
    <mergeCell ref="F24:F25"/>
    <mergeCell ref="E24:E25"/>
    <mergeCell ref="D24:D25"/>
    <mergeCell ref="O14:O20"/>
    <mergeCell ref="O12:P13"/>
    <mergeCell ref="G13:G14"/>
    <mergeCell ref="H11:H12"/>
    <mergeCell ref="B22:B23"/>
    <mergeCell ref="C22:D22"/>
    <mergeCell ref="F22:F23"/>
    <mergeCell ref="E22:E23"/>
    <mergeCell ref="B21:F21"/>
    <mergeCell ref="B10:G10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>
      <selection activeCell="C20" sqref="C20"/>
    </sheetView>
  </sheetViews>
  <sheetFormatPr defaultRowHeight="15" x14ac:dyDescent="0.25"/>
  <cols>
    <col min="1" max="1" width="2.7109375" style="35" customWidth="1"/>
    <col min="2" max="2" width="18.7109375" style="35" customWidth="1"/>
    <col min="3" max="18" width="8.7109375" style="35" customWidth="1"/>
    <col min="19" max="20" width="2.7109375" style="35" customWidth="1"/>
    <col min="21" max="36" width="5.28515625" style="35" customWidth="1"/>
    <col min="37" max="16384" width="9.140625" style="35"/>
  </cols>
  <sheetData>
    <row r="2" spans="2:38" x14ac:dyDescent="0.25">
      <c r="V2" s="53"/>
      <c r="W2" s="53"/>
      <c r="X2" s="201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2:38" x14ac:dyDescent="0.25">
      <c r="B3" s="282"/>
      <c r="C3" s="766" t="s">
        <v>105</v>
      </c>
      <c r="D3" s="766"/>
      <c r="E3" s="766"/>
      <c r="F3" s="766"/>
      <c r="G3" s="766"/>
      <c r="H3" s="766"/>
      <c r="I3" s="766"/>
      <c r="J3" s="766"/>
      <c r="K3" s="790"/>
      <c r="L3" s="796"/>
      <c r="M3" s="766"/>
      <c r="N3" s="766"/>
      <c r="O3" s="766"/>
      <c r="P3" s="766"/>
      <c r="Q3" s="766"/>
      <c r="R3" s="767"/>
      <c r="V3" s="53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201"/>
    </row>
    <row r="4" spans="2:38" ht="15" customHeight="1" x14ac:dyDescent="0.25">
      <c r="B4" s="819" t="s">
        <v>96</v>
      </c>
      <c r="C4" s="836" t="s">
        <v>92</v>
      </c>
      <c r="D4" s="766" t="s">
        <v>93</v>
      </c>
      <c r="E4" s="766"/>
      <c r="F4" s="766"/>
      <c r="G4" s="766"/>
      <c r="H4" s="766"/>
      <c r="I4" s="766"/>
      <c r="J4" s="766"/>
      <c r="K4" s="766"/>
      <c r="L4" s="273" t="s">
        <v>101</v>
      </c>
      <c r="M4" s="765" t="s">
        <v>104</v>
      </c>
      <c r="N4" s="766"/>
      <c r="O4" s="766"/>
      <c r="P4" s="790"/>
      <c r="Q4" s="766" t="s">
        <v>60</v>
      </c>
      <c r="R4" s="767"/>
      <c r="S4" s="226"/>
      <c r="T4" s="765">
        <v>350</v>
      </c>
      <c r="U4" s="766"/>
      <c r="V4" s="766" t="s">
        <v>86</v>
      </c>
      <c r="W4" s="766"/>
      <c r="X4" s="230"/>
      <c r="Y4" s="230"/>
      <c r="Z4" s="230"/>
      <c r="AA4" s="230"/>
      <c r="AB4" s="230"/>
      <c r="AC4" s="230"/>
      <c r="AD4" s="167"/>
      <c r="AE4" s="167"/>
      <c r="AF4" s="167"/>
      <c r="AG4" s="167"/>
      <c r="AH4" s="167"/>
      <c r="AI4" s="167"/>
      <c r="AJ4" s="245"/>
      <c r="AK4" s="36"/>
      <c r="AL4" s="36"/>
    </row>
    <row r="5" spans="2:38" ht="15" customHeight="1" x14ac:dyDescent="0.25">
      <c r="B5" s="820"/>
      <c r="C5" s="837"/>
      <c r="D5" s="825" t="s">
        <v>95</v>
      </c>
      <c r="E5" s="840" t="s">
        <v>99</v>
      </c>
      <c r="F5" s="785" t="s">
        <v>36</v>
      </c>
      <c r="G5" s="785"/>
      <c r="H5" s="768" t="s">
        <v>41</v>
      </c>
      <c r="I5" s="761" t="s">
        <v>37</v>
      </c>
      <c r="J5" s="761" t="s">
        <v>38</v>
      </c>
      <c r="K5" s="810" t="s">
        <v>77</v>
      </c>
      <c r="L5" s="274" t="s">
        <v>102</v>
      </c>
      <c r="M5" s="770" t="s">
        <v>100</v>
      </c>
      <c r="N5" s="770" t="s">
        <v>50</v>
      </c>
      <c r="O5" s="791" t="s">
        <v>94</v>
      </c>
      <c r="P5" s="792"/>
      <c r="Q5" s="793" t="s">
        <v>94</v>
      </c>
      <c r="R5" s="794"/>
      <c r="S5" s="226"/>
      <c r="T5" s="778" t="s">
        <v>49</v>
      </c>
      <c r="U5" s="797"/>
      <c r="V5" s="801" t="s">
        <v>48</v>
      </c>
      <c r="W5" s="783"/>
      <c r="X5" s="783"/>
      <c r="Y5" s="783"/>
      <c r="Z5" s="783"/>
      <c r="AA5" s="783"/>
      <c r="AB5" s="783"/>
      <c r="AC5" s="783"/>
      <c r="AD5" s="783"/>
      <c r="AE5" s="783"/>
      <c r="AF5" s="783"/>
      <c r="AG5" s="783"/>
      <c r="AH5" s="783"/>
      <c r="AI5" s="783"/>
      <c r="AJ5" s="783"/>
      <c r="AK5" s="61"/>
      <c r="AL5" s="61"/>
    </row>
    <row r="6" spans="2:38" ht="15" customHeight="1" thickBot="1" x14ac:dyDescent="0.3">
      <c r="B6" s="821"/>
      <c r="C6" s="838"/>
      <c r="D6" s="826"/>
      <c r="E6" s="841"/>
      <c r="F6" s="228" t="s">
        <v>8</v>
      </c>
      <c r="G6" s="229" t="s">
        <v>10</v>
      </c>
      <c r="H6" s="839"/>
      <c r="I6" s="800"/>
      <c r="J6" s="800"/>
      <c r="K6" s="798"/>
      <c r="L6" s="275" t="s">
        <v>103</v>
      </c>
      <c r="M6" s="795"/>
      <c r="N6" s="795"/>
      <c r="O6" s="228" t="s">
        <v>8</v>
      </c>
      <c r="P6" s="248" t="s">
        <v>10</v>
      </c>
      <c r="Q6" s="253" t="s">
        <v>8</v>
      </c>
      <c r="R6" s="229" t="s">
        <v>10</v>
      </c>
      <c r="S6" s="61"/>
      <c r="T6" s="798"/>
      <c r="U6" s="799"/>
      <c r="V6" s="253">
        <v>50</v>
      </c>
      <c r="W6" s="252">
        <v>60</v>
      </c>
      <c r="X6" s="252">
        <v>70</v>
      </c>
      <c r="Y6" s="252">
        <v>80</v>
      </c>
      <c r="Z6" s="252">
        <v>90</v>
      </c>
      <c r="AA6" s="252">
        <v>100</v>
      </c>
      <c r="AB6" s="252">
        <v>115</v>
      </c>
      <c r="AC6" s="252">
        <v>130</v>
      </c>
      <c r="AD6" s="252">
        <v>145</v>
      </c>
      <c r="AE6" s="252">
        <v>160</v>
      </c>
      <c r="AF6" s="252">
        <v>175</v>
      </c>
      <c r="AG6" s="252">
        <v>190</v>
      </c>
      <c r="AH6" s="252">
        <v>210</v>
      </c>
      <c r="AI6" s="252">
        <v>230</v>
      </c>
      <c r="AJ6" s="229">
        <v>250</v>
      </c>
      <c r="AK6" s="61"/>
      <c r="AL6" s="61"/>
    </row>
    <row r="7" spans="2:38" ht="15.75" thickTop="1" x14ac:dyDescent="0.25">
      <c r="B7" s="288" t="s">
        <v>106</v>
      </c>
      <c r="C7" s="827">
        <f>ROW(Assy.Model!B9)</f>
        <v>9</v>
      </c>
      <c r="D7" s="816" t="str">
        <f>SUBSTITUTE(ADDRESS(1,COLUMN(Assy.Model!B9),4),"1","")</f>
        <v>B</v>
      </c>
      <c r="E7" s="830" t="str">
        <f>SUBSTITUTE(ADDRESS(1,COLUMN(Assy.Model!M9),4),"1","")</f>
        <v>M</v>
      </c>
      <c r="F7" s="833" t="str">
        <f>SUBSTITUTE(ADDRESS(1,COLUMN(Assy.Model!X9),4),"1","")</f>
        <v>X</v>
      </c>
      <c r="G7" s="822" t="str">
        <f>SUBSTITUTE(ADDRESS(1,COLUMN(Assy.Model!AT9),4),"1","")</f>
        <v>AT</v>
      </c>
      <c r="H7" s="802" t="str">
        <f>SUBSTITUTE(ADDRESS(1,COLUMN(Assy.Model!H9),4),"1","")</f>
        <v>H</v>
      </c>
      <c r="I7" s="802" t="str">
        <f>SUBSTITUTE(ADDRESS(1,COLUMN(Assy.Model!AN9),4),"1","")</f>
        <v>AN</v>
      </c>
      <c r="J7" s="802" t="str">
        <f>SUBSTITUTE(ADDRESS(1,COLUMN(Assy.Model!AO9),4),"1","")</f>
        <v>AO</v>
      </c>
      <c r="K7" s="805" t="str">
        <f>SUBSTITUTE(ADDRESS(1,COLUMN(Assy.Model!Q9),4),"1","")</f>
        <v>Q</v>
      </c>
      <c r="L7" s="283" t="s">
        <v>102</v>
      </c>
      <c r="M7" s="284">
        <v>1</v>
      </c>
      <c r="N7" s="285">
        <v>0</v>
      </c>
      <c r="O7" s="286">
        <v>36</v>
      </c>
      <c r="P7" s="287">
        <v>18</v>
      </c>
      <c r="Q7" s="278"/>
      <c r="R7" s="267"/>
      <c r="S7" s="266"/>
      <c r="T7" s="813" t="s">
        <v>50</v>
      </c>
      <c r="U7" s="263">
        <v>0</v>
      </c>
      <c r="V7" s="258">
        <f t="shared" ref="V7:AJ14" si="0">IF(ROUNDDOWN(((V$6*$U7*60)/12),0)&gt;$T$4,"",(V$6*$U7*60)/12)</f>
        <v>0</v>
      </c>
      <c r="W7" s="259">
        <f t="shared" si="0"/>
        <v>0</v>
      </c>
      <c r="X7" s="259">
        <f t="shared" si="0"/>
        <v>0</v>
      </c>
      <c r="Y7" s="259">
        <f t="shared" si="0"/>
        <v>0</v>
      </c>
      <c r="Z7" s="259">
        <f t="shared" si="0"/>
        <v>0</v>
      </c>
      <c r="AA7" s="259">
        <f t="shared" si="0"/>
        <v>0</v>
      </c>
      <c r="AB7" s="259">
        <f t="shared" si="0"/>
        <v>0</v>
      </c>
      <c r="AC7" s="259">
        <f t="shared" si="0"/>
        <v>0</v>
      </c>
      <c r="AD7" s="259">
        <f t="shared" si="0"/>
        <v>0</v>
      </c>
      <c r="AE7" s="259">
        <f t="shared" si="0"/>
        <v>0</v>
      </c>
      <c r="AF7" s="259">
        <f t="shared" si="0"/>
        <v>0</v>
      </c>
      <c r="AG7" s="259">
        <f t="shared" si="0"/>
        <v>0</v>
      </c>
      <c r="AH7" s="259">
        <f t="shared" si="0"/>
        <v>0</v>
      </c>
      <c r="AI7" s="259">
        <f t="shared" si="0"/>
        <v>0</v>
      </c>
      <c r="AJ7" s="260">
        <f t="shared" si="0"/>
        <v>0</v>
      </c>
      <c r="AK7" s="61"/>
      <c r="AL7" s="61"/>
    </row>
    <row r="8" spans="2:38" ht="15" customHeight="1" x14ac:dyDescent="0.25">
      <c r="B8" s="811" t="s">
        <v>91</v>
      </c>
      <c r="C8" s="828"/>
      <c r="D8" s="817"/>
      <c r="E8" s="831"/>
      <c r="F8" s="834"/>
      <c r="G8" s="823"/>
      <c r="H8" s="803"/>
      <c r="I8" s="803"/>
      <c r="J8" s="803"/>
      <c r="K8" s="806"/>
      <c r="L8" s="276" t="s">
        <v>103</v>
      </c>
      <c r="M8" s="808">
        <v>3</v>
      </c>
      <c r="N8" s="264">
        <v>6.25E-2</v>
      </c>
      <c r="O8" s="246">
        <v>32</v>
      </c>
      <c r="P8" s="249">
        <v>18</v>
      </c>
      <c r="Q8" s="279">
        <v>32</v>
      </c>
      <c r="R8" s="254">
        <v>18</v>
      </c>
      <c r="S8" s="266"/>
      <c r="T8" s="814"/>
      <c r="U8" s="257">
        <v>6.25E-2</v>
      </c>
      <c r="V8" s="198">
        <f t="shared" si="0"/>
        <v>15.625</v>
      </c>
      <c r="W8" s="198">
        <f t="shared" si="0"/>
        <v>18.75</v>
      </c>
      <c r="X8" s="198">
        <f t="shared" si="0"/>
        <v>21.875</v>
      </c>
      <c r="Y8" s="198">
        <f t="shared" si="0"/>
        <v>25</v>
      </c>
      <c r="Z8" s="198">
        <f t="shared" si="0"/>
        <v>28.125</v>
      </c>
      <c r="AA8" s="198">
        <f t="shared" si="0"/>
        <v>31.25</v>
      </c>
      <c r="AB8" s="198">
        <f t="shared" si="0"/>
        <v>35.9375</v>
      </c>
      <c r="AC8" s="198">
        <f t="shared" si="0"/>
        <v>40.625</v>
      </c>
      <c r="AD8" s="198">
        <f t="shared" si="0"/>
        <v>45.3125</v>
      </c>
      <c r="AE8" s="198">
        <f t="shared" si="0"/>
        <v>50</v>
      </c>
      <c r="AF8" s="198">
        <f t="shared" si="0"/>
        <v>54.6875</v>
      </c>
      <c r="AG8" s="198">
        <f t="shared" si="0"/>
        <v>59.375</v>
      </c>
      <c r="AH8" s="198">
        <f t="shared" si="0"/>
        <v>65.625</v>
      </c>
      <c r="AI8" s="198">
        <f t="shared" si="0"/>
        <v>71.875</v>
      </c>
      <c r="AJ8" s="224">
        <f t="shared" si="0"/>
        <v>78.125</v>
      </c>
      <c r="AK8" s="227"/>
      <c r="AL8" s="223"/>
    </row>
    <row r="9" spans="2:38" x14ac:dyDescent="0.25">
      <c r="B9" s="811"/>
      <c r="C9" s="828"/>
      <c r="D9" s="817"/>
      <c r="E9" s="831"/>
      <c r="F9" s="834"/>
      <c r="G9" s="823"/>
      <c r="H9" s="803"/>
      <c r="I9" s="803"/>
      <c r="J9" s="803"/>
      <c r="K9" s="806"/>
      <c r="L9" s="276" t="s">
        <v>102</v>
      </c>
      <c r="M9" s="808"/>
      <c r="N9" s="264">
        <v>9.375E-2</v>
      </c>
      <c r="O9" s="221">
        <v>28</v>
      </c>
      <c r="P9" s="250">
        <v>18</v>
      </c>
      <c r="Q9" s="280">
        <v>28</v>
      </c>
      <c r="R9" s="214">
        <v>18</v>
      </c>
      <c r="S9" s="227"/>
      <c r="T9" s="814"/>
      <c r="U9" s="254">
        <v>9.375E-2</v>
      </c>
      <c r="V9" s="198">
        <f t="shared" si="0"/>
        <v>23.4375</v>
      </c>
      <c r="W9" s="198">
        <f t="shared" si="0"/>
        <v>28.125</v>
      </c>
      <c r="X9" s="198">
        <f t="shared" si="0"/>
        <v>32.8125</v>
      </c>
      <c r="Y9" s="198">
        <f t="shared" si="0"/>
        <v>37.5</v>
      </c>
      <c r="Z9" s="198">
        <f t="shared" si="0"/>
        <v>42.1875</v>
      </c>
      <c r="AA9" s="198">
        <f t="shared" si="0"/>
        <v>46.875</v>
      </c>
      <c r="AB9" s="198">
        <f t="shared" si="0"/>
        <v>53.90625</v>
      </c>
      <c r="AC9" s="198">
        <f t="shared" si="0"/>
        <v>60.9375</v>
      </c>
      <c r="AD9" s="198">
        <f t="shared" si="0"/>
        <v>67.96875</v>
      </c>
      <c r="AE9" s="198">
        <f t="shared" si="0"/>
        <v>75</v>
      </c>
      <c r="AF9" s="198">
        <f t="shared" si="0"/>
        <v>82.03125</v>
      </c>
      <c r="AG9" s="198">
        <f t="shared" si="0"/>
        <v>89.0625</v>
      </c>
      <c r="AH9" s="198">
        <f t="shared" si="0"/>
        <v>98.4375</v>
      </c>
      <c r="AI9" s="198">
        <f t="shared" si="0"/>
        <v>107.8125</v>
      </c>
      <c r="AJ9" s="224">
        <f t="shared" si="0"/>
        <v>117.1875</v>
      </c>
      <c r="AK9" s="222"/>
      <c r="AL9" s="223"/>
    </row>
    <row r="10" spans="2:38" x14ac:dyDescent="0.25">
      <c r="B10" s="811"/>
      <c r="C10" s="828"/>
      <c r="D10" s="817"/>
      <c r="E10" s="831"/>
      <c r="F10" s="834"/>
      <c r="G10" s="823"/>
      <c r="H10" s="803"/>
      <c r="I10" s="803"/>
      <c r="J10" s="803"/>
      <c r="K10" s="806"/>
      <c r="L10" s="276" t="s">
        <v>102</v>
      </c>
      <c r="M10" s="808"/>
      <c r="N10" s="264">
        <v>0.15625</v>
      </c>
      <c r="O10" s="221">
        <v>24</v>
      </c>
      <c r="P10" s="250">
        <v>18</v>
      </c>
      <c r="Q10" s="280">
        <v>24</v>
      </c>
      <c r="R10" s="214">
        <v>18</v>
      </c>
      <c r="S10" s="227"/>
      <c r="T10" s="814"/>
      <c r="U10" s="254">
        <v>0.15625</v>
      </c>
      <c r="V10" s="198">
        <f t="shared" si="0"/>
        <v>39.0625</v>
      </c>
      <c r="W10" s="198">
        <f t="shared" si="0"/>
        <v>46.875</v>
      </c>
      <c r="X10" s="198">
        <f t="shared" si="0"/>
        <v>54.6875</v>
      </c>
      <c r="Y10" s="198">
        <f t="shared" si="0"/>
        <v>62.5</v>
      </c>
      <c r="Z10" s="198">
        <f t="shared" si="0"/>
        <v>70.3125</v>
      </c>
      <c r="AA10" s="198">
        <f t="shared" si="0"/>
        <v>78.125</v>
      </c>
      <c r="AB10" s="198">
        <f t="shared" si="0"/>
        <v>89.84375</v>
      </c>
      <c r="AC10" s="198">
        <f t="shared" si="0"/>
        <v>101.5625</v>
      </c>
      <c r="AD10" s="198">
        <f t="shared" si="0"/>
        <v>113.28125</v>
      </c>
      <c r="AE10" s="198">
        <f t="shared" si="0"/>
        <v>125</v>
      </c>
      <c r="AF10" s="198">
        <f t="shared" si="0"/>
        <v>136.71875</v>
      </c>
      <c r="AG10" s="198">
        <f t="shared" si="0"/>
        <v>148.4375</v>
      </c>
      <c r="AH10" s="198">
        <f t="shared" si="0"/>
        <v>164.0625</v>
      </c>
      <c r="AI10" s="198">
        <f t="shared" si="0"/>
        <v>179.6875</v>
      </c>
      <c r="AJ10" s="224">
        <f t="shared" si="0"/>
        <v>195.3125</v>
      </c>
      <c r="AK10" s="222"/>
      <c r="AL10" s="223"/>
    </row>
    <row r="11" spans="2:38" x14ac:dyDescent="0.25">
      <c r="B11" s="811"/>
      <c r="C11" s="828"/>
      <c r="D11" s="817"/>
      <c r="E11" s="831"/>
      <c r="F11" s="834"/>
      <c r="G11" s="823"/>
      <c r="H11" s="803"/>
      <c r="I11" s="803"/>
      <c r="J11" s="803"/>
      <c r="K11" s="806"/>
      <c r="L11" s="276" t="s">
        <v>102</v>
      </c>
      <c r="M11" s="808"/>
      <c r="N11" s="264">
        <v>0.21875</v>
      </c>
      <c r="O11" s="221">
        <v>20</v>
      </c>
      <c r="P11" s="250">
        <v>18</v>
      </c>
      <c r="Q11" s="280">
        <v>20</v>
      </c>
      <c r="R11" s="214">
        <v>18</v>
      </c>
      <c r="S11" s="227"/>
      <c r="T11" s="814"/>
      <c r="U11" s="254">
        <v>0.21875</v>
      </c>
      <c r="V11" s="198">
        <f t="shared" si="0"/>
        <v>54.6875</v>
      </c>
      <c r="W11" s="198">
        <f t="shared" si="0"/>
        <v>65.625</v>
      </c>
      <c r="X11" s="198">
        <f t="shared" si="0"/>
        <v>76.5625</v>
      </c>
      <c r="Y11" s="198">
        <f t="shared" si="0"/>
        <v>87.5</v>
      </c>
      <c r="Z11" s="198">
        <f t="shared" si="0"/>
        <v>98.4375</v>
      </c>
      <c r="AA11" s="198">
        <f t="shared" si="0"/>
        <v>109.375</v>
      </c>
      <c r="AB11" s="198">
        <f t="shared" si="0"/>
        <v>125.78125</v>
      </c>
      <c r="AC11" s="198">
        <f t="shared" si="0"/>
        <v>142.1875</v>
      </c>
      <c r="AD11" s="198">
        <f t="shared" si="0"/>
        <v>158.59375</v>
      </c>
      <c r="AE11" s="198">
        <f t="shared" si="0"/>
        <v>175</v>
      </c>
      <c r="AF11" s="198">
        <f t="shared" si="0"/>
        <v>191.40625</v>
      </c>
      <c r="AG11" s="198">
        <f t="shared" si="0"/>
        <v>207.8125</v>
      </c>
      <c r="AH11" s="198">
        <f t="shared" si="0"/>
        <v>229.6875</v>
      </c>
      <c r="AI11" s="198">
        <f t="shared" si="0"/>
        <v>251.5625</v>
      </c>
      <c r="AJ11" s="224">
        <f t="shared" si="0"/>
        <v>273.4375</v>
      </c>
      <c r="AK11" s="222"/>
      <c r="AL11" s="223"/>
    </row>
    <row r="12" spans="2:38" x14ac:dyDescent="0.25">
      <c r="B12" s="811"/>
      <c r="C12" s="828"/>
      <c r="D12" s="817"/>
      <c r="E12" s="831"/>
      <c r="F12" s="834"/>
      <c r="G12" s="823"/>
      <c r="H12" s="803"/>
      <c r="I12" s="803"/>
      <c r="J12" s="803"/>
      <c r="K12" s="806"/>
      <c r="L12" s="276" t="s">
        <v>102</v>
      </c>
      <c r="M12" s="808"/>
      <c r="N12" s="264">
        <v>0.3125</v>
      </c>
      <c r="O12" s="221">
        <v>16</v>
      </c>
      <c r="P12" s="250">
        <v>18</v>
      </c>
      <c r="Q12" s="280">
        <v>16</v>
      </c>
      <c r="R12" s="214">
        <v>18</v>
      </c>
      <c r="S12" s="227"/>
      <c r="T12" s="814"/>
      <c r="U12" s="254">
        <v>0.3125</v>
      </c>
      <c r="V12" s="198">
        <f t="shared" si="0"/>
        <v>78.125</v>
      </c>
      <c r="W12" s="198">
        <f t="shared" si="0"/>
        <v>93.75</v>
      </c>
      <c r="X12" s="198">
        <f t="shared" si="0"/>
        <v>109.375</v>
      </c>
      <c r="Y12" s="198">
        <f t="shared" si="0"/>
        <v>125</v>
      </c>
      <c r="Z12" s="198">
        <f t="shared" si="0"/>
        <v>140.625</v>
      </c>
      <c r="AA12" s="198">
        <f t="shared" si="0"/>
        <v>156.25</v>
      </c>
      <c r="AB12" s="198">
        <f t="shared" si="0"/>
        <v>179.6875</v>
      </c>
      <c r="AC12" s="198">
        <f t="shared" si="0"/>
        <v>203.125</v>
      </c>
      <c r="AD12" s="198">
        <f t="shared" si="0"/>
        <v>226.5625</v>
      </c>
      <c r="AE12" s="198">
        <f t="shared" si="0"/>
        <v>250</v>
      </c>
      <c r="AF12" s="198">
        <f t="shared" si="0"/>
        <v>273.4375</v>
      </c>
      <c r="AG12" s="198">
        <f t="shared" si="0"/>
        <v>296.875</v>
      </c>
      <c r="AH12" s="198">
        <f t="shared" si="0"/>
        <v>328.125</v>
      </c>
      <c r="AI12" s="198" t="str">
        <f t="shared" si="0"/>
        <v/>
      </c>
      <c r="AJ12" s="224" t="str">
        <f t="shared" si="0"/>
        <v/>
      </c>
      <c r="AK12" s="222"/>
      <c r="AL12" s="223"/>
    </row>
    <row r="13" spans="2:38" x14ac:dyDescent="0.25">
      <c r="B13" s="811"/>
      <c r="C13" s="828"/>
      <c r="D13" s="817"/>
      <c r="E13" s="831"/>
      <c r="F13" s="834"/>
      <c r="G13" s="823"/>
      <c r="H13" s="803"/>
      <c r="I13" s="803"/>
      <c r="J13" s="803"/>
      <c r="K13" s="806"/>
      <c r="L13" s="276" t="s">
        <v>102</v>
      </c>
      <c r="M13" s="808"/>
      <c r="N13" s="264">
        <v>0.46875</v>
      </c>
      <c r="O13" s="221">
        <v>8</v>
      </c>
      <c r="P13" s="250">
        <v>18</v>
      </c>
      <c r="Q13" s="280">
        <v>8</v>
      </c>
      <c r="R13" s="214">
        <v>18</v>
      </c>
      <c r="S13" s="227"/>
      <c r="T13" s="814"/>
      <c r="U13" s="254">
        <v>0.46875</v>
      </c>
      <c r="V13" s="198">
        <f t="shared" si="0"/>
        <v>117.1875</v>
      </c>
      <c r="W13" s="198">
        <f t="shared" si="0"/>
        <v>140.625</v>
      </c>
      <c r="X13" s="198">
        <f t="shared" si="0"/>
        <v>164.0625</v>
      </c>
      <c r="Y13" s="198">
        <f t="shared" si="0"/>
        <v>187.5</v>
      </c>
      <c r="Z13" s="198">
        <f t="shared" si="0"/>
        <v>210.9375</v>
      </c>
      <c r="AA13" s="198">
        <f t="shared" si="0"/>
        <v>234.375</v>
      </c>
      <c r="AB13" s="198">
        <f t="shared" si="0"/>
        <v>269.53125</v>
      </c>
      <c r="AC13" s="198">
        <f t="shared" si="0"/>
        <v>304.6875</v>
      </c>
      <c r="AD13" s="198">
        <f t="shared" si="0"/>
        <v>339.84375</v>
      </c>
      <c r="AE13" s="198" t="str">
        <f t="shared" si="0"/>
        <v/>
      </c>
      <c r="AF13" s="198" t="str">
        <f t="shared" si="0"/>
        <v/>
      </c>
      <c r="AG13" s="198" t="str">
        <f t="shared" si="0"/>
        <v/>
      </c>
      <c r="AH13" s="198" t="str">
        <f t="shared" si="0"/>
        <v/>
      </c>
      <c r="AI13" s="198" t="str">
        <f t="shared" si="0"/>
        <v/>
      </c>
      <c r="AJ13" s="224" t="str">
        <f t="shared" si="0"/>
        <v/>
      </c>
      <c r="AK13" s="222"/>
      <c r="AL13" s="223"/>
    </row>
    <row r="14" spans="2:38" x14ac:dyDescent="0.25">
      <c r="B14" s="812"/>
      <c r="C14" s="829"/>
      <c r="D14" s="818"/>
      <c r="E14" s="832"/>
      <c r="F14" s="835"/>
      <c r="G14" s="824"/>
      <c r="H14" s="804"/>
      <c r="I14" s="804"/>
      <c r="J14" s="804"/>
      <c r="K14" s="807"/>
      <c r="L14" s="277" t="s">
        <v>103</v>
      </c>
      <c r="M14" s="809"/>
      <c r="N14" s="265">
        <v>0.71875</v>
      </c>
      <c r="O14" s="207">
        <v>4</v>
      </c>
      <c r="P14" s="251">
        <v>18</v>
      </c>
      <c r="Q14" s="281">
        <v>4</v>
      </c>
      <c r="R14" s="208">
        <v>18</v>
      </c>
      <c r="S14" s="227"/>
      <c r="T14" s="815"/>
      <c r="U14" s="255">
        <v>0.71875</v>
      </c>
      <c r="V14" s="200">
        <f t="shared" si="0"/>
        <v>179.6875</v>
      </c>
      <c r="W14" s="200">
        <f t="shared" si="0"/>
        <v>215.625</v>
      </c>
      <c r="X14" s="200">
        <f t="shared" si="0"/>
        <v>251.5625</v>
      </c>
      <c r="Y14" s="200">
        <f t="shared" si="0"/>
        <v>287.5</v>
      </c>
      <c r="Z14" s="200">
        <f t="shared" si="0"/>
        <v>323.4375</v>
      </c>
      <c r="AA14" s="200" t="str">
        <f t="shared" si="0"/>
        <v/>
      </c>
      <c r="AB14" s="200" t="str">
        <f t="shared" si="0"/>
        <v/>
      </c>
      <c r="AC14" s="200" t="str">
        <f t="shared" si="0"/>
        <v/>
      </c>
      <c r="AD14" s="200" t="str">
        <f t="shared" si="0"/>
        <v/>
      </c>
      <c r="AE14" s="200" t="str">
        <f t="shared" si="0"/>
        <v/>
      </c>
      <c r="AF14" s="200" t="str">
        <f t="shared" si="0"/>
        <v/>
      </c>
      <c r="AG14" s="200" t="str">
        <f t="shared" si="0"/>
        <v/>
      </c>
      <c r="AH14" s="200" t="str">
        <f t="shared" si="0"/>
        <v/>
      </c>
      <c r="AI14" s="200" t="str">
        <f t="shared" si="0"/>
        <v/>
      </c>
      <c r="AJ14" s="225" t="str">
        <f t="shared" si="0"/>
        <v/>
      </c>
      <c r="AK14" s="222"/>
      <c r="AL14" s="223"/>
    </row>
    <row r="15" spans="2:38" x14ac:dyDescent="0.25">
      <c r="B15" s="226"/>
      <c r="C15" s="268"/>
      <c r="D15" s="268"/>
      <c r="E15" s="269"/>
      <c r="F15" s="270"/>
      <c r="G15" s="268"/>
      <c r="H15" s="270"/>
      <c r="I15" s="270"/>
      <c r="J15" s="270"/>
      <c r="K15" s="270"/>
      <c r="L15" s="270"/>
      <c r="M15" s="271"/>
      <c r="N15" s="266"/>
      <c r="O15" s="227"/>
      <c r="P15" s="227"/>
      <c r="Q15" s="227"/>
      <c r="R15" s="227"/>
      <c r="S15" s="227"/>
      <c r="T15" s="272"/>
      <c r="U15" s="266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222"/>
      <c r="AL15" s="223"/>
    </row>
    <row r="16" spans="2:38" x14ac:dyDescent="0.25">
      <c r="B16" s="256" t="s">
        <v>97</v>
      </c>
      <c r="C16" s="233">
        <v>1</v>
      </c>
      <c r="D16" s="234">
        <f t="shared" ref="D16:J16" si="1">C16+1</f>
        <v>2</v>
      </c>
      <c r="E16" s="234">
        <f t="shared" si="1"/>
        <v>3</v>
      </c>
      <c r="F16" s="234">
        <f t="shared" si="1"/>
        <v>4</v>
      </c>
      <c r="G16" s="234">
        <f t="shared" si="1"/>
        <v>5</v>
      </c>
      <c r="H16" s="234">
        <f t="shared" si="1"/>
        <v>6</v>
      </c>
      <c r="I16" s="234">
        <f t="shared" si="1"/>
        <v>7</v>
      </c>
      <c r="J16" s="234">
        <f t="shared" si="1"/>
        <v>8</v>
      </c>
      <c r="K16" s="234">
        <f>J16+1</f>
        <v>9</v>
      </c>
      <c r="L16" s="261"/>
      <c r="M16" s="262"/>
      <c r="N16" s="262"/>
    </row>
    <row r="17" spans="2:19" x14ac:dyDescent="0.25">
      <c r="B17" s="235" t="s">
        <v>88</v>
      </c>
      <c r="C17" s="236" t="s">
        <v>78</v>
      </c>
      <c r="D17" s="237" t="s">
        <v>79</v>
      </c>
      <c r="E17" s="238" t="s">
        <v>80</v>
      </c>
      <c r="F17" s="239" t="s">
        <v>76</v>
      </c>
      <c r="G17" s="240" t="s">
        <v>81</v>
      </c>
      <c r="H17" s="241" t="s">
        <v>82</v>
      </c>
      <c r="I17" s="242" t="s">
        <v>83</v>
      </c>
      <c r="J17" s="243" t="s">
        <v>84</v>
      </c>
      <c r="K17" s="244" t="s">
        <v>85</v>
      </c>
      <c r="L17" s="247"/>
      <c r="M17" s="247"/>
      <c r="N17" s="247"/>
    </row>
    <row r="18" spans="2:19" x14ac:dyDescent="0.25">
      <c r="E18" s="231"/>
      <c r="F18" s="232"/>
      <c r="G18" s="232"/>
      <c r="H18" s="232"/>
      <c r="I18" s="232"/>
      <c r="J18" s="232"/>
      <c r="K18" s="232"/>
      <c r="L18" s="232"/>
      <c r="M18" s="232"/>
      <c r="N18" s="232"/>
    </row>
    <row r="19" spans="2:19" x14ac:dyDescent="0.25">
      <c r="B19" s="61" t="s">
        <v>98</v>
      </c>
      <c r="C19" s="227">
        <v>6.375</v>
      </c>
    </row>
    <row r="20" spans="2:19" x14ac:dyDescent="0.25">
      <c r="D20" s="231"/>
      <c r="E20" s="232"/>
      <c r="F20" s="232"/>
    </row>
    <row r="26" spans="2:19" x14ac:dyDescent="0.25">
      <c r="E26" s="61"/>
      <c r="F26" s="227"/>
      <c r="G26" s="231"/>
      <c r="H26" s="232"/>
      <c r="I26" s="232"/>
      <c r="J26" s="232"/>
      <c r="K26" s="232"/>
      <c r="L26" s="232"/>
      <c r="M26" s="232"/>
      <c r="N26" s="232"/>
      <c r="O26" s="232"/>
      <c r="P26" s="232"/>
      <c r="Q26" s="232"/>
      <c r="R26" s="232"/>
      <c r="S26" s="232"/>
    </row>
    <row r="27" spans="2:19" ht="15" customHeight="1" x14ac:dyDescent="0.25"/>
    <row r="29" spans="2:19" x14ac:dyDescent="0.25">
      <c r="J29" s="232"/>
      <c r="K29" s="232"/>
      <c r="L29" s="232"/>
      <c r="M29" s="232"/>
      <c r="N29" s="232"/>
      <c r="O29" s="232"/>
      <c r="P29" s="232"/>
      <c r="Q29" s="232"/>
      <c r="R29" s="232"/>
      <c r="S29" s="232"/>
    </row>
    <row r="34" ht="15" customHeight="1" x14ac:dyDescent="0.25"/>
    <row r="50" spans="5:14" x14ac:dyDescent="0.25">
      <c r="E50" s="53"/>
      <c r="F50" s="53"/>
      <c r="G50" s="53"/>
      <c r="H50" s="53"/>
      <c r="I50" s="53"/>
      <c r="J50" s="53"/>
      <c r="K50" s="53"/>
      <c r="L50" s="53"/>
      <c r="M50" s="53"/>
      <c r="N50" s="53"/>
    </row>
    <row r="51" spans="5:14" x14ac:dyDescent="0.25">
      <c r="E51" s="53"/>
      <c r="F51" s="53"/>
      <c r="G51" s="53"/>
      <c r="H51" s="53"/>
      <c r="I51" s="53"/>
      <c r="J51" s="53"/>
      <c r="K51" s="53"/>
      <c r="L51" s="53"/>
      <c r="M51" s="53"/>
      <c r="N51" s="53"/>
    </row>
    <row r="52" spans="5:14" x14ac:dyDescent="0.25">
      <c r="E52" s="53"/>
      <c r="F52" s="53"/>
      <c r="G52" s="53"/>
      <c r="H52" s="53"/>
      <c r="I52" s="53"/>
      <c r="J52" s="53"/>
      <c r="K52" s="53"/>
      <c r="L52" s="53"/>
      <c r="M52" s="53"/>
      <c r="N52" s="53"/>
    </row>
    <row r="63" spans="5:14" x14ac:dyDescent="0.25">
      <c r="E63" s="53"/>
      <c r="F63" s="53"/>
      <c r="G63" s="53"/>
      <c r="H63" s="53"/>
      <c r="I63" s="53"/>
      <c r="J63" s="53"/>
      <c r="K63" s="53"/>
      <c r="L63" s="53"/>
      <c r="M63" s="53"/>
      <c r="N63" s="53"/>
    </row>
    <row r="64" spans="5:14" x14ac:dyDescent="0.25">
      <c r="E64" s="53"/>
      <c r="F64" s="53"/>
      <c r="G64" s="53"/>
      <c r="H64" s="53"/>
      <c r="I64" s="53"/>
      <c r="J64" s="53"/>
      <c r="K64" s="53"/>
      <c r="L64" s="53"/>
      <c r="M64" s="53"/>
      <c r="N64" s="53"/>
    </row>
    <row r="65" spans="5:14" x14ac:dyDescent="0.25">
      <c r="E65" s="53"/>
      <c r="F65" s="53"/>
      <c r="G65" s="53"/>
      <c r="H65" s="53"/>
      <c r="I65" s="53"/>
      <c r="J65" s="53"/>
      <c r="K65" s="53"/>
      <c r="L65" s="53"/>
      <c r="M65" s="53"/>
      <c r="N65" s="53"/>
    </row>
    <row r="66" spans="5:14" x14ac:dyDescent="0.25">
      <c r="E66" s="53"/>
      <c r="F66" s="53"/>
      <c r="G66" s="53"/>
      <c r="H66" s="53"/>
      <c r="I66" s="53"/>
      <c r="J66" s="53"/>
      <c r="K66" s="53"/>
      <c r="L66" s="53"/>
      <c r="M66" s="53"/>
      <c r="N66" s="53"/>
    </row>
    <row r="67" spans="5:14" x14ac:dyDescent="0.25">
      <c r="E67" s="53"/>
      <c r="F67" s="53"/>
      <c r="G67" s="53"/>
      <c r="H67" s="53"/>
      <c r="I67" s="53"/>
      <c r="J67" s="53"/>
      <c r="K67" s="53"/>
      <c r="L67" s="53"/>
      <c r="M67" s="53"/>
      <c r="N67" s="53"/>
    </row>
    <row r="68" spans="5:14" x14ac:dyDescent="0.25">
      <c r="E68" s="53"/>
      <c r="F68" s="53"/>
      <c r="G68" s="53"/>
      <c r="H68" s="53"/>
      <c r="I68" s="53"/>
      <c r="J68" s="53"/>
      <c r="K68" s="53"/>
      <c r="L68" s="53"/>
      <c r="M68" s="53"/>
      <c r="N68" s="53"/>
    </row>
    <row r="69" spans="5:14" x14ac:dyDescent="0.25">
      <c r="E69" s="53"/>
      <c r="F69" s="53"/>
      <c r="G69" s="53"/>
      <c r="H69" s="53"/>
      <c r="I69" s="53"/>
      <c r="J69" s="53"/>
      <c r="K69" s="53"/>
      <c r="L69" s="53"/>
      <c r="M69" s="53"/>
      <c r="N69" s="53"/>
    </row>
    <row r="70" spans="5:14" x14ac:dyDescent="0.25">
      <c r="E70" s="53"/>
      <c r="F70" s="53"/>
      <c r="G70" s="53"/>
      <c r="H70" s="53"/>
      <c r="I70" s="53"/>
      <c r="J70" s="53"/>
      <c r="K70" s="53"/>
      <c r="L70" s="53"/>
      <c r="M70" s="53"/>
      <c r="N70" s="53"/>
    </row>
    <row r="71" spans="5:14" x14ac:dyDescent="0.25">
      <c r="E71" s="53"/>
      <c r="F71" s="53"/>
      <c r="G71" s="53"/>
      <c r="H71" s="53"/>
      <c r="I71" s="53"/>
      <c r="J71" s="53"/>
      <c r="K71" s="53"/>
      <c r="L71" s="53"/>
      <c r="M71" s="53"/>
      <c r="N71" s="53"/>
    </row>
    <row r="72" spans="5:14" x14ac:dyDescent="0.25">
      <c r="E72" s="53"/>
      <c r="F72" s="53"/>
      <c r="G72" s="53"/>
      <c r="H72" s="53"/>
      <c r="I72" s="53"/>
      <c r="J72" s="53"/>
      <c r="K72" s="53"/>
      <c r="L72" s="53"/>
      <c r="M72" s="53"/>
      <c r="N72" s="53"/>
    </row>
    <row r="73" spans="5:14" x14ac:dyDescent="0.25">
      <c r="E73" s="53"/>
      <c r="F73" s="53"/>
      <c r="G73" s="53"/>
      <c r="H73" s="53"/>
      <c r="I73" s="53"/>
      <c r="J73" s="53"/>
      <c r="K73" s="53"/>
      <c r="L73" s="53"/>
      <c r="M73" s="53"/>
      <c r="N73" s="53"/>
    </row>
    <row r="74" spans="5:14" x14ac:dyDescent="0.25">
      <c r="E74" s="53"/>
      <c r="F74" s="53"/>
      <c r="G74" s="53"/>
      <c r="H74" s="53"/>
      <c r="I74" s="53"/>
      <c r="J74" s="53"/>
      <c r="K74" s="53"/>
      <c r="L74" s="53"/>
      <c r="M74" s="53"/>
      <c r="N74" s="53"/>
    </row>
    <row r="75" spans="5:14" x14ac:dyDescent="0.25">
      <c r="E75" s="53"/>
      <c r="F75" s="53"/>
      <c r="G75" s="53"/>
      <c r="H75" s="53"/>
      <c r="I75" s="53"/>
      <c r="J75" s="53"/>
      <c r="K75" s="53"/>
      <c r="L75" s="53"/>
      <c r="M75" s="53"/>
      <c r="N75" s="53"/>
    </row>
    <row r="76" spans="5:14" x14ac:dyDescent="0.25">
      <c r="E76" s="53"/>
      <c r="F76" s="53"/>
      <c r="G76" s="53"/>
      <c r="H76" s="53"/>
      <c r="I76" s="53"/>
      <c r="J76" s="53"/>
      <c r="K76" s="53"/>
      <c r="L76" s="53"/>
      <c r="M76" s="53"/>
      <c r="N76" s="53"/>
    </row>
    <row r="77" spans="5:14" x14ac:dyDescent="0.25">
      <c r="E77" s="53"/>
      <c r="F77" s="53"/>
      <c r="G77" s="53"/>
      <c r="H77" s="53"/>
      <c r="I77" s="53"/>
      <c r="J77" s="53"/>
      <c r="K77" s="53"/>
      <c r="L77" s="53"/>
      <c r="M77" s="53"/>
      <c r="N77" s="53"/>
    </row>
    <row r="78" spans="5:14" x14ac:dyDescent="0.25">
      <c r="E78" s="53"/>
      <c r="F78" s="53"/>
      <c r="G78" s="53"/>
      <c r="H78" s="53"/>
      <c r="I78" s="53"/>
      <c r="J78" s="53"/>
      <c r="K78" s="53"/>
      <c r="L78" s="53"/>
      <c r="M78" s="53"/>
      <c r="N78" s="53"/>
    </row>
    <row r="79" spans="5:14" x14ac:dyDescent="0.25">
      <c r="E79" s="53"/>
      <c r="F79" s="53"/>
      <c r="G79" s="53"/>
      <c r="H79" s="53"/>
      <c r="I79" s="53"/>
      <c r="J79" s="53"/>
      <c r="K79" s="53"/>
      <c r="L79" s="53"/>
      <c r="M79" s="53"/>
      <c r="N79" s="53"/>
    </row>
    <row r="80" spans="5:14" x14ac:dyDescent="0.25">
      <c r="E80" s="53"/>
      <c r="F80" s="53"/>
      <c r="G80" s="53"/>
      <c r="H80" s="53"/>
      <c r="I80" s="53"/>
      <c r="J80" s="53"/>
      <c r="K80" s="53"/>
      <c r="L80" s="53"/>
      <c r="M80" s="53"/>
      <c r="N80" s="53"/>
    </row>
    <row r="81" spans="5:14" x14ac:dyDescent="0.25">
      <c r="E81" s="53"/>
      <c r="F81" s="53"/>
      <c r="G81" s="53"/>
      <c r="H81" s="53"/>
      <c r="I81" s="53"/>
      <c r="J81" s="53"/>
      <c r="K81" s="53"/>
      <c r="L81" s="53"/>
      <c r="M81" s="53"/>
      <c r="N81" s="53"/>
    </row>
    <row r="82" spans="5:14" x14ac:dyDescent="0.25">
      <c r="E82" s="53"/>
      <c r="F82" s="53"/>
      <c r="G82" s="53"/>
      <c r="H82" s="53"/>
      <c r="I82" s="53"/>
      <c r="J82" s="53"/>
      <c r="K82" s="53"/>
      <c r="L82" s="53"/>
      <c r="M82" s="53"/>
      <c r="N82" s="53"/>
    </row>
    <row r="83" spans="5:14" x14ac:dyDescent="0.25">
      <c r="E83" s="53"/>
      <c r="F83" s="53"/>
      <c r="G83" s="53"/>
      <c r="H83" s="53"/>
      <c r="I83" s="53"/>
      <c r="J83" s="53"/>
      <c r="K83" s="53"/>
      <c r="L83" s="53"/>
      <c r="M83" s="53"/>
      <c r="N83" s="53"/>
    </row>
    <row r="84" spans="5:14" x14ac:dyDescent="0.25">
      <c r="E84" s="53"/>
      <c r="F84" s="53"/>
      <c r="G84" s="53"/>
      <c r="H84" s="53"/>
      <c r="I84" s="53"/>
      <c r="J84" s="53"/>
      <c r="K84" s="53"/>
      <c r="L84" s="53"/>
      <c r="M84" s="53"/>
      <c r="N84" s="53"/>
    </row>
    <row r="85" spans="5:14" x14ac:dyDescent="0.25">
      <c r="E85" s="53"/>
      <c r="F85" s="53"/>
      <c r="G85" s="53"/>
      <c r="H85" s="53"/>
      <c r="I85" s="53"/>
      <c r="J85" s="53"/>
      <c r="K85" s="53"/>
      <c r="L85" s="53"/>
      <c r="M85" s="53"/>
      <c r="N85" s="53"/>
    </row>
    <row r="86" spans="5:14" x14ac:dyDescent="0.25">
      <c r="E86" s="53"/>
      <c r="F86" s="53"/>
      <c r="G86" s="53"/>
      <c r="H86" s="53"/>
      <c r="I86" s="53"/>
      <c r="J86" s="53"/>
      <c r="K86" s="53"/>
      <c r="L86" s="53"/>
      <c r="M86" s="53"/>
      <c r="N86" s="53"/>
    </row>
    <row r="87" spans="5:14" x14ac:dyDescent="0.25">
      <c r="E87" s="53"/>
      <c r="F87" s="53"/>
      <c r="G87" s="53"/>
      <c r="H87" s="53"/>
      <c r="I87" s="53"/>
      <c r="J87" s="53"/>
      <c r="K87" s="53"/>
      <c r="L87" s="53"/>
      <c r="M87" s="53"/>
      <c r="N87" s="53"/>
    </row>
    <row r="88" spans="5:14" x14ac:dyDescent="0.25">
      <c r="E88" s="53"/>
      <c r="F88" s="53"/>
      <c r="G88" s="53"/>
      <c r="H88" s="53"/>
      <c r="I88" s="53"/>
      <c r="J88" s="53"/>
      <c r="K88" s="53"/>
      <c r="L88" s="53"/>
      <c r="M88" s="53"/>
      <c r="N88" s="53"/>
    </row>
    <row r="89" spans="5:14" x14ac:dyDescent="0.25">
      <c r="E89" s="53"/>
      <c r="F89" s="53"/>
      <c r="G89" s="53"/>
      <c r="H89" s="53"/>
      <c r="I89" s="53"/>
      <c r="J89" s="53"/>
      <c r="K89" s="53"/>
      <c r="L89" s="53"/>
      <c r="M89" s="53"/>
      <c r="N89" s="53"/>
    </row>
    <row r="90" spans="5:14" x14ac:dyDescent="0.25">
      <c r="E90" s="53"/>
      <c r="F90" s="53"/>
      <c r="G90" s="53"/>
      <c r="H90" s="53"/>
      <c r="I90" s="53"/>
      <c r="J90" s="53"/>
      <c r="K90" s="53"/>
      <c r="L90" s="53"/>
      <c r="M90" s="53"/>
      <c r="N90" s="53"/>
    </row>
    <row r="91" spans="5:14" x14ac:dyDescent="0.25">
      <c r="E91" s="53"/>
      <c r="F91" s="53"/>
      <c r="G91" s="53"/>
      <c r="H91" s="53"/>
      <c r="I91" s="53"/>
      <c r="J91" s="53"/>
      <c r="K91" s="53"/>
      <c r="L91" s="53"/>
      <c r="M91" s="53"/>
      <c r="N91" s="53"/>
    </row>
    <row r="92" spans="5:14" x14ac:dyDescent="0.25">
      <c r="E92" s="53"/>
      <c r="F92" s="53"/>
      <c r="G92" s="53"/>
      <c r="H92" s="53"/>
      <c r="I92" s="53"/>
      <c r="J92" s="53"/>
      <c r="K92" s="53"/>
      <c r="L92" s="53"/>
      <c r="M92" s="53"/>
      <c r="N92" s="53"/>
    </row>
    <row r="93" spans="5:14" x14ac:dyDescent="0.25">
      <c r="E93" s="53"/>
      <c r="F93" s="53"/>
      <c r="G93" s="53"/>
      <c r="H93" s="53"/>
      <c r="I93" s="53"/>
      <c r="J93" s="53"/>
      <c r="K93" s="53"/>
      <c r="L93" s="53"/>
      <c r="M93" s="53"/>
      <c r="N93" s="53"/>
    </row>
    <row r="94" spans="5:14" x14ac:dyDescent="0.25">
      <c r="E94" s="53"/>
      <c r="F94" s="53"/>
      <c r="G94" s="53"/>
      <c r="H94" s="53"/>
      <c r="I94" s="53"/>
      <c r="J94" s="53"/>
      <c r="K94" s="53"/>
      <c r="L94" s="53"/>
      <c r="M94" s="53"/>
      <c r="N94" s="53"/>
    </row>
    <row r="95" spans="5:14" x14ac:dyDescent="0.25">
      <c r="E95" s="53"/>
      <c r="F95" s="53"/>
      <c r="G95" s="53"/>
      <c r="H95" s="53"/>
      <c r="I95" s="53"/>
      <c r="J95" s="53"/>
      <c r="K95" s="53"/>
      <c r="L95" s="53"/>
      <c r="M95" s="53"/>
      <c r="N95" s="53"/>
    </row>
    <row r="96" spans="5:14" x14ac:dyDescent="0.25">
      <c r="E96" s="53"/>
      <c r="F96" s="53"/>
      <c r="G96" s="53"/>
      <c r="H96" s="53"/>
      <c r="I96" s="53"/>
      <c r="J96" s="53"/>
      <c r="K96" s="53"/>
      <c r="L96" s="53"/>
      <c r="M96" s="53"/>
      <c r="N96" s="53"/>
    </row>
    <row r="97" spans="5:14" x14ac:dyDescent="0.25">
      <c r="E97" s="53"/>
      <c r="F97" s="53"/>
      <c r="G97" s="53"/>
      <c r="H97" s="53"/>
      <c r="I97" s="53"/>
      <c r="J97" s="53"/>
      <c r="K97" s="53"/>
      <c r="L97" s="53"/>
      <c r="M97" s="53"/>
      <c r="N97" s="53"/>
    </row>
    <row r="98" spans="5:14" x14ac:dyDescent="0.25">
      <c r="E98" s="53"/>
      <c r="F98" s="53"/>
      <c r="G98" s="53"/>
      <c r="H98" s="53"/>
      <c r="I98" s="53"/>
      <c r="J98" s="53"/>
      <c r="K98" s="53"/>
      <c r="L98" s="53"/>
      <c r="M98" s="53"/>
      <c r="N98" s="53"/>
    </row>
    <row r="99" spans="5:14" x14ac:dyDescent="0.25">
      <c r="E99" s="53"/>
      <c r="F99" s="53"/>
      <c r="G99" s="53"/>
      <c r="H99" s="53"/>
      <c r="I99" s="53"/>
      <c r="J99" s="53"/>
      <c r="K99" s="53"/>
      <c r="L99" s="53"/>
      <c r="M99" s="53"/>
      <c r="N99" s="53"/>
    </row>
    <row r="100" spans="5:14" x14ac:dyDescent="0.25">
      <c r="E100" s="53"/>
      <c r="F100" s="53"/>
      <c r="G100" s="53"/>
      <c r="H100" s="53"/>
      <c r="I100" s="53"/>
      <c r="J100" s="53"/>
      <c r="K100" s="53"/>
      <c r="L100" s="53"/>
      <c r="M100" s="53"/>
      <c r="N100" s="53"/>
    </row>
    <row r="101" spans="5:14" x14ac:dyDescent="0.25">
      <c r="E101" s="53"/>
      <c r="F101" s="53"/>
      <c r="G101" s="53"/>
      <c r="H101" s="53"/>
      <c r="I101" s="53"/>
      <c r="J101" s="53"/>
      <c r="K101" s="53"/>
      <c r="L101" s="53"/>
      <c r="M101" s="53"/>
      <c r="N101" s="53"/>
    </row>
    <row r="102" spans="5:14" x14ac:dyDescent="0.25">
      <c r="E102" s="53"/>
      <c r="F102" s="53"/>
      <c r="G102" s="53"/>
      <c r="H102" s="53"/>
      <c r="I102" s="53"/>
      <c r="J102" s="53"/>
      <c r="K102" s="53"/>
      <c r="L102" s="53"/>
      <c r="M102" s="53"/>
      <c r="N102" s="53"/>
    </row>
    <row r="103" spans="5:14" x14ac:dyDescent="0.25">
      <c r="E103" s="53"/>
      <c r="F103" s="53"/>
      <c r="G103" s="53"/>
      <c r="H103" s="53"/>
      <c r="I103" s="53"/>
      <c r="J103" s="53"/>
      <c r="K103" s="53"/>
      <c r="L103" s="53"/>
      <c r="M103" s="53"/>
      <c r="N103" s="53"/>
    </row>
    <row r="104" spans="5:14" x14ac:dyDescent="0.25">
      <c r="E104" s="53"/>
      <c r="F104" s="53"/>
      <c r="G104" s="53"/>
      <c r="H104" s="53"/>
      <c r="I104" s="53"/>
      <c r="J104" s="53"/>
      <c r="K104" s="53"/>
      <c r="L104" s="53"/>
      <c r="M104" s="53"/>
      <c r="N104" s="53"/>
    </row>
    <row r="105" spans="5:14" x14ac:dyDescent="0.25">
      <c r="E105" s="53"/>
      <c r="F105" s="53"/>
      <c r="G105" s="53"/>
      <c r="H105" s="53"/>
      <c r="I105" s="53"/>
      <c r="J105" s="53"/>
      <c r="K105" s="53"/>
      <c r="L105" s="53"/>
      <c r="M105" s="53"/>
      <c r="N105" s="53"/>
    </row>
    <row r="106" spans="5:14" x14ac:dyDescent="0.25">
      <c r="E106" s="53"/>
      <c r="F106" s="53"/>
      <c r="G106" s="53"/>
      <c r="H106" s="53"/>
      <c r="I106" s="53"/>
      <c r="J106" s="53"/>
      <c r="K106" s="53"/>
      <c r="L106" s="53"/>
      <c r="M106" s="53"/>
      <c r="N106" s="53"/>
    </row>
    <row r="107" spans="5:14" x14ac:dyDescent="0.25">
      <c r="E107" s="53"/>
      <c r="F107" s="53"/>
      <c r="G107" s="53"/>
      <c r="H107" s="53"/>
      <c r="I107" s="53"/>
      <c r="J107" s="53"/>
      <c r="K107" s="53"/>
      <c r="L107" s="53"/>
      <c r="M107" s="53"/>
      <c r="N107" s="53"/>
    </row>
    <row r="108" spans="5:14" x14ac:dyDescent="0.25">
      <c r="E108" s="53"/>
      <c r="F108" s="53"/>
      <c r="G108" s="53"/>
      <c r="H108" s="53"/>
      <c r="I108" s="53"/>
      <c r="J108" s="53"/>
      <c r="K108" s="53"/>
      <c r="L108" s="53"/>
      <c r="M108" s="53"/>
      <c r="N108" s="53"/>
    </row>
    <row r="109" spans="5:14" x14ac:dyDescent="0.25">
      <c r="E109" s="53"/>
      <c r="F109" s="53"/>
      <c r="G109" s="53"/>
      <c r="H109" s="53"/>
      <c r="I109" s="53"/>
      <c r="J109" s="53"/>
      <c r="K109" s="53"/>
      <c r="L109" s="53"/>
      <c r="M109" s="53"/>
      <c r="N109" s="53"/>
    </row>
    <row r="110" spans="5:14" x14ac:dyDescent="0.25">
      <c r="E110" s="53"/>
      <c r="F110" s="53"/>
      <c r="G110" s="53"/>
      <c r="H110" s="53"/>
      <c r="I110" s="53"/>
      <c r="J110" s="53"/>
      <c r="K110" s="53"/>
      <c r="L110" s="53"/>
      <c r="M110" s="53"/>
      <c r="N110" s="53"/>
    </row>
    <row r="111" spans="5:14" x14ac:dyDescent="0.25">
      <c r="E111" s="53"/>
      <c r="F111" s="53"/>
      <c r="G111" s="53"/>
      <c r="H111" s="53"/>
      <c r="I111" s="53"/>
      <c r="J111" s="53"/>
      <c r="K111" s="53"/>
      <c r="L111" s="53"/>
      <c r="M111" s="53"/>
      <c r="N111" s="53"/>
    </row>
    <row r="112" spans="5:14" x14ac:dyDescent="0.25">
      <c r="E112" s="53"/>
      <c r="F112" s="53"/>
      <c r="G112" s="53"/>
      <c r="H112" s="53"/>
      <c r="I112" s="53"/>
      <c r="J112" s="53"/>
      <c r="K112" s="53"/>
      <c r="L112" s="53"/>
      <c r="M112" s="53"/>
      <c r="N112" s="53"/>
    </row>
    <row r="113" spans="5:14" x14ac:dyDescent="0.25">
      <c r="E113" s="53"/>
      <c r="F113" s="53"/>
      <c r="G113" s="53"/>
      <c r="H113" s="53"/>
      <c r="I113" s="53"/>
      <c r="J113" s="53"/>
      <c r="K113" s="53"/>
      <c r="L113" s="53"/>
      <c r="M113" s="53"/>
      <c r="N113" s="53"/>
    </row>
    <row r="114" spans="5:14" x14ac:dyDescent="0.25">
      <c r="E114" s="53"/>
      <c r="F114" s="53"/>
      <c r="G114" s="53"/>
      <c r="H114" s="53"/>
      <c r="I114" s="53"/>
      <c r="J114" s="53"/>
      <c r="K114" s="53"/>
      <c r="L114" s="53"/>
      <c r="M114" s="53"/>
      <c r="N114" s="53"/>
    </row>
    <row r="115" spans="5:14" x14ac:dyDescent="0.25">
      <c r="E115" s="53"/>
      <c r="F115" s="53"/>
      <c r="G115" s="53"/>
      <c r="H115" s="53"/>
      <c r="I115" s="53"/>
      <c r="J115" s="53"/>
      <c r="K115" s="53"/>
      <c r="L115" s="53"/>
      <c r="M115" s="53"/>
      <c r="N115" s="53"/>
    </row>
    <row r="116" spans="5:14" x14ac:dyDescent="0.25">
      <c r="E116" s="53"/>
      <c r="F116" s="53"/>
      <c r="G116" s="53"/>
      <c r="H116" s="53"/>
      <c r="I116" s="53"/>
      <c r="J116" s="53"/>
      <c r="K116" s="53"/>
      <c r="L116" s="53"/>
      <c r="M116" s="53"/>
      <c r="N116" s="53"/>
    </row>
    <row r="117" spans="5:14" x14ac:dyDescent="0.25">
      <c r="E117" s="53"/>
      <c r="F117" s="53"/>
      <c r="G117" s="53"/>
      <c r="H117" s="53"/>
      <c r="I117" s="53"/>
      <c r="J117" s="53"/>
      <c r="K117" s="53"/>
      <c r="L117" s="53"/>
      <c r="M117" s="53"/>
      <c r="N117" s="53"/>
    </row>
    <row r="118" spans="5:14" x14ac:dyDescent="0.25">
      <c r="E118" s="53"/>
      <c r="F118" s="53"/>
      <c r="G118" s="53"/>
      <c r="H118" s="53"/>
      <c r="I118" s="53"/>
      <c r="J118" s="53"/>
      <c r="K118" s="53"/>
      <c r="L118" s="53"/>
      <c r="M118" s="53"/>
      <c r="N118" s="53"/>
    </row>
    <row r="119" spans="5:14" x14ac:dyDescent="0.25">
      <c r="E119" s="53"/>
      <c r="F119" s="53"/>
      <c r="G119" s="53"/>
      <c r="H119" s="53"/>
      <c r="I119" s="53"/>
      <c r="J119" s="53"/>
      <c r="K119" s="53"/>
      <c r="L119" s="53"/>
      <c r="M119" s="53"/>
      <c r="N119" s="53"/>
    </row>
    <row r="120" spans="5:14" x14ac:dyDescent="0.25">
      <c r="E120" s="53"/>
      <c r="F120" s="53"/>
      <c r="G120" s="53"/>
      <c r="H120" s="53"/>
      <c r="I120" s="53"/>
      <c r="J120" s="53"/>
      <c r="K120" s="53"/>
      <c r="L120" s="53"/>
      <c r="M120" s="53"/>
      <c r="N120" s="53"/>
    </row>
    <row r="121" spans="5:14" x14ac:dyDescent="0.25">
      <c r="E121" s="53"/>
      <c r="F121" s="53"/>
      <c r="G121" s="53"/>
      <c r="H121" s="53"/>
      <c r="I121" s="53"/>
      <c r="J121" s="53"/>
      <c r="K121" s="53"/>
      <c r="L121" s="53"/>
      <c r="M121" s="53"/>
      <c r="N121" s="53"/>
    </row>
    <row r="122" spans="5:14" x14ac:dyDescent="0.25">
      <c r="E122" s="53"/>
      <c r="F122" s="53"/>
      <c r="G122" s="53"/>
      <c r="H122" s="53"/>
      <c r="I122" s="53"/>
      <c r="J122" s="53"/>
      <c r="K122" s="53"/>
      <c r="L122" s="53"/>
      <c r="M122" s="53"/>
      <c r="N122" s="53"/>
    </row>
    <row r="123" spans="5:14" x14ac:dyDescent="0.25">
      <c r="E123" s="53"/>
      <c r="F123" s="53"/>
      <c r="G123" s="53"/>
      <c r="H123" s="53"/>
      <c r="I123" s="53"/>
      <c r="J123" s="53"/>
      <c r="K123" s="53"/>
      <c r="L123" s="53"/>
      <c r="M123" s="53"/>
      <c r="N123" s="53"/>
    </row>
    <row r="124" spans="5:14" x14ac:dyDescent="0.25">
      <c r="E124" s="53"/>
      <c r="F124" s="53"/>
      <c r="G124" s="53"/>
      <c r="H124" s="53"/>
      <c r="I124" s="53"/>
      <c r="J124" s="53"/>
      <c r="K124" s="53"/>
      <c r="L124" s="53"/>
      <c r="M124" s="53"/>
      <c r="N124" s="53"/>
    </row>
    <row r="125" spans="5:14" x14ac:dyDescent="0.25">
      <c r="E125" s="53"/>
      <c r="F125" s="53"/>
      <c r="G125" s="53"/>
      <c r="H125" s="53"/>
      <c r="I125" s="53"/>
      <c r="J125" s="53"/>
      <c r="K125" s="53"/>
      <c r="L125" s="53"/>
      <c r="M125" s="53"/>
      <c r="N125" s="53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T5:U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I247"/>
  <sheetViews>
    <sheetView tabSelected="1" zoomScale="93" zoomScaleNormal="93" workbookViewId="0"/>
  </sheetViews>
  <sheetFormatPr defaultRowHeight="15" x14ac:dyDescent="0.25"/>
  <cols>
    <col min="1" max="1" width="2.7109375" style="35" customWidth="1"/>
    <col min="2" max="11" width="9.7109375" style="34" customWidth="1"/>
    <col min="12" max="12" width="2.7109375" customWidth="1"/>
    <col min="13" max="19" width="9.7109375" customWidth="1"/>
    <col min="20" max="22" width="10.7109375" style="35" customWidth="1"/>
    <col min="23" max="25" width="10.7109375" customWidth="1"/>
    <col min="26" max="35" width="9.7109375" customWidth="1"/>
    <col min="36" max="36" width="10.28515625" customWidth="1"/>
    <col min="37" max="39" width="9.7109375" customWidth="1"/>
    <col min="40" max="42" width="10.7109375" customWidth="1"/>
    <col min="43" max="43" width="10.7109375" style="342" customWidth="1"/>
    <col min="44" max="44" width="2.7109375" customWidth="1"/>
    <col min="45" max="46" width="10.7109375" customWidth="1"/>
    <col min="47" max="47" width="2.7109375" customWidth="1"/>
    <col min="49" max="51" width="9.140625" style="474"/>
    <col min="52" max="52" width="9.140625" customWidth="1"/>
    <col min="53" max="53" width="11" customWidth="1"/>
    <col min="54" max="54" width="11" style="701" customWidth="1"/>
    <col min="55" max="66" width="10.7109375" customWidth="1"/>
    <col min="67" max="70" width="10.7109375" style="342" customWidth="1"/>
    <col min="71" max="92" width="10.7109375" customWidth="1"/>
    <col min="93" max="93" width="10.7109375" style="472" customWidth="1"/>
    <col min="94" max="115" width="10.7109375" customWidth="1"/>
    <col min="116" max="121" width="10.7109375" style="494" customWidth="1"/>
    <col min="122" max="130" width="10.7109375" customWidth="1"/>
    <col min="131" max="131" width="10.7109375" style="494" customWidth="1"/>
    <col min="132" max="132" width="13.140625" customWidth="1"/>
    <col min="133" max="145" width="10.7109375" customWidth="1"/>
    <col min="146" max="148" width="10.7109375" style="494" customWidth="1"/>
    <col min="149" max="151" width="10.7109375" customWidth="1"/>
    <col min="152" max="155" width="10.7109375" style="511" customWidth="1"/>
    <col min="156" max="156" width="10.7109375" customWidth="1"/>
    <col min="157" max="157" width="10.7109375" style="494" customWidth="1"/>
    <col min="158" max="159" width="10.7109375" customWidth="1"/>
    <col min="160" max="168" width="10.7109375" style="511" customWidth="1"/>
    <col min="169" max="169" width="14.42578125" style="511" customWidth="1"/>
    <col min="170" max="171" width="10.7109375" style="511" customWidth="1"/>
    <col min="172" max="172" width="12.28515625" style="511" customWidth="1"/>
    <col min="173" max="173" width="13" style="511" customWidth="1"/>
    <col min="174" max="174" width="10.7109375" style="511" customWidth="1"/>
    <col min="175" max="175" width="13" style="511" customWidth="1"/>
    <col min="176" max="176" width="10.7109375" style="511" customWidth="1"/>
    <col min="177" max="177" width="11.5703125" style="511" customWidth="1"/>
    <col min="178" max="178" width="11.140625" style="511" customWidth="1"/>
    <col min="179" max="179" width="14.42578125" style="511" customWidth="1"/>
    <col min="180" max="180" width="11.85546875" style="511" customWidth="1"/>
    <col min="181" max="181" width="11.140625" style="511" customWidth="1"/>
    <col min="182" max="182" width="12.28515625" style="511" customWidth="1"/>
    <col min="183" max="183" width="9.28515625" style="511" customWidth="1"/>
    <col min="184" max="184" width="12.28515625" style="511" customWidth="1"/>
    <col min="185" max="185" width="11.42578125" style="511" customWidth="1"/>
    <col min="186" max="188" width="10.7109375" style="511" customWidth="1"/>
    <col min="189" max="189" width="12.28515625" style="511" customWidth="1"/>
    <col min="190" max="190" width="11.42578125" style="511" customWidth="1"/>
    <col min="191" max="191" width="10.7109375" style="511" customWidth="1"/>
    <col min="192" max="192" width="11.85546875" style="511" customWidth="1"/>
    <col min="193" max="193" width="14.140625" style="511" customWidth="1"/>
    <col min="194" max="195" width="11.85546875" style="511" customWidth="1"/>
    <col min="196" max="196" width="7.85546875" style="511" customWidth="1"/>
    <col min="197" max="197" width="12.42578125" style="511" customWidth="1"/>
    <col min="198" max="198" width="12" style="511" customWidth="1"/>
    <col min="199" max="199" width="9.28515625" style="511" customWidth="1"/>
    <col min="200" max="200" width="11.7109375" customWidth="1"/>
    <col min="201" max="216" width="10.7109375" style="511" customWidth="1"/>
    <col min="217" max="217" width="9.140625" customWidth="1"/>
    <col min="218" max="218" width="10.7109375" style="511" bestFit="1" customWidth="1"/>
    <col min="222" max="222" width="10.7109375" style="511" customWidth="1"/>
    <col min="223" max="223" width="12.5703125" style="511" customWidth="1"/>
    <col min="224" max="224" width="10.7109375" style="511" customWidth="1"/>
    <col min="225" max="226" width="7.7109375" style="511" customWidth="1"/>
    <col min="227" max="227" width="11.7109375" customWidth="1"/>
    <col min="228" max="230" width="10.7109375" customWidth="1"/>
    <col min="231" max="233" width="10.7109375" hidden="1" customWidth="1"/>
    <col min="234" max="235" width="11" hidden="1" customWidth="1"/>
    <col min="236" max="236" width="11" style="511" customWidth="1"/>
    <col min="237" max="237" width="11.7109375" customWidth="1"/>
    <col min="238" max="238" width="10.7109375" style="511" customWidth="1"/>
    <col min="239" max="239" width="13.7109375" customWidth="1"/>
    <col min="240" max="240" width="10.7109375" customWidth="1"/>
  </cols>
  <sheetData>
    <row r="1" spans="2:243" ht="30" customHeight="1" thickBot="1" x14ac:dyDescent="0.3">
      <c r="B1" s="623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347"/>
      <c r="AX1" s="347"/>
      <c r="AY1" s="347"/>
      <c r="AZ1" s="201"/>
      <c r="BA1" s="201"/>
      <c r="BB1" s="201"/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347">
        <f>EP20-90</f>
        <v>-58.018430709788852</v>
      </c>
      <c r="EQ1" s="201"/>
      <c r="ER1" s="201"/>
      <c r="ES1" s="201"/>
      <c r="ET1" s="201"/>
      <c r="EU1" s="187" t="s">
        <v>258</v>
      </c>
      <c r="EV1" s="513">
        <v>90</v>
      </c>
      <c r="EW1" s="201"/>
      <c r="EX1" s="201"/>
      <c r="EY1" s="201"/>
      <c r="EZ1" s="201"/>
      <c r="FA1" s="201"/>
      <c r="FB1" s="201"/>
      <c r="FC1" s="201"/>
      <c r="FD1" s="201"/>
      <c r="FE1" s="201"/>
      <c r="FF1" s="201"/>
      <c r="FG1" s="201"/>
      <c r="FH1" s="201"/>
      <c r="FI1" s="201"/>
      <c r="FJ1" s="623"/>
      <c r="FK1" s="201"/>
      <c r="FL1" s="201"/>
      <c r="FM1" s="201"/>
      <c r="FN1" s="201"/>
      <c r="FO1" s="201"/>
      <c r="FP1" s="201"/>
      <c r="FQ1" s="201"/>
      <c r="FR1" s="201"/>
      <c r="FS1" s="201"/>
      <c r="FT1" s="201"/>
      <c r="FU1" s="201"/>
      <c r="FV1" s="201"/>
      <c r="FW1" s="201"/>
      <c r="FX1" s="201"/>
      <c r="FY1" s="201"/>
      <c r="FZ1" s="201"/>
      <c r="GA1" s="201"/>
      <c r="GB1" s="201"/>
      <c r="GC1" s="201"/>
      <c r="GD1" s="201"/>
      <c r="GE1" s="201"/>
      <c r="GF1" s="201"/>
      <c r="GG1" s="201"/>
      <c r="GH1" s="201"/>
      <c r="GI1" s="201"/>
      <c r="GJ1" s="623">
        <v>1</v>
      </c>
      <c r="GK1" s="201">
        <f>COLUMN(GK1)-COLUMN($GJ1)+1</f>
        <v>2</v>
      </c>
      <c r="GL1" s="201">
        <f t="shared" ref="GL1:HI1" si="0">COLUMN(GL1)-COLUMN($GJ1)+1</f>
        <v>3</v>
      </c>
      <c r="GM1" s="201">
        <f t="shared" si="0"/>
        <v>4</v>
      </c>
      <c r="GN1" s="201">
        <f t="shared" si="0"/>
        <v>5</v>
      </c>
      <c r="GO1" s="201">
        <f t="shared" si="0"/>
        <v>6</v>
      </c>
      <c r="GP1" s="201">
        <f t="shared" si="0"/>
        <v>7</v>
      </c>
      <c r="GQ1" s="201">
        <f t="shared" si="0"/>
        <v>8</v>
      </c>
      <c r="GR1" s="201">
        <f t="shared" si="0"/>
        <v>9</v>
      </c>
      <c r="GS1" s="201">
        <f t="shared" si="0"/>
        <v>10</v>
      </c>
      <c r="GT1" s="201">
        <f t="shared" si="0"/>
        <v>11</v>
      </c>
      <c r="GU1" s="201">
        <f t="shared" si="0"/>
        <v>12</v>
      </c>
      <c r="GV1" s="201">
        <f t="shared" si="0"/>
        <v>13</v>
      </c>
      <c r="GW1" s="201">
        <f t="shared" si="0"/>
        <v>14</v>
      </c>
      <c r="GX1" s="201">
        <f t="shared" si="0"/>
        <v>15</v>
      </c>
      <c r="GY1" s="201">
        <f t="shared" si="0"/>
        <v>16</v>
      </c>
      <c r="GZ1" s="201">
        <f t="shared" si="0"/>
        <v>17</v>
      </c>
      <c r="HA1" s="201">
        <f t="shared" si="0"/>
        <v>18</v>
      </c>
      <c r="HB1" s="201">
        <f t="shared" si="0"/>
        <v>19</v>
      </c>
      <c r="HC1" s="201">
        <f t="shared" si="0"/>
        <v>20</v>
      </c>
      <c r="HD1" s="201">
        <f t="shared" si="0"/>
        <v>21</v>
      </c>
      <c r="HE1" s="201">
        <f t="shared" si="0"/>
        <v>22</v>
      </c>
      <c r="HF1" s="201">
        <f t="shared" si="0"/>
        <v>23</v>
      </c>
      <c r="HG1" s="201">
        <f t="shared" si="0"/>
        <v>24</v>
      </c>
      <c r="HH1" s="201">
        <f t="shared" si="0"/>
        <v>25</v>
      </c>
      <c r="HI1" s="201">
        <f t="shared" si="0"/>
        <v>26</v>
      </c>
      <c r="HM1" s="653">
        <f>HI1</f>
        <v>26</v>
      </c>
      <c r="HN1" s="653">
        <f>GO1</f>
        <v>6</v>
      </c>
      <c r="HO1" s="653">
        <f>GP1</f>
        <v>7</v>
      </c>
      <c r="HP1" s="653">
        <f>GQ1</f>
        <v>8</v>
      </c>
      <c r="HQ1" s="653">
        <f>GL1</f>
        <v>3</v>
      </c>
      <c r="HR1" s="653">
        <f>GN1</f>
        <v>5</v>
      </c>
      <c r="HS1" s="653">
        <f>GR1</f>
        <v>9</v>
      </c>
      <c r="HT1" s="653">
        <f>GS1</f>
        <v>10</v>
      </c>
      <c r="HU1" s="653">
        <f>GU1</f>
        <v>12</v>
      </c>
      <c r="HV1" s="653">
        <f>GY1</f>
        <v>16</v>
      </c>
      <c r="HW1" s="653">
        <f>GT1</f>
        <v>11</v>
      </c>
      <c r="HX1" s="653">
        <f>GV1</f>
        <v>13</v>
      </c>
      <c r="HY1" s="653">
        <f>GZ1</f>
        <v>17</v>
      </c>
      <c r="HZ1" s="653">
        <f>GW1</f>
        <v>14</v>
      </c>
      <c r="IA1" s="653">
        <f>GX1</f>
        <v>15</v>
      </c>
      <c r="IB1" s="653"/>
    </row>
    <row r="2" spans="2:243" ht="15" customHeight="1" thickTop="1" thickBot="1" x14ac:dyDescent="0.3">
      <c r="B2" s="931" t="s">
        <v>45</v>
      </c>
      <c r="C2" s="932"/>
      <c r="D2" s="932"/>
      <c r="E2" s="932"/>
      <c r="F2" s="932"/>
      <c r="G2" s="932"/>
      <c r="H2" s="932"/>
      <c r="I2" s="932"/>
      <c r="J2" s="932"/>
      <c r="K2" s="933"/>
      <c r="L2" s="62"/>
      <c r="M2" s="942" t="s">
        <v>0</v>
      </c>
      <c r="N2" s="881" t="s">
        <v>1</v>
      </c>
      <c r="O2" s="882"/>
      <c r="P2" s="882"/>
      <c r="Q2" s="882"/>
      <c r="R2" s="882"/>
      <c r="S2" s="882"/>
      <c r="T2" s="882"/>
      <c r="U2" s="882"/>
      <c r="V2" s="882"/>
      <c r="W2" s="882"/>
      <c r="X2" s="882"/>
      <c r="Y2" s="916"/>
      <c r="Z2" s="881" t="s">
        <v>2</v>
      </c>
      <c r="AA2" s="882"/>
      <c r="AB2" s="882"/>
      <c r="AC2" s="882"/>
      <c r="AD2" s="882"/>
      <c r="AE2" s="882"/>
      <c r="AF2" s="882"/>
      <c r="AG2" s="882"/>
      <c r="AH2" s="882"/>
      <c r="AI2" s="882"/>
      <c r="AJ2" s="882"/>
      <c r="AK2" s="882"/>
      <c r="AL2" s="882"/>
      <c r="AM2" s="882"/>
      <c r="AN2" s="882"/>
      <c r="AO2" s="882"/>
      <c r="AP2" s="882"/>
      <c r="AQ2" s="883"/>
      <c r="AS2" s="1007" t="s">
        <v>47</v>
      </c>
      <c r="AT2" s="1008"/>
      <c r="AV2" s="995" t="s">
        <v>0</v>
      </c>
      <c r="AW2" s="881" t="s">
        <v>146</v>
      </c>
      <c r="AX2" s="882"/>
      <c r="AY2" s="882"/>
      <c r="AZ2" s="882"/>
      <c r="BA2" s="882"/>
      <c r="BB2" s="882"/>
      <c r="BC2" s="882"/>
      <c r="BD2" s="882"/>
      <c r="BE2" s="883"/>
      <c r="BF2" s="1011" t="s">
        <v>152</v>
      </c>
      <c r="BG2" s="882"/>
      <c r="BH2" s="882"/>
      <c r="BI2" s="882"/>
      <c r="BJ2" s="882"/>
      <c r="BK2" s="882"/>
      <c r="BL2" s="882"/>
      <c r="BM2" s="882"/>
      <c r="BN2" s="882"/>
      <c r="BO2" s="882"/>
      <c r="BP2" s="882"/>
      <c r="BQ2" s="882"/>
      <c r="BR2" s="882"/>
      <c r="BS2" s="882"/>
      <c r="BT2" s="882"/>
      <c r="BU2" s="882"/>
      <c r="BV2" s="882"/>
      <c r="BW2" s="882"/>
      <c r="BX2" s="882"/>
      <c r="BY2" s="882"/>
      <c r="BZ2" s="882"/>
      <c r="CA2" s="882"/>
      <c r="CB2" s="882"/>
      <c r="CC2" s="882"/>
      <c r="CD2" s="882"/>
      <c r="CE2" s="882"/>
      <c r="CF2" s="882"/>
      <c r="CG2" s="882"/>
      <c r="CH2" s="882"/>
      <c r="CI2" s="882"/>
      <c r="CJ2" s="882"/>
      <c r="CK2" s="882"/>
      <c r="CL2" s="882"/>
      <c r="CM2" s="882"/>
      <c r="CN2" s="882"/>
      <c r="CO2" s="882"/>
      <c r="CP2" s="882"/>
      <c r="CQ2" s="882"/>
      <c r="CR2" s="882"/>
      <c r="CS2" s="882"/>
      <c r="CT2" s="882"/>
      <c r="CU2" s="882"/>
      <c r="CV2" s="882"/>
      <c r="CW2" s="882"/>
      <c r="CX2" s="882"/>
      <c r="CY2" s="882"/>
      <c r="CZ2" s="882"/>
      <c r="DA2" s="882"/>
      <c r="DB2" s="882"/>
      <c r="DC2" s="882"/>
      <c r="DD2" s="882"/>
      <c r="DE2" s="882"/>
      <c r="DF2" s="882"/>
      <c r="DG2" s="882"/>
      <c r="DH2" s="882"/>
      <c r="DI2" s="882"/>
      <c r="DJ2" s="882"/>
      <c r="DK2" s="882"/>
      <c r="DL2" s="882"/>
      <c r="DM2" s="882"/>
      <c r="DN2" s="882"/>
      <c r="DO2" s="882"/>
      <c r="DP2" s="882"/>
      <c r="DQ2" s="882"/>
      <c r="DR2" s="882"/>
      <c r="DS2" s="882"/>
      <c r="DT2" s="882"/>
      <c r="DU2" s="882"/>
      <c r="DV2" s="882"/>
      <c r="DW2" s="882"/>
      <c r="DX2" s="882"/>
      <c r="DY2" s="882"/>
      <c r="DZ2" s="882"/>
      <c r="EA2" s="882"/>
      <c r="EB2" s="882"/>
      <c r="EC2" s="882"/>
      <c r="ED2" s="882"/>
      <c r="EE2" s="882"/>
      <c r="EF2" s="882"/>
      <c r="EG2" s="882"/>
      <c r="EH2" s="882"/>
      <c r="EI2" s="882"/>
      <c r="EJ2" s="882"/>
      <c r="EK2" s="882"/>
      <c r="EL2" s="882"/>
      <c r="EM2" s="882"/>
      <c r="EN2" s="882"/>
      <c r="EO2" s="882"/>
      <c r="EP2" s="882"/>
      <c r="EQ2" s="882"/>
      <c r="ER2" s="916"/>
      <c r="ES2" s="1044" t="s">
        <v>234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s="511" t="s">
        <v>243</v>
      </c>
      <c r="GB2" s="1"/>
      <c r="GD2" s="635"/>
      <c r="GE2" s="571"/>
      <c r="GF2" s="636"/>
      <c r="GI2" s="571"/>
      <c r="GL2" s="602">
        <f>SUM(GL9:GL130)</f>
        <v>0.97119999999999995</v>
      </c>
      <c r="GM2" s="602">
        <f>SUM(GM9:GM130)</f>
        <v>12.100350383352076</v>
      </c>
      <c r="GR2" s="579">
        <f>SUM(GR9:GR130)</f>
        <v>81896.851206547944</v>
      </c>
      <c r="GS2" s="579">
        <f>SUM(GS9:GS130)</f>
        <v>11043.669155602338</v>
      </c>
      <c r="GT2" s="579"/>
      <c r="GU2" s="579">
        <f>SUM(GU9:GU130)</f>
        <v>58556.765153147579</v>
      </c>
      <c r="GV2" s="579"/>
      <c r="GW2" s="690">
        <v>58071.143361644703</v>
      </c>
      <c r="GX2" s="580">
        <f>SUM(GX9:GX130)</f>
        <v>9315.8409064906336</v>
      </c>
      <c r="GY2" s="579">
        <f>SUM(GY9:GY130)</f>
        <v>12296.416897798041</v>
      </c>
      <c r="GZ2" s="579"/>
      <c r="HE2" s="579"/>
      <c r="HF2" s="579"/>
      <c r="HG2" s="579"/>
      <c r="HH2" s="579"/>
      <c r="HO2" s="1071" t="s">
        <v>304</v>
      </c>
      <c r="HQ2" s="1134" t="str">
        <f>CONCATENATE("Sum of Lateral Forces = ",ROUND(HE3,0)," lbs @ ",ROUND(HF3,1),"° Relative to Blade 1")</f>
        <v>Sum of Lateral Forces = 2799 lbs @ 87.9° Relative to Blade 1</v>
      </c>
      <c r="HR2" s="1135"/>
      <c r="HS2" s="1135"/>
      <c r="HT2" s="1135"/>
      <c r="HU2" s="1135"/>
      <c r="HV2" s="1136"/>
      <c r="HW2" s="658">
        <f>SUM(HW9:HW130)</f>
        <v>10065.612347299766</v>
      </c>
      <c r="HX2" s="658">
        <f>SUM(HX9:HX130)</f>
        <v>56398.694432829332</v>
      </c>
      <c r="HY2" s="658">
        <f>SUM(HY9:HY130)</f>
        <v>12096.589394354391</v>
      </c>
      <c r="HZ2" s="658">
        <f>MIN(HZ9:HZ130)</f>
        <v>58071.143361644703</v>
      </c>
      <c r="IA2" s="658"/>
      <c r="IB2" s="658"/>
    </row>
    <row r="3" spans="2:243" ht="15" customHeight="1" x14ac:dyDescent="0.25">
      <c r="B3" s="934"/>
      <c r="C3" s="935"/>
      <c r="D3" s="935"/>
      <c r="E3" s="935"/>
      <c r="F3" s="935"/>
      <c r="G3" s="935"/>
      <c r="H3" s="935"/>
      <c r="I3" s="935"/>
      <c r="J3" s="935"/>
      <c r="K3" s="936"/>
      <c r="L3" s="62"/>
      <c r="M3" s="934"/>
      <c r="N3" s="917"/>
      <c r="O3" s="918"/>
      <c r="P3" s="918"/>
      <c r="Q3" s="918"/>
      <c r="R3" s="918"/>
      <c r="S3" s="918"/>
      <c r="T3" s="918"/>
      <c r="U3" s="918"/>
      <c r="V3" s="918"/>
      <c r="W3" s="918"/>
      <c r="X3" s="918"/>
      <c r="Y3" s="919"/>
      <c r="Z3" s="917"/>
      <c r="AA3" s="918"/>
      <c r="AB3" s="918"/>
      <c r="AC3" s="918"/>
      <c r="AD3" s="918"/>
      <c r="AE3" s="918"/>
      <c r="AF3" s="918"/>
      <c r="AG3" s="918"/>
      <c r="AH3" s="918"/>
      <c r="AI3" s="918"/>
      <c r="AJ3" s="918"/>
      <c r="AK3" s="918"/>
      <c r="AL3" s="918"/>
      <c r="AM3" s="918"/>
      <c r="AN3" s="918"/>
      <c r="AO3" s="918"/>
      <c r="AP3" s="918"/>
      <c r="AQ3" s="964"/>
      <c r="AS3" s="130">
        <v>160</v>
      </c>
      <c r="AT3" s="131" t="s">
        <v>48</v>
      </c>
      <c r="AV3" s="996"/>
      <c r="AW3" s="884"/>
      <c r="AX3" s="885"/>
      <c r="AY3" s="885"/>
      <c r="AZ3" s="885"/>
      <c r="BA3" s="885"/>
      <c r="BB3" s="885"/>
      <c r="BC3" s="885"/>
      <c r="BD3" s="885"/>
      <c r="BE3" s="886"/>
      <c r="BF3" s="1012"/>
      <c r="BG3" s="885"/>
      <c r="BH3" s="885"/>
      <c r="BI3" s="885"/>
      <c r="BJ3" s="885"/>
      <c r="BK3" s="885"/>
      <c r="BL3" s="885"/>
      <c r="BM3" s="885"/>
      <c r="BN3" s="885"/>
      <c r="BO3" s="885"/>
      <c r="BP3" s="885"/>
      <c r="BQ3" s="885"/>
      <c r="BR3" s="885"/>
      <c r="BS3" s="885"/>
      <c r="BT3" s="885"/>
      <c r="BU3" s="885"/>
      <c r="BV3" s="885"/>
      <c r="BW3" s="885"/>
      <c r="BX3" s="885"/>
      <c r="BY3" s="885"/>
      <c r="BZ3" s="885"/>
      <c r="CA3" s="885"/>
      <c r="CB3" s="885"/>
      <c r="CC3" s="885"/>
      <c r="CD3" s="885"/>
      <c r="CE3" s="885"/>
      <c r="CF3" s="885"/>
      <c r="CG3" s="885"/>
      <c r="CH3" s="885"/>
      <c r="CI3" s="885"/>
      <c r="CJ3" s="885"/>
      <c r="CK3" s="885"/>
      <c r="CL3" s="885"/>
      <c r="CM3" s="885"/>
      <c r="CN3" s="885"/>
      <c r="CO3" s="885"/>
      <c r="CP3" s="885"/>
      <c r="CQ3" s="885"/>
      <c r="CR3" s="885"/>
      <c r="CS3" s="885"/>
      <c r="CT3" s="885"/>
      <c r="CU3" s="885"/>
      <c r="CV3" s="885"/>
      <c r="CW3" s="885"/>
      <c r="CX3" s="885"/>
      <c r="CY3" s="885"/>
      <c r="CZ3" s="885"/>
      <c r="DA3" s="885"/>
      <c r="DB3" s="885"/>
      <c r="DC3" s="885"/>
      <c r="DD3" s="885"/>
      <c r="DE3" s="885"/>
      <c r="DF3" s="885"/>
      <c r="DG3" s="885"/>
      <c r="DH3" s="885"/>
      <c r="DI3" s="885"/>
      <c r="DJ3" s="885"/>
      <c r="DK3" s="885"/>
      <c r="DL3" s="885"/>
      <c r="DM3" s="885"/>
      <c r="DN3" s="885"/>
      <c r="DO3" s="885"/>
      <c r="DP3" s="885"/>
      <c r="DQ3" s="885"/>
      <c r="DR3" s="885"/>
      <c r="DS3" s="885"/>
      <c r="DT3" s="885"/>
      <c r="DU3" s="885"/>
      <c r="DV3" s="885"/>
      <c r="DW3" s="885"/>
      <c r="DX3" s="885"/>
      <c r="DY3" s="885"/>
      <c r="DZ3" s="885"/>
      <c r="EA3" s="885"/>
      <c r="EB3" s="885"/>
      <c r="EC3" s="885"/>
      <c r="ED3" s="885"/>
      <c r="EE3" s="885"/>
      <c r="EF3" s="885"/>
      <c r="EG3" s="885"/>
      <c r="EH3" s="885"/>
      <c r="EI3" s="885"/>
      <c r="EJ3" s="885"/>
      <c r="EK3" s="885"/>
      <c r="EL3" s="885"/>
      <c r="EM3" s="885"/>
      <c r="EN3" s="885"/>
      <c r="EO3" s="885"/>
      <c r="EP3" s="885"/>
      <c r="EQ3" s="885"/>
      <c r="ER3" s="1013"/>
      <c r="ES3" s="884"/>
      <c r="ET3" s="885"/>
      <c r="EU3" s="885"/>
      <c r="EV3" s="885"/>
      <c r="EW3" s="885"/>
      <c r="EX3" s="885"/>
      <c r="EY3" s="885"/>
      <c r="EZ3" s="885"/>
      <c r="FA3" s="885"/>
      <c r="FB3" s="885"/>
      <c r="FC3" s="885"/>
      <c r="FD3" s="885"/>
      <c r="FE3" s="885"/>
      <c r="FF3" s="1013"/>
      <c r="FI3" s="1"/>
      <c r="FP3" s="511" t="s">
        <v>244</v>
      </c>
      <c r="GA3" s="567"/>
      <c r="GB3" s="1"/>
      <c r="GD3" s="635"/>
      <c r="GE3" s="571"/>
      <c r="GF3" s="636"/>
      <c r="GG3" s="570"/>
      <c r="GH3" s="570"/>
      <c r="GI3" s="570"/>
      <c r="GJ3" s="601"/>
      <c r="GK3" s="601"/>
      <c r="GL3" s="601"/>
      <c r="GM3" s="601"/>
      <c r="GN3" s="601"/>
      <c r="GO3" s="623"/>
      <c r="GP3" s="623"/>
      <c r="GQ3" s="623"/>
      <c r="GR3" s="603"/>
      <c r="GS3" s="632"/>
      <c r="GT3" s="632"/>
      <c r="GU3" s="632"/>
      <c r="GV3" s="632"/>
      <c r="GW3" s="632"/>
      <c r="GX3" s="632"/>
      <c r="GY3" s="632"/>
      <c r="GZ3" s="632"/>
      <c r="HA3" s="632"/>
      <c r="HB3" s="632"/>
      <c r="HC3" s="632"/>
      <c r="HD3" s="632"/>
      <c r="HE3" s="579">
        <f>SQRT(HG3^2+HH3^2)</f>
        <v>2799.4005251720246</v>
      </c>
      <c r="HF3" s="691">
        <f>IF((DEGREES(ATAN2(HG3,HH3)))&lt;0,(360+(DEGREES(ATAN2(HG3,HH3)))),(DEGREES(ATAN2(HG3,HH3))))</f>
        <v>87.873229249541254</v>
      </c>
      <c r="HG3" s="579">
        <f>HC8+HG8</f>
        <v>103.88751327255062</v>
      </c>
      <c r="HH3" s="579">
        <f>HD8+HH8</f>
        <v>2797.4721955578848</v>
      </c>
      <c r="HI3" s="633"/>
      <c r="HJ3" s="624"/>
      <c r="HO3" s="1130"/>
      <c r="HZ3" s="658">
        <f>MAX(HZ9:HZ130)</f>
        <v>58071.143361644703</v>
      </c>
      <c r="IA3" s="651"/>
      <c r="IB3" s="651"/>
    </row>
    <row r="4" spans="2:243" ht="18" customHeight="1" x14ac:dyDescent="0.25">
      <c r="B4" s="937"/>
      <c r="C4" s="938"/>
      <c r="D4" s="938"/>
      <c r="E4" s="938"/>
      <c r="F4" s="938"/>
      <c r="G4" s="938"/>
      <c r="H4" s="938"/>
      <c r="I4" s="938"/>
      <c r="J4" s="938"/>
      <c r="K4" s="939"/>
      <c r="L4" s="62"/>
      <c r="M4" s="934"/>
      <c r="N4" s="944" t="s">
        <v>3</v>
      </c>
      <c r="O4" s="941"/>
      <c r="P4" s="941"/>
      <c r="Q4" s="940" t="s">
        <v>4</v>
      </c>
      <c r="R4" s="941"/>
      <c r="S4" s="982"/>
      <c r="T4" s="978" t="str">
        <f>N4</f>
        <v>Cartesian Coordinates</v>
      </c>
      <c r="U4" s="923"/>
      <c r="V4" s="979"/>
      <c r="W4" s="923" t="str">
        <f>$Q$4</f>
        <v>Polar XY; Cartesian Z</v>
      </c>
      <c r="X4" s="923"/>
      <c r="Y4" s="924"/>
      <c r="Z4" s="944" t="s">
        <v>3</v>
      </c>
      <c r="AA4" s="941"/>
      <c r="AB4" s="941"/>
      <c r="AC4" s="941"/>
      <c r="AD4" s="941"/>
      <c r="AE4" s="941"/>
      <c r="AF4" s="941"/>
      <c r="AG4" s="981" t="s">
        <v>33</v>
      </c>
      <c r="AH4" s="941"/>
      <c r="AI4" s="941"/>
      <c r="AJ4" s="982"/>
      <c r="AK4" s="965" t="s">
        <v>34</v>
      </c>
      <c r="AL4" s="966"/>
      <c r="AM4" s="966"/>
      <c r="AN4" s="966"/>
      <c r="AO4" s="966"/>
      <c r="AP4" s="966"/>
      <c r="AQ4" s="967"/>
      <c r="AS4" s="132">
        <v>200</v>
      </c>
      <c r="AT4" s="133" t="s">
        <v>49</v>
      </c>
      <c r="AV4" s="996"/>
      <c r="AW4" s="999" t="s">
        <v>149</v>
      </c>
      <c r="AX4" s="1000"/>
      <c r="AY4" s="1001"/>
      <c r="AZ4" s="877"/>
      <c r="BA4" s="878"/>
      <c r="BB4" s="887" t="s">
        <v>150</v>
      </c>
      <c r="BC4" s="923" t="str">
        <f>$Q$4</f>
        <v>Polar XY; Cartesian Z</v>
      </c>
      <c r="BD4" s="923"/>
      <c r="BE4" s="987"/>
      <c r="BF4" s="1036" t="s">
        <v>166</v>
      </c>
      <c r="BG4" s="1037"/>
      <c r="BH4" s="1037"/>
      <c r="BI4" s="1037"/>
      <c r="BJ4" s="1037"/>
      <c r="BK4" s="1037"/>
      <c r="BL4" s="1037"/>
      <c r="BM4" s="1037"/>
      <c r="BN4" s="1037"/>
      <c r="BO4" s="1037"/>
      <c r="BP4" s="1037"/>
      <c r="BQ4" s="1037"/>
      <c r="BR4" s="1037"/>
      <c r="BS4" s="1037"/>
      <c r="BT4" s="1037"/>
      <c r="BU4" s="1037"/>
      <c r="BV4" s="1037"/>
      <c r="BW4" s="1037"/>
      <c r="BX4" s="1037"/>
      <c r="BY4" s="1037"/>
      <c r="BZ4" s="1037"/>
      <c r="CA4" s="1037"/>
      <c r="CB4" s="1037"/>
      <c r="CC4" s="1037"/>
      <c r="CD4" s="1037"/>
      <c r="CE4" s="1037"/>
      <c r="CF4" s="1037"/>
      <c r="CG4" s="1037"/>
      <c r="CH4" s="1037"/>
      <c r="CI4" s="1037"/>
      <c r="CJ4" s="1037"/>
      <c r="CK4" s="1037"/>
      <c r="CL4" s="1037"/>
      <c r="CM4" s="1037"/>
      <c r="CN4" s="1038"/>
      <c r="CO4" s="862" t="s">
        <v>230</v>
      </c>
      <c r="CP4" s="863"/>
      <c r="CQ4" s="863"/>
      <c r="CR4" s="863"/>
      <c r="CS4" s="863"/>
      <c r="CT4" s="863"/>
      <c r="CU4" s="863"/>
      <c r="CV4" s="863"/>
      <c r="CW4" s="863"/>
      <c r="CX4" s="863"/>
      <c r="CY4" s="863"/>
      <c r="CZ4" s="863"/>
      <c r="DA4" s="864"/>
      <c r="DB4" s="857" t="s">
        <v>199</v>
      </c>
      <c r="DC4" s="858"/>
      <c r="DD4" s="858"/>
      <c r="DE4" s="858"/>
      <c r="DF4" s="858"/>
      <c r="DG4" s="858"/>
      <c r="DH4" s="858"/>
      <c r="DI4" s="858"/>
      <c r="DJ4" s="858"/>
      <c r="DK4" s="858"/>
      <c r="DL4" s="858"/>
      <c r="DM4" s="858"/>
      <c r="DN4" s="858"/>
      <c r="DO4" s="858"/>
      <c r="DP4" s="858"/>
      <c r="DQ4" s="858"/>
      <c r="DR4" s="858"/>
      <c r="DS4" s="858"/>
      <c r="DT4" s="858"/>
      <c r="DU4" s="858"/>
      <c r="DV4" s="858"/>
      <c r="DW4" s="858"/>
      <c r="DX4" s="858"/>
      <c r="DY4" s="858"/>
      <c r="DZ4" s="858"/>
      <c r="EA4" s="858"/>
      <c r="EB4" s="858"/>
      <c r="EC4" s="858"/>
      <c r="ED4" s="858"/>
      <c r="EE4" s="858"/>
      <c r="EF4" s="858"/>
      <c r="EG4" s="858"/>
      <c r="EH4" s="858"/>
      <c r="EI4" s="858"/>
      <c r="EJ4" s="858"/>
      <c r="EK4" s="858"/>
      <c r="EL4" s="858"/>
      <c r="EM4" s="858"/>
      <c r="EN4" s="858"/>
      <c r="EO4" s="858"/>
      <c r="EP4" s="858"/>
      <c r="EQ4" s="858"/>
      <c r="ER4" s="859"/>
      <c r="ES4" s="1047" t="s">
        <v>233</v>
      </c>
      <c r="ET4" s="1048"/>
      <c r="EU4" s="1048"/>
      <c r="EV4" s="1048"/>
      <c r="EW4" s="1048"/>
      <c r="EX4" s="1048"/>
      <c r="EY4" s="1049"/>
      <c r="EZ4" s="1059" t="s">
        <v>238</v>
      </c>
      <c r="FA4" s="1060"/>
      <c r="FB4" s="1060"/>
      <c r="FC4" s="1060"/>
      <c r="FD4" s="1060"/>
      <c r="FE4" s="1060"/>
      <c r="FF4" s="1061"/>
      <c r="FG4" s="605"/>
      <c r="FH4" s="606"/>
      <c r="FI4" s="606"/>
      <c r="FJ4" s="606"/>
      <c r="FK4" s="606"/>
      <c r="FL4" s="606"/>
      <c r="FM4" s="606"/>
      <c r="FN4" s="606"/>
      <c r="FO4" s="606"/>
      <c r="FP4" s="1071" t="s">
        <v>267</v>
      </c>
      <c r="FQ4" s="606"/>
      <c r="FR4" s="606"/>
      <c r="FS4" s="606"/>
      <c r="FT4" s="606"/>
      <c r="FU4" s="606"/>
      <c r="FV4" s="606"/>
      <c r="FW4" s="606"/>
      <c r="FX4" s="606"/>
      <c r="FY4" s="606"/>
      <c r="FZ4" s="1071" t="s">
        <v>266</v>
      </c>
      <c r="GA4" s="567"/>
      <c r="GB4" s="567"/>
      <c r="GC4" s="567"/>
      <c r="GD4" s="567"/>
      <c r="GE4" s="567"/>
      <c r="GF4" s="567"/>
      <c r="GG4" s="570"/>
      <c r="GH4" s="570"/>
      <c r="GI4" s="570"/>
      <c r="GJ4" s="763" t="s">
        <v>274</v>
      </c>
      <c r="GK4" s="764"/>
      <c r="GL4" s="764"/>
      <c r="GM4" s="764"/>
      <c r="GN4" s="1092"/>
      <c r="GO4" s="1095" t="s">
        <v>267</v>
      </c>
      <c r="GP4" s="1099" t="s">
        <v>266</v>
      </c>
      <c r="GR4" s="1104" t="s">
        <v>299</v>
      </c>
      <c r="GS4" s="854" t="s">
        <v>297</v>
      </c>
      <c r="GT4" s="855"/>
      <c r="GU4" s="855"/>
      <c r="GV4" s="855"/>
      <c r="GW4" s="855"/>
      <c r="GX4" s="855"/>
      <c r="GY4" s="855"/>
      <c r="GZ4" s="855"/>
      <c r="HA4" s="1147" t="str">
        <f>CONCATENATE("Lateral Forces = ",ROUND(HE3,0)," lbs @ ",ROUND(HF3,1),"° Relative to Blade 1")</f>
        <v>Lateral Forces = 2799 lbs @ 87.9° Relative to Blade 1</v>
      </c>
      <c r="HB4" s="1148"/>
      <c r="HC4" s="1148"/>
      <c r="HD4" s="1148"/>
      <c r="HE4" s="1148"/>
      <c r="HF4" s="1148"/>
      <c r="HG4" s="1148"/>
      <c r="HH4" s="1149"/>
      <c r="HI4" s="848" t="s">
        <v>0</v>
      </c>
      <c r="HN4" s="344"/>
      <c r="HO4" s="1072"/>
      <c r="HP4" s="344"/>
      <c r="HQ4" s="344"/>
      <c r="HS4" s="658">
        <f>SUM(HS9:HS130)</f>
        <v>81896.851206547974</v>
      </c>
      <c r="HT4" s="658">
        <f>SUM(HT9:HT130)</f>
        <v>11043.669155602336</v>
      </c>
      <c r="HU4" s="658">
        <f>SUM(HU9:HU130)</f>
        <v>58556.765153147586</v>
      </c>
      <c r="HV4" s="658">
        <f>SUM(HV9:HV130)</f>
        <v>12296.416897798041</v>
      </c>
      <c r="HW4" s="718"/>
      <c r="HX4" s="718"/>
      <c r="HY4" s="718"/>
      <c r="HZ4" s="658">
        <f>HZ3-HZ2</f>
        <v>0</v>
      </c>
      <c r="IA4" s="658">
        <f>SUM(IA9:IA130)</f>
        <v>9315.8409064906336</v>
      </c>
      <c r="IB4" s="651"/>
      <c r="IC4" s="511"/>
    </row>
    <row r="5" spans="2:243" ht="15" customHeight="1" x14ac:dyDescent="0.25">
      <c r="B5" s="925" t="str">
        <f>CONCATENATE(B7," ; ",E7," ; ",H7)</f>
        <v>Absolute-Point ; Incremental-Vector Point ; Pocket Info.</v>
      </c>
      <c r="C5" s="926"/>
      <c r="D5" s="926"/>
      <c r="E5" s="926"/>
      <c r="F5" s="926"/>
      <c r="G5" s="926"/>
      <c r="H5" s="926"/>
      <c r="I5" s="926"/>
      <c r="J5" s="926"/>
      <c r="K5" s="927"/>
      <c r="L5" s="62"/>
      <c r="M5" s="934"/>
      <c r="N5" s="950" t="s">
        <v>5</v>
      </c>
      <c r="O5" s="951"/>
      <c r="P5" s="951"/>
      <c r="Q5" s="962" t="s">
        <v>6</v>
      </c>
      <c r="R5" s="951"/>
      <c r="S5" s="963"/>
      <c r="T5" s="960" t="str">
        <f>CONCATENATE("Relative to ",M8,"'s θ about Z Axis")</f>
        <v>Relative to 1.112's θ about Z Axis</v>
      </c>
      <c r="U5" s="912"/>
      <c r="V5" s="961"/>
      <c r="W5" s="912" t="str">
        <f>CONCATENATE("Relative to ",M8,"'s θ about Z Axis")</f>
        <v>Relative to 1.112's θ about Z Axis</v>
      </c>
      <c r="X5" s="912"/>
      <c r="Y5" s="980"/>
      <c r="Z5" s="945" t="str">
        <f>N5</f>
        <v>Relative to World_CS</v>
      </c>
      <c r="AA5" s="912"/>
      <c r="AB5" s="912"/>
      <c r="AC5" s="912"/>
      <c r="AD5" s="912"/>
      <c r="AE5" s="912"/>
      <c r="AF5" s="912"/>
      <c r="AG5" s="960" t="str">
        <f>N5</f>
        <v>Relative to World_CS</v>
      </c>
      <c r="AH5" s="912"/>
      <c r="AI5" s="912"/>
      <c r="AJ5" s="913"/>
      <c r="AK5" s="968" t="s">
        <v>7</v>
      </c>
      <c r="AL5" s="951"/>
      <c r="AM5" s="951"/>
      <c r="AN5" s="951"/>
      <c r="AO5" s="951"/>
      <c r="AP5" s="951"/>
      <c r="AQ5" s="963"/>
      <c r="AS5" s="296">
        <f>ROUND(((AS4*12)/60)/AS3,4)</f>
        <v>0.25</v>
      </c>
      <c r="AT5" s="133" t="s">
        <v>50</v>
      </c>
      <c r="AV5" s="996"/>
      <c r="AW5" s="1002"/>
      <c r="AX5" s="1003"/>
      <c r="AY5" s="1004"/>
      <c r="AZ5" s="879"/>
      <c r="BA5" s="880"/>
      <c r="BB5" s="888"/>
      <c r="BC5" s="911" t="str">
        <f>$W$5</f>
        <v>Relative to 1.112's θ about Z Axis</v>
      </c>
      <c r="BD5" s="912"/>
      <c r="BE5" s="913"/>
      <c r="BF5" s="796" t="s">
        <v>165</v>
      </c>
      <c r="BG5" s="766"/>
      <c r="BH5" s="766"/>
      <c r="BI5" s="766"/>
      <c r="BJ5" s="766"/>
      <c r="BK5" s="766"/>
      <c r="BL5" s="766"/>
      <c r="BM5" s="766"/>
      <c r="BN5" s="766"/>
      <c r="BO5" s="766"/>
      <c r="BP5" s="766"/>
      <c r="BQ5" s="766"/>
      <c r="BR5" s="790"/>
      <c r="BS5" s="796" t="s">
        <v>167</v>
      </c>
      <c r="BT5" s="766"/>
      <c r="BU5" s="766"/>
      <c r="BV5" s="766"/>
      <c r="BW5" s="766"/>
      <c r="BX5" s="766"/>
      <c r="BY5" s="766"/>
      <c r="BZ5" s="766"/>
      <c r="CA5" s="766"/>
      <c r="CB5" s="766"/>
      <c r="CC5" s="766"/>
      <c r="CD5" s="766"/>
      <c r="CE5" s="790"/>
      <c r="CF5" s="796" t="s">
        <v>175</v>
      </c>
      <c r="CG5" s="766"/>
      <c r="CH5" s="790"/>
      <c r="CI5" s="796" t="s">
        <v>176</v>
      </c>
      <c r="CJ5" s="766"/>
      <c r="CK5" s="766"/>
      <c r="CL5" s="766"/>
      <c r="CM5" s="766"/>
      <c r="CN5" s="790"/>
      <c r="CO5" s="865" t="s">
        <v>313</v>
      </c>
      <c r="CP5" s="865" t="s">
        <v>186</v>
      </c>
      <c r="CQ5" s="867"/>
      <c r="CR5" s="867"/>
      <c r="CS5" s="797"/>
      <c r="CT5" s="867" t="s">
        <v>187</v>
      </c>
      <c r="CU5" s="779"/>
      <c r="CV5" s="796" t="s">
        <v>198</v>
      </c>
      <c r="CW5" s="766"/>
      <c r="CX5" s="766"/>
      <c r="CY5" s="766"/>
      <c r="CZ5" s="766"/>
      <c r="DA5" s="790"/>
      <c r="DB5" s="796" t="s">
        <v>200</v>
      </c>
      <c r="DC5" s="766"/>
      <c r="DD5" s="766"/>
      <c r="DE5" s="766"/>
      <c r="DF5" s="766"/>
      <c r="DG5" s="766"/>
      <c r="DH5" s="790"/>
      <c r="DI5" s="900" t="s">
        <v>210</v>
      </c>
      <c r="DJ5" s="900"/>
      <c r="DK5" s="1029"/>
      <c r="DL5" s="899" t="s">
        <v>211</v>
      </c>
      <c r="DM5" s="900"/>
      <c r="DN5" s="901"/>
      <c r="DO5" s="1032" t="s">
        <v>212</v>
      </c>
      <c r="DP5" s="1033"/>
      <c r="DQ5" s="1033"/>
      <c r="DR5" s="873" t="s">
        <v>224</v>
      </c>
      <c r="DS5" s="873"/>
      <c r="DT5" s="873"/>
      <c r="DU5" s="873"/>
      <c r="DV5" s="873"/>
      <c r="DW5" s="873"/>
      <c r="DX5" s="865" t="s">
        <v>227</v>
      </c>
      <c r="DY5" s="1014" t="s">
        <v>186</v>
      </c>
      <c r="DZ5" s="873"/>
      <c r="EA5" s="873"/>
      <c r="EB5" s="873"/>
      <c r="EC5" s="873" t="s">
        <v>187</v>
      </c>
      <c r="ED5" s="873"/>
      <c r="EE5" s="1022" t="s">
        <v>231</v>
      </c>
      <c r="EF5" s="1022"/>
      <c r="EG5" s="842"/>
      <c r="EH5" s="905" t="s">
        <v>232</v>
      </c>
      <c r="EI5" s="906"/>
      <c r="EJ5" s="907"/>
      <c r="EK5" s="873" t="s">
        <v>225</v>
      </c>
      <c r="EL5" s="865"/>
      <c r="EM5" s="854" t="s">
        <v>226</v>
      </c>
      <c r="EN5" s="855"/>
      <c r="EO5" s="855"/>
      <c r="EP5" s="855"/>
      <c r="EQ5" s="855"/>
      <c r="ER5" s="856"/>
      <c r="ES5" s="1053" t="s">
        <v>239</v>
      </c>
      <c r="ET5" s="1054"/>
      <c r="EU5" s="1055"/>
      <c r="EV5" s="1050" t="s">
        <v>260</v>
      </c>
      <c r="EW5" s="1051"/>
      <c r="EX5" s="1051"/>
      <c r="EY5" s="1052"/>
      <c r="EZ5" s="1082" t="s">
        <v>237</v>
      </c>
      <c r="FA5" s="1073" t="s">
        <v>239</v>
      </c>
      <c r="FB5" s="1074"/>
      <c r="FC5" s="1075"/>
      <c r="FD5" s="1079" t="s">
        <v>260</v>
      </c>
      <c r="FE5" s="1080"/>
      <c r="FF5" s="1081"/>
      <c r="FP5" s="1072"/>
      <c r="FQ5" s="513"/>
      <c r="FR5" s="513"/>
      <c r="FS5" s="513"/>
      <c r="FT5" s="513"/>
      <c r="FZ5" s="1072"/>
      <c r="GJ5" s="1090" t="s">
        <v>307</v>
      </c>
      <c r="GK5" s="1115" t="s">
        <v>305</v>
      </c>
      <c r="GL5" s="1117" t="s">
        <v>147</v>
      </c>
      <c r="GM5" s="1117" t="s">
        <v>148</v>
      </c>
      <c r="GN5" s="1118"/>
      <c r="GO5" s="1096"/>
      <c r="GP5" s="1100"/>
      <c r="GQ5" s="61"/>
      <c r="GR5" s="1105"/>
      <c r="GS5" s="1111" t="s">
        <v>286</v>
      </c>
      <c r="GT5" s="1112"/>
      <c r="GU5" s="1107" t="s">
        <v>287</v>
      </c>
      <c r="GV5" s="1108"/>
      <c r="GW5" s="1109"/>
      <c r="GX5" s="1110"/>
      <c r="GY5" s="1093" t="s">
        <v>139</v>
      </c>
      <c r="GZ5" s="1094"/>
      <c r="HA5" s="1137" t="s">
        <v>286</v>
      </c>
      <c r="HB5" s="1138"/>
      <c r="HC5" s="1138"/>
      <c r="HD5" s="1139"/>
      <c r="HE5" s="1145" t="s">
        <v>287</v>
      </c>
      <c r="HF5" s="1138"/>
      <c r="HG5" s="1138"/>
      <c r="HH5" s="1146"/>
      <c r="HI5" s="849"/>
      <c r="HN5" s="662" t="s">
        <v>301</v>
      </c>
      <c r="HO5" s="160" t="s">
        <v>302</v>
      </c>
      <c r="HP5" s="343"/>
      <c r="HQ5" s="343"/>
      <c r="HR5" s="343"/>
      <c r="HS5" s="1131" t="s">
        <v>312</v>
      </c>
      <c r="HZ5" s="659">
        <f>HZ3/HZ2-1</f>
        <v>0</v>
      </c>
      <c r="IC5" s="1131" t="s">
        <v>314</v>
      </c>
      <c r="IE5" s="511"/>
      <c r="IF5" s="511"/>
    </row>
    <row r="6" spans="2:243" ht="18.75" customHeight="1" thickBot="1" x14ac:dyDescent="0.4">
      <c r="B6" s="928"/>
      <c r="C6" s="929"/>
      <c r="D6" s="929"/>
      <c r="E6" s="929"/>
      <c r="F6" s="929"/>
      <c r="G6" s="929"/>
      <c r="H6" s="929"/>
      <c r="I6" s="929"/>
      <c r="J6" s="929"/>
      <c r="K6" s="930"/>
      <c r="L6" s="62"/>
      <c r="M6" s="934"/>
      <c r="N6" s="946" t="s">
        <v>8</v>
      </c>
      <c r="O6" s="948" t="s">
        <v>9</v>
      </c>
      <c r="P6" s="985" t="s">
        <v>10</v>
      </c>
      <c r="Q6" s="952" t="s">
        <v>11</v>
      </c>
      <c r="R6" s="953"/>
      <c r="S6" s="983" t="s">
        <v>10</v>
      </c>
      <c r="T6" s="956" t="str">
        <f>N6</f>
        <v>X</v>
      </c>
      <c r="U6" s="958" t="str">
        <f>O6</f>
        <v>Y</v>
      </c>
      <c r="V6" s="976" t="str">
        <f>P6</f>
        <v>Z</v>
      </c>
      <c r="W6" s="890" t="str">
        <f>$Q$6</f>
        <v>Projected XY</v>
      </c>
      <c r="X6" s="891"/>
      <c r="Y6" s="954" t="str">
        <f>$S$6</f>
        <v>Z</v>
      </c>
      <c r="Z6" s="993" t="s">
        <v>12</v>
      </c>
      <c r="AA6" s="935"/>
      <c r="AB6" s="935"/>
      <c r="AC6" s="994"/>
      <c r="AD6" s="940" t="s">
        <v>13</v>
      </c>
      <c r="AE6" s="941"/>
      <c r="AF6" s="941"/>
      <c r="AG6" s="981" t="s">
        <v>7</v>
      </c>
      <c r="AH6" s="941"/>
      <c r="AI6" s="940" t="s">
        <v>14</v>
      </c>
      <c r="AJ6" s="982"/>
      <c r="AK6" s="988" t="str">
        <f>AD6</f>
        <v>Unit Vector</v>
      </c>
      <c r="AL6" s="989"/>
      <c r="AM6" s="990"/>
      <c r="AN6" s="429" t="s">
        <v>15</v>
      </c>
      <c r="AO6" s="430" t="s">
        <v>16</v>
      </c>
      <c r="AP6" s="424" t="s">
        <v>17</v>
      </c>
      <c r="AQ6" s="1005" t="s">
        <v>145</v>
      </c>
      <c r="AS6" s="297">
        <f>(((AS4*12)/60)/AS3)/360</f>
        <v>6.9444444444444447E-4</v>
      </c>
      <c r="AT6" s="136" t="s">
        <v>51</v>
      </c>
      <c r="AV6" s="996"/>
      <c r="AW6" s="991" t="s">
        <v>134</v>
      </c>
      <c r="AX6" s="992"/>
      <c r="AY6" s="704" t="s">
        <v>147</v>
      </c>
      <c r="AZ6" s="997" t="s">
        <v>148</v>
      </c>
      <c r="BA6" s="998"/>
      <c r="BB6" s="889"/>
      <c r="BC6" s="890" t="str">
        <f>$Q$6</f>
        <v>Projected XY</v>
      </c>
      <c r="BD6" s="891"/>
      <c r="BE6" s="892" t="str">
        <f>$S$6</f>
        <v>Z</v>
      </c>
      <c r="BF6" s="894" t="s">
        <v>162</v>
      </c>
      <c r="BG6" s="895"/>
      <c r="BH6" s="1039"/>
      <c r="BI6" s="1040" t="s">
        <v>163</v>
      </c>
      <c r="BJ6" s="895"/>
      <c r="BK6" s="1021"/>
      <c r="BL6" s="1041" t="s">
        <v>164</v>
      </c>
      <c r="BM6" s="895"/>
      <c r="BN6" s="896"/>
      <c r="BO6" s="894" t="s">
        <v>172</v>
      </c>
      <c r="BP6" s="895"/>
      <c r="BQ6" s="895"/>
      <c r="BR6" s="896"/>
      <c r="BS6" s="894" t="s">
        <v>162</v>
      </c>
      <c r="BT6" s="895"/>
      <c r="BU6" s="1039"/>
      <c r="BV6" s="1040" t="s">
        <v>163</v>
      </c>
      <c r="BW6" s="895"/>
      <c r="BX6" s="1021"/>
      <c r="BY6" s="1041" t="s">
        <v>164</v>
      </c>
      <c r="BZ6" s="895"/>
      <c r="CA6" s="896"/>
      <c r="CB6" s="894" t="s">
        <v>172</v>
      </c>
      <c r="CC6" s="895"/>
      <c r="CD6" s="895"/>
      <c r="CE6" s="896"/>
      <c r="CF6" s="914" t="s">
        <v>173</v>
      </c>
      <c r="CG6" s="915"/>
      <c r="CH6" s="915"/>
      <c r="CI6" s="1031" t="s">
        <v>174</v>
      </c>
      <c r="CJ6" s="915"/>
      <c r="CK6" s="801"/>
      <c r="CL6" s="969" t="s">
        <v>177</v>
      </c>
      <c r="CM6" s="915"/>
      <c r="CN6" s="970"/>
      <c r="CO6" s="866"/>
      <c r="CP6" s="866"/>
      <c r="CQ6" s="868"/>
      <c r="CR6" s="868"/>
      <c r="CS6" s="869"/>
      <c r="CT6" s="868"/>
      <c r="CU6" s="870"/>
      <c r="CV6" s="1020" t="s">
        <v>184</v>
      </c>
      <c r="CW6" s="895"/>
      <c r="CX6" s="1021"/>
      <c r="CY6" s="1017" t="s">
        <v>185</v>
      </c>
      <c r="CZ6" s="1018"/>
      <c r="DA6" s="1019"/>
      <c r="DB6" s="1025" t="s">
        <v>213</v>
      </c>
      <c r="DC6" s="1026"/>
      <c r="DD6" s="1027"/>
      <c r="DE6" s="1028" t="s">
        <v>214</v>
      </c>
      <c r="DF6" s="1026"/>
      <c r="DG6" s="1027"/>
      <c r="DH6" s="498" t="s">
        <v>29</v>
      </c>
      <c r="DI6" s="903"/>
      <c r="DJ6" s="903"/>
      <c r="DK6" s="1030"/>
      <c r="DL6" s="902"/>
      <c r="DM6" s="903"/>
      <c r="DN6" s="904"/>
      <c r="DO6" s="1034"/>
      <c r="DP6" s="1035"/>
      <c r="DQ6" s="1035"/>
      <c r="DR6" s="1016"/>
      <c r="DS6" s="1016"/>
      <c r="DT6" s="1016"/>
      <c r="DU6" s="1016"/>
      <c r="DV6" s="1016"/>
      <c r="DW6" s="1016"/>
      <c r="DX6" s="866"/>
      <c r="DY6" s="1015"/>
      <c r="DZ6" s="1016"/>
      <c r="EA6" s="1016"/>
      <c r="EB6" s="1016"/>
      <c r="EC6" s="1016"/>
      <c r="ED6" s="1016"/>
      <c r="EE6" s="1023"/>
      <c r="EF6" s="1023"/>
      <c r="EG6" s="1024"/>
      <c r="EH6" s="908"/>
      <c r="EI6" s="909"/>
      <c r="EJ6" s="910"/>
      <c r="EK6" s="1016"/>
      <c r="EL6" s="866"/>
      <c r="EM6" s="897" t="s">
        <v>236</v>
      </c>
      <c r="EN6" s="852"/>
      <c r="EO6" s="898"/>
      <c r="EP6" s="851" t="s">
        <v>235</v>
      </c>
      <c r="EQ6" s="852"/>
      <c r="ER6" s="853"/>
      <c r="ES6" s="1056"/>
      <c r="ET6" s="1057"/>
      <c r="EU6" s="1058"/>
      <c r="EV6" s="531" t="s">
        <v>259</v>
      </c>
      <c r="EW6" s="851" t="s">
        <v>239</v>
      </c>
      <c r="EX6" s="852"/>
      <c r="EY6" s="871"/>
      <c r="EZ6" s="1083"/>
      <c r="FA6" s="1076"/>
      <c r="FB6" s="1077"/>
      <c r="FC6" s="1078"/>
      <c r="FD6" s="872" t="s">
        <v>239</v>
      </c>
      <c r="FE6" s="852"/>
      <c r="FF6" s="853"/>
      <c r="FG6" s="1087" t="s">
        <v>262</v>
      </c>
      <c r="FH6" s="1088"/>
      <c r="FI6" s="1089"/>
      <c r="FJ6" s="873" t="s">
        <v>240</v>
      </c>
      <c r="FK6" s="865" t="s">
        <v>252</v>
      </c>
      <c r="FL6" s="867"/>
      <c r="FM6" s="797"/>
      <c r="FN6" s="860" t="s">
        <v>241</v>
      </c>
      <c r="FO6" s="1085" t="s">
        <v>265</v>
      </c>
      <c r="FP6" s="1062" t="s">
        <v>276</v>
      </c>
      <c r="FQ6" s="600" t="s">
        <v>245</v>
      </c>
      <c r="FR6" s="607" t="s">
        <v>136</v>
      </c>
      <c r="FS6" s="608" t="s">
        <v>245</v>
      </c>
      <c r="FT6" s="609" t="s">
        <v>136</v>
      </c>
      <c r="FU6" s="1064" t="s">
        <v>256</v>
      </c>
      <c r="FV6" s="1065"/>
      <c r="FW6" s="1066"/>
      <c r="FX6" s="1067" t="s">
        <v>257</v>
      </c>
      <c r="FY6" s="1085" t="s">
        <v>265</v>
      </c>
      <c r="FZ6" s="1062" t="s">
        <v>263</v>
      </c>
      <c r="GA6" s="1069" t="s">
        <v>277</v>
      </c>
      <c r="GB6" s="597" t="s">
        <v>245</v>
      </c>
      <c r="GC6" s="598" t="s">
        <v>278</v>
      </c>
      <c r="GD6" s="599" t="s">
        <v>264</v>
      </c>
      <c r="GE6" s="1042"/>
      <c r="GF6" s="842" t="s">
        <v>298</v>
      </c>
      <c r="GG6" s="597" t="s">
        <v>245</v>
      </c>
      <c r="GH6" s="598" t="s">
        <v>278</v>
      </c>
      <c r="GI6" s="652" t="s">
        <v>264</v>
      </c>
      <c r="GJ6" s="1091"/>
      <c r="GK6" s="1116"/>
      <c r="GL6" s="1119"/>
      <c r="GM6" s="1119"/>
      <c r="GN6" s="1120"/>
      <c r="GO6" s="1097" t="s">
        <v>276</v>
      </c>
      <c r="GP6" s="1101" t="s">
        <v>263</v>
      </c>
      <c r="GQ6" s="867" t="s">
        <v>240</v>
      </c>
      <c r="GR6" s="1105"/>
      <c r="GS6" s="846" t="s">
        <v>290</v>
      </c>
      <c r="GT6" s="847"/>
      <c r="GU6" s="844" t="s">
        <v>289</v>
      </c>
      <c r="GV6" s="845"/>
      <c r="GW6" s="845"/>
      <c r="GX6" s="631" t="s">
        <v>136</v>
      </c>
      <c r="GY6" s="1122" t="s">
        <v>288</v>
      </c>
      <c r="GZ6" s="1123"/>
      <c r="HA6" s="1140" t="s">
        <v>290</v>
      </c>
      <c r="HB6" s="1141"/>
      <c r="HC6" s="1141"/>
      <c r="HD6" s="1142"/>
      <c r="HE6" s="1122" t="s">
        <v>289</v>
      </c>
      <c r="HF6" s="1143"/>
      <c r="HG6" s="1143"/>
      <c r="HH6" s="1144"/>
      <c r="HI6" s="849"/>
      <c r="HK6" s="343"/>
      <c r="HL6" s="343"/>
      <c r="HM6" s="343"/>
      <c r="HN6" s="1127" t="s">
        <v>276</v>
      </c>
      <c r="HO6" s="1124" t="s">
        <v>303</v>
      </c>
      <c r="HP6" s="1014" t="s">
        <v>240</v>
      </c>
      <c r="HQ6" s="667"/>
      <c r="HR6" s="343"/>
      <c r="HS6" s="1132"/>
      <c r="HT6" s="767" t="s">
        <v>308</v>
      </c>
      <c r="HU6" s="764"/>
      <c r="HV6" s="1092"/>
      <c r="HW6" s="796" t="s">
        <v>296</v>
      </c>
      <c r="HX6" s="766"/>
      <c r="HY6" s="790"/>
      <c r="HZ6" s="854" t="s">
        <v>287</v>
      </c>
      <c r="IA6" s="1150"/>
      <c r="IB6" s="703"/>
      <c r="IC6" s="1132"/>
      <c r="ID6" s="767" t="s">
        <v>308</v>
      </c>
      <c r="IE6" s="764"/>
      <c r="IF6" s="1092"/>
    </row>
    <row r="7" spans="2:243" ht="18.75" customHeight="1" thickBot="1" x14ac:dyDescent="0.4">
      <c r="B7" s="971" t="s">
        <v>42</v>
      </c>
      <c r="C7" s="972"/>
      <c r="D7" s="973"/>
      <c r="E7" s="974" t="s">
        <v>43</v>
      </c>
      <c r="F7" s="972"/>
      <c r="G7" s="975"/>
      <c r="H7" s="920" t="s">
        <v>109</v>
      </c>
      <c r="I7" s="921"/>
      <c r="J7" s="922"/>
      <c r="K7" s="300"/>
      <c r="L7" s="62"/>
      <c r="M7" s="943"/>
      <c r="N7" s="947"/>
      <c r="O7" s="949"/>
      <c r="P7" s="986"/>
      <c r="Q7" s="65" t="s">
        <v>18</v>
      </c>
      <c r="R7" s="3" t="s">
        <v>19</v>
      </c>
      <c r="S7" s="984"/>
      <c r="T7" s="957"/>
      <c r="U7" s="959"/>
      <c r="V7" s="977"/>
      <c r="W7" s="66" t="str">
        <f>$Q$7</f>
        <v>&lt; θ°</v>
      </c>
      <c r="X7" s="39" t="str">
        <f>$R$7</f>
        <v>r</v>
      </c>
      <c r="Y7" s="955"/>
      <c r="Z7" s="94" t="str">
        <f>E8</f>
        <v>Delta X</v>
      </c>
      <c r="AA7" s="39" t="str">
        <f>F8</f>
        <v>Delta Y</v>
      </c>
      <c r="AB7" s="39" t="str">
        <f>G8</f>
        <v>Delta Z</v>
      </c>
      <c r="AC7" s="4" t="s">
        <v>23</v>
      </c>
      <c r="AD7" s="38" t="str">
        <f>Z7</f>
        <v>Delta X</v>
      </c>
      <c r="AE7" s="39" t="str">
        <f>AA7</f>
        <v>Delta Y</v>
      </c>
      <c r="AF7" s="40" t="str">
        <f>AB7</f>
        <v>Delta Z</v>
      </c>
      <c r="AG7" s="67" t="s">
        <v>15</v>
      </c>
      <c r="AH7" s="68" t="s">
        <v>16</v>
      </c>
      <c r="AI7" s="60" t="s">
        <v>24</v>
      </c>
      <c r="AJ7" s="425" t="s">
        <v>25</v>
      </c>
      <c r="AK7" s="41" t="str">
        <f>Z7</f>
        <v>Delta X</v>
      </c>
      <c r="AL7" s="39" t="str">
        <f>AA7</f>
        <v>Delta Y</v>
      </c>
      <c r="AM7" s="42" t="str">
        <f>AB7</f>
        <v>Delta Z</v>
      </c>
      <c r="AN7" s="69" t="s">
        <v>26</v>
      </c>
      <c r="AO7" s="70" t="s">
        <v>27</v>
      </c>
      <c r="AP7" s="431" t="s">
        <v>28</v>
      </c>
      <c r="AQ7" s="1006"/>
      <c r="AS7" s="875" t="s">
        <v>64</v>
      </c>
      <c r="AT7" s="1009" t="s">
        <v>63</v>
      </c>
      <c r="AV7" s="996"/>
      <c r="AW7" s="705" t="s">
        <v>151</v>
      </c>
      <c r="AX7" s="706" t="s">
        <v>10</v>
      </c>
      <c r="AY7" s="446" t="s">
        <v>56</v>
      </c>
      <c r="AZ7" s="560" t="s">
        <v>57</v>
      </c>
      <c r="BA7" s="561" t="s">
        <v>58</v>
      </c>
      <c r="BB7" s="889"/>
      <c r="BC7" s="66" t="str">
        <f>$Q$7</f>
        <v>&lt; θ°</v>
      </c>
      <c r="BD7" s="39" t="str">
        <f>$R$7</f>
        <v>r</v>
      </c>
      <c r="BE7" s="893"/>
      <c r="BF7" s="465" t="s">
        <v>156</v>
      </c>
      <c r="BG7" s="252" t="s">
        <v>157</v>
      </c>
      <c r="BH7" s="466" t="s">
        <v>158</v>
      </c>
      <c r="BI7" s="228" t="s">
        <v>153</v>
      </c>
      <c r="BJ7" s="252" t="s">
        <v>155</v>
      </c>
      <c r="BK7" s="229" t="s">
        <v>154</v>
      </c>
      <c r="BL7" s="253" t="s">
        <v>159</v>
      </c>
      <c r="BM7" s="252" t="s">
        <v>160</v>
      </c>
      <c r="BN7" s="248" t="s">
        <v>161</v>
      </c>
      <c r="BO7" s="465" t="s">
        <v>168</v>
      </c>
      <c r="BP7" s="252" t="s">
        <v>169</v>
      </c>
      <c r="BQ7" s="252" t="s">
        <v>170</v>
      </c>
      <c r="BR7" s="248" t="s">
        <v>171</v>
      </c>
      <c r="BS7" s="465" t="s">
        <v>156</v>
      </c>
      <c r="BT7" s="252" t="s">
        <v>157</v>
      </c>
      <c r="BU7" s="466" t="s">
        <v>158</v>
      </c>
      <c r="BV7" s="228" t="s">
        <v>153</v>
      </c>
      <c r="BW7" s="252" t="s">
        <v>155</v>
      </c>
      <c r="BX7" s="229" t="s">
        <v>154</v>
      </c>
      <c r="BY7" s="253" t="s">
        <v>159</v>
      </c>
      <c r="BZ7" s="252" t="s">
        <v>160</v>
      </c>
      <c r="CA7" s="248" t="s">
        <v>161</v>
      </c>
      <c r="CB7" s="465" t="s">
        <v>168</v>
      </c>
      <c r="CC7" s="252" t="s">
        <v>169</v>
      </c>
      <c r="CD7" s="252" t="s">
        <v>170</v>
      </c>
      <c r="CE7" s="248" t="s">
        <v>171</v>
      </c>
      <c r="CF7" s="465" t="s">
        <v>168</v>
      </c>
      <c r="CG7" s="252" t="s">
        <v>169</v>
      </c>
      <c r="CH7" s="252" t="s">
        <v>170</v>
      </c>
      <c r="CI7" s="465" t="s">
        <v>8</v>
      </c>
      <c r="CJ7" s="252" t="s">
        <v>9</v>
      </c>
      <c r="CK7" s="229" t="s">
        <v>10</v>
      </c>
      <c r="CL7" s="253" t="s">
        <v>8</v>
      </c>
      <c r="CM7" s="252" t="s">
        <v>9</v>
      </c>
      <c r="CN7" s="248" t="s">
        <v>10</v>
      </c>
      <c r="CO7" s="468" t="s">
        <v>19</v>
      </c>
      <c r="CP7" s="475" t="s">
        <v>178</v>
      </c>
      <c r="CQ7" s="496" t="s">
        <v>179</v>
      </c>
      <c r="CR7" s="496" t="s">
        <v>180</v>
      </c>
      <c r="CS7" s="497" t="s">
        <v>181</v>
      </c>
      <c r="CT7" s="484" t="s">
        <v>182</v>
      </c>
      <c r="CU7" s="476" t="s">
        <v>183</v>
      </c>
      <c r="CV7" s="453" t="s">
        <v>8</v>
      </c>
      <c r="CW7" s="454" t="s">
        <v>9</v>
      </c>
      <c r="CX7" s="96" t="s">
        <v>10</v>
      </c>
      <c r="CY7" s="95" t="s">
        <v>8</v>
      </c>
      <c r="CZ7" s="454" t="s">
        <v>9</v>
      </c>
      <c r="DA7" s="455" t="s">
        <v>10</v>
      </c>
      <c r="DB7" s="453" t="s">
        <v>8</v>
      </c>
      <c r="DC7" s="454" t="s">
        <v>9</v>
      </c>
      <c r="DD7" s="460" t="s">
        <v>10</v>
      </c>
      <c r="DE7" s="95" t="s">
        <v>8</v>
      </c>
      <c r="DF7" s="454" t="s">
        <v>9</v>
      </c>
      <c r="DG7" s="460" t="s">
        <v>10</v>
      </c>
      <c r="DH7" s="486" t="s">
        <v>19</v>
      </c>
      <c r="DI7" s="475" t="s">
        <v>215</v>
      </c>
      <c r="DJ7" s="496" t="s">
        <v>216</v>
      </c>
      <c r="DK7" s="490" t="s">
        <v>217</v>
      </c>
      <c r="DL7" s="495" t="s">
        <v>218</v>
      </c>
      <c r="DM7" s="496" t="s">
        <v>219</v>
      </c>
      <c r="DN7" s="497" t="s">
        <v>220</v>
      </c>
      <c r="DO7" s="484" t="s">
        <v>221</v>
      </c>
      <c r="DP7" s="496" t="s">
        <v>222</v>
      </c>
      <c r="DQ7" s="476" t="s">
        <v>223</v>
      </c>
      <c r="DR7" s="484" t="s">
        <v>201</v>
      </c>
      <c r="DS7" s="496" t="s">
        <v>202</v>
      </c>
      <c r="DT7" s="496" t="s">
        <v>203</v>
      </c>
      <c r="DU7" s="496" t="s">
        <v>204</v>
      </c>
      <c r="DV7" s="496" t="s">
        <v>205</v>
      </c>
      <c r="DW7" s="496" t="s">
        <v>206</v>
      </c>
      <c r="DX7" s="499" t="s">
        <v>207</v>
      </c>
      <c r="DY7" s="495" t="s">
        <v>178</v>
      </c>
      <c r="DZ7" s="496" t="s">
        <v>179</v>
      </c>
      <c r="EA7" s="490" t="s">
        <v>180</v>
      </c>
      <c r="EB7" s="476" t="s">
        <v>181</v>
      </c>
      <c r="EC7" s="484" t="s">
        <v>228</v>
      </c>
      <c r="ED7" s="496" t="s">
        <v>229</v>
      </c>
      <c r="EE7" s="465" t="s">
        <v>8</v>
      </c>
      <c r="EF7" s="252" t="s">
        <v>9</v>
      </c>
      <c r="EG7" s="466" t="s">
        <v>10</v>
      </c>
      <c r="EH7" s="228" t="s">
        <v>8</v>
      </c>
      <c r="EI7" s="252" t="s">
        <v>9</v>
      </c>
      <c r="EJ7" s="248" t="s">
        <v>10</v>
      </c>
      <c r="EK7" s="475" t="s">
        <v>208</v>
      </c>
      <c r="EL7" s="490" t="s">
        <v>209</v>
      </c>
      <c r="EM7" s="505" t="s">
        <v>8</v>
      </c>
      <c r="EN7" s="506" t="s">
        <v>9</v>
      </c>
      <c r="EO7" s="507" t="s">
        <v>10</v>
      </c>
      <c r="EP7" s="65" t="s">
        <v>18</v>
      </c>
      <c r="EQ7" s="3" t="s">
        <v>19</v>
      </c>
      <c r="ER7" s="512" t="s">
        <v>10</v>
      </c>
      <c r="ES7" s="509" t="s">
        <v>8</v>
      </c>
      <c r="ET7" s="506" t="s">
        <v>9</v>
      </c>
      <c r="EU7" s="507" t="s">
        <v>10</v>
      </c>
      <c r="EV7" s="533" t="s">
        <v>261</v>
      </c>
      <c r="EW7" s="519" t="s">
        <v>8</v>
      </c>
      <c r="EX7" s="506" t="s">
        <v>9</v>
      </c>
      <c r="EY7" s="510" t="s">
        <v>10</v>
      </c>
      <c r="EZ7" s="1084"/>
      <c r="FA7" s="519" t="s">
        <v>8</v>
      </c>
      <c r="FB7" s="506" t="s">
        <v>9</v>
      </c>
      <c r="FC7" s="510" t="s">
        <v>10</v>
      </c>
      <c r="FD7" s="519" t="s">
        <v>8</v>
      </c>
      <c r="FE7" s="506" t="s">
        <v>9</v>
      </c>
      <c r="FF7" s="521" t="s">
        <v>10</v>
      </c>
      <c r="FG7" s="610" t="s">
        <v>246</v>
      </c>
      <c r="FH7" s="611" t="s">
        <v>247</v>
      </c>
      <c r="FI7" s="612" t="s">
        <v>248</v>
      </c>
      <c r="FJ7" s="874"/>
      <c r="FK7" s="613" t="s">
        <v>249</v>
      </c>
      <c r="FL7" s="614" t="s">
        <v>250</v>
      </c>
      <c r="FM7" s="615" t="s">
        <v>251</v>
      </c>
      <c r="FN7" s="861"/>
      <c r="FO7" s="1086"/>
      <c r="FP7" s="1063"/>
      <c r="FQ7" s="616" t="s">
        <v>270</v>
      </c>
      <c r="FR7" s="617" t="s">
        <v>271</v>
      </c>
      <c r="FS7" s="618" t="s">
        <v>268</v>
      </c>
      <c r="FT7" s="619" t="s">
        <v>269</v>
      </c>
      <c r="FU7" s="620" t="s">
        <v>253</v>
      </c>
      <c r="FV7" s="621" t="s">
        <v>254</v>
      </c>
      <c r="FW7" s="622" t="s">
        <v>255</v>
      </c>
      <c r="FX7" s="1068"/>
      <c r="FY7" s="1086"/>
      <c r="FZ7" s="1063"/>
      <c r="GA7" s="1070"/>
      <c r="GB7" s="465" t="s">
        <v>270</v>
      </c>
      <c r="GC7" s="252" t="s">
        <v>271</v>
      </c>
      <c r="GD7" s="466" t="s">
        <v>272</v>
      </c>
      <c r="GE7" s="1043"/>
      <c r="GF7" s="843"/>
      <c r="GG7" s="465" t="s">
        <v>268</v>
      </c>
      <c r="GH7" s="252" t="s">
        <v>269</v>
      </c>
      <c r="GI7" s="466" t="s">
        <v>273</v>
      </c>
      <c r="GJ7" s="673" t="s">
        <v>306</v>
      </c>
      <c r="GK7" s="657" t="s">
        <v>294</v>
      </c>
      <c r="GL7" s="666" t="s">
        <v>56</v>
      </c>
      <c r="GM7" s="674" t="s">
        <v>57</v>
      </c>
      <c r="GN7" s="675" t="s">
        <v>58</v>
      </c>
      <c r="GO7" s="1098"/>
      <c r="GP7" s="1102"/>
      <c r="GQ7" s="1103"/>
      <c r="GR7" s="1106"/>
      <c r="GS7" s="629" t="s">
        <v>291</v>
      </c>
      <c r="GT7" s="630" t="s">
        <v>295</v>
      </c>
      <c r="GU7" s="587" t="s">
        <v>292</v>
      </c>
      <c r="GV7" s="589" t="s">
        <v>295</v>
      </c>
      <c r="GW7" s="626" t="s">
        <v>285</v>
      </c>
      <c r="GX7" s="627" t="s">
        <v>279</v>
      </c>
      <c r="GY7" s="587" t="s">
        <v>293</v>
      </c>
      <c r="GZ7" s="676" t="s">
        <v>295</v>
      </c>
      <c r="HA7" s="677" t="s">
        <v>295</v>
      </c>
      <c r="HB7" s="680" t="s">
        <v>309</v>
      </c>
      <c r="HC7" s="680" t="s">
        <v>310</v>
      </c>
      <c r="HD7" s="683" t="s">
        <v>311</v>
      </c>
      <c r="HE7" s="686" t="s">
        <v>295</v>
      </c>
      <c r="HF7" s="680" t="s">
        <v>309</v>
      </c>
      <c r="HG7" s="680" t="s">
        <v>310</v>
      </c>
      <c r="HH7" s="619" t="s">
        <v>311</v>
      </c>
      <c r="HI7" s="850"/>
      <c r="HJ7" s="247"/>
      <c r="HK7" s="1071" t="s">
        <v>284</v>
      </c>
      <c r="HL7" s="1071" t="s">
        <v>275</v>
      </c>
      <c r="HM7" s="778" t="s">
        <v>283</v>
      </c>
      <c r="HN7" s="1128"/>
      <c r="HO7" s="1125"/>
      <c r="HP7" s="1113"/>
      <c r="HQ7" s="668"/>
      <c r="HR7" s="692"/>
      <c r="HS7" s="1132"/>
      <c r="HT7" s="694" t="s">
        <v>286</v>
      </c>
      <c r="HU7" s="581" t="s">
        <v>287</v>
      </c>
      <c r="HV7" s="591" t="s">
        <v>139</v>
      </c>
      <c r="HW7" s="590" t="s">
        <v>286</v>
      </c>
      <c r="HX7" s="581" t="s">
        <v>287</v>
      </c>
      <c r="HY7" s="591" t="s">
        <v>139</v>
      </c>
      <c r="HZ7" s="590" t="s">
        <v>300</v>
      </c>
      <c r="IA7" s="581" t="s">
        <v>136</v>
      </c>
      <c r="IB7" s="703"/>
      <c r="IC7" s="1132"/>
      <c r="ID7" s="694" t="s">
        <v>315</v>
      </c>
      <c r="IE7" s="581" t="s">
        <v>316</v>
      </c>
      <c r="IF7" s="591" t="s">
        <v>317</v>
      </c>
    </row>
    <row r="8" spans="2:243" ht="19.5" thickTop="1" thickBot="1" x14ac:dyDescent="0.4">
      <c r="B8" s="72" t="s">
        <v>8</v>
      </c>
      <c r="C8" s="3" t="s">
        <v>9</v>
      </c>
      <c r="D8" s="68" t="s">
        <v>10</v>
      </c>
      <c r="E8" s="60" t="s">
        <v>20</v>
      </c>
      <c r="F8" s="3" t="s">
        <v>21</v>
      </c>
      <c r="G8" s="4" t="s">
        <v>22</v>
      </c>
      <c r="H8" s="298" t="s">
        <v>29</v>
      </c>
      <c r="I8" s="299" t="s">
        <v>65</v>
      </c>
      <c r="J8" s="70" t="s">
        <v>35</v>
      </c>
      <c r="K8" s="301" t="s">
        <v>32</v>
      </c>
      <c r="L8" s="62"/>
      <c r="M8" s="289">
        <f>IF(M12=0,"",M12)</f>
        <v>1.1120000000000001</v>
      </c>
      <c r="N8" s="73">
        <f>IFERROR(VLOOKUP($M8,$M$9:$AP$99,2,1),"")</f>
        <v>4.0132230681740488E-2</v>
      </c>
      <c r="O8" s="74">
        <f>IFERROR(VLOOKUP($M8,$M$9:$AP$99,3,1),"")</f>
        <v>2.5293892731859016</v>
      </c>
      <c r="P8" s="75">
        <f>IFERROR(VLOOKUP($M8,$M$9:$AP$99,4,1),"")</f>
        <v>-0.10330031155373964</v>
      </c>
      <c r="Q8" s="76">
        <f>IFERROR(VLOOKUP($M8,$M$9:$AP$99,5,1),"")</f>
        <v>89.091000131243348</v>
      </c>
      <c r="R8" s="77">
        <f>IFERROR(VLOOKUP($M8,$M$9:$AP$99,6,1),"")</f>
        <v>2.5297076295982102</v>
      </c>
      <c r="S8" s="78">
        <f>IFERROR(VLOOKUP($M8,$M$9:$AP$99,7,1),"")</f>
        <v>-0.10330031155373964</v>
      </c>
      <c r="T8" s="79">
        <f>IFERROR(VLOOKUP($M8,$M$9:$AP$99,8,1),"")</f>
        <v>2.5297076295982102</v>
      </c>
      <c r="U8" s="74">
        <f>IFERROR(VLOOKUP($M8,$M$9:$AP$99,9,1),"")</f>
        <v>0</v>
      </c>
      <c r="V8" s="80">
        <f>IFERROR(VLOOKUP($M8,$M$9:$AP$99,10,1),"")</f>
        <v>-0.10330031155373964</v>
      </c>
      <c r="W8" s="81">
        <f>IFERROR(VLOOKUP($M8,$M$9:$AP$99,11,1),"")</f>
        <v>0</v>
      </c>
      <c r="X8" s="77">
        <f>IFERROR(VLOOKUP($M8,$M$9:$AP$99,12,1),"")</f>
        <v>2.5297076295982102</v>
      </c>
      <c r="Y8" s="82">
        <f>IFERROR(VLOOKUP($M8,$M$9:$AP$99,13,1),"")</f>
        <v>-0.10330031155373964</v>
      </c>
      <c r="Z8" s="83">
        <f>IFERROR(VLOOKUP($M8,$M$9:$AP$99,14,1),"")</f>
        <v>0.96115222939803513</v>
      </c>
      <c r="AA8" s="74">
        <f>IFERROR(VLOOKUP($M8,$M$9:$AP$99,15,1),"")</f>
        <v>-0.12713249436304336</v>
      </c>
      <c r="AB8" s="74">
        <f>IFERROR(VLOOKUP($M8,$M$9:$AP$99,16,1),"")</f>
        <v>-0.24499738937429033</v>
      </c>
      <c r="AC8" s="84">
        <f>IFERROR(VLOOKUP($M8,$M$9:$AP$99,17,1),"")</f>
        <v>1</v>
      </c>
      <c r="AD8" s="85">
        <f>IFERROR(VLOOKUP($M8,$M$9:$AP$99,18,1),"")</f>
        <v>0.96115222939803513</v>
      </c>
      <c r="AE8" s="74">
        <f>IFERROR(VLOOKUP($M8,$M$9:$AP$99,19,1),"")</f>
        <v>-0.12713249436304336</v>
      </c>
      <c r="AF8" s="75">
        <f>IFERROR(VLOOKUP($M8,$M$9:$AP$99,20,1),"")</f>
        <v>-0.24499738937429033</v>
      </c>
      <c r="AG8" s="86">
        <f>IFERROR(VLOOKUP($M8,$M$9:$AP$99,21,1),"")</f>
        <v>-27.425415709647478</v>
      </c>
      <c r="AH8" s="87">
        <f>IFERROR(VLOOKUP($M8,$M$9:$AP$99,21,1),"")</f>
        <v>-27.425415709647478</v>
      </c>
      <c r="AI8" s="76">
        <f>IFERROR(VLOOKUP($M8,$M$9:$AP$99,23,1),"")</f>
        <v>-75.818320551192713</v>
      </c>
      <c r="AJ8" s="88">
        <f>IFERROR(VLOOKUP($M8,$M$9:$AP$99,24,1),"")</f>
        <v>82.465173195690269</v>
      </c>
      <c r="AK8" s="79">
        <f>IFERROR(VLOOKUP($M8,$M$9:$AP$99,25,1),"")</f>
        <v>0.96304814873644928</v>
      </c>
      <c r="AL8" s="74">
        <f>IFERROR(VLOOKUP($M8,$M$9:$AP$99,26,1),"")</f>
        <v>-0.11186841562782718</v>
      </c>
      <c r="AM8" s="78">
        <f>IFERROR(VLOOKUP($M8,$M$9:$AP$99,27,1),"")</f>
        <v>-0.24499738937429033</v>
      </c>
      <c r="AN8" s="81">
        <f>IFERROR(VLOOKUP($M8,$M$9:$AP$99,28,1),"")</f>
        <v>-24.54194365811097</v>
      </c>
      <c r="AO8" s="84">
        <f>IFERROR(VLOOKUP($M8,$M$9:$AP$99,29,1),"")</f>
        <v>15.624359248728833</v>
      </c>
      <c r="AP8" s="85">
        <f>IFERROR(VLOOKUP($M8,$M$9:$AP$99,30,1),"")</f>
        <v>-6.6258269355530892</v>
      </c>
      <c r="AQ8" s="78">
        <f>IFERROR(VLOOKUP($M8,$M$9:$AQ$99,31,1),"")</f>
        <v>0.9012561833816799</v>
      </c>
      <c r="AS8" s="876"/>
      <c r="AT8" s="1010"/>
      <c r="AV8" s="450"/>
      <c r="AW8" s="707"/>
      <c r="AX8" s="708"/>
      <c r="AY8" s="451"/>
      <c r="AZ8" s="562"/>
      <c r="BA8" s="563"/>
      <c r="BB8" s="557"/>
      <c r="BC8" s="76"/>
      <c r="BD8" s="77"/>
      <c r="BE8" s="78"/>
      <c r="BF8" s="456"/>
      <c r="BG8" s="457"/>
      <c r="BH8" s="461"/>
      <c r="BI8" s="463"/>
      <c r="BJ8" s="458"/>
      <c r="BK8" s="464"/>
      <c r="BL8" s="462"/>
      <c r="BM8" s="458"/>
      <c r="BN8" s="459"/>
      <c r="BO8" s="470"/>
      <c r="BP8" s="458"/>
      <c r="BQ8" s="458"/>
      <c r="BR8" s="459"/>
      <c r="BS8" s="456"/>
      <c r="BT8" s="457"/>
      <c r="BU8" s="461"/>
      <c r="BV8" s="463"/>
      <c r="BW8" s="458"/>
      <c r="BX8" s="464"/>
      <c r="BY8" s="462"/>
      <c r="BZ8" s="458"/>
      <c r="CA8" s="459"/>
      <c r="CB8" s="470"/>
      <c r="CC8" s="458"/>
      <c r="CD8" s="458"/>
      <c r="CE8" s="459"/>
      <c r="CF8" s="470"/>
      <c r="CG8" s="458"/>
      <c r="CH8" s="458"/>
      <c r="CI8" s="470"/>
      <c r="CJ8" s="458"/>
      <c r="CK8" s="464"/>
      <c r="CL8" s="462"/>
      <c r="CM8" s="458"/>
      <c r="CN8" s="459"/>
      <c r="CO8" s="469"/>
      <c r="CP8" s="479"/>
      <c r="CQ8" s="480"/>
      <c r="CR8" s="480"/>
      <c r="CS8" s="481"/>
      <c r="CT8" s="477"/>
      <c r="CU8" s="478"/>
      <c r="CV8" s="479"/>
      <c r="CW8" s="480"/>
      <c r="CX8" s="481"/>
      <c r="CY8" s="477"/>
      <c r="CZ8" s="480"/>
      <c r="DA8" s="478"/>
      <c r="DB8" s="479"/>
      <c r="DC8" s="480"/>
      <c r="DD8" s="485"/>
      <c r="DE8" s="477"/>
      <c r="DF8" s="480"/>
      <c r="DG8" s="485"/>
      <c r="DH8" s="487"/>
      <c r="DI8" s="479"/>
      <c r="DJ8" s="480"/>
      <c r="DK8" s="485"/>
      <c r="DL8" s="477"/>
      <c r="DM8" s="489"/>
      <c r="DN8" s="488"/>
      <c r="DO8" s="489"/>
      <c r="DP8" s="489"/>
      <c r="DQ8" s="492"/>
      <c r="DR8" s="489"/>
      <c r="DS8" s="480"/>
      <c r="DT8" s="480"/>
      <c r="DU8" s="480"/>
      <c r="DV8" s="480"/>
      <c r="DW8" s="480"/>
      <c r="DX8" s="500"/>
      <c r="DY8" s="477"/>
      <c r="DZ8" s="480"/>
      <c r="EA8" s="485"/>
      <c r="EB8" s="478"/>
      <c r="EC8" s="489"/>
      <c r="ED8" s="480"/>
      <c r="EE8" s="479"/>
      <c r="EF8" s="480"/>
      <c r="EG8" s="485"/>
      <c r="EH8" s="477"/>
      <c r="EI8" s="480"/>
      <c r="EJ8" s="478"/>
      <c r="EK8" s="479"/>
      <c r="EL8" s="478"/>
      <c r="EM8" s="479"/>
      <c r="EN8" s="480"/>
      <c r="EO8" s="485"/>
      <c r="EP8" s="76"/>
      <c r="EQ8" s="77"/>
      <c r="ER8" s="82"/>
      <c r="ES8" s="504"/>
      <c r="ET8" s="480"/>
      <c r="EU8" s="485"/>
      <c r="EV8" s="532"/>
      <c r="EW8" s="477"/>
      <c r="EX8" s="480"/>
      <c r="EY8" s="478"/>
      <c r="EZ8" s="508"/>
      <c r="FA8" s="489"/>
      <c r="FB8" s="480"/>
      <c r="FC8" s="478"/>
      <c r="FD8" s="477"/>
      <c r="FE8" s="480"/>
      <c r="FF8" s="522"/>
      <c r="FG8" s="489">
        <f>SUM(FG9:FG130)</f>
        <v>-1.4010605836761592</v>
      </c>
      <c r="FH8" s="515"/>
      <c r="FI8" s="539"/>
      <c r="FJ8" s="546"/>
      <c r="FK8" s="514"/>
      <c r="FL8" s="515"/>
      <c r="FM8" s="516"/>
      <c r="FN8" s="518"/>
      <c r="FO8" s="539"/>
      <c r="FP8" s="543"/>
      <c r="FQ8" s="520"/>
      <c r="FR8" s="539"/>
      <c r="FS8" s="550"/>
      <c r="FT8" s="551"/>
      <c r="FU8" s="514"/>
      <c r="FV8" s="515"/>
      <c r="FW8" s="516"/>
      <c r="FX8" s="518"/>
      <c r="FY8" s="539"/>
      <c r="FZ8" s="543"/>
      <c r="GA8" s="517"/>
      <c r="GB8" s="568"/>
      <c r="GC8" s="517"/>
      <c r="GD8" s="517"/>
      <c r="GE8" s="569"/>
      <c r="GF8" s="517"/>
      <c r="GG8" s="552"/>
      <c r="GH8" s="555"/>
      <c r="GI8" s="586" t="s">
        <v>242</v>
      </c>
      <c r="GJ8" s="672"/>
      <c r="GK8" s="604"/>
      <c r="GL8" s="604"/>
      <c r="GM8" s="550"/>
      <c r="GN8" s="551"/>
      <c r="GO8" s="552"/>
      <c r="GP8" s="588"/>
      <c r="GQ8" s="517"/>
      <c r="GR8" s="696"/>
      <c r="GS8" s="552"/>
      <c r="GT8" s="588"/>
      <c r="GU8" s="550"/>
      <c r="GV8" s="555"/>
      <c r="GW8" s="586"/>
      <c r="GX8" s="628"/>
      <c r="GY8" s="550"/>
      <c r="GZ8" s="586"/>
      <c r="HA8" s="678">
        <f>SQRT(HC8^2+HD8^2)</f>
        <v>425.88636226759553</v>
      </c>
      <c r="HB8" s="679">
        <f>IF((DEGREES(ATAN2(HC8,HD8)))&lt;0,(360+(DEGREES(ATAN2(HC8,HD8)))),(DEGREES(ATAN2(HC8,HD8))))</f>
        <v>321.78484911511487</v>
      </c>
      <c r="HC8" s="679">
        <f>SUM(HC9:HC130)</f>
        <v>334.61607767341769</v>
      </c>
      <c r="HD8" s="684">
        <f>SUM(HD9:HD130)</f>
        <v>-263.46019457971812</v>
      </c>
      <c r="HE8" s="687">
        <f>SQRT(HG8^2+HH8^2)</f>
        <v>3069.6160618917775</v>
      </c>
      <c r="HF8" s="679">
        <f>IF((DEGREES(ATAN2(HG8,HH8)))&lt;0,(360+(DEGREES(ATAN2(HG8,HH8)))),(DEGREES(ATAN2(HG8,HH8))))</f>
        <v>94.310719212054678</v>
      </c>
      <c r="HG8" s="679">
        <f>SUM(HG9:HG130)</f>
        <v>-230.72856440086707</v>
      </c>
      <c r="HH8" s="688">
        <f>SUM(HH9:HH130)</f>
        <v>3060.9323901376029</v>
      </c>
      <c r="HI8" s="595"/>
      <c r="HK8" s="1121"/>
      <c r="HL8" s="1121"/>
      <c r="HM8" s="798"/>
      <c r="HN8" s="1129"/>
      <c r="HO8" s="1126"/>
      <c r="HP8" s="1114"/>
      <c r="HQ8" s="669" t="s">
        <v>56</v>
      </c>
      <c r="HR8" s="693" t="s">
        <v>58</v>
      </c>
      <c r="HS8" s="1133"/>
      <c r="HT8" s="695" t="s">
        <v>291</v>
      </c>
      <c r="HU8" s="582" t="s">
        <v>292</v>
      </c>
      <c r="HV8" s="593" t="s">
        <v>293</v>
      </c>
      <c r="HW8" s="592" t="s">
        <v>280</v>
      </c>
      <c r="HX8" s="582" t="s">
        <v>281</v>
      </c>
      <c r="HY8" s="593" t="s">
        <v>282</v>
      </c>
      <c r="HZ8" s="592" t="s">
        <v>285</v>
      </c>
      <c r="IA8" s="657" t="s">
        <v>279</v>
      </c>
      <c r="IB8" s="715"/>
      <c r="IC8" s="1133"/>
      <c r="ID8" s="695" t="s">
        <v>291</v>
      </c>
      <c r="IE8" s="582" t="s">
        <v>292</v>
      </c>
      <c r="IF8" s="593" t="s">
        <v>293</v>
      </c>
    </row>
    <row r="9" spans="2:243" ht="15" customHeight="1" thickTop="1" x14ac:dyDescent="0.25">
      <c r="B9" s="137">
        <v>0</v>
      </c>
      <c r="C9" s="138">
        <v>0.34250103298311552</v>
      </c>
      <c r="D9" s="139">
        <v>-0.50390151976698372</v>
      </c>
      <c r="E9" s="140">
        <v>-0.93969263802333458</v>
      </c>
      <c r="F9" s="138">
        <v>-8.852130215629557E-2</v>
      </c>
      <c r="G9" s="141">
        <v>0.33036604714967344</v>
      </c>
      <c r="H9" s="140">
        <v>0.314</v>
      </c>
      <c r="I9" s="138">
        <v>0.52</v>
      </c>
      <c r="J9" s="305">
        <v>1.101</v>
      </c>
      <c r="K9" s="698" t="str">
        <f t="shared" ref="K9:K10" si="1">CONCATENATE(IF(H9=0.314,16,IF(H9=0.29,15,IF(H9=0.2645,13,IF(OR(H9=0.2625,H9=0.257),"Kunckle","")))),IF(I9=0.52,13,IF(I9=0.42,11,"")))</f>
        <v>1613</v>
      </c>
      <c r="M9" s="291">
        <f>IF(J9="","",J9)</f>
        <v>1.101</v>
      </c>
      <c r="N9" s="27">
        <f>IF(M9="","",B9)</f>
        <v>0</v>
      </c>
      <c r="O9" s="23">
        <f>IF(M9="","",C9)</f>
        <v>0.34250103298311552</v>
      </c>
      <c r="P9" s="29">
        <f>IF(M9="","",D9)</f>
        <v>-0.50390151976698372</v>
      </c>
      <c r="Q9" s="32">
        <f>IF(M9="","",IF(DEGREES(ATAN2(N9,O9))&lt;0,DEGREES(ATAN2(N9,O9))+360,IF(DEGREES(ATAN2(N9,O9))&gt;360,DEGREES(ATAN2(N9,O9))-360,DEGREES(ATAN2(N9,O9)))))</f>
        <v>90</v>
      </c>
      <c r="R9" s="23">
        <f>IF(M9="","",SQRT(N9^2+O9^2))</f>
        <v>0.34250103298311552</v>
      </c>
      <c r="S9" s="26">
        <f>IF(M9="","",P9)</f>
        <v>-0.50390151976698372</v>
      </c>
      <c r="T9" s="31">
        <f>IF(M9="","",X9*COS(RADIANS(W9)))</f>
        <v>0.34245793021550841</v>
      </c>
      <c r="U9" s="23">
        <f>IF(M9="","",X9*SIN(RADIANS(W9)))</f>
        <v>5.4335648529454331E-3</v>
      </c>
      <c r="V9" s="33">
        <f>IF(M9="","",Y9)</f>
        <v>-0.50390151976698372</v>
      </c>
      <c r="W9" s="32">
        <f t="shared" ref="W9:W14" si="2">IF(M9="","",IF(Q9-$Q$8&lt;0,360+Q9-$Q$8,Q9-$Q$8))</f>
        <v>0.90899986875665206</v>
      </c>
      <c r="X9" s="7">
        <f>IF(M9="","",R9)</f>
        <v>0.34250103298311552</v>
      </c>
      <c r="Y9" s="9">
        <f>IF(M9="","",S9)</f>
        <v>-0.50390151976698372</v>
      </c>
      <c r="Z9" s="27">
        <f>IF(M9="","",-E9)</f>
        <v>0.93969263802333458</v>
      </c>
      <c r="AA9" s="23">
        <f>IF(M9="","",-F9)</f>
        <v>8.852130215629557E-2</v>
      </c>
      <c r="AB9" s="23">
        <f>IF(M9="","",-G9)</f>
        <v>-0.33036604714967344</v>
      </c>
      <c r="AC9" s="33">
        <f>IF(M9="","",SQRT(Z9^2+AA9^2+AB9^2))</f>
        <v>1</v>
      </c>
      <c r="AD9" s="32">
        <f>IF(M9="","",Z9*(1/SQRT(Z9^2+AA9^2+AB9^2)))</f>
        <v>0.93969263802333458</v>
      </c>
      <c r="AE9" s="23">
        <f>IF(M9="","",AA9*(1/SQRT(Z9^2+AA9^2+AB9^2)))</f>
        <v>8.852130215629557E-2</v>
      </c>
      <c r="AF9" s="29">
        <f>IF(M9="","",AB9*(1/SQRT(Z9^2+AA9^2+AB9^2)))</f>
        <v>-0.33036604714967344</v>
      </c>
      <c r="AG9" s="31">
        <f>IF(M9="","",DEGREES(ATAN2(-AF9,AE9)))</f>
        <v>14.999997834268262</v>
      </c>
      <c r="AH9" s="29">
        <f>IF(M9="","",DEGREES(ACOS(AD9)))</f>
        <v>19.999997112357679</v>
      </c>
      <c r="AI9" s="32">
        <f>IF(M9="","",DEGREES(-ACOS(-AF9)))</f>
        <v>-70.709005437865216</v>
      </c>
      <c r="AJ9" s="26">
        <f>IF(M9="","",DEGREES(ATAN2(-AE9,AD9)))</f>
        <v>95.38151876223948</v>
      </c>
      <c r="AK9" s="31">
        <f>IF(M9="","",(COS(RADIANS((90-$Q$8)-W9))*AD9)+(-SIN(RADIANS((90-$Q$8)-W9))*AE9))</f>
        <v>0.93969263802333458</v>
      </c>
      <c r="AL9" s="23">
        <f>IF(M9="","",(SIN(RADIANS((90-$Q$8)-W9))*AD9)+(COS(RADIANS((90-$Q$8)-W9))*AE9))</f>
        <v>8.852130215629557E-2</v>
      </c>
      <c r="AM9" s="26">
        <f>IF(M9="","",AF9)</f>
        <v>-0.33036604714967344</v>
      </c>
      <c r="AN9" s="6">
        <f>IF(M9="","",DEGREES(ATAN2(-AM9,AL9)))</f>
        <v>14.999997834268262</v>
      </c>
      <c r="AO9" s="10">
        <f t="shared" ref="AO9:AO40" si="3">IFERROR(IF(ROUND(IF(M9="","",DEGREES(ACOS(AK9))),4)=90,0,IF(M9="","",DEGREES(ACOS(AK9)))),"")</f>
        <v>19.999997112357679</v>
      </c>
      <c r="AP9" s="432">
        <f>IF(M9="","",DEGREES(ATAN2(AK9,AL9)))</f>
        <v>5.3815187622394784</v>
      </c>
      <c r="AQ9" s="433">
        <f>IF(M9="","",DEGREES(TAN($AS$5/((X9*2)*PI()))))</f>
        <v>6.686221663343054</v>
      </c>
      <c r="AS9" s="121">
        <f>IF(M9="","",W9)</f>
        <v>0.90899986875665206</v>
      </c>
      <c r="AT9" s="173">
        <f>IF(M9="","",Y9+(((AS9-$AS$9)*$AS$6)*-1))</f>
        <v>-0.50390151976698372</v>
      </c>
      <c r="AV9" s="292">
        <f>IF(AND(ISNUMBER(VALUE(K9)),ISNUMBER(AW9),ISNUMBER(AX9),ISNUMBER(AY9),AY9&gt;=0.0001),$M9,"")</f>
        <v>1.101</v>
      </c>
      <c r="AW9" s="447">
        <v>0.2019</v>
      </c>
      <c r="AX9" s="448">
        <v>-0.12709999999999999</v>
      </c>
      <c r="AY9" s="449">
        <v>7.7899999999999997E-2</v>
      </c>
      <c r="AZ9" s="565">
        <f>IF(ISNUMBER(AV9),$AY9*SQRT((2*PI()*$AW9)^2+$AS$5^2),"")</f>
        <v>0.10072270635000929</v>
      </c>
      <c r="BA9" s="564">
        <f>IF(ISNUMBER(AV9),AZ9/$AZ$131,"")</f>
        <v>8.3239495683187625E-3</v>
      </c>
      <c r="BB9" s="558">
        <f>IF(ISNUMBER($AV9),$AX9-($AT9+$AS$5),"")</f>
        <v>0.12680151976698373</v>
      </c>
      <c r="BC9" s="432"/>
      <c r="BD9" s="445">
        <f>IF(ISNUMBER(AV9),AW9,"")</f>
        <v>0.2019</v>
      </c>
      <c r="BE9" s="433">
        <f>IF(ISNUMBER(AV9),Y9+BB9,"")</f>
        <v>-0.37709999999999999</v>
      </c>
      <c r="BF9" s="6">
        <f t="shared" ref="BF9:BH10" si="4">IF(ISNUMBER($AV9),N9,"")</f>
        <v>0</v>
      </c>
      <c r="BG9" s="7">
        <f t="shared" si="4"/>
        <v>0.34250103298311552</v>
      </c>
      <c r="BH9" s="12">
        <f t="shared" si="4"/>
        <v>-0.50390151976698372</v>
      </c>
      <c r="BI9" s="11">
        <f>IF(ISNUMBER($AV9),BF9+0,"")</f>
        <v>0</v>
      </c>
      <c r="BJ9" s="7">
        <f>IF(ISNUMBER($AV9),BG9+COS(RADIANS($AG9)),"")</f>
        <v>1.3084268690553229</v>
      </c>
      <c r="BK9" s="10">
        <f>IF(ISNUMBER($AV9),BH9+SIN(RADIANS($AG9)),"")</f>
        <v>-0.2450825111756379</v>
      </c>
      <c r="BL9" s="328">
        <f>IF(ISNUMBER($AV9),BF9+SIN(RADIANS($AH9)),"")</f>
        <v>0.34202009596622573</v>
      </c>
      <c r="BM9" s="7">
        <f>IF(ISNUMBER($AV9),BG9-SIN(RADIANS($AG9))*COS(RADIANS($AH9)),"")</f>
        <v>9.9290716029329651E-2</v>
      </c>
      <c r="BN9" s="8">
        <f>IF(ISNUMBER($AV9),BH9+COS(RADIANS($AG9))*COS(RADIANS($AH9)),"")</f>
        <v>0.40377187726660391</v>
      </c>
      <c r="BO9" s="6">
        <f>IF(ISNUMBER($AV9),BJ9*BN9-BM9*BK9-BG9*(BN9-BK9)+BH9*(BM9-BJ9),"")</f>
        <v>0.93969263802333469</v>
      </c>
      <c r="BP9" s="7">
        <f>IF(ISNUMBER($AV9),BF9*(BN9-BK9)-(BI9*BN9-BL9*BK9)+BH9*(BI9-BL9),"")</f>
        <v>8.8521302156295514E-2</v>
      </c>
      <c r="BQ9" s="7">
        <f>IF(ISNUMBER($AV9),BF9*(BJ9-BM9)-BG9*(BI9-BL9)+(BI9*BM9-BL9*BJ9),"")</f>
        <v>-0.33036604714967321</v>
      </c>
      <c r="BR9" s="8">
        <f>IF(ISNUMBER($AV9),-(BF9*(BJ9*BN9-BM9*BK9)-BG9*(BI9*BN9-BL9*BK9)+BH9*(BI9*BM9-BL9*BJ9)),"")</f>
        <v>-0.19679059066767304</v>
      </c>
      <c r="BS9" s="6">
        <f>IF(ISNUMBER($AV9),0,"")</f>
        <v>0</v>
      </c>
      <c r="BT9" s="7">
        <f>IF(ISNUMBER($AV9),0,"")</f>
        <v>0</v>
      </c>
      <c r="BU9" s="12">
        <f>IF(ISNUMBER($AV9),$BE9,"")</f>
        <v>-0.37709999999999999</v>
      </c>
      <c r="BV9" s="11">
        <f>IF(ISNUMBER($AV9),0,"")</f>
        <v>0</v>
      </c>
      <c r="BW9" s="7">
        <f>IF(ISNUMBER($AV9),1,"")</f>
        <v>1</v>
      </c>
      <c r="BX9" s="10">
        <f>IF(ISNUMBER($AV9),$BE9,"")</f>
        <v>-0.37709999999999999</v>
      </c>
      <c r="BY9" s="328">
        <f>IF(ISNUMBER($AV9),1,"")</f>
        <v>1</v>
      </c>
      <c r="BZ9" s="7">
        <f>IF(ISNUMBER($AV9),0,"")</f>
        <v>0</v>
      </c>
      <c r="CA9" s="8">
        <f>IF(ISNUMBER($AV9),$BE9,"")</f>
        <v>-0.37709999999999999</v>
      </c>
      <c r="CB9" s="6">
        <f>IF(ISNUMBER($AV9),BW9*CA9-BZ9*BX9-BT9*(CA9-BX9)+BU9*(BZ9-BW9),"")</f>
        <v>0</v>
      </c>
      <c r="CC9" s="7">
        <f>IF(ISNUMBER($AV9),BS9*(CA9-BX9)-(BV9*CA9-BY9*BX9)+BU9*(BV9-BY9),"")</f>
        <v>0</v>
      </c>
      <c r="CD9" s="7">
        <f>IF(ISNUMBER($AV9),BS9*(BW9-BZ9)-BT9*(BV9-BY9)+(BV9*BZ9-BY9*BW9),"")</f>
        <v>-1</v>
      </c>
      <c r="CE9" s="8">
        <f>IF(ISNUMBER($AV9),-(BS9*(BW9*CA9-BZ9*BX9)-BT9*(BV9*CA9-BY9*BX9)+BU9*(BV9*BZ9-BY9*BW9)),"")</f>
        <v>-0.37709999999999999</v>
      </c>
      <c r="CF9" s="6">
        <f>IF(ISNUMBER($AV9),(BP9*CD9)-(BQ9*CC9),"")</f>
        <v>-8.8521302156295514E-2</v>
      </c>
      <c r="CG9" s="7">
        <f>IF(ISNUMBER($AV9),(BQ9*CB9)-(BO9*CD9),"")</f>
        <v>0.93969263802333469</v>
      </c>
      <c r="CH9" s="7">
        <f>IF(ISNUMBER($AV9),(BO9*CC9)-(BP9*CB9),"")</f>
        <v>0</v>
      </c>
      <c r="CI9" s="6">
        <f>IF(ISNUMBER($AV9),0,"")</f>
        <v>0</v>
      </c>
      <c r="CJ9" s="7">
        <f>IF(ISNUMBER($AV9),(CD9*BR9-BQ9*CE9)/(BQ9*CC9-CD9*BP9),"")</f>
        <v>0.81573081878118114</v>
      </c>
      <c r="CK9" s="10">
        <f>IF(ISNUMBER($AV9),(CC9*BR9-BP9*CE9)/(-CC9*BQ9+BP9*CD9),"")</f>
        <v>-0.37709999999999994</v>
      </c>
      <c r="CL9" s="328">
        <f>IF(ISNUMBER($AV9),CI9+CF9,"")</f>
        <v>-8.8521302156295514E-2</v>
      </c>
      <c r="CM9" s="7">
        <f>IF(ISNUMBER($AV9),CJ9+CG9,"")</f>
        <v>1.7554234568045159</v>
      </c>
      <c r="CN9" s="433">
        <f>IF(ISNUMBER($AV9),CK9+CH9,"")</f>
        <v>-0.37709999999999994</v>
      </c>
      <c r="CO9" s="483">
        <f t="shared" ref="CO9:CO10" si="5">IF(ISNUMBER($AV9),IF(AND(($H9*2)&gt;=$O$136,($H9*2)&lt;=$P$136),($N$136/2),IF(AND(($H9*2)&gt;=$O$137,($H9*2)&lt;=$P$137),($N$137/2),IF(AND(($H9*2)&gt;=$O$138,($H9*2)&lt;=$P$138),($N$138/2),IF(AND(($H9*2)&gt;=$O$139,($H9*2)&lt;=$P$139),($N$139/2),IF(AND(($H9*2)&gt;=$O$140,($H9*2)&lt;=$P$140),($N$140/2),IF(AND(($H9*2)&gt;=$O$143,($H9*2)&lt;=$P$143),($N$143/2),"Radius")))))),"")</f>
        <v>0.3125</v>
      </c>
      <c r="CP9" s="31">
        <f>IF(ISNUMBER($AV9),(CL9-CI9)^2+(CM9-CJ9)^2+(CN9-CK9)^2,"")</f>
        <v>0.89085827489070035</v>
      </c>
      <c r="CQ9" s="23">
        <f>IF(ISNUMBER($AV9),2*((CL9-CI9)*(CI9-BF9)+(CM9-CJ9)*(CJ9-BG9)+(CN9-CK9)*(CK9-BH9)),"")</f>
        <v>0.88938109161560386</v>
      </c>
      <c r="CR9" s="23">
        <f>IF(ISNUMBER($AV9),BF9^2+BG9^2+BH9^2+CI9^2+CJ9^2+CK9^2-2*(BF9*CI9+BG9*CJ9+BH9*CK9)-CO9^2,"")</f>
        <v>0.14236880558169984</v>
      </c>
      <c r="CS9" s="33">
        <f>IF(ISNUMBER($AV9),CQ9^2-(4*CP9*CR9),"")</f>
        <v>0.28367701196831263</v>
      </c>
      <c r="CT9" s="32">
        <f>IF(ISNUMBER($AV9),(-CQ9+SQRT(CS9))/(CP9*2),"")</f>
        <v>-0.20023819850029548</v>
      </c>
      <c r="CU9" s="26">
        <f>IF(ISNUMBER($AV9),(-CQ9-SQRT(CS9))/(CP9*2),"")</f>
        <v>-0.79810364406127499</v>
      </c>
      <c r="CV9" s="31">
        <f t="shared" ref="CV9:CX10" si="6">IF(ISNUMBER($AV9),CI9+($CT9*(CL9-CI9)),"")</f>
        <v>1.7725346072676937E-2</v>
      </c>
      <c r="CW9" s="23">
        <f t="shared" si="6"/>
        <v>0.62756845779939829</v>
      </c>
      <c r="CX9" s="33">
        <f t="shared" si="6"/>
        <v>-0.37709999999999994</v>
      </c>
      <c r="CY9" s="32">
        <f t="shared" ref="CY9:DA10" si="7">IF(ISNUMBER($AV9),CI9+($CU9*(CL9-CI9)),"")</f>
        <v>7.0649173827988646E-2</v>
      </c>
      <c r="CZ9" s="23">
        <f t="shared" si="7"/>
        <v>6.5758700077205079E-2</v>
      </c>
      <c r="DA9" s="26">
        <f t="shared" si="7"/>
        <v>-0.37709999999999994</v>
      </c>
      <c r="DB9" s="6">
        <f>IF(ISNUMBER($AV9),0,"")</f>
        <v>0</v>
      </c>
      <c r="DC9" s="7">
        <f>IF(ISNUMBER($AV9),0,"")</f>
        <v>0</v>
      </c>
      <c r="DD9" s="12">
        <f>IF(ISNUMBER($AV9),-10,"")</f>
        <v>-10</v>
      </c>
      <c r="DE9" s="11">
        <f>IF(ISNUMBER($AV9),0,"")</f>
        <v>0</v>
      </c>
      <c r="DF9" s="7">
        <f>IF(ISNUMBER($AV9),0,"")</f>
        <v>0</v>
      </c>
      <c r="DG9" s="12">
        <f>IF(ISNUMBER($AV9),10,"")</f>
        <v>10</v>
      </c>
      <c r="DH9" s="174">
        <f>IF(ISNUMBER($AV9),BD9,"")</f>
        <v>0.2019</v>
      </c>
      <c r="DI9" s="6">
        <f t="shared" ref="DI9:DK10" si="8">IF(ISNUMBER($AV9),DE9-DB9,"")</f>
        <v>0</v>
      </c>
      <c r="DJ9" s="7">
        <f t="shared" si="8"/>
        <v>0</v>
      </c>
      <c r="DK9" s="12">
        <f t="shared" si="8"/>
        <v>20</v>
      </c>
      <c r="DL9" s="11">
        <f t="shared" ref="DL9:DN10" si="9">IF(ISNUMBER($AV9),CV9-DB9,"")</f>
        <v>1.7725346072676937E-2</v>
      </c>
      <c r="DM9" s="328">
        <f t="shared" si="9"/>
        <v>0.62756845779939829</v>
      </c>
      <c r="DN9" s="376">
        <f t="shared" si="9"/>
        <v>9.6228999999999996</v>
      </c>
      <c r="DO9" s="11">
        <f t="shared" ref="DO9:DQ10" si="10">IF(ISNUMBER($AV9),CY9-CV9,"")</f>
        <v>5.2923827755311709E-2</v>
      </c>
      <c r="DP9" s="328">
        <f t="shared" si="10"/>
        <v>-0.56180975772219321</v>
      </c>
      <c r="DQ9" s="13">
        <f t="shared" si="10"/>
        <v>0</v>
      </c>
      <c r="DR9" s="328">
        <f>IF(ISNUMBER($AV9),SUMPRODUCT(DI9:DK9,DL9:DN9),"")</f>
        <v>192.458</v>
      </c>
      <c r="DS9" s="7">
        <f>IF(ISNUMBER($AV9),SUMPRODUCT(DO9:DQ9,DI9:DK9),"")</f>
        <v>0</v>
      </c>
      <c r="DT9" s="7">
        <f>IF(ISNUMBER($AV9),SUMPRODUCT(DI9:DK9,DI9:DK9),"")</f>
        <v>400</v>
      </c>
      <c r="DU9" s="7">
        <f>IF(ISNUMBER($AV9),SUMPRODUCT(DO9:DQ9,DO9:DQ9),"")</f>
        <v>0.31843113541614337</v>
      </c>
      <c r="DV9" s="7">
        <f>IF(ISNUMBER($AV9),SUMPRODUCT(DL9:DN9,DO9:DQ9),"")</f>
        <v>-0.35163599006791674</v>
      </c>
      <c r="DW9" s="7">
        <f>IF(ISNUMBER($AV9),SUMPRODUCT(DL9:DN9,DL9:DN9),"")</f>
        <v>92.994360767118096</v>
      </c>
      <c r="DX9" s="296">
        <f>IF(ISNUMBER($AV9),DW9-DH9*DH9,"")</f>
        <v>92.953597157118097</v>
      </c>
      <c r="DY9" s="11">
        <f>IF(ISNUMBER($AV9),DT9*DU9-DS9*DS9,"")</f>
        <v>127.37245416645735</v>
      </c>
      <c r="DZ9" s="7">
        <f>IF(ISNUMBER($AV9),DT9*DV9-DS9*DR9,"")</f>
        <v>-140.65439602716668</v>
      </c>
      <c r="EA9" s="12">
        <f>IF(ISNUMBER($AV9),DT9*DX9-DR9*DR9,"")</f>
        <v>141.35709884723474</v>
      </c>
      <c r="EB9" s="8">
        <f>IF(ISNUMBER($AV9),DZ9*DZ9-DY9*EA9,"")</f>
        <v>1778.6585277442573</v>
      </c>
      <c r="EC9" s="328">
        <f>IF(ISNUMBER($AV9),(-DZ9+SQRT(DZ9^2-DY9*EA9))/DY9,"")</f>
        <v>1.4353852446018251</v>
      </c>
      <c r="ED9" s="7">
        <f>IF(ISNUMBER($AV9),(-DZ9-SQRT(DZ9^2-DY9*EA9))/DY9,"")</f>
        <v>0.77316756923265983</v>
      </c>
      <c r="EE9" s="6">
        <f t="shared" ref="EE9:EG10" si="11">IF(ISNUMBER($AV9),CV9+DO9*$EC9,"")</f>
        <v>9.3691427520499901E-2</v>
      </c>
      <c r="EF9" s="7">
        <f t="shared" si="11"/>
        <v>-0.17884497870836413</v>
      </c>
      <c r="EG9" s="12">
        <f t="shared" si="11"/>
        <v>-0.37709999999999994</v>
      </c>
      <c r="EH9" s="11">
        <f t="shared" ref="EH9:EJ10" si="12">IF(ISNUMBER($AV9),CV9+DO9*$ED9,"")</f>
        <v>5.8644333332739267E-2</v>
      </c>
      <c r="EI9" s="7">
        <f t="shared" si="12"/>
        <v>0.19319537305014062</v>
      </c>
      <c r="EJ9" s="8">
        <f t="shared" si="12"/>
        <v>-0.37709999999999994</v>
      </c>
      <c r="EK9" s="491" t="b">
        <f>IF(ISNUMBER($AV9),IF(OR($EC9&lt;0,$EC9&gt;1),FALSE,TRUE),"")</f>
        <v>0</v>
      </c>
      <c r="EL9" s="493" t="b">
        <f>IF(ISNUMBER($AV9),IF(OR($ED9&lt;0,$ED9&gt;1),FALSE,TRUE),"")</f>
        <v>1</v>
      </c>
      <c r="EM9" s="540">
        <f t="shared" ref="EM9:EO10" si="13">IF(ISNUMBER($AV9),IF($EK9=TRUE,EE9,IF($EL9=TRUE,EH9,"")),"")</f>
        <v>5.8644333332739267E-2</v>
      </c>
      <c r="EN9" s="535">
        <f t="shared" si="13"/>
        <v>0.19319537305014062</v>
      </c>
      <c r="EO9" s="541">
        <f t="shared" si="13"/>
        <v>-0.37709999999999994</v>
      </c>
      <c r="EP9" s="11">
        <f>IF(ISNUMBER($AV9),IF(DEGREES(ATAN2(EM9,EN9))&lt;0,DEGREES(ATAN2(EM9,EN9))+360,IF(DEGREES(ATAN2(EM9,EN9))&gt;360,DEGREES(ATAN2(EM9,EN9))-360,DEGREES(ATAN2(EM9,EN9)))),"")</f>
        <v>73.114366222429879</v>
      </c>
      <c r="EQ9" s="7">
        <f>IF(ISNUMBER($AV9),SQRT(EM9^2+EN9^2),"")</f>
        <v>0.2019000000000605</v>
      </c>
      <c r="ER9" s="9">
        <f>IF(ISNUMBER($AV9),EO9,"")</f>
        <v>-0.37709999999999994</v>
      </c>
      <c r="ES9" s="542">
        <f t="shared" ref="ES9:EU10" si="14">IF(ISNUMBER($AV9),AD9,"")</f>
        <v>0.93969263802333458</v>
      </c>
      <c r="ET9" s="535">
        <f t="shared" si="14"/>
        <v>8.852130215629557E-2</v>
      </c>
      <c r="EU9" s="541">
        <f t="shared" si="14"/>
        <v>-0.33036604714967344</v>
      </c>
      <c r="EV9" s="337">
        <f t="shared" ref="EV9:EV40" si="15">IF(ISNUMBER($AV9),IF(($EV$1-EP9)&lt;0,(360+($EV$1-EP9)),($EV$1-EP9)),"")</f>
        <v>16.885633777570121</v>
      </c>
      <c r="EW9" s="11">
        <f t="shared" ref="EW9:EW40" si="16">IF(ISNUMBER($AV9),(COS(RADIANS($EV9))*ES9)+(-SIN(RADIANS($EV9))*ET9),"")</f>
        <v>0.8734670480665383</v>
      </c>
      <c r="EX9" s="7">
        <f t="shared" ref="EX9:EX40" si="17">IF(ISNUMBER($AV9),(SIN(RADIANS($EV9))*ES9)+(COS(RADIANS($EV9))*ET9),"")</f>
        <v>0.35765009553001303</v>
      </c>
      <c r="EY9" s="8">
        <f>IF(ISNUMBER($AV9),EU9,"")</f>
        <v>-0.33036604714967344</v>
      </c>
      <c r="EZ9" s="123">
        <f>IF(ISNUMBER($AV9),DEGREES(ATAN($AS$5/($EQ9*2*PI()))),"")</f>
        <v>11.148504765930937</v>
      </c>
      <c r="FA9" s="534">
        <f t="shared" ref="FA9:FA53" si="18">IF(ISNUMBER($AV9),SIN(RADIANS($EP9))*COS(RADIANS($EZ9)),"")</f>
        <v>0.93882935520822575</v>
      </c>
      <c r="FB9" s="535">
        <f t="shared" ref="FB9:FB53" si="19">IF(ISNUMBER($AV9),-1*COS(RADIANS($EP9))*COS(RADIANS($EZ9)),"")</f>
        <v>-0.28498105715555999</v>
      </c>
      <c r="FC9" s="536">
        <f t="shared" ref="FC9:FC53" si="20">IF(ISNUMBER($AV9),-1*SIN(RADIANS($EZ9)),"")</f>
        <v>-0.19335262827747265</v>
      </c>
      <c r="FD9" s="6">
        <f t="shared" ref="FD9:FD40" si="21">IF(ISNUMBER($AV9),(COS(RADIANS($EV9))*FA9)+(-SIN(RADIANS($EV9))*FB9),"")</f>
        <v>0.98112932946589326</v>
      </c>
      <c r="FE9" s="7">
        <f t="shared" ref="FE9:FE40" si="22">IF(ISNUMBER($AV9),(SIN(RADIANS($EV9))*FA9)+(COS(RADIANS($EV9))*FB9),"")</f>
        <v>5.5511151231257827E-17</v>
      </c>
      <c r="FF9" s="9">
        <f>IF(ISNUMBER($AV9),FC9,"")</f>
        <v>-0.19335262827747265</v>
      </c>
      <c r="FG9" s="328">
        <f t="shared" ref="FG9:FG40" si="23">IF(ISNUMBER($AV9),EW9-FD9,"")</f>
        <v>-0.10766228139935496</v>
      </c>
      <c r="FH9" s="7">
        <f t="shared" ref="FH9:FH40" si="24">IF(ISNUMBER($AV9),EX9-FE9,"")</f>
        <v>0.35765009553001298</v>
      </c>
      <c r="FI9" s="12">
        <f t="shared" ref="FI9:FI40" si="25">IF(ISNUMBER($AV9),EY9-FF9,"")</f>
        <v>-0.13701341887220078</v>
      </c>
      <c r="FJ9" s="547">
        <f>IF(ISNUMBER($AV9),DEGREES(ACOS((2-SQRT((FG9)^2+(FH9)^2+(FI9)^2)^2)/2)),"")</f>
        <v>22.947677870209798</v>
      </c>
      <c r="FK9" s="31">
        <f t="shared" ref="FK9:FK40" si="26">IF(ISNUMBER($AV9),SQRT(ES9^2+ET9^2),"")</f>
        <v>0.94385288837334169</v>
      </c>
      <c r="FL9" s="23">
        <f>IF(ISNUMBER($AV9),SQRT(FA9^2+FB9^2),"")</f>
        <v>0.98112932946589337</v>
      </c>
      <c r="FM9" s="33">
        <f>IF(ISNUMBER($AV9),SQRT(FG9^2+FH9^2),"")</f>
        <v>0.37350335697118076</v>
      </c>
      <c r="FN9" s="32">
        <f>IF(ISNUMBER($AV9),DEGREES(ACOS((FK9^2+FL9^2-FM9^2)/(2*FK9*FL9))),"")</f>
        <v>22.267152539809604</v>
      </c>
      <c r="FO9" s="12">
        <f t="shared" ref="FO9:FO40" si="27">IF(ISNUMBER($AV9),IF(SQRT((EM9+(ES9/SQRT(ES9^2+(ET9/SQRT(ES9^2+ET9^2))^2)))^2+(EN9+ET9)^2)&gt;SQRT((EM9+(FA9/SQRT(FA9^2+FB9^2)))^2+(EN9+(FB9/SQRT(FA9^2+FB9^2)))^2),-1,1),"")</f>
        <v>-1</v>
      </c>
      <c r="FP9" s="544">
        <f t="shared" ref="FP9:FP40" si="28">IF(ISNUMBER($AV9),FN9*FO9,"")</f>
        <v>-22.267152539809604</v>
      </c>
      <c r="FQ9" s="328">
        <f>IF(ISNUMBER($AV9),SIN(RADIANS(FN9)),"")</f>
        <v>0.37892567786320569</v>
      </c>
      <c r="FR9" s="12">
        <f>IF(ISNUMBER($AV9),COS(RADIANS(FN9)),"")</f>
        <v>0.92542710715426424</v>
      </c>
      <c r="FS9" s="11">
        <f>IF(ISNUMBER($AV9),FQ9/(FQ9+FR9),"")</f>
        <v>0.2905085818926898</v>
      </c>
      <c r="FT9" s="8">
        <f>IF(ISNUMBER($AV9),FR9/(FQ9+FR9),"")</f>
        <v>0.7094914181073102</v>
      </c>
      <c r="FU9" s="6">
        <f>IF(ISNUMBER($AV9),SQRT(EW9^2+EY9^2),"")</f>
        <v>0.93385566827394295</v>
      </c>
      <c r="FV9" s="7">
        <f>IF(ISNUMBER($AV9),SQRT(FD9^2+FF9^2),"")</f>
        <v>1</v>
      </c>
      <c r="FW9" s="10">
        <f>IF(ISNUMBER($AV9),SQRT(FG9^2+FI9^2),"")</f>
        <v>0.1742522418425744</v>
      </c>
      <c r="FX9" s="11">
        <f>IF(ISNUMBER($AV9),DEGREES(ACOS((FU9^2+FV9^2-FW9^2)/(2*FU9*FV9))),"")</f>
        <v>9.5693074311570214</v>
      </c>
      <c r="FY9" s="12">
        <f t="shared" ref="FY9:FY40" si="29">IF(ISNUMBER($AV9),IF(EU9&lt;FC9,1,-1),"")</f>
        <v>1</v>
      </c>
      <c r="FZ9" s="545">
        <f>IF(ISNUMBER($AV9),FX9*FY9,"")</f>
        <v>9.5693074311570214</v>
      </c>
      <c r="GA9" s="372">
        <f>IF(ISNUMBER($AV9),DEGREES(FZ9*SIN(RADIANS(FU9))),"")</f>
        <v>8.9359563302742337</v>
      </c>
      <c r="GB9" s="46">
        <f>IF(ISNUMBER($AV9),COS(RADIANS(FP9+90))*COS(RADIANS(FZ9)),"")</f>
        <v>0.37365301471722662</v>
      </c>
      <c r="GC9" s="47">
        <f>IF(ISNUMBER($AV9),SIN(RADIANS(FP9+90))*COS(RADIANS(FZ9)),"")</f>
        <v>0.91255000304852474</v>
      </c>
      <c r="GD9" s="578">
        <f>IF(ISNUMBER($AV9),-SIN(RADIANS(FZ9)),"")</f>
        <v>-0.1662405381634259</v>
      </c>
      <c r="GE9" s="585">
        <f>IF(ISNUMBER($AV9),SUM(ABS(GB9),ABS(GC9),ABS(GD9)),"")</f>
        <v>1.4524435559291773</v>
      </c>
      <c r="GF9" s="634">
        <f>IF(ISNUMBER($AV9),1/GE9,"")</f>
        <v>0.68849491322247369</v>
      </c>
      <c r="GG9" s="572">
        <f t="shared" ref="GG9:GG40" si="30">IF(ISNUMBER($AV9),ABS(GB9)/(ABS($GB9)+ABS($GC9)+ABS($GD9)),"")</f>
        <v>0.2572581999430526</v>
      </c>
      <c r="GH9" s="573">
        <f t="shared" ref="GH9:GH40" si="31">IF(ISNUMBER($AV9),ABS(GC9)/(ABS($GB9)+ABS($GC9)+ABS($GD9)),"")</f>
        <v>0.6282860351600621</v>
      </c>
      <c r="GI9" s="574">
        <f t="shared" ref="GI9:GI40" si="32">IF(ISNUMBER($AV9),ABS(GD9)/(ABS($GB9)+ABS($GC9)+ABS($GD9)),"")</f>
        <v>0.11445576489688523</v>
      </c>
      <c r="GJ9" s="296">
        <f>IF(ISNUMBER($AV9),AW9,"")</f>
        <v>0.2019</v>
      </c>
      <c r="GK9" s="337">
        <f t="shared" ref="GK9:GK53" si="33">IF(ISNUMBER($AV9),SQRT((2*PI()*$GJ9)^2+$AS$5^2)/12,"")</f>
        <v>0.10774786729782766</v>
      </c>
      <c r="GL9" s="337">
        <f t="shared" ref="GL9:GN10" si="34">IF(ISNUMBER($AV9),AY9,"")</f>
        <v>7.7899999999999997E-2</v>
      </c>
      <c r="GM9" s="11">
        <f t="shared" si="34"/>
        <v>0.10072270635000929</v>
      </c>
      <c r="GN9" s="549">
        <f t="shared" si="34"/>
        <v>8.3239495683187625E-3</v>
      </c>
      <c r="GO9" s="6">
        <f>IF(ISNUMBER($AV9),FP9,"")</f>
        <v>-22.267152539809604</v>
      </c>
      <c r="GP9" s="10">
        <f>IF(ISNUMBER($AV9),FZ9,"")</f>
        <v>9.5693074311570214</v>
      </c>
      <c r="GQ9" s="372">
        <f>IF(ISNUMBER($AV9),FJ9,"")</f>
        <v>22.947677870209798</v>
      </c>
      <c r="GR9" s="697">
        <f>IF(ISNUMBER($AV9),GS9+GU9+GY9,"")</f>
        <v>775.79881254962129</v>
      </c>
      <c r="GS9" s="637">
        <f t="shared" ref="GS9:GS40" si="35">IF(ISNUMBER($AV9),GU9/GH9*GG9,"")</f>
        <v>199.58060603447328</v>
      </c>
      <c r="GT9" s="638">
        <f t="shared" ref="GT9:GT40" si="36">IF(ISNUMBER($AV9),GS9/$GK9,"")</f>
        <v>1852.2928670393933</v>
      </c>
      <c r="GU9" s="639">
        <f t="shared" ref="GU9:GU53" si="37">IF(ISNUMBER($AV9),$GV9*$GK9,"")</f>
        <v>487.42356001868586</v>
      </c>
      <c r="GV9" s="638">
        <f>IF(ISNUMBER($AV9),GW9*$GL9,"")</f>
        <v>4523.7420678721219</v>
      </c>
      <c r="GW9" s="640">
        <f t="shared" ref="GW9:GW53" si="38">IF(ISNUMBER($AV9),$GW$2,"")</f>
        <v>58071.143361644703</v>
      </c>
      <c r="GX9" s="641">
        <f t="shared" ref="GX9:GX53" si="39">IF(ISNUMBER($AV9),($GJ9/12)*$GV9,"")</f>
        <v>76.111960291948449</v>
      </c>
      <c r="GY9" s="639">
        <f t="shared" ref="GY9:GY40" si="40">IF(ISNUMBER($AV9),GU9/GH9*GI9,"")</f>
        <v>88.794646496462207</v>
      </c>
      <c r="GZ9" s="640">
        <f t="shared" ref="GZ9:GZ40" si="41">IF(ISNUMBER($AV9),GY9/$GK9,"")</f>
        <v>824.09655729911992</v>
      </c>
      <c r="HA9" s="637">
        <f t="shared" ref="HA9:HA53" si="42">IF(ISNUMBER($AV9),$FO9*$GS9,"")</f>
        <v>-199.58060603447328</v>
      </c>
      <c r="HB9" s="445">
        <f>IF(ISNUMBER($AV9),$EV9,"")</f>
        <v>16.885633777570121</v>
      </c>
      <c r="HC9" s="681">
        <f>IF(ISNUMBER($AV9),HA9*COS(RADIANS(HB9)),"")</f>
        <v>-190.97597640610033</v>
      </c>
      <c r="HD9" s="685">
        <f>IF(ISNUMBER($AV9),HA9*SIN(RADIANS(HB9)),"")</f>
        <v>-57.970636884756104</v>
      </c>
      <c r="HE9" s="639">
        <f t="shared" ref="HE9:HE53" si="43">IF(ISNUMBER($AV9),$FY9*$GV9,"")</f>
        <v>4523.7420678721219</v>
      </c>
      <c r="HF9" s="7">
        <f t="shared" ref="HF9:HF53" si="44">IF(ISNUMBER($AV9),IF(($HB9+90)&lt;0,(360+($HB9+90)),($HB9+90)),"")</f>
        <v>106.88563377757012</v>
      </c>
      <c r="HG9" s="681">
        <f>IF(ISNUMBER($AV9),HE9*COS(RADIANS(HF9)),"")</f>
        <v>-1313.9764127763669</v>
      </c>
      <c r="HH9" s="689">
        <f>IF(ISNUMBER($AV9),HE9*SIN(RADIANS(HF9)),"")</f>
        <v>4328.7074610446125</v>
      </c>
      <c r="HI9" s="596">
        <f>IF(ISNUMBER($AV9),$M9,"")</f>
        <v>1.101</v>
      </c>
      <c r="HJ9" s="625"/>
      <c r="HK9" s="719">
        <v>1</v>
      </c>
      <c r="HL9" s="720">
        <f>SMALL($GJ$9:$GJ$130,$HK9)</f>
        <v>0.2019</v>
      </c>
      <c r="HM9" s="721">
        <f t="shared" ref="HM9:IA18" si="45">IF(ISNUMBER($HL9),VLOOKUP($HL9,$GJ$9:$HI$130,HM$1,FALSE),"")</f>
        <v>1.101</v>
      </c>
      <c r="HN9" s="722">
        <f t="shared" si="45"/>
        <v>-22.267152539809604</v>
      </c>
      <c r="HO9" s="723">
        <f t="shared" si="45"/>
        <v>9.5693074311570214</v>
      </c>
      <c r="HP9" s="724">
        <f t="shared" si="45"/>
        <v>22.947677870209798</v>
      </c>
      <c r="HQ9" s="722">
        <f t="shared" si="45"/>
        <v>7.7899999999999997E-2</v>
      </c>
      <c r="HR9" s="725">
        <f t="shared" si="45"/>
        <v>8.3239495683187625E-3</v>
      </c>
      <c r="HS9" s="726">
        <f t="shared" si="45"/>
        <v>775.79881254962129</v>
      </c>
      <c r="HT9" s="727">
        <f t="shared" si="45"/>
        <v>199.58060603447328</v>
      </c>
      <c r="HU9" s="728">
        <f t="shared" si="45"/>
        <v>487.42356001868586</v>
      </c>
      <c r="HV9" s="729">
        <f t="shared" si="45"/>
        <v>88.794646496462207</v>
      </c>
      <c r="HW9" s="727">
        <f>IF(ISNUMBER($HL9),VLOOKUP($HL9,$GJ$9:$HI$130,HW$1,FALSE),"")</f>
        <v>1852.2928670393933</v>
      </c>
      <c r="HX9" s="728">
        <f t="shared" si="45"/>
        <v>4523.7420678721219</v>
      </c>
      <c r="HY9" s="729">
        <f>IF(ISNUMBER($HL9),VLOOKUP($HL9,$GJ$9:$HI$130,HY$1,FALSE),"")</f>
        <v>824.09655729911992</v>
      </c>
      <c r="HZ9" s="727">
        <f t="shared" si="45"/>
        <v>58071.143361644703</v>
      </c>
      <c r="IA9" s="728">
        <f t="shared" si="45"/>
        <v>76.111960291948449</v>
      </c>
      <c r="IB9" s="716"/>
      <c r="IC9" s="740">
        <f>HS9/[1]Assy.Model!HS9</f>
        <v>0.96647754385407036</v>
      </c>
      <c r="ID9" s="740">
        <f>HT9/[1]Assy.Model!HT9</f>
        <v>0.98020511930456045</v>
      </c>
      <c r="IE9" s="740">
        <f>HU9/[1]Assy.Model!HU9</f>
        <v>0.96347958300948078</v>
      </c>
      <c r="IF9" s="740">
        <f>HV9/[1]Assy.Model!HV9</f>
        <v>0.95276018679063645</v>
      </c>
      <c r="II9" s="511">
        <f>DEGREES(ATAN($AS$5/($EQ9*2*PI())))</f>
        <v>11.148504765930937</v>
      </c>
    </row>
    <row r="10" spans="2:243" ht="15" customHeight="1" x14ac:dyDescent="0.25">
      <c r="B10" s="143">
        <v>0</v>
      </c>
      <c r="C10" s="144">
        <v>1.0397031357446576</v>
      </c>
      <c r="D10" s="145">
        <v>-0.3171009563764845</v>
      </c>
      <c r="E10" s="146">
        <v>-0.96592583607220739</v>
      </c>
      <c r="F10" s="144">
        <v>-6.6987279208207184E-2</v>
      </c>
      <c r="G10" s="147">
        <v>0.24999996726497564</v>
      </c>
      <c r="H10" s="146">
        <v>0.314</v>
      </c>
      <c r="I10" s="144">
        <v>0.52</v>
      </c>
      <c r="J10" s="306">
        <v>1.1040000000000001</v>
      </c>
      <c r="K10" s="699" t="str">
        <f t="shared" si="1"/>
        <v>1613</v>
      </c>
      <c r="M10" s="292">
        <f t="shared" ref="M10:M105" si="46">IF(J10="","",J10)</f>
        <v>1.1040000000000001</v>
      </c>
      <c r="N10" s="24">
        <f t="shared" ref="N10:N105" si="47">IF(M10="","",B10)</f>
        <v>0</v>
      </c>
      <c r="O10" s="7">
        <f t="shared" ref="O10:O105" si="48">IF(M10="","",C10)</f>
        <v>1.0397031357446576</v>
      </c>
      <c r="P10" s="12">
        <f t="shared" ref="P10:P105" si="49">IF(M10="","",D10)</f>
        <v>-0.3171009563764845</v>
      </c>
      <c r="Q10" s="11">
        <f>IF(M10="","",IF(DEGREES(ATAN2(N10,O10))&lt;0,DEGREES(ATAN2(N10,O10))+360,IF(DEGREES(ATAN2(N10,O10))&gt;360,DEGREES(ATAN2(N10,O10))-360,DEGREES(ATAN2(N10,O10)))))</f>
        <v>90</v>
      </c>
      <c r="R10" s="7">
        <f t="shared" ref="R10:R105" si="50">IF(M10="","",SQRT(N10^2+O10^2))</f>
        <v>1.0397031357446576</v>
      </c>
      <c r="S10" s="8">
        <f t="shared" ref="S10:S105" si="51">IF(M10="","",P10)</f>
        <v>-0.3171009563764845</v>
      </c>
      <c r="T10" s="6">
        <f t="shared" ref="T10:T105" si="52">IF(M10="","",X10*COS(RADIANS(W10)))</f>
        <v>1.0395722921023769</v>
      </c>
      <c r="U10" s="7">
        <f t="shared" ref="U10:U105" si="53">IF(M10="","",X10*SIN(RADIANS(W10)))</f>
        <v>1.6494240518561656E-2</v>
      </c>
      <c r="V10" s="10">
        <f>IF(M10="","",Y10)</f>
        <v>-0.3171009563764845</v>
      </c>
      <c r="W10" s="11">
        <f t="shared" si="2"/>
        <v>0.90899986875665206</v>
      </c>
      <c r="X10" s="7">
        <f t="shared" ref="X10:X105" si="54">IF(M10="","",R10)</f>
        <v>1.0397031357446576</v>
      </c>
      <c r="Y10" s="9">
        <f>IF(M10="","",S10)</f>
        <v>-0.3171009563764845</v>
      </c>
      <c r="Z10" s="24">
        <f>IF(M10="","",-E10)</f>
        <v>0.96592583607220739</v>
      </c>
      <c r="AA10" s="7">
        <f t="shared" ref="AA10:AA105" si="55">IF(M10="","",-F10)</f>
        <v>6.6987279208207184E-2</v>
      </c>
      <c r="AB10" s="7">
        <f t="shared" ref="AB10:AB105" si="56">IF(M10="","",-G10)</f>
        <v>-0.24999996726497564</v>
      </c>
      <c r="AC10" s="10">
        <f t="shared" ref="AC10:AC105" si="57">IF(M10="","",SQRT(Z10^2+AA10^2+AB10^2))</f>
        <v>1</v>
      </c>
      <c r="AD10" s="11">
        <f>IF(M10="","",Z10*(1/SQRT(Z10^2+AA10^2+AB10^2)))</f>
        <v>0.96592583607220739</v>
      </c>
      <c r="AE10" s="7">
        <f t="shared" ref="AE10:AE105" si="58">IF(M10="","",AA10*(1/SQRT(Z10^2+AA10^2+AB10^2)))</f>
        <v>6.6987279208207184E-2</v>
      </c>
      <c r="AF10" s="12">
        <f t="shared" ref="AF10:AF105" si="59">IF(M10="","",AB10*(1/SQRT(Z10^2+AA10^2+AB10^2)))</f>
        <v>-0.24999996726497564</v>
      </c>
      <c r="AG10" s="6">
        <f t="shared" ref="AG10:AG105" si="60">IF(M10="","",DEGREES(ATAN2(-AF10,AE10)))</f>
        <v>14.999997834268264</v>
      </c>
      <c r="AH10" s="12">
        <f t="shared" ref="AH10:AH105" si="61">IF(M10="","",DEGREES(ACOS(AD10)))</f>
        <v>14.999997834268255</v>
      </c>
      <c r="AI10" s="11">
        <f t="shared" ref="AI10:AI105" si="62">IF(M10="","",DEGREES(-ACOS(-AF10)))</f>
        <v>-75.522489751159469</v>
      </c>
      <c r="AJ10" s="8">
        <f t="shared" ref="AJ10:AJ105" si="63">IF(M10="","",DEGREES(ATAN2(-AE10,AD10)))</f>
        <v>93.967129645086573</v>
      </c>
      <c r="AK10" s="6">
        <f>IF(M10="","",(COS(RADIANS((90-$Q$8)-W10))*AD10)+(-SIN(RADIANS((90-$Q$8)-W10))*AE10))</f>
        <v>0.96592583607220739</v>
      </c>
      <c r="AL10" s="7">
        <f t="shared" ref="AL10:AL105" si="64">IF(M10="","",(SIN(RADIANS((90-$Q$8)-W10))*AD10)+(COS(RADIANS((90-$Q$8)-W10))*AE10))</f>
        <v>6.6987279208207184E-2</v>
      </c>
      <c r="AM10" s="8">
        <f t="shared" ref="AM10:AM105" si="65">IF(M10="","",AF10)</f>
        <v>-0.24999996726497564</v>
      </c>
      <c r="AN10" s="6">
        <f t="shared" ref="AN10:AN105" si="66">IF(M10="","",DEGREES(ATAN2(-AM10,AL10)))</f>
        <v>14.999997834268264</v>
      </c>
      <c r="AO10" s="10">
        <f t="shared" si="3"/>
        <v>14.999997834268255</v>
      </c>
      <c r="AP10" s="11">
        <f t="shared" ref="AP10:AP105" si="67">IF(M10="","",DEGREES(ATAN2(AK10,AL10)))</f>
        <v>3.9671296450865703</v>
      </c>
      <c r="AQ10" s="8">
        <f>IF(M10="","",DEGREES(TAN($AS$5/((X10*2)*PI()))))</f>
        <v>2.1937417746437355</v>
      </c>
      <c r="AS10" s="123">
        <f>IF(G10="","",IF(AND(W10&lt;(AS9+180),W10&gt;(AS9-180)),W10,IF(W10&gt;(AS9+180),W10-360,IF(W10&lt;(AS9-180),W10+360,"Error"))))</f>
        <v>0.90899986875665206</v>
      </c>
      <c r="AT10" s="174">
        <f t="shared" ref="AT10:AT90" si="68">IF(M10="","",Y10+(((AS10-$AS$9)*$AS$6)*-1))</f>
        <v>-0.3171009563764845</v>
      </c>
      <c r="AV10" s="292">
        <f>IF(AND(ISNUMBER(VALUE(K10)),ISNUMBER(AW10),ISNUMBER(AX10),ISNUMBER(AY10),AY10&gt;=0.0001),$M10,"")</f>
        <v>1.1040000000000001</v>
      </c>
      <c r="AW10" s="439">
        <v>0.93530000000000002</v>
      </c>
      <c r="AX10" s="440">
        <v>0.115</v>
      </c>
      <c r="AY10" s="442">
        <v>5.7500000000000002E-2</v>
      </c>
      <c r="AZ10" s="565">
        <f>IF(ISNUMBER(AV10),$AY10*SQRT((2*PI()*$AW10)^2+$AS$5^2),"")</f>
        <v>0.33821376131118147</v>
      </c>
      <c r="BA10" s="564">
        <f>IF(ISNUMBER(AV10),AZ10/$AZ$131,"")</f>
        <v>2.7950741143537735E-2</v>
      </c>
      <c r="BB10" s="559">
        <f>IF(ISNUMBER($AV10),$AX10-($AT10+$AS$5),"")</f>
        <v>0.18210095637648449</v>
      </c>
      <c r="BC10" s="11"/>
      <c r="BD10" s="7">
        <f>IF(ISNUMBER(AV10),AW10,"")</f>
        <v>0.93530000000000002</v>
      </c>
      <c r="BE10" s="8">
        <f>IF(ISNUMBER(AV10),Y10+BB10,"")</f>
        <v>-0.13500000000000001</v>
      </c>
      <c r="BF10" s="6">
        <f t="shared" si="4"/>
        <v>0</v>
      </c>
      <c r="BG10" s="7">
        <f t="shared" si="4"/>
        <v>1.0397031357446576</v>
      </c>
      <c r="BH10" s="12">
        <f t="shared" si="4"/>
        <v>-0.3171009563764845</v>
      </c>
      <c r="BI10" s="11">
        <f>IF(ISNUMBER($AV10),BF10+0,"")</f>
        <v>0</v>
      </c>
      <c r="BJ10" s="7">
        <f>IF(ISNUMBER($AV10),BG10+COS(RADIANS($AG10)),"")</f>
        <v>2.0056289718168649</v>
      </c>
      <c r="BK10" s="10">
        <f>IF(ISNUMBER($AV10),BH10+SIN(RADIANS($AG10)),"")</f>
        <v>-5.8281947785138621E-2</v>
      </c>
      <c r="BL10" s="328">
        <f>IF(ISNUMBER($AV10),BF10+SIN(RADIANS($AH10)),"")</f>
        <v>0.25881900859134571</v>
      </c>
      <c r="BM10" s="7">
        <f>IF(ISNUMBER($AV10),BG10-SIN(RADIANS($AG10))*COS(RADIANS($AH10)),"")</f>
        <v>0.78970316847968203</v>
      </c>
      <c r="BN10" s="8">
        <f>IF(ISNUMBER($AV10),BH10+COS(RADIANS($AG10))*COS(RADIANS($AH10)),"")</f>
        <v>0.61591176441530837</v>
      </c>
      <c r="BO10" s="6">
        <f>IF(ISNUMBER($AV10),BJ10*BN10-BM10*BK10-BG10*(BN10-BK10)+BH10*(BM10-BJ10),"")</f>
        <v>0.96592583607220739</v>
      </c>
      <c r="BP10" s="7">
        <f>IF(ISNUMBER($AV10),BF10*(BN10-BK10)-(BI10*BN10-BL10*BK10)+BH10*(BI10-BL10),"")</f>
        <v>6.6987279208207129E-2</v>
      </c>
      <c r="BQ10" s="7">
        <f>IF(ISNUMBER($AV10),BF10*(BJ10-BM10)-BG10*(BI10-BL10)+(BI10*BM10-BL10*BJ10),"")</f>
        <v>-0.24999996726497542</v>
      </c>
      <c r="BR10" s="8">
        <f>IF(ISNUMBER($AV10),-(BF10*(BJ10*BN10-BM10*BK10)-BG10*(BI10*BN10-BL10*BK10)+BH10*(BI10*BM10-BL10*BJ10)),"")</f>
        <v>-0.14892211296158936</v>
      </c>
      <c r="BS10" s="6">
        <f t="shared" ref="BS10:BT41" si="69">IF(ISNUMBER($AV10),0,"")</f>
        <v>0</v>
      </c>
      <c r="BT10" s="7">
        <f t="shared" si="69"/>
        <v>0</v>
      </c>
      <c r="BU10" s="12">
        <f t="shared" ref="BU10:BU73" si="70">IF(ISNUMBER($AV10),$BE10,"")</f>
        <v>-0.13500000000000001</v>
      </c>
      <c r="BV10" s="11">
        <f t="shared" ref="BV10:BV73" si="71">IF(ISNUMBER($AV10),0,"")</f>
        <v>0</v>
      </c>
      <c r="BW10" s="7">
        <f t="shared" ref="BW10:BW73" si="72">IF(ISNUMBER($AV10),1,"")</f>
        <v>1</v>
      </c>
      <c r="BX10" s="10">
        <f t="shared" ref="BX10:BX73" si="73">IF(ISNUMBER($AV10),$BE10,"")</f>
        <v>-0.13500000000000001</v>
      </c>
      <c r="BY10" s="328">
        <f t="shared" ref="BY10:BY73" si="74">IF(ISNUMBER($AV10),1,"")</f>
        <v>1</v>
      </c>
      <c r="BZ10" s="7">
        <f t="shared" ref="BZ10:BZ73" si="75">IF(ISNUMBER($AV10),0,"")</f>
        <v>0</v>
      </c>
      <c r="CA10" s="8">
        <f t="shared" ref="CA10:CA73" si="76">IF(ISNUMBER($AV10),$BE10,"")</f>
        <v>-0.13500000000000001</v>
      </c>
      <c r="CB10" s="6">
        <f>IF(ISNUMBER($AV10),BW10*CA10-BZ10*BX10-BT10*(CA10-BX10)+BU10*(BZ10-BW10),"")</f>
        <v>0</v>
      </c>
      <c r="CC10" s="7">
        <f>IF(ISNUMBER($AV10),BS10*(CA10-BX10)-(BV10*CA10-BY10*BX10)+BU10*(BV10-BY10),"")</f>
        <v>0</v>
      </c>
      <c r="CD10" s="7">
        <f>IF(ISNUMBER($AV10),BS10*(BW10-BZ10)-BT10*(BV10-BY10)+(BV10*BZ10-BY10*BW10),"")</f>
        <v>-1</v>
      </c>
      <c r="CE10" s="8">
        <f>IF(ISNUMBER($AV10),-(BS10*(BW10*CA10-BZ10*BX10)-BT10*(BV10*CA10-BY10*BX10)+BU10*(BV10*BZ10-BY10*BW10)),"")</f>
        <v>-0.13500000000000001</v>
      </c>
      <c r="CF10" s="6">
        <f>IF(ISNUMBER($AV10),(BP10*CD10)-(BQ10*CC10),"")</f>
        <v>-6.6987279208207129E-2</v>
      </c>
      <c r="CG10" s="7">
        <f>IF(ISNUMBER($AV10),(BQ10*CB10)-(BO10*CD10),"")</f>
        <v>0.96592583607220739</v>
      </c>
      <c r="CH10" s="7">
        <f>IF(ISNUMBER($AV10),(BO10*CC10)-(BP10*CB10),"")</f>
        <v>0</v>
      </c>
      <c r="CI10" s="6">
        <f t="shared" ref="CI10:CI73" si="77">IF(ISNUMBER($AV10),0,"")</f>
        <v>0</v>
      </c>
      <c r="CJ10" s="7">
        <f t="shared" ref="CJ10:CJ73" si="78">IF(ISNUMBER($AV10),(CD10*BR10-BQ10*CE10)/(BQ10*CC10-CD10*BP10),"")</f>
        <v>1.7193132598033187</v>
      </c>
      <c r="CK10" s="10">
        <f t="shared" ref="CK10:CK73" si="79">IF(ISNUMBER($AV10),(CC10*BR10-BP10*CE10)/(-CC10*BQ10+BP10*CD10),"")</f>
        <v>-0.13500000000000001</v>
      </c>
      <c r="CL10" s="328">
        <f t="shared" ref="CL10:CL73" si="80">IF(ISNUMBER($AV10),CI10+CF10,"")</f>
        <v>-6.6987279208207129E-2</v>
      </c>
      <c r="CM10" s="7">
        <f t="shared" ref="CM10:CM73" si="81">IF(ISNUMBER($AV10),CJ10+CG10,"")</f>
        <v>2.6852390958755263</v>
      </c>
      <c r="CN10" s="8">
        <f t="shared" ref="CN10:CN73" si="82">IF(ISNUMBER($AV10),CK10+CH10,"")</f>
        <v>-0.13500000000000001</v>
      </c>
      <c r="CO10" s="296">
        <f t="shared" si="5"/>
        <v>0.3125</v>
      </c>
      <c r="CP10" s="6">
        <f>IF(ISNUMBER($AV10),(CL10-CI10)^2+(CM10-CJ10)^2+(CN10-CK10)^2,"")</f>
        <v>0.93750001636751157</v>
      </c>
      <c r="CQ10" s="7">
        <f>IF(ISNUMBER($AV10),2*((CL10-CI10)*(CI10-BF10)+(CM10-CJ10)*(CJ10-BG10)+(CN10-CK10)*(CK10-BH10)),"")</f>
        <v>1.3129059545689981</v>
      </c>
      <c r="CR10" s="7">
        <f>IF(ISNUMBER($AV10),BF10^2+BG10^2+BH10^2+CI10^2+CJ10^2+CK10^2-2*(BF10*CI10+BG10*CJ10+BH10*CK10)-CO10^2,"")</f>
        <v>0.39737442903625864</v>
      </c>
      <c r="CS10" s="10">
        <f>IF(ISNUMBER($AV10),CQ10^2-(4*CP10*CR10),"")</f>
        <v>0.23356791064063986</v>
      </c>
      <c r="CT10" s="11">
        <f>IF(ISNUMBER($AV10),(-CQ10+SQRT(CS10))/(CP10*2),"")</f>
        <v>-0.44246255944521523</v>
      </c>
      <c r="CU10" s="8">
        <f>IF(ISNUMBER($AV10),(-CQ10-SQRT(CS10))/(CP10*2),"")</f>
        <v>-0.95797043431200601</v>
      </c>
      <c r="CV10" s="6">
        <f t="shared" si="6"/>
        <v>2.9639363008734577E-2</v>
      </c>
      <c r="CW10" s="7">
        <f t="shared" si="6"/>
        <v>1.2919272421405503</v>
      </c>
      <c r="CX10" s="10">
        <f t="shared" si="6"/>
        <v>-0.13500000000000001</v>
      </c>
      <c r="CY10" s="11">
        <f t="shared" si="7"/>
        <v>6.4171832956465794E-2</v>
      </c>
      <c r="CZ10" s="7">
        <f t="shared" si="7"/>
        <v>0.79398486710803851</v>
      </c>
      <c r="DA10" s="8">
        <f t="shared" si="7"/>
        <v>-0.13500000000000001</v>
      </c>
      <c r="DB10" s="6">
        <f>IF(ISNUMBER($AV10),0,"")</f>
        <v>0</v>
      </c>
      <c r="DC10" s="7">
        <f>IF(ISNUMBER($AV10),0,"")</f>
        <v>0</v>
      </c>
      <c r="DD10" s="12">
        <f>IF(ISNUMBER($AV10),-10,"")</f>
        <v>-10</v>
      </c>
      <c r="DE10" s="11">
        <f>IF(ISNUMBER($AV10),0,"")</f>
        <v>0</v>
      </c>
      <c r="DF10" s="7">
        <f>IF(ISNUMBER($AV10),0,"")</f>
        <v>0</v>
      </c>
      <c r="DG10" s="12">
        <f>IF(ISNUMBER($AV10),10,"")</f>
        <v>10</v>
      </c>
      <c r="DH10" s="174">
        <f>IF(ISNUMBER($AV10),BD10,"")</f>
        <v>0.93530000000000002</v>
      </c>
      <c r="DI10" s="6">
        <f t="shared" si="8"/>
        <v>0</v>
      </c>
      <c r="DJ10" s="7">
        <f t="shared" si="8"/>
        <v>0</v>
      </c>
      <c r="DK10" s="12">
        <f t="shared" si="8"/>
        <v>20</v>
      </c>
      <c r="DL10" s="11">
        <f t="shared" si="9"/>
        <v>2.9639363008734577E-2</v>
      </c>
      <c r="DM10" s="328">
        <f t="shared" si="9"/>
        <v>1.2919272421405503</v>
      </c>
      <c r="DN10" s="376">
        <f t="shared" si="9"/>
        <v>9.8650000000000002</v>
      </c>
      <c r="DO10" s="11">
        <f t="shared" si="10"/>
        <v>3.4532469947731216E-2</v>
      </c>
      <c r="DP10" s="328">
        <f t="shared" si="10"/>
        <v>-0.49794237503251182</v>
      </c>
      <c r="DQ10" s="13">
        <f t="shared" si="10"/>
        <v>0</v>
      </c>
      <c r="DR10" s="328">
        <f>IF(ISNUMBER($AV10),SUMPRODUCT(DI10:DK10,DL10:DN10),"")</f>
        <v>197.3</v>
      </c>
      <c r="DS10" s="7">
        <f>IF(ISNUMBER($AV10),SUMPRODUCT(DO10:DQ10,DI10:DK10),"")</f>
        <v>0</v>
      </c>
      <c r="DT10" s="7">
        <f>IF(ISNUMBER($AV10),SUMPRODUCT(DI10:DK10,DI10:DK10),"")</f>
        <v>400</v>
      </c>
      <c r="DU10" s="7">
        <f>IF(ISNUMBER($AV10),SUMPRODUCT(DO10:DQ10,DO10:DQ10),"")</f>
        <v>0.24913910033370959</v>
      </c>
      <c r="DV10" s="7">
        <f>IF(ISNUMBER($AV10),SUMPRODUCT(DL10:DN10,DO10:DQ10),"")</f>
        <v>-0.64228179890829962</v>
      </c>
      <c r="DW10" s="7">
        <f>IF(ISNUMBER($AV10),SUMPRODUCT(DL10:DN10,DL10:DN10),"")</f>
        <v>98.98817949082445</v>
      </c>
      <c r="DX10" s="296">
        <f>IF(ISNUMBER($AV10),DW10-DH10*DH10,"")</f>
        <v>98.113393400824449</v>
      </c>
      <c r="DY10" s="11">
        <f>IF(ISNUMBER($AV10),DT10*DU10-DS10*DS10,"")</f>
        <v>99.655640133483843</v>
      </c>
      <c r="DZ10" s="7">
        <f>IF(ISNUMBER($AV10),DT10*DV10-DS10*DR10,"")</f>
        <v>-256.91271956331985</v>
      </c>
      <c r="EA10" s="12">
        <f>IF(ISNUMBER($AV10),DT10*DX10-DR10*DR10,"")</f>
        <v>318.06736032977642</v>
      </c>
      <c r="EB10" s="8">
        <f>IF(ISNUMBER($AV10),DZ10*DZ10-DY10*EA10,"")</f>
        <v>34306.939074189693</v>
      </c>
      <c r="EC10" s="328">
        <f>IF(ISNUMBER($AV10),(-DZ10+SQRT(DZ10^2-DY10*EA10))/DY10,"")</f>
        <v>4.4366183744107159</v>
      </c>
      <c r="ED10" s="7">
        <f>IF(ISNUMBER($AV10),(-DZ10-SQRT(DZ10^2-DY10*EA10))/DY10,"")</f>
        <v>0.71939124469760241</v>
      </c>
      <c r="EE10" s="6">
        <f t="shared" si="11"/>
        <v>0.18284675369262474</v>
      </c>
      <c r="EF10" s="7">
        <f>IF(ISNUMBER($AV10),CW10+DP10*$EC10,"")</f>
        <v>-0.9172530483264032</v>
      </c>
      <c r="EG10" s="12">
        <f>IF(ISNUMBER($AV10),CX10+DQ10*$EC10,"")</f>
        <v>-0.13500000000000001</v>
      </c>
      <c r="EH10" s="11">
        <f>IF(ISNUMBER($AV10),CV10+DO10*$ED10,"")</f>
        <v>5.4481719546915483E-2</v>
      </c>
      <c r="EI10" s="7">
        <f>IF(ISNUMBER($AV10),CW10+DP10*$ED10,"")</f>
        <v>0.93371185717823124</v>
      </c>
      <c r="EJ10" s="8">
        <f t="shared" si="12"/>
        <v>-0.13500000000000001</v>
      </c>
      <c r="EK10" s="491" t="b">
        <f>IF(ISNUMBER($AV10),IF(OR($EC10&lt;0,$EC10&gt;1),FALSE,TRUE),"")</f>
        <v>0</v>
      </c>
      <c r="EL10" s="493" t="b">
        <f>IF(ISNUMBER($AV10),IF(OR($ED10&lt;0,$ED10&gt;1),FALSE,TRUE),"")</f>
        <v>1</v>
      </c>
      <c r="EM10" s="6">
        <f t="shared" si="13"/>
        <v>5.4481719546915483E-2</v>
      </c>
      <c r="EN10" s="7">
        <f t="shared" si="13"/>
        <v>0.93371185717823124</v>
      </c>
      <c r="EO10" s="12">
        <f t="shared" si="13"/>
        <v>-0.13500000000000001</v>
      </c>
      <c r="EP10" s="11">
        <f>IF(ISNUMBER($AV10),IF(DEGREES(ATAN2(EM10,EN10))&lt;0,DEGREES(ATAN2(EM10,EN10))+360,IF(DEGREES(ATAN2(EM10,EN10))&gt;360,DEGREES(ATAN2(EM10,EN10))-360,DEGREES(ATAN2(EM10,EN10)))),"")</f>
        <v>86.660600229398909</v>
      </c>
      <c r="EQ10" s="7">
        <f>IF(ISNUMBER($AV10),SQRT(EM10^2+EN10^2),"")</f>
        <v>0.93530000000000557</v>
      </c>
      <c r="ER10" s="9">
        <f>IF(ISNUMBER($AV10),EO10,"")</f>
        <v>-0.13500000000000001</v>
      </c>
      <c r="ES10" s="24">
        <f t="shared" si="14"/>
        <v>0.96592583607220739</v>
      </c>
      <c r="ET10" s="7">
        <f t="shared" si="14"/>
        <v>6.6987279208207184E-2</v>
      </c>
      <c r="EU10" s="12">
        <f t="shared" si="14"/>
        <v>-0.24999996726497564</v>
      </c>
      <c r="EV10" s="337">
        <f>IF(ISNUMBER($AV10),IF(($EV$1-EP10)&lt;0,(360+($EV$1-EP10)),($EV$1-EP10)),"")</f>
        <v>3.3393997706010907</v>
      </c>
      <c r="EW10" s="11">
        <f t="shared" si="16"/>
        <v>0.96038364603483239</v>
      </c>
      <c r="EX10" s="7">
        <f t="shared" si="17"/>
        <v>0.12313922525480277</v>
      </c>
      <c r="EY10" s="8">
        <f>IF(ISNUMBER($AV10),EU10,"")</f>
        <v>-0.24999996726497564</v>
      </c>
      <c r="EZ10" s="123">
        <f>IF(ISNUMBER($AV10),DEGREES(ATAN($AS$5/($EQ10*2*PI()))),"")</f>
        <v>2.4359594555670614</v>
      </c>
      <c r="FA10" s="534">
        <f t="shared" si="18"/>
        <v>0.99739988244866007</v>
      </c>
      <c r="FB10" s="535">
        <f t="shared" si="19"/>
        <v>-5.8197890766767506E-2</v>
      </c>
      <c r="FC10" s="537">
        <f t="shared" si="20"/>
        <v>-4.2502705816200845E-2</v>
      </c>
      <c r="FD10" s="6">
        <f t="shared" si="21"/>
        <v>0.99909635170903388</v>
      </c>
      <c r="FE10" s="7">
        <f t="shared" si="22"/>
        <v>6.2450045135165055E-17</v>
      </c>
      <c r="FF10" s="9">
        <f>IF(ISNUMBER($AV10),FC10,"")</f>
        <v>-4.2502705816200845E-2</v>
      </c>
      <c r="FG10" s="328">
        <f t="shared" si="23"/>
        <v>-3.8712705674201486E-2</v>
      </c>
      <c r="FH10" s="7">
        <f t="shared" si="24"/>
        <v>0.1231392252548027</v>
      </c>
      <c r="FI10" s="12">
        <f t="shared" si="25"/>
        <v>-0.20749726144877478</v>
      </c>
      <c r="FJ10" s="547">
        <f>IF(ISNUMBER($AV10),DEGREES(ACOS((2-SQRT((FG10)^2+(FH10)^2+(FI10)^2)^2)/2)),"")</f>
        <v>14.036486337874907</v>
      </c>
      <c r="FK10" s="6">
        <f t="shared" si="26"/>
        <v>0.96824584500400057</v>
      </c>
      <c r="FL10" s="7">
        <f>IF(ISNUMBER($AV10),SQRT(FA10^2+FB10^2),"")</f>
        <v>0.99909635170903388</v>
      </c>
      <c r="FM10" s="10">
        <f>IF(ISNUMBER($AV10),SQRT(FG10^2+FH10^2),"")</f>
        <v>0.12908114648146873</v>
      </c>
      <c r="FN10" s="11">
        <f>IF(ISNUMBER($AV10),DEGREES(ACOS((FK10^2+FL10^2-FM10^2)/(2*FK10*FL10))),"")</f>
        <v>7.3065294156876384</v>
      </c>
      <c r="FO10" s="12">
        <f t="shared" si="27"/>
        <v>-1</v>
      </c>
      <c r="FP10" s="545">
        <f t="shared" si="28"/>
        <v>-7.3065294156876384</v>
      </c>
      <c r="FQ10" s="328">
        <f>IF(ISNUMBER($AV10),SIN(RADIANS(FN10)),"")</f>
        <v>0.12717764387028543</v>
      </c>
      <c r="FR10" s="12">
        <f>IF(ISNUMBER($AV10),COS(RADIANS(FN10)),"")</f>
        <v>0.99187995589164057</v>
      </c>
      <c r="FS10" s="11">
        <f>IF(ISNUMBER($AV10),FQ10/(FQ10+FR10),"")</f>
        <v>0.11364709367716357</v>
      </c>
      <c r="FT10" s="8">
        <f>IF(ISNUMBER($AV10),FR10/(FQ10+FR10),"")</f>
        <v>0.88635290632283636</v>
      </c>
      <c r="FU10" s="6">
        <f>IF(ISNUMBER($AV10),SQRT(EW10^2+EY10^2),"")</f>
        <v>0.99238940502387829</v>
      </c>
      <c r="FV10" s="7">
        <f>IF(ISNUMBER($AV10),SQRT(FD10^2+FF10^2),"")</f>
        <v>1</v>
      </c>
      <c r="FW10" s="10">
        <f>IF(ISNUMBER($AV10),SQRT(FG10^2+FI10^2),"")</f>
        <v>0.2110776802254529</v>
      </c>
      <c r="FX10" s="11">
        <f>IF(ISNUMBER($AV10),DEGREES(ACOS((FU10^2+FV10^2-FW10^2)/(2*FU10*FV10))),"")</f>
        <v>12.155032217975288</v>
      </c>
      <c r="FY10" s="12">
        <f t="shared" si="29"/>
        <v>1</v>
      </c>
      <c r="FZ10" s="545">
        <f>IF(ISNUMBER($AV10),FX10*FY10,"")</f>
        <v>12.155032217975288</v>
      </c>
      <c r="GA10" s="372">
        <f>IF(ISNUMBER($AV10),DEGREES(FZ10*SIN(RADIANS(FU10))),"")</f>
        <v>12.061922076798245</v>
      </c>
      <c r="GB10" s="46">
        <f>IF(ISNUMBER($AV10),COS(RADIANS(FP10+90))*COS(RADIANS(FZ10)),"")</f>
        <v>0.12432650531381811</v>
      </c>
      <c r="GC10" s="47">
        <f>IF(ISNUMBER($AV10),SIN(RADIANS(FP10+90))*COS(RADIANS(FZ10)),"")</f>
        <v>0.96964344403650493</v>
      </c>
      <c r="GD10" s="578">
        <f>IF(ISNUMBER($AV10),-SIN(RADIANS(FZ10)),"")</f>
        <v>-0.21055762041179715</v>
      </c>
      <c r="GE10" s="585">
        <f>IF(ISNUMBER($AV10),SUM(ABS(GB10),ABS(GC10),ABS(GD10)),"")</f>
        <v>1.3045275697621201</v>
      </c>
      <c r="GF10" s="634">
        <f>IF(ISNUMBER($AV10),1/GE10,"")</f>
        <v>0.76656103188555025</v>
      </c>
      <c r="GG10" s="553">
        <f t="shared" si="30"/>
        <v>9.530385420408477E-2</v>
      </c>
      <c r="GH10" s="554">
        <f t="shared" si="31"/>
        <v>0.743290879021682</v>
      </c>
      <c r="GI10" s="549">
        <f t="shared" si="32"/>
        <v>0.16140526677423322</v>
      </c>
      <c r="GJ10" s="296">
        <f>IF(ISNUMBER($AV10),AW10,"")</f>
        <v>0.93530000000000002</v>
      </c>
      <c r="GK10" s="337">
        <f t="shared" si="33"/>
        <v>0.49016487146548032</v>
      </c>
      <c r="GL10" s="337">
        <f t="shared" si="34"/>
        <v>5.7500000000000002E-2</v>
      </c>
      <c r="GM10" s="11">
        <f>IF(ISNUMBER($AV10),AZ10,"")</f>
        <v>0.33821376131118147</v>
      </c>
      <c r="GN10" s="549">
        <f>IF(ISNUMBER($AV10),BA10,"")</f>
        <v>2.7950741143537735E-2</v>
      </c>
      <c r="GO10" s="6">
        <f>IF(ISNUMBER($AV10),FP10,"")</f>
        <v>-7.3065294156876384</v>
      </c>
      <c r="GP10" s="10">
        <f>IF(ISNUMBER($AV10),FZ10,"")</f>
        <v>12.155032217975288</v>
      </c>
      <c r="GQ10" s="372">
        <f>IF(ISNUMBER($AV10),FJ10,"")</f>
        <v>14.036486337874907</v>
      </c>
      <c r="GR10" s="697">
        <f>IF(ISNUMBER($AV10),GS10+GU10+GY10,"")</f>
        <v>2201.9710334032166</v>
      </c>
      <c r="GS10" s="637">
        <f t="shared" si="35"/>
        <v>209.85632632907803</v>
      </c>
      <c r="GT10" s="638">
        <f t="shared" si="36"/>
        <v>428.13416167840802</v>
      </c>
      <c r="GU10" s="639">
        <f t="shared" si="37"/>
        <v>1636.7049849985583</v>
      </c>
      <c r="GV10" s="638">
        <f>IF(ISNUMBER($AV10),GW10*$GL10,"")</f>
        <v>3339.0907432945705</v>
      </c>
      <c r="GW10" s="640">
        <f t="shared" si="38"/>
        <v>58071.143361644703</v>
      </c>
      <c r="GX10" s="641">
        <f t="shared" si="39"/>
        <v>260.25429768361766</v>
      </c>
      <c r="GY10" s="639">
        <f t="shared" si="40"/>
        <v>355.40972207558019</v>
      </c>
      <c r="GZ10" s="640">
        <f t="shared" si="41"/>
        <v>725.08199335661652</v>
      </c>
      <c r="HA10" s="637">
        <f t="shared" si="42"/>
        <v>-209.85632632907803</v>
      </c>
      <c r="HB10" s="7">
        <f>IF(ISNUMBER($AV10),$EV10,"")</f>
        <v>3.3393997706010907</v>
      </c>
      <c r="HC10" s="638">
        <f>IF(ISNUMBER($AV10),HA10*COS(RADIANS(HB10)),"")</f>
        <v>-209.49998951921654</v>
      </c>
      <c r="HD10" s="640">
        <f>IF(ISNUMBER($AV10),HA10*SIN(RADIANS(HB10)),"")</f>
        <v>-12.224241971780968</v>
      </c>
      <c r="HE10" s="639">
        <f t="shared" si="43"/>
        <v>3339.0907432945705</v>
      </c>
      <c r="HF10" s="7">
        <f t="shared" si="44"/>
        <v>93.339399770601091</v>
      </c>
      <c r="HG10" s="638">
        <f>IF(ISNUMBER($AV10),HE10*COS(RADIANS(HF10)),"")</f>
        <v>-194.50380136627331</v>
      </c>
      <c r="HH10" s="644">
        <f>IF(ISNUMBER($AV10),HE10*SIN(RADIANS(HF10)),"")</f>
        <v>3333.4209549964667</v>
      </c>
      <c r="HI10" s="596">
        <f>IF(ISNUMBER($AV10),$M10,"")</f>
        <v>1.1040000000000001</v>
      </c>
      <c r="HJ10" s="625"/>
      <c r="HK10" s="1232">
        <f t="shared" ref="HK10:HK37" si="83">IF(ISNUMBER(HL10),HK9+1,"")</f>
        <v>2</v>
      </c>
      <c r="HL10" s="583">
        <f t="shared" ref="HL10:HL53" si="84">IFERROR(SMALL($GJ$9:$GJ$130,($HK9+1)),"")</f>
        <v>0.46989999999999998</v>
      </c>
      <c r="HM10" s="643">
        <f t="shared" si="45"/>
        <v>5.1020000000000003</v>
      </c>
      <c r="HN10" s="660">
        <f t="shared" si="45"/>
        <v>-12.331173192174663</v>
      </c>
      <c r="HO10" s="661">
        <f t="shared" si="45"/>
        <v>12.420807319352614</v>
      </c>
      <c r="HP10" s="656">
        <f t="shared" si="45"/>
        <v>17.062536542342087</v>
      </c>
      <c r="HQ10" s="660">
        <f t="shared" si="45"/>
        <v>5.9299999999999999E-2</v>
      </c>
      <c r="HR10" s="671">
        <f t="shared" si="45"/>
        <v>1.452089604964708E-2</v>
      </c>
      <c r="HS10" s="655">
        <f t="shared" si="45"/>
        <v>1227.872155714078</v>
      </c>
      <c r="HT10" s="648">
        <f t="shared" si="45"/>
        <v>185.87933787426385</v>
      </c>
      <c r="HU10" s="649">
        <f t="shared" si="45"/>
        <v>850.29669979245239</v>
      </c>
      <c r="HV10" s="650">
        <f t="shared" si="45"/>
        <v>191.69611804736178</v>
      </c>
      <c r="HW10" s="648">
        <f t="shared" si="45"/>
        <v>752.79321070129265</v>
      </c>
      <c r="HX10" s="649">
        <f t="shared" si="45"/>
        <v>3443.6188013455308</v>
      </c>
      <c r="HY10" s="650">
        <f t="shared" si="45"/>
        <v>776.35060375275714</v>
      </c>
      <c r="HZ10" s="648">
        <f t="shared" si="45"/>
        <v>58071.143361644703</v>
      </c>
      <c r="IA10" s="649">
        <f t="shared" si="45"/>
        <v>134.84637289602207</v>
      </c>
      <c r="IB10" s="716"/>
      <c r="IC10" s="741">
        <f>HS10/[1]Assy.Model!HS10</f>
        <v>0.93548647425326314</v>
      </c>
      <c r="ID10" s="741">
        <f>HT10/[1]Assy.Model!HT10</f>
        <v>0.95882770357856684</v>
      </c>
      <c r="IE10" s="741">
        <f>HU10/[1]Assy.Model!HU10</f>
        <v>0.93276684675545696</v>
      </c>
      <c r="IF10" s="741">
        <f>HV10/[1]Assy.Model!HV10</f>
        <v>0.9256083759993895</v>
      </c>
    </row>
    <row r="11" spans="2:243" ht="15" customHeight="1" x14ac:dyDescent="0.25">
      <c r="B11" s="143">
        <v>0</v>
      </c>
      <c r="C11" s="144">
        <v>1.7115051618995685</v>
      </c>
      <c r="D11" s="145">
        <v>-0.11310034111062879</v>
      </c>
      <c r="E11" s="146">
        <v>-0.96592583607220739</v>
      </c>
      <c r="F11" s="144">
        <v>-5.0271535051510788E-2</v>
      </c>
      <c r="G11" s="147">
        <v>0.2538898421988795</v>
      </c>
      <c r="H11" s="146">
        <v>0.28999999999999998</v>
      </c>
      <c r="I11" s="144">
        <v>0.52</v>
      </c>
      <c r="J11" s="306">
        <v>1.107</v>
      </c>
      <c r="K11" s="699" t="str">
        <f>CONCATENATE(IF(H11=0.314,16,IF(H11=0.29,15,IF(H11=0.2645,13,IF(OR(H11=0.2625,H11=0.257),"Kunckle","")))),IF(I11=0.52,13,IF(I11=0.42,11,"")))</f>
        <v>1513</v>
      </c>
      <c r="M11" s="292">
        <f t="shared" si="46"/>
        <v>1.107</v>
      </c>
      <c r="N11" s="24">
        <f t="shared" si="47"/>
        <v>0</v>
      </c>
      <c r="O11" s="7">
        <f t="shared" si="48"/>
        <v>1.7115051618995685</v>
      </c>
      <c r="P11" s="12">
        <f t="shared" si="49"/>
        <v>-0.11310034111062879</v>
      </c>
      <c r="Q11" s="11">
        <f t="shared" ref="Q11:Q73" si="85">IF(M11="","",IF(DEGREES(ATAN2(N11,O11))&lt;0,DEGREES(ATAN2(N11,O11))+360,IF(DEGREES(ATAN2(N11,O11))&gt;360,DEGREES(ATAN2(N11,O11))-360,DEGREES(ATAN2(N11,O11)))))</f>
        <v>90</v>
      </c>
      <c r="R11" s="7">
        <f t="shared" si="50"/>
        <v>1.7115051618995685</v>
      </c>
      <c r="S11" s="8">
        <f t="shared" si="51"/>
        <v>-0.11310034111062879</v>
      </c>
      <c r="T11" s="6">
        <f t="shared" si="52"/>
        <v>1.7112897739090296</v>
      </c>
      <c r="U11" s="7">
        <f t="shared" si="53"/>
        <v>2.7151959841798856E-2</v>
      </c>
      <c r="V11" s="10">
        <f t="shared" ref="V11:V105" si="86">IF(M11="","",Y11)</f>
        <v>-0.11310034111062879</v>
      </c>
      <c r="W11" s="11">
        <f t="shared" si="2"/>
        <v>0.90899986875665206</v>
      </c>
      <c r="X11" s="7">
        <f t="shared" si="54"/>
        <v>1.7115051618995685</v>
      </c>
      <c r="Y11" s="9">
        <f>IF(M11="","",S11)</f>
        <v>-0.11310034111062879</v>
      </c>
      <c r="Z11" s="24">
        <f t="shared" ref="Z11:Z105" si="87">IF(M11="","",-E11)</f>
        <v>0.96592583607220739</v>
      </c>
      <c r="AA11" s="7">
        <f t="shared" si="55"/>
        <v>5.0271535051510788E-2</v>
      </c>
      <c r="AB11" s="7">
        <f t="shared" si="56"/>
        <v>-0.2538898421988795</v>
      </c>
      <c r="AC11" s="10">
        <f t="shared" si="57"/>
        <v>1</v>
      </c>
      <c r="AD11" s="11">
        <f t="shared" ref="AD11:AD105" si="88">IF(M11="","",Z11*(1/SQRT(Z11^2+AA11^2+AB11^2)))</f>
        <v>0.96592583607220739</v>
      </c>
      <c r="AE11" s="7">
        <f t="shared" si="58"/>
        <v>5.0271535051510788E-2</v>
      </c>
      <c r="AF11" s="12">
        <f t="shared" si="59"/>
        <v>-0.2538898421988795</v>
      </c>
      <c r="AG11" s="6">
        <f t="shared" si="60"/>
        <v>11.199998382920306</v>
      </c>
      <c r="AH11" s="12">
        <f t="shared" si="61"/>
        <v>14.999997834268255</v>
      </c>
      <c r="AI11" s="11">
        <f t="shared" si="62"/>
        <v>-75.292186949482485</v>
      </c>
      <c r="AJ11" s="8">
        <f t="shared" si="63"/>
        <v>92.979266377344999</v>
      </c>
      <c r="AK11" s="6">
        <f t="shared" ref="AK11:AK105" si="89">IF(M11="","",(COS(RADIANS((90-$Q$8)-W11))*AD11)+(-SIN(RADIANS((90-$Q$8)-W11))*AE11))</f>
        <v>0.96592583607220739</v>
      </c>
      <c r="AL11" s="7">
        <f t="shared" si="64"/>
        <v>5.0271535051510788E-2</v>
      </c>
      <c r="AM11" s="8">
        <f t="shared" si="65"/>
        <v>-0.2538898421988795</v>
      </c>
      <c r="AN11" s="6">
        <f>IF(M11="","",DEGREES(ATAN2(-AM11,AL11)))</f>
        <v>11.199998382920306</v>
      </c>
      <c r="AO11" s="10">
        <f t="shared" si="3"/>
        <v>14.999997834268255</v>
      </c>
      <c r="AP11" s="11">
        <f t="shared" si="67"/>
        <v>2.9792663773450134</v>
      </c>
      <c r="AQ11" s="8">
        <f>IF(M11="","",DEGREES(TAN($AS$5/((X11*2)*PI()))))</f>
        <v>1.3322410426510884</v>
      </c>
      <c r="AS11" s="123">
        <f t="shared" ref="AS11:AS74" si="90">IF(G11="","",IF(AND(W11&lt;(AS10+180),W11&gt;(AS10-180)),W11,IF(W11&gt;(AS10+180),W11-360,IF(W11&lt;(AS10-180),W11+360,"Error"))))</f>
        <v>0.90899986875665206</v>
      </c>
      <c r="AT11" s="174">
        <f t="shared" si="68"/>
        <v>-0.11310034111062879</v>
      </c>
      <c r="AV11" s="292">
        <f t="shared" ref="AV11:AV74" si="91">IF(AND(ISNUMBER(VALUE(K11)),ISNUMBER(AW11),ISNUMBER(AX11),ISNUMBER(AY11),AY11&gt;=0.0001),$M11,"")</f>
        <v>1.107</v>
      </c>
      <c r="AW11" s="439">
        <v>1.617</v>
      </c>
      <c r="AX11" s="440">
        <v>0.29659999999999997</v>
      </c>
      <c r="AY11" s="442">
        <v>5.6599999999999998E-2</v>
      </c>
      <c r="AZ11" s="565">
        <f t="shared" ref="AZ11:AZ74" si="92">IF(ISNUMBER(AV11),$AY11*SQRT((2*PI()*$AW11)^2+$AS$5^2),"")</f>
        <v>0.57522500707460922</v>
      </c>
      <c r="BA11" s="564">
        <f t="shared" ref="BA11:BA74" si="93">IF(ISNUMBER(AV11),AZ11/$AZ$131,"")</f>
        <v>4.7537880214280098E-2</v>
      </c>
      <c r="BB11" s="559">
        <f t="shared" ref="BB11:BB73" si="94">IF(ISNUMBER($AV11),$AX11-($AT11+$AS$5),"")</f>
        <v>0.15970034111062875</v>
      </c>
      <c r="BC11" s="11"/>
      <c r="BD11" s="7">
        <f t="shared" ref="BD11:BD73" si="95">IF(ISNUMBER(AV11),AW11,"")</f>
        <v>1.617</v>
      </c>
      <c r="BE11" s="8">
        <f t="shared" ref="BE11:BE73" si="96">IF(ISNUMBER(AV11),Y11+BB11,"")</f>
        <v>4.6599999999999961E-2</v>
      </c>
      <c r="BF11" s="6">
        <f t="shared" ref="BF11:BF74" si="97">IF(ISNUMBER($AV11),N11,"")</f>
        <v>0</v>
      </c>
      <c r="BG11" s="7">
        <f t="shared" ref="BG11:BG74" si="98">IF(ISNUMBER($AV11),O11,"")</f>
        <v>1.7115051618995685</v>
      </c>
      <c r="BH11" s="12">
        <f t="shared" ref="BH11:BH74" si="99">IF(ISNUMBER($AV11),P11,"")</f>
        <v>-0.11310034111062879</v>
      </c>
      <c r="BI11" s="11">
        <f t="shared" ref="BI11:BI74" si="100">IF(ISNUMBER($AV11),BF11+0,"")</f>
        <v>0</v>
      </c>
      <c r="BJ11" s="7">
        <f t="shared" ref="BJ11:BJ74" si="101">IF(ISNUMBER($AV11),BG11+COS(RADIANS($AG11)),"")</f>
        <v>2.6924603227307067</v>
      </c>
      <c r="BK11" s="10">
        <f t="shared" ref="BK11:BK74" si="102">IF(ISNUMBER($AV11),BH11+SIN(RADIANS($AG11)),"")</f>
        <v>8.113398242348778E-2</v>
      </c>
      <c r="BL11" s="328">
        <f t="shared" ref="BL11:BL74" si="103">IF(ISNUMBER($AV11),BF11+SIN(RADIANS($AH11)),"")</f>
        <v>0.25881900859134571</v>
      </c>
      <c r="BM11" s="7">
        <f t="shared" ref="BM11:BM74" si="104">IF(ISNUMBER($AV11),BG11-SIN(RADIANS($AG11))*COS(RADIANS($AH11)),"")</f>
        <v>1.5238892105459574</v>
      </c>
      <c r="BN11" s="8">
        <f t="shared" ref="BN11:BN74" si="105">IF(ISNUMBER($AV11),BH11+COS(RADIANS($AG11))*COS(RADIANS($AH11)),"")</f>
        <v>0.83442959276453499</v>
      </c>
      <c r="BO11" s="6">
        <f t="shared" ref="BO11:BO74" si="106">IF(ISNUMBER($AV11),BJ11*BN11-BM11*BK11-BG11*(BN11-BK11)+BH11*(BM11-BJ11),"")</f>
        <v>0.96592583607220739</v>
      </c>
      <c r="BP11" s="7">
        <f t="shared" ref="BP11:BP74" si="107">IF(ISNUMBER($AV11),BF11*(BN11-BK11)-(BI11*BN11-BL11*BK11)+BH11*(BI11-BL11),"")</f>
        <v>5.0271535051510739E-2</v>
      </c>
      <c r="BQ11" s="7">
        <f t="shared" ref="BQ11:BQ74" si="108">IF(ISNUMBER($AV11),BF11*(BJ11-BM11)-BG11*(BI11-BL11)+(BI11*BM11-BL11*BJ11),"")</f>
        <v>-0.25388984219887933</v>
      </c>
      <c r="BR11" s="8">
        <f t="shared" ref="BR11:BR74" si="109">IF(ISNUMBER($AV11),-(BF11*(BJ11*BN11-BM11*BK11)-BG11*(BI11*BN11-BL11*BK11)+BH11*(BI11*BM11-BL11*BJ11)),"")</f>
        <v>-0.11475501949449268</v>
      </c>
      <c r="BS11" s="6">
        <f t="shared" si="69"/>
        <v>0</v>
      </c>
      <c r="BT11" s="7">
        <f t="shared" si="69"/>
        <v>0</v>
      </c>
      <c r="BU11" s="12">
        <f t="shared" si="70"/>
        <v>4.6599999999999961E-2</v>
      </c>
      <c r="BV11" s="11">
        <f t="shared" si="71"/>
        <v>0</v>
      </c>
      <c r="BW11" s="7">
        <f t="shared" si="72"/>
        <v>1</v>
      </c>
      <c r="BX11" s="10">
        <f t="shared" si="73"/>
        <v>4.6599999999999961E-2</v>
      </c>
      <c r="BY11" s="328">
        <f t="shared" si="74"/>
        <v>1</v>
      </c>
      <c r="BZ11" s="7">
        <f t="shared" si="75"/>
        <v>0</v>
      </c>
      <c r="CA11" s="8">
        <f t="shared" si="76"/>
        <v>4.6599999999999961E-2</v>
      </c>
      <c r="CB11" s="6">
        <f t="shared" ref="CB11:CB74" si="110">IF(ISNUMBER($AV11),BW11*CA11-BZ11*BX11-BT11*(CA11-BX11)+BU11*(BZ11-BW11),"")</f>
        <v>0</v>
      </c>
      <c r="CC11" s="7">
        <f t="shared" ref="CC11:CC74" si="111">IF(ISNUMBER($AV11),BS11*(CA11-BX11)-(BV11*CA11-BY11*BX11)+BU11*(BV11-BY11),"")</f>
        <v>0</v>
      </c>
      <c r="CD11" s="7">
        <f t="shared" ref="CD11:CD74" si="112">IF(ISNUMBER($AV11),BS11*(BW11-BZ11)-BT11*(BV11-BY11)+(BV11*BZ11-BY11*BW11),"")</f>
        <v>-1</v>
      </c>
      <c r="CE11" s="8">
        <f t="shared" ref="CE11:CE74" si="113">IF(ISNUMBER($AV11),-(BS11*(BW11*CA11-BZ11*BX11)-BT11*(BV11*CA11-BY11*BX11)+BU11*(BV11*BZ11-BY11*BW11)),"")</f>
        <v>4.6599999999999961E-2</v>
      </c>
      <c r="CF11" s="6">
        <f t="shared" ref="CF11:CF74" si="114">IF(ISNUMBER($AV11),(BP11*CD11)-(BQ11*CC11),"")</f>
        <v>-5.0271535051510739E-2</v>
      </c>
      <c r="CG11" s="7">
        <f t="shared" ref="CG11:CG74" si="115">IF(ISNUMBER($AV11),(BQ11*CB11)-(BO11*CD11),"")</f>
        <v>0.96592583607220739</v>
      </c>
      <c r="CH11" s="7">
        <f t="shared" ref="CH11:CH74" si="116">IF(ISNUMBER($AV11),(BO11*CC11)-(BP11*CB11),"")</f>
        <v>0</v>
      </c>
      <c r="CI11" s="6">
        <f t="shared" si="77"/>
        <v>0</v>
      </c>
      <c r="CJ11" s="7">
        <f t="shared" si="78"/>
        <v>2.5180509409798963</v>
      </c>
      <c r="CK11" s="10">
        <f t="shared" si="79"/>
        <v>4.6599999999999961E-2</v>
      </c>
      <c r="CL11" s="328">
        <f t="shared" si="80"/>
        <v>-5.0271535051510739E-2</v>
      </c>
      <c r="CM11" s="7">
        <f t="shared" si="81"/>
        <v>3.4839767770521037</v>
      </c>
      <c r="CN11" s="8">
        <f t="shared" si="82"/>
        <v>4.6599999999999961E-2</v>
      </c>
      <c r="CO11" s="296">
        <f>IF(ISNUMBER($AV11),IF(AND(($H11*2)&gt;=$O$136,($H11*2)&lt;=$P$136),($N$136/2),IF(AND(($H11*2)&gt;=$O$137,($H11*2)&lt;=$P$137),($N$137/2),IF(AND(($H11*2)&gt;=$O$138,($H11*2)&lt;=$P$138),($N$138/2),IF(AND(($H11*2)&gt;=$O$139,($H11*2)&lt;=$P$139),($N$139/2),IF(AND(($H11*2)&gt;=$O$140,($H11*2)&lt;=$P$140),($N$140/2),IF(AND(($H11*2)&gt;=$O$143,($H11*2)&lt;=$P$143),($N$143/2),"Radius")))))),"")</f>
        <v>0.28849999999999998</v>
      </c>
      <c r="CP11" s="6">
        <f>IF(ISNUMBER($AV11),(CL11-CI11)^2+(CM11-CJ11)^2+(CN11-CK11)^2,"")</f>
        <v>0.93553994802822815</v>
      </c>
      <c r="CQ11" s="7">
        <f>IF(ISNUMBER($AV11),2*((CL11-CI11)*(CI11-BF11)+(CM11-CJ11)*(CJ11-BG11)+(CN11-CK11)*(CK11-BH11)),"")</f>
        <v>1.5581268119773513</v>
      </c>
      <c r="CR11" s="7">
        <f t="shared" ref="CR11:CR74" si="117">IF(ISNUMBER($AV11),BF11^2+BG11^2+BH11^2+CI11^2+CJ11^2+CK11^2-2*(BF11*CI11+BG11*CJ11+BH11*CK11)-CO11^2,"")</f>
        <v>0.59278804270314467</v>
      </c>
      <c r="CS11" s="10">
        <f t="shared" ref="CS11:CS74" si="118">IF(ISNUMBER($AV11),CQ11^2-(4*CP11*CR11),"")</f>
        <v>0.2094515835536841</v>
      </c>
      <c r="CT11" s="11">
        <f t="shared" ref="CT11:CT74" si="119">IF(ISNUMBER($AV11),(-CQ11+SQRT(CS11))/(CP11*2),"")</f>
        <v>-0.58814591903545987</v>
      </c>
      <c r="CU11" s="8">
        <f t="shared" ref="CU11:CU74" si="120">IF(ISNUMBER($AV11),(-CQ11-SQRT(CS11))/(CP11*2),"")</f>
        <v>-1.0773380779454342</v>
      </c>
      <c r="CV11" s="6">
        <f>IF(ISNUMBER($AV11),CI11+($CT11*(CL11-CI11)),"")</f>
        <v>2.9566998184194119E-2</v>
      </c>
      <c r="CW11" s="7">
        <f t="shared" ref="CW11:CW74" si="121">IF(ISNUMBER($AV11),CJ11+($CT11*(CM11-CJ11)),"")</f>
        <v>1.949945602403113</v>
      </c>
      <c r="CX11" s="10">
        <f t="shared" ref="CX11:CX74" si="122">IF(ISNUMBER($AV11),CK11+($CT11*(CN11-CK11)),"")</f>
        <v>4.6599999999999961E-2</v>
      </c>
      <c r="CY11" s="11">
        <f t="shared" ref="CY11:CY74" si="123">IF(ISNUMBER($AV11),CI11+($CU11*(CL11-CI11)),"")</f>
        <v>5.4159438947761103E-2</v>
      </c>
      <c r="CZ11" s="7">
        <f t="shared" ref="CZ11:CZ74" si="124">IF(ISNUMBER($AV11),CJ11+($CU11*(CM11-CJ11)),"")</f>
        <v>1.4774222573080278</v>
      </c>
      <c r="DA11" s="8">
        <f t="shared" ref="DA11:DA74" si="125">IF(ISNUMBER($AV11),CK11+($CU11*(CN11-CK11)),"")</f>
        <v>4.6599999999999961E-2</v>
      </c>
      <c r="DB11" s="6">
        <f t="shared" ref="DB11:DC42" si="126">IF(ISNUMBER($AV11),0,"")</f>
        <v>0</v>
      </c>
      <c r="DC11" s="7">
        <f t="shared" si="126"/>
        <v>0</v>
      </c>
      <c r="DD11" s="12">
        <f t="shared" ref="DD11:DD74" si="127">IF(ISNUMBER($AV11),-10,"")</f>
        <v>-10</v>
      </c>
      <c r="DE11" s="11">
        <f t="shared" ref="DE11:DF42" si="128">IF(ISNUMBER($AV11),0,"")</f>
        <v>0</v>
      </c>
      <c r="DF11" s="7">
        <f t="shared" si="128"/>
        <v>0</v>
      </c>
      <c r="DG11" s="12">
        <f t="shared" ref="DG11:DG74" si="129">IF(ISNUMBER($AV11),10,"")</f>
        <v>10</v>
      </c>
      <c r="DH11" s="174">
        <f t="shared" ref="DH11:DH74" si="130">IF(ISNUMBER($AV11),BD11,"")</f>
        <v>1.617</v>
      </c>
      <c r="DI11" s="6">
        <f t="shared" ref="DI11:DI74" si="131">IF(ISNUMBER($AV11),DE11-DB11,"")</f>
        <v>0</v>
      </c>
      <c r="DJ11" s="7">
        <f t="shared" ref="DJ11:DJ74" si="132">IF(ISNUMBER($AV11),DF11-DC11,"")</f>
        <v>0</v>
      </c>
      <c r="DK11" s="12">
        <f t="shared" ref="DK11:DK74" si="133">IF(ISNUMBER($AV11),DG11-DD11,"")</f>
        <v>20</v>
      </c>
      <c r="DL11" s="11">
        <f t="shared" ref="DL11:DL74" si="134">IF(ISNUMBER($AV11),CV11-DB11,"")</f>
        <v>2.9566998184194119E-2</v>
      </c>
      <c r="DM11" s="328">
        <f t="shared" ref="DM11:DM74" si="135">IF(ISNUMBER($AV11),CW11-DC11,"")</f>
        <v>1.949945602403113</v>
      </c>
      <c r="DN11" s="376">
        <f t="shared" ref="DN11:DN74" si="136">IF(ISNUMBER($AV11),CX11-DD11,"")</f>
        <v>10.0466</v>
      </c>
      <c r="DO11" s="11">
        <f t="shared" ref="DO11:DO74" si="137">IF(ISNUMBER($AV11),CY11-CV11,"")</f>
        <v>2.4592440763566984E-2</v>
      </c>
      <c r="DP11" s="328">
        <f t="shared" ref="DP11:DP74" si="138">IF(ISNUMBER($AV11),CZ11-CW11,"")</f>
        <v>-0.4725233450950852</v>
      </c>
      <c r="DQ11" s="13">
        <f t="shared" ref="DQ11:DQ74" si="139">IF(ISNUMBER($AV11),DA11-CX11,"")</f>
        <v>0</v>
      </c>
      <c r="DR11" s="328">
        <f t="shared" ref="DR11:DR74" si="140">IF(ISNUMBER($AV11),SUMPRODUCT(DI11:DK11,DL11:DN11),"")</f>
        <v>200.93199999999999</v>
      </c>
      <c r="DS11" s="7">
        <f t="shared" ref="DS11:DS74" si="141">IF(ISNUMBER($AV11),SUMPRODUCT(DO11:DQ11,DI11:DK11),"")</f>
        <v>0</v>
      </c>
      <c r="DT11" s="7">
        <f t="shared" ref="DT11:DT74" si="142">IF(ISNUMBER($AV11),SUMPRODUCT(DI11:DK11,DI11:DK11),"")</f>
        <v>400</v>
      </c>
      <c r="DU11" s="7">
        <f t="shared" ref="DU11:DU74" si="143">IF(ISNUMBER($AV11),SUMPRODUCT(DO11:DQ11,DO11:DQ11),"")</f>
        <v>0.22388309980255855</v>
      </c>
      <c r="DV11" s="7">
        <f t="shared" ref="DV11:DV74" si="144">IF(ISNUMBER($AV11),SUMPRODUCT(DL11:DN11,DO11:DQ11),"")</f>
        <v>-0.92066769414956873</v>
      </c>
      <c r="DW11" s="7">
        <f t="shared" ref="DW11:DW74" si="145">IF(ISNUMBER($AV11),SUMPRODUCT(DL11:DN11,DL11:DN11),"")</f>
        <v>104.73733361971286</v>
      </c>
      <c r="DX11" s="296">
        <f t="shared" ref="DX11:DX74" si="146">IF(ISNUMBER($AV11),DW11-DH11*DH11,"")</f>
        <v>102.12264461971286</v>
      </c>
      <c r="DY11" s="11">
        <f t="shared" ref="DY11:DY74" si="147">IF(ISNUMBER($AV11),DT11*DU11-DS11*DS11,"")</f>
        <v>89.553239921023419</v>
      </c>
      <c r="DZ11" s="7">
        <f t="shared" ref="DZ11:DZ74" si="148">IF(ISNUMBER($AV11),DT11*DV11-DS11*DR11,"")</f>
        <v>-368.26707765982746</v>
      </c>
      <c r="EA11" s="12">
        <f t="shared" ref="EA11:EA74" si="149">IF(ISNUMBER($AV11),DT11*DX11-DR11*DR11,"")</f>
        <v>475.38922388514766</v>
      </c>
      <c r="EB11" s="8">
        <f t="shared" ref="EB11:EB74" si="150">IF(ISNUMBER($AV11),DZ11*DZ11-DY11*EA11,"")</f>
        <v>93047.995265653662</v>
      </c>
      <c r="EC11" s="328">
        <f t="shared" ref="EC11:EC74" si="151">IF(ISNUMBER($AV11),(-DZ11+SQRT(DZ11^2-DY11*EA11))/DY11,"")</f>
        <v>7.5184859093995566</v>
      </c>
      <c r="ED11" s="7">
        <f t="shared" ref="ED11:ED74" si="152">IF(ISNUMBER($AV11),(-DZ11-SQRT(DZ11^2-DY11*EA11))/DY11,"")</f>
        <v>0.70605354857204705</v>
      </c>
      <c r="EE11" s="6">
        <f t="shared" ref="EE11:EE74" si="153">IF(ISNUMBER($AV11),CV11+DO11*$EC11,"")</f>
        <v>0.21446491754281577</v>
      </c>
      <c r="EF11" s="7">
        <f t="shared" ref="EF11:EF74" si="154">IF(ISNUMBER($AV11),CW11+DP11*$EC11,"")</f>
        <v>-1.6027145095566293</v>
      </c>
      <c r="EG11" s="12">
        <f t="shared" ref="EG11:EG74" si="155">IF(ISNUMBER($AV11),CX11+DQ11*$EC11,"")</f>
        <v>4.6599999999999961E-2</v>
      </c>
      <c r="EH11" s="11">
        <f t="shared" ref="EH11:EH74" si="156">IF(ISNUMBER($AV11),CV11+DO11*$ED11,"")</f>
        <v>4.6930578253358446E-2</v>
      </c>
      <c r="EI11" s="7">
        <f t="shared" ref="EI11:EI74" si="157">IF(ISNUMBER($AV11),CW11+DP11*$ED11,"")</f>
        <v>1.6163188178155941</v>
      </c>
      <c r="EJ11" s="8">
        <f t="shared" ref="EJ11:EJ74" si="158">IF(ISNUMBER($AV11),CX11+DQ11*$ED11,"")</f>
        <v>4.6599999999999961E-2</v>
      </c>
      <c r="EK11" s="491" t="b">
        <f t="shared" ref="EK11:EK74" si="159">IF(ISNUMBER($AV11),IF(OR($EC11&lt;0,$EC11&gt;1),FALSE,TRUE),"")</f>
        <v>0</v>
      </c>
      <c r="EL11" s="493" t="b">
        <f t="shared" ref="EL11:EL74" si="160">IF(ISNUMBER($AV11),IF(OR($ED11&lt;0,$ED11&gt;1),FALSE,TRUE),"")</f>
        <v>1</v>
      </c>
      <c r="EM11" s="6">
        <f t="shared" ref="EM11:EM74" si="161">IF(ISNUMBER($AV11),IF($EK11=TRUE,EE11,IF($EL11=TRUE,EH11,"")),"")</f>
        <v>4.6930578253358446E-2</v>
      </c>
      <c r="EN11" s="7">
        <f t="shared" ref="EN11:EN74" si="162">IF(ISNUMBER($AV11),IF($EK11=TRUE,EF11,IF($EL11=TRUE,EI11,"")),"")</f>
        <v>1.6163188178155941</v>
      </c>
      <c r="EO11" s="12">
        <f t="shared" ref="EO11:EO74" si="163">IF(ISNUMBER($AV11),IF($EK11=TRUE,EG11,IF($EL11=TRUE,EJ11,"")),"")</f>
        <v>4.6599999999999961E-2</v>
      </c>
      <c r="EP11" s="11">
        <f t="shared" ref="EP11:EP74" si="164">IF(ISNUMBER($AV11),IF(DEGREES(ATAN2(EM11,EN11))&lt;0,DEGREES(ATAN2(EM11,EN11))+360,IF(DEGREES(ATAN2(EM11,EN11))&gt;360,DEGREES(ATAN2(EM11,EN11))-360,DEGREES(ATAN2(EM11,EN11)))),"")</f>
        <v>88.336857322807802</v>
      </c>
      <c r="EQ11" s="7">
        <f t="shared" ref="EQ11:EQ74" si="165">IF(ISNUMBER($AV11),SQRT(EM11^2+EN11^2),"")</f>
        <v>1.6169999999999982</v>
      </c>
      <c r="ER11" s="9">
        <f t="shared" ref="ER11:ER74" si="166">IF(ISNUMBER($AV11),EO11,"")</f>
        <v>4.6599999999999961E-2</v>
      </c>
      <c r="ES11" s="24">
        <f t="shared" ref="ES11:ES74" si="167">IF(ISNUMBER($AV11),AD11,"")</f>
        <v>0.96592583607220739</v>
      </c>
      <c r="ET11" s="7">
        <f t="shared" ref="ET11:ET74" si="168">IF(ISNUMBER($AV11),AE11,"")</f>
        <v>5.0271535051510788E-2</v>
      </c>
      <c r="EU11" s="12">
        <f t="shared" ref="EU11:EU74" si="169">IF(ISNUMBER($AV11),AF11,"")</f>
        <v>-0.2538898421988795</v>
      </c>
      <c r="EV11" s="337">
        <f t="shared" si="15"/>
        <v>1.663142677192198</v>
      </c>
      <c r="EW11" s="11">
        <f t="shared" si="16"/>
        <v>0.96405988450718605</v>
      </c>
      <c r="EX11" s="7">
        <f t="shared" si="17"/>
        <v>7.8284654385257085E-2</v>
      </c>
      <c r="EY11" s="8">
        <f t="shared" ref="EY11:EY74" si="170">IF(ISNUMBER($AV11),EU11,"")</f>
        <v>-0.2538898421988795</v>
      </c>
      <c r="EZ11" s="123">
        <f t="shared" ref="EZ11:EZ74" si="171">IF(ISNUMBER($AV11),DEGREES(ATAN($AS$5/($EQ11*2*PI()))),"")</f>
        <v>1.4095650519117637</v>
      </c>
      <c r="FA11" s="534">
        <f t="shared" si="18"/>
        <v>0.99927626163143723</v>
      </c>
      <c r="FB11" s="535">
        <f t="shared" si="19"/>
        <v>-2.9014456972416516E-2</v>
      </c>
      <c r="FC11" s="537">
        <f t="shared" si="20"/>
        <v>-2.4599069626617773E-2</v>
      </c>
      <c r="FD11" s="6">
        <f t="shared" si="21"/>
        <v>0.99969739710249561</v>
      </c>
      <c r="FE11" s="7">
        <f t="shared" si="22"/>
        <v>6.9388939039072284E-18</v>
      </c>
      <c r="FF11" s="9">
        <f t="shared" ref="FF11:FF74" si="172">IF(ISNUMBER($AV11),FC11,"")</f>
        <v>-2.4599069626617773E-2</v>
      </c>
      <c r="FG11" s="328">
        <f t="shared" si="23"/>
        <v>-3.5637512595309562E-2</v>
      </c>
      <c r="FH11" s="7">
        <f t="shared" si="24"/>
        <v>7.8284654385257085E-2</v>
      </c>
      <c r="FI11" s="12">
        <f t="shared" si="25"/>
        <v>-0.22929077257226171</v>
      </c>
      <c r="FJ11" s="547">
        <f t="shared" ref="FJ11:FJ74" si="173">IF(ISNUMBER($AV11),DEGREES(ACOS((2-SQRT((FG11)^2+(FH11)^2+(FI11)^2)^2)/2)),"")</f>
        <v>14.066659479956691</v>
      </c>
      <c r="FK11" s="6">
        <f t="shared" si="26"/>
        <v>0.96723314047246545</v>
      </c>
      <c r="FL11" s="7">
        <f t="shared" ref="FL11:FL73" si="174">IF(ISNUMBER($AV11),SQRT(FA11^2+FB11^2),"")</f>
        <v>0.99969739710249561</v>
      </c>
      <c r="FM11" s="10">
        <f t="shared" ref="FM11:FM73" si="175">IF(ISNUMBER($AV11),SQRT(FG11^2+FH11^2),"")</f>
        <v>8.6014646521391916E-2</v>
      </c>
      <c r="FN11" s="11">
        <f t="shared" ref="FN11:FN73" si="176">IF(ISNUMBER($AV11),DEGREES(ACOS((FK11^2+FL11^2-FM11^2)/(2*FK11*FL11))),"")</f>
        <v>4.6424090545373149</v>
      </c>
      <c r="FO11" s="12">
        <f t="shared" si="27"/>
        <v>-1</v>
      </c>
      <c r="FP11" s="545">
        <f t="shared" si="28"/>
        <v>-4.6424090545373149</v>
      </c>
      <c r="FQ11" s="328">
        <f>IF(ISNUMBER($AV11),SIN(RADIANS(FN11)),"")</f>
        <v>8.0936695724692628E-2</v>
      </c>
      <c r="FR11" s="12">
        <f t="shared" ref="FR11:FR74" si="177">IF(ISNUMBER($AV11),COS(RADIANS(FN11)),"")</f>
        <v>0.99671924396249545</v>
      </c>
      <c r="FS11" s="11">
        <f t="shared" ref="FS11:FS74" si="178">IF(ISNUMBER($AV11),FQ11/(FQ11+FR11),"")</f>
        <v>7.5104393474772824E-2</v>
      </c>
      <c r="FT11" s="8">
        <f t="shared" ref="FT11:FT74" si="179">IF(ISNUMBER($AV11),FR11/(FQ11+FR11),"")</f>
        <v>0.92489560652522718</v>
      </c>
      <c r="FU11" s="6">
        <f t="shared" ref="FU11:FU74" si="180">IF(ISNUMBER($AV11),SQRT(EW11^2+EY11^2),"")</f>
        <v>0.99693104720827153</v>
      </c>
      <c r="FV11" s="7">
        <f t="shared" ref="FV11:FV74" si="181">IF(ISNUMBER($AV11),SQRT(FD11^2+FF11^2),"")</f>
        <v>1</v>
      </c>
      <c r="FW11" s="10">
        <f>IF(ISNUMBER($AV11),SQRT(FG11^2+FI11^2),"")</f>
        <v>0.23204372581641911</v>
      </c>
      <c r="FX11" s="11">
        <f>IF(ISNUMBER($AV11),DEGREES(ACOS((FU11^2+FV11^2-FW11^2)/(2*FU11*FV11))),"")</f>
        <v>13.344550876956198</v>
      </c>
      <c r="FY11" s="12">
        <f t="shared" si="29"/>
        <v>1</v>
      </c>
      <c r="FZ11" s="545">
        <f>IF(ISNUMBER($AV11),FX11*FY11,"")</f>
        <v>13.344550876956198</v>
      </c>
      <c r="GA11" s="372">
        <f t="shared" ref="GA11:GA74" si="182">IF(ISNUMBER($AV11),DEGREES(FZ11*SIN(RADIANS(FU11))),"")</f>
        <v>13.302925811836595</v>
      </c>
      <c r="GB11" s="46">
        <f t="shared" ref="GB11:GB74" si="183">IF(ISNUMBER($AV11),COS(RADIANS(FP11+90))*COS(RADIANS(FZ11)),"")</f>
        <v>7.8751380760126555E-2</v>
      </c>
      <c r="GC11" s="47">
        <f t="shared" ref="GC11:GC74" si="184">IF(ISNUMBER($AV11),SIN(RADIANS(FP11+90))*COS(RADIANS(FZ11)),"")</f>
        <v>0.96980752660364422</v>
      </c>
      <c r="GD11" s="578">
        <f t="shared" ref="GD11:GD74" si="185">IF(ISNUMBER($AV11),-SIN(RADIANS(FZ11)),"")</f>
        <v>-0.23080637203356288</v>
      </c>
      <c r="GE11" s="585">
        <f t="shared" ref="GE11:GE74" si="186">IF(ISNUMBER($AV11),SUM(ABS(GB11),ABS(GC11),ABS(GD11)),"")</f>
        <v>1.2793652793973336</v>
      </c>
      <c r="GF11" s="634">
        <f>IF(ISNUMBER($AV11),1/GE11,"")</f>
        <v>0.78163759491039708</v>
      </c>
      <c r="GG11" s="553">
        <f t="shared" si="30"/>
        <v>6.1555039853218238E-2</v>
      </c>
      <c r="GH11" s="554">
        <f t="shared" si="31"/>
        <v>0.75803802262047337</v>
      </c>
      <c r="GI11" s="549">
        <f t="shared" si="32"/>
        <v>0.18040693752630843</v>
      </c>
      <c r="GJ11" s="296">
        <f t="shared" ref="GJ11:GJ74" si="187">IF(ISNUMBER($AV11),AW11,"")</f>
        <v>1.617</v>
      </c>
      <c r="GK11" s="337">
        <f t="shared" si="33"/>
        <v>0.84691549922645659</v>
      </c>
      <c r="GL11" s="337">
        <f t="shared" ref="GL11:GL74" si="188">IF(ISNUMBER($AV11),AY11,"")</f>
        <v>5.6599999999999998E-2</v>
      </c>
      <c r="GM11" s="11">
        <f>IF(ISNUMBER($AV11),AZ11,"")</f>
        <v>0.57522500707460922</v>
      </c>
      <c r="GN11" s="549">
        <f t="shared" ref="GN11:GN74" si="189">IF(ISNUMBER($AV11),BA11,"")</f>
        <v>4.7537880214280098E-2</v>
      </c>
      <c r="GO11" s="6">
        <f t="shared" ref="GO11:GO74" si="190">IF(ISNUMBER($AV11),FP11,"")</f>
        <v>-4.6424090545373149</v>
      </c>
      <c r="GP11" s="10">
        <f>IF(ISNUMBER($AV11),FZ11,"")</f>
        <v>13.344550876956198</v>
      </c>
      <c r="GQ11" s="372">
        <f t="shared" ref="GQ11:GQ74" si="191">IF(ISNUMBER($AV11),FJ11,"")</f>
        <v>14.066659479956691</v>
      </c>
      <c r="GR11" s="697">
        <f>IF(ISNUMBER($AV11),GS11+GU11+GY11,"")</f>
        <v>3672.1963866181381</v>
      </c>
      <c r="GS11" s="637">
        <f>IF(ISNUMBER($AV11),GU11/GH11*GG11,"")</f>
        <v>226.04219492712349</v>
      </c>
      <c r="GT11" s="638">
        <f t="shared" si="36"/>
        <v>266.90052919515892</v>
      </c>
      <c r="GU11" s="639">
        <f t="shared" si="37"/>
        <v>2783.6644875860607</v>
      </c>
      <c r="GV11" s="638">
        <f t="shared" ref="GV11:GV74" si="192">IF(ISNUMBER($AV11),GW11*$GL11,"")</f>
        <v>3286.8267142690902</v>
      </c>
      <c r="GW11" s="640">
        <f>IF(ISNUMBER($AV11),$GW$2,"")</f>
        <v>58071.143361644703</v>
      </c>
      <c r="GX11" s="641">
        <f t="shared" si="39"/>
        <v>442.89989974775995</v>
      </c>
      <c r="GY11" s="639">
        <f t="shared" si="40"/>
        <v>662.48970410495406</v>
      </c>
      <c r="GZ11" s="640">
        <f t="shared" si="41"/>
        <v>782.2382571933673</v>
      </c>
      <c r="HA11" s="637">
        <f t="shared" si="42"/>
        <v>-226.04219492712349</v>
      </c>
      <c r="HB11" s="7">
        <f t="shared" ref="HB11:HB74" si="193">IF(ISNUMBER($AV11),$EV11,"")</f>
        <v>1.663142677192198</v>
      </c>
      <c r="HC11" s="638">
        <f t="shared" ref="HC11:HC74" si="194">IF(ISNUMBER($AV11),HA11*COS(RADIANS(HB11)),"")</f>
        <v>-225.94697172606723</v>
      </c>
      <c r="HD11" s="640">
        <f t="shared" ref="HD11:HD74" si="195">IF(ISNUMBER($AV11),HA11*SIN(RADIANS(HB11)),"")</f>
        <v>-6.5604767579395755</v>
      </c>
      <c r="HE11" s="639">
        <f t="shared" si="43"/>
        <v>3286.8267142690902</v>
      </c>
      <c r="HF11" s="7">
        <f t="shared" si="44"/>
        <v>91.663142677192198</v>
      </c>
      <c r="HG11" s="638">
        <f t="shared" ref="HG11:HG74" si="196">IF(ISNUMBER($AV11),HE11*COS(RADIANS(HF11)),"")</f>
        <v>-95.394358886353857</v>
      </c>
      <c r="HH11" s="644">
        <f t="shared" ref="HH11:HH74" si="197">IF(ISNUMBER($AV11),HE11*SIN(RADIANS(HF11)),"")</f>
        <v>3285.4420959629779</v>
      </c>
      <c r="HI11" s="596">
        <f t="shared" ref="HI11:HI74" si="198">IF(ISNUMBER($AV11),$M11,"")</f>
        <v>1.107</v>
      </c>
      <c r="HJ11" s="625"/>
      <c r="HK11" s="1232">
        <f t="shared" si="83"/>
        <v>3</v>
      </c>
      <c r="HL11" s="583">
        <f t="shared" si="84"/>
        <v>0.70440000000000003</v>
      </c>
      <c r="HM11" s="643">
        <f t="shared" si="45"/>
        <v>3.1030000000000002</v>
      </c>
      <c r="HN11" s="660">
        <f>IF(ISNUMBER($HL11),VLOOKUP($HL11,$GJ$9:$HI$130,HN$1,FALSE),"")</f>
        <v>-8.4095602043715179</v>
      </c>
      <c r="HO11" s="661">
        <f t="shared" si="45"/>
        <v>11.395176016923553</v>
      </c>
      <c r="HP11" s="656">
        <f t="shared" si="45"/>
        <v>13.972954299705892</v>
      </c>
      <c r="HQ11" s="660">
        <f t="shared" si="45"/>
        <v>5.8200000000000002E-2</v>
      </c>
      <c r="HR11" s="671">
        <f t="shared" si="45"/>
        <v>2.1321413652443957E-2</v>
      </c>
      <c r="HS11" s="655">
        <f t="shared" si="45"/>
        <v>1687.4602375033999</v>
      </c>
      <c r="HT11" s="648">
        <f>IF(ISNUMBER($HL11),VLOOKUP($HL11,$GJ$9:$HI$130,HT$1,FALSE),"")</f>
        <v>184.5772325193779</v>
      </c>
      <c r="HU11" s="649">
        <f t="shared" si="45"/>
        <v>1248.5130119792752</v>
      </c>
      <c r="HV11" s="650">
        <f t="shared" si="45"/>
        <v>254.36999300474662</v>
      </c>
      <c r="HW11" s="648">
        <f t="shared" si="45"/>
        <v>499.65290725411313</v>
      </c>
      <c r="HX11" s="649">
        <f t="shared" si="45"/>
        <v>3379.740543647722</v>
      </c>
      <c r="HY11" s="650">
        <f t="shared" si="45"/>
        <v>688.58279424948455</v>
      </c>
      <c r="HZ11" s="648">
        <f t="shared" si="45"/>
        <v>58071.143361644703</v>
      </c>
      <c r="IA11" s="649">
        <f t="shared" si="45"/>
        <v>198.3907699121213</v>
      </c>
      <c r="IB11" s="716"/>
      <c r="IC11" s="741">
        <f>HS11/[1]Assy.Model!HS11</f>
        <v>0.9370429899765188</v>
      </c>
      <c r="ID11" s="741">
        <f>HT11/[1]Assy.Model!HT11</f>
        <v>0.95789666534849527</v>
      </c>
      <c r="IE11" s="741">
        <f>HU11/[1]Assy.Model!HU11</f>
        <v>0.93577446076666981</v>
      </c>
      <c r="IF11" s="741">
        <f>HV11/[1]Assy.Model!HV11</f>
        <v>0.92855280388247863</v>
      </c>
    </row>
    <row r="12" spans="2:243" ht="15" customHeight="1" x14ac:dyDescent="0.25">
      <c r="B12" s="143">
        <v>4.0132230681740488E-2</v>
      </c>
      <c r="C12" s="144">
        <v>2.5293892731859016</v>
      </c>
      <c r="D12" s="145">
        <v>-0.10330031155373964</v>
      </c>
      <c r="E12" s="146">
        <v>-0.96115222939803513</v>
      </c>
      <c r="F12" s="144">
        <v>0.12713249436304336</v>
      </c>
      <c r="G12" s="147">
        <v>0.24499738937429033</v>
      </c>
      <c r="H12" s="146">
        <v>0.314</v>
      </c>
      <c r="I12" s="144">
        <v>0.52</v>
      </c>
      <c r="J12" s="306">
        <v>1.1120000000000001</v>
      </c>
      <c r="K12" s="699" t="str">
        <f t="shared" ref="K12:K75" si="199">CONCATENATE(IF(H12=0.314,16,IF(H12=0.29,15,IF(H12=0.2645,13,IF(OR(H12=0.2625,H12=0.257),"Kunckle","")))),IF(I12=0.52,13,IF(I12=0.42,11,"")))</f>
        <v>1613</v>
      </c>
      <c r="M12" s="292">
        <f t="shared" si="46"/>
        <v>1.1120000000000001</v>
      </c>
      <c r="N12" s="24">
        <f>IF(M12="","",B12)</f>
        <v>4.0132230681740488E-2</v>
      </c>
      <c r="O12" s="7">
        <f t="shared" si="48"/>
        <v>2.5293892731859016</v>
      </c>
      <c r="P12" s="12">
        <f t="shared" si="49"/>
        <v>-0.10330031155373964</v>
      </c>
      <c r="Q12" s="11">
        <f t="shared" si="85"/>
        <v>89.091000131243348</v>
      </c>
      <c r="R12" s="7">
        <f t="shared" si="50"/>
        <v>2.5297076295982102</v>
      </c>
      <c r="S12" s="8">
        <f t="shared" si="51"/>
        <v>-0.10330031155373964</v>
      </c>
      <c r="T12" s="6">
        <f t="shared" si="52"/>
        <v>2.5297076295982102</v>
      </c>
      <c r="U12" s="7">
        <f t="shared" si="53"/>
        <v>0</v>
      </c>
      <c r="V12" s="10">
        <f t="shared" si="86"/>
        <v>-0.10330031155373964</v>
      </c>
      <c r="W12" s="11">
        <f t="shared" si="2"/>
        <v>0</v>
      </c>
      <c r="X12" s="7">
        <f t="shared" si="54"/>
        <v>2.5297076295982102</v>
      </c>
      <c r="Y12" s="9">
        <f>IF(M12="","",S12)</f>
        <v>-0.10330031155373964</v>
      </c>
      <c r="Z12" s="24">
        <f t="shared" si="87"/>
        <v>0.96115222939803513</v>
      </c>
      <c r="AA12" s="7">
        <f t="shared" si="55"/>
        <v>-0.12713249436304336</v>
      </c>
      <c r="AB12" s="7">
        <f t="shared" si="56"/>
        <v>-0.24499738937429033</v>
      </c>
      <c r="AC12" s="10">
        <f t="shared" si="57"/>
        <v>1</v>
      </c>
      <c r="AD12" s="11">
        <f t="shared" si="88"/>
        <v>0.96115222939803513</v>
      </c>
      <c r="AE12" s="7">
        <f t="shared" si="58"/>
        <v>-0.12713249436304336</v>
      </c>
      <c r="AF12" s="12">
        <f t="shared" si="59"/>
        <v>-0.24499738937429033</v>
      </c>
      <c r="AG12" s="6">
        <f t="shared" si="60"/>
        <v>-27.425415709647478</v>
      </c>
      <c r="AH12" s="12">
        <f t="shared" si="61"/>
        <v>16.022738694456642</v>
      </c>
      <c r="AI12" s="11">
        <f t="shared" si="62"/>
        <v>-75.818320551192713</v>
      </c>
      <c r="AJ12" s="8">
        <f t="shared" si="63"/>
        <v>82.465173195690269</v>
      </c>
      <c r="AK12" s="6">
        <f t="shared" si="89"/>
        <v>0.96304814873644928</v>
      </c>
      <c r="AL12" s="7">
        <f>IF(M12="","",(SIN(RADIANS((90-$Q$8)-W12))*AD12)+(COS(RADIANS((90-$Q$8)-W12))*AE12))</f>
        <v>-0.11186841562782718</v>
      </c>
      <c r="AM12" s="8">
        <f t="shared" si="65"/>
        <v>-0.24499738937429033</v>
      </c>
      <c r="AN12" s="6">
        <f t="shared" si="66"/>
        <v>-24.54194365811097</v>
      </c>
      <c r="AO12" s="10">
        <f t="shared" si="3"/>
        <v>15.624359248728833</v>
      </c>
      <c r="AP12" s="11">
        <f t="shared" si="67"/>
        <v>-6.6258269355530892</v>
      </c>
      <c r="AQ12" s="8">
        <f t="shared" ref="AQ12:AQ75" si="200">IF(M12="","",DEGREES(TAN($AS$5/((X12*2)*PI()))))</f>
        <v>0.9012561833816799</v>
      </c>
      <c r="AS12" s="123">
        <f t="shared" si="90"/>
        <v>0</v>
      </c>
      <c r="AT12" s="174">
        <f>IF(M12="","",Y12+(((AS12-$AS$9)*$AS$6)*-1))</f>
        <v>-0.10266906164488086</v>
      </c>
      <c r="AV12" s="292">
        <f t="shared" si="91"/>
        <v>1.1120000000000001</v>
      </c>
      <c r="AW12" s="439">
        <v>2.4788999999999999</v>
      </c>
      <c r="AX12" s="440">
        <v>0.37809999999999999</v>
      </c>
      <c r="AY12" s="442">
        <v>3.8800000000000001E-2</v>
      </c>
      <c r="AZ12" s="565">
        <f t="shared" si="92"/>
        <v>0.60440289881335285</v>
      </c>
      <c r="BA12" s="564">
        <f t="shared" si="93"/>
        <v>4.9949206400246346E-2</v>
      </c>
      <c r="BB12" s="559">
        <f t="shared" si="94"/>
        <v>0.23076906164488087</v>
      </c>
      <c r="BC12" s="11"/>
      <c r="BD12" s="7">
        <f t="shared" si="95"/>
        <v>2.4788999999999999</v>
      </c>
      <c r="BE12" s="8">
        <f t="shared" si="96"/>
        <v>0.12746875009114123</v>
      </c>
      <c r="BF12" s="6">
        <f t="shared" si="97"/>
        <v>4.0132230681740488E-2</v>
      </c>
      <c r="BG12" s="7">
        <f t="shared" si="98"/>
        <v>2.5293892731859016</v>
      </c>
      <c r="BH12" s="12">
        <f t="shared" si="99"/>
        <v>-0.10330031155373964</v>
      </c>
      <c r="BI12" s="11">
        <f t="shared" si="100"/>
        <v>4.0132230681740488E-2</v>
      </c>
      <c r="BJ12" s="7">
        <f t="shared" si="101"/>
        <v>3.4170004319641838</v>
      </c>
      <c r="BK12" s="10">
        <f t="shared" si="102"/>
        <v>-0.56389387513477285</v>
      </c>
      <c r="BL12" s="328">
        <f t="shared" si="103"/>
        <v>0.31615105598752791</v>
      </c>
      <c r="BM12" s="7">
        <f t="shared" si="104"/>
        <v>2.9720898036681973</v>
      </c>
      <c r="BN12" s="8">
        <f t="shared" si="105"/>
        <v>0.7498291325445795</v>
      </c>
      <c r="BO12" s="6">
        <f t="shared" si="106"/>
        <v>0.96115222939803524</v>
      </c>
      <c r="BP12" s="7">
        <f t="shared" si="107"/>
        <v>-0.1271324943630433</v>
      </c>
      <c r="BQ12" s="7">
        <f t="shared" si="108"/>
        <v>-0.24499738937429016</v>
      </c>
      <c r="BR12" s="8">
        <f t="shared" si="109"/>
        <v>0.2576860778725607</v>
      </c>
      <c r="BS12" s="6">
        <f t="shared" si="69"/>
        <v>0</v>
      </c>
      <c r="BT12" s="7">
        <f t="shared" si="69"/>
        <v>0</v>
      </c>
      <c r="BU12" s="12">
        <f t="shared" si="70"/>
        <v>0.12746875009114123</v>
      </c>
      <c r="BV12" s="11">
        <f t="shared" si="71"/>
        <v>0</v>
      </c>
      <c r="BW12" s="7">
        <f t="shared" si="72"/>
        <v>1</v>
      </c>
      <c r="BX12" s="10">
        <f t="shared" si="73"/>
        <v>0.12746875009114123</v>
      </c>
      <c r="BY12" s="328">
        <f t="shared" si="74"/>
        <v>1</v>
      </c>
      <c r="BZ12" s="7">
        <f t="shared" si="75"/>
        <v>0</v>
      </c>
      <c r="CA12" s="8">
        <f t="shared" si="76"/>
        <v>0.12746875009114123</v>
      </c>
      <c r="CB12" s="6">
        <f t="shared" si="110"/>
        <v>0</v>
      </c>
      <c r="CC12" s="7">
        <f t="shared" si="111"/>
        <v>0</v>
      </c>
      <c r="CD12" s="7">
        <f t="shared" si="112"/>
        <v>-1</v>
      </c>
      <c r="CE12" s="8">
        <f t="shared" si="113"/>
        <v>0.12746875009114123</v>
      </c>
      <c r="CF12" s="6">
        <f t="shared" si="114"/>
        <v>0.1271324943630433</v>
      </c>
      <c r="CG12" s="7">
        <f t="shared" si="115"/>
        <v>0.96115222939803524</v>
      </c>
      <c r="CH12" s="7">
        <f t="shared" si="116"/>
        <v>0</v>
      </c>
      <c r="CI12" s="6">
        <f t="shared" si="77"/>
        <v>0</v>
      </c>
      <c r="CJ12" s="7">
        <f t="shared" si="78"/>
        <v>1.7812642472564979</v>
      </c>
      <c r="CK12" s="10">
        <f t="shared" si="79"/>
        <v>0.12746875009114123</v>
      </c>
      <c r="CL12" s="328">
        <f t="shared" si="80"/>
        <v>0.1271324943630433</v>
      </c>
      <c r="CM12" s="7">
        <f t="shared" si="81"/>
        <v>2.7424164766545331</v>
      </c>
      <c r="CN12" s="8">
        <f t="shared" si="82"/>
        <v>0.12746875009114123</v>
      </c>
      <c r="CO12" s="296">
        <f t="shared" ref="CO12:CO75" si="201">IF(ISNUMBER($AV12),IF(AND(($H12*2)&gt;=$O$136,($H12*2)&lt;=$P$136),($N$136/2),IF(AND(($H12*2)&gt;=$O$137,($H12*2)&lt;=$P$137),($N$137/2),IF(AND(($H12*2)&gt;=$O$138,($H12*2)&lt;=$P$138),($N$138/2),IF(AND(($H12*2)&gt;=$O$139,($H12*2)&lt;=$P$139),($N$139/2),IF(AND(($H12*2)&gt;=$O$140,($H12*2)&lt;=$P$140),($N$140/2),IF(AND(($H12*2)&gt;=$O$143,($H12*2)&lt;=$P$143),($N$143/2),"Radius")))))),"")</f>
        <v>0.3125</v>
      </c>
      <c r="CP12" s="6">
        <f t="shared" ref="CP12:CP74" si="202">IF(ISNUMBER($AV12),(CL12-CI12)^2+(CM12-CJ12)^2+(CN12-CK12)^2,"")</f>
        <v>0.93997627919978255</v>
      </c>
      <c r="CQ12" s="7">
        <f t="shared" ref="CQ12:CQ74" si="203">IF(ISNUMBER($AV12),2*((CL12-CI12)*(CI12-BF12)+(CM12-CJ12)*(CJ12-BG12)+(CN12-CK12)*(CK12-BH12)),"")</f>
        <v>-1.4483282942628639</v>
      </c>
      <c r="CR12" s="7">
        <f t="shared" si="117"/>
        <v>0.516899760173823</v>
      </c>
      <c r="CS12" s="10">
        <f t="shared" si="118"/>
        <v>0.15416079481257672</v>
      </c>
      <c r="CT12" s="11">
        <f t="shared" si="119"/>
        <v>0.97925952522377024</v>
      </c>
      <c r="CU12" s="8">
        <f t="shared" si="120"/>
        <v>0.56155413817617206</v>
      </c>
      <c r="CV12" s="6">
        <f t="shared" ref="CV12:CV74" si="204">IF(ISNUMBER($AV12),CI12+($CT12*(CL12-CI12)),"")</f>
        <v>0.12449570607046744</v>
      </c>
      <c r="CW12" s="7">
        <f t="shared" si="121"/>
        <v>2.7224817230845861</v>
      </c>
      <c r="CX12" s="10">
        <f t="shared" si="122"/>
        <v>0.12746875009114123</v>
      </c>
      <c r="CY12" s="11">
        <f t="shared" si="123"/>
        <v>7.1391778306225839E-2</v>
      </c>
      <c r="CZ12" s="7">
        <f t="shared" si="124"/>
        <v>2.3210032590922181</v>
      </c>
      <c r="DA12" s="8">
        <f t="shared" si="125"/>
        <v>0.12746875009114123</v>
      </c>
      <c r="DB12" s="6">
        <f t="shared" si="126"/>
        <v>0</v>
      </c>
      <c r="DC12" s="7">
        <f t="shared" si="126"/>
        <v>0</v>
      </c>
      <c r="DD12" s="12">
        <f t="shared" si="127"/>
        <v>-10</v>
      </c>
      <c r="DE12" s="11">
        <f t="shared" si="128"/>
        <v>0</v>
      </c>
      <c r="DF12" s="7">
        <f t="shared" si="128"/>
        <v>0</v>
      </c>
      <c r="DG12" s="12">
        <f t="shared" si="129"/>
        <v>10</v>
      </c>
      <c r="DH12" s="174">
        <f t="shared" si="130"/>
        <v>2.4788999999999999</v>
      </c>
      <c r="DI12" s="6">
        <f t="shared" si="131"/>
        <v>0</v>
      </c>
      <c r="DJ12" s="7">
        <f t="shared" si="132"/>
        <v>0</v>
      </c>
      <c r="DK12" s="12">
        <f t="shared" si="133"/>
        <v>20</v>
      </c>
      <c r="DL12" s="11">
        <f t="shared" si="134"/>
        <v>0.12449570607046744</v>
      </c>
      <c r="DM12" s="328">
        <f t="shared" si="135"/>
        <v>2.7224817230845861</v>
      </c>
      <c r="DN12" s="376">
        <f t="shared" si="136"/>
        <v>10.127468750091142</v>
      </c>
      <c r="DO12" s="11">
        <f t="shared" si="137"/>
        <v>-5.3103927764241596E-2</v>
      </c>
      <c r="DP12" s="328">
        <f t="shared" si="138"/>
        <v>-0.40147846399236808</v>
      </c>
      <c r="DQ12" s="13">
        <f t="shared" si="139"/>
        <v>0</v>
      </c>
      <c r="DR12" s="328">
        <f t="shared" si="140"/>
        <v>202.54937500182282</v>
      </c>
      <c r="DS12" s="7">
        <f t="shared" si="141"/>
        <v>0</v>
      </c>
      <c r="DT12" s="7">
        <f t="shared" si="142"/>
        <v>400</v>
      </c>
      <c r="DU12" s="7">
        <f t="shared" si="143"/>
        <v>0.164004984193661</v>
      </c>
      <c r="DV12" s="7">
        <f t="shared" si="144"/>
        <v>-1.0996289914134196</v>
      </c>
      <c r="DW12" s="7">
        <f t="shared" si="145"/>
        <v>109.99302919743224</v>
      </c>
      <c r="DX12" s="296">
        <f t="shared" si="146"/>
        <v>103.84808398743223</v>
      </c>
      <c r="DY12" s="11">
        <f t="shared" si="147"/>
        <v>65.601993677464392</v>
      </c>
      <c r="DZ12" s="7">
        <f t="shared" si="148"/>
        <v>-439.85159656536786</v>
      </c>
      <c r="EA12" s="12">
        <f t="shared" si="149"/>
        <v>512.98428134384449</v>
      </c>
      <c r="EB12" s="8">
        <f t="shared" si="150"/>
        <v>159816.63541974561</v>
      </c>
      <c r="EC12" s="328">
        <f t="shared" si="151"/>
        <v>12.798731838263325</v>
      </c>
      <c r="ED12" s="7">
        <f t="shared" si="152"/>
        <v>0.610970273167039</v>
      </c>
      <c r="EE12" s="6">
        <f t="shared" si="153"/>
        <v>-0.55516722494256721</v>
      </c>
      <c r="EF12" s="7">
        <f t="shared" si="154"/>
        <v>-2.415933476391591</v>
      </c>
      <c r="EG12" s="12">
        <f t="shared" si="155"/>
        <v>0.12746875009114123</v>
      </c>
      <c r="EH12" s="11">
        <f t="shared" si="156"/>
        <v>9.2050784818106038E-2</v>
      </c>
      <c r="EI12" s="7">
        <f t="shared" si="157"/>
        <v>2.4771903162684858</v>
      </c>
      <c r="EJ12" s="8">
        <f t="shared" si="158"/>
        <v>0.12746875009114123</v>
      </c>
      <c r="EK12" s="491" t="b">
        <f t="shared" si="159"/>
        <v>0</v>
      </c>
      <c r="EL12" s="493" t="b">
        <f t="shared" si="160"/>
        <v>1</v>
      </c>
      <c r="EM12" s="6">
        <f t="shared" si="161"/>
        <v>9.2050784818106038E-2</v>
      </c>
      <c r="EN12" s="7">
        <f t="shared" si="162"/>
        <v>2.4771903162684858</v>
      </c>
      <c r="EO12" s="12">
        <f t="shared" si="163"/>
        <v>0.12746875009114123</v>
      </c>
      <c r="EP12" s="11">
        <f t="shared" si="164"/>
        <v>87.871905152918544</v>
      </c>
      <c r="EQ12" s="7">
        <f t="shared" si="165"/>
        <v>2.4788999999999981</v>
      </c>
      <c r="ER12" s="9">
        <f t="shared" si="166"/>
        <v>0.12746875009114123</v>
      </c>
      <c r="ES12" s="24">
        <f t="shared" si="167"/>
        <v>0.96115222939803513</v>
      </c>
      <c r="ET12" s="7">
        <f t="shared" si="168"/>
        <v>-0.12713249436304336</v>
      </c>
      <c r="EU12" s="12">
        <f t="shared" si="169"/>
        <v>-0.24499738937429033</v>
      </c>
      <c r="EV12" s="337">
        <f>IF(ISNUMBER($AV12),IF(($EV$1-EP12)&lt;0,(360+($EV$1-EP12)),($EV$1-EP12)),"")</f>
        <v>2.1280948470814565</v>
      </c>
      <c r="EW12" s="11">
        <f t="shared" si="16"/>
        <v>0.96521023075020473</v>
      </c>
      <c r="EX12" s="7">
        <f t="shared" si="17"/>
        <v>-9.1353651568610222E-2</v>
      </c>
      <c r="EY12" s="8">
        <f t="shared" si="170"/>
        <v>-0.24499738937429033</v>
      </c>
      <c r="EZ12" s="123">
        <f t="shared" si="171"/>
        <v>0.9195735545029039</v>
      </c>
      <c r="FA12" s="534">
        <f t="shared" si="18"/>
        <v>0.99918160246813159</v>
      </c>
      <c r="FB12" s="535">
        <f t="shared" si="19"/>
        <v>-3.712894002490346E-2</v>
      </c>
      <c r="FC12" s="537">
        <f t="shared" si="20"/>
        <v>-1.6048897215821412E-2</v>
      </c>
      <c r="FD12" s="6">
        <f t="shared" si="21"/>
        <v>0.99987120815540853</v>
      </c>
      <c r="FE12" s="7">
        <f t="shared" si="22"/>
        <v>-6.2450045135165055E-17</v>
      </c>
      <c r="FF12" s="9">
        <f t="shared" si="172"/>
        <v>-1.6048897215821412E-2</v>
      </c>
      <c r="FG12" s="328">
        <f t="shared" si="23"/>
        <v>-3.4660977405203797E-2</v>
      </c>
      <c r="FH12" s="7">
        <f t="shared" si="24"/>
        <v>-9.1353651568610167E-2</v>
      </c>
      <c r="FI12" s="12">
        <f t="shared" si="25"/>
        <v>-0.22894849215846891</v>
      </c>
      <c r="FJ12" s="547">
        <f t="shared" si="173"/>
        <v>14.299506815117001</v>
      </c>
      <c r="FK12" s="6">
        <f t="shared" si="26"/>
        <v>0.96952373833742844</v>
      </c>
      <c r="FL12" s="7">
        <f t="shared" si="174"/>
        <v>0.99987120815540853</v>
      </c>
      <c r="FM12" s="10">
        <f t="shared" si="175"/>
        <v>9.7708101043890314E-2</v>
      </c>
      <c r="FN12" s="11">
        <f t="shared" si="176"/>
        <v>5.4067319572281916</v>
      </c>
      <c r="FO12" s="12">
        <f t="shared" si="27"/>
        <v>1</v>
      </c>
      <c r="FP12" s="545">
        <f t="shared" si="28"/>
        <v>5.4067319572281916</v>
      </c>
      <c r="FQ12" s="328">
        <f t="shared" ref="FQ12:FQ74" si="205">IF(ISNUMBER($AV12),SIN(RADIANS(FN12)),"")</f>
        <v>9.4225286041231898E-2</v>
      </c>
      <c r="FR12" s="12">
        <f t="shared" si="177"/>
        <v>0.99555090049200801</v>
      </c>
      <c r="FS12" s="11">
        <f t="shared" si="178"/>
        <v>8.6462970292072797E-2</v>
      </c>
      <c r="FT12" s="8">
        <f t="shared" si="179"/>
        <v>0.91353702970792727</v>
      </c>
      <c r="FU12" s="6">
        <f t="shared" si="180"/>
        <v>0.99581851275474942</v>
      </c>
      <c r="FV12" s="7">
        <f t="shared" si="181"/>
        <v>1.0000000000000002</v>
      </c>
      <c r="FW12" s="10">
        <f t="shared" ref="FW12:FW74" si="206">IF(ISNUMBER($AV12),SQRT(FG12^2+FI12^2),"")</f>
        <v>0.2315573264146927</v>
      </c>
      <c r="FX12" s="11">
        <f t="shared" ref="FX12:FX74" si="207">IF(ISNUMBER($AV12),DEGREES(ACOS((FU12^2+FV12^2-FW12^2)/(2*FU12*FV12))),"")</f>
        <v>13.322910229028006</v>
      </c>
      <c r="FY12" s="12">
        <f t="shared" si="29"/>
        <v>1</v>
      </c>
      <c r="FZ12" s="545">
        <f t="shared" ref="FZ12:FZ74" si="208">IF(ISNUMBER($AV12),FX12*FY12,"")</f>
        <v>13.322910229028006</v>
      </c>
      <c r="GA12" s="372">
        <f t="shared" si="182"/>
        <v>13.266532711124615</v>
      </c>
      <c r="GB12" s="46">
        <f t="shared" si="183"/>
        <v>-9.1689382783275999E-2</v>
      </c>
      <c r="GC12" s="47">
        <f t="shared" si="184"/>
        <v>0.9687574475019709</v>
      </c>
      <c r="GD12" s="578">
        <f t="shared" si="185"/>
        <v>-0.23043885304845591</v>
      </c>
      <c r="GE12" s="585">
        <f t="shared" si="186"/>
        <v>1.2908856833337028</v>
      </c>
      <c r="GF12" s="634">
        <f t="shared" ref="GF12:GF74" si="209">IF(ISNUMBER($AV12),1/GE12,"")</f>
        <v>0.77466193398125494</v>
      </c>
      <c r="GG12" s="553">
        <f t="shared" si="30"/>
        <v>7.1028274592440169E-2</v>
      </c>
      <c r="GH12" s="554">
        <f t="shared" si="31"/>
        <v>0.75045951784062082</v>
      </c>
      <c r="GI12" s="549">
        <f t="shared" si="32"/>
        <v>0.17851220756693906</v>
      </c>
      <c r="GJ12" s="296">
        <f t="shared" si="187"/>
        <v>2.4788999999999999</v>
      </c>
      <c r="GK12" s="337">
        <f t="shared" si="33"/>
        <v>1.2981161916094346</v>
      </c>
      <c r="GL12" s="337">
        <f t="shared" si="188"/>
        <v>3.8800000000000001E-2</v>
      </c>
      <c r="GM12" s="372">
        <f t="shared" ref="GM12:GM74" si="210">IF(ISNUMBER($AV12),AZ12,"")</f>
        <v>0.60440289881335285</v>
      </c>
      <c r="GN12" s="548">
        <f t="shared" si="189"/>
        <v>4.9949206400246346E-2</v>
      </c>
      <c r="GO12" s="6">
        <f t="shared" si="190"/>
        <v>5.4067319572281916</v>
      </c>
      <c r="GP12" s="10">
        <f t="shared" ref="GP12:GP74" si="211">IF(ISNUMBER($AV12),FZ12,"")</f>
        <v>13.322910229028006</v>
      </c>
      <c r="GQ12" s="372">
        <f t="shared" si="191"/>
        <v>14.299506815117001</v>
      </c>
      <c r="GR12" s="697">
        <f t="shared" ref="GR12:GR74" si="212">IF(ISNUMBER($AV12),GS12+GU12+GY12,"")</f>
        <v>3897.4306797805048</v>
      </c>
      <c r="GS12" s="637">
        <f t="shared" si="35"/>
        <v>276.82777652845039</v>
      </c>
      <c r="GT12" s="638">
        <f t="shared" si="36"/>
        <v>213.25346553549485</v>
      </c>
      <c r="GU12" s="639">
        <f t="shared" si="37"/>
        <v>2924.8639487653204</v>
      </c>
      <c r="GV12" s="638">
        <f t="shared" si="192"/>
        <v>2253.1603624318145</v>
      </c>
      <c r="GW12" s="640">
        <f t="shared" si="38"/>
        <v>58071.143361644703</v>
      </c>
      <c r="GX12" s="641">
        <f t="shared" si="39"/>
        <v>465.44660186935204</v>
      </c>
      <c r="GY12" s="639">
        <f t="shared" si="40"/>
        <v>695.73895448673375</v>
      </c>
      <c r="GZ12" s="640">
        <f t="shared" si="41"/>
        <v>535.96046254083035</v>
      </c>
      <c r="HA12" s="637">
        <f t="shared" si="42"/>
        <v>276.82777652845039</v>
      </c>
      <c r="HB12" s="7">
        <f t="shared" si="193"/>
        <v>2.1280948470814565</v>
      </c>
      <c r="HC12" s="638">
        <f t="shared" si="194"/>
        <v>276.63684992957133</v>
      </c>
      <c r="HD12" s="640">
        <f t="shared" si="195"/>
        <v>10.279645846502515</v>
      </c>
      <c r="HE12" s="639">
        <f t="shared" si="43"/>
        <v>2253.1603624318145</v>
      </c>
      <c r="HF12" s="7">
        <f t="shared" si="44"/>
        <v>92.128094847081456</v>
      </c>
      <c r="HG12" s="638">
        <f t="shared" si="196"/>
        <v>-83.668231749120991</v>
      </c>
      <c r="HH12" s="644">
        <f t="shared" si="197"/>
        <v>2251.6063700899945</v>
      </c>
      <c r="HI12" s="596">
        <f t="shared" si="198"/>
        <v>1.1120000000000001</v>
      </c>
      <c r="HJ12" s="625"/>
      <c r="HK12" s="1232">
        <f t="shared" si="83"/>
        <v>4</v>
      </c>
      <c r="HL12" s="583">
        <f t="shared" si="84"/>
        <v>0.93530000000000002</v>
      </c>
      <c r="HM12" s="643">
        <f t="shared" si="45"/>
        <v>1.1040000000000001</v>
      </c>
      <c r="HN12" s="660">
        <f t="shared" si="45"/>
        <v>-7.3065294156876384</v>
      </c>
      <c r="HO12" s="661">
        <f t="shared" si="45"/>
        <v>12.155032217975288</v>
      </c>
      <c r="HP12" s="656">
        <f t="shared" si="45"/>
        <v>14.036486337874907</v>
      </c>
      <c r="HQ12" s="660">
        <f t="shared" si="45"/>
        <v>5.7500000000000002E-2</v>
      </c>
      <c r="HR12" s="671">
        <f t="shared" si="45"/>
        <v>2.7950741143537735E-2</v>
      </c>
      <c r="HS12" s="655">
        <f t="shared" si="45"/>
        <v>2201.9710334032166</v>
      </c>
      <c r="HT12" s="648">
        <f t="shared" si="45"/>
        <v>209.85632632907803</v>
      </c>
      <c r="HU12" s="649">
        <f t="shared" si="45"/>
        <v>1636.7049849985583</v>
      </c>
      <c r="HV12" s="650">
        <f t="shared" si="45"/>
        <v>355.40972207558019</v>
      </c>
      <c r="HW12" s="648">
        <f t="shared" si="45"/>
        <v>428.13416167840802</v>
      </c>
      <c r="HX12" s="649">
        <f t="shared" si="45"/>
        <v>3339.0907432945705</v>
      </c>
      <c r="HY12" s="650">
        <f t="shared" si="45"/>
        <v>725.08199335661652</v>
      </c>
      <c r="HZ12" s="648">
        <f t="shared" si="45"/>
        <v>58071.143361644703</v>
      </c>
      <c r="IA12" s="649">
        <f t="shared" si="45"/>
        <v>260.25429768361766</v>
      </c>
      <c r="IB12" s="716"/>
      <c r="IC12" s="741">
        <f>HS12/[1]Assy.Model!HS12</f>
        <v>0.93291481802421872</v>
      </c>
      <c r="ID12" s="741">
        <f>HT12/[1]Assy.Model!HT12</f>
        <v>0.95126941597168924</v>
      </c>
      <c r="IE12" s="741">
        <f>HU12/[1]Assy.Model!HU12</f>
        <v>0.93201446339951577</v>
      </c>
      <c r="IF12" s="741">
        <f>HV12/[1]Assy.Model!HV12</f>
        <v>0.92648114192300035</v>
      </c>
    </row>
    <row r="13" spans="2:243" ht="15" customHeight="1" x14ac:dyDescent="0.25">
      <c r="B13" s="143">
        <v>0.10671800505799521</v>
      </c>
      <c r="C13" s="144">
        <v>3.2095359730593964</v>
      </c>
      <c r="D13" s="145">
        <v>-0.48070144979557244</v>
      </c>
      <c r="E13" s="146">
        <v>-0.93431531721094707</v>
      </c>
      <c r="F13" s="144">
        <v>0.29514909530410416</v>
      </c>
      <c r="G13" s="147">
        <v>0.1998546961324057</v>
      </c>
      <c r="H13" s="146">
        <v>0.314</v>
      </c>
      <c r="I13" s="144">
        <v>0.52</v>
      </c>
      <c r="J13" s="306">
        <v>1.1180000000000001</v>
      </c>
      <c r="K13" s="699" t="str">
        <f t="shared" si="199"/>
        <v>1613</v>
      </c>
      <c r="M13" s="292">
        <f t="shared" si="46"/>
        <v>1.1180000000000001</v>
      </c>
      <c r="N13" s="24">
        <f t="shared" si="47"/>
        <v>0.10671800505799521</v>
      </c>
      <c r="O13" s="7">
        <f t="shared" si="48"/>
        <v>3.2095359730593964</v>
      </c>
      <c r="P13" s="12">
        <f t="shared" si="49"/>
        <v>-0.48070144979557244</v>
      </c>
      <c r="Q13" s="11">
        <f t="shared" si="85"/>
        <v>88.095600274961299</v>
      </c>
      <c r="R13" s="7">
        <f t="shared" si="50"/>
        <v>3.2113096853100114</v>
      </c>
      <c r="S13" s="8">
        <f t="shared" si="51"/>
        <v>-0.48070144979557244</v>
      </c>
      <c r="T13" s="6">
        <f t="shared" si="52"/>
        <v>3.2108250766700936</v>
      </c>
      <c r="U13" s="7">
        <f t="shared" si="53"/>
        <v>-5.5787292391470795E-2</v>
      </c>
      <c r="V13" s="10">
        <f t="shared" si="86"/>
        <v>-0.48070144979557244</v>
      </c>
      <c r="W13" s="11">
        <f t="shared" si="2"/>
        <v>359.00460014371794</v>
      </c>
      <c r="X13" s="7">
        <f t="shared" si="54"/>
        <v>3.2113096853100114</v>
      </c>
      <c r="Y13" s="9">
        <f>IF(M13="","",S13)</f>
        <v>-0.48070144979557244</v>
      </c>
      <c r="Z13" s="24">
        <f t="shared" si="87"/>
        <v>0.93431531721094707</v>
      </c>
      <c r="AA13" s="7">
        <f t="shared" si="55"/>
        <v>-0.29514909530410416</v>
      </c>
      <c r="AB13" s="7">
        <f t="shared" si="56"/>
        <v>-0.1998546961324057</v>
      </c>
      <c r="AC13" s="10">
        <f t="shared" si="57"/>
        <v>1</v>
      </c>
      <c r="AD13" s="11">
        <f t="shared" si="88"/>
        <v>0.93431531721094707</v>
      </c>
      <c r="AE13" s="7">
        <f t="shared" si="58"/>
        <v>-0.29514909530410416</v>
      </c>
      <c r="AF13" s="12">
        <f t="shared" si="59"/>
        <v>-0.1998546961324057</v>
      </c>
      <c r="AG13" s="6">
        <f t="shared" si="60"/>
        <v>-55.896840711143341</v>
      </c>
      <c r="AH13" s="12">
        <f t="shared" si="61"/>
        <v>20.882190246745836</v>
      </c>
      <c r="AI13" s="11">
        <f t="shared" si="62"/>
        <v>-78.471537810668664</v>
      </c>
      <c r="AJ13" s="8">
        <f t="shared" si="63"/>
        <v>72.468735449451714</v>
      </c>
      <c r="AK13" s="6">
        <f t="shared" si="89"/>
        <v>0.94360763687041693</v>
      </c>
      <c r="AL13" s="7">
        <f t="shared" si="64"/>
        <v>-0.2639369774655515</v>
      </c>
      <c r="AM13" s="8">
        <f t="shared" si="65"/>
        <v>-0.1998546961324057</v>
      </c>
      <c r="AN13" s="6">
        <f t="shared" si="66"/>
        <v>-52.866771483808151</v>
      </c>
      <c r="AO13" s="10">
        <f t="shared" si="3"/>
        <v>19.3334838175562</v>
      </c>
      <c r="AP13" s="11">
        <f t="shared" si="67"/>
        <v>-15.626864825509541</v>
      </c>
      <c r="AQ13" s="8">
        <f t="shared" si="200"/>
        <v>0.70994189950693287</v>
      </c>
      <c r="AS13" s="123">
        <f t="shared" si="90"/>
        <v>-0.99539985628206296</v>
      </c>
      <c r="AT13" s="174">
        <f>IF(M13="","",Y13+(((AS13-$AS$9)*$AS$6)*-1))</f>
        <v>-0.47937894998651776</v>
      </c>
      <c r="AV13" s="292">
        <f t="shared" si="91"/>
        <v>1.1180000000000001</v>
      </c>
      <c r="AW13" s="439">
        <v>3.3081999999999998</v>
      </c>
      <c r="AX13" s="440">
        <v>-7.0000000000000001E-3</v>
      </c>
      <c r="AY13" s="442">
        <v>2.9499999999999998E-2</v>
      </c>
      <c r="AZ13" s="565">
        <f t="shared" si="92"/>
        <v>0.61323234126913106</v>
      </c>
      <c r="BA13" s="564">
        <f t="shared" si="93"/>
        <v>5.0678891258622509E-2</v>
      </c>
      <c r="BB13" s="559">
        <f t="shared" si="94"/>
        <v>0.22237894998651775</v>
      </c>
      <c r="BC13" s="11"/>
      <c r="BD13" s="7">
        <f t="shared" si="95"/>
        <v>3.3081999999999998</v>
      </c>
      <c r="BE13" s="8">
        <f t="shared" si="96"/>
        <v>-0.2583224998090547</v>
      </c>
      <c r="BF13" s="6">
        <f t="shared" si="97"/>
        <v>0.10671800505799521</v>
      </c>
      <c r="BG13" s="7">
        <f t="shared" si="98"/>
        <v>3.2095359730593964</v>
      </c>
      <c r="BH13" s="12">
        <f t="shared" si="99"/>
        <v>-0.48070144979557244</v>
      </c>
      <c r="BI13" s="11">
        <f t="shared" si="100"/>
        <v>0.10671800505799521</v>
      </c>
      <c r="BJ13" s="7">
        <f t="shared" si="101"/>
        <v>3.7702206260110254</v>
      </c>
      <c r="BK13" s="10">
        <f t="shared" si="102"/>
        <v>-1.3087308695292625</v>
      </c>
      <c r="BL13" s="328">
        <f t="shared" si="103"/>
        <v>0.46316560011932723</v>
      </c>
      <c r="BM13" s="7">
        <f t="shared" si="104"/>
        <v>3.9831765430178754</v>
      </c>
      <c r="BN13" s="8">
        <f t="shared" si="105"/>
        <v>4.315480958223844E-2</v>
      </c>
      <c r="BO13" s="6">
        <f t="shared" si="106"/>
        <v>0.93431531721094696</v>
      </c>
      <c r="BP13" s="7">
        <f t="shared" si="107"/>
        <v>-0.2951490953041041</v>
      </c>
      <c r="BQ13" s="7">
        <f t="shared" si="108"/>
        <v>-0.19985469613240547</v>
      </c>
      <c r="BR13" s="8">
        <f t="shared" si="109"/>
        <v>0.75151292986727714</v>
      </c>
      <c r="BS13" s="6">
        <f t="shared" si="69"/>
        <v>0</v>
      </c>
      <c r="BT13" s="7">
        <f t="shared" si="69"/>
        <v>0</v>
      </c>
      <c r="BU13" s="12">
        <f t="shared" si="70"/>
        <v>-0.2583224998090547</v>
      </c>
      <c r="BV13" s="11">
        <f t="shared" si="71"/>
        <v>0</v>
      </c>
      <c r="BW13" s="7">
        <f t="shared" si="72"/>
        <v>1</v>
      </c>
      <c r="BX13" s="10">
        <f t="shared" si="73"/>
        <v>-0.2583224998090547</v>
      </c>
      <c r="BY13" s="328">
        <f t="shared" si="74"/>
        <v>1</v>
      </c>
      <c r="BZ13" s="7">
        <f t="shared" si="75"/>
        <v>0</v>
      </c>
      <c r="CA13" s="8">
        <f t="shared" si="76"/>
        <v>-0.2583224998090547</v>
      </c>
      <c r="CB13" s="6">
        <f t="shared" si="110"/>
        <v>0</v>
      </c>
      <c r="CC13" s="7">
        <f t="shared" si="111"/>
        <v>0</v>
      </c>
      <c r="CD13" s="7">
        <f t="shared" si="112"/>
        <v>-1</v>
      </c>
      <c r="CE13" s="8">
        <f t="shared" si="113"/>
        <v>-0.2583224998090547</v>
      </c>
      <c r="CF13" s="6">
        <f t="shared" si="114"/>
        <v>0.2951490953041041</v>
      </c>
      <c r="CG13" s="7">
        <f t="shared" si="115"/>
        <v>0.93431531721094696</v>
      </c>
      <c r="CH13" s="7">
        <f t="shared" si="116"/>
        <v>0</v>
      </c>
      <c r="CI13" s="6">
        <f t="shared" si="77"/>
        <v>0</v>
      </c>
      <c r="CJ13" s="7">
        <f t="shared" si="78"/>
        <v>2.7211328354006015</v>
      </c>
      <c r="CK13" s="10">
        <f t="shared" si="79"/>
        <v>-0.2583224998090547</v>
      </c>
      <c r="CL13" s="328">
        <f t="shared" si="80"/>
        <v>0.2951490953041041</v>
      </c>
      <c r="CM13" s="7">
        <f t="shared" si="81"/>
        <v>3.6554481526115485</v>
      </c>
      <c r="CN13" s="8">
        <f t="shared" si="82"/>
        <v>-0.2583224998090547</v>
      </c>
      <c r="CO13" s="296">
        <f t="shared" si="201"/>
        <v>0.3125</v>
      </c>
      <c r="CP13" s="6">
        <f t="shared" si="202"/>
        <v>0.96005810043382378</v>
      </c>
      <c r="CQ13" s="7">
        <f t="shared" si="203"/>
        <v>-0.97564051026804988</v>
      </c>
      <c r="CR13" s="7">
        <f t="shared" si="117"/>
        <v>0.20172250487562238</v>
      </c>
      <c r="CS13" s="10">
        <f t="shared" si="118"/>
        <v>0.17721310589352968</v>
      </c>
      <c r="CT13" s="11">
        <f t="shared" si="119"/>
        <v>0.72735565688209058</v>
      </c>
      <c r="CU13" s="8">
        <f t="shared" si="120"/>
        <v>0.28887503772606365</v>
      </c>
      <c r="CV13" s="6">
        <f t="shared" si="204"/>
        <v>0.21467836409307139</v>
      </c>
      <c r="CW13" s="7">
        <f t="shared" si="121"/>
        <v>3.4007123666855685</v>
      </c>
      <c r="CX13" s="10">
        <f t="shared" si="122"/>
        <v>-0.2583224998090547</v>
      </c>
      <c r="CY13" s="11">
        <f t="shared" si="123"/>
        <v>8.526120604078663E-2</v>
      </c>
      <c r="CZ13" s="7">
        <f t="shared" si="124"/>
        <v>2.9910332079079529</v>
      </c>
      <c r="DA13" s="8">
        <f t="shared" si="125"/>
        <v>-0.2583224998090547</v>
      </c>
      <c r="DB13" s="6">
        <f t="shared" si="126"/>
        <v>0</v>
      </c>
      <c r="DC13" s="7">
        <f t="shared" si="126"/>
        <v>0</v>
      </c>
      <c r="DD13" s="12">
        <f t="shared" si="127"/>
        <v>-10</v>
      </c>
      <c r="DE13" s="11">
        <f t="shared" si="128"/>
        <v>0</v>
      </c>
      <c r="DF13" s="7">
        <f t="shared" si="128"/>
        <v>0</v>
      </c>
      <c r="DG13" s="12">
        <f t="shared" si="129"/>
        <v>10</v>
      </c>
      <c r="DH13" s="174">
        <f t="shared" si="130"/>
        <v>3.3081999999999998</v>
      </c>
      <c r="DI13" s="6">
        <f t="shared" si="131"/>
        <v>0</v>
      </c>
      <c r="DJ13" s="7">
        <f t="shared" si="132"/>
        <v>0</v>
      </c>
      <c r="DK13" s="12">
        <f t="shared" si="133"/>
        <v>20</v>
      </c>
      <c r="DL13" s="11">
        <f t="shared" si="134"/>
        <v>0.21467836409307139</v>
      </c>
      <c r="DM13" s="328">
        <f t="shared" si="135"/>
        <v>3.4007123666855685</v>
      </c>
      <c r="DN13" s="376">
        <f t="shared" si="136"/>
        <v>9.7416775001909457</v>
      </c>
      <c r="DO13" s="11">
        <f t="shared" si="137"/>
        <v>-0.12941715805228476</v>
      </c>
      <c r="DP13" s="328">
        <f t="shared" si="138"/>
        <v>-0.40967915877761563</v>
      </c>
      <c r="DQ13" s="13">
        <f t="shared" si="139"/>
        <v>0</v>
      </c>
      <c r="DR13" s="328">
        <f t="shared" si="140"/>
        <v>194.83355000381891</v>
      </c>
      <c r="DS13" s="7">
        <f t="shared" si="141"/>
        <v>0</v>
      </c>
      <c r="DT13" s="7">
        <f t="shared" si="142"/>
        <v>400</v>
      </c>
      <c r="DU13" s="7">
        <f t="shared" si="143"/>
        <v>0.18458581393506485</v>
      </c>
      <c r="DV13" s="7">
        <f t="shared" si="144"/>
        <v>-1.420984045404617</v>
      </c>
      <c r="DW13" s="7">
        <f t="shared" si="145"/>
        <v>106.51121191866436</v>
      </c>
      <c r="DX13" s="296">
        <f t="shared" si="146"/>
        <v>95.567024678664353</v>
      </c>
      <c r="DY13" s="11">
        <f t="shared" si="147"/>
        <v>73.834325574025939</v>
      </c>
      <c r="DZ13" s="7">
        <f t="shared" si="148"/>
        <v>-568.3936181618468</v>
      </c>
      <c r="EA13" s="12">
        <f t="shared" si="149"/>
        <v>266.69766437513317</v>
      </c>
      <c r="EB13" s="8">
        <f t="shared" si="150"/>
        <v>303379.86298580939</v>
      </c>
      <c r="EC13" s="328">
        <f t="shared" si="151"/>
        <v>15.158165312808679</v>
      </c>
      <c r="ED13" s="7">
        <f t="shared" si="152"/>
        <v>0.23829463296486578</v>
      </c>
      <c r="EE13" s="6">
        <f t="shared" si="153"/>
        <v>-1.7470483119773499</v>
      </c>
      <c r="EF13" s="7">
        <f t="shared" si="154"/>
        <v>-2.8092720472779238</v>
      </c>
      <c r="EG13" s="12">
        <f t="shared" si="155"/>
        <v>-0.2583224998090547</v>
      </c>
      <c r="EH13" s="11">
        <f t="shared" si="156"/>
        <v>0.18383894991564617</v>
      </c>
      <c r="EI13" s="7">
        <f t="shared" si="157"/>
        <v>3.3030880219113015</v>
      </c>
      <c r="EJ13" s="8">
        <f t="shared" si="158"/>
        <v>-0.2583224998090547</v>
      </c>
      <c r="EK13" s="491" t="b">
        <f t="shared" si="159"/>
        <v>0</v>
      </c>
      <c r="EL13" s="493" t="b">
        <f t="shared" si="160"/>
        <v>1</v>
      </c>
      <c r="EM13" s="6">
        <f t="shared" si="161"/>
        <v>0.18383894991564617</v>
      </c>
      <c r="EN13" s="7">
        <f t="shared" si="162"/>
        <v>3.3030880219113015</v>
      </c>
      <c r="EO13" s="12">
        <f t="shared" si="163"/>
        <v>-0.2583224998090547</v>
      </c>
      <c r="EP13" s="11">
        <f t="shared" si="164"/>
        <v>86.814393098790774</v>
      </c>
      <c r="EQ13" s="7">
        <f t="shared" si="165"/>
        <v>3.3082000000000003</v>
      </c>
      <c r="ER13" s="9">
        <f t="shared" si="166"/>
        <v>-0.2583224998090547</v>
      </c>
      <c r="ES13" s="24">
        <f t="shared" si="167"/>
        <v>0.93431531721094707</v>
      </c>
      <c r="ET13" s="7">
        <f t="shared" si="168"/>
        <v>-0.29514909530410416</v>
      </c>
      <c r="EU13" s="12">
        <f t="shared" si="169"/>
        <v>-0.1998546961324057</v>
      </c>
      <c r="EV13" s="337">
        <f>IF(ISNUMBER($AV13),IF(($EV$1-EP13)&lt;0,(360+($EV$1-EP13)),($EV$1-EP13)),"")</f>
        <v>3.1856069012092263</v>
      </c>
      <c r="EW13" s="11">
        <f t="shared" si="16"/>
        <v>0.94927320981712004</v>
      </c>
      <c r="EX13" s="7">
        <f t="shared" si="17"/>
        <v>-0.2427724728162684</v>
      </c>
      <c r="EY13" s="8">
        <f t="shared" si="170"/>
        <v>-0.1998546961324057</v>
      </c>
      <c r="EZ13" s="123">
        <f t="shared" si="171"/>
        <v>0.68908068316135218</v>
      </c>
      <c r="FA13" s="534">
        <f t="shared" si="18"/>
        <v>0.99838254697549655</v>
      </c>
      <c r="FB13" s="535">
        <f t="shared" si="19"/>
        <v>-5.5566669078312689E-2</v>
      </c>
      <c r="FC13" s="537">
        <f t="shared" si="20"/>
        <v>-1.202643680654036E-2</v>
      </c>
      <c r="FD13" s="6">
        <f t="shared" si="21"/>
        <v>0.99992767979376307</v>
      </c>
      <c r="FE13" s="7">
        <f t="shared" si="22"/>
        <v>-3.4694469519536142E-17</v>
      </c>
      <c r="FF13" s="9">
        <f t="shared" si="172"/>
        <v>-1.202643680654036E-2</v>
      </c>
      <c r="FG13" s="328">
        <f t="shared" si="23"/>
        <v>-5.0654469976643024E-2</v>
      </c>
      <c r="FH13" s="7">
        <f t="shared" si="24"/>
        <v>-0.24277247281626838</v>
      </c>
      <c r="FI13" s="12">
        <f t="shared" si="25"/>
        <v>-0.18782825932586533</v>
      </c>
      <c r="FJ13" s="547">
        <f t="shared" si="173"/>
        <v>17.897447028568074</v>
      </c>
      <c r="FK13" s="6">
        <f t="shared" si="26"/>
        <v>0.97982554591816184</v>
      </c>
      <c r="FL13" s="7">
        <f t="shared" si="174"/>
        <v>0.99992767979376307</v>
      </c>
      <c r="FM13" s="10">
        <f t="shared" si="175"/>
        <v>0.24800070339807587</v>
      </c>
      <c r="FN13" s="11">
        <f t="shared" si="176"/>
        <v>14.345657649339055</v>
      </c>
      <c r="FO13" s="12">
        <f t="shared" si="27"/>
        <v>1</v>
      </c>
      <c r="FP13" s="545">
        <f t="shared" si="28"/>
        <v>14.345657649339055</v>
      </c>
      <c r="FQ13" s="328">
        <f t="shared" si="205"/>
        <v>0.24777111989744482</v>
      </c>
      <c r="FR13" s="12">
        <f t="shared" si="177"/>
        <v>0.96881859609772458</v>
      </c>
      <c r="FS13" s="11">
        <f t="shared" si="178"/>
        <v>0.20366037673988413</v>
      </c>
      <c r="FT13" s="8">
        <f t="shared" si="179"/>
        <v>0.79633962326011598</v>
      </c>
      <c r="FU13" s="6">
        <f t="shared" si="180"/>
        <v>0.97008325747982804</v>
      </c>
      <c r="FV13" s="7">
        <f t="shared" si="181"/>
        <v>1</v>
      </c>
      <c r="FW13" s="10">
        <f t="shared" si="206"/>
        <v>0.1945387630525062</v>
      </c>
      <c r="FX13" s="11">
        <f t="shared" si="207"/>
        <v>11.200022649798951</v>
      </c>
      <c r="FY13" s="12">
        <f t="shared" si="29"/>
        <v>1</v>
      </c>
      <c r="FZ13" s="545">
        <f t="shared" si="208"/>
        <v>11.200022649798951</v>
      </c>
      <c r="GA13" s="372">
        <f t="shared" si="182"/>
        <v>10.864435365336004</v>
      </c>
      <c r="GB13" s="46">
        <f t="shared" si="183"/>
        <v>-0.24305233838529497</v>
      </c>
      <c r="GC13" s="47">
        <f t="shared" si="184"/>
        <v>0.95036752205089725</v>
      </c>
      <c r="GD13" s="578">
        <f t="shared" si="185"/>
        <v>-0.19423473900483795</v>
      </c>
      <c r="GE13" s="585">
        <f t="shared" si="186"/>
        <v>1.3876545994410303</v>
      </c>
      <c r="GF13" s="634">
        <f t="shared" si="209"/>
        <v>0.72064042478785151</v>
      </c>
      <c r="GG13" s="553">
        <f t="shared" si="30"/>
        <v>0.1751533403796596</v>
      </c>
      <c r="GH13" s="554">
        <f t="shared" si="31"/>
        <v>0.68487325479533645</v>
      </c>
      <c r="GI13" s="549">
        <f t="shared" si="32"/>
        <v>0.13997340482500389</v>
      </c>
      <c r="GJ13" s="296">
        <f t="shared" si="187"/>
        <v>3.3081999999999998</v>
      </c>
      <c r="GK13" s="337">
        <f t="shared" si="33"/>
        <v>1.732294749347828</v>
      </c>
      <c r="GL13" s="337">
        <f t="shared" si="188"/>
        <v>2.9499999999999998E-2</v>
      </c>
      <c r="GM13" s="372">
        <f t="shared" si="210"/>
        <v>0.61323234126913106</v>
      </c>
      <c r="GN13" s="548">
        <f t="shared" si="189"/>
        <v>5.0678891258622509E-2</v>
      </c>
      <c r="GO13" s="6">
        <f t="shared" si="190"/>
        <v>14.345657649339055</v>
      </c>
      <c r="GP13" s="10">
        <f t="shared" si="211"/>
        <v>11.200022649798951</v>
      </c>
      <c r="GQ13" s="372">
        <f t="shared" si="191"/>
        <v>17.897447028568074</v>
      </c>
      <c r="GR13" s="697">
        <f t="shared" si="212"/>
        <v>4333.0527405977909</v>
      </c>
      <c r="GS13" s="637">
        <f t="shared" si="35"/>
        <v>758.94866155694172</v>
      </c>
      <c r="GT13" s="638">
        <f t="shared" si="36"/>
        <v>438.11750964590158</v>
      </c>
      <c r="GU13" s="639">
        <f t="shared" si="37"/>
        <v>2967.5919336530619</v>
      </c>
      <c r="GV13" s="638">
        <f t="shared" si="192"/>
        <v>1713.0987291685187</v>
      </c>
      <c r="GW13" s="640">
        <f t="shared" si="38"/>
        <v>58071.143361644703</v>
      </c>
      <c r="GX13" s="641">
        <f t="shared" si="39"/>
        <v>472.27276798627446</v>
      </c>
      <c r="GY13" s="639">
        <f t="shared" si="40"/>
        <v>606.5121453877872</v>
      </c>
      <c r="GZ13" s="640">
        <f t="shared" si="41"/>
        <v>350.12063946746133</v>
      </c>
      <c r="HA13" s="637">
        <f t="shared" si="42"/>
        <v>758.94866155694172</v>
      </c>
      <c r="HB13" s="7">
        <f t="shared" si="193"/>
        <v>3.1856069012092263</v>
      </c>
      <c r="HC13" s="638">
        <f t="shared" si="194"/>
        <v>757.77590025825168</v>
      </c>
      <c r="HD13" s="640">
        <f t="shared" si="195"/>
        <v>42.175299250502789</v>
      </c>
      <c r="HE13" s="639">
        <f t="shared" si="43"/>
        <v>1713.0987291685187</v>
      </c>
      <c r="HF13" s="7">
        <f t="shared" si="44"/>
        <v>93.185606901209226</v>
      </c>
      <c r="HG13" s="638">
        <f t="shared" si="196"/>
        <v>-95.198074926596931</v>
      </c>
      <c r="HH13" s="644">
        <f t="shared" si="197"/>
        <v>1710.4515726582451</v>
      </c>
      <c r="HI13" s="596">
        <f t="shared" si="198"/>
        <v>1.1180000000000001</v>
      </c>
      <c r="HJ13" s="625"/>
      <c r="HK13" s="1232">
        <f t="shared" si="83"/>
        <v>5</v>
      </c>
      <c r="HL13" s="583">
        <f t="shared" si="84"/>
        <v>1.1642999999999999</v>
      </c>
      <c r="HM13" s="643">
        <f t="shared" si="45"/>
        <v>5.1050000000000004</v>
      </c>
      <c r="HN13" s="660">
        <f>IF(ISNUMBER($HL13),VLOOKUP($HL13,$GJ$9:$HI$130,HN$1,FALSE),"")</f>
        <v>-6.3319125776927381</v>
      </c>
      <c r="HO13" s="661">
        <f t="shared" si="45"/>
        <v>12.605341060611122</v>
      </c>
      <c r="HP13" s="656">
        <f t="shared" si="45"/>
        <v>13.995128106834455</v>
      </c>
      <c r="HQ13" s="660">
        <f t="shared" si="45"/>
        <v>5.67E-2</v>
      </c>
      <c r="HR13" s="671">
        <f t="shared" si="45"/>
        <v>3.4299147670592056E-2</v>
      </c>
      <c r="HS13" s="655">
        <f t="shared" si="45"/>
        <v>2683.2085398557429</v>
      </c>
      <c r="HT13" s="648">
        <f t="shared" si="45"/>
        <v>222.8669964746334</v>
      </c>
      <c r="HU13" s="649">
        <f t="shared" si="45"/>
        <v>2008.4471350999875</v>
      </c>
      <c r="HV13" s="650">
        <f t="shared" si="45"/>
        <v>451.89440828112214</v>
      </c>
      <c r="HW13" s="648">
        <f t="shared" si="45"/>
        <v>365.3665556078945</v>
      </c>
      <c r="HX13" s="649">
        <f t="shared" si="45"/>
        <v>3292.6338286052546</v>
      </c>
      <c r="HY13" s="650">
        <f t="shared" si="45"/>
        <v>740.83245192804304</v>
      </c>
      <c r="HZ13" s="648">
        <f t="shared" si="45"/>
        <v>58071.143361644703</v>
      </c>
      <c r="IA13" s="649">
        <f t="shared" si="45"/>
        <v>319.46779722042476</v>
      </c>
      <c r="IB13" s="716"/>
      <c r="IC13" s="741">
        <f>HS13/[1]Assy.Model!HS13</f>
        <v>0.87815180082601274</v>
      </c>
      <c r="ID13" s="741">
        <f>HT13/[1]Assy.Model!HT13</f>
        <v>0.85855844841406315</v>
      </c>
      <c r="IE13" s="741">
        <f>HU13/[1]Assy.Model!HU13</f>
        <v>0.88107216359449347</v>
      </c>
      <c r="IF13" s="741">
        <f>HV13/[1]Assy.Model!HV13</f>
        <v>0.87510947896309421</v>
      </c>
    </row>
    <row r="14" spans="2:243" ht="15" customHeight="1" x14ac:dyDescent="0.25">
      <c r="B14" s="143">
        <v>0.15517694081864869</v>
      </c>
      <c r="C14" s="144">
        <v>3.6043720558351167</v>
      </c>
      <c r="D14" s="145">
        <v>-1.147403460568837</v>
      </c>
      <c r="E14" s="146">
        <v>-0.88476121279145259</v>
      </c>
      <c r="F14" s="144">
        <v>0.45069575733765771</v>
      </c>
      <c r="G14" s="147">
        <v>0.11862095370394438</v>
      </c>
      <c r="H14" s="146">
        <v>0.314</v>
      </c>
      <c r="I14" s="144">
        <v>0.52</v>
      </c>
      <c r="J14" s="306">
        <v>1.1240000000000001</v>
      </c>
      <c r="K14" s="699" t="str">
        <f t="shared" si="199"/>
        <v>1613</v>
      </c>
      <c r="M14" s="292">
        <f t="shared" si="46"/>
        <v>1.1240000000000001</v>
      </c>
      <c r="N14" s="24">
        <f t="shared" si="47"/>
        <v>0.15517694081864869</v>
      </c>
      <c r="O14" s="7">
        <f t="shared" si="48"/>
        <v>3.6043720558351167</v>
      </c>
      <c r="P14" s="12">
        <f t="shared" si="49"/>
        <v>-1.147403460568837</v>
      </c>
      <c r="Q14" s="11">
        <f t="shared" si="85"/>
        <v>87.534800355930798</v>
      </c>
      <c r="R14" s="7">
        <f t="shared" si="50"/>
        <v>3.607710880856017</v>
      </c>
      <c r="S14" s="8">
        <f t="shared" si="51"/>
        <v>-1.147403460568837</v>
      </c>
      <c r="T14" s="6">
        <f t="shared" si="52"/>
        <v>3.6063802411960095</v>
      </c>
      <c r="U14" s="7">
        <f t="shared" si="53"/>
        <v>-9.7976302022010436E-2</v>
      </c>
      <c r="V14" s="10">
        <f t="shared" si="86"/>
        <v>-1.147403460568837</v>
      </c>
      <c r="W14" s="11">
        <f t="shared" si="2"/>
        <v>358.44380022468744</v>
      </c>
      <c r="X14" s="7">
        <f t="shared" si="54"/>
        <v>3.607710880856017</v>
      </c>
      <c r="Y14" s="9">
        <f t="shared" ref="Y14:Y75" si="213">IF(M14="","",S14)</f>
        <v>-1.147403460568837</v>
      </c>
      <c r="Z14" s="24">
        <f t="shared" si="87"/>
        <v>0.88476121279145259</v>
      </c>
      <c r="AA14" s="7">
        <f t="shared" si="55"/>
        <v>-0.45069575733765771</v>
      </c>
      <c r="AB14" s="7">
        <f t="shared" si="56"/>
        <v>-0.11862095370394438</v>
      </c>
      <c r="AC14" s="10">
        <f t="shared" si="57"/>
        <v>1</v>
      </c>
      <c r="AD14" s="11">
        <f t="shared" si="88"/>
        <v>0.88476121279145259</v>
      </c>
      <c r="AE14" s="7">
        <f t="shared" si="58"/>
        <v>-0.45069575733765771</v>
      </c>
      <c r="AF14" s="12">
        <f t="shared" si="59"/>
        <v>-0.11862095370394438</v>
      </c>
      <c r="AG14" s="6">
        <f t="shared" si="60"/>
        <v>-75.254438930157605</v>
      </c>
      <c r="AH14" s="12">
        <f t="shared" si="61"/>
        <v>27.777849622497421</v>
      </c>
      <c r="AI14" s="11">
        <f t="shared" si="62"/>
        <v>-83.187479414473628</v>
      </c>
      <c r="AJ14" s="8">
        <f t="shared" si="63"/>
        <v>63.005789068358261</v>
      </c>
      <c r="AK14" s="6">
        <f>IF(M14="","",(COS(RADIANS((90-$Q$8)-W14))*AD14)+(-SIN(RADIANS((90-$Q$8)-W14))*AE14))</f>
        <v>0.9033279794201905</v>
      </c>
      <c r="AL14" s="7">
        <f t="shared" si="64"/>
        <v>-0.41222279284266039</v>
      </c>
      <c r="AM14" s="8">
        <f t="shared" si="65"/>
        <v>-0.11862095370394438</v>
      </c>
      <c r="AN14" s="6">
        <f t="shared" si="66"/>
        <v>-73.946333635013175</v>
      </c>
      <c r="AO14" s="10">
        <f t="shared" si="3"/>
        <v>25.400976888737702</v>
      </c>
      <c r="AP14" s="11">
        <f>IF(M14="","",DEGREES(ATAN2(AK14,AL14)))</f>
        <v>-24.529011287572505</v>
      </c>
      <c r="AQ14" s="8">
        <f t="shared" si="200"/>
        <v>0.63192953728509915</v>
      </c>
      <c r="AS14" s="123">
        <f t="shared" si="90"/>
        <v>-1.5561997753125638</v>
      </c>
      <c r="AT14" s="174">
        <f t="shared" si="68"/>
        <v>-1.1456915163715666</v>
      </c>
      <c r="AV14" s="292">
        <f t="shared" si="91"/>
        <v>1.1240000000000001</v>
      </c>
      <c r="AW14" s="439">
        <v>3.8332000000000002</v>
      </c>
      <c r="AX14" s="440">
        <f>-0.5348-0.25</f>
        <v>-0.78480000000000005</v>
      </c>
      <c r="AY14" s="442">
        <v>1.3599999999999999E-2</v>
      </c>
      <c r="AZ14" s="565">
        <f t="shared" si="92"/>
        <v>0.32756964608276418</v>
      </c>
      <c r="BA14" s="564">
        <f t="shared" si="93"/>
        <v>2.7071087671431529E-2</v>
      </c>
      <c r="BB14" s="559">
        <f t="shared" si="94"/>
        <v>0.11089151637156658</v>
      </c>
      <c r="BC14" s="11"/>
      <c r="BD14" s="7">
        <f t="shared" si="95"/>
        <v>3.8332000000000002</v>
      </c>
      <c r="BE14" s="8">
        <f t="shared" si="96"/>
        <v>-1.0365119441972706</v>
      </c>
      <c r="BF14" s="6">
        <f t="shared" si="97"/>
        <v>0.15517694081864869</v>
      </c>
      <c r="BG14" s="7">
        <f t="shared" si="98"/>
        <v>3.6043720558351167</v>
      </c>
      <c r="BH14" s="12">
        <f t="shared" si="99"/>
        <v>-1.147403460568837</v>
      </c>
      <c r="BI14" s="11">
        <f t="shared" si="100"/>
        <v>0.15517694081864869</v>
      </c>
      <c r="BJ14" s="7">
        <f t="shared" si="101"/>
        <v>3.8588990824112814</v>
      </c>
      <c r="BK14" s="10">
        <f t="shared" si="102"/>
        <v>-2.1144691215982712</v>
      </c>
      <c r="BL14" s="328">
        <f t="shared" si="103"/>
        <v>0.62122156994744571</v>
      </c>
      <c r="BM14" s="7">
        <f t="shared" si="104"/>
        <v>4.4599942429364869</v>
      </c>
      <c r="BN14" s="8">
        <f t="shared" si="105"/>
        <v>-0.92220781984710709</v>
      </c>
      <c r="BO14" s="6">
        <f t="shared" si="106"/>
        <v>0.88476121279145348</v>
      </c>
      <c r="BP14" s="7">
        <f t="shared" si="107"/>
        <v>-0.45069575733765754</v>
      </c>
      <c r="BQ14" s="7">
        <f t="shared" si="108"/>
        <v>-0.11862095370394421</v>
      </c>
      <c r="BR14" s="8">
        <f t="shared" si="109"/>
        <v>1.3510745622994405</v>
      </c>
      <c r="BS14" s="6">
        <f t="shared" si="69"/>
        <v>0</v>
      </c>
      <c r="BT14" s="7">
        <f t="shared" si="69"/>
        <v>0</v>
      </c>
      <c r="BU14" s="12">
        <f t="shared" si="70"/>
        <v>-1.0365119441972706</v>
      </c>
      <c r="BV14" s="11">
        <f t="shared" si="71"/>
        <v>0</v>
      </c>
      <c r="BW14" s="7">
        <f t="shared" si="72"/>
        <v>1</v>
      </c>
      <c r="BX14" s="10">
        <f t="shared" si="73"/>
        <v>-1.0365119441972706</v>
      </c>
      <c r="BY14" s="328">
        <f t="shared" si="74"/>
        <v>1</v>
      </c>
      <c r="BZ14" s="7">
        <f t="shared" si="75"/>
        <v>0</v>
      </c>
      <c r="CA14" s="8">
        <f t="shared" si="76"/>
        <v>-1.0365119441972706</v>
      </c>
      <c r="CB14" s="6">
        <f t="shared" si="110"/>
        <v>0</v>
      </c>
      <c r="CC14" s="7">
        <f t="shared" si="111"/>
        <v>0</v>
      </c>
      <c r="CD14" s="7">
        <f t="shared" si="112"/>
        <v>-1</v>
      </c>
      <c r="CE14" s="8">
        <f t="shared" si="113"/>
        <v>-1.0365119441972706</v>
      </c>
      <c r="CF14" s="6">
        <f t="shared" si="114"/>
        <v>0.45069575733765754</v>
      </c>
      <c r="CG14" s="7">
        <f t="shared" si="115"/>
        <v>0.88476121279145348</v>
      </c>
      <c r="CH14" s="7">
        <f t="shared" si="116"/>
        <v>0</v>
      </c>
      <c r="CI14" s="6">
        <f t="shared" si="77"/>
        <v>0</v>
      </c>
      <c r="CJ14" s="7">
        <f t="shared" si="78"/>
        <v>3.2705579621006318</v>
      </c>
      <c r="CK14" s="10">
        <f t="shared" si="79"/>
        <v>-1.0365119441972706</v>
      </c>
      <c r="CL14" s="328">
        <f t="shared" si="80"/>
        <v>0.45069575733765754</v>
      </c>
      <c r="CM14" s="7">
        <f t="shared" si="81"/>
        <v>4.1553191748920852</v>
      </c>
      <c r="CN14" s="8">
        <f t="shared" si="82"/>
        <v>-1.0365119441972706</v>
      </c>
      <c r="CO14" s="296">
        <f t="shared" si="201"/>
        <v>0.3125</v>
      </c>
      <c r="CP14" s="6">
        <f t="shared" si="202"/>
        <v>0.98592906934236835</v>
      </c>
      <c r="CQ14" s="7">
        <f t="shared" si="203"/>
        <v>-0.73056670256600909</v>
      </c>
      <c r="CR14" s="7">
        <f t="shared" si="117"/>
        <v>5.0152410540793113E-2</v>
      </c>
      <c r="CS14" s="10">
        <f t="shared" si="118"/>
        <v>0.33594082909912948</v>
      </c>
      <c r="CT14" s="11">
        <f t="shared" si="119"/>
        <v>0.66443457808238338</v>
      </c>
      <c r="CU14" s="8">
        <f t="shared" si="120"/>
        <v>7.6558587940512804E-2</v>
      </c>
      <c r="CV14" s="6">
        <f t="shared" si="204"/>
        <v>0.29945784537016673</v>
      </c>
      <c r="CW14" s="7">
        <f t="shared" si="121"/>
        <v>3.8584239052253788</v>
      </c>
      <c r="CX14" s="10">
        <f t="shared" si="122"/>
        <v>-1.0365119441972706</v>
      </c>
      <c r="CY14" s="11">
        <f t="shared" si="123"/>
        <v>3.4504630772551073E-2</v>
      </c>
      <c r="CZ14" s="7">
        <f t="shared" si="124"/>
        <v>3.3382940312164808</v>
      </c>
      <c r="DA14" s="8">
        <f t="shared" si="125"/>
        <v>-1.0365119441972706</v>
      </c>
      <c r="DB14" s="6">
        <f t="shared" si="126"/>
        <v>0</v>
      </c>
      <c r="DC14" s="7">
        <f t="shared" si="126"/>
        <v>0</v>
      </c>
      <c r="DD14" s="12">
        <f t="shared" si="127"/>
        <v>-10</v>
      </c>
      <c r="DE14" s="11">
        <f t="shared" si="128"/>
        <v>0</v>
      </c>
      <c r="DF14" s="7">
        <f t="shared" si="128"/>
        <v>0</v>
      </c>
      <c r="DG14" s="12">
        <f t="shared" si="129"/>
        <v>10</v>
      </c>
      <c r="DH14" s="174">
        <f t="shared" si="130"/>
        <v>3.8332000000000002</v>
      </c>
      <c r="DI14" s="6">
        <f t="shared" si="131"/>
        <v>0</v>
      </c>
      <c r="DJ14" s="7">
        <f t="shared" si="132"/>
        <v>0</v>
      </c>
      <c r="DK14" s="12">
        <f t="shared" si="133"/>
        <v>20</v>
      </c>
      <c r="DL14" s="11">
        <f t="shared" si="134"/>
        <v>0.29945784537016673</v>
      </c>
      <c r="DM14" s="328">
        <f t="shared" si="135"/>
        <v>3.8584239052253788</v>
      </c>
      <c r="DN14" s="376">
        <f t="shared" si="136"/>
        <v>8.9634880558027294</v>
      </c>
      <c r="DO14" s="11">
        <f t="shared" si="137"/>
        <v>-0.26495321459761567</v>
      </c>
      <c r="DP14" s="328">
        <f t="shared" si="138"/>
        <v>-0.52012987400889799</v>
      </c>
      <c r="DQ14" s="13">
        <f t="shared" si="139"/>
        <v>0</v>
      </c>
      <c r="DR14" s="328">
        <f t="shared" si="140"/>
        <v>179.26976111605458</v>
      </c>
      <c r="DS14" s="7">
        <f t="shared" si="141"/>
        <v>0</v>
      </c>
      <c r="DT14" s="7">
        <f t="shared" si="142"/>
        <v>400</v>
      </c>
      <c r="DU14" s="7">
        <f t="shared" si="143"/>
        <v>0.34073529176212225</v>
      </c>
      <c r="DV14" s="7">
        <f t="shared" si="144"/>
        <v>-2.0862238584650981</v>
      </c>
      <c r="DW14" s="7">
        <f t="shared" si="145"/>
        <v>95.321228160086605</v>
      </c>
      <c r="DX14" s="296">
        <f t="shared" si="146"/>
        <v>80.627805920086601</v>
      </c>
      <c r="DY14" s="11">
        <f t="shared" si="147"/>
        <v>136.2941167048489</v>
      </c>
      <c r="DZ14" s="7">
        <f t="shared" si="148"/>
        <v>-834.48954338603926</v>
      </c>
      <c r="EA14" s="12">
        <f t="shared" si="149"/>
        <v>113.47511742736606</v>
      </c>
      <c r="EB14" s="8">
        <f t="shared" si="150"/>
        <v>680906.8071228984</v>
      </c>
      <c r="EC14" s="328">
        <f t="shared" si="151"/>
        <v>12.177050323461076</v>
      </c>
      <c r="ED14" s="7">
        <f t="shared" si="152"/>
        <v>6.837249538537829E-2</v>
      </c>
      <c r="EE14" s="6">
        <f t="shared" si="153"/>
        <v>-2.926890782147781</v>
      </c>
      <c r="EF14" s="7">
        <f t="shared" si="154"/>
        <v>-2.4752237453164407</v>
      </c>
      <c r="EG14" s="12">
        <f t="shared" si="155"/>
        <v>-1.0365119441972706</v>
      </c>
      <c r="EH14" s="11">
        <f t="shared" si="156"/>
        <v>0.28134233292775013</v>
      </c>
      <c r="EI14" s="7">
        <f t="shared" si="157"/>
        <v>3.8228613278149082</v>
      </c>
      <c r="EJ14" s="8">
        <f t="shared" si="158"/>
        <v>-1.0365119441972706</v>
      </c>
      <c r="EK14" s="491" t="b">
        <f t="shared" si="159"/>
        <v>0</v>
      </c>
      <c r="EL14" s="493" t="b">
        <f t="shared" si="160"/>
        <v>1</v>
      </c>
      <c r="EM14" s="6">
        <f t="shared" si="161"/>
        <v>0.28134233292775013</v>
      </c>
      <c r="EN14" s="7">
        <f t="shared" si="162"/>
        <v>3.8228613278149082</v>
      </c>
      <c r="EO14" s="12">
        <f t="shared" si="163"/>
        <v>-1.0365119441972706</v>
      </c>
      <c r="EP14" s="11">
        <f t="shared" si="164"/>
        <v>85.79092238611058</v>
      </c>
      <c r="EQ14" s="7">
        <f t="shared" si="165"/>
        <v>3.8331999999999988</v>
      </c>
      <c r="ER14" s="9">
        <f t="shared" si="166"/>
        <v>-1.0365119441972706</v>
      </c>
      <c r="ES14" s="24">
        <f t="shared" si="167"/>
        <v>0.88476121279145259</v>
      </c>
      <c r="ET14" s="7">
        <f t="shared" si="168"/>
        <v>-0.45069575733765771</v>
      </c>
      <c r="EU14" s="12">
        <f t="shared" si="169"/>
        <v>-0.11862095370394438</v>
      </c>
      <c r="EV14" s="337">
        <f t="shared" si="15"/>
        <v>4.2090776138894199</v>
      </c>
      <c r="EW14" s="11">
        <f t="shared" si="16"/>
        <v>0.9154542472454027</v>
      </c>
      <c r="EX14" s="7">
        <f t="shared" si="17"/>
        <v>-0.38454205302244893</v>
      </c>
      <c r="EY14" s="8">
        <f t="shared" si="170"/>
        <v>-0.11862095370394438</v>
      </c>
      <c r="EZ14" s="123">
        <f>IF(ISNUMBER($AV14),DEGREES(ATAN($AS$5/($EQ14*2*PI()))),"")</f>
        <v>0.59471062319375134</v>
      </c>
      <c r="FA14" s="534">
        <f t="shared" si="18"/>
        <v>0.99724913838720675</v>
      </c>
      <c r="FB14" s="535">
        <f t="shared" si="19"/>
        <v>-7.339225126023971E-2</v>
      </c>
      <c r="FC14" s="537">
        <f t="shared" si="20"/>
        <v>-1.037947209290861E-2</v>
      </c>
      <c r="FD14" s="6">
        <f t="shared" si="21"/>
        <v>0.99994613182864622</v>
      </c>
      <c r="FE14" s="7">
        <f t="shared" si="22"/>
        <v>5.5511151231257827E-17</v>
      </c>
      <c r="FF14" s="9">
        <f t="shared" si="172"/>
        <v>-1.037947209290861E-2</v>
      </c>
      <c r="FG14" s="328">
        <f t="shared" si="23"/>
        <v>-8.4491884583243526E-2</v>
      </c>
      <c r="FH14" s="7">
        <f t="shared" si="24"/>
        <v>-0.38454205302244898</v>
      </c>
      <c r="FI14" s="12">
        <f t="shared" si="25"/>
        <v>-0.10824148161103576</v>
      </c>
      <c r="FJ14" s="547">
        <f t="shared" si="173"/>
        <v>23.560838016107198</v>
      </c>
      <c r="FK14" s="6">
        <f t="shared" si="26"/>
        <v>0.99293961011854437</v>
      </c>
      <c r="FL14" s="7">
        <f t="shared" si="174"/>
        <v>0.99994613182864622</v>
      </c>
      <c r="FM14" s="10">
        <f t="shared" si="175"/>
        <v>0.39371495920671862</v>
      </c>
      <c r="FN14" s="11">
        <f t="shared" si="176"/>
        <v>22.785133317752308</v>
      </c>
      <c r="FO14" s="12">
        <f t="shared" si="27"/>
        <v>1</v>
      </c>
      <c r="FP14" s="545">
        <f t="shared" si="28"/>
        <v>22.785133317752308</v>
      </c>
      <c r="FQ14" s="328">
        <f t="shared" si="205"/>
        <v>0.38727637522340297</v>
      </c>
      <c r="FR14" s="12">
        <f t="shared" si="177"/>
        <v>0.92196367021364889</v>
      </c>
      <c r="FS14" s="11">
        <f t="shared" si="178"/>
        <v>0.29580242108628901</v>
      </c>
      <c r="FT14" s="8">
        <f t="shared" si="179"/>
        <v>0.70419757891371104</v>
      </c>
      <c r="FU14" s="6">
        <f t="shared" si="180"/>
        <v>0.92310747448890274</v>
      </c>
      <c r="FV14" s="7">
        <f t="shared" si="181"/>
        <v>1</v>
      </c>
      <c r="FW14" s="10">
        <f t="shared" si="206"/>
        <v>0.13731386274437238</v>
      </c>
      <c r="FX14" s="11">
        <f t="shared" si="207"/>
        <v>6.7883138706249566</v>
      </c>
      <c r="FY14" s="12">
        <f t="shared" si="29"/>
        <v>1</v>
      </c>
      <c r="FZ14" s="545">
        <f t="shared" si="208"/>
        <v>6.7883138706249566</v>
      </c>
      <c r="GA14" s="372">
        <f t="shared" si="182"/>
        <v>6.2660721812356837</v>
      </c>
      <c r="GB14" s="46">
        <f t="shared" si="183"/>
        <v>-0.38456142736630738</v>
      </c>
      <c r="GC14" s="47">
        <f t="shared" si="184"/>
        <v>0.91550037048532817</v>
      </c>
      <c r="GD14" s="578">
        <f t="shared" si="185"/>
        <v>-0.1182014391757352</v>
      </c>
      <c r="GE14" s="585">
        <f t="shared" si="186"/>
        <v>1.4182632370273707</v>
      </c>
      <c r="GF14" s="634">
        <f t="shared" si="209"/>
        <v>0.70508772553109711</v>
      </c>
      <c r="GG14" s="553">
        <f t="shared" si="30"/>
        <v>0.27114954214870185</v>
      </c>
      <c r="GH14" s="554">
        <f t="shared" si="31"/>
        <v>0.64550807394837673</v>
      </c>
      <c r="GI14" s="549">
        <f t="shared" si="32"/>
        <v>8.3342383902921438E-2</v>
      </c>
      <c r="GJ14" s="296">
        <f t="shared" si="187"/>
        <v>3.8332000000000002</v>
      </c>
      <c r="GK14" s="337">
        <f t="shared" si="33"/>
        <v>2.0071669490365456</v>
      </c>
      <c r="GL14" s="337">
        <f t="shared" si="188"/>
        <v>1.3599999999999999E-2</v>
      </c>
      <c r="GM14" s="372">
        <f t="shared" si="210"/>
        <v>0.32756964608276418</v>
      </c>
      <c r="GN14" s="548">
        <f t="shared" si="189"/>
        <v>2.7071087671431529E-2</v>
      </c>
      <c r="GO14" s="6">
        <f t="shared" si="190"/>
        <v>22.785133317752308</v>
      </c>
      <c r="GP14" s="10">
        <f t="shared" si="211"/>
        <v>6.7883138706249566</v>
      </c>
      <c r="GQ14" s="372">
        <f t="shared" si="191"/>
        <v>23.560838016107198</v>
      </c>
      <c r="GR14" s="697">
        <f t="shared" si="212"/>
        <v>2455.7327587246536</v>
      </c>
      <c r="GS14" s="637">
        <f t="shared" si="35"/>
        <v>665.87081316775834</v>
      </c>
      <c r="GT14" s="638">
        <f t="shared" si="36"/>
        <v>331.74660109234117</v>
      </c>
      <c r="GU14" s="639">
        <f t="shared" si="37"/>
        <v>1585.1953232162848</v>
      </c>
      <c r="GV14" s="638">
        <f t="shared" si="192"/>
        <v>789.76754971836795</v>
      </c>
      <c r="GW14" s="640">
        <f t="shared" si="38"/>
        <v>58071.143361644703</v>
      </c>
      <c r="GX14" s="641">
        <f t="shared" si="39"/>
        <v>252.27808096503733</v>
      </c>
      <c r="GY14" s="639">
        <f t="shared" si="40"/>
        <v>204.66662234061042</v>
      </c>
      <c r="GZ14" s="640">
        <f t="shared" si="41"/>
        <v>101.96791175684308</v>
      </c>
      <c r="HA14" s="637">
        <f t="shared" si="42"/>
        <v>665.87081316775834</v>
      </c>
      <c r="HB14" s="7">
        <f t="shared" si="193"/>
        <v>4.2090776138894199</v>
      </c>
      <c r="HC14" s="638">
        <f t="shared" si="194"/>
        <v>664.0748672074742</v>
      </c>
      <c r="HD14" s="640">
        <f t="shared" si="195"/>
        <v>48.87239069318462</v>
      </c>
      <c r="HE14" s="639">
        <f t="shared" si="43"/>
        <v>789.76754971836795</v>
      </c>
      <c r="HF14" s="7">
        <f t="shared" si="44"/>
        <v>94.20907761388942</v>
      </c>
      <c r="HG14" s="638">
        <f t="shared" si="196"/>
        <v>-57.965940965354996</v>
      </c>
      <c r="HH14" s="644">
        <f t="shared" si="197"/>
        <v>787.63743707124263</v>
      </c>
      <c r="HI14" s="596">
        <f t="shared" si="198"/>
        <v>1.1240000000000001</v>
      </c>
      <c r="HJ14" s="625"/>
      <c r="HK14" s="1232">
        <f t="shared" si="83"/>
        <v>6</v>
      </c>
      <c r="HL14" s="583">
        <f t="shared" si="84"/>
        <v>1.3898999999999999</v>
      </c>
      <c r="HM14" s="643">
        <f t="shared" si="45"/>
        <v>3.1059999999999999</v>
      </c>
      <c r="HN14" s="660">
        <f>IF(ISNUMBER($HL14),VLOOKUP($HL14,$GJ$9:$HI$130,HN$1,FALSE),"")</f>
        <v>-5.9481944674594365</v>
      </c>
      <c r="HO14" s="661">
        <f t="shared" si="45"/>
        <v>12.912798963068045</v>
      </c>
      <c r="HP14" s="656">
        <f t="shared" si="45"/>
        <v>14.118741449557316</v>
      </c>
      <c r="HQ14" s="660">
        <f t="shared" si="45"/>
        <v>5.62E-2</v>
      </c>
      <c r="HR14" s="671">
        <f t="shared" si="45"/>
        <v>4.0576975592088504E-2</v>
      </c>
      <c r="HS14" s="655">
        <f t="shared" si="45"/>
        <v>3171.3151336000483</v>
      </c>
      <c r="HT14" s="648">
        <f t="shared" si="45"/>
        <v>247.56169113384814</v>
      </c>
      <c r="HU14" s="649">
        <f t="shared" si="45"/>
        <v>2376.056430370928</v>
      </c>
      <c r="HV14" s="650">
        <f t="shared" si="45"/>
        <v>547.69701209527216</v>
      </c>
      <c r="HW14" s="648">
        <f t="shared" si="45"/>
        <v>340.03481286829668</v>
      </c>
      <c r="HX14" s="649">
        <f t="shared" si="45"/>
        <v>3263.5982569244325</v>
      </c>
      <c r="HY14" s="650">
        <f t="shared" si="45"/>
        <v>752.28138151491964</v>
      </c>
      <c r="HZ14" s="648">
        <f>IF(ISNUMBER($HL14),VLOOKUP($HL14,$GJ$9:$HI$130,HZ$1,FALSE),"")</f>
        <v>58071.143361644703</v>
      </c>
      <c r="IA14" s="649">
        <f>IF(ISNUMBER($HL14),VLOOKUP($HL14,$GJ$9:$HI$130,IA$1,FALSE),"")</f>
        <v>378.00626810827237</v>
      </c>
      <c r="IB14" s="716"/>
      <c r="IC14" s="741">
        <f>HS14/[1]Assy.Model!HS14</f>
        <v>0.91977685697879585</v>
      </c>
      <c r="ID14" s="741">
        <f>HT14/[1]Assy.Model!HT14</f>
        <v>0.89854504634511445</v>
      </c>
      <c r="IE14" s="741">
        <f>HU14/[1]Assy.Model!HU14</f>
        <v>0.92266331094330167</v>
      </c>
      <c r="IF14" s="741">
        <f>HV14/[1]Assy.Model!HV14</f>
        <v>0.91712513397433748</v>
      </c>
    </row>
    <row r="15" spans="2:243" ht="15" customHeight="1" x14ac:dyDescent="0.25">
      <c r="B15" s="143">
        <v>0.16499936313482874</v>
      </c>
      <c r="C15" s="144">
        <v>3.6832171826962794</v>
      </c>
      <c r="D15" s="145">
        <v>-1.9392058486448396</v>
      </c>
      <c r="E15" s="146">
        <v>-0.84278140031771642</v>
      </c>
      <c r="F15" s="144">
        <v>0.53825599047153783</v>
      </c>
      <c r="G15" s="147">
        <v>1.1339743348047648E-7</v>
      </c>
      <c r="H15" s="146">
        <v>0.314</v>
      </c>
      <c r="I15" s="144">
        <v>0.52</v>
      </c>
      <c r="J15" s="306">
        <v>1.1299999999999999</v>
      </c>
      <c r="K15" s="699" t="str">
        <f t="shared" si="199"/>
        <v>1613</v>
      </c>
      <c r="M15" s="292">
        <f t="shared" si="46"/>
        <v>1.1299999999999999</v>
      </c>
      <c r="N15" s="24">
        <f t="shared" si="47"/>
        <v>0.16499936313482874</v>
      </c>
      <c r="O15" s="7">
        <f t="shared" si="48"/>
        <v>3.6832171826962794</v>
      </c>
      <c r="P15" s="12">
        <f t="shared" si="49"/>
        <v>-1.9392058486448396</v>
      </c>
      <c r="Q15" s="11">
        <f t="shared" si="85"/>
        <v>87.435000370340134</v>
      </c>
      <c r="R15" s="7">
        <f t="shared" si="50"/>
        <v>3.6869111197239368</v>
      </c>
      <c r="S15" s="8">
        <f t="shared" si="51"/>
        <v>-1.9392058486448396</v>
      </c>
      <c r="T15" s="6">
        <f t="shared" si="52"/>
        <v>3.6853712722170888</v>
      </c>
      <c r="U15" s="7">
        <f t="shared" si="53"/>
        <v>-0.10654665954880585</v>
      </c>
      <c r="V15" s="10">
        <f t="shared" si="86"/>
        <v>-1.9392058486448396</v>
      </c>
      <c r="W15" s="11">
        <f t="shared" ref="W15:W78" si="214">IF(M15="","",IF(Q15-$Q$8&lt;0,360+Q15-$Q$8,Q15-$Q$8))</f>
        <v>358.34400023909683</v>
      </c>
      <c r="X15" s="7">
        <f>IF(M15="","",R15)</f>
        <v>3.6869111197239368</v>
      </c>
      <c r="Y15" s="9">
        <f>IF(M15="","",S15)</f>
        <v>-1.9392058486448396</v>
      </c>
      <c r="Z15" s="24">
        <f t="shared" si="87"/>
        <v>0.84278140031771642</v>
      </c>
      <c r="AA15" s="7">
        <f t="shared" si="55"/>
        <v>-0.53825599047153783</v>
      </c>
      <c r="AB15" s="7">
        <f t="shared" si="56"/>
        <v>-1.1339743348047648E-7</v>
      </c>
      <c r="AC15" s="10">
        <f t="shared" si="57"/>
        <v>1</v>
      </c>
      <c r="AD15" s="11">
        <f t="shared" si="88"/>
        <v>0.84278140031771642</v>
      </c>
      <c r="AE15" s="7">
        <f t="shared" si="58"/>
        <v>-0.53825599047153783</v>
      </c>
      <c r="AF15" s="12">
        <f t="shared" si="59"/>
        <v>-1.1339743348047648E-7</v>
      </c>
      <c r="AG15" s="6">
        <f t="shared" si="60"/>
        <v>-89.999987929174111</v>
      </c>
      <c r="AH15" s="12">
        <f t="shared" si="61"/>
        <v>32.564995298196344</v>
      </c>
      <c r="AI15" s="11">
        <f t="shared" si="62"/>
        <v>-89.999993502805651</v>
      </c>
      <c r="AJ15" s="8">
        <f t="shared" si="63"/>
        <v>57.435004701804232</v>
      </c>
      <c r="AK15" s="6">
        <f t="shared" si="89"/>
        <v>0.86602544158358552</v>
      </c>
      <c r="AL15" s="7">
        <f t="shared" si="64"/>
        <v>-0.49999993452993863</v>
      </c>
      <c r="AM15" s="8">
        <f t="shared" si="65"/>
        <v>-1.1339743348047648E-7</v>
      </c>
      <c r="AN15" s="6">
        <f t="shared" si="66"/>
        <v>-89.999987005609611</v>
      </c>
      <c r="AO15" s="10">
        <f t="shared" si="3"/>
        <v>29.999995668536549</v>
      </c>
      <c r="AP15" s="11">
        <f t="shared" si="67"/>
        <v>-29.999995668535913</v>
      </c>
      <c r="AQ15" s="8">
        <f t="shared" si="200"/>
        <v>0.61835370171187476</v>
      </c>
      <c r="AS15" s="123">
        <f>IF(G15="","",IF(AND(W15&lt;(AS14+180),W15&gt;(AS14-180)),W15,IF(W15&gt;(AS14+180),W15-360,IF(W15&lt;(AS14-180),W15+360,"Error"))))</f>
        <v>-1.6559997609031711</v>
      </c>
      <c r="AT15" s="174">
        <f>IF(M15="","",Y15+(((AS15-$AS$9)*$AS$6)*-1))</f>
        <v>-1.9374245989020202</v>
      </c>
      <c r="AV15" s="292" t="str">
        <f t="shared" si="91"/>
        <v/>
      </c>
      <c r="AW15" s="439"/>
      <c r="AX15" s="440"/>
      <c r="AY15" s="442"/>
      <c r="AZ15" s="565" t="str">
        <f>IF(ISNUMBER(AV15),$AY15*SQRT((2*PI()*$AW15)^2+$AS$5^2),"")</f>
        <v/>
      </c>
      <c r="BA15" s="564" t="str">
        <f t="shared" si="93"/>
        <v/>
      </c>
      <c r="BB15" s="559" t="str">
        <f t="shared" si="94"/>
        <v/>
      </c>
      <c r="BC15" s="11"/>
      <c r="BD15" s="7" t="str">
        <f t="shared" si="95"/>
        <v/>
      </c>
      <c r="BE15" s="8" t="str">
        <f t="shared" si="96"/>
        <v/>
      </c>
      <c r="BF15" s="6" t="str">
        <f t="shared" si="97"/>
        <v/>
      </c>
      <c r="BG15" s="7" t="str">
        <f t="shared" si="98"/>
        <v/>
      </c>
      <c r="BH15" s="12" t="str">
        <f t="shared" si="99"/>
        <v/>
      </c>
      <c r="BI15" s="11" t="str">
        <f t="shared" si="100"/>
        <v/>
      </c>
      <c r="BJ15" s="7" t="str">
        <f t="shared" si="101"/>
        <v/>
      </c>
      <c r="BK15" s="10" t="str">
        <f t="shared" si="102"/>
        <v/>
      </c>
      <c r="BL15" s="328" t="str">
        <f t="shared" si="103"/>
        <v/>
      </c>
      <c r="BM15" s="7" t="str">
        <f t="shared" si="104"/>
        <v/>
      </c>
      <c r="BN15" s="8" t="str">
        <f t="shared" si="105"/>
        <v/>
      </c>
      <c r="BO15" s="6" t="str">
        <f t="shared" si="106"/>
        <v/>
      </c>
      <c r="BP15" s="7" t="str">
        <f t="shared" si="107"/>
        <v/>
      </c>
      <c r="BQ15" s="7" t="str">
        <f t="shared" si="108"/>
        <v/>
      </c>
      <c r="BR15" s="8" t="str">
        <f t="shared" si="109"/>
        <v/>
      </c>
      <c r="BS15" s="6" t="str">
        <f t="shared" si="69"/>
        <v/>
      </c>
      <c r="BT15" s="7" t="str">
        <f t="shared" si="69"/>
        <v/>
      </c>
      <c r="BU15" s="12" t="str">
        <f t="shared" si="70"/>
        <v/>
      </c>
      <c r="BV15" s="11" t="str">
        <f t="shared" si="71"/>
        <v/>
      </c>
      <c r="BW15" s="7" t="str">
        <f t="shared" si="72"/>
        <v/>
      </c>
      <c r="BX15" s="10" t="str">
        <f t="shared" si="73"/>
        <v/>
      </c>
      <c r="BY15" s="328" t="str">
        <f t="shared" si="74"/>
        <v/>
      </c>
      <c r="BZ15" s="7" t="str">
        <f t="shared" si="75"/>
        <v/>
      </c>
      <c r="CA15" s="8" t="str">
        <f t="shared" si="76"/>
        <v/>
      </c>
      <c r="CB15" s="6" t="str">
        <f t="shared" si="110"/>
        <v/>
      </c>
      <c r="CC15" s="7" t="str">
        <f t="shared" si="111"/>
        <v/>
      </c>
      <c r="CD15" s="7" t="str">
        <f t="shared" si="112"/>
        <v/>
      </c>
      <c r="CE15" s="8" t="str">
        <f t="shared" si="113"/>
        <v/>
      </c>
      <c r="CF15" s="6" t="str">
        <f t="shared" si="114"/>
        <v/>
      </c>
      <c r="CG15" s="7" t="str">
        <f t="shared" si="115"/>
        <v/>
      </c>
      <c r="CH15" s="7" t="str">
        <f t="shared" si="116"/>
        <v/>
      </c>
      <c r="CI15" s="6" t="str">
        <f t="shared" si="77"/>
        <v/>
      </c>
      <c r="CJ15" s="7" t="str">
        <f t="shared" si="78"/>
        <v/>
      </c>
      <c r="CK15" s="10" t="str">
        <f t="shared" si="79"/>
        <v/>
      </c>
      <c r="CL15" s="328" t="str">
        <f t="shared" si="80"/>
        <v/>
      </c>
      <c r="CM15" s="7" t="str">
        <f t="shared" si="81"/>
        <v/>
      </c>
      <c r="CN15" s="8" t="str">
        <f t="shared" si="82"/>
        <v/>
      </c>
      <c r="CO15" s="296" t="str">
        <f t="shared" si="201"/>
        <v/>
      </c>
      <c r="CP15" s="6" t="str">
        <f t="shared" si="202"/>
        <v/>
      </c>
      <c r="CQ15" s="7" t="str">
        <f t="shared" si="203"/>
        <v/>
      </c>
      <c r="CR15" s="7" t="str">
        <f t="shared" si="117"/>
        <v/>
      </c>
      <c r="CS15" s="10" t="str">
        <f t="shared" si="118"/>
        <v/>
      </c>
      <c r="CT15" s="11" t="str">
        <f t="shared" si="119"/>
        <v/>
      </c>
      <c r="CU15" s="8" t="str">
        <f t="shared" si="120"/>
        <v/>
      </c>
      <c r="CV15" s="6" t="str">
        <f t="shared" si="204"/>
        <v/>
      </c>
      <c r="CW15" s="7" t="str">
        <f t="shared" si="121"/>
        <v/>
      </c>
      <c r="CX15" s="10" t="str">
        <f t="shared" si="122"/>
        <v/>
      </c>
      <c r="CY15" s="11" t="str">
        <f t="shared" si="123"/>
        <v/>
      </c>
      <c r="CZ15" s="7" t="str">
        <f t="shared" si="124"/>
        <v/>
      </c>
      <c r="DA15" s="8" t="str">
        <f t="shared" si="125"/>
        <v/>
      </c>
      <c r="DB15" s="6" t="str">
        <f t="shared" si="126"/>
        <v/>
      </c>
      <c r="DC15" s="7" t="str">
        <f t="shared" si="126"/>
        <v/>
      </c>
      <c r="DD15" s="12" t="str">
        <f t="shared" si="127"/>
        <v/>
      </c>
      <c r="DE15" s="11" t="str">
        <f t="shared" si="128"/>
        <v/>
      </c>
      <c r="DF15" s="7" t="str">
        <f t="shared" si="128"/>
        <v/>
      </c>
      <c r="DG15" s="12" t="str">
        <f t="shared" si="129"/>
        <v/>
      </c>
      <c r="DH15" s="174" t="str">
        <f t="shared" si="130"/>
        <v/>
      </c>
      <c r="DI15" s="6" t="str">
        <f t="shared" si="131"/>
        <v/>
      </c>
      <c r="DJ15" s="7" t="str">
        <f t="shared" si="132"/>
        <v/>
      </c>
      <c r="DK15" s="12" t="str">
        <f t="shared" si="133"/>
        <v/>
      </c>
      <c r="DL15" s="11" t="str">
        <f t="shared" si="134"/>
        <v/>
      </c>
      <c r="DM15" s="328" t="str">
        <f t="shared" si="135"/>
        <v/>
      </c>
      <c r="DN15" s="376" t="str">
        <f t="shared" si="136"/>
        <v/>
      </c>
      <c r="DO15" s="11" t="str">
        <f t="shared" si="137"/>
        <v/>
      </c>
      <c r="DP15" s="328" t="str">
        <f t="shared" si="138"/>
        <v/>
      </c>
      <c r="DQ15" s="13" t="str">
        <f t="shared" si="139"/>
        <v/>
      </c>
      <c r="DR15" s="328" t="str">
        <f t="shared" si="140"/>
        <v/>
      </c>
      <c r="DS15" s="7" t="str">
        <f t="shared" si="141"/>
        <v/>
      </c>
      <c r="DT15" s="7" t="str">
        <f t="shared" si="142"/>
        <v/>
      </c>
      <c r="DU15" s="7" t="str">
        <f t="shared" si="143"/>
        <v/>
      </c>
      <c r="DV15" s="7" t="str">
        <f t="shared" si="144"/>
        <v/>
      </c>
      <c r="DW15" s="7" t="str">
        <f t="shared" si="145"/>
        <v/>
      </c>
      <c r="DX15" s="296" t="str">
        <f t="shared" si="146"/>
        <v/>
      </c>
      <c r="DY15" s="11" t="str">
        <f t="shared" si="147"/>
        <v/>
      </c>
      <c r="DZ15" s="7" t="str">
        <f t="shared" si="148"/>
        <v/>
      </c>
      <c r="EA15" s="12" t="str">
        <f t="shared" si="149"/>
        <v/>
      </c>
      <c r="EB15" s="8" t="str">
        <f t="shared" si="150"/>
        <v/>
      </c>
      <c r="EC15" s="328" t="str">
        <f t="shared" si="151"/>
        <v/>
      </c>
      <c r="ED15" s="7" t="str">
        <f t="shared" si="152"/>
        <v/>
      </c>
      <c r="EE15" s="6" t="str">
        <f t="shared" si="153"/>
        <v/>
      </c>
      <c r="EF15" s="7" t="str">
        <f t="shared" si="154"/>
        <v/>
      </c>
      <c r="EG15" s="12" t="str">
        <f t="shared" si="155"/>
        <v/>
      </c>
      <c r="EH15" s="11" t="str">
        <f t="shared" si="156"/>
        <v/>
      </c>
      <c r="EI15" s="7" t="str">
        <f t="shared" si="157"/>
        <v/>
      </c>
      <c r="EJ15" s="8" t="str">
        <f t="shared" si="158"/>
        <v/>
      </c>
      <c r="EK15" s="491" t="str">
        <f t="shared" si="159"/>
        <v/>
      </c>
      <c r="EL15" s="493" t="str">
        <f t="shared" si="160"/>
        <v/>
      </c>
      <c r="EM15" s="6" t="str">
        <f t="shared" si="161"/>
        <v/>
      </c>
      <c r="EN15" s="7" t="str">
        <f t="shared" si="162"/>
        <v/>
      </c>
      <c r="EO15" s="12" t="str">
        <f t="shared" si="163"/>
        <v/>
      </c>
      <c r="EP15" s="11" t="str">
        <f t="shared" si="164"/>
        <v/>
      </c>
      <c r="EQ15" s="7" t="str">
        <f t="shared" si="165"/>
        <v/>
      </c>
      <c r="ER15" s="9" t="str">
        <f t="shared" si="166"/>
        <v/>
      </c>
      <c r="ES15" s="24" t="str">
        <f t="shared" si="167"/>
        <v/>
      </c>
      <c r="ET15" s="7" t="str">
        <f t="shared" si="168"/>
        <v/>
      </c>
      <c r="EU15" s="12" t="str">
        <f t="shared" si="169"/>
        <v/>
      </c>
      <c r="EV15" s="337" t="str">
        <f t="shared" si="15"/>
        <v/>
      </c>
      <c r="EW15" s="11" t="str">
        <f t="shared" si="16"/>
        <v/>
      </c>
      <c r="EX15" s="7" t="str">
        <f t="shared" si="17"/>
        <v/>
      </c>
      <c r="EY15" s="8" t="str">
        <f t="shared" si="170"/>
        <v/>
      </c>
      <c r="EZ15" s="123" t="str">
        <f t="shared" si="171"/>
        <v/>
      </c>
      <c r="FA15" s="534" t="str">
        <f t="shared" si="18"/>
        <v/>
      </c>
      <c r="FB15" s="535" t="str">
        <f t="shared" si="19"/>
        <v/>
      </c>
      <c r="FC15" s="537" t="str">
        <f t="shared" si="20"/>
        <v/>
      </c>
      <c r="FD15" s="6" t="str">
        <f t="shared" si="21"/>
        <v/>
      </c>
      <c r="FE15" s="7" t="str">
        <f t="shared" si="22"/>
        <v/>
      </c>
      <c r="FF15" s="9" t="str">
        <f t="shared" si="172"/>
        <v/>
      </c>
      <c r="FG15" s="328" t="str">
        <f t="shared" si="23"/>
        <v/>
      </c>
      <c r="FH15" s="7" t="str">
        <f t="shared" si="24"/>
        <v/>
      </c>
      <c r="FI15" s="12" t="str">
        <f t="shared" si="25"/>
        <v/>
      </c>
      <c r="FJ15" s="547" t="str">
        <f t="shared" si="173"/>
        <v/>
      </c>
      <c r="FK15" s="6" t="str">
        <f t="shared" si="26"/>
        <v/>
      </c>
      <c r="FL15" s="7" t="str">
        <f t="shared" si="174"/>
        <v/>
      </c>
      <c r="FM15" s="10" t="str">
        <f t="shared" si="175"/>
        <v/>
      </c>
      <c r="FN15" s="11" t="str">
        <f t="shared" si="176"/>
        <v/>
      </c>
      <c r="FO15" s="12" t="str">
        <f t="shared" si="27"/>
        <v/>
      </c>
      <c r="FP15" s="545" t="str">
        <f t="shared" si="28"/>
        <v/>
      </c>
      <c r="FQ15" s="328" t="str">
        <f>IF(ISNUMBER($AV15),SIN(RADIANS(FN15)),"")</f>
        <v/>
      </c>
      <c r="FR15" s="12" t="str">
        <f t="shared" si="177"/>
        <v/>
      </c>
      <c r="FS15" s="11" t="str">
        <f>IF(ISNUMBER($AV15),FQ15/(FQ15+FR15),"")</f>
        <v/>
      </c>
      <c r="FT15" s="8" t="str">
        <f t="shared" si="179"/>
        <v/>
      </c>
      <c r="FU15" s="6" t="str">
        <f t="shared" si="180"/>
        <v/>
      </c>
      <c r="FV15" s="7" t="str">
        <f t="shared" si="181"/>
        <v/>
      </c>
      <c r="FW15" s="10" t="str">
        <f t="shared" si="206"/>
        <v/>
      </c>
      <c r="FX15" s="11" t="str">
        <f t="shared" si="207"/>
        <v/>
      </c>
      <c r="FY15" s="12" t="str">
        <f t="shared" si="29"/>
        <v/>
      </c>
      <c r="FZ15" s="545" t="str">
        <f t="shared" si="208"/>
        <v/>
      </c>
      <c r="GA15" s="372" t="str">
        <f t="shared" si="182"/>
        <v/>
      </c>
      <c r="GB15" s="46" t="str">
        <f t="shared" si="183"/>
        <v/>
      </c>
      <c r="GC15" s="47" t="str">
        <f t="shared" si="184"/>
        <v/>
      </c>
      <c r="GD15" s="578" t="str">
        <f t="shared" si="185"/>
        <v/>
      </c>
      <c r="GE15" s="585" t="str">
        <f t="shared" si="186"/>
        <v/>
      </c>
      <c r="GF15" s="634" t="str">
        <f t="shared" si="209"/>
        <v/>
      </c>
      <c r="GG15" s="553" t="str">
        <f t="shared" si="30"/>
        <v/>
      </c>
      <c r="GH15" s="554" t="str">
        <f t="shared" si="31"/>
        <v/>
      </c>
      <c r="GI15" s="549" t="str">
        <f t="shared" si="32"/>
        <v/>
      </c>
      <c r="GJ15" s="296" t="str">
        <f t="shared" si="187"/>
        <v/>
      </c>
      <c r="GK15" s="337" t="str">
        <f t="shared" si="33"/>
        <v/>
      </c>
      <c r="GL15" s="337" t="str">
        <f t="shared" si="188"/>
        <v/>
      </c>
      <c r="GM15" s="372" t="str">
        <f t="shared" si="210"/>
        <v/>
      </c>
      <c r="GN15" s="548" t="str">
        <f t="shared" si="189"/>
        <v/>
      </c>
      <c r="GO15" s="6" t="str">
        <f t="shared" si="190"/>
        <v/>
      </c>
      <c r="GP15" s="10" t="str">
        <f t="shared" si="211"/>
        <v/>
      </c>
      <c r="GQ15" s="372" t="str">
        <f t="shared" si="191"/>
        <v/>
      </c>
      <c r="GR15" s="697" t="str">
        <f t="shared" si="212"/>
        <v/>
      </c>
      <c r="GS15" s="637" t="str">
        <f t="shared" si="35"/>
        <v/>
      </c>
      <c r="GT15" s="638" t="str">
        <f t="shared" si="36"/>
        <v/>
      </c>
      <c r="GU15" s="639" t="str">
        <f t="shared" si="37"/>
        <v/>
      </c>
      <c r="GV15" s="638" t="str">
        <f t="shared" si="192"/>
        <v/>
      </c>
      <c r="GW15" s="640" t="str">
        <f t="shared" si="38"/>
        <v/>
      </c>
      <c r="GX15" s="641" t="str">
        <f t="shared" si="39"/>
        <v/>
      </c>
      <c r="GY15" s="639" t="str">
        <f t="shared" si="40"/>
        <v/>
      </c>
      <c r="GZ15" s="640" t="str">
        <f t="shared" si="41"/>
        <v/>
      </c>
      <c r="HA15" s="637" t="str">
        <f t="shared" si="42"/>
        <v/>
      </c>
      <c r="HB15" s="7" t="str">
        <f t="shared" si="193"/>
        <v/>
      </c>
      <c r="HC15" s="638" t="str">
        <f t="shared" si="194"/>
        <v/>
      </c>
      <c r="HD15" s="640" t="str">
        <f t="shared" si="195"/>
        <v/>
      </c>
      <c r="HE15" s="639" t="str">
        <f t="shared" si="43"/>
        <v/>
      </c>
      <c r="HF15" s="7" t="str">
        <f t="shared" si="44"/>
        <v/>
      </c>
      <c r="HG15" s="638" t="str">
        <f t="shared" si="196"/>
        <v/>
      </c>
      <c r="HH15" s="644" t="str">
        <f t="shared" si="197"/>
        <v/>
      </c>
      <c r="HI15" s="596" t="str">
        <f t="shared" si="198"/>
        <v/>
      </c>
      <c r="HJ15" s="625"/>
      <c r="HK15" s="1232">
        <f t="shared" si="83"/>
        <v>7</v>
      </c>
      <c r="HL15" s="583">
        <f t="shared" si="84"/>
        <v>1.617</v>
      </c>
      <c r="HM15" s="643">
        <f t="shared" si="45"/>
        <v>1.107</v>
      </c>
      <c r="HN15" s="660">
        <f t="shared" si="45"/>
        <v>-4.6424090545373149</v>
      </c>
      <c r="HO15" s="661">
        <f t="shared" si="45"/>
        <v>13.344550876956198</v>
      </c>
      <c r="HP15" s="656">
        <f t="shared" si="45"/>
        <v>14.066659479956691</v>
      </c>
      <c r="HQ15" s="660">
        <f t="shared" si="45"/>
        <v>5.6599999999999998E-2</v>
      </c>
      <c r="HR15" s="671">
        <f t="shared" si="45"/>
        <v>4.7537880214280098E-2</v>
      </c>
      <c r="HS15" s="655">
        <f t="shared" si="45"/>
        <v>3672.1963866181381</v>
      </c>
      <c r="HT15" s="648">
        <f t="shared" si="45"/>
        <v>226.04219492712349</v>
      </c>
      <c r="HU15" s="649">
        <f>IF(ISNUMBER($HL15),VLOOKUP($HL15,$GJ$9:$HI$130,HU$1,FALSE),"")</f>
        <v>2783.6644875860607</v>
      </c>
      <c r="HV15" s="650">
        <f>IF(ISNUMBER($HL15),VLOOKUP($HL15,$GJ$9:$HI$130,HV$1,FALSE),"")</f>
        <v>662.48970410495406</v>
      </c>
      <c r="HW15" s="648">
        <f t="shared" si="45"/>
        <v>266.90052919515892</v>
      </c>
      <c r="HX15" s="649">
        <f t="shared" si="45"/>
        <v>3286.8267142690902</v>
      </c>
      <c r="HY15" s="650">
        <f t="shared" si="45"/>
        <v>782.2382571933673</v>
      </c>
      <c r="HZ15" s="648">
        <f>IF(ISNUMBER($HL15),VLOOKUP($HL15,$GJ$9:$HI$130,HZ$1,FALSE),"")</f>
        <v>58071.143361644703</v>
      </c>
      <c r="IA15" s="649">
        <f t="shared" si="45"/>
        <v>442.89989974775995</v>
      </c>
      <c r="IB15" s="716"/>
      <c r="IC15" s="741">
        <f>HS15/[1]Assy.Model!HS15</f>
        <v>0.83682104994495143</v>
      </c>
      <c r="ID15" s="741">
        <f>HT15/[1]Assy.Model!HT15</f>
        <v>0.94322540306044622</v>
      </c>
      <c r="IE15" s="741">
        <f>HU15/[1]Assy.Model!HU15</f>
        <v>0.76957628537013945</v>
      </c>
      <c r="IF15" s="741">
        <f>HV15/[1]Assy.Model!HV15</f>
        <v>1.2464942126317236</v>
      </c>
    </row>
    <row r="16" spans="2:243" ht="15" customHeight="1" thickBot="1" x14ac:dyDescent="0.3">
      <c r="B16" s="143">
        <v>0.84664451138934105</v>
      </c>
      <c r="C16" s="144">
        <v>2.4073690957275056</v>
      </c>
      <c r="D16" s="145">
        <v>-6.7500203580614149E-2</v>
      </c>
      <c r="E16" s="146">
        <v>-0.83436064895461359</v>
      </c>
      <c r="F16" s="144">
        <v>0.44852539122902285</v>
      </c>
      <c r="G16" s="147">
        <v>0.32041735424113377</v>
      </c>
      <c r="H16" s="146">
        <v>0.26600000000000001</v>
      </c>
      <c r="I16" s="144">
        <v>0.52</v>
      </c>
      <c r="J16" s="306">
        <v>1.212</v>
      </c>
      <c r="K16" s="699" t="str">
        <f t="shared" si="199"/>
        <v>13</v>
      </c>
      <c r="M16" s="292">
        <f t="shared" si="46"/>
        <v>1.212</v>
      </c>
      <c r="N16" s="24">
        <f t="shared" si="47"/>
        <v>0.84664451138934105</v>
      </c>
      <c r="O16" s="7">
        <f t="shared" si="48"/>
        <v>2.4073690957275056</v>
      </c>
      <c r="P16" s="12">
        <f t="shared" si="49"/>
        <v>-6.7500203580614149E-2</v>
      </c>
      <c r="Q16" s="11">
        <f t="shared" si="85"/>
        <v>70.623802797576744</v>
      </c>
      <c r="R16" s="7">
        <f t="shared" si="50"/>
        <v>2.5519076965536125</v>
      </c>
      <c r="S16" s="8">
        <f t="shared" si="51"/>
        <v>-6.7500203580614149E-2</v>
      </c>
      <c r="T16" s="6">
        <f t="shared" si="52"/>
        <v>2.4204976213561222</v>
      </c>
      <c r="U16" s="7">
        <f t="shared" si="53"/>
        <v>-0.80834655732483851</v>
      </c>
      <c r="V16" s="10">
        <f t="shared" si="86"/>
        <v>-6.7500203580614149E-2</v>
      </c>
      <c r="W16" s="11">
        <f t="shared" si="214"/>
        <v>341.5328026663334</v>
      </c>
      <c r="X16" s="7">
        <f t="shared" si="54"/>
        <v>2.5519076965536125</v>
      </c>
      <c r="Y16" s="9">
        <f t="shared" si="213"/>
        <v>-6.7500203580614149E-2</v>
      </c>
      <c r="Z16" s="24">
        <f t="shared" si="87"/>
        <v>0.83436064895461359</v>
      </c>
      <c r="AA16" s="7">
        <f t="shared" si="55"/>
        <v>-0.44852539122902285</v>
      </c>
      <c r="AB16" s="7">
        <f t="shared" si="56"/>
        <v>-0.32041735424113377</v>
      </c>
      <c r="AC16" s="10">
        <f t="shared" si="57"/>
        <v>1</v>
      </c>
      <c r="AD16" s="11">
        <f t="shared" si="88"/>
        <v>0.83436064895461359</v>
      </c>
      <c r="AE16" s="7">
        <f t="shared" si="58"/>
        <v>-0.44852539122902285</v>
      </c>
      <c r="AF16" s="12">
        <f t="shared" si="59"/>
        <v>-0.32041735424113377</v>
      </c>
      <c r="AG16" s="6">
        <f t="shared" si="60"/>
        <v>-54.458763415530896</v>
      </c>
      <c r="AH16" s="12">
        <f t="shared" si="61"/>
        <v>33.450676827052924</v>
      </c>
      <c r="AI16" s="11">
        <f t="shared" si="62"/>
        <v>-71.311833428561741</v>
      </c>
      <c r="AJ16" s="8">
        <f t="shared" si="63"/>
        <v>61.738958006532179</v>
      </c>
      <c r="AK16" s="6">
        <f t="shared" si="89"/>
        <v>0.93590987045213281</v>
      </c>
      <c r="AL16" s="7">
        <f t="shared" si="64"/>
        <v>-0.14630595849583161</v>
      </c>
      <c r="AM16" s="8">
        <f t="shared" si="65"/>
        <v>-0.32041735424113377</v>
      </c>
      <c r="AN16" s="6">
        <f t="shared" si="66"/>
        <v>-24.541941316455958</v>
      </c>
      <c r="AO16" s="10">
        <f t="shared" si="3"/>
        <v>20.624358522645291</v>
      </c>
      <c r="AP16" s="11">
        <f t="shared" si="67"/>
        <v>-8.8848447910445696</v>
      </c>
      <c r="AQ16" s="8">
        <f t="shared" si="200"/>
        <v>0.8934145185351835</v>
      </c>
      <c r="AS16" s="123">
        <f t="shared" si="90"/>
        <v>-18.467197333666604</v>
      </c>
      <c r="AT16" s="174">
        <f t="shared" si="68"/>
        <v>-5.404451107893133E-2</v>
      </c>
      <c r="AV16" s="292" t="str">
        <f>IF(AND(ISNUMBER(VALUE(K16)),ISNUMBER(AW16),ISNUMBER(AX16),ISNUMBER(AY16),AY16&gt;=0.0001),$M16,"")</f>
        <v/>
      </c>
      <c r="AW16" s="439"/>
      <c r="AX16" s="440"/>
      <c r="AY16" s="442"/>
      <c r="AZ16" s="565" t="str">
        <f>IF(ISNUMBER(AV16),$AY16*SQRT((2*PI()*$AW16)^2+$AS$5^2),"")</f>
        <v/>
      </c>
      <c r="BA16" s="564" t="str">
        <f t="shared" si="93"/>
        <v/>
      </c>
      <c r="BB16" s="559" t="str">
        <f>IF(ISNUMBER($AV16),$AX16-($AT16+$AS$5),"")</f>
        <v/>
      </c>
      <c r="BC16" s="11"/>
      <c r="BD16" s="7" t="str">
        <f>IF(ISNUMBER(AV16),AW16,"")</f>
        <v/>
      </c>
      <c r="BE16" s="8" t="str">
        <f t="shared" si="96"/>
        <v/>
      </c>
      <c r="BF16" s="6" t="str">
        <f t="shared" si="97"/>
        <v/>
      </c>
      <c r="BG16" s="7" t="str">
        <f t="shared" si="98"/>
        <v/>
      </c>
      <c r="BH16" s="12" t="str">
        <f t="shared" si="99"/>
        <v/>
      </c>
      <c r="BI16" s="11" t="str">
        <f t="shared" si="100"/>
        <v/>
      </c>
      <c r="BJ16" s="7" t="str">
        <f t="shared" si="101"/>
        <v/>
      </c>
      <c r="BK16" s="10" t="str">
        <f t="shared" si="102"/>
        <v/>
      </c>
      <c r="BL16" s="328" t="str">
        <f t="shared" si="103"/>
        <v/>
      </c>
      <c r="BM16" s="7" t="str">
        <f t="shared" si="104"/>
        <v/>
      </c>
      <c r="BN16" s="8" t="str">
        <f t="shared" si="105"/>
        <v/>
      </c>
      <c r="BO16" s="6" t="str">
        <f t="shared" si="106"/>
        <v/>
      </c>
      <c r="BP16" s="7" t="str">
        <f t="shared" si="107"/>
        <v/>
      </c>
      <c r="BQ16" s="7" t="str">
        <f t="shared" si="108"/>
        <v/>
      </c>
      <c r="BR16" s="8" t="str">
        <f t="shared" si="109"/>
        <v/>
      </c>
      <c r="BS16" s="6" t="str">
        <f t="shared" si="69"/>
        <v/>
      </c>
      <c r="BT16" s="7" t="str">
        <f t="shared" si="69"/>
        <v/>
      </c>
      <c r="BU16" s="12" t="str">
        <f t="shared" si="70"/>
        <v/>
      </c>
      <c r="BV16" s="11" t="str">
        <f t="shared" si="71"/>
        <v/>
      </c>
      <c r="BW16" s="7" t="str">
        <f t="shared" si="72"/>
        <v/>
      </c>
      <c r="BX16" s="10" t="str">
        <f t="shared" si="73"/>
        <v/>
      </c>
      <c r="BY16" s="328" t="str">
        <f t="shared" si="74"/>
        <v/>
      </c>
      <c r="BZ16" s="7" t="str">
        <f t="shared" si="75"/>
        <v/>
      </c>
      <c r="CA16" s="8" t="str">
        <f t="shared" si="76"/>
        <v/>
      </c>
      <c r="CB16" s="6" t="str">
        <f t="shared" si="110"/>
        <v/>
      </c>
      <c r="CC16" s="7" t="str">
        <f t="shared" si="111"/>
        <v/>
      </c>
      <c r="CD16" s="7" t="str">
        <f t="shared" si="112"/>
        <v/>
      </c>
      <c r="CE16" s="8" t="str">
        <f t="shared" si="113"/>
        <v/>
      </c>
      <c r="CF16" s="6" t="str">
        <f t="shared" si="114"/>
        <v/>
      </c>
      <c r="CG16" s="7" t="str">
        <f t="shared" si="115"/>
        <v/>
      </c>
      <c r="CH16" s="7" t="str">
        <f t="shared" si="116"/>
        <v/>
      </c>
      <c r="CI16" s="6" t="str">
        <f t="shared" si="77"/>
        <v/>
      </c>
      <c r="CJ16" s="7" t="str">
        <f t="shared" si="78"/>
        <v/>
      </c>
      <c r="CK16" s="10" t="str">
        <f t="shared" si="79"/>
        <v/>
      </c>
      <c r="CL16" s="328" t="str">
        <f t="shared" si="80"/>
        <v/>
      </c>
      <c r="CM16" s="7" t="str">
        <f t="shared" si="81"/>
        <v/>
      </c>
      <c r="CN16" s="8" t="str">
        <f t="shared" si="82"/>
        <v/>
      </c>
      <c r="CO16" s="296" t="str">
        <f t="shared" si="201"/>
        <v/>
      </c>
      <c r="CP16" s="6" t="str">
        <f t="shared" si="202"/>
        <v/>
      </c>
      <c r="CQ16" s="7" t="str">
        <f t="shared" si="203"/>
        <v/>
      </c>
      <c r="CR16" s="7" t="str">
        <f>IF(ISNUMBER($AV16),BF16^2+BG16^2+BH16^2+CI16^2+CJ16^2+CK16^2-2*(BF16*CI16+BG16*CJ16+BH16*CK16)-CO16^2,"")</f>
        <v/>
      </c>
      <c r="CS16" s="10" t="str">
        <f t="shared" si="118"/>
        <v/>
      </c>
      <c r="CT16" s="11" t="str">
        <f t="shared" si="119"/>
        <v/>
      </c>
      <c r="CU16" s="8" t="str">
        <f t="shared" si="120"/>
        <v/>
      </c>
      <c r="CV16" s="6" t="str">
        <f t="shared" si="204"/>
        <v/>
      </c>
      <c r="CW16" s="7" t="str">
        <f t="shared" si="121"/>
        <v/>
      </c>
      <c r="CX16" s="10" t="str">
        <f t="shared" si="122"/>
        <v/>
      </c>
      <c r="CY16" s="11" t="str">
        <f t="shared" si="123"/>
        <v/>
      </c>
      <c r="CZ16" s="7" t="str">
        <f t="shared" si="124"/>
        <v/>
      </c>
      <c r="DA16" s="8" t="str">
        <f t="shared" si="125"/>
        <v/>
      </c>
      <c r="DB16" s="6" t="str">
        <f t="shared" si="126"/>
        <v/>
      </c>
      <c r="DC16" s="7" t="str">
        <f t="shared" si="126"/>
        <v/>
      </c>
      <c r="DD16" s="12" t="str">
        <f>IF(ISNUMBER($AV16),-10,"")</f>
        <v/>
      </c>
      <c r="DE16" s="11" t="str">
        <f t="shared" si="128"/>
        <v/>
      </c>
      <c r="DF16" s="7" t="str">
        <f t="shared" si="128"/>
        <v/>
      </c>
      <c r="DG16" s="12" t="str">
        <f t="shared" si="129"/>
        <v/>
      </c>
      <c r="DH16" s="174" t="str">
        <f t="shared" si="130"/>
        <v/>
      </c>
      <c r="DI16" s="6" t="str">
        <f t="shared" si="131"/>
        <v/>
      </c>
      <c r="DJ16" s="7" t="str">
        <f t="shared" si="132"/>
        <v/>
      </c>
      <c r="DK16" s="12" t="str">
        <f t="shared" si="133"/>
        <v/>
      </c>
      <c r="DL16" s="11" t="str">
        <f t="shared" si="134"/>
        <v/>
      </c>
      <c r="DM16" s="328" t="str">
        <f t="shared" si="135"/>
        <v/>
      </c>
      <c r="DN16" s="376" t="str">
        <f t="shared" si="136"/>
        <v/>
      </c>
      <c r="DO16" s="11" t="str">
        <f t="shared" si="137"/>
        <v/>
      </c>
      <c r="DP16" s="328" t="str">
        <f t="shared" si="138"/>
        <v/>
      </c>
      <c r="DQ16" s="13" t="str">
        <f t="shared" si="139"/>
        <v/>
      </c>
      <c r="DR16" s="328" t="str">
        <f t="shared" si="140"/>
        <v/>
      </c>
      <c r="DS16" s="7" t="str">
        <f t="shared" si="141"/>
        <v/>
      </c>
      <c r="DT16" s="7" t="str">
        <f t="shared" si="142"/>
        <v/>
      </c>
      <c r="DU16" s="7" t="str">
        <f t="shared" si="143"/>
        <v/>
      </c>
      <c r="DV16" s="7" t="str">
        <f t="shared" si="144"/>
        <v/>
      </c>
      <c r="DW16" s="7" t="str">
        <f t="shared" si="145"/>
        <v/>
      </c>
      <c r="DX16" s="296" t="str">
        <f t="shared" si="146"/>
        <v/>
      </c>
      <c r="DY16" s="11" t="str">
        <f t="shared" si="147"/>
        <v/>
      </c>
      <c r="DZ16" s="7" t="str">
        <f t="shared" si="148"/>
        <v/>
      </c>
      <c r="EA16" s="12" t="str">
        <f t="shared" si="149"/>
        <v/>
      </c>
      <c r="EB16" s="8" t="str">
        <f t="shared" si="150"/>
        <v/>
      </c>
      <c r="EC16" s="328" t="str">
        <f t="shared" si="151"/>
        <v/>
      </c>
      <c r="ED16" s="7" t="str">
        <f t="shared" si="152"/>
        <v/>
      </c>
      <c r="EE16" s="6" t="str">
        <f t="shared" si="153"/>
        <v/>
      </c>
      <c r="EF16" s="7" t="str">
        <f t="shared" si="154"/>
        <v/>
      </c>
      <c r="EG16" s="12" t="str">
        <f t="shared" si="155"/>
        <v/>
      </c>
      <c r="EH16" s="11" t="str">
        <f t="shared" si="156"/>
        <v/>
      </c>
      <c r="EI16" s="7" t="str">
        <f t="shared" si="157"/>
        <v/>
      </c>
      <c r="EJ16" s="8" t="str">
        <f t="shared" si="158"/>
        <v/>
      </c>
      <c r="EK16" s="491" t="str">
        <f t="shared" si="159"/>
        <v/>
      </c>
      <c r="EL16" s="493" t="str">
        <f t="shared" si="160"/>
        <v/>
      </c>
      <c r="EM16" s="6" t="str">
        <f t="shared" si="161"/>
        <v/>
      </c>
      <c r="EN16" s="7" t="str">
        <f t="shared" si="162"/>
        <v/>
      </c>
      <c r="EO16" s="12" t="str">
        <f t="shared" si="163"/>
        <v/>
      </c>
      <c r="EP16" s="11" t="str">
        <f t="shared" si="164"/>
        <v/>
      </c>
      <c r="EQ16" s="7" t="str">
        <f t="shared" si="165"/>
        <v/>
      </c>
      <c r="ER16" s="9" t="str">
        <f t="shared" si="166"/>
        <v/>
      </c>
      <c r="ES16" s="24" t="str">
        <f t="shared" si="167"/>
        <v/>
      </c>
      <c r="ET16" s="7" t="str">
        <f t="shared" si="168"/>
        <v/>
      </c>
      <c r="EU16" s="12" t="str">
        <f t="shared" si="169"/>
        <v/>
      </c>
      <c r="EV16" s="337" t="str">
        <f t="shared" si="15"/>
        <v/>
      </c>
      <c r="EW16" s="11" t="str">
        <f t="shared" si="16"/>
        <v/>
      </c>
      <c r="EX16" s="7" t="str">
        <f t="shared" si="17"/>
        <v/>
      </c>
      <c r="EY16" s="8" t="str">
        <f t="shared" si="170"/>
        <v/>
      </c>
      <c r="EZ16" s="123" t="str">
        <f t="shared" si="171"/>
        <v/>
      </c>
      <c r="FA16" s="534" t="str">
        <f>IF(ISNUMBER($AV16),SIN(RADIANS($EP16))*COS(RADIANS($EZ16)),"")</f>
        <v/>
      </c>
      <c r="FB16" s="535" t="str">
        <f t="shared" si="19"/>
        <v/>
      </c>
      <c r="FC16" s="537" t="str">
        <f t="shared" si="20"/>
        <v/>
      </c>
      <c r="FD16" s="6" t="str">
        <f t="shared" si="21"/>
        <v/>
      </c>
      <c r="FE16" s="7" t="str">
        <f t="shared" si="22"/>
        <v/>
      </c>
      <c r="FF16" s="9" t="str">
        <f t="shared" si="172"/>
        <v/>
      </c>
      <c r="FG16" s="328" t="str">
        <f t="shared" si="23"/>
        <v/>
      </c>
      <c r="FH16" s="7" t="str">
        <f t="shared" si="24"/>
        <v/>
      </c>
      <c r="FI16" s="12" t="str">
        <f t="shared" si="25"/>
        <v/>
      </c>
      <c r="FJ16" s="547" t="str">
        <f t="shared" si="173"/>
        <v/>
      </c>
      <c r="FK16" s="6" t="str">
        <f t="shared" si="26"/>
        <v/>
      </c>
      <c r="FL16" s="7" t="str">
        <f t="shared" si="174"/>
        <v/>
      </c>
      <c r="FM16" s="10" t="str">
        <f t="shared" si="175"/>
        <v/>
      </c>
      <c r="FN16" s="11" t="str">
        <f t="shared" si="176"/>
        <v/>
      </c>
      <c r="FO16" s="12" t="str">
        <f t="shared" si="27"/>
        <v/>
      </c>
      <c r="FP16" s="545" t="str">
        <f t="shared" si="28"/>
        <v/>
      </c>
      <c r="FQ16" s="328" t="str">
        <f t="shared" si="205"/>
        <v/>
      </c>
      <c r="FR16" s="12" t="str">
        <f t="shared" si="177"/>
        <v/>
      </c>
      <c r="FS16" s="11" t="str">
        <f t="shared" si="178"/>
        <v/>
      </c>
      <c r="FT16" s="8" t="str">
        <f t="shared" si="179"/>
        <v/>
      </c>
      <c r="FU16" s="6" t="str">
        <f t="shared" si="180"/>
        <v/>
      </c>
      <c r="FV16" s="7" t="str">
        <f t="shared" si="181"/>
        <v/>
      </c>
      <c r="FW16" s="10" t="str">
        <f t="shared" si="206"/>
        <v/>
      </c>
      <c r="FX16" s="11" t="str">
        <f t="shared" si="207"/>
        <v/>
      </c>
      <c r="FY16" s="12" t="str">
        <f t="shared" si="29"/>
        <v/>
      </c>
      <c r="FZ16" s="545" t="str">
        <f t="shared" si="208"/>
        <v/>
      </c>
      <c r="GA16" s="372" t="str">
        <f t="shared" si="182"/>
        <v/>
      </c>
      <c r="GB16" s="46" t="str">
        <f t="shared" si="183"/>
        <v/>
      </c>
      <c r="GC16" s="47" t="str">
        <f t="shared" si="184"/>
        <v/>
      </c>
      <c r="GD16" s="578" t="str">
        <f t="shared" si="185"/>
        <v/>
      </c>
      <c r="GE16" s="585" t="str">
        <f t="shared" si="186"/>
        <v/>
      </c>
      <c r="GF16" s="634" t="str">
        <f t="shared" si="209"/>
        <v/>
      </c>
      <c r="GG16" s="553" t="str">
        <f t="shared" si="30"/>
        <v/>
      </c>
      <c r="GH16" s="554" t="str">
        <f t="shared" si="31"/>
        <v/>
      </c>
      <c r="GI16" s="549" t="str">
        <f t="shared" si="32"/>
        <v/>
      </c>
      <c r="GJ16" s="296" t="str">
        <f>IF(ISNUMBER($AV16),AW16,"")</f>
        <v/>
      </c>
      <c r="GK16" s="337" t="str">
        <f t="shared" si="33"/>
        <v/>
      </c>
      <c r="GL16" s="337" t="str">
        <f>IF(ISNUMBER($AV16),AY16,"")</f>
        <v/>
      </c>
      <c r="GM16" s="372" t="str">
        <f t="shared" si="210"/>
        <v/>
      </c>
      <c r="GN16" s="548" t="str">
        <f t="shared" si="189"/>
        <v/>
      </c>
      <c r="GO16" s="6" t="str">
        <f t="shared" si="190"/>
        <v/>
      </c>
      <c r="GP16" s="10" t="str">
        <f t="shared" si="211"/>
        <v/>
      </c>
      <c r="GQ16" s="372" t="str">
        <f t="shared" si="191"/>
        <v/>
      </c>
      <c r="GR16" s="697" t="str">
        <f t="shared" si="212"/>
        <v/>
      </c>
      <c r="GS16" s="637" t="str">
        <f t="shared" si="35"/>
        <v/>
      </c>
      <c r="GT16" s="638" t="str">
        <f t="shared" si="36"/>
        <v/>
      </c>
      <c r="GU16" s="639" t="str">
        <f t="shared" si="37"/>
        <v/>
      </c>
      <c r="GV16" s="638" t="str">
        <f t="shared" si="192"/>
        <v/>
      </c>
      <c r="GW16" s="640" t="str">
        <f t="shared" si="38"/>
        <v/>
      </c>
      <c r="GX16" s="641" t="str">
        <f t="shared" si="39"/>
        <v/>
      </c>
      <c r="GY16" s="639" t="str">
        <f t="shared" si="40"/>
        <v/>
      </c>
      <c r="GZ16" s="640" t="str">
        <f t="shared" si="41"/>
        <v/>
      </c>
      <c r="HA16" s="637" t="str">
        <f t="shared" si="42"/>
        <v/>
      </c>
      <c r="HB16" s="7" t="str">
        <f t="shared" si="193"/>
        <v/>
      </c>
      <c r="HC16" s="638" t="str">
        <f t="shared" si="194"/>
        <v/>
      </c>
      <c r="HD16" s="640" t="str">
        <f t="shared" si="195"/>
        <v/>
      </c>
      <c r="HE16" s="639" t="str">
        <f t="shared" si="43"/>
        <v/>
      </c>
      <c r="HF16" s="7" t="str">
        <f t="shared" si="44"/>
        <v/>
      </c>
      <c r="HG16" s="638" t="str">
        <f t="shared" si="196"/>
        <v/>
      </c>
      <c r="HH16" s="644" t="str">
        <f t="shared" si="197"/>
        <v/>
      </c>
      <c r="HI16" s="596" t="str">
        <f t="shared" si="198"/>
        <v/>
      </c>
      <c r="HJ16" s="625"/>
      <c r="HK16" s="1233">
        <f t="shared" si="83"/>
        <v>8</v>
      </c>
      <c r="HL16" s="730">
        <f t="shared" si="84"/>
        <v>1.8197000000000001</v>
      </c>
      <c r="HM16" s="731">
        <f t="shared" si="45"/>
        <v>5.1079999999999997</v>
      </c>
      <c r="HN16" s="732">
        <f t="shared" si="45"/>
        <v>-1.1901272268870393</v>
      </c>
      <c r="HO16" s="733">
        <f t="shared" si="45"/>
        <v>13.899897971504894</v>
      </c>
      <c r="HP16" s="734">
        <f t="shared" si="45"/>
        <v>13.946355286147138</v>
      </c>
      <c r="HQ16" s="732">
        <f t="shared" si="45"/>
        <v>4.3099999999999999E-2</v>
      </c>
      <c r="HR16" s="735">
        <f t="shared" si="45"/>
        <v>4.0734536705254704E-2</v>
      </c>
      <c r="HS16" s="736">
        <f t="shared" si="45"/>
        <v>3025.256706032731</v>
      </c>
      <c r="HT16" s="737">
        <f t="shared" si="45"/>
        <v>49.553357241092677</v>
      </c>
      <c r="HU16" s="738">
        <f t="shared" si="45"/>
        <v>2385.2826994718694</v>
      </c>
      <c r="HV16" s="739">
        <f t="shared" si="45"/>
        <v>590.42064931976881</v>
      </c>
      <c r="HW16" s="737">
        <f t="shared" si="45"/>
        <v>51.99611218906125</v>
      </c>
      <c r="HX16" s="738">
        <f t="shared" si="45"/>
        <v>2502.8662788868864</v>
      </c>
      <c r="HY16" s="739">
        <f t="shared" si="45"/>
        <v>619.52569977057215</v>
      </c>
      <c r="HZ16" s="737">
        <f t="shared" si="45"/>
        <v>58071.143361644703</v>
      </c>
      <c r="IA16" s="738">
        <f t="shared" si="45"/>
        <v>379.53881397420565</v>
      </c>
      <c r="IB16" s="716"/>
      <c r="IC16" s="742">
        <f>HS16/[1]Assy.Model!HS16</f>
        <v>1.0116689859666492</v>
      </c>
      <c r="ID16" s="742">
        <f>HT16/[1]Assy.Model!HT16</f>
        <v>8.8190461982690369</v>
      </c>
      <c r="IE16" s="742">
        <f>HU16/[1]Assy.Model!HU16</f>
        <v>0.99720736010312416</v>
      </c>
      <c r="IF16" s="742">
        <f>HV16/[1]Assy.Model!HV16</f>
        <v>0.9960186453108183</v>
      </c>
    </row>
    <row r="17" spans="2:240" s="35" customFormat="1" ht="15" customHeight="1" x14ac:dyDescent="0.25">
      <c r="B17" s="143">
        <v>0.9976442194611741</v>
      </c>
      <c r="C17" s="144">
        <v>3.0976181790806057</v>
      </c>
      <c r="D17" s="145">
        <v>-0.45930138525297814</v>
      </c>
      <c r="E17" s="146">
        <v>-0.76658652147053274</v>
      </c>
      <c r="F17" s="144">
        <v>0.59200780553881116</v>
      </c>
      <c r="G17" s="147">
        <v>0.24874055415398127</v>
      </c>
      <c r="H17" s="146">
        <v>0.26600000000000001</v>
      </c>
      <c r="I17" s="144">
        <v>0.52</v>
      </c>
      <c r="J17" s="306">
        <v>1.218</v>
      </c>
      <c r="K17" s="699" t="str">
        <f t="shared" si="199"/>
        <v>13</v>
      </c>
      <c r="M17" s="292">
        <f>IF(J17="","",J17)</f>
        <v>1.218</v>
      </c>
      <c r="N17" s="24">
        <f>IF(M17="","",B17)</f>
        <v>0.9976442194611741</v>
      </c>
      <c r="O17" s="7">
        <f>IF(M17="","",C17)</f>
        <v>3.0976181790806057</v>
      </c>
      <c r="P17" s="12">
        <f>IF(M17="","",D17)</f>
        <v>-0.45930138525297814</v>
      </c>
      <c r="Q17" s="11">
        <f t="shared" si="85"/>
        <v>72.147902577523965</v>
      </c>
      <c r="R17" s="7">
        <f>IF(M17="","",SQRT(N17^2+O17^2))</f>
        <v>3.2543098149984035</v>
      </c>
      <c r="S17" s="8">
        <f>IF(M17="","",P17)</f>
        <v>-0.45930138525297814</v>
      </c>
      <c r="T17" s="6">
        <f>IF(M17="","",X17*COS(RADIANS(W17)))</f>
        <v>3.1130553548580013</v>
      </c>
      <c r="U17" s="7">
        <f>IF(M17="","",X17*SIN(RADIANS(W17)))</f>
        <v>-0.94837689216095244</v>
      </c>
      <c r="V17" s="10">
        <f>IF(M17="","",Y17)</f>
        <v>-0.45930138525297814</v>
      </c>
      <c r="W17" s="11">
        <f t="shared" si="214"/>
        <v>343.05690244628062</v>
      </c>
      <c r="X17" s="7">
        <f>IF(M17="","",R17)</f>
        <v>3.2543098149984035</v>
      </c>
      <c r="Y17" s="9">
        <f t="shared" si="213"/>
        <v>-0.45930138525297814</v>
      </c>
      <c r="Z17" s="24">
        <f>IF(M17="","",-E17)</f>
        <v>0.76658652147053274</v>
      </c>
      <c r="AA17" s="7">
        <f>IF(M17="","",-F17)</f>
        <v>-0.59200780553881116</v>
      </c>
      <c r="AB17" s="7">
        <f>IF(M17="","",-G17)</f>
        <v>-0.24874055415398127</v>
      </c>
      <c r="AC17" s="10">
        <f>IF(M17="","",SQRT(Z17^2+AA17^2+AB17^2))</f>
        <v>1</v>
      </c>
      <c r="AD17" s="11">
        <f>IF(M17="","",Z17*(1/SQRT(Z17^2+AA17^2+AB17^2)))</f>
        <v>0.76658652147053274</v>
      </c>
      <c r="AE17" s="7">
        <f>IF(M17="","",AA17*(1/SQRT(Z17^2+AA17^2+AB17^2)))</f>
        <v>-0.59200780553881116</v>
      </c>
      <c r="AF17" s="12">
        <f>IF(M17="","",AB17*(1/SQRT(Z17^2+AA17^2+AB17^2)))</f>
        <v>-0.24874055415398127</v>
      </c>
      <c r="AG17" s="6">
        <f>IF(M17="","",DEGREES(ATAN2(-AF17,AE17)))</f>
        <v>-67.209591880885455</v>
      </c>
      <c r="AH17" s="12">
        <f>IF(M17="","",DEGREES(ACOS(AD17)))</f>
        <v>39.951656770878976</v>
      </c>
      <c r="AI17" s="11">
        <f>IF(M17="","",DEGREES(-ACOS(-AF17)))</f>
        <v>-75.597002813748119</v>
      </c>
      <c r="AJ17" s="8">
        <f>IF(M17="","",DEGREES(ATAN2(-AE17,AD17)))</f>
        <v>52.322353442234338</v>
      </c>
      <c r="AK17" s="6">
        <f>IF(M17="","",(COS(RADIANS((90-$Q$8)-W17))*AD17)+(-SIN(RADIANS((90-$Q$8)-W17))*AE17))</f>
        <v>0.91116263612978488</v>
      </c>
      <c r="AL17" s="7">
        <f>IF(M17="","",(SIN(RADIANS((90-$Q$8)-W17))*AD17)+(COS(RADIANS((90-$Q$8)-W17))*AE17))</f>
        <v>-0.32849777356961141</v>
      </c>
      <c r="AM17" s="8">
        <f>IF(M17="","",AF17)</f>
        <v>-0.24874055415398127</v>
      </c>
      <c r="AN17" s="6">
        <f>IF(M17="","",DEGREES(ATAN2(-AM17,AL17)))</f>
        <v>-52.866768409497205</v>
      </c>
      <c r="AO17" s="10">
        <f t="shared" si="3"/>
        <v>24.333483082800441</v>
      </c>
      <c r="AP17" s="11">
        <f>IF(M17="","",DEGREES(ATAN2(AK17,AL17)))</f>
        <v>-19.825549135289588</v>
      </c>
      <c r="AQ17" s="8">
        <f t="shared" si="200"/>
        <v>0.70056029222886074</v>
      </c>
      <c r="AS17" s="123">
        <f t="shared" si="90"/>
        <v>-16.943097553719383</v>
      </c>
      <c r="AT17" s="174">
        <f>IF(M17="","",Y17+(((AS17-$AS$9)*$AS$6)*-1))</f>
        <v>-0.44690409537625869</v>
      </c>
      <c r="AV17" s="292" t="str">
        <f>IF(AND(ISNUMBER(VALUE(K17)),ISNUMBER(AW17),ISNUMBER(AX17),ISNUMBER(AY17),AY17&gt;=0.0001),$M17,"")</f>
        <v/>
      </c>
      <c r="AW17" s="439"/>
      <c r="AX17" s="440"/>
      <c r="AY17" s="442"/>
      <c r="AZ17" s="565" t="str">
        <f>IF(ISNUMBER(AV17),$AY17*SQRT((2*PI()*$AW17)^2+$AS$5^2),"")</f>
        <v/>
      </c>
      <c r="BA17" s="564" t="str">
        <f t="shared" si="93"/>
        <v/>
      </c>
      <c r="BB17" s="444" t="str">
        <f>IF(ISNUMBER($AV17),$AX17-($AT17+$AS$5),"")</f>
        <v/>
      </c>
      <c r="BC17" s="11"/>
      <c r="BD17" s="7" t="str">
        <f>IF(ISNUMBER(AV17),AW17,"")</f>
        <v/>
      </c>
      <c r="BE17" s="8" t="str">
        <f t="shared" si="96"/>
        <v/>
      </c>
      <c r="BF17" s="6" t="str">
        <f t="shared" si="97"/>
        <v/>
      </c>
      <c r="BG17" s="7" t="str">
        <f t="shared" si="98"/>
        <v/>
      </c>
      <c r="BH17" s="12" t="str">
        <f t="shared" si="99"/>
        <v/>
      </c>
      <c r="BI17" s="11" t="str">
        <f t="shared" si="100"/>
        <v/>
      </c>
      <c r="BJ17" s="7" t="str">
        <f t="shared" si="101"/>
        <v/>
      </c>
      <c r="BK17" s="10" t="str">
        <f t="shared" si="102"/>
        <v/>
      </c>
      <c r="BL17" s="328" t="str">
        <f t="shared" si="103"/>
        <v/>
      </c>
      <c r="BM17" s="7" t="str">
        <f t="shared" si="104"/>
        <v/>
      </c>
      <c r="BN17" s="8" t="str">
        <f t="shared" si="105"/>
        <v/>
      </c>
      <c r="BO17" s="6" t="str">
        <f t="shared" si="106"/>
        <v/>
      </c>
      <c r="BP17" s="7" t="str">
        <f t="shared" si="107"/>
        <v/>
      </c>
      <c r="BQ17" s="7" t="str">
        <f t="shared" si="108"/>
        <v/>
      </c>
      <c r="BR17" s="8" t="str">
        <f t="shared" si="109"/>
        <v/>
      </c>
      <c r="BS17" s="6" t="str">
        <f t="shared" si="69"/>
        <v/>
      </c>
      <c r="BT17" s="7" t="str">
        <f t="shared" si="69"/>
        <v/>
      </c>
      <c r="BU17" s="12" t="str">
        <f t="shared" si="70"/>
        <v/>
      </c>
      <c r="BV17" s="11" t="str">
        <f t="shared" si="71"/>
        <v/>
      </c>
      <c r="BW17" s="7" t="str">
        <f t="shared" si="72"/>
        <v/>
      </c>
      <c r="BX17" s="10" t="str">
        <f t="shared" si="73"/>
        <v/>
      </c>
      <c r="BY17" s="328" t="str">
        <f t="shared" si="74"/>
        <v/>
      </c>
      <c r="BZ17" s="7" t="str">
        <f t="shared" si="75"/>
        <v/>
      </c>
      <c r="CA17" s="8" t="str">
        <f t="shared" si="76"/>
        <v/>
      </c>
      <c r="CB17" s="6" t="str">
        <f t="shared" si="110"/>
        <v/>
      </c>
      <c r="CC17" s="7" t="str">
        <f t="shared" si="111"/>
        <v/>
      </c>
      <c r="CD17" s="7" t="str">
        <f t="shared" si="112"/>
        <v/>
      </c>
      <c r="CE17" s="8" t="str">
        <f t="shared" si="113"/>
        <v/>
      </c>
      <c r="CF17" s="6" t="str">
        <f t="shared" si="114"/>
        <v/>
      </c>
      <c r="CG17" s="7" t="str">
        <f t="shared" si="115"/>
        <v/>
      </c>
      <c r="CH17" s="7" t="str">
        <f t="shared" si="116"/>
        <v/>
      </c>
      <c r="CI17" s="6" t="str">
        <f t="shared" si="77"/>
        <v/>
      </c>
      <c r="CJ17" s="7" t="str">
        <f t="shared" si="78"/>
        <v/>
      </c>
      <c r="CK17" s="10" t="str">
        <f t="shared" si="79"/>
        <v/>
      </c>
      <c r="CL17" s="328" t="str">
        <f t="shared" si="80"/>
        <v/>
      </c>
      <c r="CM17" s="7" t="str">
        <f t="shared" si="81"/>
        <v/>
      </c>
      <c r="CN17" s="8" t="str">
        <f t="shared" si="82"/>
        <v/>
      </c>
      <c r="CO17" s="296" t="str">
        <f t="shared" si="201"/>
        <v/>
      </c>
      <c r="CP17" s="6" t="str">
        <f t="shared" si="202"/>
        <v/>
      </c>
      <c r="CQ17" s="7" t="str">
        <f t="shared" si="203"/>
        <v/>
      </c>
      <c r="CR17" s="7" t="str">
        <f t="shared" si="117"/>
        <v/>
      </c>
      <c r="CS17" s="10" t="str">
        <f t="shared" si="118"/>
        <v/>
      </c>
      <c r="CT17" s="11" t="str">
        <f t="shared" si="119"/>
        <v/>
      </c>
      <c r="CU17" s="8" t="str">
        <f t="shared" si="120"/>
        <v/>
      </c>
      <c r="CV17" s="6" t="str">
        <f t="shared" si="204"/>
        <v/>
      </c>
      <c r="CW17" s="7" t="str">
        <f t="shared" si="121"/>
        <v/>
      </c>
      <c r="CX17" s="10" t="str">
        <f t="shared" si="122"/>
        <v/>
      </c>
      <c r="CY17" s="11" t="str">
        <f t="shared" si="123"/>
        <v/>
      </c>
      <c r="CZ17" s="7" t="str">
        <f t="shared" si="124"/>
        <v/>
      </c>
      <c r="DA17" s="8" t="str">
        <f t="shared" si="125"/>
        <v/>
      </c>
      <c r="DB17" s="6" t="str">
        <f t="shared" si="126"/>
        <v/>
      </c>
      <c r="DC17" s="7" t="str">
        <f t="shared" si="126"/>
        <v/>
      </c>
      <c r="DD17" s="12" t="str">
        <f t="shared" si="127"/>
        <v/>
      </c>
      <c r="DE17" s="11" t="str">
        <f t="shared" si="128"/>
        <v/>
      </c>
      <c r="DF17" s="7" t="str">
        <f t="shared" si="128"/>
        <v/>
      </c>
      <c r="DG17" s="12" t="str">
        <f t="shared" si="129"/>
        <v/>
      </c>
      <c r="DH17" s="174" t="str">
        <f t="shared" si="130"/>
        <v/>
      </c>
      <c r="DI17" s="6" t="str">
        <f t="shared" si="131"/>
        <v/>
      </c>
      <c r="DJ17" s="7" t="str">
        <f t="shared" si="132"/>
        <v/>
      </c>
      <c r="DK17" s="12" t="str">
        <f t="shared" si="133"/>
        <v/>
      </c>
      <c r="DL17" s="11" t="str">
        <f t="shared" si="134"/>
        <v/>
      </c>
      <c r="DM17" s="328" t="str">
        <f t="shared" si="135"/>
        <v/>
      </c>
      <c r="DN17" s="376" t="str">
        <f t="shared" si="136"/>
        <v/>
      </c>
      <c r="DO17" s="11" t="str">
        <f t="shared" si="137"/>
        <v/>
      </c>
      <c r="DP17" s="328" t="str">
        <f t="shared" si="138"/>
        <v/>
      </c>
      <c r="DQ17" s="13" t="str">
        <f t="shared" si="139"/>
        <v/>
      </c>
      <c r="DR17" s="328" t="str">
        <f t="shared" si="140"/>
        <v/>
      </c>
      <c r="DS17" s="7" t="str">
        <f t="shared" si="141"/>
        <v/>
      </c>
      <c r="DT17" s="7" t="str">
        <f t="shared" si="142"/>
        <v/>
      </c>
      <c r="DU17" s="7" t="str">
        <f t="shared" si="143"/>
        <v/>
      </c>
      <c r="DV17" s="7" t="str">
        <f t="shared" si="144"/>
        <v/>
      </c>
      <c r="DW17" s="7" t="str">
        <f t="shared" si="145"/>
        <v/>
      </c>
      <c r="DX17" s="296" t="str">
        <f t="shared" si="146"/>
        <v/>
      </c>
      <c r="DY17" s="11" t="str">
        <f t="shared" si="147"/>
        <v/>
      </c>
      <c r="DZ17" s="7" t="str">
        <f t="shared" si="148"/>
        <v/>
      </c>
      <c r="EA17" s="12" t="str">
        <f t="shared" si="149"/>
        <v/>
      </c>
      <c r="EB17" s="8" t="str">
        <f t="shared" si="150"/>
        <v/>
      </c>
      <c r="EC17" s="328" t="str">
        <f t="shared" si="151"/>
        <v/>
      </c>
      <c r="ED17" s="7" t="str">
        <f t="shared" si="152"/>
        <v/>
      </c>
      <c r="EE17" s="6" t="str">
        <f t="shared" si="153"/>
        <v/>
      </c>
      <c r="EF17" s="7" t="str">
        <f t="shared" si="154"/>
        <v/>
      </c>
      <c r="EG17" s="12" t="str">
        <f t="shared" si="155"/>
        <v/>
      </c>
      <c r="EH17" s="11" t="str">
        <f t="shared" si="156"/>
        <v/>
      </c>
      <c r="EI17" s="7" t="str">
        <f t="shared" si="157"/>
        <v/>
      </c>
      <c r="EJ17" s="8" t="str">
        <f t="shared" si="158"/>
        <v/>
      </c>
      <c r="EK17" s="491" t="str">
        <f t="shared" si="159"/>
        <v/>
      </c>
      <c r="EL17" s="493" t="str">
        <f t="shared" si="160"/>
        <v/>
      </c>
      <c r="EM17" s="6" t="str">
        <f t="shared" si="161"/>
        <v/>
      </c>
      <c r="EN17" s="7" t="str">
        <f t="shared" si="162"/>
        <v/>
      </c>
      <c r="EO17" s="12" t="str">
        <f t="shared" si="163"/>
        <v/>
      </c>
      <c r="EP17" s="11" t="str">
        <f t="shared" si="164"/>
        <v/>
      </c>
      <c r="EQ17" s="7" t="str">
        <f t="shared" si="165"/>
        <v/>
      </c>
      <c r="ER17" s="9" t="str">
        <f t="shared" si="166"/>
        <v/>
      </c>
      <c r="ES17" s="24" t="str">
        <f t="shared" si="167"/>
        <v/>
      </c>
      <c r="ET17" s="7" t="str">
        <f t="shared" si="168"/>
        <v/>
      </c>
      <c r="EU17" s="12" t="str">
        <f t="shared" si="169"/>
        <v/>
      </c>
      <c r="EV17" s="337" t="str">
        <f t="shared" si="15"/>
        <v/>
      </c>
      <c r="EW17" s="11" t="str">
        <f t="shared" si="16"/>
        <v/>
      </c>
      <c r="EX17" s="7" t="str">
        <f t="shared" si="17"/>
        <v/>
      </c>
      <c r="EY17" s="8" t="str">
        <f t="shared" si="170"/>
        <v/>
      </c>
      <c r="EZ17" s="123" t="str">
        <f t="shared" si="171"/>
        <v/>
      </c>
      <c r="FA17" s="534" t="str">
        <f t="shared" si="18"/>
        <v/>
      </c>
      <c r="FB17" s="535" t="str">
        <f t="shared" si="19"/>
        <v/>
      </c>
      <c r="FC17" s="537" t="str">
        <f t="shared" si="20"/>
        <v/>
      </c>
      <c r="FD17" s="6" t="str">
        <f t="shared" si="21"/>
        <v/>
      </c>
      <c r="FE17" s="7" t="str">
        <f t="shared" si="22"/>
        <v/>
      </c>
      <c r="FF17" s="9" t="str">
        <f t="shared" si="172"/>
        <v/>
      </c>
      <c r="FG17" s="328" t="str">
        <f t="shared" si="23"/>
        <v/>
      </c>
      <c r="FH17" s="7" t="str">
        <f t="shared" si="24"/>
        <v/>
      </c>
      <c r="FI17" s="12" t="str">
        <f t="shared" si="25"/>
        <v/>
      </c>
      <c r="FJ17" s="547" t="str">
        <f t="shared" si="173"/>
        <v/>
      </c>
      <c r="FK17" s="6" t="str">
        <f t="shared" si="26"/>
        <v/>
      </c>
      <c r="FL17" s="7" t="str">
        <f t="shared" si="174"/>
        <v/>
      </c>
      <c r="FM17" s="10" t="str">
        <f t="shared" si="175"/>
        <v/>
      </c>
      <c r="FN17" s="11" t="str">
        <f t="shared" si="176"/>
        <v/>
      </c>
      <c r="FO17" s="12" t="str">
        <f t="shared" si="27"/>
        <v/>
      </c>
      <c r="FP17" s="545" t="str">
        <f t="shared" si="28"/>
        <v/>
      </c>
      <c r="FQ17" s="328" t="str">
        <f t="shared" si="205"/>
        <v/>
      </c>
      <c r="FR17" s="12" t="str">
        <f t="shared" si="177"/>
        <v/>
      </c>
      <c r="FS17" s="11" t="str">
        <f t="shared" si="178"/>
        <v/>
      </c>
      <c r="FT17" s="8" t="str">
        <f t="shared" si="179"/>
        <v/>
      </c>
      <c r="FU17" s="6" t="str">
        <f t="shared" si="180"/>
        <v/>
      </c>
      <c r="FV17" s="7" t="str">
        <f t="shared" si="181"/>
        <v/>
      </c>
      <c r="FW17" s="10" t="str">
        <f t="shared" si="206"/>
        <v/>
      </c>
      <c r="FX17" s="11" t="str">
        <f t="shared" si="207"/>
        <v/>
      </c>
      <c r="FY17" s="12" t="str">
        <f t="shared" si="29"/>
        <v/>
      </c>
      <c r="FZ17" s="545" t="str">
        <f t="shared" si="208"/>
        <v/>
      </c>
      <c r="GA17" s="372" t="str">
        <f t="shared" si="182"/>
        <v/>
      </c>
      <c r="GB17" s="46" t="str">
        <f t="shared" si="183"/>
        <v/>
      </c>
      <c r="GC17" s="47" t="str">
        <f t="shared" si="184"/>
        <v/>
      </c>
      <c r="GD17" s="578" t="str">
        <f t="shared" si="185"/>
        <v/>
      </c>
      <c r="GE17" s="585" t="str">
        <f t="shared" si="186"/>
        <v/>
      </c>
      <c r="GF17" s="634" t="str">
        <f t="shared" si="209"/>
        <v/>
      </c>
      <c r="GG17" s="553" t="str">
        <f t="shared" si="30"/>
        <v/>
      </c>
      <c r="GH17" s="554" t="str">
        <f t="shared" si="31"/>
        <v/>
      </c>
      <c r="GI17" s="549" t="str">
        <f t="shared" si="32"/>
        <v/>
      </c>
      <c r="GJ17" s="296" t="str">
        <f>IF(ISNUMBER($AV17),AW17,"")</f>
        <v/>
      </c>
      <c r="GK17" s="337" t="str">
        <f t="shared" si="33"/>
        <v/>
      </c>
      <c r="GL17" s="337" t="str">
        <f>IF(ISNUMBER($AV17),AY17,"")</f>
        <v/>
      </c>
      <c r="GM17" s="372" t="str">
        <f t="shared" si="210"/>
        <v/>
      </c>
      <c r="GN17" s="548" t="str">
        <f t="shared" si="189"/>
        <v/>
      </c>
      <c r="GO17" s="6" t="str">
        <f t="shared" si="190"/>
        <v/>
      </c>
      <c r="GP17" s="10" t="str">
        <f t="shared" si="211"/>
        <v/>
      </c>
      <c r="GQ17" s="372" t="str">
        <f t="shared" si="191"/>
        <v/>
      </c>
      <c r="GR17" s="697" t="str">
        <f t="shared" si="212"/>
        <v/>
      </c>
      <c r="GS17" s="637" t="str">
        <f t="shared" si="35"/>
        <v/>
      </c>
      <c r="GT17" s="638" t="str">
        <f t="shared" si="36"/>
        <v/>
      </c>
      <c r="GU17" s="639" t="str">
        <f t="shared" si="37"/>
        <v/>
      </c>
      <c r="GV17" s="638" t="str">
        <f t="shared" si="192"/>
        <v/>
      </c>
      <c r="GW17" s="640" t="str">
        <f t="shared" si="38"/>
        <v/>
      </c>
      <c r="GX17" s="641" t="str">
        <f t="shared" si="39"/>
        <v/>
      </c>
      <c r="GY17" s="639" t="str">
        <f t="shared" si="40"/>
        <v/>
      </c>
      <c r="GZ17" s="640" t="str">
        <f t="shared" si="41"/>
        <v/>
      </c>
      <c r="HA17" s="637" t="str">
        <f t="shared" si="42"/>
        <v/>
      </c>
      <c r="HB17" s="7" t="str">
        <f t="shared" si="193"/>
        <v/>
      </c>
      <c r="HC17" s="638" t="str">
        <f t="shared" si="194"/>
        <v/>
      </c>
      <c r="HD17" s="640" t="str">
        <f t="shared" si="195"/>
        <v/>
      </c>
      <c r="HE17" s="639" t="str">
        <f t="shared" si="43"/>
        <v/>
      </c>
      <c r="HF17" s="7" t="str">
        <f t="shared" si="44"/>
        <v/>
      </c>
      <c r="HG17" s="638" t="str">
        <f t="shared" si="196"/>
        <v/>
      </c>
      <c r="HH17" s="644" t="str">
        <f t="shared" si="197"/>
        <v/>
      </c>
      <c r="HI17" s="596" t="str">
        <f t="shared" si="198"/>
        <v/>
      </c>
      <c r="HJ17" s="625"/>
      <c r="HK17" s="1234">
        <f t="shared" si="83"/>
        <v>9</v>
      </c>
      <c r="HL17" s="594">
        <f t="shared" si="84"/>
        <v>1.9954000000000001</v>
      </c>
      <c r="HM17" s="642">
        <f t="shared" si="45"/>
        <v>4.109</v>
      </c>
      <c r="HN17" s="663">
        <f t="shared" si="45"/>
        <v>0.4441182803491871</v>
      </c>
      <c r="HO17" s="664">
        <f t="shared" si="45"/>
        <v>13.987840254545405</v>
      </c>
      <c r="HP17" s="665">
        <f t="shared" si="45"/>
        <v>13.994277854776181</v>
      </c>
      <c r="HQ17" s="663">
        <f t="shared" si="45"/>
        <v>4.36E-2</v>
      </c>
      <c r="HR17" s="670">
        <f t="shared" si="45"/>
        <v>4.5184002882133076E-2</v>
      </c>
      <c r="HS17" s="654">
        <f t="shared" si="45"/>
        <v>3325.4408196395971</v>
      </c>
      <c r="HT17" s="645">
        <f t="shared" si="45"/>
        <v>20.509094911845061</v>
      </c>
      <c r="HU17" s="646">
        <f t="shared" si="45"/>
        <v>2645.8290454482094</v>
      </c>
      <c r="HV17" s="647">
        <f t="shared" si="45"/>
        <v>659.1026792795426</v>
      </c>
      <c r="HW17" s="645">
        <f t="shared" si="45"/>
        <v>19.625990367783849</v>
      </c>
      <c r="HX17" s="646">
        <f t="shared" si="45"/>
        <v>2531.9018505677091</v>
      </c>
      <c r="HY17" s="647">
        <f t="shared" si="45"/>
        <v>630.72226690266507</v>
      </c>
      <c r="HZ17" s="645">
        <f>IF(ISNUMBER($HL17),VLOOKUP($HL17,$GJ$9:$HI$130,HZ$1,FALSE),"")</f>
        <v>58071.143361644703</v>
      </c>
      <c r="IA17" s="646">
        <f t="shared" si="45"/>
        <v>421.01307938523388</v>
      </c>
      <c r="IB17" s="716"/>
      <c r="IC17" s="717">
        <f>HS17/[1]Assy.Model!HS17</f>
        <v>0.96697917920536935</v>
      </c>
      <c r="ID17" s="717">
        <f>HT17/[1]Assy.Model!HT17</f>
        <v>0.26552464869444836</v>
      </c>
      <c r="IE17" s="717">
        <f>HU17/[1]Assy.Model!HU17</f>
        <v>0.9814932924047326</v>
      </c>
      <c r="IF17" s="717">
        <f>HV17/[1]Assy.Model!HV17</f>
        <v>0.98958184621583589</v>
      </c>
    </row>
    <row r="18" spans="2:240" s="35" customFormat="1" ht="15" customHeight="1" x14ac:dyDescent="0.25">
      <c r="B18" s="143">
        <v>1.27882226272345</v>
      </c>
      <c r="C18" s="144">
        <v>3.4014588759333568</v>
      </c>
      <c r="D18" s="145">
        <v>-1.1524034756488841</v>
      </c>
      <c r="E18" s="146">
        <v>0.28325273916114929</v>
      </c>
      <c r="F18" s="144">
        <v>0.75340678371732617</v>
      </c>
      <c r="G18" s="147">
        <v>0.59341899531984998</v>
      </c>
      <c r="H18" s="146">
        <v>0.25700000000000001</v>
      </c>
      <c r="I18" s="144">
        <v>0.41499999999999992</v>
      </c>
      <c r="J18" s="306">
        <v>1.224</v>
      </c>
      <c r="K18" s="699" t="str">
        <f t="shared" si="199"/>
        <v>Kunckle</v>
      </c>
      <c r="M18" s="292">
        <f>IF(J18="","",J18)</f>
        <v>1.224</v>
      </c>
      <c r="N18" s="24">
        <f>IF(M18="","",B18)</f>
        <v>1.27882226272345</v>
      </c>
      <c r="O18" s="7">
        <f>IF(M18="","",C18)</f>
        <v>3.4014588759333568</v>
      </c>
      <c r="P18" s="12">
        <f>IF(M18="","",D18)</f>
        <v>-1.1524034756488841</v>
      </c>
      <c r="Q18" s="11">
        <f t="shared" si="85"/>
        <v>69.395602974906865</v>
      </c>
      <c r="R18" s="7">
        <f>IF(M18="","",SQRT(N18^2+O18^2))</f>
        <v>3.6339109598754535</v>
      </c>
      <c r="S18" s="8">
        <f>IF(M18="","",P18)</f>
        <v>-1.1524034756488841</v>
      </c>
      <c r="T18" s="6">
        <f>IF(M18="","",X18*COS(RADIANS(W18)))</f>
        <v>3.421318528177907</v>
      </c>
      <c r="U18" s="7">
        <f>IF(M18="","",X18*SIN(RADIANS(W18)))</f>
        <v>-1.2246993071972814</v>
      </c>
      <c r="V18" s="10">
        <f>IF(M18="","",Y18)</f>
        <v>-1.1524034756488841</v>
      </c>
      <c r="W18" s="11">
        <f t="shared" si="214"/>
        <v>340.30460284366353</v>
      </c>
      <c r="X18" s="7">
        <f>IF(M18="","",R18)</f>
        <v>3.6339109598754535</v>
      </c>
      <c r="Y18" s="9">
        <f t="shared" si="213"/>
        <v>-1.1524034756488841</v>
      </c>
      <c r="Z18" s="24">
        <f>IF(M18="","",-E18)</f>
        <v>-0.28325273916114929</v>
      </c>
      <c r="AA18" s="7">
        <f>IF(M18="","",-F18)</f>
        <v>-0.75340678371732617</v>
      </c>
      <c r="AB18" s="7">
        <f>IF(M18="","",-G18)</f>
        <v>-0.59341899531984998</v>
      </c>
      <c r="AC18" s="10">
        <f>IF(M18="","",SQRT(Z18^2+AA18^2+AB18^2))</f>
        <v>1</v>
      </c>
      <c r="AD18" s="11">
        <f>IF(M18="","",Z18*(1/SQRT(Z18^2+AA18^2+AB18^2)))</f>
        <v>-0.28325273916114929</v>
      </c>
      <c r="AE18" s="7">
        <f>IF(M18="","",AA18*(1/SQRT(Z18^2+AA18^2+AB18^2)))</f>
        <v>-0.75340678371732617</v>
      </c>
      <c r="AF18" s="12">
        <f>IF(M18="","",AB18*(1/SQRT(Z18^2+AA18^2+AB18^2)))</f>
        <v>-0.59341899531984998</v>
      </c>
      <c r="AG18" s="6">
        <f>IF(M18="","",DEGREES(ATAN2(-AF18,AE18)))</f>
        <v>-51.774350873429057</v>
      </c>
      <c r="AH18" s="12">
        <f>IF(M18="","",DEGREES(ACOS(AD18)))</f>
        <v>106.45443466984685</v>
      </c>
      <c r="AI18" s="11">
        <f>IF(M18="","",DEGREES(-ACOS(-AF18)))</f>
        <v>-53.599992261119652</v>
      </c>
      <c r="AJ18" s="8">
        <f>IF(M18="","",DEGREES(ATAN2(-AE18,AD18)))</f>
        <v>-20.604380880861772</v>
      </c>
      <c r="AK18" s="6">
        <f>IF(M18="","",(COS(RADIANS((90-$Q$8)-W18))*AD18)+(-SIN(RADIANS((90-$Q$8)-W18))*AE18))</f>
        <v>2.2679489708465894E-7</v>
      </c>
      <c r="AL18" s="7">
        <f>IF(M18="","",(SIN(RADIANS((90-$Q$8)-W18))*AD18)+(COS(RADIANS((90-$Q$8)-W18))*AE18))</f>
        <v>-0.80489371720341352</v>
      </c>
      <c r="AM18" s="8">
        <f>IF(M18="","",AF18)</f>
        <v>-0.59341899531984998</v>
      </c>
      <c r="AN18" s="6">
        <f>IF(M18="","",DEGREES(ATAN2(-AM18,AL18)))</f>
        <v>-53.59999226111858</v>
      </c>
      <c r="AO18" s="10">
        <f t="shared" si="3"/>
        <v>0</v>
      </c>
      <c r="AP18" s="11">
        <f>IF(M18="","",DEGREES(ATAN2(AK18,AL18)))</f>
        <v>-89.999983855768619</v>
      </c>
      <c r="AQ18" s="8">
        <f t="shared" si="200"/>
        <v>0.62737303269438083</v>
      </c>
      <c r="AS18" s="123">
        <f t="shared" si="90"/>
        <v>-19.695397156336469</v>
      </c>
      <c r="AT18" s="174">
        <f>IF(M18="","",Y18+(((AS18-$AS$9)*$AS$6)*-1))</f>
        <v>-1.1380948666036805</v>
      </c>
      <c r="AV18" s="292" t="str">
        <f>IF(AND(ISNUMBER(VALUE(K18)),ISNUMBER(AW18),ISNUMBER(AX18),ISNUMBER(AY18),AY18&gt;=0.0001),$M18,"")</f>
        <v/>
      </c>
      <c r="AW18" s="439"/>
      <c r="AX18" s="440"/>
      <c r="AY18" s="442"/>
      <c r="AZ18" s="565" t="str">
        <f>IF(ISNUMBER(AV18),$AY18*SQRT((2*PI()*$AW18)^2+$AS$5^2),"")</f>
        <v/>
      </c>
      <c r="BA18" s="564" t="str">
        <f t="shared" si="93"/>
        <v/>
      </c>
      <c r="BB18" s="444" t="str">
        <f>IF(ISNUMBER($AV18),$AX18-($AT18+$AS$5),"")</f>
        <v/>
      </c>
      <c r="BC18" s="11"/>
      <c r="BD18" s="7" t="str">
        <f>IF(ISNUMBER(AV18),AW18,"")</f>
        <v/>
      </c>
      <c r="BE18" s="8" t="str">
        <f t="shared" si="96"/>
        <v/>
      </c>
      <c r="BF18" s="6" t="str">
        <f t="shared" si="97"/>
        <v/>
      </c>
      <c r="BG18" s="7" t="str">
        <f t="shared" si="98"/>
        <v/>
      </c>
      <c r="BH18" s="12" t="str">
        <f t="shared" si="99"/>
        <v/>
      </c>
      <c r="BI18" s="11" t="str">
        <f t="shared" si="100"/>
        <v/>
      </c>
      <c r="BJ18" s="7" t="str">
        <f t="shared" si="101"/>
        <v/>
      </c>
      <c r="BK18" s="10" t="str">
        <f t="shared" si="102"/>
        <v/>
      </c>
      <c r="BL18" s="328" t="str">
        <f t="shared" si="103"/>
        <v/>
      </c>
      <c r="BM18" s="7" t="str">
        <f t="shared" si="104"/>
        <v/>
      </c>
      <c r="BN18" s="8" t="str">
        <f t="shared" si="105"/>
        <v/>
      </c>
      <c r="BO18" s="6" t="str">
        <f t="shared" si="106"/>
        <v/>
      </c>
      <c r="BP18" s="7" t="str">
        <f t="shared" si="107"/>
        <v/>
      </c>
      <c r="BQ18" s="7" t="str">
        <f t="shared" si="108"/>
        <v/>
      </c>
      <c r="BR18" s="8" t="str">
        <f t="shared" si="109"/>
        <v/>
      </c>
      <c r="BS18" s="6" t="str">
        <f t="shared" si="69"/>
        <v/>
      </c>
      <c r="BT18" s="7" t="str">
        <f t="shared" si="69"/>
        <v/>
      </c>
      <c r="BU18" s="12" t="str">
        <f t="shared" si="70"/>
        <v/>
      </c>
      <c r="BV18" s="11" t="str">
        <f t="shared" si="71"/>
        <v/>
      </c>
      <c r="BW18" s="7" t="str">
        <f t="shared" si="72"/>
        <v/>
      </c>
      <c r="BX18" s="10" t="str">
        <f t="shared" si="73"/>
        <v/>
      </c>
      <c r="BY18" s="328" t="str">
        <f t="shared" si="74"/>
        <v/>
      </c>
      <c r="BZ18" s="7" t="str">
        <f t="shared" si="75"/>
        <v/>
      </c>
      <c r="CA18" s="8" t="str">
        <f t="shared" si="76"/>
        <v/>
      </c>
      <c r="CB18" s="6" t="str">
        <f t="shared" si="110"/>
        <v/>
      </c>
      <c r="CC18" s="7" t="str">
        <f t="shared" si="111"/>
        <v/>
      </c>
      <c r="CD18" s="7" t="str">
        <f t="shared" si="112"/>
        <v/>
      </c>
      <c r="CE18" s="8" t="str">
        <f t="shared" si="113"/>
        <v/>
      </c>
      <c r="CF18" s="6" t="str">
        <f t="shared" si="114"/>
        <v/>
      </c>
      <c r="CG18" s="7" t="str">
        <f t="shared" si="115"/>
        <v/>
      </c>
      <c r="CH18" s="7" t="str">
        <f t="shared" si="116"/>
        <v/>
      </c>
      <c r="CI18" s="6" t="str">
        <f t="shared" si="77"/>
        <v/>
      </c>
      <c r="CJ18" s="7" t="str">
        <f t="shared" si="78"/>
        <v/>
      </c>
      <c r="CK18" s="10" t="str">
        <f t="shared" si="79"/>
        <v/>
      </c>
      <c r="CL18" s="328" t="str">
        <f t="shared" si="80"/>
        <v/>
      </c>
      <c r="CM18" s="7" t="str">
        <f t="shared" si="81"/>
        <v/>
      </c>
      <c r="CN18" s="8" t="str">
        <f t="shared" si="82"/>
        <v/>
      </c>
      <c r="CO18" s="296" t="str">
        <f t="shared" si="201"/>
        <v/>
      </c>
      <c r="CP18" s="6" t="str">
        <f t="shared" si="202"/>
        <v/>
      </c>
      <c r="CQ18" s="7" t="str">
        <f t="shared" si="203"/>
        <v/>
      </c>
      <c r="CR18" s="7" t="str">
        <f t="shared" si="117"/>
        <v/>
      </c>
      <c r="CS18" s="10" t="str">
        <f t="shared" si="118"/>
        <v/>
      </c>
      <c r="CT18" s="11" t="str">
        <f>IF(ISNUMBER($AV18),(-CQ18+SQRT(CS18))/(CP18*2),"")</f>
        <v/>
      </c>
      <c r="CU18" s="8" t="str">
        <f t="shared" si="120"/>
        <v/>
      </c>
      <c r="CV18" s="6" t="str">
        <f>IF(ISNUMBER($AV18),CI18+($CT18*(CL18-CI18)),"")</f>
        <v/>
      </c>
      <c r="CW18" s="7" t="str">
        <f t="shared" si="121"/>
        <v/>
      </c>
      <c r="CX18" s="10" t="str">
        <f t="shared" si="122"/>
        <v/>
      </c>
      <c r="CY18" s="11" t="str">
        <f t="shared" si="123"/>
        <v/>
      </c>
      <c r="CZ18" s="7" t="str">
        <f t="shared" si="124"/>
        <v/>
      </c>
      <c r="DA18" s="8" t="str">
        <f t="shared" si="125"/>
        <v/>
      </c>
      <c r="DB18" s="6" t="str">
        <f t="shared" si="126"/>
        <v/>
      </c>
      <c r="DC18" s="7" t="str">
        <f t="shared" si="126"/>
        <v/>
      </c>
      <c r="DD18" s="12" t="str">
        <f t="shared" si="127"/>
        <v/>
      </c>
      <c r="DE18" s="11" t="str">
        <f t="shared" si="128"/>
        <v/>
      </c>
      <c r="DF18" s="7" t="str">
        <f t="shared" si="128"/>
        <v/>
      </c>
      <c r="DG18" s="12" t="str">
        <f t="shared" si="129"/>
        <v/>
      </c>
      <c r="DH18" s="174" t="str">
        <f t="shared" si="130"/>
        <v/>
      </c>
      <c r="DI18" s="6" t="str">
        <f t="shared" si="131"/>
        <v/>
      </c>
      <c r="DJ18" s="7" t="str">
        <f t="shared" si="132"/>
        <v/>
      </c>
      <c r="DK18" s="12" t="str">
        <f t="shared" si="133"/>
        <v/>
      </c>
      <c r="DL18" s="11" t="str">
        <f>IF(ISNUMBER($AV18),CV18-DB18,"")</f>
        <v/>
      </c>
      <c r="DM18" s="328" t="str">
        <f t="shared" si="135"/>
        <v/>
      </c>
      <c r="DN18" s="376" t="str">
        <f t="shared" si="136"/>
        <v/>
      </c>
      <c r="DO18" s="11" t="str">
        <f t="shared" si="137"/>
        <v/>
      </c>
      <c r="DP18" s="328" t="str">
        <f t="shared" si="138"/>
        <v/>
      </c>
      <c r="DQ18" s="13" t="str">
        <f t="shared" si="139"/>
        <v/>
      </c>
      <c r="DR18" s="328" t="str">
        <f t="shared" si="140"/>
        <v/>
      </c>
      <c r="DS18" s="7" t="str">
        <f t="shared" si="141"/>
        <v/>
      </c>
      <c r="DT18" s="7" t="str">
        <f t="shared" si="142"/>
        <v/>
      </c>
      <c r="DU18" s="7" t="str">
        <f t="shared" si="143"/>
        <v/>
      </c>
      <c r="DV18" s="7" t="str">
        <f t="shared" si="144"/>
        <v/>
      </c>
      <c r="DW18" s="7" t="str">
        <f t="shared" si="145"/>
        <v/>
      </c>
      <c r="DX18" s="296" t="str">
        <f t="shared" si="146"/>
        <v/>
      </c>
      <c r="DY18" s="11" t="str">
        <f t="shared" si="147"/>
        <v/>
      </c>
      <c r="DZ18" s="7" t="str">
        <f t="shared" si="148"/>
        <v/>
      </c>
      <c r="EA18" s="12" t="str">
        <f t="shared" si="149"/>
        <v/>
      </c>
      <c r="EB18" s="8" t="str">
        <f t="shared" si="150"/>
        <v/>
      </c>
      <c r="EC18" s="328" t="str">
        <f t="shared" si="151"/>
        <v/>
      </c>
      <c r="ED18" s="7" t="str">
        <f t="shared" si="152"/>
        <v/>
      </c>
      <c r="EE18" s="6" t="str">
        <f t="shared" si="153"/>
        <v/>
      </c>
      <c r="EF18" s="7" t="str">
        <f t="shared" si="154"/>
        <v/>
      </c>
      <c r="EG18" s="12" t="str">
        <f t="shared" si="155"/>
        <v/>
      </c>
      <c r="EH18" s="11" t="str">
        <f t="shared" si="156"/>
        <v/>
      </c>
      <c r="EI18" s="7" t="str">
        <f t="shared" si="157"/>
        <v/>
      </c>
      <c r="EJ18" s="8" t="str">
        <f t="shared" si="158"/>
        <v/>
      </c>
      <c r="EK18" s="491" t="str">
        <f t="shared" si="159"/>
        <v/>
      </c>
      <c r="EL18" s="493" t="str">
        <f t="shared" si="160"/>
        <v/>
      </c>
      <c r="EM18" s="6" t="str">
        <f t="shared" si="161"/>
        <v/>
      </c>
      <c r="EN18" s="7" t="str">
        <f t="shared" si="162"/>
        <v/>
      </c>
      <c r="EO18" s="12" t="str">
        <f t="shared" si="163"/>
        <v/>
      </c>
      <c r="EP18" s="11" t="str">
        <f t="shared" si="164"/>
        <v/>
      </c>
      <c r="EQ18" s="7" t="str">
        <f t="shared" si="165"/>
        <v/>
      </c>
      <c r="ER18" s="9" t="str">
        <f t="shared" si="166"/>
        <v/>
      </c>
      <c r="ES18" s="24" t="str">
        <f t="shared" si="167"/>
        <v/>
      </c>
      <c r="ET18" s="7" t="str">
        <f t="shared" si="168"/>
        <v/>
      </c>
      <c r="EU18" s="12" t="str">
        <f t="shared" si="169"/>
        <v/>
      </c>
      <c r="EV18" s="337" t="str">
        <f t="shared" si="15"/>
        <v/>
      </c>
      <c r="EW18" s="11" t="str">
        <f t="shared" si="16"/>
        <v/>
      </c>
      <c r="EX18" s="7" t="str">
        <f t="shared" si="17"/>
        <v/>
      </c>
      <c r="EY18" s="8" t="str">
        <f t="shared" si="170"/>
        <v/>
      </c>
      <c r="EZ18" s="123" t="str">
        <f t="shared" si="171"/>
        <v/>
      </c>
      <c r="FA18" s="534" t="str">
        <f t="shared" si="18"/>
        <v/>
      </c>
      <c r="FB18" s="535" t="str">
        <f t="shared" si="19"/>
        <v/>
      </c>
      <c r="FC18" s="537" t="str">
        <f t="shared" si="20"/>
        <v/>
      </c>
      <c r="FD18" s="6" t="str">
        <f t="shared" si="21"/>
        <v/>
      </c>
      <c r="FE18" s="7" t="str">
        <f t="shared" si="22"/>
        <v/>
      </c>
      <c r="FF18" s="9" t="str">
        <f t="shared" si="172"/>
        <v/>
      </c>
      <c r="FG18" s="328" t="str">
        <f t="shared" si="23"/>
        <v/>
      </c>
      <c r="FH18" s="7" t="str">
        <f t="shared" si="24"/>
        <v/>
      </c>
      <c r="FI18" s="12" t="str">
        <f t="shared" si="25"/>
        <v/>
      </c>
      <c r="FJ18" s="547" t="str">
        <f t="shared" si="173"/>
        <v/>
      </c>
      <c r="FK18" s="6" t="str">
        <f t="shared" si="26"/>
        <v/>
      </c>
      <c r="FL18" s="7" t="str">
        <f t="shared" si="174"/>
        <v/>
      </c>
      <c r="FM18" s="10" t="str">
        <f t="shared" si="175"/>
        <v/>
      </c>
      <c r="FN18" s="11" t="str">
        <f t="shared" si="176"/>
        <v/>
      </c>
      <c r="FO18" s="12" t="str">
        <f t="shared" si="27"/>
        <v/>
      </c>
      <c r="FP18" s="545" t="str">
        <f t="shared" si="28"/>
        <v/>
      </c>
      <c r="FQ18" s="328" t="str">
        <f t="shared" si="205"/>
        <v/>
      </c>
      <c r="FR18" s="12" t="str">
        <f t="shared" si="177"/>
        <v/>
      </c>
      <c r="FS18" s="11" t="str">
        <f t="shared" si="178"/>
        <v/>
      </c>
      <c r="FT18" s="8" t="str">
        <f t="shared" si="179"/>
        <v/>
      </c>
      <c r="FU18" s="6" t="str">
        <f t="shared" si="180"/>
        <v/>
      </c>
      <c r="FV18" s="7" t="str">
        <f t="shared" si="181"/>
        <v/>
      </c>
      <c r="FW18" s="10" t="str">
        <f t="shared" si="206"/>
        <v/>
      </c>
      <c r="FX18" s="11" t="str">
        <f t="shared" si="207"/>
        <v/>
      </c>
      <c r="FY18" s="12" t="str">
        <f t="shared" si="29"/>
        <v/>
      </c>
      <c r="FZ18" s="545" t="str">
        <f t="shared" si="208"/>
        <v/>
      </c>
      <c r="GA18" s="372" t="str">
        <f t="shared" si="182"/>
        <v/>
      </c>
      <c r="GB18" s="46" t="str">
        <f t="shared" si="183"/>
        <v/>
      </c>
      <c r="GC18" s="47" t="str">
        <f t="shared" si="184"/>
        <v/>
      </c>
      <c r="GD18" s="578" t="str">
        <f t="shared" si="185"/>
        <v/>
      </c>
      <c r="GE18" s="585" t="str">
        <f t="shared" si="186"/>
        <v/>
      </c>
      <c r="GF18" s="634" t="str">
        <f t="shared" si="209"/>
        <v/>
      </c>
      <c r="GG18" s="553" t="str">
        <f t="shared" si="30"/>
        <v/>
      </c>
      <c r="GH18" s="554" t="str">
        <f t="shared" si="31"/>
        <v/>
      </c>
      <c r="GI18" s="549" t="str">
        <f t="shared" si="32"/>
        <v/>
      </c>
      <c r="GJ18" s="296" t="str">
        <f>IF(ISNUMBER($AV18),AW18,"")</f>
        <v/>
      </c>
      <c r="GK18" s="337" t="str">
        <f t="shared" si="33"/>
        <v/>
      </c>
      <c r="GL18" s="337" t="str">
        <f>IF(ISNUMBER($AV18),AY18,"")</f>
        <v/>
      </c>
      <c r="GM18" s="372" t="str">
        <f t="shared" si="210"/>
        <v/>
      </c>
      <c r="GN18" s="548" t="str">
        <f t="shared" si="189"/>
        <v/>
      </c>
      <c r="GO18" s="6" t="str">
        <f t="shared" si="190"/>
        <v/>
      </c>
      <c r="GP18" s="10" t="str">
        <f t="shared" si="211"/>
        <v/>
      </c>
      <c r="GQ18" s="372" t="str">
        <f t="shared" si="191"/>
        <v/>
      </c>
      <c r="GR18" s="697" t="str">
        <f t="shared" si="212"/>
        <v/>
      </c>
      <c r="GS18" s="637" t="str">
        <f t="shared" si="35"/>
        <v/>
      </c>
      <c r="GT18" s="638" t="str">
        <f t="shared" si="36"/>
        <v/>
      </c>
      <c r="GU18" s="639" t="str">
        <f t="shared" si="37"/>
        <v/>
      </c>
      <c r="GV18" s="638" t="str">
        <f t="shared" si="192"/>
        <v/>
      </c>
      <c r="GW18" s="640" t="str">
        <f t="shared" si="38"/>
        <v/>
      </c>
      <c r="GX18" s="641" t="str">
        <f t="shared" si="39"/>
        <v/>
      </c>
      <c r="GY18" s="639" t="str">
        <f t="shared" si="40"/>
        <v/>
      </c>
      <c r="GZ18" s="640" t="str">
        <f t="shared" si="41"/>
        <v/>
      </c>
      <c r="HA18" s="637" t="str">
        <f t="shared" si="42"/>
        <v/>
      </c>
      <c r="HB18" s="7" t="str">
        <f t="shared" si="193"/>
        <v/>
      </c>
      <c r="HC18" s="638" t="str">
        <f t="shared" si="194"/>
        <v/>
      </c>
      <c r="HD18" s="640" t="str">
        <f t="shared" si="195"/>
        <v/>
      </c>
      <c r="HE18" s="639" t="str">
        <f t="shared" si="43"/>
        <v/>
      </c>
      <c r="HF18" s="7" t="str">
        <f t="shared" si="44"/>
        <v/>
      </c>
      <c r="HG18" s="638" t="str">
        <f t="shared" si="196"/>
        <v/>
      </c>
      <c r="HH18" s="644" t="str">
        <f t="shared" si="197"/>
        <v/>
      </c>
      <c r="HI18" s="596" t="str">
        <f t="shared" si="198"/>
        <v/>
      </c>
      <c r="HJ18" s="625"/>
      <c r="HK18" s="1232">
        <f t="shared" si="83"/>
        <v>10</v>
      </c>
      <c r="HL18" s="583">
        <f t="shared" si="84"/>
        <v>2.1642999999999999</v>
      </c>
      <c r="HM18" s="643">
        <f t="shared" si="45"/>
        <v>3.11</v>
      </c>
      <c r="HN18" s="660">
        <f t="shared" si="45"/>
        <v>2.1424288674178844</v>
      </c>
      <c r="HO18" s="661">
        <f t="shared" si="45"/>
        <v>13.919301540949526</v>
      </c>
      <c r="HP18" s="656">
        <f t="shared" si="45"/>
        <v>14.069336663034189</v>
      </c>
      <c r="HQ18" s="660">
        <f t="shared" si="45"/>
        <v>4.24E-2</v>
      </c>
      <c r="HR18" s="671">
        <f t="shared" si="45"/>
        <v>4.7658307637019295E-2</v>
      </c>
      <c r="HS18" s="655">
        <f t="shared" si="45"/>
        <v>3587.2307279072616</v>
      </c>
      <c r="HT18" s="648">
        <f t="shared" si="45"/>
        <v>104.40034836598338</v>
      </c>
      <c r="HU18" s="649">
        <f t="shared" si="45"/>
        <v>2790.7163278973981</v>
      </c>
      <c r="HV18" s="650">
        <f t="shared" si="45"/>
        <v>692.11405164388009</v>
      </c>
      <c r="HW18" s="648">
        <f t="shared" si="45"/>
        <v>92.111210136882676</v>
      </c>
      <c r="HX18" s="649">
        <f t="shared" si="45"/>
        <v>2462.2164785337354</v>
      </c>
      <c r="HY18" s="650">
        <f t="shared" si="45"/>
        <v>610.64415825676269</v>
      </c>
      <c r="HZ18" s="648">
        <f t="shared" si="45"/>
        <v>58071.143361644703</v>
      </c>
      <c r="IA18" s="649">
        <f t="shared" si="45"/>
        <v>444.08126037421357</v>
      </c>
      <c r="IB18" s="716"/>
      <c r="IC18" s="717">
        <f>HS18/[1]Assy.Model!HS18</f>
        <v>0.97481469426830336</v>
      </c>
      <c r="ID18" s="717">
        <f>HT18/[1]Assy.Model!HT18</f>
        <v>0.64734853447465901</v>
      </c>
      <c r="IE18" s="717">
        <f>HU18/[1]Assy.Model!HU18</f>
        <v>0.98665018210124222</v>
      </c>
      <c r="IF18" s="717">
        <f>HV18/[1]Assy.Model!HV18</f>
        <v>1.0028303661469069</v>
      </c>
    </row>
    <row r="19" spans="2:240" s="35" customFormat="1" ht="15" customHeight="1" x14ac:dyDescent="0.25">
      <c r="B19" s="143">
        <v>1.3328679030114661</v>
      </c>
      <c r="C19" s="144">
        <v>3.4542802568994917</v>
      </c>
      <c r="D19" s="145">
        <v>-1.9521058875513571</v>
      </c>
      <c r="E19" s="146">
        <v>0.3599900336721219</v>
      </c>
      <c r="F19" s="144">
        <v>0.93295614883910449</v>
      </c>
      <c r="G19" s="147">
        <v>2.2679489633423987E-7</v>
      </c>
      <c r="H19" s="146">
        <v>0.25700000000000001</v>
      </c>
      <c r="I19" s="144">
        <v>0.41499999999999992</v>
      </c>
      <c r="J19" s="306">
        <v>1.23</v>
      </c>
      <c r="K19" s="699" t="str">
        <f t="shared" si="199"/>
        <v>Kunckle</v>
      </c>
      <c r="M19" s="292">
        <f>IF(J19="","",J19)</f>
        <v>1.23</v>
      </c>
      <c r="N19" s="24">
        <f>IF(M19="","",B19)</f>
        <v>1.3328679030114661</v>
      </c>
      <c r="O19" s="7">
        <f>IF(M19="","",C19)</f>
        <v>3.4542802568994917</v>
      </c>
      <c r="P19" s="12">
        <f>IF(M19="","",D19)</f>
        <v>-1.9521058875513571</v>
      </c>
      <c r="Q19" s="11">
        <f t="shared" si="85"/>
        <v>68.90040304640489</v>
      </c>
      <c r="R19" s="7">
        <f>IF(M19="","",SQRT(N19^2+O19^2))</f>
        <v>3.7025111667736805</v>
      </c>
      <c r="S19" s="8">
        <f>IF(M19="","",P19)</f>
        <v>-1.9521058875513571</v>
      </c>
      <c r="T19" s="6">
        <f>IF(M19="","",X19*COS(RADIANS(W19)))</f>
        <v>3.4749906620345588</v>
      </c>
      <c r="U19" s="7">
        <f>IF(M19="","",X19*SIN(RADIANS(W19)))</f>
        <v>-1.277900167797321</v>
      </c>
      <c r="V19" s="10">
        <f>IF(M19="","",Y19)</f>
        <v>-1.9521058875513571</v>
      </c>
      <c r="W19" s="11">
        <f t="shared" si="214"/>
        <v>339.80940291516157</v>
      </c>
      <c r="X19" s="7">
        <f>IF(M19="","",R19)</f>
        <v>3.7025111667736805</v>
      </c>
      <c r="Y19" s="9">
        <f t="shared" si="213"/>
        <v>-1.9521058875513571</v>
      </c>
      <c r="Z19" s="24">
        <f>IF(M19="","",-E19)</f>
        <v>-0.3599900336721219</v>
      </c>
      <c r="AA19" s="7">
        <f>IF(M19="","",-F19)</f>
        <v>-0.93295614883910449</v>
      </c>
      <c r="AB19" s="7">
        <f>IF(M19="","",-G19)</f>
        <v>-2.2679489633423987E-7</v>
      </c>
      <c r="AC19" s="10">
        <f>IF(M19="","",SQRT(Z19^2+AA19^2+AB19^2))</f>
        <v>1</v>
      </c>
      <c r="AD19" s="11">
        <f>IF(M19="","",Z19*(1/SQRT(Z19^2+AA19^2+AB19^2)))</f>
        <v>-0.3599900336721219</v>
      </c>
      <c r="AE19" s="7">
        <f>IF(M19="","",AA19*(1/SQRT(Z19^2+AA19^2+AB19^2)))</f>
        <v>-0.93295614883910449</v>
      </c>
      <c r="AF19" s="12">
        <f>IF(M19="","",AB19*(1/SQRT(Z19^2+AA19^2+AB19^2)))</f>
        <v>-2.2679489633423987E-7</v>
      </c>
      <c r="AG19" s="6">
        <f>IF(M19="","",DEGREES(ATAN2(-AF19,AE19)))</f>
        <v>-89.999986071810142</v>
      </c>
      <c r="AH19" s="12">
        <f>IF(M19="","",DEGREES(ACOS(AD19)))</f>
        <v>111.09958395920417</v>
      </c>
      <c r="AI19" s="11">
        <f>IF(M19="","",DEGREES(-ACOS(-AF19)))</f>
        <v>-89.999987005609626</v>
      </c>
      <c r="AJ19" s="8">
        <f>IF(M19="","",DEGREES(ATAN2(-AE19,AD19)))</f>
        <v>-21.099583959204729</v>
      </c>
      <c r="AK19" s="6">
        <f>IF(M19="","",(COS(RADIANS((90-$Q$8)-W19))*AD19)+(-SIN(RADIANS((90-$Q$8)-W19))*AE19))</f>
        <v>2.2679489591892477E-7</v>
      </c>
      <c r="AL19" s="7">
        <f>IF(M19="","",(SIN(RADIANS((90-$Q$8)-W19))*AD19)+(COS(RADIANS((90-$Q$8)-W19))*AE19))</f>
        <v>-0.99999999999994871</v>
      </c>
      <c r="AM19" s="8">
        <f>IF(M19="","",AF19)</f>
        <v>-2.2679489633423987E-7</v>
      </c>
      <c r="AN19" s="6">
        <f>IF(M19="","",DEGREES(ATAN2(-AM19,AL19)))</f>
        <v>-89.999987005609626</v>
      </c>
      <c r="AO19" s="10">
        <f t="shared" si="3"/>
        <v>0</v>
      </c>
      <c r="AP19" s="11">
        <f>IF(M19="","",DEGREES(ATAN2(AK19,AL19)))</f>
        <v>-89.999987005609654</v>
      </c>
      <c r="AQ19" s="8">
        <f t="shared" si="200"/>
        <v>0.61574814815849188</v>
      </c>
      <c r="AS19" s="123">
        <f t="shared" si="90"/>
        <v>-20.19059708483843</v>
      </c>
      <c r="AT19" s="174">
        <f>IF(M19="","",Y19+(((AS19-$AS$9)*$AS$6)*-1))</f>
        <v>-1.9374533896669159</v>
      </c>
      <c r="AV19" s="292" t="str">
        <f>IF(AND(ISNUMBER(VALUE(K19)),ISNUMBER(AW19),ISNUMBER(AX19),ISNUMBER(AY19),AY19&gt;=0.0001),$M19,"")</f>
        <v/>
      </c>
      <c r="AW19" s="439"/>
      <c r="AX19" s="440"/>
      <c r="AY19" s="442"/>
      <c r="AZ19" s="565" t="str">
        <f>IF(ISNUMBER(AV19),$AY19*SQRT((2*PI()*$AW19)^2+$AS$5^2),"")</f>
        <v/>
      </c>
      <c r="BA19" s="564" t="str">
        <f t="shared" si="93"/>
        <v/>
      </c>
      <c r="BB19" s="444" t="str">
        <f>IF(ISNUMBER($AV19),$AX19-($AT19+$AS$5),"")</f>
        <v/>
      </c>
      <c r="BC19" s="11"/>
      <c r="BD19" s="7" t="str">
        <f>IF(ISNUMBER(AV19),AW19,"")</f>
        <v/>
      </c>
      <c r="BE19" s="8" t="str">
        <f t="shared" si="96"/>
        <v/>
      </c>
      <c r="BF19" s="6" t="str">
        <f t="shared" si="97"/>
        <v/>
      </c>
      <c r="BG19" s="7" t="str">
        <f t="shared" si="98"/>
        <v/>
      </c>
      <c r="BH19" s="12" t="str">
        <f t="shared" si="99"/>
        <v/>
      </c>
      <c r="BI19" s="11" t="str">
        <f t="shared" si="100"/>
        <v/>
      </c>
      <c r="BJ19" s="7" t="str">
        <f t="shared" si="101"/>
        <v/>
      </c>
      <c r="BK19" s="10" t="str">
        <f t="shared" si="102"/>
        <v/>
      </c>
      <c r="BL19" s="328" t="str">
        <f t="shared" si="103"/>
        <v/>
      </c>
      <c r="BM19" s="7" t="str">
        <f t="shared" si="104"/>
        <v/>
      </c>
      <c r="BN19" s="8" t="str">
        <f t="shared" si="105"/>
        <v/>
      </c>
      <c r="BO19" s="6" t="str">
        <f t="shared" si="106"/>
        <v/>
      </c>
      <c r="BP19" s="7" t="str">
        <f t="shared" si="107"/>
        <v/>
      </c>
      <c r="BQ19" s="7" t="str">
        <f t="shared" si="108"/>
        <v/>
      </c>
      <c r="BR19" s="8" t="str">
        <f t="shared" si="109"/>
        <v/>
      </c>
      <c r="BS19" s="6" t="str">
        <f t="shared" si="69"/>
        <v/>
      </c>
      <c r="BT19" s="7" t="str">
        <f t="shared" si="69"/>
        <v/>
      </c>
      <c r="BU19" s="12" t="str">
        <f t="shared" si="70"/>
        <v/>
      </c>
      <c r="BV19" s="11" t="str">
        <f t="shared" si="71"/>
        <v/>
      </c>
      <c r="BW19" s="7" t="str">
        <f t="shared" si="72"/>
        <v/>
      </c>
      <c r="BX19" s="10" t="str">
        <f t="shared" si="73"/>
        <v/>
      </c>
      <c r="BY19" s="328" t="str">
        <f t="shared" si="74"/>
        <v/>
      </c>
      <c r="BZ19" s="7" t="str">
        <f t="shared" si="75"/>
        <v/>
      </c>
      <c r="CA19" s="8" t="str">
        <f t="shared" si="76"/>
        <v/>
      </c>
      <c r="CB19" s="6" t="str">
        <f t="shared" si="110"/>
        <v/>
      </c>
      <c r="CC19" s="7" t="str">
        <f t="shared" si="111"/>
        <v/>
      </c>
      <c r="CD19" s="7" t="str">
        <f t="shared" si="112"/>
        <v/>
      </c>
      <c r="CE19" s="8" t="str">
        <f t="shared" si="113"/>
        <v/>
      </c>
      <c r="CF19" s="6" t="str">
        <f t="shared" si="114"/>
        <v/>
      </c>
      <c r="CG19" s="7" t="str">
        <f t="shared" si="115"/>
        <v/>
      </c>
      <c r="CH19" s="7" t="str">
        <f t="shared" si="116"/>
        <v/>
      </c>
      <c r="CI19" s="6" t="str">
        <f t="shared" si="77"/>
        <v/>
      </c>
      <c r="CJ19" s="7" t="str">
        <f t="shared" si="78"/>
        <v/>
      </c>
      <c r="CK19" s="10" t="str">
        <f t="shared" si="79"/>
        <v/>
      </c>
      <c r="CL19" s="328" t="str">
        <f t="shared" si="80"/>
        <v/>
      </c>
      <c r="CM19" s="7" t="str">
        <f t="shared" si="81"/>
        <v/>
      </c>
      <c r="CN19" s="8" t="str">
        <f t="shared" si="82"/>
        <v/>
      </c>
      <c r="CO19" s="296" t="str">
        <f t="shared" si="201"/>
        <v/>
      </c>
      <c r="CP19" s="6" t="str">
        <f t="shared" si="202"/>
        <v/>
      </c>
      <c r="CQ19" s="7" t="str">
        <f t="shared" si="203"/>
        <v/>
      </c>
      <c r="CR19" s="7" t="str">
        <f t="shared" si="117"/>
        <v/>
      </c>
      <c r="CS19" s="10" t="str">
        <f t="shared" si="118"/>
        <v/>
      </c>
      <c r="CT19" s="11" t="str">
        <f t="shared" si="119"/>
        <v/>
      </c>
      <c r="CU19" s="8" t="str">
        <f t="shared" si="120"/>
        <v/>
      </c>
      <c r="CV19" s="6" t="str">
        <f t="shared" si="204"/>
        <v/>
      </c>
      <c r="CW19" s="7" t="str">
        <f t="shared" si="121"/>
        <v/>
      </c>
      <c r="CX19" s="10" t="str">
        <f t="shared" si="122"/>
        <v/>
      </c>
      <c r="CY19" s="11" t="str">
        <f t="shared" si="123"/>
        <v/>
      </c>
      <c r="CZ19" s="7" t="str">
        <f t="shared" si="124"/>
        <v/>
      </c>
      <c r="DA19" s="8" t="str">
        <f t="shared" si="125"/>
        <v/>
      </c>
      <c r="DB19" s="6" t="str">
        <f t="shared" si="126"/>
        <v/>
      </c>
      <c r="DC19" s="7" t="str">
        <f t="shared" si="126"/>
        <v/>
      </c>
      <c r="DD19" s="12" t="str">
        <f t="shared" si="127"/>
        <v/>
      </c>
      <c r="DE19" s="11" t="str">
        <f t="shared" si="128"/>
        <v/>
      </c>
      <c r="DF19" s="7" t="str">
        <f t="shared" si="128"/>
        <v/>
      </c>
      <c r="DG19" s="12" t="str">
        <f t="shared" si="129"/>
        <v/>
      </c>
      <c r="DH19" s="174" t="str">
        <f t="shared" si="130"/>
        <v/>
      </c>
      <c r="DI19" s="6" t="str">
        <f t="shared" si="131"/>
        <v/>
      </c>
      <c r="DJ19" s="7" t="str">
        <f t="shared" si="132"/>
        <v/>
      </c>
      <c r="DK19" s="12" t="str">
        <f t="shared" si="133"/>
        <v/>
      </c>
      <c r="DL19" s="11" t="str">
        <f t="shared" si="134"/>
        <v/>
      </c>
      <c r="DM19" s="328" t="str">
        <f t="shared" si="135"/>
        <v/>
      </c>
      <c r="DN19" s="376" t="str">
        <f t="shared" si="136"/>
        <v/>
      </c>
      <c r="DO19" s="11" t="str">
        <f t="shared" si="137"/>
        <v/>
      </c>
      <c r="DP19" s="328" t="str">
        <f t="shared" si="138"/>
        <v/>
      </c>
      <c r="DQ19" s="13" t="str">
        <f t="shared" si="139"/>
        <v/>
      </c>
      <c r="DR19" s="328" t="str">
        <f t="shared" si="140"/>
        <v/>
      </c>
      <c r="DS19" s="7" t="str">
        <f t="shared" si="141"/>
        <v/>
      </c>
      <c r="DT19" s="7" t="str">
        <f t="shared" si="142"/>
        <v/>
      </c>
      <c r="DU19" s="7" t="str">
        <f t="shared" si="143"/>
        <v/>
      </c>
      <c r="DV19" s="7" t="str">
        <f t="shared" si="144"/>
        <v/>
      </c>
      <c r="DW19" s="7" t="str">
        <f t="shared" si="145"/>
        <v/>
      </c>
      <c r="DX19" s="296" t="str">
        <f t="shared" si="146"/>
        <v/>
      </c>
      <c r="DY19" s="11" t="str">
        <f t="shared" si="147"/>
        <v/>
      </c>
      <c r="DZ19" s="7" t="str">
        <f t="shared" si="148"/>
        <v/>
      </c>
      <c r="EA19" s="12" t="str">
        <f t="shared" si="149"/>
        <v/>
      </c>
      <c r="EB19" s="8" t="str">
        <f t="shared" si="150"/>
        <v/>
      </c>
      <c r="EC19" s="328" t="str">
        <f t="shared" si="151"/>
        <v/>
      </c>
      <c r="ED19" s="7" t="str">
        <f t="shared" si="152"/>
        <v/>
      </c>
      <c r="EE19" s="6" t="str">
        <f t="shared" si="153"/>
        <v/>
      </c>
      <c r="EF19" s="7" t="str">
        <f t="shared" si="154"/>
        <v/>
      </c>
      <c r="EG19" s="12" t="str">
        <f t="shared" si="155"/>
        <v/>
      </c>
      <c r="EH19" s="11" t="str">
        <f t="shared" si="156"/>
        <v/>
      </c>
      <c r="EI19" s="7" t="str">
        <f t="shared" si="157"/>
        <v/>
      </c>
      <c r="EJ19" s="8" t="str">
        <f t="shared" si="158"/>
        <v/>
      </c>
      <c r="EK19" s="491" t="str">
        <f t="shared" si="159"/>
        <v/>
      </c>
      <c r="EL19" s="493" t="str">
        <f t="shared" si="160"/>
        <v/>
      </c>
      <c r="EM19" s="6" t="str">
        <f t="shared" si="161"/>
        <v/>
      </c>
      <c r="EN19" s="7" t="str">
        <f t="shared" si="162"/>
        <v/>
      </c>
      <c r="EO19" s="12" t="str">
        <f t="shared" si="163"/>
        <v/>
      </c>
      <c r="EP19" s="11" t="str">
        <f t="shared" si="164"/>
        <v/>
      </c>
      <c r="EQ19" s="7" t="str">
        <f t="shared" si="165"/>
        <v/>
      </c>
      <c r="ER19" s="9" t="str">
        <f t="shared" si="166"/>
        <v/>
      </c>
      <c r="ES19" s="24" t="str">
        <f t="shared" si="167"/>
        <v/>
      </c>
      <c r="ET19" s="7" t="str">
        <f t="shared" si="168"/>
        <v/>
      </c>
      <c r="EU19" s="12" t="str">
        <f t="shared" si="169"/>
        <v/>
      </c>
      <c r="EV19" s="337" t="str">
        <f t="shared" si="15"/>
        <v/>
      </c>
      <c r="EW19" s="11" t="str">
        <f t="shared" si="16"/>
        <v/>
      </c>
      <c r="EX19" s="7" t="str">
        <f t="shared" si="17"/>
        <v/>
      </c>
      <c r="EY19" s="8" t="str">
        <f t="shared" si="170"/>
        <v/>
      </c>
      <c r="EZ19" s="123" t="str">
        <f t="shared" si="171"/>
        <v/>
      </c>
      <c r="FA19" s="534" t="str">
        <f t="shared" si="18"/>
        <v/>
      </c>
      <c r="FB19" s="535" t="str">
        <f t="shared" si="19"/>
        <v/>
      </c>
      <c r="FC19" s="537" t="str">
        <f t="shared" si="20"/>
        <v/>
      </c>
      <c r="FD19" s="6" t="str">
        <f t="shared" si="21"/>
        <v/>
      </c>
      <c r="FE19" s="7" t="str">
        <f t="shared" si="22"/>
        <v/>
      </c>
      <c r="FF19" s="9" t="str">
        <f t="shared" si="172"/>
        <v/>
      </c>
      <c r="FG19" s="328" t="str">
        <f t="shared" si="23"/>
        <v/>
      </c>
      <c r="FH19" s="7" t="str">
        <f t="shared" si="24"/>
        <v/>
      </c>
      <c r="FI19" s="12" t="str">
        <f t="shared" si="25"/>
        <v/>
      </c>
      <c r="FJ19" s="547" t="str">
        <f t="shared" si="173"/>
        <v/>
      </c>
      <c r="FK19" s="6" t="str">
        <f t="shared" si="26"/>
        <v/>
      </c>
      <c r="FL19" s="7" t="str">
        <f t="shared" si="174"/>
        <v/>
      </c>
      <c r="FM19" s="10" t="str">
        <f t="shared" si="175"/>
        <v/>
      </c>
      <c r="FN19" s="11" t="str">
        <f t="shared" si="176"/>
        <v/>
      </c>
      <c r="FO19" s="12" t="str">
        <f t="shared" si="27"/>
        <v/>
      </c>
      <c r="FP19" s="545" t="str">
        <f t="shared" si="28"/>
        <v/>
      </c>
      <c r="FQ19" s="328" t="str">
        <f t="shared" si="205"/>
        <v/>
      </c>
      <c r="FR19" s="12" t="str">
        <f t="shared" si="177"/>
        <v/>
      </c>
      <c r="FS19" s="11" t="str">
        <f t="shared" si="178"/>
        <v/>
      </c>
      <c r="FT19" s="8" t="str">
        <f t="shared" si="179"/>
        <v/>
      </c>
      <c r="FU19" s="6" t="str">
        <f t="shared" si="180"/>
        <v/>
      </c>
      <c r="FV19" s="7" t="str">
        <f t="shared" si="181"/>
        <v/>
      </c>
      <c r="FW19" s="10" t="str">
        <f t="shared" si="206"/>
        <v/>
      </c>
      <c r="FX19" s="11" t="str">
        <f t="shared" si="207"/>
        <v/>
      </c>
      <c r="FY19" s="12" t="str">
        <f t="shared" si="29"/>
        <v/>
      </c>
      <c r="FZ19" s="545" t="str">
        <f t="shared" si="208"/>
        <v/>
      </c>
      <c r="GA19" s="372" t="str">
        <f t="shared" si="182"/>
        <v/>
      </c>
      <c r="GB19" s="46" t="str">
        <f t="shared" si="183"/>
        <v/>
      </c>
      <c r="GC19" s="47" t="str">
        <f t="shared" si="184"/>
        <v/>
      </c>
      <c r="GD19" s="578" t="str">
        <f t="shared" si="185"/>
        <v/>
      </c>
      <c r="GE19" s="585" t="str">
        <f t="shared" si="186"/>
        <v/>
      </c>
      <c r="GF19" s="634" t="str">
        <f t="shared" si="209"/>
        <v/>
      </c>
      <c r="GG19" s="553" t="str">
        <f t="shared" si="30"/>
        <v/>
      </c>
      <c r="GH19" s="554" t="str">
        <f t="shared" si="31"/>
        <v/>
      </c>
      <c r="GI19" s="549" t="str">
        <f t="shared" si="32"/>
        <v/>
      </c>
      <c r="GJ19" s="296" t="str">
        <f>IF(ISNUMBER($AV19),AW19,"")</f>
        <v/>
      </c>
      <c r="GK19" s="337" t="str">
        <f t="shared" si="33"/>
        <v/>
      </c>
      <c r="GL19" s="337" t="str">
        <f>IF(ISNUMBER($AV19),AY19,"")</f>
        <v/>
      </c>
      <c r="GM19" s="372" t="str">
        <f t="shared" si="210"/>
        <v/>
      </c>
      <c r="GN19" s="548" t="str">
        <f t="shared" si="189"/>
        <v/>
      </c>
      <c r="GO19" s="6" t="str">
        <f t="shared" si="190"/>
        <v/>
      </c>
      <c r="GP19" s="10" t="str">
        <f t="shared" si="211"/>
        <v/>
      </c>
      <c r="GQ19" s="372" t="str">
        <f t="shared" si="191"/>
        <v/>
      </c>
      <c r="GR19" s="697" t="str">
        <f t="shared" si="212"/>
        <v/>
      </c>
      <c r="GS19" s="637" t="str">
        <f t="shared" si="35"/>
        <v/>
      </c>
      <c r="GT19" s="638" t="str">
        <f t="shared" si="36"/>
        <v/>
      </c>
      <c r="GU19" s="639" t="str">
        <f t="shared" si="37"/>
        <v/>
      </c>
      <c r="GV19" s="638" t="str">
        <f t="shared" si="192"/>
        <v/>
      </c>
      <c r="GW19" s="640" t="str">
        <f t="shared" si="38"/>
        <v/>
      </c>
      <c r="GX19" s="641" t="str">
        <f t="shared" si="39"/>
        <v/>
      </c>
      <c r="GY19" s="639" t="str">
        <f t="shared" si="40"/>
        <v/>
      </c>
      <c r="GZ19" s="640" t="str">
        <f t="shared" si="41"/>
        <v/>
      </c>
      <c r="HA19" s="637" t="str">
        <f t="shared" si="42"/>
        <v/>
      </c>
      <c r="HB19" s="7" t="str">
        <f t="shared" si="193"/>
        <v/>
      </c>
      <c r="HC19" s="638" t="str">
        <f t="shared" si="194"/>
        <v/>
      </c>
      <c r="HD19" s="640" t="str">
        <f t="shared" si="195"/>
        <v/>
      </c>
      <c r="HE19" s="639" t="str">
        <f t="shared" si="43"/>
        <v/>
      </c>
      <c r="HF19" s="7" t="str">
        <f t="shared" si="44"/>
        <v/>
      </c>
      <c r="HG19" s="638" t="str">
        <f t="shared" si="196"/>
        <v/>
      </c>
      <c r="HH19" s="644" t="str">
        <f t="shared" si="197"/>
        <v/>
      </c>
      <c r="HI19" s="596" t="str">
        <f t="shared" si="198"/>
        <v/>
      </c>
      <c r="HJ19" s="625"/>
      <c r="HK19" s="1232">
        <f t="shared" si="83"/>
        <v>11</v>
      </c>
      <c r="HL19" s="583">
        <f t="shared" si="84"/>
        <v>2.3216000000000001</v>
      </c>
      <c r="HM19" s="643">
        <f t="shared" ref="HM19:IA28" si="215">IF(ISNUMBER($HL19),VLOOKUP($HL19,$GJ$9:$HI$130,HM$1,FALSE),"")</f>
        <v>2.1110000000000002</v>
      </c>
      <c r="HN19" s="660">
        <f t="shared" si="215"/>
        <v>3.7719068883298634</v>
      </c>
      <c r="HO19" s="661">
        <f t="shared" si="215"/>
        <v>13.697500831114306</v>
      </c>
      <c r="HP19" s="656">
        <f t="shared" si="215"/>
        <v>14.166260252348597</v>
      </c>
      <c r="HQ19" s="660">
        <f t="shared" si="215"/>
        <v>3.8300000000000001E-2</v>
      </c>
      <c r="HR19" s="671">
        <f t="shared" si="215"/>
        <v>4.617765387617332E-2</v>
      </c>
      <c r="HS19" s="655">
        <f t="shared" si="215"/>
        <v>3542.7561198156768</v>
      </c>
      <c r="HT19" s="648">
        <f t="shared" si="215"/>
        <v>178.26878332523674</v>
      </c>
      <c r="HU19" s="649">
        <f t="shared" si="215"/>
        <v>2704.0140333504164</v>
      </c>
      <c r="HV19" s="650">
        <f t="shared" si="215"/>
        <v>660.47330314002386</v>
      </c>
      <c r="HW19" s="648">
        <f t="shared" si="215"/>
        <v>146.63090336088294</v>
      </c>
      <c r="HX19" s="649">
        <f t="shared" si="215"/>
        <v>2224.1247907509924</v>
      </c>
      <c r="HY19" s="650">
        <f t="shared" si="215"/>
        <v>543.25718321912132</v>
      </c>
      <c r="HZ19" s="648">
        <f t="shared" si="215"/>
        <v>58071.143361644703</v>
      </c>
      <c r="IA19" s="649">
        <f t="shared" si="215"/>
        <v>430.29400951729201</v>
      </c>
      <c r="IB19" s="716"/>
      <c r="IC19" s="717">
        <f>HS19/[1]Assy.Model!HS19</f>
        <v>0.93788356458528632</v>
      </c>
      <c r="ID19" s="717">
        <f>HT19/[1]Assy.Model!HT19</f>
        <v>0.72925709030913743</v>
      </c>
      <c r="IE19" s="717">
        <f>HU19/[1]Assy.Model!HU19</f>
        <v>0.94777037559422672</v>
      </c>
      <c r="IF19" s="717">
        <f>HV19/[1]Assy.Model!HV19</f>
        <v>0.97140531135872377</v>
      </c>
    </row>
    <row r="20" spans="2:240" s="35" customFormat="1" ht="15" customHeight="1" x14ac:dyDescent="0.25">
      <c r="B20" s="143">
        <v>2.004517902641386</v>
      </c>
      <c r="C20" s="144">
        <v>1.3150929272216627</v>
      </c>
      <c r="D20" s="145">
        <v>-7.7700234343906771E-2</v>
      </c>
      <c r="E20" s="146">
        <v>-0.45733358446225986</v>
      </c>
      <c r="F20" s="144">
        <v>0.8525782579904051</v>
      </c>
      <c r="G20" s="147">
        <v>0.25289584125672615</v>
      </c>
      <c r="H20" s="146">
        <v>0.314</v>
      </c>
      <c r="I20" s="144">
        <v>0.52</v>
      </c>
      <c r="J20" s="306">
        <v>2.1110000000000002</v>
      </c>
      <c r="K20" s="699" t="str">
        <f t="shared" si="199"/>
        <v>1613</v>
      </c>
      <c r="M20" s="292">
        <f>IF(J20="","",J20)</f>
        <v>2.1110000000000002</v>
      </c>
      <c r="N20" s="24">
        <f>IF(M20="","",B20)</f>
        <v>2.004517902641386</v>
      </c>
      <c r="O20" s="7">
        <f>IF(M20="","",C20)</f>
        <v>1.3150929272216627</v>
      </c>
      <c r="P20" s="12">
        <f>IF(M20="","",D20)</f>
        <v>-7.7700234343906771E-2</v>
      </c>
      <c r="Q20" s="11">
        <f t="shared" si="85"/>
        <v>33.267456213596773</v>
      </c>
      <c r="R20" s="7">
        <f>IF(M20="","",SQRT(N20^2+O20^2))</f>
        <v>2.3974072305802077</v>
      </c>
      <c r="S20" s="8">
        <f>IF(M20="","",P20)</f>
        <v>-7.7700234343906771E-2</v>
      </c>
      <c r="T20" s="6">
        <f>IF(M20="","",X20*COS(RADIANS(W20)))</f>
        <v>1.3467278504325446</v>
      </c>
      <c r="U20" s="7">
        <f>IF(M20="","",X20*SIN(RADIANS(W20)))</f>
        <v>-1.9834025123780596</v>
      </c>
      <c r="V20" s="10">
        <f>IF(M20="","",Y20)</f>
        <v>-7.7700234343906771E-2</v>
      </c>
      <c r="W20" s="11">
        <f t="shared" si="214"/>
        <v>304.17645608235347</v>
      </c>
      <c r="X20" s="7">
        <f>IF(M20="","",R20)</f>
        <v>2.3974072305802077</v>
      </c>
      <c r="Y20" s="9">
        <f t="shared" si="213"/>
        <v>-7.7700234343906771E-2</v>
      </c>
      <c r="Z20" s="24">
        <f>IF(M20="","",-E20)</f>
        <v>0.45733358446225986</v>
      </c>
      <c r="AA20" s="7">
        <f>IF(M20="","",-F20)</f>
        <v>-0.8525782579904051</v>
      </c>
      <c r="AB20" s="7">
        <f>IF(M20="","",-G20)</f>
        <v>-0.25289584125672615</v>
      </c>
      <c r="AC20" s="10">
        <f>IF(M20="","",SQRT(Z20^2+AA20^2+AB20^2))</f>
        <v>1</v>
      </c>
      <c r="AD20" s="11">
        <f>IF(M20="","",Z20*(1/SQRT(Z20^2+AA20^2+AB20^2)))</f>
        <v>0.45733358446225986</v>
      </c>
      <c r="AE20" s="7">
        <f>IF(M20="","",AA20*(1/SQRT(Z20^2+AA20^2+AB20^2)))</f>
        <v>-0.8525782579904051</v>
      </c>
      <c r="AF20" s="12">
        <f>IF(M20="","",AB20*(1/SQRT(Z20^2+AA20^2+AB20^2)))</f>
        <v>-0.25289584125672615</v>
      </c>
      <c r="AG20" s="6">
        <f>IF(M20="","",DEGREES(ATAN2(-AF20,AE20)))</f>
        <v>-73.478338197775273</v>
      </c>
      <c r="AH20" s="12">
        <f>IF(M20="","",DEGREES(ACOS(AD20)))</f>
        <v>62.784818028297238</v>
      </c>
      <c r="AI20" s="11">
        <f>IF(M20="","",DEGREES(-ACOS(-AF20)))</f>
        <v>-75.351060438167252</v>
      </c>
      <c r="AJ20" s="8">
        <f>IF(M20="","",DEGREES(ATAN2(-AE20,AD20)))</f>
        <v>28.209662401881268</v>
      </c>
      <c r="AK20" s="6">
        <f>IF(M20="","",(COS(RADIANS((90-$Q$8)-W20))*AD20)+(-SIN(RADIANS((90-$Q$8)-W20))*AE20))</f>
        <v>0.96372636003632151</v>
      </c>
      <c r="AL20" s="7">
        <f>IF(M20="","",(SIN(RADIANS((90-$Q$8)-W20))*AD20)+(COS(RADIANS((90-$Q$8)-W20))*AE20))</f>
        <v>-8.5294762126376156E-2</v>
      </c>
      <c r="AM20" s="8">
        <f>IF(M20="","",AF20)</f>
        <v>-0.25289584125672615</v>
      </c>
      <c r="AN20" s="6">
        <f>IF(M20="","",DEGREES(ATAN2(-AM20,AL20)))</f>
        <v>-18.637825802790388</v>
      </c>
      <c r="AO20" s="10">
        <f t="shared" si="3"/>
        <v>15.479424299784572</v>
      </c>
      <c r="AP20" s="11">
        <f>IF(M20="","",DEGREES(ATAN2(AK20,AL20)))</f>
        <v>-5.0577938117155448</v>
      </c>
      <c r="AQ20" s="8">
        <f t="shared" si="200"/>
        <v>0.95100070604900688</v>
      </c>
      <c r="AS20" s="123">
        <f t="shared" si="90"/>
        <v>-55.823543917646532</v>
      </c>
      <c r="AT20" s="174">
        <f>IF(M20="","",Y20+(((AS20-$AS$9)*$AS$6)*-1))</f>
        <v>-3.8302634492237891E-2</v>
      </c>
      <c r="AV20" s="292">
        <f t="shared" si="91"/>
        <v>2.1110000000000002</v>
      </c>
      <c r="AW20" s="439">
        <v>2.3216000000000001</v>
      </c>
      <c r="AX20" s="440">
        <v>0.436</v>
      </c>
      <c r="AY20" s="442">
        <v>3.8300000000000001E-2</v>
      </c>
      <c r="AZ20" s="565">
        <f t="shared" si="92"/>
        <v>0.55876579178285335</v>
      </c>
      <c r="BA20" s="564">
        <f t="shared" si="93"/>
        <v>4.617765387617332E-2</v>
      </c>
      <c r="BB20" s="444">
        <f t="shared" si="94"/>
        <v>0.22430263449223789</v>
      </c>
      <c r="BC20" s="11"/>
      <c r="BD20" s="7">
        <f t="shared" si="95"/>
        <v>2.3216000000000001</v>
      </c>
      <c r="BE20" s="8">
        <f t="shared" si="96"/>
        <v>0.14660240014833112</v>
      </c>
      <c r="BF20" s="6">
        <f t="shared" si="97"/>
        <v>2.004517902641386</v>
      </c>
      <c r="BG20" s="7">
        <f t="shared" si="98"/>
        <v>1.3150929272216627</v>
      </c>
      <c r="BH20" s="12">
        <f t="shared" si="99"/>
        <v>-7.7700234343906771E-2</v>
      </c>
      <c r="BI20" s="11">
        <f t="shared" si="100"/>
        <v>2.004517902641386</v>
      </c>
      <c r="BJ20" s="7">
        <f t="shared" si="101"/>
        <v>1.5994707523761744</v>
      </c>
      <c r="BK20" s="10">
        <f t="shared" si="102"/>
        <v>-1.0364125230731114</v>
      </c>
      <c r="BL20" s="328">
        <f t="shared" si="103"/>
        <v>2.893813125007334</v>
      </c>
      <c r="BM20" s="7">
        <f t="shared" si="104"/>
        <v>1.7535442546942068</v>
      </c>
      <c r="BN20" s="8">
        <f t="shared" si="105"/>
        <v>5.2355295775587896E-2</v>
      </c>
      <c r="BO20" s="6">
        <f t="shared" si="106"/>
        <v>0.45733358446225969</v>
      </c>
      <c r="BP20" s="7">
        <f t="shared" si="107"/>
        <v>-0.85257825799040532</v>
      </c>
      <c r="BQ20" s="7">
        <f t="shared" si="108"/>
        <v>-0.25289584125672571</v>
      </c>
      <c r="BR20" s="8">
        <f t="shared" si="109"/>
        <v>0.18483621332214512</v>
      </c>
      <c r="BS20" s="6">
        <f t="shared" si="69"/>
        <v>0</v>
      </c>
      <c r="BT20" s="7">
        <f t="shared" si="69"/>
        <v>0</v>
      </c>
      <c r="BU20" s="12">
        <f t="shared" si="70"/>
        <v>0.14660240014833112</v>
      </c>
      <c r="BV20" s="11">
        <f t="shared" si="71"/>
        <v>0</v>
      </c>
      <c r="BW20" s="7">
        <f t="shared" si="72"/>
        <v>1</v>
      </c>
      <c r="BX20" s="10">
        <f t="shared" si="73"/>
        <v>0.14660240014833112</v>
      </c>
      <c r="BY20" s="328">
        <f t="shared" si="74"/>
        <v>1</v>
      </c>
      <c r="BZ20" s="7">
        <f t="shared" si="75"/>
        <v>0</v>
      </c>
      <c r="CA20" s="8">
        <f t="shared" si="76"/>
        <v>0.14660240014833112</v>
      </c>
      <c r="CB20" s="6">
        <f t="shared" si="110"/>
        <v>0</v>
      </c>
      <c r="CC20" s="7">
        <f t="shared" si="111"/>
        <v>0</v>
      </c>
      <c r="CD20" s="7">
        <f t="shared" si="112"/>
        <v>-1</v>
      </c>
      <c r="CE20" s="8">
        <f t="shared" si="113"/>
        <v>0.14660240014833112</v>
      </c>
      <c r="CF20" s="6">
        <f t="shared" si="114"/>
        <v>0.85257825799040532</v>
      </c>
      <c r="CG20" s="7">
        <f t="shared" si="115"/>
        <v>0.45733358446225969</v>
      </c>
      <c r="CH20" s="7">
        <f t="shared" si="116"/>
        <v>0</v>
      </c>
      <c r="CI20" s="6">
        <f t="shared" si="77"/>
        <v>0</v>
      </c>
      <c r="CJ20" s="7">
        <f t="shared" si="78"/>
        <v>0.17331086574347129</v>
      </c>
      <c r="CK20" s="10">
        <f t="shared" si="79"/>
        <v>0.14660240014833112</v>
      </c>
      <c r="CL20" s="328">
        <f t="shared" si="80"/>
        <v>0.85257825799040532</v>
      </c>
      <c r="CM20" s="7">
        <f t="shared" si="81"/>
        <v>0.63064445020573101</v>
      </c>
      <c r="CN20" s="8">
        <f t="shared" si="82"/>
        <v>0.14660240014833112</v>
      </c>
      <c r="CO20" s="296">
        <f t="shared" si="201"/>
        <v>0.3125</v>
      </c>
      <c r="CP20" s="6">
        <f t="shared" si="202"/>
        <v>0.9360436934750529</v>
      </c>
      <c r="CQ20" s="7">
        <f t="shared" si="203"/>
        <v>-4.4623673287902061</v>
      </c>
      <c r="CR20" s="7">
        <f t="shared" si="117"/>
        <v>5.2744137197633671</v>
      </c>
      <c r="CS20" s="10">
        <f t="shared" si="118"/>
        <v>0.1643953804030609</v>
      </c>
      <c r="CT20" s="11">
        <f t="shared" si="119"/>
        <v>2.6002121293264038</v>
      </c>
      <c r="CU20" s="8">
        <f t="shared" si="120"/>
        <v>2.1670517921084085</v>
      </c>
      <c r="CV20" s="6">
        <f t="shared" si="204"/>
        <v>2.2168843276266279</v>
      </c>
      <c r="CW20" s="7">
        <f t="shared" si="121"/>
        <v>1.3624751992105602</v>
      </c>
      <c r="CX20" s="10">
        <f t="shared" si="122"/>
        <v>0.14660240014833112</v>
      </c>
      <c r="CY20" s="11">
        <f t="shared" si="123"/>
        <v>1.8475812418907729</v>
      </c>
      <c r="CZ20" s="7">
        <f t="shared" si="124"/>
        <v>1.1643764295437733</v>
      </c>
      <c r="DA20" s="8">
        <f t="shared" si="125"/>
        <v>0.14660240014833112</v>
      </c>
      <c r="DB20" s="6">
        <f t="shared" si="126"/>
        <v>0</v>
      </c>
      <c r="DC20" s="7">
        <f t="shared" si="126"/>
        <v>0</v>
      </c>
      <c r="DD20" s="12">
        <f t="shared" si="127"/>
        <v>-10</v>
      </c>
      <c r="DE20" s="11">
        <f t="shared" si="128"/>
        <v>0</v>
      </c>
      <c r="DF20" s="7">
        <f t="shared" si="128"/>
        <v>0</v>
      </c>
      <c r="DG20" s="12">
        <f t="shared" si="129"/>
        <v>10</v>
      </c>
      <c r="DH20" s="174">
        <f t="shared" si="130"/>
        <v>2.3216000000000001</v>
      </c>
      <c r="DI20" s="6">
        <f t="shared" si="131"/>
        <v>0</v>
      </c>
      <c r="DJ20" s="7">
        <f t="shared" si="132"/>
        <v>0</v>
      </c>
      <c r="DK20" s="12">
        <f t="shared" si="133"/>
        <v>20</v>
      </c>
      <c r="DL20" s="11">
        <f t="shared" si="134"/>
        <v>2.2168843276266279</v>
      </c>
      <c r="DM20" s="328">
        <f t="shared" si="135"/>
        <v>1.3624751992105602</v>
      </c>
      <c r="DN20" s="376">
        <f t="shared" si="136"/>
        <v>10.146602400148332</v>
      </c>
      <c r="DO20" s="11">
        <f t="shared" si="137"/>
        <v>-0.36930308573585502</v>
      </c>
      <c r="DP20" s="328">
        <f t="shared" si="138"/>
        <v>-0.19809876966678686</v>
      </c>
      <c r="DQ20" s="13">
        <f t="shared" si="139"/>
        <v>0</v>
      </c>
      <c r="DR20" s="328">
        <f t="shared" si="140"/>
        <v>202.93204800296664</v>
      </c>
      <c r="DS20" s="7">
        <f t="shared" si="141"/>
        <v>0</v>
      </c>
      <c r="DT20" s="7">
        <f t="shared" si="142"/>
        <v>400</v>
      </c>
      <c r="DU20" s="7">
        <f t="shared" si="143"/>
        <v>0.17562789167751897</v>
      </c>
      <c r="DV20" s="7">
        <f t="shared" si="144"/>
        <v>-1.0886068835770923</v>
      </c>
      <c r="DW20" s="7">
        <f t="shared" si="145"/>
        <v>109.72445505723631</v>
      </c>
      <c r="DX20" s="296">
        <f t="shared" si="146"/>
        <v>104.33462849723631</v>
      </c>
      <c r="DY20" s="11">
        <f t="shared" si="147"/>
        <v>70.251156671007593</v>
      </c>
      <c r="DZ20" s="7">
        <f t="shared" si="148"/>
        <v>-435.44275343083694</v>
      </c>
      <c r="EA20" s="12">
        <f t="shared" si="149"/>
        <v>552.43529221617064</v>
      </c>
      <c r="EB20" s="8">
        <f t="shared" si="150"/>
        <v>150801.17325135661</v>
      </c>
      <c r="EC20" s="328">
        <f t="shared" si="151"/>
        <v>11.72612750993745</v>
      </c>
      <c r="ED20" s="7">
        <f t="shared" si="152"/>
        <v>0.67061509374818096</v>
      </c>
      <c r="EE20" s="6">
        <f t="shared" si="153"/>
        <v>-2.1136107455253703</v>
      </c>
      <c r="EF20" s="7">
        <f t="shared" si="154"/>
        <v>-0.96045623346391173</v>
      </c>
      <c r="EG20" s="12">
        <f t="shared" si="155"/>
        <v>0.14660240014833112</v>
      </c>
      <c r="EH20" s="11">
        <f t="shared" si="156"/>
        <v>1.969224104164385</v>
      </c>
      <c r="EI20" s="7">
        <f t="shared" si="157"/>
        <v>1.2296271742190685</v>
      </c>
      <c r="EJ20" s="8">
        <f t="shared" si="158"/>
        <v>0.14660240014833112</v>
      </c>
      <c r="EK20" s="491" t="b">
        <f t="shared" si="159"/>
        <v>0</v>
      </c>
      <c r="EL20" s="493" t="b">
        <f t="shared" si="160"/>
        <v>1</v>
      </c>
      <c r="EM20" s="6">
        <f t="shared" si="161"/>
        <v>1.969224104164385</v>
      </c>
      <c r="EN20" s="7">
        <f t="shared" si="162"/>
        <v>1.2296271742190685</v>
      </c>
      <c r="EO20" s="12">
        <f t="shared" si="163"/>
        <v>0.14660240014833112</v>
      </c>
      <c r="EP20" s="11">
        <f t="shared" si="164"/>
        <v>31.981569290211148</v>
      </c>
      <c r="EQ20" s="7">
        <f>IF(ISNUMBER($AV20),SQRT(EM20^2+EN20^2),"")</f>
        <v>2.3215999999999992</v>
      </c>
      <c r="ER20" s="9">
        <f t="shared" si="166"/>
        <v>0.14660240014833112</v>
      </c>
      <c r="ES20" s="24">
        <f t="shared" si="167"/>
        <v>0.45733358446225986</v>
      </c>
      <c r="ET20" s="7">
        <f t="shared" si="168"/>
        <v>-0.8525782579904051</v>
      </c>
      <c r="EU20" s="12">
        <f t="shared" si="169"/>
        <v>-0.25289584125672615</v>
      </c>
      <c r="EV20" s="337">
        <f>IF(ISNUMBER($AV20),IF(($EV$1-EP20)&lt;0,(360+($EV$1-EP20)),($EV$1-EP20)),"")</f>
        <v>58.018430709788852</v>
      </c>
      <c r="EW20" s="11">
        <f t="shared" si="16"/>
        <v>0.96539776854712034</v>
      </c>
      <c r="EX20" s="7">
        <f t="shared" si="17"/>
        <v>-6.3646225019976299E-2</v>
      </c>
      <c r="EY20" s="8">
        <f t="shared" si="170"/>
        <v>-0.25289584125672615</v>
      </c>
      <c r="EZ20" s="123">
        <f t="shared" si="171"/>
        <v>0.98186744688738115</v>
      </c>
      <c r="FA20" s="534">
        <f t="shared" si="18"/>
        <v>0.52956867073039959</v>
      </c>
      <c r="FB20" s="535">
        <f t="shared" si="19"/>
        <v>-0.84809396951958105</v>
      </c>
      <c r="FC20" s="537">
        <f t="shared" si="20"/>
        <v>-1.7135981015317821E-2</v>
      </c>
      <c r="FD20" s="6">
        <f t="shared" si="21"/>
        <v>0.99985316829754689</v>
      </c>
      <c r="FE20" s="7">
        <f t="shared" si="22"/>
        <v>5.5511151231257827E-17</v>
      </c>
      <c r="FF20" s="9">
        <f t="shared" si="172"/>
        <v>-1.7135981015317821E-2</v>
      </c>
      <c r="FG20" s="328">
        <f t="shared" si="23"/>
        <v>-3.4455399750426552E-2</v>
      </c>
      <c r="FH20" s="7">
        <f t="shared" si="24"/>
        <v>-6.3646225019976355E-2</v>
      </c>
      <c r="FI20" s="12">
        <f t="shared" si="25"/>
        <v>-0.23575986024140833</v>
      </c>
      <c r="FJ20" s="547">
        <f t="shared" si="173"/>
        <v>14.166260252348597</v>
      </c>
      <c r="FK20" s="6">
        <f t="shared" si="26"/>
        <v>0.96749351081805857</v>
      </c>
      <c r="FL20" s="7">
        <f t="shared" si="174"/>
        <v>0.99985316829754678</v>
      </c>
      <c r="FM20" s="10">
        <f t="shared" si="175"/>
        <v>7.2374142697894245E-2</v>
      </c>
      <c r="FN20" s="11">
        <f t="shared" si="176"/>
        <v>3.7719068883298634</v>
      </c>
      <c r="FO20" s="12">
        <f t="shared" si="27"/>
        <v>1</v>
      </c>
      <c r="FP20" s="545">
        <f t="shared" si="28"/>
        <v>3.7719068883298634</v>
      </c>
      <c r="FQ20" s="328">
        <f t="shared" si="205"/>
        <v>6.5784653135461765E-2</v>
      </c>
      <c r="FR20" s="12">
        <f t="shared" si="177"/>
        <v>0.9978338435891253</v>
      </c>
      <c r="FS20" s="11">
        <f t="shared" si="178"/>
        <v>6.1849858138087667E-2</v>
      </c>
      <c r="FT20" s="8">
        <f t="shared" si="179"/>
        <v>0.93815014186191248</v>
      </c>
      <c r="FU20" s="6">
        <f t="shared" si="180"/>
        <v>0.99797252369026002</v>
      </c>
      <c r="FV20" s="7">
        <f t="shared" si="181"/>
        <v>1</v>
      </c>
      <c r="FW20" s="10">
        <f t="shared" si="206"/>
        <v>0.23826432018455906</v>
      </c>
      <c r="FX20" s="11">
        <f t="shared" si="207"/>
        <v>13.697500831114306</v>
      </c>
      <c r="FY20" s="12">
        <f t="shared" si="29"/>
        <v>1</v>
      </c>
      <c r="FZ20" s="545">
        <f t="shared" si="208"/>
        <v>13.697500831114306</v>
      </c>
      <c r="GA20" s="372">
        <f t="shared" si="182"/>
        <v>13.669038288184288</v>
      </c>
      <c r="GB20" s="46">
        <f t="shared" si="183"/>
        <v>-6.3913701395805364E-2</v>
      </c>
      <c r="GC20" s="47">
        <f t="shared" si="184"/>
        <v>0.96945489992111222</v>
      </c>
      <c r="GD20" s="578">
        <f t="shared" si="185"/>
        <v>-0.23679576810583847</v>
      </c>
      <c r="GE20" s="585">
        <f t="shared" si="186"/>
        <v>1.2701643694227562</v>
      </c>
      <c r="GF20" s="634">
        <f t="shared" si="209"/>
        <v>0.78729967874509332</v>
      </c>
      <c r="GG20" s="553">
        <f t="shared" si="30"/>
        <v>5.0319236576327385E-2</v>
      </c>
      <c r="GH20" s="554">
        <f t="shared" si="31"/>
        <v>0.76325153126574818</v>
      </c>
      <c r="GI20" s="549">
        <f t="shared" si="32"/>
        <v>0.18642923215792423</v>
      </c>
      <c r="GJ20" s="296">
        <f t="shared" si="187"/>
        <v>2.3216000000000001</v>
      </c>
      <c r="GK20" s="337">
        <f t="shared" si="33"/>
        <v>1.2157654303369307</v>
      </c>
      <c r="GL20" s="337">
        <f t="shared" si="188"/>
        <v>3.8300000000000001E-2</v>
      </c>
      <c r="GM20" s="372">
        <f t="shared" si="210"/>
        <v>0.55876579178285335</v>
      </c>
      <c r="GN20" s="548">
        <f t="shared" si="189"/>
        <v>4.617765387617332E-2</v>
      </c>
      <c r="GO20" s="6">
        <f t="shared" si="190"/>
        <v>3.7719068883298634</v>
      </c>
      <c r="GP20" s="10">
        <f t="shared" si="211"/>
        <v>13.697500831114306</v>
      </c>
      <c r="GQ20" s="372">
        <f t="shared" si="191"/>
        <v>14.166260252348597</v>
      </c>
      <c r="GR20" s="697">
        <f t="shared" si="212"/>
        <v>3542.7561198156768</v>
      </c>
      <c r="GS20" s="637">
        <f t="shared" si="35"/>
        <v>178.26878332523674</v>
      </c>
      <c r="GT20" s="638">
        <f t="shared" si="36"/>
        <v>146.63090336088294</v>
      </c>
      <c r="GU20" s="639">
        <f t="shared" si="37"/>
        <v>2704.0140333504164</v>
      </c>
      <c r="GV20" s="638">
        <f t="shared" si="192"/>
        <v>2224.1247907509924</v>
      </c>
      <c r="GW20" s="640">
        <f t="shared" si="38"/>
        <v>58071.143361644703</v>
      </c>
      <c r="GX20" s="641">
        <f t="shared" si="39"/>
        <v>430.29400951729201</v>
      </c>
      <c r="GY20" s="639">
        <f t="shared" si="40"/>
        <v>660.47330314002386</v>
      </c>
      <c r="GZ20" s="640">
        <f t="shared" si="41"/>
        <v>543.25718321912132</v>
      </c>
      <c r="HA20" s="637">
        <f t="shared" si="42"/>
        <v>178.26878332523674</v>
      </c>
      <c r="HB20" s="7">
        <f t="shared" si="193"/>
        <v>58.018430709788852</v>
      </c>
      <c r="HC20" s="638">
        <f t="shared" si="194"/>
        <v>94.419426383391766</v>
      </c>
      <c r="HD20" s="640">
        <f t="shared" si="195"/>
        <v>151.21088264305408</v>
      </c>
      <c r="HE20" s="639">
        <f t="shared" si="43"/>
        <v>2224.1247907509924</v>
      </c>
      <c r="HF20" s="7">
        <f t="shared" si="44"/>
        <v>148.01843070978884</v>
      </c>
      <c r="HG20" s="638">
        <f t="shared" si="196"/>
        <v>-1886.543826936778</v>
      </c>
      <c r="HH20" s="644">
        <f t="shared" si="197"/>
        <v>1177.9997766892322</v>
      </c>
      <c r="HI20" s="596">
        <f t="shared" si="198"/>
        <v>2.1110000000000002</v>
      </c>
      <c r="HJ20" s="625"/>
      <c r="HK20" s="1232">
        <f t="shared" si="83"/>
        <v>12</v>
      </c>
      <c r="HL20" s="583">
        <f t="shared" si="84"/>
        <v>2.4788999999999999</v>
      </c>
      <c r="HM20" s="643">
        <f t="shared" si="215"/>
        <v>1.1120000000000001</v>
      </c>
      <c r="HN20" s="660">
        <f t="shared" si="215"/>
        <v>5.4067319572281916</v>
      </c>
      <c r="HO20" s="661">
        <f t="shared" si="215"/>
        <v>13.322910229028006</v>
      </c>
      <c r="HP20" s="656">
        <f t="shared" si="215"/>
        <v>14.299506815117001</v>
      </c>
      <c r="HQ20" s="660">
        <f t="shared" si="215"/>
        <v>3.8800000000000001E-2</v>
      </c>
      <c r="HR20" s="671">
        <f t="shared" si="215"/>
        <v>4.9949206400246346E-2</v>
      </c>
      <c r="HS20" s="655">
        <f t="shared" si="215"/>
        <v>3897.4306797805048</v>
      </c>
      <c r="HT20" s="648">
        <f t="shared" si="215"/>
        <v>276.82777652845039</v>
      </c>
      <c r="HU20" s="649">
        <f t="shared" si="215"/>
        <v>2924.8639487653204</v>
      </c>
      <c r="HV20" s="650">
        <f t="shared" si="215"/>
        <v>695.73895448673375</v>
      </c>
      <c r="HW20" s="648">
        <f t="shared" si="215"/>
        <v>213.25346553549485</v>
      </c>
      <c r="HX20" s="649">
        <f t="shared" si="215"/>
        <v>2253.1603624318145</v>
      </c>
      <c r="HY20" s="650">
        <f t="shared" si="215"/>
        <v>535.96046254083035</v>
      </c>
      <c r="HZ20" s="648">
        <f t="shared" si="215"/>
        <v>58071.143361644703</v>
      </c>
      <c r="IA20" s="649">
        <f t="shared" si="215"/>
        <v>465.44660186935204</v>
      </c>
      <c r="IB20" s="716"/>
      <c r="IC20" s="717">
        <f>HS20/[1]Assy.Model!HS20</f>
        <v>0.95710671689252302</v>
      </c>
      <c r="ID20" s="717">
        <f>HT20/[1]Assy.Model!HT20</f>
        <v>0.870826547640973</v>
      </c>
      <c r="IE20" s="717">
        <f>HU20/[1]Assy.Model!HU20</f>
        <v>0.96164327198143174</v>
      </c>
      <c r="IF20" s="717">
        <f>HV20/[1]Assy.Model!HV20</f>
        <v>0.97623121847934224</v>
      </c>
    </row>
    <row r="21" spans="2:240" s="35" customFormat="1" ht="15" customHeight="1" x14ac:dyDescent="0.25">
      <c r="B21" s="143">
        <v>2.6335201066285348</v>
      </c>
      <c r="C21" s="144">
        <v>1.6612519433421362</v>
      </c>
      <c r="D21" s="145">
        <v>-0.39370118740278137</v>
      </c>
      <c r="E21" s="146">
        <v>-0.30634558908872239</v>
      </c>
      <c r="F21" s="144">
        <v>0.92949528969156847</v>
      </c>
      <c r="G21" s="147">
        <v>0.20540420270060433</v>
      </c>
      <c r="H21" s="146">
        <v>0.314</v>
      </c>
      <c r="I21" s="144">
        <v>0.52</v>
      </c>
      <c r="J21" s="306">
        <v>2.117</v>
      </c>
      <c r="K21" s="699" t="str">
        <f t="shared" si="199"/>
        <v>1613</v>
      </c>
      <c r="M21" s="292">
        <f>IF(J21="","",J21)</f>
        <v>2.117</v>
      </c>
      <c r="N21" s="24">
        <f>IF(M21="","",B21)</f>
        <v>2.6335201066285348</v>
      </c>
      <c r="O21" s="7">
        <f>IF(M21="","",C21)</f>
        <v>1.6612519433421362</v>
      </c>
      <c r="P21" s="12">
        <f>IF(M21="","",D21)</f>
        <v>-0.39370118740278137</v>
      </c>
      <c r="Q21" s="11">
        <f t="shared" si="85"/>
        <v>32.244156361342988</v>
      </c>
      <c r="R21" s="7">
        <f>IF(M21="","",SQRT(N21^2+O21^2))</f>
        <v>3.1137093909475229</v>
      </c>
      <c r="S21" s="8">
        <f>IF(M21="","",P21)</f>
        <v>-0.39370118740278137</v>
      </c>
      <c r="T21" s="6">
        <f>IF(M21="","",X21*COS(RADIANS(W21)))</f>
        <v>1.7028220303297383</v>
      </c>
      <c r="U21" s="7">
        <f>IF(M21="","",X21*SIN(RADIANS(W21)))</f>
        <v>-2.6068339617817053</v>
      </c>
      <c r="V21" s="10">
        <f>IF(M21="","",Y21)</f>
        <v>-0.39370118740278137</v>
      </c>
      <c r="W21" s="11">
        <f t="shared" si="214"/>
        <v>303.15315623009968</v>
      </c>
      <c r="X21" s="7">
        <f>IF(M21="","",R21)</f>
        <v>3.1137093909475229</v>
      </c>
      <c r="Y21" s="9">
        <f t="shared" si="213"/>
        <v>-0.39370118740278137</v>
      </c>
      <c r="Z21" s="24">
        <f>IF(M21="","",-E21)</f>
        <v>0.30634558908872239</v>
      </c>
      <c r="AA21" s="7">
        <f>IF(M21="","",-F21)</f>
        <v>-0.92949528969156847</v>
      </c>
      <c r="AB21" s="7">
        <f>IF(M21="","",-G21)</f>
        <v>-0.20540420270060433</v>
      </c>
      <c r="AC21" s="10">
        <f>IF(M21="","",SQRT(Z21^2+AA21^2+AB21^2))</f>
        <v>1</v>
      </c>
      <c r="AD21" s="11">
        <f>IF(M21="","",Z21*(1/SQRT(Z21^2+AA21^2+AB21^2)))</f>
        <v>0.30634558908872239</v>
      </c>
      <c r="AE21" s="7">
        <f>IF(M21="","",AA21*(1/SQRT(Z21^2+AA21^2+AB21^2)))</f>
        <v>-0.92949528969156847</v>
      </c>
      <c r="AF21" s="12">
        <f>IF(M21="","",AB21*(1/SQRT(Z21^2+AA21^2+AB21^2)))</f>
        <v>-0.20540420270060433</v>
      </c>
      <c r="AG21" s="6">
        <f>IF(M21="","",DEGREES(ATAN2(-AF21,AE21)))</f>
        <v>-77.53878013473269</v>
      </c>
      <c r="AH21" s="12">
        <f>IF(M21="","",DEGREES(ACOS(AD21)))</f>
        <v>72.160863906738811</v>
      </c>
      <c r="AI21" s="11">
        <f>IF(M21="","",DEGREES(-ACOS(-AF21)))</f>
        <v>-78.14683829197584</v>
      </c>
      <c r="AJ21" s="8">
        <f>IF(M21="","",DEGREES(ATAN2(-AE21,AD21)))</f>
        <v>18.241326998287679</v>
      </c>
      <c r="AK21" s="6">
        <f>IF(M21="","",(COS(RADIANS((90-$Q$8)-W21))*AD21)+(-SIN(RADIANS((90-$Q$8)-W21))*AE21))</f>
        <v>0.94959463725914017</v>
      </c>
      <c r="AL21" s="7">
        <f>IF(M21="","",(SIN(RADIANS((90-$Q$8)-W21))*AD21)+(COS(RADIANS((90-$Q$8)-W21))*AE21))</f>
        <v>-0.23681034268293927</v>
      </c>
      <c r="AM21" s="8">
        <f>IF(M21="","",AF21)</f>
        <v>-0.20540420270060433</v>
      </c>
      <c r="AN21" s="6">
        <f>IF(M21="","",DEGREES(ATAN2(-AM21,AL21)))</f>
        <v>-49.062333633727505</v>
      </c>
      <c r="AO21" s="10">
        <f t="shared" si="3"/>
        <v>18.269107411626688</v>
      </c>
      <c r="AP21" s="11">
        <f>IF(M21="","",DEGREES(ATAN2(AK21,AL21)))</f>
        <v>-14.002829363055355</v>
      </c>
      <c r="AQ21" s="8">
        <f t="shared" si="200"/>
        <v>0.732197659005562</v>
      </c>
      <c r="AS21" s="123">
        <f t="shared" si="90"/>
        <v>-56.846843769900318</v>
      </c>
      <c r="AT21" s="174">
        <f>IF(M21="","",Y21+(((AS21-$AS$9)*$AS$6)*-1))</f>
        <v>-0.35359296265371404</v>
      </c>
      <c r="AV21" s="292">
        <f t="shared" si="91"/>
        <v>2.117</v>
      </c>
      <c r="AW21" s="439">
        <v>3.1865000000000001</v>
      </c>
      <c r="AX21" s="440">
        <v>0.1285</v>
      </c>
      <c r="AY21" s="442">
        <v>3.04E-2</v>
      </c>
      <c r="AZ21" s="565">
        <f t="shared" si="92"/>
        <v>0.60869709488344081</v>
      </c>
      <c r="BA21" s="564">
        <f t="shared" si="93"/>
        <v>5.0304088361019648E-2</v>
      </c>
      <c r="BB21" s="444">
        <f t="shared" si="94"/>
        <v>0.23209296265371404</v>
      </c>
      <c r="BC21" s="11"/>
      <c r="BD21" s="7">
        <f t="shared" si="95"/>
        <v>3.1865000000000001</v>
      </c>
      <c r="BE21" s="8">
        <f t="shared" si="96"/>
        <v>-0.16160822474906733</v>
      </c>
      <c r="BF21" s="6">
        <f t="shared" si="97"/>
        <v>2.6335201066285348</v>
      </c>
      <c r="BG21" s="7">
        <f t="shared" si="98"/>
        <v>1.6612519433421362</v>
      </c>
      <c r="BH21" s="12">
        <f t="shared" si="99"/>
        <v>-0.39370118740278137</v>
      </c>
      <c r="BI21" s="11">
        <f t="shared" si="100"/>
        <v>2.6335201066285348</v>
      </c>
      <c r="BJ21" s="7">
        <f t="shared" si="101"/>
        <v>1.8770307105533415</v>
      </c>
      <c r="BK21" s="10">
        <f t="shared" si="102"/>
        <v>-1.3701434660966183</v>
      </c>
      <c r="BL21" s="328">
        <f t="shared" si="103"/>
        <v>3.5854404709688947</v>
      </c>
      <c r="BM21" s="7">
        <f t="shared" si="104"/>
        <v>1.9603807284197339</v>
      </c>
      <c r="BN21" s="8">
        <f t="shared" si="105"/>
        <v>-0.32759831384862642</v>
      </c>
      <c r="BO21" s="6">
        <f t="shared" si="106"/>
        <v>0.30634558908872239</v>
      </c>
      <c r="BP21" s="7">
        <f t="shared" si="107"/>
        <v>-0.92949528969156814</v>
      </c>
      <c r="BQ21" s="7">
        <f t="shared" si="108"/>
        <v>-0.20540420270060444</v>
      </c>
      <c r="BR21" s="8">
        <f t="shared" si="109"/>
        <v>0.65649070938461651</v>
      </c>
      <c r="BS21" s="6">
        <f t="shared" si="69"/>
        <v>0</v>
      </c>
      <c r="BT21" s="7">
        <f t="shared" si="69"/>
        <v>0</v>
      </c>
      <c r="BU21" s="12">
        <f t="shared" si="70"/>
        <v>-0.16160822474906733</v>
      </c>
      <c r="BV21" s="11">
        <f t="shared" si="71"/>
        <v>0</v>
      </c>
      <c r="BW21" s="7">
        <f t="shared" si="72"/>
        <v>1</v>
      </c>
      <c r="BX21" s="10">
        <f t="shared" si="73"/>
        <v>-0.16160822474906733</v>
      </c>
      <c r="BY21" s="328">
        <f t="shared" si="74"/>
        <v>1</v>
      </c>
      <c r="BZ21" s="7">
        <f t="shared" si="75"/>
        <v>0</v>
      </c>
      <c r="CA21" s="8">
        <f t="shared" si="76"/>
        <v>-0.16160822474906733</v>
      </c>
      <c r="CB21" s="6">
        <f t="shared" si="110"/>
        <v>0</v>
      </c>
      <c r="CC21" s="7">
        <f t="shared" si="111"/>
        <v>0</v>
      </c>
      <c r="CD21" s="7">
        <f t="shared" si="112"/>
        <v>-1</v>
      </c>
      <c r="CE21" s="8">
        <f t="shared" si="113"/>
        <v>-0.16160822474906733</v>
      </c>
      <c r="CF21" s="6">
        <f t="shared" si="114"/>
        <v>0.92949528969156814</v>
      </c>
      <c r="CG21" s="7">
        <f t="shared" si="115"/>
        <v>0.30634558908872239</v>
      </c>
      <c r="CH21" s="7">
        <f t="shared" si="116"/>
        <v>0</v>
      </c>
      <c r="CI21" s="6">
        <f t="shared" si="77"/>
        <v>0</v>
      </c>
      <c r="CJ21" s="7">
        <f>IF(ISNUMBER($AV21),(CD21*BR21-BQ21*CE21)/(BQ21*CC21-CD21*BP21),"")</f>
        <v>0.74200022914361974</v>
      </c>
      <c r="CK21" s="10">
        <f t="shared" si="79"/>
        <v>-0.16160822474906733</v>
      </c>
      <c r="CL21" s="328">
        <f t="shared" si="80"/>
        <v>0.92949528969156814</v>
      </c>
      <c r="CM21" s="7">
        <f t="shared" si="81"/>
        <v>1.0483458182323422</v>
      </c>
      <c r="CN21" s="8">
        <f t="shared" si="82"/>
        <v>-0.16160822474906733</v>
      </c>
      <c r="CO21" s="296">
        <f t="shared" si="201"/>
        <v>0.3125</v>
      </c>
      <c r="CP21" s="6">
        <f t="shared" si="202"/>
        <v>0.95780911351292852</v>
      </c>
      <c r="CQ21" s="7">
        <f t="shared" si="203"/>
        <v>-5.4589064846524433</v>
      </c>
      <c r="CR21" s="7">
        <f t="shared" si="117"/>
        <v>7.7366627593870598</v>
      </c>
      <c r="CS21" s="10">
        <f t="shared" si="118"/>
        <v>0.15867561171246791</v>
      </c>
      <c r="CT21" s="11">
        <f>IF(ISNUMBER($AV21),(-CQ21+SQRT(CS21))/(CP21*2),"")</f>
        <v>3.0576278073658711</v>
      </c>
      <c r="CU21" s="8">
        <f t="shared" si="120"/>
        <v>2.6417400600278431</v>
      </c>
      <c r="CV21" s="6">
        <f t="shared" si="204"/>
        <v>2.8420506445765348</v>
      </c>
      <c r="CW21" s="7">
        <f t="shared" si="121"/>
        <v>1.6786910210051764</v>
      </c>
      <c r="CX21" s="10">
        <f t="shared" si="122"/>
        <v>-0.16160822474906733</v>
      </c>
      <c r="CY21" s="11">
        <f t="shared" si="123"/>
        <v>2.4554849423854006</v>
      </c>
      <c r="CZ21" s="7">
        <f t="shared" si="124"/>
        <v>1.5512856440521263</v>
      </c>
      <c r="DA21" s="8">
        <f t="shared" si="125"/>
        <v>-0.16160822474906733</v>
      </c>
      <c r="DB21" s="6">
        <f t="shared" si="126"/>
        <v>0</v>
      </c>
      <c r="DC21" s="7">
        <f t="shared" si="126"/>
        <v>0</v>
      </c>
      <c r="DD21" s="12">
        <f t="shared" si="127"/>
        <v>-10</v>
      </c>
      <c r="DE21" s="11">
        <f t="shared" si="128"/>
        <v>0</v>
      </c>
      <c r="DF21" s="7">
        <f t="shared" si="128"/>
        <v>0</v>
      </c>
      <c r="DG21" s="12">
        <f t="shared" si="129"/>
        <v>10</v>
      </c>
      <c r="DH21" s="174">
        <f t="shared" si="130"/>
        <v>3.1865000000000001</v>
      </c>
      <c r="DI21" s="6">
        <f t="shared" si="131"/>
        <v>0</v>
      </c>
      <c r="DJ21" s="7">
        <f t="shared" si="132"/>
        <v>0</v>
      </c>
      <c r="DK21" s="12">
        <f t="shared" si="133"/>
        <v>20</v>
      </c>
      <c r="DL21" s="11">
        <f t="shared" si="134"/>
        <v>2.8420506445765348</v>
      </c>
      <c r="DM21" s="328">
        <f t="shared" si="135"/>
        <v>1.6786910210051764</v>
      </c>
      <c r="DN21" s="376">
        <f t="shared" si="136"/>
        <v>9.8383917752509333</v>
      </c>
      <c r="DO21" s="11">
        <f t="shared" si="137"/>
        <v>-0.38656570219113418</v>
      </c>
      <c r="DP21" s="328">
        <f t="shared" si="138"/>
        <v>-0.1274053769530501</v>
      </c>
      <c r="DQ21" s="13">
        <f t="shared" si="139"/>
        <v>0</v>
      </c>
      <c r="DR21" s="328">
        <f t="shared" si="140"/>
        <v>196.76783550501867</v>
      </c>
      <c r="DS21" s="7">
        <f t="shared" si="141"/>
        <v>0</v>
      </c>
      <c r="DT21" s="7">
        <f t="shared" si="142"/>
        <v>400</v>
      </c>
      <c r="DU21" s="7">
        <f t="shared" si="143"/>
        <v>0.16566517218707341</v>
      </c>
      <c r="DV21" s="7">
        <f t="shared" si="144"/>
        <v>-1.3125135654023585</v>
      </c>
      <c r="DW21" s="7">
        <f t="shared" si="145"/>
        <v>107.6892081336665</v>
      </c>
      <c r="DX21" s="296">
        <f t="shared" si="146"/>
        <v>97.535425883666491</v>
      </c>
      <c r="DY21" s="11">
        <f t="shared" si="147"/>
        <v>66.266068874829358</v>
      </c>
      <c r="DZ21" s="7">
        <f t="shared" si="148"/>
        <v>-525.00542616094344</v>
      </c>
      <c r="EA21" s="12">
        <f t="shared" si="149"/>
        <v>296.58926413650624</v>
      </c>
      <c r="EB21" s="8">
        <f t="shared" si="150"/>
        <v>255976.89289362915</v>
      </c>
      <c r="EC21" s="328">
        <f t="shared" si="151"/>
        <v>15.557690897667264</v>
      </c>
      <c r="ED21" s="7">
        <f t="shared" si="152"/>
        <v>0.28768623350469258</v>
      </c>
      <c r="EE21" s="6">
        <f t="shared" si="153"/>
        <v>-3.1720190617528274</v>
      </c>
      <c r="EF21" s="7">
        <f t="shared" si="154"/>
        <v>-0.30344245233115763</v>
      </c>
      <c r="EG21" s="12">
        <f t="shared" si="155"/>
        <v>-0.16160822474906733</v>
      </c>
      <c r="EH21" s="11">
        <f t="shared" si="156"/>
        <v>2.7308410137110708</v>
      </c>
      <c r="EI21" s="7">
        <f t="shared" si="157"/>
        <v>1.6420382479813078</v>
      </c>
      <c r="EJ21" s="8">
        <f t="shared" si="158"/>
        <v>-0.16160822474906733</v>
      </c>
      <c r="EK21" s="491" t="b">
        <f t="shared" si="159"/>
        <v>0</v>
      </c>
      <c r="EL21" s="493" t="b">
        <f t="shared" si="160"/>
        <v>1</v>
      </c>
      <c r="EM21" s="6">
        <f t="shared" si="161"/>
        <v>2.7308410137110708</v>
      </c>
      <c r="EN21" s="7">
        <f t="shared" si="162"/>
        <v>1.6420382479813078</v>
      </c>
      <c r="EO21" s="12">
        <f t="shared" si="163"/>
        <v>-0.16160822474906733</v>
      </c>
      <c r="EP21" s="11">
        <f t="shared" si="164"/>
        <v>31.018239604830335</v>
      </c>
      <c r="EQ21" s="7">
        <f t="shared" si="165"/>
        <v>3.186500000000005</v>
      </c>
      <c r="ER21" s="9">
        <f t="shared" si="166"/>
        <v>-0.16160822474906733</v>
      </c>
      <c r="ES21" s="24">
        <f t="shared" si="167"/>
        <v>0.30634558908872239</v>
      </c>
      <c r="ET21" s="7">
        <f t="shared" si="168"/>
        <v>-0.92949528969156847</v>
      </c>
      <c r="EU21" s="12">
        <f t="shared" si="169"/>
        <v>-0.20540420270060433</v>
      </c>
      <c r="EV21" s="337">
        <f t="shared" si="15"/>
        <v>58.981760395169665</v>
      </c>
      <c r="EW21" s="11">
        <f t="shared" si="16"/>
        <v>0.95444375757885791</v>
      </c>
      <c r="EX21" s="7">
        <f t="shared" si="17"/>
        <v>-0.21643989265308605</v>
      </c>
      <c r="EY21" s="8">
        <f t="shared" si="170"/>
        <v>-0.20540420270060433</v>
      </c>
      <c r="EZ21" s="123">
        <f t="shared" si="171"/>
        <v>0.71539562548417124</v>
      </c>
      <c r="FA21" s="534">
        <f t="shared" si="18"/>
        <v>0.51527075236619646</v>
      </c>
      <c r="FB21" s="535">
        <f t="shared" si="19"/>
        <v>-0.85693649673341099</v>
      </c>
      <c r="FC21" s="537">
        <f t="shared" si="20"/>
        <v>-1.2485684692573254E-2</v>
      </c>
      <c r="FD21" s="6">
        <f t="shared" si="21"/>
        <v>0.99992205080083996</v>
      </c>
      <c r="FE21" s="7">
        <f t="shared" si="22"/>
        <v>-5.5511151231257827E-17</v>
      </c>
      <c r="FF21" s="9">
        <f t="shared" si="172"/>
        <v>-1.2485684692573254E-2</v>
      </c>
      <c r="FG21" s="328">
        <f t="shared" si="23"/>
        <v>-4.5478293221982047E-2</v>
      </c>
      <c r="FH21" s="7">
        <f t="shared" si="24"/>
        <v>-0.216439892653086</v>
      </c>
      <c r="FI21" s="12">
        <f t="shared" si="25"/>
        <v>-0.19291851800803109</v>
      </c>
      <c r="FJ21" s="547">
        <f t="shared" si="173"/>
        <v>16.876256101198084</v>
      </c>
      <c r="FK21" s="6">
        <f t="shared" si="26"/>
        <v>0.9786772264198903</v>
      </c>
      <c r="FL21" s="7">
        <f t="shared" si="174"/>
        <v>0.99992205080083996</v>
      </c>
      <c r="FM21" s="10">
        <f t="shared" si="175"/>
        <v>0.22116623224638965</v>
      </c>
      <c r="FN21" s="11">
        <f t="shared" si="176"/>
        <v>12.776912606542679</v>
      </c>
      <c r="FO21" s="12">
        <f t="shared" si="27"/>
        <v>1</v>
      </c>
      <c r="FP21" s="545">
        <f t="shared" si="28"/>
        <v>12.776912606542679</v>
      </c>
      <c r="FQ21" s="328">
        <f t="shared" si="205"/>
        <v>0.22115554220552111</v>
      </c>
      <c r="FR21" s="12">
        <f t="shared" si="177"/>
        <v>0.9752385483315259</v>
      </c>
      <c r="FS21" s="11">
        <f t="shared" si="178"/>
        <v>0.18485175073561844</v>
      </c>
      <c r="FT21" s="8">
        <f t="shared" si="179"/>
        <v>0.81514824926438167</v>
      </c>
      <c r="FU21" s="6">
        <f t="shared" si="180"/>
        <v>0.97629594533026742</v>
      </c>
      <c r="FV21" s="7">
        <f t="shared" si="181"/>
        <v>1</v>
      </c>
      <c r="FW21" s="10">
        <f t="shared" si="206"/>
        <v>0.19820653305277197</v>
      </c>
      <c r="FX21" s="11">
        <f t="shared" si="207"/>
        <v>11.429890553079552</v>
      </c>
      <c r="FY21" s="12">
        <f t="shared" si="29"/>
        <v>1</v>
      </c>
      <c r="FZ21" s="545">
        <f t="shared" si="208"/>
        <v>11.429890553079552</v>
      </c>
      <c r="GA21" s="372">
        <f t="shared" si="182"/>
        <v>11.158415815037635</v>
      </c>
      <c r="GB21" s="46">
        <f t="shared" si="183"/>
        <v>-0.2167695690511465</v>
      </c>
      <c r="GC21" s="47">
        <f t="shared" si="184"/>
        <v>0.95589754493890788</v>
      </c>
      <c r="GD21" s="578">
        <f t="shared" si="185"/>
        <v>-0.19816870972267217</v>
      </c>
      <c r="GE21" s="585">
        <f t="shared" si="186"/>
        <v>1.3708358237127265</v>
      </c>
      <c r="GF21" s="634">
        <f t="shared" si="209"/>
        <v>0.72948195743209643</v>
      </c>
      <c r="GG21" s="553">
        <f t="shared" si="30"/>
        <v>0.15812948954314235</v>
      </c>
      <c r="GH21" s="554">
        <f t="shared" si="31"/>
        <v>0.69731001218656985</v>
      </c>
      <c r="GI21" s="549">
        <f t="shared" si="32"/>
        <v>0.1445604982702878</v>
      </c>
      <c r="GJ21" s="296">
        <f t="shared" si="187"/>
        <v>3.1865000000000001</v>
      </c>
      <c r="GK21" s="337">
        <f t="shared" si="33"/>
        <v>1.6685775627287303</v>
      </c>
      <c r="GL21" s="337">
        <f t="shared" si="188"/>
        <v>3.04E-2</v>
      </c>
      <c r="GM21" s="372">
        <f t="shared" si="210"/>
        <v>0.60869709488344081</v>
      </c>
      <c r="GN21" s="548">
        <f t="shared" si="189"/>
        <v>5.0304088361019648E-2</v>
      </c>
      <c r="GO21" s="6">
        <f t="shared" si="190"/>
        <v>12.776912606542679</v>
      </c>
      <c r="GP21" s="10">
        <f t="shared" si="211"/>
        <v>11.429890553079552</v>
      </c>
      <c r="GQ21" s="372">
        <f t="shared" si="191"/>
        <v>16.876256101198084</v>
      </c>
      <c r="GR21" s="697">
        <f t="shared" si="212"/>
        <v>4224.2971374563958</v>
      </c>
      <c r="GS21" s="637">
        <f t="shared" si="35"/>
        <v>667.98595002453726</v>
      </c>
      <c r="GT21" s="638">
        <f t="shared" si="36"/>
        <v>400.33257365161836</v>
      </c>
      <c r="GU21" s="639">
        <f t="shared" si="37"/>
        <v>2945.6446883994117</v>
      </c>
      <c r="GV21" s="638">
        <f t="shared" si="192"/>
        <v>1765.3627581939991</v>
      </c>
      <c r="GW21" s="640">
        <f t="shared" si="38"/>
        <v>58071.143361644703</v>
      </c>
      <c r="GX21" s="641">
        <f t="shared" si="39"/>
        <v>468.77736908209818</v>
      </c>
      <c r="GY21" s="639">
        <f t="shared" si="40"/>
        <v>610.66649903244706</v>
      </c>
      <c r="GZ21" s="640">
        <f t="shared" si="41"/>
        <v>365.98028924336342</v>
      </c>
      <c r="HA21" s="637">
        <f t="shared" si="42"/>
        <v>667.98595002453726</v>
      </c>
      <c r="HB21" s="7">
        <f t="shared" si="193"/>
        <v>58.981760395169665</v>
      </c>
      <c r="HC21" s="638">
        <f t="shared" si="194"/>
        <v>344.22045474797397</v>
      </c>
      <c r="HD21" s="640">
        <f t="shared" si="195"/>
        <v>572.46616316013092</v>
      </c>
      <c r="HE21" s="639">
        <f t="shared" si="43"/>
        <v>1765.3627581939991</v>
      </c>
      <c r="HF21" s="7">
        <f t="shared" si="44"/>
        <v>148.98176039516966</v>
      </c>
      <c r="HG21" s="638">
        <f t="shared" si="196"/>
        <v>-1512.921708505967</v>
      </c>
      <c r="HH21" s="644">
        <f t="shared" si="197"/>
        <v>909.71070783502921</v>
      </c>
      <c r="HI21" s="596">
        <f t="shared" si="198"/>
        <v>2.117</v>
      </c>
      <c r="HJ21" s="625"/>
      <c r="HK21" s="1232">
        <f t="shared" si="83"/>
        <v>13</v>
      </c>
      <c r="HL21" s="583">
        <f t="shared" si="84"/>
        <v>2.6276000000000002</v>
      </c>
      <c r="HM21" s="643">
        <f t="shared" si="215"/>
        <v>6.1130000000000004</v>
      </c>
      <c r="HN21" s="660">
        <f t="shared" si="215"/>
        <v>6.9236764221481613</v>
      </c>
      <c r="HO21" s="661">
        <f t="shared" si="215"/>
        <v>12.821226714947858</v>
      </c>
      <c r="HP21" s="656">
        <f t="shared" si="215"/>
        <v>14.453449685589748</v>
      </c>
      <c r="HQ21" s="660">
        <f t="shared" si="215"/>
        <v>3.6900000000000002E-2</v>
      </c>
      <c r="HR21" s="671">
        <f t="shared" si="215"/>
        <v>5.0352069784908658E-2</v>
      </c>
      <c r="HS21" s="655">
        <f t="shared" si="215"/>
        <v>3982.4432940983834</v>
      </c>
      <c r="HT21" s="648">
        <f t="shared" si="215"/>
        <v>358.03847686611113</v>
      </c>
      <c r="HU21" s="649">
        <f t="shared" si="215"/>
        <v>2948.4543253697948</v>
      </c>
      <c r="HV21" s="650">
        <f t="shared" si="215"/>
        <v>675.95049186247763</v>
      </c>
      <c r="HW21" s="648">
        <f t="shared" si="215"/>
        <v>260.20883573894673</v>
      </c>
      <c r="HX21" s="649">
        <f t="shared" si="215"/>
        <v>2142.8251900446899</v>
      </c>
      <c r="HY21" s="650">
        <f t="shared" si="215"/>
        <v>491.25527525489196</v>
      </c>
      <c r="HZ21" s="648">
        <f t="shared" si="215"/>
        <v>58071.143361644703</v>
      </c>
      <c r="IA21" s="649">
        <f t="shared" si="215"/>
        <v>469.20728911345225</v>
      </c>
      <c r="IB21" s="716"/>
      <c r="IC21" s="717">
        <f>HS21/[1]Assy.Model!HS21</f>
        <v>0.95106260752025573</v>
      </c>
      <c r="ID21" s="717">
        <f>HT21/[1]Assy.Model!HT21</f>
        <v>0.84042329649656178</v>
      </c>
      <c r="IE21" s="717">
        <f>HU21/[1]Assy.Model!HU21</f>
        <v>0.9565936035801329</v>
      </c>
      <c r="IF21" s="717">
        <f>HV21/[1]Assy.Model!HV21</f>
        <v>0.99536683245916568</v>
      </c>
    </row>
    <row r="22" spans="2:240" ht="15" customHeight="1" x14ac:dyDescent="0.25">
      <c r="B22" s="143">
        <v>3.0385004887182956</v>
      </c>
      <c r="C22" s="144">
        <v>1.8676795954551488</v>
      </c>
      <c r="D22" s="145">
        <v>-1.023303086282108</v>
      </c>
      <c r="E22" s="146">
        <v>-0.14428291619969241</v>
      </c>
      <c r="F22" s="144">
        <v>0.98001765418559605</v>
      </c>
      <c r="G22" s="147">
        <v>0.13692274309797486</v>
      </c>
      <c r="H22" s="146">
        <v>0.314</v>
      </c>
      <c r="I22" s="144">
        <v>0.52</v>
      </c>
      <c r="J22" s="306">
        <v>2.1230000000000002</v>
      </c>
      <c r="K22" s="699" t="str">
        <f t="shared" si="199"/>
        <v>1613</v>
      </c>
      <c r="M22" s="292">
        <f t="shared" si="46"/>
        <v>2.1230000000000002</v>
      </c>
      <c r="N22" s="24">
        <f t="shared" si="47"/>
        <v>3.0385004887182956</v>
      </c>
      <c r="O22" s="7">
        <f t="shared" si="48"/>
        <v>1.8676795954551488</v>
      </c>
      <c r="P22" s="12">
        <f t="shared" si="49"/>
        <v>-1.023303086282108</v>
      </c>
      <c r="Q22" s="11">
        <f t="shared" si="85"/>
        <v>31.577856457544797</v>
      </c>
      <c r="R22" s="7">
        <f t="shared" si="50"/>
        <v>3.5666107568980427</v>
      </c>
      <c r="S22" s="8">
        <f t="shared" si="51"/>
        <v>-1.023303086282108</v>
      </c>
      <c r="T22" s="6">
        <f t="shared" si="52"/>
        <v>1.9156484647998424</v>
      </c>
      <c r="U22" s="7">
        <f t="shared" si="53"/>
        <v>-3.0084885325576427</v>
      </c>
      <c r="V22" s="10">
        <f t="shared" si="86"/>
        <v>-1.023303086282108</v>
      </c>
      <c r="W22" s="11">
        <f t="shared" si="214"/>
        <v>302.48685632630145</v>
      </c>
      <c r="X22" s="7">
        <f t="shared" si="54"/>
        <v>3.5666107568980427</v>
      </c>
      <c r="Y22" s="9">
        <f t="shared" si="213"/>
        <v>-1.023303086282108</v>
      </c>
      <c r="Z22" s="24">
        <f t="shared" si="87"/>
        <v>0.14428291619969241</v>
      </c>
      <c r="AA22" s="7">
        <f t="shared" si="55"/>
        <v>-0.98001765418559605</v>
      </c>
      <c r="AB22" s="7">
        <f t="shared" si="56"/>
        <v>-0.13692274309797486</v>
      </c>
      <c r="AC22" s="10">
        <f t="shared" si="57"/>
        <v>1</v>
      </c>
      <c r="AD22" s="11">
        <f t="shared" si="88"/>
        <v>0.14428291619969241</v>
      </c>
      <c r="AE22" s="7">
        <f t="shared" si="58"/>
        <v>-0.98001765418559605</v>
      </c>
      <c r="AF22" s="12">
        <f t="shared" si="59"/>
        <v>-0.13692274309797486</v>
      </c>
      <c r="AG22" s="6">
        <f t="shared" si="60"/>
        <v>-82.046429910395133</v>
      </c>
      <c r="AH22" s="12">
        <f t="shared" si="61"/>
        <v>81.70424333269861</v>
      </c>
      <c r="AI22" s="11">
        <f t="shared" si="62"/>
        <v>-82.130182462648165</v>
      </c>
      <c r="AJ22" s="8">
        <f t="shared" si="63"/>
        <v>8.3751950933141615</v>
      </c>
      <c r="AK22" s="6">
        <f t="shared" si="89"/>
        <v>0.91046054674568211</v>
      </c>
      <c r="AL22" s="7">
        <f t="shared" si="64"/>
        <v>-0.39027394896672218</v>
      </c>
      <c r="AM22" s="8">
        <f t="shared" si="65"/>
        <v>-0.13692274309797486</v>
      </c>
      <c r="AN22" s="6">
        <f t="shared" si="66"/>
        <v>-70.667215574279595</v>
      </c>
      <c r="AO22" s="10">
        <f t="shared" si="3"/>
        <v>24.430926546875938</v>
      </c>
      <c r="AP22" s="11">
        <f t="shared" si="67"/>
        <v>-23.202661364230593</v>
      </c>
      <c r="AQ22" s="8">
        <f t="shared" si="200"/>
        <v>0.6392122285699372</v>
      </c>
      <c r="AS22" s="123">
        <f t="shared" si="90"/>
        <v>-57.513143673698551</v>
      </c>
      <c r="AT22" s="174">
        <f t="shared" si="68"/>
        <v>-0.98273215326651409</v>
      </c>
      <c r="AV22" s="292">
        <f t="shared" si="91"/>
        <v>2.1230000000000002</v>
      </c>
      <c r="AW22" s="439">
        <v>3.7736000000000001</v>
      </c>
      <c r="AX22" s="440">
        <v>-0.59160000000000001</v>
      </c>
      <c r="AY22" s="442">
        <v>1.5900000000000001E-2</v>
      </c>
      <c r="AZ22" s="565">
        <f t="shared" si="92"/>
        <v>0.37701358195877738</v>
      </c>
      <c r="BA22" s="564">
        <f t="shared" si="93"/>
        <v>3.1157245039571815E-2</v>
      </c>
      <c r="BB22" s="444">
        <f t="shared" si="94"/>
        <v>0.14113215326651407</v>
      </c>
      <c r="BC22" s="11"/>
      <c r="BD22" s="7">
        <f t="shared" si="95"/>
        <v>3.7736000000000001</v>
      </c>
      <c r="BE22" s="8">
        <f t="shared" si="96"/>
        <v>-0.88217093301559391</v>
      </c>
      <c r="BF22" s="6">
        <f t="shared" si="97"/>
        <v>3.0385004887182956</v>
      </c>
      <c r="BG22" s="7">
        <f t="shared" si="98"/>
        <v>1.8676795954551488</v>
      </c>
      <c r="BH22" s="12">
        <f t="shared" si="99"/>
        <v>-1.023303086282108</v>
      </c>
      <c r="BI22" s="11">
        <f t="shared" si="100"/>
        <v>3.0385004887182956</v>
      </c>
      <c r="BJ22" s="7">
        <f t="shared" si="101"/>
        <v>2.0060501823167849</v>
      </c>
      <c r="BK22" s="10">
        <f t="shared" si="102"/>
        <v>-2.0136836094607329</v>
      </c>
      <c r="BL22" s="328">
        <f t="shared" si="103"/>
        <v>4.0280369661120865</v>
      </c>
      <c r="BM22" s="7">
        <f t="shared" si="104"/>
        <v>2.0105745854867378</v>
      </c>
      <c r="BN22" s="8">
        <f t="shared" si="105"/>
        <v>-1.0033385744934482</v>
      </c>
      <c r="BO22" s="6">
        <f t="shared" si="106"/>
        <v>0.14428291619969222</v>
      </c>
      <c r="BP22" s="7">
        <f t="shared" si="107"/>
        <v>-0.9800176541855965</v>
      </c>
      <c r="BQ22" s="7">
        <f t="shared" si="108"/>
        <v>-0.13692274309797492</v>
      </c>
      <c r="BR22" s="8">
        <f t="shared" si="109"/>
        <v>1.2518417989274222</v>
      </c>
      <c r="BS22" s="6">
        <f t="shared" si="69"/>
        <v>0</v>
      </c>
      <c r="BT22" s="7">
        <f t="shared" si="69"/>
        <v>0</v>
      </c>
      <c r="BU22" s="12">
        <f t="shared" si="70"/>
        <v>-0.88217093301559391</v>
      </c>
      <c r="BV22" s="11">
        <f t="shared" si="71"/>
        <v>0</v>
      </c>
      <c r="BW22" s="7">
        <f t="shared" si="72"/>
        <v>1</v>
      </c>
      <c r="BX22" s="10">
        <f t="shared" si="73"/>
        <v>-0.88217093301559391</v>
      </c>
      <c r="BY22" s="328">
        <f t="shared" si="74"/>
        <v>1</v>
      </c>
      <c r="BZ22" s="7">
        <f t="shared" si="75"/>
        <v>0</v>
      </c>
      <c r="CA22" s="8">
        <f t="shared" si="76"/>
        <v>-0.88217093301559391</v>
      </c>
      <c r="CB22" s="6">
        <f t="shared" si="110"/>
        <v>0</v>
      </c>
      <c r="CC22" s="7">
        <f t="shared" si="111"/>
        <v>0</v>
      </c>
      <c r="CD22" s="7">
        <f t="shared" si="112"/>
        <v>-1</v>
      </c>
      <c r="CE22" s="8">
        <f t="shared" si="113"/>
        <v>-0.88217093301559391</v>
      </c>
      <c r="CF22" s="6">
        <f t="shared" si="114"/>
        <v>0.9800176541855965</v>
      </c>
      <c r="CG22" s="7">
        <f t="shared" si="115"/>
        <v>0.14428291619969222</v>
      </c>
      <c r="CH22" s="7">
        <f t="shared" si="116"/>
        <v>0</v>
      </c>
      <c r="CI22" s="6">
        <f t="shared" si="77"/>
        <v>0</v>
      </c>
      <c r="CJ22" s="7">
        <f t="shared" si="78"/>
        <v>1.4006187103821981</v>
      </c>
      <c r="CK22" s="10">
        <f t="shared" si="79"/>
        <v>-0.88217093301559391</v>
      </c>
      <c r="CL22" s="328">
        <f t="shared" si="80"/>
        <v>0.9800176541855965</v>
      </c>
      <c r="CM22" s="7">
        <f t="shared" si="81"/>
        <v>1.5449016265818902</v>
      </c>
      <c r="CN22" s="8">
        <f t="shared" si="82"/>
        <v>-0.88217093301559391</v>
      </c>
      <c r="CO22" s="296">
        <f t="shared" si="201"/>
        <v>0.3125</v>
      </c>
      <c r="CP22" s="6">
        <f t="shared" si="202"/>
        <v>0.98125216242252677</v>
      </c>
      <c r="CQ22" s="7">
        <f t="shared" si="203"/>
        <v>-6.0903460554732538</v>
      </c>
      <c r="CR22" s="7">
        <f t="shared" si="117"/>
        <v>9.3728931249920926</v>
      </c>
      <c r="CS22" s="10">
        <f t="shared" si="118"/>
        <v>0.30362848720372426</v>
      </c>
      <c r="CT22" s="11">
        <f t="shared" si="119"/>
        <v>3.3841306303613647</v>
      </c>
      <c r="CU22" s="8">
        <f t="shared" si="120"/>
        <v>2.8225777864000685</v>
      </c>
      <c r="CV22" s="6">
        <f t="shared" si="204"/>
        <v>3.3165077618243686</v>
      </c>
      <c r="CW22" s="7">
        <f t="shared" si="121"/>
        <v>1.8888909465314381</v>
      </c>
      <c r="CX22" s="10">
        <f t="shared" si="122"/>
        <v>-0.88217093301559391</v>
      </c>
      <c r="CY22" s="11">
        <f t="shared" si="123"/>
        <v>2.766176060984169</v>
      </c>
      <c r="CZ22" s="7">
        <f t="shared" si="124"/>
        <v>1.8078684646044718</v>
      </c>
      <c r="DA22" s="8">
        <f t="shared" si="125"/>
        <v>-0.88217093301559391</v>
      </c>
      <c r="DB22" s="6">
        <f t="shared" si="126"/>
        <v>0</v>
      </c>
      <c r="DC22" s="7">
        <f t="shared" si="126"/>
        <v>0</v>
      </c>
      <c r="DD22" s="12">
        <f t="shared" si="127"/>
        <v>-10</v>
      </c>
      <c r="DE22" s="11">
        <f t="shared" si="128"/>
        <v>0</v>
      </c>
      <c r="DF22" s="7">
        <f t="shared" si="128"/>
        <v>0</v>
      </c>
      <c r="DG22" s="12">
        <f t="shared" si="129"/>
        <v>10</v>
      </c>
      <c r="DH22" s="174">
        <f t="shared" si="130"/>
        <v>3.7736000000000001</v>
      </c>
      <c r="DI22" s="6">
        <f t="shared" si="131"/>
        <v>0</v>
      </c>
      <c r="DJ22" s="7">
        <f t="shared" si="132"/>
        <v>0</v>
      </c>
      <c r="DK22" s="12">
        <f t="shared" si="133"/>
        <v>20</v>
      </c>
      <c r="DL22" s="11">
        <f t="shared" si="134"/>
        <v>3.3165077618243686</v>
      </c>
      <c r="DM22" s="328">
        <f t="shared" si="135"/>
        <v>1.8888909465314381</v>
      </c>
      <c r="DN22" s="376">
        <f t="shared" si="136"/>
        <v>9.117829066984406</v>
      </c>
      <c r="DO22" s="11">
        <f t="shared" si="137"/>
        <v>-0.55033170084019956</v>
      </c>
      <c r="DP22" s="328">
        <f t="shared" si="138"/>
        <v>-8.1022481926966261E-2</v>
      </c>
      <c r="DQ22" s="13">
        <f t="shared" si="139"/>
        <v>0</v>
      </c>
      <c r="DR22" s="328">
        <f t="shared" si="140"/>
        <v>182.35658133968812</v>
      </c>
      <c r="DS22" s="7">
        <f t="shared" si="141"/>
        <v>0</v>
      </c>
      <c r="DT22" s="7">
        <f t="shared" si="142"/>
        <v>400</v>
      </c>
      <c r="DU22" s="7">
        <f t="shared" si="143"/>
        <v>0.30942962352727249</v>
      </c>
      <c r="DV22" s="7">
        <f t="shared" si="144"/>
        <v>-1.978221989991882</v>
      </c>
      <c r="DW22" s="7">
        <f t="shared" si="145"/>
        <v>97.701939636875437</v>
      </c>
      <c r="DX22" s="296">
        <f t="shared" si="146"/>
        <v>83.461882676875433</v>
      </c>
      <c r="DY22" s="11">
        <f t="shared" si="147"/>
        <v>123.771849410909</v>
      </c>
      <c r="DZ22" s="7">
        <f t="shared" si="148"/>
        <v>-791.28879599675281</v>
      </c>
      <c r="EA22" s="12">
        <f t="shared" si="149"/>
        <v>130.8303128518819</v>
      </c>
      <c r="EB22" s="8">
        <f t="shared" si="150"/>
        <v>609944.84888930537</v>
      </c>
      <c r="EC22" s="328">
        <f t="shared" si="151"/>
        <v>12.703037592084938</v>
      </c>
      <c r="ED22" s="7">
        <f t="shared" si="152"/>
        <v>8.3210650352817758E-2</v>
      </c>
      <c r="EE22" s="6">
        <f t="shared" si="153"/>
        <v>-3.674376522064728</v>
      </c>
      <c r="EF22" s="7">
        <f t="shared" si="154"/>
        <v>0.85965931280916319</v>
      </c>
      <c r="EG22" s="12">
        <f t="shared" si="155"/>
        <v>-0.88217093301559391</v>
      </c>
      <c r="EH22" s="11">
        <f t="shared" si="156"/>
        <v>3.2707143030876833</v>
      </c>
      <c r="EI22" s="7">
        <f t="shared" si="157"/>
        <v>1.8821490131170957</v>
      </c>
      <c r="EJ22" s="8">
        <f t="shared" si="158"/>
        <v>-0.88217093301559391</v>
      </c>
      <c r="EK22" s="491" t="b">
        <f t="shared" si="159"/>
        <v>0</v>
      </c>
      <c r="EL22" s="493" t="b">
        <f t="shared" si="160"/>
        <v>1</v>
      </c>
      <c r="EM22" s="6">
        <f t="shared" si="161"/>
        <v>3.2707143030876833</v>
      </c>
      <c r="EN22" s="7">
        <f t="shared" si="162"/>
        <v>1.8821490131170957</v>
      </c>
      <c r="EO22" s="12">
        <f t="shared" si="163"/>
        <v>-0.88217093301559391</v>
      </c>
      <c r="EP22" s="11">
        <f t="shared" si="164"/>
        <v>29.918491465484465</v>
      </c>
      <c r="EQ22" s="7">
        <f t="shared" si="165"/>
        <v>3.773600000000001</v>
      </c>
      <c r="ER22" s="9">
        <f t="shared" si="166"/>
        <v>-0.88217093301559391</v>
      </c>
      <c r="ES22" s="24">
        <f t="shared" si="167"/>
        <v>0.14428291619969241</v>
      </c>
      <c r="ET22" s="7">
        <f t="shared" si="168"/>
        <v>-0.98001765418559605</v>
      </c>
      <c r="EU22" s="12">
        <f t="shared" si="169"/>
        <v>-0.13692274309797486</v>
      </c>
      <c r="EV22" s="337">
        <f t="shared" si="15"/>
        <v>60.081508534515535</v>
      </c>
      <c r="EW22" s="11">
        <f t="shared" si="16"/>
        <v>0.92138003687676884</v>
      </c>
      <c r="EX22" s="7">
        <f t="shared" si="17"/>
        <v>-0.3637457767005553</v>
      </c>
      <c r="EY22" s="8">
        <f t="shared" si="170"/>
        <v>-0.13692274309797486</v>
      </c>
      <c r="EZ22" s="123">
        <f t="shared" si="171"/>
        <v>0.60410275451630358</v>
      </c>
      <c r="FA22" s="534">
        <f t="shared" si="18"/>
        <v>0.49873977038918371</v>
      </c>
      <c r="FB22" s="535">
        <f t="shared" si="19"/>
        <v>-0.86668764755720451</v>
      </c>
      <c r="FC22" s="537">
        <f t="shared" si="20"/>
        <v>-1.0543386737814199E-2</v>
      </c>
      <c r="FD22" s="6">
        <f t="shared" si="21"/>
        <v>0.99994441695331093</v>
      </c>
      <c r="FE22" s="7">
        <f t="shared" si="22"/>
        <v>-5.5511151231257827E-17</v>
      </c>
      <c r="FF22" s="9">
        <f t="shared" si="172"/>
        <v>-1.0543386737814199E-2</v>
      </c>
      <c r="FG22" s="328">
        <f t="shared" si="23"/>
        <v>-7.8564380076542095E-2</v>
      </c>
      <c r="FH22" s="7">
        <f t="shared" si="24"/>
        <v>-0.36374577670055525</v>
      </c>
      <c r="FI22" s="12">
        <f t="shared" si="25"/>
        <v>-0.12637935636016068</v>
      </c>
      <c r="FJ22" s="547">
        <f t="shared" si="173"/>
        <v>22.665178529228694</v>
      </c>
      <c r="FK22" s="6">
        <f t="shared" si="26"/>
        <v>0.99058172929977162</v>
      </c>
      <c r="FL22" s="7">
        <f t="shared" si="174"/>
        <v>0.99994441695331093</v>
      </c>
      <c r="FM22" s="10">
        <f t="shared" si="175"/>
        <v>0.37213351351941087</v>
      </c>
      <c r="FN22" s="11">
        <f t="shared" si="176"/>
        <v>21.543296372170303</v>
      </c>
      <c r="FO22" s="12">
        <f t="shared" si="27"/>
        <v>1</v>
      </c>
      <c r="FP22" s="545">
        <f t="shared" si="28"/>
        <v>21.543296372170303</v>
      </c>
      <c r="FQ22" s="328">
        <f t="shared" si="205"/>
        <v>0.36720420530841208</v>
      </c>
      <c r="FR22" s="12">
        <f t="shared" si="177"/>
        <v>0.93014035048685939</v>
      </c>
      <c r="FS22" s="11">
        <f t="shared" si="178"/>
        <v>0.28304293078357751</v>
      </c>
      <c r="FT22" s="8">
        <f t="shared" si="179"/>
        <v>0.71695706921642255</v>
      </c>
      <c r="FU22" s="6">
        <f t="shared" si="180"/>
        <v>0.93149826083171505</v>
      </c>
      <c r="FV22" s="7">
        <f t="shared" si="181"/>
        <v>1</v>
      </c>
      <c r="FW22" s="10">
        <f t="shared" si="206"/>
        <v>0.1488089497672094</v>
      </c>
      <c r="FX22" s="11">
        <f t="shared" si="207"/>
        <v>7.8485427466668831</v>
      </c>
      <c r="FY22" s="12">
        <f t="shared" si="29"/>
        <v>1</v>
      </c>
      <c r="FZ22" s="545">
        <f t="shared" si="208"/>
        <v>7.8485427466668831</v>
      </c>
      <c r="GA22" s="372">
        <f t="shared" si="182"/>
        <v>7.3105818614535725</v>
      </c>
      <c r="GB22" s="46">
        <f t="shared" si="183"/>
        <v>-0.3637644208326935</v>
      </c>
      <c r="GC22" s="47">
        <f t="shared" si="184"/>
        <v>0.92142726307775191</v>
      </c>
      <c r="GD22" s="578">
        <f t="shared" si="185"/>
        <v>-0.13655491566874667</v>
      </c>
      <c r="GE22" s="585">
        <f t="shared" si="186"/>
        <v>1.421746599579192</v>
      </c>
      <c r="GF22" s="634">
        <f t="shared" si="209"/>
        <v>0.70336021925143311</v>
      </c>
      <c r="GG22" s="553">
        <f t="shared" si="30"/>
        <v>0.25585742279275386</v>
      </c>
      <c r="GH22" s="554">
        <f t="shared" si="31"/>
        <v>0.64809528178261555</v>
      </c>
      <c r="GI22" s="549">
        <f t="shared" si="32"/>
        <v>9.6047295424630613E-2</v>
      </c>
      <c r="GJ22" s="296">
        <f t="shared" si="187"/>
        <v>3.7736000000000001</v>
      </c>
      <c r="GK22" s="337">
        <f t="shared" si="33"/>
        <v>1.9759621695952692</v>
      </c>
      <c r="GL22" s="337">
        <f t="shared" si="188"/>
        <v>1.5900000000000001E-2</v>
      </c>
      <c r="GM22" s="372">
        <f>IF(ISNUMBER($AV22),AZ22,"")</f>
        <v>0.37701358195877738</v>
      </c>
      <c r="GN22" s="548">
        <f t="shared" si="189"/>
        <v>3.1157245039571815E-2</v>
      </c>
      <c r="GO22" s="6">
        <f t="shared" si="190"/>
        <v>21.543296372170303</v>
      </c>
      <c r="GP22" s="10">
        <f t="shared" si="211"/>
        <v>7.8485427466668831</v>
      </c>
      <c r="GQ22" s="372">
        <f t="shared" si="191"/>
        <v>22.665178529228694</v>
      </c>
      <c r="GR22" s="697">
        <f t="shared" si="212"/>
        <v>2815.1223005095767</v>
      </c>
      <c r="GS22" s="637">
        <f t="shared" si="35"/>
        <v>720.26993665478858</v>
      </c>
      <c r="GT22" s="638">
        <f t="shared" si="36"/>
        <v>364.51605589307383</v>
      </c>
      <c r="GU22" s="639">
        <f t="shared" si="37"/>
        <v>1824.4674806012788</v>
      </c>
      <c r="GV22" s="638">
        <f t="shared" si="192"/>
        <v>923.33117945015078</v>
      </c>
      <c r="GW22" s="640">
        <f t="shared" si="38"/>
        <v>58071.143361644703</v>
      </c>
      <c r="GX22" s="641">
        <f t="shared" si="39"/>
        <v>290.35687823109077</v>
      </c>
      <c r="GY22" s="639">
        <f t="shared" si="40"/>
        <v>270.38488325350903</v>
      </c>
      <c r="GZ22" s="640">
        <f t="shared" si="41"/>
        <v>136.8370748256234</v>
      </c>
      <c r="HA22" s="637">
        <f t="shared" si="42"/>
        <v>720.26993665478858</v>
      </c>
      <c r="HB22" s="7">
        <f t="shared" si="193"/>
        <v>60.081508534515535</v>
      </c>
      <c r="HC22" s="638">
        <f t="shared" si="194"/>
        <v>359.24723088104815</v>
      </c>
      <c r="HD22" s="640">
        <f t="shared" si="195"/>
        <v>624.28375659870574</v>
      </c>
      <c r="HE22" s="639">
        <f t="shared" si="43"/>
        <v>923.33117945015078</v>
      </c>
      <c r="HF22" s="7">
        <f t="shared" si="44"/>
        <v>150.08150853451554</v>
      </c>
      <c r="HG22" s="638">
        <f t="shared" si="196"/>
        <v>-800.28421006848305</v>
      </c>
      <c r="HH22" s="644">
        <f t="shared" si="197"/>
        <v>460.52757795800972</v>
      </c>
      <c r="HI22" s="596">
        <f t="shared" si="198"/>
        <v>2.1230000000000002</v>
      </c>
      <c r="HJ22" s="625"/>
      <c r="HK22" s="1232">
        <f t="shared" si="83"/>
        <v>14</v>
      </c>
      <c r="HL22" s="583">
        <f t="shared" si="84"/>
        <v>2.7776999999999998</v>
      </c>
      <c r="HM22" s="643">
        <f t="shared" si="215"/>
        <v>5.1139999999999999</v>
      </c>
      <c r="HN22" s="660">
        <f t="shared" si="215"/>
        <v>8.342430886012556</v>
      </c>
      <c r="HO22" s="661">
        <f t="shared" si="215"/>
        <v>12.192755711046212</v>
      </c>
      <c r="HP22" s="656">
        <f t="shared" si="215"/>
        <v>14.621058195139081</v>
      </c>
      <c r="HQ22" s="660">
        <f t="shared" si="215"/>
        <v>3.7699999999999997E-2</v>
      </c>
      <c r="HR22" s="671">
        <f t="shared" si="215"/>
        <v>5.4381747922738297E-2</v>
      </c>
      <c r="HS22" s="655">
        <f t="shared" si="215"/>
        <v>4346.8174863525383</v>
      </c>
      <c r="HT22" s="648">
        <f t="shared" si="215"/>
        <v>466.96522586353484</v>
      </c>
      <c r="HU22" s="649">
        <f t="shared" si="215"/>
        <v>3184.4192417294571</v>
      </c>
      <c r="HV22" s="650">
        <f t="shared" si="215"/>
        <v>695.43301875954637</v>
      </c>
      <c r="HW22" s="648">
        <f t="shared" si="215"/>
        <v>321.03769476059591</v>
      </c>
      <c r="HX22" s="649">
        <f t="shared" si="215"/>
        <v>2189.2821047340053</v>
      </c>
      <c r="HY22" s="650">
        <f t="shared" si="215"/>
        <v>478.10886301030951</v>
      </c>
      <c r="HZ22" s="648">
        <f t="shared" si="215"/>
        <v>58071.143361644703</v>
      </c>
      <c r="IA22" s="649">
        <f t="shared" si="215"/>
        <v>506.76407519330382</v>
      </c>
      <c r="IB22" s="716"/>
      <c r="IC22" s="717">
        <f>HS22/[1]Assy.Model!HS22</f>
        <v>0.94928827659417048</v>
      </c>
      <c r="ID22" s="717">
        <f>HT22/[1]Assy.Model!HT22</f>
        <v>0.86494078713079836</v>
      </c>
      <c r="IE22" s="717">
        <f>HU22/[1]Assy.Model!HU22</f>
        <v>0.95268873564131862</v>
      </c>
      <c r="IF22" s="717">
        <f>HV22/[1]Assy.Model!HV22</f>
        <v>0.9983437331866597</v>
      </c>
    </row>
    <row r="23" spans="2:240" ht="15" customHeight="1" x14ac:dyDescent="0.25">
      <c r="B23" s="143">
        <v>3.1457933782915823</v>
      </c>
      <c r="C23" s="144">
        <v>1.9228358291442489</v>
      </c>
      <c r="D23" s="145">
        <v>-1.8156054758661153</v>
      </c>
      <c r="E23" s="146">
        <v>-2.5042172658557578E-2</v>
      </c>
      <c r="F23" s="144">
        <v>0.99968639562040962</v>
      </c>
      <c r="G23" s="147">
        <v>1.1339743353153852E-7</v>
      </c>
      <c r="H23" s="146">
        <v>0.314</v>
      </c>
      <c r="I23" s="144">
        <v>0.52</v>
      </c>
      <c r="J23" s="306">
        <v>2.129</v>
      </c>
      <c r="K23" s="699" t="str">
        <f t="shared" si="199"/>
        <v>1613</v>
      </c>
      <c r="M23" s="292">
        <f t="shared" si="46"/>
        <v>2.129</v>
      </c>
      <c r="N23" s="24">
        <f t="shared" si="47"/>
        <v>3.1457933782915823</v>
      </c>
      <c r="O23" s="7">
        <f t="shared" si="48"/>
        <v>1.9228358291442489</v>
      </c>
      <c r="P23" s="12">
        <f t="shared" si="49"/>
        <v>-1.8156054758661153</v>
      </c>
      <c r="Q23" s="11">
        <f t="shared" si="85"/>
        <v>31.434956478176989</v>
      </c>
      <c r="R23" s="7">
        <f t="shared" si="50"/>
        <v>3.6869111197239377</v>
      </c>
      <c r="S23" s="8">
        <f t="shared" si="51"/>
        <v>-1.8156054758661153</v>
      </c>
      <c r="T23" s="6">
        <f t="shared" si="52"/>
        <v>1.9724998918796812</v>
      </c>
      <c r="U23" s="7">
        <f t="shared" si="53"/>
        <v>-3.114892900450779</v>
      </c>
      <c r="V23" s="10">
        <f t="shared" si="86"/>
        <v>-1.8156054758661153</v>
      </c>
      <c r="W23" s="11">
        <f t="shared" si="214"/>
        <v>302.34395634693368</v>
      </c>
      <c r="X23" s="7">
        <f t="shared" si="54"/>
        <v>3.6869111197239377</v>
      </c>
      <c r="Y23" s="9">
        <f t="shared" si="213"/>
        <v>-1.8156054758661153</v>
      </c>
      <c r="Z23" s="24">
        <f t="shared" si="87"/>
        <v>2.5042172658557578E-2</v>
      </c>
      <c r="AA23" s="7">
        <f t="shared" si="55"/>
        <v>-0.99968639562040962</v>
      </c>
      <c r="AB23" s="7">
        <f t="shared" si="56"/>
        <v>-1.1339743353153852E-7</v>
      </c>
      <c r="AC23" s="10">
        <f t="shared" si="57"/>
        <v>1</v>
      </c>
      <c r="AD23" s="11">
        <f t="shared" si="88"/>
        <v>2.5042172658557578E-2</v>
      </c>
      <c r="AE23" s="7">
        <f t="shared" si="58"/>
        <v>-0.99968639562040962</v>
      </c>
      <c r="AF23" s="12">
        <f t="shared" si="59"/>
        <v>-1.1339743353153852E-7</v>
      </c>
      <c r="AG23" s="6">
        <f t="shared" si="60"/>
        <v>-89.999993500767474</v>
      </c>
      <c r="AH23" s="12">
        <f t="shared" si="61"/>
        <v>88.565039190358917</v>
      </c>
      <c r="AI23" s="11">
        <f t="shared" si="62"/>
        <v>-89.999993502805651</v>
      </c>
      <c r="AJ23" s="8">
        <f t="shared" si="63"/>
        <v>1.4349608096410889</v>
      </c>
      <c r="AK23" s="6">
        <f t="shared" si="89"/>
        <v>0.86602544158358519</v>
      </c>
      <c r="AL23" s="7">
        <f t="shared" si="64"/>
        <v>-0.49999993452993902</v>
      </c>
      <c r="AM23" s="8">
        <f t="shared" si="65"/>
        <v>-1.1339743353153852E-7</v>
      </c>
      <c r="AN23" s="6">
        <f t="shared" si="66"/>
        <v>-89.999987005609611</v>
      </c>
      <c r="AO23" s="10">
        <f t="shared" si="3"/>
        <v>29.999995668536588</v>
      </c>
      <c r="AP23" s="11">
        <f t="shared" si="67"/>
        <v>-29.999995668535945</v>
      </c>
      <c r="AQ23" s="8">
        <f t="shared" si="200"/>
        <v>0.61835370171187454</v>
      </c>
      <c r="AS23" s="123">
        <f t="shared" si="90"/>
        <v>-57.65604365306632</v>
      </c>
      <c r="AT23" s="174">
        <f t="shared" si="68"/>
        <v>-1.7749353067537383</v>
      </c>
      <c r="AV23" s="292" t="str">
        <f t="shared" si="91"/>
        <v/>
      </c>
      <c r="AW23" s="439"/>
      <c r="AX23" s="440"/>
      <c r="AY23" s="442"/>
      <c r="AZ23" s="565" t="str">
        <f t="shared" si="92"/>
        <v/>
      </c>
      <c r="BA23" s="564" t="str">
        <f t="shared" si="93"/>
        <v/>
      </c>
      <c r="BB23" s="444" t="str">
        <f t="shared" si="94"/>
        <v/>
      </c>
      <c r="BC23" s="11"/>
      <c r="BD23" s="7" t="str">
        <f t="shared" si="95"/>
        <v/>
      </c>
      <c r="BE23" s="8" t="str">
        <f t="shared" si="96"/>
        <v/>
      </c>
      <c r="BF23" s="6" t="str">
        <f t="shared" si="97"/>
        <v/>
      </c>
      <c r="BG23" s="7" t="str">
        <f t="shared" si="98"/>
        <v/>
      </c>
      <c r="BH23" s="12" t="str">
        <f t="shared" si="99"/>
        <v/>
      </c>
      <c r="BI23" s="11" t="str">
        <f t="shared" si="100"/>
        <v/>
      </c>
      <c r="BJ23" s="7" t="str">
        <f t="shared" si="101"/>
        <v/>
      </c>
      <c r="BK23" s="10" t="str">
        <f t="shared" si="102"/>
        <v/>
      </c>
      <c r="BL23" s="328" t="str">
        <f t="shared" si="103"/>
        <v/>
      </c>
      <c r="BM23" s="7" t="str">
        <f t="shared" si="104"/>
        <v/>
      </c>
      <c r="BN23" s="8" t="str">
        <f t="shared" si="105"/>
        <v/>
      </c>
      <c r="BO23" s="6" t="str">
        <f t="shared" si="106"/>
        <v/>
      </c>
      <c r="BP23" s="7" t="str">
        <f t="shared" si="107"/>
        <v/>
      </c>
      <c r="BQ23" s="7" t="str">
        <f t="shared" si="108"/>
        <v/>
      </c>
      <c r="BR23" s="8" t="str">
        <f t="shared" si="109"/>
        <v/>
      </c>
      <c r="BS23" s="6" t="str">
        <f t="shared" si="69"/>
        <v/>
      </c>
      <c r="BT23" s="7" t="str">
        <f t="shared" si="69"/>
        <v/>
      </c>
      <c r="BU23" s="12" t="str">
        <f t="shared" si="70"/>
        <v/>
      </c>
      <c r="BV23" s="11" t="str">
        <f t="shared" si="71"/>
        <v/>
      </c>
      <c r="BW23" s="7" t="str">
        <f t="shared" si="72"/>
        <v/>
      </c>
      <c r="BX23" s="10" t="str">
        <f t="shared" si="73"/>
        <v/>
      </c>
      <c r="BY23" s="328" t="str">
        <f t="shared" si="74"/>
        <v/>
      </c>
      <c r="BZ23" s="7" t="str">
        <f t="shared" si="75"/>
        <v/>
      </c>
      <c r="CA23" s="8" t="str">
        <f t="shared" si="76"/>
        <v/>
      </c>
      <c r="CB23" s="6" t="str">
        <f t="shared" si="110"/>
        <v/>
      </c>
      <c r="CC23" s="7" t="str">
        <f t="shared" si="111"/>
        <v/>
      </c>
      <c r="CD23" s="7" t="str">
        <f t="shared" si="112"/>
        <v/>
      </c>
      <c r="CE23" s="8" t="str">
        <f t="shared" si="113"/>
        <v/>
      </c>
      <c r="CF23" s="6" t="str">
        <f t="shared" si="114"/>
        <v/>
      </c>
      <c r="CG23" s="7" t="str">
        <f t="shared" si="115"/>
        <v/>
      </c>
      <c r="CH23" s="7" t="str">
        <f t="shared" si="116"/>
        <v/>
      </c>
      <c r="CI23" s="6" t="str">
        <f t="shared" si="77"/>
        <v/>
      </c>
      <c r="CJ23" s="7" t="str">
        <f t="shared" si="78"/>
        <v/>
      </c>
      <c r="CK23" s="10" t="str">
        <f t="shared" si="79"/>
        <v/>
      </c>
      <c r="CL23" s="328" t="str">
        <f t="shared" si="80"/>
        <v/>
      </c>
      <c r="CM23" s="7" t="str">
        <f t="shared" si="81"/>
        <v/>
      </c>
      <c r="CN23" s="8" t="str">
        <f t="shared" si="82"/>
        <v/>
      </c>
      <c r="CO23" s="296" t="str">
        <f t="shared" si="201"/>
        <v/>
      </c>
      <c r="CP23" s="6" t="str">
        <f t="shared" si="202"/>
        <v/>
      </c>
      <c r="CQ23" s="7" t="str">
        <f t="shared" si="203"/>
        <v/>
      </c>
      <c r="CR23" s="7" t="str">
        <f>IF(ISNUMBER($AV23),BF23^2+BG23^2+BH23^2+CI23^2+CJ23^2+CK23^2-2*(BF23*CI23+BG23*CJ23+BH23*CK23)-CO23^2,"")</f>
        <v/>
      </c>
      <c r="CS23" s="10" t="str">
        <f>IF(ISNUMBER($AV23),CQ23^2-(4*CP23*CR23),"")</f>
        <v/>
      </c>
      <c r="CT23" s="11" t="str">
        <f t="shared" si="119"/>
        <v/>
      </c>
      <c r="CU23" s="8" t="str">
        <f t="shared" si="120"/>
        <v/>
      </c>
      <c r="CV23" s="6" t="str">
        <f t="shared" si="204"/>
        <v/>
      </c>
      <c r="CW23" s="7" t="str">
        <f t="shared" si="121"/>
        <v/>
      </c>
      <c r="CX23" s="10" t="str">
        <f t="shared" si="122"/>
        <v/>
      </c>
      <c r="CY23" s="11" t="str">
        <f t="shared" si="123"/>
        <v/>
      </c>
      <c r="CZ23" s="7" t="str">
        <f t="shared" si="124"/>
        <v/>
      </c>
      <c r="DA23" s="8" t="str">
        <f t="shared" si="125"/>
        <v/>
      </c>
      <c r="DB23" s="6" t="str">
        <f t="shared" si="126"/>
        <v/>
      </c>
      <c r="DC23" s="7" t="str">
        <f t="shared" si="126"/>
        <v/>
      </c>
      <c r="DD23" s="12" t="str">
        <f t="shared" si="127"/>
        <v/>
      </c>
      <c r="DE23" s="11" t="str">
        <f t="shared" si="128"/>
        <v/>
      </c>
      <c r="DF23" s="7" t="str">
        <f t="shared" si="128"/>
        <v/>
      </c>
      <c r="DG23" s="12" t="str">
        <f t="shared" si="129"/>
        <v/>
      </c>
      <c r="DH23" s="174" t="str">
        <f t="shared" si="130"/>
        <v/>
      </c>
      <c r="DI23" s="6" t="str">
        <f t="shared" si="131"/>
        <v/>
      </c>
      <c r="DJ23" s="7" t="str">
        <f t="shared" si="132"/>
        <v/>
      </c>
      <c r="DK23" s="12" t="str">
        <f t="shared" si="133"/>
        <v/>
      </c>
      <c r="DL23" s="11" t="str">
        <f t="shared" si="134"/>
        <v/>
      </c>
      <c r="DM23" s="328" t="str">
        <f t="shared" si="135"/>
        <v/>
      </c>
      <c r="DN23" s="376" t="str">
        <f t="shared" si="136"/>
        <v/>
      </c>
      <c r="DO23" s="11" t="str">
        <f t="shared" si="137"/>
        <v/>
      </c>
      <c r="DP23" s="328" t="str">
        <f t="shared" si="138"/>
        <v/>
      </c>
      <c r="DQ23" s="13" t="str">
        <f t="shared" si="139"/>
        <v/>
      </c>
      <c r="DR23" s="328" t="str">
        <f t="shared" si="140"/>
        <v/>
      </c>
      <c r="DS23" s="7" t="str">
        <f t="shared" si="141"/>
        <v/>
      </c>
      <c r="DT23" s="7" t="str">
        <f t="shared" si="142"/>
        <v/>
      </c>
      <c r="DU23" s="7" t="str">
        <f t="shared" si="143"/>
        <v/>
      </c>
      <c r="DV23" s="7" t="str">
        <f t="shared" si="144"/>
        <v/>
      </c>
      <c r="DW23" s="7" t="str">
        <f t="shared" si="145"/>
        <v/>
      </c>
      <c r="DX23" s="296" t="str">
        <f t="shared" si="146"/>
        <v/>
      </c>
      <c r="DY23" s="11" t="str">
        <f t="shared" si="147"/>
        <v/>
      </c>
      <c r="DZ23" s="7" t="str">
        <f t="shared" si="148"/>
        <v/>
      </c>
      <c r="EA23" s="12" t="str">
        <f t="shared" si="149"/>
        <v/>
      </c>
      <c r="EB23" s="8" t="str">
        <f t="shared" si="150"/>
        <v/>
      </c>
      <c r="EC23" s="328" t="str">
        <f t="shared" si="151"/>
        <v/>
      </c>
      <c r="ED23" s="7" t="str">
        <f t="shared" si="152"/>
        <v/>
      </c>
      <c r="EE23" s="6" t="str">
        <f t="shared" si="153"/>
        <v/>
      </c>
      <c r="EF23" s="7" t="str">
        <f t="shared" si="154"/>
        <v/>
      </c>
      <c r="EG23" s="12" t="str">
        <f t="shared" si="155"/>
        <v/>
      </c>
      <c r="EH23" s="11" t="str">
        <f t="shared" si="156"/>
        <v/>
      </c>
      <c r="EI23" s="7" t="str">
        <f t="shared" si="157"/>
        <v/>
      </c>
      <c r="EJ23" s="8" t="str">
        <f t="shared" si="158"/>
        <v/>
      </c>
      <c r="EK23" s="491" t="str">
        <f t="shared" si="159"/>
        <v/>
      </c>
      <c r="EL23" s="493" t="str">
        <f t="shared" si="160"/>
        <v/>
      </c>
      <c r="EM23" s="6" t="str">
        <f t="shared" si="161"/>
        <v/>
      </c>
      <c r="EN23" s="7" t="str">
        <f t="shared" si="162"/>
        <v/>
      </c>
      <c r="EO23" s="12" t="str">
        <f t="shared" si="163"/>
        <v/>
      </c>
      <c r="EP23" s="11" t="str">
        <f t="shared" si="164"/>
        <v/>
      </c>
      <c r="EQ23" s="7" t="str">
        <f t="shared" si="165"/>
        <v/>
      </c>
      <c r="ER23" s="9" t="str">
        <f t="shared" si="166"/>
        <v/>
      </c>
      <c r="ES23" s="24" t="str">
        <f t="shared" si="167"/>
        <v/>
      </c>
      <c r="ET23" s="7" t="str">
        <f t="shared" si="168"/>
        <v/>
      </c>
      <c r="EU23" s="12" t="str">
        <f t="shared" si="169"/>
        <v/>
      </c>
      <c r="EV23" s="337" t="str">
        <f t="shared" si="15"/>
        <v/>
      </c>
      <c r="EW23" s="11" t="str">
        <f t="shared" si="16"/>
        <v/>
      </c>
      <c r="EX23" s="7" t="str">
        <f t="shared" si="17"/>
        <v/>
      </c>
      <c r="EY23" s="8" t="str">
        <f t="shared" si="170"/>
        <v/>
      </c>
      <c r="EZ23" s="123" t="str">
        <f t="shared" si="171"/>
        <v/>
      </c>
      <c r="FA23" s="534" t="str">
        <f t="shared" si="18"/>
        <v/>
      </c>
      <c r="FB23" s="535" t="str">
        <f t="shared" si="19"/>
        <v/>
      </c>
      <c r="FC23" s="537" t="str">
        <f t="shared" si="20"/>
        <v/>
      </c>
      <c r="FD23" s="6" t="str">
        <f t="shared" si="21"/>
        <v/>
      </c>
      <c r="FE23" s="7" t="str">
        <f t="shared" si="22"/>
        <v/>
      </c>
      <c r="FF23" s="9" t="str">
        <f t="shared" si="172"/>
        <v/>
      </c>
      <c r="FG23" s="328" t="str">
        <f t="shared" si="23"/>
        <v/>
      </c>
      <c r="FH23" s="7" t="str">
        <f t="shared" si="24"/>
        <v/>
      </c>
      <c r="FI23" s="12" t="str">
        <f t="shared" si="25"/>
        <v/>
      </c>
      <c r="FJ23" s="547" t="str">
        <f t="shared" si="173"/>
        <v/>
      </c>
      <c r="FK23" s="6" t="str">
        <f t="shared" si="26"/>
        <v/>
      </c>
      <c r="FL23" s="7" t="str">
        <f t="shared" si="174"/>
        <v/>
      </c>
      <c r="FM23" s="10" t="str">
        <f t="shared" si="175"/>
        <v/>
      </c>
      <c r="FN23" s="11" t="str">
        <f t="shared" si="176"/>
        <v/>
      </c>
      <c r="FO23" s="12" t="str">
        <f t="shared" si="27"/>
        <v/>
      </c>
      <c r="FP23" s="545" t="str">
        <f t="shared" si="28"/>
        <v/>
      </c>
      <c r="FQ23" s="328" t="str">
        <f t="shared" si="205"/>
        <v/>
      </c>
      <c r="FR23" s="12" t="str">
        <f t="shared" si="177"/>
        <v/>
      </c>
      <c r="FS23" s="11" t="str">
        <f t="shared" si="178"/>
        <v/>
      </c>
      <c r="FT23" s="8" t="str">
        <f t="shared" si="179"/>
        <v/>
      </c>
      <c r="FU23" s="6" t="str">
        <f t="shared" si="180"/>
        <v/>
      </c>
      <c r="FV23" s="7" t="str">
        <f t="shared" si="181"/>
        <v/>
      </c>
      <c r="FW23" s="10" t="str">
        <f t="shared" si="206"/>
        <v/>
      </c>
      <c r="FX23" s="11" t="str">
        <f t="shared" si="207"/>
        <v/>
      </c>
      <c r="FY23" s="12" t="str">
        <f t="shared" si="29"/>
        <v/>
      </c>
      <c r="FZ23" s="545" t="str">
        <f t="shared" si="208"/>
        <v/>
      </c>
      <c r="GA23" s="372" t="str">
        <f t="shared" si="182"/>
        <v/>
      </c>
      <c r="GB23" s="46" t="str">
        <f t="shared" si="183"/>
        <v/>
      </c>
      <c r="GC23" s="47" t="str">
        <f t="shared" si="184"/>
        <v/>
      </c>
      <c r="GD23" s="578" t="str">
        <f t="shared" si="185"/>
        <v/>
      </c>
      <c r="GE23" s="585" t="str">
        <f t="shared" si="186"/>
        <v/>
      </c>
      <c r="GF23" s="634" t="str">
        <f t="shared" si="209"/>
        <v/>
      </c>
      <c r="GG23" s="553" t="str">
        <f t="shared" si="30"/>
        <v/>
      </c>
      <c r="GH23" s="554" t="str">
        <f t="shared" si="31"/>
        <v/>
      </c>
      <c r="GI23" s="549" t="str">
        <f t="shared" si="32"/>
        <v/>
      </c>
      <c r="GJ23" s="296" t="str">
        <f t="shared" si="187"/>
        <v/>
      </c>
      <c r="GK23" s="337" t="str">
        <f t="shared" si="33"/>
        <v/>
      </c>
      <c r="GL23" s="337" t="str">
        <f t="shared" si="188"/>
        <v/>
      </c>
      <c r="GM23" s="372" t="str">
        <f t="shared" si="210"/>
        <v/>
      </c>
      <c r="GN23" s="548" t="str">
        <f t="shared" si="189"/>
        <v/>
      </c>
      <c r="GO23" s="6" t="str">
        <f t="shared" si="190"/>
        <v/>
      </c>
      <c r="GP23" s="10" t="str">
        <f t="shared" si="211"/>
        <v/>
      </c>
      <c r="GQ23" s="372" t="str">
        <f t="shared" si="191"/>
        <v/>
      </c>
      <c r="GR23" s="697" t="str">
        <f t="shared" si="212"/>
        <v/>
      </c>
      <c r="GS23" s="637" t="str">
        <f t="shared" si="35"/>
        <v/>
      </c>
      <c r="GT23" s="638" t="str">
        <f t="shared" si="36"/>
        <v/>
      </c>
      <c r="GU23" s="639" t="str">
        <f t="shared" si="37"/>
        <v/>
      </c>
      <c r="GV23" s="638" t="str">
        <f t="shared" si="192"/>
        <v/>
      </c>
      <c r="GW23" s="640" t="str">
        <f t="shared" si="38"/>
        <v/>
      </c>
      <c r="GX23" s="641" t="str">
        <f t="shared" si="39"/>
        <v/>
      </c>
      <c r="GY23" s="639" t="str">
        <f t="shared" si="40"/>
        <v/>
      </c>
      <c r="GZ23" s="640" t="str">
        <f t="shared" si="41"/>
        <v/>
      </c>
      <c r="HA23" s="637" t="str">
        <f t="shared" si="42"/>
        <v/>
      </c>
      <c r="HB23" s="7" t="str">
        <f t="shared" si="193"/>
        <v/>
      </c>
      <c r="HC23" s="638" t="str">
        <f t="shared" si="194"/>
        <v/>
      </c>
      <c r="HD23" s="640" t="str">
        <f t="shared" si="195"/>
        <v/>
      </c>
      <c r="HE23" s="639" t="str">
        <f t="shared" si="43"/>
        <v/>
      </c>
      <c r="HF23" s="7" t="str">
        <f t="shared" si="44"/>
        <v/>
      </c>
      <c r="HG23" s="638" t="str">
        <f t="shared" si="196"/>
        <v/>
      </c>
      <c r="HH23" s="644" t="str">
        <f t="shared" si="197"/>
        <v/>
      </c>
      <c r="HI23" s="596" t="str">
        <f t="shared" si="198"/>
        <v/>
      </c>
      <c r="HJ23" s="625"/>
      <c r="HK23" s="1232">
        <f t="shared" si="83"/>
        <v>15</v>
      </c>
      <c r="HL23" s="583">
        <f t="shared" si="84"/>
        <v>2.9201999999999999</v>
      </c>
      <c r="HM23" s="643">
        <f t="shared" si="215"/>
        <v>4.1150000000000002</v>
      </c>
      <c r="HN23" s="660">
        <f t="shared" si="215"/>
        <v>9.6532690886688748</v>
      </c>
      <c r="HO23" s="661">
        <f t="shared" si="215"/>
        <v>11.442620559606807</v>
      </c>
      <c r="HP23" s="656">
        <f t="shared" si="215"/>
        <v>14.792820510495376</v>
      </c>
      <c r="HQ23" s="660">
        <f t="shared" si="215"/>
        <v>3.5299999999999998E-2</v>
      </c>
      <c r="HR23" s="671">
        <f t="shared" si="215"/>
        <v>5.353151491811E-2</v>
      </c>
      <c r="HS23" s="655">
        <f t="shared" si="215"/>
        <v>4311.4064836093276</v>
      </c>
      <c r="HT23" s="648">
        <f t="shared" si="215"/>
        <v>533.18155375901665</v>
      </c>
      <c r="HU23" s="649">
        <f t="shared" si="215"/>
        <v>3134.6323473519838</v>
      </c>
      <c r="HV23" s="650">
        <f t="shared" si="215"/>
        <v>643.59258249832669</v>
      </c>
      <c r="HW23" s="648">
        <f t="shared" si="215"/>
        <v>348.67723012923409</v>
      </c>
      <c r="HX23" s="649">
        <f t="shared" si="215"/>
        <v>2049.911360666058</v>
      </c>
      <c r="HY23" s="650">
        <f t="shared" si="215"/>
        <v>420.88117530536789</v>
      </c>
      <c r="HZ23" s="648">
        <f t="shared" si="215"/>
        <v>58071.143361644703</v>
      </c>
      <c r="IA23" s="649">
        <f t="shared" si="215"/>
        <v>498.84592961808517</v>
      </c>
      <c r="IB23" s="716"/>
      <c r="IC23" s="717">
        <f>HS23/[1]Assy.Model!HS23</f>
        <v>0.97658753845461965</v>
      </c>
      <c r="ID23" s="717">
        <f>HT23/[1]Assy.Model!HT23</f>
        <v>0.90859398878373721</v>
      </c>
      <c r="IE23" s="717">
        <f>HU23/[1]Assy.Model!HU23</f>
        <v>0.97813925503037813</v>
      </c>
      <c r="IF23" s="717">
        <f>HV23/[1]Assy.Model!HV23</f>
        <v>1.0326273724965087</v>
      </c>
    </row>
    <row r="24" spans="2:240" ht="15" customHeight="1" x14ac:dyDescent="0.25">
      <c r="B24" s="143">
        <v>3.0739018584798523</v>
      </c>
      <c r="C24" s="144">
        <v>0.66593548858381046</v>
      </c>
      <c r="D24" s="145">
        <v>-0.38020114668665839</v>
      </c>
      <c r="E24" s="146">
        <v>0.44217708332380584</v>
      </c>
      <c r="F24" s="144">
        <v>9.5794250726952218E-2</v>
      </c>
      <c r="G24" s="147">
        <v>0.89179756027414314</v>
      </c>
      <c r="H24" s="146">
        <v>0.25700000000000001</v>
      </c>
      <c r="I24" s="144">
        <v>0.41499999999999992</v>
      </c>
      <c r="J24" s="306">
        <v>2.2170000000000001</v>
      </c>
      <c r="K24" s="699" t="str">
        <f t="shared" si="199"/>
        <v>Kunckle</v>
      </c>
      <c r="M24" s="292">
        <f t="shared" si="46"/>
        <v>2.2170000000000001</v>
      </c>
      <c r="N24" s="24">
        <f t="shared" si="47"/>
        <v>3.0739018584798523</v>
      </c>
      <c r="O24" s="7">
        <f t="shared" si="48"/>
        <v>0.66593548858381046</v>
      </c>
      <c r="P24" s="12">
        <f t="shared" si="49"/>
        <v>-0.38020114668665839</v>
      </c>
      <c r="Q24" s="11">
        <f t="shared" si="85"/>
        <v>12.223759251930691</v>
      </c>
      <c r="R24" s="7">
        <f t="shared" si="50"/>
        <v>3.1452094859518098</v>
      </c>
      <c r="S24" s="8">
        <f t="shared" si="51"/>
        <v>-0.38020114668665839</v>
      </c>
      <c r="T24" s="6">
        <f t="shared" si="52"/>
        <v>0.7146172145681422</v>
      </c>
      <c r="U24" s="7">
        <f t="shared" si="53"/>
        <v>-3.0629503664219104</v>
      </c>
      <c r="V24" s="10">
        <f t="shared" si="86"/>
        <v>-0.38020114668665839</v>
      </c>
      <c r="W24" s="11">
        <f t="shared" si="214"/>
        <v>283.13275912068735</v>
      </c>
      <c r="X24" s="7">
        <f t="shared" si="54"/>
        <v>3.1452094859518098</v>
      </c>
      <c r="Y24" s="9">
        <f t="shared" si="213"/>
        <v>-0.38020114668665839</v>
      </c>
      <c r="Z24" s="24">
        <f t="shared" si="87"/>
        <v>-0.44217708332380584</v>
      </c>
      <c r="AA24" s="7">
        <f t="shared" si="55"/>
        <v>-9.5794250726952218E-2</v>
      </c>
      <c r="AB24" s="7">
        <f t="shared" si="56"/>
        <v>-0.89179756027414314</v>
      </c>
      <c r="AC24" s="10">
        <f t="shared" si="57"/>
        <v>1</v>
      </c>
      <c r="AD24" s="11">
        <f t="shared" si="88"/>
        <v>-0.44217708332380584</v>
      </c>
      <c r="AE24" s="7">
        <f t="shared" si="58"/>
        <v>-9.5794250726952218E-2</v>
      </c>
      <c r="AF24" s="12">
        <f t="shared" si="59"/>
        <v>-0.89179756027414314</v>
      </c>
      <c r="AG24" s="6">
        <f t="shared" si="60"/>
        <v>-6.1310341223710552</v>
      </c>
      <c r="AH24" s="12">
        <f t="shared" si="61"/>
        <v>116.24287032866236</v>
      </c>
      <c r="AI24" s="11">
        <f t="shared" si="62"/>
        <v>-26.899996116123987</v>
      </c>
      <c r="AJ24" s="8">
        <f t="shared" si="63"/>
        <v>-77.776212027036507</v>
      </c>
      <c r="AK24" s="6">
        <f t="shared" si="89"/>
        <v>2.2679489669608088E-7</v>
      </c>
      <c r="AL24" s="7">
        <f t="shared" si="64"/>
        <v>-0.45243464885995932</v>
      </c>
      <c r="AM24" s="8">
        <f t="shared" si="65"/>
        <v>-0.89179756027414314</v>
      </c>
      <c r="AN24" s="6">
        <f t="shared" si="66"/>
        <v>-26.899996116121088</v>
      </c>
      <c r="AO24" s="10">
        <f t="shared" si="3"/>
        <v>0</v>
      </c>
      <c r="AP24" s="11">
        <f t="shared" si="67"/>
        <v>-89.999971278967195</v>
      </c>
      <c r="AQ24" s="8">
        <f t="shared" si="200"/>
        <v>0.72486372168891444</v>
      </c>
      <c r="AS24" s="123">
        <f t="shared" si="90"/>
        <v>-76.867240879312646</v>
      </c>
      <c r="AT24" s="174">
        <f t="shared" si="68"/>
        <v>-0.32618986838938802</v>
      </c>
      <c r="AV24" s="292" t="str">
        <f t="shared" si="91"/>
        <v/>
      </c>
      <c r="AW24" s="439"/>
      <c r="AX24" s="440"/>
      <c r="AY24" s="442"/>
      <c r="AZ24" s="565" t="str">
        <f t="shared" si="92"/>
        <v/>
      </c>
      <c r="BA24" s="564" t="str">
        <f t="shared" si="93"/>
        <v/>
      </c>
      <c r="BB24" s="444" t="str">
        <f t="shared" si="94"/>
        <v/>
      </c>
      <c r="BC24" s="11"/>
      <c r="BD24" s="7" t="str">
        <f t="shared" si="95"/>
        <v/>
      </c>
      <c r="BE24" s="8" t="str">
        <f t="shared" si="96"/>
        <v/>
      </c>
      <c r="BF24" s="6" t="str">
        <f t="shared" si="97"/>
        <v/>
      </c>
      <c r="BG24" s="7" t="str">
        <f t="shared" si="98"/>
        <v/>
      </c>
      <c r="BH24" s="12" t="str">
        <f t="shared" si="99"/>
        <v/>
      </c>
      <c r="BI24" s="11" t="str">
        <f t="shared" si="100"/>
        <v/>
      </c>
      <c r="BJ24" s="7" t="str">
        <f t="shared" si="101"/>
        <v/>
      </c>
      <c r="BK24" s="10" t="str">
        <f t="shared" si="102"/>
        <v/>
      </c>
      <c r="BL24" s="328" t="str">
        <f t="shared" si="103"/>
        <v/>
      </c>
      <c r="BM24" s="7" t="str">
        <f t="shared" si="104"/>
        <v/>
      </c>
      <c r="BN24" s="8" t="str">
        <f t="shared" si="105"/>
        <v/>
      </c>
      <c r="BO24" s="6" t="str">
        <f t="shared" si="106"/>
        <v/>
      </c>
      <c r="BP24" s="7" t="str">
        <f t="shared" si="107"/>
        <v/>
      </c>
      <c r="BQ24" s="7" t="str">
        <f t="shared" si="108"/>
        <v/>
      </c>
      <c r="BR24" s="8" t="str">
        <f t="shared" si="109"/>
        <v/>
      </c>
      <c r="BS24" s="6" t="str">
        <f t="shared" si="69"/>
        <v/>
      </c>
      <c r="BT24" s="7" t="str">
        <f t="shared" si="69"/>
        <v/>
      </c>
      <c r="BU24" s="12" t="str">
        <f t="shared" si="70"/>
        <v/>
      </c>
      <c r="BV24" s="11" t="str">
        <f t="shared" si="71"/>
        <v/>
      </c>
      <c r="BW24" s="7" t="str">
        <f t="shared" si="72"/>
        <v/>
      </c>
      <c r="BX24" s="10" t="str">
        <f t="shared" si="73"/>
        <v/>
      </c>
      <c r="BY24" s="328" t="str">
        <f t="shared" si="74"/>
        <v/>
      </c>
      <c r="BZ24" s="7" t="str">
        <f t="shared" si="75"/>
        <v/>
      </c>
      <c r="CA24" s="8" t="str">
        <f t="shared" si="76"/>
        <v/>
      </c>
      <c r="CB24" s="6" t="str">
        <f t="shared" si="110"/>
        <v/>
      </c>
      <c r="CC24" s="7" t="str">
        <f t="shared" si="111"/>
        <v/>
      </c>
      <c r="CD24" s="7" t="str">
        <f t="shared" si="112"/>
        <v/>
      </c>
      <c r="CE24" s="8" t="str">
        <f t="shared" si="113"/>
        <v/>
      </c>
      <c r="CF24" s="6" t="str">
        <f t="shared" si="114"/>
        <v/>
      </c>
      <c r="CG24" s="7" t="str">
        <f t="shared" si="115"/>
        <v/>
      </c>
      <c r="CH24" s="7" t="str">
        <f t="shared" si="116"/>
        <v/>
      </c>
      <c r="CI24" s="6" t="str">
        <f t="shared" si="77"/>
        <v/>
      </c>
      <c r="CJ24" s="7" t="str">
        <f t="shared" si="78"/>
        <v/>
      </c>
      <c r="CK24" s="10" t="str">
        <f t="shared" si="79"/>
        <v/>
      </c>
      <c r="CL24" s="328" t="str">
        <f t="shared" si="80"/>
        <v/>
      </c>
      <c r="CM24" s="7" t="str">
        <f t="shared" si="81"/>
        <v/>
      </c>
      <c r="CN24" s="8" t="str">
        <f t="shared" si="82"/>
        <v/>
      </c>
      <c r="CO24" s="296" t="str">
        <f t="shared" si="201"/>
        <v/>
      </c>
      <c r="CP24" s="6" t="str">
        <f t="shared" si="202"/>
        <v/>
      </c>
      <c r="CQ24" s="7" t="str">
        <f t="shared" si="203"/>
        <v/>
      </c>
      <c r="CR24" s="7" t="str">
        <f t="shared" si="117"/>
        <v/>
      </c>
      <c r="CS24" s="10" t="str">
        <f t="shared" si="118"/>
        <v/>
      </c>
      <c r="CT24" s="11" t="str">
        <f t="shared" si="119"/>
        <v/>
      </c>
      <c r="CU24" s="8" t="str">
        <f t="shared" si="120"/>
        <v/>
      </c>
      <c r="CV24" s="6" t="str">
        <f t="shared" si="204"/>
        <v/>
      </c>
      <c r="CW24" s="7" t="str">
        <f t="shared" si="121"/>
        <v/>
      </c>
      <c r="CX24" s="10" t="str">
        <f t="shared" si="122"/>
        <v/>
      </c>
      <c r="CY24" s="11" t="str">
        <f t="shared" si="123"/>
        <v/>
      </c>
      <c r="CZ24" s="7" t="str">
        <f t="shared" si="124"/>
        <v/>
      </c>
      <c r="DA24" s="8" t="str">
        <f t="shared" si="125"/>
        <v/>
      </c>
      <c r="DB24" s="6" t="str">
        <f t="shared" si="126"/>
        <v/>
      </c>
      <c r="DC24" s="7" t="str">
        <f t="shared" si="126"/>
        <v/>
      </c>
      <c r="DD24" s="12" t="str">
        <f t="shared" si="127"/>
        <v/>
      </c>
      <c r="DE24" s="11" t="str">
        <f t="shared" si="128"/>
        <v/>
      </c>
      <c r="DF24" s="7" t="str">
        <f t="shared" si="128"/>
        <v/>
      </c>
      <c r="DG24" s="12" t="str">
        <f t="shared" si="129"/>
        <v/>
      </c>
      <c r="DH24" s="174" t="str">
        <f t="shared" si="130"/>
        <v/>
      </c>
      <c r="DI24" s="6" t="str">
        <f t="shared" si="131"/>
        <v/>
      </c>
      <c r="DJ24" s="7" t="str">
        <f t="shared" si="132"/>
        <v/>
      </c>
      <c r="DK24" s="12" t="str">
        <f t="shared" si="133"/>
        <v/>
      </c>
      <c r="DL24" s="11" t="str">
        <f t="shared" si="134"/>
        <v/>
      </c>
      <c r="DM24" s="328" t="str">
        <f t="shared" si="135"/>
        <v/>
      </c>
      <c r="DN24" s="376" t="str">
        <f t="shared" si="136"/>
        <v/>
      </c>
      <c r="DO24" s="11" t="str">
        <f t="shared" si="137"/>
        <v/>
      </c>
      <c r="DP24" s="328" t="str">
        <f t="shared" si="138"/>
        <v/>
      </c>
      <c r="DQ24" s="13" t="str">
        <f t="shared" si="139"/>
        <v/>
      </c>
      <c r="DR24" s="328" t="str">
        <f t="shared" si="140"/>
        <v/>
      </c>
      <c r="DS24" s="7" t="str">
        <f t="shared" si="141"/>
        <v/>
      </c>
      <c r="DT24" s="7" t="str">
        <f t="shared" si="142"/>
        <v/>
      </c>
      <c r="DU24" s="7" t="str">
        <f t="shared" si="143"/>
        <v/>
      </c>
      <c r="DV24" s="7" t="str">
        <f t="shared" si="144"/>
        <v/>
      </c>
      <c r="DW24" s="7" t="str">
        <f t="shared" si="145"/>
        <v/>
      </c>
      <c r="DX24" s="296" t="str">
        <f t="shared" si="146"/>
        <v/>
      </c>
      <c r="DY24" s="11" t="str">
        <f t="shared" si="147"/>
        <v/>
      </c>
      <c r="DZ24" s="7" t="str">
        <f t="shared" si="148"/>
        <v/>
      </c>
      <c r="EA24" s="12" t="str">
        <f t="shared" si="149"/>
        <v/>
      </c>
      <c r="EB24" s="8" t="str">
        <f t="shared" si="150"/>
        <v/>
      </c>
      <c r="EC24" s="328" t="str">
        <f t="shared" si="151"/>
        <v/>
      </c>
      <c r="ED24" s="7" t="str">
        <f t="shared" si="152"/>
        <v/>
      </c>
      <c r="EE24" s="6" t="str">
        <f t="shared" si="153"/>
        <v/>
      </c>
      <c r="EF24" s="7" t="str">
        <f t="shared" si="154"/>
        <v/>
      </c>
      <c r="EG24" s="12" t="str">
        <f t="shared" si="155"/>
        <v/>
      </c>
      <c r="EH24" s="11" t="str">
        <f t="shared" si="156"/>
        <v/>
      </c>
      <c r="EI24" s="7" t="str">
        <f t="shared" si="157"/>
        <v/>
      </c>
      <c r="EJ24" s="8" t="str">
        <f t="shared" si="158"/>
        <v/>
      </c>
      <c r="EK24" s="491" t="str">
        <f t="shared" si="159"/>
        <v/>
      </c>
      <c r="EL24" s="493" t="str">
        <f t="shared" si="160"/>
        <v/>
      </c>
      <c r="EM24" s="6" t="str">
        <f t="shared" si="161"/>
        <v/>
      </c>
      <c r="EN24" s="7" t="str">
        <f t="shared" si="162"/>
        <v/>
      </c>
      <c r="EO24" s="12" t="str">
        <f t="shared" si="163"/>
        <v/>
      </c>
      <c r="EP24" s="11" t="str">
        <f t="shared" si="164"/>
        <v/>
      </c>
      <c r="EQ24" s="7" t="str">
        <f t="shared" si="165"/>
        <v/>
      </c>
      <c r="ER24" s="9" t="str">
        <f t="shared" si="166"/>
        <v/>
      </c>
      <c r="ES24" s="24" t="str">
        <f t="shared" si="167"/>
        <v/>
      </c>
      <c r="ET24" s="7" t="str">
        <f t="shared" si="168"/>
        <v/>
      </c>
      <c r="EU24" s="12" t="str">
        <f t="shared" si="169"/>
        <v/>
      </c>
      <c r="EV24" s="337" t="str">
        <f t="shared" si="15"/>
        <v/>
      </c>
      <c r="EW24" s="11" t="str">
        <f t="shared" si="16"/>
        <v/>
      </c>
      <c r="EX24" s="7" t="str">
        <f t="shared" si="17"/>
        <v/>
      </c>
      <c r="EY24" s="8" t="str">
        <f t="shared" si="170"/>
        <v/>
      </c>
      <c r="EZ24" s="123" t="str">
        <f t="shared" si="171"/>
        <v/>
      </c>
      <c r="FA24" s="534" t="str">
        <f t="shared" si="18"/>
        <v/>
      </c>
      <c r="FB24" s="535" t="str">
        <f t="shared" si="19"/>
        <v/>
      </c>
      <c r="FC24" s="537" t="str">
        <f t="shared" si="20"/>
        <v/>
      </c>
      <c r="FD24" s="6" t="str">
        <f t="shared" si="21"/>
        <v/>
      </c>
      <c r="FE24" s="7" t="str">
        <f t="shared" si="22"/>
        <v/>
      </c>
      <c r="FF24" s="9" t="str">
        <f t="shared" si="172"/>
        <v/>
      </c>
      <c r="FG24" s="328" t="str">
        <f t="shared" si="23"/>
        <v/>
      </c>
      <c r="FH24" s="7" t="str">
        <f t="shared" si="24"/>
        <v/>
      </c>
      <c r="FI24" s="12" t="str">
        <f t="shared" si="25"/>
        <v/>
      </c>
      <c r="FJ24" s="547" t="str">
        <f t="shared" si="173"/>
        <v/>
      </c>
      <c r="FK24" s="6" t="str">
        <f t="shared" si="26"/>
        <v/>
      </c>
      <c r="FL24" s="7" t="str">
        <f t="shared" si="174"/>
        <v/>
      </c>
      <c r="FM24" s="10" t="str">
        <f t="shared" si="175"/>
        <v/>
      </c>
      <c r="FN24" s="11" t="str">
        <f t="shared" si="176"/>
        <v/>
      </c>
      <c r="FO24" s="12" t="str">
        <f t="shared" si="27"/>
        <v/>
      </c>
      <c r="FP24" s="545" t="str">
        <f t="shared" si="28"/>
        <v/>
      </c>
      <c r="FQ24" s="328" t="str">
        <f t="shared" si="205"/>
        <v/>
      </c>
      <c r="FR24" s="12" t="str">
        <f t="shared" si="177"/>
        <v/>
      </c>
      <c r="FS24" s="11" t="str">
        <f t="shared" si="178"/>
        <v/>
      </c>
      <c r="FT24" s="8" t="str">
        <f t="shared" si="179"/>
        <v/>
      </c>
      <c r="FU24" s="6" t="str">
        <f t="shared" si="180"/>
        <v/>
      </c>
      <c r="FV24" s="7" t="str">
        <f t="shared" si="181"/>
        <v/>
      </c>
      <c r="FW24" s="10" t="str">
        <f t="shared" si="206"/>
        <v/>
      </c>
      <c r="FX24" s="11" t="str">
        <f t="shared" si="207"/>
        <v/>
      </c>
      <c r="FY24" s="12" t="str">
        <f t="shared" si="29"/>
        <v/>
      </c>
      <c r="FZ24" s="545" t="str">
        <f t="shared" si="208"/>
        <v/>
      </c>
      <c r="GA24" s="372" t="str">
        <f t="shared" si="182"/>
        <v/>
      </c>
      <c r="GB24" s="46" t="str">
        <f t="shared" si="183"/>
        <v/>
      </c>
      <c r="GC24" s="47" t="str">
        <f t="shared" si="184"/>
        <v/>
      </c>
      <c r="GD24" s="578" t="str">
        <f t="shared" si="185"/>
        <v/>
      </c>
      <c r="GE24" s="585" t="str">
        <f t="shared" si="186"/>
        <v/>
      </c>
      <c r="GF24" s="634" t="str">
        <f t="shared" si="209"/>
        <v/>
      </c>
      <c r="GG24" s="553" t="str">
        <f t="shared" si="30"/>
        <v/>
      </c>
      <c r="GH24" s="554" t="str">
        <f t="shared" si="31"/>
        <v/>
      </c>
      <c r="GI24" s="549" t="str">
        <f t="shared" si="32"/>
        <v/>
      </c>
      <c r="GJ24" s="296" t="str">
        <f t="shared" si="187"/>
        <v/>
      </c>
      <c r="GK24" s="337" t="str">
        <f t="shared" si="33"/>
        <v/>
      </c>
      <c r="GL24" s="337" t="str">
        <f t="shared" si="188"/>
        <v/>
      </c>
      <c r="GM24" s="372" t="str">
        <f t="shared" si="210"/>
        <v/>
      </c>
      <c r="GN24" s="548" t="str">
        <f t="shared" si="189"/>
        <v/>
      </c>
      <c r="GO24" s="6" t="str">
        <f t="shared" si="190"/>
        <v/>
      </c>
      <c r="GP24" s="10" t="str">
        <f t="shared" si="211"/>
        <v/>
      </c>
      <c r="GQ24" s="372" t="str">
        <f t="shared" si="191"/>
        <v/>
      </c>
      <c r="GR24" s="697" t="str">
        <f t="shared" si="212"/>
        <v/>
      </c>
      <c r="GS24" s="637" t="str">
        <f t="shared" si="35"/>
        <v/>
      </c>
      <c r="GT24" s="638" t="str">
        <f t="shared" si="36"/>
        <v/>
      </c>
      <c r="GU24" s="639" t="str">
        <f t="shared" si="37"/>
        <v/>
      </c>
      <c r="GV24" s="638" t="str">
        <f t="shared" si="192"/>
        <v/>
      </c>
      <c r="GW24" s="640" t="str">
        <f t="shared" si="38"/>
        <v/>
      </c>
      <c r="GX24" s="641" t="str">
        <f t="shared" si="39"/>
        <v/>
      </c>
      <c r="GY24" s="639" t="str">
        <f t="shared" si="40"/>
        <v/>
      </c>
      <c r="GZ24" s="640" t="str">
        <f t="shared" si="41"/>
        <v/>
      </c>
      <c r="HA24" s="637" t="str">
        <f t="shared" si="42"/>
        <v/>
      </c>
      <c r="HB24" s="7" t="str">
        <f t="shared" si="193"/>
        <v/>
      </c>
      <c r="HC24" s="638" t="str">
        <f t="shared" si="194"/>
        <v/>
      </c>
      <c r="HD24" s="682" t="str">
        <f t="shared" si="195"/>
        <v/>
      </c>
      <c r="HE24" s="639" t="str">
        <f t="shared" si="43"/>
        <v/>
      </c>
      <c r="HF24" s="7" t="str">
        <f t="shared" si="44"/>
        <v/>
      </c>
      <c r="HG24" s="638" t="str">
        <f t="shared" si="196"/>
        <v/>
      </c>
      <c r="HH24" s="644" t="str">
        <f t="shared" si="197"/>
        <v/>
      </c>
      <c r="HI24" s="596" t="str">
        <f t="shared" si="198"/>
        <v/>
      </c>
      <c r="HJ24" s="625"/>
      <c r="HK24" s="1232">
        <f t="shared" si="83"/>
        <v>16</v>
      </c>
      <c r="HL24" s="583">
        <f t="shared" si="84"/>
        <v>3.0596999999999999</v>
      </c>
      <c r="HM24" s="643">
        <f t="shared" si="215"/>
        <v>3.1160000000000001</v>
      </c>
      <c r="HN24" s="660">
        <f t="shared" si="215"/>
        <v>11.208318587245371</v>
      </c>
      <c r="HO24" s="661">
        <f t="shared" si="215"/>
        <v>11.511591223994344</v>
      </c>
      <c r="HP24" s="656">
        <f t="shared" si="215"/>
        <v>15.84279672689134</v>
      </c>
      <c r="HQ24" s="660">
        <f t="shared" si="215"/>
        <v>3.4099999999999998E-2</v>
      </c>
      <c r="HR24" s="671">
        <f t="shared" si="215"/>
        <v>5.4181605000388676E-2</v>
      </c>
      <c r="HS24" s="655">
        <f t="shared" si="215"/>
        <v>4460.1150153388899</v>
      </c>
      <c r="HT24" s="648">
        <f t="shared" si="215"/>
        <v>628.69012906399064</v>
      </c>
      <c r="HU24" s="649">
        <f t="shared" si="215"/>
        <v>3172.6995196283656</v>
      </c>
      <c r="HV24" s="650">
        <f t="shared" si="215"/>
        <v>658.7253666465333</v>
      </c>
      <c r="HW24" s="648">
        <f t="shared" si="215"/>
        <v>392.39408732750104</v>
      </c>
      <c r="HX24" s="649">
        <f t="shared" si="215"/>
        <v>1980.2259886320842</v>
      </c>
      <c r="HY24" s="650">
        <f t="shared" si="215"/>
        <v>411.14044438644396</v>
      </c>
      <c r="HZ24" s="648">
        <f t="shared" si="215"/>
        <v>58071.143361644703</v>
      </c>
      <c r="IA24" s="649">
        <f t="shared" si="215"/>
        <v>504.90812145146566</v>
      </c>
      <c r="IB24" s="716"/>
      <c r="IC24" s="717">
        <f>HS24/[1]Assy.Model!HS24</f>
        <v>0.99721962742223236</v>
      </c>
      <c r="ID24" s="717">
        <f>HT24/[1]Assy.Model!HT24</f>
        <v>0.95560325744927577</v>
      </c>
      <c r="IE24" s="717">
        <f>HU24/[1]Assy.Model!HU24</f>
        <v>0.98009848196785132</v>
      </c>
      <c r="IF24" s="717">
        <f>HV24/[1]Assy.Model!HV24</f>
        <v>1.1405936985704483</v>
      </c>
    </row>
    <row r="25" spans="2:240" s="35" customFormat="1" ht="15" customHeight="1" x14ac:dyDescent="0.25">
      <c r="B25" s="143">
        <v>3.498108371668621</v>
      </c>
      <c r="C25" s="144">
        <v>0.82688935562731936</v>
      </c>
      <c r="D25" s="145">
        <v>-1.0262030950285346</v>
      </c>
      <c r="E25" s="146">
        <v>0.74331137929035318</v>
      </c>
      <c r="F25" s="144">
        <v>0.17570555779419236</v>
      </c>
      <c r="G25" s="147">
        <v>0.6454577835751184</v>
      </c>
      <c r="H25" s="146">
        <v>0.25700000000000001</v>
      </c>
      <c r="I25" s="144">
        <v>0.41499999999999992</v>
      </c>
      <c r="J25" s="306">
        <v>2.2229999999999999</v>
      </c>
      <c r="K25" s="699" t="str">
        <f t="shared" si="199"/>
        <v>Kunckle</v>
      </c>
      <c r="M25" s="292">
        <f>IF(J25="","",J25)</f>
        <v>2.2229999999999999</v>
      </c>
      <c r="N25" s="24">
        <f>IF(M25="","",B25)</f>
        <v>3.498108371668621</v>
      </c>
      <c r="O25" s="7">
        <f>IF(M25="","",C25)</f>
        <v>0.82688935562731936</v>
      </c>
      <c r="P25" s="12">
        <f>IF(M25="","",D25)</f>
        <v>-1.0262030950285346</v>
      </c>
      <c r="Q25" s="11">
        <f t="shared" si="85"/>
        <v>13.299559096604414</v>
      </c>
      <c r="R25" s="7">
        <f>IF(M25="","",SQRT(N25^2+O25^2))</f>
        <v>3.5945108410446971</v>
      </c>
      <c r="S25" s="8">
        <f>IF(M25="","",P25)</f>
        <v>-1.0262030950285346</v>
      </c>
      <c r="T25" s="6">
        <f>IF(M25="","",X25*COS(RADIANS(W25)))</f>
        <v>0.88228059726861263</v>
      </c>
      <c r="U25" s="7">
        <f>IF(M25="","",X25*SIN(RADIANS(W25)))</f>
        <v>-3.4845500619263885</v>
      </c>
      <c r="V25" s="10">
        <f>IF(M25="","",Y25)</f>
        <v>-1.0262030950285346</v>
      </c>
      <c r="W25" s="11">
        <f t="shared" si="214"/>
        <v>284.20855896536108</v>
      </c>
      <c r="X25" s="7">
        <f>IF(M25="","",R25)</f>
        <v>3.5945108410446971</v>
      </c>
      <c r="Y25" s="9">
        <f t="shared" si="213"/>
        <v>-1.0262030950285346</v>
      </c>
      <c r="Z25" s="24">
        <f>IF(M25="","",-E25)</f>
        <v>-0.74331137929035318</v>
      </c>
      <c r="AA25" s="7">
        <f>IF(M25="","",-F25)</f>
        <v>-0.17570555779419236</v>
      </c>
      <c r="AB25" s="7">
        <f>IF(M25="","",-G25)</f>
        <v>-0.6454577835751184</v>
      </c>
      <c r="AC25" s="10">
        <f>IF(M25="","",SQRT(Z25^2+AA25^2+AB25^2))</f>
        <v>1</v>
      </c>
      <c r="AD25" s="11">
        <f>IF(M25="","",Z25*(1/SQRT(Z25^2+AA25^2+AB25^2)))</f>
        <v>-0.74331137929035318</v>
      </c>
      <c r="AE25" s="7">
        <f>IF(M25="","",AA25*(1/SQRT(Z25^2+AA25^2+AB25^2)))</f>
        <v>-0.17570555779419236</v>
      </c>
      <c r="AF25" s="12">
        <f>IF(M25="","",AB25*(1/SQRT(Z25^2+AA25^2+AB25^2)))</f>
        <v>-0.6454577835751184</v>
      </c>
      <c r="AG25" s="6">
        <f>IF(M25="","",DEGREES(ATAN2(-AF25,AE25)))</f>
        <v>-15.227983456485958</v>
      </c>
      <c r="AH25" s="12">
        <f>IF(M25="","",DEGREES(ACOS(AD25)))</f>
        <v>138.01426350841427</v>
      </c>
      <c r="AI25" s="11">
        <f>IF(M25="","",DEGREES(-ACOS(-AF25)))</f>
        <v>-49.799992809771894</v>
      </c>
      <c r="AJ25" s="8">
        <f>IF(M25="","",DEGREES(ATAN2(-AE25,AD25)))</f>
        <v>-76.700423890487315</v>
      </c>
      <c r="AK25" s="6">
        <f>IF(M25="","",(COS(RADIANS((90-$Q$8)-W25))*AD25)+(-SIN(RADIANS((90-$Q$8)-W25))*AE25))</f>
        <v>2.2679489655730301E-7</v>
      </c>
      <c r="AL25" s="7">
        <f>IF(M25="","",(SIN(RADIANS((90-$Q$8)-W25))*AD25)+(COS(RADIANS((90-$Q$8)-W25))*AE25))</f>
        <v>-0.76379594763408121</v>
      </c>
      <c r="AM25" s="8">
        <f>IF(M25="","",AF25)</f>
        <v>-0.6454577835751184</v>
      </c>
      <c r="AN25" s="6">
        <f>IF(M25="","",DEGREES(ATAN2(-AM25,AL25)))</f>
        <v>-49.79999280977065</v>
      </c>
      <c r="AO25" s="10">
        <f t="shared" si="3"/>
        <v>0</v>
      </c>
      <c r="AP25" s="11">
        <f>IF(M25="","",DEGREES(ATAN2(AK25,AL25)))</f>
        <v>-89.999982987091741</v>
      </c>
      <c r="AQ25" s="8">
        <f t="shared" si="200"/>
        <v>0.63425034687436177</v>
      </c>
      <c r="AS25" s="123">
        <f t="shared" si="90"/>
        <v>-75.791441034638922</v>
      </c>
      <c r="AT25" s="174">
        <f>IF(M25="","",Y25+(((AS25-$AS$9)*$AS$6)*-1))</f>
        <v>-0.97293889995673211</v>
      </c>
      <c r="AV25" s="292" t="str">
        <f t="shared" si="91"/>
        <v/>
      </c>
      <c r="AW25" s="439"/>
      <c r="AX25" s="440"/>
      <c r="AY25" s="442"/>
      <c r="AZ25" s="565" t="str">
        <f t="shared" si="92"/>
        <v/>
      </c>
      <c r="BA25" s="564" t="str">
        <f t="shared" si="93"/>
        <v/>
      </c>
      <c r="BB25" s="444" t="str">
        <f t="shared" si="94"/>
        <v/>
      </c>
      <c r="BC25" s="11"/>
      <c r="BD25" s="7" t="str">
        <f t="shared" si="95"/>
        <v/>
      </c>
      <c r="BE25" s="8" t="str">
        <f t="shared" si="96"/>
        <v/>
      </c>
      <c r="BF25" s="6" t="str">
        <f t="shared" si="97"/>
        <v/>
      </c>
      <c r="BG25" s="7" t="str">
        <f t="shared" si="98"/>
        <v/>
      </c>
      <c r="BH25" s="12" t="str">
        <f t="shared" si="99"/>
        <v/>
      </c>
      <c r="BI25" s="11" t="str">
        <f t="shared" si="100"/>
        <v/>
      </c>
      <c r="BJ25" s="7" t="str">
        <f t="shared" si="101"/>
        <v/>
      </c>
      <c r="BK25" s="10" t="str">
        <f t="shared" si="102"/>
        <v/>
      </c>
      <c r="BL25" s="328" t="str">
        <f t="shared" si="103"/>
        <v/>
      </c>
      <c r="BM25" s="7" t="str">
        <f t="shared" si="104"/>
        <v/>
      </c>
      <c r="BN25" s="8" t="str">
        <f t="shared" si="105"/>
        <v/>
      </c>
      <c r="BO25" s="6" t="str">
        <f t="shared" si="106"/>
        <v/>
      </c>
      <c r="BP25" s="7" t="str">
        <f t="shared" si="107"/>
        <v/>
      </c>
      <c r="BQ25" s="7" t="str">
        <f t="shared" si="108"/>
        <v/>
      </c>
      <c r="BR25" s="8" t="str">
        <f t="shared" si="109"/>
        <v/>
      </c>
      <c r="BS25" s="6" t="str">
        <f t="shared" si="69"/>
        <v/>
      </c>
      <c r="BT25" s="7" t="str">
        <f t="shared" si="69"/>
        <v/>
      </c>
      <c r="BU25" s="12" t="str">
        <f t="shared" si="70"/>
        <v/>
      </c>
      <c r="BV25" s="11" t="str">
        <f t="shared" si="71"/>
        <v/>
      </c>
      <c r="BW25" s="7" t="str">
        <f t="shared" si="72"/>
        <v/>
      </c>
      <c r="BX25" s="10" t="str">
        <f t="shared" si="73"/>
        <v/>
      </c>
      <c r="BY25" s="328" t="str">
        <f t="shared" si="74"/>
        <v/>
      </c>
      <c r="BZ25" s="7" t="str">
        <f t="shared" si="75"/>
        <v/>
      </c>
      <c r="CA25" s="8" t="str">
        <f t="shared" si="76"/>
        <v/>
      </c>
      <c r="CB25" s="6" t="str">
        <f t="shared" si="110"/>
        <v/>
      </c>
      <c r="CC25" s="7" t="str">
        <f t="shared" si="111"/>
        <v/>
      </c>
      <c r="CD25" s="7" t="str">
        <f t="shared" si="112"/>
        <v/>
      </c>
      <c r="CE25" s="8" t="str">
        <f t="shared" si="113"/>
        <v/>
      </c>
      <c r="CF25" s="6" t="str">
        <f t="shared" si="114"/>
        <v/>
      </c>
      <c r="CG25" s="7" t="str">
        <f t="shared" si="115"/>
        <v/>
      </c>
      <c r="CH25" s="7" t="str">
        <f t="shared" si="116"/>
        <v/>
      </c>
      <c r="CI25" s="6" t="str">
        <f t="shared" si="77"/>
        <v/>
      </c>
      <c r="CJ25" s="7" t="str">
        <f t="shared" si="78"/>
        <v/>
      </c>
      <c r="CK25" s="10" t="str">
        <f t="shared" si="79"/>
        <v/>
      </c>
      <c r="CL25" s="328" t="str">
        <f t="shared" si="80"/>
        <v/>
      </c>
      <c r="CM25" s="7" t="str">
        <f t="shared" si="81"/>
        <v/>
      </c>
      <c r="CN25" s="8" t="str">
        <f t="shared" si="82"/>
        <v/>
      </c>
      <c r="CO25" s="296" t="str">
        <f t="shared" si="201"/>
        <v/>
      </c>
      <c r="CP25" s="6" t="str">
        <f t="shared" si="202"/>
        <v/>
      </c>
      <c r="CQ25" s="7" t="str">
        <f t="shared" si="203"/>
        <v/>
      </c>
      <c r="CR25" s="7" t="str">
        <f t="shared" si="117"/>
        <v/>
      </c>
      <c r="CS25" s="10" t="str">
        <f t="shared" si="118"/>
        <v/>
      </c>
      <c r="CT25" s="11" t="str">
        <f t="shared" si="119"/>
        <v/>
      </c>
      <c r="CU25" s="8" t="str">
        <f t="shared" si="120"/>
        <v/>
      </c>
      <c r="CV25" s="6" t="str">
        <f t="shared" si="204"/>
        <v/>
      </c>
      <c r="CW25" s="7" t="str">
        <f t="shared" si="121"/>
        <v/>
      </c>
      <c r="CX25" s="10" t="str">
        <f t="shared" si="122"/>
        <v/>
      </c>
      <c r="CY25" s="11" t="str">
        <f t="shared" si="123"/>
        <v/>
      </c>
      <c r="CZ25" s="7" t="str">
        <f t="shared" si="124"/>
        <v/>
      </c>
      <c r="DA25" s="8" t="str">
        <f t="shared" si="125"/>
        <v/>
      </c>
      <c r="DB25" s="6" t="str">
        <f t="shared" si="126"/>
        <v/>
      </c>
      <c r="DC25" s="7" t="str">
        <f t="shared" si="126"/>
        <v/>
      </c>
      <c r="DD25" s="12" t="str">
        <f t="shared" si="127"/>
        <v/>
      </c>
      <c r="DE25" s="11" t="str">
        <f t="shared" si="128"/>
        <v/>
      </c>
      <c r="DF25" s="7" t="str">
        <f t="shared" si="128"/>
        <v/>
      </c>
      <c r="DG25" s="12" t="str">
        <f t="shared" si="129"/>
        <v/>
      </c>
      <c r="DH25" s="174" t="str">
        <f t="shared" si="130"/>
        <v/>
      </c>
      <c r="DI25" s="6" t="str">
        <f t="shared" si="131"/>
        <v/>
      </c>
      <c r="DJ25" s="7" t="str">
        <f t="shared" si="132"/>
        <v/>
      </c>
      <c r="DK25" s="12" t="str">
        <f t="shared" si="133"/>
        <v/>
      </c>
      <c r="DL25" s="11" t="str">
        <f t="shared" si="134"/>
        <v/>
      </c>
      <c r="DM25" s="328" t="str">
        <f t="shared" si="135"/>
        <v/>
      </c>
      <c r="DN25" s="376" t="str">
        <f t="shared" si="136"/>
        <v/>
      </c>
      <c r="DO25" s="11" t="str">
        <f t="shared" si="137"/>
        <v/>
      </c>
      <c r="DP25" s="328" t="str">
        <f t="shared" si="138"/>
        <v/>
      </c>
      <c r="DQ25" s="13" t="str">
        <f t="shared" si="139"/>
        <v/>
      </c>
      <c r="DR25" s="328" t="str">
        <f t="shared" si="140"/>
        <v/>
      </c>
      <c r="DS25" s="7" t="str">
        <f t="shared" si="141"/>
        <v/>
      </c>
      <c r="DT25" s="7" t="str">
        <f t="shared" si="142"/>
        <v/>
      </c>
      <c r="DU25" s="7" t="str">
        <f t="shared" si="143"/>
        <v/>
      </c>
      <c r="DV25" s="7" t="str">
        <f t="shared" si="144"/>
        <v/>
      </c>
      <c r="DW25" s="7" t="str">
        <f t="shared" si="145"/>
        <v/>
      </c>
      <c r="DX25" s="296" t="str">
        <f t="shared" si="146"/>
        <v/>
      </c>
      <c r="DY25" s="11" t="str">
        <f t="shared" si="147"/>
        <v/>
      </c>
      <c r="DZ25" s="7" t="str">
        <f t="shared" si="148"/>
        <v/>
      </c>
      <c r="EA25" s="12" t="str">
        <f t="shared" si="149"/>
        <v/>
      </c>
      <c r="EB25" s="8" t="str">
        <f t="shared" si="150"/>
        <v/>
      </c>
      <c r="EC25" s="328" t="str">
        <f t="shared" si="151"/>
        <v/>
      </c>
      <c r="ED25" s="7" t="str">
        <f t="shared" si="152"/>
        <v/>
      </c>
      <c r="EE25" s="6" t="str">
        <f t="shared" si="153"/>
        <v/>
      </c>
      <c r="EF25" s="7" t="str">
        <f t="shared" si="154"/>
        <v/>
      </c>
      <c r="EG25" s="12" t="str">
        <f t="shared" si="155"/>
        <v/>
      </c>
      <c r="EH25" s="11" t="str">
        <f t="shared" si="156"/>
        <v/>
      </c>
      <c r="EI25" s="7" t="str">
        <f t="shared" si="157"/>
        <v/>
      </c>
      <c r="EJ25" s="8" t="str">
        <f t="shared" si="158"/>
        <v/>
      </c>
      <c r="EK25" s="491" t="str">
        <f t="shared" si="159"/>
        <v/>
      </c>
      <c r="EL25" s="493" t="str">
        <f t="shared" si="160"/>
        <v/>
      </c>
      <c r="EM25" s="6" t="str">
        <f t="shared" si="161"/>
        <v/>
      </c>
      <c r="EN25" s="7" t="str">
        <f t="shared" si="162"/>
        <v/>
      </c>
      <c r="EO25" s="12" t="str">
        <f t="shared" si="163"/>
        <v/>
      </c>
      <c r="EP25" s="11" t="str">
        <f t="shared" si="164"/>
        <v/>
      </c>
      <c r="EQ25" s="7" t="str">
        <f t="shared" si="165"/>
        <v/>
      </c>
      <c r="ER25" s="9" t="str">
        <f t="shared" si="166"/>
        <v/>
      </c>
      <c r="ES25" s="24" t="str">
        <f t="shared" si="167"/>
        <v/>
      </c>
      <c r="ET25" s="7" t="str">
        <f t="shared" si="168"/>
        <v/>
      </c>
      <c r="EU25" s="12" t="str">
        <f t="shared" si="169"/>
        <v/>
      </c>
      <c r="EV25" s="337" t="str">
        <f t="shared" si="15"/>
        <v/>
      </c>
      <c r="EW25" s="11" t="str">
        <f t="shared" si="16"/>
        <v/>
      </c>
      <c r="EX25" s="7" t="str">
        <f t="shared" si="17"/>
        <v/>
      </c>
      <c r="EY25" s="8" t="str">
        <f t="shared" si="170"/>
        <v/>
      </c>
      <c r="EZ25" s="123" t="str">
        <f t="shared" si="171"/>
        <v/>
      </c>
      <c r="FA25" s="534" t="str">
        <f t="shared" si="18"/>
        <v/>
      </c>
      <c r="FB25" s="535" t="str">
        <f t="shared" si="19"/>
        <v/>
      </c>
      <c r="FC25" s="537" t="str">
        <f t="shared" si="20"/>
        <v/>
      </c>
      <c r="FD25" s="6" t="str">
        <f t="shared" si="21"/>
        <v/>
      </c>
      <c r="FE25" s="7" t="str">
        <f t="shared" si="22"/>
        <v/>
      </c>
      <c r="FF25" s="9" t="str">
        <f t="shared" si="172"/>
        <v/>
      </c>
      <c r="FG25" s="328" t="str">
        <f t="shared" si="23"/>
        <v/>
      </c>
      <c r="FH25" s="7" t="str">
        <f t="shared" si="24"/>
        <v/>
      </c>
      <c r="FI25" s="12" t="str">
        <f t="shared" si="25"/>
        <v/>
      </c>
      <c r="FJ25" s="547" t="str">
        <f t="shared" si="173"/>
        <v/>
      </c>
      <c r="FK25" s="6" t="str">
        <f t="shared" si="26"/>
        <v/>
      </c>
      <c r="FL25" s="7" t="str">
        <f t="shared" si="174"/>
        <v/>
      </c>
      <c r="FM25" s="10" t="str">
        <f t="shared" si="175"/>
        <v/>
      </c>
      <c r="FN25" s="11" t="str">
        <f t="shared" si="176"/>
        <v/>
      </c>
      <c r="FO25" s="12" t="str">
        <f t="shared" si="27"/>
        <v/>
      </c>
      <c r="FP25" s="545" t="str">
        <f t="shared" si="28"/>
        <v/>
      </c>
      <c r="FQ25" s="328" t="str">
        <f t="shared" si="205"/>
        <v/>
      </c>
      <c r="FR25" s="12" t="str">
        <f t="shared" si="177"/>
        <v/>
      </c>
      <c r="FS25" s="11" t="str">
        <f t="shared" si="178"/>
        <v/>
      </c>
      <c r="FT25" s="8" t="str">
        <f t="shared" si="179"/>
        <v/>
      </c>
      <c r="FU25" s="6" t="str">
        <f t="shared" si="180"/>
        <v/>
      </c>
      <c r="FV25" s="7" t="str">
        <f t="shared" si="181"/>
        <v/>
      </c>
      <c r="FW25" s="10" t="str">
        <f t="shared" si="206"/>
        <v/>
      </c>
      <c r="FX25" s="11" t="str">
        <f t="shared" si="207"/>
        <v/>
      </c>
      <c r="FY25" s="12" t="str">
        <f t="shared" si="29"/>
        <v/>
      </c>
      <c r="FZ25" s="545" t="str">
        <f t="shared" si="208"/>
        <v/>
      </c>
      <c r="GA25" s="372" t="str">
        <f t="shared" si="182"/>
        <v/>
      </c>
      <c r="GB25" s="46" t="str">
        <f t="shared" si="183"/>
        <v/>
      </c>
      <c r="GC25" s="47" t="str">
        <f t="shared" si="184"/>
        <v/>
      </c>
      <c r="GD25" s="578" t="str">
        <f t="shared" si="185"/>
        <v/>
      </c>
      <c r="GE25" s="585" t="str">
        <f t="shared" si="186"/>
        <v/>
      </c>
      <c r="GF25" s="634" t="str">
        <f t="shared" si="209"/>
        <v/>
      </c>
      <c r="GG25" s="553" t="str">
        <f t="shared" si="30"/>
        <v/>
      </c>
      <c r="GH25" s="554" t="str">
        <f t="shared" si="31"/>
        <v/>
      </c>
      <c r="GI25" s="549" t="str">
        <f t="shared" si="32"/>
        <v/>
      </c>
      <c r="GJ25" s="296" t="str">
        <f t="shared" si="187"/>
        <v/>
      </c>
      <c r="GK25" s="337" t="str">
        <f t="shared" si="33"/>
        <v/>
      </c>
      <c r="GL25" s="337" t="str">
        <f t="shared" si="188"/>
        <v/>
      </c>
      <c r="GM25" s="372" t="str">
        <f t="shared" si="210"/>
        <v/>
      </c>
      <c r="GN25" s="548" t="str">
        <f t="shared" si="189"/>
        <v/>
      </c>
      <c r="GO25" s="6" t="str">
        <f t="shared" si="190"/>
        <v/>
      </c>
      <c r="GP25" s="10" t="str">
        <f t="shared" si="211"/>
        <v/>
      </c>
      <c r="GQ25" s="372" t="str">
        <f t="shared" si="191"/>
        <v/>
      </c>
      <c r="GR25" s="697" t="str">
        <f t="shared" si="212"/>
        <v/>
      </c>
      <c r="GS25" s="637" t="str">
        <f t="shared" si="35"/>
        <v/>
      </c>
      <c r="GT25" s="638" t="str">
        <f t="shared" si="36"/>
        <v/>
      </c>
      <c r="GU25" s="639" t="str">
        <f t="shared" si="37"/>
        <v/>
      </c>
      <c r="GV25" s="638" t="str">
        <f t="shared" si="192"/>
        <v/>
      </c>
      <c r="GW25" s="640" t="str">
        <f t="shared" si="38"/>
        <v/>
      </c>
      <c r="GX25" s="641" t="str">
        <f t="shared" si="39"/>
        <v/>
      </c>
      <c r="GY25" s="639" t="str">
        <f t="shared" si="40"/>
        <v/>
      </c>
      <c r="GZ25" s="640" t="str">
        <f t="shared" si="41"/>
        <v/>
      </c>
      <c r="HA25" s="637" t="str">
        <f t="shared" si="42"/>
        <v/>
      </c>
      <c r="HB25" s="7" t="str">
        <f t="shared" si="193"/>
        <v/>
      </c>
      <c r="HC25" s="638" t="str">
        <f t="shared" si="194"/>
        <v/>
      </c>
      <c r="HD25" s="682" t="str">
        <f t="shared" si="195"/>
        <v/>
      </c>
      <c r="HE25" s="639" t="str">
        <f t="shared" si="43"/>
        <v/>
      </c>
      <c r="HF25" s="7" t="str">
        <f t="shared" si="44"/>
        <v/>
      </c>
      <c r="HG25" s="638" t="str">
        <f t="shared" si="196"/>
        <v/>
      </c>
      <c r="HH25" s="644" t="str">
        <f t="shared" si="197"/>
        <v/>
      </c>
      <c r="HI25" s="596" t="str">
        <f t="shared" si="198"/>
        <v/>
      </c>
      <c r="HJ25" s="625"/>
      <c r="HK25" s="1232">
        <f t="shared" si="83"/>
        <v>17</v>
      </c>
      <c r="HL25" s="583">
        <f t="shared" si="84"/>
        <v>3.1865000000000001</v>
      </c>
      <c r="HM25" s="643">
        <f t="shared" si="215"/>
        <v>2.117</v>
      </c>
      <c r="HN25" s="660">
        <f t="shared" si="215"/>
        <v>12.776912606542679</v>
      </c>
      <c r="HO25" s="661">
        <f t="shared" si="215"/>
        <v>11.429890553079552</v>
      </c>
      <c r="HP25" s="656">
        <f t="shared" si="215"/>
        <v>16.876256101198084</v>
      </c>
      <c r="HQ25" s="660">
        <f t="shared" si="215"/>
        <v>3.04E-2</v>
      </c>
      <c r="HR25" s="671">
        <f t="shared" si="215"/>
        <v>5.0304088361019648E-2</v>
      </c>
      <c r="HS25" s="655">
        <f t="shared" si="215"/>
        <v>4224.2971374563958</v>
      </c>
      <c r="HT25" s="648">
        <f t="shared" si="215"/>
        <v>667.98595002453726</v>
      </c>
      <c r="HU25" s="649">
        <f t="shared" si="215"/>
        <v>2945.6446883994117</v>
      </c>
      <c r="HV25" s="650">
        <f t="shared" si="215"/>
        <v>610.66649903244706</v>
      </c>
      <c r="HW25" s="648">
        <f t="shared" si="215"/>
        <v>400.33257365161836</v>
      </c>
      <c r="HX25" s="649">
        <f t="shared" si="215"/>
        <v>1765.3627581939991</v>
      </c>
      <c r="HY25" s="650">
        <f t="shared" si="215"/>
        <v>365.98028924336342</v>
      </c>
      <c r="HZ25" s="648">
        <f t="shared" si="215"/>
        <v>58071.143361644703</v>
      </c>
      <c r="IA25" s="649">
        <f t="shared" si="215"/>
        <v>468.77736908209818</v>
      </c>
      <c r="IB25" s="716"/>
      <c r="IC25" s="717">
        <f>HS25/[1]Assy.Model!HS25</f>
        <v>1.0159761982998952</v>
      </c>
      <c r="ID25" s="717">
        <f>HT25/[1]Assy.Model!HT25</f>
        <v>0.98432212423621146</v>
      </c>
      <c r="IE25" s="717">
        <f>HU25/[1]Assy.Model!HU25</f>
        <v>0.99690397468491898</v>
      </c>
      <c r="IF25" s="717">
        <f>HV25/[1]Assy.Model!HV25</f>
        <v>1.1643896333104982</v>
      </c>
    </row>
    <row r="26" spans="2:240" s="35" customFormat="1" ht="15" customHeight="1" x14ac:dyDescent="0.25">
      <c r="B26" s="143">
        <v>3.6090590249678876</v>
      </c>
      <c r="C26" s="144">
        <v>0.82660867064266486</v>
      </c>
      <c r="D26" s="145">
        <v>-1.8285055147726326</v>
      </c>
      <c r="E26" s="146">
        <v>0.97475974411225386</v>
      </c>
      <c r="F26" s="144">
        <v>0.22325644729360483</v>
      </c>
      <c r="G26" s="147">
        <v>2.2679489701100133E-7</v>
      </c>
      <c r="H26" s="146">
        <v>0.25700000000000001</v>
      </c>
      <c r="I26" s="144">
        <v>0.41499999999999992</v>
      </c>
      <c r="J26" s="306">
        <v>2.2290000000000001</v>
      </c>
      <c r="K26" s="699" t="str">
        <f t="shared" si="199"/>
        <v>Kunckle</v>
      </c>
      <c r="M26" s="292">
        <f>IF(J26="","",J26)</f>
        <v>2.2290000000000001</v>
      </c>
      <c r="N26" s="24">
        <f>IF(M26="","",B26)</f>
        <v>3.6090590249678876</v>
      </c>
      <c r="O26" s="7">
        <f>IF(M26="","",C26)</f>
        <v>0.82660867064266486</v>
      </c>
      <c r="P26" s="12">
        <f>IF(M26="","",D26)</f>
        <v>-1.8285055147726326</v>
      </c>
      <c r="Q26" s="11">
        <f t="shared" si="85"/>
        <v>12.900359154241757</v>
      </c>
      <c r="R26" s="7">
        <f>IF(M26="","",SQRT(N26^2+O26^2))</f>
        <v>3.7025111667736792</v>
      </c>
      <c r="S26" s="8">
        <f>IF(M26="","",P26)</f>
        <v>-1.8285055147726326</v>
      </c>
      <c r="T26" s="6">
        <f>IF(M26="","",X26*COS(RADIANS(W26)))</f>
        <v>0.88376011038679803</v>
      </c>
      <c r="U26" s="7">
        <f>IF(M26="","",X26*SIN(RADIANS(W26)))</f>
        <v>-3.5954912052976722</v>
      </c>
      <c r="V26" s="10">
        <f>IF(M26="","",Y26)</f>
        <v>-1.8285055147726326</v>
      </c>
      <c r="W26" s="11">
        <f t="shared" si="214"/>
        <v>283.80935902299842</v>
      </c>
      <c r="X26" s="7">
        <f>IF(M26="","",R26)</f>
        <v>3.7025111667736792</v>
      </c>
      <c r="Y26" s="9">
        <f t="shared" si="213"/>
        <v>-1.8285055147726326</v>
      </c>
      <c r="Z26" s="24">
        <f>IF(M26="","",-E26)</f>
        <v>-0.97475974411225386</v>
      </c>
      <c r="AA26" s="7">
        <f>IF(M26="","",-F26)</f>
        <v>-0.22325644729360483</v>
      </c>
      <c r="AB26" s="7">
        <f>IF(M26="","",-G26)</f>
        <v>-2.2679489701100133E-7</v>
      </c>
      <c r="AC26" s="10">
        <f>IF(M26="","",SQRT(Z26^2+AA26^2+AB26^2))</f>
        <v>1</v>
      </c>
      <c r="AD26" s="11">
        <f>IF(M26="","",Z26*(1/SQRT(Z26^2+AA26^2+AB26^2)))</f>
        <v>-0.97475974411225386</v>
      </c>
      <c r="AE26" s="7">
        <f>IF(M26="","",AA26*(1/SQRT(Z26^2+AA26^2+AB26^2)))</f>
        <v>-0.22325644729360483</v>
      </c>
      <c r="AF26" s="12">
        <f>IF(M26="","",AB26*(1/SQRT(Z26^2+AA26^2+AB26^2)))</f>
        <v>-2.2679489701100133E-7</v>
      </c>
      <c r="AG26" s="6">
        <f>IF(M26="","",DEGREES(ATAN2(-AF26,AE26)))</f>
        <v>-89.99994179612473</v>
      </c>
      <c r="AH26" s="12">
        <f>IF(M26="","",DEGREES(ACOS(AD26)))</f>
        <v>167.09962785136142</v>
      </c>
      <c r="AI26" s="11">
        <f>IF(M26="","",DEGREES(-ACOS(-AF26)))</f>
        <v>-89.999987005609583</v>
      </c>
      <c r="AJ26" s="8">
        <f>IF(M26="","",DEGREES(ATAN2(-AE26,AD26)))</f>
        <v>-77.099627851367856</v>
      </c>
      <c r="AK26" s="6">
        <f>IF(M26="","",(COS(RADIANS((90-$Q$8)-W26))*AD26)+(-SIN(RADIANS((90-$Q$8)-W26))*AE26))</f>
        <v>2.2679489672383646E-7</v>
      </c>
      <c r="AL26" s="7">
        <f>IF(M26="","",(SIN(RADIANS((90-$Q$8)-W26))*AD26)+(COS(RADIANS((90-$Q$8)-W26))*AE26))</f>
        <v>-0.9999999999999486</v>
      </c>
      <c r="AM26" s="8">
        <f>IF(M26="","",AF26)</f>
        <v>-2.2679489701100133E-7</v>
      </c>
      <c r="AN26" s="6">
        <f>IF(M26="","",DEGREES(ATAN2(-AM26,AL26)))</f>
        <v>-89.999987005609597</v>
      </c>
      <c r="AO26" s="10">
        <f t="shared" si="3"/>
        <v>0</v>
      </c>
      <c r="AP26" s="11">
        <f>IF(M26="","",DEGREES(ATAN2(AK26,AL26)))</f>
        <v>-89.999987005609611</v>
      </c>
      <c r="AQ26" s="8">
        <f t="shared" si="200"/>
        <v>0.61574814815849221</v>
      </c>
      <c r="AS26" s="123">
        <f t="shared" si="90"/>
        <v>-76.190640977001578</v>
      </c>
      <c r="AT26" s="174">
        <f>IF(M26="","",Y26+(((AS26-$AS$9)*$AS$6)*-1))</f>
        <v>-1.7749640975186338</v>
      </c>
      <c r="AV26" s="292" t="str">
        <f t="shared" si="91"/>
        <v/>
      </c>
      <c r="AW26" s="439"/>
      <c r="AX26" s="440"/>
      <c r="AY26" s="442"/>
      <c r="AZ26" s="565" t="str">
        <f t="shared" si="92"/>
        <v/>
      </c>
      <c r="BA26" s="564" t="str">
        <f t="shared" si="93"/>
        <v/>
      </c>
      <c r="BB26" s="444" t="str">
        <f t="shared" si="94"/>
        <v/>
      </c>
      <c r="BC26" s="11"/>
      <c r="BD26" s="7" t="str">
        <f t="shared" si="95"/>
        <v/>
      </c>
      <c r="BE26" s="8" t="str">
        <f t="shared" si="96"/>
        <v/>
      </c>
      <c r="BF26" s="6" t="str">
        <f t="shared" si="97"/>
        <v/>
      </c>
      <c r="BG26" s="7" t="str">
        <f t="shared" si="98"/>
        <v/>
      </c>
      <c r="BH26" s="12" t="str">
        <f t="shared" si="99"/>
        <v/>
      </c>
      <c r="BI26" s="11" t="str">
        <f t="shared" si="100"/>
        <v/>
      </c>
      <c r="BJ26" s="7" t="str">
        <f t="shared" si="101"/>
        <v/>
      </c>
      <c r="BK26" s="10" t="str">
        <f t="shared" si="102"/>
        <v/>
      </c>
      <c r="BL26" s="328" t="str">
        <f t="shared" si="103"/>
        <v/>
      </c>
      <c r="BM26" s="7" t="str">
        <f t="shared" si="104"/>
        <v/>
      </c>
      <c r="BN26" s="8" t="str">
        <f t="shared" si="105"/>
        <v/>
      </c>
      <c r="BO26" s="6" t="str">
        <f t="shared" si="106"/>
        <v/>
      </c>
      <c r="BP26" s="7" t="str">
        <f t="shared" si="107"/>
        <v/>
      </c>
      <c r="BQ26" s="7" t="str">
        <f t="shared" si="108"/>
        <v/>
      </c>
      <c r="BR26" s="8" t="str">
        <f t="shared" si="109"/>
        <v/>
      </c>
      <c r="BS26" s="6" t="str">
        <f t="shared" si="69"/>
        <v/>
      </c>
      <c r="BT26" s="7" t="str">
        <f t="shared" si="69"/>
        <v/>
      </c>
      <c r="BU26" s="12" t="str">
        <f t="shared" si="70"/>
        <v/>
      </c>
      <c r="BV26" s="11" t="str">
        <f t="shared" si="71"/>
        <v/>
      </c>
      <c r="BW26" s="7" t="str">
        <f t="shared" si="72"/>
        <v/>
      </c>
      <c r="BX26" s="10" t="str">
        <f t="shared" si="73"/>
        <v/>
      </c>
      <c r="BY26" s="328" t="str">
        <f t="shared" si="74"/>
        <v/>
      </c>
      <c r="BZ26" s="7" t="str">
        <f t="shared" si="75"/>
        <v/>
      </c>
      <c r="CA26" s="8" t="str">
        <f t="shared" si="76"/>
        <v/>
      </c>
      <c r="CB26" s="6" t="str">
        <f t="shared" si="110"/>
        <v/>
      </c>
      <c r="CC26" s="7" t="str">
        <f t="shared" si="111"/>
        <v/>
      </c>
      <c r="CD26" s="7" t="str">
        <f t="shared" si="112"/>
        <v/>
      </c>
      <c r="CE26" s="8" t="str">
        <f t="shared" si="113"/>
        <v/>
      </c>
      <c r="CF26" s="6" t="str">
        <f t="shared" si="114"/>
        <v/>
      </c>
      <c r="CG26" s="7" t="str">
        <f t="shared" si="115"/>
        <v/>
      </c>
      <c r="CH26" s="7" t="str">
        <f t="shared" si="116"/>
        <v/>
      </c>
      <c r="CI26" s="6" t="str">
        <f t="shared" si="77"/>
        <v/>
      </c>
      <c r="CJ26" s="7" t="str">
        <f t="shared" si="78"/>
        <v/>
      </c>
      <c r="CK26" s="10" t="str">
        <f t="shared" si="79"/>
        <v/>
      </c>
      <c r="CL26" s="328" t="str">
        <f t="shared" si="80"/>
        <v/>
      </c>
      <c r="CM26" s="7" t="str">
        <f t="shared" si="81"/>
        <v/>
      </c>
      <c r="CN26" s="8" t="str">
        <f t="shared" si="82"/>
        <v/>
      </c>
      <c r="CO26" s="296" t="str">
        <f t="shared" si="201"/>
        <v/>
      </c>
      <c r="CP26" s="6" t="str">
        <f t="shared" si="202"/>
        <v/>
      </c>
      <c r="CQ26" s="7" t="str">
        <f t="shared" si="203"/>
        <v/>
      </c>
      <c r="CR26" s="7" t="str">
        <f t="shared" si="117"/>
        <v/>
      </c>
      <c r="CS26" s="10" t="str">
        <f t="shared" si="118"/>
        <v/>
      </c>
      <c r="CT26" s="11" t="str">
        <f t="shared" si="119"/>
        <v/>
      </c>
      <c r="CU26" s="8" t="str">
        <f t="shared" si="120"/>
        <v/>
      </c>
      <c r="CV26" s="6" t="str">
        <f t="shared" si="204"/>
        <v/>
      </c>
      <c r="CW26" s="7" t="str">
        <f t="shared" si="121"/>
        <v/>
      </c>
      <c r="CX26" s="10" t="str">
        <f t="shared" si="122"/>
        <v/>
      </c>
      <c r="CY26" s="11" t="str">
        <f t="shared" si="123"/>
        <v/>
      </c>
      <c r="CZ26" s="7" t="str">
        <f t="shared" si="124"/>
        <v/>
      </c>
      <c r="DA26" s="8" t="str">
        <f t="shared" si="125"/>
        <v/>
      </c>
      <c r="DB26" s="6" t="str">
        <f t="shared" si="126"/>
        <v/>
      </c>
      <c r="DC26" s="7" t="str">
        <f t="shared" si="126"/>
        <v/>
      </c>
      <c r="DD26" s="12" t="str">
        <f t="shared" si="127"/>
        <v/>
      </c>
      <c r="DE26" s="11" t="str">
        <f t="shared" si="128"/>
        <v/>
      </c>
      <c r="DF26" s="7" t="str">
        <f t="shared" si="128"/>
        <v/>
      </c>
      <c r="DG26" s="12" t="str">
        <f t="shared" si="129"/>
        <v/>
      </c>
      <c r="DH26" s="174" t="str">
        <f t="shared" si="130"/>
        <v/>
      </c>
      <c r="DI26" s="6" t="str">
        <f t="shared" si="131"/>
        <v/>
      </c>
      <c r="DJ26" s="7" t="str">
        <f t="shared" si="132"/>
        <v/>
      </c>
      <c r="DK26" s="12" t="str">
        <f t="shared" si="133"/>
        <v/>
      </c>
      <c r="DL26" s="11" t="str">
        <f t="shared" si="134"/>
        <v/>
      </c>
      <c r="DM26" s="328" t="str">
        <f t="shared" si="135"/>
        <v/>
      </c>
      <c r="DN26" s="376" t="str">
        <f t="shared" si="136"/>
        <v/>
      </c>
      <c r="DO26" s="11" t="str">
        <f t="shared" si="137"/>
        <v/>
      </c>
      <c r="DP26" s="328" t="str">
        <f t="shared" si="138"/>
        <v/>
      </c>
      <c r="DQ26" s="13" t="str">
        <f t="shared" si="139"/>
        <v/>
      </c>
      <c r="DR26" s="328" t="str">
        <f t="shared" si="140"/>
        <v/>
      </c>
      <c r="DS26" s="7" t="str">
        <f t="shared" si="141"/>
        <v/>
      </c>
      <c r="DT26" s="7" t="str">
        <f t="shared" si="142"/>
        <v/>
      </c>
      <c r="DU26" s="7" t="str">
        <f t="shared" si="143"/>
        <v/>
      </c>
      <c r="DV26" s="7" t="str">
        <f t="shared" si="144"/>
        <v/>
      </c>
      <c r="DW26" s="7" t="str">
        <f t="shared" si="145"/>
        <v/>
      </c>
      <c r="DX26" s="296" t="str">
        <f t="shared" si="146"/>
        <v/>
      </c>
      <c r="DY26" s="11" t="str">
        <f t="shared" si="147"/>
        <v/>
      </c>
      <c r="DZ26" s="7" t="str">
        <f t="shared" si="148"/>
        <v/>
      </c>
      <c r="EA26" s="12" t="str">
        <f t="shared" si="149"/>
        <v/>
      </c>
      <c r="EB26" s="8" t="str">
        <f t="shared" si="150"/>
        <v/>
      </c>
      <c r="EC26" s="328" t="str">
        <f t="shared" si="151"/>
        <v/>
      </c>
      <c r="ED26" s="7" t="str">
        <f t="shared" si="152"/>
        <v/>
      </c>
      <c r="EE26" s="6" t="str">
        <f t="shared" si="153"/>
        <v/>
      </c>
      <c r="EF26" s="7" t="str">
        <f t="shared" si="154"/>
        <v/>
      </c>
      <c r="EG26" s="12" t="str">
        <f t="shared" si="155"/>
        <v/>
      </c>
      <c r="EH26" s="11" t="str">
        <f t="shared" si="156"/>
        <v/>
      </c>
      <c r="EI26" s="7" t="str">
        <f t="shared" si="157"/>
        <v/>
      </c>
      <c r="EJ26" s="8" t="str">
        <f t="shared" si="158"/>
        <v/>
      </c>
      <c r="EK26" s="491" t="str">
        <f t="shared" si="159"/>
        <v/>
      </c>
      <c r="EL26" s="493" t="str">
        <f t="shared" si="160"/>
        <v/>
      </c>
      <c r="EM26" s="6" t="str">
        <f t="shared" si="161"/>
        <v/>
      </c>
      <c r="EN26" s="7" t="str">
        <f t="shared" si="162"/>
        <v/>
      </c>
      <c r="EO26" s="12" t="str">
        <f t="shared" si="163"/>
        <v/>
      </c>
      <c r="EP26" s="11" t="str">
        <f t="shared" si="164"/>
        <v/>
      </c>
      <c r="EQ26" s="7" t="str">
        <f t="shared" si="165"/>
        <v/>
      </c>
      <c r="ER26" s="9" t="str">
        <f t="shared" si="166"/>
        <v/>
      </c>
      <c r="ES26" s="24" t="str">
        <f t="shared" si="167"/>
        <v/>
      </c>
      <c r="ET26" s="7" t="str">
        <f t="shared" si="168"/>
        <v/>
      </c>
      <c r="EU26" s="12" t="str">
        <f t="shared" si="169"/>
        <v/>
      </c>
      <c r="EV26" s="337" t="str">
        <f t="shared" si="15"/>
        <v/>
      </c>
      <c r="EW26" s="11" t="str">
        <f t="shared" si="16"/>
        <v/>
      </c>
      <c r="EX26" s="7" t="str">
        <f t="shared" si="17"/>
        <v/>
      </c>
      <c r="EY26" s="8" t="str">
        <f t="shared" si="170"/>
        <v/>
      </c>
      <c r="EZ26" s="123" t="str">
        <f t="shared" si="171"/>
        <v/>
      </c>
      <c r="FA26" s="534" t="str">
        <f t="shared" si="18"/>
        <v/>
      </c>
      <c r="FB26" s="535" t="str">
        <f t="shared" si="19"/>
        <v/>
      </c>
      <c r="FC26" s="537" t="str">
        <f t="shared" si="20"/>
        <v/>
      </c>
      <c r="FD26" s="6" t="str">
        <f t="shared" si="21"/>
        <v/>
      </c>
      <c r="FE26" s="7" t="str">
        <f t="shared" si="22"/>
        <v/>
      </c>
      <c r="FF26" s="9" t="str">
        <f t="shared" si="172"/>
        <v/>
      </c>
      <c r="FG26" s="328" t="str">
        <f t="shared" si="23"/>
        <v/>
      </c>
      <c r="FH26" s="7" t="str">
        <f t="shared" si="24"/>
        <v/>
      </c>
      <c r="FI26" s="12" t="str">
        <f t="shared" si="25"/>
        <v/>
      </c>
      <c r="FJ26" s="547" t="str">
        <f t="shared" si="173"/>
        <v/>
      </c>
      <c r="FK26" s="6" t="str">
        <f t="shared" si="26"/>
        <v/>
      </c>
      <c r="FL26" s="7" t="str">
        <f t="shared" si="174"/>
        <v/>
      </c>
      <c r="FM26" s="10" t="str">
        <f t="shared" si="175"/>
        <v/>
      </c>
      <c r="FN26" s="11" t="str">
        <f t="shared" si="176"/>
        <v/>
      </c>
      <c r="FO26" s="12" t="str">
        <f t="shared" si="27"/>
        <v/>
      </c>
      <c r="FP26" s="545" t="str">
        <f t="shared" si="28"/>
        <v/>
      </c>
      <c r="FQ26" s="328" t="str">
        <f t="shared" si="205"/>
        <v/>
      </c>
      <c r="FR26" s="12" t="str">
        <f t="shared" si="177"/>
        <v/>
      </c>
      <c r="FS26" s="11" t="str">
        <f>IF(ISNUMBER($AV26),FQ26/(FQ26+FR26),"")</f>
        <v/>
      </c>
      <c r="FT26" s="8" t="str">
        <f t="shared" si="179"/>
        <v/>
      </c>
      <c r="FU26" s="6" t="str">
        <f t="shared" si="180"/>
        <v/>
      </c>
      <c r="FV26" s="7" t="str">
        <f t="shared" si="181"/>
        <v/>
      </c>
      <c r="FW26" s="10" t="str">
        <f t="shared" si="206"/>
        <v/>
      </c>
      <c r="FX26" s="11" t="str">
        <f t="shared" si="207"/>
        <v/>
      </c>
      <c r="FY26" s="12" t="str">
        <f t="shared" si="29"/>
        <v/>
      </c>
      <c r="FZ26" s="545" t="str">
        <f t="shared" si="208"/>
        <v/>
      </c>
      <c r="GA26" s="372" t="str">
        <f t="shared" si="182"/>
        <v/>
      </c>
      <c r="GB26" s="46" t="str">
        <f t="shared" si="183"/>
        <v/>
      </c>
      <c r="GC26" s="47" t="str">
        <f t="shared" si="184"/>
        <v/>
      </c>
      <c r="GD26" s="578" t="str">
        <f t="shared" si="185"/>
        <v/>
      </c>
      <c r="GE26" s="585" t="str">
        <f t="shared" si="186"/>
        <v/>
      </c>
      <c r="GF26" s="634" t="str">
        <f>IF(ISNUMBER($AV26),1/GE26,"")</f>
        <v/>
      </c>
      <c r="GG26" s="553" t="str">
        <f t="shared" si="30"/>
        <v/>
      </c>
      <c r="GH26" s="554" t="str">
        <f t="shared" si="31"/>
        <v/>
      </c>
      <c r="GI26" s="549" t="str">
        <f t="shared" si="32"/>
        <v/>
      </c>
      <c r="GJ26" s="296" t="str">
        <f t="shared" si="187"/>
        <v/>
      </c>
      <c r="GK26" s="337" t="str">
        <f t="shared" si="33"/>
        <v/>
      </c>
      <c r="GL26" s="337" t="str">
        <f t="shared" si="188"/>
        <v/>
      </c>
      <c r="GM26" s="372" t="str">
        <f t="shared" si="210"/>
        <v/>
      </c>
      <c r="GN26" s="548" t="str">
        <f t="shared" si="189"/>
        <v/>
      </c>
      <c r="GO26" s="6" t="str">
        <f t="shared" si="190"/>
        <v/>
      </c>
      <c r="GP26" s="10" t="str">
        <f t="shared" si="211"/>
        <v/>
      </c>
      <c r="GQ26" s="372" t="str">
        <f t="shared" si="191"/>
        <v/>
      </c>
      <c r="GR26" s="697" t="str">
        <f t="shared" si="212"/>
        <v/>
      </c>
      <c r="GS26" s="637" t="str">
        <f t="shared" si="35"/>
        <v/>
      </c>
      <c r="GT26" s="638" t="str">
        <f t="shared" si="36"/>
        <v/>
      </c>
      <c r="GU26" s="639" t="str">
        <f t="shared" si="37"/>
        <v/>
      </c>
      <c r="GV26" s="638" t="str">
        <f t="shared" si="192"/>
        <v/>
      </c>
      <c r="GW26" s="640" t="str">
        <f t="shared" si="38"/>
        <v/>
      </c>
      <c r="GX26" s="641" t="str">
        <f t="shared" si="39"/>
        <v/>
      </c>
      <c r="GY26" s="639" t="str">
        <f t="shared" si="40"/>
        <v/>
      </c>
      <c r="GZ26" s="640" t="str">
        <f t="shared" si="41"/>
        <v/>
      </c>
      <c r="HA26" s="637" t="str">
        <f t="shared" si="42"/>
        <v/>
      </c>
      <c r="HB26" s="7" t="str">
        <f t="shared" si="193"/>
        <v/>
      </c>
      <c r="HC26" s="638" t="str">
        <f t="shared" si="194"/>
        <v/>
      </c>
      <c r="HD26" s="682" t="str">
        <f t="shared" si="195"/>
        <v/>
      </c>
      <c r="HE26" s="639" t="str">
        <f t="shared" si="43"/>
        <v/>
      </c>
      <c r="HF26" s="7" t="str">
        <f t="shared" si="44"/>
        <v/>
      </c>
      <c r="HG26" s="638" t="str">
        <f t="shared" si="196"/>
        <v/>
      </c>
      <c r="HH26" s="644" t="str">
        <f t="shared" si="197"/>
        <v/>
      </c>
      <c r="HI26" s="596" t="str">
        <f t="shared" si="198"/>
        <v/>
      </c>
      <c r="HJ26" s="625"/>
      <c r="HK26" s="1232">
        <f t="shared" si="83"/>
        <v>18</v>
      </c>
      <c r="HL26" s="583">
        <f t="shared" si="84"/>
        <v>3.3081999999999998</v>
      </c>
      <c r="HM26" s="643">
        <f t="shared" si="215"/>
        <v>1.1180000000000001</v>
      </c>
      <c r="HN26" s="660">
        <f t="shared" si="215"/>
        <v>14.345657649339055</v>
      </c>
      <c r="HO26" s="661">
        <f t="shared" si="215"/>
        <v>11.200022649798951</v>
      </c>
      <c r="HP26" s="656">
        <f t="shared" si="215"/>
        <v>17.897447028568074</v>
      </c>
      <c r="HQ26" s="660">
        <f t="shared" si="215"/>
        <v>2.9499999999999998E-2</v>
      </c>
      <c r="HR26" s="671">
        <f t="shared" si="215"/>
        <v>5.0678891258622509E-2</v>
      </c>
      <c r="HS26" s="655">
        <f t="shared" si="215"/>
        <v>4333.0527405977909</v>
      </c>
      <c r="HT26" s="648">
        <f t="shared" si="215"/>
        <v>758.94866155694172</v>
      </c>
      <c r="HU26" s="649">
        <f t="shared" si="215"/>
        <v>2967.5919336530619</v>
      </c>
      <c r="HV26" s="650">
        <f t="shared" si="215"/>
        <v>606.5121453877872</v>
      </c>
      <c r="HW26" s="648">
        <f t="shared" si="215"/>
        <v>438.11750964590158</v>
      </c>
      <c r="HX26" s="649">
        <f t="shared" si="215"/>
        <v>1713.0987291685187</v>
      </c>
      <c r="HY26" s="650">
        <f t="shared" si="215"/>
        <v>350.12063946746133</v>
      </c>
      <c r="HZ26" s="648">
        <f t="shared" si="215"/>
        <v>58071.143361644703</v>
      </c>
      <c r="IA26" s="649">
        <f t="shared" si="215"/>
        <v>472.27276798627446</v>
      </c>
      <c r="IB26" s="716"/>
      <c r="IC26" s="717">
        <f>HS26/[1]Assy.Model!HS26</f>
        <v>1.0314259366396681</v>
      </c>
      <c r="ID26" s="717">
        <f>HT26/[1]Assy.Model!HT26</f>
        <v>1.0067953983975721</v>
      </c>
      <c r="IE26" s="717">
        <f>HU26/[1]Assy.Model!HU26</f>
        <v>1.0103933795038167</v>
      </c>
      <c r="IF26" s="717">
        <f>HV26/[1]Assy.Model!HV26</f>
        <v>1.188914558318197</v>
      </c>
    </row>
    <row r="27" spans="2:240" ht="15" customHeight="1" x14ac:dyDescent="0.25">
      <c r="B27" s="143">
        <v>0.69914417297184839</v>
      </c>
      <c r="C27" s="144">
        <v>-0.40365164024502692</v>
      </c>
      <c r="D27" s="145">
        <v>-0.37940114427385113</v>
      </c>
      <c r="E27" s="146">
        <v>0.42495075868149662</v>
      </c>
      <c r="F27" s="144">
        <v>0.87000969481008184</v>
      </c>
      <c r="G27" s="147">
        <v>0.2499999672649757</v>
      </c>
      <c r="H27" s="146">
        <v>0.314</v>
      </c>
      <c r="I27" s="144">
        <v>0.52</v>
      </c>
      <c r="J27" s="306">
        <v>3.1030000000000002</v>
      </c>
      <c r="K27" s="699" t="str">
        <f t="shared" si="199"/>
        <v>1613</v>
      </c>
      <c r="M27" s="292">
        <f t="shared" si="46"/>
        <v>3.1030000000000002</v>
      </c>
      <c r="N27" s="24">
        <f t="shared" si="47"/>
        <v>0.69914417297184839</v>
      </c>
      <c r="O27" s="7">
        <f t="shared" si="48"/>
        <v>-0.40365164024502692</v>
      </c>
      <c r="P27" s="12">
        <f t="shared" si="49"/>
        <v>-0.37940114427385113</v>
      </c>
      <c r="Q27" s="11">
        <f t="shared" si="85"/>
        <v>329.99996534829228</v>
      </c>
      <c r="R27" s="7">
        <f t="shared" si="50"/>
        <v>0.80730243482414354</v>
      </c>
      <c r="S27" s="8">
        <f t="shared" si="51"/>
        <v>-0.37940114427385113</v>
      </c>
      <c r="T27" s="6">
        <f t="shared" si="52"/>
        <v>-0.39250935645391954</v>
      </c>
      <c r="U27" s="7">
        <f t="shared" si="53"/>
        <v>-0.70545986871623001</v>
      </c>
      <c r="V27" s="10">
        <f t="shared" si="86"/>
        <v>-0.37940114427385113</v>
      </c>
      <c r="W27" s="11">
        <f t="shared" si="214"/>
        <v>240.90896521704894</v>
      </c>
      <c r="X27" s="7">
        <f t="shared" si="54"/>
        <v>0.80730243482414354</v>
      </c>
      <c r="Y27" s="9">
        <f t="shared" si="213"/>
        <v>-0.37940114427385113</v>
      </c>
      <c r="Z27" s="24">
        <f t="shared" si="87"/>
        <v>-0.42495075868149662</v>
      </c>
      <c r="AA27" s="7">
        <f t="shared" si="55"/>
        <v>-0.87000969481008184</v>
      </c>
      <c r="AB27" s="7">
        <f t="shared" si="56"/>
        <v>-0.2499999672649757</v>
      </c>
      <c r="AC27" s="10">
        <f t="shared" si="57"/>
        <v>1</v>
      </c>
      <c r="AD27" s="11">
        <f t="shared" si="88"/>
        <v>-0.42495075868149662</v>
      </c>
      <c r="AE27" s="7">
        <f t="shared" si="58"/>
        <v>-0.87000969481008184</v>
      </c>
      <c r="AF27" s="12">
        <f t="shared" si="59"/>
        <v>-0.2499999672649757</v>
      </c>
      <c r="AG27" s="6">
        <f t="shared" si="60"/>
        <v>-73.967832110835701</v>
      </c>
      <c r="AH27" s="12">
        <f t="shared" si="61"/>
        <v>115.14754663787646</v>
      </c>
      <c r="AI27" s="11">
        <f t="shared" si="62"/>
        <v>-75.522489751159455</v>
      </c>
      <c r="AJ27" s="8">
        <f t="shared" si="63"/>
        <v>-26.03290500662116</v>
      </c>
      <c r="AK27" s="6">
        <f t="shared" si="89"/>
        <v>0.96592583607220761</v>
      </c>
      <c r="AL27" s="7">
        <f t="shared" si="64"/>
        <v>6.6987279208207129E-2</v>
      </c>
      <c r="AM27" s="8">
        <f t="shared" si="65"/>
        <v>-0.2499999672649757</v>
      </c>
      <c r="AN27" s="6">
        <f t="shared" si="66"/>
        <v>14.999997834268251</v>
      </c>
      <c r="AO27" s="10">
        <f t="shared" si="3"/>
        <v>14.999997834268203</v>
      </c>
      <c r="AP27" s="11">
        <f t="shared" si="67"/>
        <v>3.9671296450865663</v>
      </c>
      <c r="AQ27" s="8">
        <f t="shared" si="200"/>
        <v>2.826170507552809</v>
      </c>
      <c r="AS27" s="123">
        <f t="shared" si="90"/>
        <v>-119.09103478295106</v>
      </c>
      <c r="AT27" s="174">
        <f t="shared" si="68"/>
        <v>-0.29606778687683188</v>
      </c>
      <c r="AV27" s="292">
        <f t="shared" si="91"/>
        <v>3.1030000000000002</v>
      </c>
      <c r="AW27" s="439">
        <v>0.70440000000000003</v>
      </c>
      <c r="AX27" s="440">
        <v>0.1366</v>
      </c>
      <c r="AY27" s="442">
        <v>5.8200000000000002E-2</v>
      </c>
      <c r="AZ27" s="565">
        <f t="shared" si="92"/>
        <v>0.25799657586295843</v>
      </c>
      <c r="BA27" s="564">
        <f t="shared" si="93"/>
        <v>2.1321413652443957E-2</v>
      </c>
      <c r="BB27" s="444">
        <f t="shared" si="94"/>
        <v>0.18266778687683188</v>
      </c>
      <c r="BC27" s="11"/>
      <c r="BD27" s="7">
        <f t="shared" si="95"/>
        <v>0.70440000000000003</v>
      </c>
      <c r="BE27" s="8">
        <f t="shared" si="96"/>
        <v>-0.19673335739701925</v>
      </c>
      <c r="BF27" s="6">
        <f t="shared" si="97"/>
        <v>0.69914417297184839</v>
      </c>
      <c r="BG27" s="7">
        <f t="shared" si="98"/>
        <v>-0.40365164024502692</v>
      </c>
      <c r="BH27" s="12">
        <f t="shared" si="99"/>
        <v>-0.37940114427385113</v>
      </c>
      <c r="BI27" s="11">
        <f t="shared" si="100"/>
        <v>0.69914417297184839</v>
      </c>
      <c r="BJ27" s="7">
        <f t="shared" si="101"/>
        <v>-0.12747464138104159</v>
      </c>
      <c r="BK27" s="10">
        <f t="shared" si="102"/>
        <v>-1.3405079361021486</v>
      </c>
      <c r="BL27" s="328">
        <f t="shared" si="103"/>
        <v>1.6043606402856179</v>
      </c>
      <c r="BM27" s="7">
        <f t="shared" si="104"/>
        <v>-0.81207470060640086</v>
      </c>
      <c r="BN27" s="8">
        <f t="shared" si="105"/>
        <v>-0.49676276947148046</v>
      </c>
      <c r="BO27" s="6">
        <f t="shared" si="106"/>
        <v>-0.42495075868149645</v>
      </c>
      <c r="BP27" s="7">
        <f t="shared" si="107"/>
        <v>-0.87000969481008195</v>
      </c>
      <c r="BQ27" s="7">
        <f t="shared" si="108"/>
        <v>-0.2499999672649757</v>
      </c>
      <c r="BR27" s="8">
        <f t="shared" si="109"/>
        <v>-0.1489292672557877</v>
      </c>
      <c r="BS27" s="6">
        <f t="shared" si="69"/>
        <v>0</v>
      </c>
      <c r="BT27" s="7">
        <f t="shared" si="69"/>
        <v>0</v>
      </c>
      <c r="BU27" s="12">
        <f t="shared" si="70"/>
        <v>-0.19673335739701925</v>
      </c>
      <c r="BV27" s="11">
        <f t="shared" si="71"/>
        <v>0</v>
      </c>
      <c r="BW27" s="7">
        <f t="shared" si="72"/>
        <v>1</v>
      </c>
      <c r="BX27" s="10">
        <f t="shared" si="73"/>
        <v>-0.19673335739701925</v>
      </c>
      <c r="BY27" s="328">
        <f t="shared" si="74"/>
        <v>1</v>
      </c>
      <c r="BZ27" s="7">
        <f t="shared" si="75"/>
        <v>0</v>
      </c>
      <c r="CA27" s="8">
        <f t="shared" si="76"/>
        <v>-0.19673335739701925</v>
      </c>
      <c r="CB27" s="6">
        <f t="shared" si="110"/>
        <v>0</v>
      </c>
      <c r="CC27" s="7">
        <f t="shared" si="111"/>
        <v>0</v>
      </c>
      <c r="CD27" s="7">
        <f t="shared" si="112"/>
        <v>-1</v>
      </c>
      <c r="CE27" s="8">
        <f t="shared" si="113"/>
        <v>-0.19673335739701925</v>
      </c>
      <c r="CF27" s="6">
        <f t="shared" si="114"/>
        <v>0.87000969481008195</v>
      </c>
      <c r="CG27" s="7">
        <f t="shared" si="115"/>
        <v>-0.42495075868149645</v>
      </c>
      <c r="CH27" s="7">
        <f t="shared" si="116"/>
        <v>0</v>
      </c>
      <c r="CI27" s="6">
        <f t="shared" si="77"/>
        <v>0</v>
      </c>
      <c r="CJ27" s="7">
        <f t="shared" si="78"/>
        <v>-0.1146492216599702</v>
      </c>
      <c r="CK27" s="10">
        <f t="shared" si="79"/>
        <v>-0.19673335739701925</v>
      </c>
      <c r="CL27" s="328">
        <f t="shared" si="80"/>
        <v>0.87000969481008195</v>
      </c>
      <c r="CM27" s="7">
        <f t="shared" si="81"/>
        <v>-0.53959998034146661</v>
      </c>
      <c r="CN27" s="8">
        <f t="shared" si="82"/>
        <v>-0.19673335739701925</v>
      </c>
      <c r="CO27" s="296">
        <f t="shared" si="201"/>
        <v>0.3125</v>
      </c>
      <c r="CP27" s="6">
        <f t="shared" si="202"/>
        <v>0.93750001636751135</v>
      </c>
      <c r="CQ27" s="7">
        <f t="shared" si="203"/>
        <v>-1.4621480111879843</v>
      </c>
      <c r="CR27" s="7">
        <f t="shared" si="117"/>
        <v>0.50803624291098193</v>
      </c>
      <c r="CS27" s="10">
        <f>IF(ISNUMBER($AV27),CQ27^2-(4*CP27*CR27),"")</f>
        <v>0.23274086244363978</v>
      </c>
      <c r="CT27" s="11">
        <f t="shared" si="119"/>
        <v>1.0371094471220961</v>
      </c>
      <c r="CU27" s="8">
        <f t="shared" si="120"/>
        <v>0.52251507091610383</v>
      </c>
      <c r="CV27" s="6">
        <f t="shared" si="204"/>
        <v>0.90229527357534767</v>
      </c>
      <c r="CW27" s="7">
        <f t="shared" si="121"/>
        <v>-0.55536966805025223</v>
      </c>
      <c r="CX27" s="10">
        <f t="shared" si="122"/>
        <v>-0.19673335739701925</v>
      </c>
      <c r="CY27" s="11">
        <f t="shared" si="123"/>
        <v>0.45459317738138783</v>
      </c>
      <c r="CZ27" s="7">
        <f t="shared" si="124"/>
        <v>-0.33669239746828439</v>
      </c>
      <c r="DA27" s="8">
        <f t="shared" si="125"/>
        <v>-0.19673335739701925</v>
      </c>
      <c r="DB27" s="6">
        <f t="shared" si="126"/>
        <v>0</v>
      </c>
      <c r="DC27" s="7">
        <f t="shared" si="126"/>
        <v>0</v>
      </c>
      <c r="DD27" s="12">
        <f t="shared" si="127"/>
        <v>-10</v>
      </c>
      <c r="DE27" s="11">
        <f t="shared" si="128"/>
        <v>0</v>
      </c>
      <c r="DF27" s="7">
        <f t="shared" si="128"/>
        <v>0</v>
      </c>
      <c r="DG27" s="12">
        <f t="shared" si="129"/>
        <v>10</v>
      </c>
      <c r="DH27" s="174">
        <f t="shared" si="130"/>
        <v>0.70440000000000003</v>
      </c>
      <c r="DI27" s="6">
        <f t="shared" si="131"/>
        <v>0</v>
      </c>
      <c r="DJ27" s="7">
        <f t="shared" si="132"/>
        <v>0</v>
      </c>
      <c r="DK27" s="12">
        <f t="shared" si="133"/>
        <v>20</v>
      </c>
      <c r="DL27" s="11">
        <f t="shared" si="134"/>
        <v>0.90229527357534767</v>
      </c>
      <c r="DM27" s="328">
        <f t="shared" si="135"/>
        <v>-0.55536966805025223</v>
      </c>
      <c r="DN27" s="376">
        <f t="shared" si="136"/>
        <v>9.8032666426029813</v>
      </c>
      <c r="DO27" s="11">
        <f t="shared" si="137"/>
        <v>-0.44770209619395984</v>
      </c>
      <c r="DP27" s="328">
        <f t="shared" si="138"/>
        <v>0.21867727058196784</v>
      </c>
      <c r="DQ27" s="13">
        <f t="shared" si="139"/>
        <v>0</v>
      </c>
      <c r="DR27" s="328">
        <f t="shared" si="140"/>
        <v>196.06533285205961</v>
      </c>
      <c r="DS27" s="7">
        <f t="shared" si="141"/>
        <v>0</v>
      </c>
      <c r="DT27" s="7">
        <f t="shared" si="142"/>
        <v>400</v>
      </c>
      <c r="DU27" s="7">
        <f t="shared" si="143"/>
        <v>0.24825691560564486</v>
      </c>
      <c r="DV27" s="7">
        <f t="shared" si="144"/>
        <v>-0.52540620853882825</v>
      </c>
      <c r="DW27" s="7">
        <f t="shared" si="145"/>
        <v>97.226609094878995</v>
      </c>
      <c r="DX27" s="296">
        <f t="shared" si="146"/>
        <v>96.730429734878996</v>
      </c>
      <c r="DY27" s="11">
        <f t="shared" si="147"/>
        <v>99.302766242257945</v>
      </c>
      <c r="DZ27" s="7">
        <f t="shared" si="148"/>
        <v>-210.16248341553131</v>
      </c>
      <c r="EA27" s="12">
        <f t="shared" si="149"/>
        <v>250.55714756267116</v>
      </c>
      <c r="EB27" s="8">
        <f t="shared" si="150"/>
        <v>19287.251580640608</v>
      </c>
      <c r="EC27" s="328">
        <f t="shared" si="151"/>
        <v>3.5149175231829211</v>
      </c>
      <c r="ED27" s="7">
        <f t="shared" si="152"/>
        <v>0.71784439007176537</v>
      </c>
      <c r="EE27" s="6">
        <f t="shared" si="153"/>
        <v>-0.67134066950252758</v>
      </c>
      <c r="EF27" s="7">
        <f t="shared" si="154"/>
        <v>0.21326290224011957</v>
      </c>
      <c r="EG27" s="12">
        <f t="shared" si="155"/>
        <v>-0.19673335739701925</v>
      </c>
      <c r="EH27" s="11">
        <f t="shared" si="156"/>
        <v>0.58091483539914379</v>
      </c>
      <c r="EI27" s="7">
        <f t="shared" si="157"/>
        <v>-0.39839341612678114</v>
      </c>
      <c r="EJ27" s="8">
        <f t="shared" si="158"/>
        <v>-0.19673335739701925</v>
      </c>
      <c r="EK27" s="491" t="b">
        <f t="shared" si="159"/>
        <v>0</v>
      </c>
      <c r="EL27" s="493" t="b">
        <f t="shared" si="160"/>
        <v>1</v>
      </c>
      <c r="EM27" s="6">
        <f t="shared" si="161"/>
        <v>0.58091483539914379</v>
      </c>
      <c r="EN27" s="7">
        <f t="shared" si="162"/>
        <v>-0.39839341612678114</v>
      </c>
      <c r="EO27" s="12">
        <f t="shared" si="163"/>
        <v>-0.19673335739701925</v>
      </c>
      <c r="EP27" s="11">
        <f t="shared" si="164"/>
        <v>325.55753478900732</v>
      </c>
      <c r="EQ27" s="7">
        <f t="shared" si="165"/>
        <v>0.70439999999998648</v>
      </c>
      <c r="ER27" s="9">
        <f t="shared" si="166"/>
        <v>-0.19673335739701925</v>
      </c>
      <c r="ES27" s="24">
        <f t="shared" si="167"/>
        <v>-0.42495075868149662</v>
      </c>
      <c r="ET27" s="7">
        <f t="shared" si="168"/>
        <v>-0.87000969481008184</v>
      </c>
      <c r="EU27" s="12">
        <f t="shared" si="169"/>
        <v>-0.2499999672649757</v>
      </c>
      <c r="EV27" s="337">
        <f t="shared" si="15"/>
        <v>124.44246521099268</v>
      </c>
      <c r="EW27" s="11">
        <f t="shared" si="16"/>
        <v>0.95783521165965335</v>
      </c>
      <c r="EX27" s="7">
        <f t="shared" si="17"/>
        <v>0.14160410895315989</v>
      </c>
      <c r="EY27" s="8">
        <f t="shared" si="170"/>
        <v>-0.2499999672649757</v>
      </c>
      <c r="EZ27" s="123">
        <f t="shared" si="171"/>
        <v>3.2329736603089128</v>
      </c>
      <c r="FA27" s="534">
        <f t="shared" si="18"/>
        <v>-0.5646782545394976</v>
      </c>
      <c r="FB27" s="535">
        <f t="shared" si="19"/>
        <v>-0.8233820189059019</v>
      </c>
      <c r="FC27" s="537">
        <f t="shared" si="20"/>
        <v>-5.6396097317698082E-2</v>
      </c>
      <c r="FD27" s="6">
        <f t="shared" si="21"/>
        <v>0.99840847362556606</v>
      </c>
      <c r="FE27" s="7">
        <f t="shared" si="22"/>
        <v>1.1102230246251565E-16</v>
      </c>
      <c r="FF27" s="9">
        <f t="shared" si="172"/>
        <v>-5.6396097317698082E-2</v>
      </c>
      <c r="FG27" s="328">
        <f t="shared" si="23"/>
        <v>-4.057326196591271E-2</v>
      </c>
      <c r="FH27" s="7">
        <f t="shared" si="24"/>
        <v>0.14160410895315978</v>
      </c>
      <c r="FI27" s="12">
        <f t="shared" si="25"/>
        <v>-0.19360386994727763</v>
      </c>
      <c r="FJ27" s="547">
        <f t="shared" si="173"/>
        <v>13.972954299705892</v>
      </c>
      <c r="FK27" s="6">
        <f t="shared" si="26"/>
        <v>0.96824584500400068</v>
      </c>
      <c r="FL27" s="7">
        <f t="shared" si="174"/>
        <v>0.99840847362556606</v>
      </c>
      <c r="FM27" s="10">
        <f t="shared" si="175"/>
        <v>0.14730211559571343</v>
      </c>
      <c r="FN27" s="11">
        <f t="shared" si="176"/>
        <v>8.4095602043715179</v>
      </c>
      <c r="FO27" s="12">
        <f t="shared" si="27"/>
        <v>-1</v>
      </c>
      <c r="FP27" s="545">
        <f t="shared" si="28"/>
        <v>-8.4095602043715179</v>
      </c>
      <c r="FQ27" s="328">
        <f t="shared" si="205"/>
        <v>0.1462480935847186</v>
      </c>
      <c r="FR27" s="12">
        <f t="shared" si="177"/>
        <v>0.98924794420955731</v>
      </c>
      <c r="FS27" s="11">
        <f t="shared" si="178"/>
        <v>0.12879665689438113</v>
      </c>
      <c r="FT27" s="8">
        <f t="shared" si="179"/>
        <v>0.87120334310561875</v>
      </c>
      <c r="FU27" s="6">
        <f t="shared" si="180"/>
        <v>0.98992336891679744</v>
      </c>
      <c r="FV27" s="7">
        <f t="shared" si="181"/>
        <v>1</v>
      </c>
      <c r="FW27" s="10">
        <f t="shared" si="206"/>
        <v>0.19780962576456429</v>
      </c>
      <c r="FX27" s="11">
        <f t="shared" si="207"/>
        <v>11.395176016923553</v>
      </c>
      <c r="FY27" s="12">
        <f t="shared" si="29"/>
        <v>1</v>
      </c>
      <c r="FZ27" s="545">
        <f t="shared" si="208"/>
        <v>11.395176016923553</v>
      </c>
      <c r="GA27" s="372">
        <f t="shared" si="182"/>
        <v>11.279789825471738</v>
      </c>
      <c r="GB27" s="46">
        <f t="shared" si="183"/>
        <v>0.14336522378429151</v>
      </c>
      <c r="GC27" s="47">
        <f t="shared" si="184"/>
        <v>0.96974770353227047</v>
      </c>
      <c r="GD27" s="578">
        <f t="shared" si="185"/>
        <v>-0.19757480634728652</v>
      </c>
      <c r="GE27" s="585">
        <f t="shared" si="186"/>
        <v>1.3106877336638485</v>
      </c>
      <c r="GF27" s="634">
        <f t="shared" si="209"/>
        <v>0.7629582350668962</v>
      </c>
      <c r="GG27" s="553">
        <f t="shared" si="30"/>
        <v>0.10938167810843366</v>
      </c>
      <c r="GH27" s="554">
        <f t="shared" si="31"/>
        <v>0.73987699634715676</v>
      </c>
      <c r="GI27" s="549">
        <f t="shared" si="32"/>
        <v>0.15074132554440953</v>
      </c>
      <c r="GJ27" s="296">
        <f t="shared" si="187"/>
        <v>0.70440000000000003</v>
      </c>
      <c r="GK27" s="337">
        <f t="shared" si="33"/>
        <v>0.36941090472932192</v>
      </c>
      <c r="GL27" s="337">
        <f t="shared" si="188"/>
        <v>5.8200000000000002E-2</v>
      </c>
      <c r="GM27" s="372">
        <f t="shared" si="210"/>
        <v>0.25799657586295843</v>
      </c>
      <c r="GN27" s="548">
        <f t="shared" si="189"/>
        <v>2.1321413652443957E-2</v>
      </c>
      <c r="GO27" s="6">
        <f t="shared" si="190"/>
        <v>-8.4095602043715179</v>
      </c>
      <c r="GP27" s="10">
        <f t="shared" si="211"/>
        <v>11.395176016923553</v>
      </c>
      <c r="GQ27" s="372">
        <f t="shared" si="191"/>
        <v>13.972954299705892</v>
      </c>
      <c r="GR27" s="697">
        <f t="shared" si="212"/>
        <v>1687.4602375033999</v>
      </c>
      <c r="GS27" s="637">
        <f t="shared" si="35"/>
        <v>184.5772325193779</v>
      </c>
      <c r="GT27" s="638">
        <f t="shared" si="36"/>
        <v>499.65290725411313</v>
      </c>
      <c r="GU27" s="639">
        <f t="shared" si="37"/>
        <v>1248.5130119792752</v>
      </c>
      <c r="GV27" s="638">
        <f t="shared" si="192"/>
        <v>3379.740543647722</v>
      </c>
      <c r="GW27" s="640">
        <f t="shared" si="38"/>
        <v>58071.143361644703</v>
      </c>
      <c r="GX27" s="641">
        <f t="shared" si="39"/>
        <v>198.3907699121213</v>
      </c>
      <c r="GY27" s="639">
        <f t="shared" si="40"/>
        <v>254.36999300474662</v>
      </c>
      <c r="GZ27" s="640">
        <f t="shared" si="41"/>
        <v>688.58279424948455</v>
      </c>
      <c r="HA27" s="637">
        <f t="shared" si="42"/>
        <v>-184.5772325193779</v>
      </c>
      <c r="HB27" s="7">
        <f t="shared" si="193"/>
        <v>124.44246521099268</v>
      </c>
      <c r="HC27" s="638">
        <f t="shared" si="194"/>
        <v>104.39289353013001</v>
      </c>
      <c r="HD27" s="682">
        <f t="shared" si="195"/>
        <v>-152.21983623995735</v>
      </c>
      <c r="HE27" s="639">
        <f t="shared" si="43"/>
        <v>3379.740543647722</v>
      </c>
      <c r="HF27" s="7">
        <f t="shared" si="44"/>
        <v>214.44246521099268</v>
      </c>
      <c r="HG27" s="638">
        <f t="shared" si="196"/>
        <v>-2787.2535797912647</v>
      </c>
      <c r="HH27" s="644">
        <f t="shared" si="197"/>
        <v>-1911.5082067092935</v>
      </c>
      <c r="HI27" s="596">
        <f t="shared" si="198"/>
        <v>3.1030000000000002</v>
      </c>
      <c r="HJ27" s="625"/>
      <c r="HK27" s="1232">
        <f t="shared" si="83"/>
        <v>19</v>
      </c>
      <c r="HL27" s="583">
        <f t="shared" si="84"/>
        <v>3.419</v>
      </c>
      <c r="HM27" s="643">
        <f t="shared" si="215"/>
        <v>6.1189999999999998</v>
      </c>
      <c r="HN27" s="660">
        <f t="shared" si="215"/>
        <v>15.884965179257366</v>
      </c>
      <c r="HO27" s="661">
        <f t="shared" si="215"/>
        <v>10.823824838780684</v>
      </c>
      <c r="HP27" s="656">
        <f t="shared" si="215"/>
        <v>18.895786963311988</v>
      </c>
      <c r="HQ27" s="660">
        <f t="shared" si="215"/>
        <v>2.69E-2</v>
      </c>
      <c r="HR27" s="671">
        <f t="shared" si="215"/>
        <v>4.7759823127966179E-2</v>
      </c>
      <c r="HS27" s="655">
        <f t="shared" si="215"/>
        <v>4148.4431118380126</v>
      </c>
      <c r="HT27" s="648">
        <f t="shared" si="215"/>
        <v>795.85641714889437</v>
      </c>
      <c r="HU27" s="649">
        <f t="shared" si="215"/>
        <v>2796.6607466601813</v>
      </c>
      <c r="HV27" s="650">
        <f t="shared" si="215"/>
        <v>555.92594802893689</v>
      </c>
      <c r="HW27" s="648">
        <f t="shared" si="215"/>
        <v>444.53667069009128</v>
      </c>
      <c r="HX27" s="649">
        <f t="shared" si="215"/>
        <v>1562.1137564282426</v>
      </c>
      <c r="HY27" s="650">
        <f t="shared" si="215"/>
        <v>310.52017017383878</v>
      </c>
      <c r="HZ27" s="648">
        <f t="shared" si="215"/>
        <v>58071.143361644703</v>
      </c>
      <c r="IA27" s="649">
        <f t="shared" si="215"/>
        <v>445.07224443568009</v>
      </c>
      <c r="IB27" s="716"/>
      <c r="IC27" s="717">
        <f>HS27/[1]Assy.Model!HS27</f>
        <v>1.0515434229720688</v>
      </c>
      <c r="ID27" s="717">
        <f>HT27/[1]Assy.Model!HT27</f>
        <v>1.0339683969720534</v>
      </c>
      <c r="IE27" s="717">
        <f>HU27/[1]Assy.Model!HU27</f>
        <v>1.0286110614912338</v>
      </c>
      <c r="IF27" s="717">
        <f>HV27/[1]Assy.Model!HV27</f>
        <v>1.217753459220775</v>
      </c>
    </row>
    <row r="28" spans="2:240" ht="15" customHeight="1" x14ac:dyDescent="0.25">
      <c r="B28" s="143">
        <v>1.283366468384717</v>
      </c>
      <c r="C28" s="144">
        <v>-0.7409530108746506</v>
      </c>
      <c r="D28" s="145">
        <v>-0.17470052689678911</v>
      </c>
      <c r="E28" s="146">
        <v>0.42495075868149673</v>
      </c>
      <c r="F28" s="144">
        <v>0.87000969481008172</v>
      </c>
      <c r="G28" s="147">
        <v>0.2499999672649757</v>
      </c>
      <c r="H28" s="146">
        <v>0.28999999999999998</v>
      </c>
      <c r="I28" s="144">
        <v>0.52</v>
      </c>
      <c r="J28" s="306">
        <v>3.1059999999999999</v>
      </c>
      <c r="K28" s="699" t="str">
        <f t="shared" si="199"/>
        <v>1513</v>
      </c>
      <c r="M28" s="292">
        <f t="shared" si="46"/>
        <v>3.1059999999999999</v>
      </c>
      <c r="N28" s="24">
        <f t="shared" si="47"/>
        <v>1.283366468384717</v>
      </c>
      <c r="O28" s="7">
        <f t="shared" si="48"/>
        <v>-0.7409530108746506</v>
      </c>
      <c r="P28" s="12">
        <f t="shared" si="49"/>
        <v>-0.17470052689678911</v>
      </c>
      <c r="Q28" s="11">
        <f t="shared" si="85"/>
        <v>329.99996534829228</v>
      </c>
      <c r="R28" s="7">
        <f t="shared" si="50"/>
        <v>1.4819044694238799</v>
      </c>
      <c r="S28" s="8">
        <f t="shared" si="51"/>
        <v>-0.17470052689678911</v>
      </c>
      <c r="T28" s="6">
        <f t="shared" si="52"/>
        <v>-0.72049995705321856</v>
      </c>
      <c r="U28" s="7">
        <f t="shared" si="53"/>
        <v>-1.2949597168965454</v>
      </c>
      <c r="V28" s="10">
        <f t="shared" si="86"/>
        <v>-0.17470052689678911</v>
      </c>
      <c r="W28" s="11">
        <f t="shared" si="214"/>
        <v>240.90896521704894</v>
      </c>
      <c r="X28" s="7">
        <f t="shared" si="54"/>
        <v>1.4819044694238799</v>
      </c>
      <c r="Y28" s="9">
        <f t="shared" si="213"/>
        <v>-0.17470052689678911</v>
      </c>
      <c r="Z28" s="24">
        <f t="shared" si="87"/>
        <v>-0.42495075868149673</v>
      </c>
      <c r="AA28" s="7">
        <f t="shared" si="55"/>
        <v>-0.87000969481008172</v>
      </c>
      <c r="AB28" s="7">
        <f t="shared" si="56"/>
        <v>-0.2499999672649757</v>
      </c>
      <c r="AC28" s="10">
        <f t="shared" si="57"/>
        <v>1</v>
      </c>
      <c r="AD28" s="11">
        <f t="shared" si="88"/>
        <v>-0.42495075868149673</v>
      </c>
      <c r="AE28" s="7">
        <f t="shared" si="58"/>
        <v>-0.87000969481008172</v>
      </c>
      <c r="AF28" s="12">
        <f t="shared" si="59"/>
        <v>-0.2499999672649757</v>
      </c>
      <c r="AG28" s="6">
        <f t="shared" si="60"/>
        <v>-73.967832110835701</v>
      </c>
      <c r="AH28" s="12">
        <f t="shared" si="61"/>
        <v>115.14754663787647</v>
      </c>
      <c r="AI28" s="11">
        <f t="shared" si="62"/>
        <v>-75.522489751159455</v>
      </c>
      <c r="AJ28" s="8">
        <f t="shared" si="63"/>
        <v>-26.032905006621167</v>
      </c>
      <c r="AK28" s="6">
        <f t="shared" si="89"/>
        <v>0.9659258360722075</v>
      </c>
      <c r="AL28" s="7">
        <f t="shared" si="64"/>
        <v>6.6987279208206962E-2</v>
      </c>
      <c r="AM28" s="8">
        <f t="shared" si="65"/>
        <v>-0.2499999672649757</v>
      </c>
      <c r="AN28" s="6">
        <f t="shared" si="66"/>
        <v>14.999997834268218</v>
      </c>
      <c r="AO28" s="10">
        <f t="shared" si="3"/>
        <v>14.99999783426823</v>
      </c>
      <c r="AP28" s="11">
        <f t="shared" si="67"/>
        <v>3.967129645086557</v>
      </c>
      <c r="AQ28" s="8">
        <f t="shared" si="200"/>
        <v>1.5387460267743736</v>
      </c>
      <c r="AS28" s="123">
        <f t="shared" si="90"/>
        <v>-119.09103478295106</v>
      </c>
      <c r="AT28" s="174">
        <f t="shared" si="68"/>
        <v>-9.1367169499769862E-2</v>
      </c>
      <c r="AV28" s="292">
        <f t="shared" si="91"/>
        <v>3.1059999999999999</v>
      </c>
      <c r="AW28" s="439">
        <v>1.3898999999999999</v>
      </c>
      <c r="AX28" s="440">
        <v>0.31940000000000002</v>
      </c>
      <c r="AY28" s="442">
        <v>5.62E-2</v>
      </c>
      <c r="AZ28" s="565">
        <f t="shared" si="92"/>
        <v>0.49099562216099596</v>
      </c>
      <c r="BA28" s="564">
        <f t="shared" si="93"/>
        <v>4.0576975592088504E-2</v>
      </c>
      <c r="BB28" s="444">
        <f t="shared" si="94"/>
        <v>0.16076716949976988</v>
      </c>
      <c r="BC28" s="11"/>
      <c r="BD28" s="7">
        <f t="shared" si="95"/>
        <v>1.3898999999999999</v>
      </c>
      <c r="BE28" s="8">
        <f t="shared" si="96"/>
        <v>-1.393335739701923E-2</v>
      </c>
      <c r="BF28" s="6">
        <f t="shared" si="97"/>
        <v>1.283366468384717</v>
      </c>
      <c r="BG28" s="7">
        <f t="shared" si="98"/>
        <v>-0.7409530108746506</v>
      </c>
      <c r="BH28" s="12">
        <f t="shared" si="99"/>
        <v>-0.17470052689678911</v>
      </c>
      <c r="BI28" s="11">
        <f t="shared" si="100"/>
        <v>1.283366468384717</v>
      </c>
      <c r="BJ28" s="7">
        <f t="shared" si="101"/>
        <v>-0.46477601201066526</v>
      </c>
      <c r="BK28" s="10">
        <f t="shared" si="102"/>
        <v>-1.1358073187250866</v>
      </c>
      <c r="BL28" s="328">
        <f t="shared" si="103"/>
        <v>2.1885829356984861</v>
      </c>
      <c r="BM28" s="7">
        <f t="shared" si="104"/>
        <v>-1.149376071236025</v>
      </c>
      <c r="BN28" s="8">
        <f t="shared" si="105"/>
        <v>-0.29206215209441855</v>
      </c>
      <c r="BO28" s="6">
        <f t="shared" si="106"/>
        <v>-0.42495075868149684</v>
      </c>
      <c r="BP28" s="7">
        <f t="shared" si="107"/>
        <v>-0.87000969481008106</v>
      </c>
      <c r="BQ28" s="7">
        <f t="shared" si="108"/>
        <v>-0.24999996726497553</v>
      </c>
      <c r="BR28" s="8">
        <f t="shared" si="109"/>
        <v>-0.14294387445855797</v>
      </c>
      <c r="BS28" s="6">
        <f t="shared" si="69"/>
        <v>0</v>
      </c>
      <c r="BT28" s="7">
        <f t="shared" si="69"/>
        <v>0</v>
      </c>
      <c r="BU28" s="12">
        <f t="shared" si="70"/>
        <v>-1.393335739701923E-2</v>
      </c>
      <c r="BV28" s="11">
        <f t="shared" si="71"/>
        <v>0</v>
      </c>
      <c r="BW28" s="7">
        <f t="shared" si="72"/>
        <v>1</v>
      </c>
      <c r="BX28" s="10">
        <f t="shared" si="73"/>
        <v>-1.393335739701923E-2</v>
      </c>
      <c r="BY28" s="328">
        <f t="shared" si="74"/>
        <v>1</v>
      </c>
      <c r="BZ28" s="7">
        <f t="shared" si="75"/>
        <v>0</v>
      </c>
      <c r="CA28" s="8">
        <f t="shared" si="76"/>
        <v>-1.393335739701923E-2</v>
      </c>
      <c r="CB28" s="6">
        <f t="shared" si="110"/>
        <v>0</v>
      </c>
      <c r="CC28" s="7">
        <f t="shared" si="111"/>
        <v>0</v>
      </c>
      <c r="CD28" s="7">
        <f t="shared" si="112"/>
        <v>-1</v>
      </c>
      <c r="CE28" s="8">
        <f t="shared" si="113"/>
        <v>-1.393335739701923E-2</v>
      </c>
      <c r="CF28" s="6">
        <f t="shared" si="114"/>
        <v>0.87000969481008106</v>
      </c>
      <c r="CG28" s="7">
        <f t="shared" si="115"/>
        <v>-0.42495075868149684</v>
      </c>
      <c r="CH28" s="7">
        <f t="shared" si="116"/>
        <v>0</v>
      </c>
      <c r="CI28" s="6">
        <f t="shared" si="77"/>
        <v>0</v>
      </c>
      <c r="CJ28" s="7">
        <f t="shared" si="78"/>
        <v>-0.16029767989637808</v>
      </c>
      <c r="CK28" s="10">
        <f t="shared" si="79"/>
        <v>-1.393335739701923E-2</v>
      </c>
      <c r="CL28" s="328">
        <f t="shared" si="80"/>
        <v>0.87000969481008106</v>
      </c>
      <c r="CM28" s="7">
        <f t="shared" si="81"/>
        <v>-0.5852484385778749</v>
      </c>
      <c r="CN28" s="8">
        <f t="shared" si="82"/>
        <v>-1.393335739701923E-2</v>
      </c>
      <c r="CO28" s="296">
        <f t="shared" si="201"/>
        <v>0.28849999999999998</v>
      </c>
      <c r="CP28" s="6">
        <f t="shared" si="202"/>
        <v>0.93750001636751013</v>
      </c>
      <c r="CQ28" s="7">
        <f t="shared" si="203"/>
        <v>-2.7265823858411036</v>
      </c>
      <c r="CR28" s="7">
        <f t="shared" si="117"/>
        <v>1.9268039383567159</v>
      </c>
      <c r="CS28" s="10">
        <f t="shared" si="118"/>
        <v>0.20873661179334757</v>
      </c>
      <c r="CT28" s="11">
        <f t="shared" si="119"/>
        <v>1.6978449870336654</v>
      </c>
      <c r="CU28" s="8">
        <f t="shared" si="120"/>
        <v>1.2105095070874887</v>
      </c>
      <c r="CV28" s="6">
        <f t="shared" si="204"/>
        <v>1.4771415990039853</v>
      </c>
      <c r="CW28" s="7">
        <f t="shared" si="121"/>
        <v>-0.88179819525991032</v>
      </c>
      <c r="CX28" s="10">
        <f t="shared" si="122"/>
        <v>-1.393335739701923E-2</v>
      </c>
      <c r="CY28" s="11">
        <f t="shared" si="123"/>
        <v>1.0531550068258877</v>
      </c>
      <c r="CZ28" s="7">
        <f t="shared" si="124"/>
        <v>-0.67470461332437115</v>
      </c>
      <c r="DA28" s="8">
        <f t="shared" si="125"/>
        <v>-1.393335739701923E-2</v>
      </c>
      <c r="DB28" s="6">
        <f t="shared" si="126"/>
        <v>0</v>
      </c>
      <c r="DC28" s="7">
        <f t="shared" si="126"/>
        <v>0</v>
      </c>
      <c r="DD28" s="12">
        <f t="shared" si="127"/>
        <v>-10</v>
      </c>
      <c r="DE28" s="11">
        <f t="shared" si="128"/>
        <v>0</v>
      </c>
      <c r="DF28" s="7">
        <f t="shared" si="128"/>
        <v>0</v>
      </c>
      <c r="DG28" s="12">
        <f t="shared" si="129"/>
        <v>10</v>
      </c>
      <c r="DH28" s="174">
        <f t="shared" si="130"/>
        <v>1.3898999999999999</v>
      </c>
      <c r="DI28" s="6">
        <f t="shared" si="131"/>
        <v>0</v>
      </c>
      <c r="DJ28" s="7">
        <f t="shared" si="132"/>
        <v>0</v>
      </c>
      <c r="DK28" s="12">
        <f t="shared" si="133"/>
        <v>20</v>
      </c>
      <c r="DL28" s="11">
        <f t="shared" si="134"/>
        <v>1.4771415990039853</v>
      </c>
      <c r="DM28" s="328">
        <f t="shared" si="135"/>
        <v>-0.88179819525991032</v>
      </c>
      <c r="DN28" s="376">
        <f t="shared" si="136"/>
        <v>9.9860666426029816</v>
      </c>
      <c r="DO28" s="11">
        <f t="shared" si="137"/>
        <v>-0.42398659217809764</v>
      </c>
      <c r="DP28" s="328">
        <f t="shared" si="138"/>
        <v>0.20709358193553917</v>
      </c>
      <c r="DQ28" s="13">
        <f t="shared" si="139"/>
        <v>0</v>
      </c>
      <c r="DR28" s="328">
        <f t="shared" si="140"/>
        <v>199.72133285205962</v>
      </c>
      <c r="DS28" s="7">
        <f t="shared" si="141"/>
        <v>0</v>
      </c>
      <c r="DT28" s="7">
        <f t="shared" si="142"/>
        <v>400</v>
      </c>
      <c r="DU28" s="7">
        <f t="shared" si="143"/>
        <v>0.22265238202568838</v>
      </c>
      <c r="DV28" s="7">
        <f t="shared" si="144"/>
        <v>-0.80890297952687462</v>
      </c>
      <c r="DW28" s="7">
        <f t="shared" si="145"/>
        <v>102.68104235117967</v>
      </c>
      <c r="DX28" s="296">
        <f t="shared" si="146"/>
        <v>100.74922034117967</v>
      </c>
      <c r="DY28" s="11">
        <f t="shared" si="147"/>
        <v>89.060952810275353</v>
      </c>
      <c r="DZ28" s="7">
        <f t="shared" si="148"/>
        <v>-323.56119181074985</v>
      </c>
      <c r="EA28" s="12">
        <f t="shared" si="149"/>
        <v>411.07734026867547</v>
      </c>
      <c r="EB28" s="8">
        <f t="shared" si="150"/>
        <v>68080.90524295083</v>
      </c>
      <c r="EC28" s="328">
        <f t="shared" si="151"/>
        <v>6.5627455375524102</v>
      </c>
      <c r="ED28" s="7">
        <f t="shared" si="152"/>
        <v>0.70331622354339463</v>
      </c>
      <c r="EE28" s="6">
        <f t="shared" si="153"/>
        <v>-1.3053745167948787</v>
      </c>
      <c r="EF28" s="7">
        <f t="shared" si="154"/>
        <v>0.47730428544329384</v>
      </c>
      <c r="EG28" s="12">
        <f t="shared" si="155"/>
        <v>-1.393335739701923E-2</v>
      </c>
      <c r="EH28" s="11">
        <f t="shared" si="156"/>
        <v>1.1789449501602522</v>
      </c>
      <c r="EI28" s="7">
        <f t="shared" si="157"/>
        <v>-0.73614591929293238</v>
      </c>
      <c r="EJ28" s="8">
        <f t="shared" si="158"/>
        <v>-1.393335739701923E-2</v>
      </c>
      <c r="EK28" s="491" t="b">
        <f t="shared" si="159"/>
        <v>0</v>
      </c>
      <c r="EL28" s="493" t="b">
        <f t="shared" si="160"/>
        <v>1</v>
      </c>
      <c r="EM28" s="6">
        <f t="shared" si="161"/>
        <v>1.1789449501602522</v>
      </c>
      <c r="EN28" s="7">
        <f t="shared" si="162"/>
        <v>-0.73614591929293238</v>
      </c>
      <c r="EO28" s="12">
        <f t="shared" si="163"/>
        <v>-1.393335739701923E-2</v>
      </c>
      <c r="EP28" s="11">
        <f t="shared" si="164"/>
        <v>328.01890052591938</v>
      </c>
      <c r="EQ28" s="7">
        <f t="shared" si="165"/>
        <v>1.3898999999999986</v>
      </c>
      <c r="ER28" s="9">
        <f t="shared" si="166"/>
        <v>-1.393335739701923E-2</v>
      </c>
      <c r="ES28" s="24">
        <f t="shared" si="167"/>
        <v>-0.42495075868149673</v>
      </c>
      <c r="ET28" s="7">
        <f t="shared" si="168"/>
        <v>-0.87000969481008172</v>
      </c>
      <c r="EU28" s="12">
        <f t="shared" si="169"/>
        <v>-0.2499999672649757</v>
      </c>
      <c r="EV28" s="337">
        <f t="shared" si="15"/>
        <v>121.98109947408062</v>
      </c>
      <c r="EW28" s="11">
        <f t="shared" si="16"/>
        <v>0.96303281041127331</v>
      </c>
      <c r="EX28" s="7">
        <f t="shared" si="17"/>
        <v>0.10033853915059576</v>
      </c>
      <c r="EY28" s="8">
        <f t="shared" si="170"/>
        <v>-0.2499999672649757</v>
      </c>
      <c r="EZ28" s="123">
        <f t="shared" si="171"/>
        <v>1.6397612681612741</v>
      </c>
      <c r="FA28" s="534">
        <f t="shared" si="18"/>
        <v>-0.52942259575972594</v>
      </c>
      <c r="FB28" s="535">
        <f t="shared" si="19"/>
        <v>-0.84787550866432382</v>
      </c>
      <c r="FC28" s="537">
        <f t="shared" si="20"/>
        <v>-2.8615326422183583E-2</v>
      </c>
      <c r="FD28" s="6">
        <f t="shared" si="21"/>
        <v>0.99959049770080954</v>
      </c>
      <c r="FE28" s="7">
        <f t="shared" si="22"/>
        <v>1.1102230246251565E-16</v>
      </c>
      <c r="FF28" s="9">
        <f t="shared" si="172"/>
        <v>-2.8615326422183583E-2</v>
      </c>
      <c r="FG28" s="328">
        <f t="shared" si="23"/>
        <v>-3.6557687289536234E-2</v>
      </c>
      <c r="FH28" s="7">
        <f t="shared" si="24"/>
        <v>0.10033853915059565</v>
      </c>
      <c r="FI28" s="12">
        <f t="shared" si="25"/>
        <v>-0.22138464084279211</v>
      </c>
      <c r="FJ28" s="547">
        <f t="shared" si="173"/>
        <v>14.118741449557316</v>
      </c>
      <c r="FK28" s="6">
        <f t="shared" si="26"/>
        <v>0.96824584500400057</v>
      </c>
      <c r="FL28" s="7">
        <f t="shared" si="174"/>
        <v>0.99959049770080943</v>
      </c>
      <c r="FM28" s="10">
        <f t="shared" si="175"/>
        <v>0.10679085606378075</v>
      </c>
      <c r="FN28" s="11">
        <f t="shared" si="176"/>
        <v>5.9481944674594365</v>
      </c>
      <c r="FO28" s="12">
        <f t="shared" si="27"/>
        <v>-1</v>
      </c>
      <c r="FP28" s="545">
        <f t="shared" si="28"/>
        <v>-5.9481944674594365</v>
      </c>
      <c r="FQ28" s="328">
        <f t="shared" si="205"/>
        <v>0.10362919672552891</v>
      </c>
      <c r="FR28" s="12">
        <f t="shared" si="177"/>
        <v>0.99461600107077586</v>
      </c>
      <c r="FS28" s="11">
        <f t="shared" si="178"/>
        <v>9.4358889010821206E-2</v>
      </c>
      <c r="FT28" s="8">
        <f t="shared" si="179"/>
        <v>0.90564111098917877</v>
      </c>
      <c r="FU28" s="6">
        <f t="shared" si="180"/>
        <v>0.99495335446498412</v>
      </c>
      <c r="FV28" s="7">
        <f t="shared" si="181"/>
        <v>1</v>
      </c>
      <c r="FW28" s="10">
        <f t="shared" si="206"/>
        <v>0.22438276159511805</v>
      </c>
      <c r="FX28" s="11">
        <f t="shared" si="207"/>
        <v>12.912798963068045</v>
      </c>
      <c r="FY28" s="12">
        <f t="shared" si="29"/>
        <v>1</v>
      </c>
      <c r="FZ28" s="545">
        <f t="shared" si="208"/>
        <v>12.912798963068045</v>
      </c>
      <c r="GA28" s="372">
        <f t="shared" si="182"/>
        <v>12.846986951713953</v>
      </c>
      <c r="GB28" s="46">
        <f t="shared" si="183"/>
        <v>0.10100854899164834</v>
      </c>
      <c r="GC28" s="47">
        <f t="shared" si="184"/>
        <v>0.96946345476482509</v>
      </c>
      <c r="GD28" s="578">
        <f t="shared" si="185"/>
        <v>-0.22346785653881301</v>
      </c>
      <c r="GE28" s="585">
        <f t="shared" si="186"/>
        <v>1.2939398602952865</v>
      </c>
      <c r="GF28" s="634">
        <f t="shared" si="209"/>
        <v>0.77283344511219609</v>
      </c>
      <c r="GG28" s="553">
        <f t="shared" si="30"/>
        <v>7.806278490299963E-2</v>
      </c>
      <c r="GH28" s="554">
        <f t="shared" si="31"/>
        <v>0.74923378165627141</v>
      </c>
      <c r="GI28" s="549">
        <f t="shared" si="32"/>
        <v>0.17270343344072886</v>
      </c>
      <c r="GJ28" s="296">
        <f t="shared" si="187"/>
        <v>1.3898999999999999</v>
      </c>
      <c r="GK28" s="337">
        <f t="shared" si="33"/>
        <v>0.72804807556494067</v>
      </c>
      <c r="GL28" s="337">
        <f t="shared" si="188"/>
        <v>5.62E-2</v>
      </c>
      <c r="GM28" s="372">
        <f t="shared" si="210"/>
        <v>0.49099562216099596</v>
      </c>
      <c r="GN28" s="548">
        <f t="shared" si="189"/>
        <v>4.0576975592088504E-2</v>
      </c>
      <c r="GO28" s="6">
        <f t="shared" si="190"/>
        <v>-5.9481944674594365</v>
      </c>
      <c r="GP28" s="10">
        <f t="shared" si="211"/>
        <v>12.912798963068045</v>
      </c>
      <c r="GQ28" s="372">
        <f t="shared" si="191"/>
        <v>14.118741449557316</v>
      </c>
      <c r="GR28" s="697">
        <f t="shared" si="212"/>
        <v>3171.3151336000483</v>
      </c>
      <c r="GS28" s="637">
        <f t="shared" si="35"/>
        <v>247.56169113384814</v>
      </c>
      <c r="GT28" s="638">
        <f t="shared" si="36"/>
        <v>340.03481286829668</v>
      </c>
      <c r="GU28" s="639">
        <f t="shared" si="37"/>
        <v>2376.056430370928</v>
      </c>
      <c r="GV28" s="638">
        <f t="shared" si="192"/>
        <v>3263.5982569244325</v>
      </c>
      <c r="GW28" s="640">
        <f t="shared" si="38"/>
        <v>58071.143361644703</v>
      </c>
      <c r="GX28" s="641">
        <f t="shared" si="39"/>
        <v>378.00626810827237</v>
      </c>
      <c r="GY28" s="639">
        <f t="shared" si="40"/>
        <v>547.69701209527216</v>
      </c>
      <c r="GZ28" s="640">
        <f t="shared" si="41"/>
        <v>752.28138151491964</v>
      </c>
      <c r="HA28" s="637">
        <f t="shared" si="42"/>
        <v>-247.56169113384814</v>
      </c>
      <c r="HB28" s="7">
        <f t="shared" si="193"/>
        <v>121.98109947408062</v>
      </c>
      <c r="HC28" s="638">
        <f t="shared" si="194"/>
        <v>131.11844643603129</v>
      </c>
      <c r="HD28" s="682">
        <f t="shared" si="195"/>
        <v>-209.98748515388345</v>
      </c>
      <c r="HE28" s="639">
        <f t="shared" si="43"/>
        <v>3263.5982569244325</v>
      </c>
      <c r="HF28" s="7">
        <f t="shared" si="44"/>
        <v>211.98109947408062</v>
      </c>
      <c r="HG28" s="638">
        <f t="shared" si="196"/>
        <v>-2768.2586404438193</v>
      </c>
      <c r="HH28" s="644">
        <f t="shared" si="197"/>
        <v>-1728.5304979109653</v>
      </c>
      <c r="HI28" s="596">
        <f t="shared" si="198"/>
        <v>3.1059999999999999</v>
      </c>
      <c r="HJ28" s="625"/>
      <c r="HK28" s="1232">
        <f t="shared" si="83"/>
        <v>20</v>
      </c>
      <c r="HL28" s="583">
        <f t="shared" si="84"/>
        <v>3.5246</v>
      </c>
      <c r="HM28" s="643">
        <f t="shared" si="215"/>
        <v>5.12</v>
      </c>
      <c r="HN28" s="660">
        <f t="shared" si="215"/>
        <v>17.386730580511529</v>
      </c>
      <c r="HO28" s="661">
        <f t="shared" si="215"/>
        <v>10.299832219143072</v>
      </c>
      <c r="HP28" s="656">
        <f t="shared" si="215"/>
        <v>19.873292323276083</v>
      </c>
      <c r="HQ28" s="660">
        <f t="shared" si="215"/>
        <v>2.5700000000000001E-2</v>
      </c>
      <c r="HR28" s="671">
        <f t="shared" si="215"/>
        <v>4.7038401375904114E-2</v>
      </c>
      <c r="HS28" s="655">
        <f t="shared" si="215"/>
        <v>4141.4174962014795</v>
      </c>
      <c r="HT28" s="648">
        <f t="shared" si="215"/>
        <v>862.48134071991274</v>
      </c>
      <c r="HU28" s="649">
        <f t="shared" si="215"/>
        <v>2754.4166225483109</v>
      </c>
      <c r="HV28" s="650">
        <f t="shared" si="215"/>
        <v>524.51953293325607</v>
      </c>
      <c r="HW28" s="648">
        <f t="shared" si="215"/>
        <v>467.3191496753123</v>
      </c>
      <c r="HX28" s="649">
        <f t="shared" si="215"/>
        <v>1492.428384394269</v>
      </c>
      <c r="HY28" s="650">
        <f t="shared" si="215"/>
        <v>284.20095664198521</v>
      </c>
      <c r="HZ28" s="648">
        <f t="shared" si="215"/>
        <v>58071.143361644703</v>
      </c>
      <c r="IA28" s="649">
        <f t="shared" si="215"/>
        <v>438.35109030300339</v>
      </c>
      <c r="IB28" s="716"/>
      <c r="IC28" s="717">
        <f>HS28/[1]Assy.Model!HS28</f>
        <v>1.0520139524501031</v>
      </c>
      <c r="ID28" s="717">
        <f>HT28/[1]Assy.Model!HT28</f>
        <v>1.02024666731094</v>
      </c>
      <c r="IE28" s="717">
        <f>HU28/[1]Assy.Model!HU28</f>
        <v>1.0468380273642655</v>
      </c>
      <c r="IF28" s="717">
        <f>HV28/[1]Assy.Model!HV28</f>
        <v>1.1399786552924986</v>
      </c>
    </row>
    <row r="29" spans="2:240" s="35" customFormat="1" ht="15" customHeight="1" x14ac:dyDescent="0.25">
      <c r="B29" s="143">
        <v>1.948826035481696</v>
      </c>
      <c r="C29" s="144">
        <v>-1.1509278312086666</v>
      </c>
      <c r="D29" s="145">
        <v>-6.4500194532586666E-2</v>
      </c>
      <c r="E29" s="146">
        <v>0.54072642560476181</v>
      </c>
      <c r="F29" s="144">
        <v>0.80059624759117443</v>
      </c>
      <c r="G29" s="147">
        <v>0.25818710462691369</v>
      </c>
      <c r="H29" s="146">
        <v>0.314</v>
      </c>
      <c r="I29" s="144">
        <v>0.52</v>
      </c>
      <c r="J29" s="306">
        <v>3.11</v>
      </c>
      <c r="K29" s="699" t="str">
        <f t="shared" si="199"/>
        <v>1613</v>
      </c>
      <c r="M29" s="292">
        <f>IF(J29="","",J29)</f>
        <v>3.11</v>
      </c>
      <c r="N29" s="24">
        <f>IF(M29="","",B29)</f>
        <v>1.948826035481696</v>
      </c>
      <c r="O29" s="7">
        <f>IF(M29="","",C29)</f>
        <v>-1.1509278312086666</v>
      </c>
      <c r="P29" s="12">
        <f>IF(M29="","",D29)</f>
        <v>-6.4500194532586666E-2</v>
      </c>
      <c r="Q29" s="11">
        <f t="shared" si="85"/>
        <v>329.43496542986816</v>
      </c>
      <c r="R29" s="7">
        <f>IF(M29="","",SQRT(N29^2+O29^2))</f>
        <v>2.263306826133388</v>
      </c>
      <c r="S29" s="8">
        <f>IF(M29="","",P29)</f>
        <v>-6.4500194532586666E-2</v>
      </c>
      <c r="T29" s="6">
        <f>IF(M29="","",X29*COS(RADIANS(W29)))</f>
        <v>-1.1198660830642053</v>
      </c>
      <c r="U29" s="7">
        <f>IF(M29="","",X29*SIN(RADIANS(W29)))</f>
        <v>-1.9668395321490832</v>
      </c>
      <c r="V29" s="10">
        <f>IF(M29="","",Y29)</f>
        <v>-6.4500194532586666E-2</v>
      </c>
      <c r="W29" s="11">
        <f t="shared" si="214"/>
        <v>240.34396529862482</v>
      </c>
      <c r="X29" s="7">
        <f>IF(M29="","",R29)</f>
        <v>2.263306826133388</v>
      </c>
      <c r="Y29" s="9">
        <f t="shared" si="213"/>
        <v>-6.4500194532586666E-2</v>
      </c>
      <c r="Z29" s="24">
        <f>IF(M29="","",-E29)</f>
        <v>-0.54072642560476181</v>
      </c>
      <c r="AA29" s="7">
        <f>IF(M29="","",-F29)</f>
        <v>-0.80059624759117443</v>
      </c>
      <c r="AB29" s="7">
        <f>IF(M29="","",-G29)</f>
        <v>-0.25818710462691369</v>
      </c>
      <c r="AC29" s="10">
        <f>IF(M29="","",SQRT(Z29^2+AA29^2+AB29^2))</f>
        <v>1</v>
      </c>
      <c r="AD29" s="11">
        <f>IF(M29="","",Z29*(1/SQRT(Z29^2+AA29^2+AB29^2)))</f>
        <v>-0.54072642560476181</v>
      </c>
      <c r="AE29" s="7">
        <f>IF(M29="","",AA29*(1/SQRT(Z29^2+AA29^2+AB29^2)))</f>
        <v>-0.80059624759117443</v>
      </c>
      <c r="AF29" s="12">
        <f>IF(M29="","",AB29*(1/SQRT(Z29^2+AA29^2+AB29^2)))</f>
        <v>-0.25818710462691369</v>
      </c>
      <c r="AG29" s="6">
        <f>IF(M29="","",DEGREES(ATAN2(-AF29,AE29)))</f>
        <v>-72.125824761501804</v>
      </c>
      <c r="AH29" s="12">
        <f>IF(M29="","",DEGREES(ACOS(AD29)))</f>
        <v>122.7331034856075</v>
      </c>
      <c r="AI29" s="11">
        <f>IF(M29="","",DEGREES(-ACOS(-AF29)))</f>
        <v>-75.037481502924763</v>
      </c>
      <c r="AJ29" s="8">
        <f>IF(M29="","",DEGREES(ATAN2(-AE29,AD29)))</f>
        <v>-34.035274549567959</v>
      </c>
      <c r="AK29" s="6">
        <f>IF(M29="","",(COS(RADIANS((90-$Q$8)-W29))*AD29)+(-SIN(RADIANS((90-$Q$8)-W29))*AE29))</f>
        <v>0.96432347497568349</v>
      </c>
      <c r="AL29" s="7">
        <f>IF(M29="","",(SIN(RADIANS((90-$Q$8)-W29))*AD29)+(COS(RADIANS((90-$Q$8)-W29))*AE29))</f>
        <v>-5.8477813016505786E-2</v>
      </c>
      <c r="AM29" s="8">
        <f>IF(M29="","",AF29)</f>
        <v>-0.25818710462691369</v>
      </c>
      <c r="AN29" s="6">
        <f>IF(M29="","",DEGREES(ATAN2(-AM29,AL29)))</f>
        <v>-12.761828988183282</v>
      </c>
      <c r="AO29" s="10">
        <f t="shared" si="3"/>
        <v>15.350715017630963</v>
      </c>
      <c r="AP29" s="11">
        <f>IF(M29="","",DEGREES(ATAN2(AK29,AL29)))</f>
        <v>-3.4702399794361316</v>
      </c>
      <c r="AQ29" s="8">
        <f t="shared" si="200"/>
        <v>1.0073585635960369</v>
      </c>
      <c r="AS29" s="123">
        <f t="shared" si="90"/>
        <v>-119.65603470137518</v>
      </c>
      <c r="AT29" s="174">
        <f>IF(M29="","",Y29+(((AS29-$AS$9)*$AS$6)*-1))</f>
        <v>1.9225523918893775E-2</v>
      </c>
      <c r="AV29" s="292">
        <f t="shared" si="91"/>
        <v>3.11</v>
      </c>
      <c r="AW29" s="439">
        <v>2.1642999999999999</v>
      </c>
      <c r="AX29" s="440">
        <v>0.47910000000000003</v>
      </c>
      <c r="AY29" s="442">
        <v>4.24E-2</v>
      </c>
      <c r="AZ29" s="565">
        <f t="shared" si="92"/>
        <v>0.57668222108551759</v>
      </c>
      <c r="BA29" s="564">
        <f t="shared" si="93"/>
        <v>4.7658307637019295E-2</v>
      </c>
      <c r="BB29" s="444">
        <f t="shared" si="94"/>
        <v>0.20987447608110626</v>
      </c>
      <c r="BC29" s="11"/>
      <c r="BD29" s="7">
        <f t="shared" si="95"/>
        <v>2.1642999999999999</v>
      </c>
      <c r="BE29" s="8">
        <f t="shared" si="96"/>
        <v>0.14537428154851961</v>
      </c>
      <c r="BF29" s="6">
        <f t="shared" si="97"/>
        <v>1.948826035481696</v>
      </c>
      <c r="BG29" s="7">
        <f t="shared" si="98"/>
        <v>-1.1509278312086666</v>
      </c>
      <c r="BH29" s="12">
        <f t="shared" si="99"/>
        <v>-6.4500194532586666E-2</v>
      </c>
      <c r="BI29" s="11">
        <f t="shared" si="100"/>
        <v>1.948826035481696</v>
      </c>
      <c r="BJ29" s="7">
        <f t="shared" si="101"/>
        <v>-0.84400015401681794</v>
      </c>
      <c r="BK29" s="10">
        <f t="shared" si="102"/>
        <v>-1.0162330357089413</v>
      </c>
      <c r="BL29" s="328">
        <f t="shared" si="103"/>
        <v>2.7900245451408003</v>
      </c>
      <c r="BM29" s="7">
        <f t="shared" si="104"/>
        <v>-1.6655549285486213</v>
      </c>
      <c r="BN29" s="8">
        <f t="shared" si="105"/>
        <v>-0.23046410033970716</v>
      </c>
      <c r="BO29" s="6">
        <f t="shared" si="106"/>
        <v>-0.54072642560476181</v>
      </c>
      <c r="BP29" s="7">
        <f t="shared" si="107"/>
        <v>-0.80059624759117487</v>
      </c>
      <c r="BQ29" s="7">
        <f t="shared" si="108"/>
        <v>-0.25818710462691419</v>
      </c>
      <c r="BR29" s="8">
        <f t="shared" si="109"/>
        <v>0.11570011490336726</v>
      </c>
      <c r="BS29" s="6">
        <f t="shared" si="69"/>
        <v>0</v>
      </c>
      <c r="BT29" s="7">
        <f t="shared" si="69"/>
        <v>0</v>
      </c>
      <c r="BU29" s="12">
        <f t="shared" si="70"/>
        <v>0.14537428154851961</v>
      </c>
      <c r="BV29" s="11">
        <f t="shared" si="71"/>
        <v>0</v>
      </c>
      <c r="BW29" s="7">
        <f t="shared" si="72"/>
        <v>1</v>
      </c>
      <c r="BX29" s="10">
        <f t="shared" si="73"/>
        <v>0.14537428154851961</v>
      </c>
      <c r="BY29" s="328">
        <f t="shared" si="74"/>
        <v>1</v>
      </c>
      <c r="BZ29" s="7">
        <f t="shared" si="75"/>
        <v>0</v>
      </c>
      <c r="CA29" s="8">
        <f t="shared" si="76"/>
        <v>0.14537428154851961</v>
      </c>
      <c r="CB29" s="6">
        <f t="shared" si="110"/>
        <v>0</v>
      </c>
      <c r="CC29" s="7">
        <f t="shared" si="111"/>
        <v>0</v>
      </c>
      <c r="CD29" s="7">
        <f t="shared" si="112"/>
        <v>-1</v>
      </c>
      <c r="CE29" s="8">
        <f t="shared" si="113"/>
        <v>0.14537428154851961</v>
      </c>
      <c r="CF29" s="6">
        <f t="shared" si="114"/>
        <v>0.80059624759117487</v>
      </c>
      <c r="CG29" s="7">
        <f t="shared" si="115"/>
        <v>-0.54072642560476181</v>
      </c>
      <c r="CH29" s="7">
        <f t="shared" si="116"/>
        <v>0</v>
      </c>
      <c r="CI29" s="6">
        <f t="shared" si="77"/>
        <v>0</v>
      </c>
      <c r="CJ29" s="7">
        <f t="shared" si="78"/>
        <v>9.7635169160888782E-2</v>
      </c>
      <c r="CK29" s="10">
        <f t="shared" si="79"/>
        <v>0.14537428154851961</v>
      </c>
      <c r="CL29" s="328">
        <f t="shared" si="80"/>
        <v>0.80059624759117487</v>
      </c>
      <c r="CM29" s="7">
        <f t="shared" si="81"/>
        <v>-0.44309125644387304</v>
      </c>
      <c r="CN29" s="8">
        <f t="shared" si="82"/>
        <v>0.14537428154851961</v>
      </c>
      <c r="CO29" s="296">
        <f t="shared" si="201"/>
        <v>0.3125</v>
      </c>
      <c r="CP29" s="6">
        <f t="shared" si="202"/>
        <v>0.93333941900437178</v>
      </c>
      <c r="CQ29" s="7">
        <f t="shared" si="203"/>
        <v>-4.4707076390936367</v>
      </c>
      <c r="CR29" s="7">
        <f t="shared" si="117"/>
        <v>5.3032235281734499</v>
      </c>
      <c r="CS29" s="10">
        <f t="shared" si="118"/>
        <v>0.18839652770730808</v>
      </c>
      <c r="CT29" s="11">
        <f t="shared" si="119"/>
        <v>2.6275298287098283</v>
      </c>
      <c r="CU29" s="8">
        <f t="shared" si="120"/>
        <v>2.1624828377033274</v>
      </c>
      <c r="CV29" s="6">
        <f t="shared" si="204"/>
        <v>2.1035905212989712</v>
      </c>
      <c r="CW29" s="7">
        <f t="shared" si="121"/>
        <v>-1.3231396432872689</v>
      </c>
      <c r="CX29" s="10">
        <f t="shared" si="122"/>
        <v>0.14537428154851961</v>
      </c>
      <c r="CY29" s="11">
        <f t="shared" si="123"/>
        <v>1.7312756453455995</v>
      </c>
      <c r="CZ29" s="7">
        <f t="shared" si="124"/>
        <v>-1.0716764461020738</v>
      </c>
      <c r="DA29" s="8">
        <f t="shared" si="125"/>
        <v>0.14537428154851961</v>
      </c>
      <c r="DB29" s="6">
        <f t="shared" si="126"/>
        <v>0</v>
      </c>
      <c r="DC29" s="7">
        <f t="shared" si="126"/>
        <v>0</v>
      </c>
      <c r="DD29" s="12">
        <f t="shared" si="127"/>
        <v>-10</v>
      </c>
      <c r="DE29" s="11">
        <f t="shared" si="128"/>
        <v>0</v>
      </c>
      <c r="DF29" s="7">
        <f t="shared" si="128"/>
        <v>0</v>
      </c>
      <c r="DG29" s="12">
        <f t="shared" si="129"/>
        <v>10</v>
      </c>
      <c r="DH29" s="174">
        <f t="shared" si="130"/>
        <v>2.1642999999999999</v>
      </c>
      <c r="DI29" s="6">
        <f t="shared" si="131"/>
        <v>0</v>
      </c>
      <c r="DJ29" s="7">
        <f t="shared" si="132"/>
        <v>0</v>
      </c>
      <c r="DK29" s="12">
        <f t="shared" si="133"/>
        <v>20</v>
      </c>
      <c r="DL29" s="11">
        <f t="shared" si="134"/>
        <v>2.1035905212989712</v>
      </c>
      <c r="DM29" s="328">
        <f t="shared" si="135"/>
        <v>-1.3231396432872689</v>
      </c>
      <c r="DN29" s="376">
        <f t="shared" si="136"/>
        <v>10.14537428154852</v>
      </c>
      <c r="DO29" s="11">
        <f t="shared" si="137"/>
        <v>-0.37231487595337165</v>
      </c>
      <c r="DP29" s="328">
        <f t="shared" si="138"/>
        <v>0.25146319718519505</v>
      </c>
      <c r="DQ29" s="13">
        <f t="shared" si="139"/>
        <v>0</v>
      </c>
      <c r="DR29" s="328">
        <f t="shared" si="140"/>
        <v>202.9074856309704</v>
      </c>
      <c r="DS29" s="7">
        <f t="shared" si="141"/>
        <v>0</v>
      </c>
      <c r="DT29" s="7">
        <f t="shared" si="142"/>
        <v>400</v>
      </c>
      <c r="DU29" s="7">
        <f t="shared" si="143"/>
        <v>0.2018521063947748</v>
      </c>
      <c r="DV29" s="7">
        <f t="shared" si="144"/>
        <v>-1.1159189690176099</v>
      </c>
      <c r="DW29" s="7">
        <f t="shared" si="145"/>
        <v>109.10441090964339</v>
      </c>
      <c r="DX29" s="296">
        <f t="shared" si="146"/>
        <v>104.4202164196434</v>
      </c>
      <c r="DY29" s="11">
        <f t="shared" si="147"/>
        <v>80.740842557909914</v>
      </c>
      <c r="DZ29" s="7">
        <f t="shared" si="148"/>
        <v>-446.36758760704396</v>
      </c>
      <c r="EA29" s="12">
        <f t="shared" si="149"/>
        <v>596.63884277490433</v>
      </c>
      <c r="EB29" s="8">
        <f t="shared" si="150"/>
        <v>151070.90039770995</v>
      </c>
      <c r="EC29" s="328">
        <f t="shared" si="151"/>
        <v>10.342299676728642</v>
      </c>
      <c r="ED29" s="7">
        <f t="shared" si="152"/>
        <v>0.71449818333566961</v>
      </c>
      <c r="EE29" s="6">
        <f t="shared" si="153"/>
        <v>-1.7470014999148487</v>
      </c>
      <c r="EF29" s="7">
        <f t="shared" si="154"/>
        <v>1.2775680996703247</v>
      </c>
      <c r="EG29" s="12">
        <f t="shared" si="155"/>
        <v>0.14537428154851961</v>
      </c>
      <c r="EH29" s="11">
        <f t="shared" si="156"/>
        <v>1.8375722188014421</v>
      </c>
      <c r="EI29" s="7">
        <f t="shared" si="157"/>
        <v>-1.1434696457226676</v>
      </c>
      <c r="EJ29" s="8">
        <f t="shared" si="158"/>
        <v>0.14537428154851961</v>
      </c>
      <c r="EK29" s="491" t="b">
        <f t="shared" si="159"/>
        <v>0</v>
      </c>
      <c r="EL29" s="493" t="b">
        <f t="shared" si="160"/>
        <v>1</v>
      </c>
      <c r="EM29" s="6">
        <f t="shared" si="161"/>
        <v>1.8375722188014421</v>
      </c>
      <c r="EN29" s="7">
        <f t="shared" si="162"/>
        <v>-1.1434696457226676</v>
      </c>
      <c r="EO29" s="12">
        <f t="shared" si="163"/>
        <v>0.14537428154851961</v>
      </c>
      <c r="EP29" s="11">
        <f t="shared" si="164"/>
        <v>328.1071543178499</v>
      </c>
      <c r="EQ29" s="7">
        <f t="shared" si="165"/>
        <v>2.164299999999995</v>
      </c>
      <c r="ER29" s="9">
        <f t="shared" si="166"/>
        <v>0.14537428154851961</v>
      </c>
      <c r="ES29" s="24">
        <f t="shared" si="167"/>
        <v>-0.54072642560476181</v>
      </c>
      <c r="ET29" s="7">
        <f t="shared" si="168"/>
        <v>-0.80059624759117443</v>
      </c>
      <c r="EU29" s="12">
        <f t="shared" si="169"/>
        <v>-0.25818710462691369</v>
      </c>
      <c r="EV29" s="337">
        <f t="shared" si="15"/>
        <v>121.8928456821501</v>
      </c>
      <c r="EW29" s="11">
        <f t="shared" si="16"/>
        <v>0.9654196171368985</v>
      </c>
      <c r="EX29" s="7">
        <f t="shared" si="17"/>
        <v>-3.6116226984769517E-2</v>
      </c>
      <c r="EY29" s="8">
        <f t="shared" si="170"/>
        <v>-0.25818710462691369</v>
      </c>
      <c r="EZ29" s="123">
        <f t="shared" si="171"/>
        <v>1.0532134423852904</v>
      </c>
      <c r="FA29" s="534">
        <f t="shared" si="18"/>
        <v>-0.52824306346796945</v>
      </c>
      <c r="FB29" s="535">
        <f t="shared" si="19"/>
        <v>-0.84889422455096153</v>
      </c>
      <c r="FC29" s="537">
        <f t="shared" si="20"/>
        <v>-1.8381007099624327E-2</v>
      </c>
      <c r="FD29" s="6">
        <f t="shared" si="21"/>
        <v>0.99983105501779823</v>
      </c>
      <c r="FE29" s="7">
        <f t="shared" si="22"/>
        <v>1.6653345369377348E-16</v>
      </c>
      <c r="FF29" s="9">
        <f t="shared" si="172"/>
        <v>-1.8381007099624327E-2</v>
      </c>
      <c r="FG29" s="328">
        <f t="shared" si="23"/>
        <v>-3.4411437880899731E-2</v>
      </c>
      <c r="FH29" s="7">
        <f t="shared" si="24"/>
        <v>-3.6116226984769684E-2</v>
      </c>
      <c r="FI29" s="12">
        <f t="shared" si="25"/>
        <v>-0.23980609752728937</v>
      </c>
      <c r="FJ29" s="547">
        <f t="shared" si="173"/>
        <v>14.069336663034189</v>
      </c>
      <c r="FK29" s="6">
        <f t="shared" si="26"/>
        <v>0.96609493270815328</v>
      </c>
      <c r="FL29" s="7">
        <f t="shared" si="174"/>
        <v>0.99983105501779823</v>
      </c>
      <c r="FM29" s="10">
        <f t="shared" si="175"/>
        <v>4.9885157197772027E-2</v>
      </c>
      <c r="FN29" s="11">
        <f t="shared" si="176"/>
        <v>2.1424288674178844</v>
      </c>
      <c r="FO29" s="12">
        <f t="shared" si="27"/>
        <v>1</v>
      </c>
      <c r="FP29" s="545">
        <f t="shared" si="28"/>
        <v>2.1424288674178844</v>
      </c>
      <c r="FQ29" s="328">
        <f t="shared" si="205"/>
        <v>3.7383724685864032E-2</v>
      </c>
      <c r="FR29" s="12">
        <f t="shared" si="177"/>
        <v>0.99930098425279834</v>
      </c>
      <c r="FS29" s="11">
        <f t="shared" si="178"/>
        <v>3.6060843150794386E-2</v>
      </c>
      <c r="FT29" s="8">
        <f t="shared" si="179"/>
        <v>0.96393915684920561</v>
      </c>
      <c r="FU29" s="6">
        <f t="shared" si="180"/>
        <v>0.9993475962588716</v>
      </c>
      <c r="FV29" s="7">
        <f t="shared" si="181"/>
        <v>1</v>
      </c>
      <c r="FW29" s="10">
        <f t="shared" si="206"/>
        <v>0.24226248464898326</v>
      </c>
      <c r="FX29" s="11">
        <f t="shared" si="207"/>
        <v>13.919301540949526</v>
      </c>
      <c r="FY29" s="12">
        <f t="shared" si="29"/>
        <v>1</v>
      </c>
      <c r="FZ29" s="545">
        <f t="shared" si="208"/>
        <v>13.919301540949526</v>
      </c>
      <c r="GA29" s="372">
        <f t="shared" si="182"/>
        <v>13.909515252538952</v>
      </c>
      <c r="GB29" s="46">
        <f t="shared" si="183"/>
        <v>-3.6285970286297299E-2</v>
      </c>
      <c r="GC29" s="47">
        <f t="shared" si="184"/>
        <v>0.96995701007224189</v>
      </c>
      <c r="GD29" s="578">
        <f t="shared" si="185"/>
        <v>-0.24055503938204806</v>
      </c>
      <c r="GE29" s="585">
        <f t="shared" si="186"/>
        <v>1.2467980197405872</v>
      </c>
      <c r="GF29" s="634">
        <f t="shared" si="209"/>
        <v>0.80205453021818496</v>
      </c>
      <c r="GG29" s="553">
        <f t="shared" si="30"/>
        <v>2.9103326851487199E-2</v>
      </c>
      <c r="GH29" s="554">
        <f t="shared" si="31"/>
        <v>0.77795841404532728</v>
      </c>
      <c r="GI29" s="549">
        <f t="shared" si="32"/>
        <v>0.19293825910318554</v>
      </c>
      <c r="GJ29" s="296">
        <f t="shared" si="187"/>
        <v>2.1642999999999999</v>
      </c>
      <c r="GK29" s="337">
        <f t="shared" si="33"/>
        <v>1.1334163150265675</v>
      </c>
      <c r="GL29" s="337">
        <f t="shared" si="188"/>
        <v>4.24E-2</v>
      </c>
      <c r="GM29" s="372">
        <f t="shared" si="210"/>
        <v>0.57668222108551759</v>
      </c>
      <c r="GN29" s="548">
        <f t="shared" si="189"/>
        <v>4.7658307637019295E-2</v>
      </c>
      <c r="GO29" s="6">
        <f t="shared" si="190"/>
        <v>2.1424288674178844</v>
      </c>
      <c r="GP29" s="10">
        <f t="shared" si="211"/>
        <v>13.919301540949526</v>
      </c>
      <c r="GQ29" s="372">
        <f t="shared" si="191"/>
        <v>14.069336663034189</v>
      </c>
      <c r="GR29" s="697">
        <f t="shared" si="212"/>
        <v>3587.2307279072616</v>
      </c>
      <c r="GS29" s="637">
        <f t="shared" si="35"/>
        <v>104.40034836598338</v>
      </c>
      <c r="GT29" s="638">
        <f t="shared" si="36"/>
        <v>92.111210136882676</v>
      </c>
      <c r="GU29" s="639">
        <f t="shared" si="37"/>
        <v>2790.7163278973981</v>
      </c>
      <c r="GV29" s="638">
        <f t="shared" si="192"/>
        <v>2462.2164785337354</v>
      </c>
      <c r="GW29" s="640">
        <f t="shared" si="38"/>
        <v>58071.143361644703</v>
      </c>
      <c r="GX29" s="641">
        <f t="shared" si="39"/>
        <v>444.08126037421357</v>
      </c>
      <c r="GY29" s="639">
        <f t="shared" si="40"/>
        <v>692.11405164388009</v>
      </c>
      <c r="GZ29" s="640">
        <f t="shared" si="41"/>
        <v>610.64415825676269</v>
      </c>
      <c r="HA29" s="637">
        <f t="shared" si="42"/>
        <v>104.40034836598338</v>
      </c>
      <c r="HB29" s="7">
        <f t="shared" si="193"/>
        <v>121.8928456821501</v>
      </c>
      <c r="HC29" s="638">
        <f t="shared" si="194"/>
        <v>-55.158078528565589</v>
      </c>
      <c r="HD29" s="682">
        <f t="shared" si="195"/>
        <v>88.639828023159438</v>
      </c>
      <c r="HE29" s="639">
        <f t="shared" si="43"/>
        <v>2462.2164785337354</v>
      </c>
      <c r="HF29" s="7">
        <f t="shared" si="44"/>
        <v>211.8928456821501</v>
      </c>
      <c r="HG29" s="638">
        <f t="shared" si="196"/>
        <v>-2090.5145301615848</v>
      </c>
      <c r="HH29" s="644">
        <f t="shared" si="197"/>
        <v>-1300.8685507561306</v>
      </c>
      <c r="HI29" s="596">
        <f t="shared" si="198"/>
        <v>3.11</v>
      </c>
      <c r="HJ29" s="625"/>
      <c r="HK29" s="1232">
        <f t="shared" si="83"/>
        <v>21</v>
      </c>
      <c r="HL29" s="583">
        <f t="shared" si="84"/>
        <v>3.6187999999999998</v>
      </c>
      <c r="HM29" s="643">
        <f t="shared" ref="HM29:IA38" si="216">IF(ISNUMBER($HL29),VLOOKUP($HL29,$GJ$9:$HI$130,HM$1,FALSE),"")</f>
        <v>4.1210000000000004</v>
      </c>
      <c r="HN29" s="660">
        <f t="shared" si="216"/>
        <v>18.826687685408963</v>
      </c>
      <c r="HO29" s="661">
        <f t="shared" si="216"/>
        <v>9.6353375557967862</v>
      </c>
      <c r="HP29" s="656">
        <f t="shared" si="216"/>
        <v>20.821288484638998</v>
      </c>
      <c r="HQ29" s="660">
        <f t="shared" si="216"/>
        <v>2.2200000000000001E-2</v>
      </c>
      <c r="HR29" s="671">
        <f t="shared" si="216"/>
        <v>4.1718215936117055E-2</v>
      </c>
      <c r="HS29" s="655">
        <f t="shared" si="216"/>
        <v>3713.954783161354</v>
      </c>
      <c r="HT29" s="648">
        <f t="shared" si="216"/>
        <v>832.89540760766522</v>
      </c>
      <c r="HU29" s="649">
        <f t="shared" si="216"/>
        <v>2442.8837731795052</v>
      </c>
      <c r="HV29" s="650">
        <f t="shared" si="216"/>
        <v>438.17560237418365</v>
      </c>
      <c r="HW29" s="648">
        <f t="shared" si="216"/>
        <v>439.54264184097678</v>
      </c>
      <c r="HX29" s="649">
        <f t="shared" si="216"/>
        <v>1289.1793826285125</v>
      </c>
      <c r="HY29" s="650">
        <f t="shared" si="216"/>
        <v>231.23775218188339</v>
      </c>
      <c r="HZ29" s="648">
        <f t="shared" si="216"/>
        <v>58071.143361644703</v>
      </c>
      <c r="IA29" s="649">
        <f t="shared" si="216"/>
        <v>388.77352915467173</v>
      </c>
      <c r="IB29" s="716"/>
      <c r="IC29" s="717">
        <f>HS29/[1]Assy.Model!HS29</f>
        <v>1.089000976066709</v>
      </c>
      <c r="ID29" s="717">
        <f>HT29/[1]Assy.Model!HT29</f>
        <v>1.061435188226209</v>
      </c>
      <c r="IE29" s="717">
        <f>HU29/[1]Assy.Model!HU29</f>
        <v>1.0825234524328948</v>
      </c>
      <c r="IF29" s="717">
        <f>HV29/[1]Assy.Model!HV29</f>
        <v>1.1872132221921801</v>
      </c>
    </row>
    <row r="30" spans="2:240" s="35" customFormat="1" ht="15" customHeight="1" x14ac:dyDescent="0.25">
      <c r="B30" s="143">
        <v>2.5628477512823231</v>
      </c>
      <c r="C30" s="144">
        <v>-1.576497771828681</v>
      </c>
      <c r="D30" s="145">
        <v>-0.31550095155086993</v>
      </c>
      <c r="E30" s="146">
        <v>0.67904308753029707</v>
      </c>
      <c r="F30" s="144">
        <v>0.70389054562942599</v>
      </c>
      <c r="G30" s="147">
        <v>0.20841925307137604</v>
      </c>
      <c r="H30" s="146">
        <v>0.314</v>
      </c>
      <c r="I30" s="144">
        <v>0.52</v>
      </c>
      <c r="J30" s="306">
        <v>3.1160000000000001</v>
      </c>
      <c r="K30" s="699" t="str">
        <f t="shared" si="199"/>
        <v>1613</v>
      </c>
      <c r="M30" s="292">
        <f>IF(J30="","",J30)</f>
        <v>3.1160000000000001</v>
      </c>
      <c r="N30" s="24">
        <f>IF(M30="","",B30)</f>
        <v>2.5628477512823231</v>
      </c>
      <c r="O30" s="7">
        <f>IF(M30="","",C30)</f>
        <v>-1.576497771828681</v>
      </c>
      <c r="P30" s="12">
        <f>IF(M30="","",D30)</f>
        <v>-0.31550095155086993</v>
      </c>
      <c r="Q30" s="11">
        <f t="shared" si="85"/>
        <v>328.40286557888493</v>
      </c>
      <c r="R30" s="7">
        <f>IF(M30="","",SQRT(N30^2+O30^2))</f>
        <v>3.0089090748697704</v>
      </c>
      <c r="S30" s="8">
        <f>IF(M30="","",P30)</f>
        <v>-0.31550095155086993</v>
      </c>
      <c r="T30" s="6">
        <f>IF(M30="","",X30*COS(RADIANS(W30)))</f>
        <v>-1.5356413961265976</v>
      </c>
      <c r="U30" s="7">
        <f>IF(M30="","",X30*SIN(RADIANS(W30)))</f>
        <v>-2.5875353762482192</v>
      </c>
      <c r="V30" s="10">
        <f>IF(M30="","",Y30)</f>
        <v>-0.31550095155086993</v>
      </c>
      <c r="W30" s="11">
        <f t="shared" si="214"/>
        <v>239.31186544764159</v>
      </c>
      <c r="X30" s="7">
        <f>IF(M30="","",R30)</f>
        <v>3.0089090748697704</v>
      </c>
      <c r="Y30" s="9">
        <f t="shared" si="213"/>
        <v>-0.31550095155086993</v>
      </c>
      <c r="Z30" s="24">
        <f>IF(M30="","",-E30)</f>
        <v>-0.67904308753029707</v>
      </c>
      <c r="AA30" s="7">
        <f>IF(M30="","",-F30)</f>
        <v>-0.70389054562942599</v>
      </c>
      <c r="AB30" s="7">
        <f>IF(M30="","",-G30)</f>
        <v>-0.20841925307137604</v>
      </c>
      <c r="AC30" s="10">
        <f>IF(M30="","",SQRT(Z30^2+AA30^2+AB30^2))</f>
        <v>1</v>
      </c>
      <c r="AD30" s="11">
        <f>IF(M30="","",Z30*(1/SQRT(Z30^2+AA30^2+AB30^2)))</f>
        <v>-0.67904308753029707</v>
      </c>
      <c r="AE30" s="7">
        <f>IF(M30="","",AA30*(1/SQRT(Z30^2+AA30^2+AB30^2)))</f>
        <v>-0.70389054562942599</v>
      </c>
      <c r="AF30" s="12">
        <f>IF(M30="","",AB30*(1/SQRT(Z30^2+AA30^2+AB30^2)))</f>
        <v>-0.20841925307137604</v>
      </c>
      <c r="AG30" s="6">
        <f>IF(M30="","",DEGREES(ATAN2(-AF30,AE30)))</f>
        <v>-73.506183288601378</v>
      </c>
      <c r="AH30" s="12">
        <f>IF(M30="","",DEGREES(ACOS(AD30)))</f>
        <v>132.76891170750133</v>
      </c>
      <c r="AI30" s="11">
        <f>IF(M30="","",DEGREES(-ACOS(-AF30)))</f>
        <v>-77.970267493167384</v>
      </c>
      <c r="AJ30" s="8">
        <f>IF(M30="","",DEGREES(ATAN2(-AE30,AD30)))</f>
        <v>-43.970665488756495</v>
      </c>
      <c r="AK30" s="6">
        <f>IF(M30="","",(COS(RADIANS((90-$Q$8)-W30))*AD30)+(-SIN(RADIANS((90-$Q$8)-W30))*AE30))</f>
        <v>0.95532106320190291</v>
      </c>
      <c r="AL30" s="7">
        <f>IF(M30="","",(SIN(RADIANS((90-$Q$8)-W30))*AD30)+(COS(RADIANS((90-$Q$8)-W30))*AE30))</f>
        <v>-0.20957834132360958</v>
      </c>
      <c r="AM30" s="8">
        <f>IF(M30="","",AF30)</f>
        <v>-0.20841925307137604</v>
      </c>
      <c r="AN30" s="6">
        <f>IF(M30="","",DEGREES(ATAN2(-AM30,AL30)))</f>
        <v>-45.158878174444837</v>
      </c>
      <c r="AO30" s="10">
        <f t="shared" si="3"/>
        <v>17.191724396514115</v>
      </c>
      <c r="AP30" s="11">
        <f>IF(M30="","",DEGREES(ATAN2(AK30,AL30)))</f>
        <v>-12.373531067641446</v>
      </c>
      <c r="AQ30" s="8">
        <f t="shared" si="200"/>
        <v>0.75770302982182136</v>
      </c>
      <c r="AS30" s="123">
        <f t="shared" si="90"/>
        <v>-120.68813455235841</v>
      </c>
      <c r="AT30" s="174">
        <f>IF(M30="","",Y30+(((AS30-$AS$9)*$AS$6)*-1))</f>
        <v>-0.23105849709176224</v>
      </c>
      <c r="AV30" s="292">
        <f t="shared" si="91"/>
        <v>3.1160000000000001</v>
      </c>
      <c r="AW30" s="709">
        <v>3.0596999999999999</v>
      </c>
      <c r="AX30" s="710">
        <v>0.25369999999999998</v>
      </c>
      <c r="AY30" s="711">
        <v>3.4099999999999998E-2</v>
      </c>
      <c r="AZ30" s="565">
        <f t="shared" si="92"/>
        <v>0.65561640483708383</v>
      </c>
      <c r="BA30" s="564">
        <f t="shared" si="93"/>
        <v>5.4181605000388676E-2</v>
      </c>
      <c r="BB30" s="372">
        <f t="shared" si="94"/>
        <v>0.23475849709176222</v>
      </c>
      <c r="BC30" s="11"/>
      <c r="BD30" s="7">
        <f t="shared" si="95"/>
        <v>3.0596999999999999</v>
      </c>
      <c r="BE30" s="8">
        <f t="shared" si="96"/>
        <v>-8.0742454459107715E-2</v>
      </c>
      <c r="BF30" s="6">
        <f t="shared" si="97"/>
        <v>2.5628477512823231</v>
      </c>
      <c r="BG30" s="7">
        <f t="shared" si="98"/>
        <v>-1.576497771828681</v>
      </c>
      <c r="BH30" s="12">
        <f t="shared" si="99"/>
        <v>-0.31550095155086993</v>
      </c>
      <c r="BI30" s="11">
        <f t="shared" si="100"/>
        <v>2.5628477512823231</v>
      </c>
      <c r="BJ30" s="7">
        <f t="shared" si="101"/>
        <v>-1.2925859034006193</v>
      </c>
      <c r="BK30" s="10">
        <f t="shared" si="102"/>
        <v>-1.2743513314150523</v>
      </c>
      <c r="BL30" s="328">
        <f t="shared" si="103"/>
        <v>3.2969461678977803</v>
      </c>
      <c r="BM30" s="7">
        <f t="shared" si="104"/>
        <v>-2.2275984942512537</v>
      </c>
      <c r="BN30" s="8">
        <f t="shared" si="105"/>
        <v>-0.50828934327475639</v>
      </c>
      <c r="BO30" s="6">
        <f t="shared" si="106"/>
        <v>-0.67904308753029685</v>
      </c>
      <c r="BP30" s="7">
        <f t="shared" si="107"/>
        <v>-0.70389054562942577</v>
      </c>
      <c r="BQ30" s="7">
        <f t="shared" si="108"/>
        <v>-0.20841925307137621</v>
      </c>
      <c r="BR30" s="8">
        <f t="shared" si="109"/>
        <v>0.56484570043922244</v>
      </c>
      <c r="BS30" s="6">
        <f t="shared" si="69"/>
        <v>0</v>
      </c>
      <c r="BT30" s="7">
        <f t="shared" si="69"/>
        <v>0</v>
      </c>
      <c r="BU30" s="12">
        <f t="shared" si="70"/>
        <v>-8.0742454459107715E-2</v>
      </c>
      <c r="BV30" s="11">
        <f t="shared" si="71"/>
        <v>0</v>
      </c>
      <c r="BW30" s="7">
        <f t="shared" si="72"/>
        <v>1</v>
      </c>
      <c r="BX30" s="10">
        <f t="shared" si="73"/>
        <v>-8.0742454459107715E-2</v>
      </c>
      <c r="BY30" s="328">
        <f t="shared" si="74"/>
        <v>1</v>
      </c>
      <c r="BZ30" s="7">
        <f t="shared" si="75"/>
        <v>0</v>
      </c>
      <c r="CA30" s="8">
        <f t="shared" si="76"/>
        <v>-8.0742454459107715E-2</v>
      </c>
      <c r="CB30" s="6">
        <f t="shared" si="110"/>
        <v>0</v>
      </c>
      <c r="CC30" s="7">
        <f t="shared" si="111"/>
        <v>0</v>
      </c>
      <c r="CD30" s="7">
        <f t="shared" si="112"/>
        <v>-1</v>
      </c>
      <c r="CE30" s="8">
        <f t="shared" si="113"/>
        <v>-8.0742454459107715E-2</v>
      </c>
      <c r="CF30" s="6">
        <f t="shared" si="114"/>
        <v>0.70389054562942577</v>
      </c>
      <c r="CG30" s="7">
        <f t="shared" si="115"/>
        <v>-0.67904308753029685</v>
      </c>
      <c r="CH30" s="7">
        <f t="shared" si="116"/>
        <v>0</v>
      </c>
      <c r="CI30" s="6">
        <f t="shared" si="77"/>
        <v>0</v>
      </c>
      <c r="CJ30" s="7">
        <f t="shared" si="78"/>
        <v>0.8263699322294501</v>
      </c>
      <c r="CK30" s="10">
        <f t="shared" si="79"/>
        <v>-8.0742454459107715E-2</v>
      </c>
      <c r="CL30" s="328">
        <f t="shared" si="80"/>
        <v>0.70389054562942577</v>
      </c>
      <c r="CM30" s="7">
        <f t="shared" si="81"/>
        <v>0.14732684469915325</v>
      </c>
      <c r="CN30" s="8">
        <f t="shared" si="82"/>
        <v>-8.0742454459107715E-2</v>
      </c>
      <c r="CO30" s="296">
        <f t="shared" si="201"/>
        <v>0.3125</v>
      </c>
      <c r="CP30" s="6">
        <f t="shared" si="202"/>
        <v>0.95656141494916913</v>
      </c>
      <c r="CQ30" s="7">
        <f t="shared" si="203"/>
        <v>-6.871230013411461</v>
      </c>
      <c r="CR30" s="7">
        <f t="shared" si="117"/>
        <v>12.299417101415239</v>
      </c>
      <c r="CS30" s="10">
        <f t="shared" si="118"/>
        <v>0.15321059488739053</v>
      </c>
      <c r="CT30" s="11">
        <f t="shared" si="119"/>
        <v>3.7962284228845982</v>
      </c>
      <c r="CU30" s="8">
        <f t="shared" si="120"/>
        <v>3.3870322711259297</v>
      </c>
      <c r="CV30" s="6">
        <f t="shared" si="204"/>
        <v>2.6721292959181744</v>
      </c>
      <c r="CW30" s="7">
        <f t="shared" si="121"/>
        <v>-1.7514327370163767</v>
      </c>
      <c r="CX30" s="10">
        <f t="shared" si="122"/>
        <v>-8.0742454459107715E-2</v>
      </c>
      <c r="CY30" s="11">
        <f t="shared" si="123"/>
        <v>2.3840999933873039</v>
      </c>
      <c r="CZ30" s="7">
        <f t="shared" si="124"/>
        <v>-1.4735709187206547</v>
      </c>
      <c r="DA30" s="8">
        <f t="shared" si="125"/>
        <v>-8.0742454459107715E-2</v>
      </c>
      <c r="DB30" s="6">
        <f t="shared" si="126"/>
        <v>0</v>
      </c>
      <c r="DC30" s="7">
        <f t="shared" si="126"/>
        <v>0</v>
      </c>
      <c r="DD30" s="12">
        <f t="shared" si="127"/>
        <v>-10</v>
      </c>
      <c r="DE30" s="11">
        <f t="shared" si="128"/>
        <v>0</v>
      </c>
      <c r="DF30" s="7">
        <f t="shared" si="128"/>
        <v>0</v>
      </c>
      <c r="DG30" s="12">
        <f t="shared" si="129"/>
        <v>10</v>
      </c>
      <c r="DH30" s="174">
        <f t="shared" si="130"/>
        <v>3.0596999999999999</v>
      </c>
      <c r="DI30" s="6">
        <f t="shared" si="131"/>
        <v>0</v>
      </c>
      <c r="DJ30" s="7">
        <f t="shared" si="132"/>
        <v>0</v>
      </c>
      <c r="DK30" s="12">
        <f t="shared" si="133"/>
        <v>20</v>
      </c>
      <c r="DL30" s="11">
        <f t="shared" si="134"/>
        <v>2.6721292959181744</v>
      </c>
      <c r="DM30" s="328">
        <f t="shared" si="135"/>
        <v>-1.7514327370163767</v>
      </c>
      <c r="DN30" s="376">
        <f t="shared" si="136"/>
        <v>9.9192575455408925</v>
      </c>
      <c r="DO30" s="11">
        <f t="shared" si="137"/>
        <v>-0.28802930253087045</v>
      </c>
      <c r="DP30" s="328">
        <f t="shared" si="138"/>
        <v>0.27786181829572199</v>
      </c>
      <c r="DQ30" s="13">
        <f t="shared" si="139"/>
        <v>0</v>
      </c>
      <c r="DR30" s="328">
        <f t="shared" si="140"/>
        <v>198.38515091081786</v>
      </c>
      <c r="DS30" s="7">
        <f t="shared" si="141"/>
        <v>0</v>
      </c>
      <c r="DT30" s="7">
        <f t="shared" si="142"/>
        <v>400</v>
      </c>
      <c r="DU30" s="7">
        <f t="shared" si="143"/>
        <v>0.16016806918302451</v>
      </c>
      <c r="DV30" s="7">
        <f t="shared" si="144"/>
        <v>-1.2563078223056412</v>
      </c>
      <c r="DW30" s="7">
        <f t="shared" si="145"/>
        <v>108.59946186116677</v>
      </c>
      <c r="DX30" s="296">
        <f t="shared" si="146"/>
        <v>99.237697771166779</v>
      </c>
      <c r="DY30" s="11">
        <f t="shared" si="147"/>
        <v>64.0672276732098</v>
      </c>
      <c r="DZ30" s="7">
        <f t="shared" si="148"/>
        <v>-502.52312892225649</v>
      </c>
      <c r="EA30" s="12">
        <f t="shared" si="149"/>
        <v>338.41100655873743</v>
      </c>
      <c r="EB30" s="8">
        <f t="shared" si="150"/>
        <v>230848.44009749609</v>
      </c>
      <c r="EC30" s="328">
        <f t="shared" si="151"/>
        <v>15.343102279389258</v>
      </c>
      <c r="ED30" s="7">
        <f t="shared" si="152"/>
        <v>0.3442669785875575</v>
      </c>
      <c r="EE30" s="6">
        <f t="shared" si="153"/>
        <v>-1.7471337522741219</v>
      </c>
      <c r="EF30" s="7">
        <f t="shared" si="154"/>
        <v>2.5118295606319596</v>
      </c>
      <c r="EG30" s="12">
        <f t="shared" si="155"/>
        <v>-8.0742454459107715E-2</v>
      </c>
      <c r="EH30" s="11">
        <f t="shared" si="156"/>
        <v>2.57297031819119</v>
      </c>
      <c r="EI30" s="7">
        <f t="shared" si="157"/>
        <v>-1.6557740883668637</v>
      </c>
      <c r="EJ30" s="8">
        <f t="shared" si="158"/>
        <v>-8.0742454459107715E-2</v>
      </c>
      <c r="EK30" s="491" t="b">
        <f t="shared" si="159"/>
        <v>0</v>
      </c>
      <c r="EL30" s="493" t="b">
        <f t="shared" si="160"/>
        <v>1</v>
      </c>
      <c r="EM30" s="6">
        <f t="shared" si="161"/>
        <v>2.57297031819119</v>
      </c>
      <c r="EN30" s="7">
        <f t="shared" si="162"/>
        <v>-1.6557740883668637</v>
      </c>
      <c r="EO30" s="12">
        <f t="shared" si="163"/>
        <v>-8.0742454459107715E-2</v>
      </c>
      <c r="EP30" s="11">
        <f t="shared" si="164"/>
        <v>327.23765309848886</v>
      </c>
      <c r="EQ30" s="7">
        <f t="shared" si="165"/>
        <v>3.0596999999999985</v>
      </c>
      <c r="ER30" s="9">
        <f t="shared" si="166"/>
        <v>-8.0742454459107715E-2</v>
      </c>
      <c r="ES30" s="24">
        <f t="shared" si="167"/>
        <v>-0.67904308753029707</v>
      </c>
      <c r="ET30" s="7">
        <f t="shared" si="168"/>
        <v>-0.70389054562942599</v>
      </c>
      <c r="EU30" s="12">
        <f t="shared" si="169"/>
        <v>-0.20841925307137604</v>
      </c>
      <c r="EV30" s="337">
        <f t="shared" si="15"/>
        <v>122.76234690151114</v>
      </c>
      <c r="EW30" s="11">
        <f t="shared" si="16"/>
        <v>0.95938537450639405</v>
      </c>
      <c r="EX30" s="7">
        <f t="shared" si="17"/>
        <v>-0.19010817481738079</v>
      </c>
      <c r="EY30" s="8">
        <f t="shared" si="170"/>
        <v>-0.20841925307137604</v>
      </c>
      <c r="EZ30" s="123">
        <f t="shared" si="171"/>
        <v>0.74503975513373277</v>
      </c>
      <c r="FA30" s="534">
        <f t="shared" si="18"/>
        <v>-0.54110994682593594</v>
      </c>
      <c r="FB30" s="535">
        <f t="shared" si="19"/>
        <v>-0.84085132255836326</v>
      </c>
      <c r="FC30" s="537">
        <f t="shared" si="20"/>
        <v>-1.3003030334664071E-2</v>
      </c>
      <c r="FD30" s="6">
        <f t="shared" si="21"/>
        <v>0.99991545702730078</v>
      </c>
      <c r="FE30" s="7">
        <f t="shared" si="22"/>
        <v>-3.3306690738754696E-16</v>
      </c>
      <c r="FF30" s="9">
        <f t="shared" si="172"/>
        <v>-1.3003030334664071E-2</v>
      </c>
      <c r="FG30" s="328">
        <f t="shared" si="23"/>
        <v>-4.0530082520906729E-2</v>
      </c>
      <c r="FH30" s="7">
        <f t="shared" si="24"/>
        <v>-0.19010817481738046</v>
      </c>
      <c r="FI30" s="12">
        <f t="shared" si="25"/>
        <v>-0.19541622273671197</v>
      </c>
      <c r="FJ30" s="547">
        <f t="shared" si="173"/>
        <v>15.84279672689134</v>
      </c>
      <c r="FK30" s="6">
        <f t="shared" si="26"/>
        <v>0.97803957739406933</v>
      </c>
      <c r="FL30" s="7">
        <f t="shared" si="174"/>
        <v>0.99991545702730089</v>
      </c>
      <c r="FM30" s="10">
        <f t="shared" si="175"/>
        <v>0.19438056930039896</v>
      </c>
      <c r="FN30" s="11">
        <f t="shared" si="176"/>
        <v>11.208318587245371</v>
      </c>
      <c r="FO30" s="12">
        <f t="shared" si="27"/>
        <v>1</v>
      </c>
      <c r="FP30" s="545">
        <f t="shared" si="28"/>
        <v>11.208318587245371</v>
      </c>
      <c r="FQ30" s="328">
        <f t="shared" si="205"/>
        <v>0.19437677085002361</v>
      </c>
      <c r="FR30" s="12">
        <f t="shared" si="177"/>
        <v>0.98092694475884257</v>
      </c>
      <c r="FS30" s="11">
        <f t="shared" si="178"/>
        <v>0.1653842902634973</v>
      </c>
      <c r="FT30" s="8">
        <f t="shared" si="179"/>
        <v>0.83461570973650268</v>
      </c>
      <c r="FU30" s="6">
        <f t="shared" si="180"/>
        <v>0.98176314957712907</v>
      </c>
      <c r="FV30" s="7">
        <f t="shared" si="181"/>
        <v>1</v>
      </c>
      <c r="FW30" s="10">
        <f t="shared" si="206"/>
        <v>0.19957501771974301</v>
      </c>
      <c r="FX30" s="11">
        <f t="shared" si="207"/>
        <v>11.511591223994344</v>
      </c>
      <c r="FY30" s="12">
        <f t="shared" si="29"/>
        <v>1</v>
      </c>
      <c r="FZ30" s="545">
        <f t="shared" si="208"/>
        <v>11.511591223994344</v>
      </c>
      <c r="GA30" s="372">
        <f t="shared" si="182"/>
        <v>11.30110302167272</v>
      </c>
      <c r="GB30" s="46">
        <f t="shared" si="183"/>
        <v>-0.1904667560381508</v>
      </c>
      <c r="GC30" s="47">
        <f t="shared" si="184"/>
        <v>0.96119496306885188</v>
      </c>
      <c r="GD30" s="578">
        <f t="shared" si="185"/>
        <v>-0.19956617402599039</v>
      </c>
      <c r="GE30" s="585">
        <f t="shared" si="186"/>
        <v>1.3512278931329931</v>
      </c>
      <c r="GF30" s="634">
        <f t="shared" si="209"/>
        <v>0.74006761189733383</v>
      </c>
      <c r="GG30" s="553">
        <f t="shared" si="30"/>
        <v>0.14095827728698634</v>
      </c>
      <c r="GH30" s="554">
        <f t="shared" si="31"/>
        <v>0.71134926088611117</v>
      </c>
      <c r="GI30" s="549">
        <f t="shared" si="32"/>
        <v>0.14769246182690243</v>
      </c>
      <c r="GJ30" s="296">
        <f t="shared" si="187"/>
        <v>3.0596999999999999</v>
      </c>
      <c r="GK30" s="337">
        <f t="shared" si="33"/>
        <v>1.6021906276566078</v>
      </c>
      <c r="GL30" s="337">
        <f t="shared" si="188"/>
        <v>3.4099999999999998E-2</v>
      </c>
      <c r="GM30" s="372">
        <f t="shared" si="210"/>
        <v>0.65561640483708383</v>
      </c>
      <c r="GN30" s="548">
        <f t="shared" si="189"/>
        <v>5.4181605000388676E-2</v>
      </c>
      <c r="GO30" s="6">
        <f t="shared" si="190"/>
        <v>11.208318587245371</v>
      </c>
      <c r="GP30" s="10">
        <f t="shared" si="211"/>
        <v>11.511591223994344</v>
      </c>
      <c r="GQ30" s="372">
        <f t="shared" si="191"/>
        <v>15.84279672689134</v>
      </c>
      <c r="GR30" s="697">
        <f t="shared" si="212"/>
        <v>4460.1150153388899</v>
      </c>
      <c r="GS30" s="637">
        <f t="shared" si="35"/>
        <v>628.69012906399064</v>
      </c>
      <c r="GT30" s="638">
        <f t="shared" si="36"/>
        <v>392.39408732750104</v>
      </c>
      <c r="GU30" s="639">
        <f t="shared" si="37"/>
        <v>3172.6995196283656</v>
      </c>
      <c r="GV30" s="638">
        <f t="shared" si="192"/>
        <v>1980.2259886320842</v>
      </c>
      <c r="GW30" s="640">
        <f t="shared" si="38"/>
        <v>58071.143361644703</v>
      </c>
      <c r="GX30" s="641">
        <f t="shared" si="39"/>
        <v>504.90812145146566</v>
      </c>
      <c r="GY30" s="639">
        <f t="shared" si="40"/>
        <v>658.7253666465333</v>
      </c>
      <c r="GZ30" s="640">
        <f t="shared" si="41"/>
        <v>411.14044438644396</v>
      </c>
      <c r="HA30" s="637">
        <f t="shared" si="42"/>
        <v>628.69012906399064</v>
      </c>
      <c r="HB30" s="7">
        <f t="shared" si="193"/>
        <v>122.76234690151114</v>
      </c>
      <c r="HC30" s="638">
        <f t="shared" si="194"/>
        <v>-340.21924545418676</v>
      </c>
      <c r="HD30" s="682">
        <f t="shared" si="195"/>
        <v>528.67962264974904</v>
      </c>
      <c r="HE30" s="639">
        <f t="shared" si="43"/>
        <v>1980.2259886320842</v>
      </c>
      <c r="HF30" s="7">
        <f t="shared" si="44"/>
        <v>212.76234690151114</v>
      </c>
      <c r="HG30" s="638">
        <f t="shared" si="196"/>
        <v>-1665.2164238523908</v>
      </c>
      <c r="HH30" s="644">
        <f t="shared" si="197"/>
        <v>-1071.6105765557606</v>
      </c>
      <c r="HI30" s="596">
        <f t="shared" si="198"/>
        <v>3.1160000000000001</v>
      </c>
      <c r="HJ30" s="625"/>
      <c r="HK30" s="1232">
        <f t="shared" si="83"/>
        <v>22</v>
      </c>
      <c r="HL30" s="583">
        <f t="shared" si="84"/>
        <v>3.7031999999999998</v>
      </c>
      <c r="HM30" s="643">
        <f t="shared" si="216"/>
        <v>3.1219999999999999</v>
      </c>
      <c r="HN30" s="660">
        <f t="shared" si="216"/>
        <v>20.227476916727657</v>
      </c>
      <c r="HO30" s="661">
        <f t="shared" si="216"/>
        <v>8.7916907780738409</v>
      </c>
      <c r="HP30" s="656">
        <f t="shared" si="216"/>
        <v>21.753513576652431</v>
      </c>
      <c r="HQ30" s="660">
        <f t="shared" si="216"/>
        <v>1.9599999999999999E-2</v>
      </c>
      <c r="HR30" s="671">
        <f t="shared" si="216"/>
        <v>3.7691222855470885E-2</v>
      </c>
      <c r="HS30" s="655">
        <f t="shared" si="216"/>
        <v>3384.104934399465</v>
      </c>
      <c r="HT30" s="648">
        <f t="shared" si="216"/>
        <v>813.247809650318</v>
      </c>
      <c r="HU30" s="649">
        <f t="shared" si="216"/>
        <v>2207.0760850827569</v>
      </c>
      <c r="HV30" s="650">
        <f t="shared" si="216"/>
        <v>363.78103966639026</v>
      </c>
      <c r="HW30" s="648">
        <f t="shared" si="216"/>
        <v>419.39383832485163</v>
      </c>
      <c r="HX30" s="649">
        <f t="shared" si="216"/>
        <v>1138.1944098882361</v>
      </c>
      <c r="HY30" s="650">
        <f t="shared" si="216"/>
        <v>187.60275124638065</v>
      </c>
      <c r="HZ30" s="648">
        <f t="shared" si="216"/>
        <v>58071.143361644703</v>
      </c>
      <c r="IA30" s="649">
        <f t="shared" si="216"/>
        <v>351.24679489150964</v>
      </c>
      <c r="IB30" s="716"/>
      <c r="IC30" s="717">
        <f>HS30/[1]Assy.Model!HS30</f>
        <v>1.14030952621344</v>
      </c>
      <c r="ID30" s="717">
        <f>HT30/[1]Assy.Model!HT30</f>
        <v>1.0961831972650005</v>
      </c>
      <c r="IE30" s="717">
        <f>HU30/[1]Assy.Model!HU30</f>
        <v>1.1539917142758875</v>
      </c>
      <c r="IF30" s="717">
        <f>HV30/[1]Assy.Model!HV30</f>
        <v>1.1612791528919715</v>
      </c>
    </row>
    <row r="31" spans="2:240" s="35" customFormat="1" ht="15" customHeight="1" x14ac:dyDescent="0.25">
      <c r="B31" s="143">
        <v>2.9693513441928721</v>
      </c>
      <c r="C31" s="144">
        <v>-1.8810242214799751</v>
      </c>
      <c r="D31" s="145">
        <v>-0.90320272405941571</v>
      </c>
      <c r="E31" s="146">
        <v>0.80096711722681257</v>
      </c>
      <c r="F31" s="144">
        <v>0.57866545935251423</v>
      </c>
      <c r="G31" s="147">
        <v>0.1536162858349121</v>
      </c>
      <c r="H31" s="146">
        <v>0.314</v>
      </c>
      <c r="I31" s="144">
        <v>0.52</v>
      </c>
      <c r="J31" s="306">
        <v>3.1219999999999999</v>
      </c>
      <c r="K31" s="699" t="str">
        <f t="shared" si="199"/>
        <v>1613</v>
      </c>
      <c r="M31" s="292">
        <f>IF(J31="","",J31)</f>
        <v>3.1219999999999999</v>
      </c>
      <c r="N31" s="24">
        <f>IF(M31="","",B31)</f>
        <v>2.9693513441928721</v>
      </c>
      <c r="O31" s="7">
        <f>IF(M31="","",C31)</f>
        <v>-1.8810242214799751</v>
      </c>
      <c r="P31" s="12">
        <f>IF(M31="","",D31)</f>
        <v>-0.90320272405941571</v>
      </c>
      <c r="Q31" s="11">
        <f t="shared" si="85"/>
        <v>327.64656568808113</v>
      </c>
      <c r="R31" s="7">
        <f>IF(M31="","",SQRT(N31^2+O31^2))</f>
        <v>3.5150106012719737</v>
      </c>
      <c r="S31" s="8">
        <f>IF(M31="","",P31)</f>
        <v>-0.90320272405941571</v>
      </c>
      <c r="T31" s="6">
        <f>IF(M31="","",X31*COS(RADIANS(W31)))</f>
        <v>-1.8336805965323284</v>
      </c>
      <c r="U31" s="7">
        <f>IF(M31="","",X31*SIN(RADIANS(W31)))</f>
        <v>-2.998818933672923</v>
      </c>
      <c r="V31" s="10">
        <f>IF(M31="","",Y31)</f>
        <v>-0.90320272405941571</v>
      </c>
      <c r="W31" s="11">
        <f t="shared" si="214"/>
        <v>238.55556555683779</v>
      </c>
      <c r="X31" s="7">
        <f>IF(M31="","",R31)</f>
        <v>3.5150106012719737</v>
      </c>
      <c r="Y31" s="9">
        <f t="shared" si="213"/>
        <v>-0.90320272405941571</v>
      </c>
      <c r="Z31" s="24">
        <f>IF(M31="","",-E31)</f>
        <v>-0.80096711722681257</v>
      </c>
      <c r="AA31" s="7">
        <f>IF(M31="","",-F31)</f>
        <v>-0.57866545935251423</v>
      </c>
      <c r="AB31" s="7">
        <f>IF(M31="","",-G31)</f>
        <v>-0.1536162858349121</v>
      </c>
      <c r="AC31" s="10">
        <f>IF(M31="","",SQRT(Z31^2+AA31^2+AB31^2))</f>
        <v>1</v>
      </c>
      <c r="AD31" s="11">
        <f>IF(M31="","",Z31*(1/SQRT(Z31^2+AA31^2+AB31^2)))</f>
        <v>-0.80096711722681257</v>
      </c>
      <c r="AE31" s="7">
        <f>IF(M31="","",AA31*(1/SQRT(Z31^2+AA31^2+AB31^2)))</f>
        <v>-0.57866545935251423</v>
      </c>
      <c r="AF31" s="12">
        <f>IF(M31="","",AB31*(1/SQRT(Z31^2+AA31^2+AB31^2)))</f>
        <v>-0.1536162858349121</v>
      </c>
      <c r="AG31" s="6">
        <f>IF(M31="","",DEGREES(ATAN2(-AF31,AE31)))</f>
        <v>-75.132801961446347</v>
      </c>
      <c r="AH31" s="12">
        <f>IF(M31="","",DEGREES(ACOS(AD31)))</f>
        <v>143.22255474059619</v>
      </c>
      <c r="AI31" s="11">
        <f>IF(M31="","",DEGREES(-ACOS(-AF31)))</f>
        <v>-81.163445813235711</v>
      </c>
      <c r="AJ31" s="8">
        <f>IF(M31="","",DEGREES(ATAN2(-AE31,AD31)))</f>
        <v>-54.153453050599033</v>
      </c>
      <c r="AK31" s="6">
        <f>IF(M31="","",(COS(RADIANS((90-$Q$8)-W31))*AD31)+(-SIN(RADIANS((90-$Q$8)-W31))*AE31))</f>
        <v>0.91746511561359401</v>
      </c>
      <c r="AL31" s="7">
        <f>IF(M31="","",(SIN(RADIANS((90-$Q$8)-W31))*AD31)+(COS(RADIANS((90-$Q$8)-W31))*AE31))</f>
        <v>-0.36696021359054892</v>
      </c>
      <c r="AM31" s="8">
        <f>IF(M31="","",AF31)</f>
        <v>-0.1536162858349121</v>
      </c>
      <c r="AN31" s="6">
        <f>IF(M31="","",DEGREES(ATAN2(-AM31,AL31)))</f>
        <v>-67.284918902108984</v>
      </c>
      <c r="AO31" s="10">
        <f t="shared" si="3"/>
        <v>23.441731956865834</v>
      </c>
      <c r="AP31" s="11">
        <f>IF(M31="","",DEGREES(ATAN2(AK31,AL31)))</f>
        <v>-21.800018738680134</v>
      </c>
      <c r="AQ31" s="8">
        <f t="shared" si="200"/>
        <v>0.64859662354065994</v>
      </c>
      <c r="AS31" s="123">
        <f t="shared" si="90"/>
        <v>-121.44443444316221</v>
      </c>
      <c r="AT31" s="174">
        <f>IF(M31="","",Y31+(((AS31-$AS$9)*$AS$6)*-1))</f>
        <v>-0.81823506134280533</v>
      </c>
      <c r="AV31" s="292">
        <f t="shared" si="91"/>
        <v>3.1219999999999999</v>
      </c>
      <c r="AW31" s="439">
        <v>3.7031999999999998</v>
      </c>
      <c r="AX31" s="440">
        <v>-0.40749999999999997</v>
      </c>
      <c r="AY31" s="442">
        <v>1.9599999999999999E-2</v>
      </c>
      <c r="AZ31" s="565">
        <f t="shared" si="92"/>
        <v>0.45607700292820569</v>
      </c>
      <c r="BA31" s="564">
        <f t="shared" si="93"/>
        <v>3.7691222855470885E-2</v>
      </c>
      <c r="BB31" s="444">
        <f t="shared" si="94"/>
        <v>0.16073506134280535</v>
      </c>
      <c r="BC31" s="11"/>
      <c r="BD31" s="7">
        <f t="shared" si="95"/>
        <v>3.7031999999999998</v>
      </c>
      <c r="BE31" s="8">
        <f t="shared" si="96"/>
        <v>-0.74246766271661035</v>
      </c>
      <c r="BF31" s="6">
        <f t="shared" si="97"/>
        <v>2.9693513441928721</v>
      </c>
      <c r="BG31" s="7">
        <f t="shared" si="98"/>
        <v>-1.8810242214799751</v>
      </c>
      <c r="BH31" s="12">
        <f t="shared" si="99"/>
        <v>-0.90320272405941571</v>
      </c>
      <c r="BI31" s="11">
        <f t="shared" si="100"/>
        <v>2.9693513441928721</v>
      </c>
      <c r="BJ31" s="7">
        <f t="shared" si="101"/>
        <v>-1.6244447228926602</v>
      </c>
      <c r="BK31" s="10">
        <f t="shared" si="102"/>
        <v>-1.8697258541006383</v>
      </c>
      <c r="BL31" s="328">
        <f t="shared" si="103"/>
        <v>3.5680596848073729</v>
      </c>
      <c r="BM31" s="7">
        <f t="shared" si="104"/>
        <v>-2.6551774666821291</v>
      </c>
      <c r="BN31" s="8">
        <f t="shared" si="105"/>
        <v>-1.1087144653823984</v>
      </c>
      <c r="BO31" s="6">
        <f t="shared" si="106"/>
        <v>-0.80096711722681224</v>
      </c>
      <c r="BP31" s="7">
        <f t="shared" si="107"/>
        <v>-0.57866545935251401</v>
      </c>
      <c r="BQ31" s="7">
        <f t="shared" si="108"/>
        <v>-0.15361628583491171</v>
      </c>
      <c r="BR31" s="8">
        <f t="shared" si="109"/>
        <v>1.1511223931898278</v>
      </c>
      <c r="BS31" s="6">
        <f t="shared" si="69"/>
        <v>0</v>
      </c>
      <c r="BT31" s="7">
        <f t="shared" si="69"/>
        <v>0</v>
      </c>
      <c r="BU31" s="12">
        <f t="shared" si="70"/>
        <v>-0.74246766271661035</v>
      </c>
      <c r="BV31" s="11">
        <f t="shared" si="71"/>
        <v>0</v>
      </c>
      <c r="BW31" s="7">
        <f t="shared" si="72"/>
        <v>1</v>
      </c>
      <c r="BX31" s="10">
        <f t="shared" si="73"/>
        <v>-0.74246766271661035</v>
      </c>
      <c r="BY31" s="328">
        <f t="shared" si="74"/>
        <v>1</v>
      </c>
      <c r="BZ31" s="7">
        <f t="shared" si="75"/>
        <v>0</v>
      </c>
      <c r="CA31" s="8">
        <f t="shared" si="76"/>
        <v>-0.74246766271661035</v>
      </c>
      <c r="CB31" s="6">
        <f t="shared" si="110"/>
        <v>0</v>
      </c>
      <c r="CC31" s="7">
        <f t="shared" si="111"/>
        <v>0</v>
      </c>
      <c r="CD31" s="7">
        <f t="shared" si="112"/>
        <v>-1</v>
      </c>
      <c r="CE31" s="8">
        <f t="shared" si="113"/>
        <v>-0.74246766271661035</v>
      </c>
      <c r="CF31" s="6">
        <f t="shared" si="114"/>
        <v>0.57866545935251401</v>
      </c>
      <c r="CG31" s="7">
        <f t="shared" si="115"/>
        <v>-0.80096711722681224</v>
      </c>
      <c r="CH31" s="7">
        <f t="shared" si="116"/>
        <v>0</v>
      </c>
      <c r="CI31" s="6">
        <f t="shared" si="77"/>
        <v>0</v>
      </c>
      <c r="CJ31" s="7">
        <f t="shared" si="78"/>
        <v>2.1863712399639788</v>
      </c>
      <c r="CK31" s="10">
        <f t="shared" si="79"/>
        <v>-0.74246766271661035</v>
      </c>
      <c r="CL31" s="328">
        <f t="shared" si="80"/>
        <v>0.57866545935251401</v>
      </c>
      <c r="CM31" s="7">
        <f t="shared" si="81"/>
        <v>1.3854041227371665</v>
      </c>
      <c r="CN31" s="8">
        <f t="shared" si="82"/>
        <v>-0.74246766271661035</v>
      </c>
      <c r="CO31" s="296">
        <f t="shared" si="201"/>
        <v>0.3125</v>
      </c>
      <c r="CP31" s="6">
        <f t="shared" si="202"/>
        <v>0.976402036726286</v>
      </c>
      <c r="CQ31" s="7">
        <f t="shared" si="203"/>
        <v>-9.9522221538811131</v>
      </c>
      <c r="CR31" s="7">
        <f t="shared" si="117"/>
        <v>25.288932754979765</v>
      </c>
      <c r="CS31" s="10">
        <f t="shared" si="118"/>
        <v>0.27806400581670232</v>
      </c>
      <c r="CT31" s="11">
        <f t="shared" si="119"/>
        <v>5.3664062067905522</v>
      </c>
      <c r="CU31" s="8">
        <f t="shared" si="120"/>
        <v>4.8263440943551341</v>
      </c>
      <c r="CV31" s="6">
        <f t="shared" si="204"/>
        <v>3.1053539127246372</v>
      </c>
      <c r="CW31" s="7">
        <f t="shared" si="121"/>
        <v>-2.1119436693571227</v>
      </c>
      <c r="CX31" s="10">
        <f t="shared" si="122"/>
        <v>-0.74246766271661035</v>
      </c>
      <c r="CY31" s="11">
        <f t="shared" si="123"/>
        <v>2.7928386223533068</v>
      </c>
      <c r="CZ31" s="7">
        <f t="shared" si="124"/>
        <v>-1.6793716760363031</v>
      </c>
      <c r="DA31" s="8">
        <f t="shared" si="125"/>
        <v>-0.74246766271661035</v>
      </c>
      <c r="DB31" s="6">
        <f t="shared" si="126"/>
        <v>0</v>
      </c>
      <c r="DC31" s="7">
        <f t="shared" si="126"/>
        <v>0</v>
      </c>
      <c r="DD31" s="12">
        <f t="shared" si="127"/>
        <v>-10</v>
      </c>
      <c r="DE31" s="11">
        <f t="shared" si="128"/>
        <v>0</v>
      </c>
      <c r="DF31" s="7">
        <f t="shared" si="128"/>
        <v>0</v>
      </c>
      <c r="DG31" s="12">
        <f t="shared" si="129"/>
        <v>10</v>
      </c>
      <c r="DH31" s="174">
        <f t="shared" si="130"/>
        <v>3.7031999999999998</v>
      </c>
      <c r="DI31" s="6">
        <f t="shared" si="131"/>
        <v>0</v>
      </c>
      <c r="DJ31" s="7">
        <f t="shared" si="132"/>
        <v>0</v>
      </c>
      <c r="DK31" s="12">
        <f t="shared" si="133"/>
        <v>20</v>
      </c>
      <c r="DL31" s="11">
        <f t="shared" si="134"/>
        <v>3.1053539127246372</v>
      </c>
      <c r="DM31" s="328">
        <f t="shared" si="135"/>
        <v>-2.1119436693571227</v>
      </c>
      <c r="DN31" s="376">
        <f t="shared" si="136"/>
        <v>9.25753233728339</v>
      </c>
      <c r="DO31" s="11">
        <f t="shared" si="137"/>
        <v>-0.31251529037133041</v>
      </c>
      <c r="DP31" s="328">
        <f t="shared" si="138"/>
        <v>0.43257199332081964</v>
      </c>
      <c r="DQ31" s="13">
        <f t="shared" si="139"/>
        <v>0</v>
      </c>
      <c r="DR31" s="328">
        <f t="shared" si="140"/>
        <v>185.15064674566781</v>
      </c>
      <c r="DS31" s="7">
        <f t="shared" si="141"/>
        <v>0</v>
      </c>
      <c r="DT31" s="7">
        <f t="shared" si="142"/>
        <v>400</v>
      </c>
      <c r="DU31" s="7">
        <f t="shared" si="143"/>
        <v>0.28478433612142418</v>
      </c>
      <c r="DV31" s="7">
        <f t="shared" si="144"/>
        <v>-1.8840382625759835</v>
      </c>
      <c r="DW31" s="7">
        <f t="shared" si="145"/>
        <v>99.805433961659503</v>
      </c>
      <c r="DX31" s="296">
        <f t="shared" si="146"/>
        <v>86.091743721659498</v>
      </c>
      <c r="DY31" s="11">
        <f t="shared" si="147"/>
        <v>113.91373444856967</v>
      </c>
      <c r="DZ31" s="7">
        <f t="shared" si="148"/>
        <v>-753.61530503039342</v>
      </c>
      <c r="EA31" s="12">
        <f t="shared" si="149"/>
        <v>155.9354983247249</v>
      </c>
      <c r="EB31" s="8">
        <f t="shared" si="150"/>
        <v>550172.83302878484</v>
      </c>
      <c r="EC31" s="328">
        <f t="shared" si="151"/>
        <v>13.127053342866061</v>
      </c>
      <c r="ED31" s="7">
        <f t="shared" si="152"/>
        <v>0.10428015135169415</v>
      </c>
      <c r="EE31" s="6">
        <f t="shared" si="153"/>
        <v>-0.99705097444109381</v>
      </c>
      <c r="EF31" s="7">
        <f t="shared" si="154"/>
        <v>3.5664519615951784</v>
      </c>
      <c r="EG31" s="12">
        <f t="shared" si="155"/>
        <v>-0.74246766271661035</v>
      </c>
      <c r="EH31" s="11">
        <f t="shared" si="156"/>
        <v>3.0727647709449961</v>
      </c>
      <c r="EI31" s="7">
        <f t="shared" si="157"/>
        <v>-2.0668349964231236</v>
      </c>
      <c r="EJ31" s="8">
        <f t="shared" si="158"/>
        <v>-0.74246766271661035</v>
      </c>
      <c r="EK31" s="491" t="b">
        <f t="shared" si="159"/>
        <v>0</v>
      </c>
      <c r="EL31" s="493" t="b">
        <f t="shared" si="160"/>
        <v>1</v>
      </c>
      <c r="EM31" s="6">
        <f t="shared" si="161"/>
        <v>3.0727647709449961</v>
      </c>
      <c r="EN31" s="7">
        <f t="shared" si="162"/>
        <v>-2.0668349964231236</v>
      </c>
      <c r="EO31" s="12">
        <f t="shared" si="163"/>
        <v>-0.74246766271661035</v>
      </c>
      <c r="EP31" s="11">
        <f t="shared" si="164"/>
        <v>326.07402386612864</v>
      </c>
      <c r="EQ31" s="7">
        <f t="shared" si="165"/>
        <v>3.7032000000000038</v>
      </c>
      <c r="ER31" s="9">
        <f t="shared" si="166"/>
        <v>-0.74246766271661035</v>
      </c>
      <c r="ES31" s="24">
        <f t="shared" si="167"/>
        <v>-0.80096711722681257</v>
      </c>
      <c r="ET31" s="7">
        <f t="shared" si="168"/>
        <v>-0.57866545935251423</v>
      </c>
      <c r="EU31" s="12">
        <f t="shared" si="169"/>
        <v>-0.1536162858349121</v>
      </c>
      <c r="EV31" s="337">
        <f t="shared" si="15"/>
        <v>123.92597613387136</v>
      </c>
      <c r="EW31" s="11">
        <f t="shared" si="16"/>
        <v>0.92718991859192734</v>
      </c>
      <c r="EX31" s="7">
        <f t="shared" si="17"/>
        <v>-0.3416443934675088</v>
      </c>
      <c r="EY31" s="8">
        <f t="shared" si="170"/>
        <v>-0.1536162858349121</v>
      </c>
      <c r="EZ31" s="123">
        <f t="shared" si="171"/>
        <v>0.61558622602157087</v>
      </c>
      <c r="FA31" s="534">
        <f t="shared" si="18"/>
        <v>-0.55808914084869643</v>
      </c>
      <c r="FB31" s="535">
        <f t="shared" si="19"/>
        <v>-0.82971144480067682</v>
      </c>
      <c r="FC31" s="537">
        <f t="shared" si="20"/>
        <v>-1.074379977183664E-2</v>
      </c>
      <c r="FD31" s="6">
        <f t="shared" si="21"/>
        <v>0.99994228371764682</v>
      </c>
      <c r="FE31" s="7">
        <f t="shared" si="22"/>
        <v>-1.6653345369377348E-16</v>
      </c>
      <c r="FF31" s="9">
        <f t="shared" si="172"/>
        <v>-1.074379977183664E-2</v>
      </c>
      <c r="FG31" s="328">
        <f t="shared" si="23"/>
        <v>-7.2752365125719476E-2</v>
      </c>
      <c r="FH31" s="7">
        <f t="shared" si="24"/>
        <v>-0.34164439346750863</v>
      </c>
      <c r="FI31" s="12">
        <f t="shared" si="25"/>
        <v>-0.14287248606307545</v>
      </c>
      <c r="FJ31" s="547">
        <f t="shared" si="173"/>
        <v>21.753513576652431</v>
      </c>
      <c r="FK31" s="6">
        <f t="shared" si="26"/>
        <v>0.98813057675910765</v>
      </c>
      <c r="FL31" s="7">
        <f t="shared" si="174"/>
        <v>0.99994228371764671</v>
      </c>
      <c r="FM31" s="10">
        <f t="shared" si="175"/>
        <v>0.34930473546627999</v>
      </c>
      <c r="FN31" s="11">
        <f t="shared" si="176"/>
        <v>20.227476916727657</v>
      </c>
      <c r="FO31" s="12">
        <f t="shared" si="27"/>
        <v>1</v>
      </c>
      <c r="FP31" s="545">
        <f t="shared" si="28"/>
        <v>20.227476916727657</v>
      </c>
      <c r="FQ31" s="328">
        <f t="shared" si="205"/>
        <v>0.34574822549064449</v>
      </c>
      <c r="FR31" s="12">
        <f t="shared" si="177"/>
        <v>0.9383273227238299</v>
      </c>
      <c r="FS31" s="11">
        <f t="shared" si="178"/>
        <v>0.26925847624106886</v>
      </c>
      <c r="FT31" s="8">
        <f t="shared" si="179"/>
        <v>0.7307415237589312</v>
      </c>
      <c r="FU31" s="6">
        <f t="shared" si="180"/>
        <v>0.93982929748556909</v>
      </c>
      <c r="FV31" s="7">
        <f t="shared" si="181"/>
        <v>1</v>
      </c>
      <c r="FW31" s="10">
        <f t="shared" si="206"/>
        <v>0.16032920477950888</v>
      </c>
      <c r="FX31" s="11">
        <f t="shared" si="207"/>
        <v>8.7916907780738409</v>
      </c>
      <c r="FY31" s="12">
        <f t="shared" si="29"/>
        <v>1</v>
      </c>
      <c r="FZ31" s="545">
        <f t="shared" si="208"/>
        <v>8.7916907780738409</v>
      </c>
      <c r="GA31" s="372">
        <f t="shared" si="182"/>
        <v>8.2623180431208443</v>
      </c>
      <c r="GB31" s="46">
        <f t="shared" si="183"/>
        <v>-0.34168587661730365</v>
      </c>
      <c r="GC31" s="47">
        <f t="shared" si="184"/>
        <v>0.92730249985776103</v>
      </c>
      <c r="GD31" s="578">
        <f t="shared" si="185"/>
        <v>-0.152842518553614</v>
      </c>
      <c r="GE31" s="585">
        <f t="shared" si="186"/>
        <v>1.4218308950286787</v>
      </c>
      <c r="GF31" s="634">
        <f t="shared" si="209"/>
        <v>0.70331851945011348</v>
      </c>
      <c r="GG31" s="553">
        <f t="shared" si="30"/>
        <v>0.24031400485949617</v>
      </c>
      <c r="GH31" s="554">
        <f t="shared" si="31"/>
        <v>0.65218902128234957</v>
      </c>
      <c r="GI31" s="549">
        <f t="shared" si="32"/>
        <v>0.10749697385815429</v>
      </c>
      <c r="GJ31" s="296">
        <f t="shared" si="187"/>
        <v>3.7031999999999998</v>
      </c>
      <c r="GK31" s="337">
        <f t="shared" si="33"/>
        <v>1.9391029036063168</v>
      </c>
      <c r="GL31" s="337">
        <f t="shared" si="188"/>
        <v>1.9599999999999999E-2</v>
      </c>
      <c r="GM31" s="372">
        <f t="shared" si="210"/>
        <v>0.45607700292820569</v>
      </c>
      <c r="GN31" s="548">
        <f t="shared" si="189"/>
        <v>3.7691222855470885E-2</v>
      </c>
      <c r="GO31" s="6">
        <f t="shared" si="190"/>
        <v>20.227476916727657</v>
      </c>
      <c r="GP31" s="10">
        <f t="shared" si="211"/>
        <v>8.7916907780738409</v>
      </c>
      <c r="GQ31" s="372">
        <f t="shared" si="191"/>
        <v>21.753513576652431</v>
      </c>
      <c r="GR31" s="697">
        <f t="shared" si="212"/>
        <v>3384.104934399465</v>
      </c>
      <c r="GS31" s="637">
        <f t="shared" si="35"/>
        <v>813.247809650318</v>
      </c>
      <c r="GT31" s="638">
        <f t="shared" si="36"/>
        <v>419.39383832485163</v>
      </c>
      <c r="GU31" s="639">
        <f t="shared" si="37"/>
        <v>2207.0760850827569</v>
      </c>
      <c r="GV31" s="638">
        <f t="shared" si="192"/>
        <v>1138.1944098882361</v>
      </c>
      <c r="GW31" s="640">
        <f t="shared" si="38"/>
        <v>58071.143361644703</v>
      </c>
      <c r="GX31" s="641">
        <f t="shared" si="39"/>
        <v>351.24679489150964</v>
      </c>
      <c r="GY31" s="639">
        <f t="shared" si="40"/>
        <v>363.78103966639026</v>
      </c>
      <c r="GZ31" s="640">
        <f t="shared" si="41"/>
        <v>187.60275124638065</v>
      </c>
      <c r="HA31" s="637">
        <f t="shared" si="42"/>
        <v>813.247809650318</v>
      </c>
      <c r="HB31" s="7">
        <f t="shared" si="193"/>
        <v>123.92597613387136</v>
      </c>
      <c r="HC31" s="638">
        <f t="shared" si="194"/>
        <v>-453.89096828411317</v>
      </c>
      <c r="HD31" s="682">
        <f t="shared" si="195"/>
        <v>674.79996207109411</v>
      </c>
      <c r="HE31" s="639">
        <f t="shared" si="43"/>
        <v>1138.1944098882361</v>
      </c>
      <c r="HF31" s="7">
        <f t="shared" si="44"/>
        <v>213.92597613387136</v>
      </c>
      <c r="HG31" s="638">
        <f t="shared" si="196"/>
        <v>-944.42743713304617</v>
      </c>
      <c r="HH31" s="644">
        <f t="shared" si="197"/>
        <v>-635.25060463657667</v>
      </c>
      <c r="HI31" s="596">
        <f t="shared" si="198"/>
        <v>3.1219999999999999</v>
      </c>
      <c r="HJ31" s="625"/>
      <c r="HK31" s="1232">
        <f t="shared" si="83"/>
        <v>23</v>
      </c>
      <c r="HL31" s="583">
        <f t="shared" si="84"/>
        <v>3.7736000000000001</v>
      </c>
      <c r="HM31" s="643">
        <f t="shared" si="216"/>
        <v>2.1230000000000002</v>
      </c>
      <c r="HN31" s="660">
        <f t="shared" si="216"/>
        <v>21.543296372170303</v>
      </c>
      <c r="HO31" s="661">
        <f t="shared" si="216"/>
        <v>7.8485427466668831</v>
      </c>
      <c r="HP31" s="656">
        <f t="shared" si="216"/>
        <v>22.665178529228694</v>
      </c>
      <c r="HQ31" s="660">
        <f t="shared" si="216"/>
        <v>1.5900000000000001E-2</v>
      </c>
      <c r="HR31" s="671">
        <f t="shared" si="216"/>
        <v>3.1157245039571815E-2</v>
      </c>
      <c r="HS31" s="655">
        <f t="shared" si="216"/>
        <v>2815.1223005095767</v>
      </c>
      <c r="HT31" s="648">
        <f t="shared" si="216"/>
        <v>720.26993665478858</v>
      </c>
      <c r="HU31" s="649">
        <f t="shared" si="216"/>
        <v>1824.4674806012788</v>
      </c>
      <c r="HV31" s="650">
        <f t="shared" si="216"/>
        <v>270.38488325350903</v>
      </c>
      <c r="HW31" s="648">
        <f t="shared" si="216"/>
        <v>364.51605589307383</v>
      </c>
      <c r="HX31" s="649">
        <f t="shared" si="216"/>
        <v>923.33117945015078</v>
      </c>
      <c r="HY31" s="650">
        <f t="shared" si="216"/>
        <v>136.8370748256234</v>
      </c>
      <c r="HZ31" s="648">
        <f t="shared" si="216"/>
        <v>58071.143361644703</v>
      </c>
      <c r="IA31" s="649">
        <f t="shared" si="216"/>
        <v>290.35687823109077</v>
      </c>
      <c r="IB31" s="716"/>
      <c r="IC31" s="717">
        <f>HS31/[1]Assy.Model!HS31</f>
        <v>1.1744836445816984</v>
      </c>
      <c r="ID31" s="717">
        <f>HT31/[1]Assy.Model!HT31</f>
        <v>1.1328497351803652</v>
      </c>
      <c r="IE31" s="717">
        <f>HU31/[1]Assy.Model!HU31</f>
        <v>1.1878327776199298</v>
      </c>
      <c r="IF31" s="717">
        <f>HV31/[1]Assy.Model!HV31</f>
        <v>1.2009886529370581</v>
      </c>
    </row>
    <row r="32" spans="2:240" ht="15" customHeight="1" x14ac:dyDescent="0.25">
      <c r="B32" s="143">
        <v>3.1072587661024023</v>
      </c>
      <c r="C32" s="144">
        <v>-1.984504110659334</v>
      </c>
      <c r="D32" s="145">
        <v>-1.7094051555659495</v>
      </c>
      <c r="E32" s="146">
        <v>0.88753434029675882</v>
      </c>
      <c r="F32" s="144">
        <v>0.46074157050778952</v>
      </c>
      <c r="G32" s="147">
        <v>1.1339743404472288E-7</v>
      </c>
      <c r="H32" s="146">
        <v>0.314</v>
      </c>
      <c r="I32" s="144">
        <v>0.52</v>
      </c>
      <c r="J32" s="306">
        <v>3.1280000000000001</v>
      </c>
      <c r="K32" s="699" t="str">
        <f t="shared" si="199"/>
        <v>1613</v>
      </c>
      <c r="M32" s="292">
        <f t="shared" si="46"/>
        <v>3.1280000000000001</v>
      </c>
      <c r="N32" s="24">
        <f t="shared" si="47"/>
        <v>3.1072587661024023</v>
      </c>
      <c r="O32" s="7">
        <f t="shared" si="48"/>
        <v>-1.984504110659334</v>
      </c>
      <c r="P32" s="12">
        <f t="shared" si="49"/>
        <v>-1.7094051555659495</v>
      </c>
      <c r="Q32" s="11">
        <f t="shared" si="85"/>
        <v>327.43496571863238</v>
      </c>
      <c r="R32" s="7">
        <f t="shared" si="50"/>
        <v>3.6869111197239373</v>
      </c>
      <c r="S32" s="8">
        <f t="shared" si="51"/>
        <v>-1.7094051555659495</v>
      </c>
      <c r="T32" s="6">
        <f t="shared" si="52"/>
        <v>-1.9349596479982987</v>
      </c>
      <c r="U32" s="7">
        <f t="shared" si="53"/>
        <v>-3.1383506441062821</v>
      </c>
      <c r="V32" s="10">
        <f t="shared" si="86"/>
        <v>-1.7094051555659495</v>
      </c>
      <c r="W32" s="11">
        <f t="shared" si="214"/>
        <v>238.34396558738905</v>
      </c>
      <c r="X32" s="7">
        <f t="shared" si="54"/>
        <v>3.6869111197239373</v>
      </c>
      <c r="Y32" s="9">
        <f t="shared" si="213"/>
        <v>-1.7094051555659495</v>
      </c>
      <c r="Z32" s="24">
        <f t="shared" si="87"/>
        <v>-0.88753434029675882</v>
      </c>
      <c r="AA32" s="7">
        <f t="shared" si="55"/>
        <v>-0.46074157050778952</v>
      </c>
      <c r="AB32" s="7">
        <f t="shared" si="56"/>
        <v>-1.1339743404472288E-7</v>
      </c>
      <c r="AC32" s="10">
        <f t="shared" si="57"/>
        <v>1</v>
      </c>
      <c r="AD32" s="11">
        <f t="shared" si="88"/>
        <v>-0.88753434029675882</v>
      </c>
      <c r="AE32" s="7">
        <f t="shared" si="58"/>
        <v>-0.46074157050778952</v>
      </c>
      <c r="AF32" s="12">
        <f t="shared" si="59"/>
        <v>-1.1339743404472288E-7</v>
      </c>
      <c r="AG32" s="6">
        <f t="shared" si="60"/>
        <v>-89.999985898397725</v>
      </c>
      <c r="AH32" s="12">
        <f t="shared" si="61"/>
        <v>152.56502994990279</v>
      </c>
      <c r="AI32" s="11">
        <f t="shared" si="62"/>
        <v>-89.999993502805623</v>
      </c>
      <c r="AJ32" s="8">
        <f t="shared" si="63"/>
        <v>-62.565029949903497</v>
      </c>
      <c r="AK32" s="6">
        <f t="shared" si="89"/>
        <v>0.86602544158358574</v>
      </c>
      <c r="AL32" s="7">
        <f t="shared" si="64"/>
        <v>-0.49999993452993818</v>
      </c>
      <c r="AM32" s="8">
        <f t="shared" si="65"/>
        <v>-1.1339743404472288E-7</v>
      </c>
      <c r="AN32" s="6">
        <f t="shared" si="66"/>
        <v>-89.99998700560954</v>
      </c>
      <c r="AO32" s="10">
        <f t="shared" si="3"/>
        <v>29.99999566853651</v>
      </c>
      <c r="AP32" s="11">
        <f t="shared" si="67"/>
        <v>-29.999995668535888</v>
      </c>
      <c r="AQ32" s="8">
        <f t="shared" si="200"/>
        <v>0.61835370171187465</v>
      </c>
      <c r="AS32" s="123">
        <f t="shared" si="90"/>
        <v>-121.65603441261095</v>
      </c>
      <c r="AT32" s="174">
        <f t="shared" si="68"/>
        <v>-1.624290548426111</v>
      </c>
      <c r="AV32" s="292" t="str">
        <f t="shared" si="91"/>
        <v/>
      </c>
      <c r="AW32" s="439"/>
      <c r="AX32" s="440"/>
      <c r="AY32" s="442"/>
      <c r="AZ32" s="565" t="str">
        <f t="shared" si="92"/>
        <v/>
      </c>
      <c r="BA32" s="564" t="str">
        <f t="shared" si="93"/>
        <v/>
      </c>
      <c r="BB32" s="444" t="str">
        <f t="shared" si="94"/>
        <v/>
      </c>
      <c r="BC32" s="11"/>
      <c r="BD32" s="7" t="str">
        <f t="shared" si="95"/>
        <v/>
      </c>
      <c r="BE32" s="8" t="str">
        <f t="shared" si="96"/>
        <v/>
      </c>
      <c r="BF32" s="6" t="str">
        <f t="shared" si="97"/>
        <v/>
      </c>
      <c r="BG32" s="7" t="str">
        <f t="shared" si="98"/>
        <v/>
      </c>
      <c r="BH32" s="12" t="str">
        <f t="shared" si="99"/>
        <v/>
      </c>
      <c r="BI32" s="11" t="str">
        <f t="shared" si="100"/>
        <v/>
      </c>
      <c r="BJ32" s="7" t="str">
        <f t="shared" si="101"/>
        <v/>
      </c>
      <c r="BK32" s="10" t="str">
        <f t="shared" si="102"/>
        <v/>
      </c>
      <c r="BL32" s="328" t="str">
        <f t="shared" si="103"/>
        <v/>
      </c>
      <c r="BM32" s="7" t="str">
        <f t="shared" si="104"/>
        <v/>
      </c>
      <c r="BN32" s="8" t="str">
        <f t="shared" si="105"/>
        <v/>
      </c>
      <c r="BO32" s="6" t="str">
        <f t="shared" si="106"/>
        <v/>
      </c>
      <c r="BP32" s="7" t="str">
        <f t="shared" si="107"/>
        <v/>
      </c>
      <c r="BQ32" s="7" t="str">
        <f t="shared" si="108"/>
        <v/>
      </c>
      <c r="BR32" s="8" t="str">
        <f t="shared" si="109"/>
        <v/>
      </c>
      <c r="BS32" s="6" t="str">
        <f t="shared" si="69"/>
        <v/>
      </c>
      <c r="BT32" s="7" t="str">
        <f t="shared" si="69"/>
        <v/>
      </c>
      <c r="BU32" s="12" t="str">
        <f t="shared" si="70"/>
        <v/>
      </c>
      <c r="BV32" s="11" t="str">
        <f t="shared" si="71"/>
        <v/>
      </c>
      <c r="BW32" s="7" t="str">
        <f t="shared" si="72"/>
        <v/>
      </c>
      <c r="BX32" s="10" t="str">
        <f t="shared" si="73"/>
        <v/>
      </c>
      <c r="BY32" s="328" t="str">
        <f t="shared" si="74"/>
        <v/>
      </c>
      <c r="BZ32" s="7" t="str">
        <f t="shared" si="75"/>
        <v/>
      </c>
      <c r="CA32" s="8" t="str">
        <f t="shared" si="76"/>
        <v/>
      </c>
      <c r="CB32" s="6" t="str">
        <f t="shared" si="110"/>
        <v/>
      </c>
      <c r="CC32" s="7" t="str">
        <f t="shared" si="111"/>
        <v/>
      </c>
      <c r="CD32" s="7" t="str">
        <f t="shared" si="112"/>
        <v/>
      </c>
      <c r="CE32" s="8" t="str">
        <f t="shared" si="113"/>
        <v/>
      </c>
      <c r="CF32" s="6" t="str">
        <f t="shared" si="114"/>
        <v/>
      </c>
      <c r="CG32" s="7" t="str">
        <f t="shared" si="115"/>
        <v/>
      </c>
      <c r="CH32" s="7" t="str">
        <f t="shared" si="116"/>
        <v/>
      </c>
      <c r="CI32" s="6" t="str">
        <f t="shared" si="77"/>
        <v/>
      </c>
      <c r="CJ32" s="7" t="str">
        <f t="shared" si="78"/>
        <v/>
      </c>
      <c r="CK32" s="10" t="str">
        <f t="shared" si="79"/>
        <v/>
      </c>
      <c r="CL32" s="328" t="str">
        <f t="shared" si="80"/>
        <v/>
      </c>
      <c r="CM32" s="7" t="str">
        <f t="shared" si="81"/>
        <v/>
      </c>
      <c r="CN32" s="8" t="str">
        <f t="shared" si="82"/>
        <v/>
      </c>
      <c r="CO32" s="296" t="str">
        <f t="shared" si="201"/>
        <v/>
      </c>
      <c r="CP32" s="6" t="str">
        <f t="shared" si="202"/>
        <v/>
      </c>
      <c r="CQ32" s="7" t="str">
        <f t="shared" si="203"/>
        <v/>
      </c>
      <c r="CR32" s="7" t="str">
        <f t="shared" si="117"/>
        <v/>
      </c>
      <c r="CS32" s="10" t="str">
        <f t="shared" si="118"/>
        <v/>
      </c>
      <c r="CT32" s="11" t="str">
        <f t="shared" si="119"/>
        <v/>
      </c>
      <c r="CU32" s="8" t="str">
        <f t="shared" si="120"/>
        <v/>
      </c>
      <c r="CV32" s="6" t="str">
        <f t="shared" si="204"/>
        <v/>
      </c>
      <c r="CW32" s="7" t="str">
        <f t="shared" si="121"/>
        <v/>
      </c>
      <c r="CX32" s="10" t="str">
        <f t="shared" si="122"/>
        <v/>
      </c>
      <c r="CY32" s="11" t="str">
        <f t="shared" si="123"/>
        <v/>
      </c>
      <c r="CZ32" s="7" t="str">
        <f t="shared" si="124"/>
        <v/>
      </c>
      <c r="DA32" s="8" t="str">
        <f t="shared" si="125"/>
        <v/>
      </c>
      <c r="DB32" s="6" t="str">
        <f t="shared" si="126"/>
        <v/>
      </c>
      <c r="DC32" s="7" t="str">
        <f t="shared" si="126"/>
        <v/>
      </c>
      <c r="DD32" s="12" t="str">
        <f t="shared" si="127"/>
        <v/>
      </c>
      <c r="DE32" s="11" t="str">
        <f t="shared" si="128"/>
        <v/>
      </c>
      <c r="DF32" s="7" t="str">
        <f t="shared" si="128"/>
        <v/>
      </c>
      <c r="DG32" s="12" t="str">
        <f t="shared" si="129"/>
        <v/>
      </c>
      <c r="DH32" s="174" t="str">
        <f t="shared" si="130"/>
        <v/>
      </c>
      <c r="DI32" s="6" t="str">
        <f t="shared" si="131"/>
        <v/>
      </c>
      <c r="DJ32" s="7" t="str">
        <f t="shared" si="132"/>
        <v/>
      </c>
      <c r="DK32" s="12" t="str">
        <f t="shared" si="133"/>
        <v/>
      </c>
      <c r="DL32" s="11" t="str">
        <f t="shared" si="134"/>
        <v/>
      </c>
      <c r="DM32" s="328" t="str">
        <f t="shared" si="135"/>
        <v/>
      </c>
      <c r="DN32" s="376" t="str">
        <f t="shared" si="136"/>
        <v/>
      </c>
      <c r="DO32" s="11" t="str">
        <f t="shared" si="137"/>
        <v/>
      </c>
      <c r="DP32" s="328" t="str">
        <f t="shared" si="138"/>
        <v/>
      </c>
      <c r="DQ32" s="13" t="str">
        <f t="shared" si="139"/>
        <v/>
      </c>
      <c r="DR32" s="328" t="str">
        <f t="shared" si="140"/>
        <v/>
      </c>
      <c r="DS32" s="7" t="str">
        <f t="shared" si="141"/>
        <v/>
      </c>
      <c r="DT32" s="7" t="str">
        <f t="shared" si="142"/>
        <v/>
      </c>
      <c r="DU32" s="7" t="str">
        <f t="shared" si="143"/>
        <v/>
      </c>
      <c r="DV32" s="7" t="str">
        <f t="shared" si="144"/>
        <v/>
      </c>
      <c r="DW32" s="7" t="str">
        <f t="shared" si="145"/>
        <v/>
      </c>
      <c r="DX32" s="296" t="str">
        <f t="shared" si="146"/>
        <v/>
      </c>
      <c r="DY32" s="11" t="str">
        <f t="shared" si="147"/>
        <v/>
      </c>
      <c r="DZ32" s="7" t="str">
        <f t="shared" si="148"/>
        <v/>
      </c>
      <c r="EA32" s="12" t="str">
        <f t="shared" si="149"/>
        <v/>
      </c>
      <c r="EB32" s="8" t="str">
        <f t="shared" si="150"/>
        <v/>
      </c>
      <c r="EC32" s="328" t="str">
        <f t="shared" si="151"/>
        <v/>
      </c>
      <c r="ED32" s="7" t="str">
        <f t="shared" si="152"/>
        <v/>
      </c>
      <c r="EE32" s="6" t="str">
        <f t="shared" si="153"/>
        <v/>
      </c>
      <c r="EF32" s="7" t="str">
        <f t="shared" si="154"/>
        <v/>
      </c>
      <c r="EG32" s="12" t="str">
        <f t="shared" si="155"/>
        <v/>
      </c>
      <c r="EH32" s="11" t="str">
        <f t="shared" si="156"/>
        <v/>
      </c>
      <c r="EI32" s="7" t="str">
        <f t="shared" si="157"/>
        <v/>
      </c>
      <c r="EJ32" s="8" t="str">
        <f t="shared" si="158"/>
        <v/>
      </c>
      <c r="EK32" s="491" t="str">
        <f t="shared" si="159"/>
        <v/>
      </c>
      <c r="EL32" s="493" t="str">
        <f t="shared" si="160"/>
        <v/>
      </c>
      <c r="EM32" s="6" t="str">
        <f t="shared" si="161"/>
        <v/>
      </c>
      <c r="EN32" s="7" t="str">
        <f t="shared" si="162"/>
        <v/>
      </c>
      <c r="EO32" s="12" t="str">
        <f t="shared" si="163"/>
        <v/>
      </c>
      <c r="EP32" s="11" t="str">
        <f t="shared" si="164"/>
        <v/>
      </c>
      <c r="EQ32" s="7" t="str">
        <f t="shared" si="165"/>
        <v/>
      </c>
      <c r="ER32" s="9" t="str">
        <f t="shared" si="166"/>
        <v/>
      </c>
      <c r="ES32" s="24" t="str">
        <f t="shared" si="167"/>
        <v/>
      </c>
      <c r="ET32" s="7" t="str">
        <f t="shared" si="168"/>
        <v/>
      </c>
      <c r="EU32" s="12" t="str">
        <f t="shared" si="169"/>
        <v/>
      </c>
      <c r="EV32" s="337" t="str">
        <f t="shared" si="15"/>
        <v/>
      </c>
      <c r="EW32" s="11" t="str">
        <f t="shared" si="16"/>
        <v/>
      </c>
      <c r="EX32" s="7" t="str">
        <f t="shared" si="17"/>
        <v/>
      </c>
      <c r="EY32" s="8" t="str">
        <f t="shared" si="170"/>
        <v/>
      </c>
      <c r="EZ32" s="123" t="str">
        <f t="shared" si="171"/>
        <v/>
      </c>
      <c r="FA32" s="534" t="str">
        <f t="shared" si="18"/>
        <v/>
      </c>
      <c r="FB32" s="535" t="str">
        <f t="shared" si="19"/>
        <v/>
      </c>
      <c r="FC32" s="537" t="str">
        <f t="shared" si="20"/>
        <v/>
      </c>
      <c r="FD32" s="6" t="str">
        <f t="shared" si="21"/>
        <v/>
      </c>
      <c r="FE32" s="7" t="str">
        <f t="shared" si="22"/>
        <v/>
      </c>
      <c r="FF32" s="9" t="str">
        <f t="shared" si="172"/>
        <v/>
      </c>
      <c r="FG32" s="328" t="str">
        <f t="shared" si="23"/>
        <v/>
      </c>
      <c r="FH32" s="7" t="str">
        <f t="shared" si="24"/>
        <v/>
      </c>
      <c r="FI32" s="12" t="str">
        <f t="shared" si="25"/>
        <v/>
      </c>
      <c r="FJ32" s="547" t="str">
        <f t="shared" si="173"/>
        <v/>
      </c>
      <c r="FK32" s="6" t="str">
        <f t="shared" si="26"/>
        <v/>
      </c>
      <c r="FL32" s="7" t="str">
        <f t="shared" si="174"/>
        <v/>
      </c>
      <c r="FM32" s="10" t="str">
        <f t="shared" si="175"/>
        <v/>
      </c>
      <c r="FN32" s="11" t="str">
        <f t="shared" si="176"/>
        <v/>
      </c>
      <c r="FO32" s="12" t="str">
        <f t="shared" si="27"/>
        <v/>
      </c>
      <c r="FP32" s="545" t="str">
        <f t="shared" si="28"/>
        <v/>
      </c>
      <c r="FQ32" s="328" t="str">
        <f t="shared" si="205"/>
        <v/>
      </c>
      <c r="FR32" s="12" t="str">
        <f t="shared" si="177"/>
        <v/>
      </c>
      <c r="FS32" s="11" t="str">
        <f t="shared" si="178"/>
        <v/>
      </c>
      <c r="FT32" s="8" t="str">
        <f t="shared" si="179"/>
        <v/>
      </c>
      <c r="FU32" s="6" t="str">
        <f t="shared" si="180"/>
        <v/>
      </c>
      <c r="FV32" s="7" t="str">
        <f t="shared" si="181"/>
        <v/>
      </c>
      <c r="FW32" s="10" t="str">
        <f t="shared" si="206"/>
        <v/>
      </c>
      <c r="FX32" s="11" t="str">
        <f t="shared" si="207"/>
        <v/>
      </c>
      <c r="FY32" s="12" t="str">
        <f t="shared" si="29"/>
        <v/>
      </c>
      <c r="FZ32" s="545" t="str">
        <f t="shared" si="208"/>
        <v/>
      </c>
      <c r="GA32" s="372" t="str">
        <f t="shared" si="182"/>
        <v/>
      </c>
      <c r="GB32" s="46" t="str">
        <f t="shared" si="183"/>
        <v/>
      </c>
      <c r="GC32" s="47" t="str">
        <f t="shared" si="184"/>
        <v/>
      </c>
      <c r="GD32" s="578" t="str">
        <f t="shared" si="185"/>
        <v/>
      </c>
      <c r="GE32" s="585" t="str">
        <f t="shared" si="186"/>
        <v/>
      </c>
      <c r="GF32" s="634" t="str">
        <f t="shared" si="209"/>
        <v/>
      </c>
      <c r="GG32" s="553" t="str">
        <f t="shared" si="30"/>
        <v/>
      </c>
      <c r="GH32" s="554" t="str">
        <f t="shared" si="31"/>
        <v/>
      </c>
      <c r="GI32" s="549" t="str">
        <f t="shared" si="32"/>
        <v/>
      </c>
      <c r="GJ32" s="296" t="str">
        <f t="shared" si="187"/>
        <v/>
      </c>
      <c r="GK32" s="337" t="str">
        <f t="shared" si="33"/>
        <v/>
      </c>
      <c r="GL32" s="337" t="str">
        <f t="shared" si="188"/>
        <v/>
      </c>
      <c r="GM32" s="372" t="str">
        <f t="shared" si="210"/>
        <v/>
      </c>
      <c r="GN32" s="548" t="str">
        <f t="shared" si="189"/>
        <v/>
      </c>
      <c r="GO32" s="6" t="str">
        <f t="shared" si="190"/>
        <v/>
      </c>
      <c r="GP32" s="10" t="str">
        <f t="shared" si="211"/>
        <v/>
      </c>
      <c r="GQ32" s="372" t="str">
        <f t="shared" si="191"/>
        <v/>
      </c>
      <c r="GR32" s="697" t="str">
        <f t="shared" si="212"/>
        <v/>
      </c>
      <c r="GS32" s="637" t="str">
        <f t="shared" si="35"/>
        <v/>
      </c>
      <c r="GT32" s="638" t="str">
        <f t="shared" si="36"/>
        <v/>
      </c>
      <c r="GU32" s="639" t="str">
        <f t="shared" si="37"/>
        <v/>
      </c>
      <c r="GV32" s="638" t="str">
        <f t="shared" si="192"/>
        <v/>
      </c>
      <c r="GW32" s="640" t="str">
        <f t="shared" si="38"/>
        <v/>
      </c>
      <c r="GX32" s="641" t="str">
        <f t="shared" si="39"/>
        <v/>
      </c>
      <c r="GY32" s="639" t="str">
        <f t="shared" si="40"/>
        <v/>
      </c>
      <c r="GZ32" s="640" t="str">
        <f t="shared" si="41"/>
        <v/>
      </c>
      <c r="HA32" s="637" t="str">
        <f t="shared" si="42"/>
        <v/>
      </c>
      <c r="HB32" s="7" t="str">
        <f t="shared" si="193"/>
        <v/>
      </c>
      <c r="HC32" s="638" t="str">
        <f t="shared" si="194"/>
        <v/>
      </c>
      <c r="HD32" s="682" t="str">
        <f t="shared" si="195"/>
        <v/>
      </c>
      <c r="HE32" s="639" t="str">
        <f t="shared" si="43"/>
        <v/>
      </c>
      <c r="HF32" s="7" t="str">
        <f t="shared" si="44"/>
        <v/>
      </c>
      <c r="HG32" s="638" t="str">
        <f t="shared" si="196"/>
        <v/>
      </c>
      <c r="HH32" s="644" t="str">
        <f t="shared" si="197"/>
        <v/>
      </c>
      <c r="HI32" s="596" t="str">
        <f t="shared" si="198"/>
        <v/>
      </c>
      <c r="HJ32" s="625"/>
      <c r="HK32" s="1232">
        <f t="shared" si="83"/>
        <v>24</v>
      </c>
      <c r="HL32" s="583">
        <f t="shared" si="84"/>
        <v>3.8332000000000002</v>
      </c>
      <c r="HM32" s="643">
        <f t="shared" si="216"/>
        <v>1.1240000000000001</v>
      </c>
      <c r="HN32" s="660">
        <f t="shared" si="216"/>
        <v>22.785133317752308</v>
      </c>
      <c r="HO32" s="661">
        <f t="shared" si="216"/>
        <v>6.7883138706249566</v>
      </c>
      <c r="HP32" s="656">
        <f t="shared" si="216"/>
        <v>23.560838016107198</v>
      </c>
      <c r="HQ32" s="660">
        <f t="shared" si="216"/>
        <v>1.3599999999999999E-2</v>
      </c>
      <c r="HR32" s="671">
        <f t="shared" si="216"/>
        <v>2.7071087671431529E-2</v>
      </c>
      <c r="HS32" s="655">
        <f t="shared" si="216"/>
        <v>2455.7327587246536</v>
      </c>
      <c r="HT32" s="648">
        <f t="shared" si="216"/>
        <v>665.87081316775834</v>
      </c>
      <c r="HU32" s="649">
        <f t="shared" si="216"/>
        <v>1585.1953232162848</v>
      </c>
      <c r="HV32" s="650">
        <f t="shared" si="216"/>
        <v>204.66662234061042</v>
      </c>
      <c r="HW32" s="648">
        <f t="shared" si="216"/>
        <v>331.74660109234117</v>
      </c>
      <c r="HX32" s="649">
        <f t="shared" si="216"/>
        <v>789.76754971836795</v>
      </c>
      <c r="HY32" s="650">
        <f t="shared" si="216"/>
        <v>101.96791175684308</v>
      </c>
      <c r="HZ32" s="648">
        <f t="shared" si="216"/>
        <v>58071.143361644703</v>
      </c>
      <c r="IA32" s="649">
        <f t="shared" si="216"/>
        <v>252.27808096503733</v>
      </c>
      <c r="IB32" s="716"/>
      <c r="IC32" s="717">
        <f>HS32/[1]Assy.Model!HS32</f>
        <v>1.5498805358061627</v>
      </c>
      <c r="ID32" s="717">
        <f>HT32/[1]Assy.Model!HT32</f>
        <v>1.5000590193438548</v>
      </c>
      <c r="IE32" s="717">
        <f>HU32/[1]Assy.Model!HU32</f>
        <v>1.5663189189346916</v>
      </c>
      <c r="IF32" s="717">
        <f>HV32/[1]Assy.Model!HV32</f>
        <v>1.592513502868008</v>
      </c>
    </row>
    <row r="33" spans="2:240" ht="15" customHeight="1" x14ac:dyDescent="0.25">
      <c r="B33" s="143">
        <v>1.5222630123958121</v>
      </c>
      <c r="C33" s="144">
        <v>-1.6908064801589497</v>
      </c>
      <c r="D33" s="145">
        <v>-2.4600074193823769E-2</v>
      </c>
      <c r="E33" s="146">
        <v>0.74818930669042416</v>
      </c>
      <c r="F33" s="144">
        <v>0.57023965739964944</v>
      </c>
      <c r="G33" s="147">
        <v>0.33917472559557421</v>
      </c>
      <c r="H33" s="146">
        <v>0.26600000000000001</v>
      </c>
      <c r="I33" s="144">
        <v>0.52</v>
      </c>
      <c r="J33" s="306">
        <v>3.21</v>
      </c>
      <c r="K33" s="699" t="str">
        <f t="shared" si="199"/>
        <v>13</v>
      </c>
      <c r="M33" s="292">
        <f t="shared" si="46"/>
        <v>3.21</v>
      </c>
      <c r="N33" s="24">
        <f t="shared" si="47"/>
        <v>1.5222630123958121</v>
      </c>
      <c r="O33" s="7">
        <f t="shared" si="48"/>
        <v>-1.6908064801589497</v>
      </c>
      <c r="P33" s="12">
        <f t="shared" si="49"/>
        <v>-2.4600074193823769E-2</v>
      </c>
      <c r="Q33" s="11">
        <f t="shared" si="85"/>
        <v>311.9972679475602</v>
      </c>
      <c r="R33" s="7">
        <f t="shared" si="50"/>
        <v>2.2751068617222949</v>
      </c>
      <c r="S33" s="8">
        <f t="shared" si="51"/>
        <v>-2.4600074193823769E-2</v>
      </c>
      <c r="T33" s="6">
        <f t="shared" si="52"/>
        <v>-1.666443945636938</v>
      </c>
      <c r="U33" s="7">
        <f t="shared" si="53"/>
        <v>-1.548895028175203</v>
      </c>
      <c r="V33" s="10">
        <f t="shared" si="86"/>
        <v>-2.4600074193823769E-2</v>
      </c>
      <c r="W33" s="11">
        <f t="shared" si="214"/>
        <v>222.90626781631687</v>
      </c>
      <c r="X33" s="7">
        <f t="shared" si="54"/>
        <v>2.2751068617222949</v>
      </c>
      <c r="Y33" s="9">
        <f t="shared" si="213"/>
        <v>-2.4600074193823769E-2</v>
      </c>
      <c r="Z33" s="24">
        <f t="shared" si="87"/>
        <v>-0.74818930669042416</v>
      </c>
      <c r="AA33" s="7">
        <f t="shared" si="55"/>
        <v>-0.57023965739964944</v>
      </c>
      <c r="AB33" s="7">
        <f t="shared" si="56"/>
        <v>-0.33917472559557421</v>
      </c>
      <c r="AC33" s="10">
        <f t="shared" si="57"/>
        <v>1</v>
      </c>
      <c r="AD33" s="11">
        <f t="shared" si="88"/>
        <v>-0.74818930669042416</v>
      </c>
      <c r="AE33" s="7">
        <f t="shared" si="58"/>
        <v>-0.57023965739964944</v>
      </c>
      <c r="AF33" s="12">
        <f t="shared" si="59"/>
        <v>-0.33917472559557421</v>
      </c>
      <c r="AG33" s="6">
        <f t="shared" si="60"/>
        <v>-59.256101936057121</v>
      </c>
      <c r="AH33" s="12">
        <f t="shared" si="61"/>
        <v>138.43377254992959</v>
      </c>
      <c r="AI33" s="11">
        <f t="shared" si="62"/>
        <v>-70.173398121589543</v>
      </c>
      <c r="AJ33" s="8">
        <f t="shared" si="63"/>
        <v>-52.686814798589921</v>
      </c>
      <c r="AK33" s="6">
        <f t="shared" si="89"/>
        <v>0.93758148361600713</v>
      </c>
      <c r="AL33" s="7">
        <f t="shared" si="64"/>
        <v>-7.6821006876857001E-2</v>
      </c>
      <c r="AM33" s="8">
        <f t="shared" si="65"/>
        <v>-0.33917472559557421</v>
      </c>
      <c r="AN33" s="6">
        <f t="shared" si="66"/>
        <v>-12.76182721867711</v>
      </c>
      <c r="AO33" s="10">
        <f t="shared" si="3"/>
        <v>20.350714293356685</v>
      </c>
      <c r="AP33" s="11">
        <f t="shared" si="67"/>
        <v>-4.6840827461501116</v>
      </c>
      <c r="AQ33" s="8">
        <f t="shared" si="200"/>
        <v>1.0021327442972134</v>
      </c>
      <c r="AS33" s="123">
        <f t="shared" si="90"/>
        <v>-137.09373218368313</v>
      </c>
      <c r="AT33" s="174">
        <f>IF(M33="","",Y33+(((AS33-$AS$9)*$AS$6)*-1))</f>
        <v>7.1235156398148314E-2</v>
      </c>
      <c r="AV33" s="292" t="str">
        <f t="shared" si="91"/>
        <v/>
      </c>
      <c r="AW33" s="439"/>
      <c r="AX33" s="440"/>
      <c r="AY33" s="442"/>
      <c r="AZ33" s="565" t="str">
        <f t="shared" si="92"/>
        <v/>
      </c>
      <c r="BA33" s="564" t="str">
        <f t="shared" si="93"/>
        <v/>
      </c>
      <c r="BB33" s="444" t="str">
        <f t="shared" si="94"/>
        <v/>
      </c>
      <c r="BC33" s="11"/>
      <c r="BD33" s="7" t="str">
        <f t="shared" si="95"/>
        <v/>
      </c>
      <c r="BE33" s="8" t="str">
        <f t="shared" si="96"/>
        <v/>
      </c>
      <c r="BF33" s="6" t="str">
        <f t="shared" si="97"/>
        <v/>
      </c>
      <c r="BG33" s="7" t="str">
        <f t="shared" si="98"/>
        <v/>
      </c>
      <c r="BH33" s="12" t="str">
        <f t="shared" si="99"/>
        <v/>
      </c>
      <c r="BI33" s="11" t="str">
        <f t="shared" si="100"/>
        <v/>
      </c>
      <c r="BJ33" s="7" t="str">
        <f t="shared" si="101"/>
        <v/>
      </c>
      <c r="BK33" s="10" t="str">
        <f t="shared" si="102"/>
        <v/>
      </c>
      <c r="BL33" s="328" t="str">
        <f t="shared" si="103"/>
        <v/>
      </c>
      <c r="BM33" s="7" t="str">
        <f t="shared" si="104"/>
        <v/>
      </c>
      <c r="BN33" s="8" t="str">
        <f t="shared" si="105"/>
        <v/>
      </c>
      <c r="BO33" s="6" t="str">
        <f t="shared" si="106"/>
        <v/>
      </c>
      <c r="BP33" s="7" t="str">
        <f t="shared" si="107"/>
        <v/>
      </c>
      <c r="BQ33" s="7" t="str">
        <f t="shared" si="108"/>
        <v/>
      </c>
      <c r="BR33" s="8" t="str">
        <f t="shared" si="109"/>
        <v/>
      </c>
      <c r="BS33" s="6" t="str">
        <f t="shared" si="69"/>
        <v/>
      </c>
      <c r="BT33" s="7" t="str">
        <f t="shared" si="69"/>
        <v/>
      </c>
      <c r="BU33" s="12" t="str">
        <f t="shared" si="70"/>
        <v/>
      </c>
      <c r="BV33" s="11" t="str">
        <f t="shared" si="71"/>
        <v/>
      </c>
      <c r="BW33" s="7" t="str">
        <f t="shared" si="72"/>
        <v/>
      </c>
      <c r="BX33" s="10" t="str">
        <f t="shared" si="73"/>
        <v/>
      </c>
      <c r="BY33" s="328" t="str">
        <f t="shared" si="74"/>
        <v/>
      </c>
      <c r="BZ33" s="7" t="str">
        <f t="shared" si="75"/>
        <v/>
      </c>
      <c r="CA33" s="8" t="str">
        <f t="shared" si="76"/>
        <v/>
      </c>
      <c r="CB33" s="6" t="str">
        <f t="shared" si="110"/>
        <v/>
      </c>
      <c r="CC33" s="7" t="str">
        <f t="shared" si="111"/>
        <v/>
      </c>
      <c r="CD33" s="7" t="str">
        <f t="shared" si="112"/>
        <v/>
      </c>
      <c r="CE33" s="8" t="str">
        <f t="shared" si="113"/>
        <v/>
      </c>
      <c r="CF33" s="6" t="str">
        <f t="shared" si="114"/>
        <v/>
      </c>
      <c r="CG33" s="7" t="str">
        <f t="shared" si="115"/>
        <v/>
      </c>
      <c r="CH33" s="7" t="str">
        <f t="shared" si="116"/>
        <v/>
      </c>
      <c r="CI33" s="6" t="str">
        <f t="shared" si="77"/>
        <v/>
      </c>
      <c r="CJ33" s="7" t="str">
        <f t="shared" si="78"/>
        <v/>
      </c>
      <c r="CK33" s="10" t="str">
        <f t="shared" si="79"/>
        <v/>
      </c>
      <c r="CL33" s="328" t="str">
        <f t="shared" si="80"/>
        <v/>
      </c>
      <c r="CM33" s="7" t="str">
        <f t="shared" si="81"/>
        <v/>
      </c>
      <c r="CN33" s="8" t="str">
        <f t="shared" si="82"/>
        <v/>
      </c>
      <c r="CO33" s="296" t="str">
        <f t="shared" si="201"/>
        <v/>
      </c>
      <c r="CP33" s="6" t="str">
        <f t="shared" si="202"/>
        <v/>
      </c>
      <c r="CQ33" s="7" t="str">
        <f t="shared" si="203"/>
        <v/>
      </c>
      <c r="CR33" s="7" t="str">
        <f t="shared" si="117"/>
        <v/>
      </c>
      <c r="CS33" s="10" t="str">
        <f t="shared" si="118"/>
        <v/>
      </c>
      <c r="CT33" s="11" t="str">
        <f t="shared" si="119"/>
        <v/>
      </c>
      <c r="CU33" s="8" t="str">
        <f t="shared" si="120"/>
        <v/>
      </c>
      <c r="CV33" s="6" t="str">
        <f t="shared" si="204"/>
        <v/>
      </c>
      <c r="CW33" s="7" t="str">
        <f t="shared" si="121"/>
        <v/>
      </c>
      <c r="CX33" s="10" t="str">
        <f t="shared" si="122"/>
        <v/>
      </c>
      <c r="CY33" s="11" t="str">
        <f t="shared" si="123"/>
        <v/>
      </c>
      <c r="CZ33" s="7" t="str">
        <f t="shared" si="124"/>
        <v/>
      </c>
      <c r="DA33" s="8" t="str">
        <f t="shared" si="125"/>
        <v/>
      </c>
      <c r="DB33" s="6" t="str">
        <f t="shared" si="126"/>
        <v/>
      </c>
      <c r="DC33" s="7" t="str">
        <f t="shared" si="126"/>
        <v/>
      </c>
      <c r="DD33" s="12" t="str">
        <f t="shared" si="127"/>
        <v/>
      </c>
      <c r="DE33" s="11" t="str">
        <f t="shared" si="128"/>
        <v/>
      </c>
      <c r="DF33" s="7" t="str">
        <f t="shared" si="128"/>
        <v/>
      </c>
      <c r="DG33" s="12" t="str">
        <f t="shared" si="129"/>
        <v/>
      </c>
      <c r="DH33" s="174" t="str">
        <f t="shared" si="130"/>
        <v/>
      </c>
      <c r="DI33" s="6" t="str">
        <f t="shared" si="131"/>
        <v/>
      </c>
      <c r="DJ33" s="7" t="str">
        <f t="shared" si="132"/>
        <v/>
      </c>
      <c r="DK33" s="12" t="str">
        <f t="shared" si="133"/>
        <v/>
      </c>
      <c r="DL33" s="11" t="str">
        <f t="shared" si="134"/>
        <v/>
      </c>
      <c r="DM33" s="328" t="str">
        <f t="shared" si="135"/>
        <v/>
      </c>
      <c r="DN33" s="376" t="str">
        <f t="shared" si="136"/>
        <v/>
      </c>
      <c r="DO33" s="11" t="str">
        <f t="shared" si="137"/>
        <v/>
      </c>
      <c r="DP33" s="328" t="str">
        <f t="shared" si="138"/>
        <v/>
      </c>
      <c r="DQ33" s="13" t="str">
        <f t="shared" si="139"/>
        <v/>
      </c>
      <c r="DR33" s="328" t="str">
        <f t="shared" si="140"/>
        <v/>
      </c>
      <c r="DS33" s="7" t="str">
        <f t="shared" si="141"/>
        <v/>
      </c>
      <c r="DT33" s="7" t="str">
        <f t="shared" si="142"/>
        <v/>
      </c>
      <c r="DU33" s="7" t="str">
        <f t="shared" si="143"/>
        <v/>
      </c>
      <c r="DV33" s="7" t="str">
        <f t="shared" si="144"/>
        <v/>
      </c>
      <c r="DW33" s="7" t="str">
        <f t="shared" si="145"/>
        <v/>
      </c>
      <c r="DX33" s="296" t="str">
        <f t="shared" si="146"/>
        <v/>
      </c>
      <c r="DY33" s="11" t="str">
        <f t="shared" si="147"/>
        <v/>
      </c>
      <c r="DZ33" s="7" t="str">
        <f t="shared" si="148"/>
        <v/>
      </c>
      <c r="EA33" s="12" t="str">
        <f t="shared" si="149"/>
        <v/>
      </c>
      <c r="EB33" s="8" t="str">
        <f t="shared" si="150"/>
        <v/>
      </c>
      <c r="EC33" s="328" t="str">
        <f t="shared" si="151"/>
        <v/>
      </c>
      <c r="ED33" s="7" t="str">
        <f t="shared" si="152"/>
        <v/>
      </c>
      <c r="EE33" s="6" t="str">
        <f t="shared" si="153"/>
        <v/>
      </c>
      <c r="EF33" s="7" t="str">
        <f t="shared" si="154"/>
        <v/>
      </c>
      <c r="EG33" s="12" t="str">
        <f t="shared" si="155"/>
        <v/>
      </c>
      <c r="EH33" s="11" t="str">
        <f t="shared" si="156"/>
        <v/>
      </c>
      <c r="EI33" s="7" t="str">
        <f t="shared" si="157"/>
        <v/>
      </c>
      <c r="EJ33" s="8" t="str">
        <f t="shared" si="158"/>
        <v/>
      </c>
      <c r="EK33" s="491" t="str">
        <f t="shared" si="159"/>
        <v/>
      </c>
      <c r="EL33" s="493" t="str">
        <f t="shared" si="160"/>
        <v/>
      </c>
      <c r="EM33" s="540" t="str">
        <f t="shared" si="161"/>
        <v/>
      </c>
      <c r="EN33" s="535" t="str">
        <f t="shared" si="162"/>
        <v/>
      </c>
      <c r="EO33" s="541" t="str">
        <f t="shared" si="163"/>
        <v/>
      </c>
      <c r="EP33" s="11" t="str">
        <f t="shared" si="164"/>
        <v/>
      </c>
      <c r="EQ33" s="7" t="str">
        <f t="shared" si="165"/>
        <v/>
      </c>
      <c r="ER33" s="9" t="str">
        <f t="shared" si="166"/>
        <v/>
      </c>
      <c r="ES33" s="542" t="str">
        <f t="shared" si="167"/>
        <v/>
      </c>
      <c r="ET33" s="535" t="str">
        <f t="shared" si="168"/>
        <v/>
      </c>
      <c r="EU33" s="541" t="str">
        <f t="shared" si="169"/>
        <v/>
      </c>
      <c r="EV33" s="337" t="str">
        <f t="shared" si="15"/>
        <v/>
      </c>
      <c r="EW33" s="11" t="str">
        <f t="shared" si="16"/>
        <v/>
      </c>
      <c r="EX33" s="7" t="str">
        <f t="shared" si="17"/>
        <v/>
      </c>
      <c r="EY33" s="8" t="str">
        <f t="shared" si="170"/>
        <v/>
      </c>
      <c r="EZ33" s="123" t="str">
        <f t="shared" si="171"/>
        <v/>
      </c>
      <c r="FA33" s="534" t="str">
        <f t="shared" si="18"/>
        <v/>
      </c>
      <c r="FB33" s="535" t="str">
        <f t="shared" si="19"/>
        <v/>
      </c>
      <c r="FC33" s="537" t="str">
        <f t="shared" si="20"/>
        <v/>
      </c>
      <c r="FD33" s="6" t="str">
        <f t="shared" si="21"/>
        <v/>
      </c>
      <c r="FE33" s="7" t="str">
        <f t="shared" si="22"/>
        <v/>
      </c>
      <c r="FF33" s="9" t="str">
        <f t="shared" si="172"/>
        <v/>
      </c>
      <c r="FG33" s="328" t="str">
        <f t="shared" si="23"/>
        <v/>
      </c>
      <c r="FH33" s="7" t="str">
        <f t="shared" si="24"/>
        <v/>
      </c>
      <c r="FI33" s="12" t="str">
        <f t="shared" si="25"/>
        <v/>
      </c>
      <c r="FJ33" s="547" t="str">
        <f t="shared" si="173"/>
        <v/>
      </c>
      <c r="FK33" s="6" t="str">
        <f t="shared" si="26"/>
        <v/>
      </c>
      <c r="FL33" s="7" t="str">
        <f t="shared" si="174"/>
        <v/>
      </c>
      <c r="FM33" s="10" t="str">
        <f t="shared" si="175"/>
        <v/>
      </c>
      <c r="FN33" s="11" t="str">
        <f t="shared" si="176"/>
        <v/>
      </c>
      <c r="FO33" s="12" t="str">
        <f t="shared" si="27"/>
        <v/>
      </c>
      <c r="FP33" s="545" t="str">
        <f t="shared" si="28"/>
        <v/>
      </c>
      <c r="FQ33" s="328" t="str">
        <f t="shared" si="205"/>
        <v/>
      </c>
      <c r="FR33" s="12" t="str">
        <f t="shared" si="177"/>
        <v/>
      </c>
      <c r="FS33" s="11" t="str">
        <f t="shared" si="178"/>
        <v/>
      </c>
      <c r="FT33" s="8" t="str">
        <f t="shared" si="179"/>
        <v/>
      </c>
      <c r="FU33" s="6" t="str">
        <f t="shared" si="180"/>
        <v/>
      </c>
      <c r="FV33" s="7" t="str">
        <f t="shared" si="181"/>
        <v/>
      </c>
      <c r="FW33" s="10" t="str">
        <f t="shared" si="206"/>
        <v/>
      </c>
      <c r="FX33" s="11" t="str">
        <f t="shared" si="207"/>
        <v/>
      </c>
      <c r="FY33" s="12" t="str">
        <f t="shared" si="29"/>
        <v/>
      </c>
      <c r="FZ33" s="545" t="str">
        <f t="shared" si="208"/>
        <v/>
      </c>
      <c r="GA33" s="372" t="str">
        <f t="shared" si="182"/>
        <v/>
      </c>
      <c r="GB33" s="46" t="str">
        <f t="shared" si="183"/>
        <v/>
      </c>
      <c r="GC33" s="47" t="str">
        <f t="shared" si="184"/>
        <v/>
      </c>
      <c r="GD33" s="578" t="str">
        <f t="shared" si="185"/>
        <v/>
      </c>
      <c r="GE33" s="585" t="str">
        <f t="shared" si="186"/>
        <v/>
      </c>
      <c r="GF33" s="634" t="str">
        <f t="shared" si="209"/>
        <v/>
      </c>
      <c r="GG33" s="553" t="str">
        <f t="shared" si="30"/>
        <v/>
      </c>
      <c r="GH33" s="554" t="str">
        <f t="shared" si="31"/>
        <v/>
      </c>
      <c r="GI33" s="549" t="str">
        <f t="shared" si="32"/>
        <v/>
      </c>
      <c r="GJ33" s="296" t="str">
        <f t="shared" si="187"/>
        <v/>
      </c>
      <c r="GK33" s="337" t="str">
        <f t="shared" si="33"/>
        <v/>
      </c>
      <c r="GL33" s="337" t="str">
        <f t="shared" si="188"/>
        <v/>
      </c>
      <c r="GM33" s="372" t="str">
        <f t="shared" si="210"/>
        <v/>
      </c>
      <c r="GN33" s="548" t="str">
        <f t="shared" si="189"/>
        <v/>
      </c>
      <c r="GO33" s="6" t="str">
        <f t="shared" si="190"/>
        <v/>
      </c>
      <c r="GP33" s="10" t="str">
        <f t="shared" si="211"/>
        <v/>
      </c>
      <c r="GQ33" s="372" t="str">
        <f t="shared" si="191"/>
        <v/>
      </c>
      <c r="GR33" s="697" t="str">
        <f t="shared" si="212"/>
        <v/>
      </c>
      <c r="GS33" s="637" t="str">
        <f t="shared" si="35"/>
        <v/>
      </c>
      <c r="GT33" s="638" t="str">
        <f t="shared" si="36"/>
        <v/>
      </c>
      <c r="GU33" s="639" t="str">
        <f t="shared" si="37"/>
        <v/>
      </c>
      <c r="GV33" s="638" t="str">
        <f t="shared" si="192"/>
        <v/>
      </c>
      <c r="GW33" s="640" t="str">
        <f t="shared" si="38"/>
        <v/>
      </c>
      <c r="GX33" s="641" t="str">
        <f t="shared" si="39"/>
        <v/>
      </c>
      <c r="GY33" s="639" t="str">
        <f t="shared" si="40"/>
        <v/>
      </c>
      <c r="GZ33" s="640" t="str">
        <f t="shared" si="41"/>
        <v/>
      </c>
      <c r="HA33" s="637" t="str">
        <f t="shared" si="42"/>
        <v/>
      </c>
      <c r="HB33" s="7" t="str">
        <f t="shared" si="193"/>
        <v/>
      </c>
      <c r="HC33" s="638" t="str">
        <f t="shared" si="194"/>
        <v/>
      </c>
      <c r="HD33" s="682" t="str">
        <f t="shared" si="195"/>
        <v/>
      </c>
      <c r="HE33" s="639" t="str">
        <f t="shared" si="43"/>
        <v/>
      </c>
      <c r="HF33" s="7" t="str">
        <f t="shared" si="44"/>
        <v/>
      </c>
      <c r="HG33" s="638" t="str">
        <f t="shared" si="196"/>
        <v/>
      </c>
      <c r="HH33" s="644" t="str">
        <f t="shared" si="197"/>
        <v/>
      </c>
      <c r="HI33" s="596" t="str">
        <f t="shared" si="198"/>
        <v/>
      </c>
      <c r="HJ33" s="625"/>
      <c r="HK33" s="1232">
        <f t="shared" si="83"/>
        <v>25</v>
      </c>
      <c r="HL33" s="583">
        <f t="shared" si="84"/>
        <v>3.8791000000000002</v>
      </c>
      <c r="HM33" s="643">
        <f t="shared" si="216"/>
        <v>6.125</v>
      </c>
      <c r="HN33" s="660">
        <f t="shared" si="216"/>
        <v>24.762397433214687</v>
      </c>
      <c r="HO33" s="661">
        <f t="shared" si="216"/>
        <v>6.1324140492361989</v>
      </c>
      <c r="HP33" s="656">
        <f t="shared" si="216"/>
        <v>25.318723316448033</v>
      </c>
      <c r="HQ33" s="660">
        <f t="shared" si="216"/>
        <v>9.5999999999999992E-3</v>
      </c>
      <c r="HR33" s="671">
        <f t="shared" si="216"/>
        <v>1.9337796056603556E-2</v>
      </c>
      <c r="HS33" s="655">
        <f t="shared" si="216"/>
        <v>1788.6619112189278</v>
      </c>
      <c r="HT33" s="648">
        <f t="shared" si="216"/>
        <v>522.32166608236264</v>
      </c>
      <c r="HU33" s="649">
        <f t="shared" si="216"/>
        <v>1132.3587822659977</v>
      </c>
      <c r="HV33" s="650">
        <f t="shared" si="216"/>
        <v>133.98146287056755</v>
      </c>
      <c r="HW33" s="648">
        <f t="shared" si="216"/>
        <v>257.14944904311608</v>
      </c>
      <c r="HX33" s="649">
        <f t="shared" si="216"/>
        <v>557.48297627178908</v>
      </c>
      <c r="HY33" s="650">
        <f t="shared" si="216"/>
        <v>65.961765701912071</v>
      </c>
      <c r="HZ33" s="648">
        <f t="shared" si="216"/>
        <v>58071.143361644703</v>
      </c>
      <c r="IA33" s="649">
        <f t="shared" si="216"/>
        <v>180.21101777132478</v>
      </c>
      <c r="IB33" s="716"/>
      <c r="IC33" s="717">
        <f>HS33/[1]Assy.Model!HS33</f>
        <v>1.5997035730549292</v>
      </c>
      <c r="ID33" s="717">
        <f>HT33/[1]Assy.Model!HT33</f>
        <v>1.5525966984543087</v>
      </c>
      <c r="IE33" s="717">
        <f>HU33/[1]Assy.Model!HU33</f>
        <v>1.6174460877035266</v>
      </c>
      <c r="IF33" s="717">
        <f>HV33/[1]Assy.Model!HV33</f>
        <v>1.6416855502614149</v>
      </c>
    </row>
    <row r="34" spans="2:240" s="35" customFormat="1" ht="15" customHeight="1" x14ac:dyDescent="0.25">
      <c r="B34" s="143">
        <v>2.0164473761380544</v>
      </c>
      <c r="C34" s="144">
        <v>-2.2842056799229229</v>
      </c>
      <c r="D34" s="145">
        <v>-0.28950087313463335</v>
      </c>
      <c r="E34" s="146">
        <v>0.87138991561834622</v>
      </c>
      <c r="F34" s="144">
        <v>0.41199987442480035</v>
      </c>
      <c r="G34" s="147">
        <v>0.26633760236324189</v>
      </c>
      <c r="H34" s="146">
        <v>0.26600000000000001</v>
      </c>
      <c r="I34" s="144">
        <v>0.52</v>
      </c>
      <c r="J34" s="306">
        <v>3.2160000000000002</v>
      </c>
      <c r="K34" s="699" t="str">
        <f t="shared" si="199"/>
        <v>13</v>
      </c>
      <c r="M34" s="292">
        <f>IF(J34="","",J34)</f>
        <v>3.2160000000000002</v>
      </c>
      <c r="N34" s="24">
        <f>IF(M34="","",B34)</f>
        <v>2.0164473761380544</v>
      </c>
      <c r="O34" s="7">
        <f>IF(M34="","",C34)</f>
        <v>-2.2842056799229229</v>
      </c>
      <c r="P34" s="12">
        <f>IF(M34="","",D34)</f>
        <v>-0.28950087313463335</v>
      </c>
      <c r="Q34" s="11">
        <f t="shared" si="85"/>
        <v>311.43736802839976</v>
      </c>
      <c r="R34" s="7">
        <f>IF(M34="","",SQRT(N34^2+O34^2))</f>
        <v>3.0469091894781153</v>
      </c>
      <c r="S34" s="8">
        <f>IF(M34="","",P34)</f>
        <v>-0.28950087313463335</v>
      </c>
      <c r="T34" s="6">
        <f>IF(M34="","",X34*COS(RADIANS(W34)))</f>
        <v>-2.251928541716651</v>
      </c>
      <c r="U34" s="7">
        <f>IF(M34="","",X34*SIN(RADIANS(W34)))</f>
        <v>-2.0524311077178945</v>
      </c>
      <c r="V34" s="10">
        <f>IF(M34="","",Y34)</f>
        <v>-0.28950087313463335</v>
      </c>
      <c r="W34" s="11">
        <f t="shared" si="214"/>
        <v>222.34636789715643</v>
      </c>
      <c r="X34" s="7">
        <f>IF(M34="","",R34)</f>
        <v>3.0469091894781153</v>
      </c>
      <c r="Y34" s="9">
        <f t="shared" si="213"/>
        <v>-0.28950087313463335</v>
      </c>
      <c r="Z34" s="24">
        <f>IF(M34="","",-E34)</f>
        <v>-0.87138991561834622</v>
      </c>
      <c r="AA34" s="7">
        <f>IF(M34="","",-F34)</f>
        <v>-0.41199987442480035</v>
      </c>
      <c r="AB34" s="7">
        <f>IF(M34="","",-G34)</f>
        <v>-0.26633760236324189</v>
      </c>
      <c r="AC34" s="10">
        <f>IF(M34="","",SQRT(Z34^2+AA34^2+AB34^2))</f>
        <v>1</v>
      </c>
      <c r="AD34" s="11">
        <f>IF(M34="","",Z34*(1/SQRT(Z34^2+AA34^2+AB34^2)))</f>
        <v>-0.87138991561834622</v>
      </c>
      <c r="AE34" s="7">
        <f>IF(M34="","",AA34*(1/SQRT(Z34^2+AA34^2+AB34^2)))</f>
        <v>-0.41199987442480035</v>
      </c>
      <c r="AF34" s="12">
        <f>IF(M34="","",AB34*(1/SQRT(Z34^2+AA34^2+AB34^2)))</f>
        <v>-0.26633760236324189</v>
      </c>
      <c r="AG34" s="6">
        <f>IF(M34="","",DEGREES(ATAN2(-AF34,AE34)))</f>
        <v>-57.119324369561944</v>
      </c>
      <c r="AH34" s="12">
        <f>IF(M34="","",DEGREES(ACOS(AD34)))</f>
        <v>150.62056056531029</v>
      </c>
      <c r="AI34" s="11">
        <f>IF(M34="","",DEGREES(-ACOS(-AF34)))</f>
        <v>-74.553551495403966</v>
      </c>
      <c r="AJ34" s="8">
        <f>IF(M34="","",DEGREES(ATAN2(-AE34,AD34)))</f>
        <v>-64.694854363006485</v>
      </c>
      <c r="AK34" s="6">
        <f>IF(M34="","",(COS(RADIANS((90-$Q$8)-W34))*AD34)+(-SIN(RADIANS((90-$Q$8)-W34))*AE34))</f>
        <v>0.92592515398179787</v>
      </c>
      <c r="AL34" s="7">
        <f>IF(M34="","",(SIN(RADIANS((90-$Q$8)-W34))*AD34)+(COS(RADIANS((90-$Q$8)-W34))*AE34))</f>
        <v>-0.26781876482275041</v>
      </c>
      <c r="AM34" s="8">
        <f>IF(M34="","",AF34)</f>
        <v>-0.26633760236324189</v>
      </c>
      <c r="AN34" s="6">
        <f>IF(M34="","",DEGREES(ATAN2(-AM34,AL34)))</f>
        <v>-45.158875088664452</v>
      </c>
      <c r="AO34" s="10">
        <f t="shared" si="3"/>
        <v>22.191723665628874</v>
      </c>
      <c r="AP34" s="11">
        <f>IF(M34="","",DEGREES(ATAN2(AK34,AL34)))</f>
        <v>-16.132222391406238</v>
      </c>
      <c r="AQ34" s="8">
        <f t="shared" si="200"/>
        <v>0.74825210940514386</v>
      </c>
      <c r="AS34" s="123">
        <f t="shared" si="90"/>
        <v>-137.65363210284357</v>
      </c>
      <c r="AT34" s="174">
        <f>IF(M34="","",Y34+(((AS34-$AS$9)*$AS$6)*-1))</f>
        <v>-0.1932768231543554</v>
      </c>
      <c r="AV34" s="292" t="str">
        <f t="shared" si="91"/>
        <v/>
      </c>
      <c r="AW34" s="439"/>
      <c r="AX34" s="440"/>
      <c r="AY34" s="442"/>
      <c r="AZ34" s="565" t="str">
        <f t="shared" si="92"/>
        <v/>
      </c>
      <c r="BA34" s="564" t="str">
        <f t="shared" si="93"/>
        <v/>
      </c>
      <c r="BB34" s="444" t="str">
        <f t="shared" si="94"/>
        <v/>
      </c>
      <c r="BC34" s="11"/>
      <c r="BD34" s="7" t="str">
        <f t="shared" si="95"/>
        <v/>
      </c>
      <c r="BE34" s="8" t="str">
        <f t="shared" si="96"/>
        <v/>
      </c>
      <c r="BF34" s="6" t="str">
        <f t="shared" si="97"/>
        <v/>
      </c>
      <c r="BG34" s="7" t="str">
        <f t="shared" si="98"/>
        <v/>
      </c>
      <c r="BH34" s="12" t="str">
        <f t="shared" si="99"/>
        <v/>
      </c>
      <c r="BI34" s="11" t="str">
        <f t="shared" si="100"/>
        <v/>
      </c>
      <c r="BJ34" s="7" t="str">
        <f t="shared" si="101"/>
        <v/>
      </c>
      <c r="BK34" s="10" t="str">
        <f t="shared" si="102"/>
        <v/>
      </c>
      <c r="BL34" s="328" t="str">
        <f t="shared" si="103"/>
        <v/>
      </c>
      <c r="BM34" s="7" t="str">
        <f t="shared" si="104"/>
        <v/>
      </c>
      <c r="BN34" s="8" t="str">
        <f t="shared" si="105"/>
        <v/>
      </c>
      <c r="BO34" s="6" t="str">
        <f t="shared" si="106"/>
        <v/>
      </c>
      <c r="BP34" s="7" t="str">
        <f t="shared" si="107"/>
        <v/>
      </c>
      <c r="BQ34" s="7" t="str">
        <f t="shared" si="108"/>
        <v/>
      </c>
      <c r="BR34" s="8" t="str">
        <f t="shared" si="109"/>
        <v/>
      </c>
      <c r="BS34" s="6" t="str">
        <f t="shared" si="69"/>
        <v/>
      </c>
      <c r="BT34" s="7" t="str">
        <f t="shared" si="69"/>
        <v/>
      </c>
      <c r="BU34" s="12" t="str">
        <f t="shared" si="70"/>
        <v/>
      </c>
      <c r="BV34" s="11" t="str">
        <f t="shared" si="71"/>
        <v/>
      </c>
      <c r="BW34" s="7" t="str">
        <f t="shared" si="72"/>
        <v/>
      </c>
      <c r="BX34" s="10" t="str">
        <f t="shared" si="73"/>
        <v/>
      </c>
      <c r="BY34" s="328" t="str">
        <f t="shared" si="74"/>
        <v/>
      </c>
      <c r="BZ34" s="7" t="str">
        <f t="shared" si="75"/>
        <v/>
      </c>
      <c r="CA34" s="8" t="str">
        <f t="shared" si="76"/>
        <v/>
      </c>
      <c r="CB34" s="6" t="str">
        <f t="shared" si="110"/>
        <v/>
      </c>
      <c r="CC34" s="7" t="str">
        <f t="shared" si="111"/>
        <v/>
      </c>
      <c r="CD34" s="7" t="str">
        <f t="shared" si="112"/>
        <v/>
      </c>
      <c r="CE34" s="8" t="str">
        <f t="shared" si="113"/>
        <v/>
      </c>
      <c r="CF34" s="6" t="str">
        <f t="shared" si="114"/>
        <v/>
      </c>
      <c r="CG34" s="7" t="str">
        <f t="shared" si="115"/>
        <v/>
      </c>
      <c r="CH34" s="7" t="str">
        <f t="shared" si="116"/>
        <v/>
      </c>
      <c r="CI34" s="6" t="str">
        <f t="shared" si="77"/>
        <v/>
      </c>
      <c r="CJ34" s="7" t="str">
        <f t="shared" si="78"/>
        <v/>
      </c>
      <c r="CK34" s="10" t="str">
        <f t="shared" si="79"/>
        <v/>
      </c>
      <c r="CL34" s="328" t="str">
        <f t="shared" si="80"/>
        <v/>
      </c>
      <c r="CM34" s="7" t="str">
        <f t="shared" si="81"/>
        <v/>
      </c>
      <c r="CN34" s="8" t="str">
        <f t="shared" si="82"/>
        <v/>
      </c>
      <c r="CO34" s="296" t="str">
        <f t="shared" si="201"/>
        <v/>
      </c>
      <c r="CP34" s="6" t="str">
        <f t="shared" si="202"/>
        <v/>
      </c>
      <c r="CQ34" s="7" t="str">
        <f t="shared" si="203"/>
        <v/>
      </c>
      <c r="CR34" s="7" t="str">
        <f t="shared" si="117"/>
        <v/>
      </c>
      <c r="CS34" s="10" t="str">
        <f t="shared" si="118"/>
        <v/>
      </c>
      <c r="CT34" s="11" t="str">
        <f t="shared" si="119"/>
        <v/>
      </c>
      <c r="CU34" s="8" t="str">
        <f t="shared" si="120"/>
        <v/>
      </c>
      <c r="CV34" s="6" t="str">
        <f t="shared" si="204"/>
        <v/>
      </c>
      <c r="CW34" s="7" t="str">
        <f t="shared" si="121"/>
        <v/>
      </c>
      <c r="CX34" s="10" t="str">
        <f t="shared" si="122"/>
        <v/>
      </c>
      <c r="CY34" s="11" t="str">
        <f t="shared" si="123"/>
        <v/>
      </c>
      <c r="CZ34" s="7" t="str">
        <f t="shared" si="124"/>
        <v/>
      </c>
      <c r="DA34" s="8" t="str">
        <f t="shared" si="125"/>
        <v/>
      </c>
      <c r="DB34" s="6" t="str">
        <f t="shared" si="126"/>
        <v/>
      </c>
      <c r="DC34" s="7" t="str">
        <f t="shared" si="126"/>
        <v/>
      </c>
      <c r="DD34" s="12" t="str">
        <f t="shared" si="127"/>
        <v/>
      </c>
      <c r="DE34" s="11" t="str">
        <f t="shared" si="128"/>
        <v/>
      </c>
      <c r="DF34" s="7" t="str">
        <f t="shared" si="128"/>
        <v/>
      </c>
      <c r="DG34" s="12" t="str">
        <f t="shared" si="129"/>
        <v/>
      </c>
      <c r="DH34" s="174" t="str">
        <f t="shared" si="130"/>
        <v/>
      </c>
      <c r="DI34" s="6" t="str">
        <f t="shared" si="131"/>
        <v/>
      </c>
      <c r="DJ34" s="7" t="str">
        <f t="shared" si="132"/>
        <v/>
      </c>
      <c r="DK34" s="12" t="str">
        <f t="shared" si="133"/>
        <v/>
      </c>
      <c r="DL34" s="11" t="str">
        <f t="shared" si="134"/>
        <v/>
      </c>
      <c r="DM34" s="328" t="str">
        <f t="shared" si="135"/>
        <v/>
      </c>
      <c r="DN34" s="376" t="str">
        <f t="shared" si="136"/>
        <v/>
      </c>
      <c r="DO34" s="11" t="str">
        <f t="shared" si="137"/>
        <v/>
      </c>
      <c r="DP34" s="328" t="str">
        <f t="shared" si="138"/>
        <v/>
      </c>
      <c r="DQ34" s="13" t="str">
        <f t="shared" si="139"/>
        <v/>
      </c>
      <c r="DR34" s="328" t="str">
        <f t="shared" si="140"/>
        <v/>
      </c>
      <c r="DS34" s="7" t="str">
        <f t="shared" si="141"/>
        <v/>
      </c>
      <c r="DT34" s="7" t="str">
        <f t="shared" si="142"/>
        <v/>
      </c>
      <c r="DU34" s="7" t="str">
        <f t="shared" si="143"/>
        <v/>
      </c>
      <c r="DV34" s="7" t="str">
        <f t="shared" si="144"/>
        <v/>
      </c>
      <c r="DW34" s="7" t="str">
        <f t="shared" si="145"/>
        <v/>
      </c>
      <c r="DX34" s="296" t="str">
        <f t="shared" si="146"/>
        <v/>
      </c>
      <c r="DY34" s="11" t="str">
        <f t="shared" si="147"/>
        <v/>
      </c>
      <c r="DZ34" s="7" t="str">
        <f t="shared" si="148"/>
        <v/>
      </c>
      <c r="EA34" s="12" t="str">
        <f t="shared" si="149"/>
        <v/>
      </c>
      <c r="EB34" s="8" t="str">
        <f t="shared" si="150"/>
        <v/>
      </c>
      <c r="EC34" s="328" t="str">
        <f t="shared" si="151"/>
        <v/>
      </c>
      <c r="ED34" s="7" t="str">
        <f t="shared" si="152"/>
        <v/>
      </c>
      <c r="EE34" s="6" t="str">
        <f t="shared" si="153"/>
        <v/>
      </c>
      <c r="EF34" s="7" t="str">
        <f t="shared" si="154"/>
        <v/>
      </c>
      <c r="EG34" s="12" t="str">
        <f t="shared" si="155"/>
        <v/>
      </c>
      <c r="EH34" s="11" t="str">
        <f t="shared" si="156"/>
        <v/>
      </c>
      <c r="EI34" s="7" t="str">
        <f t="shared" si="157"/>
        <v/>
      </c>
      <c r="EJ34" s="8" t="str">
        <f t="shared" si="158"/>
        <v/>
      </c>
      <c r="EK34" s="491" t="str">
        <f t="shared" si="159"/>
        <v/>
      </c>
      <c r="EL34" s="493" t="str">
        <f t="shared" si="160"/>
        <v/>
      </c>
      <c r="EM34" s="6" t="str">
        <f t="shared" si="161"/>
        <v/>
      </c>
      <c r="EN34" s="7" t="str">
        <f t="shared" si="162"/>
        <v/>
      </c>
      <c r="EO34" s="12" t="str">
        <f t="shared" si="163"/>
        <v/>
      </c>
      <c r="EP34" s="11" t="str">
        <f t="shared" si="164"/>
        <v/>
      </c>
      <c r="EQ34" s="7" t="str">
        <f t="shared" si="165"/>
        <v/>
      </c>
      <c r="ER34" s="9" t="str">
        <f t="shared" si="166"/>
        <v/>
      </c>
      <c r="ES34" s="24" t="str">
        <f t="shared" si="167"/>
        <v/>
      </c>
      <c r="ET34" s="7" t="str">
        <f t="shared" si="168"/>
        <v/>
      </c>
      <c r="EU34" s="12" t="str">
        <f t="shared" si="169"/>
        <v/>
      </c>
      <c r="EV34" s="337" t="str">
        <f t="shared" si="15"/>
        <v/>
      </c>
      <c r="EW34" s="11" t="str">
        <f t="shared" si="16"/>
        <v/>
      </c>
      <c r="EX34" s="7" t="str">
        <f t="shared" si="17"/>
        <v/>
      </c>
      <c r="EY34" s="8" t="str">
        <f t="shared" si="170"/>
        <v/>
      </c>
      <c r="EZ34" s="123" t="str">
        <f t="shared" si="171"/>
        <v/>
      </c>
      <c r="FA34" s="534" t="str">
        <f t="shared" si="18"/>
        <v/>
      </c>
      <c r="FB34" s="535" t="str">
        <f t="shared" si="19"/>
        <v/>
      </c>
      <c r="FC34" s="537" t="str">
        <f t="shared" si="20"/>
        <v/>
      </c>
      <c r="FD34" s="6" t="str">
        <f t="shared" si="21"/>
        <v/>
      </c>
      <c r="FE34" s="7" t="str">
        <f t="shared" si="22"/>
        <v/>
      </c>
      <c r="FF34" s="9" t="str">
        <f t="shared" si="172"/>
        <v/>
      </c>
      <c r="FG34" s="328" t="str">
        <f t="shared" si="23"/>
        <v/>
      </c>
      <c r="FH34" s="7" t="str">
        <f t="shared" si="24"/>
        <v/>
      </c>
      <c r="FI34" s="12" t="str">
        <f t="shared" si="25"/>
        <v/>
      </c>
      <c r="FJ34" s="547" t="str">
        <f t="shared" si="173"/>
        <v/>
      </c>
      <c r="FK34" s="6" t="str">
        <f t="shared" si="26"/>
        <v/>
      </c>
      <c r="FL34" s="7" t="str">
        <f t="shared" si="174"/>
        <v/>
      </c>
      <c r="FM34" s="10" t="str">
        <f t="shared" si="175"/>
        <v/>
      </c>
      <c r="FN34" s="11" t="str">
        <f t="shared" si="176"/>
        <v/>
      </c>
      <c r="FO34" s="12" t="str">
        <f t="shared" si="27"/>
        <v/>
      </c>
      <c r="FP34" s="545" t="str">
        <f t="shared" si="28"/>
        <v/>
      </c>
      <c r="FQ34" s="328" t="str">
        <f t="shared" si="205"/>
        <v/>
      </c>
      <c r="FR34" s="12" t="str">
        <f t="shared" si="177"/>
        <v/>
      </c>
      <c r="FS34" s="11" t="str">
        <f t="shared" si="178"/>
        <v/>
      </c>
      <c r="FT34" s="8" t="str">
        <f t="shared" si="179"/>
        <v/>
      </c>
      <c r="FU34" s="6" t="str">
        <f t="shared" si="180"/>
        <v/>
      </c>
      <c r="FV34" s="7" t="str">
        <f t="shared" si="181"/>
        <v/>
      </c>
      <c r="FW34" s="10" t="str">
        <f t="shared" si="206"/>
        <v/>
      </c>
      <c r="FX34" s="11" t="str">
        <f t="shared" si="207"/>
        <v/>
      </c>
      <c r="FY34" s="12" t="str">
        <f t="shared" si="29"/>
        <v/>
      </c>
      <c r="FZ34" s="545" t="str">
        <f t="shared" si="208"/>
        <v/>
      </c>
      <c r="GA34" s="372" t="str">
        <f t="shared" si="182"/>
        <v/>
      </c>
      <c r="GB34" s="46" t="str">
        <f t="shared" si="183"/>
        <v/>
      </c>
      <c r="GC34" s="47" t="str">
        <f t="shared" si="184"/>
        <v/>
      </c>
      <c r="GD34" s="578" t="str">
        <f t="shared" si="185"/>
        <v/>
      </c>
      <c r="GE34" s="585" t="str">
        <f t="shared" si="186"/>
        <v/>
      </c>
      <c r="GF34" s="634" t="str">
        <f t="shared" si="209"/>
        <v/>
      </c>
      <c r="GG34" s="553" t="str">
        <f t="shared" si="30"/>
        <v/>
      </c>
      <c r="GH34" s="554" t="str">
        <f t="shared" si="31"/>
        <v/>
      </c>
      <c r="GI34" s="549" t="str">
        <f t="shared" si="32"/>
        <v/>
      </c>
      <c r="GJ34" s="296" t="str">
        <f t="shared" si="187"/>
        <v/>
      </c>
      <c r="GK34" s="337" t="str">
        <f t="shared" si="33"/>
        <v/>
      </c>
      <c r="GL34" s="337" t="str">
        <f t="shared" si="188"/>
        <v/>
      </c>
      <c r="GM34" s="372" t="str">
        <f t="shared" si="210"/>
        <v/>
      </c>
      <c r="GN34" s="548" t="str">
        <f t="shared" si="189"/>
        <v/>
      </c>
      <c r="GO34" s="6" t="str">
        <f t="shared" si="190"/>
        <v/>
      </c>
      <c r="GP34" s="10" t="str">
        <f t="shared" si="211"/>
        <v/>
      </c>
      <c r="GQ34" s="372" t="str">
        <f t="shared" si="191"/>
        <v/>
      </c>
      <c r="GR34" s="697" t="str">
        <f t="shared" si="212"/>
        <v/>
      </c>
      <c r="GS34" s="637" t="str">
        <f t="shared" si="35"/>
        <v/>
      </c>
      <c r="GT34" s="638" t="str">
        <f t="shared" si="36"/>
        <v/>
      </c>
      <c r="GU34" s="639" t="str">
        <f t="shared" si="37"/>
        <v/>
      </c>
      <c r="GV34" s="638" t="str">
        <f t="shared" si="192"/>
        <v/>
      </c>
      <c r="GW34" s="640" t="str">
        <f t="shared" si="38"/>
        <v/>
      </c>
      <c r="GX34" s="641" t="str">
        <f t="shared" si="39"/>
        <v/>
      </c>
      <c r="GY34" s="639" t="str">
        <f t="shared" si="40"/>
        <v/>
      </c>
      <c r="GZ34" s="640" t="str">
        <f t="shared" si="41"/>
        <v/>
      </c>
      <c r="HA34" s="637" t="str">
        <f t="shared" si="42"/>
        <v/>
      </c>
      <c r="HB34" s="7" t="str">
        <f t="shared" si="193"/>
        <v/>
      </c>
      <c r="HC34" s="638" t="str">
        <f t="shared" si="194"/>
        <v/>
      </c>
      <c r="HD34" s="682" t="str">
        <f t="shared" si="195"/>
        <v/>
      </c>
      <c r="HE34" s="639" t="str">
        <f t="shared" si="43"/>
        <v/>
      </c>
      <c r="HF34" s="7" t="str">
        <f t="shared" si="44"/>
        <v/>
      </c>
      <c r="HG34" s="638" t="str">
        <f t="shared" si="196"/>
        <v/>
      </c>
      <c r="HH34" s="644" t="str">
        <f t="shared" si="197"/>
        <v/>
      </c>
      <c r="HI34" s="596" t="str">
        <f t="shared" si="198"/>
        <v/>
      </c>
      <c r="HJ34" s="625"/>
      <c r="HK34" s="1232">
        <f t="shared" si="83"/>
        <v>26</v>
      </c>
      <c r="HL34" s="583">
        <f t="shared" si="84"/>
        <v>3.9113000000000002</v>
      </c>
      <c r="HM34" s="643">
        <f t="shared" si="216"/>
        <v>5.1260000000000003</v>
      </c>
      <c r="HN34" s="660">
        <f t="shared" si="216"/>
        <v>26.695793497208836</v>
      </c>
      <c r="HO34" s="661">
        <f t="shared" si="216"/>
        <v>5.2739952757660102</v>
      </c>
      <c r="HP34" s="656">
        <f t="shared" si="216"/>
        <v>27.056493915777896</v>
      </c>
      <c r="HQ34" s="660">
        <f t="shared" si="216"/>
        <v>5.1999999999999998E-3</v>
      </c>
      <c r="HR34" s="671">
        <f t="shared" si="216"/>
        <v>1.0561579299412288E-2</v>
      </c>
      <c r="HS34" s="655">
        <f t="shared" si="216"/>
        <v>993.3444006211522</v>
      </c>
      <c r="HT34" s="648">
        <f t="shared" si="216"/>
        <v>310.99202177110044</v>
      </c>
      <c r="HU34" s="649">
        <f t="shared" si="216"/>
        <v>618.45191868203028</v>
      </c>
      <c r="HV34" s="650">
        <f t="shared" si="216"/>
        <v>63.900460168021525</v>
      </c>
      <c r="HW34" s="648">
        <f t="shared" si="216"/>
        <v>151.84728355154286</v>
      </c>
      <c r="HX34" s="649">
        <f t="shared" si="216"/>
        <v>301.96994548055244</v>
      </c>
      <c r="HY34" s="650">
        <f t="shared" si="216"/>
        <v>31.20051517382468</v>
      </c>
      <c r="HZ34" s="648">
        <f t="shared" si="216"/>
        <v>58071.143361644703</v>
      </c>
      <c r="IA34" s="649">
        <f t="shared" si="216"/>
        <v>98.424587313173731</v>
      </c>
      <c r="IB34" s="716"/>
      <c r="IC34" s="717">
        <f>HS34/[1]Assy.Model!HS34</f>
        <v>2.5699553058148772</v>
      </c>
      <c r="ID34" s="717">
        <f>HT34/[1]Assy.Model!HT34</f>
        <v>2.498786396878983</v>
      </c>
      <c r="IE34" s="717">
        <f>HU34/[1]Assy.Model!HU34</f>
        <v>2.5960843418038273</v>
      </c>
      <c r="IF34" s="717">
        <f>HV34/[1]Assy.Model!HV34</f>
        <v>2.6803959729531632</v>
      </c>
    </row>
    <row r="35" spans="2:240" s="35" customFormat="1" ht="15" customHeight="1" x14ac:dyDescent="0.25">
      <c r="B35" s="143">
        <v>2.23840845716812</v>
      </c>
      <c r="C35" s="144">
        <v>-2.7479004693231119</v>
      </c>
      <c r="D35" s="145">
        <v>-0.90380272586902133</v>
      </c>
      <c r="E35" s="146">
        <v>0.45431179937053406</v>
      </c>
      <c r="F35" s="144">
        <v>-0.5577189448613028</v>
      </c>
      <c r="G35" s="147">
        <v>0.69465845384296798</v>
      </c>
      <c r="H35" s="146">
        <v>0.25700000000000001</v>
      </c>
      <c r="I35" s="144">
        <v>0.41499999999999992</v>
      </c>
      <c r="J35" s="306">
        <v>3.222</v>
      </c>
      <c r="K35" s="699" t="str">
        <f t="shared" si="199"/>
        <v>Kunckle</v>
      </c>
      <c r="M35" s="292">
        <f>IF(J35="","",J35)</f>
        <v>3.222</v>
      </c>
      <c r="N35" s="24">
        <f>IF(M35="","",B35)</f>
        <v>2.23840845716812</v>
      </c>
      <c r="O35" s="7">
        <f>IF(M35="","",C35)</f>
        <v>-2.7479004693231119</v>
      </c>
      <c r="P35" s="12">
        <f>IF(M35="","",D35)</f>
        <v>-0.90380272586902133</v>
      </c>
      <c r="Q35" s="11">
        <f t="shared" si="85"/>
        <v>309.16586835636372</v>
      </c>
      <c r="R35" s="7">
        <f>IF(M35="","",SQRT(N35^2+O35^2))</f>
        <v>3.5442106893394389</v>
      </c>
      <c r="S35" s="8">
        <f>IF(M35="","",P35)</f>
        <v>-0.90380272586902133</v>
      </c>
      <c r="T35" s="6">
        <f>IF(M35="","",X35*COS(RADIANS(W35)))</f>
        <v>-2.7120437026214854</v>
      </c>
      <c r="U35" s="7">
        <f>IF(M35="","",X35*SIN(RADIANS(W35)))</f>
        <v>-2.2817204836480482</v>
      </c>
      <c r="V35" s="10">
        <f>IF(M35="","",Y35)</f>
        <v>-0.90380272586902133</v>
      </c>
      <c r="W35" s="11">
        <f t="shared" si="214"/>
        <v>220.07486822512038</v>
      </c>
      <c r="X35" s="7">
        <f>IF(M35="","",R35)</f>
        <v>3.5442106893394389</v>
      </c>
      <c r="Y35" s="9">
        <f t="shared" si="213"/>
        <v>-0.90380272586902133</v>
      </c>
      <c r="Z35" s="24">
        <f>IF(M35="","",-E35)</f>
        <v>-0.45431179937053406</v>
      </c>
      <c r="AA35" s="7">
        <f>IF(M35="","",-F35)</f>
        <v>0.5577189448613028</v>
      </c>
      <c r="AB35" s="7">
        <f>IF(M35="","",-G35)</f>
        <v>-0.69465845384296798</v>
      </c>
      <c r="AC35" s="10">
        <f>IF(M35="","",SQRT(Z35^2+AA35^2+AB35^2))</f>
        <v>1</v>
      </c>
      <c r="AD35" s="11">
        <f>IF(M35="","",Z35*(1/SQRT(Z35^2+AA35^2+AB35^2)))</f>
        <v>-0.45431179937053406</v>
      </c>
      <c r="AE35" s="7">
        <f>IF(M35="","",AA35*(1/SQRT(Z35^2+AA35^2+AB35^2)))</f>
        <v>0.5577189448613028</v>
      </c>
      <c r="AF35" s="12">
        <f>IF(M35="","",AB35*(1/SQRT(Z35^2+AA35^2+AB35^2)))</f>
        <v>-0.69465845384296798</v>
      </c>
      <c r="AG35" s="6">
        <f>IF(M35="","",DEGREES(ATAN2(-AF35,AE35)))</f>
        <v>38.759860962405703</v>
      </c>
      <c r="AH35" s="12">
        <f>IF(M35="","",DEGREES(ACOS(AD35)))</f>
        <v>117.02066292921205</v>
      </c>
      <c r="AI35" s="11">
        <f>IF(M35="","",DEGREES(-ACOS(-AF35)))</f>
        <v>-45.999993358424121</v>
      </c>
      <c r="AJ35" s="8">
        <f>IF(M35="","",DEGREES(ATAN2(-AE35,AD35)))</f>
        <v>-140.83411357930584</v>
      </c>
      <c r="AK35" s="6">
        <f>IF(M35="","",(COS(RADIANS((90-$Q$8)-W35))*AD35)+(-SIN(RADIANS((90-$Q$8)-W35))*AE35))</f>
        <v>2.2679489652954743E-7</v>
      </c>
      <c r="AL35" s="7">
        <f>IF(M35="","",(SIN(RADIANS((90-$Q$8)-W35))*AD35)+(COS(RADIANS((90-$Q$8)-W35))*AE35))</f>
        <v>-0.71933971981564171</v>
      </c>
      <c r="AM35" s="8">
        <f>IF(M35="","",AF35)</f>
        <v>-0.69465845384296798</v>
      </c>
      <c r="AN35" s="6">
        <f>IF(M35="","",DEGREES(ATAN2(-AM35,AL35)))</f>
        <v>-45.999993358422707</v>
      </c>
      <c r="AO35" s="10">
        <f t="shared" si="3"/>
        <v>0</v>
      </c>
      <c r="AP35" s="11">
        <f>IF(M35="","",DEGREES(ATAN2(AK35,AL35)))</f>
        <v>-89.999981935669581</v>
      </c>
      <c r="AQ35" s="8">
        <f t="shared" si="200"/>
        <v>0.64325250656237021</v>
      </c>
      <c r="AS35" s="123">
        <f t="shared" si="90"/>
        <v>-139.92513177487962</v>
      </c>
      <c r="AT35" s="174">
        <f>IF(M35="","",Y35+(((AS35-$AS$9)*$AS$6)*-1))</f>
        <v>-0.80600124556094055</v>
      </c>
      <c r="AV35" s="292" t="str">
        <f t="shared" si="91"/>
        <v/>
      </c>
      <c r="AW35" s="439"/>
      <c r="AX35" s="440"/>
      <c r="AY35" s="442"/>
      <c r="AZ35" s="565" t="str">
        <f t="shared" si="92"/>
        <v/>
      </c>
      <c r="BA35" s="564" t="str">
        <f t="shared" si="93"/>
        <v/>
      </c>
      <c r="BB35" s="444" t="str">
        <f t="shared" si="94"/>
        <v/>
      </c>
      <c r="BC35" s="11"/>
      <c r="BD35" s="7" t="str">
        <f t="shared" si="95"/>
        <v/>
      </c>
      <c r="BE35" s="8" t="str">
        <f t="shared" si="96"/>
        <v/>
      </c>
      <c r="BF35" s="6" t="str">
        <f t="shared" si="97"/>
        <v/>
      </c>
      <c r="BG35" s="7" t="str">
        <f t="shared" si="98"/>
        <v/>
      </c>
      <c r="BH35" s="12" t="str">
        <f t="shared" si="99"/>
        <v/>
      </c>
      <c r="BI35" s="11" t="str">
        <f t="shared" si="100"/>
        <v/>
      </c>
      <c r="BJ35" s="7" t="str">
        <f t="shared" si="101"/>
        <v/>
      </c>
      <c r="BK35" s="10" t="str">
        <f t="shared" si="102"/>
        <v/>
      </c>
      <c r="BL35" s="328" t="str">
        <f t="shared" si="103"/>
        <v/>
      </c>
      <c r="BM35" s="7" t="str">
        <f t="shared" si="104"/>
        <v/>
      </c>
      <c r="BN35" s="8" t="str">
        <f t="shared" si="105"/>
        <v/>
      </c>
      <c r="BO35" s="6" t="str">
        <f t="shared" si="106"/>
        <v/>
      </c>
      <c r="BP35" s="7" t="str">
        <f t="shared" si="107"/>
        <v/>
      </c>
      <c r="BQ35" s="7" t="str">
        <f t="shared" si="108"/>
        <v/>
      </c>
      <c r="BR35" s="8" t="str">
        <f t="shared" si="109"/>
        <v/>
      </c>
      <c r="BS35" s="6" t="str">
        <f t="shared" si="69"/>
        <v/>
      </c>
      <c r="BT35" s="7" t="str">
        <f t="shared" si="69"/>
        <v/>
      </c>
      <c r="BU35" s="12" t="str">
        <f t="shared" si="70"/>
        <v/>
      </c>
      <c r="BV35" s="11" t="str">
        <f t="shared" si="71"/>
        <v/>
      </c>
      <c r="BW35" s="7" t="str">
        <f t="shared" si="72"/>
        <v/>
      </c>
      <c r="BX35" s="10" t="str">
        <f t="shared" si="73"/>
        <v/>
      </c>
      <c r="BY35" s="328" t="str">
        <f t="shared" si="74"/>
        <v/>
      </c>
      <c r="BZ35" s="7" t="str">
        <f t="shared" si="75"/>
        <v/>
      </c>
      <c r="CA35" s="8" t="str">
        <f t="shared" si="76"/>
        <v/>
      </c>
      <c r="CB35" s="6" t="str">
        <f t="shared" si="110"/>
        <v/>
      </c>
      <c r="CC35" s="7" t="str">
        <f t="shared" si="111"/>
        <v/>
      </c>
      <c r="CD35" s="7" t="str">
        <f t="shared" si="112"/>
        <v/>
      </c>
      <c r="CE35" s="8" t="str">
        <f t="shared" si="113"/>
        <v/>
      </c>
      <c r="CF35" s="6" t="str">
        <f t="shared" si="114"/>
        <v/>
      </c>
      <c r="CG35" s="7" t="str">
        <f t="shared" si="115"/>
        <v/>
      </c>
      <c r="CH35" s="7" t="str">
        <f t="shared" si="116"/>
        <v/>
      </c>
      <c r="CI35" s="6" t="str">
        <f t="shared" si="77"/>
        <v/>
      </c>
      <c r="CJ35" s="7" t="str">
        <f t="shared" si="78"/>
        <v/>
      </c>
      <c r="CK35" s="10" t="str">
        <f t="shared" si="79"/>
        <v/>
      </c>
      <c r="CL35" s="328" t="str">
        <f t="shared" si="80"/>
        <v/>
      </c>
      <c r="CM35" s="7" t="str">
        <f t="shared" si="81"/>
        <v/>
      </c>
      <c r="CN35" s="8" t="str">
        <f t="shared" si="82"/>
        <v/>
      </c>
      <c r="CO35" s="296" t="str">
        <f t="shared" si="201"/>
        <v/>
      </c>
      <c r="CP35" s="6" t="str">
        <f t="shared" si="202"/>
        <v/>
      </c>
      <c r="CQ35" s="7" t="str">
        <f t="shared" si="203"/>
        <v/>
      </c>
      <c r="CR35" s="7" t="str">
        <f t="shared" si="117"/>
        <v/>
      </c>
      <c r="CS35" s="10" t="str">
        <f t="shared" si="118"/>
        <v/>
      </c>
      <c r="CT35" s="11" t="str">
        <f t="shared" si="119"/>
        <v/>
      </c>
      <c r="CU35" s="8" t="str">
        <f t="shared" si="120"/>
        <v/>
      </c>
      <c r="CV35" s="6" t="str">
        <f t="shared" si="204"/>
        <v/>
      </c>
      <c r="CW35" s="7" t="str">
        <f t="shared" si="121"/>
        <v/>
      </c>
      <c r="CX35" s="10" t="str">
        <f t="shared" si="122"/>
        <v/>
      </c>
      <c r="CY35" s="11" t="str">
        <f t="shared" si="123"/>
        <v/>
      </c>
      <c r="CZ35" s="7" t="str">
        <f t="shared" si="124"/>
        <v/>
      </c>
      <c r="DA35" s="8" t="str">
        <f t="shared" si="125"/>
        <v/>
      </c>
      <c r="DB35" s="6" t="str">
        <f t="shared" si="126"/>
        <v/>
      </c>
      <c r="DC35" s="7" t="str">
        <f t="shared" si="126"/>
        <v/>
      </c>
      <c r="DD35" s="12" t="str">
        <f t="shared" si="127"/>
        <v/>
      </c>
      <c r="DE35" s="11" t="str">
        <f t="shared" si="128"/>
        <v/>
      </c>
      <c r="DF35" s="7" t="str">
        <f t="shared" si="128"/>
        <v/>
      </c>
      <c r="DG35" s="12" t="str">
        <f t="shared" si="129"/>
        <v/>
      </c>
      <c r="DH35" s="174" t="str">
        <f t="shared" si="130"/>
        <v/>
      </c>
      <c r="DI35" s="6" t="str">
        <f t="shared" si="131"/>
        <v/>
      </c>
      <c r="DJ35" s="7" t="str">
        <f t="shared" si="132"/>
        <v/>
      </c>
      <c r="DK35" s="12" t="str">
        <f t="shared" si="133"/>
        <v/>
      </c>
      <c r="DL35" s="11" t="str">
        <f t="shared" si="134"/>
        <v/>
      </c>
      <c r="DM35" s="328" t="str">
        <f t="shared" si="135"/>
        <v/>
      </c>
      <c r="DN35" s="376" t="str">
        <f t="shared" si="136"/>
        <v/>
      </c>
      <c r="DO35" s="11" t="str">
        <f t="shared" si="137"/>
        <v/>
      </c>
      <c r="DP35" s="328" t="str">
        <f t="shared" si="138"/>
        <v/>
      </c>
      <c r="DQ35" s="13" t="str">
        <f t="shared" si="139"/>
        <v/>
      </c>
      <c r="DR35" s="328" t="str">
        <f t="shared" si="140"/>
        <v/>
      </c>
      <c r="DS35" s="7" t="str">
        <f t="shared" si="141"/>
        <v/>
      </c>
      <c r="DT35" s="7" t="str">
        <f t="shared" si="142"/>
        <v/>
      </c>
      <c r="DU35" s="7" t="str">
        <f t="shared" si="143"/>
        <v/>
      </c>
      <c r="DV35" s="7" t="str">
        <f t="shared" si="144"/>
        <v/>
      </c>
      <c r="DW35" s="7" t="str">
        <f t="shared" si="145"/>
        <v/>
      </c>
      <c r="DX35" s="296" t="str">
        <f t="shared" si="146"/>
        <v/>
      </c>
      <c r="DY35" s="11" t="str">
        <f t="shared" si="147"/>
        <v/>
      </c>
      <c r="DZ35" s="7" t="str">
        <f t="shared" si="148"/>
        <v/>
      </c>
      <c r="EA35" s="12" t="str">
        <f t="shared" si="149"/>
        <v/>
      </c>
      <c r="EB35" s="8" t="str">
        <f t="shared" si="150"/>
        <v/>
      </c>
      <c r="EC35" s="328" t="str">
        <f t="shared" si="151"/>
        <v/>
      </c>
      <c r="ED35" s="7" t="str">
        <f t="shared" si="152"/>
        <v/>
      </c>
      <c r="EE35" s="6" t="str">
        <f t="shared" si="153"/>
        <v/>
      </c>
      <c r="EF35" s="7" t="str">
        <f t="shared" si="154"/>
        <v/>
      </c>
      <c r="EG35" s="12" t="str">
        <f t="shared" si="155"/>
        <v/>
      </c>
      <c r="EH35" s="11" t="str">
        <f t="shared" si="156"/>
        <v/>
      </c>
      <c r="EI35" s="7" t="str">
        <f t="shared" si="157"/>
        <v/>
      </c>
      <c r="EJ35" s="8" t="str">
        <f t="shared" si="158"/>
        <v/>
      </c>
      <c r="EK35" s="491" t="str">
        <f t="shared" si="159"/>
        <v/>
      </c>
      <c r="EL35" s="493" t="str">
        <f t="shared" si="160"/>
        <v/>
      </c>
      <c r="EM35" s="6" t="str">
        <f t="shared" si="161"/>
        <v/>
      </c>
      <c r="EN35" s="7" t="str">
        <f t="shared" si="162"/>
        <v/>
      </c>
      <c r="EO35" s="12" t="str">
        <f t="shared" si="163"/>
        <v/>
      </c>
      <c r="EP35" s="11" t="str">
        <f t="shared" si="164"/>
        <v/>
      </c>
      <c r="EQ35" s="7" t="str">
        <f t="shared" si="165"/>
        <v/>
      </c>
      <c r="ER35" s="9" t="str">
        <f t="shared" si="166"/>
        <v/>
      </c>
      <c r="ES35" s="24" t="str">
        <f t="shared" si="167"/>
        <v/>
      </c>
      <c r="ET35" s="7" t="str">
        <f t="shared" si="168"/>
        <v/>
      </c>
      <c r="EU35" s="12" t="str">
        <f t="shared" si="169"/>
        <v/>
      </c>
      <c r="EV35" s="337" t="str">
        <f t="shared" si="15"/>
        <v/>
      </c>
      <c r="EW35" s="11" t="str">
        <f t="shared" si="16"/>
        <v/>
      </c>
      <c r="EX35" s="7" t="str">
        <f t="shared" si="17"/>
        <v/>
      </c>
      <c r="EY35" s="8" t="str">
        <f t="shared" si="170"/>
        <v/>
      </c>
      <c r="EZ35" s="123" t="str">
        <f t="shared" si="171"/>
        <v/>
      </c>
      <c r="FA35" s="534" t="str">
        <f t="shared" si="18"/>
        <v/>
      </c>
      <c r="FB35" s="535" t="str">
        <f t="shared" si="19"/>
        <v/>
      </c>
      <c r="FC35" s="537" t="str">
        <f t="shared" si="20"/>
        <v/>
      </c>
      <c r="FD35" s="6" t="str">
        <f t="shared" si="21"/>
        <v/>
      </c>
      <c r="FE35" s="7" t="str">
        <f t="shared" si="22"/>
        <v/>
      </c>
      <c r="FF35" s="9" t="str">
        <f t="shared" si="172"/>
        <v/>
      </c>
      <c r="FG35" s="328" t="str">
        <f t="shared" si="23"/>
        <v/>
      </c>
      <c r="FH35" s="7" t="str">
        <f t="shared" si="24"/>
        <v/>
      </c>
      <c r="FI35" s="12" t="str">
        <f t="shared" si="25"/>
        <v/>
      </c>
      <c r="FJ35" s="547" t="str">
        <f t="shared" si="173"/>
        <v/>
      </c>
      <c r="FK35" s="6" t="str">
        <f t="shared" si="26"/>
        <v/>
      </c>
      <c r="FL35" s="7" t="str">
        <f t="shared" si="174"/>
        <v/>
      </c>
      <c r="FM35" s="10" t="str">
        <f t="shared" si="175"/>
        <v/>
      </c>
      <c r="FN35" s="11" t="str">
        <f t="shared" si="176"/>
        <v/>
      </c>
      <c r="FO35" s="12" t="str">
        <f t="shared" si="27"/>
        <v/>
      </c>
      <c r="FP35" s="545" t="str">
        <f t="shared" si="28"/>
        <v/>
      </c>
      <c r="FQ35" s="328" t="str">
        <f t="shared" si="205"/>
        <v/>
      </c>
      <c r="FR35" s="12" t="str">
        <f t="shared" si="177"/>
        <v/>
      </c>
      <c r="FS35" s="11" t="str">
        <f t="shared" si="178"/>
        <v/>
      </c>
      <c r="FT35" s="8" t="str">
        <f t="shared" si="179"/>
        <v/>
      </c>
      <c r="FU35" s="6" t="str">
        <f t="shared" si="180"/>
        <v/>
      </c>
      <c r="FV35" s="7" t="str">
        <f t="shared" si="181"/>
        <v/>
      </c>
      <c r="FW35" s="10" t="str">
        <f t="shared" si="206"/>
        <v/>
      </c>
      <c r="FX35" s="11" t="str">
        <f t="shared" si="207"/>
        <v/>
      </c>
      <c r="FY35" s="12" t="str">
        <f t="shared" si="29"/>
        <v/>
      </c>
      <c r="FZ35" s="545" t="str">
        <f t="shared" si="208"/>
        <v/>
      </c>
      <c r="GA35" s="372" t="str">
        <f t="shared" si="182"/>
        <v/>
      </c>
      <c r="GB35" s="46" t="str">
        <f t="shared" si="183"/>
        <v/>
      </c>
      <c r="GC35" s="47" t="str">
        <f t="shared" si="184"/>
        <v/>
      </c>
      <c r="GD35" s="578" t="str">
        <f t="shared" si="185"/>
        <v/>
      </c>
      <c r="GE35" s="585" t="str">
        <f t="shared" si="186"/>
        <v/>
      </c>
      <c r="GF35" s="634" t="str">
        <f t="shared" si="209"/>
        <v/>
      </c>
      <c r="GG35" s="553" t="str">
        <f t="shared" si="30"/>
        <v/>
      </c>
      <c r="GH35" s="554" t="str">
        <f t="shared" si="31"/>
        <v/>
      </c>
      <c r="GI35" s="549" t="str">
        <f t="shared" si="32"/>
        <v/>
      </c>
      <c r="GJ35" s="296" t="str">
        <f t="shared" si="187"/>
        <v/>
      </c>
      <c r="GK35" s="337" t="str">
        <f t="shared" si="33"/>
        <v/>
      </c>
      <c r="GL35" s="337" t="str">
        <f t="shared" si="188"/>
        <v/>
      </c>
      <c r="GM35" s="372" t="str">
        <f t="shared" si="210"/>
        <v/>
      </c>
      <c r="GN35" s="548" t="str">
        <f t="shared" si="189"/>
        <v/>
      </c>
      <c r="GO35" s="6" t="str">
        <f t="shared" si="190"/>
        <v/>
      </c>
      <c r="GP35" s="10" t="str">
        <f t="shared" si="211"/>
        <v/>
      </c>
      <c r="GQ35" s="372" t="str">
        <f t="shared" si="191"/>
        <v/>
      </c>
      <c r="GR35" s="697" t="str">
        <f t="shared" si="212"/>
        <v/>
      </c>
      <c r="GS35" s="637" t="str">
        <f t="shared" si="35"/>
        <v/>
      </c>
      <c r="GT35" s="638" t="str">
        <f t="shared" si="36"/>
        <v/>
      </c>
      <c r="GU35" s="639" t="str">
        <f t="shared" si="37"/>
        <v/>
      </c>
      <c r="GV35" s="638" t="str">
        <f t="shared" si="192"/>
        <v/>
      </c>
      <c r="GW35" s="640" t="str">
        <f t="shared" si="38"/>
        <v/>
      </c>
      <c r="GX35" s="641" t="str">
        <f t="shared" si="39"/>
        <v/>
      </c>
      <c r="GY35" s="639" t="str">
        <f t="shared" si="40"/>
        <v/>
      </c>
      <c r="GZ35" s="640" t="str">
        <f t="shared" si="41"/>
        <v/>
      </c>
      <c r="HA35" s="637" t="str">
        <f t="shared" si="42"/>
        <v/>
      </c>
      <c r="HB35" s="7" t="str">
        <f t="shared" si="193"/>
        <v/>
      </c>
      <c r="HC35" s="638" t="str">
        <f t="shared" si="194"/>
        <v/>
      </c>
      <c r="HD35" s="682" t="str">
        <f t="shared" si="195"/>
        <v/>
      </c>
      <c r="HE35" s="639" t="str">
        <f t="shared" si="43"/>
        <v/>
      </c>
      <c r="HF35" s="7" t="str">
        <f t="shared" si="44"/>
        <v/>
      </c>
      <c r="HG35" s="638" t="str">
        <f t="shared" si="196"/>
        <v/>
      </c>
      <c r="HH35" s="644" t="str">
        <f t="shared" si="197"/>
        <v/>
      </c>
      <c r="HI35" s="596" t="str">
        <f t="shared" si="198"/>
        <v/>
      </c>
      <c r="HJ35" s="625"/>
      <c r="HK35" s="584" t="str">
        <f t="shared" si="83"/>
        <v/>
      </c>
      <c r="HL35" s="583" t="str">
        <f t="shared" si="84"/>
        <v/>
      </c>
      <c r="HM35" s="643" t="str">
        <f t="shared" si="216"/>
        <v/>
      </c>
      <c r="HN35" s="660" t="str">
        <f t="shared" si="216"/>
        <v/>
      </c>
      <c r="HO35" s="661" t="str">
        <f t="shared" si="216"/>
        <v/>
      </c>
      <c r="HP35" s="656" t="str">
        <f t="shared" si="216"/>
        <v/>
      </c>
      <c r="HQ35" s="660" t="str">
        <f t="shared" si="216"/>
        <v/>
      </c>
      <c r="HR35" s="671" t="str">
        <f t="shared" si="216"/>
        <v/>
      </c>
      <c r="HS35" s="655" t="str">
        <f t="shared" si="216"/>
        <v/>
      </c>
      <c r="HT35" s="648" t="str">
        <f t="shared" si="216"/>
        <v/>
      </c>
      <c r="HU35" s="649" t="str">
        <f t="shared" si="216"/>
        <v/>
      </c>
      <c r="HV35" s="650" t="str">
        <f t="shared" si="216"/>
        <v/>
      </c>
      <c r="HW35" s="648" t="str">
        <f t="shared" si="216"/>
        <v/>
      </c>
      <c r="HX35" s="649" t="str">
        <f t="shared" si="216"/>
        <v/>
      </c>
      <c r="HY35" s="650" t="str">
        <f t="shared" si="216"/>
        <v/>
      </c>
      <c r="HZ35" s="648" t="str">
        <f t="shared" si="216"/>
        <v/>
      </c>
      <c r="IA35" s="649" t="str">
        <f t="shared" si="216"/>
        <v/>
      </c>
      <c r="IB35" s="716"/>
      <c r="IC35" s="511"/>
      <c r="ID35" s="511"/>
    </row>
    <row r="36" spans="2:240" s="35" customFormat="1" ht="15" customHeight="1" x14ac:dyDescent="0.25">
      <c r="B36" s="143">
        <v>2.3250587601055943</v>
      </c>
      <c r="C36" s="144">
        <v>-2.8814389985109923</v>
      </c>
      <c r="D36" s="145">
        <v>-1.7223051944724665</v>
      </c>
      <c r="E36" s="146">
        <v>0.62796823800727708</v>
      </c>
      <c r="F36" s="144">
        <v>-0.77823896847561203</v>
      </c>
      <c r="G36" s="147">
        <v>2.2679489709822973E-7</v>
      </c>
      <c r="H36" s="146">
        <v>0.25700000000000001</v>
      </c>
      <c r="I36" s="144">
        <v>0.41499999999999992</v>
      </c>
      <c r="J36" s="306">
        <v>3.2280000000000002</v>
      </c>
      <c r="K36" s="699" t="str">
        <f t="shared" si="199"/>
        <v>Kunckle</v>
      </c>
      <c r="M36" s="292">
        <f>IF(J36="","",J36)</f>
        <v>3.2280000000000002</v>
      </c>
      <c r="N36" s="24">
        <f>IF(M36="","",B36)</f>
        <v>2.3250587601055943</v>
      </c>
      <c r="O36" s="7">
        <f>IF(M36="","",C36)</f>
        <v>-2.8814389985109923</v>
      </c>
      <c r="P36" s="12">
        <f>IF(M36="","",D36)</f>
        <v>-1.7223051944724665</v>
      </c>
      <c r="Q36" s="11">
        <f t="shared" si="85"/>
        <v>308.90036839469718</v>
      </c>
      <c r="R36" s="7">
        <f>IF(M36="","",SQRT(N36^2+O36^2))</f>
        <v>3.7025111667736792</v>
      </c>
      <c r="S36" s="8">
        <f>IF(M36="","",P36)</f>
        <v>-1.7223051944724665</v>
      </c>
      <c r="T36" s="6">
        <f>IF(M36="","",X36*COS(RADIANS(W36)))</f>
        <v>-2.8441907734637439</v>
      </c>
      <c r="U36" s="7">
        <f>IF(M36="","",X36*SIN(RADIANS(W36)))</f>
        <v>-2.3704783872095314</v>
      </c>
      <c r="V36" s="10">
        <f>IF(M36="","",Y36)</f>
        <v>-1.7223051944724665</v>
      </c>
      <c r="W36" s="11">
        <f t="shared" si="214"/>
        <v>219.80936826345385</v>
      </c>
      <c r="X36" s="7">
        <f>IF(M36="","",R36)</f>
        <v>3.7025111667736792</v>
      </c>
      <c r="Y36" s="9">
        <f t="shared" si="213"/>
        <v>-1.7223051944724665</v>
      </c>
      <c r="Z36" s="24">
        <f>IF(M36="","",-E36)</f>
        <v>-0.62796823800727708</v>
      </c>
      <c r="AA36" s="7">
        <f>IF(M36="","",-F36)</f>
        <v>0.77823896847561203</v>
      </c>
      <c r="AB36" s="7">
        <f>IF(M36="","",-G36)</f>
        <v>-2.2679489709822973E-7</v>
      </c>
      <c r="AC36" s="10">
        <f>IF(M36="","",SQRT(Z36^2+AA36^2+AB36^2))</f>
        <v>1</v>
      </c>
      <c r="AD36" s="11">
        <f>IF(M36="","",Z36*(1/SQRT(Z36^2+AA36^2+AB36^2)))</f>
        <v>-0.62796823800727708</v>
      </c>
      <c r="AE36" s="7">
        <f>IF(M36="","",AA36*(1/SQRT(Z36^2+AA36^2+AB36^2)))</f>
        <v>0.77823896847561203</v>
      </c>
      <c r="AF36" s="12">
        <f>IF(M36="","",AB36*(1/SQRT(Z36^2+AA36^2+AB36^2)))</f>
        <v>-2.2679489709822973E-7</v>
      </c>
      <c r="AG36" s="6">
        <f>IF(M36="","",DEGREES(ATAN2(-AF36,AE36)))</f>
        <v>89.999983302827346</v>
      </c>
      <c r="AH36" s="12">
        <f>IF(M36="","",DEGREES(ACOS(AD36)))</f>
        <v>128.90038138908636</v>
      </c>
      <c r="AI36" s="11">
        <f>IF(M36="","",DEGREES(-ACOS(-AF36)))</f>
        <v>-89.999987005609583</v>
      </c>
      <c r="AJ36" s="8">
        <f>IF(M36="","",DEGREES(ATAN2(-AE36,AD36)))</f>
        <v>-141.09961861091244</v>
      </c>
      <c r="AK36" s="6">
        <f>IF(M36="","",(COS(RADIANS((90-$Q$8)-W36))*AD36)+(-SIN(RADIANS((90-$Q$8)-W36))*AE36))</f>
        <v>2.2679489625199167E-7</v>
      </c>
      <c r="AL36" s="7">
        <f>IF(M36="","",(SIN(RADIANS((90-$Q$8)-W36))*AD36)+(COS(RADIANS((90-$Q$8)-W36))*AE36))</f>
        <v>-0.99999999999994871</v>
      </c>
      <c r="AM36" s="8">
        <f>IF(M36="","",AF36)</f>
        <v>-2.2679489709822973E-7</v>
      </c>
      <c r="AN36" s="6">
        <f>IF(M36="","",DEGREES(ATAN2(-AM36,AL36)))</f>
        <v>-89.999987005609583</v>
      </c>
      <c r="AO36" s="10">
        <f t="shared" si="3"/>
        <v>0</v>
      </c>
      <c r="AP36" s="11">
        <f>IF(M36="","",DEGREES(ATAN2(AK36,AL36)))</f>
        <v>-89.999987005609626</v>
      </c>
      <c r="AQ36" s="8">
        <f t="shared" si="200"/>
        <v>0.61574814815849221</v>
      </c>
      <c r="AS36" s="123">
        <f t="shared" si="90"/>
        <v>-140.19063173654615</v>
      </c>
      <c r="AT36" s="174">
        <f>IF(M36="","",Y36+(((AS36-$AS$9)*$AS$6)*-1))</f>
        <v>-1.6243193391910062</v>
      </c>
      <c r="AV36" s="292" t="str">
        <f t="shared" si="91"/>
        <v/>
      </c>
      <c r="AW36" s="439"/>
      <c r="AX36" s="440"/>
      <c r="AY36" s="442"/>
      <c r="AZ36" s="565" t="str">
        <f t="shared" si="92"/>
        <v/>
      </c>
      <c r="BA36" s="564" t="str">
        <f t="shared" si="93"/>
        <v/>
      </c>
      <c r="BB36" s="444" t="str">
        <f t="shared" si="94"/>
        <v/>
      </c>
      <c r="BC36" s="11"/>
      <c r="BD36" s="7" t="str">
        <f t="shared" si="95"/>
        <v/>
      </c>
      <c r="BE36" s="8" t="str">
        <f t="shared" si="96"/>
        <v/>
      </c>
      <c r="BF36" s="6" t="str">
        <f t="shared" si="97"/>
        <v/>
      </c>
      <c r="BG36" s="7" t="str">
        <f t="shared" si="98"/>
        <v/>
      </c>
      <c r="BH36" s="12" t="str">
        <f t="shared" si="99"/>
        <v/>
      </c>
      <c r="BI36" s="11" t="str">
        <f t="shared" si="100"/>
        <v/>
      </c>
      <c r="BJ36" s="7" t="str">
        <f t="shared" si="101"/>
        <v/>
      </c>
      <c r="BK36" s="10" t="str">
        <f t="shared" si="102"/>
        <v/>
      </c>
      <c r="BL36" s="328" t="str">
        <f t="shared" si="103"/>
        <v/>
      </c>
      <c r="BM36" s="7" t="str">
        <f t="shared" si="104"/>
        <v/>
      </c>
      <c r="BN36" s="8" t="str">
        <f t="shared" si="105"/>
        <v/>
      </c>
      <c r="BO36" s="6" t="str">
        <f t="shared" si="106"/>
        <v/>
      </c>
      <c r="BP36" s="7" t="str">
        <f t="shared" si="107"/>
        <v/>
      </c>
      <c r="BQ36" s="7" t="str">
        <f t="shared" si="108"/>
        <v/>
      </c>
      <c r="BR36" s="8" t="str">
        <f t="shared" si="109"/>
        <v/>
      </c>
      <c r="BS36" s="6" t="str">
        <f t="shared" si="69"/>
        <v/>
      </c>
      <c r="BT36" s="7" t="str">
        <f t="shared" si="69"/>
        <v/>
      </c>
      <c r="BU36" s="12" t="str">
        <f t="shared" si="70"/>
        <v/>
      </c>
      <c r="BV36" s="11" t="str">
        <f t="shared" si="71"/>
        <v/>
      </c>
      <c r="BW36" s="7" t="str">
        <f t="shared" si="72"/>
        <v/>
      </c>
      <c r="BX36" s="10" t="str">
        <f t="shared" si="73"/>
        <v/>
      </c>
      <c r="BY36" s="328" t="str">
        <f t="shared" si="74"/>
        <v/>
      </c>
      <c r="BZ36" s="7" t="str">
        <f t="shared" si="75"/>
        <v/>
      </c>
      <c r="CA36" s="8" t="str">
        <f t="shared" si="76"/>
        <v/>
      </c>
      <c r="CB36" s="6" t="str">
        <f t="shared" si="110"/>
        <v/>
      </c>
      <c r="CC36" s="7" t="str">
        <f t="shared" si="111"/>
        <v/>
      </c>
      <c r="CD36" s="7" t="str">
        <f t="shared" si="112"/>
        <v/>
      </c>
      <c r="CE36" s="8" t="str">
        <f t="shared" si="113"/>
        <v/>
      </c>
      <c r="CF36" s="6" t="str">
        <f t="shared" si="114"/>
        <v/>
      </c>
      <c r="CG36" s="7" t="str">
        <f t="shared" si="115"/>
        <v/>
      </c>
      <c r="CH36" s="7" t="str">
        <f t="shared" si="116"/>
        <v/>
      </c>
      <c r="CI36" s="6" t="str">
        <f t="shared" si="77"/>
        <v/>
      </c>
      <c r="CJ36" s="7" t="str">
        <f t="shared" si="78"/>
        <v/>
      </c>
      <c r="CK36" s="10" t="str">
        <f t="shared" si="79"/>
        <v/>
      </c>
      <c r="CL36" s="328" t="str">
        <f t="shared" si="80"/>
        <v/>
      </c>
      <c r="CM36" s="7" t="str">
        <f t="shared" si="81"/>
        <v/>
      </c>
      <c r="CN36" s="8" t="str">
        <f t="shared" si="82"/>
        <v/>
      </c>
      <c r="CO36" s="296" t="str">
        <f t="shared" si="201"/>
        <v/>
      </c>
      <c r="CP36" s="6" t="str">
        <f t="shared" si="202"/>
        <v/>
      </c>
      <c r="CQ36" s="7" t="str">
        <f t="shared" si="203"/>
        <v/>
      </c>
      <c r="CR36" s="7" t="str">
        <f t="shared" si="117"/>
        <v/>
      </c>
      <c r="CS36" s="10" t="str">
        <f t="shared" si="118"/>
        <v/>
      </c>
      <c r="CT36" s="11" t="str">
        <f t="shared" si="119"/>
        <v/>
      </c>
      <c r="CU36" s="8" t="str">
        <f t="shared" si="120"/>
        <v/>
      </c>
      <c r="CV36" s="6" t="str">
        <f t="shared" si="204"/>
        <v/>
      </c>
      <c r="CW36" s="7" t="str">
        <f t="shared" si="121"/>
        <v/>
      </c>
      <c r="CX36" s="10" t="str">
        <f t="shared" si="122"/>
        <v/>
      </c>
      <c r="CY36" s="11" t="str">
        <f t="shared" si="123"/>
        <v/>
      </c>
      <c r="CZ36" s="7" t="str">
        <f t="shared" si="124"/>
        <v/>
      </c>
      <c r="DA36" s="8" t="str">
        <f t="shared" si="125"/>
        <v/>
      </c>
      <c r="DB36" s="6" t="str">
        <f t="shared" si="126"/>
        <v/>
      </c>
      <c r="DC36" s="7" t="str">
        <f t="shared" si="126"/>
        <v/>
      </c>
      <c r="DD36" s="12" t="str">
        <f t="shared" si="127"/>
        <v/>
      </c>
      <c r="DE36" s="11" t="str">
        <f t="shared" si="128"/>
        <v/>
      </c>
      <c r="DF36" s="7" t="str">
        <f t="shared" si="128"/>
        <v/>
      </c>
      <c r="DG36" s="12" t="str">
        <f t="shared" si="129"/>
        <v/>
      </c>
      <c r="DH36" s="174" t="str">
        <f t="shared" si="130"/>
        <v/>
      </c>
      <c r="DI36" s="6" t="str">
        <f t="shared" si="131"/>
        <v/>
      </c>
      <c r="DJ36" s="7" t="str">
        <f t="shared" si="132"/>
        <v/>
      </c>
      <c r="DK36" s="12" t="str">
        <f t="shared" si="133"/>
        <v/>
      </c>
      <c r="DL36" s="11" t="str">
        <f t="shared" si="134"/>
        <v/>
      </c>
      <c r="DM36" s="328" t="str">
        <f t="shared" si="135"/>
        <v/>
      </c>
      <c r="DN36" s="376" t="str">
        <f t="shared" si="136"/>
        <v/>
      </c>
      <c r="DO36" s="11" t="str">
        <f t="shared" si="137"/>
        <v/>
      </c>
      <c r="DP36" s="328" t="str">
        <f t="shared" si="138"/>
        <v/>
      </c>
      <c r="DQ36" s="13" t="str">
        <f t="shared" si="139"/>
        <v/>
      </c>
      <c r="DR36" s="328" t="str">
        <f t="shared" si="140"/>
        <v/>
      </c>
      <c r="DS36" s="7" t="str">
        <f t="shared" si="141"/>
        <v/>
      </c>
      <c r="DT36" s="7" t="str">
        <f t="shared" si="142"/>
        <v/>
      </c>
      <c r="DU36" s="7" t="str">
        <f t="shared" si="143"/>
        <v/>
      </c>
      <c r="DV36" s="7" t="str">
        <f t="shared" si="144"/>
        <v/>
      </c>
      <c r="DW36" s="7" t="str">
        <f t="shared" si="145"/>
        <v/>
      </c>
      <c r="DX36" s="296" t="str">
        <f t="shared" si="146"/>
        <v/>
      </c>
      <c r="DY36" s="11" t="str">
        <f t="shared" si="147"/>
        <v/>
      </c>
      <c r="DZ36" s="7" t="str">
        <f t="shared" si="148"/>
        <v/>
      </c>
      <c r="EA36" s="12" t="str">
        <f t="shared" si="149"/>
        <v/>
      </c>
      <c r="EB36" s="8" t="str">
        <f t="shared" si="150"/>
        <v/>
      </c>
      <c r="EC36" s="328" t="str">
        <f t="shared" si="151"/>
        <v/>
      </c>
      <c r="ED36" s="7" t="str">
        <f t="shared" si="152"/>
        <v/>
      </c>
      <c r="EE36" s="6" t="str">
        <f t="shared" si="153"/>
        <v/>
      </c>
      <c r="EF36" s="7" t="str">
        <f t="shared" si="154"/>
        <v/>
      </c>
      <c r="EG36" s="12" t="str">
        <f t="shared" si="155"/>
        <v/>
      </c>
      <c r="EH36" s="11" t="str">
        <f t="shared" si="156"/>
        <v/>
      </c>
      <c r="EI36" s="7" t="str">
        <f t="shared" si="157"/>
        <v/>
      </c>
      <c r="EJ36" s="8" t="str">
        <f t="shared" si="158"/>
        <v/>
      </c>
      <c r="EK36" s="491" t="str">
        <f t="shared" si="159"/>
        <v/>
      </c>
      <c r="EL36" s="493" t="str">
        <f t="shared" si="160"/>
        <v/>
      </c>
      <c r="EM36" s="6" t="str">
        <f t="shared" si="161"/>
        <v/>
      </c>
      <c r="EN36" s="7" t="str">
        <f t="shared" si="162"/>
        <v/>
      </c>
      <c r="EO36" s="12" t="str">
        <f t="shared" si="163"/>
        <v/>
      </c>
      <c r="EP36" s="11" t="str">
        <f t="shared" si="164"/>
        <v/>
      </c>
      <c r="EQ36" s="7" t="str">
        <f t="shared" si="165"/>
        <v/>
      </c>
      <c r="ER36" s="9" t="str">
        <f t="shared" si="166"/>
        <v/>
      </c>
      <c r="ES36" s="24" t="str">
        <f t="shared" si="167"/>
        <v/>
      </c>
      <c r="ET36" s="7" t="str">
        <f t="shared" si="168"/>
        <v/>
      </c>
      <c r="EU36" s="12" t="str">
        <f t="shared" si="169"/>
        <v/>
      </c>
      <c r="EV36" s="337" t="str">
        <f t="shared" si="15"/>
        <v/>
      </c>
      <c r="EW36" s="11" t="str">
        <f t="shared" si="16"/>
        <v/>
      </c>
      <c r="EX36" s="7" t="str">
        <f t="shared" si="17"/>
        <v/>
      </c>
      <c r="EY36" s="8" t="str">
        <f t="shared" si="170"/>
        <v/>
      </c>
      <c r="EZ36" s="123" t="str">
        <f t="shared" si="171"/>
        <v/>
      </c>
      <c r="FA36" s="534" t="str">
        <f t="shared" si="18"/>
        <v/>
      </c>
      <c r="FB36" s="535" t="str">
        <f t="shared" si="19"/>
        <v/>
      </c>
      <c r="FC36" s="537" t="str">
        <f t="shared" si="20"/>
        <v/>
      </c>
      <c r="FD36" s="6" t="str">
        <f t="shared" si="21"/>
        <v/>
      </c>
      <c r="FE36" s="7" t="str">
        <f t="shared" si="22"/>
        <v/>
      </c>
      <c r="FF36" s="9" t="str">
        <f t="shared" si="172"/>
        <v/>
      </c>
      <c r="FG36" s="328" t="str">
        <f t="shared" si="23"/>
        <v/>
      </c>
      <c r="FH36" s="7" t="str">
        <f t="shared" si="24"/>
        <v/>
      </c>
      <c r="FI36" s="12" t="str">
        <f t="shared" si="25"/>
        <v/>
      </c>
      <c r="FJ36" s="547" t="str">
        <f t="shared" si="173"/>
        <v/>
      </c>
      <c r="FK36" s="6" t="str">
        <f t="shared" si="26"/>
        <v/>
      </c>
      <c r="FL36" s="7" t="str">
        <f t="shared" si="174"/>
        <v/>
      </c>
      <c r="FM36" s="10" t="str">
        <f t="shared" si="175"/>
        <v/>
      </c>
      <c r="FN36" s="11" t="str">
        <f t="shared" si="176"/>
        <v/>
      </c>
      <c r="FO36" s="12" t="str">
        <f t="shared" si="27"/>
        <v/>
      </c>
      <c r="FP36" s="545" t="str">
        <f t="shared" si="28"/>
        <v/>
      </c>
      <c r="FQ36" s="328" t="str">
        <f t="shared" si="205"/>
        <v/>
      </c>
      <c r="FR36" s="12" t="str">
        <f t="shared" si="177"/>
        <v/>
      </c>
      <c r="FS36" s="11" t="str">
        <f t="shared" si="178"/>
        <v/>
      </c>
      <c r="FT36" s="8" t="str">
        <f t="shared" si="179"/>
        <v/>
      </c>
      <c r="FU36" s="6" t="str">
        <f t="shared" si="180"/>
        <v/>
      </c>
      <c r="FV36" s="7" t="str">
        <f t="shared" si="181"/>
        <v/>
      </c>
      <c r="FW36" s="10" t="str">
        <f t="shared" si="206"/>
        <v/>
      </c>
      <c r="FX36" s="11" t="str">
        <f t="shared" si="207"/>
        <v/>
      </c>
      <c r="FY36" s="12" t="str">
        <f t="shared" si="29"/>
        <v/>
      </c>
      <c r="FZ36" s="545" t="str">
        <f t="shared" si="208"/>
        <v/>
      </c>
      <c r="GA36" s="372" t="str">
        <f t="shared" si="182"/>
        <v/>
      </c>
      <c r="GB36" s="46" t="str">
        <f t="shared" si="183"/>
        <v/>
      </c>
      <c r="GC36" s="47" t="str">
        <f t="shared" si="184"/>
        <v/>
      </c>
      <c r="GD36" s="578" t="str">
        <f t="shared" si="185"/>
        <v/>
      </c>
      <c r="GE36" s="585" t="str">
        <f t="shared" si="186"/>
        <v/>
      </c>
      <c r="GF36" s="634" t="str">
        <f t="shared" si="209"/>
        <v/>
      </c>
      <c r="GG36" s="553" t="str">
        <f t="shared" si="30"/>
        <v/>
      </c>
      <c r="GH36" s="554" t="str">
        <f t="shared" si="31"/>
        <v/>
      </c>
      <c r="GI36" s="549" t="str">
        <f t="shared" si="32"/>
        <v/>
      </c>
      <c r="GJ36" s="296" t="str">
        <f t="shared" si="187"/>
        <v/>
      </c>
      <c r="GK36" s="337" t="str">
        <f t="shared" si="33"/>
        <v/>
      </c>
      <c r="GL36" s="337" t="str">
        <f t="shared" si="188"/>
        <v/>
      </c>
      <c r="GM36" s="372" t="str">
        <f t="shared" si="210"/>
        <v/>
      </c>
      <c r="GN36" s="548" t="str">
        <f t="shared" si="189"/>
        <v/>
      </c>
      <c r="GO36" s="6" t="str">
        <f t="shared" si="190"/>
        <v/>
      </c>
      <c r="GP36" s="10" t="str">
        <f t="shared" si="211"/>
        <v/>
      </c>
      <c r="GQ36" s="372" t="str">
        <f t="shared" si="191"/>
        <v/>
      </c>
      <c r="GR36" s="697" t="str">
        <f t="shared" si="212"/>
        <v/>
      </c>
      <c r="GS36" s="637" t="str">
        <f t="shared" si="35"/>
        <v/>
      </c>
      <c r="GT36" s="638" t="str">
        <f t="shared" si="36"/>
        <v/>
      </c>
      <c r="GU36" s="639" t="str">
        <f t="shared" si="37"/>
        <v/>
      </c>
      <c r="GV36" s="638" t="str">
        <f t="shared" si="192"/>
        <v/>
      </c>
      <c r="GW36" s="640" t="str">
        <f t="shared" si="38"/>
        <v/>
      </c>
      <c r="GX36" s="641" t="str">
        <f t="shared" si="39"/>
        <v/>
      </c>
      <c r="GY36" s="639" t="str">
        <f t="shared" si="40"/>
        <v/>
      </c>
      <c r="GZ36" s="640" t="str">
        <f t="shared" si="41"/>
        <v/>
      </c>
      <c r="HA36" s="637" t="str">
        <f t="shared" si="42"/>
        <v/>
      </c>
      <c r="HB36" s="7" t="str">
        <f t="shared" si="193"/>
        <v/>
      </c>
      <c r="HC36" s="638" t="str">
        <f t="shared" si="194"/>
        <v/>
      </c>
      <c r="HD36" s="682" t="str">
        <f t="shared" si="195"/>
        <v/>
      </c>
      <c r="HE36" s="639" t="str">
        <f t="shared" si="43"/>
        <v/>
      </c>
      <c r="HF36" s="7" t="str">
        <f t="shared" si="44"/>
        <v/>
      </c>
      <c r="HG36" s="638" t="str">
        <f t="shared" si="196"/>
        <v/>
      </c>
      <c r="HH36" s="644" t="str">
        <f t="shared" si="197"/>
        <v/>
      </c>
      <c r="HI36" s="596" t="str">
        <f t="shared" si="198"/>
        <v/>
      </c>
      <c r="HJ36" s="625"/>
      <c r="HK36" s="584" t="str">
        <f t="shared" si="83"/>
        <v/>
      </c>
      <c r="HL36" s="583" t="str">
        <f t="shared" si="84"/>
        <v/>
      </c>
      <c r="HM36" s="643" t="str">
        <f t="shared" si="216"/>
        <v/>
      </c>
      <c r="HN36" s="660" t="str">
        <f t="shared" si="216"/>
        <v/>
      </c>
      <c r="HO36" s="661" t="str">
        <f t="shared" si="216"/>
        <v/>
      </c>
      <c r="HP36" s="656" t="str">
        <f t="shared" si="216"/>
        <v/>
      </c>
      <c r="HQ36" s="660" t="str">
        <f t="shared" si="216"/>
        <v/>
      </c>
      <c r="HR36" s="671" t="str">
        <f t="shared" si="216"/>
        <v/>
      </c>
      <c r="HS36" s="655" t="str">
        <f t="shared" si="216"/>
        <v/>
      </c>
      <c r="HT36" s="648" t="str">
        <f t="shared" si="216"/>
        <v/>
      </c>
      <c r="HU36" s="649" t="str">
        <f t="shared" si="216"/>
        <v/>
      </c>
      <c r="HV36" s="650" t="str">
        <f t="shared" si="216"/>
        <v/>
      </c>
      <c r="HW36" s="648" t="str">
        <f t="shared" si="216"/>
        <v/>
      </c>
      <c r="HX36" s="649" t="str">
        <f t="shared" si="216"/>
        <v/>
      </c>
      <c r="HY36" s="650" t="str">
        <f t="shared" si="216"/>
        <v/>
      </c>
      <c r="HZ36" s="648" t="str">
        <f t="shared" si="216"/>
        <v/>
      </c>
      <c r="IA36" s="649" t="str">
        <f t="shared" si="216"/>
        <v/>
      </c>
      <c r="IB36" s="716"/>
      <c r="IC36" s="511"/>
      <c r="ID36" s="511"/>
    </row>
    <row r="37" spans="2:240" ht="15" customHeight="1" x14ac:dyDescent="0.25">
      <c r="B37" s="143">
        <v>-1.5175781862054498E-2</v>
      </c>
      <c r="C37" s="144">
        <v>-2.1164519759604588</v>
      </c>
      <c r="D37" s="145">
        <v>-6.420019362778398E-2</v>
      </c>
      <c r="E37" s="146">
        <v>0.96458042631082197</v>
      </c>
      <c r="F37" s="144">
        <v>-3.8218014805665348E-2</v>
      </c>
      <c r="G37" s="147">
        <v>0.26100571741313866</v>
      </c>
      <c r="H37" s="146">
        <v>0.314</v>
      </c>
      <c r="I37" s="144">
        <v>0.52</v>
      </c>
      <c r="J37" s="306">
        <v>4.109</v>
      </c>
      <c r="K37" s="699" t="str">
        <f t="shared" si="199"/>
        <v>1613</v>
      </c>
      <c r="M37" s="292">
        <f t="shared" si="46"/>
        <v>4.109</v>
      </c>
      <c r="N37" s="24">
        <f t="shared" si="47"/>
        <v>-1.5175781862054498E-2</v>
      </c>
      <c r="O37" s="7">
        <f t="shared" si="48"/>
        <v>-2.1164519759604588</v>
      </c>
      <c r="P37" s="12">
        <f t="shared" si="49"/>
        <v>-6.420019362778398E-2</v>
      </c>
      <c r="Q37" s="11">
        <f t="shared" si="85"/>
        <v>269.58917407053139</v>
      </c>
      <c r="R37" s="7">
        <f t="shared" si="50"/>
        <v>2.1165063833832525</v>
      </c>
      <c r="S37" s="8">
        <f t="shared" si="51"/>
        <v>-6.420019362778398E-2</v>
      </c>
      <c r="T37" s="6">
        <f t="shared" si="52"/>
        <v>-2.116426380876399</v>
      </c>
      <c r="U37" s="7">
        <f t="shared" si="53"/>
        <v>-1.8402315954344044E-2</v>
      </c>
      <c r="V37" s="10">
        <f t="shared" si="86"/>
        <v>-6.420019362778398E-2</v>
      </c>
      <c r="W37" s="11">
        <f t="shared" si="214"/>
        <v>180.49817393928805</v>
      </c>
      <c r="X37" s="7">
        <f t="shared" si="54"/>
        <v>2.1165063833832525</v>
      </c>
      <c r="Y37" s="9">
        <f t="shared" si="213"/>
        <v>-6.420019362778398E-2</v>
      </c>
      <c r="Z37" s="24">
        <f t="shared" si="87"/>
        <v>-0.96458042631082197</v>
      </c>
      <c r="AA37" s="7">
        <f t="shared" si="55"/>
        <v>3.8218014805665348E-2</v>
      </c>
      <c r="AB37" s="7">
        <f t="shared" si="56"/>
        <v>-0.26100571741313866</v>
      </c>
      <c r="AC37" s="10">
        <f t="shared" si="57"/>
        <v>1</v>
      </c>
      <c r="AD37" s="11">
        <f t="shared" si="88"/>
        <v>-0.96458042631082197</v>
      </c>
      <c r="AE37" s="7">
        <f t="shared" si="58"/>
        <v>3.8218014805665348E-2</v>
      </c>
      <c r="AF37" s="12">
        <f t="shared" si="59"/>
        <v>-0.26100571741313866</v>
      </c>
      <c r="AG37" s="6">
        <f t="shared" si="60"/>
        <v>8.3303905086553272</v>
      </c>
      <c r="AH37" s="12">
        <f t="shared" si="61"/>
        <v>164.70499658082494</v>
      </c>
      <c r="AI37" s="11">
        <f t="shared" si="62"/>
        <v>-74.870253781304712</v>
      </c>
      <c r="AJ37" s="8">
        <f t="shared" si="63"/>
        <v>-92.268951468678338</v>
      </c>
      <c r="AK37" s="6">
        <f t="shared" si="89"/>
        <v>0.96482966152454974</v>
      </c>
      <c r="AL37" s="7">
        <f t="shared" si="64"/>
        <v>-3.1300794240335522E-2</v>
      </c>
      <c r="AM37" s="8">
        <f t="shared" si="65"/>
        <v>-0.26100571741313866</v>
      </c>
      <c r="AN37" s="6">
        <f t="shared" si="66"/>
        <v>-6.8384687170467675</v>
      </c>
      <c r="AO37" s="10">
        <f t="shared" si="3"/>
        <v>15.240774905545788</v>
      </c>
      <c r="AP37" s="11">
        <f t="shared" si="67"/>
        <v>-1.8581255392097256</v>
      </c>
      <c r="AQ37" s="8">
        <f t="shared" si="200"/>
        <v>1.077244674823765</v>
      </c>
      <c r="AS37" s="123">
        <f t="shared" si="90"/>
        <v>-179.50182606071195</v>
      </c>
      <c r="AT37" s="174">
        <f t="shared" si="68"/>
        <v>6.1085102156569232E-2</v>
      </c>
      <c r="AV37" s="292">
        <f t="shared" si="91"/>
        <v>4.109</v>
      </c>
      <c r="AW37" s="709">
        <v>1.9954000000000001</v>
      </c>
      <c r="AX37" s="710">
        <v>0.50770000000000004</v>
      </c>
      <c r="AY37" s="711">
        <v>4.36E-2</v>
      </c>
      <c r="AZ37" s="565">
        <f t="shared" si="92"/>
        <v>0.54674226659620029</v>
      </c>
      <c r="BA37" s="564">
        <f t="shared" si="93"/>
        <v>4.5184002882133076E-2</v>
      </c>
      <c r="BB37" s="372">
        <f t="shared" si="94"/>
        <v>0.19661489784343078</v>
      </c>
      <c r="BC37" s="11"/>
      <c r="BD37" s="7">
        <f t="shared" si="95"/>
        <v>1.9954000000000001</v>
      </c>
      <c r="BE37" s="8">
        <f t="shared" si="96"/>
        <v>0.1324147042156468</v>
      </c>
      <c r="BF37" s="6">
        <f t="shared" si="97"/>
        <v>-1.5175781862054498E-2</v>
      </c>
      <c r="BG37" s="7">
        <f t="shared" si="98"/>
        <v>-2.1164519759604588</v>
      </c>
      <c r="BH37" s="12">
        <f t="shared" si="99"/>
        <v>-6.420019362778398E-2</v>
      </c>
      <c r="BI37" s="11">
        <f t="shared" si="100"/>
        <v>-1.5175781862054498E-2</v>
      </c>
      <c r="BJ37" s="7">
        <f t="shared" si="101"/>
        <v>-1.1270028946973669</v>
      </c>
      <c r="BK37" s="10">
        <f t="shared" si="102"/>
        <v>8.0680845806723411E-2</v>
      </c>
      <c r="BL37" s="328">
        <f t="shared" si="103"/>
        <v>0.24861315114695728</v>
      </c>
      <c r="BM37" s="7">
        <f t="shared" si="104"/>
        <v>-1.9767025611783666</v>
      </c>
      <c r="BN37" s="8">
        <f t="shared" si="105"/>
        <v>-1.0186034102453885</v>
      </c>
      <c r="BO37" s="6">
        <f t="shared" si="106"/>
        <v>-0.9645804263108223</v>
      </c>
      <c r="BP37" s="7">
        <f t="shared" si="107"/>
        <v>3.8218014805665265E-2</v>
      </c>
      <c r="BQ37" s="7">
        <f t="shared" si="108"/>
        <v>-0.26100571741313805</v>
      </c>
      <c r="BR37" s="8">
        <f t="shared" si="109"/>
        <v>4.9491713218753619E-2</v>
      </c>
      <c r="BS37" s="6">
        <f t="shared" si="69"/>
        <v>0</v>
      </c>
      <c r="BT37" s="7">
        <f t="shared" si="69"/>
        <v>0</v>
      </c>
      <c r="BU37" s="12">
        <f t="shared" si="70"/>
        <v>0.1324147042156468</v>
      </c>
      <c r="BV37" s="11">
        <f t="shared" si="71"/>
        <v>0</v>
      </c>
      <c r="BW37" s="7">
        <f t="shared" si="72"/>
        <v>1</v>
      </c>
      <c r="BX37" s="10">
        <f t="shared" si="73"/>
        <v>0.1324147042156468</v>
      </c>
      <c r="BY37" s="328">
        <f t="shared" si="74"/>
        <v>1</v>
      </c>
      <c r="BZ37" s="7">
        <f t="shared" si="75"/>
        <v>0</v>
      </c>
      <c r="CA37" s="8">
        <f t="shared" si="76"/>
        <v>0.1324147042156468</v>
      </c>
      <c r="CB37" s="6">
        <f t="shared" si="110"/>
        <v>0</v>
      </c>
      <c r="CC37" s="7">
        <f t="shared" si="111"/>
        <v>0</v>
      </c>
      <c r="CD37" s="7">
        <f t="shared" si="112"/>
        <v>-1</v>
      </c>
      <c r="CE37" s="8">
        <f t="shared" si="113"/>
        <v>0.1324147042156468</v>
      </c>
      <c r="CF37" s="6">
        <f t="shared" si="114"/>
        <v>-3.8218014805665265E-2</v>
      </c>
      <c r="CG37" s="7">
        <f t="shared" si="115"/>
        <v>-0.9645804263108223</v>
      </c>
      <c r="CH37" s="7">
        <f t="shared" si="116"/>
        <v>0</v>
      </c>
      <c r="CI37" s="6">
        <f t="shared" si="77"/>
        <v>0</v>
      </c>
      <c r="CJ37" s="7">
        <f t="shared" si="78"/>
        <v>-0.3906722634553742</v>
      </c>
      <c r="CK37" s="10">
        <f t="shared" si="79"/>
        <v>0.1324147042156468</v>
      </c>
      <c r="CL37" s="328">
        <f t="shared" si="80"/>
        <v>-3.8218014805665265E-2</v>
      </c>
      <c r="CM37" s="7">
        <f t="shared" si="81"/>
        <v>-1.3552526897661965</v>
      </c>
      <c r="CN37" s="8">
        <f t="shared" si="82"/>
        <v>0.1324147042156468</v>
      </c>
      <c r="CO37" s="296">
        <f t="shared" si="201"/>
        <v>0.3125</v>
      </c>
      <c r="CP37" s="6">
        <f t="shared" si="202"/>
        <v>0.93187601547765375</v>
      </c>
      <c r="CQ37" s="7">
        <f t="shared" si="203"/>
        <v>-3.3304666381252281</v>
      </c>
      <c r="CR37" s="7">
        <f t="shared" si="117"/>
        <v>2.91954708850324</v>
      </c>
      <c r="CS37" s="10">
        <f t="shared" si="118"/>
        <v>0.20938439633002304</v>
      </c>
      <c r="CT37" s="11">
        <f t="shared" si="119"/>
        <v>2.0324871404907192</v>
      </c>
      <c r="CU37" s="8">
        <f t="shared" si="120"/>
        <v>1.5414503606457632</v>
      </c>
      <c r="CV37" s="6">
        <f t="shared" si="204"/>
        <v>-7.7677623627598572E-2</v>
      </c>
      <c r="CW37" s="7">
        <f t="shared" si="121"/>
        <v>-2.3511695759011761</v>
      </c>
      <c r="CX37" s="10">
        <f t="shared" si="122"/>
        <v>0.1324147042156468</v>
      </c>
      <c r="CY37" s="11">
        <f t="shared" si="123"/>
        <v>-5.8911172705357839E-2</v>
      </c>
      <c r="CZ37" s="7">
        <f t="shared" si="124"/>
        <v>-1.8775251094640355</v>
      </c>
      <c r="DA37" s="8">
        <f t="shared" si="125"/>
        <v>0.1324147042156468</v>
      </c>
      <c r="DB37" s="6">
        <f t="shared" si="126"/>
        <v>0</v>
      </c>
      <c r="DC37" s="7">
        <f t="shared" si="126"/>
        <v>0</v>
      </c>
      <c r="DD37" s="12">
        <f t="shared" si="127"/>
        <v>-10</v>
      </c>
      <c r="DE37" s="11">
        <f t="shared" si="128"/>
        <v>0</v>
      </c>
      <c r="DF37" s="7">
        <f t="shared" si="128"/>
        <v>0</v>
      </c>
      <c r="DG37" s="12">
        <f t="shared" si="129"/>
        <v>10</v>
      </c>
      <c r="DH37" s="174">
        <f t="shared" si="130"/>
        <v>1.9954000000000001</v>
      </c>
      <c r="DI37" s="6">
        <f t="shared" si="131"/>
        <v>0</v>
      </c>
      <c r="DJ37" s="7">
        <f t="shared" si="132"/>
        <v>0</v>
      </c>
      <c r="DK37" s="12">
        <f t="shared" si="133"/>
        <v>20</v>
      </c>
      <c r="DL37" s="11">
        <f t="shared" si="134"/>
        <v>-7.7677623627598572E-2</v>
      </c>
      <c r="DM37" s="328">
        <f t="shared" si="135"/>
        <v>-2.3511695759011761</v>
      </c>
      <c r="DN37" s="376">
        <f t="shared" si="136"/>
        <v>10.132414704215646</v>
      </c>
      <c r="DO37" s="11">
        <f t="shared" si="137"/>
        <v>1.8766450922240732E-2</v>
      </c>
      <c r="DP37" s="328">
        <f t="shared" si="138"/>
        <v>0.47364446643714064</v>
      </c>
      <c r="DQ37" s="13">
        <f t="shared" si="139"/>
        <v>0</v>
      </c>
      <c r="DR37" s="328">
        <f t="shared" si="140"/>
        <v>202.64829408431294</v>
      </c>
      <c r="DS37" s="7">
        <f t="shared" si="141"/>
        <v>0</v>
      </c>
      <c r="DT37" s="7">
        <f t="shared" si="142"/>
        <v>400</v>
      </c>
      <c r="DU37" s="7">
        <f t="shared" si="143"/>
        <v>0.22469126026674052</v>
      </c>
      <c r="DV37" s="7">
        <f t="shared" si="144"/>
        <v>-1.1150761925925143</v>
      </c>
      <c r="DW37" s="7">
        <f t="shared" si="145"/>
        <v>108.19985992606119</v>
      </c>
      <c r="DX37" s="296">
        <f t="shared" si="146"/>
        <v>104.21823876606119</v>
      </c>
      <c r="DY37" s="11">
        <f t="shared" si="147"/>
        <v>89.876504106696203</v>
      </c>
      <c r="DZ37" s="7">
        <f t="shared" si="148"/>
        <v>-446.03047703700571</v>
      </c>
      <c r="EA37" s="12">
        <f t="shared" si="149"/>
        <v>620.96441114228946</v>
      </c>
      <c r="EB37" s="8">
        <f t="shared" si="150"/>
        <v>143133.07599771672</v>
      </c>
      <c r="EC37" s="328">
        <f t="shared" si="151"/>
        <v>9.1721391188888095</v>
      </c>
      <c r="ED37" s="7">
        <f t="shared" si="152"/>
        <v>0.75326867195058633</v>
      </c>
      <c r="EE37" s="6">
        <f t="shared" si="153"/>
        <v>9.4450874998992615E-2</v>
      </c>
      <c r="EF37" s="7">
        <f t="shared" si="154"/>
        <v>1.9931633631521395</v>
      </c>
      <c r="EG37" s="12">
        <f t="shared" si="155"/>
        <v>0.1324147042156468</v>
      </c>
      <c r="EH37" s="11">
        <f t="shared" si="156"/>
        <v>-6.3541444064176444E-2</v>
      </c>
      <c r="EI37" s="7">
        <f t="shared" si="157"/>
        <v>-1.9943880376913272</v>
      </c>
      <c r="EJ37" s="8">
        <f t="shared" si="158"/>
        <v>0.1324147042156468</v>
      </c>
      <c r="EK37" s="491" t="b">
        <f t="shared" si="159"/>
        <v>0</v>
      </c>
      <c r="EL37" s="493" t="b">
        <f t="shared" si="160"/>
        <v>1</v>
      </c>
      <c r="EM37" s="6">
        <f t="shared" si="161"/>
        <v>-6.3541444064176444E-2</v>
      </c>
      <c r="EN37" s="7">
        <f t="shared" si="162"/>
        <v>-1.9943880376913272</v>
      </c>
      <c r="EO37" s="12">
        <f t="shared" si="163"/>
        <v>0.1324147042156468</v>
      </c>
      <c r="EP37" s="11">
        <f t="shared" si="164"/>
        <v>268.17516681167001</v>
      </c>
      <c r="EQ37" s="7">
        <f t="shared" si="165"/>
        <v>1.9954000000000058</v>
      </c>
      <c r="ER37" s="9">
        <f t="shared" si="166"/>
        <v>0.1324147042156468</v>
      </c>
      <c r="ES37" s="24">
        <f t="shared" si="167"/>
        <v>-0.96458042631082197</v>
      </c>
      <c r="ET37" s="7">
        <f t="shared" si="168"/>
        <v>3.8218014805665348E-2</v>
      </c>
      <c r="EU37" s="12">
        <f t="shared" si="169"/>
        <v>-0.26100571741313866</v>
      </c>
      <c r="EV37" s="337">
        <f t="shared" si="15"/>
        <v>181.82483318832999</v>
      </c>
      <c r="EW37" s="11">
        <f t="shared" si="16"/>
        <v>0.96530825472362258</v>
      </c>
      <c r="EX37" s="7">
        <f t="shared" si="17"/>
        <v>-7.4825690833413942E-3</v>
      </c>
      <c r="EY37" s="8">
        <f t="shared" si="170"/>
        <v>-0.26100571741313866</v>
      </c>
      <c r="EZ37" s="123">
        <f t="shared" si="171"/>
        <v>1.1423396584780423</v>
      </c>
      <c r="FA37" s="534">
        <f t="shared" si="18"/>
        <v>-0.99929420607212882</v>
      </c>
      <c r="FB37" s="535">
        <f t="shared" si="19"/>
        <v>3.1837634251101948E-2</v>
      </c>
      <c r="FC37" s="537">
        <f t="shared" si="20"/>
        <v>-1.9936267352913893E-2</v>
      </c>
      <c r="FD37" s="6">
        <f t="shared" si="21"/>
        <v>0.99980125287180621</v>
      </c>
      <c r="FE37" s="7">
        <f t="shared" si="22"/>
        <v>-3.0531133177191805E-16</v>
      </c>
      <c r="FF37" s="9">
        <f t="shared" si="172"/>
        <v>-1.9936267352913893E-2</v>
      </c>
      <c r="FG37" s="328">
        <f t="shared" si="23"/>
        <v>-3.4492998148183629E-2</v>
      </c>
      <c r="FH37" s="7">
        <f t="shared" si="24"/>
        <v>-7.4825690833410889E-3</v>
      </c>
      <c r="FI37" s="12">
        <f t="shared" si="25"/>
        <v>-0.24106945006022476</v>
      </c>
      <c r="FJ37" s="547">
        <f t="shared" si="173"/>
        <v>13.994277854776181</v>
      </c>
      <c r="FK37" s="6">
        <f t="shared" si="26"/>
        <v>0.96533725478593913</v>
      </c>
      <c r="FL37" s="7">
        <f t="shared" si="174"/>
        <v>0.9998012528718061</v>
      </c>
      <c r="FM37" s="10">
        <f t="shared" si="175"/>
        <v>3.5295265423815288E-2</v>
      </c>
      <c r="FN37" s="11">
        <f t="shared" si="176"/>
        <v>0.4441182803491871</v>
      </c>
      <c r="FO37" s="12">
        <f t="shared" si="27"/>
        <v>1</v>
      </c>
      <c r="FP37" s="545">
        <f t="shared" si="28"/>
        <v>0.4441182803491871</v>
      </c>
      <c r="FQ37" s="328">
        <f t="shared" si="205"/>
        <v>7.7512486400564901E-3</v>
      </c>
      <c r="FR37" s="12">
        <f t="shared" si="177"/>
        <v>0.99996995862101778</v>
      </c>
      <c r="FS37" s="11">
        <f t="shared" si="178"/>
        <v>7.6918582086050562E-3</v>
      </c>
      <c r="FT37" s="8">
        <f t="shared" si="179"/>
        <v>0.99230814179139504</v>
      </c>
      <c r="FU37" s="6">
        <f t="shared" si="180"/>
        <v>0.99997200518810192</v>
      </c>
      <c r="FV37" s="7">
        <f t="shared" si="181"/>
        <v>1</v>
      </c>
      <c r="FW37" s="10">
        <f t="shared" si="206"/>
        <v>0.24352463258075105</v>
      </c>
      <c r="FX37" s="11">
        <f t="shared" si="207"/>
        <v>13.987840254545405</v>
      </c>
      <c r="FY37" s="12">
        <f t="shared" si="29"/>
        <v>1</v>
      </c>
      <c r="FZ37" s="545">
        <f t="shared" si="208"/>
        <v>13.987840254545405</v>
      </c>
      <c r="GA37" s="372">
        <f t="shared" si="182"/>
        <v>13.986738581409311</v>
      </c>
      <c r="GB37" s="46">
        <f t="shared" si="183"/>
        <v>-7.5214012278696065E-3</v>
      </c>
      <c r="GC37" s="47">
        <f t="shared" si="184"/>
        <v>0.97031789636283539</v>
      </c>
      <c r="GD37" s="578">
        <f t="shared" si="185"/>
        <v>-0.24171596662523409</v>
      </c>
      <c r="GE37" s="585">
        <f t="shared" si="186"/>
        <v>1.2195552642159391</v>
      </c>
      <c r="GF37" s="634">
        <f t="shared" si="209"/>
        <v>0.81997104136392474</v>
      </c>
      <c r="GG37" s="553">
        <f t="shared" si="30"/>
        <v>6.1673311973321435E-3</v>
      </c>
      <c r="GH37" s="554">
        <f t="shared" si="31"/>
        <v>0.79563257593468695</v>
      </c>
      <c r="GI37" s="549">
        <f t="shared" si="32"/>
        <v>0.19820009286798088</v>
      </c>
      <c r="GJ37" s="296">
        <f t="shared" si="187"/>
        <v>1.9954000000000001</v>
      </c>
      <c r="GK37" s="337">
        <f t="shared" si="33"/>
        <v>1.044996686919343</v>
      </c>
      <c r="GL37" s="337">
        <f t="shared" si="188"/>
        <v>4.36E-2</v>
      </c>
      <c r="GM37" s="372">
        <f t="shared" si="210"/>
        <v>0.54674226659620029</v>
      </c>
      <c r="GN37" s="548">
        <f t="shared" si="189"/>
        <v>4.5184002882133076E-2</v>
      </c>
      <c r="GO37" s="6">
        <f t="shared" si="190"/>
        <v>0.4441182803491871</v>
      </c>
      <c r="GP37" s="10">
        <f t="shared" si="211"/>
        <v>13.987840254545405</v>
      </c>
      <c r="GQ37" s="372">
        <f t="shared" si="191"/>
        <v>13.994277854776181</v>
      </c>
      <c r="GR37" s="697">
        <f t="shared" si="212"/>
        <v>3325.4408196395971</v>
      </c>
      <c r="GS37" s="637">
        <f t="shared" si="35"/>
        <v>20.509094911845061</v>
      </c>
      <c r="GT37" s="638">
        <f t="shared" si="36"/>
        <v>19.625990367783849</v>
      </c>
      <c r="GU37" s="639">
        <f t="shared" si="37"/>
        <v>2645.8290454482094</v>
      </c>
      <c r="GV37" s="638">
        <f t="shared" si="192"/>
        <v>2531.9018505677091</v>
      </c>
      <c r="GW37" s="640">
        <f t="shared" si="38"/>
        <v>58071.143361644703</v>
      </c>
      <c r="GX37" s="641">
        <f t="shared" si="39"/>
        <v>421.01307938523388</v>
      </c>
      <c r="GY37" s="639">
        <f t="shared" si="40"/>
        <v>659.1026792795426</v>
      </c>
      <c r="GZ37" s="640">
        <f t="shared" si="41"/>
        <v>630.72226690266507</v>
      </c>
      <c r="HA37" s="637">
        <f t="shared" si="42"/>
        <v>20.509094911845061</v>
      </c>
      <c r="HB37" s="7">
        <f t="shared" si="193"/>
        <v>181.82483318832999</v>
      </c>
      <c r="HC37" s="638">
        <f t="shared" si="194"/>
        <v>-20.498693773709398</v>
      </c>
      <c r="HD37" s="682">
        <f t="shared" si="195"/>
        <v>-0.65309086255783577</v>
      </c>
      <c r="HE37" s="639">
        <f t="shared" si="43"/>
        <v>2531.9018505677091</v>
      </c>
      <c r="HF37" s="7">
        <f t="shared" si="44"/>
        <v>271.82483318832999</v>
      </c>
      <c r="HG37" s="638">
        <f t="shared" si="196"/>
        <v>80.625789222128233</v>
      </c>
      <c r="HH37" s="644">
        <f t="shared" si="197"/>
        <v>-2530.6178026364428</v>
      </c>
      <c r="HI37" s="596">
        <f t="shared" si="198"/>
        <v>4.109</v>
      </c>
      <c r="HJ37" s="625"/>
      <c r="HK37" s="584" t="str">
        <f t="shared" si="83"/>
        <v/>
      </c>
      <c r="HL37" s="583" t="str">
        <f t="shared" si="84"/>
        <v/>
      </c>
      <c r="HM37" s="643" t="str">
        <f t="shared" si="216"/>
        <v/>
      </c>
      <c r="HN37" s="660" t="str">
        <f t="shared" si="216"/>
        <v/>
      </c>
      <c r="HO37" s="661" t="str">
        <f t="shared" si="216"/>
        <v/>
      </c>
      <c r="HP37" s="656" t="str">
        <f t="shared" si="216"/>
        <v/>
      </c>
      <c r="HQ37" s="660" t="str">
        <f t="shared" si="216"/>
        <v/>
      </c>
      <c r="HR37" s="671" t="str">
        <f t="shared" si="216"/>
        <v/>
      </c>
      <c r="HS37" s="655" t="str">
        <f t="shared" si="216"/>
        <v/>
      </c>
      <c r="HT37" s="648" t="str">
        <f t="shared" si="216"/>
        <v/>
      </c>
      <c r="HU37" s="649" t="str">
        <f t="shared" si="216"/>
        <v/>
      </c>
      <c r="HV37" s="650" t="str">
        <f t="shared" si="216"/>
        <v/>
      </c>
      <c r="HW37" s="648" t="str">
        <f t="shared" si="216"/>
        <v/>
      </c>
      <c r="HX37" s="649" t="str">
        <f t="shared" si="216"/>
        <v/>
      </c>
      <c r="HY37" s="650" t="str">
        <f t="shared" si="216"/>
        <v/>
      </c>
      <c r="HZ37" s="648" t="str">
        <f t="shared" si="216"/>
        <v/>
      </c>
      <c r="IA37" s="649" t="str">
        <f t="shared" si="216"/>
        <v/>
      </c>
      <c r="IB37" s="716"/>
    </row>
    <row r="38" spans="2:240" ht="15" customHeight="1" x14ac:dyDescent="0.25">
      <c r="B38" s="143">
        <v>-7.234325235867993E-2</v>
      </c>
      <c r="C38" s="144">
        <v>-2.89670551821489</v>
      </c>
      <c r="D38" s="145">
        <v>-0.24700074495424668</v>
      </c>
      <c r="E38" s="146">
        <v>0.95591107028923383</v>
      </c>
      <c r="F38" s="144">
        <v>-0.20643048737301936</v>
      </c>
      <c r="G38" s="147">
        <v>0.20885516412439836</v>
      </c>
      <c r="H38" s="146">
        <v>0.314</v>
      </c>
      <c r="I38" s="144">
        <v>0.52</v>
      </c>
      <c r="J38" s="306">
        <v>4.1150000000000002</v>
      </c>
      <c r="K38" s="699" t="str">
        <f t="shared" si="199"/>
        <v>1613</v>
      </c>
      <c r="M38" s="292">
        <f t="shared" si="46"/>
        <v>4.1150000000000002</v>
      </c>
      <c r="N38" s="24">
        <f t="shared" si="47"/>
        <v>-7.234325235867993E-2</v>
      </c>
      <c r="O38" s="7">
        <f t="shared" si="48"/>
        <v>-2.89670551821489</v>
      </c>
      <c r="P38" s="12">
        <f t="shared" si="49"/>
        <v>-0.24700074495424668</v>
      </c>
      <c r="Q38" s="11">
        <f t="shared" si="85"/>
        <v>268.56937421777229</v>
      </c>
      <c r="R38" s="7">
        <f t="shared" si="50"/>
        <v>2.8976087391879575</v>
      </c>
      <c r="S38" s="8">
        <f t="shared" si="51"/>
        <v>-0.24700074495424668</v>
      </c>
      <c r="T38" s="6">
        <f t="shared" si="52"/>
        <v>-2.8974886566663267</v>
      </c>
      <c r="U38" s="7">
        <f t="shared" si="53"/>
        <v>2.6379725328159426E-2</v>
      </c>
      <c r="V38" s="10">
        <f t="shared" si="86"/>
        <v>-0.24700074495424668</v>
      </c>
      <c r="W38" s="11">
        <f t="shared" si="214"/>
        <v>179.47837408652896</v>
      </c>
      <c r="X38" s="7">
        <f t="shared" si="54"/>
        <v>2.8976087391879575</v>
      </c>
      <c r="Y38" s="9">
        <f t="shared" si="213"/>
        <v>-0.24700074495424668</v>
      </c>
      <c r="Z38" s="24">
        <f t="shared" si="87"/>
        <v>-0.95591107028923383</v>
      </c>
      <c r="AA38" s="7">
        <f t="shared" si="55"/>
        <v>0.20643048737301936</v>
      </c>
      <c r="AB38" s="7">
        <f t="shared" si="56"/>
        <v>-0.20885516412439836</v>
      </c>
      <c r="AC38" s="10">
        <f t="shared" si="57"/>
        <v>1</v>
      </c>
      <c r="AD38" s="11">
        <f t="shared" si="88"/>
        <v>-0.95591107028923383</v>
      </c>
      <c r="AE38" s="7">
        <f t="shared" si="58"/>
        <v>0.20643048737301936</v>
      </c>
      <c r="AF38" s="12">
        <f t="shared" si="59"/>
        <v>-0.20885516412439836</v>
      </c>
      <c r="AG38" s="6">
        <f t="shared" si="60"/>
        <v>44.665478049916047</v>
      </c>
      <c r="AH38" s="12">
        <f t="shared" si="61"/>
        <v>162.92301895547342</v>
      </c>
      <c r="AI38" s="11">
        <f t="shared" si="62"/>
        <v>-77.944729620082612</v>
      </c>
      <c r="AJ38" s="8">
        <f t="shared" si="63"/>
        <v>-102.18598151506737</v>
      </c>
      <c r="AK38" s="6">
        <f t="shared" si="89"/>
        <v>0.96076695497966369</v>
      </c>
      <c r="AL38" s="7">
        <f t="shared" si="64"/>
        <v>-0.18250035243164822</v>
      </c>
      <c r="AM38" s="8">
        <f t="shared" si="65"/>
        <v>-0.20885516412439836</v>
      </c>
      <c r="AN38" s="6">
        <f t="shared" si="66"/>
        <v>-41.147382717355342</v>
      </c>
      <c r="AO38" s="10">
        <f t="shared" si="3"/>
        <v>16.102520271270254</v>
      </c>
      <c r="AP38" s="11">
        <f t="shared" si="67"/>
        <v>-10.75535573283968</v>
      </c>
      <c r="AQ38" s="8">
        <f t="shared" si="200"/>
        <v>0.78681082695872551</v>
      </c>
      <c r="AS38" s="123">
        <f t="shared" si="90"/>
        <v>-180.52162591347104</v>
      </c>
      <c r="AT38" s="174">
        <f t="shared" si="68"/>
        <v>-0.12100725482769964</v>
      </c>
      <c r="AV38" s="292">
        <f t="shared" si="91"/>
        <v>4.1150000000000002</v>
      </c>
      <c r="AW38" s="439">
        <v>2.9201999999999999</v>
      </c>
      <c r="AX38" s="440">
        <v>0.36809999999999998</v>
      </c>
      <c r="AY38" s="442">
        <v>3.5299999999999998E-2</v>
      </c>
      <c r="AZ38" s="565">
        <f t="shared" si="92"/>
        <v>0.64775008706076975</v>
      </c>
      <c r="BA38" s="564">
        <f t="shared" si="93"/>
        <v>5.353151491811E-2</v>
      </c>
      <c r="BB38" s="444">
        <f t="shared" si="94"/>
        <v>0.23910725482769962</v>
      </c>
      <c r="BC38" s="11"/>
      <c r="BD38" s="7">
        <f t="shared" si="95"/>
        <v>2.9201999999999999</v>
      </c>
      <c r="BE38" s="8">
        <f t="shared" si="96"/>
        <v>-7.8934901265470536E-3</v>
      </c>
      <c r="BF38" s="6">
        <f t="shared" si="97"/>
        <v>-7.234325235867993E-2</v>
      </c>
      <c r="BG38" s="7">
        <f t="shared" si="98"/>
        <v>-2.89670551821489</v>
      </c>
      <c r="BH38" s="12">
        <f t="shared" si="99"/>
        <v>-0.24700074495424668</v>
      </c>
      <c r="BI38" s="11">
        <f t="shared" si="100"/>
        <v>-7.234325235867993E-2</v>
      </c>
      <c r="BJ38" s="7">
        <f t="shared" si="101"/>
        <v>-2.1854823628218454</v>
      </c>
      <c r="BK38" s="10">
        <f t="shared" si="102"/>
        <v>0.45596555810213829</v>
      </c>
      <c r="BL38" s="328">
        <f t="shared" si="103"/>
        <v>0.22131305303674542</v>
      </c>
      <c r="BM38" s="7">
        <f t="shared" si="104"/>
        <v>-2.2247322470829949</v>
      </c>
      <c r="BN38" s="8">
        <f t="shared" si="105"/>
        <v>-0.92686683264049807</v>
      </c>
      <c r="BO38" s="6">
        <f t="shared" si="106"/>
        <v>-0.95591107028923439</v>
      </c>
      <c r="BP38" s="7">
        <f t="shared" si="107"/>
        <v>0.20643048737301889</v>
      </c>
      <c r="BQ38" s="7">
        <f t="shared" si="108"/>
        <v>-0.20885516412439797</v>
      </c>
      <c r="BR38" s="8">
        <f t="shared" si="109"/>
        <v>0.47722723498455544</v>
      </c>
      <c r="BS38" s="6">
        <f t="shared" si="69"/>
        <v>0</v>
      </c>
      <c r="BT38" s="7">
        <f t="shared" si="69"/>
        <v>0</v>
      </c>
      <c r="BU38" s="12">
        <f t="shared" si="70"/>
        <v>-7.8934901265470536E-3</v>
      </c>
      <c r="BV38" s="11">
        <f t="shared" si="71"/>
        <v>0</v>
      </c>
      <c r="BW38" s="7">
        <f t="shared" si="72"/>
        <v>1</v>
      </c>
      <c r="BX38" s="10">
        <f t="shared" si="73"/>
        <v>-7.8934901265470536E-3</v>
      </c>
      <c r="BY38" s="328">
        <f t="shared" si="74"/>
        <v>1</v>
      </c>
      <c r="BZ38" s="7">
        <f t="shared" si="75"/>
        <v>0</v>
      </c>
      <c r="CA38" s="8">
        <f t="shared" si="76"/>
        <v>-7.8934901265470536E-3</v>
      </c>
      <c r="CB38" s="6">
        <f t="shared" si="110"/>
        <v>0</v>
      </c>
      <c r="CC38" s="7">
        <f t="shared" si="111"/>
        <v>0</v>
      </c>
      <c r="CD38" s="7">
        <f t="shared" si="112"/>
        <v>-1</v>
      </c>
      <c r="CE38" s="8">
        <f t="shared" si="113"/>
        <v>-7.8934901265470536E-3</v>
      </c>
      <c r="CF38" s="6">
        <f t="shared" si="114"/>
        <v>-0.20643048737301889</v>
      </c>
      <c r="CG38" s="7">
        <f t="shared" si="115"/>
        <v>-0.95591107028923439</v>
      </c>
      <c r="CH38" s="7">
        <f t="shared" si="116"/>
        <v>0</v>
      </c>
      <c r="CI38" s="6">
        <f t="shared" si="77"/>
        <v>0</v>
      </c>
      <c r="CJ38" s="7">
        <f t="shared" si="78"/>
        <v>-2.3197921840639917</v>
      </c>
      <c r="CK38" s="10">
        <f t="shared" si="79"/>
        <v>-7.8934901265470536E-3</v>
      </c>
      <c r="CL38" s="328">
        <f t="shared" si="80"/>
        <v>-0.20643048737301889</v>
      </c>
      <c r="CM38" s="7">
        <f t="shared" si="81"/>
        <v>-3.2757032543532261</v>
      </c>
      <c r="CN38" s="8">
        <f t="shared" si="82"/>
        <v>-7.8934901265470536E-3</v>
      </c>
      <c r="CO38" s="296">
        <f t="shared" si="201"/>
        <v>0.3125</v>
      </c>
      <c r="CP38" s="6">
        <f t="shared" si="202"/>
        <v>0.95637952041857177</v>
      </c>
      <c r="CQ38" s="7">
        <f t="shared" si="203"/>
        <v>-1.132823391109735</v>
      </c>
      <c r="CR38" s="7">
        <f t="shared" si="117"/>
        <v>0.29757857059417603</v>
      </c>
      <c r="CS38" s="10">
        <f t="shared" si="118"/>
        <v>0.14489663291855082</v>
      </c>
      <c r="CT38" s="11">
        <f t="shared" si="119"/>
        <v>0.79125298182632231</v>
      </c>
      <c r="CU38" s="8">
        <f t="shared" si="120"/>
        <v>0.39323849558835533</v>
      </c>
      <c r="CV38" s="6">
        <f t="shared" si="204"/>
        <v>-0.16333873867376217</v>
      </c>
      <c r="CW38" s="7">
        <f t="shared" si="121"/>
        <v>-3.0761596687911394</v>
      </c>
      <c r="CX38" s="10">
        <f t="shared" si="122"/>
        <v>-7.8934901265470536E-3</v>
      </c>
      <c r="CY38" s="11">
        <f t="shared" si="123"/>
        <v>-8.1176414298136934E-2</v>
      </c>
      <c r="CZ38" s="7">
        <f t="shared" si="124"/>
        <v>-2.6956932152607846</v>
      </c>
      <c r="DA38" s="8">
        <f t="shared" si="125"/>
        <v>-7.8934901265470536E-3</v>
      </c>
      <c r="DB38" s="6">
        <f t="shared" si="126"/>
        <v>0</v>
      </c>
      <c r="DC38" s="7">
        <f t="shared" si="126"/>
        <v>0</v>
      </c>
      <c r="DD38" s="12">
        <f t="shared" si="127"/>
        <v>-10</v>
      </c>
      <c r="DE38" s="11">
        <f t="shared" si="128"/>
        <v>0</v>
      </c>
      <c r="DF38" s="7">
        <f t="shared" si="128"/>
        <v>0</v>
      </c>
      <c r="DG38" s="12">
        <f t="shared" si="129"/>
        <v>10</v>
      </c>
      <c r="DH38" s="174">
        <f t="shared" si="130"/>
        <v>2.9201999999999999</v>
      </c>
      <c r="DI38" s="6">
        <f t="shared" si="131"/>
        <v>0</v>
      </c>
      <c r="DJ38" s="7">
        <f t="shared" si="132"/>
        <v>0</v>
      </c>
      <c r="DK38" s="12">
        <f t="shared" si="133"/>
        <v>20</v>
      </c>
      <c r="DL38" s="11">
        <f t="shared" si="134"/>
        <v>-0.16333873867376217</v>
      </c>
      <c r="DM38" s="328">
        <f t="shared" si="135"/>
        <v>-3.0761596687911394</v>
      </c>
      <c r="DN38" s="376">
        <f t="shared" si="136"/>
        <v>9.9921065098734534</v>
      </c>
      <c r="DO38" s="11">
        <f t="shared" si="137"/>
        <v>8.2162324375625234E-2</v>
      </c>
      <c r="DP38" s="328">
        <f t="shared" si="138"/>
        <v>0.3804664535303548</v>
      </c>
      <c r="DQ38" s="13">
        <f t="shared" si="139"/>
        <v>0</v>
      </c>
      <c r="DR38" s="328">
        <f t="shared" si="140"/>
        <v>199.84213019746906</v>
      </c>
      <c r="DS38" s="7">
        <f t="shared" si="141"/>
        <v>0</v>
      </c>
      <c r="DT38" s="7">
        <f t="shared" si="142"/>
        <v>400</v>
      </c>
      <c r="DU38" s="7">
        <f t="shared" si="143"/>
        <v>0.15150536980877108</v>
      </c>
      <c r="DV38" s="7">
        <f t="shared" si="144"/>
        <v>-1.1837958501080947</v>
      </c>
      <c r="DW38" s="7">
        <f t="shared" si="145"/>
        <v>109.3316303561042</v>
      </c>
      <c r="DX38" s="296">
        <f t="shared" si="146"/>
        <v>100.80406231610419</v>
      </c>
      <c r="DY38" s="11">
        <f t="shared" si="147"/>
        <v>60.602147923508433</v>
      </c>
      <c r="DZ38" s="7">
        <f t="shared" si="148"/>
        <v>-473.51834004323791</v>
      </c>
      <c r="EA38" s="12">
        <f t="shared" si="149"/>
        <v>384.74792457950389</v>
      </c>
      <c r="EB38" s="8">
        <f t="shared" si="150"/>
        <v>200903.06771867353</v>
      </c>
      <c r="EC38" s="328">
        <f t="shared" si="151"/>
        <v>15.209699496732348</v>
      </c>
      <c r="ED38" s="7">
        <f t="shared" si="152"/>
        <v>0.41741459964948913</v>
      </c>
      <c r="EE38" s="6">
        <f t="shared" si="153"/>
        <v>1.086325525032545</v>
      </c>
      <c r="EF38" s="7">
        <f t="shared" si="154"/>
        <v>2.7106207579930395</v>
      </c>
      <c r="EG38" s="12">
        <f t="shared" si="155"/>
        <v>-7.8934901265470536E-3</v>
      </c>
      <c r="EH38" s="11">
        <f t="shared" si="156"/>
        <v>-0.1290429849382391</v>
      </c>
      <c r="EI38" s="7">
        <f t="shared" si="157"/>
        <v>-2.9173474164107054</v>
      </c>
      <c r="EJ38" s="8">
        <f t="shared" si="158"/>
        <v>-7.8934901265470536E-3</v>
      </c>
      <c r="EK38" s="491" t="b">
        <f t="shared" si="159"/>
        <v>0</v>
      </c>
      <c r="EL38" s="493" t="b">
        <f t="shared" si="160"/>
        <v>1</v>
      </c>
      <c r="EM38" s="6">
        <f t="shared" si="161"/>
        <v>-0.1290429849382391</v>
      </c>
      <c r="EN38" s="7">
        <f t="shared" si="162"/>
        <v>-2.9173474164107054</v>
      </c>
      <c r="EO38" s="12">
        <f t="shared" si="163"/>
        <v>-7.8934901265470536E-3</v>
      </c>
      <c r="EP38" s="11">
        <f t="shared" si="164"/>
        <v>267.46728757360154</v>
      </c>
      <c r="EQ38" s="7">
        <f t="shared" si="165"/>
        <v>2.9201999999999981</v>
      </c>
      <c r="ER38" s="9">
        <f t="shared" si="166"/>
        <v>-7.8934901265470536E-3</v>
      </c>
      <c r="ES38" s="24">
        <f t="shared" si="167"/>
        <v>-0.95591107028923383</v>
      </c>
      <c r="ET38" s="7">
        <f t="shared" si="168"/>
        <v>0.20643048737301936</v>
      </c>
      <c r="EU38" s="12">
        <f t="shared" si="169"/>
        <v>-0.20885516412439836</v>
      </c>
      <c r="EV38" s="337">
        <f t="shared" si="15"/>
        <v>182.53271242639846</v>
      </c>
      <c r="EW38" s="11">
        <f t="shared" si="16"/>
        <v>0.96409941014299017</v>
      </c>
      <c r="EX38" s="7">
        <f t="shared" si="17"/>
        <v>-0.1639873403056134</v>
      </c>
      <c r="EY38" s="8">
        <f t="shared" si="170"/>
        <v>-0.20885516412439836</v>
      </c>
      <c r="EZ38" s="123">
        <f t="shared" si="171"/>
        <v>0.78062652234044327</v>
      </c>
      <c r="FA38" s="534">
        <f t="shared" si="18"/>
        <v>-0.99893043327629383</v>
      </c>
      <c r="FB38" s="535">
        <f t="shared" si="19"/>
        <v>4.4185675017827296E-2</v>
      </c>
      <c r="FC38" s="537">
        <f t="shared" si="20"/>
        <v>-1.3624081534352728E-2</v>
      </c>
      <c r="FD38" s="6">
        <f t="shared" si="21"/>
        <v>0.99990718789412902</v>
      </c>
      <c r="FE38" s="7">
        <f t="shared" si="22"/>
        <v>-3.0531133177191805E-16</v>
      </c>
      <c r="FF38" s="9">
        <f t="shared" si="172"/>
        <v>-1.3624081534352728E-2</v>
      </c>
      <c r="FG38" s="328">
        <f t="shared" si="23"/>
        <v>-3.5807777751138858E-2</v>
      </c>
      <c r="FH38" s="7">
        <f t="shared" si="24"/>
        <v>-0.1639873403056131</v>
      </c>
      <c r="FI38" s="12">
        <f t="shared" si="25"/>
        <v>-0.19523108259004562</v>
      </c>
      <c r="FJ38" s="547">
        <f t="shared" si="173"/>
        <v>14.792820510495376</v>
      </c>
      <c r="FK38" s="6">
        <f t="shared" si="26"/>
        <v>0.97794658362232179</v>
      </c>
      <c r="FL38" s="7">
        <f t="shared" si="174"/>
        <v>0.99990718789412913</v>
      </c>
      <c r="FM38" s="10">
        <f t="shared" si="175"/>
        <v>0.16785125774918672</v>
      </c>
      <c r="FN38" s="11">
        <f t="shared" si="176"/>
        <v>9.6532690886688748</v>
      </c>
      <c r="FO38" s="12">
        <f t="shared" si="27"/>
        <v>1</v>
      </c>
      <c r="FP38" s="545">
        <f t="shared" si="28"/>
        <v>9.6532690886688748</v>
      </c>
      <c r="FQ38" s="328">
        <f t="shared" si="205"/>
        <v>0.16768537571674141</v>
      </c>
      <c r="FR38" s="12">
        <f t="shared" si="177"/>
        <v>0.98584056255093055</v>
      </c>
      <c r="FS38" s="11">
        <f t="shared" si="178"/>
        <v>0.14536766808084603</v>
      </c>
      <c r="FT38" s="8">
        <f t="shared" si="179"/>
        <v>0.854632331919154</v>
      </c>
      <c r="FU38" s="6">
        <f t="shared" si="180"/>
        <v>0.98646244339026457</v>
      </c>
      <c r="FV38" s="7">
        <f t="shared" si="181"/>
        <v>0.99999999999999989</v>
      </c>
      <c r="FW38" s="10">
        <f t="shared" si="206"/>
        <v>0.19848771386853184</v>
      </c>
      <c r="FX38" s="11">
        <f t="shared" si="207"/>
        <v>11.442620559606807</v>
      </c>
      <c r="FY38" s="12">
        <f t="shared" si="29"/>
        <v>1</v>
      </c>
      <c r="FZ38" s="545">
        <f t="shared" si="208"/>
        <v>11.442620559606807</v>
      </c>
      <c r="GA38" s="372">
        <f t="shared" si="182"/>
        <v>11.287157782801364</v>
      </c>
      <c r="GB38" s="46">
        <f t="shared" si="183"/>
        <v>-0.16435243976489466</v>
      </c>
      <c r="GC38" s="47">
        <f t="shared" si="184"/>
        <v>0.96624586957504965</v>
      </c>
      <c r="GD38" s="578">
        <f t="shared" si="185"/>
        <v>-0.19838647905661991</v>
      </c>
      <c r="GE38" s="585">
        <f t="shared" si="186"/>
        <v>1.3289847883965642</v>
      </c>
      <c r="GF38" s="634">
        <f t="shared" si="209"/>
        <v>0.75245406022029171</v>
      </c>
      <c r="GG38" s="553">
        <f t="shared" si="30"/>
        <v>0.12366766060820591</v>
      </c>
      <c r="GH38" s="554">
        <f t="shared" si="31"/>
        <v>0.72705562773283261</v>
      </c>
      <c r="GI38" s="549">
        <f t="shared" si="32"/>
        <v>0.14927671165896153</v>
      </c>
      <c r="GJ38" s="296">
        <f t="shared" si="187"/>
        <v>2.9201999999999999</v>
      </c>
      <c r="GK38" s="337">
        <f t="shared" si="33"/>
        <v>1.5291550686042725</v>
      </c>
      <c r="GL38" s="337">
        <f t="shared" si="188"/>
        <v>3.5299999999999998E-2</v>
      </c>
      <c r="GM38" s="372">
        <f t="shared" si="210"/>
        <v>0.64775008706076975</v>
      </c>
      <c r="GN38" s="548">
        <f t="shared" si="189"/>
        <v>5.353151491811E-2</v>
      </c>
      <c r="GO38" s="6">
        <f t="shared" si="190"/>
        <v>9.6532690886688748</v>
      </c>
      <c r="GP38" s="10">
        <f t="shared" si="211"/>
        <v>11.442620559606807</v>
      </c>
      <c r="GQ38" s="372">
        <f t="shared" si="191"/>
        <v>14.792820510495376</v>
      </c>
      <c r="GR38" s="697">
        <f t="shared" si="212"/>
        <v>4311.4064836093276</v>
      </c>
      <c r="GS38" s="637">
        <f t="shared" si="35"/>
        <v>533.18155375901665</v>
      </c>
      <c r="GT38" s="638">
        <f t="shared" si="36"/>
        <v>348.67723012923409</v>
      </c>
      <c r="GU38" s="639">
        <f t="shared" si="37"/>
        <v>3134.6323473519838</v>
      </c>
      <c r="GV38" s="638">
        <f t="shared" si="192"/>
        <v>2049.911360666058</v>
      </c>
      <c r="GW38" s="640">
        <f t="shared" si="38"/>
        <v>58071.143361644703</v>
      </c>
      <c r="GX38" s="641">
        <f t="shared" si="39"/>
        <v>498.84592961808517</v>
      </c>
      <c r="GY38" s="639">
        <f t="shared" si="40"/>
        <v>643.59258249832669</v>
      </c>
      <c r="GZ38" s="640">
        <f t="shared" si="41"/>
        <v>420.88117530536789</v>
      </c>
      <c r="HA38" s="637">
        <f t="shared" si="42"/>
        <v>533.18155375901665</v>
      </c>
      <c r="HB38" s="7">
        <f t="shared" si="193"/>
        <v>182.53271242639846</v>
      </c>
      <c r="HC38" s="638">
        <f t="shared" si="194"/>
        <v>-532.66071787436272</v>
      </c>
      <c r="HD38" s="682">
        <f t="shared" si="195"/>
        <v>-23.561173622036613</v>
      </c>
      <c r="HE38" s="639">
        <f t="shared" si="43"/>
        <v>2049.911360666058</v>
      </c>
      <c r="HF38" s="7">
        <f t="shared" si="44"/>
        <v>272.53271242639846</v>
      </c>
      <c r="HG38" s="638">
        <f t="shared" si="196"/>
        <v>90.585124593915978</v>
      </c>
      <c r="HH38" s="644">
        <f t="shared" si="197"/>
        <v>-2047.9089144271222</v>
      </c>
      <c r="HI38" s="596">
        <f t="shared" si="198"/>
        <v>4.1150000000000002</v>
      </c>
      <c r="HJ38" s="625"/>
      <c r="HK38" s="584" t="str">
        <f t="shared" ref="HK38:HK101" si="217">IF(ISNUMBER(HL38),HK37+1,"")</f>
        <v/>
      </c>
      <c r="HL38" s="583" t="str">
        <f t="shared" si="84"/>
        <v/>
      </c>
      <c r="HM38" s="643" t="str">
        <f t="shared" si="216"/>
        <v/>
      </c>
      <c r="HN38" s="660" t="str">
        <f t="shared" si="216"/>
        <v/>
      </c>
      <c r="HO38" s="661" t="str">
        <f t="shared" si="216"/>
        <v/>
      </c>
      <c r="HP38" s="656" t="str">
        <f t="shared" si="216"/>
        <v/>
      </c>
      <c r="HQ38" s="660" t="str">
        <f t="shared" si="216"/>
        <v/>
      </c>
      <c r="HR38" s="671" t="str">
        <f t="shared" si="216"/>
        <v/>
      </c>
      <c r="HS38" s="655" t="str">
        <f t="shared" si="216"/>
        <v/>
      </c>
      <c r="HT38" s="648" t="str">
        <f t="shared" si="216"/>
        <v/>
      </c>
      <c r="HU38" s="649" t="str">
        <f t="shared" si="216"/>
        <v/>
      </c>
      <c r="HV38" s="650" t="str">
        <f t="shared" si="216"/>
        <v/>
      </c>
      <c r="HW38" s="648" t="str">
        <f t="shared" si="216"/>
        <v/>
      </c>
      <c r="HX38" s="649" t="str">
        <f t="shared" si="216"/>
        <v/>
      </c>
      <c r="HY38" s="650" t="str">
        <f t="shared" si="216"/>
        <v/>
      </c>
      <c r="HZ38" s="648" t="str">
        <f t="shared" si="216"/>
        <v/>
      </c>
      <c r="IA38" s="649" t="str">
        <f t="shared" si="216"/>
        <v/>
      </c>
      <c r="IB38" s="716"/>
      <c r="IC38" s="625"/>
      <c r="ID38" s="625"/>
      <c r="IE38" s="625"/>
    </row>
    <row r="39" spans="2:240" ht="15" customHeight="1" x14ac:dyDescent="0.25">
      <c r="B39" s="143">
        <v>-0.13651343048525225</v>
      </c>
      <c r="C39" s="144">
        <v>-3.4505110132777266</v>
      </c>
      <c r="D39" s="145">
        <v>-0.78810237691676888</v>
      </c>
      <c r="E39" s="146">
        <v>0.91004607594236597</v>
      </c>
      <c r="F39" s="144">
        <v>-0.37851231018471138</v>
      </c>
      <c r="G39" s="147">
        <v>0.16895138561294612</v>
      </c>
      <c r="H39" s="146">
        <v>0.314</v>
      </c>
      <c r="I39" s="144">
        <v>0.52</v>
      </c>
      <c r="J39" s="306">
        <v>4.1210000000000004</v>
      </c>
      <c r="K39" s="699" t="str">
        <f t="shared" si="199"/>
        <v>1613</v>
      </c>
      <c r="M39" s="292">
        <f t="shared" si="46"/>
        <v>4.1210000000000004</v>
      </c>
      <c r="N39" s="24">
        <f t="shared" si="47"/>
        <v>-0.13651343048525225</v>
      </c>
      <c r="O39" s="7">
        <f t="shared" si="48"/>
        <v>-3.4505110132777266</v>
      </c>
      <c r="P39" s="12">
        <f t="shared" si="49"/>
        <v>-0.78810237691676888</v>
      </c>
      <c r="Q39" s="11">
        <f t="shared" si="85"/>
        <v>267.73437433833135</v>
      </c>
      <c r="R39" s="7">
        <f t="shared" si="50"/>
        <v>3.4532104148826113</v>
      </c>
      <c r="S39" s="8">
        <f t="shared" si="51"/>
        <v>-0.78810237691676888</v>
      </c>
      <c r="T39" s="6">
        <f t="shared" si="52"/>
        <v>-3.4522424766790003</v>
      </c>
      <c r="U39" s="7">
        <f t="shared" si="53"/>
        <v>8.1756049727099586E-2</v>
      </c>
      <c r="V39" s="10">
        <f t="shared" si="86"/>
        <v>-0.78810237691676888</v>
      </c>
      <c r="W39" s="11">
        <f t="shared" si="214"/>
        <v>178.64337420708802</v>
      </c>
      <c r="X39" s="7">
        <f t="shared" si="54"/>
        <v>3.4532104148826113</v>
      </c>
      <c r="Y39" s="9">
        <f t="shared" si="213"/>
        <v>-0.78810237691676888</v>
      </c>
      <c r="Z39" s="24">
        <f t="shared" si="87"/>
        <v>-0.91004607594236597</v>
      </c>
      <c r="AA39" s="7">
        <f t="shared" si="55"/>
        <v>0.37851231018471138</v>
      </c>
      <c r="AB39" s="7">
        <f t="shared" si="56"/>
        <v>-0.16895138561294612</v>
      </c>
      <c r="AC39" s="10">
        <f t="shared" si="57"/>
        <v>1</v>
      </c>
      <c r="AD39" s="11">
        <f t="shared" si="88"/>
        <v>-0.91004607594236597</v>
      </c>
      <c r="AE39" s="7">
        <f t="shared" si="58"/>
        <v>0.37851231018471138</v>
      </c>
      <c r="AF39" s="12">
        <f t="shared" si="59"/>
        <v>-0.16895138561294612</v>
      </c>
      <c r="AG39" s="6">
        <f t="shared" si="60"/>
        <v>65.946099412767666</v>
      </c>
      <c r="AH39" s="12">
        <f t="shared" si="61"/>
        <v>155.51171965822937</v>
      </c>
      <c r="AI39" s="11">
        <f t="shared" si="62"/>
        <v>-80.273143994175939</v>
      </c>
      <c r="AJ39" s="8">
        <f t="shared" si="63"/>
        <v>-112.58372212720879</v>
      </c>
      <c r="AK39" s="6">
        <f t="shared" si="89"/>
        <v>0.92429815681591665</v>
      </c>
      <c r="AL39" s="7">
        <f t="shared" si="64"/>
        <v>-0.34224018847319015</v>
      </c>
      <c r="AM39" s="8">
        <f t="shared" si="65"/>
        <v>-0.16895138561294612</v>
      </c>
      <c r="AN39" s="6">
        <f t="shared" si="66"/>
        <v>-63.726142065862945</v>
      </c>
      <c r="AO39" s="10">
        <f t="shared" si="3"/>
        <v>22.437240118831113</v>
      </c>
      <c r="AP39" s="11">
        <f t="shared" si="67"/>
        <v>-20.318096465540137</v>
      </c>
      <c r="AQ39" s="8">
        <f t="shared" si="200"/>
        <v>0.66020521500878604</v>
      </c>
      <c r="AS39" s="123">
        <f t="shared" si="90"/>
        <v>-181.35662579291198</v>
      </c>
      <c r="AT39" s="174">
        <f t="shared" si="68"/>
        <v>-0.66152902576283235</v>
      </c>
      <c r="AV39" s="292">
        <f t="shared" si="91"/>
        <v>4.1210000000000004</v>
      </c>
      <c r="AW39" s="439">
        <v>3.6187999999999998</v>
      </c>
      <c r="AX39" s="440">
        <v>-0.22919999999999999</v>
      </c>
      <c r="AY39" s="442">
        <v>2.2200000000000001E-2</v>
      </c>
      <c r="AZ39" s="565">
        <f t="shared" si="92"/>
        <v>0.50480503019535872</v>
      </c>
      <c r="BA39" s="564">
        <f t="shared" si="93"/>
        <v>4.1718215936117055E-2</v>
      </c>
      <c r="BB39" s="444">
        <f t="shared" si="94"/>
        <v>0.18232902576283236</v>
      </c>
      <c r="BC39" s="11"/>
      <c r="BD39" s="7">
        <f t="shared" si="95"/>
        <v>3.6187999999999998</v>
      </c>
      <c r="BE39" s="8">
        <f t="shared" si="96"/>
        <v>-0.60577335115393649</v>
      </c>
      <c r="BF39" s="6">
        <f t="shared" si="97"/>
        <v>-0.13651343048525225</v>
      </c>
      <c r="BG39" s="7">
        <f t="shared" si="98"/>
        <v>-3.4505110132777266</v>
      </c>
      <c r="BH39" s="12">
        <f t="shared" si="99"/>
        <v>-0.78810237691676888</v>
      </c>
      <c r="BI39" s="11">
        <f t="shared" si="100"/>
        <v>-0.13651343048525225</v>
      </c>
      <c r="BJ39" s="7">
        <f t="shared" si="101"/>
        <v>-3.0429151390740232</v>
      </c>
      <c r="BK39" s="10">
        <f t="shared" si="102"/>
        <v>0.12506004200558185</v>
      </c>
      <c r="BL39" s="328">
        <f t="shared" si="103"/>
        <v>0.27799367399174135</v>
      </c>
      <c r="BM39" s="7">
        <f t="shared" si="104"/>
        <v>-2.6194911372394021</v>
      </c>
      <c r="BN39" s="8">
        <f t="shared" si="105"/>
        <v>-1.1590334028061473</v>
      </c>
      <c r="BO39" s="6">
        <f t="shared" si="106"/>
        <v>-0.91004607594236653</v>
      </c>
      <c r="BP39" s="7">
        <f t="shared" si="107"/>
        <v>0.37851231018471099</v>
      </c>
      <c r="BQ39" s="7">
        <f t="shared" si="108"/>
        <v>-0.16895138561294565</v>
      </c>
      <c r="BR39" s="8">
        <f t="shared" si="109"/>
        <v>1.0486763946420612</v>
      </c>
      <c r="BS39" s="6">
        <f t="shared" si="69"/>
        <v>0</v>
      </c>
      <c r="BT39" s="7">
        <f t="shared" si="69"/>
        <v>0</v>
      </c>
      <c r="BU39" s="12">
        <f t="shared" si="70"/>
        <v>-0.60577335115393649</v>
      </c>
      <c r="BV39" s="11">
        <f t="shared" si="71"/>
        <v>0</v>
      </c>
      <c r="BW39" s="7">
        <f t="shared" si="72"/>
        <v>1</v>
      </c>
      <c r="BX39" s="10">
        <f t="shared" si="73"/>
        <v>-0.60577335115393649</v>
      </c>
      <c r="BY39" s="328">
        <f t="shared" si="74"/>
        <v>1</v>
      </c>
      <c r="BZ39" s="7">
        <f t="shared" si="75"/>
        <v>0</v>
      </c>
      <c r="CA39" s="8">
        <f t="shared" si="76"/>
        <v>-0.60577335115393649</v>
      </c>
      <c r="CB39" s="6">
        <f t="shared" si="110"/>
        <v>0</v>
      </c>
      <c r="CC39" s="7">
        <f t="shared" si="111"/>
        <v>0</v>
      </c>
      <c r="CD39" s="7">
        <f t="shared" si="112"/>
        <v>-1</v>
      </c>
      <c r="CE39" s="8">
        <f t="shared" si="113"/>
        <v>-0.60577335115393649</v>
      </c>
      <c r="CF39" s="6">
        <f t="shared" si="114"/>
        <v>-0.37851231018471099</v>
      </c>
      <c r="CG39" s="7">
        <f t="shared" si="115"/>
        <v>-0.91004607594236653</v>
      </c>
      <c r="CH39" s="7">
        <f t="shared" si="116"/>
        <v>0</v>
      </c>
      <c r="CI39" s="6">
        <f t="shared" si="77"/>
        <v>0</v>
      </c>
      <c r="CJ39" s="7">
        <f t="shared" si="78"/>
        <v>-3.040912040945845</v>
      </c>
      <c r="CK39" s="10">
        <f t="shared" si="79"/>
        <v>-0.60577335115393649</v>
      </c>
      <c r="CL39" s="328">
        <f t="shared" si="80"/>
        <v>-0.37851231018471099</v>
      </c>
      <c r="CM39" s="7">
        <f t="shared" si="81"/>
        <v>-3.9509581168882115</v>
      </c>
      <c r="CN39" s="8">
        <f t="shared" si="82"/>
        <v>-0.60577335115393649</v>
      </c>
      <c r="CO39" s="296">
        <f t="shared" si="201"/>
        <v>0.3125</v>
      </c>
      <c r="CP39" s="6">
        <f t="shared" si="202"/>
        <v>0.97145542929946638</v>
      </c>
      <c r="CQ39" s="7">
        <f t="shared" si="203"/>
        <v>-0.84885190284973511</v>
      </c>
      <c r="CR39" s="7">
        <f t="shared" si="117"/>
        <v>0.12199485847380842</v>
      </c>
      <c r="CS39" s="10">
        <f t="shared" si="118"/>
        <v>0.24649928252761133</v>
      </c>
      <c r="CT39" s="11">
        <f t="shared" si="119"/>
        <v>0.69243467235731071</v>
      </c>
      <c r="CU39" s="8">
        <f t="shared" si="120"/>
        <v>0.18135930444083964</v>
      </c>
      <c r="CV39" s="6">
        <f t="shared" si="204"/>
        <v>-0.26209504748595913</v>
      </c>
      <c r="CW39" s="7">
        <f t="shared" si="121"/>
        <v>-3.6710594973710537</v>
      </c>
      <c r="CX39" s="10">
        <f t="shared" si="122"/>
        <v>-0.60577335115393649</v>
      </c>
      <c r="CY39" s="11">
        <f t="shared" si="123"/>
        <v>-6.8646729297394529E-2</v>
      </c>
      <c r="CZ39" s="7">
        <f t="shared" si="124"/>
        <v>-3.205957364287868</v>
      </c>
      <c r="DA39" s="8">
        <f t="shared" si="125"/>
        <v>-0.60577335115393649</v>
      </c>
      <c r="DB39" s="6">
        <f t="shared" si="126"/>
        <v>0</v>
      </c>
      <c r="DC39" s="7">
        <f t="shared" si="126"/>
        <v>0</v>
      </c>
      <c r="DD39" s="12">
        <f t="shared" si="127"/>
        <v>-10</v>
      </c>
      <c r="DE39" s="11">
        <f t="shared" si="128"/>
        <v>0</v>
      </c>
      <c r="DF39" s="7">
        <f t="shared" si="128"/>
        <v>0</v>
      </c>
      <c r="DG39" s="12">
        <f t="shared" si="129"/>
        <v>10</v>
      </c>
      <c r="DH39" s="174">
        <f t="shared" si="130"/>
        <v>3.6187999999999998</v>
      </c>
      <c r="DI39" s="6">
        <f t="shared" si="131"/>
        <v>0</v>
      </c>
      <c r="DJ39" s="7">
        <f t="shared" si="132"/>
        <v>0</v>
      </c>
      <c r="DK39" s="12">
        <f t="shared" si="133"/>
        <v>20</v>
      </c>
      <c r="DL39" s="11">
        <f t="shared" si="134"/>
        <v>-0.26209504748595913</v>
      </c>
      <c r="DM39" s="328">
        <f t="shared" si="135"/>
        <v>-3.6710594973710537</v>
      </c>
      <c r="DN39" s="376">
        <f t="shared" si="136"/>
        <v>9.3942266488460628</v>
      </c>
      <c r="DO39" s="11">
        <f t="shared" si="137"/>
        <v>0.19344831818856462</v>
      </c>
      <c r="DP39" s="328">
        <f t="shared" si="138"/>
        <v>0.46510213308318571</v>
      </c>
      <c r="DQ39" s="13">
        <f t="shared" si="139"/>
        <v>0</v>
      </c>
      <c r="DR39" s="328">
        <f t="shared" si="140"/>
        <v>187.88453297692126</v>
      </c>
      <c r="DS39" s="7">
        <f t="shared" si="141"/>
        <v>0</v>
      </c>
      <c r="DT39" s="7">
        <f t="shared" si="142"/>
        <v>400</v>
      </c>
      <c r="DU39" s="7">
        <f t="shared" si="143"/>
        <v>0.25374224600851353</v>
      </c>
      <c r="DV39" s="7">
        <f t="shared" si="144"/>
        <v>-1.7581194490442755</v>
      </c>
      <c r="DW39" s="7">
        <f t="shared" si="145"/>
        <v>101.7968659770444</v>
      </c>
      <c r="DX39" s="296">
        <f t="shared" si="146"/>
        <v>88.701152537044408</v>
      </c>
      <c r="DY39" s="11">
        <f t="shared" si="147"/>
        <v>101.49689840340541</v>
      </c>
      <c r="DZ39" s="7">
        <f t="shared" si="148"/>
        <v>-703.24777961771019</v>
      </c>
      <c r="EA39" s="12">
        <f t="shared" si="149"/>
        <v>179.86328286194475</v>
      </c>
      <c r="EB39" s="8">
        <f t="shared" si="150"/>
        <v>476301.87419009773</v>
      </c>
      <c r="EC39" s="328">
        <f t="shared" si="151"/>
        <v>13.728439702866501</v>
      </c>
      <c r="ED39" s="7">
        <f t="shared" si="152"/>
        <v>0.1290828555590848</v>
      </c>
      <c r="EE39" s="6">
        <f t="shared" si="153"/>
        <v>2.3936485243866832</v>
      </c>
      <c r="EF39" s="7">
        <f t="shared" si="154"/>
        <v>2.7140670923360521</v>
      </c>
      <c r="EG39" s="12">
        <f t="shared" si="155"/>
        <v>-0.60577335115393649</v>
      </c>
      <c r="EH39" s="11">
        <f t="shared" si="156"/>
        <v>-0.23712418617107678</v>
      </c>
      <c r="EI39" s="7">
        <f t="shared" si="157"/>
        <v>-3.6110227859060546</v>
      </c>
      <c r="EJ39" s="8">
        <f t="shared" si="158"/>
        <v>-0.60577335115393649</v>
      </c>
      <c r="EK39" s="491" t="b">
        <f t="shared" si="159"/>
        <v>0</v>
      </c>
      <c r="EL39" s="493" t="b">
        <f t="shared" si="160"/>
        <v>1</v>
      </c>
      <c r="EM39" s="6">
        <f t="shared" si="161"/>
        <v>-0.23712418617107678</v>
      </c>
      <c r="EN39" s="7">
        <f t="shared" si="162"/>
        <v>-3.6110227859060546</v>
      </c>
      <c r="EO39" s="12">
        <f t="shared" si="163"/>
        <v>-0.60577335115393649</v>
      </c>
      <c r="EP39" s="11">
        <f t="shared" si="164"/>
        <v>266.24296555820018</v>
      </c>
      <c r="EQ39" s="7">
        <f t="shared" si="165"/>
        <v>3.6188000000000025</v>
      </c>
      <c r="ER39" s="9">
        <f t="shared" si="166"/>
        <v>-0.60577335115393649</v>
      </c>
      <c r="ES39" s="24">
        <f t="shared" si="167"/>
        <v>-0.91004607594236597</v>
      </c>
      <c r="ET39" s="7">
        <f t="shared" si="168"/>
        <v>0.37851231018471138</v>
      </c>
      <c r="EU39" s="12">
        <f t="shared" si="169"/>
        <v>-0.16895138561294612</v>
      </c>
      <c r="EV39" s="337">
        <f t="shared" si="15"/>
        <v>183.75703444179982</v>
      </c>
      <c r="EW39" s="11">
        <f t="shared" si="16"/>
        <v>0.93289254447898673</v>
      </c>
      <c r="EX39" s="7">
        <f t="shared" si="17"/>
        <v>-0.31806749245244725</v>
      </c>
      <c r="EY39" s="8">
        <f t="shared" si="170"/>
        <v>-0.16895138561294612</v>
      </c>
      <c r="EZ39" s="123">
        <f t="shared" si="171"/>
        <v>0.62994218334109409</v>
      </c>
      <c r="FA39" s="534">
        <f t="shared" si="18"/>
        <v>-0.99779057617162648</v>
      </c>
      <c r="FB39" s="535">
        <f t="shared" si="19"/>
        <v>6.5521679693444787E-2</v>
      </c>
      <c r="FC39" s="537">
        <f t="shared" si="20"/>
        <v>-1.0994343693152492E-2</v>
      </c>
      <c r="FD39" s="6">
        <f t="shared" si="21"/>
        <v>0.99993956037690435</v>
      </c>
      <c r="FE39" s="7">
        <f t="shared" si="22"/>
        <v>1.3877787807814457E-16</v>
      </c>
      <c r="FF39" s="9">
        <f t="shared" si="172"/>
        <v>-1.0994343693152492E-2</v>
      </c>
      <c r="FG39" s="328">
        <f t="shared" si="23"/>
        <v>-6.7047015897917617E-2</v>
      </c>
      <c r="FH39" s="7">
        <f t="shared" si="24"/>
        <v>-0.31806749245244736</v>
      </c>
      <c r="FI39" s="12">
        <f t="shared" si="25"/>
        <v>-0.15795704191979362</v>
      </c>
      <c r="FJ39" s="547">
        <f t="shared" si="173"/>
        <v>20.821288484638998</v>
      </c>
      <c r="FK39" s="6">
        <f t="shared" si="26"/>
        <v>0.98562438550365916</v>
      </c>
      <c r="FL39" s="7">
        <f t="shared" si="174"/>
        <v>0.99993956037690435</v>
      </c>
      <c r="FM39" s="10">
        <f t="shared" si="175"/>
        <v>0.32505727510056326</v>
      </c>
      <c r="FN39" s="11">
        <f t="shared" si="176"/>
        <v>18.826687685408963</v>
      </c>
      <c r="FO39" s="12">
        <f t="shared" si="27"/>
        <v>1</v>
      </c>
      <c r="FP39" s="545">
        <f t="shared" si="28"/>
        <v>18.826687685408963</v>
      </c>
      <c r="FQ39" s="328">
        <f t="shared" si="205"/>
        <v>0.32270659810218999</v>
      </c>
      <c r="FR39" s="12">
        <f t="shared" si="177"/>
        <v>0.94649904994210721</v>
      </c>
      <c r="FS39" s="11">
        <f t="shared" si="178"/>
        <v>0.25425871575614595</v>
      </c>
      <c r="FT39" s="8">
        <f t="shared" si="179"/>
        <v>0.745741284243854</v>
      </c>
      <c r="FU39" s="6">
        <f t="shared" si="180"/>
        <v>0.94806807257971337</v>
      </c>
      <c r="FV39" s="7">
        <f t="shared" si="181"/>
        <v>1</v>
      </c>
      <c r="FW39" s="10">
        <f t="shared" si="206"/>
        <v>0.17159757991553104</v>
      </c>
      <c r="FX39" s="11">
        <f t="shared" si="207"/>
        <v>9.6353375557967862</v>
      </c>
      <c r="FY39" s="12">
        <f t="shared" si="29"/>
        <v>1</v>
      </c>
      <c r="FZ39" s="545">
        <f t="shared" si="208"/>
        <v>9.6353375557967862</v>
      </c>
      <c r="GA39" s="372">
        <f t="shared" si="182"/>
        <v>9.1345390520773897</v>
      </c>
      <c r="GB39" s="46">
        <f t="shared" si="183"/>
        <v>-0.31815417412343244</v>
      </c>
      <c r="GC39" s="47">
        <f t="shared" si="184"/>
        <v>0.93314678198053636</v>
      </c>
      <c r="GD39" s="578">
        <f t="shared" si="185"/>
        <v>-0.16737683461938799</v>
      </c>
      <c r="GE39" s="585">
        <f t="shared" si="186"/>
        <v>1.4186777907233568</v>
      </c>
      <c r="GF39" s="634">
        <f t="shared" si="209"/>
        <v>0.70488169092301012</v>
      </c>
      <c r="GG39" s="553">
        <f t="shared" si="30"/>
        <v>0.22426105223033885</v>
      </c>
      <c r="GH39" s="554">
        <f t="shared" si="31"/>
        <v>0.65775808156180593</v>
      </c>
      <c r="GI39" s="549">
        <f t="shared" si="32"/>
        <v>0.11798086620785522</v>
      </c>
      <c r="GJ39" s="296">
        <f t="shared" si="187"/>
        <v>3.6187999999999998</v>
      </c>
      <c r="GK39" s="337">
        <f t="shared" si="33"/>
        <v>1.8949137770096047</v>
      </c>
      <c r="GL39" s="337">
        <f t="shared" si="188"/>
        <v>2.2200000000000001E-2</v>
      </c>
      <c r="GM39" s="372">
        <f t="shared" si="210"/>
        <v>0.50480503019535872</v>
      </c>
      <c r="GN39" s="548">
        <f t="shared" si="189"/>
        <v>4.1718215936117055E-2</v>
      </c>
      <c r="GO39" s="6">
        <f t="shared" si="190"/>
        <v>18.826687685408963</v>
      </c>
      <c r="GP39" s="10">
        <f t="shared" si="211"/>
        <v>9.6353375557967862</v>
      </c>
      <c r="GQ39" s="372">
        <f t="shared" si="191"/>
        <v>20.821288484638998</v>
      </c>
      <c r="GR39" s="697">
        <f t="shared" si="212"/>
        <v>3713.954783161354</v>
      </c>
      <c r="GS39" s="637">
        <f t="shared" si="35"/>
        <v>832.89540760766522</v>
      </c>
      <c r="GT39" s="638">
        <f t="shared" si="36"/>
        <v>439.54264184097678</v>
      </c>
      <c r="GU39" s="639">
        <f t="shared" si="37"/>
        <v>2442.8837731795052</v>
      </c>
      <c r="GV39" s="638">
        <f t="shared" si="192"/>
        <v>1289.1793826285125</v>
      </c>
      <c r="GW39" s="640">
        <f t="shared" si="38"/>
        <v>58071.143361644703</v>
      </c>
      <c r="GX39" s="641">
        <f t="shared" si="39"/>
        <v>388.77352915467173</v>
      </c>
      <c r="GY39" s="639">
        <f t="shared" si="40"/>
        <v>438.17560237418365</v>
      </c>
      <c r="GZ39" s="640">
        <f t="shared" si="41"/>
        <v>231.23775218188339</v>
      </c>
      <c r="HA39" s="637">
        <f t="shared" si="42"/>
        <v>832.89540760766522</v>
      </c>
      <c r="HB39" s="7">
        <f t="shared" si="193"/>
        <v>183.75703444179982</v>
      </c>
      <c r="HC39" s="638">
        <f t="shared" si="194"/>
        <v>-831.10542034591242</v>
      </c>
      <c r="HD39" s="682">
        <f t="shared" si="195"/>
        <v>-54.576004668562923</v>
      </c>
      <c r="HE39" s="639">
        <f t="shared" si="43"/>
        <v>1289.1793826285125</v>
      </c>
      <c r="HF39" s="7">
        <f t="shared" si="44"/>
        <v>273.75703444179982</v>
      </c>
      <c r="HG39" s="638">
        <f t="shared" si="196"/>
        <v>84.47430417108319</v>
      </c>
      <c r="HH39" s="644">
        <f t="shared" si="197"/>
        <v>-1286.408789043842</v>
      </c>
      <c r="HI39" s="596">
        <f t="shared" si="198"/>
        <v>4.1210000000000004</v>
      </c>
      <c r="HJ39" s="625"/>
      <c r="HK39" s="584" t="str">
        <f t="shared" si="217"/>
        <v/>
      </c>
      <c r="HL39" s="583" t="str">
        <f t="shared" si="84"/>
        <v/>
      </c>
      <c r="HM39" s="643" t="str">
        <f t="shared" ref="HM39:IA47" si="218">IF(ISNUMBER($HL39),VLOOKUP($HL39,$GJ$9:$HI$130,HM$1,FALSE),"")</f>
        <v/>
      </c>
      <c r="HN39" s="660" t="str">
        <f t="shared" si="218"/>
        <v/>
      </c>
      <c r="HO39" s="661" t="str">
        <f t="shared" si="218"/>
        <v/>
      </c>
      <c r="HP39" s="656" t="str">
        <f t="shared" si="218"/>
        <v/>
      </c>
      <c r="HQ39" s="660" t="str">
        <f t="shared" si="218"/>
        <v/>
      </c>
      <c r="HR39" s="671" t="str">
        <f t="shared" si="218"/>
        <v/>
      </c>
      <c r="HS39" s="655" t="str">
        <f t="shared" si="218"/>
        <v/>
      </c>
      <c r="HT39" s="648" t="str">
        <f t="shared" si="218"/>
        <v/>
      </c>
      <c r="HU39" s="649" t="str">
        <f t="shared" si="218"/>
        <v/>
      </c>
      <c r="HV39" s="650" t="str">
        <f t="shared" si="218"/>
        <v/>
      </c>
      <c r="HW39" s="648" t="str">
        <f t="shared" si="218"/>
        <v/>
      </c>
      <c r="HX39" s="649" t="str">
        <f t="shared" si="218"/>
        <v/>
      </c>
      <c r="HY39" s="650" t="str">
        <f t="shared" si="218"/>
        <v/>
      </c>
      <c r="HZ39" s="648" t="str">
        <f t="shared" si="218"/>
        <v/>
      </c>
      <c r="IA39" s="649" t="str">
        <f t="shared" si="218"/>
        <v/>
      </c>
      <c r="IB39" s="716"/>
      <c r="IC39" s="625"/>
      <c r="ID39" s="625"/>
      <c r="IE39" s="625"/>
    </row>
    <row r="40" spans="2:240" ht="15" customHeight="1" x14ac:dyDescent="0.25">
      <c r="B40" s="143">
        <v>-0.16500103380453313</v>
      </c>
      <c r="C40" s="144">
        <v>-3.6832171078538742</v>
      </c>
      <c r="D40" s="145">
        <v>-1.5945048090265039</v>
      </c>
      <c r="E40" s="146">
        <v>0.84278115617020621</v>
      </c>
      <c r="F40" s="144">
        <v>-0.53825637274852378</v>
      </c>
      <c r="G40" s="147">
        <v>1.1339743345366201E-7</v>
      </c>
      <c r="H40" s="146">
        <v>0.314</v>
      </c>
      <c r="I40" s="144">
        <v>0.52</v>
      </c>
      <c r="J40" s="306">
        <v>4.1269999999999998</v>
      </c>
      <c r="K40" s="699" t="str">
        <f t="shared" si="199"/>
        <v>1613</v>
      </c>
      <c r="M40" s="292">
        <f t="shared" si="46"/>
        <v>4.1269999999999998</v>
      </c>
      <c r="N40" s="24">
        <f t="shared" si="47"/>
        <v>-0.16500103380453313</v>
      </c>
      <c r="O40" s="7">
        <f t="shared" si="48"/>
        <v>-3.6832171078538742</v>
      </c>
      <c r="P40" s="12">
        <f t="shared" si="49"/>
        <v>-1.5945048090265039</v>
      </c>
      <c r="Q40" s="11">
        <f t="shared" si="85"/>
        <v>267.4349743815593</v>
      </c>
      <c r="R40" s="7">
        <f t="shared" si="50"/>
        <v>3.6869111197239381</v>
      </c>
      <c r="S40" s="8">
        <f t="shared" si="51"/>
        <v>-1.5945048090265039</v>
      </c>
      <c r="T40" s="6">
        <f t="shared" si="52"/>
        <v>-3.6853712238882337</v>
      </c>
      <c r="U40" s="7">
        <f t="shared" si="53"/>
        <v>0.10654833119559291</v>
      </c>
      <c r="V40" s="10">
        <f t="shared" si="86"/>
        <v>-1.5945048090265039</v>
      </c>
      <c r="W40" s="11">
        <f t="shared" si="214"/>
        <v>178.34397425031597</v>
      </c>
      <c r="X40" s="7">
        <f t="shared" si="54"/>
        <v>3.6869111197239381</v>
      </c>
      <c r="Y40" s="9">
        <f t="shared" si="213"/>
        <v>-1.5945048090265039</v>
      </c>
      <c r="Z40" s="24">
        <f t="shared" si="87"/>
        <v>-0.84278115617020621</v>
      </c>
      <c r="AA40" s="7">
        <f t="shared" si="55"/>
        <v>0.53825637274852378</v>
      </c>
      <c r="AB40" s="7">
        <f t="shared" si="56"/>
        <v>-1.1339743345366201E-7</v>
      </c>
      <c r="AC40" s="10">
        <f t="shared" si="57"/>
        <v>1</v>
      </c>
      <c r="AD40" s="11">
        <f t="shared" si="88"/>
        <v>-0.84278115617020621</v>
      </c>
      <c r="AE40" s="7">
        <f t="shared" si="58"/>
        <v>0.53825637274852378</v>
      </c>
      <c r="AF40" s="12">
        <f t="shared" si="59"/>
        <v>-1.1339743345366201E-7</v>
      </c>
      <c r="AG40" s="6">
        <f t="shared" si="60"/>
        <v>89.999987929182694</v>
      </c>
      <c r="AH40" s="12">
        <f t="shared" si="61"/>
        <v>147.43497871302287</v>
      </c>
      <c r="AI40" s="11">
        <f t="shared" si="62"/>
        <v>-89.999993502805651</v>
      </c>
      <c r="AJ40" s="8">
        <f t="shared" si="63"/>
        <v>-122.56502128697656</v>
      </c>
      <c r="AK40" s="6">
        <f t="shared" si="89"/>
        <v>0.86602544158358619</v>
      </c>
      <c r="AL40" s="7">
        <f t="shared" si="64"/>
        <v>-0.4999999345299378</v>
      </c>
      <c r="AM40" s="8">
        <f t="shared" si="65"/>
        <v>-1.1339743345366201E-7</v>
      </c>
      <c r="AN40" s="6">
        <f t="shared" si="66"/>
        <v>-89.999987005609611</v>
      </c>
      <c r="AO40" s="10">
        <f t="shared" si="3"/>
        <v>29.999995668536471</v>
      </c>
      <c r="AP40" s="11">
        <f t="shared" si="67"/>
        <v>-29.999995668535849</v>
      </c>
      <c r="AQ40" s="8">
        <f t="shared" si="200"/>
        <v>0.61835370171187443</v>
      </c>
      <c r="AS40" s="123">
        <f t="shared" si="90"/>
        <v>-181.65602574968403</v>
      </c>
      <c r="AT40" s="174">
        <f t="shared" si="68"/>
        <v>-1.4677235412359202</v>
      </c>
      <c r="AV40" s="292" t="str">
        <f t="shared" si="91"/>
        <v/>
      </c>
      <c r="AW40" s="439"/>
      <c r="AX40" s="440"/>
      <c r="AY40" s="442"/>
      <c r="AZ40" s="565" t="str">
        <f t="shared" si="92"/>
        <v/>
      </c>
      <c r="BA40" s="564" t="str">
        <f t="shared" si="93"/>
        <v/>
      </c>
      <c r="BB40" s="444" t="str">
        <f t="shared" si="94"/>
        <v/>
      </c>
      <c r="BC40" s="11"/>
      <c r="BD40" s="7" t="str">
        <f t="shared" si="95"/>
        <v/>
      </c>
      <c r="BE40" s="8" t="str">
        <f t="shared" si="96"/>
        <v/>
      </c>
      <c r="BF40" s="6" t="str">
        <f t="shared" si="97"/>
        <v/>
      </c>
      <c r="BG40" s="7" t="str">
        <f t="shared" si="98"/>
        <v/>
      </c>
      <c r="BH40" s="12" t="str">
        <f t="shared" si="99"/>
        <v/>
      </c>
      <c r="BI40" s="11" t="str">
        <f t="shared" si="100"/>
        <v/>
      </c>
      <c r="BJ40" s="7" t="str">
        <f t="shared" si="101"/>
        <v/>
      </c>
      <c r="BK40" s="10" t="str">
        <f t="shared" si="102"/>
        <v/>
      </c>
      <c r="BL40" s="328" t="str">
        <f t="shared" si="103"/>
        <v/>
      </c>
      <c r="BM40" s="7" t="str">
        <f t="shared" si="104"/>
        <v/>
      </c>
      <c r="BN40" s="8" t="str">
        <f t="shared" si="105"/>
        <v/>
      </c>
      <c r="BO40" s="6" t="str">
        <f t="shared" si="106"/>
        <v/>
      </c>
      <c r="BP40" s="7" t="str">
        <f t="shared" si="107"/>
        <v/>
      </c>
      <c r="BQ40" s="7" t="str">
        <f t="shared" si="108"/>
        <v/>
      </c>
      <c r="BR40" s="8" t="str">
        <f t="shared" si="109"/>
        <v/>
      </c>
      <c r="BS40" s="6" t="str">
        <f t="shared" si="69"/>
        <v/>
      </c>
      <c r="BT40" s="7" t="str">
        <f t="shared" si="69"/>
        <v/>
      </c>
      <c r="BU40" s="12" t="str">
        <f t="shared" si="70"/>
        <v/>
      </c>
      <c r="BV40" s="11" t="str">
        <f t="shared" si="71"/>
        <v/>
      </c>
      <c r="BW40" s="7" t="str">
        <f t="shared" si="72"/>
        <v/>
      </c>
      <c r="BX40" s="10" t="str">
        <f t="shared" si="73"/>
        <v/>
      </c>
      <c r="BY40" s="328" t="str">
        <f t="shared" si="74"/>
        <v/>
      </c>
      <c r="BZ40" s="7" t="str">
        <f t="shared" si="75"/>
        <v/>
      </c>
      <c r="CA40" s="8" t="str">
        <f t="shared" si="76"/>
        <v/>
      </c>
      <c r="CB40" s="6" t="str">
        <f t="shared" si="110"/>
        <v/>
      </c>
      <c r="CC40" s="7" t="str">
        <f t="shared" si="111"/>
        <v/>
      </c>
      <c r="CD40" s="7" t="str">
        <f t="shared" si="112"/>
        <v/>
      </c>
      <c r="CE40" s="8" t="str">
        <f t="shared" si="113"/>
        <v/>
      </c>
      <c r="CF40" s="6" t="str">
        <f t="shared" si="114"/>
        <v/>
      </c>
      <c r="CG40" s="7" t="str">
        <f t="shared" si="115"/>
        <v/>
      </c>
      <c r="CH40" s="7" t="str">
        <f t="shared" si="116"/>
        <v/>
      </c>
      <c r="CI40" s="6" t="str">
        <f t="shared" si="77"/>
        <v/>
      </c>
      <c r="CJ40" s="7" t="str">
        <f t="shared" si="78"/>
        <v/>
      </c>
      <c r="CK40" s="10" t="str">
        <f t="shared" si="79"/>
        <v/>
      </c>
      <c r="CL40" s="328" t="str">
        <f t="shared" si="80"/>
        <v/>
      </c>
      <c r="CM40" s="7" t="str">
        <f t="shared" si="81"/>
        <v/>
      </c>
      <c r="CN40" s="8" t="str">
        <f t="shared" si="82"/>
        <v/>
      </c>
      <c r="CO40" s="296" t="str">
        <f t="shared" si="201"/>
        <v/>
      </c>
      <c r="CP40" s="6" t="str">
        <f t="shared" si="202"/>
        <v/>
      </c>
      <c r="CQ40" s="7" t="str">
        <f t="shared" si="203"/>
        <v/>
      </c>
      <c r="CR40" s="7" t="str">
        <f t="shared" si="117"/>
        <v/>
      </c>
      <c r="CS40" s="10" t="str">
        <f t="shared" si="118"/>
        <v/>
      </c>
      <c r="CT40" s="11" t="str">
        <f t="shared" si="119"/>
        <v/>
      </c>
      <c r="CU40" s="8" t="str">
        <f t="shared" si="120"/>
        <v/>
      </c>
      <c r="CV40" s="6" t="str">
        <f t="shared" si="204"/>
        <v/>
      </c>
      <c r="CW40" s="7" t="str">
        <f t="shared" si="121"/>
        <v/>
      </c>
      <c r="CX40" s="10" t="str">
        <f t="shared" si="122"/>
        <v/>
      </c>
      <c r="CY40" s="11" t="str">
        <f t="shared" si="123"/>
        <v/>
      </c>
      <c r="CZ40" s="7" t="str">
        <f t="shared" si="124"/>
        <v/>
      </c>
      <c r="DA40" s="8" t="str">
        <f t="shared" si="125"/>
        <v/>
      </c>
      <c r="DB40" s="6" t="str">
        <f t="shared" si="126"/>
        <v/>
      </c>
      <c r="DC40" s="7" t="str">
        <f t="shared" si="126"/>
        <v/>
      </c>
      <c r="DD40" s="12" t="str">
        <f t="shared" si="127"/>
        <v/>
      </c>
      <c r="DE40" s="11" t="str">
        <f t="shared" si="128"/>
        <v/>
      </c>
      <c r="DF40" s="7" t="str">
        <f t="shared" si="128"/>
        <v/>
      </c>
      <c r="DG40" s="12" t="str">
        <f t="shared" si="129"/>
        <v/>
      </c>
      <c r="DH40" s="174" t="str">
        <f t="shared" si="130"/>
        <v/>
      </c>
      <c r="DI40" s="6" t="str">
        <f t="shared" si="131"/>
        <v/>
      </c>
      <c r="DJ40" s="7" t="str">
        <f t="shared" si="132"/>
        <v/>
      </c>
      <c r="DK40" s="12" t="str">
        <f t="shared" si="133"/>
        <v/>
      </c>
      <c r="DL40" s="11" t="str">
        <f t="shared" si="134"/>
        <v/>
      </c>
      <c r="DM40" s="328" t="str">
        <f t="shared" si="135"/>
        <v/>
      </c>
      <c r="DN40" s="376" t="str">
        <f t="shared" si="136"/>
        <v/>
      </c>
      <c r="DO40" s="11" t="str">
        <f t="shared" si="137"/>
        <v/>
      </c>
      <c r="DP40" s="328" t="str">
        <f t="shared" si="138"/>
        <v/>
      </c>
      <c r="DQ40" s="13" t="str">
        <f t="shared" si="139"/>
        <v/>
      </c>
      <c r="DR40" s="328" t="str">
        <f t="shared" si="140"/>
        <v/>
      </c>
      <c r="DS40" s="7" t="str">
        <f t="shared" si="141"/>
        <v/>
      </c>
      <c r="DT40" s="7" t="str">
        <f t="shared" si="142"/>
        <v/>
      </c>
      <c r="DU40" s="7" t="str">
        <f t="shared" si="143"/>
        <v/>
      </c>
      <c r="DV40" s="7" t="str">
        <f t="shared" si="144"/>
        <v/>
      </c>
      <c r="DW40" s="7" t="str">
        <f t="shared" si="145"/>
        <v/>
      </c>
      <c r="DX40" s="296" t="str">
        <f t="shared" si="146"/>
        <v/>
      </c>
      <c r="DY40" s="11" t="str">
        <f t="shared" si="147"/>
        <v/>
      </c>
      <c r="DZ40" s="7" t="str">
        <f t="shared" si="148"/>
        <v/>
      </c>
      <c r="EA40" s="12" t="str">
        <f t="shared" si="149"/>
        <v/>
      </c>
      <c r="EB40" s="8" t="str">
        <f t="shared" si="150"/>
        <v/>
      </c>
      <c r="EC40" s="328" t="str">
        <f t="shared" si="151"/>
        <v/>
      </c>
      <c r="ED40" s="7" t="str">
        <f t="shared" si="152"/>
        <v/>
      </c>
      <c r="EE40" s="6" t="str">
        <f t="shared" si="153"/>
        <v/>
      </c>
      <c r="EF40" s="7" t="str">
        <f t="shared" si="154"/>
        <v/>
      </c>
      <c r="EG40" s="12" t="str">
        <f t="shared" si="155"/>
        <v/>
      </c>
      <c r="EH40" s="11" t="str">
        <f t="shared" si="156"/>
        <v/>
      </c>
      <c r="EI40" s="7" t="str">
        <f t="shared" si="157"/>
        <v/>
      </c>
      <c r="EJ40" s="8" t="str">
        <f t="shared" si="158"/>
        <v/>
      </c>
      <c r="EK40" s="491" t="str">
        <f t="shared" si="159"/>
        <v/>
      </c>
      <c r="EL40" s="493" t="str">
        <f t="shared" si="160"/>
        <v/>
      </c>
      <c r="EM40" s="6" t="str">
        <f t="shared" si="161"/>
        <v/>
      </c>
      <c r="EN40" s="7" t="str">
        <f t="shared" si="162"/>
        <v/>
      </c>
      <c r="EO40" s="12" t="str">
        <f t="shared" si="163"/>
        <v/>
      </c>
      <c r="EP40" s="11" t="str">
        <f t="shared" si="164"/>
        <v/>
      </c>
      <c r="EQ40" s="7" t="str">
        <f t="shared" si="165"/>
        <v/>
      </c>
      <c r="ER40" s="9" t="str">
        <f t="shared" si="166"/>
        <v/>
      </c>
      <c r="ES40" s="24" t="str">
        <f t="shared" si="167"/>
        <v/>
      </c>
      <c r="ET40" s="7" t="str">
        <f t="shared" si="168"/>
        <v/>
      </c>
      <c r="EU40" s="12" t="str">
        <f t="shared" si="169"/>
        <v/>
      </c>
      <c r="EV40" s="337" t="str">
        <f t="shared" si="15"/>
        <v/>
      </c>
      <c r="EW40" s="11" t="str">
        <f t="shared" si="16"/>
        <v/>
      </c>
      <c r="EX40" s="7" t="str">
        <f t="shared" si="17"/>
        <v/>
      </c>
      <c r="EY40" s="8" t="str">
        <f t="shared" si="170"/>
        <v/>
      </c>
      <c r="EZ40" s="123" t="str">
        <f t="shared" si="171"/>
        <v/>
      </c>
      <c r="FA40" s="534" t="str">
        <f t="shared" si="18"/>
        <v/>
      </c>
      <c r="FB40" s="535" t="str">
        <f t="shared" si="19"/>
        <v/>
      </c>
      <c r="FC40" s="537" t="str">
        <f t="shared" si="20"/>
        <v/>
      </c>
      <c r="FD40" s="6" t="str">
        <f t="shared" si="21"/>
        <v/>
      </c>
      <c r="FE40" s="7" t="str">
        <f t="shared" si="22"/>
        <v/>
      </c>
      <c r="FF40" s="9" t="str">
        <f t="shared" si="172"/>
        <v/>
      </c>
      <c r="FG40" s="328" t="str">
        <f t="shared" si="23"/>
        <v/>
      </c>
      <c r="FH40" s="7" t="str">
        <f t="shared" si="24"/>
        <v/>
      </c>
      <c r="FI40" s="12" t="str">
        <f t="shared" si="25"/>
        <v/>
      </c>
      <c r="FJ40" s="547" t="str">
        <f t="shared" si="173"/>
        <v/>
      </c>
      <c r="FK40" s="6" t="str">
        <f t="shared" si="26"/>
        <v/>
      </c>
      <c r="FL40" s="7" t="str">
        <f t="shared" si="174"/>
        <v/>
      </c>
      <c r="FM40" s="10" t="str">
        <f t="shared" si="175"/>
        <v/>
      </c>
      <c r="FN40" s="11" t="str">
        <f t="shared" si="176"/>
        <v/>
      </c>
      <c r="FO40" s="12" t="str">
        <f t="shared" si="27"/>
        <v/>
      </c>
      <c r="FP40" s="545" t="str">
        <f t="shared" si="28"/>
        <v/>
      </c>
      <c r="FQ40" s="328" t="str">
        <f t="shared" si="205"/>
        <v/>
      </c>
      <c r="FR40" s="12" t="str">
        <f t="shared" si="177"/>
        <v/>
      </c>
      <c r="FS40" s="11" t="str">
        <f t="shared" si="178"/>
        <v/>
      </c>
      <c r="FT40" s="8" t="str">
        <f t="shared" si="179"/>
        <v/>
      </c>
      <c r="FU40" s="6" t="str">
        <f t="shared" si="180"/>
        <v/>
      </c>
      <c r="FV40" s="7" t="str">
        <f t="shared" si="181"/>
        <v/>
      </c>
      <c r="FW40" s="10" t="str">
        <f t="shared" si="206"/>
        <v/>
      </c>
      <c r="FX40" s="11" t="str">
        <f t="shared" si="207"/>
        <v/>
      </c>
      <c r="FY40" s="12" t="str">
        <f t="shared" si="29"/>
        <v/>
      </c>
      <c r="FZ40" s="545" t="str">
        <f t="shared" si="208"/>
        <v/>
      </c>
      <c r="GA40" s="372" t="str">
        <f t="shared" si="182"/>
        <v/>
      </c>
      <c r="GB40" s="46" t="str">
        <f t="shared" si="183"/>
        <v/>
      </c>
      <c r="GC40" s="47" t="str">
        <f t="shared" si="184"/>
        <v/>
      </c>
      <c r="GD40" s="578" t="str">
        <f t="shared" si="185"/>
        <v/>
      </c>
      <c r="GE40" s="585" t="str">
        <f t="shared" si="186"/>
        <v/>
      </c>
      <c r="GF40" s="634" t="str">
        <f t="shared" si="209"/>
        <v/>
      </c>
      <c r="GG40" s="553" t="str">
        <f t="shared" si="30"/>
        <v/>
      </c>
      <c r="GH40" s="554" t="str">
        <f t="shared" si="31"/>
        <v/>
      </c>
      <c r="GI40" s="549" t="str">
        <f t="shared" si="32"/>
        <v/>
      </c>
      <c r="GJ40" s="296" t="str">
        <f t="shared" si="187"/>
        <v/>
      </c>
      <c r="GK40" s="337" t="str">
        <f t="shared" si="33"/>
        <v/>
      </c>
      <c r="GL40" s="337" t="str">
        <f t="shared" si="188"/>
        <v/>
      </c>
      <c r="GM40" s="372" t="str">
        <f t="shared" si="210"/>
        <v/>
      </c>
      <c r="GN40" s="548" t="str">
        <f t="shared" si="189"/>
        <v/>
      </c>
      <c r="GO40" s="6" t="str">
        <f t="shared" si="190"/>
        <v/>
      </c>
      <c r="GP40" s="10" t="str">
        <f t="shared" si="211"/>
        <v/>
      </c>
      <c r="GQ40" s="372" t="str">
        <f t="shared" si="191"/>
        <v/>
      </c>
      <c r="GR40" s="697" t="str">
        <f t="shared" si="212"/>
        <v/>
      </c>
      <c r="GS40" s="637" t="str">
        <f t="shared" si="35"/>
        <v/>
      </c>
      <c r="GT40" s="638" t="str">
        <f t="shared" si="36"/>
        <v/>
      </c>
      <c r="GU40" s="639" t="str">
        <f t="shared" si="37"/>
        <v/>
      </c>
      <c r="GV40" s="638" t="str">
        <f t="shared" si="192"/>
        <v/>
      </c>
      <c r="GW40" s="640" t="str">
        <f t="shared" si="38"/>
        <v/>
      </c>
      <c r="GX40" s="641" t="str">
        <f t="shared" si="39"/>
        <v/>
      </c>
      <c r="GY40" s="639" t="str">
        <f t="shared" si="40"/>
        <v/>
      </c>
      <c r="GZ40" s="640" t="str">
        <f t="shared" si="41"/>
        <v/>
      </c>
      <c r="HA40" s="637" t="str">
        <f t="shared" si="42"/>
        <v/>
      </c>
      <c r="HB40" s="7" t="str">
        <f t="shared" si="193"/>
        <v/>
      </c>
      <c r="HC40" s="638" t="str">
        <f t="shared" si="194"/>
        <v/>
      </c>
      <c r="HD40" s="682" t="str">
        <f t="shared" si="195"/>
        <v/>
      </c>
      <c r="HE40" s="639" t="str">
        <f t="shared" si="43"/>
        <v/>
      </c>
      <c r="HF40" s="7" t="str">
        <f t="shared" si="44"/>
        <v/>
      </c>
      <c r="HG40" s="638" t="str">
        <f t="shared" si="196"/>
        <v/>
      </c>
      <c r="HH40" s="644" t="str">
        <f t="shared" si="197"/>
        <v/>
      </c>
      <c r="HI40" s="596" t="str">
        <f t="shared" si="198"/>
        <v/>
      </c>
      <c r="HJ40" s="625"/>
      <c r="HK40" s="584" t="str">
        <f t="shared" si="217"/>
        <v/>
      </c>
      <c r="HL40" s="583" t="str">
        <f t="shared" si="84"/>
        <v/>
      </c>
      <c r="HM40" s="643" t="str">
        <f t="shared" si="218"/>
        <v/>
      </c>
      <c r="HN40" s="660" t="str">
        <f t="shared" si="218"/>
        <v/>
      </c>
      <c r="HO40" s="661" t="str">
        <f t="shared" si="218"/>
        <v/>
      </c>
      <c r="HP40" s="656" t="str">
        <f t="shared" si="218"/>
        <v/>
      </c>
      <c r="HQ40" s="660" t="str">
        <f t="shared" si="218"/>
        <v/>
      </c>
      <c r="HR40" s="671" t="str">
        <f t="shared" si="218"/>
        <v/>
      </c>
      <c r="HS40" s="655" t="str">
        <f t="shared" si="218"/>
        <v/>
      </c>
      <c r="HT40" s="648" t="str">
        <f t="shared" si="218"/>
        <v/>
      </c>
      <c r="HU40" s="649" t="str">
        <f t="shared" si="218"/>
        <v/>
      </c>
      <c r="HV40" s="650" t="str">
        <f t="shared" si="218"/>
        <v/>
      </c>
      <c r="HW40" s="648" t="str">
        <f t="shared" si="218"/>
        <v/>
      </c>
      <c r="HX40" s="649" t="str">
        <f t="shared" si="218"/>
        <v/>
      </c>
      <c r="HY40" s="650" t="str">
        <f t="shared" si="218"/>
        <v/>
      </c>
      <c r="HZ40" s="648" t="str">
        <f t="shared" si="218"/>
        <v/>
      </c>
      <c r="IA40" s="649" t="str">
        <f t="shared" si="218"/>
        <v/>
      </c>
      <c r="IB40" s="716"/>
      <c r="IC40" s="625"/>
      <c r="ID40" s="625"/>
      <c r="IE40" s="625"/>
    </row>
    <row r="41" spans="2:240" ht="15" customHeight="1" x14ac:dyDescent="0.25">
      <c r="B41" s="143">
        <v>-1.1395165909916409</v>
      </c>
      <c r="C41" s="144">
        <v>-2.6965207937901527</v>
      </c>
      <c r="D41" s="145">
        <v>-0.22780068704687231</v>
      </c>
      <c r="E41" s="146">
        <v>-0.12865506397876561</v>
      </c>
      <c r="F41" s="144">
        <v>-0.30444639587443445</v>
      </c>
      <c r="G41" s="147">
        <v>0.94380096765774035</v>
      </c>
      <c r="H41" s="146">
        <v>0.25700000000000001</v>
      </c>
      <c r="I41" s="144">
        <v>0.41499999999999992</v>
      </c>
      <c r="J41" s="306">
        <v>4.2149999999999999</v>
      </c>
      <c r="K41" s="699" t="str">
        <f t="shared" si="199"/>
        <v>Kunckle</v>
      </c>
      <c r="M41" s="292">
        <f t="shared" si="46"/>
        <v>4.2149999999999999</v>
      </c>
      <c r="N41" s="24">
        <f t="shared" si="47"/>
        <v>-1.1395165909916409</v>
      </c>
      <c r="O41" s="7">
        <f t="shared" si="48"/>
        <v>-2.6965207937901527</v>
      </c>
      <c r="P41" s="12">
        <f t="shared" si="49"/>
        <v>-0.22780068704687231</v>
      </c>
      <c r="Q41" s="11">
        <f t="shared" si="85"/>
        <v>247.09167731876801</v>
      </c>
      <c r="R41" s="7">
        <f t="shared" si="50"/>
        <v>2.9274088290650293</v>
      </c>
      <c r="S41" s="8">
        <f t="shared" si="51"/>
        <v>-0.22780068704687231</v>
      </c>
      <c r="T41" s="6">
        <f t="shared" si="52"/>
        <v>-2.7142591630327861</v>
      </c>
      <c r="U41" s="7">
        <f t="shared" si="53"/>
        <v>1.0965945688268051</v>
      </c>
      <c r="V41" s="10">
        <f t="shared" si="86"/>
        <v>-0.22780068704687231</v>
      </c>
      <c r="W41" s="11">
        <f t="shared" si="214"/>
        <v>158.00067718752467</v>
      </c>
      <c r="X41" s="7">
        <f t="shared" si="54"/>
        <v>2.9274088290650293</v>
      </c>
      <c r="Y41" s="9">
        <f t="shared" si="213"/>
        <v>-0.22780068704687231</v>
      </c>
      <c r="Z41" s="24">
        <f t="shared" si="87"/>
        <v>0.12865506397876561</v>
      </c>
      <c r="AA41" s="7">
        <f t="shared" si="55"/>
        <v>0.30444639587443445</v>
      </c>
      <c r="AB41" s="7">
        <f t="shared" si="56"/>
        <v>-0.94380096765774035</v>
      </c>
      <c r="AC41" s="10">
        <f t="shared" si="57"/>
        <v>1</v>
      </c>
      <c r="AD41" s="11">
        <f t="shared" si="88"/>
        <v>0.12865506397876561</v>
      </c>
      <c r="AE41" s="7">
        <f t="shared" si="58"/>
        <v>0.30444639587443445</v>
      </c>
      <c r="AF41" s="12">
        <f t="shared" si="59"/>
        <v>-0.94380096765774035</v>
      </c>
      <c r="AG41" s="6">
        <f t="shared" si="60"/>
        <v>17.878392569361662</v>
      </c>
      <c r="AH41" s="12">
        <f t="shared" si="61"/>
        <v>82.6081194765259</v>
      </c>
      <c r="AI41" s="11">
        <f t="shared" si="62"/>
        <v>-19.299997213429375</v>
      </c>
      <c r="AJ41" s="8">
        <f t="shared" si="63"/>
        <v>157.09171663443018</v>
      </c>
      <c r="AK41" s="6">
        <f t="shared" si="89"/>
        <v>2.2679489689036991E-7</v>
      </c>
      <c r="AL41" s="7">
        <f t="shared" si="64"/>
        <v>-0.33051434681154412</v>
      </c>
      <c r="AM41" s="8">
        <f t="shared" si="65"/>
        <v>-0.94380096765774035</v>
      </c>
      <c r="AN41" s="6">
        <f t="shared" si="66"/>
        <v>-19.299997213425179</v>
      </c>
      <c r="AO41" s="10">
        <f>IFERROR(IF(ROUND(IF(M41="","",DEGREES(ACOS(AK41))),4)=90,0,IF(M41="","",DEGREES(ACOS(AK41)))),"")</f>
        <v>0</v>
      </c>
      <c r="AP41" s="11">
        <f t="shared" si="67"/>
        <v>-89.999960684337822</v>
      </c>
      <c r="AQ41" s="8">
        <f t="shared" si="200"/>
        <v>0.77880035164891037</v>
      </c>
      <c r="AS41" s="123">
        <f t="shared" si="90"/>
        <v>-201.99932281247533</v>
      </c>
      <c r="AT41" s="174">
        <f t="shared" ref="AT41:AT47" si="219">IF(M41="","",Y41+(((AS41-$AS$9)*$AS$6)*-1))</f>
        <v>-8.6892129629350084E-2</v>
      </c>
      <c r="AV41" s="292" t="str">
        <f t="shared" si="91"/>
        <v/>
      </c>
      <c r="AW41" s="439"/>
      <c r="AX41" s="440"/>
      <c r="AY41" s="442"/>
      <c r="AZ41" s="565" t="str">
        <f t="shared" ref="AZ41:AZ53" si="220">IF(ISNUMBER(AV41),$AY41*SQRT((2*PI()*$AW41)^2+$AS$5^2),"")</f>
        <v/>
      </c>
      <c r="BA41" s="564" t="str">
        <f t="shared" ref="BA41:BA53" si="221">IF(ISNUMBER(AV41),AZ41/$AZ$131,"")</f>
        <v/>
      </c>
      <c r="BB41" s="444" t="str">
        <f t="shared" si="94"/>
        <v/>
      </c>
      <c r="BC41" s="11"/>
      <c r="BD41" s="7" t="str">
        <f t="shared" ref="BD41:BD53" si="222">IF(ISNUMBER(AV41),AW41,"")</f>
        <v/>
      </c>
      <c r="BE41" s="8" t="str">
        <f t="shared" ref="BE41:BE53" si="223">IF(ISNUMBER(AV41),Y41+BB41,"")</f>
        <v/>
      </c>
      <c r="BF41" s="6" t="str">
        <f t="shared" ref="BF41:BF53" si="224">IF(ISNUMBER($AV41),N41,"")</f>
        <v/>
      </c>
      <c r="BG41" s="7" t="str">
        <f t="shared" ref="BG41:BG53" si="225">IF(ISNUMBER($AV41),O41,"")</f>
        <v/>
      </c>
      <c r="BH41" s="12" t="str">
        <f t="shared" ref="BH41:BH53" si="226">IF(ISNUMBER($AV41),P41,"")</f>
        <v/>
      </c>
      <c r="BI41" s="11" t="str">
        <f t="shared" ref="BI41:BI53" si="227">IF(ISNUMBER($AV41),BF41+0,"")</f>
        <v/>
      </c>
      <c r="BJ41" s="7" t="str">
        <f t="shared" ref="BJ41:BJ53" si="228">IF(ISNUMBER($AV41),BG41+COS(RADIANS($AG41)),"")</f>
        <v/>
      </c>
      <c r="BK41" s="10" t="str">
        <f t="shared" ref="BK41:BK53" si="229">IF(ISNUMBER($AV41),BH41+SIN(RADIANS($AG41)),"")</f>
        <v/>
      </c>
      <c r="BL41" s="328" t="str">
        <f t="shared" ref="BL41:BL53" si="230">IF(ISNUMBER($AV41),BF41+SIN(RADIANS($AH41)),"")</f>
        <v/>
      </c>
      <c r="BM41" s="7" t="str">
        <f t="shared" ref="BM41:BM53" si="231">IF(ISNUMBER($AV41),BG41-SIN(RADIANS($AG41))*COS(RADIANS($AH41)),"")</f>
        <v/>
      </c>
      <c r="BN41" s="8" t="str">
        <f t="shared" ref="BN41:BN53" si="232">IF(ISNUMBER($AV41),BH41+COS(RADIANS($AG41))*COS(RADIANS($AH41)),"")</f>
        <v/>
      </c>
      <c r="BO41" s="6" t="str">
        <f t="shared" ref="BO41:BO53" si="233">IF(ISNUMBER($AV41),BJ41*BN41-BM41*BK41-BG41*(BN41-BK41)+BH41*(BM41-BJ41),"")</f>
        <v/>
      </c>
      <c r="BP41" s="7" t="str">
        <f t="shared" ref="BP41:BP53" si="234">IF(ISNUMBER($AV41),BF41*(BN41-BK41)-(BI41*BN41-BL41*BK41)+BH41*(BI41-BL41),"")</f>
        <v/>
      </c>
      <c r="BQ41" s="7" t="str">
        <f t="shared" ref="BQ41:BQ53" si="235">IF(ISNUMBER($AV41),BF41*(BJ41-BM41)-BG41*(BI41-BL41)+(BI41*BM41-BL41*BJ41),"")</f>
        <v/>
      </c>
      <c r="BR41" s="8" t="str">
        <f t="shared" ref="BR41:BR53" si="236">IF(ISNUMBER($AV41),-(BF41*(BJ41*BN41-BM41*BK41)-BG41*(BI41*BN41-BL41*BK41)+BH41*(BI41*BM41-BL41*BJ41)),"")</f>
        <v/>
      </c>
      <c r="BS41" s="6" t="str">
        <f t="shared" si="69"/>
        <v/>
      </c>
      <c r="BT41" s="7" t="str">
        <f t="shared" si="69"/>
        <v/>
      </c>
      <c r="BU41" s="12" t="str">
        <f t="shared" si="70"/>
        <v/>
      </c>
      <c r="BV41" s="11" t="str">
        <f t="shared" si="71"/>
        <v/>
      </c>
      <c r="BW41" s="7" t="str">
        <f t="shared" si="72"/>
        <v/>
      </c>
      <c r="BX41" s="10" t="str">
        <f t="shared" si="73"/>
        <v/>
      </c>
      <c r="BY41" s="328" t="str">
        <f t="shared" si="74"/>
        <v/>
      </c>
      <c r="BZ41" s="7" t="str">
        <f t="shared" si="75"/>
        <v/>
      </c>
      <c r="CA41" s="8" t="str">
        <f t="shared" si="76"/>
        <v/>
      </c>
      <c r="CB41" s="6" t="str">
        <f t="shared" ref="CB41:CB53" si="237">IF(ISNUMBER($AV41),BW41*CA41-BZ41*BX41-BT41*(CA41-BX41)+BU41*(BZ41-BW41),"")</f>
        <v/>
      </c>
      <c r="CC41" s="7" t="str">
        <f t="shared" ref="CC41:CC53" si="238">IF(ISNUMBER($AV41),BS41*(CA41-BX41)-(BV41*CA41-BY41*BX41)+BU41*(BV41-BY41),"")</f>
        <v/>
      </c>
      <c r="CD41" s="7" t="str">
        <f t="shared" ref="CD41:CD53" si="239">IF(ISNUMBER($AV41),BS41*(BW41-BZ41)-BT41*(BV41-BY41)+(BV41*BZ41-BY41*BW41),"")</f>
        <v/>
      </c>
      <c r="CE41" s="8" t="str">
        <f t="shared" ref="CE41:CE53" si="240">IF(ISNUMBER($AV41),-(BS41*(BW41*CA41-BZ41*BX41)-BT41*(BV41*CA41-BY41*BX41)+BU41*(BV41*BZ41-BY41*BW41)),"")</f>
        <v/>
      </c>
      <c r="CF41" s="6" t="str">
        <f t="shared" ref="CF41:CF53" si="241">IF(ISNUMBER($AV41),(BP41*CD41)-(BQ41*CC41),"")</f>
        <v/>
      </c>
      <c r="CG41" s="7" t="str">
        <f t="shared" ref="CG41:CG53" si="242">IF(ISNUMBER($AV41),(BQ41*CB41)-(BO41*CD41),"")</f>
        <v/>
      </c>
      <c r="CH41" s="7" t="str">
        <f t="shared" ref="CH41:CH53" si="243">IF(ISNUMBER($AV41),(BO41*CC41)-(BP41*CB41),"")</f>
        <v/>
      </c>
      <c r="CI41" s="6" t="str">
        <f t="shared" si="77"/>
        <v/>
      </c>
      <c r="CJ41" s="7" t="str">
        <f t="shared" ref="CJ41:CJ53" si="244">IF(ISNUMBER($AV41),(CD41*BR41-BQ41*CE41)/(BQ41*CC41-CD41*BP41),"")</f>
        <v/>
      </c>
      <c r="CK41" s="10" t="str">
        <f t="shared" ref="CK41:CK53" si="245">IF(ISNUMBER($AV41),(CC41*BR41-BP41*CE41)/(-CC41*BQ41+BP41*CD41),"")</f>
        <v/>
      </c>
      <c r="CL41" s="328" t="str">
        <f t="shared" ref="CL41:CL53" si="246">IF(ISNUMBER($AV41),CI41+CF41,"")</f>
        <v/>
      </c>
      <c r="CM41" s="7" t="str">
        <f t="shared" ref="CM41:CM53" si="247">IF(ISNUMBER($AV41),CJ41+CG41,"")</f>
        <v/>
      </c>
      <c r="CN41" s="8" t="str">
        <f t="shared" ref="CN41:CN53" si="248">IF(ISNUMBER($AV41),CK41+CH41,"")</f>
        <v/>
      </c>
      <c r="CO41" s="296" t="str">
        <f t="shared" si="201"/>
        <v/>
      </c>
      <c r="CP41" s="6" t="str">
        <f t="shared" ref="CP41:CP53" si="249">IF(ISNUMBER($AV41),(CL41-CI41)^2+(CM41-CJ41)^2+(CN41-CK41)^2,"")</f>
        <v/>
      </c>
      <c r="CQ41" s="7" t="str">
        <f t="shared" ref="CQ41:CQ53" si="250">IF(ISNUMBER($AV41),2*((CL41-CI41)*(CI41-BF41)+(CM41-CJ41)*(CJ41-BG41)+(CN41-CK41)*(CK41-BH41)),"")</f>
        <v/>
      </c>
      <c r="CR41" s="7" t="str">
        <f t="shared" ref="CR41:CR53" si="251">IF(ISNUMBER($AV41),BF41^2+BG41^2+BH41^2+CI41^2+CJ41^2+CK41^2-2*(BF41*CI41+BG41*CJ41+BH41*CK41)-CO41^2,"")</f>
        <v/>
      </c>
      <c r="CS41" s="10" t="str">
        <f t="shared" ref="CS41:CS53" si="252">IF(ISNUMBER($AV41),CQ41^2-(4*CP41*CR41),"")</f>
        <v/>
      </c>
      <c r="CT41" s="11" t="str">
        <f t="shared" si="119"/>
        <v/>
      </c>
      <c r="CU41" s="8" t="str">
        <f t="shared" ref="CU41:CU53" si="253">IF(ISNUMBER($AV41),(-CQ41-SQRT(CS41))/(CP41*2),"")</f>
        <v/>
      </c>
      <c r="CV41" s="6" t="str">
        <f t="shared" ref="CV41:CV53" si="254">IF(ISNUMBER($AV41),CI41+($CT41*(CL41-CI41)),"")</f>
        <v/>
      </c>
      <c r="CW41" s="7" t="str">
        <f t="shared" ref="CW41:CW53" si="255">IF(ISNUMBER($AV41),CJ41+($CT41*(CM41-CJ41)),"")</f>
        <v/>
      </c>
      <c r="CX41" s="10" t="str">
        <f t="shared" ref="CX41:CX53" si="256">IF(ISNUMBER($AV41),CK41+($CT41*(CN41-CK41)),"")</f>
        <v/>
      </c>
      <c r="CY41" s="11" t="str">
        <f t="shared" ref="CY41:CY53" si="257">IF(ISNUMBER($AV41),CI41+($CU41*(CL41-CI41)),"")</f>
        <v/>
      </c>
      <c r="CZ41" s="7" t="str">
        <f t="shared" ref="CZ41:CZ53" si="258">IF(ISNUMBER($AV41),CJ41+($CU41*(CM41-CJ41)),"")</f>
        <v/>
      </c>
      <c r="DA41" s="8" t="str">
        <f t="shared" ref="DA41:DA53" si="259">IF(ISNUMBER($AV41),CK41+($CU41*(CN41-CK41)),"")</f>
        <v/>
      </c>
      <c r="DB41" s="6" t="str">
        <f t="shared" si="126"/>
        <v/>
      </c>
      <c r="DC41" s="7" t="str">
        <f t="shared" si="126"/>
        <v/>
      </c>
      <c r="DD41" s="12" t="str">
        <f t="shared" si="127"/>
        <v/>
      </c>
      <c r="DE41" s="11" t="str">
        <f t="shared" si="128"/>
        <v/>
      </c>
      <c r="DF41" s="7" t="str">
        <f t="shared" si="128"/>
        <v/>
      </c>
      <c r="DG41" s="12" t="str">
        <f t="shared" si="129"/>
        <v/>
      </c>
      <c r="DH41" s="174" t="str">
        <f t="shared" ref="DH41:DH53" si="260">IF(ISNUMBER($AV41),BD41,"")</f>
        <v/>
      </c>
      <c r="DI41" s="6" t="str">
        <f t="shared" ref="DI41:DI53" si="261">IF(ISNUMBER($AV41),DE41-DB41,"")</f>
        <v/>
      </c>
      <c r="DJ41" s="7" t="str">
        <f t="shared" ref="DJ41:DJ53" si="262">IF(ISNUMBER($AV41),DF41-DC41,"")</f>
        <v/>
      </c>
      <c r="DK41" s="12" t="str">
        <f t="shared" ref="DK41:DK53" si="263">IF(ISNUMBER($AV41),DG41-DD41,"")</f>
        <v/>
      </c>
      <c r="DL41" s="11" t="str">
        <f t="shared" ref="DL41:DL53" si="264">IF(ISNUMBER($AV41),CV41-DB41,"")</f>
        <v/>
      </c>
      <c r="DM41" s="328" t="str">
        <f t="shared" ref="DM41:DM53" si="265">IF(ISNUMBER($AV41),CW41-DC41,"")</f>
        <v/>
      </c>
      <c r="DN41" s="376" t="str">
        <f t="shared" ref="DN41:DN53" si="266">IF(ISNUMBER($AV41),CX41-DD41,"")</f>
        <v/>
      </c>
      <c r="DO41" s="11" t="str">
        <f t="shared" ref="DO41:DO53" si="267">IF(ISNUMBER($AV41),CY41-CV41,"")</f>
        <v/>
      </c>
      <c r="DP41" s="328" t="str">
        <f t="shared" ref="DP41:DP53" si="268">IF(ISNUMBER($AV41),CZ41-CW41,"")</f>
        <v/>
      </c>
      <c r="DQ41" s="13" t="str">
        <f t="shared" ref="DQ41:DQ53" si="269">IF(ISNUMBER($AV41),DA41-CX41,"")</f>
        <v/>
      </c>
      <c r="DR41" s="328" t="str">
        <f t="shared" ref="DR41:DR53" si="270">IF(ISNUMBER($AV41),SUMPRODUCT(DI41:DK41,DL41:DN41),"")</f>
        <v/>
      </c>
      <c r="DS41" s="7" t="str">
        <f t="shared" ref="DS41:DS53" si="271">IF(ISNUMBER($AV41),SUMPRODUCT(DO41:DQ41,DI41:DK41),"")</f>
        <v/>
      </c>
      <c r="DT41" s="7" t="str">
        <f t="shared" ref="DT41:DT53" si="272">IF(ISNUMBER($AV41),SUMPRODUCT(DI41:DK41,DI41:DK41),"")</f>
        <v/>
      </c>
      <c r="DU41" s="7" t="str">
        <f t="shared" ref="DU41:DU53" si="273">IF(ISNUMBER($AV41),SUMPRODUCT(DO41:DQ41,DO41:DQ41),"")</f>
        <v/>
      </c>
      <c r="DV41" s="7" t="str">
        <f t="shared" ref="DV41:DV53" si="274">IF(ISNUMBER($AV41),SUMPRODUCT(DL41:DN41,DO41:DQ41),"")</f>
        <v/>
      </c>
      <c r="DW41" s="7" t="str">
        <f t="shared" ref="DW41:DW53" si="275">IF(ISNUMBER($AV41),SUMPRODUCT(DL41:DN41,DL41:DN41),"")</f>
        <v/>
      </c>
      <c r="DX41" s="296" t="str">
        <f t="shared" ref="DX41:DX53" si="276">IF(ISNUMBER($AV41),DW41-DH41*DH41,"")</f>
        <v/>
      </c>
      <c r="DY41" s="11" t="str">
        <f t="shared" ref="DY41:DY53" si="277">IF(ISNUMBER($AV41),DT41*DU41-DS41*DS41,"")</f>
        <v/>
      </c>
      <c r="DZ41" s="7" t="str">
        <f t="shared" ref="DZ41:DZ53" si="278">IF(ISNUMBER($AV41),DT41*DV41-DS41*DR41,"")</f>
        <v/>
      </c>
      <c r="EA41" s="12" t="str">
        <f t="shared" ref="EA41:EA53" si="279">IF(ISNUMBER($AV41),DT41*DX41-DR41*DR41,"")</f>
        <v/>
      </c>
      <c r="EB41" s="8" t="str">
        <f t="shared" ref="EB41:EB53" si="280">IF(ISNUMBER($AV41),DZ41*DZ41-DY41*EA41,"")</f>
        <v/>
      </c>
      <c r="EC41" s="328" t="str">
        <f t="shared" ref="EC41:EC53" si="281">IF(ISNUMBER($AV41),(-DZ41+SQRT(DZ41^2-DY41*EA41))/DY41,"")</f>
        <v/>
      </c>
      <c r="ED41" s="7" t="str">
        <f t="shared" ref="ED41:ED53" si="282">IF(ISNUMBER($AV41),(-DZ41-SQRT(DZ41^2-DY41*EA41))/DY41,"")</f>
        <v/>
      </c>
      <c r="EE41" s="6" t="str">
        <f t="shared" ref="EE41:EE53" si="283">IF(ISNUMBER($AV41),CV41+DO41*$EC41,"")</f>
        <v/>
      </c>
      <c r="EF41" s="7" t="str">
        <f t="shared" ref="EF41:EF53" si="284">IF(ISNUMBER($AV41),CW41+DP41*$EC41,"")</f>
        <v/>
      </c>
      <c r="EG41" s="12" t="str">
        <f t="shared" ref="EG41:EG53" si="285">IF(ISNUMBER($AV41),CX41+DQ41*$EC41,"")</f>
        <v/>
      </c>
      <c r="EH41" s="11" t="str">
        <f t="shared" ref="EH41:EH53" si="286">IF(ISNUMBER($AV41),CV41+DO41*$ED41,"")</f>
        <v/>
      </c>
      <c r="EI41" s="7" t="str">
        <f t="shared" ref="EI41:EI53" si="287">IF(ISNUMBER($AV41),CW41+DP41*$ED41,"")</f>
        <v/>
      </c>
      <c r="EJ41" s="8" t="str">
        <f t="shared" ref="EJ41:EJ53" si="288">IF(ISNUMBER($AV41),CX41+DQ41*$ED41,"")</f>
        <v/>
      </c>
      <c r="EK41" s="491" t="str">
        <f t="shared" si="159"/>
        <v/>
      </c>
      <c r="EL41" s="493" t="str">
        <f t="shared" si="160"/>
        <v/>
      </c>
      <c r="EM41" s="6" t="str">
        <f t="shared" ref="EM41:EM53" si="289">IF(ISNUMBER($AV41),IF($EK41=TRUE,EE41,IF($EL41=TRUE,EH41,"")),"")</f>
        <v/>
      </c>
      <c r="EN41" s="7" t="str">
        <f t="shared" ref="EN41:EN53" si="290">IF(ISNUMBER($AV41),IF($EK41=TRUE,EF41,IF($EL41=TRUE,EI41,"")),"")</f>
        <v/>
      </c>
      <c r="EO41" s="12" t="str">
        <f t="shared" ref="EO41:EO53" si="291">IF(ISNUMBER($AV41),IF($EK41=TRUE,EG41,IF($EL41=TRUE,EJ41,"")),"")</f>
        <v/>
      </c>
      <c r="EP41" s="11" t="str">
        <f t="shared" ref="EP41:EP53" si="292">IF(ISNUMBER($AV41),IF(DEGREES(ATAN2(EM41,EN41))&lt;0,DEGREES(ATAN2(EM41,EN41))+360,IF(DEGREES(ATAN2(EM41,EN41))&gt;360,DEGREES(ATAN2(EM41,EN41))-360,DEGREES(ATAN2(EM41,EN41)))),"")</f>
        <v/>
      </c>
      <c r="EQ41" s="7" t="str">
        <f t="shared" ref="EQ41:EQ53" si="293">IF(ISNUMBER($AV41),SQRT(EM41^2+EN41^2),"")</f>
        <v/>
      </c>
      <c r="ER41" s="9" t="str">
        <f t="shared" ref="ER41:ER53" si="294">IF(ISNUMBER($AV41),EO41,"")</f>
        <v/>
      </c>
      <c r="ES41" s="24" t="str">
        <f t="shared" ref="ES41:ES53" si="295">IF(ISNUMBER($AV41),AD41,"")</f>
        <v/>
      </c>
      <c r="ET41" s="7" t="str">
        <f t="shared" ref="ET41:ET53" si="296">IF(ISNUMBER($AV41),AE41,"")</f>
        <v/>
      </c>
      <c r="EU41" s="12" t="str">
        <f t="shared" ref="EU41:EU53" si="297">IF(ISNUMBER($AV41),AF41,"")</f>
        <v/>
      </c>
      <c r="EV41" s="337" t="str">
        <f t="shared" ref="EV41:EV53" si="298">IF(ISNUMBER($AV41),IF(($EV$1-EP41)&lt;0,(360+($EV$1-EP41)),($EV$1-EP41)),"")</f>
        <v/>
      </c>
      <c r="EW41" s="11" t="str">
        <f t="shared" ref="EW41:EW53" si="299">IF(ISNUMBER($AV41),(COS(RADIANS($EV41))*ES41)+(-SIN(RADIANS($EV41))*ET41),"")</f>
        <v/>
      </c>
      <c r="EX41" s="7" t="str">
        <f t="shared" ref="EX41:EX53" si="300">IF(ISNUMBER($AV41),(SIN(RADIANS($EV41))*ES41)+(COS(RADIANS($EV41))*ET41),"")</f>
        <v/>
      </c>
      <c r="EY41" s="8" t="str">
        <f t="shared" ref="EY41:EY53" si="301">IF(ISNUMBER($AV41),EU41,"")</f>
        <v/>
      </c>
      <c r="EZ41" s="123" t="str">
        <f t="shared" si="171"/>
        <v/>
      </c>
      <c r="FA41" s="534" t="str">
        <f t="shared" si="18"/>
        <v/>
      </c>
      <c r="FB41" s="535" t="str">
        <f t="shared" si="19"/>
        <v/>
      </c>
      <c r="FC41" s="537" t="str">
        <f t="shared" si="20"/>
        <v/>
      </c>
      <c r="FD41" s="6" t="str">
        <f t="shared" ref="FD41:FD53" si="302">IF(ISNUMBER($AV41),(COS(RADIANS($EV41))*FA41)+(-SIN(RADIANS($EV41))*FB41),"")</f>
        <v/>
      </c>
      <c r="FE41" s="7" t="str">
        <f t="shared" ref="FE41:FE53" si="303">IF(ISNUMBER($AV41),(SIN(RADIANS($EV41))*FA41)+(COS(RADIANS($EV41))*FB41),"")</f>
        <v/>
      </c>
      <c r="FF41" s="9" t="str">
        <f t="shared" ref="FF41:FF53" si="304">IF(ISNUMBER($AV41),FC41,"")</f>
        <v/>
      </c>
      <c r="FG41" s="328" t="str">
        <f t="shared" ref="FG41:FG53" si="305">IF(ISNUMBER($AV41),EW41-FD41,"")</f>
        <v/>
      </c>
      <c r="FH41" s="7" t="str">
        <f t="shared" ref="FH41:FH53" si="306">IF(ISNUMBER($AV41),EX41-FE41,"")</f>
        <v/>
      </c>
      <c r="FI41" s="12" t="str">
        <f t="shared" ref="FI41:FI53" si="307">IF(ISNUMBER($AV41),EY41-FF41,"")</f>
        <v/>
      </c>
      <c r="FJ41" s="547" t="str">
        <f t="shared" ref="FJ41:FJ53" si="308">IF(ISNUMBER($AV41),DEGREES(ACOS((2-SQRT((FG41)^2+(FH41)^2+(FI41)^2)^2)/2)),"")</f>
        <v/>
      </c>
      <c r="FK41" s="6" t="str">
        <f t="shared" ref="FK41:FK53" si="309">IF(ISNUMBER($AV41),SQRT(ES41^2+ET41^2),"")</f>
        <v/>
      </c>
      <c r="FL41" s="7" t="str">
        <f t="shared" ref="FL41:FL53" si="310">IF(ISNUMBER($AV41),SQRT(FA41^2+FB41^2),"")</f>
        <v/>
      </c>
      <c r="FM41" s="10" t="str">
        <f t="shared" ref="FM41:FM53" si="311">IF(ISNUMBER($AV41),SQRT(FG41^2+FH41^2),"")</f>
        <v/>
      </c>
      <c r="FN41" s="11" t="str">
        <f t="shared" ref="FN41:FN53" si="312">IF(ISNUMBER($AV41),DEGREES(ACOS((FK41^2+FL41^2-FM41^2)/(2*FK41*FL41))),"")</f>
        <v/>
      </c>
      <c r="FO41" s="12" t="str">
        <f t="shared" ref="FO41:FO53" si="313">IF(ISNUMBER($AV41),IF(SQRT((EM41+(ES41/SQRT(ES41^2+(ET41/SQRT(ES41^2+ET41^2))^2)))^2+(EN41+ET41)^2)&gt;SQRT((EM41+(FA41/SQRT(FA41^2+FB41^2)))^2+(EN41+(FB41/SQRT(FA41^2+FB41^2)))^2),-1,1),"")</f>
        <v/>
      </c>
      <c r="FP41" s="545" t="str">
        <f t="shared" ref="FP41:FP53" si="314">IF(ISNUMBER($AV41),FN41*FO41,"")</f>
        <v/>
      </c>
      <c r="FQ41" s="328" t="str">
        <f t="shared" ref="FQ41:FQ53" si="315">IF(ISNUMBER($AV41),SIN(RADIANS(FN41)),"")</f>
        <v/>
      </c>
      <c r="FR41" s="12" t="str">
        <f t="shared" ref="FR41:FR53" si="316">IF(ISNUMBER($AV41),COS(RADIANS(FN41)),"")</f>
        <v/>
      </c>
      <c r="FS41" s="11" t="str">
        <f t="shared" ref="FS41:FS53" si="317">IF(ISNUMBER($AV41),FQ41/(FQ41+FR41),"")</f>
        <v/>
      </c>
      <c r="FT41" s="8" t="str">
        <f t="shared" ref="FT41:FT53" si="318">IF(ISNUMBER($AV41),FR41/(FQ41+FR41),"")</f>
        <v/>
      </c>
      <c r="FU41" s="6" t="str">
        <f t="shared" ref="FU41:FU53" si="319">IF(ISNUMBER($AV41),SQRT(EW41^2+EY41^2),"")</f>
        <v/>
      </c>
      <c r="FV41" s="7" t="str">
        <f t="shared" ref="FV41:FV53" si="320">IF(ISNUMBER($AV41),SQRT(FD41^2+FF41^2),"")</f>
        <v/>
      </c>
      <c r="FW41" s="10" t="str">
        <f t="shared" ref="FW41:FW53" si="321">IF(ISNUMBER($AV41),SQRT(FG41^2+FI41^2),"")</f>
        <v/>
      </c>
      <c r="FX41" s="11" t="str">
        <f t="shared" ref="FX41:FX53" si="322">IF(ISNUMBER($AV41),DEGREES(ACOS((FU41^2+FV41^2-FW41^2)/(2*FU41*FV41))),"")</f>
        <v/>
      </c>
      <c r="FY41" s="12" t="str">
        <f t="shared" ref="FY41:FY53" si="323">IF(ISNUMBER($AV41),IF(EU41&lt;FC41,1,-1),"")</f>
        <v/>
      </c>
      <c r="FZ41" s="545" t="str">
        <f t="shared" ref="FZ41:FZ53" si="324">IF(ISNUMBER($AV41),FX41*FY41,"")</f>
        <v/>
      </c>
      <c r="GA41" s="372" t="str">
        <f t="shared" ref="GA41:GA53" si="325">IF(ISNUMBER($AV41),DEGREES(FZ41*SIN(RADIANS(FU41))),"")</f>
        <v/>
      </c>
      <c r="GB41" s="46" t="str">
        <f t="shared" ref="GB41:GB53" si="326">IF(ISNUMBER($AV41),COS(RADIANS(FP41+90))*COS(RADIANS(FZ41)),"")</f>
        <v/>
      </c>
      <c r="GC41" s="47" t="str">
        <f t="shared" ref="GC41:GC53" si="327">IF(ISNUMBER($AV41),SIN(RADIANS(FP41+90))*COS(RADIANS(FZ41)),"")</f>
        <v/>
      </c>
      <c r="GD41" s="578" t="str">
        <f t="shared" ref="GD41:GD53" si="328">IF(ISNUMBER($AV41),-SIN(RADIANS(FZ41)),"")</f>
        <v/>
      </c>
      <c r="GE41" s="585" t="str">
        <f t="shared" ref="GE41:GE53" si="329">IF(ISNUMBER($AV41),SUM(ABS(GB41),ABS(GC41),ABS(GD41)),"")</f>
        <v/>
      </c>
      <c r="GF41" s="634" t="str">
        <f t="shared" ref="GF41:GF53" si="330">IF(ISNUMBER($AV41),1/GE41,"")</f>
        <v/>
      </c>
      <c r="GG41" s="553" t="str">
        <f t="shared" ref="GG41:GG53" si="331">IF(ISNUMBER($AV41),ABS(GB41)/(ABS($GB41)+ABS($GC41)+ABS($GD41)),"")</f>
        <v/>
      </c>
      <c r="GH41" s="554" t="str">
        <f t="shared" ref="GH41:GH53" si="332">IF(ISNUMBER($AV41),ABS(GC41)/(ABS($GB41)+ABS($GC41)+ABS($GD41)),"")</f>
        <v/>
      </c>
      <c r="GI41" s="549" t="str">
        <f t="shared" ref="GI41:GI53" si="333">IF(ISNUMBER($AV41),ABS(GD41)/(ABS($GB41)+ABS($GC41)+ABS($GD41)),"")</f>
        <v/>
      </c>
      <c r="GJ41" s="296" t="str">
        <f t="shared" ref="GJ41:GJ53" si="334">IF(ISNUMBER($AV41),AW41,"")</f>
        <v/>
      </c>
      <c r="GK41" s="337" t="str">
        <f t="shared" si="33"/>
        <v/>
      </c>
      <c r="GL41" s="337" t="str">
        <f t="shared" ref="GL41:GL53" si="335">IF(ISNUMBER($AV41),AY41,"")</f>
        <v/>
      </c>
      <c r="GM41" s="372" t="str">
        <f t="shared" ref="GM41:GM53" si="336">IF(ISNUMBER($AV41),AZ41,"")</f>
        <v/>
      </c>
      <c r="GN41" s="548" t="str">
        <f t="shared" ref="GN41:GN53" si="337">IF(ISNUMBER($AV41),BA41,"")</f>
        <v/>
      </c>
      <c r="GO41" s="6" t="str">
        <f t="shared" ref="GO41:GO53" si="338">IF(ISNUMBER($AV41),FP41,"")</f>
        <v/>
      </c>
      <c r="GP41" s="10" t="str">
        <f t="shared" ref="GP41:GP53" si="339">IF(ISNUMBER($AV41),FZ41,"")</f>
        <v/>
      </c>
      <c r="GQ41" s="372" t="str">
        <f t="shared" ref="GQ41:GQ53" si="340">IF(ISNUMBER($AV41),FJ41,"")</f>
        <v/>
      </c>
      <c r="GR41" s="697" t="str">
        <f t="shared" ref="GR41:GR53" si="341">IF(ISNUMBER($AV41),GS41+GU41+GY41,"")</f>
        <v/>
      </c>
      <c r="GS41" s="637" t="str">
        <f t="shared" ref="GS41:GS53" si="342">IF(ISNUMBER($AV41),GU41/GH41*GG41,"")</f>
        <v/>
      </c>
      <c r="GT41" s="638" t="str">
        <f t="shared" ref="GT41:GT53" si="343">IF(ISNUMBER($AV41),GS41/$GK41,"")</f>
        <v/>
      </c>
      <c r="GU41" s="639" t="str">
        <f t="shared" si="37"/>
        <v/>
      </c>
      <c r="GV41" s="638" t="str">
        <f t="shared" ref="GV41:GV53" si="344">IF(ISNUMBER($AV41),GW41*$GL41,"")</f>
        <v/>
      </c>
      <c r="GW41" s="640" t="str">
        <f t="shared" si="38"/>
        <v/>
      </c>
      <c r="GX41" s="641" t="str">
        <f t="shared" si="39"/>
        <v/>
      </c>
      <c r="GY41" s="639" t="str">
        <f t="shared" ref="GY41:GY53" si="345">IF(ISNUMBER($AV41),GU41/GH41*GI41,"")</f>
        <v/>
      </c>
      <c r="GZ41" s="640" t="str">
        <f t="shared" ref="GZ41:GZ53" si="346">IF(ISNUMBER($AV41),GY41/$GK41,"")</f>
        <v/>
      </c>
      <c r="HA41" s="637" t="str">
        <f t="shared" si="42"/>
        <v/>
      </c>
      <c r="HB41" s="7" t="str">
        <f t="shared" si="193"/>
        <v/>
      </c>
      <c r="HC41" s="638" t="str">
        <f t="shared" ref="HC41:HC53" si="347">IF(ISNUMBER($AV41),HA41*COS(RADIANS(HB41)),"")</f>
        <v/>
      </c>
      <c r="HD41" s="640" t="str">
        <f t="shared" ref="HD41:HD53" si="348">IF(ISNUMBER($AV41),HA41*SIN(RADIANS(HB41)),"")</f>
        <v/>
      </c>
      <c r="HE41" s="639" t="str">
        <f t="shared" si="43"/>
        <v/>
      </c>
      <c r="HF41" s="7" t="str">
        <f t="shared" si="44"/>
        <v/>
      </c>
      <c r="HG41" s="638" t="str">
        <f t="shared" ref="HG41:HG53" si="349">IF(ISNUMBER($AV41),HE41*COS(RADIANS(HF41)),"")</f>
        <v/>
      </c>
      <c r="HH41" s="644" t="str">
        <f t="shared" ref="HH41:HH53" si="350">IF(ISNUMBER($AV41),HE41*SIN(RADIANS(HF41)),"")</f>
        <v/>
      </c>
      <c r="HI41" s="596" t="str">
        <f t="shared" si="198"/>
        <v/>
      </c>
      <c r="HJ41" s="625"/>
      <c r="HK41" s="584" t="str">
        <f t="shared" si="217"/>
        <v/>
      </c>
      <c r="HL41" s="583" t="str">
        <f t="shared" si="84"/>
        <v/>
      </c>
      <c r="HM41" s="643" t="str">
        <f t="shared" si="218"/>
        <v/>
      </c>
      <c r="HN41" s="660" t="str">
        <f t="shared" si="218"/>
        <v/>
      </c>
      <c r="HO41" s="661" t="str">
        <f t="shared" si="218"/>
        <v/>
      </c>
      <c r="HP41" s="656" t="str">
        <f t="shared" si="218"/>
        <v/>
      </c>
      <c r="HQ41" s="660" t="str">
        <f t="shared" si="218"/>
        <v/>
      </c>
      <c r="HR41" s="671" t="str">
        <f t="shared" si="218"/>
        <v/>
      </c>
      <c r="HS41" s="655" t="str">
        <f t="shared" si="218"/>
        <v/>
      </c>
      <c r="HT41" s="648" t="str">
        <f t="shared" si="218"/>
        <v/>
      </c>
      <c r="HU41" s="649" t="str">
        <f t="shared" si="218"/>
        <v/>
      </c>
      <c r="HV41" s="650" t="str">
        <f t="shared" si="218"/>
        <v/>
      </c>
      <c r="HW41" s="648" t="str">
        <f t="shared" si="218"/>
        <v/>
      </c>
      <c r="HX41" s="649" t="str">
        <f t="shared" si="218"/>
        <v/>
      </c>
      <c r="HY41" s="650" t="str">
        <f t="shared" si="218"/>
        <v/>
      </c>
      <c r="HZ41" s="648" t="str">
        <f t="shared" si="218"/>
        <v/>
      </c>
      <c r="IA41" s="649" t="str">
        <f t="shared" si="218"/>
        <v/>
      </c>
      <c r="IB41" s="716"/>
      <c r="IC41" s="511"/>
    </row>
    <row r="42" spans="2:240" s="35" customFormat="1" ht="15" customHeight="1" x14ac:dyDescent="0.25">
      <c r="B42" s="143">
        <v>-1.2493276674518394</v>
      </c>
      <c r="C42" s="144">
        <v>-3.2517727206274274</v>
      </c>
      <c r="D42" s="145">
        <v>-0.78610237088475066</v>
      </c>
      <c r="E42" s="146">
        <v>-0.24044184357329546</v>
      </c>
      <c r="F42" s="144">
        <v>-0.62582702540008783</v>
      </c>
      <c r="G42" s="147">
        <v>0.74197591210089353</v>
      </c>
      <c r="H42" s="146">
        <v>0.25700000000000001</v>
      </c>
      <c r="I42" s="144">
        <v>0.41499999999999992</v>
      </c>
      <c r="J42" s="306">
        <v>4.2210000000000001</v>
      </c>
      <c r="K42" s="699" t="str">
        <f t="shared" si="199"/>
        <v>Kunckle</v>
      </c>
      <c r="M42" s="292">
        <f t="shared" ref="M42:M47" si="351">IF(J42="","",J42)</f>
        <v>4.2210000000000001</v>
      </c>
      <c r="N42" s="24">
        <f t="shared" ref="N42:N47" si="352">IF(M42="","",B42)</f>
        <v>-1.2493276674518394</v>
      </c>
      <c r="O42" s="7">
        <f t="shared" ref="O42:O47" si="353">IF(M42="","",C42)</f>
        <v>-3.2517727206274274</v>
      </c>
      <c r="P42" s="12">
        <f t="shared" ref="P42:P47" si="354">IF(M42="","",D42)</f>
        <v>-0.78610237088475066</v>
      </c>
      <c r="Q42" s="11">
        <f t="shared" si="85"/>
        <v>248.9832770456548</v>
      </c>
      <c r="R42" s="7">
        <f t="shared" ref="R42:R47" si="355">IF(M42="","",SQRT(N42^2+O42^2))</f>
        <v>3.4835105062676868</v>
      </c>
      <c r="S42" s="8">
        <f t="shared" ref="S42:S47" si="356">IF(M42="","",P42)</f>
        <v>-0.78610237088475066</v>
      </c>
      <c r="T42" s="6">
        <f t="shared" ref="T42:T47" si="357">IF(M42="","",X42*COS(RADIANS(W42)))</f>
        <v>-3.2711832971208361</v>
      </c>
      <c r="U42" s="7">
        <f t="shared" ref="U42:U47" si="358">IF(M42="","",X42*SIN(RADIANS(W42)))</f>
        <v>1.1975831010476938</v>
      </c>
      <c r="V42" s="10">
        <f t="shared" ref="V42:V47" si="359">IF(M42="","",Y42)</f>
        <v>-0.78610237088475066</v>
      </c>
      <c r="W42" s="11">
        <f t="shared" si="214"/>
        <v>159.89227691441147</v>
      </c>
      <c r="X42" s="7">
        <f t="shared" ref="X42:X47" si="360">IF(M42="","",R42)</f>
        <v>3.4835105062676868</v>
      </c>
      <c r="Y42" s="9">
        <f t="shared" si="213"/>
        <v>-0.78610237088475066</v>
      </c>
      <c r="Z42" s="24">
        <f t="shared" ref="Z42:Z47" si="361">IF(M42="","",-E42)</f>
        <v>0.24044184357329546</v>
      </c>
      <c r="AA42" s="7">
        <f t="shared" ref="AA42:AA47" si="362">IF(M42="","",-F42)</f>
        <v>0.62582702540008783</v>
      </c>
      <c r="AB42" s="7">
        <f t="shared" ref="AB42:AB47" si="363">IF(M42="","",-G42)</f>
        <v>-0.74197591210089353</v>
      </c>
      <c r="AC42" s="10">
        <f t="shared" ref="AC42:AC47" si="364">IF(M42="","",SQRT(Z42^2+AA42^2+AB42^2))</f>
        <v>1</v>
      </c>
      <c r="AD42" s="11">
        <f t="shared" ref="AD42:AD47" si="365">IF(M42="","",Z42*(1/SQRT(Z42^2+AA42^2+AB42^2)))</f>
        <v>0.24044184357329546</v>
      </c>
      <c r="AE42" s="7">
        <f t="shared" ref="AE42:AE47" si="366">IF(M42="","",AA42*(1/SQRT(Z42^2+AA42^2+AB42^2)))</f>
        <v>0.62582702540008783</v>
      </c>
      <c r="AF42" s="12">
        <f t="shared" ref="AF42:AF47" si="367">IF(M42="","",AB42*(1/SQRT(Z42^2+AA42^2+AB42^2)))</f>
        <v>-0.74197591210089353</v>
      </c>
      <c r="AG42" s="6">
        <f t="shared" ref="AG42:AG47" si="368">IF(M42="","",DEGREES(ATAN2(-AF42,AE42)))</f>
        <v>40.146293292437946</v>
      </c>
      <c r="AH42" s="12">
        <f t="shared" ref="AH42:AH47" si="369">IF(M42="","",DEGREES(ACOS(AD42)))</f>
        <v>76.08738021383418</v>
      </c>
      <c r="AI42" s="11">
        <f t="shared" ref="AI42:AI47" si="370">IF(M42="","",DEGREES(-ACOS(-AF42)))</f>
        <v>-42.099993921514567</v>
      </c>
      <c r="AJ42" s="8">
        <f t="shared" ref="AJ42:AJ47" si="371">IF(M42="","",DEGREES(ATAN2(-AE42,AD42)))</f>
        <v>158.98329642792808</v>
      </c>
      <c r="AK42" s="6">
        <f t="shared" ref="AK42:AK47" si="372">IF(M42="","",(COS(RADIANS((90-$Q$8)-W42))*AD42)+(-SIN(RADIANS((90-$Q$8)-W42))*AE42))</f>
        <v>2.2679489680710319E-7</v>
      </c>
      <c r="AL42" s="7">
        <f t="shared" ref="AL42:AL47" si="373">IF(M42="","",(SIN(RADIANS((90-$Q$8)-W42))*AD42)+(COS(RADIANS((90-$Q$8)-W42))*AE42))</f>
        <v>-0.67042654024284853</v>
      </c>
      <c r="AM42" s="8">
        <f t="shared" ref="AM42:AM47" si="374">IF(M42="","",AF42)</f>
        <v>-0.74197591210089353</v>
      </c>
      <c r="AN42" s="6">
        <f t="shared" ref="AN42:AN47" si="375">IF(M42="","",DEGREES(ATAN2(-AM42,AL42)))</f>
        <v>-42.09999392151294</v>
      </c>
      <c r="AO42" s="10">
        <f t="shared" ref="AO42:AO105" si="376">IFERROR(IF(ROUND(IF(M42="","",DEGREES(ACOS(AK42))),4)=90,0,IF(M42="","",DEGREES(ACOS(AK42)))),"")</f>
        <v>0</v>
      </c>
      <c r="AP42" s="11">
        <f t="shared" ref="AP42:AP47" si="377">IF(M42="","",DEGREES(ATAN2(AK42,AL42)))</f>
        <v>-89.999980617726749</v>
      </c>
      <c r="AQ42" s="8">
        <f t="shared" si="200"/>
        <v>0.65446215038331002</v>
      </c>
      <c r="AS42" s="123">
        <f t="shared" si="90"/>
        <v>-200.10772308558853</v>
      </c>
      <c r="AT42" s="174">
        <f t="shared" si="219"/>
        <v>-0.64650742438867759</v>
      </c>
      <c r="AV42" s="292" t="str">
        <f t="shared" si="91"/>
        <v/>
      </c>
      <c r="AW42" s="439"/>
      <c r="AX42" s="440"/>
      <c r="AY42" s="442"/>
      <c r="AZ42" s="565" t="str">
        <f t="shared" si="220"/>
        <v/>
      </c>
      <c r="BA42" s="564" t="str">
        <f t="shared" si="221"/>
        <v/>
      </c>
      <c r="BB42" s="444" t="str">
        <f t="shared" si="94"/>
        <v/>
      </c>
      <c r="BC42" s="11"/>
      <c r="BD42" s="7" t="str">
        <f t="shared" si="222"/>
        <v/>
      </c>
      <c r="BE42" s="8" t="str">
        <f t="shared" si="223"/>
        <v/>
      </c>
      <c r="BF42" s="6" t="str">
        <f t="shared" si="224"/>
        <v/>
      </c>
      <c r="BG42" s="7" t="str">
        <f t="shared" si="225"/>
        <v/>
      </c>
      <c r="BH42" s="12" t="str">
        <f t="shared" si="226"/>
        <v/>
      </c>
      <c r="BI42" s="11" t="str">
        <f t="shared" si="227"/>
        <v/>
      </c>
      <c r="BJ42" s="7" t="str">
        <f t="shared" si="228"/>
        <v/>
      </c>
      <c r="BK42" s="10" t="str">
        <f t="shared" si="229"/>
        <v/>
      </c>
      <c r="BL42" s="328" t="str">
        <f t="shared" si="230"/>
        <v/>
      </c>
      <c r="BM42" s="7" t="str">
        <f t="shared" si="231"/>
        <v/>
      </c>
      <c r="BN42" s="8" t="str">
        <f t="shared" si="232"/>
        <v/>
      </c>
      <c r="BO42" s="6" t="str">
        <f t="shared" si="233"/>
        <v/>
      </c>
      <c r="BP42" s="7" t="str">
        <f t="shared" si="234"/>
        <v/>
      </c>
      <c r="BQ42" s="7" t="str">
        <f t="shared" si="235"/>
        <v/>
      </c>
      <c r="BR42" s="8" t="str">
        <f t="shared" si="236"/>
        <v/>
      </c>
      <c r="BS42" s="6" t="str">
        <f t="shared" ref="BS42:BT53" si="378">IF(ISNUMBER($AV42),0,"")</f>
        <v/>
      </c>
      <c r="BT42" s="7" t="str">
        <f t="shared" si="378"/>
        <v/>
      </c>
      <c r="BU42" s="12" t="str">
        <f t="shared" si="70"/>
        <v/>
      </c>
      <c r="BV42" s="11" t="str">
        <f t="shared" si="71"/>
        <v/>
      </c>
      <c r="BW42" s="7" t="str">
        <f t="shared" si="72"/>
        <v/>
      </c>
      <c r="BX42" s="10" t="str">
        <f t="shared" si="73"/>
        <v/>
      </c>
      <c r="BY42" s="328" t="str">
        <f t="shared" si="74"/>
        <v/>
      </c>
      <c r="BZ42" s="7" t="str">
        <f t="shared" si="75"/>
        <v/>
      </c>
      <c r="CA42" s="8" t="str">
        <f t="shared" si="76"/>
        <v/>
      </c>
      <c r="CB42" s="6" t="str">
        <f t="shared" si="237"/>
        <v/>
      </c>
      <c r="CC42" s="7" t="str">
        <f t="shared" si="238"/>
        <v/>
      </c>
      <c r="CD42" s="7" t="str">
        <f t="shared" si="239"/>
        <v/>
      </c>
      <c r="CE42" s="8" t="str">
        <f t="shared" si="240"/>
        <v/>
      </c>
      <c r="CF42" s="6" t="str">
        <f t="shared" si="241"/>
        <v/>
      </c>
      <c r="CG42" s="7" t="str">
        <f t="shared" si="242"/>
        <v/>
      </c>
      <c r="CH42" s="7" t="str">
        <f t="shared" si="243"/>
        <v/>
      </c>
      <c r="CI42" s="6" t="str">
        <f t="shared" si="77"/>
        <v/>
      </c>
      <c r="CJ42" s="7" t="str">
        <f t="shared" si="244"/>
        <v/>
      </c>
      <c r="CK42" s="10" t="str">
        <f t="shared" si="245"/>
        <v/>
      </c>
      <c r="CL42" s="328" t="str">
        <f t="shared" si="246"/>
        <v/>
      </c>
      <c r="CM42" s="7" t="str">
        <f t="shared" si="247"/>
        <v/>
      </c>
      <c r="CN42" s="8" t="str">
        <f t="shared" si="248"/>
        <v/>
      </c>
      <c r="CO42" s="296" t="str">
        <f t="shared" si="201"/>
        <v/>
      </c>
      <c r="CP42" s="6" t="str">
        <f t="shared" si="249"/>
        <v/>
      </c>
      <c r="CQ42" s="7" t="str">
        <f t="shared" si="250"/>
        <v/>
      </c>
      <c r="CR42" s="7" t="str">
        <f t="shared" si="251"/>
        <v/>
      </c>
      <c r="CS42" s="10" t="str">
        <f t="shared" si="252"/>
        <v/>
      </c>
      <c r="CT42" s="11" t="str">
        <f t="shared" si="119"/>
        <v/>
      </c>
      <c r="CU42" s="8" t="str">
        <f t="shared" si="253"/>
        <v/>
      </c>
      <c r="CV42" s="6" t="str">
        <f t="shared" si="254"/>
        <v/>
      </c>
      <c r="CW42" s="7" t="str">
        <f t="shared" si="255"/>
        <v/>
      </c>
      <c r="CX42" s="10" t="str">
        <f t="shared" si="256"/>
        <v/>
      </c>
      <c r="CY42" s="11" t="str">
        <f t="shared" si="257"/>
        <v/>
      </c>
      <c r="CZ42" s="7" t="str">
        <f t="shared" si="258"/>
        <v/>
      </c>
      <c r="DA42" s="8" t="str">
        <f t="shared" si="259"/>
        <v/>
      </c>
      <c r="DB42" s="6" t="str">
        <f t="shared" si="126"/>
        <v/>
      </c>
      <c r="DC42" s="7" t="str">
        <f t="shared" si="126"/>
        <v/>
      </c>
      <c r="DD42" s="12" t="str">
        <f t="shared" si="127"/>
        <v/>
      </c>
      <c r="DE42" s="11" t="str">
        <f t="shared" si="128"/>
        <v/>
      </c>
      <c r="DF42" s="7" t="str">
        <f t="shared" si="128"/>
        <v/>
      </c>
      <c r="DG42" s="12" t="str">
        <f t="shared" si="129"/>
        <v/>
      </c>
      <c r="DH42" s="174" t="str">
        <f t="shared" si="260"/>
        <v/>
      </c>
      <c r="DI42" s="6" t="str">
        <f t="shared" si="261"/>
        <v/>
      </c>
      <c r="DJ42" s="7" t="str">
        <f t="shared" si="262"/>
        <v/>
      </c>
      <c r="DK42" s="12" t="str">
        <f t="shared" si="263"/>
        <v/>
      </c>
      <c r="DL42" s="11" t="str">
        <f t="shared" si="264"/>
        <v/>
      </c>
      <c r="DM42" s="328" t="str">
        <f t="shared" si="265"/>
        <v/>
      </c>
      <c r="DN42" s="376" t="str">
        <f t="shared" si="266"/>
        <v/>
      </c>
      <c r="DO42" s="11" t="str">
        <f t="shared" si="267"/>
        <v/>
      </c>
      <c r="DP42" s="328" t="str">
        <f t="shared" si="268"/>
        <v/>
      </c>
      <c r="DQ42" s="13" t="str">
        <f t="shared" si="269"/>
        <v/>
      </c>
      <c r="DR42" s="328" t="str">
        <f t="shared" si="270"/>
        <v/>
      </c>
      <c r="DS42" s="7" t="str">
        <f t="shared" si="271"/>
        <v/>
      </c>
      <c r="DT42" s="7" t="str">
        <f t="shared" si="272"/>
        <v/>
      </c>
      <c r="DU42" s="7" t="str">
        <f t="shared" si="273"/>
        <v/>
      </c>
      <c r="DV42" s="7" t="str">
        <f t="shared" si="274"/>
        <v/>
      </c>
      <c r="DW42" s="7" t="str">
        <f t="shared" si="275"/>
        <v/>
      </c>
      <c r="DX42" s="296" t="str">
        <f t="shared" si="276"/>
        <v/>
      </c>
      <c r="DY42" s="11" t="str">
        <f t="shared" si="277"/>
        <v/>
      </c>
      <c r="DZ42" s="7" t="str">
        <f t="shared" si="278"/>
        <v/>
      </c>
      <c r="EA42" s="12" t="str">
        <f t="shared" si="279"/>
        <v/>
      </c>
      <c r="EB42" s="8" t="str">
        <f t="shared" si="280"/>
        <v/>
      </c>
      <c r="EC42" s="328" t="str">
        <f t="shared" si="281"/>
        <v/>
      </c>
      <c r="ED42" s="7" t="str">
        <f t="shared" si="282"/>
        <v/>
      </c>
      <c r="EE42" s="6" t="str">
        <f t="shared" si="283"/>
        <v/>
      </c>
      <c r="EF42" s="7" t="str">
        <f t="shared" si="284"/>
        <v/>
      </c>
      <c r="EG42" s="12" t="str">
        <f t="shared" si="285"/>
        <v/>
      </c>
      <c r="EH42" s="11" t="str">
        <f t="shared" si="286"/>
        <v/>
      </c>
      <c r="EI42" s="7" t="str">
        <f t="shared" si="287"/>
        <v/>
      </c>
      <c r="EJ42" s="8" t="str">
        <f t="shared" si="288"/>
        <v/>
      </c>
      <c r="EK42" s="491" t="str">
        <f t="shared" si="159"/>
        <v/>
      </c>
      <c r="EL42" s="493" t="str">
        <f t="shared" si="160"/>
        <v/>
      </c>
      <c r="EM42" s="6" t="str">
        <f t="shared" si="289"/>
        <v/>
      </c>
      <c r="EN42" s="7" t="str">
        <f t="shared" si="290"/>
        <v/>
      </c>
      <c r="EO42" s="12" t="str">
        <f t="shared" si="291"/>
        <v/>
      </c>
      <c r="EP42" s="11" t="str">
        <f t="shared" si="292"/>
        <v/>
      </c>
      <c r="EQ42" s="7" t="str">
        <f t="shared" si="293"/>
        <v/>
      </c>
      <c r="ER42" s="9" t="str">
        <f t="shared" si="294"/>
        <v/>
      </c>
      <c r="ES42" s="24" t="str">
        <f t="shared" si="295"/>
        <v/>
      </c>
      <c r="ET42" s="7" t="str">
        <f t="shared" si="296"/>
        <v/>
      </c>
      <c r="EU42" s="12" t="str">
        <f t="shared" si="297"/>
        <v/>
      </c>
      <c r="EV42" s="337" t="str">
        <f t="shared" si="298"/>
        <v/>
      </c>
      <c r="EW42" s="11" t="str">
        <f t="shared" si="299"/>
        <v/>
      </c>
      <c r="EX42" s="7" t="str">
        <f t="shared" si="300"/>
        <v/>
      </c>
      <c r="EY42" s="8" t="str">
        <f t="shared" si="301"/>
        <v/>
      </c>
      <c r="EZ42" s="123" t="str">
        <f t="shared" si="171"/>
        <v/>
      </c>
      <c r="FA42" s="534" t="str">
        <f t="shared" si="18"/>
        <v/>
      </c>
      <c r="FB42" s="535" t="str">
        <f t="shared" si="19"/>
        <v/>
      </c>
      <c r="FC42" s="537" t="str">
        <f t="shared" si="20"/>
        <v/>
      </c>
      <c r="FD42" s="6" t="str">
        <f t="shared" si="302"/>
        <v/>
      </c>
      <c r="FE42" s="7" t="str">
        <f t="shared" si="303"/>
        <v/>
      </c>
      <c r="FF42" s="9" t="str">
        <f t="shared" si="304"/>
        <v/>
      </c>
      <c r="FG42" s="328" t="str">
        <f t="shared" si="305"/>
        <v/>
      </c>
      <c r="FH42" s="7" t="str">
        <f t="shared" si="306"/>
        <v/>
      </c>
      <c r="FI42" s="12" t="str">
        <f t="shared" si="307"/>
        <v/>
      </c>
      <c r="FJ42" s="547" t="str">
        <f t="shared" si="308"/>
        <v/>
      </c>
      <c r="FK42" s="6" t="str">
        <f t="shared" si="309"/>
        <v/>
      </c>
      <c r="FL42" s="7" t="str">
        <f t="shared" si="310"/>
        <v/>
      </c>
      <c r="FM42" s="10" t="str">
        <f t="shared" si="311"/>
        <v/>
      </c>
      <c r="FN42" s="11" t="str">
        <f t="shared" si="312"/>
        <v/>
      </c>
      <c r="FO42" s="12" t="str">
        <f t="shared" si="313"/>
        <v/>
      </c>
      <c r="FP42" s="545" t="str">
        <f t="shared" si="314"/>
        <v/>
      </c>
      <c r="FQ42" s="328" t="str">
        <f t="shared" si="315"/>
        <v/>
      </c>
      <c r="FR42" s="12" t="str">
        <f t="shared" si="316"/>
        <v/>
      </c>
      <c r="FS42" s="11" t="str">
        <f t="shared" si="317"/>
        <v/>
      </c>
      <c r="FT42" s="8" t="str">
        <f t="shared" si="318"/>
        <v/>
      </c>
      <c r="FU42" s="6" t="str">
        <f t="shared" si="319"/>
        <v/>
      </c>
      <c r="FV42" s="7" t="str">
        <f t="shared" si="320"/>
        <v/>
      </c>
      <c r="FW42" s="10" t="str">
        <f t="shared" si="321"/>
        <v/>
      </c>
      <c r="FX42" s="11" t="str">
        <f t="shared" si="322"/>
        <v/>
      </c>
      <c r="FY42" s="12" t="str">
        <f t="shared" si="323"/>
        <v/>
      </c>
      <c r="FZ42" s="545" t="str">
        <f t="shared" si="324"/>
        <v/>
      </c>
      <c r="GA42" s="372" t="str">
        <f t="shared" si="325"/>
        <v/>
      </c>
      <c r="GB42" s="46" t="str">
        <f t="shared" si="326"/>
        <v/>
      </c>
      <c r="GC42" s="47" t="str">
        <f t="shared" si="327"/>
        <v/>
      </c>
      <c r="GD42" s="578" t="str">
        <f t="shared" si="328"/>
        <v/>
      </c>
      <c r="GE42" s="585" t="str">
        <f t="shared" si="329"/>
        <v/>
      </c>
      <c r="GF42" s="634" t="str">
        <f t="shared" si="330"/>
        <v/>
      </c>
      <c r="GG42" s="553" t="str">
        <f t="shared" si="331"/>
        <v/>
      </c>
      <c r="GH42" s="554" t="str">
        <f t="shared" si="332"/>
        <v/>
      </c>
      <c r="GI42" s="549" t="str">
        <f t="shared" si="333"/>
        <v/>
      </c>
      <c r="GJ42" s="296" t="str">
        <f t="shared" si="334"/>
        <v/>
      </c>
      <c r="GK42" s="337" t="str">
        <f t="shared" si="33"/>
        <v/>
      </c>
      <c r="GL42" s="337" t="str">
        <f t="shared" si="335"/>
        <v/>
      </c>
      <c r="GM42" s="372" t="str">
        <f t="shared" si="336"/>
        <v/>
      </c>
      <c r="GN42" s="548" t="str">
        <f t="shared" si="337"/>
        <v/>
      </c>
      <c r="GO42" s="6" t="str">
        <f t="shared" si="338"/>
        <v/>
      </c>
      <c r="GP42" s="10" t="str">
        <f t="shared" si="339"/>
        <v/>
      </c>
      <c r="GQ42" s="372" t="str">
        <f t="shared" si="340"/>
        <v/>
      </c>
      <c r="GR42" s="697" t="str">
        <f t="shared" si="341"/>
        <v/>
      </c>
      <c r="GS42" s="637" t="str">
        <f t="shared" si="342"/>
        <v/>
      </c>
      <c r="GT42" s="638" t="str">
        <f t="shared" si="343"/>
        <v/>
      </c>
      <c r="GU42" s="639" t="str">
        <f t="shared" si="37"/>
        <v/>
      </c>
      <c r="GV42" s="638" t="str">
        <f t="shared" si="344"/>
        <v/>
      </c>
      <c r="GW42" s="640" t="str">
        <f t="shared" si="38"/>
        <v/>
      </c>
      <c r="GX42" s="641" t="str">
        <f t="shared" si="39"/>
        <v/>
      </c>
      <c r="GY42" s="639" t="str">
        <f t="shared" si="345"/>
        <v/>
      </c>
      <c r="GZ42" s="640" t="str">
        <f t="shared" si="346"/>
        <v/>
      </c>
      <c r="HA42" s="637" t="str">
        <f t="shared" si="42"/>
        <v/>
      </c>
      <c r="HB42" s="7" t="str">
        <f t="shared" si="193"/>
        <v/>
      </c>
      <c r="HC42" s="638" t="str">
        <f t="shared" si="347"/>
        <v/>
      </c>
      <c r="HD42" s="640" t="str">
        <f t="shared" si="348"/>
        <v/>
      </c>
      <c r="HE42" s="639" t="str">
        <f t="shared" si="43"/>
        <v/>
      </c>
      <c r="HF42" s="7" t="str">
        <f t="shared" si="44"/>
        <v/>
      </c>
      <c r="HG42" s="638" t="str">
        <f t="shared" si="349"/>
        <v/>
      </c>
      <c r="HH42" s="644" t="str">
        <f t="shared" si="350"/>
        <v/>
      </c>
      <c r="HI42" s="596" t="str">
        <f t="shared" si="198"/>
        <v/>
      </c>
      <c r="HJ42" s="625"/>
      <c r="HK42" s="584" t="str">
        <f t="shared" si="217"/>
        <v/>
      </c>
      <c r="HL42" s="583" t="str">
        <f t="shared" si="84"/>
        <v/>
      </c>
      <c r="HM42" s="643" t="str">
        <f t="shared" si="218"/>
        <v/>
      </c>
      <c r="HN42" s="660" t="str">
        <f t="shared" si="218"/>
        <v/>
      </c>
      <c r="HO42" s="661" t="str">
        <f t="shared" si="218"/>
        <v/>
      </c>
      <c r="HP42" s="656" t="str">
        <f t="shared" si="218"/>
        <v/>
      </c>
      <c r="HQ42" s="660" t="str">
        <f t="shared" si="218"/>
        <v/>
      </c>
      <c r="HR42" s="671" t="str">
        <f t="shared" si="218"/>
        <v/>
      </c>
      <c r="HS42" s="655" t="str">
        <f t="shared" si="218"/>
        <v/>
      </c>
      <c r="HT42" s="648" t="str">
        <f t="shared" si="218"/>
        <v/>
      </c>
      <c r="HU42" s="649" t="str">
        <f t="shared" si="218"/>
        <v/>
      </c>
      <c r="HV42" s="650" t="str">
        <f t="shared" si="218"/>
        <v/>
      </c>
      <c r="HW42" s="648" t="str">
        <f t="shared" si="218"/>
        <v/>
      </c>
      <c r="HX42" s="649" t="str">
        <f t="shared" si="218"/>
        <v/>
      </c>
      <c r="HY42" s="650" t="str">
        <f t="shared" si="218"/>
        <v/>
      </c>
      <c r="HZ42" s="648" t="str">
        <f t="shared" si="218"/>
        <v/>
      </c>
      <c r="IA42" s="649" t="str">
        <f t="shared" si="218"/>
        <v/>
      </c>
      <c r="IB42" s="716"/>
      <c r="ID42" s="511"/>
    </row>
    <row r="43" spans="2:240" s="35" customFormat="1" ht="15" customHeight="1" x14ac:dyDescent="0.25">
      <c r="B43" s="143">
        <v>-1.3328694698375971</v>
      </c>
      <c r="C43" s="144">
        <v>-3.4542796523238581</v>
      </c>
      <c r="D43" s="145">
        <v>-1.6074048479330214</v>
      </c>
      <c r="E43" s="146">
        <v>-0.35999045685147152</v>
      </c>
      <c r="F43" s="144">
        <v>-0.93295598555120351</v>
      </c>
      <c r="G43" s="147">
        <v>2.2679489705657792E-7</v>
      </c>
      <c r="H43" s="146">
        <v>0.25700000000000001</v>
      </c>
      <c r="I43" s="144">
        <v>0.41499999999999992</v>
      </c>
      <c r="J43" s="306">
        <v>4.2270000000000003</v>
      </c>
      <c r="K43" s="699" t="str">
        <f t="shared" si="199"/>
        <v>Kunckle</v>
      </c>
      <c r="M43" s="292">
        <f t="shared" si="351"/>
        <v>4.2270000000000003</v>
      </c>
      <c r="N43" s="24">
        <f t="shared" si="352"/>
        <v>-1.3328694698375971</v>
      </c>
      <c r="O43" s="7">
        <f t="shared" si="353"/>
        <v>-3.4542796523238581</v>
      </c>
      <c r="P43" s="12">
        <f t="shared" si="354"/>
        <v>-1.6074048479330214</v>
      </c>
      <c r="Q43" s="11">
        <f t="shared" si="85"/>
        <v>248.9003770576241</v>
      </c>
      <c r="R43" s="7">
        <f t="shared" si="355"/>
        <v>3.7025111667736792</v>
      </c>
      <c r="S43" s="8">
        <f t="shared" si="356"/>
        <v>-1.6074048479330214</v>
      </c>
      <c r="T43" s="6">
        <f t="shared" si="357"/>
        <v>-3.4749900823917268</v>
      </c>
      <c r="U43" s="7">
        <f t="shared" si="358"/>
        <v>1.277901744017486</v>
      </c>
      <c r="V43" s="10">
        <f t="shared" si="359"/>
        <v>-1.6074048479330214</v>
      </c>
      <c r="W43" s="11">
        <f t="shared" si="214"/>
        <v>159.80937692638076</v>
      </c>
      <c r="X43" s="7">
        <f t="shared" si="360"/>
        <v>3.7025111667736792</v>
      </c>
      <c r="Y43" s="9">
        <f t="shared" si="213"/>
        <v>-1.6074048479330214</v>
      </c>
      <c r="Z43" s="24">
        <f t="shared" si="361"/>
        <v>0.35999045685147152</v>
      </c>
      <c r="AA43" s="7">
        <f t="shared" si="362"/>
        <v>0.93295598555120351</v>
      </c>
      <c r="AB43" s="7">
        <f t="shared" si="363"/>
        <v>-2.2679489705657792E-7</v>
      </c>
      <c r="AC43" s="10">
        <f t="shared" si="364"/>
        <v>1</v>
      </c>
      <c r="AD43" s="11">
        <f t="shared" si="365"/>
        <v>0.35999045685147152</v>
      </c>
      <c r="AE43" s="7">
        <f t="shared" si="366"/>
        <v>0.93295598555120351</v>
      </c>
      <c r="AF43" s="12">
        <f t="shared" si="367"/>
        <v>-2.2679489705657792E-7</v>
      </c>
      <c r="AG43" s="6">
        <f t="shared" si="368"/>
        <v>89.999986071807655</v>
      </c>
      <c r="AH43" s="12">
        <f t="shared" si="369"/>
        <v>68.900390052015055</v>
      </c>
      <c r="AI43" s="11">
        <f t="shared" si="370"/>
        <v>-89.999987005609583</v>
      </c>
      <c r="AJ43" s="8">
        <f t="shared" si="371"/>
        <v>158.9003900520145</v>
      </c>
      <c r="AK43" s="6">
        <f t="shared" si="372"/>
        <v>2.2679489680710319E-7</v>
      </c>
      <c r="AL43" s="7">
        <f t="shared" si="373"/>
        <v>-0.99999999999994849</v>
      </c>
      <c r="AM43" s="8">
        <f t="shared" si="374"/>
        <v>-2.2679489705657792E-7</v>
      </c>
      <c r="AN43" s="6">
        <f t="shared" si="375"/>
        <v>-89.999987005609583</v>
      </c>
      <c r="AO43" s="10">
        <f t="shared" si="376"/>
        <v>0</v>
      </c>
      <c r="AP43" s="11">
        <f t="shared" si="377"/>
        <v>-89.999987005609611</v>
      </c>
      <c r="AQ43" s="8">
        <f t="shared" si="200"/>
        <v>0.61574814815849221</v>
      </c>
      <c r="AS43" s="123">
        <f t="shared" si="90"/>
        <v>-200.19062307361924</v>
      </c>
      <c r="AT43" s="174">
        <f t="shared" si="219"/>
        <v>-1.4677523320008159</v>
      </c>
      <c r="AV43" s="292" t="str">
        <f t="shared" si="91"/>
        <v/>
      </c>
      <c r="AW43" s="439"/>
      <c r="AX43" s="440"/>
      <c r="AY43" s="442"/>
      <c r="AZ43" s="565" t="str">
        <f t="shared" si="220"/>
        <v/>
      </c>
      <c r="BA43" s="564" t="str">
        <f t="shared" si="221"/>
        <v/>
      </c>
      <c r="BB43" s="444" t="str">
        <f t="shared" si="94"/>
        <v/>
      </c>
      <c r="BC43" s="11"/>
      <c r="BD43" s="7" t="str">
        <f t="shared" si="222"/>
        <v/>
      </c>
      <c r="BE43" s="8" t="str">
        <f t="shared" si="223"/>
        <v/>
      </c>
      <c r="BF43" s="6" t="str">
        <f t="shared" si="224"/>
        <v/>
      </c>
      <c r="BG43" s="7" t="str">
        <f t="shared" si="225"/>
        <v/>
      </c>
      <c r="BH43" s="12" t="str">
        <f t="shared" si="226"/>
        <v/>
      </c>
      <c r="BI43" s="11" t="str">
        <f t="shared" si="227"/>
        <v/>
      </c>
      <c r="BJ43" s="7" t="str">
        <f t="shared" si="228"/>
        <v/>
      </c>
      <c r="BK43" s="10" t="str">
        <f t="shared" si="229"/>
        <v/>
      </c>
      <c r="BL43" s="328" t="str">
        <f t="shared" si="230"/>
        <v/>
      </c>
      <c r="BM43" s="7" t="str">
        <f t="shared" si="231"/>
        <v/>
      </c>
      <c r="BN43" s="8" t="str">
        <f t="shared" si="232"/>
        <v/>
      </c>
      <c r="BO43" s="6" t="str">
        <f t="shared" si="233"/>
        <v/>
      </c>
      <c r="BP43" s="7" t="str">
        <f t="shared" si="234"/>
        <v/>
      </c>
      <c r="BQ43" s="7" t="str">
        <f t="shared" si="235"/>
        <v/>
      </c>
      <c r="BR43" s="8" t="str">
        <f t="shared" si="236"/>
        <v/>
      </c>
      <c r="BS43" s="6" t="str">
        <f t="shared" si="378"/>
        <v/>
      </c>
      <c r="BT43" s="7" t="str">
        <f t="shared" si="378"/>
        <v/>
      </c>
      <c r="BU43" s="12" t="str">
        <f t="shared" si="70"/>
        <v/>
      </c>
      <c r="BV43" s="11" t="str">
        <f t="shared" si="71"/>
        <v/>
      </c>
      <c r="BW43" s="7" t="str">
        <f t="shared" si="72"/>
        <v/>
      </c>
      <c r="BX43" s="10" t="str">
        <f t="shared" si="73"/>
        <v/>
      </c>
      <c r="BY43" s="328" t="str">
        <f t="shared" si="74"/>
        <v/>
      </c>
      <c r="BZ43" s="7" t="str">
        <f t="shared" si="75"/>
        <v/>
      </c>
      <c r="CA43" s="8" t="str">
        <f t="shared" si="76"/>
        <v/>
      </c>
      <c r="CB43" s="6" t="str">
        <f t="shared" si="237"/>
        <v/>
      </c>
      <c r="CC43" s="7" t="str">
        <f t="shared" si="238"/>
        <v/>
      </c>
      <c r="CD43" s="7" t="str">
        <f t="shared" si="239"/>
        <v/>
      </c>
      <c r="CE43" s="8" t="str">
        <f t="shared" si="240"/>
        <v/>
      </c>
      <c r="CF43" s="6" t="str">
        <f t="shared" si="241"/>
        <v/>
      </c>
      <c r="CG43" s="7" t="str">
        <f t="shared" si="242"/>
        <v/>
      </c>
      <c r="CH43" s="7" t="str">
        <f t="shared" si="243"/>
        <v/>
      </c>
      <c r="CI43" s="6" t="str">
        <f t="shared" si="77"/>
        <v/>
      </c>
      <c r="CJ43" s="7" t="str">
        <f t="shared" si="244"/>
        <v/>
      </c>
      <c r="CK43" s="10" t="str">
        <f t="shared" si="245"/>
        <v/>
      </c>
      <c r="CL43" s="328" t="str">
        <f t="shared" si="246"/>
        <v/>
      </c>
      <c r="CM43" s="7" t="str">
        <f t="shared" si="247"/>
        <v/>
      </c>
      <c r="CN43" s="8" t="str">
        <f t="shared" si="248"/>
        <v/>
      </c>
      <c r="CO43" s="296" t="str">
        <f t="shared" si="201"/>
        <v/>
      </c>
      <c r="CP43" s="6" t="str">
        <f t="shared" si="249"/>
        <v/>
      </c>
      <c r="CQ43" s="7" t="str">
        <f t="shared" si="250"/>
        <v/>
      </c>
      <c r="CR43" s="7" t="str">
        <f t="shared" si="251"/>
        <v/>
      </c>
      <c r="CS43" s="10" t="str">
        <f t="shared" si="252"/>
        <v/>
      </c>
      <c r="CT43" s="11" t="str">
        <f t="shared" si="119"/>
        <v/>
      </c>
      <c r="CU43" s="8" t="str">
        <f t="shared" si="253"/>
        <v/>
      </c>
      <c r="CV43" s="6" t="str">
        <f t="shared" si="254"/>
        <v/>
      </c>
      <c r="CW43" s="7" t="str">
        <f t="shared" si="255"/>
        <v/>
      </c>
      <c r="CX43" s="10" t="str">
        <f t="shared" si="256"/>
        <v/>
      </c>
      <c r="CY43" s="11" t="str">
        <f t="shared" si="257"/>
        <v/>
      </c>
      <c r="CZ43" s="7" t="str">
        <f t="shared" si="258"/>
        <v/>
      </c>
      <c r="DA43" s="8" t="str">
        <f t="shared" si="259"/>
        <v/>
      </c>
      <c r="DB43" s="6" t="str">
        <f t="shared" ref="DB43:DC53" si="379">IF(ISNUMBER($AV43),0,"")</f>
        <v/>
      </c>
      <c r="DC43" s="7" t="str">
        <f t="shared" si="379"/>
        <v/>
      </c>
      <c r="DD43" s="12" t="str">
        <f t="shared" si="127"/>
        <v/>
      </c>
      <c r="DE43" s="11" t="str">
        <f t="shared" ref="DE43:DF53" si="380">IF(ISNUMBER($AV43),0,"")</f>
        <v/>
      </c>
      <c r="DF43" s="7" t="str">
        <f t="shared" si="380"/>
        <v/>
      </c>
      <c r="DG43" s="12" t="str">
        <f t="shared" si="129"/>
        <v/>
      </c>
      <c r="DH43" s="174" t="str">
        <f t="shared" si="260"/>
        <v/>
      </c>
      <c r="DI43" s="6" t="str">
        <f t="shared" si="261"/>
        <v/>
      </c>
      <c r="DJ43" s="7" t="str">
        <f t="shared" si="262"/>
        <v/>
      </c>
      <c r="DK43" s="12" t="str">
        <f t="shared" si="263"/>
        <v/>
      </c>
      <c r="DL43" s="11" t="str">
        <f t="shared" si="264"/>
        <v/>
      </c>
      <c r="DM43" s="328" t="str">
        <f t="shared" si="265"/>
        <v/>
      </c>
      <c r="DN43" s="376" t="str">
        <f t="shared" si="266"/>
        <v/>
      </c>
      <c r="DO43" s="11" t="str">
        <f t="shared" si="267"/>
        <v/>
      </c>
      <c r="DP43" s="328" t="str">
        <f t="shared" si="268"/>
        <v/>
      </c>
      <c r="DQ43" s="13" t="str">
        <f t="shared" si="269"/>
        <v/>
      </c>
      <c r="DR43" s="328" t="str">
        <f t="shared" si="270"/>
        <v/>
      </c>
      <c r="DS43" s="7" t="str">
        <f t="shared" si="271"/>
        <v/>
      </c>
      <c r="DT43" s="7" t="str">
        <f t="shared" si="272"/>
        <v/>
      </c>
      <c r="DU43" s="7" t="str">
        <f t="shared" si="273"/>
        <v/>
      </c>
      <c r="DV43" s="7" t="str">
        <f t="shared" si="274"/>
        <v/>
      </c>
      <c r="DW43" s="7" t="str">
        <f t="shared" si="275"/>
        <v/>
      </c>
      <c r="DX43" s="296" t="str">
        <f t="shared" si="276"/>
        <v/>
      </c>
      <c r="DY43" s="11" t="str">
        <f t="shared" si="277"/>
        <v/>
      </c>
      <c r="DZ43" s="7" t="str">
        <f t="shared" si="278"/>
        <v/>
      </c>
      <c r="EA43" s="12" t="str">
        <f t="shared" si="279"/>
        <v/>
      </c>
      <c r="EB43" s="8" t="str">
        <f t="shared" si="280"/>
        <v/>
      </c>
      <c r="EC43" s="328" t="str">
        <f t="shared" si="281"/>
        <v/>
      </c>
      <c r="ED43" s="7" t="str">
        <f t="shared" si="282"/>
        <v/>
      </c>
      <c r="EE43" s="6" t="str">
        <f t="shared" si="283"/>
        <v/>
      </c>
      <c r="EF43" s="7" t="str">
        <f t="shared" si="284"/>
        <v/>
      </c>
      <c r="EG43" s="12" t="str">
        <f t="shared" si="285"/>
        <v/>
      </c>
      <c r="EH43" s="11" t="str">
        <f t="shared" si="286"/>
        <v/>
      </c>
      <c r="EI43" s="7" t="str">
        <f t="shared" si="287"/>
        <v/>
      </c>
      <c r="EJ43" s="8" t="str">
        <f t="shared" si="288"/>
        <v/>
      </c>
      <c r="EK43" s="491" t="str">
        <f t="shared" si="159"/>
        <v/>
      </c>
      <c r="EL43" s="493" t="str">
        <f t="shared" si="160"/>
        <v/>
      </c>
      <c r="EM43" s="6" t="str">
        <f t="shared" si="289"/>
        <v/>
      </c>
      <c r="EN43" s="7" t="str">
        <f t="shared" si="290"/>
        <v/>
      </c>
      <c r="EO43" s="12" t="str">
        <f t="shared" si="291"/>
        <v/>
      </c>
      <c r="EP43" s="11" t="str">
        <f t="shared" si="292"/>
        <v/>
      </c>
      <c r="EQ43" s="7" t="str">
        <f t="shared" si="293"/>
        <v/>
      </c>
      <c r="ER43" s="9" t="str">
        <f t="shared" si="294"/>
        <v/>
      </c>
      <c r="ES43" s="24" t="str">
        <f t="shared" si="295"/>
        <v/>
      </c>
      <c r="ET43" s="7" t="str">
        <f t="shared" si="296"/>
        <v/>
      </c>
      <c r="EU43" s="12" t="str">
        <f t="shared" si="297"/>
        <v/>
      </c>
      <c r="EV43" s="337" t="str">
        <f t="shared" si="298"/>
        <v/>
      </c>
      <c r="EW43" s="11" t="str">
        <f t="shared" si="299"/>
        <v/>
      </c>
      <c r="EX43" s="7" t="str">
        <f t="shared" si="300"/>
        <v/>
      </c>
      <c r="EY43" s="8" t="str">
        <f t="shared" si="301"/>
        <v/>
      </c>
      <c r="EZ43" s="123" t="str">
        <f t="shared" si="171"/>
        <v/>
      </c>
      <c r="FA43" s="534" t="str">
        <f t="shared" si="18"/>
        <v/>
      </c>
      <c r="FB43" s="535" t="str">
        <f t="shared" si="19"/>
        <v/>
      </c>
      <c r="FC43" s="537" t="str">
        <f t="shared" si="20"/>
        <v/>
      </c>
      <c r="FD43" s="6" t="str">
        <f t="shared" si="302"/>
        <v/>
      </c>
      <c r="FE43" s="7" t="str">
        <f t="shared" si="303"/>
        <v/>
      </c>
      <c r="FF43" s="9" t="str">
        <f t="shared" si="304"/>
        <v/>
      </c>
      <c r="FG43" s="328" t="str">
        <f t="shared" si="305"/>
        <v/>
      </c>
      <c r="FH43" s="7" t="str">
        <f t="shared" si="306"/>
        <v/>
      </c>
      <c r="FI43" s="12" t="str">
        <f t="shared" si="307"/>
        <v/>
      </c>
      <c r="FJ43" s="547" t="str">
        <f t="shared" si="308"/>
        <v/>
      </c>
      <c r="FK43" s="6" t="str">
        <f t="shared" si="309"/>
        <v/>
      </c>
      <c r="FL43" s="7" t="str">
        <f t="shared" si="310"/>
        <v/>
      </c>
      <c r="FM43" s="10" t="str">
        <f t="shared" si="311"/>
        <v/>
      </c>
      <c r="FN43" s="11" t="str">
        <f t="shared" si="312"/>
        <v/>
      </c>
      <c r="FO43" s="12" t="str">
        <f t="shared" si="313"/>
        <v/>
      </c>
      <c r="FP43" s="545" t="str">
        <f t="shared" si="314"/>
        <v/>
      </c>
      <c r="FQ43" s="328" t="str">
        <f t="shared" si="315"/>
        <v/>
      </c>
      <c r="FR43" s="12" t="str">
        <f t="shared" si="316"/>
        <v/>
      </c>
      <c r="FS43" s="11" t="str">
        <f t="shared" si="317"/>
        <v/>
      </c>
      <c r="FT43" s="8" t="str">
        <f t="shared" si="318"/>
        <v/>
      </c>
      <c r="FU43" s="6" t="str">
        <f t="shared" si="319"/>
        <v/>
      </c>
      <c r="FV43" s="7" t="str">
        <f t="shared" si="320"/>
        <v/>
      </c>
      <c r="FW43" s="10" t="str">
        <f t="shared" si="321"/>
        <v/>
      </c>
      <c r="FX43" s="11" t="str">
        <f t="shared" si="322"/>
        <v/>
      </c>
      <c r="FY43" s="12" t="str">
        <f t="shared" si="323"/>
        <v/>
      </c>
      <c r="FZ43" s="545" t="str">
        <f t="shared" si="324"/>
        <v/>
      </c>
      <c r="GA43" s="372" t="str">
        <f t="shared" si="325"/>
        <v/>
      </c>
      <c r="GB43" s="46" t="str">
        <f t="shared" si="326"/>
        <v/>
      </c>
      <c r="GC43" s="47" t="str">
        <f t="shared" si="327"/>
        <v/>
      </c>
      <c r="GD43" s="578" t="str">
        <f t="shared" si="328"/>
        <v/>
      </c>
      <c r="GE43" s="585" t="str">
        <f t="shared" si="329"/>
        <v/>
      </c>
      <c r="GF43" s="634" t="str">
        <f t="shared" si="330"/>
        <v/>
      </c>
      <c r="GG43" s="553" t="str">
        <f t="shared" si="331"/>
        <v/>
      </c>
      <c r="GH43" s="554" t="str">
        <f t="shared" si="332"/>
        <v/>
      </c>
      <c r="GI43" s="549" t="str">
        <f t="shared" si="333"/>
        <v/>
      </c>
      <c r="GJ43" s="296" t="str">
        <f t="shared" si="334"/>
        <v/>
      </c>
      <c r="GK43" s="337" t="str">
        <f t="shared" si="33"/>
        <v/>
      </c>
      <c r="GL43" s="337" t="str">
        <f t="shared" si="335"/>
        <v/>
      </c>
      <c r="GM43" s="372" t="str">
        <f t="shared" si="336"/>
        <v/>
      </c>
      <c r="GN43" s="548" t="str">
        <f t="shared" si="337"/>
        <v/>
      </c>
      <c r="GO43" s="6" t="str">
        <f t="shared" si="338"/>
        <v/>
      </c>
      <c r="GP43" s="10" t="str">
        <f t="shared" si="339"/>
        <v/>
      </c>
      <c r="GQ43" s="372" t="str">
        <f t="shared" si="340"/>
        <v/>
      </c>
      <c r="GR43" s="697" t="str">
        <f t="shared" si="341"/>
        <v/>
      </c>
      <c r="GS43" s="637" t="str">
        <f t="shared" si="342"/>
        <v/>
      </c>
      <c r="GT43" s="638" t="str">
        <f t="shared" si="343"/>
        <v/>
      </c>
      <c r="GU43" s="639" t="str">
        <f t="shared" si="37"/>
        <v/>
      </c>
      <c r="GV43" s="638" t="str">
        <f t="shared" si="344"/>
        <v/>
      </c>
      <c r="GW43" s="640" t="str">
        <f t="shared" si="38"/>
        <v/>
      </c>
      <c r="GX43" s="641" t="str">
        <f t="shared" si="39"/>
        <v/>
      </c>
      <c r="GY43" s="639" t="str">
        <f t="shared" si="345"/>
        <v/>
      </c>
      <c r="GZ43" s="640" t="str">
        <f t="shared" si="346"/>
        <v/>
      </c>
      <c r="HA43" s="637" t="str">
        <f t="shared" si="42"/>
        <v/>
      </c>
      <c r="HB43" s="7" t="str">
        <f t="shared" si="193"/>
        <v/>
      </c>
      <c r="HC43" s="638" t="str">
        <f t="shared" si="347"/>
        <v/>
      </c>
      <c r="HD43" s="640" t="str">
        <f t="shared" si="348"/>
        <v/>
      </c>
      <c r="HE43" s="639" t="str">
        <f t="shared" si="43"/>
        <v/>
      </c>
      <c r="HF43" s="7" t="str">
        <f t="shared" si="44"/>
        <v/>
      </c>
      <c r="HG43" s="638" t="str">
        <f t="shared" si="349"/>
        <v/>
      </c>
      <c r="HH43" s="644" t="str">
        <f t="shared" si="350"/>
        <v/>
      </c>
      <c r="HI43" s="596" t="str">
        <f t="shared" si="198"/>
        <v/>
      </c>
      <c r="HJ43" s="625"/>
      <c r="HK43" s="584" t="str">
        <f t="shared" si="217"/>
        <v/>
      </c>
      <c r="HL43" s="583" t="str">
        <f t="shared" si="84"/>
        <v/>
      </c>
      <c r="HM43" s="643" t="str">
        <f t="shared" si="218"/>
        <v/>
      </c>
      <c r="HN43" s="660" t="str">
        <f t="shared" si="218"/>
        <v/>
      </c>
      <c r="HO43" s="661" t="str">
        <f t="shared" si="218"/>
        <v/>
      </c>
      <c r="HP43" s="656" t="str">
        <f t="shared" si="218"/>
        <v/>
      </c>
      <c r="HQ43" s="660" t="str">
        <f t="shared" si="218"/>
        <v/>
      </c>
      <c r="HR43" s="671" t="str">
        <f t="shared" si="218"/>
        <v/>
      </c>
      <c r="HS43" s="655" t="str">
        <f t="shared" si="218"/>
        <v/>
      </c>
      <c r="HT43" s="648" t="str">
        <f t="shared" si="218"/>
        <v/>
      </c>
      <c r="HU43" s="649" t="str">
        <f t="shared" si="218"/>
        <v/>
      </c>
      <c r="HV43" s="650" t="str">
        <f t="shared" si="218"/>
        <v/>
      </c>
      <c r="HW43" s="648" t="str">
        <f t="shared" si="218"/>
        <v/>
      </c>
      <c r="HX43" s="649" t="str">
        <f t="shared" si="218"/>
        <v/>
      </c>
      <c r="HY43" s="650" t="str">
        <f t="shared" si="218"/>
        <v/>
      </c>
      <c r="HZ43" s="648" t="str">
        <f t="shared" si="218"/>
        <v/>
      </c>
      <c r="IA43" s="649" t="str">
        <f t="shared" si="218"/>
        <v/>
      </c>
      <c r="IB43" s="716"/>
      <c r="ID43" s="511"/>
    </row>
    <row r="44" spans="2:240" s="35" customFormat="1" ht="15" customHeight="1" x14ac:dyDescent="0.25">
      <c r="B44" s="143">
        <v>-0.51671832930855399</v>
      </c>
      <c r="C44" s="144">
        <v>-0.25202018133867077</v>
      </c>
      <c r="D44" s="145">
        <v>-0.44170133217121788</v>
      </c>
      <c r="E44" s="146">
        <v>0.4880334306401819</v>
      </c>
      <c r="F44" s="144">
        <v>-0.82307756169972091</v>
      </c>
      <c r="G44" s="147">
        <v>0.29045946017304536</v>
      </c>
      <c r="H44" s="146">
        <v>0.314</v>
      </c>
      <c r="I44" s="144">
        <v>0.52</v>
      </c>
      <c r="J44" s="306">
        <v>5.1020000000000003</v>
      </c>
      <c r="K44" s="699" t="str">
        <f t="shared" si="199"/>
        <v>1613</v>
      </c>
      <c r="M44" s="292">
        <f t="shared" si="351"/>
        <v>5.1020000000000003</v>
      </c>
      <c r="N44" s="24">
        <f t="shared" si="352"/>
        <v>-0.51671832930855399</v>
      </c>
      <c r="O44" s="7">
        <f t="shared" si="353"/>
        <v>-0.25202018133867077</v>
      </c>
      <c r="P44" s="12">
        <f t="shared" si="354"/>
        <v>-0.44170133217121788</v>
      </c>
      <c r="Q44" s="11">
        <f t="shared" si="85"/>
        <v>205.99998325167462</v>
      </c>
      <c r="R44" s="7">
        <f t="shared" si="355"/>
        <v>0.57490173390362964</v>
      </c>
      <c r="S44" s="8">
        <f t="shared" si="356"/>
        <v>-0.44170133217121788</v>
      </c>
      <c r="T44" s="6">
        <f t="shared" si="357"/>
        <v>-0.26018587871288273</v>
      </c>
      <c r="U44" s="7">
        <f t="shared" si="358"/>
        <v>0.51265515911166337</v>
      </c>
      <c r="V44" s="10">
        <f t="shared" si="359"/>
        <v>-0.44170133217121788</v>
      </c>
      <c r="W44" s="11">
        <f t="shared" si="214"/>
        <v>116.90898312043127</v>
      </c>
      <c r="X44" s="7">
        <f t="shared" si="360"/>
        <v>0.57490173390362964</v>
      </c>
      <c r="Y44" s="9">
        <f t="shared" si="213"/>
        <v>-0.44170133217121788</v>
      </c>
      <c r="Z44" s="24">
        <f t="shared" si="361"/>
        <v>-0.4880334306401819</v>
      </c>
      <c r="AA44" s="7">
        <f t="shared" si="362"/>
        <v>0.82307756169972091</v>
      </c>
      <c r="AB44" s="7">
        <f t="shared" si="363"/>
        <v>-0.29045946017304536</v>
      </c>
      <c r="AC44" s="10">
        <f t="shared" si="364"/>
        <v>1</v>
      </c>
      <c r="AD44" s="11">
        <f t="shared" si="365"/>
        <v>-0.4880334306401819</v>
      </c>
      <c r="AE44" s="7">
        <f t="shared" si="366"/>
        <v>0.82307756169972091</v>
      </c>
      <c r="AF44" s="12">
        <f t="shared" si="367"/>
        <v>-0.29045946017304536</v>
      </c>
      <c r="AG44" s="6">
        <f t="shared" si="368"/>
        <v>70.562348560179586</v>
      </c>
      <c r="AH44" s="12">
        <f t="shared" si="369"/>
        <v>119.2114064334851</v>
      </c>
      <c r="AI44" s="11">
        <f t="shared" si="370"/>
        <v>-73.114534769632428</v>
      </c>
      <c r="AJ44" s="8">
        <f t="shared" si="371"/>
        <v>-149.3347147995427</v>
      </c>
      <c r="AK44" s="6">
        <f t="shared" si="372"/>
        <v>0.95371696400905337</v>
      </c>
      <c r="AL44" s="7">
        <f t="shared" si="373"/>
        <v>7.782836601996157E-2</v>
      </c>
      <c r="AM44" s="8">
        <f t="shared" si="374"/>
        <v>-0.29045946017304536</v>
      </c>
      <c r="AN44" s="6">
        <f t="shared" si="375"/>
        <v>14.999997834268274</v>
      </c>
      <c r="AO44" s="10">
        <f t="shared" si="376"/>
        <v>17.49999747331298</v>
      </c>
      <c r="AP44" s="11">
        <f t="shared" si="377"/>
        <v>4.6653019487827061</v>
      </c>
      <c r="AQ44" s="8">
        <f t="shared" si="200"/>
        <v>3.9717632210106673</v>
      </c>
      <c r="AS44" s="123">
        <f t="shared" si="90"/>
        <v>-243.09101687956871</v>
      </c>
      <c r="AT44" s="174">
        <f t="shared" si="219"/>
        <v>-0.27225687609599192</v>
      </c>
      <c r="AV44" s="292">
        <f t="shared" si="91"/>
        <v>5.1020000000000003</v>
      </c>
      <c r="AW44" s="439">
        <v>0.46989999999999998</v>
      </c>
      <c r="AX44" s="440">
        <v>0.15429999999999999</v>
      </c>
      <c r="AY44" s="442">
        <v>5.9299999999999999E-2</v>
      </c>
      <c r="AZ44" s="565">
        <f t="shared" si="220"/>
        <v>0.17570793008096269</v>
      </c>
      <c r="BA44" s="564">
        <f t="shared" si="221"/>
        <v>1.452089604964708E-2</v>
      </c>
      <c r="BB44" s="444">
        <f t="shared" si="94"/>
        <v>0.17655687609599191</v>
      </c>
      <c r="BC44" s="11"/>
      <c r="BD44" s="7">
        <f t="shared" si="222"/>
        <v>0.46989999999999998</v>
      </c>
      <c r="BE44" s="8">
        <f t="shared" si="223"/>
        <v>-0.26514445607522596</v>
      </c>
      <c r="BF44" s="6">
        <f t="shared" si="224"/>
        <v>-0.51671832930855399</v>
      </c>
      <c r="BG44" s="7">
        <f t="shared" si="225"/>
        <v>-0.25202018133867077</v>
      </c>
      <c r="BH44" s="12">
        <f t="shared" si="226"/>
        <v>-0.44170133217121788</v>
      </c>
      <c r="BI44" s="11">
        <f t="shared" si="227"/>
        <v>-0.51671832930855399</v>
      </c>
      <c r="BJ44" s="7">
        <f t="shared" si="228"/>
        <v>8.0760709620992022E-2</v>
      </c>
      <c r="BK44" s="10">
        <f t="shared" si="229"/>
        <v>0.50130284523845459</v>
      </c>
      <c r="BL44" s="328">
        <f t="shared" si="230"/>
        <v>0.35610660765049895</v>
      </c>
      <c r="BM44" s="7">
        <f t="shared" si="231"/>
        <v>0.20819738247059433</v>
      </c>
      <c r="BN44" s="8">
        <f t="shared" si="232"/>
        <v>-0.60410953203775841</v>
      </c>
      <c r="BO44" s="6">
        <f t="shared" si="233"/>
        <v>-0.48803343064018184</v>
      </c>
      <c r="BP44" s="7">
        <f t="shared" si="234"/>
        <v>0.82307756169972102</v>
      </c>
      <c r="BQ44" s="7">
        <f t="shared" si="235"/>
        <v>-0.29045946017304514</v>
      </c>
      <c r="BR44" s="8">
        <f t="shared" si="236"/>
        <v>-0.17303999307192902</v>
      </c>
      <c r="BS44" s="6">
        <f t="shared" si="378"/>
        <v>0</v>
      </c>
      <c r="BT44" s="7">
        <f t="shared" si="378"/>
        <v>0</v>
      </c>
      <c r="BU44" s="12">
        <f t="shared" si="70"/>
        <v>-0.26514445607522596</v>
      </c>
      <c r="BV44" s="11">
        <f t="shared" si="71"/>
        <v>0</v>
      </c>
      <c r="BW44" s="7">
        <f t="shared" si="72"/>
        <v>1</v>
      </c>
      <c r="BX44" s="10">
        <f t="shared" si="73"/>
        <v>-0.26514445607522596</v>
      </c>
      <c r="BY44" s="328">
        <f t="shared" si="74"/>
        <v>1</v>
      </c>
      <c r="BZ44" s="7">
        <f t="shared" si="75"/>
        <v>0</v>
      </c>
      <c r="CA44" s="8">
        <f t="shared" si="76"/>
        <v>-0.26514445607522596</v>
      </c>
      <c r="CB44" s="6">
        <f t="shared" si="237"/>
        <v>0</v>
      </c>
      <c r="CC44" s="7">
        <f t="shared" si="238"/>
        <v>0</v>
      </c>
      <c r="CD44" s="7">
        <f t="shared" si="239"/>
        <v>-1</v>
      </c>
      <c r="CE44" s="8">
        <f t="shared" si="240"/>
        <v>-0.26514445607522596</v>
      </c>
      <c r="CF44" s="6">
        <f t="shared" si="241"/>
        <v>-0.82307756169972102</v>
      </c>
      <c r="CG44" s="7">
        <f t="shared" si="242"/>
        <v>-0.48803343064018184</v>
      </c>
      <c r="CH44" s="7">
        <f t="shared" si="243"/>
        <v>0</v>
      </c>
      <c r="CI44" s="6">
        <f t="shared" si="77"/>
        <v>0</v>
      </c>
      <c r="CJ44" s="7">
        <f t="shared" si="244"/>
        <v>0.11666734942226011</v>
      </c>
      <c r="CK44" s="10">
        <f t="shared" si="245"/>
        <v>-0.26514445607522596</v>
      </c>
      <c r="CL44" s="328">
        <f t="shared" si="246"/>
        <v>-0.82307756169972102</v>
      </c>
      <c r="CM44" s="7">
        <f t="shared" si="247"/>
        <v>-0.37136608121792175</v>
      </c>
      <c r="CN44" s="8">
        <f t="shared" si="248"/>
        <v>-0.26514445607522596</v>
      </c>
      <c r="CO44" s="296">
        <f t="shared" si="201"/>
        <v>0.3125</v>
      </c>
      <c r="CP44" s="6">
        <f t="shared" si="249"/>
        <v>0.91563330199598325</v>
      </c>
      <c r="CQ44" s="7">
        <f t="shared" si="250"/>
        <v>-1.2104622060887056</v>
      </c>
      <c r="CR44" s="7">
        <f t="shared" si="251"/>
        <v>0.33644440767879097</v>
      </c>
      <c r="CS44" s="10">
        <f t="shared" si="252"/>
        <v>0.23297993660507954</v>
      </c>
      <c r="CT44" s="11">
        <f t="shared" si="119"/>
        <v>0.92457436561102257</v>
      </c>
      <c r="CU44" s="8">
        <f t="shared" si="253"/>
        <v>0.3974201527731675</v>
      </c>
      <c r="CV44" s="6">
        <f t="shared" si="254"/>
        <v>-0.7609964144571868</v>
      </c>
      <c r="CW44" s="7">
        <f t="shared" si="255"/>
        <v>-0.33455585010885702</v>
      </c>
      <c r="CX44" s="10">
        <f t="shared" si="256"/>
        <v>-0.26514445607522596</v>
      </c>
      <c r="CY44" s="11">
        <f t="shared" si="257"/>
        <v>-0.32710761031486935</v>
      </c>
      <c r="CZ44" s="7">
        <f t="shared" si="258"/>
        <v>-7.7286971141174013E-2</v>
      </c>
      <c r="DA44" s="8">
        <f t="shared" si="259"/>
        <v>-0.26514445607522596</v>
      </c>
      <c r="DB44" s="6">
        <f t="shared" si="379"/>
        <v>0</v>
      </c>
      <c r="DC44" s="7">
        <f t="shared" si="379"/>
        <v>0</v>
      </c>
      <c r="DD44" s="12">
        <f t="shared" si="127"/>
        <v>-10</v>
      </c>
      <c r="DE44" s="11">
        <f t="shared" si="380"/>
        <v>0</v>
      </c>
      <c r="DF44" s="7">
        <f t="shared" si="380"/>
        <v>0</v>
      </c>
      <c r="DG44" s="12">
        <f t="shared" si="129"/>
        <v>10</v>
      </c>
      <c r="DH44" s="174">
        <f t="shared" si="260"/>
        <v>0.46989999999999998</v>
      </c>
      <c r="DI44" s="6">
        <f t="shared" si="261"/>
        <v>0</v>
      </c>
      <c r="DJ44" s="7">
        <f t="shared" si="262"/>
        <v>0</v>
      </c>
      <c r="DK44" s="12">
        <f t="shared" si="263"/>
        <v>20</v>
      </c>
      <c r="DL44" s="11">
        <f t="shared" si="264"/>
        <v>-0.7609964144571868</v>
      </c>
      <c r="DM44" s="328">
        <f t="shared" si="265"/>
        <v>-0.33455585010885702</v>
      </c>
      <c r="DN44" s="376">
        <f t="shared" si="266"/>
        <v>9.7348555439247733</v>
      </c>
      <c r="DO44" s="11">
        <f t="shared" si="267"/>
        <v>0.43388880414231745</v>
      </c>
      <c r="DP44" s="328">
        <f t="shared" si="268"/>
        <v>0.25726887896768302</v>
      </c>
      <c r="DQ44" s="13">
        <f t="shared" si="269"/>
        <v>0</v>
      </c>
      <c r="DR44" s="328">
        <f t="shared" si="270"/>
        <v>194.69711087849547</v>
      </c>
      <c r="DS44" s="7">
        <f t="shared" si="271"/>
        <v>0</v>
      </c>
      <c r="DT44" s="7">
        <f t="shared" si="272"/>
        <v>400</v>
      </c>
      <c r="DU44" s="7">
        <f t="shared" si="273"/>
        <v>0.25444677044533864</v>
      </c>
      <c r="DV44" s="7">
        <f t="shared" si="274"/>
        <v>-0.41625863273500596</v>
      </c>
      <c r="DW44" s="7">
        <f t="shared" si="275"/>
        <v>95.45845562074166</v>
      </c>
      <c r="DX44" s="296">
        <f t="shared" si="276"/>
        <v>95.237649610741656</v>
      </c>
      <c r="DY44" s="11">
        <f t="shared" si="277"/>
        <v>101.77870817813546</v>
      </c>
      <c r="DZ44" s="7">
        <f t="shared" si="278"/>
        <v>-166.5034530940024</v>
      </c>
      <c r="EA44" s="12">
        <f t="shared" si="279"/>
        <v>188.09485986350774</v>
      </c>
      <c r="EB44" s="8">
        <f t="shared" si="280"/>
        <v>8579.3480403714166</v>
      </c>
      <c r="EC44" s="328">
        <f t="shared" si="281"/>
        <v>2.5459963862348043</v>
      </c>
      <c r="ED44" s="7">
        <f t="shared" si="282"/>
        <v>0.72587562068012323</v>
      </c>
      <c r="EE44" s="6">
        <f t="shared" si="283"/>
        <v>0.34368291291689412</v>
      </c>
      <c r="EF44" s="7">
        <f t="shared" si="284"/>
        <v>0.32044978603354324</v>
      </c>
      <c r="EG44" s="12">
        <f t="shared" si="285"/>
        <v>-0.26514445607522596</v>
      </c>
      <c r="EH44" s="11">
        <f t="shared" si="286"/>
        <v>-0.44604710944422571</v>
      </c>
      <c r="EI44" s="7">
        <f t="shared" si="287"/>
        <v>-0.14781064290651061</v>
      </c>
      <c r="EJ44" s="8">
        <f t="shared" si="288"/>
        <v>-0.26514445607522596</v>
      </c>
      <c r="EK44" s="491" t="b">
        <f t="shared" si="159"/>
        <v>0</v>
      </c>
      <c r="EL44" s="493" t="b">
        <f t="shared" si="160"/>
        <v>1</v>
      </c>
      <c r="EM44" s="6">
        <f t="shared" si="289"/>
        <v>-0.44604710944422571</v>
      </c>
      <c r="EN44" s="7">
        <f t="shared" si="290"/>
        <v>-0.14781064290651061</v>
      </c>
      <c r="EO44" s="12">
        <f t="shared" si="291"/>
        <v>-0.26514445607522596</v>
      </c>
      <c r="EP44" s="11">
        <f t="shared" si="292"/>
        <v>198.33411200828266</v>
      </c>
      <c r="EQ44" s="7">
        <f t="shared" si="293"/>
        <v>0.46989999999998411</v>
      </c>
      <c r="ER44" s="9">
        <f t="shared" si="294"/>
        <v>-0.26514445607522596</v>
      </c>
      <c r="ES44" s="24">
        <f t="shared" si="295"/>
        <v>-0.4880334306401819</v>
      </c>
      <c r="ET44" s="7">
        <f t="shared" si="296"/>
        <v>0.82307756169972091</v>
      </c>
      <c r="EU44" s="12">
        <f t="shared" si="297"/>
        <v>-0.29045946017304536</v>
      </c>
      <c r="EV44" s="337">
        <f t="shared" si="298"/>
        <v>251.66588799171734</v>
      </c>
      <c r="EW44" s="11">
        <f t="shared" si="299"/>
        <v>0.93481145432511603</v>
      </c>
      <c r="EX44" s="7">
        <f t="shared" si="300"/>
        <v>0.20435470843253073</v>
      </c>
      <c r="EY44" s="8">
        <f t="shared" si="301"/>
        <v>-0.29045946017304536</v>
      </c>
      <c r="EZ44" s="123">
        <f t="shared" si="171"/>
        <v>4.839969199901935</v>
      </c>
      <c r="FA44" s="534">
        <f t="shared" si="18"/>
        <v>-0.31343602077660415</v>
      </c>
      <c r="FB44" s="535">
        <f t="shared" si="19"/>
        <v>0.94585361590999795</v>
      </c>
      <c r="FC44" s="537">
        <f t="shared" si="20"/>
        <v>-8.4372970492392882E-2</v>
      </c>
      <c r="FD44" s="6">
        <f t="shared" si="302"/>
        <v>0.99643424361584931</v>
      </c>
      <c r="FE44" s="7">
        <f t="shared" si="303"/>
        <v>-7.2164496600635175E-16</v>
      </c>
      <c r="FF44" s="9">
        <f t="shared" si="304"/>
        <v>-8.4372970492392882E-2</v>
      </c>
      <c r="FG44" s="328">
        <f t="shared" si="305"/>
        <v>-6.1622789290733282E-2</v>
      </c>
      <c r="FH44" s="7">
        <f t="shared" si="306"/>
        <v>0.20435470843253145</v>
      </c>
      <c r="FI44" s="12">
        <f t="shared" si="307"/>
        <v>-0.20608648968065246</v>
      </c>
      <c r="FJ44" s="547">
        <f t="shared" si="308"/>
        <v>17.062536542342087</v>
      </c>
      <c r="FK44" s="6">
        <f t="shared" si="309"/>
        <v>0.95688729848189702</v>
      </c>
      <c r="FL44" s="7">
        <f t="shared" si="310"/>
        <v>0.99643424361584931</v>
      </c>
      <c r="FM44" s="10">
        <f t="shared" si="311"/>
        <v>0.21344370456519687</v>
      </c>
      <c r="FN44" s="11">
        <f t="shared" si="312"/>
        <v>12.331173192174663</v>
      </c>
      <c r="FO44" s="12">
        <f t="shared" si="313"/>
        <v>-1</v>
      </c>
      <c r="FP44" s="545">
        <f t="shared" si="314"/>
        <v>-12.331173192174663</v>
      </c>
      <c r="FQ44" s="328">
        <f t="shared" si="315"/>
        <v>0.21356194063474376</v>
      </c>
      <c r="FR44" s="12">
        <f t="shared" si="316"/>
        <v>0.97692952535601163</v>
      </c>
      <c r="FS44" s="11">
        <f t="shared" si="317"/>
        <v>0.17938972830604241</v>
      </c>
      <c r="FT44" s="8">
        <f t="shared" si="318"/>
        <v>0.8206102716939575</v>
      </c>
      <c r="FU44" s="6">
        <f t="shared" si="319"/>
        <v>0.97889690628863235</v>
      </c>
      <c r="FV44" s="7">
        <f t="shared" si="320"/>
        <v>1</v>
      </c>
      <c r="FW44" s="10">
        <f t="shared" si="321"/>
        <v>0.2151023230671017</v>
      </c>
      <c r="FX44" s="11">
        <f t="shared" si="322"/>
        <v>12.420807319352614</v>
      </c>
      <c r="FY44" s="12">
        <f t="shared" si="323"/>
        <v>1</v>
      </c>
      <c r="FZ44" s="545">
        <f t="shared" si="324"/>
        <v>12.420807319352614</v>
      </c>
      <c r="GA44" s="372">
        <f t="shared" si="325"/>
        <v>12.158098354312925</v>
      </c>
      <c r="GB44" s="46">
        <f t="shared" si="326"/>
        <v>0.20856335928346334</v>
      </c>
      <c r="GC44" s="47">
        <f t="shared" si="327"/>
        <v>0.95406373900641239</v>
      </c>
      <c r="GD44" s="578">
        <f t="shared" si="328"/>
        <v>-0.21508999762309089</v>
      </c>
      <c r="GE44" s="585">
        <f t="shared" si="329"/>
        <v>1.3777170959129665</v>
      </c>
      <c r="GF44" s="634">
        <f t="shared" si="330"/>
        <v>0.72583841992418174</v>
      </c>
      <c r="GG44" s="553">
        <f t="shared" si="331"/>
        <v>0.15138329915638846</v>
      </c>
      <c r="GH44" s="554">
        <f t="shared" si="332"/>
        <v>0.69249611682737133</v>
      </c>
      <c r="GI44" s="549">
        <f t="shared" si="333"/>
        <v>0.15612058401624029</v>
      </c>
      <c r="GJ44" s="296">
        <f t="shared" si="334"/>
        <v>0.46989999999999998</v>
      </c>
      <c r="GK44" s="337">
        <f t="shared" si="33"/>
        <v>0.24691951950669297</v>
      </c>
      <c r="GL44" s="337">
        <f t="shared" si="335"/>
        <v>5.9299999999999999E-2</v>
      </c>
      <c r="GM44" s="372">
        <f t="shared" si="336"/>
        <v>0.17570793008096269</v>
      </c>
      <c r="GN44" s="548">
        <f t="shared" si="337"/>
        <v>1.452089604964708E-2</v>
      </c>
      <c r="GO44" s="6">
        <f t="shared" si="338"/>
        <v>-12.331173192174663</v>
      </c>
      <c r="GP44" s="10">
        <f t="shared" si="339"/>
        <v>12.420807319352614</v>
      </c>
      <c r="GQ44" s="372">
        <f t="shared" si="340"/>
        <v>17.062536542342087</v>
      </c>
      <c r="GR44" s="697">
        <f t="shared" si="341"/>
        <v>1227.872155714078</v>
      </c>
      <c r="GS44" s="637">
        <f t="shared" si="342"/>
        <v>185.87933787426385</v>
      </c>
      <c r="GT44" s="638">
        <f t="shared" si="343"/>
        <v>752.79321070129265</v>
      </c>
      <c r="GU44" s="639">
        <f t="shared" si="37"/>
        <v>850.29669979245239</v>
      </c>
      <c r="GV44" s="638">
        <f t="shared" si="344"/>
        <v>3443.6188013455308</v>
      </c>
      <c r="GW44" s="640">
        <f t="shared" si="38"/>
        <v>58071.143361644703</v>
      </c>
      <c r="GX44" s="641">
        <f t="shared" si="39"/>
        <v>134.84637289602207</v>
      </c>
      <c r="GY44" s="639">
        <f t="shared" si="345"/>
        <v>191.69611804736178</v>
      </c>
      <c r="GZ44" s="640">
        <f t="shared" si="346"/>
        <v>776.35060375275714</v>
      </c>
      <c r="HA44" s="637">
        <f t="shared" si="42"/>
        <v>-185.87933787426385</v>
      </c>
      <c r="HB44" s="7">
        <f t="shared" si="193"/>
        <v>251.66588799171734</v>
      </c>
      <c r="HC44" s="638">
        <f t="shared" si="347"/>
        <v>58.469768959847706</v>
      </c>
      <c r="HD44" s="640">
        <f t="shared" si="348"/>
        <v>176.44379945568156</v>
      </c>
      <c r="HE44" s="639">
        <f t="shared" si="43"/>
        <v>3443.6188013455308</v>
      </c>
      <c r="HF44" s="7">
        <f t="shared" si="44"/>
        <v>341.66588799171734</v>
      </c>
      <c r="HG44" s="638">
        <f t="shared" si="349"/>
        <v>3268.8150933560655</v>
      </c>
      <c r="HH44" s="644">
        <f t="shared" si="350"/>
        <v>-1083.2166608892262</v>
      </c>
      <c r="HI44" s="596">
        <f t="shared" si="198"/>
        <v>5.1020000000000003</v>
      </c>
      <c r="HJ44" s="625"/>
      <c r="HK44" s="584" t="str">
        <f t="shared" si="217"/>
        <v/>
      </c>
      <c r="HL44" s="583" t="str">
        <f t="shared" si="84"/>
        <v/>
      </c>
      <c r="HM44" s="643" t="str">
        <f t="shared" si="218"/>
        <v/>
      </c>
      <c r="HN44" s="660" t="str">
        <f t="shared" si="218"/>
        <v/>
      </c>
      <c r="HO44" s="661" t="str">
        <f t="shared" si="218"/>
        <v/>
      </c>
      <c r="HP44" s="656" t="str">
        <f t="shared" si="218"/>
        <v/>
      </c>
      <c r="HQ44" s="660" t="str">
        <f t="shared" si="218"/>
        <v/>
      </c>
      <c r="HR44" s="671" t="str">
        <f t="shared" si="218"/>
        <v/>
      </c>
      <c r="HS44" s="655" t="str">
        <f t="shared" si="218"/>
        <v/>
      </c>
      <c r="HT44" s="648" t="str">
        <f t="shared" si="218"/>
        <v/>
      </c>
      <c r="HU44" s="649" t="str">
        <f t="shared" si="218"/>
        <v/>
      </c>
      <c r="HV44" s="650" t="str">
        <f t="shared" si="218"/>
        <v/>
      </c>
      <c r="HW44" s="648" t="str">
        <f t="shared" si="218"/>
        <v/>
      </c>
      <c r="HX44" s="649" t="str">
        <f t="shared" si="218"/>
        <v/>
      </c>
      <c r="HY44" s="650" t="str">
        <f t="shared" si="218"/>
        <v/>
      </c>
      <c r="HZ44" s="648" t="str">
        <f t="shared" si="218"/>
        <v/>
      </c>
      <c r="IA44" s="649" t="str">
        <f t="shared" si="218"/>
        <v/>
      </c>
      <c r="IB44" s="716"/>
      <c r="ID44" s="511"/>
    </row>
    <row r="45" spans="2:240" s="35" customFormat="1" ht="15" customHeight="1" x14ac:dyDescent="0.25">
      <c r="B45" s="143">
        <v>-1.1299674440889094</v>
      </c>
      <c r="C45" s="144">
        <v>-0.55112153762215477</v>
      </c>
      <c r="D45" s="145">
        <v>-0.23490070846053665</v>
      </c>
      <c r="E45" s="146">
        <v>0.48364153900886331</v>
      </c>
      <c r="F45" s="144">
        <v>-0.8388032415964124</v>
      </c>
      <c r="G45" s="147">
        <v>0.24999996726497556</v>
      </c>
      <c r="H45" s="146">
        <v>0.28999999999999998</v>
      </c>
      <c r="I45" s="144">
        <v>0.52</v>
      </c>
      <c r="J45" s="306">
        <v>5.1050000000000004</v>
      </c>
      <c r="K45" s="699" t="str">
        <f t="shared" si="199"/>
        <v>1513</v>
      </c>
      <c r="M45" s="292">
        <f t="shared" si="351"/>
        <v>5.1050000000000004</v>
      </c>
      <c r="N45" s="24">
        <f t="shared" si="352"/>
        <v>-1.1299674440889094</v>
      </c>
      <c r="O45" s="7">
        <f t="shared" si="353"/>
        <v>-0.55112153762215477</v>
      </c>
      <c r="P45" s="12">
        <f t="shared" si="354"/>
        <v>-0.23490070846053665</v>
      </c>
      <c r="Q45" s="11">
        <f t="shared" si="85"/>
        <v>205.99998325167462</v>
      </c>
      <c r="R45" s="7">
        <f t="shared" si="355"/>
        <v>1.2572037917266359</v>
      </c>
      <c r="S45" s="8">
        <f t="shared" si="356"/>
        <v>-0.23490070846053665</v>
      </c>
      <c r="T45" s="6">
        <f t="shared" si="357"/>
        <v>-0.56897840792805032</v>
      </c>
      <c r="U45" s="7">
        <f t="shared" si="358"/>
        <v>1.1210820421554757</v>
      </c>
      <c r="V45" s="10">
        <f t="shared" si="359"/>
        <v>-0.23490070846053665</v>
      </c>
      <c r="W45" s="11">
        <f t="shared" si="214"/>
        <v>116.90898312043127</v>
      </c>
      <c r="X45" s="7">
        <f t="shared" si="360"/>
        <v>1.2572037917266359</v>
      </c>
      <c r="Y45" s="9">
        <f t="shared" si="213"/>
        <v>-0.23490070846053665</v>
      </c>
      <c r="Z45" s="24">
        <f t="shared" si="361"/>
        <v>-0.48364153900886331</v>
      </c>
      <c r="AA45" s="7">
        <f t="shared" si="362"/>
        <v>0.8388032415964124</v>
      </c>
      <c r="AB45" s="7">
        <f t="shared" si="363"/>
        <v>-0.24999996726497556</v>
      </c>
      <c r="AC45" s="10">
        <f t="shared" si="364"/>
        <v>1</v>
      </c>
      <c r="AD45" s="11">
        <f t="shared" si="365"/>
        <v>-0.48364153900886331</v>
      </c>
      <c r="AE45" s="7">
        <f t="shared" si="366"/>
        <v>0.8388032415964124</v>
      </c>
      <c r="AF45" s="12">
        <f t="shared" si="367"/>
        <v>-0.24999996726497556</v>
      </c>
      <c r="AG45" s="6">
        <f t="shared" si="368"/>
        <v>73.40364725137006</v>
      </c>
      <c r="AH45" s="12">
        <f t="shared" si="369"/>
        <v>118.92350802287865</v>
      </c>
      <c r="AI45" s="11">
        <f t="shared" si="370"/>
        <v>-75.522489751159469</v>
      </c>
      <c r="AJ45" s="8">
        <f t="shared" si="371"/>
        <v>-150.03288710323878</v>
      </c>
      <c r="AK45" s="6">
        <f t="shared" si="372"/>
        <v>0.96592583607220739</v>
      </c>
      <c r="AL45" s="7">
        <f t="shared" si="373"/>
        <v>6.6987279208207462E-2</v>
      </c>
      <c r="AM45" s="8">
        <f t="shared" si="374"/>
        <v>-0.24999996726497556</v>
      </c>
      <c r="AN45" s="6">
        <f t="shared" si="375"/>
        <v>14.999997834268331</v>
      </c>
      <c r="AO45" s="10">
        <f t="shared" si="376"/>
        <v>14.999997834268255</v>
      </c>
      <c r="AP45" s="11">
        <f t="shared" si="377"/>
        <v>3.9671296450865872</v>
      </c>
      <c r="AQ45" s="8">
        <f t="shared" si="200"/>
        <v>1.8139366921744218</v>
      </c>
      <c r="AS45" s="123">
        <f t="shared" si="90"/>
        <v>-243.09101687956871</v>
      </c>
      <c r="AT45" s="174">
        <f t="shared" si="219"/>
        <v>-6.5456252385310693E-2</v>
      </c>
      <c r="AV45" s="292">
        <f t="shared" si="91"/>
        <v>5.1050000000000004</v>
      </c>
      <c r="AW45" s="439">
        <v>1.1642999999999999</v>
      </c>
      <c r="AX45" s="440">
        <v>0.34499999999999997</v>
      </c>
      <c r="AY45" s="442">
        <v>5.67E-2</v>
      </c>
      <c r="AZ45" s="565">
        <f t="shared" si="220"/>
        <v>0.41503170466449807</v>
      </c>
      <c r="BA45" s="564">
        <f t="shared" si="221"/>
        <v>3.4299147670592056E-2</v>
      </c>
      <c r="BB45" s="444">
        <f t="shared" si="94"/>
        <v>0.16045625238531067</v>
      </c>
      <c r="BC45" s="11"/>
      <c r="BD45" s="7">
        <f t="shared" si="222"/>
        <v>1.1642999999999999</v>
      </c>
      <c r="BE45" s="8">
        <f t="shared" si="223"/>
        <v>-7.4444456075225984E-2</v>
      </c>
      <c r="BF45" s="6">
        <f t="shared" si="224"/>
        <v>-1.1299674440889094</v>
      </c>
      <c r="BG45" s="7">
        <f t="shared" si="225"/>
        <v>-0.55112153762215477</v>
      </c>
      <c r="BH45" s="12">
        <f t="shared" si="226"/>
        <v>-0.23490070846053665</v>
      </c>
      <c r="BI45" s="11">
        <f t="shared" si="227"/>
        <v>-1.1299674440889094</v>
      </c>
      <c r="BJ45" s="7">
        <f t="shared" si="228"/>
        <v>-0.26549417430010586</v>
      </c>
      <c r="BK45" s="10">
        <f t="shared" si="229"/>
        <v>0.72344004999737965</v>
      </c>
      <c r="BL45" s="328">
        <f t="shared" si="230"/>
        <v>-0.25470127785995123</v>
      </c>
      <c r="BM45" s="7">
        <f t="shared" si="231"/>
        <v>-8.7628138306646786E-2</v>
      </c>
      <c r="BN45" s="8">
        <f t="shared" si="232"/>
        <v>-0.37304196604065615</v>
      </c>
      <c r="BO45" s="6">
        <f t="shared" si="233"/>
        <v>-0.48364153900886325</v>
      </c>
      <c r="BP45" s="7">
        <f t="shared" si="234"/>
        <v>0.83880324159641251</v>
      </c>
      <c r="BQ45" s="7">
        <f t="shared" si="235"/>
        <v>-0.24999996726497542</v>
      </c>
      <c r="BR45" s="8">
        <f t="shared" si="236"/>
        <v>-0.14294183084366294</v>
      </c>
      <c r="BS45" s="6">
        <f t="shared" si="378"/>
        <v>0</v>
      </c>
      <c r="BT45" s="7">
        <f t="shared" si="378"/>
        <v>0</v>
      </c>
      <c r="BU45" s="12">
        <f t="shared" si="70"/>
        <v>-7.4444456075225984E-2</v>
      </c>
      <c r="BV45" s="11">
        <f t="shared" si="71"/>
        <v>0</v>
      </c>
      <c r="BW45" s="7">
        <f t="shared" si="72"/>
        <v>1</v>
      </c>
      <c r="BX45" s="10">
        <f t="shared" si="73"/>
        <v>-7.4444456075225984E-2</v>
      </c>
      <c r="BY45" s="328">
        <f t="shared" si="74"/>
        <v>1</v>
      </c>
      <c r="BZ45" s="7">
        <f t="shared" si="75"/>
        <v>0</v>
      </c>
      <c r="CA45" s="8">
        <f t="shared" si="76"/>
        <v>-7.4444456075225984E-2</v>
      </c>
      <c r="CB45" s="6">
        <f t="shared" si="237"/>
        <v>0</v>
      </c>
      <c r="CC45" s="7">
        <f t="shared" si="238"/>
        <v>0</v>
      </c>
      <c r="CD45" s="7">
        <f t="shared" si="239"/>
        <v>-1</v>
      </c>
      <c r="CE45" s="8">
        <f t="shared" si="240"/>
        <v>-7.4444456075225984E-2</v>
      </c>
      <c r="CF45" s="6">
        <f t="shared" si="241"/>
        <v>-0.83880324159641251</v>
      </c>
      <c r="CG45" s="7">
        <f t="shared" si="242"/>
        <v>-0.48364153900886325</v>
      </c>
      <c r="CH45" s="7">
        <f t="shared" si="243"/>
        <v>0</v>
      </c>
      <c r="CI45" s="6">
        <f t="shared" si="77"/>
        <v>0</v>
      </c>
      <c r="CJ45" s="7">
        <f t="shared" si="244"/>
        <v>0.14822393750550009</v>
      </c>
      <c r="CK45" s="10">
        <f t="shared" si="245"/>
        <v>-7.4444456075225984E-2</v>
      </c>
      <c r="CL45" s="328">
        <f t="shared" si="246"/>
        <v>-0.83880324159641251</v>
      </c>
      <c r="CM45" s="7">
        <f t="shared" si="247"/>
        <v>-0.33541760150336319</v>
      </c>
      <c r="CN45" s="8">
        <f t="shared" si="248"/>
        <v>-7.4444456075225984E-2</v>
      </c>
      <c r="CO45" s="296">
        <f t="shared" si="201"/>
        <v>0.28849999999999998</v>
      </c>
      <c r="CP45" s="6">
        <f t="shared" si="249"/>
        <v>0.93750001636751135</v>
      </c>
      <c r="CQ45" s="7">
        <f t="shared" si="250"/>
        <v>-2.5721057537796277</v>
      </c>
      <c r="CR45" s="7">
        <f t="shared" si="251"/>
        <v>1.7084244772118864</v>
      </c>
      <c r="CS45" s="10">
        <f t="shared" si="252"/>
        <v>0.2091361072310649</v>
      </c>
      <c r="CT45" s="11">
        <f t="shared" si="119"/>
        <v>1.6156905145090092</v>
      </c>
      <c r="CU45" s="8">
        <f t="shared" si="253"/>
        <v>1.1278889082899886</v>
      </c>
      <c r="CV45" s="6">
        <f t="shared" si="254"/>
        <v>-1.3552464409867324</v>
      </c>
      <c r="CW45" s="7">
        <f t="shared" si="255"/>
        <v>-0.63319110949365931</v>
      </c>
      <c r="CX45" s="10">
        <f t="shared" si="256"/>
        <v>-7.4444456075225984E-2</v>
      </c>
      <c r="CY45" s="11">
        <f t="shared" si="257"/>
        <v>-0.94607687243428118</v>
      </c>
      <c r="CZ45" s="7">
        <f t="shared" si="258"/>
        <v>-0.39726998993089668</v>
      </c>
      <c r="DA45" s="8">
        <f t="shared" si="259"/>
        <v>-7.4444456075225984E-2</v>
      </c>
      <c r="DB45" s="6">
        <f t="shared" si="379"/>
        <v>0</v>
      </c>
      <c r="DC45" s="7">
        <f t="shared" si="379"/>
        <v>0</v>
      </c>
      <c r="DD45" s="12">
        <f t="shared" si="127"/>
        <v>-10</v>
      </c>
      <c r="DE45" s="11">
        <f t="shared" si="380"/>
        <v>0</v>
      </c>
      <c r="DF45" s="7">
        <f t="shared" si="380"/>
        <v>0</v>
      </c>
      <c r="DG45" s="12">
        <f t="shared" si="129"/>
        <v>10</v>
      </c>
      <c r="DH45" s="174">
        <f t="shared" si="260"/>
        <v>1.1642999999999999</v>
      </c>
      <c r="DI45" s="6">
        <f t="shared" si="261"/>
        <v>0</v>
      </c>
      <c r="DJ45" s="7">
        <f t="shared" si="262"/>
        <v>0</v>
      </c>
      <c r="DK45" s="12">
        <f t="shared" si="263"/>
        <v>20</v>
      </c>
      <c r="DL45" s="11">
        <f t="shared" si="264"/>
        <v>-1.3552464409867324</v>
      </c>
      <c r="DM45" s="328">
        <f t="shared" si="265"/>
        <v>-0.63319110949365931</v>
      </c>
      <c r="DN45" s="376">
        <f t="shared" si="266"/>
        <v>9.9255555439247747</v>
      </c>
      <c r="DO45" s="11">
        <f t="shared" si="267"/>
        <v>0.40916956855245123</v>
      </c>
      <c r="DP45" s="328">
        <f t="shared" si="268"/>
        <v>0.23592111956276263</v>
      </c>
      <c r="DQ45" s="13">
        <f t="shared" si="269"/>
        <v>0</v>
      </c>
      <c r="DR45" s="328">
        <f t="shared" si="270"/>
        <v>198.51111087849549</v>
      </c>
      <c r="DS45" s="7">
        <f t="shared" si="271"/>
        <v>0</v>
      </c>
      <c r="DT45" s="7">
        <f t="shared" si="272"/>
        <v>400</v>
      </c>
      <c r="DU45" s="7">
        <f t="shared" si="273"/>
        <v>0.22307851048514643</v>
      </c>
      <c r="DV45" s="7">
        <f t="shared" si="274"/>
        <v>-0.70390875698971822</v>
      </c>
      <c r="DW45" s="7">
        <f t="shared" si="275"/>
        <v>100.75427675248484</v>
      </c>
      <c r="DX45" s="296">
        <f t="shared" si="276"/>
        <v>99.39868226248484</v>
      </c>
      <c r="DY45" s="11">
        <f t="shared" si="277"/>
        <v>89.23140419405857</v>
      </c>
      <c r="DZ45" s="7">
        <f t="shared" si="278"/>
        <v>-281.5635027958873</v>
      </c>
      <c r="EA45" s="12">
        <f t="shared" si="279"/>
        <v>352.81176277960185</v>
      </c>
      <c r="EB45" s="8">
        <f t="shared" si="280"/>
        <v>47796.11709768467</v>
      </c>
      <c r="EC45" s="328">
        <f t="shared" si="281"/>
        <v>5.6055010927274012</v>
      </c>
      <c r="ED45" s="7">
        <f t="shared" si="282"/>
        <v>0.7053600965361676</v>
      </c>
      <c r="EE45" s="6">
        <f t="shared" si="283"/>
        <v>0.93835402264483236</v>
      </c>
      <c r="EF45" s="7">
        <f t="shared" si="284"/>
        <v>0.68926498401287839</v>
      </c>
      <c r="EG45" s="12">
        <f t="shared" si="285"/>
        <v>-7.4444456075225984E-2</v>
      </c>
      <c r="EH45" s="11">
        <f t="shared" si="286"/>
        <v>-1.0666345546129135</v>
      </c>
      <c r="EI45" s="7">
        <f t="shared" si="287"/>
        <v>-0.46678176582394831</v>
      </c>
      <c r="EJ45" s="8">
        <f t="shared" si="288"/>
        <v>-7.4444456075225984E-2</v>
      </c>
      <c r="EK45" s="491" t="b">
        <f t="shared" si="159"/>
        <v>0</v>
      </c>
      <c r="EL45" s="493" t="b">
        <f t="shared" si="160"/>
        <v>1</v>
      </c>
      <c r="EM45" s="6">
        <f t="shared" si="289"/>
        <v>-1.0666345546129135</v>
      </c>
      <c r="EN45" s="7">
        <f t="shared" si="290"/>
        <v>-0.46678176582394831</v>
      </c>
      <c r="EO45" s="12">
        <f t="shared" si="291"/>
        <v>-7.4444456075225984E-2</v>
      </c>
      <c r="EP45" s="11">
        <f t="shared" si="292"/>
        <v>203.63520031906845</v>
      </c>
      <c r="EQ45" s="7">
        <f t="shared" si="293"/>
        <v>1.164300000000005</v>
      </c>
      <c r="ER45" s="9">
        <f t="shared" si="294"/>
        <v>-7.4444456075225984E-2</v>
      </c>
      <c r="ES45" s="24">
        <f t="shared" si="295"/>
        <v>-0.48364153900886331</v>
      </c>
      <c r="ET45" s="7">
        <f t="shared" si="296"/>
        <v>0.8388032415964124</v>
      </c>
      <c r="EU45" s="12">
        <f t="shared" si="297"/>
        <v>-0.24999996726497556</v>
      </c>
      <c r="EV45" s="337">
        <f t="shared" si="298"/>
        <v>246.36479968093155</v>
      </c>
      <c r="EW45" s="11">
        <f t="shared" si="299"/>
        <v>0.96233923697708645</v>
      </c>
      <c r="EX45" s="7">
        <f t="shared" si="300"/>
        <v>0.10678581058300912</v>
      </c>
      <c r="EY45" s="8">
        <f t="shared" si="301"/>
        <v>-0.24999996726497556</v>
      </c>
      <c r="EZ45" s="123">
        <f t="shared" si="171"/>
        <v>1.9572616909075082</v>
      </c>
      <c r="FA45" s="534">
        <f t="shared" si="18"/>
        <v>-0.40067803542293584</v>
      </c>
      <c r="FB45" s="535">
        <f t="shared" si="19"/>
        <v>0.91558211812779</v>
      </c>
      <c r="FC45" s="537">
        <f t="shared" si="20"/>
        <v>-3.4154017249016379E-2</v>
      </c>
      <c r="FD45" s="6">
        <f t="shared" si="302"/>
        <v>0.99941658136422462</v>
      </c>
      <c r="FE45" s="7">
        <f t="shared" si="303"/>
        <v>1.1102230246251565E-16</v>
      </c>
      <c r="FF45" s="9">
        <f t="shared" si="304"/>
        <v>-3.4154017249016379E-2</v>
      </c>
      <c r="FG45" s="328">
        <f t="shared" si="305"/>
        <v>-3.7077344387138167E-2</v>
      </c>
      <c r="FH45" s="7">
        <f t="shared" si="306"/>
        <v>0.10678581058300901</v>
      </c>
      <c r="FI45" s="12">
        <f t="shared" si="307"/>
        <v>-0.21584595001595919</v>
      </c>
      <c r="FJ45" s="547">
        <f t="shared" si="308"/>
        <v>13.995128106834455</v>
      </c>
      <c r="FK45" s="6">
        <f t="shared" si="309"/>
        <v>0.96824584500400068</v>
      </c>
      <c r="FL45" s="7">
        <f t="shared" si="310"/>
        <v>0.99941658136422462</v>
      </c>
      <c r="FM45" s="10">
        <f t="shared" si="311"/>
        <v>0.11303954533114827</v>
      </c>
      <c r="FN45" s="11">
        <f t="shared" si="312"/>
        <v>6.3319125776927381</v>
      </c>
      <c r="FO45" s="12">
        <f t="shared" si="313"/>
        <v>-1</v>
      </c>
      <c r="FP45" s="545">
        <f t="shared" si="314"/>
        <v>-6.3319125776927381</v>
      </c>
      <c r="FQ45" s="328">
        <f t="shared" si="315"/>
        <v>0.11028790997039331</v>
      </c>
      <c r="FR45" s="12">
        <f t="shared" si="316"/>
        <v>0.99389968151436814</v>
      </c>
      <c r="FS45" s="11">
        <f t="shared" si="317"/>
        <v>9.9881497329718336E-2</v>
      </c>
      <c r="FT45" s="8">
        <f t="shared" si="318"/>
        <v>0.90011850267028171</v>
      </c>
      <c r="FU45" s="6">
        <f t="shared" si="319"/>
        <v>0.99428204784061647</v>
      </c>
      <c r="FV45" s="7">
        <f t="shared" si="320"/>
        <v>1</v>
      </c>
      <c r="FW45" s="10">
        <f t="shared" si="321"/>
        <v>0.21900731404474691</v>
      </c>
      <c r="FX45" s="11">
        <f t="shared" si="322"/>
        <v>12.605341060611122</v>
      </c>
      <c r="FY45" s="12">
        <f t="shared" si="323"/>
        <v>1</v>
      </c>
      <c r="FZ45" s="545">
        <f t="shared" si="324"/>
        <v>12.605341060611122</v>
      </c>
      <c r="GA45" s="372">
        <f t="shared" si="325"/>
        <v>12.532635280463923</v>
      </c>
      <c r="GB45" s="46">
        <f t="shared" si="326"/>
        <v>0.10762957679430291</v>
      </c>
      <c r="GC45" s="47">
        <f t="shared" si="327"/>
        <v>0.96994314359661571</v>
      </c>
      <c r="GD45" s="578">
        <f t="shared" si="328"/>
        <v>-0.21823421452419928</v>
      </c>
      <c r="GE45" s="585">
        <f t="shared" si="329"/>
        <v>1.295806934915118</v>
      </c>
      <c r="GF45" s="634">
        <f t="shared" si="330"/>
        <v>0.77171990136439972</v>
      </c>
      <c r="GG45" s="553">
        <f t="shared" si="331"/>
        <v>8.3059886387591528E-2</v>
      </c>
      <c r="GH45" s="554">
        <f t="shared" si="332"/>
        <v>0.74852442710545608</v>
      </c>
      <c r="GI45" s="549">
        <f t="shared" si="333"/>
        <v>0.16841568650695232</v>
      </c>
      <c r="GJ45" s="296">
        <f t="shared" si="334"/>
        <v>1.1642999999999999</v>
      </c>
      <c r="GK45" s="337">
        <f t="shared" si="33"/>
        <v>0.60998192925411232</v>
      </c>
      <c r="GL45" s="337">
        <f t="shared" si="335"/>
        <v>5.67E-2</v>
      </c>
      <c r="GM45" s="372">
        <f t="shared" si="336"/>
        <v>0.41503170466449807</v>
      </c>
      <c r="GN45" s="548">
        <f t="shared" si="337"/>
        <v>3.4299147670592056E-2</v>
      </c>
      <c r="GO45" s="6">
        <f t="shared" si="338"/>
        <v>-6.3319125776927381</v>
      </c>
      <c r="GP45" s="10">
        <f t="shared" si="339"/>
        <v>12.605341060611122</v>
      </c>
      <c r="GQ45" s="372">
        <f t="shared" si="340"/>
        <v>13.995128106834455</v>
      </c>
      <c r="GR45" s="697">
        <f t="shared" si="341"/>
        <v>2683.2085398557429</v>
      </c>
      <c r="GS45" s="637">
        <f t="shared" si="342"/>
        <v>222.8669964746334</v>
      </c>
      <c r="GT45" s="638">
        <f t="shared" si="343"/>
        <v>365.3665556078945</v>
      </c>
      <c r="GU45" s="639">
        <f t="shared" si="37"/>
        <v>2008.4471350999875</v>
      </c>
      <c r="GV45" s="638">
        <f t="shared" si="344"/>
        <v>3292.6338286052546</v>
      </c>
      <c r="GW45" s="640">
        <f t="shared" si="38"/>
        <v>58071.143361644703</v>
      </c>
      <c r="GX45" s="641">
        <f t="shared" si="39"/>
        <v>319.46779722042476</v>
      </c>
      <c r="GY45" s="639">
        <f t="shared" si="345"/>
        <v>451.89440828112214</v>
      </c>
      <c r="GZ45" s="640">
        <f t="shared" si="346"/>
        <v>740.83245192804304</v>
      </c>
      <c r="HA45" s="637">
        <f t="shared" si="42"/>
        <v>-222.8669964746334</v>
      </c>
      <c r="HB45" s="7">
        <f t="shared" si="193"/>
        <v>246.36479968093155</v>
      </c>
      <c r="HC45" s="638">
        <f t="shared" si="347"/>
        <v>89.350038785801345</v>
      </c>
      <c r="HD45" s="640">
        <f t="shared" si="348"/>
        <v>204.17215453288446</v>
      </c>
      <c r="HE45" s="639">
        <f t="shared" si="43"/>
        <v>3292.6338286052546</v>
      </c>
      <c r="HF45" s="7">
        <f t="shared" si="44"/>
        <v>336.36479968093158</v>
      </c>
      <c r="HG45" s="638">
        <f t="shared" si="349"/>
        <v>3016.4365002815111</v>
      </c>
      <c r="HH45" s="644">
        <f t="shared" si="350"/>
        <v>-1320.0561991995366</v>
      </c>
      <c r="HI45" s="596">
        <f t="shared" si="198"/>
        <v>5.1050000000000004</v>
      </c>
      <c r="HJ45" s="625"/>
      <c r="HK45" s="584" t="str">
        <f t="shared" si="217"/>
        <v/>
      </c>
      <c r="HL45" s="583" t="str">
        <f t="shared" si="84"/>
        <v/>
      </c>
      <c r="HM45" s="643" t="str">
        <f t="shared" si="218"/>
        <v/>
      </c>
      <c r="HN45" s="660" t="str">
        <f t="shared" si="218"/>
        <v/>
      </c>
      <c r="HO45" s="661" t="str">
        <f t="shared" si="218"/>
        <v/>
      </c>
      <c r="HP45" s="656" t="str">
        <f t="shared" si="218"/>
        <v/>
      </c>
      <c r="HQ45" s="660" t="str">
        <f t="shared" si="218"/>
        <v/>
      </c>
      <c r="HR45" s="671" t="str">
        <f t="shared" si="218"/>
        <v/>
      </c>
      <c r="HS45" s="655" t="str">
        <f t="shared" si="218"/>
        <v/>
      </c>
      <c r="HT45" s="648" t="str">
        <f t="shared" si="218"/>
        <v/>
      </c>
      <c r="HU45" s="649" t="str">
        <f t="shared" si="218"/>
        <v/>
      </c>
      <c r="HV45" s="650" t="str">
        <f t="shared" si="218"/>
        <v/>
      </c>
      <c r="HW45" s="648" t="str">
        <f t="shared" si="218"/>
        <v/>
      </c>
      <c r="HX45" s="649" t="str">
        <f t="shared" si="218"/>
        <v/>
      </c>
      <c r="HY45" s="650" t="str">
        <f t="shared" si="218"/>
        <v/>
      </c>
      <c r="HZ45" s="648" t="str">
        <f t="shared" si="218"/>
        <v/>
      </c>
      <c r="IA45" s="649" t="str">
        <f t="shared" si="218"/>
        <v/>
      </c>
      <c r="IB45" s="716"/>
      <c r="ID45" s="511"/>
    </row>
    <row r="46" spans="2:240" s="35" customFormat="1" ht="15" customHeight="1" x14ac:dyDescent="0.25">
      <c r="B46" s="143">
        <v>-1.7426768369873544</v>
      </c>
      <c r="C46" s="144">
        <v>-0.83964478983134827</v>
      </c>
      <c r="D46" s="145">
        <v>-6.0500182468550309E-2</v>
      </c>
      <c r="E46" s="146">
        <v>0.41529835988587444</v>
      </c>
      <c r="F46" s="144">
        <v>-0.87133832506999065</v>
      </c>
      <c r="G46" s="147">
        <v>0.26133655607343975</v>
      </c>
      <c r="H46" s="146">
        <v>0.28999999999999998</v>
      </c>
      <c r="I46" s="144">
        <v>0.52</v>
      </c>
      <c r="J46" s="306">
        <v>5.1079999999999997</v>
      </c>
      <c r="K46" s="699" t="str">
        <f t="shared" si="199"/>
        <v>1513</v>
      </c>
      <c r="M46" s="292">
        <f t="shared" si="351"/>
        <v>5.1079999999999997</v>
      </c>
      <c r="N46" s="24">
        <f t="shared" si="352"/>
        <v>-1.7426768369873544</v>
      </c>
      <c r="O46" s="7">
        <f t="shared" si="353"/>
        <v>-0.83964478983134827</v>
      </c>
      <c r="P46" s="12">
        <f t="shared" si="354"/>
        <v>-6.0500182468550309E-2</v>
      </c>
      <c r="Q46" s="11">
        <f t="shared" si="85"/>
        <v>205.72538329132192</v>
      </c>
      <c r="R46" s="7">
        <f t="shared" si="355"/>
        <v>1.9344058341679957</v>
      </c>
      <c r="S46" s="8">
        <f t="shared" si="356"/>
        <v>-6.0500182468550309E-2</v>
      </c>
      <c r="T46" s="6">
        <f t="shared" si="357"/>
        <v>-0.86718560194245409</v>
      </c>
      <c r="U46" s="7">
        <f t="shared" si="358"/>
        <v>1.729137086250504</v>
      </c>
      <c r="V46" s="10">
        <f t="shared" si="359"/>
        <v>-6.0500182468550309E-2</v>
      </c>
      <c r="W46" s="11">
        <f t="shared" si="214"/>
        <v>116.63438316007857</v>
      </c>
      <c r="X46" s="7">
        <f t="shared" si="360"/>
        <v>1.9344058341679957</v>
      </c>
      <c r="Y46" s="9">
        <f t="shared" si="213"/>
        <v>-6.0500182468550309E-2</v>
      </c>
      <c r="Z46" s="24">
        <f t="shared" si="361"/>
        <v>-0.41529835988587444</v>
      </c>
      <c r="AA46" s="7">
        <f t="shared" si="362"/>
        <v>0.87133832506999065</v>
      </c>
      <c r="AB46" s="7">
        <f t="shared" si="363"/>
        <v>-0.26133655607343975</v>
      </c>
      <c r="AC46" s="10">
        <f t="shared" si="364"/>
        <v>1</v>
      </c>
      <c r="AD46" s="11">
        <f t="shared" si="365"/>
        <v>-0.41529835988587444</v>
      </c>
      <c r="AE46" s="7">
        <f t="shared" si="366"/>
        <v>0.87133832506999065</v>
      </c>
      <c r="AF46" s="12">
        <f t="shared" si="367"/>
        <v>-0.26133655607343975</v>
      </c>
      <c r="AG46" s="6">
        <f t="shared" si="368"/>
        <v>73.304673547324356</v>
      </c>
      <c r="AH46" s="12">
        <f t="shared" si="369"/>
        <v>114.53810702958212</v>
      </c>
      <c r="AI46" s="11">
        <f t="shared" si="370"/>
        <v>-74.850616563802447</v>
      </c>
      <c r="AJ46" s="8">
        <f t="shared" si="371"/>
        <v>-154.5165390804344</v>
      </c>
      <c r="AK46" s="6">
        <f t="shared" si="372"/>
        <v>0.96523913824194629</v>
      </c>
      <c r="AL46" s="7">
        <f t="shared" si="373"/>
        <v>-4.0755938977148909E-3</v>
      </c>
      <c r="AM46" s="8">
        <f t="shared" si="374"/>
        <v>-0.26133655607343975</v>
      </c>
      <c r="AN46" s="6">
        <f t="shared" si="375"/>
        <v>-0.89346628198404487</v>
      </c>
      <c r="AO46" s="10">
        <f t="shared" si="376"/>
        <v>15.151269737293189</v>
      </c>
      <c r="AP46" s="11">
        <f t="shared" si="377"/>
        <v>-0.2419223717563343</v>
      </c>
      <c r="AQ46" s="8">
        <f t="shared" si="200"/>
        <v>1.1786814071117462</v>
      </c>
      <c r="AS46" s="123">
        <f t="shared" si="90"/>
        <v>-243.36561683992142</v>
      </c>
      <c r="AT46" s="174">
        <f t="shared" si="219"/>
        <v>0.10913496802358726</v>
      </c>
      <c r="AV46" s="292">
        <f t="shared" si="91"/>
        <v>5.1079999999999997</v>
      </c>
      <c r="AW46" s="439">
        <v>1.8197000000000001</v>
      </c>
      <c r="AX46" s="440">
        <v>0.52890000000000004</v>
      </c>
      <c r="AY46" s="442">
        <v>4.3099999999999999E-2</v>
      </c>
      <c r="AZ46" s="565">
        <f t="shared" si="220"/>
        <v>0.49290216683709798</v>
      </c>
      <c r="BA46" s="564">
        <f t="shared" si="221"/>
        <v>4.0734536705254704E-2</v>
      </c>
      <c r="BB46" s="444">
        <f t="shared" si="94"/>
        <v>0.16976503197641279</v>
      </c>
      <c r="BC46" s="11"/>
      <c r="BD46" s="7">
        <f t="shared" si="222"/>
        <v>1.8197000000000001</v>
      </c>
      <c r="BE46" s="8">
        <f t="shared" si="223"/>
        <v>0.10926484950786249</v>
      </c>
      <c r="BF46" s="6">
        <f t="shared" si="224"/>
        <v>-1.7426768369873544</v>
      </c>
      <c r="BG46" s="7">
        <f t="shared" si="225"/>
        <v>-0.83964478983134827</v>
      </c>
      <c r="BH46" s="12">
        <f t="shared" si="226"/>
        <v>-6.0500182468550309E-2</v>
      </c>
      <c r="BI46" s="11">
        <f t="shared" si="227"/>
        <v>-1.7426768369873544</v>
      </c>
      <c r="BJ46" s="7">
        <f t="shared" si="228"/>
        <v>-0.55236239935807929</v>
      </c>
      <c r="BK46" s="10">
        <f t="shared" si="229"/>
        <v>0.89734574883980178</v>
      </c>
      <c r="BL46" s="328">
        <f t="shared" si="230"/>
        <v>-0.83299157697920045</v>
      </c>
      <c r="BM46" s="7">
        <f t="shared" si="231"/>
        <v>-0.44185294553563181</v>
      </c>
      <c r="BN46" s="8">
        <f t="shared" si="232"/>
        <v>-0.17980808805619222</v>
      </c>
      <c r="BO46" s="6">
        <f t="shared" si="233"/>
        <v>-0.41529835988587438</v>
      </c>
      <c r="BP46" s="7">
        <f t="shared" si="234"/>
        <v>0.87133832506999065</v>
      </c>
      <c r="BQ46" s="7">
        <f t="shared" si="235"/>
        <v>-0.26133655607343975</v>
      </c>
      <c r="BR46" s="8">
        <f t="shared" si="236"/>
        <v>-7.9270567147059212E-3</v>
      </c>
      <c r="BS46" s="6">
        <f t="shared" si="378"/>
        <v>0</v>
      </c>
      <c r="BT46" s="7">
        <f t="shared" si="378"/>
        <v>0</v>
      </c>
      <c r="BU46" s="12">
        <f t="shared" si="70"/>
        <v>0.10926484950786249</v>
      </c>
      <c r="BV46" s="11">
        <f t="shared" si="71"/>
        <v>0</v>
      </c>
      <c r="BW46" s="7">
        <f t="shared" si="72"/>
        <v>1</v>
      </c>
      <c r="BX46" s="10">
        <f t="shared" si="73"/>
        <v>0.10926484950786249</v>
      </c>
      <c r="BY46" s="328">
        <f t="shared" si="74"/>
        <v>1</v>
      </c>
      <c r="BZ46" s="7">
        <f t="shared" si="75"/>
        <v>0</v>
      </c>
      <c r="CA46" s="8">
        <f t="shared" si="76"/>
        <v>0.10926484950786249</v>
      </c>
      <c r="CB46" s="6">
        <f t="shared" si="237"/>
        <v>0</v>
      </c>
      <c r="CC46" s="7">
        <f t="shared" si="238"/>
        <v>0</v>
      </c>
      <c r="CD46" s="7">
        <f t="shared" si="239"/>
        <v>-1</v>
      </c>
      <c r="CE46" s="8">
        <f t="shared" si="240"/>
        <v>0.10926484950786249</v>
      </c>
      <c r="CF46" s="6">
        <f t="shared" si="241"/>
        <v>-0.87133832506999065</v>
      </c>
      <c r="CG46" s="7">
        <f t="shared" si="242"/>
        <v>-0.41529835988587438</v>
      </c>
      <c r="CH46" s="7">
        <f t="shared" si="243"/>
        <v>0</v>
      </c>
      <c r="CI46" s="6">
        <f t="shared" si="77"/>
        <v>0</v>
      </c>
      <c r="CJ46" s="7">
        <f t="shared" si="244"/>
        <v>4.186887588359315E-2</v>
      </c>
      <c r="CK46" s="10">
        <f t="shared" si="245"/>
        <v>0.1092648495078625</v>
      </c>
      <c r="CL46" s="328">
        <f t="shared" si="246"/>
        <v>-0.87133832506999065</v>
      </c>
      <c r="CM46" s="7">
        <f t="shared" si="247"/>
        <v>-0.37342948400228121</v>
      </c>
      <c r="CN46" s="8">
        <f t="shared" si="248"/>
        <v>0.1092648495078625</v>
      </c>
      <c r="CO46" s="296">
        <f t="shared" si="201"/>
        <v>0.28849999999999998</v>
      </c>
      <c r="CP46" s="6">
        <f t="shared" si="249"/>
        <v>0.93170320445967392</v>
      </c>
      <c r="CQ46" s="7">
        <f t="shared" si="250"/>
        <v>-3.7691045917344614</v>
      </c>
      <c r="CR46" s="7">
        <f t="shared" si="251"/>
        <v>3.7595768170963964</v>
      </c>
      <c r="CS46" s="10">
        <f t="shared" si="252"/>
        <v>0.19491035182974592</v>
      </c>
      <c r="CT46" s="11">
        <f t="shared" si="119"/>
        <v>2.2596203901966794</v>
      </c>
      <c r="CU46" s="8">
        <f t="shared" si="253"/>
        <v>1.7857715046613964</v>
      </c>
      <c r="CV46" s="6">
        <f t="shared" si="254"/>
        <v>-1.9688938460879732</v>
      </c>
      <c r="CW46" s="7">
        <f t="shared" si="255"/>
        <v>-0.89654776612976728</v>
      </c>
      <c r="CX46" s="10">
        <f t="shared" si="256"/>
        <v>0.1092648495078625</v>
      </c>
      <c r="CY46" s="11">
        <f t="shared" si="257"/>
        <v>-1.5560111518293782</v>
      </c>
      <c r="CZ46" s="7">
        <f t="shared" si="258"/>
        <v>-0.69975910113321493</v>
      </c>
      <c r="DA46" s="8">
        <f t="shared" si="259"/>
        <v>0.1092648495078625</v>
      </c>
      <c r="DB46" s="6">
        <f t="shared" si="379"/>
        <v>0</v>
      </c>
      <c r="DC46" s="7">
        <f t="shared" si="379"/>
        <v>0</v>
      </c>
      <c r="DD46" s="12">
        <f t="shared" si="127"/>
        <v>-10</v>
      </c>
      <c r="DE46" s="11">
        <f t="shared" si="380"/>
        <v>0</v>
      </c>
      <c r="DF46" s="7">
        <f t="shared" si="380"/>
        <v>0</v>
      </c>
      <c r="DG46" s="12">
        <f t="shared" si="129"/>
        <v>10</v>
      </c>
      <c r="DH46" s="174">
        <f t="shared" si="260"/>
        <v>1.8197000000000001</v>
      </c>
      <c r="DI46" s="6">
        <f t="shared" si="261"/>
        <v>0</v>
      </c>
      <c r="DJ46" s="7">
        <f t="shared" si="262"/>
        <v>0</v>
      </c>
      <c r="DK46" s="12">
        <f t="shared" si="263"/>
        <v>20</v>
      </c>
      <c r="DL46" s="11">
        <f t="shared" si="264"/>
        <v>-1.9688938460879732</v>
      </c>
      <c r="DM46" s="328">
        <f t="shared" si="265"/>
        <v>-0.89654776612976728</v>
      </c>
      <c r="DN46" s="376">
        <f t="shared" si="266"/>
        <v>10.109264849507863</v>
      </c>
      <c r="DO46" s="11">
        <f t="shared" si="267"/>
        <v>0.41288269425859503</v>
      </c>
      <c r="DP46" s="328">
        <f t="shared" si="268"/>
        <v>0.19678866499655234</v>
      </c>
      <c r="DQ46" s="13">
        <f t="shared" si="269"/>
        <v>0</v>
      </c>
      <c r="DR46" s="328">
        <f t="shared" si="270"/>
        <v>202.18529699015727</v>
      </c>
      <c r="DS46" s="7">
        <f t="shared" si="271"/>
        <v>0</v>
      </c>
      <c r="DT46" s="7">
        <f t="shared" si="272"/>
        <v>400</v>
      </c>
      <c r="DU46" s="7">
        <f t="shared" si="273"/>
        <v>0.20919789788936177</v>
      </c>
      <c r="DV46" s="7">
        <f t="shared" si="274"/>
        <v>-0.98935263388428807</v>
      </c>
      <c r="DW46" s="7">
        <f t="shared" si="275"/>
        <v>106.8775766716106</v>
      </c>
      <c r="DX46" s="296">
        <f t="shared" si="276"/>
        <v>103.5662685816106</v>
      </c>
      <c r="DY46" s="11">
        <f t="shared" si="277"/>
        <v>83.679159155744713</v>
      </c>
      <c r="DZ46" s="7">
        <f t="shared" si="278"/>
        <v>-395.74105355371523</v>
      </c>
      <c r="EA46" s="12">
        <f t="shared" si="279"/>
        <v>547.61311364614085</v>
      </c>
      <c r="EB46" s="8">
        <f t="shared" si="280"/>
        <v>110787.17657523618</v>
      </c>
      <c r="EC46" s="328">
        <f t="shared" si="281"/>
        <v>8.7069246126044835</v>
      </c>
      <c r="ED46" s="7">
        <f t="shared" si="282"/>
        <v>0.7516086123089486</v>
      </c>
      <c r="EE46" s="6">
        <f t="shared" si="283"/>
        <v>1.6260446466706397</v>
      </c>
      <c r="EF46" s="7">
        <f t="shared" si="284"/>
        <v>0.81687630461029281</v>
      </c>
      <c r="EG46" s="12">
        <f t="shared" si="285"/>
        <v>0.1092648495078625</v>
      </c>
      <c r="EH46" s="11">
        <f t="shared" si="286"/>
        <v>-1.6585676572098906</v>
      </c>
      <c r="EI46" s="7">
        <f t="shared" si="287"/>
        <v>-0.74863971071357804</v>
      </c>
      <c r="EJ46" s="8">
        <f t="shared" si="288"/>
        <v>0.1092648495078625</v>
      </c>
      <c r="EK46" s="491" t="b">
        <f t="shared" si="159"/>
        <v>0</v>
      </c>
      <c r="EL46" s="493" t="b">
        <f t="shared" si="160"/>
        <v>1</v>
      </c>
      <c r="EM46" s="6">
        <f t="shared" si="289"/>
        <v>-1.6585676572098906</v>
      </c>
      <c r="EN46" s="7">
        <f t="shared" si="290"/>
        <v>-0.74863971071357804</v>
      </c>
      <c r="EO46" s="12">
        <f t="shared" si="291"/>
        <v>0.1092648495078625</v>
      </c>
      <c r="EP46" s="11">
        <f t="shared" si="292"/>
        <v>204.29333369267823</v>
      </c>
      <c r="EQ46" s="7">
        <f t="shared" si="293"/>
        <v>1.8197000000000041</v>
      </c>
      <c r="ER46" s="9">
        <f t="shared" si="294"/>
        <v>0.1092648495078625</v>
      </c>
      <c r="ES46" s="24">
        <f t="shared" si="295"/>
        <v>-0.41529835988587444</v>
      </c>
      <c r="ET46" s="7">
        <f t="shared" si="296"/>
        <v>0.87133832506999065</v>
      </c>
      <c r="EU46" s="12">
        <f t="shared" si="297"/>
        <v>-0.26133655607343975</v>
      </c>
      <c r="EV46" s="337">
        <f t="shared" si="298"/>
        <v>245.70666630732177</v>
      </c>
      <c r="EW46" s="11">
        <f t="shared" si="299"/>
        <v>0.96503951665291254</v>
      </c>
      <c r="EX46" s="7">
        <f t="shared" si="300"/>
        <v>2.0048335541558049E-2</v>
      </c>
      <c r="EY46" s="8">
        <f t="shared" si="301"/>
        <v>-0.26133655607343975</v>
      </c>
      <c r="EZ46" s="123">
        <f t="shared" si="171"/>
        <v>1.2526039578364139</v>
      </c>
      <c r="FA46" s="534">
        <f t="shared" si="18"/>
        <v>-0.41131000260204714</v>
      </c>
      <c r="FB46" s="535">
        <f t="shared" si="19"/>
        <v>0.91123334447812776</v>
      </c>
      <c r="FC46" s="537">
        <f t="shared" si="20"/>
        <v>-2.1860321834537736E-2</v>
      </c>
      <c r="FD46" s="6">
        <f t="shared" si="302"/>
        <v>0.99976103461241694</v>
      </c>
      <c r="FE46" s="7">
        <f t="shared" si="303"/>
        <v>-2.7755575615628914E-16</v>
      </c>
      <c r="FF46" s="9">
        <f t="shared" si="304"/>
        <v>-2.1860321834537736E-2</v>
      </c>
      <c r="FG46" s="328">
        <f t="shared" si="305"/>
        <v>-3.47215179595044E-2</v>
      </c>
      <c r="FH46" s="7">
        <f t="shared" si="306"/>
        <v>2.0048335541558326E-2</v>
      </c>
      <c r="FI46" s="12">
        <f t="shared" si="307"/>
        <v>-0.23947623423890202</v>
      </c>
      <c r="FJ46" s="547">
        <f t="shared" si="308"/>
        <v>13.946355286147138</v>
      </c>
      <c r="FK46" s="6">
        <f t="shared" si="309"/>
        <v>0.96524774253021384</v>
      </c>
      <c r="FL46" s="7">
        <f t="shared" si="310"/>
        <v>0.99976103461241694</v>
      </c>
      <c r="FM46" s="10">
        <f t="shared" si="311"/>
        <v>4.0093884413948934E-2</v>
      </c>
      <c r="FN46" s="11">
        <f t="shared" si="312"/>
        <v>1.1901272268870393</v>
      </c>
      <c r="FO46" s="12">
        <f t="shared" si="313"/>
        <v>-1</v>
      </c>
      <c r="FP46" s="545">
        <f t="shared" si="314"/>
        <v>-1.1901272268870393</v>
      </c>
      <c r="FQ46" s="328">
        <f t="shared" si="315"/>
        <v>2.0770144967135539E-2</v>
      </c>
      <c r="FR46" s="12">
        <f t="shared" si="316"/>
        <v>0.99978427727087416</v>
      </c>
      <c r="FS46" s="11">
        <f t="shared" si="317"/>
        <v>2.0351824963521257E-2</v>
      </c>
      <c r="FT46" s="8">
        <f t="shared" si="318"/>
        <v>0.97964817503647883</v>
      </c>
      <c r="FU46" s="6">
        <f t="shared" si="319"/>
        <v>0.99979901192290299</v>
      </c>
      <c r="FV46" s="7">
        <f t="shared" si="320"/>
        <v>1</v>
      </c>
      <c r="FW46" s="10">
        <f t="shared" si="321"/>
        <v>0.24198026897798436</v>
      </c>
      <c r="FX46" s="11">
        <f t="shared" si="322"/>
        <v>13.899897971504894</v>
      </c>
      <c r="FY46" s="12">
        <f t="shared" si="323"/>
        <v>1</v>
      </c>
      <c r="FZ46" s="545">
        <f t="shared" si="324"/>
        <v>13.899897971504894</v>
      </c>
      <c r="GA46" s="372">
        <f t="shared" si="325"/>
        <v>13.896399002056043</v>
      </c>
      <c r="GB46" s="46">
        <f t="shared" si="326"/>
        <v>2.0161930929429934E-2</v>
      </c>
      <c r="GC46" s="47">
        <f t="shared" si="327"/>
        <v>0.97050750365779992</v>
      </c>
      <c r="GD46" s="578">
        <f t="shared" si="328"/>
        <v>-0.24022631388984497</v>
      </c>
      <c r="GE46" s="585">
        <f t="shared" si="329"/>
        <v>1.2308957484770748</v>
      </c>
      <c r="GF46" s="634">
        <f t="shared" si="330"/>
        <v>0.8124164871291899</v>
      </c>
      <c r="GG46" s="553">
        <f t="shared" si="331"/>
        <v>1.637988509942883E-2</v>
      </c>
      <c r="GH46" s="554">
        <f t="shared" si="332"/>
        <v>0.78845629685418916</v>
      </c>
      <c r="GI46" s="549">
        <f t="shared" si="333"/>
        <v>0.19516381804638197</v>
      </c>
      <c r="GJ46" s="296">
        <f t="shared" si="334"/>
        <v>1.8197000000000001</v>
      </c>
      <c r="GK46" s="337">
        <f t="shared" si="33"/>
        <v>0.9530204308528577</v>
      </c>
      <c r="GL46" s="337">
        <f t="shared" si="335"/>
        <v>4.3099999999999999E-2</v>
      </c>
      <c r="GM46" s="372">
        <f t="shared" si="336"/>
        <v>0.49290216683709798</v>
      </c>
      <c r="GN46" s="548">
        <f t="shared" si="337"/>
        <v>4.0734536705254704E-2</v>
      </c>
      <c r="GO46" s="6">
        <f t="shared" si="338"/>
        <v>-1.1901272268870393</v>
      </c>
      <c r="GP46" s="10">
        <f t="shared" si="339"/>
        <v>13.899897971504894</v>
      </c>
      <c r="GQ46" s="372">
        <f t="shared" si="340"/>
        <v>13.946355286147138</v>
      </c>
      <c r="GR46" s="697">
        <f t="shared" si="341"/>
        <v>3025.256706032731</v>
      </c>
      <c r="GS46" s="637">
        <f t="shared" si="342"/>
        <v>49.553357241092677</v>
      </c>
      <c r="GT46" s="638">
        <f t="shared" si="343"/>
        <v>51.99611218906125</v>
      </c>
      <c r="GU46" s="639">
        <f t="shared" si="37"/>
        <v>2385.2826994718694</v>
      </c>
      <c r="GV46" s="638">
        <f t="shared" si="344"/>
        <v>2502.8662788868864</v>
      </c>
      <c r="GW46" s="640">
        <f t="shared" si="38"/>
        <v>58071.143361644703</v>
      </c>
      <c r="GX46" s="641">
        <f t="shared" si="39"/>
        <v>379.53881397420565</v>
      </c>
      <c r="GY46" s="639">
        <f t="shared" si="345"/>
        <v>590.42064931976881</v>
      </c>
      <c r="GZ46" s="640">
        <f t="shared" si="346"/>
        <v>619.52569977057215</v>
      </c>
      <c r="HA46" s="637">
        <f t="shared" si="42"/>
        <v>-49.553357241092677</v>
      </c>
      <c r="HB46" s="7">
        <f t="shared" si="193"/>
        <v>245.70666630732177</v>
      </c>
      <c r="HC46" s="638">
        <f t="shared" si="347"/>
        <v>20.38666320264776</v>
      </c>
      <c r="HD46" s="640">
        <f t="shared" si="348"/>
        <v>45.165464431633602</v>
      </c>
      <c r="HE46" s="639">
        <f t="shared" si="43"/>
        <v>2502.8662788868864</v>
      </c>
      <c r="HF46" s="7">
        <f t="shared" si="44"/>
        <v>335.70666630732177</v>
      </c>
      <c r="HG46" s="638">
        <f t="shared" si="349"/>
        <v>2281.2403475754522</v>
      </c>
      <c r="HH46" s="644">
        <f t="shared" si="350"/>
        <v>-1029.69999834074</v>
      </c>
      <c r="HI46" s="596">
        <f t="shared" si="198"/>
        <v>5.1079999999999997</v>
      </c>
      <c r="HJ46" s="625"/>
      <c r="HK46" s="584" t="str">
        <f t="shared" si="217"/>
        <v/>
      </c>
      <c r="HL46" s="583" t="str">
        <f t="shared" si="84"/>
        <v/>
      </c>
      <c r="HM46" s="643" t="str">
        <f t="shared" si="218"/>
        <v/>
      </c>
      <c r="HN46" s="660" t="str">
        <f t="shared" si="218"/>
        <v/>
      </c>
      <c r="HO46" s="661" t="str">
        <f t="shared" si="218"/>
        <v/>
      </c>
      <c r="HP46" s="656" t="str">
        <f t="shared" si="218"/>
        <v/>
      </c>
      <c r="HQ46" s="660" t="str">
        <f t="shared" si="218"/>
        <v/>
      </c>
      <c r="HR46" s="671" t="str">
        <f t="shared" si="218"/>
        <v/>
      </c>
      <c r="HS46" s="655" t="str">
        <f t="shared" si="218"/>
        <v/>
      </c>
      <c r="HT46" s="648" t="str">
        <f t="shared" si="218"/>
        <v/>
      </c>
      <c r="HU46" s="649" t="str">
        <f t="shared" si="218"/>
        <v/>
      </c>
      <c r="HV46" s="650" t="str">
        <f t="shared" si="218"/>
        <v/>
      </c>
      <c r="HW46" s="648" t="str">
        <f t="shared" si="218"/>
        <v/>
      </c>
      <c r="HX46" s="649" t="str">
        <f t="shared" si="218"/>
        <v/>
      </c>
      <c r="HY46" s="650" t="str">
        <f t="shared" si="218"/>
        <v/>
      </c>
      <c r="HZ46" s="648" t="str">
        <f t="shared" si="218"/>
        <v/>
      </c>
      <c r="IA46" s="649" t="str">
        <f t="shared" si="218"/>
        <v/>
      </c>
      <c r="IB46" s="716"/>
      <c r="ID46" s="511"/>
    </row>
    <row r="47" spans="2:240" s="35" customFormat="1" ht="15" customHeight="1" x14ac:dyDescent="0.25">
      <c r="B47" s="143">
        <v>-2.5254462317241821</v>
      </c>
      <c r="C47" s="144">
        <v>-1.1638128982226632</v>
      </c>
      <c r="D47" s="145">
        <v>-0.18860056881931542</v>
      </c>
      <c r="E47" s="146">
        <v>0.25684651212439569</v>
      </c>
      <c r="F47" s="144">
        <v>-0.94039273221789854</v>
      </c>
      <c r="G47" s="147">
        <v>0.22291563067961079</v>
      </c>
      <c r="H47" s="146">
        <v>0.314</v>
      </c>
      <c r="I47" s="144">
        <v>0.52</v>
      </c>
      <c r="J47" s="306">
        <v>5.1139999999999999</v>
      </c>
      <c r="K47" s="699" t="str">
        <f t="shared" si="199"/>
        <v>1613</v>
      </c>
      <c r="M47" s="292">
        <f t="shared" si="351"/>
        <v>5.1139999999999999</v>
      </c>
      <c r="N47" s="24">
        <f t="shared" si="352"/>
        <v>-2.5254462317241821</v>
      </c>
      <c r="O47" s="7">
        <f t="shared" si="353"/>
        <v>-1.1638128982226632</v>
      </c>
      <c r="P47" s="12">
        <f t="shared" si="354"/>
        <v>-0.18860056881931542</v>
      </c>
      <c r="Q47" s="11">
        <f t="shared" si="85"/>
        <v>204.74188343332176</v>
      </c>
      <c r="R47" s="7">
        <f t="shared" si="355"/>
        <v>2.7807083866164941</v>
      </c>
      <c r="S47" s="8">
        <f t="shared" si="356"/>
        <v>-0.18860056881931542</v>
      </c>
      <c r="T47" s="6">
        <f t="shared" si="357"/>
        <v>-1.2037310619920665</v>
      </c>
      <c r="U47" s="7">
        <f t="shared" si="358"/>
        <v>2.5066652472547579</v>
      </c>
      <c r="V47" s="10">
        <f t="shared" si="359"/>
        <v>-0.18860056881931542</v>
      </c>
      <c r="W47" s="11">
        <f t="shared" si="214"/>
        <v>115.65088330207841</v>
      </c>
      <c r="X47" s="7">
        <f t="shared" si="360"/>
        <v>2.7807083866164941</v>
      </c>
      <c r="Y47" s="9">
        <f t="shared" si="213"/>
        <v>-0.18860056881931542</v>
      </c>
      <c r="Z47" s="24">
        <f t="shared" si="361"/>
        <v>-0.25684651212439569</v>
      </c>
      <c r="AA47" s="7">
        <f t="shared" si="362"/>
        <v>0.94039273221789854</v>
      </c>
      <c r="AB47" s="7">
        <f t="shared" si="363"/>
        <v>-0.22291563067961079</v>
      </c>
      <c r="AC47" s="10">
        <f t="shared" si="364"/>
        <v>1</v>
      </c>
      <c r="AD47" s="11">
        <f t="shared" si="365"/>
        <v>-0.25684651212439569</v>
      </c>
      <c r="AE47" s="7">
        <f t="shared" si="366"/>
        <v>0.94039273221789854</v>
      </c>
      <c r="AF47" s="12">
        <f t="shared" si="367"/>
        <v>-0.22291563067961079</v>
      </c>
      <c r="AG47" s="6">
        <f t="shared" si="368"/>
        <v>76.664448103232431</v>
      </c>
      <c r="AH47" s="12">
        <f t="shared" si="369"/>
        <v>104.88302726136251</v>
      </c>
      <c r="AI47" s="11">
        <f t="shared" si="370"/>
        <v>-77.119660041108219</v>
      </c>
      <c r="AJ47" s="8">
        <f t="shared" si="371"/>
        <v>-164.72357392317087</v>
      </c>
      <c r="AK47" s="6">
        <f t="shared" si="372"/>
        <v>0.96156525382650315</v>
      </c>
      <c r="AL47" s="7">
        <f t="shared" si="373"/>
        <v>-0.16031495323981573</v>
      </c>
      <c r="AM47" s="8">
        <f t="shared" si="374"/>
        <v>-0.22291563067961079</v>
      </c>
      <c r="AN47" s="6">
        <f t="shared" si="375"/>
        <v>-35.722677273405424</v>
      </c>
      <c r="AO47" s="10">
        <f t="shared" si="376"/>
        <v>15.936778823704183</v>
      </c>
      <c r="AP47" s="11">
        <f t="shared" si="377"/>
        <v>-9.4654573564926139</v>
      </c>
      <c r="AQ47" s="8">
        <f t="shared" si="200"/>
        <v>0.81989260067987157</v>
      </c>
      <c r="AS47" s="123">
        <f t="shared" si="90"/>
        <v>-244.3491166979216</v>
      </c>
      <c r="AT47" s="174">
        <f t="shared" si="219"/>
        <v>-1.8282432314677716E-2</v>
      </c>
      <c r="AV47" s="292">
        <f t="shared" si="91"/>
        <v>5.1139999999999999</v>
      </c>
      <c r="AW47" s="439">
        <v>2.7776999999999998</v>
      </c>
      <c r="AX47" s="440">
        <v>0.46910000000000002</v>
      </c>
      <c r="AY47" s="442">
        <v>3.7699999999999997E-2</v>
      </c>
      <c r="AZ47" s="565">
        <f t="shared" si="220"/>
        <v>0.6580382043242623</v>
      </c>
      <c r="BA47" s="564">
        <f t="shared" si="221"/>
        <v>5.4381747922738297E-2</v>
      </c>
      <c r="BB47" s="444">
        <f t="shared" si="94"/>
        <v>0.23738243231467773</v>
      </c>
      <c r="BC47" s="11"/>
      <c r="BD47" s="7">
        <f t="shared" si="222"/>
        <v>2.7776999999999998</v>
      </c>
      <c r="BE47" s="8">
        <f t="shared" si="223"/>
        <v>4.8781863495362315E-2</v>
      </c>
      <c r="BF47" s="6">
        <f t="shared" si="224"/>
        <v>-2.5254462317241821</v>
      </c>
      <c r="BG47" s="7">
        <f t="shared" si="225"/>
        <v>-1.1638128982226632</v>
      </c>
      <c r="BH47" s="12">
        <f t="shared" si="226"/>
        <v>-0.18860056881931542</v>
      </c>
      <c r="BI47" s="11">
        <f t="shared" si="227"/>
        <v>-2.5254462317241821</v>
      </c>
      <c r="BJ47" s="7">
        <f t="shared" si="228"/>
        <v>-0.93315935015246931</v>
      </c>
      <c r="BK47" s="10">
        <f t="shared" si="229"/>
        <v>0.78443537129935814</v>
      </c>
      <c r="BL47" s="328">
        <f t="shared" si="230"/>
        <v>-1.5589940243132143</v>
      </c>
      <c r="BM47" s="7">
        <f t="shared" si="231"/>
        <v>-0.91389201083149962</v>
      </c>
      <c r="BN47" s="8">
        <f t="shared" si="232"/>
        <v>-0.24784312815026133</v>
      </c>
      <c r="BO47" s="6">
        <f t="shared" si="233"/>
        <v>-0.25684651212439552</v>
      </c>
      <c r="BP47" s="7">
        <f t="shared" si="234"/>
        <v>0.9403927322178981</v>
      </c>
      <c r="BQ47" s="7">
        <f t="shared" si="235"/>
        <v>-0.22291563067961073</v>
      </c>
      <c r="BR47" s="8">
        <f t="shared" si="236"/>
        <v>0.40374712022909565</v>
      </c>
      <c r="BS47" s="6">
        <f t="shared" si="378"/>
        <v>0</v>
      </c>
      <c r="BT47" s="7">
        <f t="shared" si="378"/>
        <v>0</v>
      </c>
      <c r="BU47" s="12">
        <f t="shared" si="70"/>
        <v>4.8781863495362315E-2</v>
      </c>
      <c r="BV47" s="11">
        <f t="shared" si="71"/>
        <v>0</v>
      </c>
      <c r="BW47" s="7">
        <f t="shared" si="72"/>
        <v>1</v>
      </c>
      <c r="BX47" s="10">
        <f t="shared" si="73"/>
        <v>4.8781863495362315E-2</v>
      </c>
      <c r="BY47" s="328">
        <f t="shared" si="74"/>
        <v>1</v>
      </c>
      <c r="BZ47" s="7">
        <f t="shared" si="75"/>
        <v>0</v>
      </c>
      <c r="CA47" s="8">
        <f t="shared" si="76"/>
        <v>4.8781863495362315E-2</v>
      </c>
      <c r="CB47" s="6">
        <f t="shared" si="237"/>
        <v>0</v>
      </c>
      <c r="CC47" s="7">
        <f t="shared" si="238"/>
        <v>0</v>
      </c>
      <c r="CD47" s="7">
        <f t="shared" si="239"/>
        <v>-1</v>
      </c>
      <c r="CE47" s="8">
        <f t="shared" si="240"/>
        <v>4.8781863495362315E-2</v>
      </c>
      <c r="CF47" s="6">
        <f t="shared" si="241"/>
        <v>-0.9403927322178981</v>
      </c>
      <c r="CG47" s="7">
        <f t="shared" si="242"/>
        <v>-0.25684651212439552</v>
      </c>
      <c r="CH47" s="7">
        <f t="shared" si="243"/>
        <v>0</v>
      </c>
      <c r="CI47" s="6">
        <f t="shared" si="77"/>
        <v>0</v>
      </c>
      <c r="CJ47" s="7">
        <f t="shared" si="244"/>
        <v>-0.41777532609776469</v>
      </c>
      <c r="CK47" s="10">
        <f t="shared" si="245"/>
        <v>4.8781863495362315E-2</v>
      </c>
      <c r="CL47" s="328">
        <f t="shared" si="246"/>
        <v>-0.9403927322178981</v>
      </c>
      <c r="CM47" s="7">
        <f t="shared" si="247"/>
        <v>-0.67462183822216026</v>
      </c>
      <c r="CN47" s="8">
        <f t="shared" si="248"/>
        <v>4.8781863495362315E-2</v>
      </c>
      <c r="CO47" s="296">
        <f t="shared" si="201"/>
        <v>0.3125</v>
      </c>
      <c r="CP47" s="6">
        <f t="shared" si="249"/>
        <v>0.95030862159871077</v>
      </c>
      <c r="CQ47" s="7">
        <f t="shared" si="250"/>
        <v>-5.1330568604690621</v>
      </c>
      <c r="CR47" s="7">
        <f t="shared" si="251"/>
        <v>6.8931448975235163</v>
      </c>
      <c r="CS47" s="10">
        <f t="shared" si="252"/>
        <v>0.14581262862546751</v>
      </c>
      <c r="CT47" s="11">
        <f t="shared" si="119"/>
        <v>2.9016421261737064</v>
      </c>
      <c r="CU47" s="8">
        <f t="shared" si="253"/>
        <v>2.499820876270368</v>
      </c>
      <c r="CV47" s="6">
        <f t="shared" si="254"/>
        <v>-2.728683166951043</v>
      </c>
      <c r="CW47" s="7">
        <f t="shared" si="255"/>
        <v>-1.1630519856386965</v>
      </c>
      <c r="CX47" s="10">
        <f t="shared" si="256"/>
        <v>4.8781863495362315E-2</v>
      </c>
      <c r="CY47" s="11">
        <f t="shared" si="257"/>
        <v>-2.3508133838912317</v>
      </c>
      <c r="CZ47" s="7">
        <f t="shared" si="258"/>
        <v>-1.0598455991035589</v>
      </c>
      <c r="DA47" s="8">
        <f t="shared" si="259"/>
        <v>4.8781863495362315E-2</v>
      </c>
      <c r="DB47" s="6">
        <f t="shared" si="379"/>
        <v>0</v>
      </c>
      <c r="DC47" s="7">
        <f t="shared" si="379"/>
        <v>0</v>
      </c>
      <c r="DD47" s="12">
        <f t="shared" si="127"/>
        <v>-10</v>
      </c>
      <c r="DE47" s="11">
        <f t="shared" si="380"/>
        <v>0</v>
      </c>
      <c r="DF47" s="7">
        <f t="shared" si="380"/>
        <v>0</v>
      </c>
      <c r="DG47" s="12">
        <f t="shared" si="129"/>
        <v>10</v>
      </c>
      <c r="DH47" s="174">
        <f t="shared" si="260"/>
        <v>2.7776999999999998</v>
      </c>
      <c r="DI47" s="6">
        <f t="shared" si="261"/>
        <v>0</v>
      </c>
      <c r="DJ47" s="7">
        <f t="shared" si="262"/>
        <v>0</v>
      </c>
      <c r="DK47" s="12">
        <f t="shared" si="263"/>
        <v>20</v>
      </c>
      <c r="DL47" s="11">
        <f t="shared" si="264"/>
        <v>-2.728683166951043</v>
      </c>
      <c r="DM47" s="328">
        <f t="shared" si="265"/>
        <v>-1.1630519856386965</v>
      </c>
      <c r="DN47" s="376">
        <f t="shared" si="266"/>
        <v>10.048781863495362</v>
      </c>
      <c r="DO47" s="11">
        <f t="shared" si="267"/>
        <v>0.37786978305981123</v>
      </c>
      <c r="DP47" s="328">
        <f t="shared" si="268"/>
        <v>0.10320638653513758</v>
      </c>
      <c r="DQ47" s="13">
        <f t="shared" si="269"/>
        <v>0</v>
      </c>
      <c r="DR47" s="328">
        <f t="shared" si="270"/>
        <v>200.97563726990725</v>
      </c>
      <c r="DS47" s="7">
        <f t="shared" si="271"/>
        <v>0</v>
      </c>
      <c r="DT47" s="7">
        <f t="shared" si="272"/>
        <v>400</v>
      </c>
      <c r="DU47" s="7">
        <f t="shared" si="273"/>
        <v>0.15343713117130903</v>
      </c>
      <c r="DV47" s="7">
        <f t="shared" si="274"/>
        <v>-1.1511213091250361</v>
      </c>
      <c r="DW47" s="7">
        <f t="shared" si="275"/>
        <v>109.7764186870134</v>
      </c>
      <c r="DX47" s="296">
        <f t="shared" si="276"/>
        <v>102.06080139701341</v>
      </c>
      <c r="DY47" s="11">
        <f t="shared" si="277"/>
        <v>61.374852468523613</v>
      </c>
      <c r="DZ47" s="7">
        <f t="shared" si="278"/>
        <v>-460.44852365001441</v>
      </c>
      <c r="EA47" s="12">
        <f t="shared" si="279"/>
        <v>433.11378276002506</v>
      </c>
      <c r="EB47" s="8">
        <f t="shared" si="280"/>
        <v>185430.54841249716</v>
      </c>
      <c r="EC47" s="328">
        <f t="shared" si="281"/>
        <v>14.518405546592541</v>
      </c>
      <c r="ED47" s="7">
        <f t="shared" si="282"/>
        <v>0.48606306328827659</v>
      </c>
      <c r="EE47" s="6">
        <f t="shared" si="283"/>
        <v>2.7573835873142403</v>
      </c>
      <c r="EF47" s="7">
        <f t="shared" si="284"/>
        <v>0.33534018907681884</v>
      </c>
      <c r="EG47" s="12">
        <f t="shared" si="285"/>
        <v>4.8781863495362315E-2</v>
      </c>
      <c r="EH47" s="11">
        <f t="shared" si="286"/>
        <v>-2.5450146226729147</v>
      </c>
      <c r="EI47" s="7">
        <f t="shared" si="287"/>
        <v>-1.1128871732485135</v>
      </c>
      <c r="EJ47" s="8">
        <f t="shared" si="288"/>
        <v>4.8781863495362315E-2</v>
      </c>
      <c r="EK47" s="491" t="b">
        <f t="shared" si="159"/>
        <v>0</v>
      </c>
      <c r="EL47" s="493" t="b">
        <f t="shared" si="160"/>
        <v>1</v>
      </c>
      <c r="EM47" s="6">
        <f t="shared" si="289"/>
        <v>-2.5450146226729147</v>
      </c>
      <c r="EN47" s="7">
        <f t="shared" si="290"/>
        <v>-1.1128871732485135</v>
      </c>
      <c r="EO47" s="12">
        <f t="shared" si="291"/>
        <v>4.8781863495362315E-2</v>
      </c>
      <c r="EP47" s="11">
        <f t="shared" si="292"/>
        <v>203.61885696284168</v>
      </c>
      <c r="EQ47" s="7">
        <f t="shared" si="293"/>
        <v>2.7777000000000043</v>
      </c>
      <c r="ER47" s="9">
        <f t="shared" si="294"/>
        <v>4.8781863495362315E-2</v>
      </c>
      <c r="ES47" s="24">
        <f t="shared" si="295"/>
        <v>-0.25684651212439569</v>
      </c>
      <c r="ET47" s="7">
        <f t="shared" si="296"/>
        <v>0.94039273221789854</v>
      </c>
      <c r="EU47" s="12">
        <f t="shared" si="297"/>
        <v>-0.22291563067961079</v>
      </c>
      <c r="EV47" s="337">
        <f t="shared" si="298"/>
        <v>246.38114303715832</v>
      </c>
      <c r="EW47" s="11">
        <f t="shared" si="299"/>
        <v>0.96452260625220176</v>
      </c>
      <c r="EX47" s="7">
        <f t="shared" si="300"/>
        <v>-0.14143819719994905</v>
      </c>
      <c r="EY47" s="8">
        <f t="shared" si="301"/>
        <v>-0.22291563067961079</v>
      </c>
      <c r="EZ47" s="123">
        <f t="shared" si="171"/>
        <v>0.82066844072749401</v>
      </c>
      <c r="FA47" s="534">
        <f t="shared" si="18"/>
        <v>-0.40060950278592888</v>
      </c>
      <c r="FB47" s="535">
        <f t="shared" si="19"/>
        <v>0.91613693380599603</v>
      </c>
      <c r="FC47" s="537">
        <f t="shared" si="20"/>
        <v>-1.4322876602094085E-2</v>
      </c>
      <c r="FD47" s="6">
        <f t="shared" si="302"/>
        <v>0.99989742234183265</v>
      </c>
      <c r="FE47" s="7">
        <f t="shared" si="303"/>
        <v>2.2204460492503131E-16</v>
      </c>
      <c r="FF47" s="9">
        <f t="shared" si="304"/>
        <v>-1.4322876602094085E-2</v>
      </c>
      <c r="FG47" s="328">
        <f t="shared" si="305"/>
        <v>-3.5374816089630889E-2</v>
      </c>
      <c r="FH47" s="7">
        <f t="shared" si="306"/>
        <v>-0.14143819719994927</v>
      </c>
      <c r="FI47" s="12">
        <f t="shared" si="307"/>
        <v>-0.20859275407751671</v>
      </c>
      <c r="FJ47" s="547">
        <f t="shared" si="308"/>
        <v>14.621058195139081</v>
      </c>
      <c r="FK47" s="6">
        <f t="shared" si="309"/>
        <v>0.9748377411645035</v>
      </c>
      <c r="FL47" s="7">
        <f t="shared" si="310"/>
        <v>0.99989742234183254</v>
      </c>
      <c r="FM47" s="10">
        <f t="shared" si="311"/>
        <v>0.14579486013075682</v>
      </c>
      <c r="FN47" s="11">
        <f t="shared" si="312"/>
        <v>8.342430886012556</v>
      </c>
      <c r="FO47" s="12">
        <f t="shared" si="313"/>
        <v>1</v>
      </c>
      <c r="FP47" s="545">
        <f t="shared" si="314"/>
        <v>8.342430886012556</v>
      </c>
      <c r="FQ47" s="328">
        <f t="shared" si="315"/>
        <v>0.14508896324735332</v>
      </c>
      <c r="FR47" s="12">
        <f t="shared" si="316"/>
        <v>0.98941861350179183</v>
      </c>
      <c r="FS47" s="11">
        <f t="shared" si="317"/>
        <v>0.12788716992362092</v>
      </c>
      <c r="FT47" s="8">
        <f t="shared" si="318"/>
        <v>0.87211283007637919</v>
      </c>
      <c r="FU47" s="6">
        <f t="shared" si="319"/>
        <v>0.9899470876631884</v>
      </c>
      <c r="FV47" s="7">
        <f t="shared" si="320"/>
        <v>1</v>
      </c>
      <c r="FW47" s="10">
        <f t="shared" si="321"/>
        <v>0.21157106292453742</v>
      </c>
      <c r="FX47" s="11">
        <f t="shared" si="322"/>
        <v>12.192755711046212</v>
      </c>
      <c r="FY47" s="12">
        <f t="shared" si="323"/>
        <v>1</v>
      </c>
      <c r="FZ47" s="545">
        <f t="shared" si="324"/>
        <v>12.192755711046212</v>
      </c>
      <c r="GA47" s="372">
        <f t="shared" si="325"/>
        <v>12.069582476581107</v>
      </c>
      <c r="GB47" s="46">
        <f t="shared" si="326"/>
        <v>-0.14181613429220619</v>
      </c>
      <c r="GC47" s="47">
        <f t="shared" si="327"/>
        <v>0.96709990769155374</v>
      </c>
      <c r="GD47" s="578">
        <f t="shared" si="328"/>
        <v>-0.21120121353203239</v>
      </c>
      <c r="GE47" s="585">
        <f t="shared" si="329"/>
        <v>1.3201172555157923</v>
      </c>
      <c r="GF47" s="634">
        <f t="shared" si="330"/>
        <v>0.75750846814685635</v>
      </c>
      <c r="GG47" s="553">
        <f t="shared" si="331"/>
        <v>0.10742692264619798</v>
      </c>
      <c r="GH47" s="554">
        <f t="shared" si="332"/>
        <v>0.73258636962039503</v>
      </c>
      <c r="GI47" s="549">
        <f t="shared" si="333"/>
        <v>0.15998670773340698</v>
      </c>
      <c r="GJ47" s="296">
        <f t="shared" si="334"/>
        <v>2.7776999999999998</v>
      </c>
      <c r="GK47" s="337">
        <f t="shared" si="33"/>
        <v>1.4545495232631793</v>
      </c>
      <c r="GL47" s="337">
        <f t="shared" si="335"/>
        <v>3.7699999999999997E-2</v>
      </c>
      <c r="GM47" s="372">
        <f t="shared" si="336"/>
        <v>0.6580382043242623</v>
      </c>
      <c r="GN47" s="548">
        <f t="shared" si="337"/>
        <v>5.4381747922738297E-2</v>
      </c>
      <c r="GO47" s="6">
        <f t="shared" si="338"/>
        <v>8.342430886012556</v>
      </c>
      <c r="GP47" s="10">
        <f t="shared" si="339"/>
        <v>12.192755711046212</v>
      </c>
      <c r="GQ47" s="372">
        <f t="shared" si="340"/>
        <v>14.621058195139081</v>
      </c>
      <c r="GR47" s="697">
        <f t="shared" si="341"/>
        <v>4346.8174863525383</v>
      </c>
      <c r="GS47" s="637">
        <f t="shared" si="342"/>
        <v>466.96522586353484</v>
      </c>
      <c r="GT47" s="638">
        <f t="shared" si="343"/>
        <v>321.03769476059591</v>
      </c>
      <c r="GU47" s="639">
        <f t="shared" si="37"/>
        <v>3184.4192417294571</v>
      </c>
      <c r="GV47" s="638">
        <f t="shared" si="344"/>
        <v>2189.2821047340053</v>
      </c>
      <c r="GW47" s="640">
        <f t="shared" si="38"/>
        <v>58071.143361644703</v>
      </c>
      <c r="GX47" s="641">
        <f t="shared" si="39"/>
        <v>506.76407519330382</v>
      </c>
      <c r="GY47" s="639">
        <f t="shared" si="345"/>
        <v>695.43301875954637</v>
      </c>
      <c r="GZ47" s="640">
        <f t="shared" si="346"/>
        <v>478.10886301030951</v>
      </c>
      <c r="HA47" s="637">
        <f t="shared" si="42"/>
        <v>466.96522586353484</v>
      </c>
      <c r="HB47" s="7">
        <f t="shared" si="193"/>
        <v>246.38114303715832</v>
      </c>
      <c r="HC47" s="638">
        <f t="shared" si="347"/>
        <v>-187.08989819513323</v>
      </c>
      <c r="HD47" s="640">
        <f t="shared" si="348"/>
        <v>-427.84797786026382</v>
      </c>
      <c r="HE47" s="639">
        <f t="shared" si="43"/>
        <v>2189.2821047340053</v>
      </c>
      <c r="HF47" s="7">
        <f t="shared" si="44"/>
        <v>336.38114303715832</v>
      </c>
      <c r="HG47" s="638">
        <f t="shared" si="349"/>
        <v>2005.8879539562124</v>
      </c>
      <c r="HH47" s="644">
        <f t="shared" si="350"/>
        <v>-877.13719011447495</v>
      </c>
      <c r="HI47" s="596">
        <f t="shared" si="198"/>
        <v>5.1139999999999999</v>
      </c>
      <c r="HJ47" s="625"/>
      <c r="HK47" s="584" t="str">
        <f t="shared" si="217"/>
        <v/>
      </c>
      <c r="HL47" s="583" t="str">
        <f t="shared" si="84"/>
        <v/>
      </c>
      <c r="HM47" s="643" t="str">
        <f t="shared" si="218"/>
        <v/>
      </c>
      <c r="HN47" s="660" t="str">
        <f t="shared" si="218"/>
        <v/>
      </c>
      <c r="HO47" s="661" t="str">
        <f t="shared" si="218"/>
        <v/>
      </c>
      <c r="HP47" s="656" t="str">
        <f t="shared" si="218"/>
        <v/>
      </c>
      <c r="HQ47" s="660" t="str">
        <f t="shared" si="218"/>
        <v/>
      </c>
      <c r="HR47" s="671" t="str">
        <f t="shared" si="218"/>
        <v/>
      </c>
      <c r="HS47" s="655" t="str">
        <f t="shared" si="218"/>
        <v/>
      </c>
      <c r="HT47" s="648" t="str">
        <f t="shared" si="218"/>
        <v/>
      </c>
      <c r="HU47" s="649" t="str">
        <f t="shared" si="218"/>
        <v/>
      </c>
      <c r="HV47" s="650" t="str">
        <f t="shared" si="218"/>
        <v/>
      </c>
      <c r="HW47" s="648" t="str">
        <f t="shared" si="218"/>
        <v/>
      </c>
      <c r="HX47" s="649" t="str">
        <f t="shared" si="218"/>
        <v/>
      </c>
      <c r="HY47" s="650" t="str">
        <f t="shared" si="218"/>
        <v/>
      </c>
      <c r="HZ47" s="648" t="str">
        <f t="shared" si="218"/>
        <v/>
      </c>
      <c r="IA47" s="649" t="str">
        <f t="shared" si="218"/>
        <v/>
      </c>
      <c r="IB47" s="716"/>
      <c r="ID47" s="511"/>
    </row>
    <row r="48" spans="2:240" ht="15" customHeight="1" x14ac:dyDescent="0.25">
      <c r="B48" s="143">
        <v>-3.0931172852012097</v>
      </c>
      <c r="C48" s="144">
        <v>-1.3667161364160108</v>
      </c>
      <c r="D48" s="145">
        <v>-0.67870204696537362</v>
      </c>
      <c r="E48" s="146">
        <v>8.6412929204772476E-2</v>
      </c>
      <c r="F48" s="144">
        <v>-0.97958502357756672</v>
      </c>
      <c r="G48" s="147">
        <v>0.18151029515922523</v>
      </c>
      <c r="H48" s="146">
        <v>0.314</v>
      </c>
      <c r="I48" s="144">
        <v>0.52</v>
      </c>
      <c r="J48" s="306">
        <v>5.12</v>
      </c>
      <c r="K48" s="699" t="str">
        <f t="shared" si="199"/>
        <v>1613</v>
      </c>
      <c r="M48" s="292">
        <f t="shared" si="46"/>
        <v>5.12</v>
      </c>
      <c r="N48" s="24">
        <f t="shared" si="47"/>
        <v>-3.0931172852012097</v>
      </c>
      <c r="O48" s="7">
        <f t="shared" si="48"/>
        <v>-1.3667161364160108</v>
      </c>
      <c r="P48" s="12">
        <f t="shared" si="49"/>
        <v>-0.67870204696537362</v>
      </c>
      <c r="Q48" s="11">
        <f t="shared" si="85"/>
        <v>203.83858356374213</v>
      </c>
      <c r="R48" s="7">
        <f t="shared" si="50"/>
        <v>3.3816101989363601</v>
      </c>
      <c r="S48" s="8">
        <f t="shared" si="51"/>
        <v>-0.67870204696537362</v>
      </c>
      <c r="T48" s="6">
        <f t="shared" si="52"/>
        <v>-1.4156145119129404</v>
      </c>
      <c r="U48" s="7">
        <f t="shared" si="53"/>
        <v>3.0710459278903492</v>
      </c>
      <c r="V48" s="10">
        <f t="shared" si="86"/>
        <v>-0.67870204696537362</v>
      </c>
      <c r="W48" s="11">
        <f t="shared" si="214"/>
        <v>114.74758343249879</v>
      </c>
      <c r="X48" s="7">
        <f t="shared" si="54"/>
        <v>3.3816101989363601</v>
      </c>
      <c r="Y48" s="9">
        <f t="shared" si="213"/>
        <v>-0.67870204696537362</v>
      </c>
      <c r="Z48" s="24">
        <f t="shared" si="87"/>
        <v>-8.6412929204772476E-2</v>
      </c>
      <c r="AA48" s="7">
        <f t="shared" si="55"/>
        <v>0.97958502357756672</v>
      </c>
      <c r="AB48" s="7">
        <f t="shared" si="56"/>
        <v>-0.18151029515922523</v>
      </c>
      <c r="AC48" s="10">
        <f t="shared" si="57"/>
        <v>1</v>
      </c>
      <c r="AD48" s="11">
        <f t="shared" si="88"/>
        <v>-8.6412929204772476E-2</v>
      </c>
      <c r="AE48" s="7">
        <f t="shared" si="58"/>
        <v>0.97958502357756672</v>
      </c>
      <c r="AF48" s="12">
        <f t="shared" si="59"/>
        <v>-0.18151029515922523</v>
      </c>
      <c r="AG48" s="6">
        <f t="shared" si="60"/>
        <v>79.502547908313758</v>
      </c>
      <c r="AH48" s="12">
        <f t="shared" si="61"/>
        <v>94.957278735910748</v>
      </c>
      <c r="AI48" s="11">
        <f t="shared" si="62"/>
        <v>-79.542257405388639</v>
      </c>
      <c r="AJ48" s="8">
        <f t="shared" si="63"/>
        <v>-174.95877025358507</v>
      </c>
      <c r="AK48" s="6">
        <f t="shared" si="89"/>
        <v>0.93093914682458889</v>
      </c>
      <c r="AL48" s="7">
        <f t="shared" si="64"/>
        <v>-0.31686955937848904</v>
      </c>
      <c r="AM48" s="8">
        <f t="shared" si="65"/>
        <v>-0.18151029515922523</v>
      </c>
      <c r="AN48" s="6">
        <f t="shared" si="66"/>
        <v>-60.194909618973895</v>
      </c>
      <c r="AO48" s="10">
        <f t="shared" si="376"/>
        <v>21.418312808829008</v>
      </c>
      <c r="AP48" s="11">
        <f t="shared" si="67"/>
        <v>-18.797353817327206</v>
      </c>
      <c r="AQ48" s="8">
        <f t="shared" si="200"/>
        <v>0.67418528696509805</v>
      </c>
      <c r="AS48" s="123">
        <f t="shared" si="90"/>
        <v>-245.2524165675012</v>
      </c>
      <c r="AT48" s="174">
        <f t="shared" si="68"/>
        <v>-0.50775661888463897</v>
      </c>
      <c r="AV48" s="292">
        <f t="shared" si="91"/>
        <v>5.12</v>
      </c>
      <c r="AW48" s="439">
        <v>3.5246</v>
      </c>
      <c r="AX48" s="440">
        <v>-6.0499999999999998E-2</v>
      </c>
      <c r="AY48" s="442">
        <v>2.5700000000000001E-2</v>
      </c>
      <c r="AZ48" s="565">
        <f t="shared" si="220"/>
        <v>0.5691811381211902</v>
      </c>
      <c r="BA48" s="564">
        <f t="shared" si="221"/>
        <v>4.7038401375904114E-2</v>
      </c>
      <c r="BB48" s="444">
        <f t="shared" si="94"/>
        <v>0.19725661888463897</v>
      </c>
      <c r="BC48" s="11"/>
      <c r="BD48" s="7">
        <f t="shared" si="222"/>
        <v>3.5246</v>
      </c>
      <c r="BE48" s="8">
        <f t="shared" si="223"/>
        <v>-0.48144542808073465</v>
      </c>
      <c r="BF48" s="6">
        <f t="shared" si="224"/>
        <v>-3.0931172852012097</v>
      </c>
      <c r="BG48" s="7">
        <f t="shared" si="225"/>
        <v>-1.3667161364160108</v>
      </c>
      <c r="BH48" s="12">
        <f t="shared" si="226"/>
        <v>-0.67870204696537362</v>
      </c>
      <c r="BI48" s="11">
        <f t="shared" si="227"/>
        <v>-3.0931172852012097</v>
      </c>
      <c r="BJ48" s="7">
        <f t="shared" si="228"/>
        <v>-1.1845243358491193</v>
      </c>
      <c r="BK48" s="10">
        <f t="shared" si="229"/>
        <v>0.30456096352886541</v>
      </c>
      <c r="BL48" s="328">
        <f t="shared" si="230"/>
        <v>-2.096857878386774</v>
      </c>
      <c r="BM48" s="7">
        <f t="shared" si="231"/>
        <v>-1.2817494995005008</v>
      </c>
      <c r="BN48" s="8">
        <f t="shared" si="232"/>
        <v>-0.69444577412945041</v>
      </c>
      <c r="BO48" s="6">
        <f t="shared" si="233"/>
        <v>-8.6412929204772393E-2</v>
      </c>
      <c r="BP48" s="7">
        <f t="shared" si="234"/>
        <v>0.97958502357756683</v>
      </c>
      <c r="BQ48" s="7">
        <f t="shared" si="235"/>
        <v>-0.18151029515922512</v>
      </c>
      <c r="BR48" s="8">
        <f t="shared" si="236"/>
        <v>0.94833792485691459</v>
      </c>
      <c r="BS48" s="6">
        <f t="shared" si="378"/>
        <v>0</v>
      </c>
      <c r="BT48" s="7">
        <f t="shared" si="378"/>
        <v>0</v>
      </c>
      <c r="BU48" s="12">
        <f t="shared" si="70"/>
        <v>-0.48144542808073465</v>
      </c>
      <c r="BV48" s="11">
        <f t="shared" si="71"/>
        <v>0</v>
      </c>
      <c r="BW48" s="7">
        <f t="shared" si="72"/>
        <v>1</v>
      </c>
      <c r="BX48" s="10">
        <f t="shared" si="73"/>
        <v>-0.48144542808073465</v>
      </c>
      <c r="BY48" s="328">
        <f t="shared" si="74"/>
        <v>1</v>
      </c>
      <c r="BZ48" s="7">
        <f t="shared" si="75"/>
        <v>0</v>
      </c>
      <c r="CA48" s="8">
        <f t="shared" si="76"/>
        <v>-0.48144542808073465</v>
      </c>
      <c r="CB48" s="6">
        <f t="shared" si="237"/>
        <v>0</v>
      </c>
      <c r="CC48" s="7">
        <f t="shared" si="238"/>
        <v>0</v>
      </c>
      <c r="CD48" s="7">
        <f t="shared" si="239"/>
        <v>-1</v>
      </c>
      <c r="CE48" s="8">
        <f t="shared" si="240"/>
        <v>-0.48144542808073465</v>
      </c>
      <c r="CF48" s="6">
        <f t="shared" si="241"/>
        <v>-0.97958502357756683</v>
      </c>
      <c r="CG48" s="7">
        <f t="shared" si="242"/>
        <v>-8.6412929204772393E-2</v>
      </c>
      <c r="CH48" s="7">
        <f t="shared" si="243"/>
        <v>0</v>
      </c>
      <c r="CI48" s="6">
        <f t="shared" si="77"/>
        <v>0</v>
      </c>
      <c r="CJ48" s="7">
        <f t="shared" si="244"/>
        <v>-1.0573101891945127</v>
      </c>
      <c r="CK48" s="10">
        <f t="shared" si="245"/>
        <v>-0.48144542808073465</v>
      </c>
      <c r="CL48" s="328">
        <f t="shared" si="246"/>
        <v>-0.97958502357756683</v>
      </c>
      <c r="CM48" s="7">
        <f t="shared" si="247"/>
        <v>-1.1437231183992851</v>
      </c>
      <c r="CN48" s="8">
        <f t="shared" si="248"/>
        <v>-0.48144542808073465</v>
      </c>
      <c r="CO48" s="296">
        <f t="shared" si="201"/>
        <v>0.3125</v>
      </c>
      <c r="CP48" s="6">
        <f t="shared" si="249"/>
        <v>0.96705401275121117</v>
      </c>
      <c r="CQ48" s="7">
        <f t="shared" si="250"/>
        <v>-6.113416085929587</v>
      </c>
      <c r="CR48" s="7">
        <f t="shared" si="251"/>
        <v>9.6043605038803328</v>
      </c>
      <c r="CS48" s="10">
        <f t="shared" si="252"/>
        <v>0.22211477895574916</v>
      </c>
      <c r="CT48" s="11">
        <f t="shared" si="119"/>
        <v>3.404518540497989</v>
      </c>
      <c r="CU48" s="8">
        <f t="shared" si="253"/>
        <v>2.9171718773280864</v>
      </c>
      <c r="CV48" s="6">
        <f t="shared" si="254"/>
        <v>-3.3350153747639859</v>
      </c>
      <c r="CW48" s="7">
        <f t="shared" si="255"/>
        <v>-1.3515046088109004</v>
      </c>
      <c r="CX48" s="10">
        <f t="shared" si="256"/>
        <v>-0.48144542808073465</v>
      </c>
      <c r="CY48" s="11">
        <f t="shared" si="257"/>
        <v>-2.8576178822322484</v>
      </c>
      <c r="CZ48" s="7">
        <f t="shared" si="258"/>
        <v>-1.3093915561082177</v>
      </c>
      <c r="DA48" s="8">
        <f t="shared" si="259"/>
        <v>-0.48144542808073465</v>
      </c>
      <c r="DB48" s="6">
        <f t="shared" si="379"/>
        <v>0</v>
      </c>
      <c r="DC48" s="7">
        <f t="shared" si="379"/>
        <v>0</v>
      </c>
      <c r="DD48" s="12">
        <f t="shared" si="127"/>
        <v>-10</v>
      </c>
      <c r="DE48" s="11">
        <f t="shared" si="380"/>
        <v>0</v>
      </c>
      <c r="DF48" s="7">
        <f t="shared" si="380"/>
        <v>0</v>
      </c>
      <c r="DG48" s="12">
        <f t="shared" si="129"/>
        <v>10</v>
      </c>
      <c r="DH48" s="174">
        <f t="shared" si="260"/>
        <v>3.5246</v>
      </c>
      <c r="DI48" s="6">
        <f t="shared" si="261"/>
        <v>0</v>
      </c>
      <c r="DJ48" s="7">
        <f t="shared" si="262"/>
        <v>0</v>
      </c>
      <c r="DK48" s="12">
        <f t="shared" si="263"/>
        <v>20</v>
      </c>
      <c r="DL48" s="11">
        <f t="shared" si="264"/>
        <v>-3.3350153747639859</v>
      </c>
      <c r="DM48" s="328">
        <f t="shared" si="265"/>
        <v>-1.3515046088109004</v>
      </c>
      <c r="DN48" s="376">
        <f t="shared" si="266"/>
        <v>9.5185545719192657</v>
      </c>
      <c r="DO48" s="11">
        <f t="shared" si="267"/>
        <v>0.47739749253173747</v>
      </c>
      <c r="DP48" s="328">
        <f t="shared" si="268"/>
        <v>4.2113052702682729E-2</v>
      </c>
      <c r="DQ48" s="13">
        <f t="shared" si="269"/>
        <v>0</v>
      </c>
      <c r="DR48" s="328">
        <f t="shared" si="270"/>
        <v>190.37109143838532</v>
      </c>
      <c r="DS48" s="7">
        <f t="shared" si="271"/>
        <v>0</v>
      </c>
      <c r="DT48" s="7">
        <f t="shared" si="272"/>
        <v>400</v>
      </c>
      <c r="DU48" s="7">
        <f t="shared" si="273"/>
        <v>0.22968187508352925</v>
      </c>
      <c r="DV48" s="7">
        <f t="shared" si="274"/>
        <v>-1.6490439622858917</v>
      </c>
      <c r="DW48" s="7">
        <f t="shared" si="275"/>
        <v>103.55177339615443</v>
      </c>
      <c r="DX48" s="296">
        <f t="shared" si="276"/>
        <v>91.128968236154435</v>
      </c>
      <c r="DY48" s="11">
        <f t="shared" si="277"/>
        <v>91.872750033411705</v>
      </c>
      <c r="DZ48" s="7">
        <f t="shared" si="278"/>
        <v>-659.61758491435671</v>
      </c>
      <c r="EA48" s="12">
        <f t="shared" si="279"/>
        <v>210.43483901971194</v>
      </c>
      <c r="EB48" s="8">
        <f t="shared" si="280"/>
        <v>415762.1309646694</v>
      </c>
      <c r="EC48" s="328">
        <f t="shared" si="281"/>
        <v>14.198048690113696</v>
      </c>
      <c r="ED48" s="7">
        <f t="shared" si="282"/>
        <v>0.16132521943992434</v>
      </c>
      <c r="EE48" s="6">
        <f t="shared" si="283"/>
        <v>3.4430974687398126</v>
      </c>
      <c r="EF48" s="7">
        <f t="shared" si="284"/>
        <v>-0.75358143604888683</v>
      </c>
      <c r="EG48" s="12">
        <f t="shared" si="285"/>
        <v>-0.48144542808073465</v>
      </c>
      <c r="EH48" s="11">
        <f t="shared" si="286"/>
        <v>-3.2579991195212337</v>
      </c>
      <c r="EI48" s="7">
        <f t="shared" si="287"/>
        <v>-1.3447107113423551</v>
      </c>
      <c r="EJ48" s="8">
        <f t="shared" si="288"/>
        <v>-0.48144542808073465</v>
      </c>
      <c r="EK48" s="491" t="b">
        <f t="shared" si="159"/>
        <v>0</v>
      </c>
      <c r="EL48" s="493" t="b">
        <f t="shared" si="160"/>
        <v>1</v>
      </c>
      <c r="EM48" s="6">
        <f t="shared" si="289"/>
        <v>-3.2579991195212337</v>
      </c>
      <c r="EN48" s="7">
        <f t="shared" si="290"/>
        <v>-1.3447107113423551</v>
      </c>
      <c r="EO48" s="12">
        <f t="shared" si="291"/>
        <v>-0.48144542808073465</v>
      </c>
      <c r="EP48" s="11">
        <f t="shared" si="292"/>
        <v>202.42796032692644</v>
      </c>
      <c r="EQ48" s="7">
        <f t="shared" si="293"/>
        <v>3.5245999999999995</v>
      </c>
      <c r="ER48" s="9">
        <f t="shared" si="294"/>
        <v>-0.48144542808073465</v>
      </c>
      <c r="ES48" s="24">
        <f t="shared" si="295"/>
        <v>-8.6412929204772476E-2</v>
      </c>
      <c r="ET48" s="7">
        <f t="shared" si="296"/>
        <v>0.97958502357756672</v>
      </c>
      <c r="EU48" s="12">
        <f t="shared" si="297"/>
        <v>-0.18151029515922523</v>
      </c>
      <c r="EV48" s="337">
        <f t="shared" si="298"/>
        <v>247.57203967307356</v>
      </c>
      <c r="EW48" s="11">
        <f t="shared" si="299"/>
        <v>0.93845756562788019</v>
      </c>
      <c r="EX48" s="7">
        <f t="shared" si="300"/>
        <v>-0.29385610469582557</v>
      </c>
      <c r="EY48" s="8">
        <f t="shared" si="301"/>
        <v>-0.18151029515922523</v>
      </c>
      <c r="EZ48" s="123">
        <f t="shared" si="171"/>
        <v>0.64677688183598758</v>
      </c>
      <c r="FA48" s="534">
        <f t="shared" si="18"/>
        <v>-0.3814972012658962</v>
      </c>
      <c r="FB48" s="535">
        <f t="shared" si="19"/>
        <v>0.92430106738970319</v>
      </c>
      <c r="FC48" s="537">
        <f t="shared" si="20"/>
        <v>-1.128814637324118E-2</v>
      </c>
      <c r="FD48" s="6">
        <f t="shared" si="302"/>
        <v>0.9999362868460453</v>
      </c>
      <c r="FE48" s="7">
        <f t="shared" si="303"/>
        <v>1.1102230246251565E-16</v>
      </c>
      <c r="FF48" s="9">
        <f t="shared" si="304"/>
        <v>-1.128814637324118E-2</v>
      </c>
      <c r="FG48" s="328">
        <f t="shared" si="305"/>
        <v>-6.1478721218165111E-2</v>
      </c>
      <c r="FH48" s="7">
        <f t="shared" si="306"/>
        <v>-0.29385610469582568</v>
      </c>
      <c r="FI48" s="12">
        <f t="shared" si="307"/>
        <v>-0.17022214878598405</v>
      </c>
      <c r="FJ48" s="547">
        <f t="shared" si="308"/>
        <v>19.873292323276083</v>
      </c>
      <c r="FK48" s="6">
        <f t="shared" si="309"/>
        <v>0.98338904445352193</v>
      </c>
      <c r="FL48" s="7">
        <f t="shared" si="310"/>
        <v>0.99993628684604519</v>
      </c>
      <c r="FM48" s="10">
        <f t="shared" si="311"/>
        <v>0.30021832627210637</v>
      </c>
      <c r="FN48" s="11">
        <f t="shared" si="312"/>
        <v>17.386730580511529</v>
      </c>
      <c r="FO48" s="12">
        <f t="shared" si="313"/>
        <v>1</v>
      </c>
      <c r="FP48" s="545">
        <f t="shared" si="314"/>
        <v>17.386730580511529</v>
      </c>
      <c r="FQ48" s="328">
        <f t="shared" si="315"/>
        <v>0.29881978689230193</v>
      </c>
      <c r="FR48" s="12">
        <f t="shared" si="316"/>
        <v>0.9543095592949068</v>
      </c>
      <c r="FS48" s="11">
        <f t="shared" si="317"/>
        <v>0.23845885327120922</v>
      </c>
      <c r="FT48" s="8">
        <f t="shared" si="318"/>
        <v>0.76154114672879081</v>
      </c>
      <c r="FU48" s="6">
        <f t="shared" si="319"/>
        <v>0.95584966900292234</v>
      </c>
      <c r="FV48" s="7">
        <f t="shared" si="320"/>
        <v>1</v>
      </c>
      <c r="FW48" s="10">
        <f t="shared" si="321"/>
        <v>0.18098401338222819</v>
      </c>
      <c r="FX48" s="11">
        <f t="shared" si="322"/>
        <v>10.299832219143072</v>
      </c>
      <c r="FY48" s="12">
        <f t="shared" si="323"/>
        <v>1</v>
      </c>
      <c r="FZ48" s="545">
        <f t="shared" si="324"/>
        <v>10.299832219143072</v>
      </c>
      <c r="GA48" s="372">
        <f t="shared" si="325"/>
        <v>9.8446345538768263</v>
      </c>
      <c r="GB48" s="46">
        <f t="shared" si="326"/>
        <v>-0.29400447382009504</v>
      </c>
      <c r="GC48" s="47">
        <f t="shared" si="327"/>
        <v>0.93893139661165415</v>
      </c>
      <c r="GD48" s="578">
        <f t="shared" si="328"/>
        <v>-0.17879933397710848</v>
      </c>
      <c r="GE48" s="585">
        <f t="shared" si="329"/>
        <v>1.4117352044088578</v>
      </c>
      <c r="GF48" s="634">
        <f t="shared" si="330"/>
        <v>0.70834813559723797</v>
      </c>
      <c r="GG48" s="553">
        <f t="shared" si="331"/>
        <v>0.20825752088771127</v>
      </c>
      <c r="GH48" s="554">
        <f t="shared" si="332"/>
        <v>0.66509030424357596</v>
      </c>
      <c r="GI48" s="549">
        <f t="shared" si="333"/>
        <v>0.12665217486871266</v>
      </c>
      <c r="GJ48" s="296">
        <f t="shared" si="334"/>
        <v>3.5246</v>
      </c>
      <c r="GK48" s="337">
        <f t="shared" si="33"/>
        <v>1.8455938330777892</v>
      </c>
      <c r="GL48" s="337">
        <f t="shared" si="335"/>
        <v>2.5700000000000001E-2</v>
      </c>
      <c r="GM48" s="372">
        <f t="shared" si="336"/>
        <v>0.5691811381211902</v>
      </c>
      <c r="GN48" s="548">
        <f t="shared" si="337"/>
        <v>4.7038401375904114E-2</v>
      </c>
      <c r="GO48" s="6">
        <f t="shared" si="338"/>
        <v>17.386730580511529</v>
      </c>
      <c r="GP48" s="10">
        <f t="shared" si="339"/>
        <v>10.299832219143072</v>
      </c>
      <c r="GQ48" s="372">
        <f t="shared" si="340"/>
        <v>19.873292323276083</v>
      </c>
      <c r="GR48" s="697">
        <f t="shared" si="341"/>
        <v>4141.4174962014795</v>
      </c>
      <c r="GS48" s="637">
        <f t="shared" si="342"/>
        <v>862.48134071991274</v>
      </c>
      <c r="GT48" s="638">
        <f t="shared" si="343"/>
        <v>467.3191496753123</v>
      </c>
      <c r="GU48" s="639">
        <f t="shared" si="37"/>
        <v>2754.4166225483109</v>
      </c>
      <c r="GV48" s="638">
        <f t="shared" si="344"/>
        <v>1492.428384394269</v>
      </c>
      <c r="GW48" s="640">
        <f t="shared" si="38"/>
        <v>58071.143361644703</v>
      </c>
      <c r="GX48" s="641">
        <f t="shared" si="39"/>
        <v>438.35109030300339</v>
      </c>
      <c r="GY48" s="639">
        <f t="shared" si="345"/>
        <v>524.51953293325607</v>
      </c>
      <c r="GZ48" s="640">
        <f t="shared" si="346"/>
        <v>284.20095664198521</v>
      </c>
      <c r="HA48" s="637">
        <f t="shared" si="42"/>
        <v>862.48134071991274</v>
      </c>
      <c r="HB48" s="7">
        <f t="shared" si="193"/>
        <v>247.57203967307356</v>
      </c>
      <c r="HC48" s="638">
        <f t="shared" si="347"/>
        <v>-329.05518277222404</v>
      </c>
      <c r="HD48" s="640">
        <f t="shared" si="348"/>
        <v>-797.24321871105087</v>
      </c>
      <c r="HE48" s="639">
        <f t="shared" si="43"/>
        <v>1492.428384394269</v>
      </c>
      <c r="HF48" s="7">
        <f t="shared" si="44"/>
        <v>337.57203967307356</v>
      </c>
      <c r="HG48" s="638">
        <f t="shared" si="349"/>
        <v>1379.5410436092116</v>
      </c>
      <c r="HH48" s="644">
        <f t="shared" si="350"/>
        <v>-569.39352959380858</v>
      </c>
      <c r="HI48" s="596">
        <f t="shared" si="198"/>
        <v>5.12</v>
      </c>
      <c r="HJ48" s="625"/>
      <c r="HK48" s="584" t="str">
        <f t="shared" si="217"/>
        <v/>
      </c>
      <c r="HL48" s="583" t="str">
        <f t="shared" si="84"/>
        <v/>
      </c>
      <c r="HM48" s="643" t="str">
        <f t="shared" ref="HM48:IA53" si="381">IF(ISNUMBER($HL48),VLOOKUP($HL48,$GJ$9:$HI$130,HM$1,FALSE),"")</f>
        <v/>
      </c>
      <c r="HN48" s="660" t="str">
        <f t="shared" si="381"/>
        <v/>
      </c>
      <c r="HO48" s="661" t="str">
        <f t="shared" si="381"/>
        <v/>
      </c>
      <c r="HP48" s="656" t="str">
        <f t="shared" si="381"/>
        <v/>
      </c>
      <c r="HQ48" s="660" t="str">
        <f t="shared" si="381"/>
        <v/>
      </c>
      <c r="HR48" s="671" t="str">
        <f t="shared" si="381"/>
        <v/>
      </c>
      <c r="HS48" s="655" t="str">
        <f t="shared" si="381"/>
        <v/>
      </c>
      <c r="HT48" s="648" t="str">
        <f t="shared" si="381"/>
        <v/>
      </c>
      <c r="HU48" s="649" t="str">
        <f t="shared" si="381"/>
        <v/>
      </c>
      <c r="HV48" s="650" t="str">
        <f t="shared" si="381"/>
        <v/>
      </c>
      <c r="HW48" s="648" t="str">
        <f t="shared" si="381"/>
        <v/>
      </c>
      <c r="HX48" s="649" t="str">
        <f t="shared" si="381"/>
        <v/>
      </c>
      <c r="HY48" s="650" t="str">
        <f t="shared" si="381"/>
        <v/>
      </c>
      <c r="HZ48" s="648" t="str">
        <f t="shared" si="381"/>
        <v/>
      </c>
      <c r="IA48" s="649" t="str">
        <f t="shared" si="381"/>
        <v/>
      </c>
      <c r="IB48" s="716"/>
    </row>
    <row r="49" spans="2:238" ht="15" customHeight="1" x14ac:dyDescent="0.25">
      <c r="B49" s="143">
        <v>-3.3540224972803023</v>
      </c>
      <c r="C49" s="144">
        <v>-1.4577359748477117</v>
      </c>
      <c r="D49" s="145">
        <v>-1.4039042341751706</v>
      </c>
      <c r="E49" s="146">
        <v>-9.1781355511733484E-2</v>
      </c>
      <c r="F49" s="144">
        <v>-0.99158836716850862</v>
      </c>
      <c r="G49" s="147">
        <v>9.126167254943178E-2</v>
      </c>
      <c r="H49" s="146">
        <v>0.314</v>
      </c>
      <c r="I49" s="144">
        <v>0.52</v>
      </c>
      <c r="J49" s="306">
        <v>5.1260000000000003</v>
      </c>
      <c r="K49" s="699" t="str">
        <f t="shared" si="199"/>
        <v>1613</v>
      </c>
      <c r="M49" s="292">
        <f t="shared" si="46"/>
        <v>5.1260000000000003</v>
      </c>
      <c r="N49" s="24">
        <f t="shared" si="47"/>
        <v>-3.3540224972803023</v>
      </c>
      <c r="O49" s="7">
        <f t="shared" si="48"/>
        <v>-1.4577359748477117</v>
      </c>
      <c r="P49" s="12">
        <f t="shared" si="49"/>
        <v>-1.4039042341751706</v>
      </c>
      <c r="Q49" s="11">
        <f t="shared" si="85"/>
        <v>203.49088361394379</v>
      </c>
      <c r="R49" s="7">
        <f t="shared" si="50"/>
        <v>3.6571110298468659</v>
      </c>
      <c r="S49" s="8">
        <f t="shared" si="51"/>
        <v>-1.4039042341751706</v>
      </c>
      <c r="T49" s="6">
        <f t="shared" si="52"/>
        <v>-1.5107619939054402</v>
      </c>
      <c r="U49" s="7">
        <f t="shared" si="53"/>
        <v>3.3304743329439521</v>
      </c>
      <c r="V49" s="10">
        <f t="shared" si="86"/>
        <v>-1.4039042341751706</v>
      </c>
      <c r="W49" s="11">
        <f t="shared" si="214"/>
        <v>114.39988348270045</v>
      </c>
      <c r="X49" s="7">
        <f t="shared" si="54"/>
        <v>3.6571110298468659</v>
      </c>
      <c r="Y49" s="9">
        <f t="shared" si="213"/>
        <v>-1.4039042341751706</v>
      </c>
      <c r="Z49" s="24">
        <f t="shared" si="87"/>
        <v>9.1781355511733484E-2</v>
      </c>
      <c r="AA49" s="7">
        <f t="shared" si="55"/>
        <v>0.99158836716850862</v>
      </c>
      <c r="AB49" s="7">
        <f t="shared" si="56"/>
        <v>-9.126167254943178E-2</v>
      </c>
      <c r="AC49" s="10">
        <f t="shared" si="57"/>
        <v>1</v>
      </c>
      <c r="AD49" s="11">
        <f t="shared" si="88"/>
        <v>9.1781355511733484E-2</v>
      </c>
      <c r="AE49" s="7">
        <f t="shared" si="58"/>
        <v>0.99158836716850862</v>
      </c>
      <c r="AF49" s="12">
        <f t="shared" si="59"/>
        <v>-9.126167254943178E-2</v>
      </c>
      <c r="AG49" s="6">
        <f t="shared" si="60"/>
        <v>84.741548576160952</v>
      </c>
      <c r="AH49" s="12">
        <f t="shared" si="61"/>
        <v>84.73390453048188</v>
      </c>
      <c r="AI49" s="11">
        <f t="shared" si="62"/>
        <v>-84.763805663340094</v>
      </c>
      <c r="AJ49" s="8">
        <f t="shared" si="63"/>
        <v>174.71177399665606</v>
      </c>
      <c r="AK49" s="6">
        <f t="shared" si="89"/>
        <v>0.87282466452995167</v>
      </c>
      <c r="AL49" s="7">
        <f t="shared" si="64"/>
        <v>-0.47942508498373082</v>
      </c>
      <c r="AM49" s="8">
        <f t="shared" si="65"/>
        <v>-9.126167254943178E-2</v>
      </c>
      <c r="AN49" s="6">
        <f t="shared" si="66"/>
        <v>-79.222320937018765</v>
      </c>
      <c r="AO49" s="10">
        <f t="shared" si="376"/>
        <v>29.211438417011127</v>
      </c>
      <c r="AP49" s="11">
        <f t="shared" si="67"/>
        <v>-28.779109617287745</v>
      </c>
      <c r="AQ49" s="8">
        <f t="shared" si="200"/>
        <v>0.62339277328587994</v>
      </c>
      <c r="AS49" s="123">
        <f t="shared" si="90"/>
        <v>-245.60011651729957</v>
      </c>
      <c r="AT49" s="174">
        <f t="shared" si="68"/>
        <v>-1.232717347795965</v>
      </c>
      <c r="AV49" s="292">
        <f t="shared" si="91"/>
        <v>5.1260000000000003</v>
      </c>
      <c r="AW49" s="439">
        <v>3.9113000000000002</v>
      </c>
      <c r="AX49" s="440">
        <v>-0.9446</v>
      </c>
      <c r="AY49" s="442">
        <v>5.1999999999999998E-3</v>
      </c>
      <c r="AZ49" s="565">
        <f t="shared" si="220"/>
        <v>0.12779881012444683</v>
      </c>
      <c r="BA49" s="564">
        <f t="shared" si="221"/>
        <v>1.0561579299412288E-2</v>
      </c>
      <c r="BB49" s="444">
        <f t="shared" si="94"/>
        <v>3.8117347795964984E-2</v>
      </c>
      <c r="BC49" s="11"/>
      <c r="BD49" s="7">
        <f t="shared" si="222"/>
        <v>3.9113000000000002</v>
      </c>
      <c r="BE49" s="8">
        <f t="shared" si="223"/>
        <v>-1.3657868863792055</v>
      </c>
      <c r="BF49" s="6">
        <f t="shared" si="224"/>
        <v>-3.3540224972803023</v>
      </c>
      <c r="BG49" s="7">
        <f t="shared" si="225"/>
        <v>-1.4577359748477117</v>
      </c>
      <c r="BH49" s="12">
        <f t="shared" si="226"/>
        <v>-1.4039042341751706</v>
      </c>
      <c r="BI49" s="11">
        <f t="shared" si="227"/>
        <v>-3.3540224972803023</v>
      </c>
      <c r="BJ49" s="7">
        <f t="shared" si="228"/>
        <v>-1.3660874708026864</v>
      </c>
      <c r="BK49" s="10">
        <f t="shared" si="229"/>
        <v>-0.40811281439575264</v>
      </c>
      <c r="BL49" s="328">
        <f t="shared" si="230"/>
        <v>-2.358243313535016</v>
      </c>
      <c r="BM49" s="7">
        <f t="shared" si="231"/>
        <v>-1.5491310611620204</v>
      </c>
      <c r="BN49" s="8">
        <f t="shared" si="232"/>
        <v>-1.3954926102432956</v>
      </c>
      <c r="BO49" s="6">
        <f t="shared" si="233"/>
        <v>9.1781355511733553E-2</v>
      </c>
      <c r="BP49" s="7">
        <f t="shared" si="234"/>
        <v>0.99158836716850907</v>
      </c>
      <c r="BQ49" s="7">
        <f t="shared" si="235"/>
        <v>-9.126167254943196E-2</v>
      </c>
      <c r="BR49" s="8">
        <f t="shared" si="236"/>
        <v>1.6251881177692176</v>
      </c>
      <c r="BS49" s="6">
        <f t="shared" si="378"/>
        <v>0</v>
      </c>
      <c r="BT49" s="7">
        <f t="shared" si="378"/>
        <v>0</v>
      </c>
      <c r="BU49" s="12">
        <f t="shared" si="70"/>
        <v>-1.3657868863792055</v>
      </c>
      <c r="BV49" s="11">
        <f t="shared" si="71"/>
        <v>0</v>
      </c>
      <c r="BW49" s="7">
        <f t="shared" si="72"/>
        <v>1</v>
      </c>
      <c r="BX49" s="10">
        <f t="shared" si="73"/>
        <v>-1.3657868863792055</v>
      </c>
      <c r="BY49" s="328">
        <f t="shared" si="74"/>
        <v>1</v>
      </c>
      <c r="BZ49" s="7">
        <f t="shared" si="75"/>
        <v>0</v>
      </c>
      <c r="CA49" s="8">
        <f t="shared" si="76"/>
        <v>-1.3657868863792055</v>
      </c>
      <c r="CB49" s="6">
        <f t="shared" si="237"/>
        <v>0</v>
      </c>
      <c r="CC49" s="7">
        <f t="shared" si="238"/>
        <v>0</v>
      </c>
      <c r="CD49" s="7">
        <f t="shared" si="239"/>
        <v>-1</v>
      </c>
      <c r="CE49" s="8">
        <f t="shared" si="240"/>
        <v>-1.3657868863792055</v>
      </c>
      <c r="CF49" s="6">
        <f t="shared" si="241"/>
        <v>-0.99158836716850907</v>
      </c>
      <c r="CG49" s="7">
        <f t="shared" si="242"/>
        <v>9.1781355511733553E-2</v>
      </c>
      <c r="CH49" s="7">
        <f t="shared" si="243"/>
        <v>0</v>
      </c>
      <c r="CI49" s="6">
        <f t="shared" si="77"/>
        <v>0</v>
      </c>
      <c r="CJ49" s="7">
        <f t="shared" si="244"/>
        <v>-1.7646759192657018</v>
      </c>
      <c r="CK49" s="10">
        <f t="shared" si="245"/>
        <v>-1.3657868863792055</v>
      </c>
      <c r="CL49" s="328">
        <f t="shared" si="246"/>
        <v>-0.99158836716850907</v>
      </c>
      <c r="CM49" s="7">
        <f t="shared" si="247"/>
        <v>-1.6728945637539683</v>
      </c>
      <c r="CN49" s="8">
        <f t="shared" si="248"/>
        <v>-1.3657868863792055</v>
      </c>
      <c r="CO49" s="296">
        <f t="shared" si="201"/>
        <v>0.3125</v>
      </c>
      <c r="CP49" s="6">
        <f t="shared" si="249"/>
        <v>0.99167130712348117</v>
      </c>
      <c r="CQ49" s="7">
        <f t="shared" si="250"/>
        <v>-6.7079621113679995</v>
      </c>
      <c r="CR49" s="7">
        <f t="shared" si="251"/>
        <v>11.247475723944715</v>
      </c>
      <c r="CS49" s="10">
        <f t="shared" si="252"/>
        <v>0.38155987553311377</v>
      </c>
      <c r="CT49" s="11">
        <f t="shared" si="119"/>
        <v>3.6935965523109346</v>
      </c>
      <c r="CU49" s="8">
        <f t="shared" si="253"/>
        <v>3.0707033353460305</v>
      </c>
      <c r="CV49" s="6">
        <f t="shared" si="254"/>
        <v>-3.6625273742852342</v>
      </c>
      <c r="CW49" s="7">
        <f t="shared" si="255"/>
        <v>-1.4256726209811388</v>
      </c>
      <c r="CX49" s="10">
        <f t="shared" si="256"/>
        <v>-1.3657868863792055</v>
      </c>
      <c r="CY49" s="11">
        <f t="shared" si="257"/>
        <v>-3.0448737063546649</v>
      </c>
      <c r="CZ49" s="7">
        <f t="shared" si="258"/>
        <v>-1.4828426047732419</v>
      </c>
      <c r="DA49" s="8">
        <f t="shared" si="259"/>
        <v>-1.3657868863792055</v>
      </c>
      <c r="DB49" s="6">
        <f t="shared" si="379"/>
        <v>0</v>
      </c>
      <c r="DC49" s="7">
        <f t="shared" si="379"/>
        <v>0</v>
      </c>
      <c r="DD49" s="12">
        <f t="shared" si="127"/>
        <v>-10</v>
      </c>
      <c r="DE49" s="11">
        <f t="shared" si="380"/>
        <v>0</v>
      </c>
      <c r="DF49" s="7">
        <f t="shared" si="380"/>
        <v>0</v>
      </c>
      <c r="DG49" s="12">
        <f t="shared" si="129"/>
        <v>10</v>
      </c>
      <c r="DH49" s="174">
        <f t="shared" si="260"/>
        <v>3.9113000000000002</v>
      </c>
      <c r="DI49" s="6">
        <f t="shared" si="261"/>
        <v>0</v>
      </c>
      <c r="DJ49" s="7">
        <f t="shared" si="262"/>
        <v>0</v>
      </c>
      <c r="DK49" s="12">
        <f t="shared" si="263"/>
        <v>20</v>
      </c>
      <c r="DL49" s="11">
        <f t="shared" si="264"/>
        <v>-3.6625273742852342</v>
      </c>
      <c r="DM49" s="328">
        <f t="shared" si="265"/>
        <v>-1.4256726209811388</v>
      </c>
      <c r="DN49" s="376">
        <f t="shared" si="266"/>
        <v>8.6342131136207954</v>
      </c>
      <c r="DO49" s="11">
        <f t="shared" si="267"/>
        <v>0.61765366793056931</v>
      </c>
      <c r="DP49" s="328">
        <f t="shared" si="268"/>
        <v>-5.7169983792103141E-2</v>
      </c>
      <c r="DQ49" s="13">
        <f t="shared" si="269"/>
        <v>0</v>
      </c>
      <c r="DR49" s="328">
        <f t="shared" si="270"/>
        <v>172.68426227241591</v>
      </c>
      <c r="DS49" s="7">
        <f t="shared" si="271"/>
        <v>0</v>
      </c>
      <c r="DT49" s="7">
        <f t="shared" si="272"/>
        <v>400</v>
      </c>
      <c r="DU49" s="7">
        <f t="shared" si="273"/>
        <v>0.38476446055487529</v>
      </c>
      <c r="DV49" s="7">
        <f t="shared" si="274"/>
        <v>-2.1806677859890553</v>
      </c>
      <c r="DW49" s="7">
        <f t="shared" si="275"/>
        <v>89.996285281025223</v>
      </c>
      <c r="DX49" s="296">
        <f t="shared" si="276"/>
        <v>74.69801759102522</v>
      </c>
      <c r="DY49" s="11">
        <f t="shared" si="277"/>
        <v>153.90578422195011</v>
      </c>
      <c r="DZ49" s="7">
        <f t="shared" si="278"/>
        <v>-872.26711439562212</v>
      </c>
      <c r="EA49" s="12">
        <f t="shared" si="279"/>
        <v>59.35259984156437</v>
      </c>
      <c r="EB49" s="8">
        <f t="shared" si="280"/>
        <v>751715.21043183783</v>
      </c>
      <c r="EC49" s="328">
        <f t="shared" si="281"/>
        <v>11.300954273069465</v>
      </c>
      <c r="ED49" s="7">
        <f t="shared" si="282"/>
        <v>3.4124766425386407E-2</v>
      </c>
      <c r="EE49" s="6">
        <f t="shared" si="283"/>
        <v>3.3175484835917612</v>
      </c>
      <c r="EF49" s="7">
        <f t="shared" si="284"/>
        <v>-2.0717479936078189</v>
      </c>
      <c r="EG49" s="12">
        <f t="shared" si="285"/>
        <v>-1.3657868863792055</v>
      </c>
      <c r="EH49" s="11">
        <f t="shared" si="286"/>
        <v>-3.6414500871353206</v>
      </c>
      <c r="EI49" s="7">
        <f t="shared" si="287"/>
        <v>-1.4276235333245875</v>
      </c>
      <c r="EJ49" s="8">
        <f t="shared" si="288"/>
        <v>-1.3657868863792055</v>
      </c>
      <c r="EK49" s="491" t="b">
        <f t="shared" si="159"/>
        <v>0</v>
      </c>
      <c r="EL49" s="493" t="b">
        <f t="shared" si="160"/>
        <v>1</v>
      </c>
      <c r="EM49" s="6">
        <f t="shared" si="289"/>
        <v>-3.6414500871353206</v>
      </c>
      <c r="EN49" s="7">
        <f t="shared" si="290"/>
        <v>-1.4276235333245875</v>
      </c>
      <c r="EO49" s="12">
        <f t="shared" si="291"/>
        <v>-1.3657868863792055</v>
      </c>
      <c r="EP49" s="11">
        <f t="shared" si="292"/>
        <v>201.40756749386489</v>
      </c>
      <c r="EQ49" s="7">
        <f t="shared" si="293"/>
        <v>3.9113000000000016</v>
      </c>
      <c r="ER49" s="9">
        <f t="shared" si="294"/>
        <v>-1.3657868863792055</v>
      </c>
      <c r="ES49" s="24">
        <f t="shared" si="295"/>
        <v>9.1781355511733484E-2</v>
      </c>
      <c r="ET49" s="7">
        <f t="shared" si="296"/>
        <v>0.99158836716850862</v>
      </c>
      <c r="EU49" s="12">
        <f t="shared" si="297"/>
        <v>-9.126167254943178E-2</v>
      </c>
      <c r="EV49" s="337">
        <f t="shared" si="298"/>
        <v>248.59243250613511</v>
      </c>
      <c r="EW49" s="11">
        <f t="shared" si="299"/>
        <v>0.88967614935677475</v>
      </c>
      <c r="EX49" s="7">
        <f t="shared" si="300"/>
        <v>-0.44737864990316895</v>
      </c>
      <c r="EY49" s="8">
        <f t="shared" si="301"/>
        <v>-9.126167254943178E-2</v>
      </c>
      <c r="EZ49" s="123">
        <f t="shared" si="171"/>
        <v>0.58283639648006613</v>
      </c>
      <c r="FA49" s="534">
        <f t="shared" si="18"/>
        <v>-0.36498086828959753</v>
      </c>
      <c r="FB49" s="535">
        <f t="shared" si="19"/>
        <v>0.93095944666926589</v>
      </c>
      <c r="FC49" s="537">
        <f t="shared" si="20"/>
        <v>-1.0172238683083959E-2</v>
      </c>
      <c r="FD49" s="6">
        <f t="shared" si="302"/>
        <v>0.99994826144164795</v>
      </c>
      <c r="FE49" s="7">
        <f t="shared" si="303"/>
        <v>-3.3306690738754696E-16</v>
      </c>
      <c r="FF49" s="9">
        <f t="shared" si="304"/>
        <v>-1.0172238683083959E-2</v>
      </c>
      <c r="FG49" s="328">
        <f t="shared" si="305"/>
        <v>-0.1102721120848732</v>
      </c>
      <c r="FH49" s="7">
        <f t="shared" si="306"/>
        <v>-0.44737864990316861</v>
      </c>
      <c r="FI49" s="12">
        <f t="shared" si="307"/>
        <v>-8.1089433866347815E-2</v>
      </c>
      <c r="FJ49" s="547">
        <f t="shared" si="308"/>
        <v>27.056493915777896</v>
      </c>
      <c r="FK49" s="6">
        <f t="shared" si="309"/>
        <v>0.99582694637345515</v>
      </c>
      <c r="FL49" s="7">
        <f t="shared" si="310"/>
        <v>0.99994826144164795</v>
      </c>
      <c r="FM49" s="10">
        <f t="shared" si="311"/>
        <v>0.46076848318091457</v>
      </c>
      <c r="FN49" s="11">
        <f t="shared" si="312"/>
        <v>26.695793497208836</v>
      </c>
      <c r="FO49" s="12">
        <f t="shared" si="313"/>
        <v>1</v>
      </c>
      <c r="FP49" s="545">
        <f t="shared" si="314"/>
        <v>26.695793497208836</v>
      </c>
      <c r="FQ49" s="328">
        <f t="shared" si="315"/>
        <v>0.44925340846861628</v>
      </c>
      <c r="FR49" s="12">
        <f t="shared" si="316"/>
        <v>0.8934043737184918</v>
      </c>
      <c r="FS49" s="11">
        <f t="shared" si="317"/>
        <v>0.33460008531497115</v>
      </c>
      <c r="FT49" s="8">
        <f t="shared" si="318"/>
        <v>0.6653999146850289</v>
      </c>
      <c r="FU49" s="6">
        <f t="shared" si="319"/>
        <v>0.89434464475995934</v>
      </c>
      <c r="FV49" s="7">
        <f t="shared" si="320"/>
        <v>1</v>
      </c>
      <c r="FW49" s="10">
        <f t="shared" si="321"/>
        <v>0.13687744514135131</v>
      </c>
      <c r="FX49" s="11">
        <f t="shared" si="322"/>
        <v>5.2739952757660102</v>
      </c>
      <c r="FY49" s="12">
        <f t="shared" si="323"/>
        <v>1</v>
      </c>
      <c r="FZ49" s="545">
        <f t="shared" si="324"/>
        <v>5.2739952757660102</v>
      </c>
      <c r="GA49" s="372">
        <f t="shared" si="325"/>
        <v>4.7165778943785712</v>
      </c>
      <c r="GB49" s="46">
        <f t="shared" si="326"/>
        <v>-0.4473515030072443</v>
      </c>
      <c r="GC49" s="47">
        <f t="shared" si="327"/>
        <v>0.88962216388867499</v>
      </c>
      <c r="GD49" s="578">
        <f t="shared" si="328"/>
        <v>-9.1918650312062089E-2</v>
      </c>
      <c r="GE49" s="585">
        <f t="shared" si="329"/>
        <v>1.4288923172079815</v>
      </c>
      <c r="GF49" s="634">
        <f t="shared" si="330"/>
        <v>0.6998427998787019</v>
      </c>
      <c r="GG49" s="553">
        <f t="shared" si="331"/>
        <v>0.3130757283945354</v>
      </c>
      <c r="GH49" s="554">
        <f t="shared" si="332"/>
        <v>0.62259566600999972</v>
      </c>
      <c r="GI49" s="549">
        <f t="shared" si="333"/>
        <v>6.4328605595464841E-2</v>
      </c>
      <c r="GJ49" s="296">
        <f t="shared" si="334"/>
        <v>3.9113000000000002</v>
      </c>
      <c r="GK49" s="337">
        <f t="shared" si="33"/>
        <v>2.0480578545584431</v>
      </c>
      <c r="GL49" s="337">
        <f t="shared" si="335"/>
        <v>5.1999999999999998E-3</v>
      </c>
      <c r="GM49" s="372">
        <f t="shared" si="336"/>
        <v>0.12779881012444683</v>
      </c>
      <c r="GN49" s="548">
        <f t="shared" si="337"/>
        <v>1.0561579299412288E-2</v>
      </c>
      <c r="GO49" s="6">
        <f t="shared" si="338"/>
        <v>26.695793497208836</v>
      </c>
      <c r="GP49" s="10">
        <f t="shared" si="339"/>
        <v>5.2739952757660102</v>
      </c>
      <c r="GQ49" s="372">
        <f t="shared" si="340"/>
        <v>27.056493915777896</v>
      </c>
      <c r="GR49" s="697">
        <f t="shared" si="341"/>
        <v>993.3444006211522</v>
      </c>
      <c r="GS49" s="637">
        <f t="shared" si="342"/>
        <v>310.99202177110044</v>
      </c>
      <c r="GT49" s="638">
        <f t="shared" si="343"/>
        <v>151.84728355154286</v>
      </c>
      <c r="GU49" s="639">
        <f t="shared" si="37"/>
        <v>618.45191868203028</v>
      </c>
      <c r="GV49" s="638">
        <f t="shared" si="344"/>
        <v>301.96994548055244</v>
      </c>
      <c r="GW49" s="640">
        <f t="shared" si="38"/>
        <v>58071.143361644703</v>
      </c>
      <c r="GX49" s="641">
        <f t="shared" si="39"/>
        <v>98.424587313173731</v>
      </c>
      <c r="GY49" s="639">
        <f t="shared" si="345"/>
        <v>63.900460168021525</v>
      </c>
      <c r="GZ49" s="640">
        <f t="shared" si="346"/>
        <v>31.20051517382468</v>
      </c>
      <c r="HA49" s="637">
        <f t="shared" si="42"/>
        <v>310.99202177110044</v>
      </c>
      <c r="HB49" s="7">
        <f t="shared" si="193"/>
        <v>248.59243250613511</v>
      </c>
      <c r="HC49" s="638">
        <f t="shared" si="347"/>
        <v>-113.51201108496294</v>
      </c>
      <c r="HD49" s="640">
        <f t="shared" si="348"/>
        <v>-289.53594067874178</v>
      </c>
      <c r="HE49" s="639">
        <f t="shared" si="43"/>
        <v>301.96994548055244</v>
      </c>
      <c r="HF49" s="7">
        <f t="shared" si="44"/>
        <v>338.59243250613508</v>
      </c>
      <c r="HG49" s="638">
        <f t="shared" si="349"/>
        <v>281.13631894316597</v>
      </c>
      <c r="HH49" s="644">
        <f t="shared" si="350"/>
        <v>-110.21895546871359</v>
      </c>
      <c r="HI49" s="596">
        <f t="shared" si="198"/>
        <v>5.1260000000000003</v>
      </c>
      <c r="HJ49" s="625"/>
      <c r="HK49" s="584" t="str">
        <f t="shared" si="217"/>
        <v/>
      </c>
      <c r="HL49" s="583" t="str">
        <f t="shared" si="84"/>
        <v/>
      </c>
      <c r="HM49" s="643" t="str">
        <f t="shared" si="381"/>
        <v/>
      </c>
      <c r="HN49" s="660" t="str">
        <f t="shared" si="381"/>
        <v/>
      </c>
      <c r="HO49" s="661" t="str">
        <f t="shared" si="381"/>
        <v/>
      </c>
      <c r="HP49" s="656" t="str">
        <f t="shared" si="381"/>
        <v/>
      </c>
      <c r="HQ49" s="660" t="str">
        <f t="shared" si="381"/>
        <v/>
      </c>
      <c r="HR49" s="671" t="str">
        <f t="shared" si="381"/>
        <v/>
      </c>
      <c r="HS49" s="655" t="str">
        <f t="shared" si="381"/>
        <v/>
      </c>
      <c r="HT49" s="648" t="str">
        <f t="shared" si="381"/>
        <v/>
      </c>
      <c r="HU49" s="649" t="str">
        <f t="shared" si="381"/>
        <v/>
      </c>
      <c r="HV49" s="650" t="str">
        <f t="shared" si="381"/>
        <v/>
      </c>
      <c r="HW49" s="648" t="str">
        <f t="shared" si="381"/>
        <v/>
      </c>
      <c r="HX49" s="649" t="str">
        <f t="shared" si="381"/>
        <v/>
      </c>
      <c r="HY49" s="650" t="str">
        <f t="shared" si="381"/>
        <v/>
      </c>
      <c r="HZ49" s="648" t="str">
        <f t="shared" si="381"/>
        <v/>
      </c>
      <c r="IA49" s="649" t="str">
        <f t="shared" si="381"/>
        <v/>
      </c>
      <c r="IB49" s="716"/>
    </row>
    <row r="50" spans="2:238" ht="15" customHeight="1" x14ac:dyDescent="0.25">
      <c r="B50" s="143">
        <v>-3.3827850636947034</v>
      </c>
      <c r="C50" s="144">
        <v>-1.4663147061896482</v>
      </c>
      <c r="D50" s="145">
        <v>-2.1690065417237303</v>
      </c>
      <c r="E50" s="146">
        <v>-0.11433052106755759</v>
      </c>
      <c r="F50" s="144">
        <v>-0.99344276732603376</v>
      </c>
      <c r="G50" s="147">
        <v>1.1339743362162163E-7</v>
      </c>
      <c r="H50" s="146">
        <v>0.314</v>
      </c>
      <c r="I50" s="144">
        <v>0.52</v>
      </c>
      <c r="J50" s="306">
        <v>5.1319999999999997</v>
      </c>
      <c r="K50" s="699" t="str">
        <f t="shared" si="199"/>
        <v>1613</v>
      </c>
      <c r="M50" s="292">
        <f t="shared" si="46"/>
        <v>5.1319999999999997</v>
      </c>
      <c r="N50" s="24">
        <f t="shared" si="47"/>
        <v>-3.3827850636947034</v>
      </c>
      <c r="O50" s="7">
        <f t="shared" si="48"/>
        <v>-1.4663147061896482</v>
      </c>
      <c r="P50" s="12">
        <f t="shared" si="49"/>
        <v>-2.1690065417237303</v>
      </c>
      <c r="Q50" s="11">
        <f t="shared" si="85"/>
        <v>203.43498362201476</v>
      </c>
      <c r="R50" s="7">
        <f t="shared" si="50"/>
        <v>3.6869111197239364</v>
      </c>
      <c r="S50" s="8">
        <f t="shared" si="51"/>
        <v>-2.1690065417237303</v>
      </c>
      <c r="T50" s="6">
        <f t="shared" si="52"/>
        <v>-1.5197959457806647</v>
      </c>
      <c r="U50" s="7">
        <f t="shared" si="53"/>
        <v>3.3590971834605599</v>
      </c>
      <c r="V50" s="10">
        <f t="shared" si="86"/>
        <v>-2.1690065417237303</v>
      </c>
      <c r="W50" s="11">
        <f t="shared" si="214"/>
        <v>114.34398349077141</v>
      </c>
      <c r="X50" s="7">
        <f t="shared" si="54"/>
        <v>3.6869111197239364</v>
      </c>
      <c r="Y50" s="9">
        <f t="shared" si="213"/>
        <v>-2.1690065417237303</v>
      </c>
      <c r="Z50" s="24">
        <f t="shared" si="87"/>
        <v>0.11433052106755759</v>
      </c>
      <c r="AA50" s="7">
        <f t="shared" si="55"/>
        <v>0.99344276732603376</v>
      </c>
      <c r="AB50" s="7">
        <f t="shared" si="56"/>
        <v>-1.1339743362162163E-7</v>
      </c>
      <c r="AC50" s="10">
        <f t="shared" si="57"/>
        <v>1</v>
      </c>
      <c r="AD50" s="11">
        <f t="shared" si="88"/>
        <v>0.11433052106755759</v>
      </c>
      <c r="AE50" s="7">
        <f t="shared" si="58"/>
        <v>0.99344276732603376</v>
      </c>
      <c r="AF50" s="12">
        <f t="shared" si="59"/>
        <v>-1.1339743362162163E-7</v>
      </c>
      <c r="AG50" s="6">
        <f t="shared" si="60"/>
        <v>89.99999345992083</v>
      </c>
      <c r="AH50" s="12">
        <f t="shared" si="61"/>
        <v>83.434987953478881</v>
      </c>
      <c r="AI50" s="11">
        <f t="shared" si="62"/>
        <v>-89.999993502805637</v>
      </c>
      <c r="AJ50" s="8">
        <f t="shared" si="63"/>
        <v>173.43498795347884</v>
      </c>
      <c r="AK50" s="6">
        <f t="shared" si="89"/>
        <v>0.86602544158358552</v>
      </c>
      <c r="AL50" s="7">
        <f t="shared" si="64"/>
        <v>-0.49999993452993868</v>
      </c>
      <c r="AM50" s="8">
        <f t="shared" si="65"/>
        <v>-1.1339743362162163E-7</v>
      </c>
      <c r="AN50" s="6">
        <f t="shared" si="66"/>
        <v>-89.999987005609597</v>
      </c>
      <c r="AO50" s="10">
        <f t="shared" si="376"/>
        <v>29.999995668536549</v>
      </c>
      <c r="AP50" s="11">
        <f t="shared" si="67"/>
        <v>-29.99999566853592</v>
      </c>
      <c r="AQ50" s="8">
        <f t="shared" si="200"/>
        <v>0.61835370171187476</v>
      </c>
      <c r="AS50" s="123">
        <f t="shared" si="90"/>
        <v>-245.65601650922861</v>
      </c>
      <c r="AT50" s="174">
        <f t="shared" si="68"/>
        <v>-1.997780835905685</v>
      </c>
      <c r="AV50" s="292" t="str">
        <f t="shared" si="91"/>
        <v/>
      </c>
      <c r="AW50" s="439"/>
      <c r="AX50" s="440"/>
      <c r="AY50" s="442"/>
      <c r="AZ50" s="565" t="str">
        <f t="shared" si="220"/>
        <v/>
      </c>
      <c r="BA50" s="564" t="str">
        <f t="shared" si="221"/>
        <v/>
      </c>
      <c r="BB50" s="444" t="str">
        <f t="shared" si="94"/>
        <v/>
      </c>
      <c r="BC50" s="11"/>
      <c r="BD50" s="7" t="str">
        <f t="shared" si="222"/>
        <v/>
      </c>
      <c r="BE50" s="8" t="str">
        <f t="shared" si="223"/>
        <v/>
      </c>
      <c r="BF50" s="6" t="str">
        <f t="shared" si="224"/>
        <v/>
      </c>
      <c r="BG50" s="7" t="str">
        <f t="shared" si="225"/>
        <v/>
      </c>
      <c r="BH50" s="12" t="str">
        <f t="shared" si="226"/>
        <v/>
      </c>
      <c r="BI50" s="11" t="str">
        <f t="shared" si="227"/>
        <v/>
      </c>
      <c r="BJ50" s="7" t="str">
        <f t="shared" si="228"/>
        <v/>
      </c>
      <c r="BK50" s="10" t="str">
        <f t="shared" si="229"/>
        <v/>
      </c>
      <c r="BL50" s="328" t="str">
        <f t="shared" si="230"/>
        <v/>
      </c>
      <c r="BM50" s="7" t="str">
        <f t="shared" si="231"/>
        <v/>
      </c>
      <c r="BN50" s="8" t="str">
        <f t="shared" si="232"/>
        <v/>
      </c>
      <c r="BO50" s="6" t="str">
        <f t="shared" si="233"/>
        <v/>
      </c>
      <c r="BP50" s="7" t="str">
        <f t="shared" si="234"/>
        <v/>
      </c>
      <c r="BQ50" s="7" t="str">
        <f t="shared" si="235"/>
        <v/>
      </c>
      <c r="BR50" s="8" t="str">
        <f t="shared" si="236"/>
        <v/>
      </c>
      <c r="BS50" s="6" t="str">
        <f t="shared" si="378"/>
        <v/>
      </c>
      <c r="BT50" s="7" t="str">
        <f t="shared" si="378"/>
        <v/>
      </c>
      <c r="BU50" s="12" t="str">
        <f t="shared" si="70"/>
        <v/>
      </c>
      <c r="BV50" s="11" t="str">
        <f t="shared" si="71"/>
        <v/>
      </c>
      <c r="BW50" s="7" t="str">
        <f t="shared" si="72"/>
        <v/>
      </c>
      <c r="BX50" s="10" t="str">
        <f t="shared" si="73"/>
        <v/>
      </c>
      <c r="BY50" s="328" t="str">
        <f t="shared" si="74"/>
        <v/>
      </c>
      <c r="BZ50" s="7" t="str">
        <f t="shared" si="75"/>
        <v/>
      </c>
      <c r="CA50" s="8" t="str">
        <f t="shared" si="76"/>
        <v/>
      </c>
      <c r="CB50" s="6" t="str">
        <f t="shared" si="237"/>
        <v/>
      </c>
      <c r="CC50" s="7" t="str">
        <f t="shared" si="238"/>
        <v/>
      </c>
      <c r="CD50" s="7" t="str">
        <f t="shared" si="239"/>
        <v/>
      </c>
      <c r="CE50" s="8" t="str">
        <f t="shared" si="240"/>
        <v/>
      </c>
      <c r="CF50" s="6" t="str">
        <f t="shared" si="241"/>
        <v/>
      </c>
      <c r="CG50" s="7" t="str">
        <f t="shared" si="242"/>
        <v/>
      </c>
      <c r="CH50" s="7" t="str">
        <f t="shared" si="243"/>
        <v/>
      </c>
      <c r="CI50" s="6" t="str">
        <f t="shared" si="77"/>
        <v/>
      </c>
      <c r="CJ50" s="7" t="str">
        <f t="shared" si="244"/>
        <v/>
      </c>
      <c r="CK50" s="10" t="str">
        <f t="shared" si="245"/>
        <v/>
      </c>
      <c r="CL50" s="328" t="str">
        <f t="shared" si="246"/>
        <v/>
      </c>
      <c r="CM50" s="7" t="str">
        <f t="shared" si="247"/>
        <v/>
      </c>
      <c r="CN50" s="8" t="str">
        <f t="shared" si="248"/>
        <v/>
      </c>
      <c r="CO50" s="296" t="str">
        <f t="shared" si="201"/>
        <v/>
      </c>
      <c r="CP50" s="6" t="str">
        <f t="shared" si="249"/>
        <v/>
      </c>
      <c r="CQ50" s="7" t="str">
        <f t="shared" si="250"/>
        <v/>
      </c>
      <c r="CR50" s="7" t="str">
        <f t="shared" si="251"/>
        <v/>
      </c>
      <c r="CS50" s="10" t="str">
        <f t="shared" si="252"/>
        <v/>
      </c>
      <c r="CT50" s="11" t="str">
        <f t="shared" si="119"/>
        <v/>
      </c>
      <c r="CU50" s="8" t="str">
        <f t="shared" si="253"/>
        <v/>
      </c>
      <c r="CV50" s="6" t="str">
        <f t="shared" si="254"/>
        <v/>
      </c>
      <c r="CW50" s="7" t="str">
        <f t="shared" si="255"/>
        <v/>
      </c>
      <c r="CX50" s="10" t="str">
        <f t="shared" si="256"/>
        <v/>
      </c>
      <c r="CY50" s="11" t="str">
        <f t="shared" si="257"/>
        <v/>
      </c>
      <c r="CZ50" s="7" t="str">
        <f t="shared" si="258"/>
        <v/>
      </c>
      <c r="DA50" s="8" t="str">
        <f t="shared" si="259"/>
        <v/>
      </c>
      <c r="DB50" s="6" t="str">
        <f t="shared" si="379"/>
        <v/>
      </c>
      <c r="DC50" s="7" t="str">
        <f t="shared" si="379"/>
        <v/>
      </c>
      <c r="DD50" s="12" t="str">
        <f t="shared" si="127"/>
        <v/>
      </c>
      <c r="DE50" s="11" t="str">
        <f t="shared" si="380"/>
        <v/>
      </c>
      <c r="DF50" s="7" t="str">
        <f t="shared" si="380"/>
        <v/>
      </c>
      <c r="DG50" s="12" t="str">
        <f t="shared" si="129"/>
        <v/>
      </c>
      <c r="DH50" s="174" t="str">
        <f t="shared" si="260"/>
        <v/>
      </c>
      <c r="DI50" s="6" t="str">
        <f t="shared" si="261"/>
        <v/>
      </c>
      <c r="DJ50" s="7" t="str">
        <f t="shared" si="262"/>
        <v/>
      </c>
      <c r="DK50" s="12" t="str">
        <f t="shared" si="263"/>
        <v/>
      </c>
      <c r="DL50" s="11" t="str">
        <f t="shared" si="264"/>
        <v/>
      </c>
      <c r="DM50" s="328" t="str">
        <f t="shared" si="265"/>
        <v/>
      </c>
      <c r="DN50" s="376" t="str">
        <f t="shared" si="266"/>
        <v/>
      </c>
      <c r="DO50" s="11" t="str">
        <f t="shared" si="267"/>
        <v/>
      </c>
      <c r="DP50" s="328" t="str">
        <f t="shared" si="268"/>
        <v/>
      </c>
      <c r="DQ50" s="13" t="str">
        <f t="shared" si="269"/>
        <v/>
      </c>
      <c r="DR50" s="328" t="str">
        <f t="shared" si="270"/>
        <v/>
      </c>
      <c r="DS50" s="7" t="str">
        <f t="shared" si="271"/>
        <v/>
      </c>
      <c r="DT50" s="7" t="str">
        <f t="shared" si="272"/>
        <v/>
      </c>
      <c r="DU50" s="7" t="str">
        <f t="shared" si="273"/>
        <v/>
      </c>
      <c r="DV50" s="7" t="str">
        <f t="shared" si="274"/>
        <v/>
      </c>
      <c r="DW50" s="7" t="str">
        <f t="shared" si="275"/>
        <v/>
      </c>
      <c r="DX50" s="296" t="str">
        <f t="shared" si="276"/>
        <v/>
      </c>
      <c r="DY50" s="11" t="str">
        <f t="shared" si="277"/>
        <v/>
      </c>
      <c r="DZ50" s="7" t="str">
        <f t="shared" si="278"/>
        <v/>
      </c>
      <c r="EA50" s="12" t="str">
        <f t="shared" si="279"/>
        <v/>
      </c>
      <c r="EB50" s="8" t="str">
        <f t="shared" si="280"/>
        <v/>
      </c>
      <c r="EC50" s="328" t="str">
        <f t="shared" si="281"/>
        <v/>
      </c>
      <c r="ED50" s="7" t="str">
        <f t="shared" si="282"/>
        <v/>
      </c>
      <c r="EE50" s="6" t="str">
        <f t="shared" si="283"/>
        <v/>
      </c>
      <c r="EF50" s="7" t="str">
        <f t="shared" si="284"/>
        <v/>
      </c>
      <c r="EG50" s="12" t="str">
        <f t="shared" si="285"/>
        <v/>
      </c>
      <c r="EH50" s="11" t="str">
        <f t="shared" si="286"/>
        <v/>
      </c>
      <c r="EI50" s="7" t="str">
        <f t="shared" si="287"/>
        <v/>
      </c>
      <c r="EJ50" s="8" t="str">
        <f t="shared" si="288"/>
        <v/>
      </c>
      <c r="EK50" s="491" t="str">
        <f t="shared" si="159"/>
        <v/>
      </c>
      <c r="EL50" s="493" t="str">
        <f t="shared" si="160"/>
        <v/>
      </c>
      <c r="EM50" s="6" t="str">
        <f t="shared" si="289"/>
        <v/>
      </c>
      <c r="EN50" s="7" t="str">
        <f t="shared" si="290"/>
        <v/>
      </c>
      <c r="EO50" s="12" t="str">
        <f t="shared" si="291"/>
        <v/>
      </c>
      <c r="EP50" s="11" t="str">
        <f t="shared" si="292"/>
        <v/>
      </c>
      <c r="EQ50" s="7" t="str">
        <f t="shared" si="293"/>
        <v/>
      </c>
      <c r="ER50" s="9" t="str">
        <f t="shared" si="294"/>
        <v/>
      </c>
      <c r="ES50" s="24" t="str">
        <f t="shared" si="295"/>
        <v/>
      </c>
      <c r="ET50" s="7" t="str">
        <f t="shared" si="296"/>
        <v/>
      </c>
      <c r="EU50" s="12" t="str">
        <f t="shared" si="297"/>
        <v/>
      </c>
      <c r="EV50" s="337" t="str">
        <f t="shared" si="298"/>
        <v/>
      </c>
      <c r="EW50" s="11" t="str">
        <f t="shared" si="299"/>
        <v/>
      </c>
      <c r="EX50" s="7" t="str">
        <f t="shared" si="300"/>
        <v/>
      </c>
      <c r="EY50" s="8" t="str">
        <f t="shared" si="301"/>
        <v/>
      </c>
      <c r="EZ50" s="123" t="str">
        <f t="shared" si="171"/>
        <v/>
      </c>
      <c r="FA50" s="534" t="str">
        <f t="shared" si="18"/>
        <v/>
      </c>
      <c r="FB50" s="535" t="str">
        <f t="shared" si="19"/>
        <v/>
      </c>
      <c r="FC50" s="537" t="str">
        <f t="shared" si="20"/>
        <v/>
      </c>
      <c r="FD50" s="6" t="str">
        <f t="shared" si="302"/>
        <v/>
      </c>
      <c r="FE50" s="7" t="str">
        <f t="shared" si="303"/>
        <v/>
      </c>
      <c r="FF50" s="9" t="str">
        <f t="shared" si="304"/>
        <v/>
      </c>
      <c r="FG50" s="328" t="str">
        <f t="shared" si="305"/>
        <v/>
      </c>
      <c r="FH50" s="7" t="str">
        <f t="shared" si="306"/>
        <v/>
      </c>
      <c r="FI50" s="12" t="str">
        <f t="shared" si="307"/>
        <v/>
      </c>
      <c r="FJ50" s="547" t="str">
        <f t="shared" si="308"/>
        <v/>
      </c>
      <c r="FK50" s="6" t="str">
        <f t="shared" si="309"/>
        <v/>
      </c>
      <c r="FL50" s="7" t="str">
        <f t="shared" si="310"/>
        <v/>
      </c>
      <c r="FM50" s="10" t="str">
        <f t="shared" si="311"/>
        <v/>
      </c>
      <c r="FN50" s="11" t="str">
        <f t="shared" si="312"/>
        <v/>
      </c>
      <c r="FO50" s="12" t="str">
        <f t="shared" si="313"/>
        <v/>
      </c>
      <c r="FP50" s="545" t="str">
        <f t="shared" si="314"/>
        <v/>
      </c>
      <c r="FQ50" s="328" t="str">
        <f t="shared" si="315"/>
        <v/>
      </c>
      <c r="FR50" s="12" t="str">
        <f t="shared" si="316"/>
        <v/>
      </c>
      <c r="FS50" s="11" t="str">
        <f t="shared" si="317"/>
        <v/>
      </c>
      <c r="FT50" s="8" t="str">
        <f t="shared" si="318"/>
        <v/>
      </c>
      <c r="FU50" s="6" t="str">
        <f t="shared" si="319"/>
        <v/>
      </c>
      <c r="FV50" s="7" t="str">
        <f t="shared" si="320"/>
        <v/>
      </c>
      <c r="FW50" s="10" t="str">
        <f t="shared" si="321"/>
        <v/>
      </c>
      <c r="FX50" s="11" t="str">
        <f t="shared" si="322"/>
        <v/>
      </c>
      <c r="FY50" s="12" t="str">
        <f t="shared" si="323"/>
        <v/>
      </c>
      <c r="FZ50" s="545" t="str">
        <f t="shared" si="324"/>
        <v/>
      </c>
      <c r="GA50" s="372" t="str">
        <f t="shared" si="325"/>
        <v/>
      </c>
      <c r="GB50" s="46" t="str">
        <f t="shared" si="326"/>
        <v/>
      </c>
      <c r="GC50" s="47" t="str">
        <f t="shared" si="327"/>
        <v/>
      </c>
      <c r="GD50" s="578" t="str">
        <f t="shared" si="328"/>
        <v/>
      </c>
      <c r="GE50" s="585" t="str">
        <f t="shared" si="329"/>
        <v/>
      </c>
      <c r="GF50" s="634" t="str">
        <f t="shared" si="330"/>
        <v/>
      </c>
      <c r="GG50" s="553" t="str">
        <f t="shared" si="331"/>
        <v/>
      </c>
      <c r="GH50" s="554" t="str">
        <f t="shared" si="332"/>
        <v/>
      </c>
      <c r="GI50" s="549" t="str">
        <f t="shared" si="333"/>
        <v/>
      </c>
      <c r="GJ50" s="296" t="str">
        <f t="shared" si="334"/>
        <v/>
      </c>
      <c r="GK50" s="337" t="str">
        <f t="shared" si="33"/>
        <v/>
      </c>
      <c r="GL50" s="337" t="str">
        <f t="shared" si="335"/>
        <v/>
      </c>
      <c r="GM50" s="372" t="str">
        <f t="shared" si="336"/>
        <v/>
      </c>
      <c r="GN50" s="548" t="str">
        <f t="shared" si="337"/>
        <v/>
      </c>
      <c r="GO50" s="6" t="str">
        <f t="shared" si="338"/>
        <v/>
      </c>
      <c r="GP50" s="10" t="str">
        <f t="shared" si="339"/>
        <v/>
      </c>
      <c r="GQ50" s="372" t="str">
        <f t="shared" si="340"/>
        <v/>
      </c>
      <c r="GR50" s="697" t="str">
        <f t="shared" si="341"/>
        <v/>
      </c>
      <c r="GS50" s="637" t="str">
        <f t="shared" si="342"/>
        <v/>
      </c>
      <c r="GT50" s="638" t="str">
        <f t="shared" si="343"/>
        <v/>
      </c>
      <c r="GU50" s="639" t="str">
        <f t="shared" si="37"/>
        <v/>
      </c>
      <c r="GV50" s="638" t="str">
        <f t="shared" si="344"/>
        <v/>
      </c>
      <c r="GW50" s="640" t="str">
        <f t="shared" si="38"/>
        <v/>
      </c>
      <c r="GX50" s="641" t="str">
        <f t="shared" si="39"/>
        <v/>
      </c>
      <c r="GY50" s="639" t="str">
        <f t="shared" si="345"/>
        <v/>
      </c>
      <c r="GZ50" s="640" t="str">
        <f t="shared" si="346"/>
        <v/>
      </c>
      <c r="HA50" s="637" t="str">
        <f t="shared" si="42"/>
        <v/>
      </c>
      <c r="HB50" s="7" t="str">
        <f t="shared" si="193"/>
        <v/>
      </c>
      <c r="HC50" s="638" t="str">
        <f t="shared" si="347"/>
        <v/>
      </c>
      <c r="HD50" s="640" t="str">
        <f t="shared" si="348"/>
        <v/>
      </c>
      <c r="HE50" s="639" t="str">
        <f t="shared" si="43"/>
        <v/>
      </c>
      <c r="HF50" s="7" t="str">
        <f t="shared" si="44"/>
        <v/>
      </c>
      <c r="HG50" s="638" t="str">
        <f t="shared" si="349"/>
        <v/>
      </c>
      <c r="HH50" s="644" t="str">
        <f t="shared" si="350"/>
        <v/>
      </c>
      <c r="HI50" s="596" t="str">
        <f t="shared" si="198"/>
        <v/>
      </c>
      <c r="HJ50" s="625"/>
      <c r="HK50" s="584" t="str">
        <f t="shared" si="217"/>
        <v/>
      </c>
      <c r="HL50" s="583" t="str">
        <f t="shared" si="84"/>
        <v/>
      </c>
      <c r="HM50" s="643" t="str">
        <f t="shared" si="381"/>
        <v/>
      </c>
      <c r="HN50" s="660" t="str">
        <f t="shared" si="381"/>
        <v/>
      </c>
      <c r="HO50" s="661" t="str">
        <f t="shared" si="381"/>
        <v/>
      </c>
      <c r="HP50" s="656" t="str">
        <f t="shared" si="381"/>
        <v/>
      </c>
      <c r="HQ50" s="660" t="str">
        <f t="shared" si="381"/>
        <v/>
      </c>
      <c r="HR50" s="671" t="str">
        <f t="shared" si="381"/>
        <v/>
      </c>
      <c r="HS50" s="655" t="str">
        <f t="shared" si="381"/>
        <v/>
      </c>
      <c r="HT50" s="648" t="str">
        <f t="shared" si="381"/>
        <v/>
      </c>
      <c r="HU50" s="649" t="str">
        <f t="shared" si="381"/>
        <v/>
      </c>
      <c r="HV50" s="650" t="str">
        <f t="shared" si="381"/>
        <v/>
      </c>
      <c r="HW50" s="648" t="str">
        <f t="shared" si="381"/>
        <v/>
      </c>
      <c r="HX50" s="649" t="str">
        <f t="shared" si="381"/>
        <v/>
      </c>
      <c r="HY50" s="650" t="str">
        <f t="shared" si="381"/>
        <v/>
      </c>
      <c r="HZ50" s="648" t="str">
        <f t="shared" si="381"/>
        <v/>
      </c>
      <c r="IA50" s="649" t="str">
        <f t="shared" si="381"/>
        <v/>
      </c>
      <c r="IB50" s="716"/>
    </row>
    <row r="51" spans="2:238" ht="15" customHeight="1" x14ac:dyDescent="0.25">
      <c r="B51" s="143">
        <v>-2.7863195257919822</v>
      </c>
      <c r="C51" s="144">
        <v>-0.37848752173986566</v>
      </c>
      <c r="D51" s="145">
        <v>-0.15700047351342813</v>
      </c>
      <c r="E51" s="146">
        <v>-8.1022787033921975E-2</v>
      </c>
      <c r="F51" s="144">
        <v>-0.95355867626698099</v>
      </c>
      <c r="G51" s="147">
        <v>0.29010542721089988</v>
      </c>
      <c r="H51" s="146">
        <v>0.26600000000000001</v>
      </c>
      <c r="I51" s="144">
        <v>0.52</v>
      </c>
      <c r="J51" s="306">
        <v>5.2140000000000004</v>
      </c>
      <c r="K51" s="699" t="str">
        <f t="shared" si="199"/>
        <v>13</v>
      </c>
      <c r="M51" s="292">
        <f t="shared" si="46"/>
        <v>5.2140000000000004</v>
      </c>
      <c r="N51" s="24">
        <f t="shared" si="47"/>
        <v>-2.7863195257919822</v>
      </c>
      <c r="O51" s="7">
        <f t="shared" si="48"/>
        <v>-0.37848752173986566</v>
      </c>
      <c r="P51" s="12">
        <f t="shared" si="49"/>
        <v>-0.15700047351342813</v>
      </c>
      <c r="Q51" s="11">
        <f t="shared" si="85"/>
        <v>187.73558588872734</v>
      </c>
      <c r="R51" s="7">
        <f t="shared" si="50"/>
        <v>2.8119084807159784</v>
      </c>
      <c r="S51" s="8">
        <f t="shared" si="51"/>
        <v>-0.15700047351342813</v>
      </c>
      <c r="T51" s="6">
        <f t="shared" si="52"/>
        <v>-0.42264310822965273</v>
      </c>
      <c r="U51" s="7">
        <f t="shared" si="53"/>
        <v>2.7799644075038841</v>
      </c>
      <c r="V51" s="10">
        <f t="shared" si="86"/>
        <v>-0.15700047351342813</v>
      </c>
      <c r="W51" s="11">
        <f t="shared" si="214"/>
        <v>98.644585757483995</v>
      </c>
      <c r="X51" s="7">
        <f t="shared" si="54"/>
        <v>2.8119084807159784</v>
      </c>
      <c r="Y51" s="9">
        <f t="shared" si="213"/>
        <v>-0.15700047351342813</v>
      </c>
      <c r="Z51" s="24">
        <f t="shared" si="87"/>
        <v>8.1022787033921975E-2</v>
      </c>
      <c r="AA51" s="7">
        <f t="shared" si="55"/>
        <v>0.95355867626698099</v>
      </c>
      <c r="AB51" s="7">
        <f t="shared" si="56"/>
        <v>-0.29010542721089988</v>
      </c>
      <c r="AC51" s="10">
        <f t="shared" si="57"/>
        <v>1</v>
      </c>
      <c r="AD51" s="11">
        <f t="shared" si="88"/>
        <v>8.1022787033921975E-2</v>
      </c>
      <c r="AE51" s="7">
        <f t="shared" si="58"/>
        <v>0.95355867626698099</v>
      </c>
      <c r="AF51" s="12">
        <f t="shared" si="59"/>
        <v>-0.29010542721089988</v>
      </c>
      <c r="AG51" s="6">
        <f t="shared" si="60"/>
        <v>73.078430869784256</v>
      </c>
      <c r="AH51" s="12">
        <f t="shared" si="61"/>
        <v>85.352642023279898</v>
      </c>
      <c r="AI51" s="11">
        <f t="shared" si="62"/>
        <v>-73.135732099881324</v>
      </c>
      <c r="AJ51" s="8">
        <f t="shared" si="63"/>
        <v>175.14330887349658</v>
      </c>
      <c r="AK51" s="6">
        <f t="shared" si="89"/>
        <v>0.93397529215937092</v>
      </c>
      <c r="AL51" s="7">
        <f t="shared" si="64"/>
        <v>-0.20863603413264739</v>
      </c>
      <c r="AM51" s="8">
        <f t="shared" si="65"/>
        <v>-0.29010542721089988</v>
      </c>
      <c r="AN51" s="6">
        <f t="shared" si="66"/>
        <v>-35.722674431428835</v>
      </c>
      <c r="AO51" s="10">
        <f t="shared" si="376"/>
        <v>20.936778095590238</v>
      </c>
      <c r="AP51" s="11">
        <f t="shared" si="67"/>
        <v>-12.592277015230765</v>
      </c>
      <c r="AQ51" s="8">
        <f t="shared" si="200"/>
        <v>0.81079409674780523</v>
      </c>
      <c r="AS51" s="123">
        <f t="shared" si="90"/>
        <v>-261.35541424251602</v>
      </c>
      <c r="AT51" s="174">
        <f t="shared" si="68"/>
        <v>2.512759184162236E-2</v>
      </c>
      <c r="AV51" s="292" t="str">
        <f t="shared" si="91"/>
        <v/>
      </c>
      <c r="AW51" s="439"/>
      <c r="AX51" s="440"/>
      <c r="AY51" s="442"/>
      <c r="AZ51" s="565" t="str">
        <f t="shared" si="220"/>
        <v/>
      </c>
      <c r="BA51" s="564" t="str">
        <f t="shared" si="221"/>
        <v/>
      </c>
      <c r="BB51" s="444" t="str">
        <f t="shared" si="94"/>
        <v/>
      </c>
      <c r="BC51" s="11"/>
      <c r="BD51" s="7" t="str">
        <f t="shared" si="222"/>
        <v/>
      </c>
      <c r="BE51" s="8" t="str">
        <f t="shared" si="223"/>
        <v/>
      </c>
      <c r="BF51" s="6" t="str">
        <f t="shared" si="224"/>
        <v/>
      </c>
      <c r="BG51" s="7" t="str">
        <f t="shared" si="225"/>
        <v/>
      </c>
      <c r="BH51" s="12" t="str">
        <f t="shared" si="226"/>
        <v/>
      </c>
      <c r="BI51" s="11" t="str">
        <f t="shared" si="227"/>
        <v/>
      </c>
      <c r="BJ51" s="7" t="str">
        <f t="shared" si="228"/>
        <v/>
      </c>
      <c r="BK51" s="10" t="str">
        <f t="shared" si="229"/>
        <v/>
      </c>
      <c r="BL51" s="328" t="str">
        <f t="shared" si="230"/>
        <v/>
      </c>
      <c r="BM51" s="7" t="str">
        <f t="shared" si="231"/>
        <v/>
      </c>
      <c r="BN51" s="8" t="str">
        <f t="shared" si="232"/>
        <v/>
      </c>
      <c r="BO51" s="6" t="str">
        <f t="shared" si="233"/>
        <v/>
      </c>
      <c r="BP51" s="7" t="str">
        <f t="shared" si="234"/>
        <v/>
      </c>
      <c r="BQ51" s="7" t="str">
        <f t="shared" si="235"/>
        <v/>
      </c>
      <c r="BR51" s="8" t="str">
        <f t="shared" si="236"/>
        <v/>
      </c>
      <c r="BS51" s="6" t="str">
        <f t="shared" si="378"/>
        <v/>
      </c>
      <c r="BT51" s="7" t="str">
        <f t="shared" si="378"/>
        <v/>
      </c>
      <c r="BU51" s="12" t="str">
        <f t="shared" si="70"/>
        <v/>
      </c>
      <c r="BV51" s="11" t="str">
        <f t="shared" si="71"/>
        <v/>
      </c>
      <c r="BW51" s="7" t="str">
        <f t="shared" si="72"/>
        <v/>
      </c>
      <c r="BX51" s="10" t="str">
        <f t="shared" si="73"/>
        <v/>
      </c>
      <c r="BY51" s="328" t="str">
        <f t="shared" si="74"/>
        <v/>
      </c>
      <c r="BZ51" s="7" t="str">
        <f t="shared" si="75"/>
        <v/>
      </c>
      <c r="CA51" s="8" t="str">
        <f t="shared" si="76"/>
        <v/>
      </c>
      <c r="CB51" s="6" t="str">
        <f t="shared" si="237"/>
        <v/>
      </c>
      <c r="CC51" s="7" t="str">
        <f t="shared" si="238"/>
        <v/>
      </c>
      <c r="CD51" s="7" t="str">
        <f t="shared" si="239"/>
        <v/>
      </c>
      <c r="CE51" s="8" t="str">
        <f t="shared" si="240"/>
        <v/>
      </c>
      <c r="CF51" s="6" t="str">
        <f t="shared" si="241"/>
        <v/>
      </c>
      <c r="CG51" s="7" t="str">
        <f t="shared" si="242"/>
        <v/>
      </c>
      <c r="CH51" s="7" t="str">
        <f t="shared" si="243"/>
        <v/>
      </c>
      <c r="CI51" s="6" t="str">
        <f t="shared" si="77"/>
        <v/>
      </c>
      <c r="CJ51" s="7" t="str">
        <f t="shared" si="244"/>
        <v/>
      </c>
      <c r="CK51" s="10" t="str">
        <f t="shared" si="245"/>
        <v/>
      </c>
      <c r="CL51" s="328" t="str">
        <f t="shared" si="246"/>
        <v/>
      </c>
      <c r="CM51" s="7" t="str">
        <f t="shared" si="247"/>
        <v/>
      </c>
      <c r="CN51" s="8" t="str">
        <f t="shared" si="248"/>
        <v/>
      </c>
      <c r="CO51" s="296" t="str">
        <f t="shared" si="201"/>
        <v/>
      </c>
      <c r="CP51" s="6" t="str">
        <f t="shared" si="249"/>
        <v/>
      </c>
      <c r="CQ51" s="7" t="str">
        <f t="shared" si="250"/>
        <v/>
      </c>
      <c r="CR51" s="7" t="str">
        <f t="shared" si="251"/>
        <v/>
      </c>
      <c r="CS51" s="10" t="str">
        <f t="shared" si="252"/>
        <v/>
      </c>
      <c r="CT51" s="11" t="str">
        <f t="shared" si="119"/>
        <v/>
      </c>
      <c r="CU51" s="8" t="str">
        <f t="shared" si="253"/>
        <v/>
      </c>
      <c r="CV51" s="6" t="str">
        <f t="shared" si="254"/>
        <v/>
      </c>
      <c r="CW51" s="7" t="str">
        <f t="shared" si="255"/>
        <v/>
      </c>
      <c r="CX51" s="10" t="str">
        <f t="shared" si="256"/>
        <v/>
      </c>
      <c r="CY51" s="11" t="str">
        <f t="shared" si="257"/>
        <v/>
      </c>
      <c r="CZ51" s="7" t="str">
        <f t="shared" si="258"/>
        <v/>
      </c>
      <c r="DA51" s="8" t="str">
        <f t="shared" si="259"/>
        <v/>
      </c>
      <c r="DB51" s="6" t="str">
        <f t="shared" si="379"/>
        <v/>
      </c>
      <c r="DC51" s="7" t="str">
        <f t="shared" si="379"/>
        <v/>
      </c>
      <c r="DD51" s="12" t="str">
        <f t="shared" si="127"/>
        <v/>
      </c>
      <c r="DE51" s="11" t="str">
        <f t="shared" si="380"/>
        <v/>
      </c>
      <c r="DF51" s="7" t="str">
        <f t="shared" si="380"/>
        <v/>
      </c>
      <c r="DG51" s="12" t="str">
        <f t="shared" si="129"/>
        <v/>
      </c>
      <c r="DH51" s="174" t="str">
        <f t="shared" si="260"/>
        <v/>
      </c>
      <c r="DI51" s="6" t="str">
        <f t="shared" si="261"/>
        <v/>
      </c>
      <c r="DJ51" s="7" t="str">
        <f t="shared" si="262"/>
        <v/>
      </c>
      <c r="DK51" s="12" t="str">
        <f t="shared" si="263"/>
        <v/>
      </c>
      <c r="DL51" s="11" t="str">
        <f t="shared" si="264"/>
        <v/>
      </c>
      <c r="DM51" s="328" t="str">
        <f t="shared" si="265"/>
        <v/>
      </c>
      <c r="DN51" s="376" t="str">
        <f t="shared" si="266"/>
        <v/>
      </c>
      <c r="DO51" s="11" t="str">
        <f t="shared" si="267"/>
        <v/>
      </c>
      <c r="DP51" s="328" t="str">
        <f t="shared" si="268"/>
        <v/>
      </c>
      <c r="DQ51" s="13" t="str">
        <f t="shared" si="269"/>
        <v/>
      </c>
      <c r="DR51" s="328" t="str">
        <f t="shared" si="270"/>
        <v/>
      </c>
      <c r="DS51" s="7" t="str">
        <f t="shared" si="271"/>
        <v/>
      </c>
      <c r="DT51" s="7" t="str">
        <f t="shared" si="272"/>
        <v/>
      </c>
      <c r="DU51" s="7" t="str">
        <f t="shared" si="273"/>
        <v/>
      </c>
      <c r="DV51" s="7" t="str">
        <f t="shared" si="274"/>
        <v/>
      </c>
      <c r="DW51" s="7" t="str">
        <f t="shared" si="275"/>
        <v/>
      </c>
      <c r="DX51" s="296" t="str">
        <f t="shared" si="276"/>
        <v/>
      </c>
      <c r="DY51" s="11" t="str">
        <f t="shared" si="277"/>
        <v/>
      </c>
      <c r="DZ51" s="7" t="str">
        <f t="shared" si="278"/>
        <v/>
      </c>
      <c r="EA51" s="12" t="str">
        <f t="shared" si="279"/>
        <v/>
      </c>
      <c r="EB51" s="8" t="str">
        <f t="shared" si="280"/>
        <v/>
      </c>
      <c r="EC51" s="328" t="str">
        <f t="shared" si="281"/>
        <v/>
      </c>
      <c r="ED51" s="7" t="str">
        <f t="shared" si="282"/>
        <v/>
      </c>
      <c r="EE51" s="6" t="str">
        <f t="shared" si="283"/>
        <v/>
      </c>
      <c r="EF51" s="7" t="str">
        <f t="shared" si="284"/>
        <v/>
      </c>
      <c r="EG51" s="12" t="str">
        <f t="shared" si="285"/>
        <v/>
      </c>
      <c r="EH51" s="11" t="str">
        <f t="shared" si="286"/>
        <v/>
      </c>
      <c r="EI51" s="7" t="str">
        <f t="shared" si="287"/>
        <v/>
      </c>
      <c r="EJ51" s="8" t="str">
        <f t="shared" si="288"/>
        <v/>
      </c>
      <c r="EK51" s="491" t="str">
        <f t="shared" si="159"/>
        <v/>
      </c>
      <c r="EL51" s="493" t="str">
        <f t="shared" si="160"/>
        <v/>
      </c>
      <c r="EM51" s="6" t="str">
        <f t="shared" si="289"/>
        <v/>
      </c>
      <c r="EN51" s="7" t="str">
        <f t="shared" si="290"/>
        <v/>
      </c>
      <c r="EO51" s="12" t="str">
        <f t="shared" si="291"/>
        <v/>
      </c>
      <c r="EP51" s="11" t="str">
        <f t="shared" si="292"/>
        <v/>
      </c>
      <c r="EQ51" s="7" t="str">
        <f t="shared" si="293"/>
        <v/>
      </c>
      <c r="ER51" s="9" t="str">
        <f t="shared" si="294"/>
        <v/>
      </c>
      <c r="ES51" s="24" t="str">
        <f t="shared" si="295"/>
        <v/>
      </c>
      <c r="ET51" s="7" t="str">
        <f t="shared" si="296"/>
        <v/>
      </c>
      <c r="EU51" s="12" t="str">
        <f t="shared" si="297"/>
        <v/>
      </c>
      <c r="EV51" s="337" t="str">
        <f t="shared" si="298"/>
        <v/>
      </c>
      <c r="EW51" s="11" t="str">
        <f t="shared" si="299"/>
        <v/>
      </c>
      <c r="EX51" s="7" t="str">
        <f t="shared" si="300"/>
        <v/>
      </c>
      <c r="EY51" s="8" t="str">
        <f t="shared" si="301"/>
        <v/>
      </c>
      <c r="EZ51" s="123" t="str">
        <f t="shared" si="171"/>
        <v/>
      </c>
      <c r="FA51" s="534" t="str">
        <f t="shared" si="18"/>
        <v/>
      </c>
      <c r="FB51" s="535" t="str">
        <f t="shared" si="19"/>
        <v/>
      </c>
      <c r="FC51" s="537" t="str">
        <f t="shared" si="20"/>
        <v/>
      </c>
      <c r="FD51" s="6" t="str">
        <f t="shared" si="302"/>
        <v/>
      </c>
      <c r="FE51" s="7" t="str">
        <f t="shared" si="303"/>
        <v/>
      </c>
      <c r="FF51" s="9" t="str">
        <f t="shared" si="304"/>
        <v/>
      </c>
      <c r="FG51" s="328" t="str">
        <f t="shared" si="305"/>
        <v/>
      </c>
      <c r="FH51" s="7" t="str">
        <f t="shared" si="306"/>
        <v/>
      </c>
      <c r="FI51" s="12" t="str">
        <f t="shared" si="307"/>
        <v/>
      </c>
      <c r="FJ51" s="547" t="str">
        <f t="shared" si="308"/>
        <v/>
      </c>
      <c r="FK51" s="6" t="str">
        <f t="shared" si="309"/>
        <v/>
      </c>
      <c r="FL51" s="7" t="str">
        <f t="shared" si="310"/>
        <v/>
      </c>
      <c r="FM51" s="10" t="str">
        <f t="shared" si="311"/>
        <v/>
      </c>
      <c r="FN51" s="11" t="str">
        <f t="shared" si="312"/>
        <v/>
      </c>
      <c r="FO51" s="12" t="str">
        <f t="shared" si="313"/>
        <v/>
      </c>
      <c r="FP51" s="545" t="str">
        <f t="shared" si="314"/>
        <v/>
      </c>
      <c r="FQ51" s="328" t="str">
        <f t="shared" si="315"/>
        <v/>
      </c>
      <c r="FR51" s="12" t="str">
        <f t="shared" si="316"/>
        <v/>
      </c>
      <c r="FS51" s="11" t="str">
        <f t="shared" si="317"/>
        <v/>
      </c>
      <c r="FT51" s="8" t="str">
        <f t="shared" si="318"/>
        <v/>
      </c>
      <c r="FU51" s="6" t="str">
        <f t="shared" si="319"/>
        <v/>
      </c>
      <c r="FV51" s="7" t="str">
        <f t="shared" si="320"/>
        <v/>
      </c>
      <c r="FW51" s="10" t="str">
        <f t="shared" si="321"/>
        <v/>
      </c>
      <c r="FX51" s="11" t="str">
        <f t="shared" si="322"/>
        <v/>
      </c>
      <c r="FY51" s="12" t="str">
        <f t="shared" si="323"/>
        <v/>
      </c>
      <c r="FZ51" s="545" t="str">
        <f t="shared" si="324"/>
        <v/>
      </c>
      <c r="GA51" s="372" t="str">
        <f t="shared" si="325"/>
        <v/>
      </c>
      <c r="GB51" s="46" t="str">
        <f t="shared" si="326"/>
        <v/>
      </c>
      <c r="GC51" s="47" t="str">
        <f t="shared" si="327"/>
        <v/>
      </c>
      <c r="GD51" s="578" t="str">
        <f t="shared" si="328"/>
        <v/>
      </c>
      <c r="GE51" s="585" t="str">
        <f t="shared" si="329"/>
        <v/>
      </c>
      <c r="GF51" s="634" t="str">
        <f t="shared" si="330"/>
        <v/>
      </c>
      <c r="GG51" s="553" t="str">
        <f t="shared" si="331"/>
        <v/>
      </c>
      <c r="GH51" s="554" t="str">
        <f t="shared" si="332"/>
        <v/>
      </c>
      <c r="GI51" s="549" t="str">
        <f t="shared" si="333"/>
        <v/>
      </c>
      <c r="GJ51" s="296" t="str">
        <f t="shared" si="334"/>
        <v/>
      </c>
      <c r="GK51" s="337" t="str">
        <f t="shared" si="33"/>
        <v/>
      </c>
      <c r="GL51" s="337" t="str">
        <f t="shared" si="335"/>
        <v/>
      </c>
      <c r="GM51" s="372" t="str">
        <f t="shared" si="336"/>
        <v/>
      </c>
      <c r="GN51" s="548" t="str">
        <f t="shared" si="337"/>
        <v/>
      </c>
      <c r="GO51" s="6" t="str">
        <f t="shared" si="338"/>
        <v/>
      </c>
      <c r="GP51" s="10" t="str">
        <f t="shared" si="339"/>
        <v/>
      </c>
      <c r="GQ51" s="372" t="str">
        <f t="shared" si="340"/>
        <v/>
      </c>
      <c r="GR51" s="697" t="str">
        <f t="shared" si="341"/>
        <v/>
      </c>
      <c r="GS51" s="637" t="str">
        <f t="shared" si="342"/>
        <v/>
      </c>
      <c r="GT51" s="638" t="str">
        <f t="shared" si="343"/>
        <v/>
      </c>
      <c r="GU51" s="639" t="str">
        <f t="shared" si="37"/>
        <v/>
      </c>
      <c r="GV51" s="638" t="str">
        <f t="shared" si="344"/>
        <v/>
      </c>
      <c r="GW51" s="640" t="str">
        <f t="shared" si="38"/>
        <v/>
      </c>
      <c r="GX51" s="641" t="str">
        <f t="shared" si="39"/>
        <v/>
      </c>
      <c r="GY51" s="639" t="str">
        <f t="shared" si="345"/>
        <v/>
      </c>
      <c r="GZ51" s="640" t="str">
        <f t="shared" si="346"/>
        <v/>
      </c>
      <c r="HA51" s="637" t="str">
        <f t="shared" si="42"/>
        <v/>
      </c>
      <c r="HB51" s="7" t="str">
        <f t="shared" si="193"/>
        <v/>
      </c>
      <c r="HC51" s="638" t="str">
        <f t="shared" si="347"/>
        <v/>
      </c>
      <c r="HD51" s="640" t="str">
        <f t="shared" si="348"/>
        <v/>
      </c>
      <c r="HE51" s="639" t="str">
        <f t="shared" si="43"/>
        <v/>
      </c>
      <c r="HF51" s="7" t="str">
        <f t="shared" si="44"/>
        <v/>
      </c>
      <c r="HG51" s="638" t="str">
        <f t="shared" si="349"/>
        <v/>
      </c>
      <c r="HH51" s="644" t="str">
        <f t="shared" si="350"/>
        <v/>
      </c>
      <c r="HI51" s="596" t="str">
        <f t="shared" si="198"/>
        <v/>
      </c>
      <c r="HJ51" s="625"/>
      <c r="HK51" s="584" t="str">
        <f t="shared" si="217"/>
        <v/>
      </c>
      <c r="HL51" s="583" t="str">
        <f t="shared" si="84"/>
        <v/>
      </c>
      <c r="HM51" s="643" t="str">
        <f t="shared" si="381"/>
        <v/>
      </c>
      <c r="HN51" s="660" t="str">
        <f t="shared" si="381"/>
        <v/>
      </c>
      <c r="HO51" s="661" t="str">
        <f t="shared" si="381"/>
        <v/>
      </c>
      <c r="HP51" s="656" t="str">
        <f t="shared" si="381"/>
        <v/>
      </c>
      <c r="HQ51" s="660" t="str">
        <f t="shared" si="381"/>
        <v/>
      </c>
      <c r="HR51" s="671" t="str">
        <f t="shared" si="381"/>
        <v/>
      </c>
      <c r="HS51" s="655" t="str">
        <f t="shared" si="381"/>
        <v/>
      </c>
      <c r="HT51" s="648" t="str">
        <f t="shared" si="381"/>
        <v/>
      </c>
      <c r="HU51" s="649" t="str">
        <f t="shared" si="381"/>
        <v/>
      </c>
      <c r="HV51" s="650" t="str">
        <f t="shared" si="381"/>
        <v/>
      </c>
      <c r="HW51" s="648" t="str">
        <f t="shared" si="381"/>
        <v/>
      </c>
      <c r="HX51" s="649" t="str">
        <f t="shared" si="381"/>
        <v/>
      </c>
      <c r="HY51" s="650" t="str">
        <f t="shared" si="381"/>
        <v/>
      </c>
      <c r="HZ51" s="648" t="str">
        <f t="shared" si="381"/>
        <v/>
      </c>
      <c r="IA51" s="649" t="str">
        <f t="shared" si="381"/>
        <v/>
      </c>
      <c r="IB51" s="716"/>
    </row>
    <row r="52" spans="2:238" ht="15" customHeight="1" x14ac:dyDescent="0.25">
      <c r="B52" s="143">
        <v>-3.3900090138170644</v>
      </c>
      <c r="C52" s="144">
        <v>-0.51236904705584863</v>
      </c>
      <c r="D52" s="145">
        <v>-0.66240199780442577</v>
      </c>
      <c r="E52" s="146">
        <v>-0.2478951663567488</v>
      </c>
      <c r="F52" s="144">
        <v>-0.94320795414322234</v>
      </c>
      <c r="G52" s="147">
        <v>0.22114868694594839</v>
      </c>
      <c r="H52" s="146">
        <v>0.26600000000000001</v>
      </c>
      <c r="I52" s="144">
        <v>0.52</v>
      </c>
      <c r="J52" s="306">
        <v>5.22</v>
      </c>
      <c r="K52" s="699" t="str">
        <f t="shared" si="199"/>
        <v>13</v>
      </c>
      <c r="M52" s="292">
        <f t="shared" si="46"/>
        <v>5.22</v>
      </c>
      <c r="N52" s="24">
        <f t="shared" si="47"/>
        <v>-3.3900090138170644</v>
      </c>
      <c r="O52" s="7">
        <f t="shared" si="48"/>
        <v>-0.51236904705584863</v>
      </c>
      <c r="P52" s="12">
        <f t="shared" si="49"/>
        <v>-0.66240199780442577</v>
      </c>
      <c r="Q52" s="11">
        <f t="shared" si="85"/>
        <v>188.59468576468865</v>
      </c>
      <c r="R52" s="7">
        <f t="shared" si="50"/>
        <v>3.428510340387187</v>
      </c>
      <c r="S52" s="8">
        <f t="shared" si="51"/>
        <v>-0.66240199780442577</v>
      </c>
      <c r="T52" s="6">
        <f t="shared" si="52"/>
        <v>-0.56608494141225263</v>
      </c>
      <c r="U52" s="7">
        <f t="shared" si="53"/>
        <v>3.3814539762132134</v>
      </c>
      <c r="V52" s="10">
        <f t="shared" si="86"/>
        <v>-0.66240199780442577</v>
      </c>
      <c r="W52" s="11">
        <f t="shared" si="214"/>
        <v>99.503685633445301</v>
      </c>
      <c r="X52" s="7">
        <f t="shared" si="54"/>
        <v>3.428510340387187</v>
      </c>
      <c r="Y52" s="9">
        <f t="shared" si="213"/>
        <v>-0.66240199780442577</v>
      </c>
      <c r="Z52" s="24">
        <f t="shared" si="87"/>
        <v>0.2478951663567488</v>
      </c>
      <c r="AA52" s="7">
        <f t="shared" si="55"/>
        <v>0.94320795414322234</v>
      </c>
      <c r="AB52" s="7">
        <f t="shared" si="56"/>
        <v>-0.22114868694594839</v>
      </c>
      <c r="AC52" s="10">
        <f t="shared" si="57"/>
        <v>1</v>
      </c>
      <c r="AD52" s="11">
        <f t="shared" si="88"/>
        <v>0.2478951663567488</v>
      </c>
      <c r="AE52" s="7">
        <f t="shared" si="58"/>
        <v>0.94320795414322234</v>
      </c>
      <c r="AF52" s="12">
        <f t="shared" si="59"/>
        <v>-0.22114868694594839</v>
      </c>
      <c r="AG52" s="6">
        <f t="shared" si="60"/>
        <v>76.804533868899625</v>
      </c>
      <c r="AH52" s="12">
        <f t="shared" si="61"/>
        <v>75.647006142417425</v>
      </c>
      <c r="AI52" s="11">
        <f t="shared" si="62"/>
        <v>-77.223490143254907</v>
      </c>
      <c r="AJ52" s="8">
        <f t="shared" si="63"/>
        <v>165.27447359781158</v>
      </c>
      <c r="AK52" s="6">
        <f t="shared" si="89"/>
        <v>0.89556960646260286</v>
      </c>
      <c r="AL52" s="7">
        <f t="shared" si="64"/>
        <v>-0.3860677896982625</v>
      </c>
      <c r="AM52" s="8">
        <f t="shared" si="65"/>
        <v>-0.22114868694594839</v>
      </c>
      <c r="AN52" s="6">
        <f t="shared" si="66"/>
        <v>-60.194906610870241</v>
      </c>
      <c r="AO52" s="10">
        <f t="shared" si="376"/>
        <v>26.418312069829476</v>
      </c>
      <c r="AP52" s="11">
        <f t="shared" si="67"/>
        <v>-23.320212166877056</v>
      </c>
      <c r="AQ52" s="8">
        <f t="shared" si="200"/>
        <v>0.66496196806235541</v>
      </c>
      <c r="AS52" s="123">
        <f t="shared" si="90"/>
        <v>-260.49631436655471</v>
      </c>
      <c r="AT52" s="174">
        <f t="shared" si="68"/>
        <v>-0.48087052958545951</v>
      </c>
      <c r="AV52" s="292" t="str">
        <f t="shared" si="91"/>
        <v/>
      </c>
      <c r="AW52" s="439"/>
      <c r="AX52" s="440"/>
      <c r="AY52" s="442"/>
      <c r="AZ52" s="565" t="str">
        <f t="shared" si="220"/>
        <v/>
      </c>
      <c r="BA52" s="564" t="str">
        <f t="shared" si="221"/>
        <v/>
      </c>
      <c r="BB52" s="444" t="str">
        <f t="shared" si="94"/>
        <v/>
      </c>
      <c r="BC52" s="11"/>
      <c r="BD52" s="7" t="str">
        <f t="shared" si="222"/>
        <v/>
      </c>
      <c r="BE52" s="8" t="str">
        <f t="shared" si="223"/>
        <v/>
      </c>
      <c r="BF52" s="6" t="str">
        <f t="shared" si="224"/>
        <v/>
      </c>
      <c r="BG52" s="7" t="str">
        <f t="shared" si="225"/>
        <v/>
      </c>
      <c r="BH52" s="12" t="str">
        <f t="shared" si="226"/>
        <v/>
      </c>
      <c r="BI52" s="11" t="str">
        <f t="shared" si="227"/>
        <v/>
      </c>
      <c r="BJ52" s="7" t="str">
        <f t="shared" si="228"/>
        <v/>
      </c>
      <c r="BK52" s="10" t="str">
        <f t="shared" si="229"/>
        <v/>
      </c>
      <c r="BL52" s="328" t="str">
        <f t="shared" si="230"/>
        <v/>
      </c>
      <c r="BM52" s="7" t="str">
        <f t="shared" si="231"/>
        <v/>
      </c>
      <c r="BN52" s="8" t="str">
        <f t="shared" si="232"/>
        <v/>
      </c>
      <c r="BO52" s="6" t="str">
        <f t="shared" si="233"/>
        <v/>
      </c>
      <c r="BP52" s="7" t="str">
        <f t="shared" si="234"/>
        <v/>
      </c>
      <c r="BQ52" s="7" t="str">
        <f t="shared" si="235"/>
        <v/>
      </c>
      <c r="BR52" s="8" t="str">
        <f t="shared" si="236"/>
        <v/>
      </c>
      <c r="BS52" s="6" t="str">
        <f t="shared" si="378"/>
        <v/>
      </c>
      <c r="BT52" s="7" t="str">
        <f t="shared" si="378"/>
        <v/>
      </c>
      <c r="BU52" s="12" t="str">
        <f t="shared" si="70"/>
        <v/>
      </c>
      <c r="BV52" s="11" t="str">
        <f t="shared" si="71"/>
        <v/>
      </c>
      <c r="BW52" s="7" t="str">
        <f t="shared" si="72"/>
        <v/>
      </c>
      <c r="BX52" s="10" t="str">
        <f t="shared" si="73"/>
        <v/>
      </c>
      <c r="BY52" s="328" t="str">
        <f t="shared" si="74"/>
        <v/>
      </c>
      <c r="BZ52" s="7" t="str">
        <f t="shared" si="75"/>
        <v/>
      </c>
      <c r="CA52" s="8" t="str">
        <f t="shared" si="76"/>
        <v/>
      </c>
      <c r="CB52" s="6" t="str">
        <f t="shared" si="237"/>
        <v/>
      </c>
      <c r="CC52" s="7" t="str">
        <f t="shared" si="238"/>
        <v/>
      </c>
      <c r="CD52" s="7" t="str">
        <f t="shared" si="239"/>
        <v/>
      </c>
      <c r="CE52" s="8" t="str">
        <f t="shared" si="240"/>
        <v/>
      </c>
      <c r="CF52" s="6" t="str">
        <f t="shared" si="241"/>
        <v/>
      </c>
      <c r="CG52" s="7" t="str">
        <f t="shared" si="242"/>
        <v/>
      </c>
      <c r="CH52" s="7" t="str">
        <f t="shared" si="243"/>
        <v/>
      </c>
      <c r="CI52" s="6" t="str">
        <f t="shared" si="77"/>
        <v/>
      </c>
      <c r="CJ52" s="7" t="str">
        <f t="shared" si="244"/>
        <v/>
      </c>
      <c r="CK52" s="10" t="str">
        <f t="shared" si="245"/>
        <v/>
      </c>
      <c r="CL52" s="328" t="str">
        <f t="shared" si="246"/>
        <v/>
      </c>
      <c r="CM52" s="7" t="str">
        <f t="shared" si="247"/>
        <v/>
      </c>
      <c r="CN52" s="8" t="str">
        <f t="shared" si="248"/>
        <v/>
      </c>
      <c r="CO52" s="296" t="str">
        <f t="shared" si="201"/>
        <v/>
      </c>
      <c r="CP52" s="6" t="str">
        <f t="shared" si="249"/>
        <v/>
      </c>
      <c r="CQ52" s="7" t="str">
        <f t="shared" si="250"/>
        <v/>
      </c>
      <c r="CR52" s="7" t="str">
        <f t="shared" si="251"/>
        <v/>
      </c>
      <c r="CS52" s="10" t="str">
        <f t="shared" si="252"/>
        <v/>
      </c>
      <c r="CT52" s="11" t="str">
        <f t="shared" si="119"/>
        <v/>
      </c>
      <c r="CU52" s="8" t="str">
        <f t="shared" si="253"/>
        <v/>
      </c>
      <c r="CV52" s="6" t="str">
        <f t="shared" si="254"/>
        <v/>
      </c>
      <c r="CW52" s="7" t="str">
        <f t="shared" si="255"/>
        <v/>
      </c>
      <c r="CX52" s="10" t="str">
        <f t="shared" si="256"/>
        <v/>
      </c>
      <c r="CY52" s="11" t="str">
        <f t="shared" si="257"/>
        <v/>
      </c>
      <c r="CZ52" s="7" t="str">
        <f t="shared" si="258"/>
        <v/>
      </c>
      <c r="DA52" s="8" t="str">
        <f t="shared" si="259"/>
        <v/>
      </c>
      <c r="DB52" s="6" t="str">
        <f t="shared" si="379"/>
        <v/>
      </c>
      <c r="DC52" s="7" t="str">
        <f t="shared" si="379"/>
        <v/>
      </c>
      <c r="DD52" s="12" t="str">
        <f t="shared" si="127"/>
        <v/>
      </c>
      <c r="DE52" s="11" t="str">
        <f t="shared" si="380"/>
        <v/>
      </c>
      <c r="DF52" s="7" t="str">
        <f t="shared" si="380"/>
        <v/>
      </c>
      <c r="DG52" s="12" t="str">
        <f t="shared" si="129"/>
        <v/>
      </c>
      <c r="DH52" s="174" t="str">
        <f t="shared" si="260"/>
        <v/>
      </c>
      <c r="DI52" s="6" t="str">
        <f t="shared" si="261"/>
        <v/>
      </c>
      <c r="DJ52" s="7" t="str">
        <f t="shared" si="262"/>
        <v/>
      </c>
      <c r="DK52" s="12" t="str">
        <f t="shared" si="263"/>
        <v/>
      </c>
      <c r="DL52" s="11" t="str">
        <f t="shared" si="264"/>
        <v/>
      </c>
      <c r="DM52" s="328" t="str">
        <f t="shared" si="265"/>
        <v/>
      </c>
      <c r="DN52" s="376" t="str">
        <f t="shared" si="266"/>
        <v/>
      </c>
      <c r="DO52" s="11" t="str">
        <f t="shared" si="267"/>
        <v/>
      </c>
      <c r="DP52" s="328" t="str">
        <f t="shared" si="268"/>
        <v/>
      </c>
      <c r="DQ52" s="13" t="str">
        <f t="shared" si="269"/>
        <v/>
      </c>
      <c r="DR52" s="328" t="str">
        <f t="shared" si="270"/>
        <v/>
      </c>
      <c r="DS52" s="7" t="str">
        <f t="shared" si="271"/>
        <v/>
      </c>
      <c r="DT52" s="7" t="str">
        <f t="shared" si="272"/>
        <v/>
      </c>
      <c r="DU52" s="7" t="str">
        <f t="shared" si="273"/>
        <v/>
      </c>
      <c r="DV52" s="7" t="str">
        <f t="shared" si="274"/>
        <v/>
      </c>
      <c r="DW52" s="7" t="str">
        <f t="shared" si="275"/>
        <v/>
      </c>
      <c r="DX52" s="296" t="str">
        <f t="shared" si="276"/>
        <v/>
      </c>
      <c r="DY52" s="11" t="str">
        <f t="shared" si="277"/>
        <v/>
      </c>
      <c r="DZ52" s="7" t="str">
        <f t="shared" si="278"/>
        <v/>
      </c>
      <c r="EA52" s="12" t="str">
        <f t="shared" si="279"/>
        <v/>
      </c>
      <c r="EB52" s="8" t="str">
        <f t="shared" si="280"/>
        <v/>
      </c>
      <c r="EC52" s="328" t="str">
        <f t="shared" si="281"/>
        <v/>
      </c>
      <c r="ED52" s="7" t="str">
        <f t="shared" si="282"/>
        <v/>
      </c>
      <c r="EE52" s="6" t="str">
        <f t="shared" si="283"/>
        <v/>
      </c>
      <c r="EF52" s="7" t="str">
        <f t="shared" si="284"/>
        <v/>
      </c>
      <c r="EG52" s="12" t="str">
        <f t="shared" si="285"/>
        <v/>
      </c>
      <c r="EH52" s="11" t="str">
        <f t="shared" si="286"/>
        <v/>
      </c>
      <c r="EI52" s="7" t="str">
        <f t="shared" si="287"/>
        <v/>
      </c>
      <c r="EJ52" s="8" t="str">
        <f t="shared" si="288"/>
        <v/>
      </c>
      <c r="EK52" s="491" t="str">
        <f t="shared" si="159"/>
        <v/>
      </c>
      <c r="EL52" s="493" t="str">
        <f t="shared" si="160"/>
        <v/>
      </c>
      <c r="EM52" s="6" t="str">
        <f t="shared" si="289"/>
        <v/>
      </c>
      <c r="EN52" s="7" t="str">
        <f t="shared" si="290"/>
        <v/>
      </c>
      <c r="EO52" s="12" t="str">
        <f t="shared" si="291"/>
        <v/>
      </c>
      <c r="EP52" s="11" t="str">
        <f t="shared" si="292"/>
        <v/>
      </c>
      <c r="EQ52" s="7" t="str">
        <f t="shared" si="293"/>
        <v/>
      </c>
      <c r="ER52" s="9" t="str">
        <f t="shared" si="294"/>
        <v/>
      </c>
      <c r="ES52" s="24" t="str">
        <f t="shared" si="295"/>
        <v/>
      </c>
      <c r="ET52" s="7" t="str">
        <f t="shared" si="296"/>
        <v/>
      </c>
      <c r="EU52" s="12" t="str">
        <f t="shared" si="297"/>
        <v/>
      </c>
      <c r="EV52" s="337" t="str">
        <f t="shared" si="298"/>
        <v/>
      </c>
      <c r="EW52" s="11" t="str">
        <f t="shared" si="299"/>
        <v/>
      </c>
      <c r="EX52" s="7" t="str">
        <f t="shared" si="300"/>
        <v/>
      </c>
      <c r="EY52" s="8" t="str">
        <f t="shared" si="301"/>
        <v/>
      </c>
      <c r="EZ52" s="123" t="str">
        <f t="shared" si="171"/>
        <v/>
      </c>
      <c r="FA52" s="534" t="str">
        <f t="shared" si="18"/>
        <v/>
      </c>
      <c r="FB52" s="535" t="str">
        <f t="shared" si="19"/>
        <v/>
      </c>
      <c r="FC52" s="537" t="str">
        <f t="shared" si="20"/>
        <v/>
      </c>
      <c r="FD52" s="6" t="str">
        <f t="shared" si="302"/>
        <v/>
      </c>
      <c r="FE52" s="7" t="str">
        <f t="shared" si="303"/>
        <v/>
      </c>
      <c r="FF52" s="9" t="str">
        <f t="shared" si="304"/>
        <v/>
      </c>
      <c r="FG52" s="328" t="str">
        <f t="shared" si="305"/>
        <v/>
      </c>
      <c r="FH52" s="7" t="str">
        <f t="shared" si="306"/>
        <v/>
      </c>
      <c r="FI52" s="12" t="str">
        <f t="shared" si="307"/>
        <v/>
      </c>
      <c r="FJ52" s="547" t="str">
        <f t="shared" si="308"/>
        <v/>
      </c>
      <c r="FK52" s="6" t="str">
        <f t="shared" si="309"/>
        <v/>
      </c>
      <c r="FL52" s="7" t="str">
        <f t="shared" si="310"/>
        <v/>
      </c>
      <c r="FM52" s="10" t="str">
        <f t="shared" si="311"/>
        <v/>
      </c>
      <c r="FN52" s="11" t="str">
        <f t="shared" si="312"/>
        <v/>
      </c>
      <c r="FO52" s="12" t="str">
        <f t="shared" si="313"/>
        <v/>
      </c>
      <c r="FP52" s="545" t="str">
        <f t="shared" si="314"/>
        <v/>
      </c>
      <c r="FQ52" s="328" t="str">
        <f t="shared" si="315"/>
        <v/>
      </c>
      <c r="FR52" s="12" t="str">
        <f t="shared" si="316"/>
        <v/>
      </c>
      <c r="FS52" s="11" t="str">
        <f t="shared" si="317"/>
        <v/>
      </c>
      <c r="FT52" s="8" t="str">
        <f t="shared" si="318"/>
        <v/>
      </c>
      <c r="FU52" s="6" t="str">
        <f t="shared" si="319"/>
        <v/>
      </c>
      <c r="FV52" s="7" t="str">
        <f t="shared" si="320"/>
        <v/>
      </c>
      <c r="FW52" s="10" t="str">
        <f t="shared" si="321"/>
        <v/>
      </c>
      <c r="FX52" s="11" t="str">
        <f t="shared" si="322"/>
        <v/>
      </c>
      <c r="FY52" s="12" t="str">
        <f t="shared" si="323"/>
        <v/>
      </c>
      <c r="FZ52" s="545" t="str">
        <f t="shared" si="324"/>
        <v/>
      </c>
      <c r="GA52" s="372" t="str">
        <f t="shared" si="325"/>
        <v/>
      </c>
      <c r="GB52" s="46" t="str">
        <f t="shared" si="326"/>
        <v/>
      </c>
      <c r="GC52" s="47" t="str">
        <f t="shared" si="327"/>
        <v/>
      </c>
      <c r="GD52" s="578" t="str">
        <f t="shared" si="328"/>
        <v/>
      </c>
      <c r="GE52" s="585" t="str">
        <f t="shared" si="329"/>
        <v/>
      </c>
      <c r="GF52" s="634" t="str">
        <f t="shared" si="330"/>
        <v/>
      </c>
      <c r="GG52" s="553" t="str">
        <f t="shared" si="331"/>
        <v/>
      </c>
      <c r="GH52" s="554" t="str">
        <f t="shared" si="332"/>
        <v/>
      </c>
      <c r="GI52" s="549" t="str">
        <f t="shared" si="333"/>
        <v/>
      </c>
      <c r="GJ52" s="296" t="str">
        <f t="shared" si="334"/>
        <v/>
      </c>
      <c r="GK52" s="337" t="str">
        <f t="shared" si="33"/>
        <v/>
      </c>
      <c r="GL52" s="337" t="str">
        <f t="shared" si="335"/>
        <v/>
      </c>
      <c r="GM52" s="372" t="str">
        <f t="shared" si="336"/>
        <v/>
      </c>
      <c r="GN52" s="548" t="str">
        <f t="shared" si="337"/>
        <v/>
      </c>
      <c r="GO52" s="6" t="str">
        <f t="shared" si="338"/>
        <v/>
      </c>
      <c r="GP52" s="10" t="str">
        <f t="shared" si="339"/>
        <v/>
      </c>
      <c r="GQ52" s="372" t="str">
        <f t="shared" si="340"/>
        <v/>
      </c>
      <c r="GR52" s="697" t="str">
        <f t="shared" si="341"/>
        <v/>
      </c>
      <c r="GS52" s="637" t="str">
        <f t="shared" si="342"/>
        <v/>
      </c>
      <c r="GT52" s="638" t="str">
        <f t="shared" si="343"/>
        <v/>
      </c>
      <c r="GU52" s="639" t="str">
        <f t="shared" si="37"/>
        <v/>
      </c>
      <c r="GV52" s="638" t="str">
        <f t="shared" si="344"/>
        <v/>
      </c>
      <c r="GW52" s="640" t="str">
        <f t="shared" si="38"/>
        <v/>
      </c>
      <c r="GX52" s="641" t="str">
        <f t="shared" si="39"/>
        <v/>
      </c>
      <c r="GY52" s="639" t="str">
        <f t="shared" si="345"/>
        <v/>
      </c>
      <c r="GZ52" s="640" t="str">
        <f t="shared" si="346"/>
        <v/>
      </c>
      <c r="HA52" s="637" t="str">
        <f t="shared" si="42"/>
        <v/>
      </c>
      <c r="HB52" s="7" t="str">
        <f t="shared" si="193"/>
        <v/>
      </c>
      <c r="HC52" s="638" t="str">
        <f t="shared" si="347"/>
        <v/>
      </c>
      <c r="HD52" s="640" t="str">
        <f t="shared" si="348"/>
        <v/>
      </c>
      <c r="HE52" s="639" t="str">
        <f t="shared" si="43"/>
        <v/>
      </c>
      <c r="HF52" s="7" t="str">
        <f t="shared" si="44"/>
        <v/>
      </c>
      <c r="HG52" s="638" t="str">
        <f t="shared" si="349"/>
        <v/>
      </c>
      <c r="HH52" s="644" t="str">
        <f t="shared" si="350"/>
        <v/>
      </c>
      <c r="HI52" s="596" t="str">
        <f t="shared" si="198"/>
        <v/>
      </c>
      <c r="HJ52" s="625"/>
      <c r="HK52" s="584" t="str">
        <f t="shared" si="217"/>
        <v/>
      </c>
      <c r="HL52" s="583" t="str">
        <f t="shared" si="84"/>
        <v/>
      </c>
      <c r="HM52" s="643" t="str">
        <f t="shared" si="381"/>
        <v/>
      </c>
      <c r="HN52" s="660" t="str">
        <f t="shared" si="381"/>
        <v/>
      </c>
      <c r="HO52" s="661" t="str">
        <f t="shared" si="381"/>
        <v/>
      </c>
      <c r="HP52" s="656" t="str">
        <f t="shared" si="381"/>
        <v/>
      </c>
      <c r="HQ52" s="660" t="str">
        <f t="shared" si="381"/>
        <v/>
      </c>
      <c r="HR52" s="671" t="str">
        <f t="shared" si="381"/>
        <v/>
      </c>
      <c r="HS52" s="655" t="str">
        <f t="shared" si="381"/>
        <v/>
      </c>
      <c r="HT52" s="648" t="str">
        <f t="shared" si="381"/>
        <v/>
      </c>
      <c r="HU52" s="649" t="str">
        <f t="shared" si="381"/>
        <v/>
      </c>
      <c r="HV52" s="650" t="str">
        <f t="shared" si="381"/>
        <v/>
      </c>
      <c r="HW52" s="648" t="str">
        <f t="shared" si="381"/>
        <v/>
      </c>
      <c r="HX52" s="649" t="str">
        <f t="shared" si="381"/>
        <v/>
      </c>
      <c r="HY52" s="650" t="str">
        <f t="shared" si="381"/>
        <v/>
      </c>
      <c r="HZ52" s="648" t="str">
        <f t="shared" si="381"/>
        <v/>
      </c>
      <c r="IA52" s="649" t="str">
        <f t="shared" si="381"/>
        <v/>
      </c>
      <c r="IB52" s="716"/>
    </row>
    <row r="53" spans="2:238" s="35" customFormat="1" ht="15" customHeight="1" x14ac:dyDescent="0.25">
      <c r="B53" s="143">
        <v>-3.6585893256456874</v>
      </c>
      <c r="C53" s="144">
        <v>-0.34169553758250987</v>
      </c>
      <c r="D53" s="145">
        <v>-1.413204262224055</v>
      </c>
      <c r="E53" s="146">
        <v>-0.87250952424857997</v>
      </c>
      <c r="F53" s="144">
        <v>-8.1488633393343154E-2</v>
      </c>
      <c r="G53" s="147">
        <v>0.48175380924617722</v>
      </c>
      <c r="H53" s="146">
        <v>0.25700000000000001</v>
      </c>
      <c r="I53" s="144">
        <v>0.41499999999999992</v>
      </c>
      <c r="J53" s="306">
        <v>5.226</v>
      </c>
      <c r="K53" s="699" t="str">
        <f t="shared" si="199"/>
        <v>Kunckle</v>
      </c>
      <c r="M53" s="292">
        <f t="shared" ref="M53:M58" si="382">IF(J53="","",J53)</f>
        <v>5.226</v>
      </c>
      <c r="N53" s="24">
        <f t="shared" ref="N53:N58" si="383">IF(M53="","",B53)</f>
        <v>-3.6585893256456874</v>
      </c>
      <c r="O53" s="7">
        <f t="shared" ref="O53:O58" si="384">IF(M53="","",C53)</f>
        <v>-0.34169553758250987</v>
      </c>
      <c r="P53" s="12">
        <f t="shared" ref="P53:P58" si="385">IF(M53="","",D53)</f>
        <v>-1.413204262224055</v>
      </c>
      <c r="Q53" s="11">
        <f t="shared" si="85"/>
        <v>185.33568623522999</v>
      </c>
      <c r="R53" s="7">
        <f t="shared" ref="R53:R58" si="386">IF(M53="","",SQRT(N53^2+O53^2))</f>
        <v>3.674511082325425</v>
      </c>
      <c r="S53" s="8">
        <f t="shared" ref="S53:S58" si="387">IF(M53="","",P53)</f>
        <v>-1.413204262224055</v>
      </c>
      <c r="T53" s="6">
        <f t="shared" ref="T53:T58" si="388">IF(M53="","",X53*COS(RADIANS(W53)))</f>
        <v>-0.39969376951432667</v>
      </c>
      <c r="U53" s="7">
        <f t="shared" ref="U53:U58" si="389">IF(M53="","",X53*SIN(RADIANS(W53)))</f>
        <v>3.6527081165545918</v>
      </c>
      <c r="V53" s="10">
        <f t="shared" ref="V53:V58" si="390">IF(M53="","",Y53)</f>
        <v>-1.413204262224055</v>
      </c>
      <c r="W53" s="11">
        <f t="shared" si="214"/>
        <v>96.244686103986638</v>
      </c>
      <c r="X53" s="7">
        <f t="shared" ref="X53:X58" si="391">IF(M53="","",R53)</f>
        <v>3.674511082325425</v>
      </c>
      <c r="Y53" s="9">
        <f t="shared" si="213"/>
        <v>-1.413204262224055</v>
      </c>
      <c r="Z53" s="24">
        <f t="shared" ref="Z53:Z58" si="392">IF(M53="","",-E53)</f>
        <v>0.87250952424857997</v>
      </c>
      <c r="AA53" s="7">
        <f t="shared" ref="AA53:AA58" si="393">IF(M53="","",-F53)</f>
        <v>8.1488633393343154E-2</v>
      </c>
      <c r="AB53" s="7">
        <f t="shared" ref="AB53:AB58" si="394">IF(M53="","",-G53)</f>
        <v>-0.48175380924617722</v>
      </c>
      <c r="AC53" s="10">
        <f t="shared" ref="AC53:AC58" si="395">IF(M53="","",SQRT(Z53^2+AA53^2+AB53^2))</f>
        <v>1</v>
      </c>
      <c r="AD53" s="11">
        <f t="shared" ref="AD53:AD58" si="396">IF(M53="","",Z53*(1/SQRT(Z53^2+AA53^2+AB53^2)))</f>
        <v>0.87250952424857997</v>
      </c>
      <c r="AE53" s="7">
        <f t="shared" ref="AE53:AE58" si="397">IF(M53="","",AA53*(1/SQRT(Z53^2+AA53^2+AB53^2)))</f>
        <v>8.1488633393343154E-2</v>
      </c>
      <c r="AF53" s="12">
        <f t="shared" ref="AF53:AF58" si="398">IF(M53="","",AB53*(1/SQRT(Z53^2+AA53^2+AB53^2)))</f>
        <v>-0.48175380924617722</v>
      </c>
      <c r="AG53" s="6">
        <f t="shared" ref="AG53:AG58" si="399">IF(M53="","",DEGREES(ATAN2(-AF53,AE53)))</f>
        <v>9.6007024929214779</v>
      </c>
      <c r="AH53" s="12">
        <f t="shared" ref="AH53:AH58" si="400">IF(M53="","",DEGREES(ACOS(AD53)))</f>
        <v>29.248414935358579</v>
      </c>
      <c r="AI53" s="11">
        <f t="shared" ref="AI53:AI58" si="401">IF(M53="","",DEGREES(-ACOS(-AF53)))</f>
        <v>-61.199991163815362</v>
      </c>
      <c r="AJ53" s="8">
        <f t="shared" ref="AJ53:AJ58" si="402">IF(M53="","",DEGREES(ATAN2(-AE53,AD53)))</f>
        <v>95.335701063818846</v>
      </c>
      <c r="AK53" s="6">
        <f t="shared" ref="AK53:AK58" si="403">IF(M53="","",(COS(RADIANS((90-$Q$8)-W53))*AD53)+(-SIN(RADIANS((90-$Q$8)-W53))*AE53))</f>
        <v>2.2679489641852513E-7</v>
      </c>
      <c r="AL53" s="7">
        <f t="shared" ref="AL53:AL58" si="404">IF(M53="","",(SIN(RADIANS((90-$Q$8)-W53))*AD53)+(COS(RADIANS((90-$Q$8)-W53))*AE53))</f>
        <v>-0.87630660574752406</v>
      </c>
      <c r="AM53" s="8">
        <f t="shared" ref="AM53:AM58" si="405">IF(M53="","",AF53)</f>
        <v>-0.48175380924617722</v>
      </c>
      <c r="AN53" s="6">
        <f t="shared" ref="AN53:AN58" si="406">IF(M53="","",DEGREES(ATAN2(-AM53,AL53)))</f>
        <v>-61.199991163814559</v>
      </c>
      <c r="AO53" s="10">
        <f t="shared" si="376"/>
        <v>0</v>
      </c>
      <c r="AP53" s="11">
        <f t="shared" ref="AP53:AP58" si="407">IF(M53="","",DEGREES(ATAN2(AK53,AL53)))</f>
        <v>-89.99998517141114</v>
      </c>
      <c r="AQ53" s="8">
        <f t="shared" si="200"/>
        <v>0.62044056639744505</v>
      </c>
      <c r="AS53" s="123">
        <f t="shared" si="90"/>
        <v>-263.75531389601338</v>
      </c>
      <c r="AT53" s="174">
        <f t="shared" ref="AT53:AT58" si="408">IF(M53="","",Y53+(((AS53-$AS$9)*$AS$6)*-1))</f>
        <v>-1.2294095998874091</v>
      </c>
      <c r="AV53" s="292" t="str">
        <f t="shared" si="91"/>
        <v/>
      </c>
      <c r="AW53" s="439"/>
      <c r="AX53" s="440"/>
      <c r="AY53" s="442"/>
      <c r="AZ53" s="565" t="str">
        <f t="shared" si="220"/>
        <v/>
      </c>
      <c r="BA53" s="564" t="str">
        <f t="shared" si="221"/>
        <v/>
      </c>
      <c r="BB53" s="444" t="str">
        <f t="shared" si="94"/>
        <v/>
      </c>
      <c r="BC53" s="11"/>
      <c r="BD53" s="7" t="str">
        <f t="shared" si="222"/>
        <v/>
      </c>
      <c r="BE53" s="8" t="str">
        <f t="shared" si="223"/>
        <v/>
      </c>
      <c r="BF53" s="6" t="str">
        <f t="shared" si="224"/>
        <v/>
      </c>
      <c r="BG53" s="7" t="str">
        <f t="shared" si="225"/>
        <v/>
      </c>
      <c r="BH53" s="12" t="str">
        <f t="shared" si="226"/>
        <v/>
      </c>
      <c r="BI53" s="11" t="str">
        <f t="shared" si="227"/>
        <v/>
      </c>
      <c r="BJ53" s="7" t="str">
        <f t="shared" si="228"/>
        <v/>
      </c>
      <c r="BK53" s="10" t="str">
        <f t="shared" si="229"/>
        <v/>
      </c>
      <c r="BL53" s="328" t="str">
        <f t="shared" si="230"/>
        <v/>
      </c>
      <c r="BM53" s="7" t="str">
        <f t="shared" si="231"/>
        <v/>
      </c>
      <c r="BN53" s="8" t="str">
        <f t="shared" si="232"/>
        <v/>
      </c>
      <c r="BO53" s="6" t="str">
        <f t="shared" si="233"/>
        <v/>
      </c>
      <c r="BP53" s="7" t="str">
        <f t="shared" si="234"/>
        <v/>
      </c>
      <c r="BQ53" s="7" t="str">
        <f t="shared" si="235"/>
        <v/>
      </c>
      <c r="BR53" s="8" t="str">
        <f t="shared" si="236"/>
        <v/>
      </c>
      <c r="BS53" s="6" t="str">
        <f t="shared" si="378"/>
        <v/>
      </c>
      <c r="BT53" s="7" t="str">
        <f t="shared" si="378"/>
        <v/>
      </c>
      <c r="BU53" s="12" t="str">
        <f t="shared" si="70"/>
        <v/>
      </c>
      <c r="BV53" s="11" t="str">
        <f t="shared" si="71"/>
        <v/>
      </c>
      <c r="BW53" s="7" t="str">
        <f t="shared" si="72"/>
        <v/>
      </c>
      <c r="BX53" s="10" t="str">
        <f t="shared" si="73"/>
        <v/>
      </c>
      <c r="BY53" s="328" t="str">
        <f t="shared" si="74"/>
        <v/>
      </c>
      <c r="BZ53" s="7" t="str">
        <f t="shared" si="75"/>
        <v/>
      </c>
      <c r="CA53" s="8" t="str">
        <f t="shared" si="76"/>
        <v/>
      </c>
      <c r="CB53" s="6" t="str">
        <f t="shared" si="237"/>
        <v/>
      </c>
      <c r="CC53" s="7" t="str">
        <f t="shared" si="238"/>
        <v/>
      </c>
      <c r="CD53" s="7" t="str">
        <f t="shared" si="239"/>
        <v/>
      </c>
      <c r="CE53" s="8" t="str">
        <f t="shared" si="240"/>
        <v/>
      </c>
      <c r="CF53" s="6" t="str">
        <f t="shared" si="241"/>
        <v/>
      </c>
      <c r="CG53" s="7" t="str">
        <f t="shared" si="242"/>
        <v/>
      </c>
      <c r="CH53" s="7" t="str">
        <f t="shared" si="243"/>
        <v/>
      </c>
      <c r="CI53" s="6" t="str">
        <f t="shared" si="77"/>
        <v/>
      </c>
      <c r="CJ53" s="7" t="str">
        <f t="shared" si="244"/>
        <v/>
      </c>
      <c r="CK53" s="10" t="str">
        <f t="shared" si="245"/>
        <v/>
      </c>
      <c r="CL53" s="328" t="str">
        <f t="shared" si="246"/>
        <v/>
      </c>
      <c r="CM53" s="7" t="str">
        <f t="shared" si="247"/>
        <v/>
      </c>
      <c r="CN53" s="8" t="str">
        <f t="shared" si="248"/>
        <v/>
      </c>
      <c r="CO53" s="296" t="str">
        <f t="shared" si="201"/>
        <v/>
      </c>
      <c r="CP53" s="6" t="str">
        <f t="shared" si="249"/>
        <v/>
      </c>
      <c r="CQ53" s="7" t="str">
        <f t="shared" si="250"/>
        <v/>
      </c>
      <c r="CR53" s="7" t="str">
        <f t="shared" si="251"/>
        <v/>
      </c>
      <c r="CS53" s="10" t="str">
        <f t="shared" si="252"/>
        <v/>
      </c>
      <c r="CT53" s="11" t="str">
        <f t="shared" si="119"/>
        <v/>
      </c>
      <c r="CU53" s="8" t="str">
        <f t="shared" si="253"/>
        <v/>
      </c>
      <c r="CV53" s="6" t="str">
        <f t="shared" si="254"/>
        <v/>
      </c>
      <c r="CW53" s="7" t="str">
        <f t="shared" si="255"/>
        <v/>
      </c>
      <c r="CX53" s="10" t="str">
        <f t="shared" si="256"/>
        <v/>
      </c>
      <c r="CY53" s="11" t="str">
        <f t="shared" si="257"/>
        <v/>
      </c>
      <c r="CZ53" s="7" t="str">
        <f t="shared" si="258"/>
        <v/>
      </c>
      <c r="DA53" s="8" t="str">
        <f t="shared" si="259"/>
        <v/>
      </c>
      <c r="DB53" s="6" t="str">
        <f t="shared" si="379"/>
        <v/>
      </c>
      <c r="DC53" s="7" t="str">
        <f t="shared" si="379"/>
        <v/>
      </c>
      <c r="DD53" s="12" t="str">
        <f t="shared" si="127"/>
        <v/>
      </c>
      <c r="DE53" s="11" t="str">
        <f t="shared" si="380"/>
        <v/>
      </c>
      <c r="DF53" s="7" t="str">
        <f t="shared" si="380"/>
        <v/>
      </c>
      <c r="DG53" s="12" t="str">
        <f t="shared" si="129"/>
        <v/>
      </c>
      <c r="DH53" s="174" t="str">
        <f t="shared" si="260"/>
        <v/>
      </c>
      <c r="DI53" s="6" t="str">
        <f t="shared" si="261"/>
        <v/>
      </c>
      <c r="DJ53" s="7" t="str">
        <f t="shared" si="262"/>
        <v/>
      </c>
      <c r="DK53" s="12" t="str">
        <f t="shared" si="263"/>
        <v/>
      </c>
      <c r="DL53" s="11" t="str">
        <f t="shared" si="264"/>
        <v/>
      </c>
      <c r="DM53" s="328" t="str">
        <f t="shared" si="265"/>
        <v/>
      </c>
      <c r="DN53" s="376" t="str">
        <f t="shared" si="266"/>
        <v/>
      </c>
      <c r="DO53" s="11" t="str">
        <f t="shared" si="267"/>
        <v/>
      </c>
      <c r="DP53" s="328" t="str">
        <f t="shared" si="268"/>
        <v/>
      </c>
      <c r="DQ53" s="13" t="str">
        <f t="shared" si="269"/>
        <v/>
      </c>
      <c r="DR53" s="328" t="str">
        <f t="shared" si="270"/>
        <v/>
      </c>
      <c r="DS53" s="7" t="str">
        <f t="shared" si="271"/>
        <v/>
      </c>
      <c r="DT53" s="7" t="str">
        <f t="shared" si="272"/>
        <v/>
      </c>
      <c r="DU53" s="7" t="str">
        <f t="shared" si="273"/>
        <v/>
      </c>
      <c r="DV53" s="7" t="str">
        <f t="shared" si="274"/>
        <v/>
      </c>
      <c r="DW53" s="7" t="str">
        <f t="shared" si="275"/>
        <v/>
      </c>
      <c r="DX53" s="296" t="str">
        <f t="shared" si="276"/>
        <v/>
      </c>
      <c r="DY53" s="11" t="str">
        <f t="shared" si="277"/>
        <v/>
      </c>
      <c r="DZ53" s="7" t="str">
        <f t="shared" si="278"/>
        <v/>
      </c>
      <c r="EA53" s="12" t="str">
        <f t="shared" si="279"/>
        <v/>
      </c>
      <c r="EB53" s="8" t="str">
        <f t="shared" si="280"/>
        <v/>
      </c>
      <c r="EC53" s="328" t="str">
        <f t="shared" si="281"/>
        <v/>
      </c>
      <c r="ED53" s="7" t="str">
        <f t="shared" si="282"/>
        <v/>
      </c>
      <c r="EE53" s="6" t="str">
        <f t="shared" si="283"/>
        <v/>
      </c>
      <c r="EF53" s="7" t="str">
        <f t="shared" si="284"/>
        <v/>
      </c>
      <c r="EG53" s="12" t="str">
        <f t="shared" si="285"/>
        <v/>
      </c>
      <c r="EH53" s="11" t="str">
        <f t="shared" si="286"/>
        <v/>
      </c>
      <c r="EI53" s="7" t="str">
        <f t="shared" si="287"/>
        <v/>
      </c>
      <c r="EJ53" s="8" t="str">
        <f t="shared" si="288"/>
        <v/>
      </c>
      <c r="EK53" s="491" t="str">
        <f t="shared" si="159"/>
        <v/>
      </c>
      <c r="EL53" s="493" t="str">
        <f t="shared" si="160"/>
        <v/>
      </c>
      <c r="EM53" s="6" t="str">
        <f t="shared" si="289"/>
        <v/>
      </c>
      <c r="EN53" s="7" t="str">
        <f t="shared" si="290"/>
        <v/>
      </c>
      <c r="EO53" s="12" t="str">
        <f t="shared" si="291"/>
        <v/>
      </c>
      <c r="EP53" s="11" t="str">
        <f t="shared" si="292"/>
        <v/>
      </c>
      <c r="EQ53" s="7" t="str">
        <f t="shared" si="293"/>
        <v/>
      </c>
      <c r="ER53" s="9" t="str">
        <f t="shared" si="294"/>
        <v/>
      </c>
      <c r="ES53" s="24" t="str">
        <f t="shared" si="295"/>
        <v/>
      </c>
      <c r="ET53" s="7" t="str">
        <f t="shared" si="296"/>
        <v/>
      </c>
      <c r="EU53" s="12" t="str">
        <f t="shared" si="297"/>
        <v/>
      </c>
      <c r="EV53" s="337" t="str">
        <f t="shared" si="298"/>
        <v/>
      </c>
      <c r="EW53" s="11" t="str">
        <f t="shared" si="299"/>
        <v/>
      </c>
      <c r="EX53" s="7" t="str">
        <f t="shared" si="300"/>
        <v/>
      </c>
      <c r="EY53" s="8" t="str">
        <f t="shared" si="301"/>
        <v/>
      </c>
      <c r="EZ53" s="123" t="str">
        <f t="shared" si="171"/>
        <v/>
      </c>
      <c r="FA53" s="534" t="str">
        <f t="shared" si="18"/>
        <v/>
      </c>
      <c r="FB53" s="535" t="str">
        <f t="shared" si="19"/>
        <v/>
      </c>
      <c r="FC53" s="537" t="str">
        <f t="shared" si="20"/>
        <v/>
      </c>
      <c r="FD53" s="6" t="str">
        <f t="shared" si="302"/>
        <v/>
      </c>
      <c r="FE53" s="7" t="str">
        <f t="shared" si="303"/>
        <v/>
      </c>
      <c r="FF53" s="9" t="str">
        <f t="shared" si="304"/>
        <v/>
      </c>
      <c r="FG53" s="328" t="str">
        <f t="shared" si="305"/>
        <v/>
      </c>
      <c r="FH53" s="7" t="str">
        <f t="shared" si="306"/>
        <v/>
      </c>
      <c r="FI53" s="12" t="str">
        <f t="shared" si="307"/>
        <v/>
      </c>
      <c r="FJ53" s="547" t="str">
        <f t="shared" si="308"/>
        <v/>
      </c>
      <c r="FK53" s="6" t="str">
        <f t="shared" si="309"/>
        <v/>
      </c>
      <c r="FL53" s="7" t="str">
        <f t="shared" si="310"/>
        <v/>
      </c>
      <c r="FM53" s="10" t="str">
        <f t="shared" si="311"/>
        <v/>
      </c>
      <c r="FN53" s="11" t="str">
        <f t="shared" si="312"/>
        <v/>
      </c>
      <c r="FO53" s="12" t="str">
        <f t="shared" si="313"/>
        <v/>
      </c>
      <c r="FP53" s="545" t="str">
        <f t="shared" si="314"/>
        <v/>
      </c>
      <c r="FQ53" s="328" t="str">
        <f t="shared" si="315"/>
        <v/>
      </c>
      <c r="FR53" s="12" t="str">
        <f t="shared" si="316"/>
        <v/>
      </c>
      <c r="FS53" s="11" t="str">
        <f t="shared" si="317"/>
        <v/>
      </c>
      <c r="FT53" s="8" t="str">
        <f t="shared" si="318"/>
        <v/>
      </c>
      <c r="FU53" s="6" t="str">
        <f t="shared" si="319"/>
        <v/>
      </c>
      <c r="FV53" s="7" t="str">
        <f t="shared" si="320"/>
        <v/>
      </c>
      <c r="FW53" s="10" t="str">
        <f t="shared" si="321"/>
        <v/>
      </c>
      <c r="FX53" s="11" t="str">
        <f t="shared" si="322"/>
        <v/>
      </c>
      <c r="FY53" s="12" t="str">
        <f t="shared" si="323"/>
        <v/>
      </c>
      <c r="FZ53" s="545" t="str">
        <f t="shared" si="324"/>
        <v/>
      </c>
      <c r="GA53" s="372" t="str">
        <f t="shared" si="325"/>
        <v/>
      </c>
      <c r="GB53" s="46" t="str">
        <f t="shared" si="326"/>
        <v/>
      </c>
      <c r="GC53" s="47" t="str">
        <f t="shared" si="327"/>
        <v/>
      </c>
      <c r="GD53" s="578" t="str">
        <f t="shared" si="328"/>
        <v/>
      </c>
      <c r="GE53" s="585" t="str">
        <f t="shared" si="329"/>
        <v/>
      </c>
      <c r="GF53" s="634" t="str">
        <f t="shared" si="330"/>
        <v/>
      </c>
      <c r="GG53" s="553" t="str">
        <f t="shared" si="331"/>
        <v/>
      </c>
      <c r="GH53" s="554" t="str">
        <f t="shared" si="332"/>
        <v/>
      </c>
      <c r="GI53" s="549" t="str">
        <f t="shared" si="333"/>
        <v/>
      </c>
      <c r="GJ53" s="296" t="str">
        <f t="shared" si="334"/>
        <v/>
      </c>
      <c r="GK53" s="337" t="str">
        <f t="shared" si="33"/>
        <v/>
      </c>
      <c r="GL53" s="337" t="str">
        <f t="shared" si="335"/>
        <v/>
      </c>
      <c r="GM53" s="372" t="str">
        <f t="shared" si="336"/>
        <v/>
      </c>
      <c r="GN53" s="548" t="str">
        <f t="shared" si="337"/>
        <v/>
      </c>
      <c r="GO53" s="6" t="str">
        <f t="shared" si="338"/>
        <v/>
      </c>
      <c r="GP53" s="10" t="str">
        <f t="shared" si="339"/>
        <v/>
      </c>
      <c r="GQ53" s="372" t="str">
        <f t="shared" si="340"/>
        <v/>
      </c>
      <c r="GR53" s="697" t="str">
        <f t="shared" si="341"/>
        <v/>
      </c>
      <c r="GS53" s="637" t="str">
        <f t="shared" si="342"/>
        <v/>
      </c>
      <c r="GT53" s="638" t="str">
        <f t="shared" si="343"/>
        <v/>
      </c>
      <c r="GU53" s="639" t="str">
        <f t="shared" si="37"/>
        <v/>
      </c>
      <c r="GV53" s="638" t="str">
        <f t="shared" si="344"/>
        <v/>
      </c>
      <c r="GW53" s="640" t="str">
        <f t="shared" si="38"/>
        <v/>
      </c>
      <c r="GX53" s="641" t="str">
        <f t="shared" si="39"/>
        <v/>
      </c>
      <c r="GY53" s="639" t="str">
        <f t="shared" si="345"/>
        <v/>
      </c>
      <c r="GZ53" s="640" t="str">
        <f t="shared" si="346"/>
        <v/>
      </c>
      <c r="HA53" s="637" t="str">
        <f t="shared" si="42"/>
        <v/>
      </c>
      <c r="HB53" s="7" t="str">
        <f t="shared" si="193"/>
        <v/>
      </c>
      <c r="HC53" s="638" t="str">
        <f t="shared" si="347"/>
        <v/>
      </c>
      <c r="HD53" s="640" t="str">
        <f t="shared" si="348"/>
        <v/>
      </c>
      <c r="HE53" s="639" t="str">
        <f t="shared" si="43"/>
        <v/>
      </c>
      <c r="HF53" s="7" t="str">
        <f t="shared" si="44"/>
        <v/>
      </c>
      <c r="HG53" s="638" t="str">
        <f t="shared" si="349"/>
        <v/>
      </c>
      <c r="HH53" s="644" t="str">
        <f t="shared" si="350"/>
        <v/>
      </c>
      <c r="HI53" s="596" t="str">
        <f t="shared" si="198"/>
        <v/>
      </c>
      <c r="HJ53" s="625"/>
      <c r="HK53" s="584" t="str">
        <f t="shared" si="217"/>
        <v/>
      </c>
      <c r="HL53" s="583" t="str">
        <f t="shared" si="84"/>
        <v/>
      </c>
      <c r="HM53" s="643" t="str">
        <f t="shared" si="381"/>
        <v/>
      </c>
      <c r="HN53" s="660" t="str">
        <f t="shared" si="381"/>
        <v/>
      </c>
      <c r="HO53" s="661" t="str">
        <f t="shared" si="381"/>
        <v/>
      </c>
      <c r="HP53" s="656" t="str">
        <f t="shared" si="381"/>
        <v/>
      </c>
      <c r="HQ53" s="660" t="str">
        <f t="shared" si="381"/>
        <v/>
      </c>
      <c r="HR53" s="671" t="str">
        <f t="shared" si="381"/>
        <v/>
      </c>
      <c r="HS53" s="655" t="str">
        <f t="shared" si="381"/>
        <v/>
      </c>
      <c r="HT53" s="648" t="str">
        <f t="shared" si="381"/>
        <v/>
      </c>
      <c r="HU53" s="649" t="str">
        <f t="shared" si="381"/>
        <v/>
      </c>
      <c r="HV53" s="650" t="str">
        <f t="shared" si="381"/>
        <v/>
      </c>
      <c r="HW53" s="648" t="str">
        <f t="shared" si="381"/>
        <v/>
      </c>
      <c r="HX53" s="649" t="str">
        <f t="shared" si="381"/>
        <v/>
      </c>
      <c r="HY53" s="650" t="str">
        <f t="shared" si="381"/>
        <v/>
      </c>
      <c r="HZ53" s="648" t="str">
        <f t="shared" si="381"/>
        <v/>
      </c>
      <c r="IA53" s="649" t="str">
        <f t="shared" si="381"/>
        <v/>
      </c>
      <c r="IB53" s="716"/>
      <c r="ID53" s="511"/>
    </row>
    <row r="54" spans="2:238" s="35" customFormat="1" ht="15" customHeight="1" x14ac:dyDescent="0.25">
      <c r="B54" s="143">
        <v>-3.6889774527651342</v>
      </c>
      <c r="C54" s="144">
        <v>-0.3162819834803271</v>
      </c>
      <c r="D54" s="145">
        <v>-2.1819065806302476</v>
      </c>
      <c r="E54" s="146">
        <v>-0.99634470089885852</v>
      </c>
      <c r="F54" s="144">
        <v>-8.5423866634054185E-2</v>
      </c>
      <c r="G54" s="147">
        <v>2.2679489568523886E-7</v>
      </c>
      <c r="H54" s="146">
        <v>0.25700000000000001</v>
      </c>
      <c r="I54" s="144">
        <v>0.41499999999999992</v>
      </c>
      <c r="J54" s="306">
        <v>5.2320000000000002</v>
      </c>
      <c r="K54" s="699" t="str">
        <f t="shared" si="199"/>
        <v>Kunckle</v>
      </c>
      <c r="M54" s="292">
        <f t="shared" si="382"/>
        <v>5.2320000000000002</v>
      </c>
      <c r="N54" s="24">
        <f t="shared" si="383"/>
        <v>-3.6889774527651342</v>
      </c>
      <c r="O54" s="7">
        <f t="shared" si="384"/>
        <v>-0.3162819834803271</v>
      </c>
      <c r="P54" s="12">
        <f t="shared" si="385"/>
        <v>-2.1819065806302476</v>
      </c>
      <c r="Q54" s="11">
        <f t="shared" si="85"/>
        <v>184.9003862980795</v>
      </c>
      <c r="R54" s="7">
        <f t="shared" si="386"/>
        <v>3.7025111667736788</v>
      </c>
      <c r="S54" s="8">
        <f t="shared" si="387"/>
        <v>-2.1819065806302476</v>
      </c>
      <c r="T54" s="6">
        <f t="shared" si="388"/>
        <v>-0.37476550228129896</v>
      </c>
      <c r="U54" s="7">
        <f t="shared" si="389"/>
        <v>3.6834955895702701</v>
      </c>
      <c r="V54" s="10">
        <f t="shared" si="390"/>
        <v>-2.1819065806302476</v>
      </c>
      <c r="W54" s="11">
        <f t="shared" si="214"/>
        <v>95.809386166836148</v>
      </c>
      <c r="X54" s="7">
        <f t="shared" si="391"/>
        <v>3.7025111667736788</v>
      </c>
      <c r="Y54" s="9">
        <f t="shared" si="213"/>
        <v>-2.1819065806302476</v>
      </c>
      <c r="Z54" s="24">
        <f t="shared" si="392"/>
        <v>0.99634470089885852</v>
      </c>
      <c r="AA54" s="7">
        <f t="shared" si="393"/>
        <v>8.5423866634054185E-2</v>
      </c>
      <c r="AB54" s="7">
        <f t="shared" si="394"/>
        <v>-2.2679489568523886E-7</v>
      </c>
      <c r="AC54" s="10">
        <f t="shared" si="395"/>
        <v>1</v>
      </c>
      <c r="AD54" s="11">
        <f t="shared" si="396"/>
        <v>0.99634470089885852</v>
      </c>
      <c r="AE54" s="7">
        <f t="shared" si="397"/>
        <v>8.5423866634054185E-2</v>
      </c>
      <c r="AF54" s="12">
        <f t="shared" si="398"/>
        <v>-2.2679489568523886E-7</v>
      </c>
      <c r="AG54" s="6">
        <f t="shared" si="399"/>
        <v>89.9998478833744</v>
      </c>
      <c r="AH54" s="12">
        <f t="shared" si="400"/>
        <v>4.9003992924870916</v>
      </c>
      <c r="AI54" s="11">
        <f t="shared" si="401"/>
        <v>-89.999987005609654</v>
      </c>
      <c r="AJ54" s="8">
        <f t="shared" si="402"/>
        <v>94.900399292469885</v>
      </c>
      <c r="AK54" s="6">
        <f t="shared" si="403"/>
        <v>2.2679489676546982E-7</v>
      </c>
      <c r="AL54" s="7">
        <f t="shared" si="404"/>
        <v>-0.9999999999999486</v>
      </c>
      <c r="AM54" s="8">
        <f t="shared" si="405"/>
        <v>-2.2679489568523886E-7</v>
      </c>
      <c r="AN54" s="6">
        <f t="shared" si="406"/>
        <v>-89.999987005609668</v>
      </c>
      <c r="AO54" s="10">
        <f t="shared" si="376"/>
        <v>0</v>
      </c>
      <c r="AP54" s="11">
        <f t="shared" si="407"/>
        <v>-89.999987005609611</v>
      </c>
      <c r="AQ54" s="8">
        <f t="shared" si="200"/>
        <v>0.61574814815849233</v>
      </c>
      <c r="AS54" s="123">
        <f t="shared" si="90"/>
        <v>-264.19061383316387</v>
      </c>
      <c r="AT54" s="174">
        <f t="shared" si="408"/>
        <v>-1.9978096266705805</v>
      </c>
      <c r="AV54" s="292" t="str">
        <f t="shared" si="91"/>
        <v/>
      </c>
      <c r="AW54" s="709"/>
      <c r="AX54" s="710"/>
      <c r="AY54" s="711"/>
      <c r="AZ54" s="565" t="str">
        <f t="shared" si="92"/>
        <v/>
      </c>
      <c r="BA54" s="564" t="str">
        <f t="shared" si="93"/>
        <v/>
      </c>
      <c r="BB54" s="372" t="str">
        <f t="shared" si="94"/>
        <v/>
      </c>
      <c r="BC54" s="11"/>
      <c r="BD54" s="7" t="str">
        <f t="shared" si="95"/>
        <v/>
      </c>
      <c r="BE54" s="8" t="str">
        <f t="shared" si="96"/>
        <v/>
      </c>
      <c r="BF54" s="6" t="str">
        <f t="shared" si="97"/>
        <v/>
      </c>
      <c r="BG54" s="7" t="str">
        <f t="shared" si="98"/>
        <v/>
      </c>
      <c r="BH54" s="12" t="str">
        <f t="shared" si="99"/>
        <v/>
      </c>
      <c r="BI54" s="11" t="str">
        <f t="shared" si="100"/>
        <v/>
      </c>
      <c r="BJ54" s="7" t="str">
        <f t="shared" si="101"/>
        <v/>
      </c>
      <c r="BK54" s="10" t="str">
        <f t="shared" si="102"/>
        <v/>
      </c>
      <c r="BL54" s="328" t="str">
        <f t="shared" si="103"/>
        <v/>
      </c>
      <c r="BM54" s="7" t="str">
        <f t="shared" si="104"/>
        <v/>
      </c>
      <c r="BN54" s="8" t="str">
        <f t="shared" si="105"/>
        <v/>
      </c>
      <c r="BO54" s="6" t="str">
        <f t="shared" si="106"/>
        <v/>
      </c>
      <c r="BP54" s="7" t="str">
        <f t="shared" si="107"/>
        <v/>
      </c>
      <c r="BQ54" s="7" t="str">
        <f t="shared" si="108"/>
        <v/>
      </c>
      <c r="BR54" s="8" t="str">
        <f t="shared" si="109"/>
        <v/>
      </c>
      <c r="BS54" s="6" t="str">
        <f t="shared" ref="BS54:BT73" si="409">IF(ISNUMBER($AV54),0,"")</f>
        <v/>
      </c>
      <c r="BT54" s="7" t="str">
        <f t="shared" si="409"/>
        <v/>
      </c>
      <c r="BU54" s="12" t="str">
        <f t="shared" si="70"/>
        <v/>
      </c>
      <c r="BV54" s="11" t="str">
        <f t="shared" si="71"/>
        <v/>
      </c>
      <c r="BW54" s="7" t="str">
        <f t="shared" si="72"/>
        <v/>
      </c>
      <c r="BX54" s="10" t="str">
        <f t="shared" si="73"/>
        <v/>
      </c>
      <c r="BY54" s="328" t="str">
        <f t="shared" si="74"/>
        <v/>
      </c>
      <c r="BZ54" s="7" t="str">
        <f t="shared" si="75"/>
        <v/>
      </c>
      <c r="CA54" s="8" t="str">
        <f t="shared" si="76"/>
        <v/>
      </c>
      <c r="CB54" s="6" t="str">
        <f t="shared" si="110"/>
        <v/>
      </c>
      <c r="CC54" s="7" t="str">
        <f t="shared" si="111"/>
        <v/>
      </c>
      <c r="CD54" s="7" t="str">
        <f t="shared" si="112"/>
        <v/>
      </c>
      <c r="CE54" s="8" t="str">
        <f t="shared" si="113"/>
        <v/>
      </c>
      <c r="CF54" s="6" t="str">
        <f t="shared" si="114"/>
        <v/>
      </c>
      <c r="CG54" s="7" t="str">
        <f t="shared" si="115"/>
        <v/>
      </c>
      <c r="CH54" s="7" t="str">
        <f t="shared" si="116"/>
        <v/>
      </c>
      <c r="CI54" s="6" t="str">
        <f t="shared" si="77"/>
        <v/>
      </c>
      <c r="CJ54" s="7" t="str">
        <f t="shared" si="78"/>
        <v/>
      </c>
      <c r="CK54" s="10" t="str">
        <f t="shared" si="79"/>
        <v/>
      </c>
      <c r="CL54" s="328" t="str">
        <f t="shared" si="80"/>
        <v/>
      </c>
      <c r="CM54" s="7" t="str">
        <f t="shared" si="81"/>
        <v/>
      </c>
      <c r="CN54" s="8" t="str">
        <f t="shared" si="82"/>
        <v/>
      </c>
      <c r="CO54" s="296" t="str">
        <f t="shared" si="201"/>
        <v/>
      </c>
      <c r="CP54" s="6" t="str">
        <f t="shared" si="202"/>
        <v/>
      </c>
      <c r="CQ54" s="7" t="str">
        <f t="shared" si="203"/>
        <v/>
      </c>
      <c r="CR54" s="7" t="str">
        <f t="shared" si="117"/>
        <v/>
      </c>
      <c r="CS54" s="10" t="str">
        <f t="shared" si="118"/>
        <v/>
      </c>
      <c r="CT54" s="11" t="str">
        <f t="shared" si="119"/>
        <v/>
      </c>
      <c r="CU54" s="8" t="str">
        <f t="shared" si="120"/>
        <v/>
      </c>
      <c r="CV54" s="6" t="str">
        <f t="shared" si="204"/>
        <v/>
      </c>
      <c r="CW54" s="7" t="str">
        <f t="shared" si="121"/>
        <v/>
      </c>
      <c r="CX54" s="10" t="str">
        <f t="shared" si="122"/>
        <v/>
      </c>
      <c r="CY54" s="11" t="str">
        <f t="shared" si="123"/>
        <v/>
      </c>
      <c r="CZ54" s="7" t="str">
        <f t="shared" si="124"/>
        <v/>
      </c>
      <c r="DA54" s="8" t="str">
        <f t="shared" si="125"/>
        <v/>
      </c>
      <c r="DB54" s="6" t="str">
        <f t="shared" ref="DB54:DC74" si="410">IF(ISNUMBER($AV54),0,"")</f>
        <v/>
      </c>
      <c r="DC54" s="7" t="str">
        <f t="shared" si="410"/>
        <v/>
      </c>
      <c r="DD54" s="12" t="str">
        <f t="shared" si="127"/>
        <v/>
      </c>
      <c r="DE54" s="11" t="str">
        <f t="shared" ref="DE54:DF74" si="411">IF(ISNUMBER($AV54),0,"")</f>
        <v/>
      </c>
      <c r="DF54" s="7" t="str">
        <f t="shared" si="411"/>
        <v/>
      </c>
      <c r="DG54" s="12" t="str">
        <f t="shared" si="129"/>
        <v/>
      </c>
      <c r="DH54" s="174" t="str">
        <f t="shared" si="130"/>
        <v/>
      </c>
      <c r="DI54" s="6" t="str">
        <f t="shared" si="131"/>
        <v/>
      </c>
      <c r="DJ54" s="7" t="str">
        <f t="shared" si="132"/>
        <v/>
      </c>
      <c r="DK54" s="12" t="str">
        <f t="shared" si="133"/>
        <v/>
      </c>
      <c r="DL54" s="11" t="str">
        <f t="shared" si="134"/>
        <v/>
      </c>
      <c r="DM54" s="328" t="str">
        <f t="shared" si="135"/>
        <v/>
      </c>
      <c r="DN54" s="376" t="str">
        <f t="shared" si="136"/>
        <v/>
      </c>
      <c r="DO54" s="11" t="str">
        <f t="shared" si="137"/>
        <v/>
      </c>
      <c r="DP54" s="328" t="str">
        <f t="shared" si="138"/>
        <v/>
      </c>
      <c r="DQ54" s="13" t="str">
        <f t="shared" si="139"/>
        <v/>
      </c>
      <c r="DR54" s="328" t="str">
        <f t="shared" si="140"/>
        <v/>
      </c>
      <c r="DS54" s="7" t="str">
        <f t="shared" si="141"/>
        <v/>
      </c>
      <c r="DT54" s="7" t="str">
        <f t="shared" si="142"/>
        <v/>
      </c>
      <c r="DU54" s="7" t="str">
        <f t="shared" si="143"/>
        <v/>
      </c>
      <c r="DV54" s="7" t="str">
        <f t="shared" si="144"/>
        <v/>
      </c>
      <c r="DW54" s="7" t="str">
        <f t="shared" si="145"/>
        <v/>
      </c>
      <c r="DX54" s="296" t="str">
        <f t="shared" si="146"/>
        <v/>
      </c>
      <c r="DY54" s="11" t="str">
        <f t="shared" si="147"/>
        <v/>
      </c>
      <c r="DZ54" s="7" t="str">
        <f t="shared" si="148"/>
        <v/>
      </c>
      <c r="EA54" s="12" t="str">
        <f t="shared" si="149"/>
        <v/>
      </c>
      <c r="EB54" s="8" t="str">
        <f t="shared" si="150"/>
        <v/>
      </c>
      <c r="EC54" s="328" t="str">
        <f t="shared" si="151"/>
        <v/>
      </c>
      <c r="ED54" s="7" t="str">
        <f t="shared" si="152"/>
        <v/>
      </c>
      <c r="EE54" s="6" t="str">
        <f t="shared" si="153"/>
        <v/>
      </c>
      <c r="EF54" s="7" t="str">
        <f t="shared" si="154"/>
        <v/>
      </c>
      <c r="EG54" s="12" t="str">
        <f t="shared" si="155"/>
        <v/>
      </c>
      <c r="EH54" s="11" t="str">
        <f t="shared" si="156"/>
        <v/>
      </c>
      <c r="EI54" s="7" t="str">
        <f t="shared" si="157"/>
        <v/>
      </c>
      <c r="EJ54" s="8" t="str">
        <f t="shared" si="158"/>
        <v/>
      </c>
      <c r="EK54" s="491" t="str">
        <f t="shared" si="159"/>
        <v/>
      </c>
      <c r="EL54" s="493" t="str">
        <f t="shared" si="160"/>
        <v/>
      </c>
      <c r="EM54" s="6" t="str">
        <f t="shared" si="161"/>
        <v/>
      </c>
      <c r="EN54" s="7" t="str">
        <f t="shared" si="162"/>
        <v/>
      </c>
      <c r="EO54" s="12" t="str">
        <f t="shared" si="163"/>
        <v/>
      </c>
      <c r="EP54" s="11" t="str">
        <f t="shared" si="164"/>
        <v/>
      </c>
      <c r="EQ54" s="7" t="str">
        <f t="shared" si="165"/>
        <v/>
      </c>
      <c r="ER54" s="9" t="str">
        <f t="shared" si="166"/>
        <v/>
      </c>
      <c r="ES54" s="24" t="str">
        <f t="shared" si="167"/>
        <v/>
      </c>
      <c r="ET54" s="7" t="str">
        <f t="shared" si="168"/>
        <v/>
      </c>
      <c r="EU54" s="12" t="str">
        <f t="shared" si="169"/>
        <v/>
      </c>
      <c r="EV54" s="337" t="str">
        <f t="shared" ref="EV54:EV72" si="412">IF(ISNUMBER($AV54),IF(($EV$1-EP54)&lt;0,(360+($EV$1-EP54)),($EV$1-EP54)),"")</f>
        <v/>
      </c>
      <c r="EW54" s="11" t="str">
        <f t="shared" ref="EW54:EW72" si="413">IF(ISNUMBER($AV54),(COS(RADIANS($EV54))*ES54)+(-SIN(RADIANS($EV54))*ET54),"")</f>
        <v/>
      </c>
      <c r="EX54" s="7" t="str">
        <f t="shared" ref="EX54:EX72" si="414">IF(ISNUMBER($AV54),(SIN(RADIANS($EV54))*ES54)+(COS(RADIANS($EV54))*ET54),"")</f>
        <v/>
      </c>
      <c r="EY54" s="8" t="str">
        <f t="shared" si="170"/>
        <v/>
      </c>
      <c r="EZ54" s="123" t="str">
        <f t="shared" si="171"/>
        <v/>
      </c>
      <c r="FA54" s="328" t="str">
        <f t="shared" ref="FA54:FA72" si="415">IF(ISNUMBER($AV54),SIN(RADIANS($EP54))*COS(RADIANS($EZ54)),"")</f>
        <v/>
      </c>
      <c r="FB54" s="7" t="str">
        <f t="shared" ref="FB54:FB72" si="416">IF(ISNUMBER($AV54),-1*COS(RADIANS($EP54))*COS(RADIANS($EZ54)),"")</f>
        <v/>
      </c>
      <c r="FC54" s="8" t="str">
        <f t="shared" ref="FC54:FC72" si="417">IF(ISNUMBER($AV54),-1*SIN(RADIANS($EZ54)),"")</f>
        <v/>
      </c>
      <c r="FD54" s="6" t="str">
        <f t="shared" ref="FD54:FD72" si="418">IF(ISNUMBER($AV54),(COS(RADIANS($EV54))*FA54)+(-SIN(RADIANS($EV54))*FB54),"")</f>
        <v/>
      </c>
      <c r="FE54" s="7" t="str">
        <f t="shared" ref="FE54:FE72" si="419">IF(ISNUMBER($AV54),(SIN(RADIANS($EV54))*FA54)+(COS(RADIANS($EV54))*FB54),"")</f>
        <v/>
      </c>
      <c r="FF54" s="9" t="str">
        <f t="shared" si="172"/>
        <v/>
      </c>
      <c r="FG54" s="328" t="str">
        <f t="shared" ref="FG54:FG72" si="420">IF(ISNUMBER($AV54),EW54-FD54,"")</f>
        <v/>
      </c>
      <c r="FH54" s="7" t="str">
        <f t="shared" ref="FH54:FH72" si="421">IF(ISNUMBER($AV54),EX54-FE54,"")</f>
        <v/>
      </c>
      <c r="FI54" s="12" t="str">
        <f t="shared" ref="FI54:FI72" si="422">IF(ISNUMBER($AV54),EY54-FF54,"")</f>
        <v/>
      </c>
      <c r="FJ54" s="547" t="str">
        <f t="shared" si="173"/>
        <v/>
      </c>
      <c r="FK54" s="6" t="str">
        <f t="shared" ref="FK54:FK72" si="423">IF(ISNUMBER($AV54),SQRT(ES54^2+ET54^2),"")</f>
        <v/>
      </c>
      <c r="FL54" s="7" t="str">
        <f t="shared" si="174"/>
        <v/>
      </c>
      <c r="FM54" s="10" t="str">
        <f t="shared" si="175"/>
        <v/>
      </c>
      <c r="FN54" s="11" t="str">
        <f t="shared" si="176"/>
        <v/>
      </c>
      <c r="FO54" s="12" t="str">
        <f t="shared" ref="FO54:FO72" si="424">IF(ISNUMBER($AV54),IF(SQRT((EM54+(ES54/SQRT(ES54^2+(ET54/SQRT(ES54^2+ET54^2))^2)))^2+(EN54+ET54)^2)&gt;SQRT((EM54+(FA54/SQRT(FA54^2+FB54^2)))^2+(EN54+(FB54/SQRT(FA54^2+FB54^2)))^2),-1,1),"")</f>
        <v/>
      </c>
      <c r="FP54" s="545" t="str">
        <f t="shared" ref="FP54:FP72" si="425">IF(ISNUMBER($AV54),FN54*FO54,"")</f>
        <v/>
      </c>
      <c r="FQ54" s="328" t="str">
        <f t="shared" si="205"/>
        <v/>
      </c>
      <c r="FR54" s="12" t="str">
        <f t="shared" si="177"/>
        <v/>
      </c>
      <c r="FS54" s="11" t="str">
        <f t="shared" si="178"/>
        <v/>
      </c>
      <c r="FT54" s="8" t="str">
        <f t="shared" si="179"/>
        <v/>
      </c>
      <c r="FU54" s="6" t="str">
        <f t="shared" si="180"/>
        <v/>
      </c>
      <c r="FV54" s="7" t="str">
        <f t="shared" si="181"/>
        <v/>
      </c>
      <c r="FW54" s="10" t="str">
        <f t="shared" si="206"/>
        <v/>
      </c>
      <c r="FX54" s="11" t="str">
        <f t="shared" si="207"/>
        <v/>
      </c>
      <c r="FY54" s="12" t="str">
        <f t="shared" ref="FY54:FY72" si="426">IF(ISNUMBER($AV54),IF(EU54&lt;FC54,1,-1),"")</f>
        <v/>
      </c>
      <c r="FZ54" s="545" t="str">
        <f t="shared" si="208"/>
        <v/>
      </c>
      <c r="GA54" s="372" t="str">
        <f t="shared" si="182"/>
        <v/>
      </c>
      <c r="GB54" s="46" t="str">
        <f t="shared" si="183"/>
        <v/>
      </c>
      <c r="GC54" s="47" t="str">
        <f t="shared" si="184"/>
        <v/>
      </c>
      <c r="GD54" s="578" t="str">
        <f t="shared" si="185"/>
        <v/>
      </c>
      <c r="GE54" s="585" t="str">
        <f t="shared" si="186"/>
        <v/>
      </c>
      <c r="GF54" s="634" t="str">
        <f t="shared" si="209"/>
        <v/>
      </c>
      <c r="GG54" s="553" t="str">
        <f t="shared" ref="GG54:GG72" si="427">IF(ISNUMBER($AV54),ABS(GB54)/(ABS($GB54)+ABS($GC54)+ABS($GD54)),"")</f>
        <v/>
      </c>
      <c r="GH54" s="554" t="str">
        <f t="shared" ref="GH54:GH72" si="428">IF(ISNUMBER($AV54),ABS(GC54)/(ABS($GB54)+ABS($GC54)+ABS($GD54)),"")</f>
        <v/>
      </c>
      <c r="GI54" s="549" t="str">
        <f t="shared" ref="GI54:GI72" si="429">IF(ISNUMBER($AV54),ABS(GD54)/(ABS($GB54)+ABS($GC54)+ABS($GD54)),"")</f>
        <v/>
      </c>
      <c r="GJ54" s="296" t="str">
        <f t="shared" si="187"/>
        <v/>
      </c>
      <c r="GK54" s="337" t="str">
        <f t="shared" ref="GK54:GK72" si="430">IF(ISNUMBER($AV54),SQRT((2*PI()*$GJ54)^2+$AS$5^2)/12,"")</f>
        <v/>
      </c>
      <c r="GL54" s="337" t="str">
        <f t="shared" si="188"/>
        <v/>
      </c>
      <c r="GM54" s="372" t="str">
        <f t="shared" si="210"/>
        <v/>
      </c>
      <c r="GN54" s="548" t="str">
        <f t="shared" si="189"/>
        <v/>
      </c>
      <c r="GO54" s="6" t="str">
        <f t="shared" si="190"/>
        <v/>
      </c>
      <c r="GP54" s="10" t="str">
        <f t="shared" si="211"/>
        <v/>
      </c>
      <c r="GQ54" s="372" t="str">
        <f t="shared" si="191"/>
        <v/>
      </c>
      <c r="GR54" s="697" t="str">
        <f t="shared" si="212"/>
        <v/>
      </c>
      <c r="GS54" s="637" t="str">
        <f t="shared" ref="GS54:GS72" si="431">IF(ISNUMBER($AV54),GU54/GH54*GG54,"")</f>
        <v/>
      </c>
      <c r="GT54" s="638" t="str">
        <f t="shared" ref="GT54:GT72" si="432">IF(ISNUMBER($AV54),GS54/$GK54,"")</f>
        <v/>
      </c>
      <c r="GU54" s="639" t="str">
        <f t="shared" ref="GU54:GU72" si="433">IF(ISNUMBER($AV54),$GV54*$GK54,"")</f>
        <v/>
      </c>
      <c r="GV54" s="638" t="str">
        <f t="shared" si="192"/>
        <v/>
      </c>
      <c r="GW54" s="640" t="str">
        <f t="shared" ref="GW54:GW72" si="434">IF(ISNUMBER($AV54),$GW$2,"")</f>
        <v/>
      </c>
      <c r="GX54" s="641" t="str">
        <f t="shared" ref="GX54:GX72" si="435">IF(ISNUMBER($AV54),($GJ54/12)*$GV54,"")</f>
        <v/>
      </c>
      <c r="GY54" s="639" t="str">
        <f t="shared" ref="GY54:GY72" si="436">IF(ISNUMBER($AV54),GU54/GH54*GI54,"")</f>
        <v/>
      </c>
      <c r="GZ54" s="640" t="str">
        <f t="shared" ref="GZ54:GZ72" si="437">IF(ISNUMBER($AV54),GY54/$GK54,"")</f>
        <v/>
      </c>
      <c r="HA54" s="637" t="str">
        <f t="shared" ref="HA54:HA72" si="438">IF(ISNUMBER($AV54),$FO54*$GS54,"")</f>
        <v/>
      </c>
      <c r="HB54" s="7" t="str">
        <f t="shared" si="193"/>
        <v/>
      </c>
      <c r="HC54" s="638" t="str">
        <f t="shared" si="194"/>
        <v/>
      </c>
      <c r="HD54" s="682" t="str">
        <f t="shared" si="195"/>
        <v/>
      </c>
      <c r="HE54" s="639" t="str">
        <f t="shared" ref="HE54:HE72" si="439">IF(ISNUMBER($AV54),$FY54*$GV54,"")</f>
        <v/>
      </c>
      <c r="HF54" s="7" t="str">
        <f t="shared" ref="HF54:HF72" si="440">IF(ISNUMBER($AV54),IF(($HB54+90)&lt;0,(360+($HB54+90)),($HB54+90)),"")</f>
        <v/>
      </c>
      <c r="HG54" s="638" t="str">
        <f t="shared" si="196"/>
        <v/>
      </c>
      <c r="HH54" s="644" t="str">
        <f t="shared" si="197"/>
        <v/>
      </c>
      <c r="HI54" s="596" t="str">
        <f t="shared" si="198"/>
        <v/>
      </c>
      <c r="HJ54" s="511"/>
      <c r="HK54" s="584" t="str">
        <f t="shared" si="217"/>
        <v/>
      </c>
      <c r="HL54" s="583" t="str">
        <f t="shared" ref="HL54:HL73" si="441">IFERROR(SMALL($GJ$9:$GJ$130,($HK53+1)),"")</f>
        <v/>
      </c>
      <c r="HM54" s="643" t="str">
        <f t="shared" ref="HM54:IA58" si="442">IF(ISNUMBER($HL54),VLOOKUP($HL54,$GJ$9:$HI$130,HM$1,FALSE),"")</f>
        <v/>
      </c>
      <c r="HN54" s="660" t="str">
        <f t="shared" si="442"/>
        <v/>
      </c>
      <c r="HO54" s="661" t="str">
        <f t="shared" si="442"/>
        <v/>
      </c>
      <c r="HP54" s="656" t="str">
        <f t="shared" si="442"/>
        <v/>
      </c>
      <c r="HQ54" s="660" t="str">
        <f t="shared" si="442"/>
        <v/>
      </c>
      <c r="HR54" s="671" t="str">
        <f t="shared" si="442"/>
        <v/>
      </c>
      <c r="HS54" s="655" t="str">
        <f t="shared" si="442"/>
        <v/>
      </c>
      <c r="HT54" s="648" t="str">
        <f t="shared" si="442"/>
        <v/>
      </c>
      <c r="HU54" s="649" t="str">
        <f t="shared" si="442"/>
        <v/>
      </c>
      <c r="HV54" s="650" t="str">
        <f t="shared" si="442"/>
        <v/>
      </c>
      <c r="HW54" s="648" t="str">
        <f t="shared" si="442"/>
        <v/>
      </c>
      <c r="HX54" s="649" t="str">
        <f t="shared" si="442"/>
        <v/>
      </c>
      <c r="HY54" s="650" t="str">
        <f t="shared" si="442"/>
        <v/>
      </c>
      <c r="HZ54" s="648" t="str">
        <f t="shared" si="442"/>
        <v/>
      </c>
      <c r="IA54" s="649" t="str">
        <f t="shared" si="442"/>
        <v/>
      </c>
      <c r="IB54" s="716"/>
      <c r="ID54" s="511"/>
    </row>
    <row r="55" spans="2:238" s="35" customFormat="1" ht="15" customHeight="1" x14ac:dyDescent="0.25">
      <c r="B55" s="143">
        <v>-2.2772210685013703</v>
      </c>
      <c r="C55" s="144">
        <v>1.3728029185944393</v>
      </c>
      <c r="D55" s="145">
        <v>-0.14090042495568167</v>
      </c>
      <c r="E55" s="146">
        <v>-0.61390791293990621</v>
      </c>
      <c r="F55" s="144">
        <v>-0.75358065056281198</v>
      </c>
      <c r="G55" s="147">
        <v>0.23501761109988678</v>
      </c>
      <c r="H55" s="146">
        <v>0.314</v>
      </c>
      <c r="I55" s="144">
        <v>0.52</v>
      </c>
      <c r="J55" s="306">
        <v>6.1130000000000004</v>
      </c>
      <c r="K55" s="699" t="str">
        <f t="shared" si="199"/>
        <v>1613</v>
      </c>
      <c r="M55" s="292">
        <f t="shared" si="382"/>
        <v>6.1130000000000004</v>
      </c>
      <c r="N55" s="24">
        <f t="shared" si="383"/>
        <v>-2.2772210685013703</v>
      </c>
      <c r="O55" s="7">
        <f t="shared" si="384"/>
        <v>1.3728029185944393</v>
      </c>
      <c r="P55" s="12">
        <f t="shared" si="385"/>
        <v>-0.14090042495568167</v>
      </c>
      <c r="Q55" s="11">
        <f t="shared" si="85"/>
        <v>148.9166914934822</v>
      </c>
      <c r="R55" s="7">
        <f t="shared" si="386"/>
        <v>2.6590080195681871</v>
      </c>
      <c r="S55" s="8">
        <f t="shared" si="387"/>
        <v>-0.14090042495568167</v>
      </c>
      <c r="T55" s="6">
        <f t="shared" si="388"/>
        <v>1.3365034661312429</v>
      </c>
      <c r="U55" s="7">
        <f t="shared" si="389"/>
        <v>2.2987131472080429</v>
      </c>
      <c r="V55" s="10">
        <f t="shared" si="390"/>
        <v>-0.14090042495568167</v>
      </c>
      <c r="W55" s="11">
        <f t="shared" si="214"/>
        <v>59.825691362238857</v>
      </c>
      <c r="X55" s="7">
        <f t="shared" si="391"/>
        <v>2.6590080195681871</v>
      </c>
      <c r="Y55" s="9">
        <f t="shared" si="213"/>
        <v>-0.14090042495568167</v>
      </c>
      <c r="Z55" s="24">
        <f t="shared" si="392"/>
        <v>0.61390791293990621</v>
      </c>
      <c r="AA55" s="7">
        <f t="shared" si="393"/>
        <v>0.75358065056281198</v>
      </c>
      <c r="AB55" s="7">
        <f t="shared" si="394"/>
        <v>-0.23501761109988678</v>
      </c>
      <c r="AC55" s="10">
        <f t="shared" si="395"/>
        <v>1</v>
      </c>
      <c r="AD55" s="11">
        <f t="shared" si="396"/>
        <v>0.61390791293990621</v>
      </c>
      <c r="AE55" s="7">
        <f t="shared" si="397"/>
        <v>0.75358065056281198</v>
      </c>
      <c r="AF55" s="12">
        <f t="shared" si="398"/>
        <v>-0.23501761109988678</v>
      </c>
      <c r="AG55" s="6">
        <f t="shared" si="399"/>
        <v>72.678976106304802</v>
      </c>
      <c r="AH55" s="12">
        <f t="shared" si="400"/>
        <v>52.127389908779691</v>
      </c>
      <c r="AI55" s="11">
        <f t="shared" si="401"/>
        <v>-76.407339110092948</v>
      </c>
      <c r="AJ55" s="8">
        <f t="shared" si="402"/>
        <v>140.83186071772002</v>
      </c>
      <c r="AK55" s="6">
        <f t="shared" si="403"/>
        <v>0.9623304217503923</v>
      </c>
      <c r="AL55" s="7">
        <f t="shared" si="404"/>
        <v>-0.13669997017781188</v>
      </c>
      <c r="AM55" s="8">
        <f t="shared" si="405"/>
        <v>-0.23501761109988678</v>
      </c>
      <c r="AN55" s="6">
        <f t="shared" si="406"/>
        <v>-30.184783396444441</v>
      </c>
      <c r="AO55" s="10">
        <f t="shared" si="376"/>
        <v>15.776324505550711</v>
      </c>
      <c r="AP55" s="11">
        <f t="shared" si="407"/>
        <v>-8.0848307757621711</v>
      </c>
      <c r="AQ55" s="8">
        <f t="shared" si="200"/>
        <v>0.85742381540387247</v>
      </c>
      <c r="AS55" s="123">
        <f t="shared" si="90"/>
        <v>-300.17430863776116</v>
      </c>
      <c r="AT55" s="174">
        <f t="shared" si="408"/>
        <v>6.8185205951622391E-2</v>
      </c>
      <c r="AV55" s="292">
        <f t="shared" si="91"/>
        <v>6.1130000000000004</v>
      </c>
      <c r="AW55" s="709">
        <v>2.6276000000000002</v>
      </c>
      <c r="AX55" s="710">
        <v>0.55479999999999996</v>
      </c>
      <c r="AY55" s="711">
        <v>3.6900000000000002E-2</v>
      </c>
      <c r="AZ55" s="565">
        <f t="shared" si="92"/>
        <v>0.60927768692438999</v>
      </c>
      <c r="BA55" s="564">
        <f t="shared" si="93"/>
        <v>5.0352069784908658E-2</v>
      </c>
      <c r="BB55" s="372">
        <f t="shared" si="94"/>
        <v>0.2366147940483776</v>
      </c>
      <c r="BC55" s="11"/>
      <c r="BD55" s="7">
        <f t="shared" si="95"/>
        <v>2.6276000000000002</v>
      </c>
      <c r="BE55" s="8">
        <f t="shared" si="96"/>
        <v>9.5714369092695928E-2</v>
      </c>
      <c r="BF55" s="6">
        <f t="shared" si="97"/>
        <v>-2.2772210685013703</v>
      </c>
      <c r="BG55" s="7">
        <f t="shared" si="98"/>
        <v>1.3728029185944393</v>
      </c>
      <c r="BH55" s="12">
        <f t="shared" si="99"/>
        <v>-0.14090042495568167</v>
      </c>
      <c r="BI55" s="11">
        <f t="shared" si="100"/>
        <v>-2.2772210685013703</v>
      </c>
      <c r="BJ55" s="7">
        <f t="shared" si="101"/>
        <v>1.6705281089125288</v>
      </c>
      <c r="BK55" s="10">
        <f t="shared" si="102"/>
        <v>0.81375119267771312</v>
      </c>
      <c r="BL55" s="328">
        <f t="shared" si="103"/>
        <v>-1.4878434184315392</v>
      </c>
      <c r="BM55" s="7">
        <f t="shared" si="104"/>
        <v>0.78673473642841651</v>
      </c>
      <c r="BN55" s="8">
        <f t="shared" si="105"/>
        <v>4.1875425262133087E-2</v>
      </c>
      <c r="BO55" s="6">
        <f t="shared" si="106"/>
        <v>0.61390791293990621</v>
      </c>
      <c r="BP55" s="7">
        <f t="shared" si="107"/>
        <v>0.75358065056281209</v>
      </c>
      <c r="BQ55" s="7">
        <f t="shared" si="108"/>
        <v>-0.2350176110998865</v>
      </c>
      <c r="BR55" s="8">
        <f t="shared" si="109"/>
        <v>0.33037223570149166</v>
      </c>
      <c r="BS55" s="6">
        <f t="shared" si="409"/>
        <v>0</v>
      </c>
      <c r="BT55" s="7">
        <f t="shared" si="409"/>
        <v>0</v>
      </c>
      <c r="BU55" s="12">
        <f t="shared" si="70"/>
        <v>9.5714369092695928E-2</v>
      </c>
      <c r="BV55" s="11">
        <f t="shared" si="71"/>
        <v>0</v>
      </c>
      <c r="BW55" s="7">
        <f t="shared" si="72"/>
        <v>1</v>
      </c>
      <c r="BX55" s="10">
        <f t="shared" si="73"/>
        <v>9.5714369092695928E-2</v>
      </c>
      <c r="BY55" s="328">
        <f t="shared" si="74"/>
        <v>1</v>
      </c>
      <c r="BZ55" s="7">
        <f t="shared" si="75"/>
        <v>0</v>
      </c>
      <c r="CA55" s="8">
        <f t="shared" si="76"/>
        <v>9.5714369092695928E-2</v>
      </c>
      <c r="CB55" s="6">
        <f t="shared" si="110"/>
        <v>0</v>
      </c>
      <c r="CC55" s="7">
        <f t="shared" si="111"/>
        <v>0</v>
      </c>
      <c r="CD55" s="7">
        <f t="shared" si="112"/>
        <v>-1</v>
      </c>
      <c r="CE55" s="8">
        <f t="shared" si="113"/>
        <v>9.5714369092695928E-2</v>
      </c>
      <c r="CF55" s="6">
        <f t="shared" si="114"/>
        <v>-0.75358065056281209</v>
      </c>
      <c r="CG55" s="7">
        <f t="shared" si="115"/>
        <v>0.61390791293990621</v>
      </c>
      <c r="CH55" s="7">
        <f t="shared" si="116"/>
        <v>0</v>
      </c>
      <c r="CI55" s="6">
        <f t="shared" si="77"/>
        <v>0</v>
      </c>
      <c r="CJ55" s="7">
        <f t="shared" si="78"/>
        <v>-0.40855305016053001</v>
      </c>
      <c r="CK55" s="10">
        <f t="shared" si="79"/>
        <v>9.5714369092695928E-2</v>
      </c>
      <c r="CL55" s="328">
        <f t="shared" si="80"/>
        <v>-0.75358065056281209</v>
      </c>
      <c r="CM55" s="7">
        <f t="shared" si="81"/>
        <v>0.2053548627793762</v>
      </c>
      <c r="CN55" s="8">
        <f t="shared" si="82"/>
        <v>9.5714369092695928E-2</v>
      </c>
      <c r="CO55" s="296">
        <f t="shared" si="201"/>
        <v>0.3125</v>
      </c>
      <c r="CP55" s="6">
        <f t="shared" si="202"/>
        <v>0.94476672247290261</v>
      </c>
      <c r="CQ55" s="7">
        <f t="shared" si="203"/>
        <v>-5.6193165185160252</v>
      </c>
      <c r="CR55" s="7">
        <f t="shared" si="117"/>
        <v>8.3172951930080341</v>
      </c>
      <c r="CS55" s="10">
        <f t="shared" si="118"/>
        <v>0.1451032579157463</v>
      </c>
      <c r="CT55" s="11">
        <f t="shared" si="119"/>
        <v>3.1755144371829465</v>
      </c>
      <c r="CU55" s="8">
        <f t="shared" si="120"/>
        <v>2.7723204990514807</v>
      </c>
      <c r="CV55" s="6">
        <f t="shared" si="204"/>
        <v>-2.3930062354439268</v>
      </c>
      <c r="CW55" s="7">
        <f t="shared" si="121"/>
        <v>1.5409203904809936</v>
      </c>
      <c r="CX55" s="10">
        <f t="shared" si="122"/>
        <v>9.5714369092695928E-2</v>
      </c>
      <c r="CY55" s="11">
        <f t="shared" si="123"/>
        <v>-2.0891670852438349</v>
      </c>
      <c r="CZ55" s="7">
        <f t="shared" si="124"/>
        <v>1.2933964414126837</v>
      </c>
      <c r="DA55" s="8">
        <f t="shared" si="125"/>
        <v>9.5714369092695928E-2</v>
      </c>
      <c r="DB55" s="6">
        <f t="shared" si="410"/>
        <v>0</v>
      </c>
      <c r="DC55" s="7">
        <f t="shared" si="410"/>
        <v>0</v>
      </c>
      <c r="DD55" s="12">
        <f t="shared" si="127"/>
        <v>-10</v>
      </c>
      <c r="DE55" s="11">
        <f t="shared" si="411"/>
        <v>0</v>
      </c>
      <c r="DF55" s="7">
        <f t="shared" si="411"/>
        <v>0</v>
      </c>
      <c r="DG55" s="12">
        <f t="shared" si="129"/>
        <v>10</v>
      </c>
      <c r="DH55" s="174">
        <f t="shared" si="130"/>
        <v>2.6276000000000002</v>
      </c>
      <c r="DI55" s="6">
        <f t="shared" si="131"/>
        <v>0</v>
      </c>
      <c r="DJ55" s="7">
        <f t="shared" si="132"/>
        <v>0</v>
      </c>
      <c r="DK55" s="12">
        <f t="shared" si="133"/>
        <v>20</v>
      </c>
      <c r="DL55" s="11">
        <f t="shared" si="134"/>
        <v>-2.3930062354439268</v>
      </c>
      <c r="DM55" s="328">
        <f t="shared" si="135"/>
        <v>1.5409203904809936</v>
      </c>
      <c r="DN55" s="376">
        <f t="shared" si="136"/>
        <v>10.095714369092695</v>
      </c>
      <c r="DO55" s="11">
        <f t="shared" si="137"/>
        <v>0.30383915020009189</v>
      </c>
      <c r="DP55" s="328">
        <f t="shared" si="138"/>
        <v>-0.24752394906830988</v>
      </c>
      <c r="DQ55" s="13">
        <f t="shared" si="139"/>
        <v>0</v>
      </c>
      <c r="DR55" s="328">
        <f t="shared" si="140"/>
        <v>201.91428738185391</v>
      </c>
      <c r="DS55" s="7">
        <f t="shared" si="141"/>
        <v>0</v>
      </c>
      <c r="DT55" s="7">
        <f t="shared" si="142"/>
        <v>400</v>
      </c>
      <c r="DU55" s="7">
        <f t="shared" si="143"/>
        <v>0.15358633455668524</v>
      </c>
      <c r="DV55" s="7">
        <f t="shared" si="144"/>
        <v>-1.1085036812525413</v>
      </c>
      <c r="DW55" s="7">
        <f t="shared" si="145"/>
        <v>110.02436311497833</v>
      </c>
      <c r="DX55" s="296">
        <f t="shared" si="146"/>
        <v>103.12008135497832</v>
      </c>
      <c r="DY55" s="11">
        <f t="shared" si="147"/>
        <v>61.434533822674098</v>
      </c>
      <c r="DZ55" s="7">
        <f t="shared" si="148"/>
        <v>-443.40147250101654</v>
      </c>
      <c r="EA55" s="12">
        <f t="shared" si="149"/>
        <v>478.65309306943527</v>
      </c>
      <c r="EB55" s="8">
        <f t="shared" si="150"/>
        <v>167199.03618056793</v>
      </c>
      <c r="EC55" s="328">
        <f t="shared" si="151"/>
        <v>13.873325097833426</v>
      </c>
      <c r="ED55" s="7">
        <f t="shared" si="152"/>
        <v>0.56160082773344455</v>
      </c>
      <c r="EE55" s="6">
        <f t="shared" si="153"/>
        <v>1.8222530727313884</v>
      </c>
      <c r="EF55" s="7">
        <f t="shared" si="154"/>
        <v>-1.8930598244432324</v>
      </c>
      <c r="EG55" s="12">
        <f t="shared" si="155"/>
        <v>9.5714369092695928E-2</v>
      </c>
      <c r="EH55" s="11">
        <f t="shared" si="156"/>
        <v>-2.2223699171937286</v>
      </c>
      <c r="EI55" s="7">
        <f t="shared" si="157"/>
        <v>1.4019107358003797</v>
      </c>
      <c r="EJ55" s="8">
        <f t="shared" si="158"/>
        <v>9.5714369092695928E-2</v>
      </c>
      <c r="EK55" s="491" t="b">
        <f t="shared" si="159"/>
        <v>0</v>
      </c>
      <c r="EL55" s="493" t="b">
        <f t="shared" si="160"/>
        <v>1</v>
      </c>
      <c r="EM55" s="6">
        <f t="shared" si="161"/>
        <v>-2.2223699171937286</v>
      </c>
      <c r="EN55" s="7">
        <f t="shared" si="162"/>
        <v>1.4019107358003797</v>
      </c>
      <c r="EO55" s="12">
        <f t="shared" si="163"/>
        <v>9.5714369092695928E-2</v>
      </c>
      <c r="EP55" s="11">
        <f t="shared" si="164"/>
        <v>147.75553713986818</v>
      </c>
      <c r="EQ55" s="7">
        <f t="shared" si="165"/>
        <v>2.6276000000000042</v>
      </c>
      <c r="ER55" s="9">
        <f t="shared" si="166"/>
        <v>9.5714369092695928E-2</v>
      </c>
      <c r="ES55" s="24">
        <f t="shared" si="167"/>
        <v>0.61390791293990621</v>
      </c>
      <c r="ET55" s="7">
        <f t="shared" si="168"/>
        <v>0.75358065056281198</v>
      </c>
      <c r="EU55" s="12">
        <f t="shared" si="169"/>
        <v>-0.23501761109988678</v>
      </c>
      <c r="EV55" s="337">
        <f t="shared" si="412"/>
        <v>302.24446286013182</v>
      </c>
      <c r="EW55" s="11">
        <f t="shared" si="413"/>
        <v>0.96490297683564008</v>
      </c>
      <c r="EX55" s="7">
        <f t="shared" si="414"/>
        <v>-0.11717067793020003</v>
      </c>
      <c r="EY55" s="8">
        <f t="shared" si="170"/>
        <v>-0.23501761109988678</v>
      </c>
      <c r="EZ55" s="123">
        <f t="shared" si="171"/>
        <v>0.86754163865532852</v>
      </c>
      <c r="FA55" s="328">
        <f t="shared" si="415"/>
        <v>0.53347162247462288</v>
      </c>
      <c r="FB55" s="7">
        <f t="shared" si="416"/>
        <v>0.84568243554199241</v>
      </c>
      <c r="FC55" s="8">
        <f t="shared" si="417"/>
        <v>-1.5140879434740878E-2</v>
      </c>
      <c r="FD55" s="6">
        <f t="shared" si="418"/>
        <v>0.99988537031498903</v>
      </c>
      <c r="FE55" s="7">
        <f t="shared" si="419"/>
        <v>-2.2204460492503131E-16</v>
      </c>
      <c r="FF55" s="9">
        <f t="shared" si="172"/>
        <v>-1.5140879434740878E-2</v>
      </c>
      <c r="FG55" s="328">
        <f t="shared" si="420"/>
        <v>-3.498239347934895E-2</v>
      </c>
      <c r="FH55" s="7">
        <f t="shared" si="421"/>
        <v>-0.11717067793019981</v>
      </c>
      <c r="FI55" s="12">
        <f t="shared" si="422"/>
        <v>-0.2198767316651459</v>
      </c>
      <c r="FJ55" s="547">
        <f t="shared" si="173"/>
        <v>14.453449685589748</v>
      </c>
      <c r="FK55" s="6">
        <f t="shared" si="423"/>
        <v>0.97199111234254731</v>
      </c>
      <c r="FL55" s="7">
        <f t="shared" si="174"/>
        <v>0.99988537031498903</v>
      </c>
      <c r="FM55" s="10">
        <f t="shared" si="175"/>
        <v>0.12228137887743419</v>
      </c>
      <c r="FN55" s="11">
        <f t="shared" si="176"/>
        <v>6.9236764221481613</v>
      </c>
      <c r="FO55" s="12">
        <f t="shared" si="424"/>
        <v>1</v>
      </c>
      <c r="FP55" s="545">
        <f t="shared" si="425"/>
        <v>6.9236764221481613</v>
      </c>
      <c r="FQ55" s="328">
        <f t="shared" si="205"/>
        <v>0.12054706719263385</v>
      </c>
      <c r="FR55" s="12">
        <f t="shared" si="177"/>
        <v>0.99270761284038445</v>
      </c>
      <c r="FS55" s="11">
        <f t="shared" si="178"/>
        <v>0.10828345872218431</v>
      </c>
      <c r="FT55" s="8">
        <f t="shared" si="179"/>
        <v>0.89171654127781563</v>
      </c>
      <c r="FU55" s="6">
        <f t="shared" si="180"/>
        <v>0.99311179241482039</v>
      </c>
      <c r="FV55" s="7">
        <f t="shared" si="181"/>
        <v>1</v>
      </c>
      <c r="FW55" s="10">
        <f t="shared" si="206"/>
        <v>0.2226421904790073</v>
      </c>
      <c r="FX55" s="11">
        <f t="shared" si="207"/>
        <v>12.821226714947858</v>
      </c>
      <c r="FY55" s="12">
        <f t="shared" si="426"/>
        <v>1</v>
      </c>
      <c r="FZ55" s="545">
        <f t="shared" si="208"/>
        <v>12.821226714947858</v>
      </c>
      <c r="GA55" s="372">
        <f t="shared" si="182"/>
        <v>12.732273883992459</v>
      </c>
      <c r="GB55" s="46">
        <f t="shared" si="183"/>
        <v>-0.11754149235715342</v>
      </c>
      <c r="GC55" s="47">
        <f t="shared" si="184"/>
        <v>0.96795664137647508</v>
      </c>
      <c r="GD55" s="578">
        <f t="shared" si="185"/>
        <v>-0.22190975190294635</v>
      </c>
      <c r="GE55" s="585">
        <f t="shared" si="186"/>
        <v>1.3074078856365747</v>
      </c>
      <c r="GF55" s="634">
        <f t="shared" si="209"/>
        <v>0.76487224146816402</v>
      </c>
      <c r="GG55" s="553">
        <f t="shared" si="427"/>
        <v>8.9904224724729004E-2</v>
      </c>
      <c r="GH55" s="554">
        <f t="shared" si="428"/>
        <v>0.74036316593362028</v>
      </c>
      <c r="GI55" s="549">
        <f t="shared" si="429"/>
        <v>0.16973260934165074</v>
      </c>
      <c r="GJ55" s="296">
        <f t="shared" si="187"/>
        <v>2.6276000000000002</v>
      </c>
      <c r="GK55" s="337">
        <f t="shared" si="430"/>
        <v>1.3759658692962737</v>
      </c>
      <c r="GL55" s="337">
        <f t="shared" si="188"/>
        <v>3.6900000000000002E-2</v>
      </c>
      <c r="GM55" s="372">
        <f t="shared" si="210"/>
        <v>0.60927768692438999</v>
      </c>
      <c r="GN55" s="548">
        <f t="shared" si="189"/>
        <v>5.0352069784908658E-2</v>
      </c>
      <c r="GO55" s="6">
        <f t="shared" si="190"/>
        <v>6.9236764221481613</v>
      </c>
      <c r="GP55" s="10">
        <f t="shared" si="211"/>
        <v>12.821226714947858</v>
      </c>
      <c r="GQ55" s="372">
        <f t="shared" si="191"/>
        <v>14.453449685589748</v>
      </c>
      <c r="GR55" s="697">
        <f t="shared" si="212"/>
        <v>3982.4432940983834</v>
      </c>
      <c r="GS55" s="637">
        <f t="shared" si="431"/>
        <v>358.03847686611113</v>
      </c>
      <c r="GT55" s="638">
        <f t="shared" si="432"/>
        <v>260.20883573894673</v>
      </c>
      <c r="GU55" s="639">
        <f t="shared" si="433"/>
        <v>2948.4543253697948</v>
      </c>
      <c r="GV55" s="638">
        <f t="shared" si="192"/>
        <v>2142.8251900446899</v>
      </c>
      <c r="GW55" s="640">
        <f t="shared" si="434"/>
        <v>58071.143361644703</v>
      </c>
      <c r="GX55" s="641">
        <f t="shared" si="435"/>
        <v>469.20728911345225</v>
      </c>
      <c r="GY55" s="639">
        <f t="shared" si="436"/>
        <v>675.95049186247763</v>
      </c>
      <c r="GZ55" s="640">
        <f t="shared" si="437"/>
        <v>491.25527525489196</v>
      </c>
      <c r="HA55" s="637">
        <f t="shared" si="438"/>
        <v>358.03847686611113</v>
      </c>
      <c r="HB55" s="7">
        <f t="shared" si="193"/>
        <v>302.24446286013182</v>
      </c>
      <c r="HC55" s="638">
        <f t="shared" si="194"/>
        <v>191.02526432798604</v>
      </c>
      <c r="HD55" s="682">
        <f t="shared" si="195"/>
        <v>-302.82156347431379</v>
      </c>
      <c r="HE55" s="639">
        <f t="shared" si="439"/>
        <v>2142.8251900446899</v>
      </c>
      <c r="HF55" s="7">
        <f t="shared" si="440"/>
        <v>392.24446286013182</v>
      </c>
      <c r="HG55" s="638">
        <f t="shared" si="196"/>
        <v>1812.3573756128203</v>
      </c>
      <c r="HH55" s="644">
        <f t="shared" si="197"/>
        <v>1143.2674832041153</v>
      </c>
      <c r="HI55" s="596">
        <f t="shared" si="198"/>
        <v>6.1130000000000004</v>
      </c>
      <c r="HJ55" s="511"/>
      <c r="HK55" s="584" t="str">
        <f t="shared" si="217"/>
        <v/>
      </c>
      <c r="HL55" s="583" t="str">
        <f t="shared" si="441"/>
        <v/>
      </c>
      <c r="HM55" s="643" t="str">
        <f t="shared" si="442"/>
        <v/>
      </c>
      <c r="HN55" s="660" t="str">
        <f t="shared" si="442"/>
        <v/>
      </c>
      <c r="HO55" s="661" t="str">
        <f t="shared" si="442"/>
        <v/>
      </c>
      <c r="HP55" s="656" t="str">
        <f t="shared" si="442"/>
        <v/>
      </c>
      <c r="HQ55" s="660" t="str">
        <f t="shared" si="442"/>
        <v/>
      </c>
      <c r="HR55" s="671" t="str">
        <f t="shared" si="442"/>
        <v/>
      </c>
      <c r="HS55" s="655" t="str">
        <f t="shared" si="442"/>
        <v/>
      </c>
      <c r="HT55" s="648" t="str">
        <f t="shared" si="442"/>
        <v/>
      </c>
      <c r="HU55" s="649" t="str">
        <f t="shared" si="442"/>
        <v/>
      </c>
      <c r="HV55" s="650" t="str">
        <f t="shared" si="442"/>
        <v/>
      </c>
      <c r="HW55" s="648" t="str">
        <f t="shared" si="442"/>
        <v/>
      </c>
      <c r="HX55" s="649" t="str">
        <f t="shared" si="442"/>
        <v/>
      </c>
      <c r="HY55" s="650" t="str">
        <f t="shared" si="442"/>
        <v/>
      </c>
      <c r="HZ55" s="648" t="str">
        <f t="shared" si="442"/>
        <v/>
      </c>
      <c r="IA55" s="649" t="str">
        <f t="shared" si="442"/>
        <v/>
      </c>
      <c r="IB55" s="716"/>
      <c r="ID55" s="511"/>
    </row>
    <row r="56" spans="2:238" s="35" customFormat="1" ht="15" customHeight="1" x14ac:dyDescent="0.25">
      <c r="B56" s="143">
        <v>-2.7980510206408313</v>
      </c>
      <c r="C56" s="144">
        <v>1.7510730557349514</v>
      </c>
      <c r="D56" s="145">
        <v>-0.57600173722123882</v>
      </c>
      <c r="E56" s="146">
        <v>-0.74367053331530908</v>
      </c>
      <c r="F56" s="144">
        <v>-0.64041723636767811</v>
      </c>
      <c r="G56" s="147">
        <v>0.1918851251184141</v>
      </c>
      <c r="H56" s="146">
        <v>0.314</v>
      </c>
      <c r="I56" s="144">
        <v>0.52</v>
      </c>
      <c r="J56" s="306">
        <v>6.1189999999999998</v>
      </c>
      <c r="K56" s="699" t="str">
        <f t="shared" si="199"/>
        <v>1613</v>
      </c>
      <c r="M56" s="292">
        <f t="shared" si="382"/>
        <v>6.1189999999999998</v>
      </c>
      <c r="N56" s="24">
        <f t="shared" si="383"/>
        <v>-2.7980510206408313</v>
      </c>
      <c r="O56" s="7">
        <f t="shared" si="384"/>
        <v>1.7510730557349514</v>
      </c>
      <c r="P56" s="12">
        <f t="shared" si="385"/>
        <v>-0.57600173722123882</v>
      </c>
      <c r="Q56" s="11">
        <f t="shared" si="85"/>
        <v>147.96089163148264</v>
      </c>
      <c r="R56" s="7">
        <f t="shared" si="386"/>
        <v>3.3008099552428245</v>
      </c>
      <c r="S56" s="8">
        <f t="shared" si="387"/>
        <v>-0.57600173722123882</v>
      </c>
      <c r="T56" s="6">
        <f t="shared" si="388"/>
        <v>1.7064633573512389</v>
      </c>
      <c r="U56" s="7">
        <f t="shared" si="389"/>
        <v>2.8254785737371422</v>
      </c>
      <c r="V56" s="10">
        <f t="shared" si="390"/>
        <v>-0.57600173722123882</v>
      </c>
      <c r="W56" s="11">
        <f t="shared" si="214"/>
        <v>58.869891500239291</v>
      </c>
      <c r="X56" s="7">
        <f t="shared" si="391"/>
        <v>3.3008099552428245</v>
      </c>
      <c r="Y56" s="9">
        <f t="shared" si="213"/>
        <v>-0.57600173722123882</v>
      </c>
      <c r="Z56" s="24">
        <f t="shared" si="392"/>
        <v>0.74367053331530908</v>
      </c>
      <c r="AA56" s="7">
        <f t="shared" si="393"/>
        <v>0.64041723636767811</v>
      </c>
      <c r="AB56" s="7">
        <f t="shared" si="394"/>
        <v>-0.1918851251184141</v>
      </c>
      <c r="AC56" s="10">
        <f t="shared" si="395"/>
        <v>1</v>
      </c>
      <c r="AD56" s="11">
        <f t="shared" si="396"/>
        <v>0.74367053331530908</v>
      </c>
      <c r="AE56" s="7">
        <f t="shared" si="397"/>
        <v>0.64041723636767811</v>
      </c>
      <c r="AF56" s="12">
        <f t="shared" si="398"/>
        <v>-0.1918851251184141</v>
      </c>
      <c r="AG56" s="6">
        <f t="shared" si="399"/>
        <v>73.320460564945719</v>
      </c>
      <c r="AH56" s="12">
        <f t="shared" si="400"/>
        <v>41.954965449477363</v>
      </c>
      <c r="AI56" s="11">
        <f t="shared" si="401"/>
        <v>-78.937181572961322</v>
      </c>
      <c r="AJ56" s="8">
        <f t="shared" si="402"/>
        <v>130.73362308644957</v>
      </c>
      <c r="AK56" s="6">
        <f t="shared" si="403"/>
        <v>0.9373885734234646</v>
      </c>
      <c r="AL56" s="7">
        <f t="shared" si="404"/>
        <v>-0.2906591838793548</v>
      </c>
      <c r="AM56" s="8">
        <f t="shared" si="405"/>
        <v>-0.1918851251184141</v>
      </c>
      <c r="AN56" s="6">
        <f t="shared" si="406"/>
        <v>-56.568315060175308</v>
      </c>
      <c r="AO56" s="10">
        <f t="shared" si="376"/>
        <v>20.382473287351626</v>
      </c>
      <c r="AP56" s="11">
        <f t="shared" si="407"/>
        <v>-17.227268545033077</v>
      </c>
      <c r="AQ56" s="8">
        <f t="shared" si="200"/>
        <v>0.69069019044054969</v>
      </c>
      <c r="AS56" s="123">
        <f t="shared" si="90"/>
        <v>-301.13010849976069</v>
      </c>
      <c r="AT56" s="174">
        <f t="shared" si="408"/>
        <v>-0.36625235640976839</v>
      </c>
      <c r="AV56" s="292">
        <f t="shared" si="91"/>
        <v>6.1189999999999998</v>
      </c>
      <c r="AW56" s="709">
        <v>3.419</v>
      </c>
      <c r="AX56" s="710">
        <v>9.74E-2</v>
      </c>
      <c r="AY56" s="711">
        <v>2.69E-2</v>
      </c>
      <c r="AZ56" s="565">
        <f t="shared" si="92"/>
        <v>0.57791059409531287</v>
      </c>
      <c r="BA56" s="564">
        <f t="shared" si="93"/>
        <v>4.7759823127966179E-2</v>
      </c>
      <c r="BB56" s="372">
        <f t="shared" si="94"/>
        <v>0.21365235640976837</v>
      </c>
      <c r="BC56" s="11"/>
      <c r="BD56" s="7">
        <f t="shared" si="95"/>
        <v>3.419</v>
      </c>
      <c r="BE56" s="8">
        <f t="shared" si="96"/>
        <v>-0.36234938081147045</v>
      </c>
      <c r="BF56" s="6">
        <f t="shared" si="97"/>
        <v>-2.7980510206408313</v>
      </c>
      <c r="BG56" s="7">
        <f t="shared" si="98"/>
        <v>1.7510730557349514</v>
      </c>
      <c r="BH56" s="12">
        <f t="shared" si="99"/>
        <v>-0.57600173722123882</v>
      </c>
      <c r="BI56" s="11">
        <f t="shared" si="100"/>
        <v>-2.7980510206408313</v>
      </c>
      <c r="BJ56" s="7">
        <f t="shared" si="101"/>
        <v>2.0380915148095089</v>
      </c>
      <c r="BK56" s="10">
        <f t="shared" si="102"/>
        <v>0.38192331420526326</v>
      </c>
      <c r="BL56" s="328">
        <f t="shared" si="103"/>
        <v>-2.1295047336280892</v>
      </c>
      <c r="BM56" s="7">
        <f t="shared" si="104"/>
        <v>1.0386924218645097</v>
      </c>
      <c r="BN56" s="8">
        <f t="shared" si="105"/>
        <v>-0.36255456668992442</v>
      </c>
      <c r="BO56" s="6">
        <f t="shared" si="106"/>
        <v>0.74367053331530919</v>
      </c>
      <c r="BP56" s="7">
        <f t="shared" si="107"/>
        <v>0.640417236367678</v>
      </c>
      <c r="BQ56" s="7">
        <f t="shared" si="108"/>
        <v>-0.19188512511841394</v>
      </c>
      <c r="BR56" s="8">
        <f t="shared" si="109"/>
        <v>0.84888456231660903</v>
      </c>
      <c r="BS56" s="6">
        <f t="shared" si="409"/>
        <v>0</v>
      </c>
      <c r="BT56" s="7">
        <f t="shared" si="409"/>
        <v>0</v>
      </c>
      <c r="BU56" s="12">
        <f t="shared" si="70"/>
        <v>-0.36234938081147045</v>
      </c>
      <c r="BV56" s="11">
        <f t="shared" si="71"/>
        <v>0</v>
      </c>
      <c r="BW56" s="7">
        <f t="shared" si="72"/>
        <v>1</v>
      </c>
      <c r="BX56" s="10">
        <f t="shared" si="73"/>
        <v>-0.36234938081147045</v>
      </c>
      <c r="BY56" s="328">
        <f t="shared" si="74"/>
        <v>1</v>
      </c>
      <c r="BZ56" s="7">
        <f t="shared" si="75"/>
        <v>0</v>
      </c>
      <c r="CA56" s="8">
        <f t="shared" si="76"/>
        <v>-0.36234938081147045</v>
      </c>
      <c r="CB56" s="6">
        <f t="shared" si="110"/>
        <v>0</v>
      </c>
      <c r="CC56" s="7">
        <f t="shared" si="111"/>
        <v>0</v>
      </c>
      <c r="CD56" s="7">
        <f t="shared" si="112"/>
        <v>-1</v>
      </c>
      <c r="CE56" s="8">
        <f t="shared" si="113"/>
        <v>-0.36234938081147045</v>
      </c>
      <c r="CF56" s="6">
        <f t="shared" si="114"/>
        <v>-0.640417236367678</v>
      </c>
      <c r="CG56" s="7">
        <f t="shared" si="115"/>
        <v>0.74367053331530919</v>
      </c>
      <c r="CH56" s="7">
        <f t="shared" si="116"/>
        <v>0</v>
      </c>
      <c r="CI56" s="6">
        <f t="shared" si="77"/>
        <v>0</v>
      </c>
      <c r="CJ56" s="7">
        <f t="shared" si="78"/>
        <v>-1.4340869771077112</v>
      </c>
      <c r="CK56" s="10">
        <f t="shared" si="79"/>
        <v>-0.36234938081147045</v>
      </c>
      <c r="CL56" s="328">
        <f t="shared" si="80"/>
        <v>-0.640417236367678</v>
      </c>
      <c r="CM56" s="7">
        <f t="shared" si="81"/>
        <v>-0.69041644379240197</v>
      </c>
      <c r="CN56" s="8">
        <f t="shared" si="82"/>
        <v>-0.36234938081147045</v>
      </c>
      <c r="CO56" s="296">
        <f t="shared" si="201"/>
        <v>0.3125</v>
      </c>
      <c r="CP56" s="6">
        <f t="shared" si="202"/>
        <v>0.9631800987582908</v>
      </c>
      <c r="CQ56" s="7">
        <f t="shared" si="203"/>
        <v>-8.3212595243465444</v>
      </c>
      <c r="CR56" s="7">
        <f t="shared" si="117"/>
        <v>17.922325028326917</v>
      </c>
      <c r="CS56" s="10">
        <f t="shared" si="118"/>
        <v>0.193652908479649</v>
      </c>
      <c r="CT56" s="11">
        <f t="shared" si="119"/>
        <v>4.5481211949907321</v>
      </c>
      <c r="CU56" s="8">
        <f t="shared" si="120"/>
        <v>4.0912387077669319</v>
      </c>
      <c r="CV56" s="6">
        <f t="shared" si="204"/>
        <v>-2.9126952063612257</v>
      </c>
      <c r="CW56" s="7">
        <f t="shared" si="121"/>
        <v>1.9482167375537081</v>
      </c>
      <c r="CX56" s="10">
        <f t="shared" si="122"/>
        <v>-0.36234938081147045</v>
      </c>
      <c r="CY56" s="11">
        <f t="shared" si="123"/>
        <v>-2.6200997865485687</v>
      </c>
      <c r="CZ56" s="7">
        <f t="shared" si="124"/>
        <v>1.6084466946175595</v>
      </c>
      <c r="DA56" s="8">
        <f t="shared" si="125"/>
        <v>-0.36234938081147045</v>
      </c>
      <c r="DB56" s="6">
        <f t="shared" si="410"/>
        <v>0</v>
      </c>
      <c r="DC56" s="7">
        <f t="shared" si="410"/>
        <v>0</v>
      </c>
      <c r="DD56" s="12">
        <f t="shared" si="127"/>
        <v>-10</v>
      </c>
      <c r="DE56" s="11">
        <f t="shared" si="411"/>
        <v>0</v>
      </c>
      <c r="DF56" s="7">
        <f t="shared" si="411"/>
        <v>0</v>
      </c>
      <c r="DG56" s="12">
        <f t="shared" si="129"/>
        <v>10</v>
      </c>
      <c r="DH56" s="174">
        <f t="shared" si="130"/>
        <v>3.419</v>
      </c>
      <c r="DI56" s="6">
        <f t="shared" si="131"/>
        <v>0</v>
      </c>
      <c r="DJ56" s="7">
        <f t="shared" si="132"/>
        <v>0</v>
      </c>
      <c r="DK56" s="12">
        <f t="shared" si="133"/>
        <v>20</v>
      </c>
      <c r="DL56" s="11">
        <f t="shared" si="134"/>
        <v>-2.9126952063612257</v>
      </c>
      <c r="DM56" s="328">
        <f t="shared" si="135"/>
        <v>1.9482167375537081</v>
      </c>
      <c r="DN56" s="376">
        <f t="shared" si="136"/>
        <v>9.6376506191885287</v>
      </c>
      <c r="DO56" s="11">
        <f t="shared" si="137"/>
        <v>0.29259541981265702</v>
      </c>
      <c r="DP56" s="328">
        <f t="shared" si="138"/>
        <v>-0.33977004293614854</v>
      </c>
      <c r="DQ56" s="13">
        <f t="shared" si="139"/>
        <v>0</v>
      </c>
      <c r="DR56" s="328">
        <f t="shared" si="140"/>
        <v>192.75301238377057</v>
      </c>
      <c r="DS56" s="7">
        <f t="shared" si="141"/>
        <v>0</v>
      </c>
      <c r="DT56" s="7">
        <f t="shared" si="142"/>
        <v>400</v>
      </c>
      <c r="DU56" s="7">
        <f t="shared" si="143"/>
        <v>0.20105576177217724</v>
      </c>
      <c r="DV56" s="7">
        <f t="shared" si="144"/>
        <v>-1.514186961259123</v>
      </c>
      <c r="DW56" s="7">
        <f t="shared" si="145"/>
        <v>105.16365127918911</v>
      </c>
      <c r="DX56" s="296">
        <f t="shared" si="146"/>
        <v>93.474090279189113</v>
      </c>
      <c r="DY56" s="11">
        <f t="shared" si="147"/>
        <v>80.422304708870897</v>
      </c>
      <c r="DZ56" s="7">
        <f t="shared" si="148"/>
        <v>-605.67478450364922</v>
      </c>
      <c r="EA56" s="12">
        <f t="shared" si="149"/>
        <v>235.91232865763595</v>
      </c>
      <c r="EB56" s="8">
        <f t="shared" si="150"/>
        <v>347869.33140365826</v>
      </c>
      <c r="EC56" s="328">
        <f t="shared" si="151"/>
        <v>14.865021272086352</v>
      </c>
      <c r="ED56" s="7">
        <f t="shared" si="152"/>
        <v>0.19733703003380307</v>
      </c>
      <c r="EE56" s="6">
        <f t="shared" si="153"/>
        <v>1.4367419332689573</v>
      </c>
      <c r="EF56" s="7">
        <f t="shared" si="154"/>
        <v>-3.1024721783098332</v>
      </c>
      <c r="EG56" s="12">
        <f t="shared" si="155"/>
        <v>-0.36234938081147045</v>
      </c>
      <c r="EH56" s="11">
        <f t="shared" si="156"/>
        <v>-2.8549552952139021</v>
      </c>
      <c r="EI56" s="7">
        <f t="shared" si="157"/>
        <v>1.8811675263862306</v>
      </c>
      <c r="EJ56" s="8">
        <f t="shared" si="158"/>
        <v>-0.36234938081147045</v>
      </c>
      <c r="EK56" s="491" t="b">
        <f t="shared" si="159"/>
        <v>0</v>
      </c>
      <c r="EL56" s="493" t="b">
        <f t="shared" si="160"/>
        <v>1</v>
      </c>
      <c r="EM56" s="6">
        <f t="shared" si="161"/>
        <v>-2.8549552952139021</v>
      </c>
      <c r="EN56" s="7">
        <f t="shared" si="162"/>
        <v>1.8811675263862306</v>
      </c>
      <c r="EO56" s="12">
        <f t="shared" si="163"/>
        <v>-0.36234938081147045</v>
      </c>
      <c r="EP56" s="11">
        <f t="shared" si="164"/>
        <v>146.61858826570693</v>
      </c>
      <c r="EQ56" s="7">
        <f t="shared" si="165"/>
        <v>3.4189999999999983</v>
      </c>
      <c r="ER56" s="9">
        <f t="shared" si="166"/>
        <v>-0.36234938081147045</v>
      </c>
      <c r="ES56" s="24">
        <f t="shared" si="167"/>
        <v>0.74367053331530908</v>
      </c>
      <c r="ET56" s="7">
        <f t="shared" si="168"/>
        <v>0.64041723636767811</v>
      </c>
      <c r="EU56" s="12">
        <f t="shared" si="169"/>
        <v>-0.1918851251184141</v>
      </c>
      <c r="EV56" s="337">
        <f t="shared" si="412"/>
        <v>303.38141173429307</v>
      </c>
      <c r="EW56" s="11">
        <f t="shared" si="413"/>
        <v>0.94394016897257871</v>
      </c>
      <c r="EX56" s="7">
        <f t="shared" si="414"/>
        <v>-0.26862065474998431</v>
      </c>
      <c r="EY56" s="8">
        <f t="shared" si="170"/>
        <v>-0.1918851251184141</v>
      </c>
      <c r="EZ56" s="123">
        <f t="shared" si="171"/>
        <v>0.66675160109655152</v>
      </c>
      <c r="FA56" s="328">
        <f t="shared" si="415"/>
        <v>0.55017261010610297</v>
      </c>
      <c r="FB56" s="7">
        <f t="shared" si="416"/>
        <v>0.83496987082349849</v>
      </c>
      <c r="FC56" s="8">
        <f t="shared" si="417"/>
        <v>-1.1636748086488393E-2</v>
      </c>
      <c r="FD56" s="6">
        <f t="shared" si="418"/>
        <v>0.99993229075471501</v>
      </c>
      <c r="FE56" s="7">
        <f t="shared" si="419"/>
        <v>1.1102230246251565E-16</v>
      </c>
      <c r="FF56" s="9">
        <f t="shared" si="172"/>
        <v>-1.1636748086488393E-2</v>
      </c>
      <c r="FG56" s="328">
        <f t="shared" si="420"/>
        <v>-5.5992121782136306E-2</v>
      </c>
      <c r="FH56" s="7">
        <f t="shared" si="421"/>
        <v>-0.26862065474998442</v>
      </c>
      <c r="FI56" s="12">
        <f t="shared" si="422"/>
        <v>-0.1802483770319257</v>
      </c>
      <c r="FJ56" s="547">
        <f t="shared" si="173"/>
        <v>18.895786963311988</v>
      </c>
      <c r="FK56" s="6">
        <f t="shared" si="423"/>
        <v>0.98141739273272033</v>
      </c>
      <c r="FL56" s="7">
        <f t="shared" si="174"/>
        <v>0.9999322907547149</v>
      </c>
      <c r="FM56" s="10">
        <f t="shared" si="175"/>
        <v>0.27439419428984996</v>
      </c>
      <c r="FN56" s="11">
        <f t="shared" si="176"/>
        <v>15.884965179257366</v>
      </c>
      <c r="FO56" s="12">
        <f t="shared" si="424"/>
        <v>1</v>
      </c>
      <c r="FP56" s="545">
        <f t="shared" si="425"/>
        <v>15.884965179257366</v>
      </c>
      <c r="FQ56" s="328">
        <f t="shared" si="205"/>
        <v>0.27370684149179408</v>
      </c>
      <c r="FR56" s="12">
        <f t="shared" si="177"/>
        <v>0.96181316528761751</v>
      </c>
      <c r="FS56" s="11">
        <f t="shared" si="178"/>
        <v>0.22153169514855245</v>
      </c>
      <c r="FT56" s="8">
        <f t="shared" si="179"/>
        <v>0.77846830485144747</v>
      </c>
      <c r="FU56" s="6">
        <f t="shared" si="180"/>
        <v>0.96324604532886082</v>
      </c>
      <c r="FV56" s="7">
        <f t="shared" si="181"/>
        <v>1</v>
      </c>
      <c r="FW56" s="10">
        <f t="shared" si="206"/>
        <v>0.18874478833681427</v>
      </c>
      <c r="FX56" s="11">
        <f t="shared" si="207"/>
        <v>10.823824838780684</v>
      </c>
      <c r="FY56" s="12">
        <f t="shared" si="426"/>
        <v>1</v>
      </c>
      <c r="FZ56" s="545">
        <f t="shared" si="208"/>
        <v>10.823824838780684</v>
      </c>
      <c r="GA56" s="372">
        <f t="shared" si="182"/>
        <v>10.425515348815171</v>
      </c>
      <c r="GB56" s="46">
        <f t="shared" si="183"/>
        <v>-0.26883739110677185</v>
      </c>
      <c r="GC56" s="47">
        <f t="shared" si="184"/>
        <v>0.9447017863301076</v>
      </c>
      <c r="GD56" s="578">
        <f t="shared" si="185"/>
        <v>-0.18778975490587443</v>
      </c>
      <c r="GE56" s="585">
        <f t="shared" si="186"/>
        <v>1.4013289323427538</v>
      </c>
      <c r="GF56" s="634">
        <f t="shared" si="209"/>
        <v>0.71360833057816864</v>
      </c>
      <c r="GG56" s="553">
        <f t="shared" si="427"/>
        <v>0.19184460186469365</v>
      </c>
      <c r="GH56" s="554">
        <f t="shared" si="428"/>
        <v>0.67414706463724183</v>
      </c>
      <c r="GI56" s="549">
        <f t="shared" si="429"/>
        <v>0.13400833349806451</v>
      </c>
      <c r="GJ56" s="296">
        <f t="shared" si="187"/>
        <v>3.419</v>
      </c>
      <c r="GK56" s="337">
        <f t="shared" si="430"/>
        <v>1.7903054340003497</v>
      </c>
      <c r="GL56" s="337">
        <f t="shared" si="188"/>
        <v>2.69E-2</v>
      </c>
      <c r="GM56" s="372">
        <f t="shared" si="210"/>
        <v>0.57791059409531287</v>
      </c>
      <c r="GN56" s="548">
        <f t="shared" si="189"/>
        <v>4.7759823127966179E-2</v>
      </c>
      <c r="GO56" s="6">
        <f t="shared" si="190"/>
        <v>15.884965179257366</v>
      </c>
      <c r="GP56" s="10">
        <f t="shared" si="211"/>
        <v>10.823824838780684</v>
      </c>
      <c r="GQ56" s="372">
        <f t="shared" si="191"/>
        <v>18.895786963311988</v>
      </c>
      <c r="GR56" s="697">
        <f t="shared" si="212"/>
        <v>4148.4431118380126</v>
      </c>
      <c r="GS56" s="637">
        <f t="shared" si="431"/>
        <v>795.85641714889437</v>
      </c>
      <c r="GT56" s="638">
        <f t="shared" si="432"/>
        <v>444.53667069009128</v>
      </c>
      <c r="GU56" s="639">
        <f t="shared" si="433"/>
        <v>2796.6607466601813</v>
      </c>
      <c r="GV56" s="638">
        <f t="shared" si="192"/>
        <v>1562.1137564282426</v>
      </c>
      <c r="GW56" s="640">
        <f t="shared" si="434"/>
        <v>58071.143361644703</v>
      </c>
      <c r="GX56" s="641">
        <f t="shared" si="435"/>
        <v>445.07224443568009</v>
      </c>
      <c r="GY56" s="639">
        <f t="shared" si="436"/>
        <v>555.92594802893689</v>
      </c>
      <c r="GZ56" s="640">
        <f t="shared" si="437"/>
        <v>310.52017017383878</v>
      </c>
      <c r="HA56" s="637">
        <f t="shared" si="438"/>
        <v>795.85641714889437</v>
      </c>
      <c r="HB56" s="7">
        <f t="shared" si="193"/>
        <v>303.38141173429307</v>
      </c>
      <c r="HC56" s="638">
        <f t="shared" si="194"/>
        <v>437.88805136197584</v>
      </c>
      <c r="HD56" s="682">
        <f t="shared" si="195"/>
        <v>-664.56112675320287</v>
      </c>
      <c r="HE56" s="639">
        <f t="shared" si="439"/>
        <v>1562.1137564282426</v>
      </c>
      <c r="HF56" s="7">
        <f t="shared" si="440"/>
        <v>393.38141173429307</v>
      </c>
      <c r="HG56" s="638">
        <f t="shared" si="196"/>
        <v>1304.4062417786756</v>
      </c>
      <c r="HH56" s="644">
        <f t="shared" si="197"/>
        <v>859.49039810296085</v>
      </c>
      <c r="HI56" s="596">
        <f t="shared" si="198"/>
        <v>6.1189999999999998</v>
      </c>
      <c r="HJ56" s="511"/>
      <c r="HK56" s="584" t="str">
        <f t="shared" si="217"/>
        <v/>
      </c>
      <c r="HL56" s="583" t="str">
        <f t="shared" si="441"/>
        <v/>
      </c>
      <c r="HM56" s="643" t="str">
        <f t="shared" si="442"/>
        <v/>
      </c>
      <c r="HN56" s="660" t="str">
        <f t="shared" si="442"/>
        <v/>
      </c>
      <c r="HO56" s="661" t="str">
        <f t="shared" si="442"/>
        <v/>
      </c>
      <c r="HP56" s="656" t="str">
        <f t="shared" si="442"/>
        <v/>
      </c>
      <c r="HQ56" s="660" t="str">
        <f t="shared" si="442"/>
        <v/>
      </c>
      <c r="HR56" s="671" t="str">
        <f t="shared" si="442"/>
        <v/>
      </c>
      <c r="HS56" s="655" t="str">
        <f t="shared" si="442"/>
        <v/>
      </c>
      <c r="HT56" s="648" t="str">
        <f t="shared" si="442"/>
        <v/>
      </c>
      <c r="HU56" s="649" t="str">
        <f t="shared" si="442"/>
        <v/>
      </c>
      <c r="HV56" s="650" t="str">
        <f t="shared" si="442"/>
        <v/>
      </c>
      <c r="HW56" s="648" t="str">
        <f t="shared" si="442"/>
        <v/>
      </c>
      <c r="HX56" s="649" t="str">
        <f t="shared" si="442"/>
        <v/>
      </c>
      <c r="HY56" s="650" t="str">
        <f t="shared" si="442"/>
        <v/>
      </c>
      <c r="HZ56" s="648" t="str">
        <f t="shared" si="442"/>
        <v/>
      </c>
      <c r="IA56" s="649" t="str">
        <f t="shared" si="442"/>
        <v/>
      </c>
      <c r="IB56" s="716"/>
      <c r="ID56" s="511"/>
    </row>
    <row r="57" spans="2:238" s="35" customFormat="1" ht="15" customHeight="1" x14ac:dyDescent="0.25">
      <c r="B57" s="143">
        <v>-3.0679780040260058</v>
      </c>
      <c r="C57" s="144">
        <v>1.9549698735710321</v>
      </c>
      <c r="D57" s="145">
        <v>-1.2746038442051941</v>
      </c>
      <c r="E57" s="146">
        <v>-0.85390316842633129</v>
      </c>
      <c r="F57" s="144">
        <v>-0.50944198785948946</v>
      </c>
      <c r="G57" s="147">
        <v>0.10638721707632172</v>
      </c>
      <c r="H57" s="146">
        <v>0.314</v>
      </c>
      <c r="I57" s="144">
        <v>0.52</v>
      </c>
      <c r="J57" s="306">
        <v>6.125</v>
      </c>
      <c r="K57" s="699" t="str">
        <f t="shared" si="199"/>
        <v>1613</v>
      </c>
      <c r="M57" s="292">
        <f t="shared" si="382"/>
        <v>6.125</v>
      </c>
      <c r="N57" s="24">
        <f t="shared" si="383"/>
        <v>-3.0679780040260058</v>
      </c>
      <c r="O57" s="7">
        <f t="shared" si="384"/>
        <v>1.9549698735710321</v>
      </c>
      <c r="P57" s="12">
        <f t="shared" si="385"/>
        <v>-1.2746038442051941</v>
      </c>
      <c r="Q57" s="11">
        <f t="shared" si="85"/>
        <v>147.49399169889463</v>
      </c>
      <c r="R57" s="7">
        <f t="shared" si="386"/>
        <v>3.6379109719394909</v>
      </c>
      <c r="S57" s="8">
        <f t="shared" si="387"/>
        <v>-1.2746038442051941</v>
      </c>
      <c r="T57" s="6">
        <f t="shared" si="388"/>
        <v>1.9060522924516476</v>
      </c>
      <c r="U57" s="7">
        <f t="shared" si="389"/>
        <v>3.098606283185644</v>
      </c>
      <c r="V57" s="10">
        <f t="shared" si="390"/>
        <v>-1.2746038442051941</v>
      </c>
      <c r="W57" s="11">
        <f t="shared" si="214"/>
        <v>58.402991567651284</v>
      </c>
      <c r="X57" s="7">
        <f t="shared" si="391"/>
        <v>3.6379109719394909</v>
      </c>
      <c r="Y57" s="9">
        <f t="shared" si="213"/>
        <v>-1.2746038442051941</v>
      </c>
      <c r="Z57" s="24">
        <f t="shared" si="392"/>
        <v>0.85390316842633129</v>
      </c>
      <c r="AA57" s="7">
        <f t="shared" si="393"/>
        <v>0.50944198785948946</v>
      </c>
      <c r="AB57" s="7">
        <f t="shared" si="394"/>
        <v>-0.10638721707632172</v>
      </c>
      <c r="AC57" s="10">
        <f t="shared" si="395"/>
        <v>1</v>
      </c>
      <c r="AD57" s="11">
        <f t="shared" si="396"/>
        <v>0.85390316842633129</v>
      </c>
      <c r="AE57" s="7">
        <f t="shared" si="397"/>
        <v>0.50944198785948946</v>
      </c>
      <c r="AF57" s="12">
        <f t="shared" si="398"/>
        <v>-0.10638721707632172</v>
      </c>
      <c r="AG57" s="6">
        <f t="shared" si="399"/>
        <v>78.20439245650887</v>
      </c>
      <c r="AH57" s="12">
        <f t="shared" si="400"/>
        <v>31.361228013131242</v>
      </c>
      <c r="AI57" s="11">
        <f t="shared" si="401"/>
        <v>-83.892904044419538</v>
      </c>
      <c r="AJ57" s="8">
        <f t="shared" si="402"/>
        <v>120.82046835150275</v>
      </c>
      <c r="AK57" s="6">
        <f t="shared" si="403"/>
        <v>0.88850766476488952</v>
      </c>
      <c r="AL57" s="7">
        <f t="shared" si="404"/>
        <v>-0.44635847667183215</v>
      </c>
      <c r="AM57" s="8">
        <f t="shared" si="405"/>
        <v>-0.10638721707632172</v>
      </c>
      <c r="AN57" s="6">
        <f t="shared" si="406"/>
        <v>-76.593971848761612</v>
      </c>
      <c r="AO57" s="10">
        <f t="shared" si="376"/>
        <v>27.313684359921854</v>
      </c>
      <c r="AP57" s="11">
        <f t="shared" si="407"/>
        <v>-26.673523347391871</v>
      </c>
      <c r="AQ57" s="8">
        <f t="shared" si="200"/>
        <v>0.62668315876122449</v>
      </c>
      <c r="AS57" s="123">
        <f t="shared" si="90"/>
        <v>-301.59700843234873</v>
      </c>
      <c r="AT57" s="174">
        <f t="shared" si="408"/>
        <v>-1.0645302273294264</v>
      </c>
      <c r="AV57" s="292">
        <f t="shared" si="91"/>
        <v>6.125</v>
      </c>
      <c r="AW57" s="709">
        <v>3.8791000000000002</v>
      </c>
      <c r="AX57" s="710">
        <v>-0.73699999999999999</v>
      </c>
      <c r="AY57" s="711">
        <v>9.5999999999999992E-3</v>
      </c>
      <c r="AZ57" s="565">
        <f t="shared" si="92"/>
        <v>0.23399410792670711</v>
      </c>
      <c r="BA57" s="564">
        <f t="shared" si="93"/>
        <v>1.9337796056603556E-2</v>
      </c>
      <c r="BB57" s="372">
        <f t="shared" si="94"/>
        <v>7.7530227329426382E-2</v>
      </c>
      <c r="BC57" s="11"/>
      <c r="BD57" s="7">
        <f t="shared" si="95"/>
        <v>3.8791000000000002</v>
      </c>
      <c r="BE57" s="8">
        <f t="shared" si="96"/>
        <v>-1.1970736168757679</v>
      </c>
      <c r="BF57" s="6">
        <f t="shared" si="97"/>
        <v>-3.0679780040260058</v>
      </c>
      <c r="BG57" s="7">
        <f t="shared" si="98"/>
        <v>1.9549698735710321</v>
      </c>
      <c r="BH57" s="12">
        <f t="shared" si="99"/>
        <v>-1.2746038442051941</v>
      </c>
      <c r="BI57" s="11">
        <f t="shared" si="100"/>
        <v>-3.0679780040260058</v>
      </c>
      <c r="BJ57" s="7">
        <f t="shared" si="101"/>
        <v>2.1593908820693821</v>
      </c>
      <c r="BK57" s="10">
        <f t="shared" si="102"/>
        <v>-0.29572078107430233</v>
      </c>
      <c r="BL57" s="328">
        <f t="shared" si="103"/>
        <v>-2.5475460882565439</v>
      </c>
      <c r="BM57" s="7">
        <f t="shared" si="104"/>
        <v>1.1190985244446912</v>
      </c>
      <c r="BN57" s="8">
        <f t="shared" si="105"/>
        <v>-1.1000480973555471</v>
      </c>
      <c r="BO57" s="6">
        <f t="shared" si="106"/>
        <v>0.85390316842633118</v>
      </c>
      <c r="BP57" s="7">
        <f t="shared" si="107"/>
        <v>0.50944198785948946</v>
      </c>
      <c r="BQ57" s="7">
        <f t="shared" si="108"/>
        <v>-0.10638721707632204</v>
      </c>
      <c r="BR57" s="8">
        <f t="shared" si="109"/>
        <v>1.488210843842884</v>
      </c>
      <c r="BS57" s="6">
        <f t="shared" si="409"/>
        <v>0</v>
      </c>
      <c r="BT57" s="7">
        <f t="shared" si="409"/>
        <v>0</v>
      </c>
      <c r="BU57" s="12">
        <f t="shared" si="70"/>
        <v>-1.1970736168757679</v>
      </c>
      <c r="BV57" s="11">
        <f t="shared" si="71"/>
        <v>0</v>
      </c>
      <c r="BW57" s="7">
        <f t="shared" si="72"/>
        <v>1</v>
      </c>
      <c r="BX57" s="10">
        <f t="shared" si="73"/>
        <v>-1.1970736168757679</v>
      </c>
      <c r="BY57" s="328">
        <f t="shared" si="74"/>
        <v>1</v>
      </c>
      <c r="BZ57" s="7">
        <f t="shared" si="75"/>
        <v>0</v>
      </c>
      <c r="CA57" s="8">
        <f t="shared" si="76"/>
        <v>-1.1970736168757679</v>
      </c>
      <c r="CB57" s="6">
        <f t="shared" si="110"/>
        <v>0</v>
      </c>
      <c r="CC57" s="7">
        <f t="shared" si="111"/>
        <v>0</v>
      </c>
      <c r="CD57" s="7">
        <f t="shared" si="112"/>
        <v>-1</v>
      </c>
      <c r="CE57" s="8">
        <f t="shared" si="113"/>
        <v>-1.1970736168757679</v>
      </c>
      <c r="CF57" s="6">
        <f t="shared" si="114"/>
        <v>-0.50944198785948946</v>
      </c>
      <c r="CG57" s="7">
        <f t="shared" si="115"/>
        <v>0.85390316842633118</v>
      </c>
      <c r="CH57" s="7">
        <f t="shared" si="116"/>
        <v>0</v>
      </c>
      <c r="CI57" s="6">
        <f t="shared" si="77"/>
        <v>0</v>
      </c>
      <c r="CJ57" s="7">
        <f t="shared" si="78"/>
        <v>-3.1712426793988118</v>
      </c>
      <c r="CK57" s="10">
        <f t="shared" si="79"/>
        <v>-1.1970736168757679</v>
      </c>
      <c r="CL57" s="328">
        <f t="shared" si="80"/>
        <v>-0.50944198785948946</v>
      </c>
      <c r="CM57" s="7">
        <f t="shared" si="81"/>
        <v>-2.3173395109724808</v>
      </c>
      <c r="CN57" s="8">
        <f t="shared" si="82"/>
        <v>-1.1970736168757679</v>
      </c>
      <c r="CO57" s="296">
        <f t="shared" si="201"/>
        <v>0.3125</v>
      </c>
      <c r="CP57" s="6">
        <f t="shared" si="202"/>
        <v>0.9886817600427551</v>
      </c>
      <c r="CQ57" s="7">
        <f t="shared" si="203"/>
        <v>-11.880491908175955</v>
      </c>
      <c r="CR57" s="7">
        <f t="shared" si="117"/>
        <v>35.598898857562745</v>
      </c>
      <c r="CS57" s="10">
        <f t="shared" si="118"/>
        <v>0.36216006791769928</v>
      </c>
      <c r="CT57" s="11">
        <f t="shared" si="119"/>
        <v>6.3125920681165208</v>
      </c>
      <c r="CU57" s="8">
        <f t="shared" si="120"/>
        <v>5.7039054423282849</v>
      </c>
      <c r="CV57" s="6">
        <f t="shared" si="204"/>
        <v>-3.2158994517273261</v>
      </c>
      <c r="CW57" s="7">
        <f t="shared" si="121"/>
        <v>2.2190996885488103</v>
      </c>
      <c r="CX57" s="10">
        <f t="shared" si="122"/>
        <v>-1.1970736168757679</v>
      </c>
      <c r="CY57" s="11">
        <f t="shared" si="123"/>
        <v>-2.905808927102282</v>
      </c>
      <c r="CZ57" s="7">
        <f t="shared" si="124"/>
        <v>1.6993402502095036</v>
      </c>
      <c r="DA57" s="8">
        <f t="shared" si="125"/>
        <v>-1.1970736168757679</v>
      </c>
      <c r="DB57" s="6">
        <f t="shared" si="410"/>
        <v>0</v>
      </c>
      <c r="DC57" s="7">
        <f t="shared" si="410"/>
        <v>0</v>
      </c>
      <c r="DD57" s="12">
        <f t="shared" si="127"/>
        <v>-10</v>
      </c>
      <c r="DE57" s="11">
        <f t="shared" si="411"/>
        <v>0</v>
      </c>
      <c r="DF57" s="7">
        <f t="shared" si="411"/>
        <v>0</v>
      </c>
      <c r="DG57" s="12">
        <f t="shared" si="129"/>
        <v>10</v>
      </c>
      <c r="DH57" s="174">
        <f t="shared" si="130"/>
        <v>3.8791000000000002</v>
      </c>
      <c r="DI57" s="6">
        <f t="shared" si="131"/>
        <v>0</v>
      </c>
      <c r="DJ57" s="7">
        <f t="shared" si="132"/>
        <v>0</v>
      </c>
      <c r="DK57" s="12">
        <f t="shared" si="133"/>
        <v>20</v>
      </c>
      <c r="DL57" s="11">
        <f t="shared" si="134"/>
        <v>-3.2158994517273261</v>
      </c>
      <c r="DM57" s="328">
        <f t="shared" si="135"/>
        <v>2.2190996885488103</v>
      </c>
      <c r="DN57" s="376">
        <f t="shared" si="136"/>
        <v>8.8029263831242321</v>
      </c>
      <c r="DO57" s="11">
        <f t="shared" si="137"/>
        <v>0.31009052462504405</v>
      </c>
      <c r="DP57" s="328">
        <f t="shared" si="138"/>
        <v>-0.51975943833930671</v>
      </c>
      <c r="DQ57" s="13">
        <f t="shared" si="139"/>
        <v>0</v>
      </c>
      <c r="DR57" s="328">
        <f t="shared" si="140"/>
        <v>176.05852766248464</v>
      </c>
      <c r="DS57" s="7">
        <f t="shared" si="141"/>
        <v>0</v>
      </c>
      <c r="DT57" s="7">
        <f t="shared" si="142"/>
        <v>400</v>
      </c>
      <c r="DU57" s="7">
        <f t="shared" si="143"/>
        <v>0.36630600720502665</v>
      </c>
      <c r="DV57" s="7">
        <f t="shared" si="144"/>
        <v>-2.1506179558665783</v>
      </c>
      <c r="DW57" s="7">
        <f t="shared" si="145"/>
        <v>92.757925618042208</v>
      </c>
      <c r="DX57" s="296">
        <f t="shared" si="146"/>
        <v>77.710508808042206</v>
      </c>
      <c r="DY57" s="11">
        <f t="shared" si="147"/>
        <v>146.52240288201065</v>
      </c>
      <c r="DZ57" s="7">
        <f t="shared" si="148"/>
        <v>-860.24718234663135</v>
      </c>
      <c r="EA57" s="12">
        <f t="shared" si="149"/>
        <v>87.598360535015672</v>
      </c>
      <c r="EB57" s="8">
        <f t="shared" si="150"/>
        <v>727190.09246120322</v>
      </c>
      <c r="EC57" s="328">
        <f t="shared" si="151"/>
        <v>11.691055864128861</v>
      </c>
      <c r="ED57" s="7">
        <f t="shared" si="152"/>
        <v>5.11373490053533E-2</v>
      </c>
      <c r="EE57" s="6">
        <f t="shared" si="153"/>
        <v>0.40938619460109038</v>
      </c>
      <c r="EF57" s="7">
        <f t="shared" si="154"/>
        <v>-3.857436940984265</v>
      </c>
      <c r="EG57" s="12">
        <f t="shared" si="155"/>
        <v>-1.1970736168757679</v>
      </c>
      <c r="EH57" s="11">
        <f t="shared" si="156"/>
        <v>-3.2000422443463221</v>
      </c>
      <c r="EI57" s="7">
        <f t="shared" si="157"/>
        <v>2.1925205687516267</v>
      </c>
      <c r="EJ57" s="8">
        <f t="shared" si="158"/>
        <v>-1.1970736168757679</v>
      </c>
      <c r="EK57" s="491" t="b">
        <f t="shared" si="159"/>
        <v>0</v>
      </c>
      <c r="EL57" s="493" t="b">
        <f t="shared" si="160"/>
        <v>1</v>
      </c>
      <c r="EM57" s="6">
        <f t="shared" si="161"/>
        <v>-3.2000422443463221</v>
      </c>
      <c r="EN57" s="7">
        <f t="shared" si="162"/>
        <v>2.1925205687516267</v>
      </c>
      <c r="EO57" s="12">
        <f t="shared" si="163"/>
        <v>-1.1970736168757679</v>
      </c>
      <c r="EP57" s="11">
        <f t="shared" si="164"/>
        <v>145.58286578471746</v>
      </c>
      <c r="EQ57" s="7">
        <f t="shared" si="165"/>
        <v>3.8791000000000002</v>
      </c>
      <c r="ER57" s="9">
        <f t="shared" si="166"/>
        <v>-1.1970736168757679</v>
      </c>
      <c r="ES57" s="24">
        <f t="shared" si="167"/>
        <v>0.85390316842633129</v>
      </c>
      <c r="ET57" s="7">
        <f t="shared" si="168"/>
        <v>0.50944198785948946</v>
      </c>
      <c r="EU57" s="12">
        <f t="shared" si="169"/>
        <v>-0.10638721707632172</v>
      </c>
      <c r="EV57" s="337">
        <f t="shared" si="412"/>
        <v>304.41713421528254</v>
      </c>
      <c r="EW57" s="11">
        <f t="shared" si="413"/>
        <v>0.90289916287052363</v>
      </c>
      <c r="EX57" s="7">
        <f t="shared" si="414"/>
        <v>-0.41647912520372898</v>
      </c>
      <c r="EY57" s="8">
        <f t="shared" si="170"/>
        <v>-0.10638721707632172</v>
      </c>
      <c r="EZ57" s="123">
        <f t="shared" si="171"/>
        <v>0.58767412202449298</v>
      </c>
      <c r="FA57" s="328">
        <f t="shared" si="415"/>
        <v>0.56518399627741411</v>
      </c>
      <c r="FB57" s="7">
        <f t="shared" si="416"/>
        <v>0.82490111595440263</v>
      </c>
      <c r="FC57" s="8">
        <f t="shared" si="417"/>
        <v>-1.0256668517276258E-2</v>
      </c>
      <c r="FD57" s="6">
        <f t="shared" si="418"/>
        <v>0.99994739899203045</v>
      </c>
      <c r="FE57" s="7">
        <f t="shared" si="419"/>
        <v>-2.2204460492503131E-16</v>
      </c>
      <c r="FF57" s="9">
        <f t="shared" si="172"/>
        <v>-1.0256668517276258E-2</v>
      </c>
      <c r="FG57" s="328">
        <f t="shared" si="420"/>
        <v>-9.7048236121506815E-2</v>
      </c>
      <c r="FH57" s="7">
        <f t="shared" si="421"/>
        <v>-0.41647912520372876</v>
      </c>
      <c r="FI57" s="12">
        <f t="shared" si="422"/>
        <v>-9.6130548559045459E-2</v>
      </c>
      <c r="FJ57" s="547">
        <f t="shared" si="173"/>
        <v>25.318723316448033</v>
      </c>
      <c r="FK57" s="6">
        <f t="shared" si="423"/>
        <v>0.99432477593729685</v>
      </c>
      <c r="FL57" s="7">
        <f t="shared" si="174"/>
        <v>0.99994739899203033</v>
      </c>
      <c r="FM57" s="10">
        <f t="shared" si="175"/>
        <v>0.42763678731460758</v>
      </c>
      <c r="FN57" s="11">
        <f t="shared" si="176"/>
        <v>24.762397433214687</v>
      </c>
      <c r="FO57" s="12">
        <f t="shared" si="424"/>
        <v>1</v>
      </c>
      <c r="FP57" s="545">
        <f t="shared" si="425"/>
        <v>24.762397433214687</v>
      </c>
      <c r="FQ57" s="328">
        <f t="shared" si="205"/>
        <v>0.41885622814853035</v>
      </c>
      <c r="FR57" s="12">
        <f t="shared" si="177"/>
        <v>0.90805256463554263</v>
      </c>
      <c r="FS57" s="11">
        <f t="shared" si="178"/>
        <v>0.31566316421017987</v>
      </c>
      <c r="FT57" s="8">
        <f t="shared" si="179"/>
        <v>0.68433683578982007</v>
      </c>
      <c r="FU57" s="6">
        <f t="shared" si="180"/>
        <v>0.9091452789678538</v>
      </c>
      <c r="FV57" s="7">
        <f t="shared" si="181"/>
        <v>1</v>
      </c>
      <c r="FW57" s="10">
        <f t="shared" si="206"/>
        <v>0.13659956991352037</v>
      </c>
      <c r="FX57" s="11">
        <f t="shared" si="207"/>
        <v>6.1324140492361989</v>
      </c>
      <c r="FY57" s="12">
        <f t="shared" si="426"/>
        <v>1</v>
      </c>
      <c r="FZ57" s="545">
        <f t="shared" si="208"/>
        <v>6.1324140492361989</v>
      </c>
      <c r="GA57" s="372">
        <f t="shared" si="182"/>
        <v>5.575021328144687</v>
      </c>
      <c r="GB57" s="46">
        <f t="shared" si="183"/>
        <v>-0.4164593937688208</v>
      </c>
      <c r="GC57" s="47">
        <f t="shared" si="184"/>
        <v>0.90285638642632116</v>
      </c>
      <c r="GD57" s="578">
        <f t="shared" si="185"/>
        <v>-0.1068265829787306</v>
      </c>
      <c r="GE57" s="585">
        <f t="shared" si="186"/>
        <v>1.4261423631738723</v>
      </c>
      <c r="GF57" s="634">
        <f t="shared" si="209"/>
        <v>0.70119226931489875</v>
      </c>
      <c r="GG57" s="553">
        <f t="shared" si="427"/>
        <v>0.29201810739426642</v>
      </c>
      <c r="GH57" s="554">
        <f t="shared" si="428"/>
        <v>0.63307591846372124</v>
      </c>
      <c r="GI57" s="549">
        <f t="shared" si="429"/>
        <v>7.4905974142012444E-2</v>
      </c>
      <c r="GJ57" s="296">
        <f t="shared" si="187"/>
        <v>3.8791000000000002</v>
      </c>
      <c r="GK57" s="337">
        <f t="shared" si="430"/>
        <v>2.0311988535304439</v>
      </c>
      <c r="GL57" s="337">
        <f t="shared" si="188"/>
        <v>9.5999999999999992E-3</v>
      </c>
      <c r="GM57" s="372">
        <f t="shared" si="210"/>
        <v>0.23399410792670711</v>
      </c>
      <c r="GN57" s="548">
        <f t="shared" si="189"/>
        <v>1.9337796056603556E-2</v>
      </c>
      <c r="GO57" s="6">
        <f t="shared" si="190"/>
        <v>24.762397433214687</v>
      </c>
      <c r="GP57" s="10">
        <f t="shared" si="211"/>
        <v>6.1324140492361989</v>
      </c>
      <c r="GQ57" s="372">
        <f t="shared" si="191"/>
        <v>25.318723316448033</v>
      </c>
      <c r="GR57" s="697">
        <f t="shared" si="212"/>
        <v>1788.6619112189278</v>
      </c>
      <c r="GS57" s="637">
        <f t="shared" si="431"/>
        <v>522.32166608236264</v>
      </c>
      <c r="GT57" s="638">
        <f t="shared" si="432"/>
        <v>257.14944904311608</v>
      </c>
      <c r="GU57" s="639">
        <f t="shared" si="433"/>
        <v>1132.3587822659977</v>
      </c>
      <c r="GV57" s="638">
        <f t="shared" si="192"/>
        <v>557.48297627178908</v>
      </c>
      <c r="GW57" s="640">
        <f t="shared" si="434"/>
        <v>58071.143361644703</v>
      </c>
      <c r="GX57" s="641">
        <f t="shared" si="435"/>
        <v>180.21101777132478</v>
      </c>
      <c r="GY57" s="639">
        <f t="shared" si="436"/>
        <v>133.98146287056755</v>
      </c>
      <c r="GZ57" s="640">
        <f t="shared" si="437"/>
        <v>65.961765701912071</v>
      </c>
      <c r="HA57" s="637">
        <f t="shared" si="438"/>
        <v>522.32166608236264</v>
      </c>
      <c r="HB57" s="7">
        <f t="shared" si="193"/>
        <v>304.41713421528254</v>
      </c>
      <c r="HC57" s="638">
        <f t="shared" si="194"/>
        <v>295.22337562584079</v>
      </c>
      <c r="HD57" s="682">
        <f t="shared" si="195"/>
        <v>-430.88639029695383</v>
      </c>
      <c r="HE57" s="639">
        <f t="shared" si="439"/>
        <v>557.48297627178908</v>
      </c>
      <c r="HF57" s="7">
        <f t="shared" si="440"/>
        <v>394.41713421528254</v>
      </c>
      <c r="HG57" s="638">
        <f t="shared" si="196"/>
        <v>459.89252006229367</v>
      </c>
      <c r="HH57" s="644">
        <f t="shared" si="197"/>
        <v>315.09703080734511</v>
      </c>
      <c r="HI57" s="596">
        <f t="shared" si="198"/>
        <v>6.125</v>
      </c>
      <c r="HJ57" s="511"/>
      <c r="HK57" s="584" t="str">
        <f t="shared" si="217"/>
        <v/>
      </c>
      <c r="HL57" s="583" t="str">
        <f t="shared" si="441"/>
        <v/>
      </c>
      <c r="HM57" s="643" t="str">
        <f t="shared" si="442"/>
        <v/>
      </c>
      <c r="HN57" s="660" t="str">
        <f t="shared" si="442"/>
        <v/>
      </c>
      <c r="HO57" s="661" t="str">
        <f t="shared" si="442"/>
        <v/>
      </c>
      <c r="HP57" s="656" t="str">
        <f t="shared" si="442"/>
        <v/>
      </c>
      <c r="HQ57" s="660" t="str">
        <f t="shared" si="442"/>
        <v/>
      </c>
      <c r="HR57" s="671" t="str">
        <f t="shared" si="442"/>
        <v/>
      </c>
      <c r="HS57" s="655" t="str">
        <f t="shared" si="442"/>
        <v/>
      </c>
      <c r="HT57" s="648" t="str">
        <f t="shared" si="442"/>
        <v/>
      </c>
      <c r="HU57" s="649" t="str">
        <f t="shared" si="442"/>
        <v/>
      </c>
      <c r="HV57" s="650" t="str">
        <f t="shared" si="442"/>
        <v/>
      </c>
      <c r="HW57" s="648" t="str">
        <f t="shared" si="442"/>
        <v/>
      </c>
      <c r="HX57" s="649" t="str">
        <f t="shared" si="442"/>
        <v/>
      </c>
      <c r="HY57" s="650" t="str">
        <f t="shared" si="442"/>
        <v/>
      </c>
      <c r="HZ57" s="648" t="str">
        <f t="shared" si="442"/>
        <v/>
      </c>
      <c r="IA57" s="649" t="str">
        <f t="shared" si="442"/>
        <v/>
      </c>
      <c r="IB57" s="716"/>
      <c r="ID57" s="511"/>
    </row>
    <row r="58" spans="2:238" s="35" customFormat="1" ht="15" customHeight="1" x14ac:dyDescent="0.25">
      <c r="B58" s="143">
        <v>-3.1072596662528928</v>
      </c>
      <c r="C58" s="144">
        <v>1.9845027012382692</v>
      </c>
      <c r="D58" s="145">
        <v>-2.0541061951842856</v>
      </c>
      <c r="E58" s="146">
        <v>-0.88753413130899372</v>
      </c>
      <c r="F58" s="144">
        <v>-0.46074197308426018</v>
      </c>
      <c r="G58" s="147">
        <v>1.1339743381742591E-7</v>
      </c>
      <c r="H58" s="146">
        <v>0.314</v>
      </c>
      <c r="I58" s="144">
        <v>0.52</v>
      </c>
      <c r="J58" s="306">
        <v>6.1310000000000002</v>
      </c>
      <c r="K58" s="699" t="str">
        <f t="shared" si="199"/>
        <v>1613</v>
      </c>
      <c r="M58" s="292">
        <f t="shared" si="382"/>
        <v>6.1310000000000002</v>
      </c>
      <c r="N58" s="24">
        <f t="shared" si="383"/>
        <v>-3.1072596662528928</v>
      </c>
      <c r="O58" s="7">
        <f t="shared" si="384"/>
        <v>1.9845027012382692</v>
      </c>
      <c r="P58" s="12">
        <f t="shared" si="385"/>
        <v>-2.0541061951842856</v>
      </c>
      <c r="Q58" s="11">
        <f t="shared" si="85"/>
        <v>147.43499170741319</v>
      </c>
      <c r="R58" s="7">
        <f t="shared" si="386"/>
        <v>3.6869111197239386</v>
      </c>
      <c r="S58" s="8">
        <f t="shared" si="387"/>
        <v>-2.0541061951842856</v>
      </c>
      <c r="T58" s="6">
        <f t="shared" si="388"/>
        <v>1.9349582244742805</v>
      </c>
      <c r="U58" s="7">
        <f t="shared" si="389"/>
        <v>3.1383515217839073</v>
      </c>
      <c r="V58" s="10">
        <f t="shared" si="390"/>
        <v>-2.0541061951842856</v>
      </c>
      <c r="W58" s="11">
        <f t="shared" si="214"/>
        <v>58.343991576169842</v>
      </c>
      <c r="X58" s="7">
        <f t="shared" si="391"/>
        <v>3.6869111197239386</v>
      </c>
      <c r="Y58" s="9">
        <f t="shared" si="213"/>
        <v>-2.0541061951842856</v>
      </c>
      <c r="Z58" s="24">
        <f t="shared" si="392"/>
        <v>0.88753413130899372</v>
      </c>
      <c r="AA58" s="7">
        <f t="shared" si="393"/>
        <v>0.46074197308426018</v>
      </c>
      <c r="AB58" s="7">
        <f t="shared" si="394"/>
        <v>-1.1339743381742591E-7</v>
      </c>
      <c r="AC58" s="10">
        <f t="shared" si="395"/>
        <v>1</v>
      </c>
      <c r="AD58" s="11">
        <f t="shared" si="396"/>
        <v>0.88753413130899372</v>
      </c>
      <c r="AE58" s="7">
        <f t="shared" si="397"/>
        <v>0.46074197308426018</v>
      </c>
      <c r="AF58" s="12">
        <f t="shared" si="398"/>
        <v>-1.1339743381742591E-7</v>
      </c>
      <c r="AG58" s="6">
        <f t="shared" si="399"/>
        <v>89.999985898410074</v>
      </c>
      <c r="AH58" s="12">
        <f t="shared" si="400"/>
        <v>27.434996038878001</v>
      </c>
      <c r="AI58" s="11">
        <f t="shared" si="401"/>
        <v>-89.999993502805637</v>
      </c>
      <c r="AJ58" s="8">
        <f t="shared" si="402"/>
        <v>117.4349960388773</v>
      </c>
      <c r="AK58" s="6">
        <f t="shared" si="403"/>
        <v>0.86602544158358574</v>
      </c>
      <c r="AL58" s="7">
        <f t="shared" si="404"/>
        <v>-0.49999993452993835</v>
      </c>
      <c r="AM58" s="8">
        <f t="shared" si="405"/>
        <v>-1.1339743381742591E-7</v>
      </c>
      <c r="AN58" s="6">
        <f t="shared" si="406"/>
        <v>-89.999987005609569</v>
      </c>
      <c r="AO58" s="10">
        <f t="shared" si="376"/>
        <v>29.99999566853651</v>
      </c>
      <c r="AP58" s="11">
        <f t="shared" si="407"/>
        <v>-29.999995668535892</v>
      </c>
      <c r="AQ58" s="8">
        <f t="shared" si="200"/>
        <v>0.61835370171187443</v>
      </c>
      <c r="AS58" s="123">
        <f t="shared" si="90"/>
        <v>-301.65600842383014</v>
      </c>
      <c r="AT58" s="174">
        <f t="shared" si="408"/>
        <v>-1.8439916060922115</v>
      </c>
      <c r="AV58" s="292" t="str">
        <f t="shared" si="91"/>
        <v/>
      </c>
      <c r="AW58" s="709"/>
      <c r="AX58" s="710"/>
      <c r="AY58" s="711"/>
      <c r="AZ58" s="565" t="str">
        <f t="shared" si="92"/>
        <v/>
      </c>
      <c r="BA58" s="564" t="str">
        <f t="shared" si="93"/>
        <v/>
      </c>
      <c r="BB58" s="372" t="str">
        <f t="shared" si="94"/>
        <v/>
      </c>
      <c r="BC58" s="11"/>
      <c r="BD58" s="7" t="str">
        <f t="shared" si="95"/>
        <v/>
      </c>
      <c r="BE58" s="8" t="str">
        <f t="shared" si="96"/>
        <v/>
      </c>
      <c r="BF58" s="6" t="str">
        <f t="shared" si="97"/>
        <v/>
      </c>
      <c r="BG58" s="7" t="str">
        <f t="shared" si="98"/>
        <v/>
      </c>
      <c r="BH58" s="12" t="str">
        <f t="shared" si="99"/>
        <v/>
      </c>
      <c r="BI58" s="11" t="str">
        <f t="shared" si="100"/>
        <v/>
      </c>
      <c r="BJ58" s="7" t="str">
        <f t="shared" si="101"/>
        <v/>
      </c>
      <c r="BK58" s="10" t="str">
        <f t="shared" si="102"/>
        <v/>
      </c>
      <c r="BL58" s="328" t="str">
        <f t="shared" si="103"/>
        <v/>
      </c>
      <c r="BM58" s="7" t="str">
        <f t="shared" si="104"/>
        <v/>
      </c>
      <c r="BN58" s="8" t="str">
        <f t="shared" si="105"/>
        <v/>
      </c>
      <c r="BO58" s="6" t="str">
        <f t="shared" si="106"/>
        <v/>
      </c>
      <c r="BP58" s="7" t="str">
        <f t="shared" si="107"/>
        <v/>
      </c>
      <c r="BQ58" s="7" t="str">
        <f t="shared" si="108"/>
        <v/>
      </c>
      <c r="BR58" s="8" t="str">
        <f t="shared" si="109"/>
        <v/>
      </c>
      <c r="BS58" s="6" t="str">
        <f t="shared" si="409"/>
        <v/>
      </c>
      <c r="BT58" s="7" t="str">
        <f t="shared" si="409"/>
        <v/>
      </c>
      <c r="BU58" s="12" t="str">
        <f t="shared" si="70"/>
        <v/>
      </c>
      <c r="BV58" s="11" t="str">
        <f t="shared" si="71"/>
        <v/>
      </c>
      <c r="BW58" s="7" t="str">
        <f t="shared" si="72"/>
        <v/>
      </c>
      <c r="BX58" s="10" t="str">
        <f t="shared" si="73"/>
        <v/>
      </c>
      <c r="BY58" s="328" t="str">
        <f t="shared" si="74"/>
        <v/>
      </c>
      <c r="BZ58" s="7" t="str">
        <f t="shared" si="75"/>
        <v/>
      </c>
      <c r="CA58" s="8" t="str">
        <f t="shared" si="76"/>
        <v/>
      </c>
      <c r="CB58" s="6" t="str">
        <f t="shared" si="110"/>
        <v/>
      </c>
      <c r="CC58" s="7" t="str">
        <f t="shared" si="111"/>
        <v/>
      </c>
      <c r="CD58" s="7" t="str">
        <f t="shared" si="112"/>
        <v/>
      </c>
      <c r="CE58" s="8" t="str">
        <f t="shared" si="113"/>
        <v/>
      </c>
      <c r="CF58" s="6" t="str">
        <f t="shared" si="114"/>
        <v/>
      </c>
      <c r="CG58" s="7" t="str">
        <f t="shared" si="115"/>
        <v/>
      </c>
      <c r="CH58" s="7" t="str">
        <f t="shared" si="116"/>
        <v/>
      </c>
      <c r="CI58" s="6" t="str">
        <f t="shared" si="77"/>
        <v/>
      </c>
      <c r="CJ58" s="7" t="str">
        <f t="shared" si="78"/>
        <v/>
      </c>
      <c r="CK58" s="10" t="str">
        <f t="shared" si="79"/>
        <v/>
      </c>
      <c r="CL58" s="328" t="str">
        <f t="shared" si="80"/>
        <v/>
      </c>
      <c r="CM58" s="7" t="str">
        <f t="shared" si="81"/>
        <v/>
      </c>
      <c r="CN58" s="8" t="str">
        <f t="shared" si="82"/>
        <v/>
      </c>
      <c r="CO58" s="296" t="str">
        <f t="shared" si="201"/>
        <v/>
      </c>
      <c r="CP58" s="6" t="str">
        <f t="shared" si="202"/>
        <v/>
      </c>
      <c r="CQ58" s="7" t="str">
        <f t="shared" si="203"/>
        <v/>
      </c>
      <c r="CR58" s="7" t="str">
        <f t="shared" si="117"/>
        <v/>
      </c>
      <c r="CS58" s="10" t="str">
        <f t="shared" si="118"/>
        <v/>
      </c>
      <c r="CT58" s="11" t="str">
        <f t="shared" si="119"/>
        <v/>
      </c>
      <c r="CU58" s="8" t="str">
        <f t="shared" si="120"/>
        <v/>
      </c>
      <c r="CV58" s="6" t="str">
        <f t="shared" si="204"/>
        <v/>
      </c>
      <c r="CW58" s="7" t="str">
        <f t="shared" si="121"/>
        <v/>
      </c>
      <c r="CX58" s="10" t="str">
        <f t="shared" si="122"/>
        <v/>
      </c>
      <c r="CY58" s="11" t="str">
        <f t="shared" si="123"/>
        <v/>
      </c>
      <c r="CZ58" s="7" t="str">
        <f t="shared" si="124"/>
        <v/>
      </c>
      <c r="DA58" s="8" t="str">
        <f t="shared" si="125"/>
        <v/>
      </c>
      <c r="DB58" s="6" t="str">
        <f t="shared" si="410"/>
        <v/>
      </c>
      <c r="DC58" s="7" t="str">
        <f t="shared" si="410"/>
        <v/>
      </c>
      <c r="DD58" s="12" t="str">
        <f t="shared" si="127"/>
        <v/>
      </c>
      <c r="DE58" s="11" t="str">
        <f t="shared" si="411"/>
        <v/>
      </c>
      <c r="DF58" s="7" t="str">
        <f t="shared" si="411"/>
        <v/>
      </c>
      <c r="DG58" s="12" t="str">
        <f t="shared" si="129"/>
        <v/>
      </c>
      <c r="DH58" s="174" t="str">
        <f t="shared" si="130"/>
        <v/>
      </c>
      <c r="DI58" s="6" t="str">
        <f t="shared" si="131"/>
        <v/>
      </c>
      <c r="DJ58" s="7" t="str">
        <f t="shared" si="132"/>
        <v/>
      </c>
      <c r="DK58" s="12" t="str">
        <f t="shared" si="133"/>
        <v/>
      </c>
      <c r="DL58" s="11" t="str">
        <f t="shared" si="134"/>
        <v/>
      </c>
      <c r="DM58" s="328" t="str">
        <f t="shared" si="135"/>
        <v/>
      </c>
      <c r="DN58" s="376" t="str">
        <f t="shared" si="136"/>
        <v/>
      </c>
      <c r="DO58" s="11" t="str">
        <f t="shared" si="137"/>
        <v/>
      </c>
      <c r="DP58" s="328" t="str">
        <f t="shared" si="138"/>
        <v/>
      </c>
      <c r="DQ58" s="13" t="str">
        <f t="shared" si="139"/>
        <v/>
      </c>
      <c r="DR58" s="328" t="str">
        <f t="shared" si="140"/>
        <v/>
      </c>
      <c r="DS58" s="7" t="str">
        <f t="shared" si="141"/>
        <v/>
      </c>
      <c r="DT58" s="7" t="str">
        <f t="shared" si="142"/>
        <v/>
      </c>
      <c r="DU58" s="7" t="str">
        <f t="shared" si="143"/>
        <v/>
      </c>
      <c r="DV58" s="7" t="str">
        <f t="shared" si="144"/>
        <v/>
      </c>
      <c r="DW58" s="7" t="str">
        <f t="shared" si="145"/>
        <v/>
      </c>
      <c r="DX58" s="296" t="str">
        <f t="shared" si="146"/>
        <v/>
      </c>
      <c r="DY58" s="11" t="str">
        <f t="shared" si="147"/>
        <v/>
      </c>
      <c r="DZ58" s="7" t="str">
        <f t="shared" si="148"/>
        <v/>
      </c>
      <c r="EA58" s="12" t="str">
        <f t="shared" si="149"/>
        <v/>
      </c>
      <c r="EB58" s="8" t="str">
        <f t="shared" si="150"/>
        <v/>
      </c>
      <c r="EC58" s="328" t="str">
        <f t="shared" si="151"/>
        <v/>
      </c>
      <c r="ED58" s="7" t="str">
        <f t="shared" si="152"/>
        <v/>
      </c>
      <c r="EE58" s="6" t="str">
        <f t="shared" si="153"/>
        <v/>
      </c>
      <c r="EF58" s="7" t="str">
        <f t="shared" si="154"/>
        <v/>
      </c>
      <c r="EG58" s="12" t="str">
        <f t="shared" si="155"/>
        <v/>
      </c>
      <c r="EH58" s="11" t="str">
        <f t="shared" si="156"/>
        <v/>
      </c>
      <c r="EI58" s="7" t="str">
        <f t="shared" si="157"/>
        <v/>
      </c>
      <c r="EJ58" s="8" t="str">
        <f t="shared" si="158"/>
        <v/>
      </c>
      <c r="EK58" s="491" t="str">
        <f t="shared" si="159"/>
        <v/>
      </c>
      <c r="EL58" s="493" t="str">
        <f t="shared" si="160"/>
        <v/>
      </c>
      <c r="EM58" s="6" t="str">
        <f t="shared" si="161"/>
        <v/>
      </c>
      <c r="EN58" s="7" t="str">
        <f t="shared" si="162"/>
        <v/>
      </c>
      <c r="EO58" s="12" t="str">
        <f t="shared" si="163"/>
        <v/>
      </c>
      <c r="EP58" s="11" t="str">
        <f t="shared" si="164"/>
        <v/>
      </c>
      <c r="EQ58" s="7" t="str">
        <f t="shared" si="165"/>
        <v/>
      </c>
      <c r="ER58" s="9" t="str">
        <f t="shared" si="166"/>
        <v/>
      </c>
      <c r="ES58" s="24" t="str">
        <f t="shared" si="167"/>
        <v/>
      </c>
      <c r="ET58" s="7" t="str">
        <f t="shared" si="168"/>
        <v/>
      </c>
      <c r="EU58" s="12" t="str">
        <f t="shared" si="169"/>
        <v/>
      </c>
      <c r="EV58" s="337" t="str">
        <f t="shared" si="412"/>
        <v/>
      </c>
      <c r="EW58" s="11" t="str">
        <f t="shared" si="413"/>
        <v/>
      </c>
      <c r="EX58" s="7" t="str">
        <f t="shared" si="414"/>
        <v/>
      </c>
      <c r="EY58" s="8" t="str">
        <f t="shared" si="170"/>
        <v/>
      </c>
      <c r="EZ58" s="123" t="str">
        <f t="shared" si="171"/>
        <v/>
      </c>
      <c r="FA58" s="328" t="str">
        <f t="shared" si="415"/>
        <v/>
      </c>
      <c r="FB58" s="7" t="str">
        <f t="shared" si="416"/>
        <v/>
      </c>
      <c r="FC58" s="8" t="str">
        <f t="shared" si="417"/>
        <v/>
      </c>
      <c r="FD58" s="6" t="str">
        <f t="shared" si="418"/>
        <v/>
      </c>
      <c r="FE58" s="7" t="str">
        <f t="shared" si="419"/>
        <v/>
      </c>
      <c r="FF58" s="9" t="str">
        <f t="shared" si="172"/>
        <v/>
      </c>
      <c r="FG58" s="328" t="str">
        <f t="shared" si="420"/>
        <v/>
      </c>
      <c r="FH58" s="7" t="str">
        <f t="shared" si="421"/>
        <v/>
      </c>
      <c r="FI58" s="12" t="str">
        <f t="shared" si="422"/>
        <v/>
      </c>
      <c r="FJ58" s="547" t="str">
        <f t="shared" si="173"/>
        <v/>
      </c>
      <c r="FK58" s="6" t="str">
        <f t="shared" si="423"/>
        <v/>
      </c>
      <c r="FL58" s="7" t="str">
        <f t="shared" si="174"/>
        <v/>
      </c>
      <c r="FM58" s="10" t="str">
        <f t="shared" si="175"/>
        <v/>
      </c>
      <c r="FN58" s="11" t="str">
        <f t="shared" si="176"/>
        <v/>
      </c>
      <c r="FO58" s="12" t="str">
        <f t="shared" si="424"/>
        <v/>
      </c>
      <c r="FP58" s="545" t="str">
        <f t="shared" si="425"/>
        <v/>
      </c>
      <c r="FQ58" s="328" t="str">
        <f t="shared" si="205"/>
        <v/>
      </c>
      <c r="FR58" s="12" t="str">
        <f t="shared" si="177"/>
        <v/>
      </c>
      <c r="FS58" s="11" t="str">
        <f t="shared" si="178"/>
        <v/>
      </c>
      <c r="FT58" s="8" t="str">
        <f t="shared" si="179"/>
        <v/>
      </c>
      <c r="FU58" s="6" t="str">
        <f t="shared" si="180"/>
        <v/>
      </c>
      <c r="FV58" s="7" t="str">
        <f t="shared" si="181"/>
        <v/>
      </c>
      <c r="FW58" s="10" t="str">
        <f t="shared" si="206"/>
        <v/>
      </c>
      <c r="FX58" s="11" t="str">
        <f t="shared" si="207"/>
        <v/>
      </c>
      <c r="FY58" s="12" t="str">
        <f t="shared" si="426"/>
        <v/>
      </c>
      <c r="FZ58" s="545" t="str">
        <f t="shared" si="208"/>
        <v/>
      </c>
      <c r="GA58" s="372" t="str">
        <f t="shared" si="182"/>
        <v/>
      </c>
      <c r="GB58" s="46" t="str">
        <f t="shared" si="183"/>
        <v/>
      </c>
      <c r="GC58" s="47" t="str">
        <f t="shared" si="184"/>
        <v/>
      </c>
      <c r="GD58" s="578" t="str">
        <f t="shared" si="185"/>
        <v/>
      </c>
      <c r="GE58" s="585" t="str">
        <f t="shared" si="186"/>
        <v/>
      </c>
      <c r="GF58" s="634" t="str">
        <f t="shared" si="209"/>
        <v/>
      </c>
      <c r="GG58" s="553" t="str">
        <f t="shared" si="427"/>
        <v/>
      </c>
      <c r="GH58" s="554" t="str">
        <f t="shared" si="428"/>
        <v/>
      </c>
      <c r="GI58" s="549" t="str">
        <f t="shared" si="429"/>
        <v/>
      </c>
      <c r="GJ58" s="296" t="str">
        <f t="shared" si="187"/>
        <v/>
      </c>
      <c r="GK58" s="337" t="str">
        <f t="shared" si="430"/>
        <v/>
      </c>
      <c r="GL58" s="337" t="str">
        <f t="shared" si="188"/>
        <v/>
      </c>
      <c r="GM58" s="372" t="str">
        <f t="shared" si="210"/>
        <v/>
      </c>
      <c r="GN58" s="548" t="str">
        <f t="shared" si="189"/>
        <v/>
      </c>
      <c r="GO58" s="6" t="str">
        <f t="shared" si="190"/>
        <v/>
      </c>
      <c r="GP58" s="10" t="str">
        <f t="shared" si="211"/>
        <v/>
      </c>
      <c r="GQ58" s="372" t="str">
        <f t="shared" si="191"/>
        <v/>
      </c>
      <c r="GR58" s="697" t="str">
        <f t="shared" si="212"/>
        <v/>
      </c>
      <c r="GS58" s="637" t="str">
        <f t="shared" si="431"/>
        <v/>
      </c>
      <c r="GT58" s="638" t="str">
        <f t="shared" si="432"/>
        <v/>
      </c>
      <c r="GU58" s="639" t="str">
        <f t="shared" si="433"/>
        <v/>
      </c>
      <c r="GV58" s="638" t="str">
        <f t="shared" si="192"/>
        <v/>
      </c>
      <c r="GW58" s="640" t="str">
        <f t="shared" si="434"/>
        <v/>
      </c>
      <c r="GX58" s="641" t="str">
        <f t="shared" si="435"/>
        <v/>
      </c>
      <c r="GY58" s="639" t="str">
        <f t="shared" si="436"/>
        <v/>
      </c>
      <c r="GZ58" s="640" t="str">
        <f t="shared" si="437"/>
        <v/>
      </c>
      <c r="HA58" s="637" t="str">
        <f t="shared" si="438"/>
        <v/>
      </c>
      <c r="HB58" s="7" t="str">
        <f t="shared" si="193"/>
        <v/>
      </c>
      <c r="HC58" s="638" t="str">
        <f t="shared" si="194"/>
        <v/>
      </c>
      <c r="HD58" s="682" t="str">
        <f t="shared" si="195"/>
        <v/>
      </c>
      <c r="HE58" s="639" t="str">
        <f t="shared" si="439"/>
        <v/>
      </c>
      <c r="HF58" s="7" t="str">
        <f t="shared" si="440"/>
        <v/>
      </c>
      <c r="HG58" s="638" t="str">
        <f t="shared" si="196"/>
        <v/>
      </c>
      <c r="HH58" s="644" t="str">
        <f t="shared" si="197"/>
        <v/>
      </c>
      <c r="HI58" s="596" t="str">
        <f t="shared" si="198"/>
        <v/>
      </c>
      <c r="HJ58" s="511"/>
      <c r="HK58" s="584" t="str">
        <f t="shared" si="217"/>
        <v/>
      </c>
      <c r="HL58" s="583" t="str">
        <f t="shared" si="441"/>
        <v/>
      </c>
      <c r="HM58" s="643" t="str">
        <f t="shared" si="442"/>
        <v/>
      </c>
      <c r="HN58" s="660" t="str">
        <f t="shared" si="442"/>
        <v/>
      </c>
      <c r="HO58" s="661" t="str">
        <f t="shared" si="442"/>
        <v/>
      </c>
      <c r="HP58" s="656" t="str">
        <f t="shared" si="442"/>
        <v/>
      </c>
      <c r="HQ58" s="660" t="str">
        <f t="shared" si="442"/>
        <v/>
      </c>
      <c r="HR58" s="671" t="str">
        <f t="shared" si="442"/>
        <v/>
      </c>
      <c r="HS58" s="655" t="str">
        <f t="shared" si="442"/>
        <v/>
      </c>
      <c r="HT58" s="648" t="str">
        <f t="shared" si="442"/>
        <v/>
      </c>
      <c r="HU58" s="649" t="str">
        <f t="shared" si="442"/>
        <v/>
      </c>
      <c r="HV58" s="650" t="str">
        <f t="shared" si="442"/>
        <v/>
      </c>
      <c r="HW58" s="648" t="str">
        <f t="shared" si="442"/>
        <v/>
      </c>
      <c r="HX58" s="649" t="str">
        <f t="shared" si="442"/>
        <v/>
      </c>
      <c r="HY58" s="650" t="str">
        <f t="shared" si="442"/>
        <v/>
      </c>
      <c r="HZ58" s="648" t="str">
        <f t="shared" si="442"/>
        <v/>
      </c>
      <c r="IA58" s="649" t="str">
        <f t="shared" si="442"/>
        <v/>
      </c>
      <c r="IB58" s="716"/>
      <c r="ID58" s="511"/>
    </row>
    <row r="59" spans="2:238" ht="15" customHeight="1" x14ac:dyDescent="0.25">
      <c r="B59" s="143">
        <v>-2.0972162738542131</v>
      </c>
      <c r="C59" s="144">
        <v>2.5898469336428764</v>
      </c>
      <c r="D59" s="145">
        <v>-0.56830171399796914</v>
      </c>
      <c r="E59" s="146">
        <v>-0.35645108241790363</v>
      </c>
      <c r="F59" s="144">
        <v>0.44018015619384382</v>
      </c>
      <c r="G59" s="147">
        <v>0.82412623786424155</v>
      </c>
      <c r="H59" s="146">
        <v>0.25700000000000001</v>
      </c>
      <c r="I59" s="144">
        <v>0.41499999999999992</v>
      </c>
      <c r="J59" s="306">
        <v>6.2190000000000003</v>
      </c>
      <c r="K59" s="699" t="str">
        <f t="shared" si="199"/>
        <v>Kunckle</v>
      </c>
      <c r="M59" s="292">
        <f t="shared" si="46"/>
        <v>6.2190000000000003</v>
      </c>
      <c r="N59" s="24">
        <f t="shared" si="47"/>
        <v>-2.0972162738542131</v>
      </c>
      <c r="O59" s="7">
        <f t="shared" si="48"/>
        <v>2.5898469336428764</v>
      </c>
      <c r="P59" s="12">
        <f t="shared" si="49"/>
        <v>-0.56830171399796914</v>
      </c>
      <c r="Q59" s="11">
        <f t="shared" si="85"/>
        <v>128.99999436909749</v>
      </c>
      <c r="R59" s="7">
        <f t="shared" si="50"/>
        <v>3.3325100508503138</v>
      </c>
      <c r="S59" s="8">
        <f t="shared" si="51"/>
        <v>-0.56830171399796914</v>
      </c>
      <c r="T59" s="6">
        <f t="shared" si="52"/>
        <v>2.5562499832776915</v>
      </c>
      <c r="U59" s="7">
        <f t="shared" si="53"/>
        <v>2.138038648390427</v>
      </c>
      <c r="V59" s="10">
        <f t="shared" si="86"/>
        <v>-0.56830171399796914</v>
      </c>
      <c r="W59" s="11">
        <f t="shared" si="214"/>
        <v>39.908994237854145</v>
      </c>
      <c r="X59" s="7">
        <f t="shared" si="54"/>
        <v>3.3325100508503138</v>
      </c>
      <c r="Y59" s="9">
        <f t="shared" si="213"/>
        <v>-0.56830171399796914</v>
      </c>
      <c r="Z59" s="24">
        <f t="shared" si="87"/>
        <v>0.35645108241790363</v>
      </c>
      <c r="AA59" s="7">
        <f t="shared" si="55"/>
        <v>-0.44018015619384382</v>
      </c>
      <c r="AB59" s="7">
        <f t="shared" si="56"/>
        <v>-0.82412623786424155</v>
      </c>
      <c r="AC59" s="10">
        <f t="shared" si="57"/>
        <v>1</v>
      </c>
      <c r="AD59" s="11">
        <f t="shared" si="88"/>
        <v>0.35645108241790363</v>
      </c>
      <c r="AE59" s="7">
        <f t="shared" si="58"/>
        <v>-0.44018015619384382</v>
      </c>
      <c r="AF59" s="12">
        <f t="shared" si="59"/>
        <v>-0.82412623786424155</v>
      </c>
      <c r="AG59" s="6">
        <f t="shared" si="60"/>
        <v>-28.107450364016696</v>
      </c>
      <c r="AH59" s="12">
        <f t="shared" si="61"/>
        <v>69.117595895093231</v>
      </c>
      <c r="AI59" s="11">
        <f t="shared" si="62"/>
        <v>-34.499995018819156</v>
      </c>
      <c r="AJ59" s="8">
        <f t="shared" si="63"/>
        <v>39.000017310921216</v>
      </c>
      <c r="AK59" s="6">
        <f t="shared" si="89"/>
        <v>2.2679489675159203E-7</v>
      </c>
      <c r="AL59" s="7">
        <f t="shared" si="64"/>
        <v>-0.56640616527689769</v>
      </c>
      <c r="AM59" s="8">
        <f t="shared" si="65"/>
        <v>-0.82412623786424155</v>
      </c>
      <c r="AN59" s="6">
        <f t="shared" si="66"/>
        <v>-34.499995018817025</v>
      </c>
      <c r="AO59" s="10">
        <f t="shared" si="376"/>
        <v>0</v>
      </c>
      <c r="AP59" s="11">
        <f t="shared" si="67"/>
        <v>-89.999977058176285</v>
      </c>
      <c r="AQ59" s="8">
        <f t="shared" si="200"/>
        <v>0.68411945676914065</v>
      </c>
      <c r="AS59" s="123">
        <f t="shared" si="90"/>
        <v>-320.09100576214587</v>
      </c>
      <c r="AT59" s="174">
        <f t="shared" si="68"/>
        <v>-0.34538504342095344</v>
      </c>
      <c r="AV59" s="292" t="str">
        <f t="shared" si="91"/>
        <v/>
      </c>
      <c r="AW59" s="709"/>
      <c r="AX59" s="710"/>
      <c r="AY59" s="711"/>
      <c r="AZ59" s="565" t="str">
        <f t="shared" si="92"/>
        <v/>
      </c>
      <c r="BA59" s="564" t="str">
        <f t="shared" si="93"/>
        <v/>
      </c>
      <c r="BB59" s="372" t="str">
        <f t="shared" si="94"/>
        <v/>
      </c>
      <c r="BC59" s="11"/>
      <c r="BD59" s="7" t="str">
        <f t="shared" si="95"/>
        <v/>
      </c>
      <c r="BE59" s="8" t="str">
        <f t="shared" si="96"/>
        <v/>
      </c>
      <c r="BF59" s="6" t="str">
        <f t="shared" si="97"/>
        <v/>
      </c>
      <c r="BG59" s="7" t="str">
        <f t="shared" si="98"/>
        <v/>
      </c>
      <c r="BH59" s="12" t="str">
        <f t="shared" si="99"/>
        <v/>
      </c>
      <c r="BI59" s="11" t="str">
        <f t="shared" si="100"/>
        <v/>
      </c>
      <c r="BJ59" s="7" t="str">
        <f t="shared" si="101"/>
        <v/>
      </c>
      <c r="BK59" s="10" t="str">
        <f t="shared" si="102"/>
        <v/>
      </c>
      <c r="BL59" s="328" t="str">
        <f t="shared" si="103"/>
        <v/>
      </c>
      <c r="BM59" s="7" t="str">
        <f t="shared" si="104"/>
        <v/>
      </c>
      <c r="BN59" s="8" t="str">
        <f t="shared" si="105"/>
        <v/>
      </c>
      <c r="BO59" s="6" t="str">
        <f t="shared" si="106"/>
        <v/>
      </c>
      <c r="BP59" s="7" t="str">
        <f t="shared" si="107"/>
        <v/>
      </c>
      <c r="BQ59" s="7" t="str">
        <f t="shared" si="108"/>
        <v/>
      </c>
      <c r="BR59" s="8" t="str">
        <f t="shared" si="109"/>
        <v/>
      </c>
      <c r="BS59" s="6" t="str">
        <f t="shared" si="409"/>
        <v/>
      </c>
      <c r="BT59" s="7" t="str">
        <f t="shared" si="409"/>
        <v/>
      </c>
      <c r="BU59" s="12" t="str">
        <f t="shared" si="70"/>
        <v/>
      </c>
      <c r="BV59" s="11" t="str">
        <f t="shared" si="71"/>
        <v/>
      </c>
      <c r="BW59" s="7" t="str">
        <f t="shared" si="72"/>
        <v/>
      </c>
      <c r="BX59" s="10" t="str">
        <f t="shared" si="73"/>
        <v/>
      </c>
      <c r="BY59" s="328" t="str">
        <f t="shared" si="74"/>
        <v/>
      </c>
      <c r="BZ59" s="7" t="str">
        <f t="shared" si="75"/>
        <v/>
      </c>
      <c r="CA59" s="8" t="str">
        <f t="shared" si="76"/>
        <v/>
      </c>
      <c r="CB59" s="6" t="str">
        <f t="shared" si="110"/>
        <v/>
      </c>
      <c r="CC59" s="7" t="str">
        <f t="shared" si="111"/>
        <v/>
      </c>
      <c r="CD59" s="7" t="str">
        <f t="shared" si="112"/>
        <v/>
      </c>
      <c r="CE59" s="8" t="str">
        <f t="shared" si="113"/>
        <v/>
      </c>
      <c r="CF59" s="6" t="str">
        <f t="shared" si="114"/>
        <v/>
      </c>
      <c r="CG59" s="7" t="str">
        <f t="shared" si="115"/>
        <v/>
      </c>
      <c r="CH59" s="7" t="str">
        <f t="shared" si="116"/>
        <v/>
      </c>
      <c r="CI59" s="6" t="str">
        <f t="shared" si="77"/>
        <v/>
      </c>
      <c r="CJ59" s="7" t="str">
        <f t="shared" si="78"/>
        <v/>
      </c>
      <c r="CK59" s="10" t="str">
        <f t="shared" si="79"/>
        <v/>
      </c>
      <c r="CL59" s="328" t="str">
        <f t="shared" si="80"/>
        <v/>
      </c>
      <c r="CM59" s="7" t="str">
        <f t="shared" si="81"/>
        <v/>
      </c>
      <c r="CN59" s="8" t="str">
        <f t="shared" si="82"/>
        <v/>
      </c>
      <c r="CO59" s="296" t="str">
        <f t="shared" si="201"/>
        <v/>
      </c>
      <c r="CP59" s="6" t="str">
        <f t="shared" si="202"/>
        <v/>
      </c>
      <c r="CQ59" s="7" t="str">
        <f t="shared" si="203"/>
        <v/>
      </c>
      <c r="CR59" s="7" t="str">
        <f t="shared" si="117"/>
        <v/>
      </c>
      <c r="CS59" s="10" t="str">
        <f t="shared" si="118"/>
        <v/>
      </c>
      <c r="CT59" s="11" t="str">
        <f t="shared" si="119"/>
        <v/>
      </c>
      <c r="CU59" s="8" t="str">
        <f t="shared" si="120"/>
        <v/>
      </c>
      <c r="CV59" s="6" t="str">
        <f t="shared" si="204"/>
        <v/>
      </c>
      <c r="CW59" s="7" t="str">
        <f t="shared" si="121"/>
        <v/>
      </c>
      <c r="CX59" s="10" t="str">
        <f t="shared" si="122"/>
        <v/>
      </c>
      <c r="CY59" s="11" t="str">
        <f t="shared" si="123"/>
        <v/>
      </c>
      <c r="CZ59" s="7" t="str">
        <f t="shared" si="124"/>
        <v/>
      </c>
      <c r="DA59" s="8" t="str">
        <f t="shared" si="125"/>
        <v/>
      </c>
      <c r="DB59" s="6" t="str">
        <f t="shared" si="410"/>
        <v/>
      </c>
      <c r="DC59" s="7" t="str">
        <f t="shared" si="410"/>
        <v/>
      </c>
      <c r="DD59" s="12" t="str">
        <f t="shared" si="127"/>
        <v/>
      </c>
      <c r="DE59" s="11" t="str">
        <f t="shared" si="411"/>
        <v/>
      </c>
      <c r="DF59" s="7" t="str">
        <f t="shared" si="411"/>
        <v/>
      </c>
      <c r="DG59" s="12" t="str">
        <f t="shared" si="129"/>
        <v/>
      </c>
      <c r="DH59" s="174" t="str">
        <f t="shared" si="130"/>
        <v/>
      </c>
      <c r="DI59" s="6" t="str">
        <f t="shared" si="131"/>
        <v/>
      </c>
      <c r="DJ59" s="7" t="str">
        <f t="shared" si="132"/>
        <v/>
      </c>
      <c r="DK59" s="12" t="str">
        <f t="shared" si="133"/>
        <v/>
      </c>
      <c r="DL59" s="11" t="str">
        <f t="shared" si="134"/>
        <v/>
      </c>
      <c r="DM59" s="328" t="str">
        <f t="shared" si="135"/>
        <v/>
      </c>
      <c r="DN59" s="376" t="str">
        <f t="shared" si="136"/>
        <v/>
      </c>
      <c r="DO59" s="11" t="str">
        <f t="shared" si="137"/>
        <v/>
      </c>
      <c r="DP59" s="328" t="str">
        <f t="shared" si="138"/>
        <v/>
      </c>
      <c r="DQ59" s="13" t="str">
        <f t="shared" si="139"/>
        <v/>
      </c>
      <c r="DR59" s="328" t="str">
        <f t="shared" si="140"/>
        <v/>
      </c>
      <c r="DS59" s="7" t="str">
        <f t="shared" si="141"/>
        <v/>
      </c>
      <c r="DT59" s="7" t="str">
        <f t="shared" si="142"/>
        <v/>
      </c>
      <c r="DU59" s="7" t="str">
        <f t="shared" si="143"/>
        <v/>
      </c>
      <c r="DV59" s="7" t="str">
        <f t="shared" si="144"/>
        <v/>
      </c>
      <c r="DW59" s="7" t="str">
        <f t="shared" si="145"/>
        <v/>
      </c>
      <c r="DX59" s="296" t="str">
        <f t="shared" si="146"/>
        <v/>
      </c>
      <c r="DY59" s="11" t="str">
        <f t="shared" si="147"/>
        <v/>
      </c>
      <c r="DZ59" s="7" t="str">
        <f t="shared" si="148"/>
        <v/>
      </c>
      <c r="EA59" s="12" t="str">
        <f t="shared" si="149"/>
        <v/>
      </c>
      <c r="EB59" s="8" t="str">
        <f t="shared" si="150"/>
        <v/>
      </c>
      <c r="EC59" s="328" t="str">
        <f t="shared" si="151"/>
        <v/>
      </c>
      <c r="ED59" s="7" t="str">
        <f t="shared" si="152"/>
        <v/>
      </c>
      <c r="EE59" s="6" t="str">
        <f t="shared" si="153"/>
        <v/>
      </c>
      <c r="EF59" s="7" t="str">
        <f t="shared" si="154"/>
        <v/>
      </c>
      <c r="EG59" s="12" t="str">
        <f t="shared" si="155"/>
        <v/>
      </c>
      <c r="EH59" s="11" t="str">
        <f t="shared" si="156"/>
        <v/>
      </c>
      <c r="EI59" s="7" t="str">
        <f t="shared" si="157"/>
        <v/>
      </c>
      <c r="EJ59" s="8" t="str">
        <f t="shared" si="158"/>
        <v/>
      </c>
      <c r="EK59" s="491" t="str">
        <f t="shared" si="159"/>
        <v/>
      </c>
      <c r="EL59" s="493" t="str">
        <f t="shared" si="160"/>
        <v/>
      </c>
      <c r="EM59" s="6" t="str">
        <f t="shared" si="161"/>
        <v/>
      </c>
      <c r="EN59" s="7" t="str">
        <f t="shared" si="162"/>
        <v/>
      </c>
      <c r="EO59" s="12" t="str">
        <f t="shared" si="163"/>
        <v/>
      </c>
      <c r="EP59" s="11" t="str">
        <f t="shared" si="164"/>
        <v/>
      </c>
      <c r="EQ59" s="7" t="str">
        <f t="shared" si="165"/>
        <v/>
      </c>
      <c r="ER59" s="9" t="str">
        <f t="shared" si="166"/>
        <v/>
      </c>
      <c r="ES59" s="24" t="str">
        <f t="shared" si="167"/>
        <v/>
      </c>
      <c r="ET59" s="7" t="str">
        <f t="shared" si="168"/>
        <v/>
      </c>
      <c r="EU59" s="12" t="str">
        <f t="shared" si="169"/>
        <v/>
      </c>
      <c r="EV59" s="337" t="str">
        <f t="shared" si="412"/>
        <v/>
      </c>
      <c r="EW59" s="11" t="str">
        <f t="shared" si="413"/>
        <v/>
      </c>
      <c r="EX59" s="7" t="str">
        <f t="shared" si="414"/>
        <v/>
      </c>
      <c r="EY59" s="8" t="str">
        <f t="shared" si="170"/>
        <v/>
      </c>
      <c r="EZ59" s="123" t="str">
        <f t="shared" si="171"/>
        <v/>
      </c>
      <c r="FA59" s="328" t="str">
        <f t="shared" si="415"/>
        <v/>
      </c>
      <c r="FB59" s="7" t="str">
        <f t="shared" si="416"/>
        <v/>
      </c>
      <c r="FC59" s="8" t="str">
        <f t="shared" si="417"/>
        <v/>
      </c>
      <c r="FD59" s="6" t="str">
        <f t="shared" si="418"/>
        <v/>
      </c>
      <c r="FE59" s="7" t="str">
        <f t="shared" si="419"/>
        <v/>
      </c>
      <c r="FF59" s="9" t="str">
        <f t="shared" si="172"/>
        <v/>
      </c>
      <c r="FG59" s="328" t="str">
        <f t="shared" si="420"/>
        <v/>
      </c>
      <c r="FH59" s="7" t="str">
        <f t="shared" si="421"/>
        <v/>
      </c>
      <c r="FI59" s="12" t="str">
        <f t="shared" si="422"/>
        <v/>
      </c>
      <c r="FJ59" s="547" t="str">
        <f t="shared" si="173"/>
        <v/>
      </c>
      <c r="FK59" s="6" t="str">
        <f t="shared" si="423"/>
        <v/>
      </c>
      <c r="FL59" s="7" t="str">
        <f t="shared" si="174"/>
        <v/>
      </c>
      <c r="FM59" s="10" t="str">
        <f t="shared" si="175"/>
        <v/>
      </c>
      <c r="FN59" s="11" t="str">
        <f t="shared" si="176"/>
        <v/>
      </c>
      <c r="FO59" s="12" t="str">
        <f t="shared" si="424"/>
        <v/>
      </c>
      <c r="FP59" s="545" t="str">
        <f t="shared" si="425"/>
        <v/>
      </c>
      <c r="FQ59" s="328" t="str">
        <f t="shared" si="205"/>
        <v/>
      </c>
      <c r="FR59" s="12" t="str">
        <f t="shared" si="177"/>
        <v/>
      </c>
      <c r="FS59" s="11" t="str">
        <f t="shared" si="178"/>
        <v/>
      </c>
      <c r="FT59" s="8" t="str">
        <f t="shared" si="179"/>
        <v/>
      </c>
      <c r="FU59" s="6" t="str">
        <f t="shared" si="180"/>
        <v/>
      </c>
      <c r="FV59" s="7" t="str">
        <f t="shared" si="181"/>
        <v/>
      </c>
      <c r="FW59" s="10" t="str">
        <f t="shared" si="206"/>
        <v/>
      </c>
      <c r="FX59" s="11" t="str">
        <f t="shared" si="207"/>
        <v/>
      </c>
      <c r="FY59" s="12" t="str">
        <f t="shared" si="426"/>
        <v/>
      </c>
      <c r="FZ59" s="545" t="str">
        <f t="shared" si="208"/>
        <v/>
      </c>
      <c r="GA59" s="372" t="str">
        <f t="shared" si="182"/>
        <v/>
      </c>
      <c r="GB59" s="46" t="str">
        <f t="shared" si="183"/>
        <v/>
      </c>
      <c r="GC59" s="47" t="str">
        <f t="shared" si="184"/>
        <v/>
      </c>
      <c r="GD59" s="578" t="str">
        <f t="shared" si="185"/>
        <v/>
      </c>
      <c r="GE59" s="585" t="str">
        <f t="shared" si="186"/>
        <v/>
      </c>
      <c r="GF59" s="634" t="str">
        <f t="shared" si="209"/>
        <v/>
      </c>
      <c r="GG59" s="553" t="str">
        <f t="shared" si="427"/>
        <v/>
      </c>
      <c r="GH59" s="554" t="str">
        <f t="shared" si="428"/>
        <v/>
      </c>
      <c r="GI59" s="549" t="str">
        <f t="shared" si="429"/>
        <v/>
      </c>
      <c r="GJ59" s="296" t="str">
        <f t="shared" si="187"/>
        <v/>
      </c>
      <c r="GK59" s="337" t="str">
        <f t="shared" si="430"/>
        <v/>
      </c>
      <c r="GL59" s="337" t="str">
        <f t="shared" si="188"/>
        <v/>
      </c>
      <c r="GM59" s="372" t="str">
        <f t="shared" si="210"/>
        <v/>
      </c>
      <c r="GN59" s="548" t="str">
        <f t="shared" si="189"/>
        <v/>
      </c>
      <c r="GO59" s="6" t="str">
        <f t="shared" si="190"/>
        <v/>
      </c>
      <c r="GP59" s="10" t="str">
        <f t="shared" si="211"/>
        <v/>
      </c>
      <c r="GQ59" s="372" t="str">
        <f t="shared" si="191"/>
        <v/>
      </c>
      <c r="GR59" s="697" t="str">
        <f t="shared" si="212"/>
        <v/>
      </c>
      <c r="GS59" s="637" t="str">
        <f t="shared" si="431"/>
        <v/>
      </c>
      <c r="GT59" s="638" t="str">
        <f t="shared" si="432"/>
        <v/>
      </c>
      <c r="GU59" s="639" t="str">
        <f t="shared" si="433"/>
        <v/>
      </c>
      <c r="GV59" s="638" t="str">
        <f t="shared" si="192"/>
        <v/>
      </c>
      <c r="GW59" s="640" t="str">
        <f t="shared" si="434"/>
        <v/>
      </c>
      <c r="GX59" s="641" t="str">
        <f t="shared" si="435"/>
        <v/>
      </c>
      <c r="GY59" s="639" t="str">
        <f t="shared" si="436"/>
        <v/>
      </c>
      <c r="GZ59" s="640" t="str">
        <f t="shared" si="437"/>
        <v/>
      </c>
      <c r="HA59" s="637" t="str">
        <f t="shared" si="438"/>
        <v/>
      </c>
      <c r="HB59" s="7" t="str">
        <f t="shared" si="193"/>
        <v/>
      </c>
      <c r="HC59" s="638" t="str">
        <f t="shared" si="194"/>
        <v/>
      </c>
      <c r="HD59" s="682" t="str">
        <f t="shared" si="195"/>
        <v/>
      </c>
      <c r="HE59" s="639" t="str">
        <f t="shared" si="439"/>
        <v/>
      </c>
      <c r="HF59" s="7" t="str">
        <f t="shared" si="440"/>
        <v/>
      </c>
      <c r="HG59" s="638" t="str">
        <f t="shared" si="196"/>
        <v/>
      </c>
      <c r="HH59" s="644" t="str">
        <f t="shared" si="197"/>
        <v/>
      </c>
      <c r="HI59" s="596" t="str">
        <f t="shared" si="198"/>
        <v/>
      </c>
      <c r="HK59" s="584" t="str">
        <f t="shared" si="217"/>
        <v/>
      </c>
      <c r="HL59" s="583" t="str">
        <f t="shared" si="441"/>
        <v/>
      </c>
      <c r="HM59" s="643" t="str">
        <f t="shared" ref="HM59:IA68" si="443">IF(ISNUMBER($HL59),VLOOKUP($HL59,$GJ$9:$HI$130,HM$1,FALSE),"")</f>
        <v/>
      </c>
      <c r="HN59" s="660" t="str">
        <f t="shared" si="443"/>
        <v/>
      </c>
      <c r="HO59" s="661" t="str">
        <f t="shared" si="443"/>
        <v/>
      </c>
      <c r="HP59" s="656" t="str">
        <f t="shared" si="443"/>
        <v/>
      </c>
      <c r="HQ59" s="660" t="str">
        <f t="shared" si="443"/>
        <v/>
      </c>
      <c r="HR59" s="671" t="str">
        <f t="shared" si="443"/>
        <v/>
      </c>
      <c r="HS59" s="655" t="str">
        <f t="shared" si="443"/>
        <v/>
      </c>
      <c r="HT59" s="648" t="str">
        <f t="shared" si="443"/>
        <v/>
      </c>
      <c r="HU59" s="649" t="str">
        <f t="shared" si="443"/>
        <v/>
      </c>
      <c r="HV59" s="650" t="str">
        <f t="shared" si="443"/>
        <v/>
      </c>
      <c r="HW59" s="648" t="str">
        <f t="shared" si="443"/>
        <v/>
      </c>
      <c r="HX59" s="649" t="str">
        <f t="shared" si="443"/>
        <v/>
      </c>
      <c r="HY59" s="650" t="str">
        <f t="shared" si="443"/>
        <v/>
      </c>
      <c r="HZ59" s="648" t="str">
        <f t="shared" si="443"/>
        <v/>
      </c>
      <c r="IA59" s="649" t="str">
        <f t="shared" si="443"/>
        <v/>
      </c>
      <c r="IB59" s="716"/>
    </row>
    <row r="60" spans="2:238" ht="15" customHeight="1" x14ac:dyDescent="0.25">
      <c r="B60" s="143">
        <v>-2.3213239490385424</v>
      </c>
      <c r="C60" s="144">
        <v>2.8295589641902628</v>
      </c>
      <c r="D60" s="145">
        <v>-1.2819038662220608</v>
      </c>
      <c r="E60" s="146">
        <v>-0.53433139916927208</v>
      </c>
      <c r="F60" s="144">
        <v>0.65131855936988414</v>
      </c>
      <c r="G60" s="147">
        <v>0.53877090686315554</v>
      </c>
      <c r="H60" s="146">
        <v>0.25700000000000001</v>
      </c>
      <c r="I60" s="144">
        <v>0.41499999999999992</v>
      </c>
      <c r="J60" s="306">
        <v>6.2249999999999996</v>
      </c>
      <c r="K60" s="699" t="str">
        <f t="shared" si="199"/>
        <v>Kunckle</v>
      </c>
      <c r="M60" s="292">
        <f t="shared" si="46"/>
        <v>6.2249999999999996</v>
      </c>
      <c r="N60" s="24">
        <f t="shared" si="47"/>
        <v>-2.3213239490385424</v>
      </c>
      <c r="O60" s="7">
        <f t="shared" si="48"/>
        <v>2.8295589641902628</v>
      </c>
      <c r="P60" s="12">
        <f t="shared" si="49"/>
        <v>-1.2819038662220608</v>
      </c>
      <c r="Q60" s="11">
        <f t="shared" si="85"/>
        <v>129.36489431641249</v>
      </c>
      <c r="R60" s="7">
        <f t="shared" si="50"/>
        <v>3.6599110382916913</v>
      </c>
      <c r="S60" s="8">
        <f t="shared" si="51"/>
        <v>-1.2819038662220608</v>
      </c>
      <c r="T60" s="6">
        <f t="shared" si="52"/>
        <v>2.7923765185393949</v>
      </c>
      <c r="U60" s="7">
        <f t="shared" si="53"/>
        <v>2.3659210018339945</v>
      </c>
      <c r="V60" s="10">
        <f t="shared" si="86"/>
        <v>-1.2819038662220608</v>
      </c>
      <c r="W60" s="11">
        <f t="shared" si="214"/>
        <v>40.273894185169141</v>
      </c>
      <c r="X60" s="7">
        <f t="shared" si="54"/>
        <v>3.6599110382916913</v>
      </c>
      <c r="Y60" s="9">
        <f t="shared" si="213"/>
        <v>-1.2819038662220608</v>
      </c>
      <c r="Z60" s="24">
        <f t="shared" si="87"/>
        <v>0.53433139916927208</v>
      </c>
      <c r="AA60" s="7">
        <f t="shared" si="55"/>
        <v>-0.65131855936988414</v>
      </c>
      <c r="AB60" s="7">
        <f t="shared" si="56"/>
        <v>-0.53877090686315554</v>
      </c>
      <c r="AC60" s="10">
        <f t="shared" si="57"/>
        <v>1</v>
      </c>
      <c r="AD60" s="11">
        <f t="shared" si="88"/>
        <v>0.53433139916927208</v>
      </c>
      <c r="AE60" s="7">
        <f t="shared" si="58"/>
        <v>-0.65131855936988414</v>
      </c>
      <c r="AF60" s="12">
        <f t="shared" si="59"/>
        <v>-0.53877090686315554</v>
      </c>
      <c r="AG60" s="6">
        <f t="shared" si="60"/>
        <v>-50.402437236977562</v>
      </c>
      <c r="AH60" s="12">
        <f t="shared" si="61"/>
        <v>57.70142009229172</v>
      </c>
      <c r="AI60" s="11">
        <f t="shared" si="62"/>
        <v>-57.399991712467539</v>
      </c>
      <c r="AJ60" s="8">
        <f t="shared" si="63"/>
        <v>39.364909740894184</v>
      </c>
      <c r="AK60" s="6">
        <f t="shared" si="89"/>
        <v>2.2679489636301398E-7</v>
      </c>
      <c r="AL60" s="7">
        <f t="shared" si="64"/>
        <v>-0.84245231907675455</v>
      </c>
      <c r="AM60" s="8">
        <f t="shared" si="65"/>
        <v>-0.53877090686315554</v>
      </c>
      <c r="AN60" s="6">
        <f t="shared" si="66"/>
        <v>-57.399991712466608</v>
      </c>
      <c r="AO60" s="10">
        <f t="shared" si="376"/>
        <v>0</v>
      </c>
      <c r="AP60" s="11">
        <f t="shared" si="67"/>
        <v>-89.999984575518297</v>
      </c>
      <c r="AQ60" s="8">
        <f t="shared" si="200"/>
        <v>0.62291581015609288</v>
      </c>
      <c r="AS60" s="123">
        <f t="shared" si="90"/>
        <v>-319.72610581483087</v>
      </c>
      <c r="AT60" s="174">
        <f t="shared" si="68"/>
        <v>-1.0592405983862361</v>
      </c>
      <c r="AV60" s="292" t="str">
        <f t="shared" si="91"/>
        <v/>
      </c>
      <c r="AW60" s="709"/>
      <c r="AX60" s="710"/>
      <c r="AY60" s="711"/>
      <c r="AZ60" s="565" t="str">
        <f t="shared" si="92"/>
        <v/>
      </c>
      <c r="BA60" s="564" t="str">
        <f t="shared" si="93"/>
        <v/>
      </c>
      <c r="BB60" s="372" t="str">
        <f t="shared" si="94"/>
        <v/>
      </c>
      <c r="BC60" s="11"/>
      <c r="BD60" s="7" t="str">
        <f t="shared" si="95"/>
        <v/>
      </c>
      <c r="BE60" s="8" t="str">
        <f t="shared" si="96"/>
        <v/>
      </c>
      <c r="BF60" s="6" t="str">
        <f t="shared" si="97"/>
        <v/>
      </c>
      <c r="BG60" s="7" t="str">
        <f t="shared" si="98"/>
        <v/>
      </c>
      <c r="BH60" s="12" t="str">
        <f t="shared" si="99"/>
        <v/>
      </c>
      <c r="BI60" s="11" t="str">
        <f t="shared" si="100"/>
        <v/>
      </c>
      <c r="BJ60" s="7" t="str">
        <f t="shared" si="101"/>
        <v/>
      </c>
      <c r="BK60" s="10" t="str">
        <f t="shared" si="102"/>
        <v/>
      </c>
      <c r="BL60" s="328" t="str">
        <f t="shared" si="103"/>
        <v/>
      </c>
      <c r="BM60" s="7" t="str">
        <f t="shared" si="104"/>
        <v/>
      </c>
      <c r="BN60" s="8" t="str">
        <f t="shared" si="105"/>
        <v/>
      </c>
      <c r="BO60" s="6" t="str">
        <f t="shared" si="106"/>
        <v/>
      </c>
      <c r="BP60" s="7" t="str">
        <f t="shared" si="107"/>
        <v/>
      </c>
      <c r="BQ60" s="7" t="str">
        <f t="shared" si="108"/>
        <v/>
      </c>
      <c r="BR60" s="8" t="str">
        <f t="shared" si="109"/>
        <v/>
      </c>
      <c r="BS60" s="6" t="str">
        <f t="shared" si="409"/>
        <v/>
      </c>
      <c r="BT60" s="7" t="str">
        <f t="shared" si="409"/>
        <v/>
      </c>
      <c r="BU60" s="12" t="str">
        <f t="shared" si="70"/>
        <v/>
      </c>
      <c r="BV60" s="11" t="str">
        <f t="shared" si="71"/>
        <v/>
      </c>
      <c r="BW60" s="7" t="str">
        <f t="shared" si="72"/>
        <v/>
      </c>
      <c r="BX60" s="10" t="str">
        <f t="shared" si="73"/>
        <v/>
      </c>
      <c r="BY60" s="328" t="str">
        <f t="shared" si="74"/>
        <v/>
      </c>
      <c r="BZ60" s="7" t="str">
        <f t="shared" si="75"/>
        <v/>
      </c>
      <c r="CA60" s="8" t="str">
        <f t="shared" si="76"/>
        <v/>
      </c>
      <c r="CB60" s="6" t="str">
        <f t="shared" si="110"/>
        <v/>
      </c>
      <c r="CC60" s="7" t="str">
        <f t="shared" si="111"/>
        <v/>
      </c>
      <c r="CD60" s="7" t="str">
        <f t="shared" si="112"/>
        <v/>
      </c>
      <c r="CE60" s="8" t="str">
        <f t="shared" si="113"/>
        <v/>
      </c>
      <c r="CF60" s="6" t="str">
        <f t="shared" si="114"/>
        <v/>
      </c>
      <c r="CG60" s="7" t="str">
        <f t="shared" si="115"/>
        <v/>
      </c>
      <c r="CH60" s="7" t="str">
        <f t="shared" si="116"/>
        <v/>
      </c>
      <c r="CI60" s="6" t="str">
        <f t="shared" si="77"/>
        <v/>
      </c>
      <c r="CJ60" s="7" t="str">
        <f t="shared" si="78"/>
        <v/>
      </c>
      <c r="CK60" s="10" t="str">
        <f t="shared" si="79"/>
        <v/>
      </c>
      <c r="CL60" s="328" t="str">
        <f t="shared" si="80"/>
        <v/>
      </c>
      <c r="CM60" s="7" t="str">
        <f t="shared" si="81"/>
        <v/>
      </c>
      <c r="CN60" s="8" t="str">
        <f t="shared" si="82"/>
        <v/>
      </c>
      <c r="CO60" s="296" t="str">
        <f t="shared" si="201"/>
        <v/>
      </c>
      <c r="CP60" s="6" t="str">
        <f t="shared" si="202"/>
        <v/>
      </c>
      <c r="CQ60" s="7" t="str">
        <f t="shared" si="203"/>
        <v/>
      </c>
      <c r="CR60" s="7" t="str">
        <f t="shared" si="117"/>
        <v/>
      </c>
      <c r="CS60" s="10" t="str">
        <f t="shared" si="118"/>
        <v/>
      </c>
      <c r="CT60" s="11" t="str">
        <f t="shared" si="119"/>
        <v/>
      </c>
      <c r="CU60" s="8" t="str">
        <f t="shared" si="120"/>
        <v/>
      </c>
      <c r="CV60" s="6" t="str">
        <f t="shared" si="204"/>
        <v/>
      </c>
      <c r="CW60" s="7" t="str">
        <f t="shared" si="121"/>
        <v/>
      </c>
      <c r="CX60" s="10" t="str">
        <f t="shared" si="122"/>
        <v/>
      </c>
      <c r="CY60" s="11" t="str">
        <f t="shared" si="123"/>
        <v/>
      </c>
      <c r="CZ60" s="7" t="str">
        <f t="shared" si="124"/>
        <v/>
      </c>
      <c r="DA60" s="8" t="str">
        <f t="shared" si="125"/>
        <v/>
      </c>
      <c r="DB60" s="6" t="str">
        <f t="shared" si="410"/>
        <v/>
      </c>
      <c r="DC60" s="7" t="str">
        <f t="shared" si="410"/>
        <v/>
      </c>
      <c r="DD60" s="12" t="str">
        <f t="shared" si="127"/>
        <v/>
      </c>
      <c r="DE60" s="11" t="str">
        <f t="shared" si="411"/>
        <v/>
      </c>
      <c r="DF60" s="7" t="str">
        <f t="shared" si="411"/>
        <v/>
      </c>
      <c r="DG60" s="12" t="str">
        <f t="shared" si="129"/>
        <v/>
      </c>
      <c r="DH60" s="174" t="str">
        <f t="shared" si="130"/>
        <v/>
      </c>
      <c r="DI60" s="6" t="str">
        <f t="shared" si="131"/>
        <v/>
      </c>
      <c r="DJ60" s="7" t="str">
        <f t="shared" si="132"/>
        <v/>
      </c>
      <c r="DK60" s="12" t="str">
        <f t="shared" si="133"/>
        <v/>
      </c>
      <c r="DL60" s="11" t="str">
        <f t="shared" si="134"/>
        <v/>
      </c>
      <c r="DM60" s="328" t="str">
        <f t="shared" si="135"/>
        <v/>
      </c>
      <c r="DN60" s="376" t="str">
        <f t="shared" si="136"/>
        <v/>
      </c>
      <c r="DO60" s="11" t="str">
        <f t="shared" si="137"/>
        <v/>
      </c>
      <c r="DP60" s="328" t="str">
        <f t="shared" si="138"/>
        <v/>
      </c>
      <c r="DQ60" s="13" t="str">
        <f t="shared" si="139"/>
        <v/>
      </c>
      <c r="DR60" s="328" t="str">
        <f t="shared" si="140"/>
        <v/>
      </c>
      <c r="DS60" s="7" t="str">
        <f t="shared" si="141"/>
        <v/>
      </c>
      <c r="DT60" s="7" t="str">
        <f t="shared" si="142"/>
        <v/>
      </c>
      <c r="DU60" s="7" t="str">
        <f t="shared" si="143"/>
        <v/>
      </c>
      <c r="DV60" s="7" t="str">
        <f t="shared" si="144"/>
        <v/>
      </c>
      <c r="DW60" s="7" t="str">
        <f t="shared" si="145"/>
        <v/>
      </c>
      <c r="DX60" s="296" t="str">
        <f t="shared" si="146"/>
        <v/>
      </c>
      <c r="DY60" s="11" t="str">
        <f t="shared" si="147"/>
        <v/>
      </c>
      <c r="DZ60" s="7" t="str">
        <f t="shared" si="148"/>
        <v/>
      </c>
      <c r="EA60" s="12" t="str">
        <f t="shared" si="149"/>
        <v/>
      </c>
      <c r="EB60" s="8" t="str">
        <f t="shared" si="150"/>
        <v/>
      </c>
      <c r="EC60" s="328" t="str">
        <f t="shared" si="151"/>
        <v/>
      </c>
      <c r="ED60" s="7" t="str">
        <f t="shared" si="152"/>
        <v/>
      </c>
      <c r="EE60" s="6" t="str">
        <f t="shared" si="153"/>
        <v/>
      </c>
      <c r="EF60" s="7" t="str">
        <f t="shared" si="154"/>
        <v/>
      </c>
      <c r="EG60" s="12" t="str">
        <f t="shared" si="155"/>
        <v/>
      </c>
      <c r="EH60" s="11" t="str">
        <f t="shared" si="156"/>
        <v/>
      </c>
      <c r="EI60" s="7" t="str">
        <f t="shared" si="157"/>
        <v/>
      </c>
      <c r="EJ60" s="8" t="str">
        <f t="shared" si="158"/>
        <v/>
      </c>
      <c r="EK60" s="491" t="str">
        <f t="shared" si="159"/>
        <v/>
      </c>
      <c r="EL60" s="493" t="str">
        <f t="shared" si="160"/>
        <v/>
      </c>
      <c r="EM60" s="6" t="str">
        <f t="shared" si="161"/>
        <v/>
      </c>
      <c r="EN60" s="7" t="str">
        <f t="shared" si="162"/>
        <v/>
      </c>
      <c r="EO60" s="12" t="str">
        <f t="shared" si="163"/>
        <v/>
      </c>
      <c r="EP60" s="11" t="str">
        <f t="shared" si="164"/>
        <v/>
      </c>
      <c r="EQ60" s="7" t="str">
        <f t="shared" si="165"/>
        <v/>
      </c>
      <c r="ER60" s="9" t="str">
        <f t="shared" si="166"/>
        <v/>
      </c>
      <c r="ES60" s="24" t="str">
        <f t="shared" si="167"/>
        <v/>
      </c>
      <c r="ET60" s="7" t="str">
        <f t="shared" si="168"/>
        <v/>
      </c>
      <c r="EU60" s="12" t="str">
        <f t="shared" si="169"/>
        <v/>
      </c>
      <c r="EV60" s="337" t="str">
        <f t="shared" si="412"/>
        <v/>
      </c>
      <c r="EW60" s="11" t="str">
        <f t="shared" si="413"/>
        <v/>
      </c>
      <c r="EX60" s="7" t="str">
        <f t="shared" si="414"/>
        <v/>
      </c>
      <c r="EY60" s="8" t="str">
        <f t="shared" si="170"/>
        <v/>
      </c>
      <c r="EZ60" s="123" t="str">
        <f t="shared" si="171"/>
        <v/>
      </c>
      <c r="FA60" s="328" t="str">
        <f t="shared" si="415"/>
        <v/>
      </c>
      <c r="FB60" s="7" t="str">
        <f t="shared" si="416"/>
        <v/>
      </c>
      <c r="FC60" s="8" t="str">
        <f t="shared" si="417"/>
        <v/>
      </c>
      <c r="FD60" s="6" t="str">
        <f t="shared" si="418"/>
        <v/>
      </c>
      <c r="FE60" s="7" t="str">
        <f t="shared" si="419"/>
        <v/>
      </c>
      <c r="FF60" s="9" t="str">
        <f t="shared" si="172"/>
        <v/>
      </c>
      <c r="FG60" s="328" t="str">
        <f t="shared" si="420"/>
        <v/>
      </c>
      <c r="FH60" s="7" t="str">
        <f t="shared" si="421"/>
        <v/>
      </c>
      <c r="FI60" s="12" t="str">
        <f t="shared" si="422"/>
        <v/>
      </c>
      <c r="FJ60" s="547" t="str">
        <f t="shared" si="173"/>
        <v/>
      </c>
      <c r="FK60" s="6" t="str">
        <f t="shared" si="423"/>
        <v/>
      </c>
      <c r="FL60" s="7" t="str">
        <f t="shared" si="174"/>
        <v/>
      </c>
      <c r="FM60" s="10" t="str">
        <f t="shared" si="175"/>
        <v/>
      </c>
      <c r="FN60" s="11" t="str">
        <f t="shared" si="176"/>
        <v/>
      </c>
      <c r="FO60" s="12" t="str">
        <f t="shared" si="424"/>
        <v/>
      </c>
      <c r="FP60" s="545" t="str">
        <f t="shared" si="425"/>
        <v/>
      </c>
      <c r="FQ60" s="328" t="str">
        <f t="shared" si="205"/>
        <v/>
      </c>
      <c r="FR60" s="12" t="str">
        <f t="shared" si="177"/>
        <v/>
      </c>
      <c r="FS60" s="11" t="str">
        <f t="shared" si="178"/>
        <v/>
      </c>
      <c r="FT60" s="8" t="str">
        <f t="shared" si="179"/>
        <v/>
      </c>
      <c r="FU60" s="6" t="str">
        <f t="shared" si="180"/>
        <v/>
      </c>
      <c r="FV60" s="7" t="str">
        <f t="shared" si="181"/>
        <v/>
      </c>
      <c r="FW60" s="10" t="str">
        <f t="shared" si="206"/>
        <v/>
      </c>
      <c r="FX60" s="11" t="str">
        <f t="shared" si="207"/>
        <v/>
      </c>
      <c r="FY60" s="12" t="str">
        <f t="shared" si="426"/>
        <v/>
      </c>
      <c r="FZ60" s="545" t="str">
        <f t="shared" si="208"/>
        <v/>
      </c>
      <c r="GA60" s="372" t="str">
        <f t="shared" si="182"/>
        <v/>
      </c>
      <c r="GB60" s="46" t="str">
        <f t="shared" si="183"/>
        <v/>
      </c>
      <c r="GC60" s="47" t="str">
        <f t="shared" si="184"/>
        <v/>
      </c>
      <c r="GD60" s="578" t="str">
        <f t="shared" si="185"/>
        <v/>
      </c>
      <c r="GE60" s="585" t="str">
        <f t="shared" si="186"/>
        <v/>
      </c>
      <c r="GF60" s="634" t="str">
        <f t="shared" si="209"/>
        <v/>
      </c>
      <c r="GG60" s="553" t="str">
        <f t="shared" si="427"/>
        <v/>
      </c>
      <c r="GH60" s="554" t="str">
        <f t="shared" si="428"/>
        <v/>
      </c>
      <c r="GI60" s="549" t="str">
        <f t="shared" si="429"/>
        <v/>
      </c>
      <c r="GJ60" s="296" t="str">
        <f t="shared" si="187"/>
        <v/>
      </c>
      <c r="GK60" s="337" t="str">
        <f t="shared" si="430"/>
        <v/>
      </c>
      <c r="GL60" s="337" t="str">
        <f t="shared" si="188"/>
        <v/>
      </c>
      <c r="GM60" s="372" t="str">
        <f t="shared" si="210"/>
        <v/>
      </c>
      <c r="GN60" s="548" t="str">
        <f t="shared" si="189"/>
        <v/>
      </c>
      <c r="GO60" s="6" t="str">
        <f t="shared" si="190"/>
        <v/>
      </c>
      <c r="GP60" s="10" t="str">
        <f t="shared" si="211"/>
        <v/>
      </c>
      <c r="GQ60" s="372" t="str">
        <f t="shared" si="191"/>
        <v/>
      </c>
      <c r="GR60" s="697" t="str">
        <f t="shared" si="212"/>
        <v/>
      </c>
      <c r="GS60" s="637" t="str">
        <f t="shared" si="431"/>
        <v/>
      </c>
      <c r="GT60" s="638" t="str">
        <f t="shared" si="432"/>
        <v/>
      </c>
      <c r="GU60" s="639" t="str">
        <f t="shared" si="433"/>
        <v/>
      </c>
      <c r="GV60" s="638" t="str">
        <f t="shared" si="192"/>
        <v/>
      </c>
      <c r="GW60" s="640" t="str">
        <f t="shared" si="434"/>
        <v/>
      </c>
      <c r="GX60" s="641" t="str">
        <f t="shared" si="435"/>
        <v/>
      </c>
      <c r="GY60" s="639" t="str">
        <f t="shared" si="436"/>
        <v/>
      </c>
      <c r="GZ60" s="640" t="str">
        <f t="shared" si="437"/>
        <v/>
      </c>
      <c r="HA60" s="637" t="str">
        <f t="shared" si="438"/>
        <v/>
      </c>
      <c r="HB60" s="7" t="str">
        <f t="shared" si="193"/>
        <v/>
      </c>
      <c r="HC60" s="638" t="str">
        <f t="shared" si="194"/>
        <v/>
      </c>
      <c r="HD60" s="682" t="str">
        <f t="shared" si="195"/>
        <v/>
      </c>
      <c r="HE60" s="639" t="str">
        <f t="shared" si="439"/>
        <v/>
      </c>
      <c r="HF60" s="7" t="str">
        <f t="shared" si="440"/>
        <v/>
      </c>
      <c r="HG60" s="638" t="str">
        <f t="shared" si="196"/>
        <v/>
      </c>
      <c r="HH60" s="644" t="str">
        <f t="shared" si="197"/>
        <v/>
      </c>
      <c r="HI60" s="596" t="str">
        <f t="shared" si="198"/>
        <v/>
      </c>
      <c r="HK60" s="584" t="str">
        <f t="shared" si="217"/>
        <v/>
      </c>
      <c r="HL60" s="583" t="str">
        <f t="shared" si="441"/>
        <v/>
      </c>
      <c r="HM60" s="643" t="str">
        <f t="shared" si="443"/>
        <v/>
      </c>
      <c r="HN60" s="660" t="str">
        <f t="shared" si="443"/>
        <v/>
      </c>
      <c r="HO60" s="661" t="str">
        <f t="shared" si="443"/>
        <v/>
      </c>
      <c r="HP60" s="656" t="str">
        <f t="shared" si="443"/>
        <v/>
      </c>
      <c r="HQ60" s="660" t="str">
        <f t="shared" si="443"/>
        <v/>
      </c>
      <c r="HR60" s="671" t="str">
        <f t="shared" si="443"/>
        <v/>
      </c>
      <c r="HS60" s="655" t="str">
        <f t="shared" si="443"/>
        <v/>
      </c>
      <c r="HT60" s="648" t="str">
        <f t="shared" si="443"/>
        <v/>
      </c>
      <c r="HU60" s="649" t="str">
        <f t="shared" si="443"/>
        <v/>
      </c>
      <c r="HV60" s="650" t="str">
        <f t="shared" si="443"/>
        <v/>
      </c>
      <c r="HW60" s="648" t="str">
        <f t="shared" si="443"/>
        <v/>
      </c>
      <c r="HX60" s="649" t="str">
        <f t="shared" si="443"/>
        <v/>
      </c>
      <c r="HY60" s="650" t="str">
        <f t="shared" si="443"/>
        <v/>
      </c>
      <c r="HZ60" s="648" t="str">
        <f t="shared" si="443"/>
        <v/>
      </c>
      <c r="IA60" s="649" t="str">
        <f t="shared" si="443"/>
        <v/>
      </c>
      <c r="IB60" s="716"/>
    </row>
    <row r="61" spans="2:238" ht="15" customHeight="1" x14ac:dyDescent="0.25">
      <c r="B61" s="143">
        <v>-2.3250600670966755</v>
      </c>
      <c r="C61" s="144">
        <v>2.8814379438877733</v>
      </c>
      <c r="D61" s="145">
        <v>-2.0670062340908024</v>
      </c>
      <c r="E61" s="146">
        <v>-0.62796859100846547</v>
      </c>
      <c r="F61" s="144">
        <v>0.77823868363554849</v>
      </c>
      <c r="G61" s="147">
        <v>2.2679489724587369E-7</v>
      </c>
      <c r="H61" s="146">
        <v>0.25700000000000001</v>
      </c>
      <c r="I61" s="144">
        <v>0.41499999999999992</v>
      </c>
      <c r="J61" s="306">
        <v>6.2309999999999999</v>
      </c>
      <c r="K61" s="699" t="str">
        <f t="shared" si="199"/>
        <v>Kunckle</v>
      </c>
      <c r="M61" s="292">
        <f t="shared" si="46"/>
        <v>6.2309999999999999</v>
      </c>
      <c r="N61" s="24">
        <f t="shared" si="47"/>
        <v>-2.3250600670966755</v>
      </c>
      <c r="O61" s="7">
        <f t="shared" si="48"/>
        <v>2.8814379438877733</v>
      </c>
      <c r="P61" s="12">
        <f t="shared" si="49"/>
        <v>-2.0670062340908024</v>
      </c>
      <c r="Q61" s="11">
        <f t="shared" si="85"/>
        <v>128.90039438347796</v>
      </c>
      <c r="R61" s="7">
        <f t="shared" si="50"/>
        <v>3.7025111667736796</v>
      </c>
      <c r="S61" s="8">
        <f t="shared" si="51"/>
        <v>-2.0670062340908024</v>
      </c>
      <c r="T61" s="6">
        <f t="shared" si="52"/>
        <v>2.8441896982386505</v>
      </c>
      <c r="U61" s="7">
        <f t="shared" si="53"/>
        <v>2.3704796773051924</v>
      </c>
      <c r="V61" s="10">
        <f t="shared" si="86"/>
        <v>-2.0670062340908024</v>
      </c>
      <c r="W61" s="11">
        <f t="shared" si="214"/>
        <v>39.809394252234611</v>
      </c>
      <c r="X61" s="7">
        <f t="shared" si="54"/>
        <v>3.7025111667736796</v>
      </c>
      <c r="Y61" s="9">
        <f t="shared" si="213"/>
        <v>-2.0670062340908024</v>
      </c>
      <c r="Z61" s="24">
        <f t="shared" si="87"/>
        <v>0.62796859100846547</v>
      </c>
      <c r="AA61" s="7">
        <f t="shared" si="55"/>
        <v>-0.77823868363554849</v>
      </c>
      <c r="AB61" s="7">
        <f t="shared" si="56"/>
        <v>-2.2679489724587369E-7</v>
      </c>
      <c r="AC61" s="10">
        <f t="shared" si="57"/>
        <v>1</v>
      </c>
      <c r="AD61" s="11">
        <f t="shared" si="88"/>
        <v>0.62796859100846547</v>
      </c>
      <c r="AE61" s="7">
        <f t="shared" si="58"/>
        <v>-0.77823868363554849</v>
      </c>
      <c r="AF61" s="12">
        <f t="shared" si="59"/>
        <v>-2.2679489724587369E-7</v>
      </c>
      <c r="AG61" s="6">
        <f t="shared" si="60"/>
        <v>-89.999983302821235</v>
      </c>
      <c r="AH61" s="12">
        <f t="shared" si="61"/>
        <v>51.099592622132832</v>
      </c>
      <c r="AI61" s="11">
        <f t="shared" si="62"/>
        <v>-89.999987005609569</v>
      </c>
      <c r="AJ61" s="8">
        <f t="shared" si="63"/>
        <v>38.900407377868362</v>
      </c>
      <c r="AK61" s="6">
        <f t="shared" si="89"/>
        <v>2.2679489680710319E-7</v>
      </c>
      <c r="AL61" s="7">
        <f t="shared" si="64"/>
        <v>-0.99999999999994871</v>
      </c>
      <c r="AM61" s="8">
        <f t="shared" si="65"/>
        <v>-2.2679489724587369E-7</v>
      </c>
      <c r="AN61" s="6">
        <f t="shared" si="66"/>
        <v>-89.999987005609583</v>
      </c>
      <c r="AO61" s="10">
        <f t="shared" si="376"/>
        <v>0</v>
      </c>
      <c r="AP61" s="11">
        <f t="shared" si="67"/>
        <v>-89.999987005609611</v>
      </c>
      <c r="AQ61" s="8">
        <f t="shared" si="200"/>
        <v>0.6157481481584921</v>
      </c>
      <c r="AS61" s="123">
        <f t="shared" si="90"/>
        <v>-320.1906057477654</v>
      </c>
      <c r="AT61" s="174">
        <f t="shared" si="68"/>
        <v>-1.8440203968571065</v>
      </c>
      <c r="AV61" s="292" t="str">
        <f t="shared" si="91"/>
        <v/>
      </c>
      <c r="AW61" s="709"/>
      <c r="AX61" s="710"/>
      <c r="AY61" s="711"/>
      <c r="AZ61" s="565" t="str">
        <f t="shared" si="92"/>
        <v/>
      </c>
      <c r="BA61" s="564" t="str">
        <f t="shared" si="93"/>
        <v/>
      </c>
      <c r="BB61" s="372" t="str">
        <f t="shared" si="94"/>
        <v/>
      </c>
      <c r="BC61" s="11"/>
      <c r="BD61" s="7" t="str">
        <f t="shared" si="95"/>
        <v/>
      </c>
      <c r="BE61" s="8" t="str">
        <f t="shared" si="96"/>
        <v/>
      </c>
      <c r="BF61" s="6" t="str">
        <f t="shared" si="97"/>
        <v/>
      </c>
      <c r="BG61" s="7" t="str">
        <f t="shared" si="98"/>
        <v/>
      </c>
      <c r="BH61" s="12" t="str">
        <f t="shared" si="99"/>
        <v/>
      </c>
      <c r="BI61" s="11" t="str">
        <f t="shared" si="100"/>
        <v/>
      </c>
      <c r="BJ61" s="7" t="str">
        <f t="shared" si="101"/>
        <v/>
      </c>
      <c r="BK61" s="10" t="str">
        <f t="shared" si="102"/>
        <v/>
      </c>
      <c r="BL61" s="328" t="str">
        <f t="shared" si="103"/>
        <v/>
      </c>
      <c r="BM61" s="7" t="str">
        <f t="shared" si="104"/>
        <v/>
      </c>
      <c r="BN61" s="8" t="str">
        <f t="shared" si="105"/>
        <v/>
      </c>
      <c r="BO61" s="6" t="str">
        <f t="shared" si="106"/>
        <v/>
      </c>
      <c r="BP61" s="7" t="str">
        <f t="shared" si="107"/>
        <v/>
      </c>
      <c r="BQ61" s="7" t="str">
        <f t="shared" si="108"/>
        <v/>
      </c>
      <c r="BR61" s="8" t="str">
        <f t="shared" si="109"/>
        <v/>
      </c>
      <c r="BS61" s="6" t="str">
        <f t="shared" si="409"/>
        <v/>
      </c>
      <c r="BT61" s="7" t="str">
        <f t="shared" si="409"/>
        <v/>
      </c>
      <c r="BU61" s="12" t="str">
        <f t="shared" si="70"/>
        <v/>
      </c>
      <c r="BV61" s="11" t="str">
        <f t="shared" si="71"/>
        <v/>
      </c>
      <c r="BW61" s="7" t="str">
        <f t="shared" si="72"/>
        <v/>
      </c>
      <c r="BX61" s="10" t="str">
        <f t="shared" si="73"/>
        <v/>
      </c>
      <c r="BY61" s="328" t="str">
        <f t="shared" si="74"/>
        <v/>
      </c>
      <c r="BZ61" s="7" t="str">
        <f t="shared" si="75"/>
        <v/>
      </c>
      <c r="CA61" s="8" t="str">
        <f t="shared" si="76"/>
        <v/>
      </c>
      <c r="CB61" s="6" t="str">
        <f t="shared" si="110"/>
        <v/>
      </c>
      <c r="CC61" s="7" t="str">
        <f t="shared" si="111"/>
        <v/>
      </c>
      <c r="CD61" s="7" t="str">
        <f t="shared" si="112"/>
        <v/>
      </c>
      <c r="CE61" s="8" t="str">
        <f t="shared" si="113"/>
        <v/>
      </c>
      <c r="CF61" s="6" t="str">
        <f t="shared" si="114"/>
        <v/>
      </c>
      <c r="CG61" s="7" t="str">
        <f t="shared" si="115"/>
        <v/>
      </c>
      <c r="CH61" s="7" t="str">
        <f t="shared" si="116"/>
        <v/>
      </c>
      <c r="CI61" s="6" t="str">
        <f t="shared" si="77"/>
        <v/>
      </c>
      <c r="CJ61" s="7" t="str">
        <f t="shared" si="78"/>
        <v/>
      </c>
      <c r="CK61" s="10" t="str">
        <f t="shared" si="79"/>
        <v/>
      </c>
      <c r="CL61" s="328" t="str">
        <f t="shared" si="80"/>
        <v/>
      </c>
      <c r="CM61" s="7" t="str">
        <f t="shared" si="81"/>
        <v/>
      </c>
      <c r="CN61" s="8" t="str">
        <f t="shared" si="82"/>
        <v/>
      </c>
      <c r="CO61" s="296" t="str">
        <f t="shared" si="201"/>
        <v/>
      </c>
      <c r="CP61" s="6" t="str">
        <f t="shared" si="202"/>
        <v/>
      </c>
      <c r="CQ61" s="7" t="str">
        <f t="shared" si="203"/>
        <v/>
      </c>
      <c r="CR61" s="7" t="str">
        <f t="shared" si="117"/>
        <v/>
      </c>
      <c r="CS61" s="10" t="str">
        <f t="shared" si="118"/>
        <v/>
      </c>
      <c r="CT61" s="11" t="str">
        <f t="shared" si="119"/>
        <v/>
      </c>
      <c r="CU61" s="8" t="str">
        <f t="shared" si="120"/>
        <v/>
      </c>
      <c r="CV61" s="6" t="str">
        <f t="shared" si="204"/>
        <v/>
      </c>
      <c r="CW61" s="7" t="str">
        <f t="shared" si="121"/>
        <v/>
      </c>
      <c r="CX61" s="10" t="str">
        <f t="shared" si="122"/>
        <v/>
      </c>
      <c r="CY61" s="11" t="str">
        <f t="shared" si="123"/>
        <v/>
      </c>
      <c r="CZ61" s="7" t="str">
        <f t="shared" si="124"/>
        <v/>
      </c>
      <c r="DA61" s="8" t="str">
        <f t="shared" si="125"/>
        <v/>
      </c>
      <c r="DB61" s="6" t="str">
        <f t="shared" si="410"/>
        <v/>
      </c>
      <c r="DC61" s="7" t="str">
        <f t="shared" si="410"/>
        <v/>
      </c>
      <c r="DD61" s="12" t="str">
        <f t="shared" si="127"/>
        <v/>
      </c>
      <c r="DE61" s="11" t="str">
        <f t="shared" si="411"/>
        <v/>
      </c>
      <c r="DF61" s="7" t="str">
        <f t="shared" si="411"/>
        <v/>
      </c>
      <c r="DG61" s="12" t="str">
        <f t="shared" si="129"/>
        <v/>
      </c>
      <c r="DH61" s="174" t="str">
        <f t="shared" si="130"/>
        <v/>
      </c>
      <c r="DI61" s="6" t="str">
        <f t="shared" si="131"/>
        <v/>
      </c>
      <c r="DJ61" s="7" t="str">
        <f t="shared" si="132"/>
        <v/>
      </c>
      <c r="DK61" s="12" t="str">
        <f t="shared" si="133"/>
        <v/>
      </c>
      <c r="DL61" s="11" t="str">
        <f t="shared" si="134"/>
        <v/>
      </c>
      <c r="DM61" s="328" t="str">
        <f t="shared" si="135"/>
        <v/>
      </c>
      <c r="DN61" s="376" t="str">
        <f t="shared" si="136"/>
        <v/>
      </c>
      <c r="DO61" s="11" t="str">
        <f t="shared" si="137"/>
        <v/>
      </c>
      <c r="DP61" s="328" t="str">
        <f t="shared" si="138"/>
        <v/>
      </c>
      <c r="DQ61" s="13" t="str">
        <f t="shared" si="139"/>
        <v/>
      </c>
      <c r="DR61" s="328" t="str">
        <f t="shared" si="140"/>
        <v/>
      </c>
      <c r="DS61" s="7" t="str">
        <f t="shared" si="141"/>
        <v/>
      </c>
      <c r="DT61" s="7" t="str">
        <f t="shared" si="142"/>
        <v/>
      </c>
      <c r="DU61" s="7" t="str">
        <f t="shared" si="143"/>
        <v/>
      </c>
      <c r="DV61" s="7" t="str">
        <f t="shared" si="144"/>
        <v/>
      </c>
      <c r="DW61" s="7" t="str">
        <f t="shared" si="145"/>
        <v/>
      </c>
      <c r="DX61" s="296" t="str">
        <f t="shared" si="146"/>
        <v/>
      </c>
      <c r="DY61" s="11" t="str">
        <f t="shared" si="147"/>
        <v/>
      </c>
      <c r="DZ61" s="7" t="str">
        <f t="shared" si="148"/>
        <v/>
      </c>
      <c r="EA61" s="12" t="str">
        <f t="shared" si="149"/>
        <v/>
      </c>
      <c r="EB61" s="8" t="str">
        <f t="shared" si="150"/>
        <v/>
      </c>
      <c r="EC61" s="328" t="str">
        <f t="shared" si="151"/>
        <v/>
      </c>
      <c r="ED61" s="7" t="str">
        <f t="shared" si="152"/>
        <v/>
      </c>
      <c r="EE61" s="6" t="str">
        <f t="shared" si="153"/>
        <v/>
      </c>
      <c r="EF61" s="7" t="str">
        <f t="shared" si="154"/>
        <v/>
      </c>
      <c r="EG61" s="12" t="str">
        <f t="shared" si="155"/>
        <v/>
      </c>
      <c r="EH61" s="11" t="str">
        <f t="shared" si="156"/>
        <v/>
      </c>
      <c r="EI61" s="7" t="str">
        <f t="shared" si="157"/>
        <v/>
      </c>
      <c r="EJ61" s="8" t="str">
        <f t="shared" si="158"/>
        <v/>
      </c>
      <c r="EK61" s="491" t="str">
        <f t="shared" si="159"/>
        <v/>
      </c>
      <c r="EL61" s="493" t="str">
        <f t="shared" si="160"/>
        <v/>
      </c>
      <c r="EM61" s="6" t="str">
        <f t="shared" si="161"/>
        <v/>
      </c>
      <c r="EN61" s="7" t="str">
        <f t="shared" si="162"/>
        <v/>
      </c>
      <c r="EO61" s="12" t="str">
        <f t="shared" si="163"/>
        <v/>
      </c>
      <c r="EP61" s="11" t="str">
        <f t="shared" si="164"/>
        <v/>
      </c>
      <c r="EQ61" s="7" t="str">
        <f t="shared" si="165"/>
        <v/>
      </c>
      <c r="ER61" s="9" t="str">
        <f t="shared" si="166"/>
        <v/>
      </c>
      <c r="ES61" s="24" t="str">
        <f t="shared" si="167"/>
        <v/>
      </c>
      <c r="ET61" s="7" t="str">
        <f t="shared" si="168"/>
        <v/>
      </c>
      <c r="EU61" s="12" t="str">
        <f t="shared" si="169"/>
        <v/>
      </c>
      <c r="EV61" s="337" t="str">
        <f t="shared" si="412"/>
        <v/>
      </c>
      <c r="EW61" s="11" t="str">
        <f t="shared" si="413"/>
        <v/>
      </c>
      <c r="EX61" s="7" t="str">
        <f t="shared" si="414"/>
        <v/>
      </c>
      <c r="EY61" s="8" t="str">
        <f t="shared" si="170"/>
        <v/>
      </c>
      <c r="EZ61" s="123" t="str">
        <f t="shared" si="171"/>
        <v/>
      </c>
      <c r="FA61" s="328" t="str">
        <f t="shared" si="415"/>
        <v/>
      </c>
      <c r="FB61" s="7" t="str">
        <f t="shared" si="416"/>
        <v/>
      </c>
      <c r="FC61" s="8" t="str">
        <f t="shared" si="417"/>
        <v/>
      </c>
      <c r="FD61" s="6" t="str">
        <f t="shared" si="418"/>
        <v/>
      </c>
      <c r="FE61" s="7" t="str">
        <f t="shared" si="419"/>
        <v/>
      </c>
      <c r="FF61" s="9" t="str">
        <f t="shared" si="172"/>
        <v/>
      </c>
      <c r="FG61" s="328" t="str">
        <f t="shared" si="420"/>
        <v/>
      </c>
      <c r="FH61" s="7" t="str">
        <f t="shared" si="421"/>
        <v/>
      </c>
      <c r="FI61" s="12" t="str">
        <f t="shared" si="422"/>
        <v/>
      </c>
      <c r="FJ61" s="547" t="str">
        <f t="shared" si="173"/>
        <v/>
      </c>
      <c r="FK61" s="6" t="str">
        <f t="shared" si="423"/>
        <v/>
      </c>
      <c r="FL61" s="7" t="str">
        <f t="shared" si="174"/>
        <v/>
      </c>
      <c r="FM61" s="10" t="str">
        <f t="shared" si="175"/>
        <v/>
      </c>
      <c r="FN61" s="11" t="str">
        <f t="shared" si="176"/>
        <v/>
      </c>
      <c r="FO61" s="12" t="str">
        <f t="shared" si="424"/>
        <v/>
      </c>
      <c r="FP61" s="545" t="str">
        <f t="shared" si="425"/>
        <v/>
      </c>
      <c r="FQ61" s="328" t="str">
        <f t="shared" si="205"/>
        <v/>
      </c>
      <c r="FR61" s="12" t="str">
        <f t="shared" si="177"/>
        <v/>
      </c>
      <c r="FS61" s="11" t="str">
        <f t="shared" si="178"/>
        <v/>
      </c>
      <c r="FT61" s="8" t="str">
        <f t="shared" si="179"/>
        <v/>
      </c>
      <c r="FU61" s="6" t="str">
        <f t="shared" si="180"/>
        <v/>
      </c>
      <c r="FV61" s="7" t="str">
        <f t="shared" si="181"/>
        <v/>
      </c>
      <c r="FW61" s="10" t="str">
        <f t="shared" si="206"/>
        <v/>
      </c>
      <c r="FX61" s="11" t="str">
        <f t="shared" si="207"/>
        <v/>
      </c>
      <c r="FY61" s="12" t="str">
        <f t="shared" si="426"/>
        <v/>
      </c>
      <c r="FZ61" s="545" t="str">
        <f t="shared" si="208"/>
        <v/>
      </c>
      <c r="GA61" s="372" t="str">
        <f t="shared" si="182"/>
        <v/>
      </c>
      <c r="GB61" s="46" t="str">
        <f t="shared" si="183"/>
        <v/>
      </c>
      <c r="GC61" s="47" t="str">
        <f t="shared" si="184"/>
        <v/>
      </c>
      <c r="GD61" s="578" t="str">
        <f t="shared" si="185"/>
        <v/>
      </c>
      <c r="GE61" s="585" t="str">
        <f t="shared" si="186"/>
        <v/>
      </c>
      <c r="GF61" s="634" t="str">
        <f t="shared" si="209"/>
        <v/>
      </c>
      <c r="GG61" s="553" t="str">
        <f t="shared" si="427"/>
        <v/>
      </c>
      <c r="GH61" s="554" t="str">
        <f t="shared" si="428"/>
        <v/>
      </c>
      <c r="GI61" s="549" t="str">
        <f t="shared" si="429"/>
        <v/>
      </c>
      <c r="GJ61" s="296" t="str">
        <f t="shared" si="187"/>
        <v/>
      </c>
      <c r="GK61" s="337" t="str">
        <f t="shared" si="430"/>
        <v/>
      </c>
      <c r="GL61" s="337" t="str">
        <f t="shared" si="188"/>
        <v/>
      </c>
      <c r="GM61" s="372" t="str">
        <f t="shared" si="210"/>
        <v/>
      </c>
      <c r="GN61" s="548" t="str">
        <f t="shared" si="189"/>
        <v/>
      </c>
      <c r="GO61" s="6" t="str">
        <f t="shared" si="190"/>
        <v/>
      </c>
      <c r="GP61" s="10" t="str">
        <f t="shared" si="211"/>
        <v/>
      </c>
      <c r="GQ61" s="372" t="str">
        <f t="shared" si="191"/>
        <v/>
      </c>
      <c r="GR61" s="697" t="str">
        <f t="shared" si="212"/>
        <v/>
      </c>
      <c r="GS61" s="637" t="str">
        <f t="shared" si="431"/>
        <v/>
      </c>
      <c r="GT61" s="638" t="str">
        <f t="shared" si="432"/>
        <v/>
      </c>
      <c r="GU61" s="639" t="str">
        <f t="shared" si="433"/>
        <v/>
      </c>
      <c r="GV61" s="638" t="str">
        <f t="shared" si="192"/>
        <v/>
      </c>
      <c r="GW61" s="640" t="str">
        <f t="shared" si="434"/>
        <v/>
      </c>
      <c r="GX61" s="641" t="str">
        <f t="shared" si="435"/>
        <v/>
      </c>
      <c r="GY61" s="639" t="str">
        <f t="shared" si="436"/>
        <v/>
      </c>
      <c r="GZ61" s="640" t="str">
        <f t="shared" si="437"/>
        <v/>
      </c>
      <c r="HA61" s="637" t="str">
        <f t="shared" si="438"/>
        <v/>
      </c>
      <c r="HB61" s="7" t="str">
        <f t="shared" si="193"/>
        <v/>
      </c>
      <c r="HC61" s="638" t="str">
        <f t="shared" si="194"/>
        <v/>
      </c>
      <c r="HD61" s="682" t="str">
        <f t="shared" si="195"/>
        <v/>
      </c>
      <c r="HE61" s="639" t="str">
        <f t="shared" si="439"/>
        <v/>
      </c>
      <c r="HF61" s="7" t="str">
        <f t="shared" si="440"/>
        <v/>
      </c>
      <c r="HG61" s="638" t="str">
        <f t="shared" si="196"/>
        <v/>
      </c>
      <c r="HH61" s="644" t="str">
        <f t="shared" si="197"/>
        <v/>
      </c>
      <c r="HI61" s="596" t="str">
        <f t="shared" si="198"/>
        <v/>
      </c>
      <c r="HK61" s="584" t="str">
        <f t="shared" si="217"/>
        <v/>
      </c>
      <c r="HL61" s="583" t="str">
        <f t="shared" si="441"/>
        <v/>
      </c>
      <c r="HM61" s="643" t="str">
        <f t="shared" si="443"/>
        <v/>
      </c>
      <c r="HN61" s="660" t="str">
        <f t="shared" si="443"/>
        <v/>
      </c>
      <c r="HO61" s="661" t="str">
        <f t="shared" si="443"/>
        <v/>
      </c>
      <c r="HP61" s="656" t="str">
        <f t="shared" si="443"/>
        <v/>
      </c>
      <c r="HQ61" s="660" t="str">
        <f t="shared" si="443"/>
        <v/>
      </c>
      <c r="HR61" s="671" t="str">
        <f t="shared" si="443"/>
        <v/>
      </c>
      <c r="HS61" s="655" t="str">
        <f t="shared" si="443"/>
        <v/>
      </c>
      <c r="HT61" s="648" t="str">
        <f t="shared" si="443"/>
        <v/>
      </c>
      <c r="HU61" s="649" t="str">
        <f t="shared" si="443"/>
        <v/>
      </c>
      <c r="HV61" s="650" t="str">
        <f t="shared" si="443"/>
        <v/>
      </c>
      <c r="HW61" s="648" t="str">
        <f t="shared" si="443"/>
        <v/>
      </c>
      <c r="HX61" s="649" t="str">
        <f t="shared" si="443"/>
        <v/>
      </c>
      <c r="HY61" s="650" t="str">
        <f t="shared" si="443"/>
        <v/>
      </c>
      <c r="HZ61" s="648" t="str">
        <f t="shared" si="443"/>
        <v/>
      </c>
      <c r="IA61" s="649" t="str">
        <f t="shared" si="443"/>
        <v/>
      </c>
      <c r="IB61" s="716"/>
    </row>
    <row r="62" spans="2:238" ht="15" customHeight="1" x14ac:dyDescent="0.25">
      <c r="B62" s="143"/>
      <c r="C62" s="144"/>
      <c r="D62" s="145"/>
      <c r="E62" s="146"/>
      <c r="F62" s="144"/>
      <c r="G62" s="147"/>
      <c r="H62" s="146"/>
      <c r="I62" s="144"/>
      <c r="J62" s="306"/>
      <c r="K62" s="699" t="str">
        <f t="shared" si="199"/>
        <v/>
      </c>
      <c r="M62" s="292" t="str">
        <f t="shared" si="46"/>
        <v/>
      </c>
      <c r="N62" s="24" t="str">
        <f t="shared" si="47"/>
        <v/>
      </c>
      <c r="O62" s="7" t="str">
        <f t="shared" si="48"/>
        <v/>
      </c>
      <c r="P62" s="12" t="str">
        <f t="shared" si="49"/>
        <v/>
      </c>
      <c r="Q62" s="11" t="str">
        <f t="shared" si="85"/>
        <v/>
      </c>
      <c r="R62" s="7" t="str">
        <f t="shared" si="50"/>
        <v/>
      </c>
      <c r="S62" s="8" t="str">
        <f t="shared" si="51"/>
        <v/>
      </c>
      <c r="T62" s="6" t="str">
        <f t="shared" si="52"/>
        <v/>
      </c>
      <c r="U62" s="7" t="str">
        <f t="shared" si="53"/>
        <v/>
      </c>
      <c r="V62" s="10" t="str">
        <f t="shared" si="86"/>
        <v/>
      </c>
      <c r="W62" s="11" t="str">
        <f t="shared" si="214"/>
        <v/>
      </c>
      <c r="X62" s="7" t="str">
        <f t="shared" si="54"/>
        <v/>
      </c>
      <c r="Y62" s="9" t="str">
        <f t="shared" si="213"/>
        <v/>
      </c>
      <c r="Z62" s="24" t="str">
        <f t="shared" si="87"/>
        <v/>
      </c>
      <c r="AA62" s="7" t="str">
        <f t="shared" si="55"/>
        <v/>
      </c>
      <c r="AB62" s="7" t="str">
        <f t="shared" si="56"/>
        <v/>
      </c>
      <c r="AC62" s="10" t="str">
        <f t="shared" si="57"/>
        <v/>
      </c>
      <c r="AD62" s="11" t="str">
        <f t="shared" si="88"/>
        <v/>
      </c>
      <c r="AE62" s="7" t="str">
        <f t="shared" si="58"/>
        <v/>
      </c>
      <c r="AF62" s="12" t="str">
        <f t="shared" si="59"/>
        <v/>
      </c>
      <c r="AG62" s="6" t="str">
        <f t="shared" si="60"/>
        <v/>
      </c>
      <c r="AH62" s="12" t="str">
        <f t="shared" si="61"/>
        <v/>
      </c>
      <c r="AI62" s="11" t="str">
        <f t="shared" si="62"/>
        <v/>
      </c>
      <c r="AJ62" s="8" t="str">
        <f t="shared" si="63"/>
        <v/>
      </c>
      <c r="AK62" s="6" t="str">
        <f t="shared" si="89"/>
        <v/>
      </c>
      <c r="AL62" s="7" t="str">
        <f t="shared" si="64"/>
        <v/>
      </c>
      <c r="AM62" s="8" t="str">
        <f t="shared" si="65"/>
        <v/>
      </c>
      <c r="AN62" s="6" t="str">
        <f t="shared" si="66"/>
        <v/>
      </c>
      <c r="AO62" s="10" t="str">
        <f t="shared" si="376"/>
        <v/>
      </c>
      <c r="AP62" s="11" t="str">
        <f t="shared" si="67"/>
        <v/>
      </c>
      <c r="AQ62" s="8" t="str">
        <f t="shared" si="200"/>
        <v/>
      </c>
      <c r="AS62" s="123" t="str">
        <f t="shared" si="90"/>
        <v/>
      </c>
      <c r="AT62" s="174" t="str">
        <f t="shared" si="68"/>
        <v/>
      </c>
      <c r="AV62" s="292" t="str">
        <f t="shared" si="91"/>
        <v/>
      </c>
      <c r="AW62" s="709"/>
      <c r="AX62" s="710"/>
      <c r="AY62" s="711"/>
      <c r="AZ62" s="565" t="str">
        <f t="shared" si="92"/>
        <v/>
      </c>
      <c r="BA62" s="564" t="str">
        <f t="shared" si="93"/>
        <v/>
      </c>
      <c r="BB62" s="372" t="str">
        <f t="shared" si="94"/>
        <v/>
      </c>
      <c r="BC62" s="11"/>
      <c r="BD62" s="7" t="str">
        <f t="shared" si="95"/>
        <v/>
      </c>
      <c r="BE62" s="8" t="str">
        <f t="shared" si="96"/>
        <v/>
      </c>
      <c r="BF62" s="6" t="str">
        <f t="shared" si="97"/>
        <v/>
      </c>
      <c r="BG62" s="7" t="str">
        <f t="shared" si="98"/>
        <v/>
      </c>
      <c r="BH62" s="12" t="str">
        <f t="shared" si="99"/>
        <v/>
      </c>
      <c r="BI62" s="11" t="str">
        <f t="shared" si="100"/>
        <v/>
      </c>
      <c r="BJ62" s="7" t="str">
        <f t="shared" si="101"/>
        <v/>
      </c>
      <c r="BK62" s="10" t="str">
        <f t="shared" si="102"/>
        <v/>
      </c>
      <c r="BL62" s="328" t="str">
        <f t="shared" si="103"/>
        <v/>
      </c>
      <c r="BM62" s="7" t="str">
        <f t="shared" si="104"/>
        <v/>
      </c>
      <c r="BN62" s="8" t="str">
        <f t="shared" si="105"/>
        <v/>
      </c>
      <c r="BO62" s="6" t="str">
        <f t="shared" si="106"/>
        <v/>
      </c>
      <c r="BP62" s="7" t="str">
        <f t="shared" si="107"/>
        <v/>
      </c>
      <c r="BQ62" s="7" t="str">
        <f t="shared" si="108"/>
        <v/>
      </c>
      <c r="BR62" s="8" t="str">
        <f t="shared" si="109"/>
        <v/>
      </c>
      <c r="BS62" s="6" t="str">
        <f t="shared" si="409"/>
        <v/>
      </c>
      <c r="BT62" s="7" t="str">
        <f t="shared" si="409"/>
        <v/>
      </c>
      <c r="BU62" s="12" t="str">
        <f t="shared" si="70"/>
        <v/>
      </c>
      <c r="BV62" s="11" t="str">
        <f t="shared" si="71"/>
        <v/>
      </c>
      <c r="BW62" s="7" t="str">
        <f t="shared" si="72"/>
        <v/>
      </c>
      <c r="BX62" s="10" t="str">
        <f t="shared" si="73"/>
        <v/>
      </c>
      <c r="BY62" s="328" t="str">
        <f t="shared" si="74"/>
        <v/>
      </c>
      <c r="BZ62" s="7" t="str">
        <f t="shared" si="75"/>
        <v/>
      </c>
      <c r="CA62" s="8" t="str">
        <f t="shared" si="76"/>
        <v/>
      </c>
      <c r="CB62" s="6" t="str">
        <f t="shared" si="110"/>
        <v/>
      </c>
      <c r="CC62" s="7" t="str">
        <f t="shared" si="111"/>
        <v/>
      </c>
      <c r="CD62" s="7" t="str">
        <f t="shared" si="112"/>
        <v/>
      </c>
      <c r="CE62" s="8" t="str">
        <f t="shared" si="113"/>
        <v/>
      </c>
      <c r="CF62" s="6" t="str">
        <f t="shared" si="114"/>
        <v/>
      </c>
      <c r="CG62" s="7" t="str">
        <f t="shared" si="115"/>
        <v/>
      </c>
      <c r="CH62" s="7" t="str">
        <f t="shared" si="116"/>
        <v/>
      </c>
      <c r="CI62" s="6" t="str">
        <f t="shared" si="77"/>
        <v/>
      </c>
      <c r="CJ62" s="7" t="str">
        <f t="shared" si="78"/>
        <v/>
      </c>
      <c r="CK62" s="10" t="str">
        <f t="shared" si="79"/>
        <v/>
      </c>
      <c r="CL62" s="328" t="str">
        <f t="shared" si="80"/>
        <v/>
      </c>
      <c r="CM62" s="7" t="str">
        <f t="shared" si="81"/>
        <v/>
      </c>
      <c r="CN62" s="8" t="str">
        <f t="shared" si="82"/>
        <v/>
      </c>
      <c r="CO62" s="296" t="str">
        <f t="shared" si="201"/>
        <v/>
      </c>
      <c r="CP62" s="6" t="str">
        <f t="shared" si="202"/>
        <v/>
      </c>
      <c r="CQ62" s="7" t="str">
        <f t="shared" si="203"/>
        <v/>
      </c>
      <c r="CR62" s="7" t="str">
        <f t="shared" si="117"/>
        <v/>
      </c>
      <c r="CS62" s="10" t="str">
        <f t="shared" si="118"/>
        <v/>
      </c>
      <c r="CT62" s="11" t="str">
        <f t="shared" si="119"/>
        <v/>
      </c>
      <c r="CU62" s="8" t="str">
        <f t="shared" si="120"/>
        <v/>
      </c>
      <c r="CV62" s="6" t="str">
        <f t="shared" si="204"/>
        <v/>
      </c>
      <c r="CW62" s="7" t="str">
        <f t="shared" si="121"/>
        <v/>
      </c>
      <c r="CX62" s="10" t="str">
        <f t="shared" si="122"/>
        <v/>
      </c>
      <c r="CY62" s="11" t="str">
        <f t="shared" si="123"/>
        <v/>
      </c>
      <c r="CZ62" s="7" t="str">
        <f t="shared" si="124"/>
        <v/>
      </c>
      <c r="DA62" s="8" t="str">
        <f t="shared" si="125"/>
        <v/>
      </c>
      <c r="DB62" s="6" t="str">
        <f t="shared" si="410"/>
        <v/>
      </c>
      <c r="DC62" s="7" t="str">
        <f t="shared" si="410"/>
        <v/>
      </c>
      <c r="DD62" s="12" t="str">
        <f t="shared" si="127"/>
        <v/>
      </c>
      <c r="DE62" s="11" t="str">
        <f t="shared" si="411"/>
        <v/>
      </c>
      <c r="DF62" s="7" t="str">
        <f t="shared" si="411"/>
        <v/>
      </c>
      <c r="DG62" s="12" t="str">
        <f t="shared" si="129"/>
        <v/>
      </c>
      <c r="DH62" s="174" t="str">
        <f t="shared" si="130"/>
        <v/>
      </c>
      <c r="DI62" s="6" t="str">
        <f t="shared" si="131"/>
        <v/>
      </c>
      <c r="DJ62" s="7" t="str">
        <f t="shared" si="132"/>
        <v/>
      </c>
      <c r="DK62" s="12" t="str">
        <f t="shared" si="133"/>
        <v/>
      </c>
      <c r="DL62" s="11" t="str">
        <f t="shared" si="134"/>
        <v/>
      </c>
      <c r="DM62" s="328" t="str">
        <f t="shared" si="135"/>
        <v/>
      </c>
      <c r="DN62" s="376" t="str">
        <f t="shared" si="136"/>
        <v/>
      </c>
      <c r="DO62" s="11" t="str">
        <f t="shared" si="137"/>
        <v/>
      </c>
      <c r="DP62" s="328" t="str">
        <f t="shared" si="138"/>
        <v/>
      </c>
      <c r="DQ62" s="13" t="str">
        <f t="shared" si="139"/>
        <v/>
      </c>
      <c r="DR62" s="328" t="str">
        <f t="shared" si="140"/>
        <v/>
      </c>
      <c r="DS62" s="7" t="str">
        <f t="shared" si="141"/>
        <v/>
      </c>
      <c r="DT62" s="7" t="str">
        <f t="shared" si="142"/>
        <v/>
      </c>
      <c r="DU62" s="7" t="str">
        <f t="shared" si="143"/>
        <v/>
      </c>
      <c r="DV62" s="7" t="str">
        <f t="shared" si="144"/>
        <v/>
      </c>
      <c r="DW62" s="7" t="str">
        <f t="shared" si="145"/>
        <v/>
      </c>
      <c r="DX62" s="296" t="str">
        <f t="shared" si="146"/>
        <v/>
      </c>
      <c r="DY62" s="11" t="str">
        <f t="shared" si="147"/>
        <v/>
      </c>
      <c r="DZ62" s="7" t="str">
        <f t="shared" si="148"/>
        <v/>
      </c>
      <c r="EA62" s="12" t="str">
        <f t="shared" si="149"/>
        <v/>
      </c>
      <c r="EB62" s="8" t="str">
        <f t="shared" si="150"/>
        <v/>
      </c>
      <c r="EC62" s="328" t="str">
        <f t="shared" si="151"/>
        <v/>
      </c>
      <c r="ED62" s="7" t="str">
        <f t="shared" si="152"/>
        <v/>
      </c>
      <c r="EE62" s="6" t="str">
        <f t="shared" si="153"/>
        <v/>
      </c>
      <c r="EF62" s="7" t="str">
        <f t="shared" si="154"/>
        <v/>
      </c>
      <c r="EG62" s="12" t="str">
        <f t="shared" si="155"/>
        <v/>
      </c>
      <c r="EH62" s="11" t="str">
        <f t="shared" si="156"/>
        <v/>
      </c>
      <c r="EI62" s="7" t="str">
        <f t="shared" si="157"/>
        <v/>
      </c>
      <c r="EJ62" s="8" t="str">
        <f t="shared" si="158"/>
        <v/>
      </c>
      <c r="EK62" s="491" t="str">
        <f t="shared" si="159"/>
        <v/>
      </c>
      <c r="EL62" s="493" t="str">
        <f t="shared" si="160"/>
        <v/>
      </c>
      <c r="EM62" s="6" t="str">
        <f t="shared" si="161"/>
        <v/>
      </c>
      <c r="EN62" s="7" t="str">
        <f t="shared" si="162"/>
        <v/>
      </c>
      <c r="EO62" s="12" t="str">
        <f t="shared" si="163"/>
        <v/>
      </c>
      <c r="EP62" s="11" t="str">
        <f t="shared" si="164"/>
        <v/>
      </c>
      <c r="EQ62" s="7" t="str">
        <f t="shared" si="165"/>
        <v/>
      </c>
      <c r="ER62" s="9" t="str">
        <f t="shared" si="166"/>
        <v/>
      </c>
      <c r="ES62" s="24" t="str">
        <f t="shared" si="167"/>
        <v/>
      </c>
      <c r="ET62" s="7" t="str">
        <f t="shared" si="168"/>
        <v/>
      </c>
      <c r="EU62" s="12" t="str">
        <f t="shared" si="169"/>
        <v/>
      </c>
      <c r="EV62" s="337" t="str">
        <f t="shared" si="412"/>
        <v/>
      </c>
      <c r="EW62" s="11" t="str">
        <f t="shared" si="413"/>
        <v/>
      </c>
      <c r="EX62" s="7" t="str">
        <f t="shared" si="414"/>
        <v/>
      </c>
      <c r="EY62" s="8" t="str">
        <f t="shared" si="170"/>
        <v/>
      </c>
      <c r="EZ62" s="123" t="str">
        <f t="shared" si="171"/>
        <v/>
      </c>
      <c r="FA62" s="328" t="str">
        <f t="shared" si="415"/>
        <v/>
      </c>
      <c r="FB62" s="7" t="str">
        <f t="shared" si="416"/>
        <v/>
      </c>
      <c r="FC62" s="8" t="str">
        <f t="shared" si="417"/>
        <v/>
      </c>
      <c r="FD62" s="6" t="str">
        <f t="shared" si="418"/>
        <v/>
      </c>
      <c r="FE62" s="7" t="str">
        <f t="shared" si="419"/>
        <v/>
      </c>
      <c r="FF62" s="9" t="str">
        <f t="shared" si="172"/>
        <v/>
      </c>
      <c r="FG62" s="328" t="str">
        <f t="shared" si="420"/>
        <v/>
      </c>
      <c r="FH62" s="7" t="str">
        <f t="shared" si="421"/>
        <v/>
      </c>
      <c r="FI62" s="12" t="str">
        <f t="shared" si="422"/>
        <v/>
      </c>
      <c r="FJ62" s="547" t="str">
        <f t="shared" si="173"/>
        <v/>
      </c>
      <c r="FK62" s="6" t="str">
        <f t="shared" si="423"/>
        <v/>
      </c>
      <c r="FL62" s="7" t="str">
        <f t="shared" si="174"/>
        <v/>
      </c>
      <c r="FM62" s="10" t="str">
        <f t="shared" si="175"/>
        <v/>
      </c>
      <c r="FN62" s="11" t="str">
        <f t="shared" si="176"/>
        <v/>
      </c>
      <c r="FO62" s="12" t="str">
        <f t="shared" si="424"/>
        <v/>
      </c>
      <c r="FP62" s="545" t="str">
        <f t="shared" si="425"/>
        <v/>
      </c>
      <c r="FQ62" s="328" t="str">
        <f t="shared" si="205"/>
        <v/>
      </c>
      <c r="FR62" s="12" t="str">
        <f t="shared" si="177"/>
        <v/>
      </c>
      <c r="FS62" s="11" t="str">
        <f t="shared" si="178"/>
        <v/>
      </c>
      <c r="FT62" s="8" t="str">
        <f t="shared" si="179"/>
        <v/>
      </c>
      <c r="FU62" s="6" t="str">
        <f t="shared" si="180"/>
        <v/>
      </c>
      <c r="FV62" s="7" t="str">
        <f t="shared" si="181"/>
        <v/>
      </c>
      <c r="FW62" s="10" t="str">
        <f t="shared" si="206"/>
        <v/>
      </c>
      <c r="FX62" s="11" t="str">
        <f t="shared" si="207"/>
        <v/>
      </c>
      <c r="FY62" s="12" t="str">
        <f t="shared" si="426"/>
        <v/>
      </c>
      <c r="FZ62" s="545" t="str">
        <f t="shared" si="208"/>
        <v/>
      </c>
      <c r="GA62" s="372" t="str">
        <f t="shared" si="182"/>
        <v/>
      </c>
      <c r="GB62" s="46" t="str">
        <f t="shared" si="183"/>
        <v/>
      </c>
      <c r="GC62" s="47" t="str">
        <f t="shared" si="184"/>
        <v/>
      </c>
      <c r="GD62" s="578" t="str">
        <f t="shared" si="185"/>
        <v/>
      </c>
      <c r="GE62" s="585" t="str">
        <f t="shared" si="186"/>
        <v/>
      </c>
      <c r="GF62" s="634" t="str">
        <f t="shared" si="209"/>
        <v/>
      </c>
      <c r="GG62" s="553" t="str">
        <f t="shared" si="427"/>
        <v/>
      </c>
      <c r="GH62" s="554" t="str">
        <f t="shared" si="428"/>
        <v/>
      </c>
      <c r="GI62" s="549" t="str">
        <f t="shared" si="429"/>
        <v/>
      </c>
      <c r="GJ62" s="296" t="str">
        <f t="shared" si="187"/>
        <v/>
      </c>
      <c r="GK62" s="337" t="str">
        <f t="shared" si="430"/>
        <v/>
      </c>
      <c r="GL62" s="337" t="str">
        <f t="shared" si="188"/>
        <v/>
      </c>
      <c r="GM62" s="372" t="str">
        <f t="shared" si="210"/>
        <v/>
      </c>
      <c r="GN62" s="548" t="str">
        <f t="shared" si="189"/>
        <v/>
      </c>
      <c r="GO62" s="6" t="str">
        <f t="shared" si="190"/>
        <v/>
      </c>
      <c r="GP62" s="10" t="str">
        <f t="shared" si="211"/>
        <v/>
      </c>
      <c r="GQ62" s="372" t="str">
        <f t="shared" si="191"/>
        <v/>
      </c>
      <c r="GR62" s="697" t="str">
        <f t="shared" si="212"/>
        <v/>
      </c>
      <c r="GS62" s="637" t="str">
        <f t="shared" si="431"/>
        <v/>
      </c>
      <c r="GT62" s="638" t="str">
        <f t="shared" si="432"/>
        <v/>
      </c>
      <c r="GU62" s="639" t="str">
        <f t="shared" si="433"/>
        <v/>
      </c>
      <c r="GV62" s="638" t="str">
        <f t="shared" si="192"/>
        <v/>
      </c>
      <c r="GW62" s="640" t="str">
        <f t="shared" si="434"/>
        <v/>
      </c>
      <c r="GX62" s="641" t="str">
        <f t="shared" si="435"/>
        <v/>
      </c>
      <c r="GY62" s="639" t="str">
        <f t="shared" si="436"/>
        <v/>
      </c>
      <c r="GZ62" s="640" t="str">
        <f t="shared" si="437"/>
        <v/>
      </c>
      <c r="HA62" s="637" t="str">
        <f t="shared" si="438"/>
        <v/>
      </c>
      <c r="HB62" s="7" t="str">
        <f t="shared" si="193"/>
        <v/>
      </c>
      <c r="HC62" s="638" t="str">
        <f t="shared" si="194"/>
        <v/>
      </c>
      <c r="HD62" s="682" t="str">
        <f t="shared" si="195"/>
        <v/>
      </c>
      <c r="HE62" s="639" t="str">
        <f t="shared" si="439"/>
        <v/>
      </c>
      <c r="HF62" s="7" t="str">
        <f t="shared" si="440"/>
        <v/>
      </c>
      <c r="HG62" s="638" t="str">
        <f t="shared" si="196"/>
        <v/>
      </c>
      <c r="HH62" s="644" t="str">
        <f t="shared" si="197"/>
        <v/>
      </c>
      <c r="HI62" s="596" t="str">
        <f t="shared" si="198"/>
        <v/>
      </c>
      <c r="HK62" s="584" t="str">
        <f t="shared" si="217"/>
        <v/>
      </c>
      <c r="HL62" s="583" t="str">
        <f t="shared" si="441"/>
        <v/>
      </c>
      <c r="HM62" s="643" t="str">
        <f t="shared" si="443"/>
        <v/>
      </c>
      <c r="HN62" s="660" t="str">
        <f t="shared" si="443"/>
        <v/>
      </c>
      <c r="HO62" s="661" t="str">
        <f t="shared" si="443"/>
        <v/>
      </c>
      <c r="HP62" s="656" t="str">
        <f t="shared" si="443"/>
        <v/>
      </c>
      <c r="HQ62" s="660" t="str">
        <f t="shared" si="443"/>
        <v/>
      </c>
      <c r="HR62" s="671" t="str">
        <f t="shared" si="443"/>
        <v/>
      </c>
      <c r="HS62" s="655" t="str">
        <f t="shared" si="443"/>
        <v/>
      </c>
      <c r="HT62" s="648" t="str">
        <f t="shared" si="443"/>
        <v/>
      </c>
      <c r="HU62" s="649" t="str">
        <f t="shared" si="443"/>
        <v/>
      </c>
      <c r="HV62" s="650" t="str">
        <f t="shared" si="443"/>
        <v/>
      </c>
      <c r="HW62" s="648" t="str">
        <f t="shared" si="443"/>
        <v/>
      </c>
      <c r="HX62" s="649" t="str">
        <f t="shared" si="443"/>
        <v/>
      </c>
      <c r="HY62" s="650" t="str">
        <f t="shared" si="443"/>
        <v/>
      </c>
      <c r="HZ62" s="648" t="str">
        <f t="shared" si="443"/>
        <v/>
      </c>
      <c r="IA62" s="649" t="str">
        <f t="shared" si="443"/>
        <v/>
      </c>
      <c r="IB62" s="716"/>
    </row>
    <row r="63" spans="2:238" ht="15" customHeight="1" x14ac:dyDescent="0.25">
      <c r="B63" s="143"/>
      <c r="C63" s="144"/>
      <c r="D63" s="145"/>
      <c r="E63" s="146"/>
      <c r="F63" s="144"/>
      <c r="G63" s="147"/>
      <c r="H63" s="146"/>
      <c r="I63" s="144"/>
      <c r="J63" s="306"/>
      <c r="K63" s="699" t="str">
        <f t="shared" si="199"/>
        <v/>
      </c>
      <c r="M63" s="292" t="str">
        <f t="shared" si="46"/>
        <v/>
      </c>
      <c r="N63" s="24" t="str">
        <f t="shared" si="47"/>
        <v/>
      </c>
      <c r="O63" s="7" t="str">
        <f t="shared" si="48"/>
        <v/>
      </c>
      <c r="P63" s="12" t="str">
        <f t="shared" si="49"/>
        <v/>
      </c>
      <c r="Q63" s="11" t="str">
        <f t="shared" si="85"/>
        <v/>
      </c>
      <c r="R63" s="7" t="str">
        <f t="shared" si="50"/>
        <v/>
      </c>
      <c r="S63" s="8" t="str">
        <f t="shared" si="51"/>
        <v/>
      </c>
      <c r="T63" s="6" t="str">
        <f t="shared" si="52"/>
        <v/>
      </c>
      <c r="U63" s="7" t="str">
        <f t="shared" si="53"/>
        <v/>
      </c>
      <c r="V63" s="10" t="str">
        <f t="shared" si="86"/>
        <v/>
      </c>
      <c r="W63" s="11" t="str">
        <f t="shared" si="214"/>
        <v/>
      </c>
      <c r="X63" s="7" t="str">
        <f t="shared" si="54"/>
        <v/>
      </c>
      <c r="Y63" s="9" t="str">
        <f t="shared" si="213"/>
        <v/>
      </c>
      <c r="Z63" s="24" t="str">
        <f t="shared" si="87"/>
        <v/>
      </c>
      <c r="AA63" s="7" t="str">
        <f t="shared" si="55"/>
        <v/>
      </c>
      <c r="AB63" s="7" t="str">
        <f t="shared" si="56"/>
        <v/>
      </c>
      <c r="AC63" s="10" t="str">
        <f t="shared" si="57"/>
        <v/>
      </c>
      <c r="AD63" s="11" t="str">
        <f t="shared" si="88"/>
        <v/>
      </c>
      <c r="AE63" s="7" t="str">
        <f t="shared" si="58"/>
        <v/>
      </c>
      <c r="AF63" s="12" t="str">
        <f t="shared" si="59"/>
        <v/>
      </c>
      <c r="AG63" s="6" t="str">
        <f t="shared" si="60"/>
        <v/>
      </c>
      <c r="AH63" s="12" t="str">
        <f t="shared" si="61"/>
        <v/>
      </c>
      <c r="AI63" s="11" t="str">
        <f t="shared" si="62"/>
        <v/>
      </c>
      <c r="AJ63" s="8" t="str">
        <f t="shared" si="63"/>
        <v/>
      </c>
      <c r="AK63" s="6" t="str">
        <f t="shared" si="89"/>
        <v/>
      </c>
      <c r="AL63" s="7" t="str">
        <f t="shared" si="64"/>
        <v/>
      </c>
      <c r="AM63" s="8" t="str">
        <f t="shared" si="65"/>
        <v/>
      </c>
      <c r="AN63" s="6" t="str">
        <f t="shared" si="66"/>
        <v/>
      </c>
      <c r="AO63" s="10" t="str">
        <f t="shared" si="376"/>
        <v/>
      </c>
      <c r="AP63" s="11" t="str">
        <f t="shared" si="67"/>
        <v/>
      </c>
      <c r="AQ63" s="8" t="str">
        <f t="shared" si="200"/>
        <v/>
      </c>
      <c r="AS63" s="123" t="str">
        <f>IF(G63="","",IF(AND(W63&lt;(AS62+180),W63&gt;(AS62-180)),W63,IF(W63&gt;(AS62+180),W63-360,IF(W63&lt;(AS62-180),W63+360,"Error"))))</f>
        <v/>
      </c>
      <c r="AT63" s="174" t="str">
        <f t="shared" si="68"/>
        <v/>
      </c>
      <c r="AV63" s="292" t="str">
        <f t="shared" si="91"/>
        <v/>
      </c>
      <c r="AW63" s="709"/>
      <c r="AX63" s="710"/>
      <c r="AY63" s="711"/>
      <c r="AZ63" s="565" t="str">
        <f t="shared" si="92"/>
        <v/>
      </c>
      <c r="BA63" s="564" t="str">
        <f t="shared" si="93"/>
        <v/>
      </c>
      <c r="BB63" s="372" t="str">
        <f t="shared" si="94"/>
        <v/>
      </c>
      <c r="BC63" s="11"/>
      <c r="BD63" s="7" t="str">
        <f t="shared" si="95"/>
        <v/>
      </c>
      <c r="BE63" s="8" t="str">
        <f t="shared" si="96"/>
        <v/>
      </c>
      <c r="BF63" s="6" t="str">
        <f t="shared" si="97"/>
        <v/>
      </c>
      <c r="BG63" s="7" t="str">
        <f t="shared" si="98"/>
        <v/>
      </c>
      <c r="BH63" s="12" t="str">
        <f t="shared" si="99"/>
        <v/>
      </c>
      <c r="BI63" s="11" t="str">
        <f t="shared" si="100"/>
        <v/>
      </c>
      <c r="BJ63" s="7" t="str">
        <f t="shared" si="101"/>
        <v/>
      </c>
      <c r="BK63" s="10" t="str">
        <f t="shared" si="102"/>
        <v/>
      </c>
      <c r="BL63" s="328" t="str">
        <f t="shared" si="103"/>
        <v/>
      </c>
      <c r="BM63" s="7" t="str">
        <f t="shared" si="104"/>
        <v/>
      </c>
      <c r="BN63" s="8" t="str">
        <f t="shared" si="105"/>
        <v/>
      </c>
      <c r="BO63" s="6" t="str">
        <f t="shared" si="106"/>
        <v/>
      </c>
      <c r="BP63" s="7" t="str">
        <f t="shared" si="107"/>
        <v/>
      </c>
      <c r="BQ63" s="7" t="str">
        <f t="shared" si="108"/>
        <v/>
      </c>
      <c r="BR63" s="8" t="str">
        <f t="shared" si="109"/>
        <v/>
      </c>
      <c r="BS63" s="6" t="str">
        <f t="shared" si="409"/>
        <v/>
      </c>
      <c r="BT63" s="7" t="str">
        <f t="shared" si="409"/>
        <v/>
      </c>
      <c r="BU63" s="12" t="str">
        <f t="shared" si="70"/>
        <v/>
      </c>
      <c r="BV63" s="11" t="str">
        <f t="shared" si="71"/>
        <v/>
      </c>
      <c r="BW63" s="7" t="str">
        <f t="shared" si="72"/>
        <v/>
      </c>
      <c r="BX63" s="10" t="str">
        <f t="shared" si="73"/>
        <v/>
      </c>
      <c r="BY63" s="328" t="str">
        <f t="shared" si="74"/>
        <v/>
      </c>
      <c r="BZ63" s="7" t="str">
        <f t="shared" si="75"/>
        <v/>
      </c>
      <c r="CA63" s="8" t="str">
        <f t="shared" si="76"/>
        <v/>
      </c>
      <c r="CB63" s="6" t="str">
        <f t="shared" si="110"/>
        <v/>
      </c>
      <c r="CC63" s="7" t="str">
        <f t="shared" si="111"/>
        <v/>
      </c>
      <c r="CD63" s="7" t="str">
        <f t="shared" si="112"/>
        <v/>
      </c>
      <c r="CE63" s="8" t="str">
        <f t="shared" si="113"/>
        <v/>
      </c>
      <c r="CF63" s="6" t="str">
        <f t="shared" si="114"/>
        <v/>
      </c>
      <c r="CG63" s="7" t="str">
        <f t="shared" si="115"/>
        <v/>
      </c>
      <c r="CH63" s="7" t="str">
        <f t="shared" si="116"/>
        <v/>
      </c>
      <c r="CI63" s="6" t="str">
        <f t="shared" si="77"/>
        <v/>
      </c>
      <c r="CJ63" s="7" t="str">
        <f t="shared" si="78"/>
        <v/>
      </c>
      <c r="CK63" s="10" t="str">
        <f t="shared" si="79"/>
        <v/>
      </c>
      <c r="CL63" s="328" t="str">
        <f t="shared" si="80"/>
        <v/>
      </c>
      <c r="CM63" s="7" t="str">
        <f t="shared" si="81"/>
        <v/>
      </c>
      <c r="CN63" s="8" t="str">
        <f t="shared" si="82"/>
        <v/>
      </c>
      <c r="CO63" s="296" t="str">
        <f t="shared" si="201"/>
        <v/>
      </c>
      <c r="CP63" s="6" t="str">
        <f t="shared" si="202"/>
        <v/>
      </c>
      <c r="CQ63" s="7" t="str">
        <f t="shared" si="203"/>
        <v/>
      </c>
      <c r="CR63" s="7" t="str">
        <f t="shared" si="117"/>
        <v/>
      </c>
      <c r="CS63" s="10" t="str">
        <f t="shared" si="118"/>
        <v/>
      </c>
      <c r="CT63" s="11" t="str">
        <f t="shared" si="119"/>
        <v/>
      </c>
      <c r="CU63" s="8" t="str">
        <f t="shared" si="120"/>
        <v/>
      </c>
      <c r="CV63" s="6" t="str">
        <f t="shared" si="204"/>
        <v/>
      </c>
      <c r="CW63" s="7" t="str">
        <f t="shared" si="121"/>
        <v/>
      </c>
      <c r="CX63" s="10" t="str">
        <f t="shared" si="122"/>
        <v/>
      </c>
      <c r="CY63" s="11" t="str">
        <f t="shared" si="123"/>
        <v/>
      </c>
      <c r="CZ63" s="7" t="str">
        <f t="shared" si="124"/>
        <v/>
      </c>
      <c r="DA63" s="8" t="str">
        <f t="shared" si="125"/>
        <v/>
      </c>
      <c r="DB63" s="6" t="str">
        <f t="shared" si="410"/>
        <v/>
      </c>
      <c r="DC63" s="7" t="str">
        <f t="shared" si="410"/>
        <v/>
      </c>
      <c r="DD63" s="12" t="str">
        <f t="shared" si="127"/>
        <v/>
      </c>
      <c r="DE63" s="11" t="str">
        <f t="shared" si="411"/>
        <v/>
      </c>
      <c r="DF63" s="7" t="str">
        <f t="shared" si="411"/>
        <v/>
      </c>
      <c r="DG63" s="12" t="str">
        <f t="shared" si="129"/>
        <v/>
      </c>
      <c r="DH63" s="174" t="str">
        <f t="shared" si="130"/>
        <v/>
      </c>
      <c r="DI63" s="6" t="str">
        <f t="shared" si="131"/>
        <v/>
      </c>
      <c r="DJ63" s="7" t="str">
        <f t="shared" si="132"/>
        <v/>
      </c>
      <c r="DK63" s="12" t="str">
        <f t="shared" si="133"/>
        <v/>
      </c>
      <c r="DL63" s="11" t="str">
        <f t="shared" si="134"/>
        <v/>
      </c>
      <c r="DM63" s="328" t="str">
        <f t="shared" si="135"/>
        <v/>
      </c>
      <c r="DN63" s="376" t="str">
        <f t="shared" si="136"/>
        <v/>
      </c>
      <c r="DO63" s="11" t="str">
        <f t="shared" si="137"/>
        <v/>
      </c>
      <c r="DP63" s="328" t="str">
        <f t="shared" si="138"/>
        <v/>
      </c>
      <c r="DQ63" s="13" t="str">
        <f t="shared" si="139"/>
        <v/>
      </c>
      <c r="DR63" s="328" t="str">
        <f t="shared" si="140"/>
        <v/>
      </c>
      <c r="DS63" s="7" t="str">
        <f t="shared" si="141"/>
        <v/>
      </c>
      <c r="DT63" s="7" t="str">
        <f t="shared" si="142"/>
        <v/>
      </c>
      <c r="DU63" s="7" t="str">
        <f t="shared" si="143"/>
        <v/>
      </c>
      <c r="DV63" s="7" t="str">
        <f t="shared" si="144"/>
        <v/>
      </c>
      <c r="DW63" s="7" t="str">
        <f t="shared" si="145"/>
        <v/>
      </c>
      <c r="DX63" s="296" t="str">
        <f t="shared" si="146"/>
        <v/>
      </c>
      <c r="DY63" s="11" t="str">
        <f t="shared" si="147"/>
        <v/>
      </c>
      <c r="DZ63" s="7" t="str">
        <f t="shared" si="148"/>
        <v/>
      </c>
      <c r="EA63" s="12" t="str">
        <f t="shared" si="149"/>
        <v/>
      </c>
      <c r="EB63" s="8" t="str">
        <f t="shared" si="150"/>
        <v/>
      </c>
      <c r="EC63" s="328" t="str">
        <f t="shared" si="151"/>
        <v/>
      </c>
      <c r="ED63" s="7" t="str">
        <f t="shared" si="152"/>
        <v/>
      </c>
      <c r="EE63" s="6" t="str">
        <f t="shared" si="153"/>
        <v/>
      </c>
      <c r="EF63" s="7" t="str">
        <f t="shared" si="154"/>
        <v/>
      </c>
      <c r="EG63" s="12" t="str">
        <f t="shared" si="155"/>
        <v/>
      </c>
      <c r="EH63" s="11" t="str">
        <f t="shared" si="156"/>
        <v/>
      </c>
      <c r="EI63" s="7" t="str">
        <f t="shared" si="157"/>
        <v/>
      </c>
      <c r="EJ63" s="8" t="str">
        <f t="shared" si="158"/>
        <v/>
      </c>
      <c r="EK63" s="491" t="str">
        <f t="shared" si="159"/>
        <v/>
      </c>
      <c r="EL63" s="493" t="str">
        <f t="shared" si="160"/>
        <v/>
      </c>
      <c r="EM63" s="6" t="str">
        <f t="shared" si="161"/>
        <v/>
      </c>
      <c r="EN63" s="7" t="str">
        <f t="shared" si="162"/>
        <v/>
      </c>
      <c r="EO63" s="12" t="str">
        <f t="shared" si="163"/>
        <v/>
      </c>
      <c r="EP63" s="11" t="str">
        <f t="shared" si="164"/>
        <v/>
      </c>
      <c r="EQ63" s="7" t="str">
        <f t="shared" si="165"/>
        <v/>
      </c>
      <c r="ER63" s="9" t="str">
        <f t="shared" si="166"/>
        <v/>
      </c>
      <c r="ES63" s="24" t="str">
        <f t="shared" si="167"/>
        <v/>
      </c>
      <c r="ET63" s="7" t="str">
        <f t="shared" si="168"/>
        <v/>
      </c>
      <c r="EU63" s="12" t="str">
        <f t="shared" si="169"/>
        <v/>
      </c>
      <c r="EV63" s="337" t="str">
        <f t="shared" si="412"/>
        <v/>
      </c>
      <c r="EW63" s="11" t="str">
        <f t="shared" si="413"/>
        <v/>
      </c>
      <c r="EX63" s="7" t="str">
        <f t="shared" si="414"/>
        <v/>
      </c>
      <c r="EY63" s="8" t="str">
        <f t="shared" si="170"/>
        <v/>
      </c>
      <c r="EZ63" s="123" t="str">
        <f t="shared" si="171"/>
        <v/>
      </c>
      <c r="FA63" s="328" t="str">
        <f t="shared" si="415"/>
        <v/>
      </c>
      <c r="FB63" s="7" t="str">
        <f t="shared" si="416"/>
        <v/>
      </c>
      <c r="FC63" s="8" t="str">
        <f t="shared" si="417"/>
        <v/>
      </c>
      <c r="FD63" s="6" t="str">
        <f t="shared" si="418"/>
        <v/>
      </c>
      <c r="FE63" s="7" t="str">
        <f t="shared" si="419"/>
        <v/>
      </c>
      <c r="FF63" s="9" t="str">
        <f t="shared" si="172"/>
        <v/>
      </c>
      <c r="FG63" s="328" t="str">
        <f t="shared" si="420"/>
        <v/>
      </c>
      <c r="FH63" s="7" t="str">
        <f t="shared" si="421"/>
        <v/>
      </c>
      <c r="FI63" s="12" t="str">
        <f t="shared" si="422"/>
        <v/>
      </c>
      <c r="FJ63" s="547" t="str">
        <f t="shared" si="173"/>
        <v/>
      </c>
      <c r="FK63" s="6" t="str">
        <f t="shared" si="423"/>
        <v/>
      </c>
      <c r="FL63" s="7" t="str">
        <f t="shared" si="174"/>
        <v/>
      </c>
      <c r="FM63" s="10" t="str">
        <f t="shared" si="175"/>
        <v/>
      </c>
      <c r="FN63" s="11" t="str">
        <f t="shared" si="176"/>
        <v/>
      </c>
      <c r="FO63" s="12" t="str">
        <f t="shared" si="424"/>
        <v/>
      </c>
      <c r="FP63" s="545" t="str">
        <f t="shared" si="425"/>
        <v/>
      </c>
      <c r="FQ63" s="328" t="str">
        <f t="shared" si="205"/>
        <v/>
      </c>
      <c r="FR63" s="12" t="str">
        <f t="shared" si="177"/>
        <v/>
      </c>
      <c r="FS63" s="11" t="str">
        <f t="shared" si="178"/>
        <v/>
      </c>
      <c r="FT63" s="8" t="str">
        <f t="shared" si="179"/>
        <v/>
      </c>
      <c r="FU63" s="6" t="str">
        <f t="shared" si="180"/>
        <v/>
      </c>
      <c r="FV63" s="7" t="str">
        <f t="shared" si="181"/>
        <v/>
      </c>
      <c r="FW63" s="10" t="str">
        <f t="shared" si="206"/>
        <v/>
      </c>
      <c r="FX63" s="11" t="str">
        <f t="shared" si="207"/>
        <v/>
      </c>
      <c r="FY63" s="12" t="str">
        <f t="shared" si="426"/>
        <v/>
      </c>
      <c r="FZ63" s="545" t="str">
        <f t="shared" si="208"/>
        <v/>
      </c>
      <c r="GA63" s="372" t="str">
        <f t="shared" si="182"/>
        <v/>
      </c>
      <c r="GB63" s="46" t="str">
        <f t="shared" si="183"/>
        <v/>
      </c>
      <c r="GC63" s="47" t="str">
        <f t="shared" si="184"/>
        <v/>
      </c>
      <c r="GD63" s="578" t="str">
        <f t="shared" si="185"/>
        <v/>
      </c>
      <c r="GE63" s="585" t="str">
        <f t="shared" si="186"/>
        <v/>
      </c>
      <c r="GF63" s="634" t="str">
        <f t="shared" si="209"/>
        <v/>
      </c>
      <c r="GG63" s="553" t="str">
        <f t="shared" si="427"/>
        <v/>
      </c>
      <c r="GH63" s="554" t="str">
        <f t="shared" si="428"/>
        <v/>
      </c>
      <c r="GI63" s="549" t="str">
        <f t="shared" si="429"/>
        <v/>
      </c>
      <c r="GJ63" s="296" t="str">
        <f t="shared" si="187"/>
        <v/>
      </c>
      <c r="GK63" s="337" t="str">
        <f t="shared" si="430"/>
        <v/>
      </c>
      <c r="GL63" s="337" t="str">
        <f t="shared" si="188"/>
        <v/>
      </c>
      <c r="GM63" s="372" t="str">
        <f t="shared" si="210"/>
        <v/>
      </c>
      <c r="GN63" s="548" t="str">
        <f t="shared" si="189"/>
        <v/>
      </c>
      <c r="GO63" s="6" t="str">
        <f t="shared" si="190"/>
        <v/>
      </c>
      <c r="GP63" s="10" t="str">
        <f t="shared" si="211"/>
        <v/>
      </c>
      <c r="GQ63" s="372" t="str">
        <f t="shared" si="191"/>
        <v/>
      </c>
      <c r="GR63" s="697" t="str">
        <f t="shared" si="212"/>
        <v/>
      </c>
      <c r="GS63" s="637" t="str">
        <f t="shared" si="431"/>
        <v/>
      </c>
      <c r="GT63" s="638" t="str">
        <f t="shared" si="432"/>
        <v/>
      </c>
      <c r="GU63" s="639" t="str">
        <f t="shared" si="433"/>
        <v/>
      </c>
      <c r="GV63" s="638" t="str">
        <f t="shared" si="192"/>
        <v/>
      </c>
      <c r="GW63" s="640" t="str">
        <f t="shared" si="434"/>
        <v/>
      </c>
      <c r="GX63" s="641" t="str">
        <f t="shared" si="435"/>
        <v/>
      </c>
      <c r="GY63" s="639" t="str">
        <f t="shared" si="436"/>
        <v/>
      </c>
      <c r="GZ63" s="640" t="str">
        <f t="shared" si="437"/>
        <v/>
      </c>
      <c r="HA63" s="637" t="str">
        <f t="shared" si="438"/>
        <v/>
      </c>
      <c r="HB63" s="7" t="str">
        <f t="shared" si="193"/>
        <v/>
      </c>
      <c r="HC63" s="638" t="str">
        <f t="shared" si="194"/>
        <v/>
      </c>
      <c r="HD63" s="682" t="str">
        <f t="shared" si="195"/>
        <v/>
      </c>
      <c r="HE63" s="639" t="str">
        <f t="shared" si="439"/>
        <v/>
      </c>
      <c r="HF63" s="7" t="str">
        <f t="shared" si="440"/>
        <v/>
      </c>
      <c r="HG63" s="638" t="str">
        <f t="shared" si="196"/>
        <v/>
      </c>
      <c r="HH63" s="644" t="str">
        <f t="shared" si="197"/>
        <v/>
      </c>
      <c r="HI63" s="596" t="str">
        <f t="shared" si="198"/>
        <v/>
      </c>
      <c r="HK63" s="584" t="str">
        <f t="shared" si="217"/>
        <v/>
      </c>
      <c r="HL63" s="583" t="str">
        <f t="shared" si="441"/>
        <v/>
      </c>
      <c r="HM63" s="643" t="str">
        <f t="shared" si="443"/>
        <v/>
      </c>
      <c r="HN63" s="660" t="str">
        <f t="shared" si="443"/>
        <v/>
      </c>
      <c r="HO63" s="661" t="str">
        <f t="shared" si="443"/>
        <v/>
      </c>
      <c r="HP63" s="656" t="str">
        <f t="shared" si="443"/>
        <v/>
      </c>
      <c r="HQ63" s="660" t="str">
        <f t="shared" si="443"/>
        <v/>
      </c>
      <c r="HR63" s="671" t="str">
        <f t="shared" si="443"/>
        <v/>
      </c>
      <c r="HS63" s="655" t="str">
        <f t="shared" si="443"/>
        <v/>
      </c>
      <c r="HT63" s="648" t="str">
        <f t="shared" si="443"/>
        <v/>
      </c>
      <c r="HU63" s="649" t="str">
        <f t="shared" si="443"/>
        <v/>
      </c>
      <c r="HV63" s="650" t="str">
        <f t="shared" si="443"/>
        <v/>
      </c>
      <c r="HW63" s="648" t="str">
        <f t="shared" si="443"/>
        <v/>
      </c>
      <c r="HX63" s="649" t="str">
        <f t="shared" si="443"/>
        <v/>
      </c>
      <c r="HY63" s="650" t="str">
        <f t="shared" si="443"/>
        <v/>
      </c>
      <c r="HZ63" s="648" t="str">
        <f t="shared" si="443"/>
        <v/>
      </c>
      <c r="IA63" s="649" t="str">
        <f t="shared" si="443"/>
        <v/>
      </c>
      <c r="IB63" s="716"/>
    </row>
    <row r="64" spans="2:238" ht="15" customHeight="1" x14ac:dyDescent="0.25">
      <c r="B64" s="143"/>
      <c r="C64" s="144"/>
      <c r="D64" s="145"/>
      <c r="E64" s="146"/>
      <c r="F64" s="144"/>
      <c r="G64" s="147"/>
      <c r="H64" s="146"/>
      <c r="I64" s="144"/>
      <c r="J64" s="306"/>
      <c r="K64" s="699" t="str">
        <f t="shared" si="199"/>
        <v/>
      </c>
      <c r="M64" s="292" t="str">
        <f t="shared" si="46"/>
        <v/>
      </c>
      <c r="N64" s="24" t="str">
        <f t="shared" si="47"/>
        <v/>
      </c>
      <c r="O64" s="7" t="str">
        <f t="shared" si="48"/>
        <v/>
      </c>
      <c r="P64" s="12" t="str">
        <f t="shared" si="49"/>
        <v/>
      </c>
      <c r="Q64" s="11" t="str">
        <f t="shared" si="85"/>
        <v/>
      </c>
      <c r="R64" s="7" t="str">
        <f t="shared" si="50"/>
        <v/>
      </c>
      <c r="S64" s="8" t="str">
        <f t="shared" si="51"/>
        <v/>
      </c>
      <c r="T64" s="6" t="str">
        <f t="shared" si="52"/>
        <v/>
      </c>
      <c r="U64" s="7" t="str">
        <f t="shared" si="53"/>
        <v/>
      </c>
      <c r="V64" s="10" t="str">
        <f t="shared" si="86"/>
        <v/>
      </c>
      <c r="W64" s="11" t="str">
        <f t="shared" si="214"/>
        <v/>
      </c>
      <c r="X64" s="7" t="str">
        <f t="shared" si="54"/>
        <v/>
      </c>
      <c r="Y64" s="9" t="str">
        <f t="shared" si="213"/>
        <v/>
      </c>
      <c r="Z64" s="24" t="str">
        <f t="shared" si="87"/>
        <v/>
      </c>
      <c r="AA64" s="7" t="str">
        <f t="shared" si="55"/>
        <v/>
      </c>
      <c r="AB64" s="7" t="str">
        <f t="shared" si="56"/>
        <v/>
      </c>
      <c r="AC64" s="10" t="str">
        <f t="shared" si="57"/>
        <v/>
      </c>
      <c r="AD64" s="11" t="str">
        <f t="shared" si="88"/>
        <v/>
      </c>
      <c r="AE64" s="7" t="str">
        <f t="shared" si="58"/>
        <v/>
      </c>
      <c r="AF64" s="12" t="str">
        <f t="shared" si="59"/>
        <v/>
      </c>
      <c r="AG64" s="6" t="str">
        <f t="shared" si="60"/>
        <v/>
      </c>
      <c r="AH64" s="12" t="str">
        <f t="shared" si="61"/>
        <v/>
      </c>
      <c r="AI64" s="11" t="str">
        <f t="shared" si="62"/>
        <v/>
      </c>
      <c r="AJ64" s="8" t="str">
        <f t="shared" si="63"/>
        <v/>
      </c>
      <c r="AK64" s="6" t="str">
        <f t="shared" si="89"/>
        <v/>
      </c>
      <c r="AL64" s="7" t="str">
        <f t="shared" si="64"/>
        <v/>
      </c>
      <c r="AM64" s="8" t="str">
        <f t="shared" si="65"/>
        <v/>
      </c>
      <c r="AN64" s="6" t="str">
        <f t="shared" si="66"/>
        <v/>
      </c>
      <c r="AO64" s="10" t="str">
        <f t="shared" si="376"/>
        <v/>
      </c>
      <c r="AP64" s="11" t="str">
        <f t="shared" si="67"/>
        <v/>
      </c>
      <c r="AQ64" s="8" t="str">
        <f t="shared" si="200"/>
        <v/>
      </c>
      <c r="AS64" s="123" t="str">
        <f t="shared" si="90"/>
        <v/>
      </c>
      <c r="AT64" s="174" t="str">
        <f t="shared" si="68"/>
        <v/>
      </c>
      <c r="AV64" s="292" t="str">
        <f t="shared" si="91"/>
        <v/>
      </c>
      <c r="AW64" s="709"/>
      <c r="AX64" s="710"/>
      <c r="AY64" s="711"/>
      <c r="AZ64" s="565" t="str">
        <f t="shared" si="92"/>
        <v/>
      </c>
      <c r="BA64" s="564" t="str">
        <f t="shared" si="93"/>
        <v/>
      </c>
      <c r="BB64" s="372" t="str">
        <f t="shared" si="94"/>
        <v/>
      </c>
      <c r="BC64" s="11"/>
      <c r="BD64" s="7" t="str">
        <f t="shared" si="95"/>
        <v/>
      </c>
      <c r="BE64" s="8" t="str">
        <f t="shared" si="96"/>
        <v/>
      </c>
      <c r="BF64" s="6" t="str">
        <f t="shared" si="97"/>
        <v/>
      </c>
      <c r="BG64" s="7" t="str">
        <f t="shared" si="98"/>
        <v/>
      </c>
      <c r="BH64" s="12" t="str">
        <f t="shared" si="99"/>
        <v/>
      </c>
      <c r="BI64" s="11" t="str">
        <f t="shared" si="100"/>
        <v/>
      </c>
      <c r="BJ64" s="7" t="str">
        <f t="shared" si="101"/>
        <v/>
      </c>
      <c r="BK64" s="10" t="str">
        <f t="shared" si="102"/>
        <v/>
      </c>
      <c r="BL64" s="328" t="str">
        <f t="shared" si="103"/>
        <v/>
      </c>
      <c r="BM64" s="7" t="str">
        <f t="shared" si="104"/>
        <v/>
      </c>
      <c r="BN64" s="8" t="str">
        <f t="shared" si="105"/>
        <v/>
      </c>
      <c r="BO64" s="6" t="str">
        <f t="shared" si="106"/>
        <v/>
      </c>
      <c r="BP64" s="7" t="str">
        <f t="shared" si="107"/>
        <v/>
      </c>
      <c r="BQ64" s="7" t="str">
        <f t="shared" si="108"/>
        <v/>
      </c>
      <c r="BR64" s="8" t="str">
        <f t="shared" si="109"/>
        <v/>
      </c>
      <c r="BS64" s="6" t="str">
        <f t="shared" si="409"/>
        <v/>
      </c>
      <c r="BT64" s="7" t="str">
        <f t="shared" si="409"/>
        <v/>
      </c>
      <c r="BU64" s="12" t="str">
        <f t="shared" si="70"/>
        <v/>
      </c>
      <c r="BV64" s="11" t="str">
        <f t="shared" si="71"/>
        <v/>
      </c>
      <c r="BW64" s="7" t="str">
        <f t="shared" si="72"/>
        <v/>
      </c>
      <c r="BX64" s="10" t="str">
        <f t="shared" si="73"/>
        <v/>
      </c>
      <c r="BY64" s="328" t="str">
        <f t="shared" si="74"/>
        <v/>
      </c>
      <c r="BZ64" s="7" t="str">
        <f t="shared" si="75"/>
        <v/>
      </c>
      <c r="CA64" s="8" t="str">
        <f t="shared" si="76"/>
        <v/>
      </c>
      <c r="CB64" s="6" t="str">
        <f t="shared" si="110"/>
        <v/>
      </c>
      <c r="CC64" s="7" t="str">
        <f t="shared" si="111"/>
        <v/>
      </c>
      <c r="CD64" s="7" t="str">
        <f t="shared" si="112"/>
        <v/>
      </c>
      <c r="CE64" s="8" t="str">
        <f t="shared" si="113"/>
        <v/>
      </c>
      <c r="CF64" s="6" t="str">
        <f t="shared" si="114"/>
        <v/>
      </c>
      <c r="CG64" s="7" t="str">
        <f t="shared" si="115"/>
        <v/>
      </c>
      <c r="CH64" s="7" t="str">
        <f t="shared" si="116"/>
        <v/>
      </c>
      <c r="CI64" s="6" t="str">
        <f t="shared" si="77"/>
        <v/>
      </c>
      <c r="CJ64" s="7" t="str">
        <f t="shared" si="78"/>
        <v/>
      </c>
      <c r="CK64" s="10" t="str">
        <f t="shared" si="79"/>
        <v/>
      </c>
      <c r="CL64" s="328" t="str">
        <f t="shared" si="80"/>
        <v/>
      </c>
      <c r="CM64" s="7" t="str">
        <f t="shared" si="81"/>
        <v/>
      </c>
      <c r="CN64" s="8" t="str">
        <f t="shared" si="82"/>
        <v/>
      </c>
      <c r="CO64" s="296" t="str">
        <f t="shared" si="201"/>
        <v/>
      </c>
      <c r="CP64" s="6" t="str">
        <f t="shared" si="202"/>
        <v/>
      </c>
      <c r="CQ64" s="7" t="str">
        <f t="shared" si="203"/>
        <v/>
      </c>
      <c r="CR64" s="7" t="str">
        <f t="shared" si="117"/>
        <v/>
      </c>
      <c r="CS64" s="10" t="str">
        <f t="shared" si="118"/>
        <v/>
      </c>
      <c r="CT64" s="11" t="str">
        <f t="shared" si="119"/>
        <v/>
      </c>
      <c r="CU64" s="8" t="str">
        <f t="shared" si="120"/>
        <v/>
      </c>
      <c r="CV64" s="6" t="str">
        <f t="shared" si="204"/>
        <v/>
      </c>
      <c r="CW64" s="7" t="str">
        <f t="shared" si="121"/>
        <v/>
      </c>
      <c r="CX64" s="10" t="str">
        <f t="shared" si="122"/>
        <v/>
      </c>
      <c r="CY64" s="11" t="str">
        <f t="shared" si="123"/>
        <v/>
      </c>
      <c r="CZ64" s="7" t="str">
        <f t="shared" si="124"/>
        <v/>
      </c>
      <c r="DA64" s="8" t="str">
        <f t="shared" si="125"/>
        <v/>
      </c>
      <c r="DB64" s="6" t="str">
        <f t="shared" si="410"/>
        <v/>
      </c>
      <c r="DC64" s="7" t="str">
        <f t="shared" si="410"/>
        <v/>
      </c>
      <c r="DD64" s="12" t="str">
        <f t="shared" si="127"/>
        <v/>
      </c>
      <c r="DE64" s="11" t="str">
        <f t="shared" si="411"/>
        <v/>
      </c>
      <c r="DF64" s="7" t="str">
        <f t="shared" si="411"/>
        <v/>
      </c>
      <c r="DG64" s="12" t="str">
        <f t="shared" si="129"/>
        <v/>
      </c>
      <c r="DH64" s="174" t="str">
        <f t="shared" si="130"/>
        <v/>
      </c>
      <c r="DI64" s="6" t="str">
        <f t="shared" si="131"/>
        <v/>
      </c>
      <c r="DJ64" s="7" t="str">
        <f t="shared" si="132"/>
        <v/>
      </c>
      <c r="DK64" s="12" t="str">
        <f t="shared" si="133"/>
        <v/>
      </c>
      <c r="DL64" s="11" t="str">
        <f t="shared" si="134"/>
        <v/>
      </c>
      <c r="DM64" s="328" t="str">
        <f t="shared" si="135"/>
        <v/>
      </c>
      <c r="DN64" s="376" t="str">
        <f t="shared" si="136"/>
        <v/>
      </c>
      <c r="DO64" s="11" t="str">
        <f t="shared" si="137"/>
        <v/>
      </c>
      <c r="DP64" s="328" t="str">
        <f t="shared" si="138"/>
        <v/>
      </c>
      <c r="DQ64" s="13" t="str">
        <f t="shared" si="139"/>
        <v/>
      </c>
      <c r="DR64" s="328" t="str">
        <f t="shared" si="140"/>
        <v/>
      </c>
      <c r="DS64" s="7" t="str">
        <f t="shared" si="141"/>
        <v/>
      </c>
      <c r="DT64" s="7" t="str">
        <f t="shared" si="142"/>
        <v/>
      </c>
      <c r="DU64" s="7" t="str">
        <f t="shared" si="143"/>
        <v/>
      </c>
      <c r="DV64" s="7" t="str">
        <f t="shared" si="144"/>
        <v/>
      </c>
      <c r="DW64" s="7" t="str">
        <f t="shared" si="145"/>
        <v/>
      </c>
      <c r="DX64" s="296" t="str">
        <f t="shared" si="146"/>
        <v/>
      </c>
      <c r="DY64" s="11" t="str">
        <f t="shared" si="147"/>
        <v/>
      </c>
      <c r="DZ64" s="7" t="str">
        <f t="shared" si="148"/>
        <v/>
      </c>
      <c r="EA64" s="12" t="str">
        <f t="shared" si="149"/>
        <v/>
      </c>
      <c r="EB64" s="8" t="str">
        <f t="shared" si="150"/>
        <v/>
      </c>
      <c r="EC64" s="328" t="str">
        <f t="shared" si="151"/>
        <v/>
      </c>
      <c r="ED64" s="7" t="str">
        <f t="shared" si="152"/>
        <v/>
      </c>
      <c r="EE64" s="6" t="str">
        <f t="shared" si="153"/>
        <v/>
      </c>
      <c r="EF64" s="7" t="str">
        <f t="shared" si="154"/>
        <v/>
      </c>
      <c r="EG64" s="12" t="str">
        <f t="shared" si="155"/>
        <v/>
      </c>
      <c r="EH64" s="11" t="str">
        <f t="shared" si="156"/>
        <v/>
      </c>
      <c r="EI64" s="7" t="str">
        <f t="shared" si="157"/>
        <v/>
      </c>
      <c r="EJ64" s="8" t="str">
        <f t="shared" si="158"/>
        <v/>
      </c>
      <c r="EK64" s="491" t="str">
        <f t="shared" si="159"/>
        <v/>
      </c>
      <c r="EL64" s="493" t="str">
        <f t="shared" si="160"/>
        <v/>
      </c>
      <c r="EM64" s="6" t="str">
        <f t="shared" si="161"/>
        <v/>
      </c>
      <c r="EN64" s="7" t="str">
        <f t="shared" si="162"/>
        <v/>
      </c>
      <c r="EO64" s="12" t="str">
        <f t="shared" si="163"/>
        <v/>
      </c>
      <c r="EP64" s="11" t="str">
        <f t="shared" si="164"/>
        <v/>
      </c>
      <c r="EQ64" s="7" t="str">
        <f t="shared" si="165"/>
        <v/>
      </c>
      <c r="ER64" s="9" t="str">
        <f t="shared" si="166"/>
        <v/>
      </c>
      <c r="ES64" s="24" t="str">
        <f t="shared" si="167"/>
        <v/>
      </c>
      <c r="ET64" s="7" t="str">
        <f t="shared" si="168"/>
        <v/>
      </c>
      <c r="EU64" s="12" t="str">
        <f t="shared" si="169"/>
        <v/>
      </c>
      <c r="EV64" s="337" t="str">
        <f t="shared" si="412"/>
        <v/>
      </c>
      <c r="EW64" s="11" t="str">
        <f t="shared" si="413"/>
        <v/>
      </c>
      <c r="EX64" s="7" t="str">
        <f t="shared" si="414"/>
        <v/>
      </c>
      <c r="EY64" s="8" t="str">
        <f t="shared" si="170"/>
        <v/>
      </c>
      <c r="EZ64" s="123" t="str">
        <f t="shared" si="171"/>
        <v/>
      </c>
      <c r="FA64" s="328" t="str">
        <f t="shared" si="415"/>
        <v/>
      </c>
      <c r="FB64" s="7" t="str">
        <f t="shared" si="416"/>
        <v/>
      </c>
      <c r="FC64" s="8" t="str">
        <f t="shared" si="417"/>
        <v/>
      </c>
      <c r="FD64" s="6" t="str">
        <f t="shared" si="418"/>
        <v/>
      </c>
      <c r="FE64" s="7" t="str">
        <f t="shared" si="419"/>
        <v/>
      </c>
      <c r="FF64" s="9" t="str">
        <f t="shared" si="172"/>
        <v/>
      </c>
      <c r="FG64" s="328" t="str">
        <f t="shared" si="420"/>
        <v/>
      </c>
      <c r="FH64" s="7" t="str">
        <f t="shared" si="421"/>
        <v/>
      </c>
      <c r="FI64" s="12" t="str">
        <f t="shared" si="422"/>
        <v/>
      </c>
      <c r="FJ64" s="547" t="str">
        <f t="shared" si="173"/>
        <v/>
      </c>
      <c r="FK64" s="6" t="str">
        <f t="shared" si="423"/>
        <v/>
      </c>
      <c r="FL64" s="7" t="str">
        <f t="shared" si="174"/>
        <v/>
      </c>
      <c r="FM64" s="10" t="str">
        <f t="shared" si="175"/>
        <v/>
      </c>
      <c r="FN64" s="11" t="str">
        <f t="shared" si="176"/>
        <v/>
      </c>
      <c r="FO64" s="12" t="str">
        <f t="shared" si="424"/>
        <v/>
      </c>
      <c r="FP64" s="545" t="str">
        <f t="shared" si="425"/>
        <v/>
      </c>
      <c r="FQ64" s="328" t="str">
        <f t="shared" si="205"/>
        <v/>
      </c>
      <c r="FR64" s="12" t="str">
        <f t="shared" si="177"/>
        <v/>
      </c>
      <c r="FS64" s="11" t="str">
        <f t="shared" si="178"/>
        <v/>
      </c>
      <c r="FT64" s="8" t="str">
        <f t="shared" si="179"/>
        <v/>
      </c>
      <c r="FU64" s="6" t="str">
        <f t="shared" si="180"/>
        <v/>
      </c>
      <c r="FV64" s="7" t="str">
        <f t="shared" si="181"/>
        <v/>
      </c>
      <c r="FW64" s="10" t="str">
        <f t="shared" si="206"/>
        <v/>
      </c>
      <c r="FX64" s="11" t="str">
        <f t="shared" si="207"/>
        <v/>
      </c>
      <c r="FY64" s="12" t="str">
        <f t="shared" si="426"/>
        <v/>
      </c>
      <c r="FZ64" s="545" t="str">
        <f t="shared" si="208"/>
        <v/>
      </c>
      <c r="GA64" s="372" t="str">
        <f t="shared" si="182"/>
        <v/>
      </c>
      <c r="GB64" s="46" t="str">
        <f t="shared" si="183"/>
        <v/>
      </c>
      <c r="GC64" s="47" t="str">
        <f t="shared" si="184"/>
        <v/>
      </c>
      <c r="GD64" s="578" t="str">
        <f t="shared" si="185"/>
        <v/>
      </c>
      <c r="GE64" s="585" t="str">
        <f t="shared" si="186"/>
        <v/>
      </c>
      <c r="GF64" s="634" t="str">
        <f t="shared" si="209"/>
        <v/>
      </c>
      <c r="GG64" s="553" t="str">
        <f t="shared" si="427"/>
        <v/>
      </c>
      <c r="GH64" s="554" t="str">
        <f t="shared" si="428"/>
        <v/>
      </c>
      <c r="GI64" s="549" t="str">
        <f t="shared" si="429"/>
        <v/>
      </c>
      <c r="GJ64" s="296" t="str">
        <f t="shared" si="187"/>
        <v/>
      </c>
      <c r="GK64" s="337" t="str">
        <f t="shared" si="430"/>
        <v/>
      </c>
      <c r="GL64" s="337" t="str">
        <f t="shared" si="188"/>
        <v/>
      </c>
      <c r="GM64" s="372" t="str">
        <f t="shared" si="210"/>
        <v/>
      </c>
      <c r="GN64" s="548" t="str">
        <f t="shared" si="189"/>
        <v/>
      </c>
      <c r="GO64" s="6" t="str">
        <f t="shared" si="190"/>
        <v/>
      </c>
      <c r="GP64" s="10" t="str">
        <f t="shared" si="211"/>
        <v/>
      </c>
      <c r="GQ64" s="372" t="str">
        <f t="shared" si="191"/>
        <v/>
      </c>
      <c r="GR64" s="697" t="str">
        <f t="shared" si="212"/>
        <v/>
      </c>
      <c r="GS64" s="637" t="str">
        <f t="shared" si="431"/>
        <v/>
      </c>
      <c r="GT64" s="638" t="str">
        <f t="shared" si="432"/>
        <v/>
      </c>
      <c r="GU64" s="639" t="str">
        <f t="shared" si="433"/>
        <v/>
      </c>
      <c r="GV64" s="638" t="str">
        <f t="shared" si="192"/>
        <v/>
      </c>
      <c r="GW64" s="640" t="str">
        <f t="shared" si="434"/>
        <v/>
      </c>
      <c r="GX64" s="641" t="str">
        <f t="shared" si="435"/>
        <v/>
      </c>
      <c r="GY64" s="639" t="str">
        <f t="shared" si="436"/>
        <v/>
      </c>
      <c r="GZ64" s="640" t="str">
        <f t="shared" si="437"/>
        <v/>
      </c>
      <c r="HA64" s="637" t="str">
        <f t="shared" si="438"/>
        <v/>
      </c>
      <c r="HB64" s="7" t="str">
        <f t="shared" si="193"/>
        <v/>
      </c>
      <c r="HC64" s="638" t="str">
        <f t="shared" si="194"/>
        <v/>
      </c>
      <c r="HD64" s="682" t="str">
        <f t="shared" si="195"/>
        <v/>
      </c>
      <c r="HE64" s="639" t="str">
        <f t="shared" si="439"/>
        <v/>
      </c>
      <c r="HF64" s="7" t="str">
        <f t="shared" si="440"/>
        <v/>
      </c>
      <c r="HG64" s="638" t="str">
        <f t="shared" si="196"/>
        <v/>
      </c>
      <c r="HH64" s="644" t="str">
        <f t="shared" si="197"/>
        <v/>
      </c>
      <c r="HI64" s="596" t="str">
        <f t="shared" si="198"/>
        <v/>
      </c>
      <c r="HK64" s="584" t="str">
        <f t="shared" si="217"/>
        <v/>
      </c>
      <c r="HL64" s="583" t="str">
        <f t="shared" si="441"/>
        <v/>
      </c>
      <c r="HM64" s="643" t="str">
        <f t="shared" si="443"/>
        <v/>
      </c>
      <c r="HN64" s="660" t="str">
        <f t="shared" si="443"/>
        <v/>
      </c>
      <c r="HO64" s="661" t="str">
        <f t="shared" si="443"/>
        <v/>
      </c>
      <c r="HP64" s="656" t="str">
        <f t="shared" si="443"/>
        <v/>
      </c>
      <c r="HQ64" s="660" t="str">
        <f t="shared" si="443"/>
        <v/>
      </c>
      <c r="HR64" s="671" t="str">
        <f t="shared" si="443"/>
        <v/>
      </c>
      <c r="HS64" s="655" t="str">
        <f t="shared" si="443"/>
        <v/>
      </c>
      <c r="HT64" s="648" t="str">
        <f t="shared" si="443"/>
        <v/>
      </c>
      <c r="HU64" s="649" t="str">
        <f t="shared" si="443"/>
        <v/>
      </c>
      <c r="HV64" s="650" t="str">
        <f t="shared" si="443"/>
        <v/>
      </c>
      <c r="HW64" s="648" t="str">
        <f t="shared" si="443"/>
        <v/>
      </c>
      <c r="HX64" s="649" t="str">
        <f t="shared" si="443"/>
        <v/>
      </c>
      <c r="HY64" s="650" t="str">
        <f t="shared" si="443"/>
        <v/>
      </c>
      <c r="HZ64" s="648" t="str">
        <f t="shared" si="443"/>
        <v/>
      </c>
      <c r="IA64" s="649" t="str">
        <f t="shared" si="443"/>
        <v/>
      </c>
      <c r="IB64" s="716"/>
    </row>
    <row r="65" spans="2:238" ht="15" customHeight="1" x14ac:dyDescent="0.25">
      <c r="B65" s="143"/>
      <c r="C65" s="144"/>
      <c r="D65" s="145"/>
      <c r="E65" s="146"/>
      <c r="F65" s="144"/>
      <c r="G65" s="147"/>
      <c r="H65" s="146"/>
      <c r="I65" s="144"/>
      <c r="J65" s="306"/>
      <c r="K65" s="699" t="str">
        <f t="shared" si="199"/>
        <v/>
      </c>
      <c r="M65" s="292" t="str">
        <f t="shared" si="46"/>
        <v/>
      </c>
      <c r="N65" s="24" t="str">
        <f t="shared" si="47"/>
        <v/>
      </c>
      <c r="O65" s="7" t="str">
        <f t="shared" si="48"/>
        <v/>
      </c>
      <c r="P65" s="12" t="str">
        <f t="shared" si="49"/>
        <v/>
      </c>
      <c r="Q65" s="11" t="str">
        <f t="shared" si="85"/>
        <v/>
      </c>
      <c r="R65" s="7" t="str">
        <f t="shared" si="50"/>
        <v/>
      </c>
      <c r="S65" s="8" t="str">
        <f t="shared" si="51"/>
        <v/>
      </c>
      <c r="T65" s="6" t="str">
        <f t="shared" si="52"/>
        <v/>
      </c>
      <c r="U65" s="7" t="str">
        <f t="shared" si="53"/>
        <v/>
      </c>
      <c r="V65" s="10" t="str">
        <f t="shared" si="86"/>
        <v/>
      </c>
      <c r="W65" s="11" t="str">
        <f t="shared" si="214"/>
        <v/>
      </c>
      <c r="X65" s="7" t="str">
        <f t="shared" si="54"/>
        <v/>
      </c>
      <c r="Y65" s="9" t="str">
        <f t="shared" si="213"/>
        <v/>
      </c>
      <c r="Z65" s="24" t="str">
        <f t="shared" si="87"/>
        <v/>
      </c>
      <c r="AA65" s="7" t="str">
        <f t="shared" si="55"/>
        <v/>
      </c>
      <c r="AB65" s="7" t="str">
        <f t="shared" si="56"/>
        <v/>
      </c>
      <c r="AC65" s="10" t="str">
        <f t="shared" si="57"/>
        <v/>
      </c>
      <c r="AD65" s="11" t="str">
        <f t="shared" si="88"/>
        <v/>
      </c>
      <c r="AE65" s="7" t="str">
        <f t="shared" si="58"/>
        <v/>
      </c>
      <c r="AF65" s="12" t="str">
        <f t="shared" si="59"/>
        <v/>
      </c>
      <c r="AG65" s="6" t="str">
        <f t="shared" si="60"/>
        <v/>
      </c>
      <c r="AH65" s="12" t="str">
        <f t="shared" si="61"/>
        <v/>
      </c>
      <c r="AI65" s="11" t="str">
        <f t="shared" si="62"/>
        <v/>
      </c>
      <c r="AJ65" s="8" t="str">
        <f t="shared" si="63"/>
        <v/>
      </c>
      <c r="AK65" s="6" t="str">
        <f t="shared" si="89"/>
        <v/>
      </c>
      <c r="AL65" s="7" t="str">
        <f t="shared" si="64"/>
        <v/>
      </c>
      <c r="AM65" s="8" t="str">
        <f t="shared" si="65"/>
        <v/>
      </c>
      <c r="AN65" s="6" t="str">
        <f t="shared" si="66"/>
        <v/>
      </c>
      <c r="AO65" s="10" t="str">
        <f t="shared" si="376"/>
        <v/>
      </c>
      <c r="AP65" s="11" t="str">
        <f t="shared" si="67"/>
        <v/>
      </c>
      <c r="AQ65" s="8" t="str">
        <f t="shared" si="200"/>
        <v/>
      </c>
      <c r="AS65" s="123" t="str">
        <f t="shared" si="90"/>
        <v/>
      </c>
      <c r="AT65" s="174" t="str">
        <f t="shared" si="68"/>
        <v/>
      </c>
      <c r="AV65" s="292" t="str">
        <f t="shared" si="91"/>
        <v/>
      </c>
      <c r="AW65" s="709"/>
      <c r="AX65" s="710"/>
      <c r="AY65" s="711"/>
      <c r="AZ65" s="565" t="str">
        <f t="shared" si="92"/>
        <v/>
      </c>
      <c r="BA65" s="564" t="str">
        <f t="shared" si="93"/>
        <v/>
      </c>
      <c r="BB65" s="372" t="str">
        <f t="shared" si="94"/>
        <v/>
      </c>
      <c r="BC65" s="11"/>
      <c r="BD65" s="7" t="str">
        <f t="shared" si="95"/>
        <v/>
      </c>
      <c r="BE65" s="8" t="str">
        <f t="shared" si="96"/>
        <v/>
      </c>
      <c r="BF65" s="6" t="str">
        <f t="shared" si="97"/>
        <v/>
      </c>
      <c r="BG65" s="7" t="str">
        <f t="shared" si="98"/>
        <v/>
      </c>
      <c r="BH65" s="12" t="str">
        <f t="shared" si="99"/>
        <v/>
      </c>
      <c r="BI65" s="11" t="str">
        <f t="shared" si="100"/>
        <v/>
      </c>
      <c r="BJ65" s="7" t="str">
        <f t="shared" si="101"/>
        <v/>
      </c>
      <c r="BK65" s="10" t="str">
        <f t="shared" si="102"/>
        <v/>
      </c>
      <c r="BL65" s="328" t="str">
        <f t="shared" si="103"/>
        <v/>
      </c>
      <c r="BM65" s="7" t="str">
        <f t="shared" si="104"/>
        <v/>
      </c>
      <c r="BN65" s="8" t="str">
        <f t="shared" si="105"/>
        <v/>
      </c>
      <c r="BO65" s="6" t="str">
        <f t="shared" si="106"/>
        <v/>
      </c>
      <c r="BP65" s="7" t="str">
        <f t="shared" si="107"/>
        <v/>
      </c>
      <c r="BQ65" s="7" t="str">
        <f t="shared" si="108"/>
        <v/>
      </c>
      <c r="BR65" s="8" t="str">
        <f t="shared" si="109"/>
        <v/>
      </c>
      <c r="BS65" s="6" t="str">
        <f t="shared" si="409"/>
        <v/>
      </c>
      <c r="BT65" s="7" t="str">
        <f t="shared" si="409"/>
        <v/>
      </c>
      <c r="BU65" s="12" t="str">
        <f t="shared" si="70"/>
        <v/>
      </c>
      <c r="BV65" s="11" t="str">
        <f t="shared" si="71"/>
        <v/>
      </c>
      <c r="BW65" s="7" t="str">
        <f t="shared" si="72"/>
        <v/>
      </c>
      <c r="BX65" s="10" t="str">
        <f t="shared" si="73"/>
        <v/>
      </c>
      <c r="BY65" s="328" t="str">
        <f t="shared" si="74"/>
        <v/>
      </c>
      <c r="BZ65" s="7" t="str">
        <f t="shared" si="75"/>
        <v/>
      </c>
      <c r="CA65" s="8" t="str">
        <f t="shared" si="76"/>
        <v/>
      </c>
      <c r="CB65" s="6" t="str">
        <f t="shared" si="110"/>
        <v/>
      </c>
      <c r="CC65" s="7" t="str">
        <f t="shared" si="111"/>
        <v/>
      </c>
      <c r="CD65" s="7" t="str">
        <f t="shared" si="112"/>
        <v/>
      </c>
      <c r="CE65" s="8" t="str">
        <f t="shared" si="113"/>
        <v/>
      </c>
      <c r="CF65" s="6" t="str">
        <f t="shared" si="114"/>
        <v/>
      </c>
      <c r="CG65" s="7" t="str">
        <f t="shared" si="115"/>
        <v/>
      </c>
      <c r="CH65" s="7" t="str">
        <f t="shared" si="116"/>
        <v/>
      </c>
      <c r="CI65" s="6" t="str">
        <f t="shared" si="77"/>
        <v/>
      </c>
      <c r="CJ65" s="7" t="str">
        <f t="shared" si="78"/>
        <v/>
      </c>
      <c r="CK65" s="10" t="str">
        <f t="shared" si="79"/>
        <v/>
      </c>
      <c r="CL65" s="328" t="str">
        <f t="shared" si="80"/>
        <v/>
      </c>
      <c r="CM65" s="7" t="str">
        <f t="shared" si="81"/>
        <v/>
      </c>
      <c r="CN65" s="8" t="str">
        <f t="shared" si="82"/>
        <v/>
      </c>
      <c r="CO65" s="296" t="str">
        <f t="shared" si="201"/>
        <v/>
      </c>
      <c r="CP65" s="6" t="str">
        <f t="shared" si="202"/>
        <v/>
      </c>
      <c r="CQ65" s="7" t="str">
        <f t="shared" si="203"/>
        <v/>
      </c>
      <c r="CR65" s="7" t="str">
        <f t="shared" si="117"/>
        <v/>
      </c>
      <c r="CS65" s="10" t="str">
        <f t="shared" si="118"/>
        <v/>
      </c>
      <c r="CT65" s="11" t="str">
        <f t="shared" si="119"/>
        <v/>
      </c>
      <c r="CU65" s="8" t="str">
        <f t="shared" si="120"/>
        <v/>
      </c>
      <c r="CV65" s="6" t="str">
        <f t="shared" si="204"/>
        <v/>
      </c>
      <c r="CW65" s="7" t="str">
        <f t="shared" si="121"/>
        <v/>
      </c>
      <c r="CX65" s="10" t="str">
        <f t="shared" si="122"/>
        <v/>
      </c>
      <c r="CY65" s="11" t="str">
        <f t="shared" si="123"/>
        <v/>
      </c>
      <c r="CZ65" s="7" t="str">
        <f t="shared" si="124"/>
        <v/>
      </c>
      <c r="DA65" s="8" t="str">
        <f t="shared" si="125"/>
        <v/>
      </c>
      <c r="DB65" s="6" t="str">
        <f t="shared" si="410"/>
        <v/>
      </c>
      <c r="DC65" s="7" t="str">
        <f t="shared" si="410"/>
        <v/>
      </c>
      <c r="DD65" s="12" t="str">
        <f t="shared" si="127"/>
        <v/>
      </c>
      <c r="DE65" s="11" t="str">
        <f t="shared" si="411"/>
        <v/>
      </c>
      <c r="DF65" s="7" t="str">
        <f t="shared" si="411"/>
        <v/>
      </c>
      <c r="DG65" s="12" t="str">
        <f t="shared" si="129"/>
        <v/>
      </c>
      <c r="DH65" s="174" t="str">
        <f t="shared" si="130"/>
        <v/>
      </c>
      <c r="DI65" s="6" t="str">
        <f t="shared" si="131"/>
        <v/>
      </c>
      <c r="DJ65" s="7" t="str">
        <f t="shared" si="132"/>
        <v/>
      </c>
      <c r="DK65" s="12" t="str">
        <f t="shared" si="133"/>
        <v/>
      </c>
      <c r="DL65" s="11" t="str">
        <f t="shared" si="134"/>
        <v/>
      </c>
      <c r="DM65" s="328" t="str">
        <f t="shared" si="135"/>
        <v/>
      </c>
      <c r="DN65" s="376" t="str">
        <f t="shared" si="136"/>
        <v/>
      </c>
      <c r="DO65" s="11" t="str">
        <f t="shared" si="137"/>
        <v/>
      </c>
      <c r="DP65" s="328" t="str">
        <f t="shared" si="138"/>
        <v/>
      </c>
      <c r="DQ65" s="13" t="str">
        <f t="shared" si="139"/>
        <v/>
      </c>
      <c r="DR65" s="328" t="str">
        <f t="shared" si="140"/>
        <v/>
      </c>
      <c r="DS65" s="7" t="str">
        <f t="shared" si="141"/>
        <v/>
      </c>
      <c r="DT65" s="7" t="str">
        <f t="shared" si="142"/>
        <v/>
      </c>
      <c r="DU65" s="7" t="str">
        <f t="shared" si="143"/>
        <v/>
      </c>
      <c r="DV65" s="7" t="str">
        <f t="shared" si="144"/>
        <v/>
      </c>
      <c r="DW65" s="7" t="str">
        <f t="shared" si="145"/>
        <v/>
      </c>
      <c r="DX65" s="296" t="str">
        <f t="shared" si="146"/>
        <v/>
      </c>
      <c r="DY65" s="11" t="str">
        <f t="shared" si="147"/>
        <v/>
      </c>
      <c r="DZ65" s="7" t="str">
        <f t="shared" si="148"/>
        <v/>
      </c>
      <c r="EA65" s="12" t="str">
        <f t="shared" si="149"/>
        <v/>
      </c>
      <c r="EB65" s="8" t="str">
        <f t="shared" si="150"/>
        <v/>
      </c>
      <c r="EC65" s="328" t="str">
        <f t="shared" si="151"/>
        <v/>
      </c>
      <c r="ED65" s="7" t="str">
        <f t="shared" si="152"/>
        <v/>
      </c>
      <c r="EE65" s="6" t="str">
        <f t="shared" si="153"/>
        <v/>
      </c>
      <c r="EF65" s="7" t="str">
        <f t="shared" si="154"/>
        <v/>
      </c>
      <c r="EG65" s="12" t="str">
        <f t="shared" si="155"/>
        <v/>
      </c>
      <c r="EH65" s="11" t="str">
        <f t="shared" si="156"/>
        <v/>
      </c>
      <c r="EI65" s="7" t="str">
        <f t="shared" si="157"/>
        <v/>
      </c>
      <c r="EJ65" s="8" t="str">
        <f t="shared" si="158"/>
        <v/>
      </c>
      <c r="EK65" s="491" t="str">
        <f t="shared" si="159"/>
        <v/>
      </c>
      <c r="EL65" s="493" t="str">
        <f t="shared" si="160"/>
        <v/>
      </c>
      <c r="EM65" s="6" t="str">
        <f t="shared" si="161"/>
        <v/>
      </c>
      <c r="EN65" s="7" t="str">
        <f t="shared" si="162"/>
        <v/>
      </c>
      <c r="EO65" s="12" t="str">
        <f t="shared" si="163"/>
        <v/>
      </c>
      <c r="EP65" s="11" t="str">
        <f t="shared" si="164"/>
        <v/>
      </c>
      <c r="EQ65" s="7" t="str">
        <f t="shared" si="165"/>
        <v/>
      </c>
      <c r="ER65" s="9" t="str">
        <f t="shared" si="166"/>
        <v/>
      </c>
      <c r="ES65" s="24" t="str">
        <f t="shared" si="167"/>
        <v/>
      </c>
      <c r="ET65" s="7" t="str">
        <f t="shared" si="168"/>
        <v/>
      </c>
      <c r="EU65" s="12" t="str">
        <f t="shared" si="169"/>
        <v/>
      </c>
      <c r="EV65" s="337" t="str">
        <f t="shared" si="412"/>
        <v/>
      </c>
      <c r="EW65" s="11" t="str">
        <f t="shared" si="413"/>
        <v/>
      </c>
      <c r="EX65" s="7" t="str">
        <f t="shared" si="414"/>
        <v/>
      </c>
      <c r="EY65" s="8" t="str">
        <f t="shared" si="170"/>
        <v/>
      </c>
      <c r="EZ65" s="123" t="str">
        <f t="shared" si="171"/>
        <v/>
      </c>
      <c r="FA65" s="328" t="str">
        <f t="shared" si="415"/>
        <v/>
      </c>
      <c r="FB65" s="7" t="str">
        <f t="shared" si="416"/>
        <v/>
      </c>
      <c r="FC65" s="8" t="str">
        <f t="shared" si="417"/>
        <v/>
      </c>
      <c r="FD65" s="6" t="str">
        <f t="shared" si="418"/>
        <v/>
      </c>
      <c r="FE65" s="7" t="str">
        <f t="shared" si="419"/>
        <v/>
      </c>
      <c r="FF65" s="9" t="str">
        <f t="shared" si="172"/>
        <v/>
      </c>
      <c r="FG65" s="328" t="str">
        <f t="shared" si="420"/>
        <v/>
      </c>
      <c r="FH65" s="7" t="str">
        <f t="shared" si="421"/>
        <v/>
      </c>
      <c r="FI65" s="12" t="str">
        <f t="shared" si="422"/>
        <v/>
      </c>
      <c r="FJ65" s="547" t="str">
        <f t="shared" si="173"/>
        <v/>
      </c>
      <c r="FK65" s="6" t="str">
        <f t="shared" si="423"/>
        <v/>
      </c>
      <c r="FL65" s="7" t="str">
        <f t="shared" si="174"/>
        <v/>
      </c>
      <c r="FM65" s="10" t="str">
        <f t="shared" si="175"/>
        <v/>
      </c>
      <c r="FN65" s="11" t="str">
        <f t="shared" si="176"/>
        <v/>
      </c>
      <c r="FO65" s="12" t="str">
        <f t="shared" si="424"/>
        <v/>
      </c>
      <c r="FP65" s="545" t="str">
        <f t="shared" si="425"/>
        <v/>
      </c>
      <c r="FQ65" s="328" t="str">
        <f t="shared" si="205"/>
        <v/>
      </c>
      <c r="FR65" s="12" t="str">
        <f t="shared" si="177"/>
        <v/>
      </c>
      <c r="FS65" s="11" t="str">
        <f t="shared" si="178"/>
        <v/>
      </c>
      <c r="FT65" s="8" t="str">
        <f t="shared" si="179"/>
        <v/>
      </c>
      <c r="FU65" s="6" t="str">
        <f t="shared" si="180"/>
        <v/>
      </c>
      <c r="FV65" s="7" t="str">
        <f t="shared" si="181"/>
        <v/>
      </c>
      <c r="FW65" s="10" t="str">
        <f t="shared" si="206"/>
        <v/>
      </c>
      <c r="FX65" s="11" t="str">
        <f t="shared" si="207"/>
        <v/>
      </c>
      <c r="FY65" s="12" t="str">
        <f t="shared" si="426"/>
        <v/>
      </c>
      <c r="FZ65" s="545" t="str">
        <f t="shared" si="208"/>
        <v/>
      </c>
      <c r="GA65" s="372" t="str">
        <f t="shared" si="182"/>
        <v/>
      </c>
      <c r="GB65" s="46" t="str">
        <f t="shared" si="183"/>
        <v/>
      </c>
      <c r="GC65" s="47" t="str">
        <f t="shared" si="184"/>
        <v/>
      </c>
      <c r="GD65" s="578" t="str">
        <f t="shared" si="185"/>
        <v/>
      </c>
      <c r="GE65" s="585" t="str">
        <f t="shared" si="186"/>
        <v/>
      </c>
      <c r="GF65" s="634" t="str">
        <f t="shared" si="209"/>
        <v/>
      </c>
      <c r="GG65" s="553" t="str">
        <f t="shared" si="427"/>
        <v/>
      </c>
      <c r="GH65" s="554" t="str">
        <f t="shared" si="428"/>
        <v/>
      </c>
      <c r="GI65" s="549" t="str">
        <f t="shared" si="429"/>
        <v/>
      </c>
      <c r="GJ65" s="296" t="str">
        <f t="shared" si="187"/>
        <v/>
      </c>
      <c r="GK65" s="337" t="str">
        <f t="shared" si="430"/>
        <v/>
      </c>
      <c r="GL65" s="337" t="str">
        <f t="shared" si="188"/>
        <v/>
      </c>
      <c r="GM65" s="372" t="str">
        <f t="shared" si="210"/>
        <v/>
      </c>
      <c r="GN65" s="548" t="str">
        <f t="shared" si="189"/>
        <v/>
      </c>
      <c r="GO65" s="6" t="str">
        <f t="shared" si="190"/>
        <v/>
      </c>
      <c r="GP65" s="10" t="str">
        <f t="shared" si="211"/>
        <v/>
      </c>
      <c r="GQ65" s="372" t="str">
        <f t="shared" si="191"/>
        <v/>
      </c>
      <c r="GR65" s="697" t="str">
        <f t="shared" si="212"/>
        <v/>
      </c>
      <c r="GS65" s="637" t="str">
        <f t="shared" si="431"/>
        <v/>
      </c>
      <c r="GT65" s="638" t="str">
        <f t="shared" si="432"/>
        <v/>
      </c>
      <c r="GU65" s="639" t="str">
        <f t="shared" si="433"/>
        <v/>
      </c>
      <c r="GV65" s="638" t="str">
        <f t="shared" si="192"/>
        <v/>
      </c>
      <c r="GW65" s="640" t="str">
        <f t="shared" si="434"/>
        <v/>
      </c>
      <c r="GX65" s="641" t="str">
        <f t="shared" si="435"/>
        <v/>
      </c>
      <c r="GY65" s="639" t="str">
        <f t="shared" si="436"/>
        <v/>
      </c>
      <c r="GZ65" s="640" t="str">
        <f t="shared" si="437"/>
        <v/>
      </c>
      <c r="HA65" s="637" t="str">
        <f t="shared" si="438"/>
        <v/>
      </c>
      <c r="HB65" s="7" t="str">
        <f t="shared" si="193"/>
        <v/>
      </c>
      <c r="HC65" s="638" t="str">
        <f t="shared" si="194"/>
        <v/>
      </c>
      <c r="HD65" s="682" t="str">
        <f t="shared" si="195"/>
        <v/>
      </c>
      <c r="HE65" s="639" t="str">
        <f t="shared" si="439"/>
        <v/>
      </c>
      <c r="HF65" s="7" t="str">
        <f t="shared" si="440"/>
        <v/>
      </c>
      <c r="HG65" s="638" t="str">
        <f t="shared" si="196"/>
        <v/>
      </c>
      <c r="HH65" s="644" t="str">
        <f t="shared" si="197"/>
        <v/>
      </c>
      <c r="HI65" s="596" t="str">
        <f t="shared" si="198"/>
        <v/>
      </c>
      <c r="HK65" s="584" t="str">
        <f t="shared" si="217"/>
        <v/>
      </c>
      <c r="HL65" s="583" t="str">
        <f t="shared" si="441"/>
        <v/>
      </c>
      <c r="HM65" s="643" t="str">
        <f t="shared" si="443"/>
        <v/>
      </c>
      <c r="HN65" s="660" t="str">
        <f t="shared" si="443"/>
        <v/>
      </c>
      <c r="HO65" s="661" t="str">
        <f t="shared" si="443"/>
        <v/>
      </c>
      <c r="HP65" s="656" t="str">
        <f t="shared" si="443"/>
        <v/>
      </c>
      <c r="HQ65" s="660" t="str">
        <f t="shared" si="443"/>
        <v/>
      </c>
      <c r="HR65" s="671" t="str">
        <f t="shared" si="443"/>
        <v/>
      </c>
      <c r="HS65" s="655" t="str">
        <f t="shared" si="443"/>
        <v/>
      </c>
      <c r="HT65" s="648" t="str">
        <f t="shared" si="443"/>
        <v/>
      </c>
      <c r="HU65" s="649" t="str">
        <f t="shared" si="443"/>
        <v/>
      </c>
      <c r="HV65" s="650" t="str">
        <f t="shared" si="443"/>
        <v/>
      </c>
      <c r="HW65" s="648" t="str">
        <f t="shared" si="443"/>
        <v/>
      </c>
      <c r="HX65" s="649" t="str">
        <f t="shared" si="443"/>
        <v/>
      </c>
      <c r="HY65" s="650" t="str">
        <f t="shared" si="443"/>
        <v/>
      </c>
      <c r="HZ65" s="648" t="str">
        <f t="shared" si="443"/>
        <v/>
      </c>
      <c r="IA65" s="649" t="str">
        <f t="shared" si="443"/>
        <v/>
      </c>
      <c r="IB65" s="716"/>
    </row>
    <row r="66" spans="2:238" ht="15" customHeight="1" x14ac:dyDescent="0.25">
      <c r="B66" s="143"/>
      <c r="C66" s="144"/>
      <c r="D66" s="145"/>
      <c r="E66" s="146"/>
      <c r="F66" s="144"/>
      <c r="G66" s="147"/>
      <c r="H66" s="146"/>
      <c r="I66" s="144"/>
      <c r="J66" s="306"/>
      <c r="K66" s="699" t="str">
        <f t="shared" si="199"/>
        <v/>
      </c>
      <c r="M66" s="292" t="str">
        <f t="shared" si="46"/>
        <v/>
      </c>
      <c r="N66" s="24" t="str">
        <f t="shared" si="47"/>
        <v/>
      </c>
      <c r="O66" s="7" t="str">
        <f t="shared" si="48"/>
        <v/>
      </c>
      <c r="P66" s="12" t="str">
        <f t="shared" si="49"/>
        <v/>
      </c>
      <c r="Q66" s="11" t="str">
        <f t="shared" si="85"/>
        <v/>
      </c>
      <c r="R66" s="7" t="str">
        <f t="shared" si="50"/>
        <v/>
      </c>
      <c r="S66" s="8" t="str">
        <f t="shared" si="51"/>
        <v/>
      </c>
      <c r="T66" s="6" t="str">
        <f t="shared" si="52"/>
        <v/>
      </c>
      <c r="U66" s="7" t="str">
        <f t="shared" si="53"/>
        <v/>
      </c>
      <c r="V66" s="10" t="str">
        <f t="shared" si="86"/>
        <v/>
      </c>
      <c r="W66" s="11" t="str">
        <f t="shared" si="214"/>
        <v/>
      </c>
      <c r="X66" s="7" t="str">
        <f t="shared" si="54"/>
        <v/>
      </c>
      <c r="Y66" s="9" t="str">
        <f t="shared" si="213"/>
        <v/>
      </c>
      <c r="Z66" s="24" t="str">
        <f t="shared" si="87"/>
        <v/>
      </c>
      <c r="AA66" s="7" t="str">
        <f t="shared" si="55"/>
        <v/>
      </c>
      <c r="AB66" s="7" t="str">
        <f t="shared" si="56"/>
        <v/>
      </c>
      <c r="AC66" s="10" t="str">
        <f t="shared" si="57"/>
        <v/>
      </c>
      <c r="AD66" s="11" t="str">
        <f t="shared" si="88"/>
        <v/>
      </c>
      <c r="AE66" s="7" t="str">
        <f t="shared" si="58"/>
        <v/>
      </c>
      <c r="AF66" s="12" t="str">
        <f t="shared" si="59"/>
        <v/>
      </c>
      <c r="AG66" s="6" t="str">
        <f t="shared" si="60"/>
        <v/>
      </c>
      <c r="AH66" s="12" t="str">
        <f t="shared" si="61"/>
        <v/>
      </c>
      <c r="AI66" s="11" t="str">
        <f t="shared" si="62"/>
        <v/>
      </c>
      <c r="AJ66" s="8" t="str">
        <f t="shared" si="63"/>
        <v/>
      </c>
      <c r="AK66" s="6" t="str">
        <f t="shared" si="89"/>
        <v/>
      </c>
      <c r="AL66" s="7" t="str">
        <f t="shared" si="64"/>
        <v/>
      </c>
      <c r="AM66" s="8" t="str">
        <f t="shared" si="65"/>
        <v/>
      </c>
      <c r="AN66" s="6" t="str">
        <f t="shared" si="66"/>
        <v/>
      </c>
      <c r="AO66" s="10" t="str">
        <f t="shared" si="376"/>
        <v/>
      </c>
      <c r="AP66" s="11" t="str">
        <f t="shared" si="67"/>
        <v/>
      </c>
      <c r="AQ66" s="8" t="str">
        <f t="shared" si="200"/>
        <v/>
      </c>
      <c r="AS66" s="123" t="str">
        <f t="shared" si="90"/>
        <v/>
      </c>
      <c r="AT66" s="174" t="str">
        <f t="shared" si="68"/>
        <v/>
      </c>
      <c r="AV66" s="292" t="str">
        <f t="shared" si="91"/>
        <v/>
      </c>
      <c r="AW66" s="709"/>
      <c r="AX66" s="710"/>
      <c r="AY66" s="711"/>
      <c r="AZ66" s="565" t="str">
        <f t="shared" si="92"/>
        <v/>
      </c>
      <c r="BA66" s="564" t="str">
        <f t="shared" si="93"/>
        <v/>
      </c>
      <c r="BB66" s="372" t="str">
        <f t="shared" si="94"/>
        <v/>
      </c>
      <c r="BC66" s="11"/>
      <c r="BD66" s="7" t="str">
        <f t="shared" si="95"/>
        <v/>
      </c>
      <c r="BE66" s="8" t="str">
        <f t="shared" si="96"/>
        <v/>
      </c>
      <c r="BF66" s="6" t="str">
        <f t="shared" si="97"/>
        <v/>
      </c>
      <c r="BG66" s="7" t="str">
        <f t="shared" si="98"/>
        <v/>
      </c>
      <c r="BH66" s="12" t="str">
        <f t="shared" si="99"/>
        <v/>
      </c>
      <c r="BI66" s="11" t="str">
        <f t="shared" si="100"/>
        <v/>
      </c>
      <c r="BJ66" s="7" t="str">
        <f t="shared" si="101"/>
        <v/>
      </c>
      <c r="BK66" s="10" t="str">
        <f t="shared" si="102"/>
        <v/>
      </c>
      <c r="BL66" s="328" t="str">
        <f t="shared" si="103"/>
        <v/>
      </c>
      <c r="BM66" s="7" t="str">
        <f t="shared" si="104"/>
        <v/>
      </c>
      <c r="BN66" s="8" t="str">
        <f t="shared" si="105"/>
        <v/>
      </c>
      <c r="BO66" s="6" t="str">
        <f t="shared" si="106"/>
        <v/>
      </c>
      <c r="BP66" s="7" t="str">
        <f t="shared" si="107"/>
        <v/>
      </c>
      <c r="BQ66" s="7" t="str">
        <f t="shared" si="108"/>
        <v/>
      </c>
      <c r="BR66" s="8" t="str">
        <f t="shared" si="109"/>
        <v/>
      </c>
      <c r="BS66" s="6" t="str">
        <f t="shared" si="409"/>
        <v/>
      </c>
      <c r="BT66" s="7" t="str">
        <f t="shared" si="409"/>
        <v/>
      </c>
      <c r="BU66" s="12" t="str">
        <f t="shared" si="70"/>
        <v/>
      </c>
      <c r="BV66" s="11" t="str">
        <f t="shared" si="71"/>
        <v/>
      </c>
      <c r="BW66" s="7" t="str">
        <f t="shared" si="72"/>
        <v/>
      </c>
      <c r="BX66" s="10" t="str">
        <f t="shared" si="73"/>
        <v/>
      </c>
      <c r="BY66" s="328" t="str">
        <f t="shared" si="74"/>
        <v/>
      </c>
      <c r="BZ66" s="7" t="str">
        <f t="shared" si="75"/>
        <v/>
      </c>
      <c r="CA66" s="8" t="str">
        <f t="shared" si="76"/>
        <v/>
      </c>
      <c r="CB66" s="6" t="str">
        <f t="shared" si="110"/>
        <v/>
      </c>
      <c r="CC66" s="7" t="str">
        <f t="shared" si="111"/>
        <v/>
      </c>
      <c r="CD66" s="7" t="str">
        <f t="shared" si="112"/>
        <v/>
      </c>
      <c r="CE66" s="8" t="str">
        <f t="shared" si="113"/>
        <v/>
      </c>
      <c r="CF66" s="6" t="str">
        <f t="shared" si="114"/>
        <v/>
      </c>
      <c r="CG66" s="7" t="str">
        <f t="shared" si="115"/>
        <v/>
      </c>
      <c r="CH66" s="7" t="str">
        <f t="shared" si="116"/>
        <v/>
      </c>
      <c r="CI66" s="6" t="str">
        <f t="shared" si="77"/>
        <v/>
      </c>
      <c r="CJ66" s="7" t="str">
        <f t="shared" si="78"/>
        <v/>
      </c>
      <c r="CK66" s="10" t="str">
        <f t="shared" si="79"/>
        <v/>
      </c>
      <c r="CL66" s="328" t="str">
        <f t="shared" si="80"/>
        <v/>
      </c>
      <c r="CM66" s="7" t="str">
        <f t="shared" si="81"/>
        <v/>
      </c>
      <c r="CN66" s="8" t="str">
        <f t="shared" si="82"/>
        <v/>
      </c>
      <c r="CO66" s="296" t="str">
        <f t="shared" si="201"/>
        <v/>
      </c>
      <c r="CP66" s="6" t="str">
        <f t="shared" si="202"/>
        <v/>
      </c>
      <c r="CQ66" s="7" t="str">
        <f t="shared" si="203"/>
        <v/>
      </c>
      <c r="CR66" s="7" t="str">
        <f t="shared" si="117"/>
        <v/>
      </c>
      <c r="CS66" s="10" t="str">
        <f t="shared" si="118"/>
        <v/>
      </c>
      <c r="CT66" s="11" t="str">
        <f t="shared" si="119"/>
        <v/>
      </c>
      <c r="CU66" s="8" t="str">
        <f t="shared" si="120"/>
        <v/>
      </c>
      <c r="CV66" s="6" t="str">
        <f t="shared" si="204"/>
        <v/>
      </c>
      <c r="CW66" s="7" t="str">
        <f t="shared" si="121"/>
        <v/>
      </c>
      <c r="CX66" s="10" t="str">
        <f t="shared" si="122"/>
        <v/>
      </c>
      <c r="CY66" s="11" t="str">
        <f t="shared" si="123"/>
        <v/>
      </c>
      <c r="CZ66" s="7" t="str">
        <f t="shared" si="124"/>
        <v/>
      </c>
      <c r="DA66" s="8" t="str">
        <f t="shared" si="125"/>
        <v/>
      </c>
      <c r="DB66" s="6" t="str">
        <f t="shared" si="410"/>
        <v/>
      </c>
      <c r="DC66" s="7" t="str">
        <f t="shared" si="410"/>
        <v/>
      </c>
      <c r="DD66" s="12" t="str">
        <f t="shared" si="127"/>
        <v/>
      </c>
      <c r="DE66" s="11" t="str">
        <f t="shared" si="411"/>
        <v/>
      </c>
      <c r="DF66" s="7" t="str">
        <f t="shared" si="411"/>
        <v/>
      </c>
      <c r="DG66" s="12" t="str">
        <f t="shared" si="129"/>
        <v/>
      </c>
      <c r="DH66" s="174" t="str">
        <f t="shared" si="130"/>
        <v/>
      </c>
      <c r="DI66" s="6" t="str">
        <f t="shared" si="131"/>
        <v/>
      </c>
      <c r="DJ66" s="7" t="str">
        <f t="shared" si="132"/>
        <v/>
      </c>
      <c r="DK66" s="12" t="str">
        <f t="shared" si="133"/>
        <v/>
      </c>
      <c r="DL66" s="11" t="str">
        <f t="shared" si="134"/>
        <v/>
      </c>
      <c r="DM66" s="328" t="str">
        <f t="shared" si="135"/>
        <v/>
      </c>
      <c r="DN66" s="376" t="str">
        <f t="shared" si="136"/>
        <v/>
      </c>
      <c r="DO66" s="11" t="str">
        <f t="shared" si="137"/>
        <v/>
      </c>
      <c r="DP66" s="328" t="str">
        <f t="shared" si="138"/>
        <v/>
      </c>
      <c r="DQ66" s="13" t="str">
        <f t="shared" si="139"/>
        <v/>
      </c>
      <c r="DR66" s="328" t="str">
        <f t="shared" si="140"/>
        <v/>
      </c>
      <c r="DS66" s="7" t="str">
        <f t="shared" si="141"/>
        <v/>
      </c>
      <c r="DT66" s="7" t="str">
        <f t="shared" si="142"/>
        <v/>
      </c>
      <c r="DU66" s="7" t="str">
        <f t="shared" si="143"/>
        <v/>
      </c>
      <c r="DV66" s="7" t="str">
        <f t="shared" si="144"/>
        <v/>
      </c>
      <c r="DW66" s="7" t="str">
        <f t="shared" si="145"/>
        <v/>
      </c>
      <c r="DX66" s="296" t="str">
        <f t="shared" si="146"/>
        <v/>
      </c>
      <c r="DY66" s="11" t="str">
        <f t="shared" si="147"/>
        <v/>
      </c>
      <c r="DZ66" s="7" t="str">
        <f t="shared" si="148"/>
        <v/>
      </c>
      <c r="EA66" s="12" t="str">
        <f t="shared" si="149"/>
        <v/>
      </c>
      <c r="EB66" s="8" t="str">
        <f t="shared" si="150"/>
        <v/>
      </c>
      <c r="EC66" s="328" t="str">
        <f t="shared" si="151"/>
        <v/>
      </c>
      <c r="ED66" s="7" t="str">
        <f t="shared" si="152"/>
        <v/>
      </c>
      <c r="EE66" s="6" t="str">
        <f t="shared" si="153"/>
        <v/>
      </c>
      <c r="EF66" s="7" t="str">
        <f t="shared" si="154"/>
        <v/>
      </c>
      <c r="EG66" s="12" t="str">
        <f t="shared" si="155"/>
        <v/>
      </c>
      <c r="EH66" s="11" t="str">
        <f t="shared" si="156"/>
        <v/>
      </c>
      <c r="EI66" s="7" t="str">
        <f t="shared" si="157"/>
        <v/>
      </c>
      <c r="EJ66" s="8" t="str">
        <f t="shared" si="158"/>
        <v/>
      </c>
      <c r="EK66" s="491" t="str">
        <f t="shared" si="159"/>
        <v/>
      </c>
      <c r="EL66" s="493" t="str">
        <f t="shared" si="160"/>
        <v/>
      </c>
      <c r="EM66" s="6" t="str">
        <f t="shared" si="161"/>
        <v/>
      </c>
      <c r="EN66" s="7" t="str">
        <f t="shared" si="162"/>
        <v/>
      </c>
      <c r="EO66" s="12" t="str">
        <f t="shared" si="163"/>
        <v/>
      </c>
      <c r="EP66" s="11" t="str">
        <f t="shared" si="164"/>
        <v/>
      </c>
      <c r="EQ66" s="7" t="str">
        <f t="shared" si="165"/>
        <v/>
      </c>
      <c r="ER66" s="9" t="str">
        <f t="shared" si="166"/>
        <v/>
      </c>
      <c r="ES66" s="24" t="str">
        <f t="shared" si="167"/>
        <v/>
      </c>
      <c r="ET66" s="7" t="str">
        <f t="shared" si="168"/>
        <v/>
      </c>
      <c r="EU66" s="12" t="str">
        <f t="shared" si="169"/>
        <v/>
      </c>
      <c r="EV66" s="337" t="str">
        <f t="shared" si="412"/>
        <v/>
      </c>
      <c r="EW66" s="11" t="str">
        <f t="shared" si="413"/>
        <v/>
      </c>
      <c r="EX66" s="7" t="str">
        <f t="shared" si="414"/>
        <v/>
      </c>
      <c r="EY66" s="8" t="str">
        <f t="shared" si="170"/>
        <v/>
      </c>
      <c r="EZ66" s="123" t="str">
        <f t="shared" si="171"/>
        <v/>
      </c>
      <c r="FA66" s="328" t="str">
        <f t="shared" si="415"/>
        <v/>
      </c>
      <c r="FB66" s="7" t="str">
        <f t="shared" si="416"/>
        <v/>
      </c>
      <c r="FC66" s="8" t="str">
        <f t="shared" si="417"/>
        <v/>
      </c>
      <c r="FD66" s="6" t="str">
        <f t="shared" si="418"/>
        <v/>
      </c>
      <c r="FE66" s="7" t="str">
        <f t="shared" si="419"/>
        <v/>
      </c>
      <c r="FF66" s="9" t="str">
        <f t="shared" si="172"/>
        <v/>
      </c>
      <c r="FG66" s="328" t="str">
        <f t="shared" si="420"/>
        <v/>
      </c>
      <c r="FH66" s="7" t="str">
        <f t="shared" si="421"/>
        <v/>
      </c>
      <c r="FI66" s="12" t="str">
        <f t="shared" si="422"/>
        <v/>
      </c>
      <c r="FJ66" s="547" t="str">
        <f t="shared" si="173"/>
        <v/>
      </c>
      <c r="FK66" s="6" t="str">
        <f t="shared" si="423"/>
        <v/>
      </c>
      <c r="FL66" s="7" t="str">
        <f t="shared" si="174"/>
        <v/>
      </c>
      <c r="FM66" s="10" t="str">
        <f t="shared" si="175"/>
        <v/>
      </c>
      <c r="FN66" s="11" t="str">
        <f t="shared" si="176"/>
        <v/>
      </c>
      <c r="FO66" s="12" t="str">
        <f t="shared" si="424"/>
        <v/>
      </c>
      <c r="FP66" s="545" t="str">
        <f t="shared" si="425"/>
        <v/>
      </c>
      <c r="FQ66" s="328" t="str">
        <f t="shared" si="205"/>
        <v/>
      </c>
      <c r="FR66" s="12" t="str">
        <f t="shared" si="177"/>
        <v/>
      </c>
      <c r="FS66" s="11" t="str">
        <f t="shared" si="178"/>
        <v/>
      </c>
      <c r="FT66" s="8" t="str">
        <f t="shared" si="179"/>
        <v/>
      </c>
      <c r="FU66" s="6" t="str">
        <f t="shared" si="180"/>
        <v/>
      </c>
      <c r="FV66" s="7" t="str">
        <f t="shared" si="181"/>
        <v/>
      </c>
      <c r="FW66" s="10" t="str">
        <f t="shared" si="206"/>
        <v/>
      </c>
      <c r="FX66" s="11" t="str">
        <f t="shared" si="207"/>
        <v/>
      </c>
      <c r="FY66" s="12" t="str">
        <f t="shared" si="426"/>
        <v/>
      </c>
      <c r="FZ66" s="545" t="str">
        <f t="shared" si="208"/>
        <v/>
      </c>
      <c r="GA66" s="372" t="str">
        <f t="shared" si="182"/>
        <v/>
      </c>
      <c r="GB66" s="46" t="str">
        <f t="shared" si="183"/>
        <v/>
      </c>
      <c r="GC66" s="47" t="str">
        <f t="shared" si="184"/>
        <v/>
      </c>
      <c r="GD66" s="578" t="str">
        <f t="shared" si="185"/>
        <v/>
      </c>
      <c r="GE66" s="585" t="str">
        <f t="shared" si="186"/>
        <v/>
      </c>
      <c r="GF66" s="634" t="str">
        <f t="shared" si="209"/>
        <v/>
      </c>
      <c r="GG66" s="553" t="str">
        <f t="shared" si="427"/>
        <v/>
      </c>
      <c r="GH66" s="554" t="str">
        <f t="shared" si="428"/>
        <v/>
      </c>
      <c r="GI66" s="549" t="str">
        <f t="shared" si="429"/>
        <v/>
      </c>
      <c r="GJ66" s="296" t="str">
        <f t="shared" si="187"/>
        <v/>
      </c>
      <c r="GK66" s="337" t="str">
        <f t="shared" si="430"/>
        <v/>
      </c>
      <c r="GL66" s="337" t="str">
        <f t="shared" si="188"/>
        <v/>
      </c>
      <c r="GM66" s="372" t="str">
        <f t="shared" si="210"/>
        <v/>
      </c>
      <c r="GN66" s="548" t="str">
        <f t="shared" si="189"/>
        <v/>
      </c>
      <c r="GO66" s="6" t="str">
        <f t="shared" si="190"/>
        <v/>
      </c>
      <c r="GP66" s="10" t="str">
        <f t="shared" si="211"/>
        <v/>
      </c>
      <c r="GQ66" s="372" t="str">
        <f t="shared" si="191"/>
        <v/>
      </c>
      <c r="GR66" s="697" t="str">
        <f t="shared" si="212"/>
        <v/>
      </c>
      <c r="GS66" s="637" t="str">
        <f t="shared" si="431"/>
        <v/>
      </c>
      <c r="GT66" s="638" t="str">
        <f t="shared" si="432"/>
        <v/>
      </c>
      <c r="GU66" s="639" t="str">
        <f t="shared" si="433"/>
        <v/>
      </c>
      <c r="GV66" s="638" t="str">
        <f t="shared" si="192"/>
        <v/>
      </c>
      <c r="GW66" s="640" t="str">
        <f t="shared" si="434"/>
        <v/>
      </c>
      <c r="GX66" s="641" t="str">
        <f t="shared" si="435"/>
        <v/>
      </c>
      <c r="GY66" s="639" t="str">
        <f t="shared" si="436"/>
        <v/>
      </c>
      <c r="GZ66" s="640" t="str">
        <f t="shared" si="437"/>
        <v/>
      </c>
      <c r="HA66" s="637" t="str">
        <f t="shared" si="438"/>
        <v/>
      </c>
      <c r="HB66" s="7" t="str">
        <f t="shared" si="193"/>
        <v/>
      </c>
      <c r="HC66" s="638" t="str">
        <f t="shared" si="194"/>
        <v/>
      </c>
      <c r="HD66" s="682" t="str">
        <f t="shared" si="195"/>
        <v/>
      </c>
      <c r="HE66" s="639" t="str">
        <f t="shared" si="439"/>
        <v/>
      </c>
      <c r="HF66" s="7" t="str">
        <f t="shared" si="440"/>
        <v/>
      </c>
      <c r="HG66" s="638" t="str">
        <f t="shared" si="196"/>
        <v/>
      </c>
      <c r="HH66" s="644" t="str">
        <f t="shared" si="197"/>
        <v/>
      </c>
      <c r="HI66" s="596" t="str">
        <f t="shared" si="198"/>
        <v/>
      </c>
      <c r="HK66" s="584" t="str">
        <f t="shared" si="217"/>
        <v/>
      </c>
      <c r="HL66" s="583" t="str">
        <f t="shared" si="441"/>
        <v/>
      </c>
      <c r="HM66" s="643" t="str">
        <f t="shared" si="443"/>
        <v/>
      </c>
      <c r="HN66" s="660" t="str">
        <f t="shared" si="443"/>
        <v/>
      </c>
      <c r="HO66" s="661" t="str">
        <f t="shared" si="443"/>
        <v/>
      </c>
      <c r="HP66" s="656" t="str">
        <f t="shared" si="443"/>
        <v/>
      </c>
      <c r="HQ66" s="660" t="str">
        <f t="shared" si="443"/>
        <v/>
      </c>
      <c r="HR66" s="671" t="str">
        <f t="shared" si="443"/>
        <v/>
      </c>
      <c r="HS66" s="655" t="str">
        <f t="shared" si="443"/>
        <v/>
      </c>
      <c r="HT66" s="648" t="str">
        <f t="shared" si="443"/>
        <v/>
      </c>
      <c r="HU66" s="649" t="str">
        <f t="shared" si="443"/>
        <v/>
      </c>
      <c r="HV66" s="650" t="str">
        <f t="shared" si="443"/>
        <v/>
      </c>
      <c r="HW66" s="648" t="str">
        <f t="shared" si="443"/>
        <v/>
      </c>
      <c r="HX66" s="649" t="str">
        <f t="shared" si="443"/>
        <v/>
      </c>
      <c r="HY66" s="650" t="str">
        <f t="shared" si="443"/>
        <v/>
      </c>
      <c r="HZ66" s="648" t="str">
        <f t="shared" si="443"/>
        <v/>
      </c>
      <c r="IA66" s="649" t="str">
        <f t="shared" si="443"/>
        <v/>
      </c>
      <c r="IB66" s="716"/>
    </row>
    <row r="67" spans="2:238" s="35" customFormat="1" ht="15" customHeight="1" x14ac:dyDescent="0.25">
      <c r="B67" s="143"/>
      <c r="C67" s="144"/>
      <c r="D67" s="145"/>
      <c r="E67" s="146"/>
      <c r="F67" s="144"/>
      <c r="G67" s="147"/>
      <c r="H67" s="146"/>
      <c r="I67" s="144"/>
      <c r="J67" s="306"/>
      <c r="K67" s="699" t="str">
        <f t="shared" si="199"/>
        <v/>
      </c>
      <c r="M67" s="292" t="str">
        <f>IF(J67="","",J67)</f>
        <v/>
      </c>
      <c r="N67" s="24" t="str">
        <f>IF(M67="","",B67)</f>
        <v/>
      </c>
      <c r="O67" s="7" t="str">
        <f>IF(M67="","",C67)</f>
        <v/>
      </c>
      <c r="P67" s="12" t="str">
        <f>IF(M67="","",D67)</f>
        <v/>
      </c>
      <c r="Q67" s="11" t="str">
        <f t="shared" si="85"/>
        <v/>
      </c>
      <c r="R67" s="7" t="str">
        <f>IF(M67="","",SQRT(N67^2+O67^2))</f>
        <v/>
      </c>
      <c r="S67" s="8" t="str">
        <f>IF(M67="","",P67)</f>
        <v/>
      </c>
      <c r="T67" s="6" t="str">
        <f>IF(M67="","",X67*COS(RADIANS(W67)))</f>
        <v/>
      </c>
      <c r="U67" s="7" t="str">
        <f>IF(M67="","",X67*SIN(RADIANS(W67)))</f>
        <v/>
      </c>
      <c r="V67" s="10" t="str">
        <f>IF(M67="","",Y67)</f>
        <v/>
      </c>
      <c r="W67" s="11" t="str">
        <f t="shared" si="214"/>
        <v/>
      </c>
      <c r="X67" s="7" t="str">
        <f>IF(M67="","",R67)</f>
        <v/>
      </c>
      <c r="Y67" s="9" t="str">
        <f t="shared" si="213"/>
        <v/>
      </c>
      <c r="Z67" s="24" t="str">
        <f>IF(M67="","",-E67)</f>
        <v/>
      </c>
      <c r="AA67" s="7" t="str">
        <f>IF(M67="","",-F67)</f>
        <v/>
      </c>
      <c r="AB67" s="7" t="str">
        <f>IF(M67="","",-G67)</f>
        <v/>
      </c>
      <c r="AC67" s="10" t="str">
        <f>IF(M67="","",SQRT(Z67^2+AA67^2+AB67^2))</f>
        <v/>
      </c>
      <c r="AD67" s="11" t="str">
        <f>IF(M67="","",Z67*(1/SQRT(Z67^2+AA67^2+AB67^2)))</f>
        <v/>
      </c>
      <c r="AE67" s="7" t="str">
        <f>IF(M67="","",AA67*(1/SQRT(Z67^2+AA67^2+AB67^2)))</f>
        <v/>
      </c>
      <c r="AF67" s="12" t="str">
        <f>IF(M67="","",AB67*(1/SQRT(Z67^2+AA67^2+AB67^2)))</f>
        <v/>
      </c>
      <c r="AG67" s="6" t="str">
        <f>IF(M67="","",DEGREES(ATAN2(-AF67,AE67)))</f>
        <v/>
      </c>
      <c r="AH67" s="12" t="str">
        <f>IF(M67="","",DEGREES(ACOS(AD67)))</f>
        <v/>
      </c>
      <c r="AI67" s="11" t="str">
        <f>IF(M67="","",DEGREES(-ACOS(-AF67)))</f>
        <v/>
      </c>
      <c r="AJ67" s="8" t="str">
        <f>IF(M67="","",DEGREES(ATAN2(-AE67,AD67)))</f>
        <v/>
      </c>
      <c r="AK67" s="6" t="str">
        <f>IF(M67="","",(COS(RADIANS((90-$Q$8)-W67))*AD67)+(-SIN(RADIANS((90-$Q$8)-W67))*AE67))</f>
        <v/>
      </c>
      <c r="AL67" s="7" t="str">
        <f>IF(M67="","",(SIN(RADIANS((90-$Q$8)-W67))*AD67)+(COS(RADIANS((90-$Q$8)-W67))*AE67))</f>
        <v/>
      </c>
      <c r="AM67" s="8" t="str">
        <f>IF(M67="","",AF67)</f>
        <v/>
      </c>
      <c r="AN67" s="6" t="str">
        <f>IF(M67="","",DEGREES(ATAN2(-AM67,AL67)))</f>
        <v/>
      </c>
      <c r="AO67" s="10" t="str">
        <f t="shared" si="376"/>
        <v/>
      </c>
      <c r="AP67" s="11" t="str">
        <f>IF(M67="","",DEGREES(ATAN2(AK67,AL67)))</f>
        <v/>
      </c>
      <c r="AQ67" s="8" t="str">
        <f t="shared" si="200"/>
        <v/>
      </c>
      <c r="AS67" s="123" t="str">
        <f t="shared" si="90"/>
        <v/>
      </c>
      <c r="AT67" s="174" t="str">
        <f>IF(M67="","",Y67+(((AS67-$AS$9)*$AS$6)*-1))</f>
        <v/>
      </c>
      <c r="AV67" s="292" t="str">
        <f t="shared" si="91"/>
        <v/>
      </c>
      <c r="AW67" s="709"/>
      <c r="AX67" s="710"/>
      <c r="AY67" s="711"/>
      <c r="AZ67" s="565" t="str">
        <f t="shared" si="92"/>
        <v/>
      </c>
      <c r="BA67" s="564" t="str">
        <f t="shared" si="93"/>
        <v/>
      </c>
      <c r="BB67" s="372" t="str">
        <f t="shared" si="94"/>
        <v/>
      </c>
      <c r="BC67" s="11"/>
      <c r="BD67" s="7" t="str">
        <f t="shared" si="95"/>
        <v/>
      </c>
      <c r="BE67" s="8" t="str">
        <f t="shared" si="96"/>
        <v/>
      </c>
      <c r="BF67" s="6" t="str">
        <f t="shared" si="97"/>
        <v/>
      </c>
      <c r="BG67" s="7" t="str">
        <f t="shared" si="98"/>
        <v/>
      </c>
      <c r="BH67" s="12" t="str">
        <f t="shared" si="99"/>
        <v/>
      </c>
      <c r="BI67" s="11" t="str">
        <f t="shared" si="100"/>
        <v/>
      </c>
      <c r="BJ67" s="7" t="str">
        <f t="shared" si="101"/>
        <v/>
      </c>
      <c r="BK67" s="10" t="str">
        <f t="shared" si="102"/>
        <v/>
      </c>
      <c r="BL67" s="328" t="str">
        <f t="shared" si="103"/>
        <v/>
      </c>
      <c r="BM67" s="7" t="str">
        <f t="shared" si="104"/>
        <v/>
      </c>
      <c r="BN67" s="8" t="str">
        <f t="shared" si="105"/>
        <v/>
      </c>
      <c r="BO67" s="6" t="str">
        <f t="shared" si="106"/>
        <v/>
      </c>
      <c r="BP67" s="7" t="str">
        <f t="shared" si="107"/>
        <v/>
      </c>
      <c r="BQ67" s="7" t="str">
        <f t="shared" si="108"/>
        <v/>
      </c>
      <c r="BR67" s="8" t="str">
        <f t="shared" si="109"/>
        <v/>
      </c>
      <c r="BS67" s="6" t="str">
        <f t="shared" si="409"/>
        <v/>
      </c>
      <c r="BT67" s="7" t="str">
        <f t="shared" si="409"/>
        <v/>
      </c>
      <c r="BU67" s="12" t="str">
        <f t="shared" si="70"/>
        <v/>
      </c>
      <c r="BV67" s="11" t="str">
        <f t="shared" si="71"/>
        <v/>
      </c>
      <c r="BW67" s="7" t="str">
        <f t="shared" si="72"/>
        <v/>
      </c>
      <c r="BX67" s="10" t="str">
        <f t="shared" si="73"/>
        <v/>
      </c>
      <c r="BY67" s="328" t="str">
        <f t="shared" si="74"/>
        <v/>
      </c>
      <c r="BZ67" s="7" t="str">
        <f t="shared" si="75"/>
        <v/>
      </c>
      <c r="CA67" s="8" t="str">
        <f t="shared" si="76"/>
        <v/>
      </c>
      <c r="CB67" s="6" t="str">
        <f t="shared" si="110"/>
        <v/>
      </c>
      <c r="CC67" s="7" t="str">
        <f t="shared" si="111"/>
        <v/>
      </c>
      <c r="CD67" s="7" t="str">
        <f t="shared" si="112"/>
        <v/>
      </c>
      <c r="CE67" s="8" t="str">
        <f t="shared" si="113"/>
        <v/>
      </c>
      <c r="CF67" s="6" t="str">
        <f t="shared" si="114"/>
        <v/>
      </c>
      <c r="CG67" s="7" t="str">
        <f t="shared" si="115"/>
        <v/>
      </c>
      <c r="CH67" s="7" t="str">
        <f t="shared" si="116"/>
        <v/>
      </c>
      <c r="CI67" s="6" t="str">
        <f t="shared" si="77"/>
        <v/>
      </c>
      <c r="CJ67" s="7" t="str">
        <f t="shared" si="78"/>
        <v/>
      </c>
      <c r="CK67" s="10" t="str">
        <f t="shared" si="79"/>
        <v/>
      </c>
      <c r="CL67" s="328" t="str">
        <f t="shared" si="80"/>
        <v/>
      </c>
      <c r="CM67" s="7" t="str">
        <f t="shared" si="81"/>
        <v/>
      </c>
      <c r="CN67" s="8" t="str">
        <f t="shared" si="82"/>
        <v/>
      </c>
      <c r="CO67" s="296" t="str">
        <f t="shared" si="201"/>
        <v/>
      </c>
      <c r="CP67" s="6" t="str">
        <f t="shared" si="202"/>
        <v/>
      </c>
      <c r="CQ67" s="7" t="str">
        <f t="shared" si="203"/>
        <v/>
      </c>
      <c r="CR67" s="7" t="str">
        <f t="shared" si="117"/>
        <v/>
      </c>
      <c r="CS67" s="10" t="str">
        <f t="shared" si="118"/>
        <v/>
      </c>
      <c r="CT67" s="11" t="str">
        <f t="shared" si="119"/>
        <v/>
      </c>
      <c r="CU67" s="8" t="str">
        <f t="shared" si="120"/>
        <v/>
      </c>
      <c r="CV67" s="6" t="str">
        <f t="shared" si="204"/>
        <v/>
      </c>
      <c r="CW67" s="7" t="str">
        <f t="shared" si="121"/>
        <v/>
      </c>
      <c r="CX67" s="10" t="str">
        <f t="shared" si="122"/>
        <v/>
      </c>
      <c r="CY67" s="11" t="str">
        <f t="shared" si="123"/>
        <v/>
      </c>
      <c r="CZ67" s="7" t="str">
        <f t="shared" si="124"/>
        <v/>
      </c>
      <c r="DA67" s="8" t="str">
        <f t="shared" si="125"/>
        <v/>
      </c>
      <c r="DB67" s="6" t="str">
        <f t="shared" si="410"/>
        <v/>
      </c>
      <c r="DC67" s="7" t="str">
        <f t="shared" si="410"/>
        <v/>
      </c>
      <c r="DD67" s="12" t="str">
        <f t="shared" si="127"/>
        <v/>
      </c>
      <c r="DE67" s="11" t="str">
        <f t="shared" si="411"/>
        <v/>
      </c>
      <c r="DF67" s="7" t="str">
        <f t="shared" si="411"/>
        <v/>
      </c>
      <c r="DG67" s="12" t="str">
        <f t="shared" si="129"/>
        <v/>
      </c>
      <c r="DH67" s="174" t="str">
        <f t="shared" si="130"/>
        <v/>
      </c>
      <c r="DI67" s="6" t="str">
        <f t="shared" si="131"/>
        <v/>
      </c>
      <c r="DJ67" s="7" t="str">
        <f t="shared" si="132"/>
        <v/>
      </c>
      <c r="DK67" s="12" t="str">
        <f t="shared" si="133"/>
        <v/>
      </c>
      <c r="DL67" s="11" t="str">
        <f t="shared" si="134"/>
        <v/>
      </c>
      <c r="DM67" s="328" t="str">
        <f t="shared" si="135"/>
        <v/>
      </c>
      <c r="DN67" s="376" t="str">
        <f t="shared" si="136"/>
        <v/>
      </c>
      <c r="DO67" s="11" t="str">
        <f t="shared" si="137"/>
        <v/>
      </c>
      <c r="DP67" s="328" t="str">
        <f t="shared" si="138"/>
        <v/>
      </c>
      <c r="DQ67" s="13" t="str">
        <f t="shared" si="139"/>
        <v/>
      </c>
      <c r="DR67" s="328" t="str">
        <f t="shared" si="140"/>
        <v/>
      </c>
      <c r="DS67" s="7" t="str">
        <f t="shared" si="141"/>
        <v/>
      </c>
      <c r="DT67" s="7" t="str">
        <f t="shared" si="142"/>
        <v/>
      </c>
      <c r="DU67" s="7" t="str">
        <f t="shared" si="143"/>
        <v/>
      </c>
      <c r="DV67" s="7" t="str">
        <f t="shared" si="144"/>
        <v/>
      </c>
      <c r="DW67" s="7" t="str">
        <f t="shared" si="145"/>
        <v/>
      </c>
      <c r="DX67" s="296" t="str">
        <f t="shared" si="146"/>
        <v/>
      </c>
      <c r="DY67" s="11" t="str">
        <f t="shared" si="147"/>
        <v/>
      </c>
      <c r="DZ67" s="7" t="str">
        <f t="shared" si="148"/>
        <v/>
      </c>
      <c r="EA67" s="12" t="str">
        <f t="shared" si="149"/>
        <v/>
      </c>
      <c r="EB67" s="8" t="str">
        <f t="shared" si="150"/>
        <v/>
      </c>
      <c r="EC67" s="328" t="str">
        <f t="shared" si="151"/>
        <v/>
      </c>
      <c r="ED67" s="7" t="str">
        <f t="shared" si="152"/>
        <v/>
      </c>
      <c r="EE67" s="6" t="str">
        <f t="shared" si="153"/>
        <v/>
      </c>
      <c r="EF67" s="7" t="str">
        <f t="shared" si="154"/>
        <v/>
      </c>
      <c r="EG67" s="12" t="str">
        <f t="shared" si="155"/>
        <v/>
      </c>
      <c r="EH67" s="11" t="str">
        <f t="shared" si="156"/>
        <v/>
      </c>
      <c r="EI67" s="7" t="str">
        <f t="shared" si="157"/>
        <v/>
      </c>
      <c r="EJ67" s="8" t="str">
        <f t="shared" si="158"/>
        <v/>
      </c>
      <c r="EK67" s="491" t="str">
        <f t="shared" si="159"/>
        <v/>
      </c>
      <c r="EL67" s="493" t="str">
        <f t="shared" si="160"/>
        <v/>
      </c>
      <c r="EM67" s="6" t="str">
        <f t="shared" si="161"/>
        <v/>
      </c>
      <c r="EN67" s="7" t="str">
        <f t="shared" si="162"/>
        <v/>
      </c>
      <c r="EO67" s="12" t="str">
        <f t="shared" si="163"/>
        <v/>
      </c>
      <c r="EP67" s="11" t="str">
        <f t="shared" si="164"/>
        <v/>
      </c>
      <c r="EQ67" s="7" t="str">
        <f t="shared" si="165"/>
        <v/>
      </c>
      <c r="ER67" s="9" t="str">
        <f t="shared" si="166"/>
        <v/>
      </c>
      <c r="ES67" s="24" t="str">
        <f t="shared" si="167"/>
        <v/>
      </c>
      <c r="ET67" s="7" t="str">
        <f t="shared" si="168"/>
        <v/>
      </c>
      <c r="EU67" s="12" t="str">
        <f t="shared" si="169"/>
        <v/>
      </c>
      <c r="EV67" s="337" t="str">
        <f t="shared" si="412"/>
        <v/>
      </c>
      <c r="EW67" s="11" t="str">
        <f t="shared" si="413"/>
        <v/>
      </c>
      <c r="EX67" s="7" t="str">
        <f t="shared" si="414"/>
        <v/>
      </c>
      <c r="EY67" s="8" t="str">
        <f t="shared" si="170"/>
        <v/>
      </c>
      <c r="EZ67" s="123" t="str">
        <f t="shared" si="171"/>
        <v/>
      </c>
      <c r="FA67" s="328" t="str">
        <f t="shared" si="415"/>
        <v/>
      </c>
      <c r="FB67" s="7" t="str">
        <f t="shared" si="416"/>
        <v/>
      </c>
      <c r="FC67" s="8" t="str">
        <f t="shared" si="417"/>
        <v/>
      </c>
      <c r="FD67" s="6" t="str">
        <f t="shared" si="418"/>
        <v/>
      </c>
      <c r="FE67" s="7" t="str">
        <f t="shared" si="419"/>
        <v/>
      </c>
      <c r="FF67" s="9" t="str">
        <f t="shared" si="172"/>
        <v/>
      </c>
      <c r="FG67" s="328" t="str">
        <f t="shared" si="420"/>
        <v/>
      </c>
      <c r="FH67" s="7" t="str">
        <f t="shared" si="421"/>
        <v/>
      </c>
      <c r="FI67" s="12" t="str">
        <f t="shared" si="422"/>
        <v/>
      </c>
      <c r="FJ67" s="547" t="str">
        <f t="shared" si="173"/>
        <v/>
      </c>
      <c r="FK67" s="6" t="str">
        <f t="shared" si="423"/>
        <v/>
      </c>
      <c r="FL67" s="7" t="str">
        <f t="shared" si="174"/>
        <v/>
      </c>
      <c r="FM67" s="10" t="str">
        <f t="shared" si="175"/>
        <v/>
      </c>
      <c r="FN67" s="11" t="str">
        <f t="shared" si="176"/>
        <v/>
      </c>
      <c r="FO67" s="12" t="str">
        <f t="shared" si="424"/>
        <v/>
      </c>
      <c r="FP67" s="545" t="str">
        <f t="shared" si="425"/>
        <v/>
      </c>
      <c r="FQ67" s="328" t="str">
        <f t="shared" si="205"/>
        <v/>
      </c>
      <c r="FR67" s="12" t="str">
        <f t="shared" si="177"/>
        <v/>
      </c>
      <c r="FS67" s="11" t="str">
        <f t="shared" si="178"/>
        <v/>
      </c>
      <c r="FT67" s="8" t="str">
        <f t="shared" si="179"/>
        <v/>
      </c>
      <c r="FU67" s="6" t="str">
        <f t="shared" si="180"/>
        <v/>
      </c>
      <c r="FV67" s="7" t="str">
        <f t="shared" si="181"/>
        <v/>
      </c>
      <c r="FW67" s="10" t="str">
        <f t="shared" si="206"/>
        <v/>
      </c>
      <c r="FX67" s="11" t="str">
        <f t="shared" si="207"/>
        <v/>
      </c>
      <c r="FY67" s="12" t="str">
        <f t="shared" si="426"/>
        <v/>
      </c>
      <c r="FZ67" s="545" t="str">
        <f t="shared" si="208"/>
        <v/>
      </c>
      <c r="GA67" s="372" t="str">
        <f t="shared" si="182"/>
        <v/>
      </c>
      <c r="GB67" s="46" t="str">
        <f t="shared" si="183"/>
        <v/>
      </c>
      <c r="GC67" s="47" t="str">
        <f t="shared" si="184"/>
        <v/>
      </c>
      <c r="GD67" s="578" t="str">
        <f t="shared" si="185"/>
        <v/>
      </c>
      <c r="GE67" s="585" t="str">
        <f t="shared" si="186"/>
        <v/>
      </c>
      <c r="GF67" s="634" t="str">
        <f t="shared" si="209"/>
        <v/>
      </c>
      <c r="GG67" s="553" t="str">
        <f t="shared" si="427"/>
        <v/>
      </c>
      <c r="GH67" s="554" t="str">
        <f t="shared" si="428"/>
        <v/>
      </c>
      <c r="GI67" s="549" t="str">
        <f t="shared" si="429"/>
        <v/>
      </c>
      <c r="GJ67" s="296" t="str">
        <f t="shared" si="187"/>
        <v/>
      </c>
      <c r="GK67" s="337" t="str">
        <f t="shared" si="430"/>
        <v/>
      </c>
      <c r="GL67" s="337" t="str">
        <f t="shared" si="188"/>
        <v/>
      </c>
      <c r="GM67" s="372" t="str">
        <f t="shared" si="210"/>
        <v/>
      </c>
      <c r="GN67" s="548" t="str">
        <f t="shared" si="189"/>
        <v/>
      </c>
      <c r="GO67" s="6" t="str">
        <f t="shared" si="190"/>
        <v/>
      </c>
      <c r="GP67" s="10" t="str">
        <f t="shared" si="211"/>
        <v/>
      </c>
      <c r="GQ67" s="372" t="str">
        <f t="shared" si="191"/>
        <v/>
      </c>
      <c r="GR67" s="697" t="str">
        <f t="shared" si="212"/>
        <v/>
      </c>
      <c r="GS67" s="637" t="str">
        <f t="shared" si="431"/>
        <v/>
      </c>
      <c r="GT67" s="638" t="str">
        <f t="shared" si="432"/>
        <v/>
      </c>
      <c r="GU67" s="639" t="str">
        <f t="shared" si="433"/>
        <v/>
      </c>
      <c r="GV67" s="638" t="str">
        <f t="shared" si="192"/>
        <v/>
      </c>
      <c r="GW67" s="640" t="str">
        <f t="shared" si="434"/>
        <v/>
      </c>
      <c r="GX67" s="641" t="str">
        <f t="shared" si="435"/>
        <v/>
      </c>
      <c r="GY67" s="639" t="str">
        <f t="shared" si="436"/>
        <v/>
      </c>
      <c r="GZ67" s="640" t="str">
        <f t="shared" si="437"/>
        <v/>
      </c>
      <c r="HA67" s="637" t="str">
        <f t="shared" si="438"/>
        <v/>
      </c>
      <c r="HB67" s="7" t="str">
        <f t="shared" si="193"/>
        <v/>
      </c>
      <c r="HC67" s="638" t="str">
        <f t="shared" si="194"/>
        <v/>
      </c>
      <c r="HD67" s="682" t="str">
        <f t="shared" si="195"/>
        <v/>
      </c>
      <c r="HE67" s="639" t="str">
        <f t="shared" si="439"/>
        <v/>
      </c>
      <c r="HF67" s="7" t="str">
        <f t="shared" si="440"/>
        <v/>
      </c>
      <c r="HG67" s="638" t="str">
        <f t="shared" si="196"/>
        <v/>
      </c>
      <c r="HH67" s="644" t="str">
        <f t="shared" si="197"/>
        <v/>
      </c>
      <c r="HI67" s="596" t="str">
        <f t="shared" si="198"/>
        <v/>
      </c>
      <c r="HJ67" s="511"/>
      <c r="HK67" s="584" t="str">
        <f t="shared" si="217"/>
        <v/>
      </c>
      <c r="HL67" s="583" t="str">
        <f t="shared" si="441"/>
        <v/>
      </c>
      <c r="HM67" s="643" t="str">
        <f t="shared" si="443"/>
        <v/>
      </c>
      <c r="HN67" s="660" t="str">
        <f t="shared" si="443"/>
        <v/>
      </c>
      <c r="HO67" s="661" t="str">
        <f t="shared" si="443"/>
        <v/>
      </c>
      <c r="HP67" s="656" t="str">
        <f t="shared" si="443"/>
        <v/>
      </c>
      <c r="HQ67" s="660" t="str">
        <f t="shared" si="443"/>
        <v/>
      </c>
      <c r="HR67" s="671" t="str">
        <f t="shared" si="443"/>
        <v/>
      </c>
      <c r="HS67" s="655" t="str">
        <f t="shared" si="443"/>
        <v/>
      </c>
      <c r="HT67" s="648" t="str">
        <f t="shared" si="443"/>
        <v/>
      </c>
      <c r="HU67" s="649" t="str">
        <f t="shared" si="443"/>
        <v/>
      </c>
      <c r="HV67" s="650" t="str">
        <f t="shared" si="443"/>
        <v/>
      </c>
      <c r="HW67" s="648" t="str">
        <f t="shared" si="443"/>
        <v/>
      </c>
      <c r="HX67" s="649" t="str">
        <f t="shared" si="443"/>
        <v/>
      </c>
      <c r="HY67" s="650" t="str">
        <f t="shared" si="443"/>
        <v/>
      </c>
      <c r="HZ67" s="648" t="str">
        <f t="shared" si="443"/>
        <v/>
      </c>
      <c r="IA67" s="649" t="str">
        <f t="shared" si="443"/>
        <v/>
      </c>
      <c r="IB67" s="716"/>
      <c r="ID67" s="511"/>
    </row>
    <row r="68" spans="2:238" s="35" customFormat="1" ht="15" customHeight="1" x14ac:dyDescent="0.25">
      <c r="B68" s="143"/>
      <c r="C68" s="144"/>
      <c r="D68" s="145"/>
      <c r="E68" s="146"/>
      <c r="F68" s="144"/>
      <c r="G68" s="147"/>
      <c r="H68" s="146"/>
      <c r="I68" s="144"/>
      <c r="J68" s="306"/>
      <c r="K68" s="699" t="str">
        <f t="shared" si="199"/>
        <v/>
      </c>
      <c r="M68" s="292" t="str">
        <f>IF(J68="","",J68)</f>
        <v/>
      </c>
      <c r="N68" s="24" t="str">
        <f>IF(M68="","",B68)</f>
        <v/>
      </c>
      <c r="O68" s="7" t="str">
        <f>IF(M68="","",C68)</f>
        <v/>
      </c>
      <c r="P68" s="12" t="str">
        <f>IF(M68="","",D68)</f>
        <v/>
      </c>
      <c r="Q68" s="11" t="str">
        <f t="shared" si="85"/>
        <v/>
      </c>
      <c r="R68" s="7" t="str">
        <f>IF(M68="","",SQRT(N68^2+O68^2))</f>
        <v/>
      </c>
      <c r="S68" s="8" t="str">
        <f>IF(M68="","",P68)</f>
        <v/>
      </c>
      <c r="T68" s="6" t="str">
        <f>IF(M68="","",X68*COS(RADIANS(W68)))</f>
        <v/>
      </c>
      <c r="U68" s="7" t="str">
        <f>IF(M68="","",X68*SIN(RADIANS(W68)))</f>
        <v/>
      </c>
      <c r="V68" s="10" t="str">
        <f>IF(M68="","",Y68)</f>
        <v/>
      </c>
      <c r="W68" s="11" t="str">
        <f t="shared" si="214"/>
        <v/>
      </c>
      <c r="X68" s="7" t="str">
        <f>IF(M68="","",R68)</f>
        <v/>
      </c>
      <c r="Y68" s="9" t="str">
        <f t="shared" si="213"/>
        <v/>
      </c>
      <c r="Z68" s="24" t="str">
        <f>IF(M68="","",-E68)</f>
        <v/>
      </c>
      <c r="AA68" s="7" t="str">
        <f>IF(M68="","",-F68)</f>
        <v/>
      </c>
      <c r="AB68" s="7" t="str">
        <f>IF(M68="","",-G68)</f>
        <v/>
      </c>
      <c r="AC68" s="10" t="str">
        <f>IF(M68="","",SQRT(Z68^2+AA68^2+AB68^2))</f>
        <v/>
      </c>
      <c r="AD68" s="11" t="str">
        <f>IF(M68="","",Z68*(1/SQRT(Z68^2+AA68^2+AB68^2)))</f>
        <v/>
      </c>
      <c r="AE68" s="7" t="str">
        <f>IF(M68="","",AA68*(1/SQRT(Z68^2+AA68^2+AB68^2)))</f>
        <v/>
      </c>
      <c r="AF68" s="12" t="str">
        <f>IF(M68="","",AB68*(1/SQRT(Z68^2+AA68^2+AB68^2)))</f>
        <v/>
      </c>
      <c r="AG68" s="6" t="str">
        <f>IF(M68="","",DEGREES(ATAN2(-AF68,AE68)))</f>
        <v/>
      </c>
      <c r="AH68" s="12" t="str">
        <f>IF(M68="","",DEGREES(ACOS(AD68)))</f>
        <v/>
      </c>
      <c r="AI68" s="11" t="str">
        <f>IF(M68="","",DEGREES(-ACOS(-AF68)))</f>
        <v/>
      </c>
      <c r="AJ68" s="8" t="str">
        <f>IF(M68="","",DEGREES(ATAN2(-AE68,AD68)))</f>
        <v/>
      </c>
      <c r="AK68" s="6" t="str">
        <f>IF(M68="","",(COS(RADIANS((90-$Q$8)-W68))*AD68)+(-SIN(RADIANS((90-$Q$8)-W68))*AE68))</f>
        <v/>
      </c>
      <c r="AL68" s="7" t="str">
        <f>IF(M68="","",(SIN(RADIANS((90-$Q$8)-W68))*AD68)+(COS(RADIANS((90-$Q$8)-W68))*AE68))</f>
        <v/>
      </c>
      <c r="AM68" s="8" t="str">
        <f>IF(M68="","",AF68)</f>
        <v/>
      </c>
      <c r="AN68" s="6" t="str">
        <f>IF(M68="","",DEGREES(ATAN2(-AM68,AL68)))</f>
        <v/>
      </c>
      <c r="AO68" s="10" t="str">
        <f t="shared" si="376"/>
        <v/>
      </c>
      <c r="AP68" s="11" t="str">
        <f>IF(M68="","",DEGREES(ATAN2(AK68,AL68)))</f>
        <v/>
      </c>
      <c r="AQ68" s="8" t="str">
        <f t="shared" si="200"/>
        <v/>
      </c>
      <c r="AS68" s="123" t="str">
        <f t="shared" si="90"/>
        <v/>
      </c>
      <c r="AT68" s="174" t="str">
        <f>IF(M68="","",Y68+(((AS68-$AS$9)*$AS$6)*-1))</f>
        <v/>
      </c>
      <c r="AV68" s="292" t="str">
        <f t="shared" si="91"/>
        <v/>
      </c>
      <c r="AW68" s="709"/>
      <c r="AX68" s="710"/>
      <c r="AY68" s="711"/>
      <c r="AZ68" s="565" t="str">
        <f t="shared" si="92"/>
        <v/>
      </c>
      <c r="BA68" s="564" t="str">
        <f t="shared" si="93"/>
        <v/>
      </c>
      <c r="BB68" s="372" t="str">
        <f t="shared" si="94"/>
        <v/>
      </c>
      <c r="BC68" s="11"/>
      <c r="BD68" s="7" t="str">
        <f t="shared" si="95"/>
        <v/>
      </c>
      <c r="BE68" s="8" t="str">
        <f t="shared" si="96"/>
        <v/>
      </c>
      <c r="BF68" s="6" t="str">
        <f t="shared" si="97"/>
        <v/>
      </c>
      <c r="BG68" s="7" t="str">
        <f t="shared" si="98"/>
        <v/>
      </c>
      <c r="BH68" s="12" t="str">
        <f t="shared" si="99"/>
        <v/>
      </c>
      <c r="BI68" s="11" t="str">
        <f t="shared" si="100"/>
        <v/>
      </c>
      <c r="BJ68" s="7" t="str">
        <f t="shared" si="101"/>
        <v/>
      </c>
      <c r="BK68" s="10" t="str">
        <f t="shared" si="102"/>
        <v/>
      </c>
      <c r="BL68" s="328" t="str">
        <f t="shared" si="103"/>
        <v/>
      </c>
      <c r="BM68" s="7" t="str">
        <f t="shared" si="104"/>
        <v/>
      </c>
      <c r="BN68" s="8" t="str">
        <f t="shared" si="105"/>
        <v/>
      </c>
      <c r="BO68" s="6" t="str">
        <f t="shared" si="106"/>
        <v/>
      </c>
      <c r="BP68" s="7" t="str">
        <f t="shared" si="107"/>
        <v/>
      </c>
      <c r="BQ68" s="7" t="str">
        <f t="shared" si="108"/>
        <v/>
      </c>
      <c r="BR68" s="8" t="str">
        <f t="shared" si="109"/>
        <v/>
      </c>
      <c r="BS68" s="6" t="str">
        <f t="shared" si="409"/>
        <v/>
      </c>
      <c r="BT68" s="7" t="str">
        <f t="shared" si="409"/>
        <v/>
      </c>
      <c r="BU68" s="12" t="str">
        <f t="shared" si="70"/>
        <v/>
      </c>
      <c r="BV68" s="11" t="str">
        <f t="shared" si="71"/>
        <v/>
      </c>
      <c r="BW68" s="7" t="str">
        <f t="shared" si="72"/>
        <v/>
      </c>
      <c r="BX68" s="10" t="str">
        <f t="shared" si="73"/>
        <v/>
      </c>
      <c r="BY68" s="328" t="str">
        <f t="shared" si="74"/>
        <v/>
      </c>
      <c r="BZ68" s="7" t="str">
        <f t="shared" si="75"/>
        <v/>
      </c>
      <c r="CA68" s="8" t="str">
        <f t="shared" si="76"/>
        <v/>
      </c>
      <c r="CB68" s="6" t="str">
        <f t="shared" si="110"/>
        <v/>
      </c>
      <c r="CC68" s="7" t="str">
        <f t="shared" si="111"/>
        <v/>
      </c>
      <c r="CD68" s="7" t="str">
        <f t="shared" si="112"/>
        <v/>
      </c>
      <c r="CE68" s="8" t="str">
        <f t="shared" si="113"/>
        <v/>
      </c>
      <c r="CF68" s="6" t="str">
        <f t="shared" si="114"/>
        <v/>
      </c>
      <c r="CG68" s="7" t="str">
        <f t="shared" si="115"/>
        <v/>
      </c>
      <c r="CH68" s="7" t="str">
        <f t="shared" si="116"/>
        <v/>
      </c>
      <c r="CI68" s="6" t="str">
        <f t="shared" si="77"/>
        <v/>
      </c>
      <c r="CJ68" s="7" t="str">
        <f t="shared" si="78"/>
        <v/>
      </c>
      <c r="CK68" s="10" t="str">
        <f t="shared" si="79"/>
        <v/>
      </c>
      <c r="CL68" s="328" t="str">
        <f t="shared" si="80"/>
        <v/>
      </c>
      <c r="CM68" s="7" t="str">
        <f t="shared" si="81"/>
        <v/>
      </c>
      <c r="CN68" s="8" t="str">
        <f t="shared" si="82"/>
        <v/>
      </c>
      <c r="CO68" s="296" t="str">
        <f t="shared" si="201"/>
        <v/>
      </c>
      <c r="CP68" s="6" t="str">
        <f t="shared" si="202"/>
        <v/>
      </c>
      <c r="CQ68" s="7" t="str">
        <f t="shared" si="203"/>
        <v/>
      </c>
      <c r="CR68" s="7" t="str">
        <f t="shared" si="117"/>
        <v/>
      </c>
      <c r="CS68" s="10" t="str">
        <f t="shared" si="118"/>
        <v/>
      </c>
      <c r="CT68" s="11" t="str">
        <f t="shared" si="119"/>
        <v/>
      </c>
      <c r="CU68" s="8" t="str">
        <f t="shared" si="120"/>
        <v/>
      </c>
      <c r="CV68" s="6" t="str">
        <f t="shared" si="204"/>
        <v/>
      </c>
      <c r="CW68" s="7" t="str">
        <f t="shared" si="121"/>
        <v/>
      </c>
      <c r="CX68" s="10" t="str">
        <f t="shared" si="122"/>
        <v/>
      </c>
      <c r="CY68" s="11" t="str">
        <f t="shared" si="123"/>
        <v/>
      </c>
      <c r="CZ68" s="7" t="str">
        <f t="shared" si="124"/>
        <v/>
      </c>
      <c r="DA68" s="8" t="str">
        <f t="shared" si="125"/>
        <v/>
      </c>
      <c r="DB68" s="6" t="str">
        <f t="shared" si="410"/>
        <v/>
      </c>
      <c r="DC68" s="7" t="str">
        <f t="shared" si="410"/>
        <v/>
      </c>
      <c r="DD68" s="12" t="str">
        <f t="shared" si="127"/>
        <v/>
      </c>
      <c r="DE68" s="11" t="str">
        <f t="shared" si="411"/>
        <v/>
      </c>
      <c r="DF68" s="7" t="str">
        <f t="shared" si="411"/>
        <v/>
      </c>
      <c r="DG68" s="12" t="str">
        <f t="shared" si="129"/>
        <v/>
      </c>
      <c r="DH68" s="174" t="str">
        <f t="shared" si="130"/>
        <v/>
      </c>
      <c r="DI68" s="6" t="str">
        <f t="shared" si="131"/>
        <v/>
      </c>
      <c r="DJ68" s="7" t="str">
        <f t="shared" si="132"/>
        <v/>
      </c>
      <c r="DK68" s="12" t="str">
        <f t="shared" si="133"/>
        <v/>
      </c>
      <c r="DL68" s="11" t="str">
        <f t="shared" si="134"/>
        <v/>
      </c>
      <c r="DM68" s="328" t="str">
        <f t="shared" si="135"/>
        <v/>
      </c>
      <c r="DN68" s="376" t="str">
        <f t="shared" si="136"/>
        <v/>
      </c>
      <c r="DO68" s="11" t="str">
        <f t="shared" si="137"/>
        <v/>
      </c>
      <c r="DP68" s="328" t="str">
        <f t="shared" si="138"/>
        <v/>
      </c>
      <c r="DQ68" s="13" t="str">
        <f t="shared" si="139"/>
        <v/>
      </c>
      <c r="DR68" s="328" t="str">
        <f t="shared" si="140"/>
        <v/>
      </c>
      <c r="DS68" s="7" t="str">
        <f t="shared" si="141"/>
        <v/>
      </c>
      <c r="DT68" s="7" t="str">
        <f t="shared" si="142"/>
        <v/>
      </c>
      <c r="DU68" s="7" t="str">
        <f t="shared" si="143"/>
        <v/>
      </c>
      <c r="DV68" s="7" t="str">
        <f t="shared" si="144"/>
        <v/>
      </c>
      <c r="DW68" s="7" t="str">
        <f t="shared" si="145"/>
        <v/>
      </c>
      <c r="DX68" s="296" t="str">
        <f t="shared" si="146"/>
        <v/>
      </c>
      <c r="DY68" s="11" t="str">
        <f t="shared" si="147"/>
        <v/>
      </c>
      <c r="DZ68" s="7" t="str">
        <f t="shared" si="148"/>
        <v/>
      </c>
      <c r="EA68" s="12" t="str">
        <f t="shared" si="149"/>
        <v/>
      </c>
      <c r="EB68" s="8" t="str">
        <f t="shared" si="150"/>
        <v/>
      </c>
      <c r="EC68" s="328" t="str">
        <f t="shared" si="151"/>
        <v/>
      </c>
      <c r="ED68" s="7" t="str">
        <f t="shared" si="152"/>
        <v/>
      </c>
      <c r="EE68" s="6" t="str">
        <f t="shared" si="153"/>
        <v/>
      </c>
      <c r="EF68" s="7" t="str">
        <f t="shared" si="154"/>
        <v/>
      </c>
      <c r="EG68" s="12" t="str">
        <f t="shared" si="155"/>
        <v/>
      </c>
      <c r="EH68" s="11" t="str">
        <f t="shared" si="156"/>
        <v/>
      </c>
      <c r="EI68" s="7" t="str">
        <f t="shared" si="157"/>
        <v/>
      </c>
      <c r="EJ68" s="8" t="str">
        <f t="shared" si="158"/>
        <v/>
      </c>
      <c r="EK68" s="491" t="str">
        <f t="shared" si="159"/>
        <v/>
      </c>
      <c r="EL68" s="493" t="str">
        <f t="shared" si="160"/>
        <v/>
      </c>
      <c r="EM68" s="6" t="str">
        <f t="shared" si="161"/>
        <v/>
      </c>
      <c r="EN68" s="7" t="str">
        <f t="shared" si="162"/>
        <v/>
      </c>
      <c r="EO68" s="12" t="str">
        <f t="shared" si="163"/>
        <v/>
      </c>
      <c r="EP68" s="11" t="str">
        <f t="shared" si="164"/>
        <v/>
      </c>
      <c r="EQ68" s="7" t="str">
        <f t="shared" si="165"/>
        <v/>
      </c>
      <c r="ER68" s="9" t="str">
        <f t="shared" si="166"/>
        <v/>
      </c>
      <c r="ES68" s="24" t="str">
        <f t="shared" si="167"/>
        <v/>
      </c>
      <c r="ET68" s="7" t="str">
        <f t="shared" si="168"/>
        <v/>
      </c>
      <c r="EU68" s="12" t="str">
        <f t="shared" si="169"/>
        <v/>
      </c>
      <c r="EV68" s="337" t="str">
        <f t="shared" si="412"/>
        <v/>
      </c>
      <c r="EW68" s="11" t="str">
        <f t="shared" si="413"/>
        <v/>
      </c>
      <c r="EX68" s="7" t="str">
        <f t="shared" si="414"/>
        <v/>
      </c>
      <c r="EY68" s="8" t="str">
        <f t="shared" si="170"/>
        <v/>
      </c>
      <c r="EZ68" s="123" t="str">
        <f t="shared" si="171"/>
        <v/>
      </c>
      <c r="FA68" s="328" t="str">
        <f t="shared" si="415"/>
        <v/>
      </c>
      <c r="FB68" s="7" t="str">
        <f t="shared" si="416"/>
        <v/>
      </c>
      <c r="FC68" s="8" t="str">
        <f t="shared" si="417"/>
        <v/>
      </c>
      <c r="FD68" s="6" t="str">
        <f t="shared" si="418"/>
        <v/>
      </c>
      <c r="FE68" s="7" t="str">
        <f t="shared" si="419"/>
        <v/>
      </c>
      <c r="FF68" s="9" t="str">
        <f t="shared" si="172"/>
        <v/>
      </c>
      <c r="FG68" s="328" t="str">
        <f t="shared" si="420"/>
        <v/>
      </c>
      <c r="FH68" s="7" t="str">
        <f t="shared" si="421"/>
        <v/>
      </c>
      <c r="FI68" s="12" t="str">
        <f t="shared" si="422"/>
        <v/>
      </c>
      <c r="FJ68" s="547" t="str">
        <f t="shared" si="173"/>
        <v/>
      </c>
      <c r="FK68" s="6" t="str">
        <f t="shared" si="423"/>
        <v/>
      </c>
      <c r="FL68" s="7" t="str">
        <f t="shared" si="174"/>
        <v/>
      </c>
      <c r="FM68" s="10" t="str">
        <f t="shared" si="175"/>
        <v/>
      </c>
      <c r="FN68" s="11" t="str">
        <f t="shared" si="176"/>
        <v/>
      </c>
      <c r="FO68" s="12" t="str">
        <f t="shared" si="424"/>
        <v/>
      </c>
      <c r="FP68" s="545" t="str">
        <f t="shared" si="425"/>
        <v/>
      </c>
      <c r="FQ68" s="328" t="str">
        <f t="shared" si="205"/>
        <v/>
      </c>
      <c r="FR68" s="12" t="str">
        <f t="shared" si="177"/>
        <v/>
      </c>
      <c r="FS68" s="11" t="str">
        <f t="shared" si="178"/>
        <v/>
      </c>
      <c r="FT68" s="8" t="str">
        <f t="shared" si="179"/>
        <v/>
      </c>
      <c r="FU68" s="6" t="str">
        <f t="shared" si="180"/>
        <v/>
      </c>
      <c r="FV68" s="7" t="str">
        <f t="shared" si="181"/>
        <v/>
      </c>
      <c r="FW68" s="10" t="str">
        <f t="shared" si="206"/>
        <v/>
      </c>
      <c r="FX68" s="11" t="str">
        <f t="shared" si="207"/>
        <v/>
      </c>
      <c r="FY68" s="12" t="str">
        <f t="shared" si="426"/>
        <v/>
      </c>
      <c r="FZ68" s="545" t="str">
        <f t="shared" si="208"/>
        <v/>
      </c>
      <c r="GA68" s="372" t="str">
        <f t="shared" si="182"/>
        <v/>
      </c>
      <c r="GB68" s="46" t="str">
        <f t="shared" si="183"/>
        <v/>
      </c>
      <c r="GC68" s="47" t="str">
        <f t="shared" si="184"/>
        <v/>
      </c>
      <c r="GD68" s="578" t="str">
        <f t="shared" si="185"/>
        <v/>
      </c>
      <c r="GE68" s="585" t="str">
        <f t="shared" si="186"/>
        <v/>
      </c>
      <c r="GF68" s="634" t="str">
        <f t="shared" si="209"/>
        <v/>
      </c>
      <c r="GG68" s="553" t="str">
        <f t="shared" si="427"/>
        <v/>
      </c>
      <c r="GH68" s="554" t="str">
        <f t="shared" si="428"/>
        <v/>
      </c>
      <c r="GI68" s="549" t="str">
        <f t="shared" si="429"/>
        <v/>
      </c>
      <c r="GJ68" s="296" t="str">
        <f t="shared" si="187"/>
        <v/>
      </c>
      <c r="GK68" s="337" t="str">
        <f t="shared" si="430"/>
        <v/>
      </c>
      <c r="GL68" s="337" t="str">
        <f t="shared" si="188"/>
        <v/>
      </c>
      <c r="GM68" s="372" t="str">
        <f t="shared" si="210"/>
        <v/>
      </c>
      <c r="GN68" s="548" t="str">
        <f t="shared" si="189"/>
        <v/>
      </c>
      <c r="GO68" s="6" t="str">
        <f t="shared" si="190"/>
        <v/>
      </c>
      <c r="GP68" s="10" t="str">
        <f t="shared" si="211"/>
        <v/>
      </c>
      <c r="GQ68" s="372" t="str">
        <f t="shared" si="191"/>
        <v/>
      </c>
      <c r="GR68" s="697" t="str">
        <f t="shared" si="212"/>
        <v/>
      </c>
      <c r="GS68" s="637" t="str">
        <f t="shared" si="431"/>
        <v/>
      </c>
      <c r="GT68" s="638" t="str">
        <f t="shared" si="432"/>
        <v/>
      </c>
      <c r="GU68" s="639" t="str">
        <f t="shared" si="433"/>
        <v/>
      </c>
      <c r="GV68" s="638" t="str">
        <f t="shared" si="192"/>
        <v/>
      </c>
      <c r="GW68" s="640" t="str">
        <f t="shared" si="434"/>
        <v/>
      </c>
      <c r="GX68" s="641" t="str">
        <f t="shared" si="435"/>
        <v/>
      </c>
      <c r="GY68" s="639" t="str">
        <f t="shared" si="436"/>
        <v/>
      </c>
      <c r="GZ68" s="640" t="str">
        <f t="shared" si="437"/>
        <v/>
      </c>
      <c r="HA68" s="637" t="str">
        <f t="shared" si="438"/>
        <v/>
      </c>
      <c r="HB68" s="7" t="str">
        <f t="shared" si="193"/>
        <v/>
      </c>
      <c r="HC68" s="638" t="str">
        <f t="shared" si="194"/>
        <v/>
      </c>
      <c r="HD68" s="682" t="str">
        <f t="shared" si="195"/>
        <v/>
      </c>
      <c r="HE68" s="639" t="str">
        <f t="shared" si="439"/>
        <v/>
      </c>
      <c r="HF68" s="7" t="str">
        <f t="shared" si="440"/>
        <v/>
      </c>
      <c r="HG68" s="638" t="str">
        <f t="shared" si="196"/>
        <v/>
      </c>
      <c r="HH68" s="644" t="str">
        <f t="shared" si="197"/>
        <v/>
      </c>
      <c r="HI68" s="596" t="str">
        <f t="shared" si="198"/>
        <v/>
      </c>
      <c r="HJ68" s="511"/>
      <c r="HK68" s="584" t="str">
        <f t="shared" si="217"/>
        <v/>
      </c>
      <c r="HL68" s="583" t="str">
        <f t="shared" si="441"/>
        <v/>
      </c>
      <c r="HM68" s="643" t="str">
        <f t="shared" si="443"/>
        <v/>
      </c>
      <c r="HN68" s="660" t="str">
        <f t="shared" si="443"/>
        <v/>
      </c>
      <c r="HO68" s="661" t="str">
        <f t="shared" si="443"/>
        <v/>
      </c>
      <c r="HP68" s="656" t="str">
        <f t="shared" si="443"/>
        <v/>
      </c>
      <c r="HQ68" s="660" t="str">
        <f t="shared" si="443"/>
        <v/>
      </c>
      <c r="HR68" s="671" t="str">
        <f t="shared" si="443"/>
        <v/>
      </c>
      <c r="HS68" s="655" t="str">
        <f t="shared" si="443"/>
        <v/>
      </c>
      <c r="HT68" s="648" t="str">
        <f t="shared" si="443"/>
        <v/>
      </c>
      <c r="HU68" s="649" t="str">
        <f t="shared" si="443"/>
        <v/>
      </c>
      <c r="HV68" s="650" t="str">
        <f t="shared" si="443"/>
        <v/>
      </c>
      <c r="HW68" s="648" t="str">
        <f t="shared" si="443"/>
        <v/>
      </c>
      <c r="HX68" s="649" t="str">
        <f t="shared" si="443"/>
        <v/>
      </c>
      <c r="HY68" s="650" t="str">
        <f t="shared" si="443"/>
        <v/>
      </c>
      <c r="HZ68" s="648" t="str">
        <f t="shared" si="443"/>
        <v/>
      </c>
      <c r="IA68" s="649" t="str">
        <f t="shared" si="443"/>
        <v/>
      </c>
      <c r="IB68" s="716"/>
      <c r="ID68" s="511"/>
    </row>
    <row r="69" spans="2:238" ht="15" customHeight="1" x14ac:dyDescent="0.25">
      <c r="B69" s="143"/>
      <c r="C69" s="144"/>
      <c r="D69" s="145"/>
      <c r="E69" s="146"/>
      <c r="F69" s="144"/>
      <c r="G69" s="147"/>
      <c r="H69" s="146"/>
      <c r="I69" s="144"/>
      <c r="J69" s="306"/>
      <c r="K69" s="699" t="str">
        <f t="shared" si="199"/>
        <v/>
      </c>
      <c r="M69" s="292" t="str">
        <f t="shared" si="46"/>
        <v/>
      </c>
      <c r="N69" s="24" t="str">
        <f t="shared" si="47"/>
        <v/>
      </c>
      <c r="O69" s="7" t="str">
        <f t="shared" si="48"/>
        <v/>
      </c>
      <c r="P69" s="12" t="str">
        <f t="shared" si="49"/>
        <v/>
      </c>
      <c r="Q69" s="11" t="str">
        <f t="shared" si="85"/>
        <v/>
      </c>
      <c r="R69" s="7" t="str">
        <f t="shared" si="50"/>
        <v/>
      </c>
      <c r="S69" s="8" t="str">
        <f t="shared" si="51"/>
        <v/>
      </c>
      <c r="T69" s="6" t="str">
        <f t="shared" si="52"/>
        <v/>
      </c>
      <c r="U69" s="7" t="str">
        <f t="shared" si="53"/>
        <v/>
      </c>
      <c r="V69" s="10" t="str">
        <f t="shared" si="86"/>
        <v/>
      </c>
      <c r="W69" s="11" t="str">
        <f t="shared" si="214"/>
        <v/>
      </c>
      <c r="X69" s="7" t="str">
        <f t="shared" si="54"/>
        <v/>
      </c>
      <c r="Y69" s="9" t="str">
        <f t="shared" si="213"/>
        <v/>
      </c>
      <c r="Z69" s="24" t="str">
        <f t="shared" si="87"/>
        <v/>
      </c>
      <c r="AA69" s="7" t="str">
        <f t="shared" si="55"/>
        <v/>
      </c>
      <c r="AB69" s="7" t="str">
        <f t="shared" si="56"/>
        <v/>
      </c>
      <c r="AC69" s="10" t="str">
        <f t="shared" si="57"/>
        <v/>
      </c>
      <c r="AD69" s="11" t="str">
        <f t="shared" si="88"/>
        <v/>
      </c>
      <c r="AE69" s="7" t="str">
        <f t="shared" si="58"/>
        <v/>
      </c>
      <c r="AF69" s="12" t="str">
        <f t="shared" si="59"/>
        <v/>
      </c>
      <c r="AG69" s="6" t="str">
        <f t="shared" si="60"/>
        <v/>
      </c>
      <c r="AH69" s="12" t="str">
        <f t="shared" si="61"/>
        <v/>
      </c>
      <c r="AI69" s="11" t="str">
        <f t="shared" si="62"/>
        <v/>
      </c>
      <c r="AJ69" s="8" t="str">
        <f t="shared" si="63"/>
        <v/>
      </c>
      <c r="AK69" s="6" t="str">
        <f t="shared" si="89"/>
        <v/>
      </c>
      <c r="AL69" s="7" t="str">
        <f t="shared" si="64"/>
        <v/>
      </c>
      <c r="AM69" s="8" t="str">
        <f t="shared" si="65"/>
        <v/>
      </c>
      <c r="AN69" s="6" t="str">
        <f t="shared" si="66"/>
        <v/>
      </c>
      <c r="AO69" s="10" t="str">
        <f t="shared" si="376"/>
        <v/>
      </c>
      <c r="AP69" s="11" t="str">
        <f t="shared" si="67"/>
        <v/>
      </c>
      <c r="AQ69" s="8" t="str">
        <f t="shared" si="200"/>
        <v/>
      </c>
      <c r="AS69" s="123" t="str">
        <f t="shared" si="90"/>
        <v/>
      </c>
      <c r="AT69" s="174" t="str">
        <f t="shared" si="68"/>
        <v/>
      </c>
      <c r="AV69" s="292" t="str">
        <f t="shared" si="91"/>
        <v/>
      </c>
      <c r="AW69" s="709"/>
      <c r="AX69" s="710"/>
      <c r="AY69" s="711"/>
      <c r="AZ69" s="565" t="str">
        <f t="shared" si="92"/>
        <v/>
      </c>
      <c r="BA69" s="564" t="str">
        <f t="shared" si="93"/>
        <v/>
      </c>
      <c r="BB69" s="372" t="str">
        <f t="shared" si="94"/>
        <v/>
      </c>
      <c r="BC69" s="11"/>
      <c r="BD69" s="7" t="str">
        <f t="shared" si="95"/>
        <v/>
      </c>
      <c r="BE69" s="8" t="str">
        <f t="shared" si="96"/>
        <v/>
      </c>
      <c r="BF69" s="6" t="str">
        <f t="shared" si="97"/>
        <v/>
      </c>
      <c r="BG69" s="7" t="str">
        <f t="shared" si="98"/>
        <v/>
      </c>
      <c r="BH69" s="12" t="str">
        <f t="shared" si="99"/>
        <v/>
      </c>
      <c r="BI69" s="11" t="str">
        <f t="shared" si="100"/>
        <v/>
      </c>
      <c r="BJ69" s="7" t="str">
        <f t="shared" si="101"/>
        <v/>
      </c>
      <c r="BK69" s="10" t="str">
        <f t="shared" si="102"/>
        <v/>
      </c>
      <c r="BL69" s="328" t="str">
        <f t="shared" si="103"/>
        <v/>
      </c>
      <c r="BM69" s="7" t="str">
        <f t="shared" si="104"/>
        <v/>
      </c>
      <c r="BN69" s="8" t="str">
        <f t="shared" si="105"/>
        <v/>
      </c>
      <c r="BO69" s="6" t="str">
        <f t="shared" si="106"/>
        <v/>
      </c>
      <c r="BP69" s="7" t="str">
        <f t="shared" si="107"/>
        <v/>
      </c>
      <c r="BQ69" s="7" t="str">
        <f t="shared" si="108"/>
        <v/>
      </c>
      <c r="BR69" s="8" t="str">
        <f t="shared" si="109"/>
        <v/>
      </c>
      <c r="BS69" s="6" t="str">
        <f t="shared" si="409"/>
        <v/>
      </c>
      <c r="BT69" s="7" t="str">
        <f t="shared" si="409"/>
        <v/>
      </c>
      <c r="BU69" s="12" t="str">
        <f t="shared" si="70"/>
        <v/>
      </c>
      <c r="BV69" s="11" t="str">
        <f t="shared" si="71"/>
        <v/>
      </c>
      <c r="BW69" s="7" t="str">
        <f t="shared" si="72"/>
        <v/>
      </c>
      <c r="BX69" s="10" t="str">
        <f t="shared" si="73"/>
        <v/>
      </c>
      <c r="BY69" s="328" t="str">
        <f t="shared" si="74"/>
        <v/>
      </c>
      <c r="BZ69" s="7" t="str">
        <f t="shared" si="75"/>
        <v/>
      </c>
      <c r="CA69" s="8" t="str">
        <f t="shared" si="76"/>
        <v/>
      </c>
      <c r="CB69" s="6" t="str">
        <f t="shared" si="110"/>
        <v/>
      </c>
      <c r="CC69" s="7" t="str">
        <f t="shared" si="111"/>
        <v/>
      </c>
      <c r="CD69" s="7" t="str">
        <f t="shared" si="112"/>
        <v/>
      </c>
      <c r="CE69" s="8" t="str">
        <f t="shared" si="113"/>
        <v/>
      </c>
      <c r="CF69" s="6" t="str">
        <f t="shared" si="114"/>
        <v/>
      </c>
      <c r="CG69" s="7" t="str">
        <f t="shared" si="115"/>
        <v/>
      </c>
      <c r="CH69" s="7" t="str">
        <f t="shared" si="116"/>
        <v/>
      </c>
      <c r="CI69" s="6" t="str">
        <f t="shared" si="77"/>
        <v/>
      </c>
      <c r="CJ69" s="7" t="str">
        <f t="shared" si="78"/>
        <v/>
      </c>
      <c r="CK69" s="10" t="str">
        <f t="shared" si="79"/>
        <v/>
      </c>
      <c r="CL69" s="328" t="str">
        <f t="shared" si="80"/>
        <v/>
      </c>
      <c r="CM69" s="7" t="str">
        <f t="shared" si="81"/>
        <v/>
      </c>
      <c r="CN69" s="8" t="str">
        <f t="shared" si="82"/>
        <v/>
      </c>
      <c r="CO69" s="296" t="str">
        <f t="shared" si="201"/>
        <v/>
      </c>
      <c r="CP69" s="6" t="str">
        <f t="shared" si="202"/>
        <v/>
      </c>
      <c r="CQ69" s="7" t="str">
        <f t="shared" si="203"/>
        <v/>
      </c>
      <c r="CR69" s="7" t="str">
        <f t="shared" si="117"/>
        <v/>
      </c>
      <c r="CS69" s="10" t="str">
        <f t="shared" si="118"/>
        <v/>
      </c>
      <c r="CT69" s="11" t="str">
        <f t="shared" si="119"/>
        <v/>
      </c>
      <c r="CU69" s="8" t="str">
        <f t="shared" si="120"/>
        <v/>
      </c>
      <c r="CV69" s="6" t="str">
        <f t="shared" si="204"/>
        <v/>
      </c>
      <c r="CW69" s="7" t="str">
        <f t="shared" si="121"/>
        <v/>
      </c>
      <c r="CX69" s="10" t="str">
        <f t="shared" si="122"/>
        <v/>
      </c>
      <c r="CY69" s="11" t="str">
        <f t="shared" si="123"/>
        <v/>
      </c>
      <c r="CZ69" s="7" t="str">
        <f t="shared" si="124"/>
        <v/>
      </c>
      <c r="DA69" s="8" t="str">
        <f t="shared" si="125"/>
        <v/>
      </c>
      <c r="DB69" s="6" t="str">
        <f t="shared" si="410"/>
        <v/>
      </c>
      <c r="DC69" s="7" t="str">
        <f t="shared" si="410"/>
        <v/>
      </c>
      <c r="DD69" s="12" t="str">
        <f t="shared" si="127"/>
        <v/>
      </c>
      <c r="DE69" s="11" t="str">
        <f t="shared" si="411"/>
        <v/>
      </c>
      <c r="DF69" s="7" t="str">
        <f t="shared" si="411"/>
        <v/>
      </c>
      <c r="DG69" s="12" t="str">
        <f t="shared" si="129"/>
        <v/>
      </c>
      <c r="DH69" s="174" t="str">
        <f t="shared" si="130"/>
        <v/>
      </c>
      <c r="DI69" s="6" t="str">
        <f t="shared" si="131"/>
        <v/>
      </c>
      <c r="DJ69" s="7" t="str">
        <f t="shared" si="132"/>
        <v/>
      </c>
      <c r="DK69" s="12" t="str">
        <f t="shared" si="133"/>
        <v/>
      </c>
      <c r="DL69" s="11" t="str">
        <f t="shared" si="134"/>
        <v/>
      </c>
      <c r="DM69" s="328" t="str">
        <f t="shared" si="135"/>
        <v/>
      </c>
      <c r="DN69" s="376" t="str">
        <f t="shared" si="136"/>
        <v/>
      </c>
      <c r="DO69" s="11" t="str">
        <f t="shared" si="137"/>
        <v/>
      </c>
      <c r="DP69" s="328" t="str">
        <f t="shared" si="138"/>
        <v/>
      </c>
      <c r="DQ69" s="13" t="str">
        <f t="shared" si="139"/>
        <v/>
      </c>
      <c r="DR69" s="328" t="str">
        <f t="shared" si="140"/>
        <v/>
      </c>
      <c r="DS69" s="7" t="str">
        <f t="shared" si="141"/>
        <v/>
      </c>
      <c r="DT69" s="7" t="str">
        <f t="shared" si="142"/>
        <v/>
      </c>
      <c r="DU69" s="7" t="str">
        <f t="shared" si="143"/>
        <v/>
      </c>
      <c r="DV69" s="7" t="str">
        <f t="shared" si="144"/>
        <v/>
      </c>
      <c r="DW69" s="7" t="str">
        <f t="shared" si="145"/>
        <v/>
      </c>
      <c r="DX69" s="296" t="str">
        <f t="shared" si="146"/>
        <v/>
      </c>
      <c r="DY69" s="11" t="str">
        <f t="shared" si="147"/>
        <v/>
      </c>
      <c r="DZ69" s="7" t="str">
        <f t="shared" si="148"/>
        <v/>
      </c>
      <c r="EA69" s="12" t="str">
        <f t="shared" si="149"/>
        <v/>
      </c>
      <c r="EB69" s="8" t="str">
        <f t="shared" si="150"/>
        <v/>
      </c>
      <c r="EC69" s="328" t="str">
        <f t="shared" si="151"/>
        <v/>
      </c>
      <c r="ED69" s="7" t="str">
        <f t="shared" si="152"/>
        <v/>
      </c>
      <c r="EE69" s="6" t="str">
        <f t="shared" si="153"/>
        <v/>
      </c>
      <c r="EF69" s="7" t="str">
        <f t="shared" si="154"/>
        <v/>
      </c>
      <c r="EG69" s="12" t="str">
        <f t="shared" si="155"/>
        <v/>
      </c>
      <c r="EH69" s="11" t="str">
        <f t="shared" si="156"/>
        <v/>
      </c>
      <c r="EI69" s="7" t="str">
        <f t="shared" si="157"/>
        <v/>
      </c>
      <c r="EJ69" s="8" t="str">
        <f t="shared" si="158"/>
        <v/>
      </c>
      <c r="EK69" s="491" t="str">
        <f t="shared" si="159"/>
        <v/>
      </c>
      <c r="EL69" s="493" t="str">
        <f t="shared" si="160"/>
        <v/>
      </c>
      <c r="EM69" s="6" t="str">
        <f t="shared" si="161"/>
        <v/>
      </c>
      <c r="EN69" s="7" t="str">
        <f t="shared" si="162"/>
        <v/>
      </c>
      <c r="EO69" s="12" t="str">
        <f t="shared" si="163"/>
        <v/>
      </c>
      <c r="EP69" s="11" t="str">
        <f t="shared" si="164"/>
        <v/>
      </c>
      <c r="EQ69" s="7" t="str">
        <f t="shared" si="165"/>
        <v/>
      </c>
      <c r="ER69" s="9" t="str">
        <f t="shared" si="166"/>
        <v/>
      </c>
      <c r="ES69" s="24" t="str">
        <f t="shared" si="167"/>
        <v/>
      </c>
      <c r="ET69" s="7" t="str">
        <f t="shared" si="168"/>
        <v/>
      </c>
      <c r="EU69" s="12" t="str">
        <f t="shared" si="169"/>
        <v/>
      </c>
      <c r="EV69" s="337" t="str">
        <f t="shared" si="412"/>
        <v/>
      </c>
      <c r="EW69" s="11" t="str">
        <f t="shared" si="413"/>
        <v/>
      </c>
      <c r="EX69" s="7" t="str">
        <f t="shared" si="414"/>
        <v/>
      </c>
      <c r="EY69" s="8" t="str">
        <f t="shared" si="170"/>
        <v/>
      </c>
      <c r="EZ69" s="123" t="str">
        <f t="shared" si="171"/>
        <v/>
      </c>
      <c r="FA69" s="328" t="str">
        <f t="shared" si="415"/>
        <v/>
      </c>
      <c r="FB69" s="7" t="str">
        <f t="shared" si="416"/>
        <v/>
      </c>
      <c r="FC69" s="8" t="str">
        <f t="shared" si="417"/>
        <v/>
      </c>
      <c r="FD69" s="6" t="str">
        <f t="shared" si="418"/>
        <v/>
      </c>
      <c r="FE69" s="7" t="str">
        <f t="shared" si="419"/>
        <v/>
      </c>
      <c r="FF69" s="9" t="str">
        <f t="shared" si="172"/>
        <v/>
      </c>
      <c r="FG69" s="328" t="str">
        <f t="shared" si="420"/>
        <v/>
      </c>
      <c r="FH69" s="7" t="str">
        <f t="shared" si="421"/>
        <v/>
      </c>
      <c r="FI69" s="12" t="str">
        <f t="shared" si="422"/>
        <v/>
      </c>
      <c r="FJ69" s="547" t="str">
        <f t="shared" si="173"/>
        <v/>
      </c>
      <c r="FK69" s="6" t="str">
        <f t="shared" si="423"/>
        <v/>
      </c>
      <c r="FL69" s="7" t="str">
        <f t="shared" si="174"/>
        <v/>
      </c>
      <c r="FM69" s="10" t="str">
        <f t="shared" si="175"/>
        <v/>
      </c>
      <c r="FN69" s="11" t="str">
        <f t="shared" si="176"/>
        <v/>
      </c>
      <c r="FO69" s="12" t="str">
        <f t="shared" si="424"/>
        <v/>
      </c>
      <c r="FP69" s="545" t="str">
        <f t="shared" si="425"/>
        <v/>
      </c>
      <c r="FQ69" s="328" t="str">
        <f t="shared" si="205"/>
        <v/>
      </c>
      <c r="FR69" s="12" t="str">
        <f t="shared" si="177"/>
        <v/>
      </c>
      <c r="FS69" s="11" t="str">
        <f t="shared" si="178"/>
        <v/>
      </c>
      <c r="FT69" s="8" t="str">
        <f t="shared" si="179"/>
        <v/>
      </c>
      <c r="FU69" s="6" t="str">
        <f t="shared" si="180"/>
        <v/>
      </c>
      <c r="FV69" s="7" t="str">
        <f t="shared" si="181"/>
        <v/>
      </c>
      <c r="FW69" s="10" t="str">
        <f t="shared" si="206"/>
        <v/>
      </c>
      <c r="FX69" s="11" t="str">
        <f t="shared" si="207"/>
        <v/>
      </c>
      <c r="FY69" s="12" t="str">
        <f t="shared" si="426"/>
        <v/>
      </c>
      <c r="FZ69" s="545" t="str">
        <f t="shared" si="208"/>
        <v/>
      </c>
      <c r="GA69" s="372" t="str">
        <f t="shared" si="182"/>
        <v/>
      </c>
      <c r="GB69" s="46" t="str">
        <f t="shared" si="183"/>
        <v/>
      </c>
      <c r="GC69" s="47" t="str">
        <f t="shared" si="184"/>
        <v/>
      </c>
      <c r="GD69" s="578" t="str">
        <f t="shared" si="185"/>
        <v/>
      </c>
      <c r="GE69" s="585" t="str">
        <f t="shared" si="186"/>
        <v/>
      </c>
      <c r="GF69" s="634" t="str">
        <f t="shared" si="209"/>
        <v/>
      </c>
      <c r="GG69" s="553" t="str">
        <f t="shared" si="427"/>
        <v/>
      </c>
      <c r="GH69" s="554" t="str">
        <f t="shared" si="428"/>
        <v/>
      </c>
      <c r="GI69" s="549" t="str">
        <f t="shared" si="429"/>
        <v/>
      </c>
      <c r="GJ69" s="296" t="str">
        <f t="shared" si="187"/>
        <v/>
      </c>
      <c r="GK69" s="337" t="str">
        <f t="shared" si="430"/>
        <v/>
      </c>
      <c r="GL69" s="337" t="str">
        <f t="shared" si="188"/>
        <v/>
      </c>
      <c r="GM69" s="372" t="str">
        <f t="shared" si="210"/>
        <v/>
      </c>
      <c r="GN69" s="548" t="str">
        <f t="shared" si="189"/>
        <v/>
      </c>
      <c r="GO69" s="6" t="str">
        <f t="shared" si="190"/>
        <v/>
      </c>
      <c r="GP69" s="10" t="str">
        <f t="shared" si="211"/>
        <v/>
      </c>
      <c r="GQ69" s="372" t="str">
        <f t="shared" si="191"/>
        <v/>
      </c>
      <c r="GR69" s="697" t="str">
        <f t="shared" si="212"/>
        <v/>
      </c>
      <c r="GS69" s="637" t="str">
        <f t="shared" si="431"/>
        <v/>
      </c>
      <c r="GT69" s="638" t="str">
        <f t="shared" si="432"/>
        <v/>
      </c>
      <c r="GU69" s="639" t="str">
        <f t="shared" si="433"/>
        <v/>
      </c>
      <c r="GV69" s="638" t="str">
        <f t="shared" si="192"/>
        <v/>
      </c>
      <c r="GW69" s="640" t="str">
        <f t="shared" si="434"/>
        <v/>
      </c>
      <c r="GX69" s="641" t="str">
        <f t="shared" si="435"/>
        <v/>
      </c>
      <c r="GY69" s="639" t="str">
        <f t="shared" si="436"/>
        <v/>
      </c>
      <c r="GZ69" s="640" t="str">
        <f t="shared" si="437"/>
        <v/>
      </c>
      <c r="HA69" s="637" t="str">
        <f t="shared" si="438"/>
        <v/>
      </c>
      <c r="HB69" s="7" t="str">
        <f t="shared" si="193"/>
        <v/>
      </c>
      <c r="HC69" s="638" t="str">
        <f t="shared" si="194"/>
        <v/>
      </c>
      <c r="HD69" s="682" t="str">
        <f t="shared" si="195"/>
        <v/>
      </c>
      <c r="HE69" s="639" t="str">
        <f t="shared" si="439"/>
        <v/>
      </c>
      <c r="HF69" s="7" t="str">
        <f t="shared" si="440"/>
        <v/>
      </c>
      <c r="HG69" s="638" t="str">
        <f t="shared" si="196"/>
        <v/>
      </c>
      <c r="HH69" s="644" t="str">
        <f t="shared" si="197"/>
        <v/>
      </c>
      <c r="HI69" s="596" t="str">
        <f t="shared" si="198"/>
        <v/>
      </c>
      <c r="HK69" s="584" t="str">
        <f t="shared" si="217"/>
        <v/>
      </c>
      <c r="HL69" s="583" t="str">
        <f t="shared" si="441"/>
        <v/>
      </c>
      <c r="HM69" s="643" t="str">
        <f t="shared" ref="HM69:IA78" si="444">IF(ISNUMBER($HL69),VLOOKUP($HL69,$GJ$9:$HI$130,HM$1,FALSE),"")</f>
        <v/>
      </c>
      <c r="HN69" s="660" t="str">
        <f t="shared" si="444"/>
        <v/>
      </c>
      <c r="HO69" s="661" t="str">
        <f t="shared" si="444"/>
        <v/>
      </c>
      <c r="HP69" s="656" t="str">
        <f t="shared" si="444"/>
        <v/>
      </c>
      <c r="HQ69" s="660" t="str">
        <f t="shared" si="444"/>
        <v/>
      </c>
      <c r="HR69" s="671" t="str">
        <f t="shared" si="444"/>
        <v/>
      </c>
      <c r="HS69" s="655" t="str">
        <f t="shared" si="444"/>
        <v/>
      </c>
      <c r="HT69" s="648" t="str">
        <f t="shared" si="444"/>
        <v/>
      </c>
      <c r="HU69" s="649" t="str">
        <f t="shared" si="444"/>
        <v/>
      </c>
      <c r="HV69" s="650" t="str">
        <f t="shared" si="444"/>
        <v/>
      </c>
      <c r="HW69" s="648" t="str">
        <f t="shared" si="444"/>
        <v/>
      </c>
      <c r="HX69" s="649" t="str">
        <f t="shared" si="444"/>
        <v/>
      </c>
      <c r="HY69" s="650" t="str">
        <f t="shared" si="444"/>
        <v/>
      </c>
      <c r="HZ69" s="648" t="str">
        <f t="shared" si="444"/>
        <v/>
      </c>
      <c r="IA69" s="649" t="str">
        <f t="shared" si="444"/>
        <v/>
      </c>
      <c r="IB69" s="716"/>
    </row>
    <row r="70" spans="2:238" ht="15" customHeight="1" x14ac:dyDescent="0.25">
      <c r="B70" s="143"/>
      <c r="C70" s="144"/>
      <c r="D70" s="145"/>
      <c r="E70" s="146"/>
      <c r="F70" s="144"/>
      <c r="G70" s="147"/>
      <c r="H70" s="146"/>
      <c r="I70" s="144"/>
      <c r="J70" s="306"/>
      <c r="K70" s="699" t="str">
        <f t="shared" si="199"/>
        <v/>
      </c>
      <c r="M70" s="292" t="str">
        <f t="shared" si="46"/>
        <v/>
      </c>
      <c r="N70" s="24" t="str">
        <f t="shared" si="47"/>
        <v/>
      </c>
      <c r="O70" s="7" t="str">
        <f t="shared" si="48"/>
        <v/>
      </c>
      <c r="P70" s="12" t="str">
        <f t="shared" si="49"/>
        <v/>
      </c>
      <c r="Q70" s="11" t="str">
        <f t="shared" si="85"/>
        <v/>
      </c>
      <c r="R70" s="7" t="str">
        <f t="shared" si="50"/>
        <v/>
      </c>
      <c r="S70" s="8" t="str">
        <f t="shared" si="51"/>
        <v/>
      </c>
      <c r="T70" s="6" t="str">
        <f t="shared" si="52"/>
        <v/>
      </c>
      <c r="U70" s="7" t="str">
        <f t="shared" si="53"/>
        <v/>
      </c>
      <c r="V70" s="10" t="str">
        <f t="shared" si="86"/>
        <v/>
      </c>
      <c r="W70" s="11" t="str">
        <f t="shared" si="214"/>
        <v/>
      </c>
      <c r="X70" s="7" t="str">
        <f t="shared" si="54"/>
        <v/>
      </c>
      <c r="Y70" s="9" t="str">
        <f t="shared" si="213"/>
        <v/>
      </c>
      <c r="Z70" s="24" t="str">
        <f t="shared" si="87"/>
        <v/>
      </c>
      <c r="AA70" s="7" t="str">
        <f t="shared" si="55"/>
        <v/>
      </c>
      <c r="AB70" s="7" t="str">
        <f t="shared" si="56"/>
        <v/>
      </c>
      <c r="AC70" s="10" t="str">
        <f t="shared" si="57"/>
        <v/>
      </c>
      <c r="AD70" s="11" t="str">
        <f t="shared" si="88"/>
        <v/>
      </c>
      <c r="AE70" s="7" t="str">
        <f t="shared" si="58"/>
        <v/>
      </c>
      <c r="AF70" s="12" t="str">
        <f t="shared" si="59"/>
        <v/>
      </c>
      <c r="AG70" s="6" t="str">
        <f t="shared" si="60"/>
        <v/>
      </c>
      <c r="AH70" s="12" t="str">
        <f t="shared" si="61"/>
        <v/>
      </c>
      <c r="AI70" s="11" t="str">
        <f t="shared" si="62"/>
        <v/>
      </c>
      <c r="AJ70" s="8" t="str">
        <f t="shared" si="63"/>
        <v/>
      </c>
      <c r="AK70" s="6" t="str">
        <f t="shared" si="89"/>
        <v/>
      </c>
      <c r="AL70" s="7" t="str">
        <f t="shared" si="64"/>
        <v/>
      </c>
      <c r="AM70" s="8" t="str">
        <f t="shared" si="65"/>
        <v/>
      </c>
      <c r="AN70" s="6" t="str">
        <f t="shared" si="66"/>
        <v/>
      </c>
      <c r="AO70" s="10" t="str">
        <f t="shared" si="376"/>
        <v/>
      </c>
      <c r="AP70" s="11" t="str">
        <f t="shared" si="67"/>
        <v/>
      </c>
      <c r="AQ70" s="8" t="str">
        <f t="shared" si="200"/>
        <v/>
      </c>
      <c r="AS70" s="123" t="str">
        <f t="shared" si="90"/>
        <v/>
      </c>
      <c r="AT70" s="174" t="str">
        <f t="shared" si="68"/>
        <v/>
      </c>
      <c r="AV70" s="292" t="str">
        <f t="shared" si="91"/>
        <v/>
      </c>
      <c r="AW70" s="709"/>
      <c r="AX70" s="710"/>
      <c r="AY70" s="711"/>
      <c r="AZ70" s="565" t="str">
        <f t="shared" si="92"/>
        <v/>
      </c>
      <c r="BA70" s="564" t="str">
        <f t="shared" si="93"/>
        <v/>
      </c>
      <c r="BB70" s="372" t="str">
        <f t="shared" si="94"/>
        <v/>
      </c>
      <c r="BC70" s="11"/>
      <c r="BD70" s="7" t="str">
        <f t="shared" si="95"/>
        <v/>
      </c>
      <c r="BE70" s="8" t="str">
        <f t="shared" si="96"/>
        <v/>
      </c>
      <c r="BF70" s="6" t="str">
        <f t="shared" si="97"/>
        <v/>
      </c>
      <c r="BG70" s="7" t="str">
        <f t="shared" si="98"/>
        <v/>
      </c>
      <c r="BH70" s="12" t="str">
        <f t="shared" si="99"/>
        <v/>
      </c>
      <c r="BI70" s="11" t="str">
        <f t="shared" si="100"/>
        <v/>
      </c>
      <c r="BJ70" s="7" t="str">
        <f t="shared" si="101"/>
        <v/>
      </c>
      <c r="BK70" s="10" t="str">
        <f t="shared" si="102"/>
        <v/>
      </c>
      <c r="BL70" s="328" t="str">
        <f t="shared" si="103"/>
        <v/>
      </c>
      <c r="BM70" s="7" t="str">
        <f t="shared" si="104"/>
        <v/>
      </c>
      <c r="BN70" s="8" t="str">
        <f t="shared" si="105"/>
        <v/>
      </c>
      <c r="BO70" s="6" t="str">
        <f t="shared" si="106"/>
        <v/>
      </c>
      <c r="BP70" s="7" t="str">
        <f t="shared" si="107"/>
        <v/>
      </c>
      <c r="BQ70" s="7" t="str">
        <f t="shared" si="108"/>
        <v/>
      </c>
      <c r="BR70" s="8" t="str">
        <f t="shared" si="109"/>
        <v/>
      </c>
      <c r="BS70" s="6" t="str">
        <f t="shared" si="409"/>
        <v/>
      </c>
      <c r="BT70" s="7" t="str">
        <f t="shared" si="409"/>
        <v/>
      </c>
      <c r="BU70" s="12" t="str">
        <f t="shared" si="70"/>
        <v/>
      </c>
      <c r="BV70" s="11" t="str">
        <f t="shared" si="71"/>
        <v/>
      </c>
      <c r="BW70" s="7" t="str">
        <f t="shared" si="72"/>
        <v/>
      </c>
      <c r="BX70" s="10" t="str">
        <f t="shared" si="73"/>
        <v/>
      </c>
      <c r="BY70" s="328" t="str">
        <f t="shared" si="74"/>
        <v/>
      </c>
      <c r="BZ70" s="7" t="str">
        <f t="shared" si="75"/>
        <v/>
      </c>
      <c r="CA70" s="8" t="str">
        <f t="shared" si="76"/>
        <v/>
      </c>
      <c r="CB70" s="6" t="str">
        <f t="shared" si="110"/>
        <v/>
      </c>
      <c r="CC70" s="7" t="str">
        <f t="shared" si="111"/>
        <v/>
      </c>
      <c r="CD70" s="7" t="str">
        <f t="shared" si="112"/>
        <v/>
      </c>
      <c r="CE70" s="8" t="str">
        <f t="shared" si="113"/>
        <v/>
      </c>
      <c r="CF70" s="6" t="str">
        <f t="shared" si="114"/>
        <v/>
      </c>
      <c r="CG70" s="7" t="str">
        <f t="shared" si="115"/>
        <v/>
      </c>
      <c r="CH70" s="7" t="str">
        <f t="shared" si="116"/>
        <v/>
      </c>
      <c r="CI70" s="6" t="str">
        <f t="shared" si="77"/>
        <v/>
      </c>
      <c r="CJ70" s="7" t="str">
        <f t="shared" si="78"/>
        <v/>
      </c>
      <c r="CK70" s="10" t="str">
        <f t="shared" si="79"/>
        <v/>
      </c>
      <c r="CL70" s="328" t="str">
        <f t="shared" si="80"/>
        <v/>
      </c>
      <c r="CM70" s="7" t="str">
        <f t="shared" si="81"/>
        <v/>
      </c>
      <c r="CN70" s="8" t="str">
        <f t="shared" si="82"/>
        <v/>
      </c>
      <c r="CO70" s="296" t="str">
        <f t="shared" si="201"/>
        <v/>
      </c>
      <c r="CP70" s="6" t="str">
        <f t="shared" si="202"/>
        <v/>
      </c>
      <c r="CQ70" s="7" t="str">
        <f t="shared" si="203"/>
        <v/>
      </c>
      <c r="CR70" s="7" t="str">
        <f t="shared" si="117"/>
        <v/>
      </c>
      <c r="CS70" s="10" t="str">
        <f t="shared" si="118"/>
        <v/>
      </c>
      <c r="CT70" s="11" t="str">
        <f t="shared" si="119"/>
        <v/>
      </c>
      <c r="CU70" s="8" t="str">
        <f t="shared" si="120"/>
        <v/>
      </c>
      <c r="CV70" s="6" t="str">
        <f t="shared" si="204"/>
        <v/>
      </c>
      <c r="CW70" s="7" t="str">
        <f t="shared" si="121"/>
        <v/>
      </c>
      <c r="CX70" s="10" t="str">
        <f t="shared" si="122"/>
        <v/>
      </c>
      <c r="CY70" s="11" t="str">
        <f t="shared" si="123"/>
        <v/>
      </c>
      <c r="CZ70" s="7" t="str">
        <f t="shared" si="124"/>
        <v/>
      </c>
      <c r="DA70" s="8" t="str">
        <f t="shared" si="125"/>
        <v/>
      </c>
      <c r="DB70" s="6" t="str">
        <f t="shared" si="410"/>
        <v/>
      </c>
      <c r="DC70" s="7" t="str">
        <f t="shared" si="410"/>
        <v/>
      </c>
      <c r="DD70" s="12" t="str">
        <f t="shared" si="127"/>
        <v/>
      </c>
      <c r="DE70" s="11" t="str">
        <f t="shared" si="411"/>
        <v/>
      </c>
      <c r="DF70" s="7" t="str">
        <f t="shared" si="411"/>
        <v/>
      </c>
      <c r="DG70" s="12" t="str">
        <f t="shared" si="129"/>
        <v/>
      </c>
      <c r="DH70" s="174" t="str">
        <f t="shared" si="130"/>
        <v/>
      </c>
      <c r="DI70" s="6" t="str">
        <f t="shared" si="131"/>
        <v/>
      </c>
      <c r="DJ70" s="7" t="str">
        <f t="shared" si="132"/>
        <v/>
      </c>
      <c r="DK70" s="12" t="str">
        <f t="shared" si="133"/>
        <v/>
      </c>
      <c r="DL70" s="11" t="str">
        <f t="shared" si="134"/>
        <v/>
      </c>
      <c r="DM70" s="328" t="str">
        <f t="shared" si="135"/>
        <v/>
      </c>
      <c r="DN70" s="376" t="str">
        <f t="shared" si="136"/>
        <v/>
      </c>
      <c r="DO70" s="11" t="str">
        <f t="shared" si="137"/>
        <v/>
      </c>
      <c r="DP70" s="328" t="str">
        <f t="shared" si="138"/>
        <v/>
      </c>
      <c r="DQ70" s="13" t="str">
        <f t="shared" si="139"/>
        <v/>
      </c>
      <c r="DR70" s="328" t="str">
        <f t="shared" si="140"/>
        <v/>
      </c>
      <c r="DS70" s="7" t="str">
        <f t="shared" si="141"/>
        <v/>
      </c>
      <c r="DT70" s="7" t="str">
        <f t="shared" si="142"/>
        <v/>
      </c>
      <c r="DU70" s="7" t="str">
        <f t="shared" si="143"/>
        <v/>
      </c>
      <c r="DV70" s="7" t="str">
        <f t="shared" si="144"/>
        <v/>
      </c>
      <c r="DW70" s="7" t="str">
        <f t="shared" si="145"/>
        <v/>
      </c>
      <c r="DX70" s="296" t="str">
        <f t="shared" si="146"/>
        <v/>
      </c>
      <c r="DY70" s="11" t="str">
        <f t="shared" si="147"/>
        <v/>
      </c>
      <c r="DZ70" s="7" t="str">
        <f t="shared" si="148"/>
        <v/>
      </c>
      <c r="EA70" s="12" t="str">
        <f t="shared" si="149"/>
        <v/>
      </c>
      <c r="EB70" s="8" t="str">
        <f t="shared" si="150"/>
        <v/>
      </c>
      <c r="EC70" s="328" t="str">
        <f t="shared" si="151"/>
        <v/>
      </c>
      <c r="ED70" s="7" t="str">
        <f t="shared" si="152"/>
        <v/>
      </c>
      <c r="EE70" s="6" t="str">
        <f t="shared" si="153"/>
        <v/>
      </c>
      <c r="EF70" s="7" t="str">
        <f t="shared" si="154"/>
        <v/>
      </c>
      <c r="EG70" s="12" t="str">
        <f t="shared" si="155"/>
        <v/>
      </c>
      <c r="EH70" s="11" t="str">
        <f t="shared" si="156"/>
        <v/>
      </c>
      <c r="EI70" s="7" t="str">
        <f t="shared" si="157"/>
        <v/>
      </c>
      <c r="EJ70" s="8" t="str">
        <f t="shared" si="158"/>
        <v/>
      </c>
      <c r="EK70" s="491" t="str">
        <f t="shared" si="159"/>
        <v/>
      </c>
      <c r="EL70" s="493" t="str">
        <f t="shared" si="160"/>
        <v/>
      </c>
      <c r="EM70" s="6" t="str">
        <f t="shared" si="161"/>
        <v/>
      </c>
      <c r="EN70" s="7" t="str">
        <f t="shared" si="162"/>
        <v/>
      </c>
      <c r="EO70" s="12" t="str">
        <f t="shared" si="163"/>
        <v/>
      </c>
      <c r="EP70" s="11" t="str">
        <f t="shared" si="164"/>
        <v/>
      </c>
      <c r="EQ70" s="7" t="str">
        <f t="shared" si="165"/>
        <v/>
      </c>
      <c r="ER70" s="9" t="str">
        <f t="shared" si="166"/>
        <v/>
      </c>
      <c r="ES70" s="24" t="str">
        <f t="shared" si="167"/>
        <v/>
      </c>
      <c r="ET70" s="7" t="str">
        <f t="shared" si="168"/>
        <v/>
      </c>
      <c r="EU70" s="12" t="str">
        <f t="shared" si="169"/>
        <v/>
      </c>
      <c r="EV70" s="337" t="str">
        <f t="shared" si="412"/>
        <v/>
      </c>
      <c r="EW70" s="11" t="str">
        <f t="shared" si="413"/>
        <v/>
      </c>
      <c r="EX70" s="7" t="str">
        <f t="shared" si="414"/>
        <v/>
      </c>
      <c r="EY70" s="8" t="str">
        <f t="shared" si="170"/>
        <v/>
      </c>
      <c r="EZ70" s="123" t="str">
        <f t="shared" si="171"/>
        <v/>
      </c>
      <c r="FA70" s="328" t="str">
        <f t="shared" si="415"/>
        <v/>
      </c>
      <c r="FB70" s="7" t="str">
        <f t="shared" si="416"/>
        <v/>
      </c>
      <c r="FC70" s="8" t="str">
        <f t="shared" si="417"/>
        <v/>
      </c>
      <c r="FD70" s="6" t="str">
        <f t="shared" si="418"/>
        <v/>
      </c>
      <c r="FE70" s="7" t="str">
        <f t="shared" si="419"/>
        <v/>
      </c>
      <c r="FF70" s="9" t="str">
        <f t="shared" si="172"/>
        <v/>
      </c>
      <c r="FG70" s="328" t="str">
        <f t="shared" si="420"/>
        <v/>
      </c>
      <c r="FH70" s="7" t="str">
        <f t="shared" si="421"/>
        <v/>
      </c>
      <c r="FI70" s="12" t="str">
        <f t="shared" si="422"/>
        <v/>
      </c>
      <c r="FJ70" s="547" t="str">
        <f t="shared" si="173"/>
        <v/>
      </c>
      <c r="FK70" s="6" t="str">
        <f t="shared" si="423"/>
        <v/>
      </c>
      <c r="FL70" s="7" t="str">
        <f t="shared" si="174"/>
        <v/>
      </c>
      <c r="FM70" s="10" t="str">
        <f t="shared" si="175"/>
        <v/>
      </c>
      <c r="FN70" s="11" t="str">
        <f t="shared" si="176"/>
        <v/>
      </c>
      <c r="FO70" s="12" t="str">
        <f t="shared" si="424"/>
        <v/>
      </c>
      <c r="FP70" s="545" t="str">
        <f t="shared" si="425"/>
        <v/>
      </c>
      <c r="FQ70" s="328" t="str">
        <f t="shared" si="205"/>
        <v/>
      </c>
      <c r="FR70" s="12" t="str">
        <f t="shared" si="177"/>
        <v/>
      </c>
      <c r="FS70" s="11" t="str">
        <f t="shared" si="178"/>
        <v/>
      </c>
      <c r="FT70" s="8" t="str">
        <f t="shared" si="179"/>
        <v/>
      </c>
      <c r="FU70" s="6" t="str">
        <f t="shared" si="180"/>
        <v/>
      </c>
      <c r="FV70" s="7" t="str">
        <f t="shared" si="181"/>
        <v/>
      </c>
      <c r="FW70" s="10" t="str">
        <f t="shared" si="206"/>
        <v/>
      </c>
      <c r="FX70" s="11" t="str">
        <f t="shared" si="207"/>
        <v/>
      </c>
      <c r="FY70" s="12" t="str">
        <f t="shared" si="426"/>
        <v/>
      </c>
      <c r="FZ70" s="545" t="str">
        <f t="shared" si="208"/>
        <v/>
      </c>
      <c r="GA70" s="372" t="str">
        <f t="shared" si="182"/>
        <v/>
      </c>
      <c r="GB70" s="46" t="str">
        <f t="shared" si="183"/>
        <v/>
      </c>
      <c r="GC70" s="47" t="str">
        <f t="shared" si="184"/>
        <v/>
      </c>
      <c r="GD70" s="578" t="str">
        <f t="shared" si="185"/>
        <v/>
      </c>
      <c r="GE70" s="585" t="str">
        <f t="shared" si="186"/>
        <v/>
      </c>
      <c r="GF70" s="634" t="str">
        <f t="shared" si="209"/>
        <v/>
      </c>
      <c r="GG70" s="553" t="str">
        <f t="shared" si="427"/>
        <v/>
      </c>
      <c r="GH70" s="554" t="str">
        <f t="shared" si="428"/>
        <v/>
      </c>
      <c r="GI70" s="549" t="str">
        <f t="shared" si="429"/>
        <v/>
      </c>
      <c r="GJ70" s="296" t="str">
        <f t="shared" si="187"/>
        <v/>
      </c>
      <c r="GK70" s="337" t="str">
        <f t="shared" si="430"/>
        <v/>
      </c>
      <c r="GL70" s="337" t="str">
        <f t="shared" si="188"/>
        <v/>
      </c>
      <c r="GM70" s="372" t="str">
        <f t="shared" si="210"/>
        <v/>
      </c>
      <c r="GN70" s="548" t="str">
        <f t="shared" si="189"/>
        <v/>
      </c>
      <c r="GO70" s="6" t="str">
        <f t="shared" si="190"/>
        <v/>
      </c>
      <c r="GP70" s="10" t="str">
        <f t="shared" si="211"/>
        <v/>
      </c>
      <c r="GQ70" s="372" t="str">
        <f t="shared" si="191"/>
        <v/>
      </c>
      <c r="GR70" s="697" t="str">
        <f t="shared" si="212"/>
        <v/>
      </c>
      <c r="GS70" s="637" t="str">
        <f t="shared" si="431"/>
        <v/>
      </c>
      <c r="GT70" s="638" t="str">
        <f t="shared" si="432"/>
        <v/>
      </c>
      <c r="GU70" s="639" t="str">
        <f t="shared" si="433"/>
        <v/>
      </c>
      <c r="GV70" s="638" t="str">
        <f t="shared" si="192"/>
        <v/>
      </c>
      <c r="GW70" s="640" t="str">
        <f t="shared" si="434"/>
        <v/>
      </c>
      <c r="GX70" s="641" t="str">
        <f t="shared" si="435"/>
        <v/>
      </c>
      <c r="GY70" s="639" t="str">
        <f t="shared" si="436"/>
        <v/>
      </c>
      <c r="GZ70" s="640" t="str">
        <f t="shared" si="437"/>
        <v/>
      </c>
      <c r="HA70" s="637" t="str">
        <f t="shared" si="438"/>
        <v/>
      </c>
      <c r="HB70" s="7" t="str">
        <f t="shared" si="193"/>
        <v/>
      </c>
      <c r="HC70" s="638" t="str">
        <f t="shared" si="194"/>
        <v/>
      </c>
      <c r="HD70" s="682" t="str">
        <f t="shared" si="195"/>
        <v/>
      </c>
      <c r="HE70" s="639" t="str">
        <f t="shared" si="439"/>
        <v/>
      </c>
      <c r="HF70" s="7" t="str">
        <f t="shared" si="440"/>
        <v/>
      </c>
      <c r="HG70" s="638" t="str">
        <f t="shared" si="196"/>
        <v/>
      </c>
      <c r="HH70" s="644" t="str">
        <f t="shared" si="197"/>
        <v/>
      </c>
      <c r="HI70" s="596" t="str">
        <f t="shared" si="198"/>
        <v/>
      </c>
      <c r="HK70" s="584" t="str">
        <f t="shared" si="217"/>
        <v/>
      </c>
      <c r="HL70" s="583" t="str">
        <f t="shared" si="441"/>
        <v/>
      </c>
      <c r="HM70" s="643" t="str">
        <f t="shared" si="444"/>
        <v/>
      </c>
      <c r="HN70" s="660" t="str">
        <f t="shared" si="444"/>
        <v/>
      </c>
      <c r="HO70" s="661" t="str">
        <f t="shared" si="444"/>
        <v/>
      </c>
      <c r="HP70" s="656" t="str">
        <f t="shared" si="444"/>
        <v/>
      </c>
      <c r="HQ70" s="660" t="str">
        <f t="shared" si="444"/>
        <v/>
      </c>
      <c r="HR70" s="671" t="str">
        <f t="shared" si="444"/>
        <v/>
      </c>
      <c r="HS70" s="655" t="str">
        <f t="shared" si="444"/>
        <v/>
      </c>
      <c r="HT70" s="648" t="str">
        <f t="shared" si="444"/>
        <v/>
      </c>
      <c r="HU70" s="649" t="str">
        <f t="shared" si="444"/>
        <v/>
      </c>
      <c r="HV70" s="650" t="str">
        <f t="shared" si="444"/>
        <v/>
      </c>
      <c r="HW70" s="648" t="str">
        <f t="shared" si="444"/>
        <v/>
      </c>
      <c r="HX70" s="649" t="str">
        <f t="shared" si="444"/>
        <v/>
      </c>
      <c r="HY70" s="650" t="str">
        <f t="shared" si="444"/>
        <v/>
      </c>
      <c r="HZ70" s="648" t="str">
        <f t="shared" si="444"/>
        <v/>
      </c>
      <c r="IA70" s="649" t="str">
        <f t="shared" si="444"/>
        <v/>
      </c>
      <c r="IB70" s="716"/>
    </row>
    <row r="71" spans="2:238" ht="15" customHeight="1" x14ac:dyDescent="0.25">
      <c r="B71" s="143"/>
      <c r="C71" s="144"/>
      <c r="D71" s="145"/>
      <c r="E71" s="146"/>
      <c r="F71" s="144"/>
      <c r="G71" s="147"/>
      <c r="H71" s="146"/>
      <c r="I71" s="144"/>
      <c r="J71" s="306"/>
      <c r="K71" s="699" t="str">
        <f t="shared" si="199"/>
        <v/>
      </c>
      <c r="M71" s="292" t="str">
        <f t="shared" si="46"/>
        <v/>
      </c>
      <c r="N71" s="24" t="str">
        <f t="shared" si="47"/>
        <v/>
      </c>
      <c r="O71" s="7" t="str">
        <f t="shared" si="48"/>
        <v/>
      </c>
      <c r="P71" s="12" t="str">
        <f t="shared" si="49"/>
        <v/>
      </c>
      <c r="Q71" s="11" t="str">
        <f t="shared" si="85"/>
        <v/>
      </c>
      <c r="R71" s="7" t="str">
        <f t="shared" si="50"/>
        <v/>
      </c>
      <c r="S71" s="8" t="str">
        <f t="shared" si="51"/>
        <v/>
      </c>
      <c r="T71" s="6" t="str">
        <f t="shared" si="52"/>
        <v/>
      </c>
      <c r="U71" s="7" t="str">
        <f t="shared" si="53"/>
        <v/>
      </c>
      <c r="V71" s="10" t="str">
        <f t="shared" si="86"/>
        <v/>
      </c>
      <c r="W71" s="11" t="str">
        <f t="shared" si="214"/>
        <v/>
      </c>
      <c r="X71" s="7" t="str">
        <f t="shared" si="54"/>
        <v/>
      </c>
      <c r="Y71" s="9" t="str">
        <f t="shared" si="213"/>
        <v/>
      </c>
      <c r="Z71" s="24" t="str">
        <f t="shared" si="87"/>
        <v/>
      </c>
      <c r="AA71" s="7" t="str">
        <f t="shared" si="55"/>
        <v/>
      </c>
      <c r="AB71" s="7" t="str">
        <f t="shared" si="56"/>
        <v/>
      </c>
      <c r="AC71" s="10" t="str">
        <f t="shared" si="57"/>
        <v/>
      </c>
      <c r="AD71" s="11" t="str">
        <f t="shared" si="88"/>
        <v/>
      </c>
      <c r="AE71" s="7" t="str">
        <f t="shared" si="58"/>
        <v/>
      </c>
      <c r="AF71" s="12" t="str">
        <f t="shared" si="59"/>
        <v/>
      </c>
      <c r="AG71" s="6" t="str">
        <f t="shared" si="60"/>
        <v/>
      </c>
      <c r="AH71" s="12" t="str">
        <f t="shared" si="61"/>
        <v/>
      </c>
      <c r="AI71" s="11" t="str">
        <f t="shared" si="62"/>
        <v/>
      </c>
      <c r="AJ71" s="8" t="str">
        <f t="shared" si="63"/>
        <v/>
      </c>
      <c r="AK71" s="6" t="str">
        <f t="shared" si="89"/>
        <v/>
      </c>
      <c r="AL71" s="7" t="str">
        <f t="shared" si="64"/>
        <v/>
      </c>
      <c r="AM71" s="8" t="str">
        <f t="shared" si="65"/>
        <v/>
      </c>
      <c r="AN71" s="6" t="str">
        <f t="shared" si="66"/>
        <v/>
      </c>
      <c r="AO71" s="10" t="str">
        <f t="shared" si="376"/>
        <v/>
      </c>
      <c r="AP71" s="11" t="str">
        <f t="shared" si="67"/>
        <v/>
      </c>
      <c r="AQ71" s="8" t="str">
        <f t="shared" si="200"/>
        <v/>
      </c>
      <c r="AS71" s="123" t="str">
        <f t="shared" si="90"/>
        <v/>
      </c>
      <c r="AT71" s="174" t="str">
        <f t="shared" si="68"/>
        <v/>
      </c>
      <c r="AV71" s="292" t="str">
        <f t="shared" si="91"/>
        <v/>
      </c>
      <c r="AW71" s="709"/>
      <c r="AX71" s="710"/>
      <c r="AY71" s="711"/>
      <c r="AZ71" s="565" t="str">
        <f t="shared" si="92"/>
        <v/>
      </c>
      <c r="BA71" s="564" t="str">
        <f t="shared" si="93"/>
        <v/>
      </c>
      <c r="BB71" s="372" t="str">
        <f t="shared" si="94"/>
        <v/>
      </c>
      <c r="BC71" s="11"/>
      <c r="BD71" s="7" t="str">
        <f t="shared" si="95"/>
        <v/>
      </c>
      <c r="BE71" s="8" t="str">
        <f t="shared" si="96"/>
        <v/>
      </c>
      <c r="BF71" s="6" t="str">
        <f t="shared" si="97"/>
        <v/>
      </c>
      <c r="BG71" s="7" t="str">
        <f t="shared" si="98"/>
        <v/>
      </c>
      <c r="BH71" s="12" t="str">
        <f t="shared" si="99"/>
        <v/>
      </c>
      <c r="BI71" s="11" t="str">
        <f t="shared" si="100"/>
        <v/>
      </c>
      <c r="BJ71" s="7" t="str">
        <f t="shared" si="101"/>
        <v/>
      </c>
      <c r="BK71" s="10" t="str">
        <f t="shared" si="102"/>
        <v/>
      </c>
      <c r="BL71" s="328" t="str">
        <f t="shared" si="103"/>
        <v/>
      </c>
      <c r="BM71" s="7" t="str">
        <f t="shared" si="104"/>
        <v/>
      </c>
      <c r="BN71" s="8" t="str">
        <f t="shared" si="105"/>
        <v/>
      </c>
      <c r="BO71" s="6" t="str">
        <f t="shared" si="106"/>
        <v/>
      </c>
      <c r="BP71" s="7" t="str">
        <f t="shared" si="107"/>
        <v/>
      </c>
      <c r="BQ71" s="7" t="str">
        <f t="shared" si="108"/>
        <v/>
      </c>
      <c r="BR71" s="8" t="str">
        <f t="shared" si="109"/>
        <v/>
      </c>
      <c r="BS71" s="6" t="str">
        <f t="shared" si="409"/>
        <v/>
      </c>
      <c r="BT71" s="7" t="str">
        <f t="shared" si="409"/>
        <v/>
      </c>
      <c r="BU71" s="12" t="str">
        <f t="shared" si="70"/>
        <v/>
      </c>
      <c r="BV71" s="11" t="str">
        <f t="shared" si="71"/>
        <v/>
      </c>
      <c r="BW71" s="7" t="str">
        <f t="shared" si="72"/>
        <v/>
      </c>
      <c r="BX71" s="10" t="str">
        <f t="shared" si="73"/>
        <v/>
      </c>
      <c r="BY71" s="328" t="str">
        <f t="shared" si="74"/>
        <v/>
      </c>
      <c r="BZ71" s="7" t="str">
        <f t="shared" si="75"/>
        <v/>
      </c>
      <c r="CA71" s="8" t="str">
        <f t="shared" si="76"/>
        <v/>
      </c>
      <c r="CB71" s="6" t="str">
        <f t="shared" si="110"/>
        <v/>
      </c>
      <c r="CC71" s="7" t="str">
        <f t="shared" si="111"/>
        <v/>
      </c>
      <c r="CD71" s="7" t="str">
        <f t="shared" si="112"/>
        <v/>
      </c>
      <c r="CE71" s="8" t="str">
        <f t="shared" si="113"/>
        <v/>
      </c>
      <c r="CF71" s="6" t="str">
        <f t="shared" si="114"/>
        <v/>
      </c>
      <c r="CG71" s="7" t="str">
        <f t="shared" si="115"/>
        <v/>
      </c>
      <c r="CH71" s="7" t="str">
        <f t="shared" si="116"/>
        <v/>
      </c>
      <c r="CI71" s="6" t="str">
        <f t="shared" si="77"/>
        <v/>
      </c>
      <c r="CJ71" s="7" t="str">
        <f t="shared" si="78"/>
        <v/>
      </c>
      <c r="CK71" s="10" t="str">
        <f t="shared" si="79"/>
        <v/>
      </c>
      <c r="CL71" s="328" t="str">
        <f t="shared" si="80"/>
        <v/>
      </c>
      <c r="CM71" s="7" t="str">
        <f t="shared" si="81"/>
        <v/>
      </c>
      <c r="CN71" s="8" t="str">
        <f t="shared" si="82"/>
        <v/>
      </c>
      <c r="CO71" s="296" t="str">
        <f t="shared" si="201"/>
        <v/>
      </c>
      <c r="CP71" s="6" t="str">
        <f t="shared" si="202"/>
        <v/>
      </c>
      <c r="CQ71" s="7" t="str">
        <f t="shared" si="203"/>
        <v/>
      </c>
      <c r="CR71" s="7" t="str">
        <f t="shared" si="117"/>
        <v/>
      </c>
      <c r="CS71" s="10" t="str">
        <f t="shared" si="118"/>
        <v/>
      </c>
      <c r="CT71" s="11" t="str">
        <f t="shared" si="119"/>
        <v/>
      </c>
      <c r="CU71" s="8" t="str">
        <f t="shared" si="120"/>
        <v/>
      </c>
      <c r="CV71" s="6" t="str">
        <f t="shared" si="204"/>
        <v/>
      </c>
      <c r="CW71" s="7" t="str">
        <f t="shared" si="121"/>
        <v/>
      </c>
      <c r="CX71" s="10" t="str">
        <f t="shared" si="122"/>
        <v/>
      </c>
      <c r="CY71" s="11" t="str">
        <f t="shared" si="123"/>
        <v/>
      </c>
      <c r="CZ71" s="7" t="str">
        <f t="shared" si="124"/>
        <v/>
      </c>
      <c r="DA71" s="8" t="str">
        <f t="shared" si="125"/>
        <v/>
      </c>
      <c r="DB71" s="6" t="str">
        <f t="shared" si="410"/>
        <v/>
      </c>
      <c r="DC71" s="7" t="str">
        <f t="shared" si="410"/>
        <v/>
      </c>
      <c r="DD71" s="12" t="str">
        <f t="shared" si="127"/>
        <v/>
      </c>
      <c r="DE71" s="11" t="str">
        <f t="shared" si="411"/>
        <v/>
      </c>
      <c r="DF71" s="7" t="str">
        <f t="shared" si="411"/>
        <v/>
      </c>
      <c r="DG71" s="12" t="str">
        <f t="shared" si="129"/>
        <v/>
      </c>
      <c r="DH71" s="174" t="str">
        <f t="shared" si="130"/>
        <v/>
      </c>
      <c r="DI71" s="6" t="str">
        <f t="shared" si="131"/>
        <v/>
      </c>
      <c r="DJ71" s="7" t="str">
        <f t="shared" si="132"/>
        <v/>
      </c>
      <c r="DK71" s="12" t="str">
        <f t="shared" si="133"/>
        <v/>
      </c>
      <c r="DL71" s="11" t="str">
        <f t="shared" si="134"/>
        <v/>
      </c>
      <c r="DM71" s="328" t="str">
        <f t="shared" si="135"/>
        <v/>
      </c>
      <c r="DN71" s="376" t="str">
        <f t="shared" si="136"/>
        <v/>
      </c>
      <c r="DO71" s="11" t="str">
        <f t="shared" si="137"/>
        <v/>
      </c>
      <c r="DP71" s="328" t="str">
        <f t="shared" si="138"/>
        <v/>
      </c>
      <c r="DQ71" s="13" t="str">
        <f t="shared" si="139"/>
        <v/>
      </c>
      <c r="DR71" s="328" t="str">
        <f t="shared" si="140"/>
        <v/>
      </c>
      <c r="DS71" s="7" t="str">
        <f t="shared" si="141"/>
        <v/>
      </c>
      <c r="DT71" s="7" t="str">
        <f t="shared" si="142"/>
        <v/>
      </c>
      <c r="DU71" s="7" t="str">
        <f t="shared" si="143"/>
        <v/>
      </c>
      <c r="DV71" s="7" t="str">
        <f t="shared" si="144"/>
        <v/>
      </c>
      <c r="DW71" s="7" t="str">
        <f t="shared" si="145"/>
        <v/>
      </c>
      <c r="DX71" s="296" t="str">
        <f t="shared" si="146"/>
        <v/>
      </c>
      <c r="DY71" s="11" t="str">
        <f t="shared" si="147"/>
        <v/>
      </c>
      <c r="DZ71" s="7" t="str">
        <f t="shared" si="148"/>
        <v/>
      </c>
      <c r="EA71" s="12" t="str">
        <f t="shared" si="149"/>
        <v/>
      </c>
      <c r="EB71" s="8" t="str">
        <f t="shared" si="150"/>
        <v/>
      </c>
      <c r="EC71" s="328" t="str">
        <f t="shared" si="151"/>
        <v/>
      </c>
      <c r="ED71" s="7" t="str">
        <f t="shared" si="152"/>
        <v/>
      </c>
      <c r="EE71" s="6" t="str">
        <f t="shared" si="153"/>
        <v/>
      </c>
      <c r="EF71" s="7" t="str">
        <f t="shared" si="154"/>
        <v/>
      </c>
      <c r="EG71" s="12" t="str">
        <f t="shared" si="155"/>
        <v/>
      </c>
      <c r="EH71" s="11" t="str">
        <f t="shared" si="156"/>
        <v/>
      </c>
      <c r="EI71" s="7" t="str">
        <f t="shared" si="157"/>
        <v/>
      </c>
      <c r="EJ71" s="8" t="str">
        <f t="shared" si="158"/>
        <v/>
      </c>
      <c r="EK71" s="491" t="str">
        <f t="shared" si="159"/>
        <v/>
      </c>
      <c r="EL71" s="493" t="str">
        <f t="shared" si="160"/>
        <v/>
      </c>
      <c r="EM71" s="6" t="str">
        <f t="shared" si="161"/>
        <v/>
      </c>
      <c r="EN71" s="7" t="str">
        <f t="shared" si="162"/>
        <v/>
      </c>
      <c r="EO71" s="12" t="str">
        <f t="shared" si="163"/>
        <v/>
      </c>
      <c r="EP71" s="11" t="str">
        <f t="shared" si="164"/>
        <v/>
      </c>
      <c r="EQ71" s="7" t="str">
        <f t="shared" si="165"/>
        <v/>
      </c>
      <c r="ER71" s="9" t="str">
        <f t="shared" si="166"/>
        <v/>
      </c>
      <c r="ES71" s="24" t="str">
        <f t="shared" si="167"/>
        <v/>
      </c>
      <c r="ET71" s="7" t="str">
        <f t="shared" si="168"/>
        <v/>
      </c>
      <c r="EU71" s="12" t="str">
        <f t="shared" si="169"/>
        <v/>
      </c>
      <c r="EV71" s="337" t="str">
        <f t="shared" si="412"/>
        <v/>
      </c>
      <c r="EW71" s="11" t="str">
        <f t="shared" si="413"/>
        <v/>
      </c>
      <c r="EX71" s="7" t="str">
        <f t="shared" si="414"/>
        <v/>
      </c>
      <c r="EY71" s="8" t="str">
        <f t="shared" si="170"/>
        <v/>
      </c>
      <c r="EZ71" s="123" t="str">
        <f t="shared" si="171"/>
        <v/>
      </c>
      <c r="FA71" s="328" t="str">
        <f t="shared" si="415"/>
        <v/>
      </c>
      <c r="FB71" s="7" t="str">
        <f t="shared" si="416"/>
        <v/>
      </c>
      <c r="FC71" s="8" t="str">
        <f t="shared" si="417"/>
        <v/>
      </c>
      <c r="FD71" s="6" t="str">
        <f t="shared" si="418"/>
        <v/>
      </c>
      <c r="FE71" s="7" t="str">
        <f t="shared" si="419"/>
        <v/>
      </c>
      <c r="FF71" s="9" t="str">
        <f t="shared" si="172"/>
        <v/>
      </c>
      <c r="FG71" s="328" t="str">
        <f t="shared" si="420"/>
        <v/>
      </c>
      <c r="FH71" s="7" t="str">
        <f t="shared" si="421"/>
        <v/>
      </c>
      <c r="FI71" s="12" t="str">
        <f t="shared" si="422"/>
        <v/>
      </c>
      <c r="FJ71" s="547" t="str">
        <f t="shared" si="173"/>
        <v/>
      </c>
      <c r="FK71" s="6" t="str">
        <f t="shared" si="423"/>
        <v/>
      </c>
      <c r="FL71" s="7" t="str">
        <f t="shared" si="174"/>
        <v/>
      </c>
      <c r="FM71" s="10" t="str">
        <f t="shared" si="175"/>
        <v/>
      </c>
      <c r="FN71" s="11" t="str">
        <f t="shared" si="176"/>
        <v/>
      </c>
      <c r="FO71" s="12" t="str">
        <f t="shared" si="424"/>
        <v/>
      </c>
      <c r="FP71" s="545" t="str">
        <f t="shared" si="425"/>
        <v/>
      </c>
      <c r="FQ71" s="328" t="str">
        <f t="shared" si="205"/>
        <v/>
      </c>
      <c r="FR71" s="12" t="str">
        <f t="shared" si="177"/>
        <v/>
      </c>
      <c r="FS71" s="11" t="str">
        <f t="shared" si="178"/>
        <v/>
      </c>
      <c r="FT71" s="8" t="str">
        <f t="shared" si="179"/>
        <v/>
      </c>
      <c r="FU71" s="6" t="str">
        <f t="shared" si="180"/>
        <v/>
      </c>
      <c r="FV71" s="7" t="str">
        <f t="shared" si="181"/>
        <v/>
      </c>
      <c r="FW71" s="10" t="str">
        <f t="shared" si="206"/>
        <v/>
      </c>
      <c r="FX71" s="11" t="str">
        <f t="shared" si="207"/>
        <v/>
      </c>
      <c r="FY71" s="12" t="str">
        <f t="shared" si="426"/>
        <v/>
      </c>
      <c r="FZ71" s="545" t="str">
        <f t="shared" si="208"/>
        <v/>
      </c>
      <c r="GA71" s="372" t="str">
        <f t="shared" si="182"/>
        <v/>
      </c>
      <c r="GB71" s="46" t="str">
        <f t="shared" si="183"/>
        <v/>
      </c>
      <c r="GC71" s="47" t="str">
        <f t="shared" si="184"/>
        <v/>
      </c>
      <c r="GD71" s="578" t="str">
        <f t="shared" si="185"/>
        <v/>
      </c>
      <c r="GE71" s="585" t="str">
        <f t="shared" si="186"/>
        <v/>
      </c>
      <c r="GF71" s="634" t="str">
        <f t="shared" si="209"/>
        <v/>
      </c>
      <c r="GG71" s="553" t="str">
        <f t="shared" si="427"/>
        <v/>
      </c>
      <c r="GH71" s="554" t="str">
        <f t="shared" si="428"/>
        <v/>
      </c>
      <c r="GI71" s="549" t="str">
        <f t="shared" si="429"/>
        <v/>
      </c>
      <c r="GJ71" s="296" t="str">
        <f t="shared" si="187"/>
        <v/>
      </c>
      <c r="GK71" s="337" t="str">
        <f t="shared" si="430"/>
        <v/>
      </c>
      <c r="GL71" s="337" t="str">
        <f t="shared" si="188"/>
        <v/>
      </c>
      <c r="GM71" s="372" t="str">
        <f t="shared" si="210"/>
        <v/>
      </c>
      <c r="GN71" s="548" t="str">
        <f t="shared" si="189"/>
        <v/>
      </c>
      <c r="GO71" s="6" t="str">
        <f t="shared" si="190"/>
        <v/>
      </c>
      <c r="GP71" s="10" t="str">
        <f t="shared" si="211"/>
        <v/>
      </c>
      <c r="GQ71" s="372" t="str">
        <f t="shared" si="191"/>
        <v/>
      </c>
      <c r="GR71" s="697" t="str">
        <f t="shared" si="212"/>
        <v/>
      </c>
      <c r="GS71" s="637" t="str">
        <f t="shared" si="431"/>
        <v/>
      </c>
      <c r="GT71" s="638" t="str">
        <f t="shared" si="432"/>
        <v/>
      </c>
      <c r="GU71" s="639" t="str">
        <f t="shared" si="433"/>
        <v/>
      </c>
      <c r="GV71" s="638" t="str">
        <f t="shared" si="192"/>
        <v/>
      </c>
      <c r="GW71" s="640" t="str">
        <f t="shared" si="434"/>
        <v/>
      </c>
      <c r="GX71" s="641" t="str">
        <f t="shared" si="435"/>
        <v/>
      </c>
      <c r="GY71" s="639" t="str">
        <f t="shared" si="436"/>
        <v/>
      </c>
      <c r="GZ71" s="640" t="str">
        <f t="shared" si="437"/>
        <v/>
      </c>
      <c r="HA71" s="637" t="str">
        <f t="shared" si="438"/>
        <v/>
      </c>
      <c r="HB71" s="7" t="str">
        <f t="shared" si="193"/>
        <v/>
      </c>
      <c r="HC71" s="638" t="str">
        <f t="shared" si="194"/>
        <v/>
      </c>
      <c r="HD71" s="682" t="str">
        <f t="shared" si="195"/>
        <v/>
      </c>
      <c r="HE71" s="639" t="str">
        <f t="shared" si="439"/>
        <v/>
      </c>
      <c r="HF71" s="7" t="str">
        <f t="shared" si="440"/>
        <v/>
      </c>
      <c r="HG71" s="638" t="str">
        <f t="shared" si="196"/>
        <v/>
      </c>
      <c r="HH71" s="644" t="str">
        <f t="shared" si="197"/>
        <v/>
      </c>
      <c r="HI71" s="596" t="str">
        <f t="shared" si="198"/>
        <v/>
      </c>
      <c r="HK71" s="584" t="str">
        <f t="shared" si="217"/>
        <v/>
      </c>
      <c r="HL71" s="583" t="str">
        <f t="shared" si="441"/>
        <v/>
      </c>
      <c r="HM71" s="643" t="str">
        <f t="shared" si="444"/>
        <v/>
      </c>
      <c r="HN71" s="660" t="str">
        <f t="shared" si="444"/>
        <v/>
      </c>
      <c r="HO71" s="661" t="str">
        <f t="shared" si="444"/>
        <v/>
      </c>
      <c r="HP71" s="656" t="str">
        <f t="shared" si="444"/>
        <v/>
      </c>
      <c r="HQ71" s="660" t="str">
        <f t="shared" si="444"/>
        <v/>
      </c>
      <c r="HR71" s="671" t="str">
        <f t="shared" si="444"/>
        <v/>
      </c>
      <c r="HS71" s="655" t="str">
        <f t="shared" si="444"/>
        <v/>
      </c>
      <c r="HT71" s="648" t="str">
        <f t="shared" si="444"/>
        <v/>
      </c>
      <c r="HU71" s="649" t="str">
        <f t="shared" si="444"/>
        <v/>
      </c>
      <c r="HV71" s="650" t="str">
        <f t="shared" si="444"/>
        <v/>
      </c>
      <c r="HW71" s="648" t="str">
        <f t="shared" si="444"/>
        <v/>
      </c>
      <c r="HX71" s="649" t="str">
        <f t="shared" si="444"/>
        <v/>
      </c>
      <c r="HY71" s="650" t="str">
        <f t="shared" si="444"/>
        <v/>
      </c>
      <c r="HZ71" s="648" t="str">
        <f t="shared" si="444"/>
        <v/>
      </c>
      <c r="IA71" s="649" t="str">
        <f t="shared" si="444"/>
        <v/>
      </c>
      <c r="IB71" s="716"/>
    </row>
    <row r="72" spans="2:238" ht="15" customHeight="1" x14ac:dyDescent="0.25">
      <c r="B72" s="143"/>
      <c r="C72" s="144"/>
      <c r="D72" s="145"/>
      <c r="E72" s="146"/>
      <c r="F72" s="144"/>
      <c r="G72" s="147"/>
      <c r="H72" s="146"/>
      <c r="I72" s="144"/>
      <c r="J72" s="306"/>
      <c r="K72" s="699" t="str">
        <f t="shared" si="199"/>
        <v/>
      </c>
      <c r="M72" s="292" t="str">
        <f t="shared" si="46"/>
        <v/>
      </c>
      <c r="N72" s="24" t="str">
        <f t="shared" si="47"/>
        <v/>
      </c>
      <c r="O72" s="7" t="str">
        <f t="shared" si="48"/>
        <v/>
      </c>
      <c r="P72" s="12" t="str">
        <f t="shared" si="49"/>
        <v/>
      </c>
      <c r="Q72" s="11" t="str">
        <f t="shared" si="85"/>
        <v/>
      </c>
      <c r="R72" s="7" t="str">
        <f t="shared" si="50"/>
        <v/>
      </c>
      <c r="S72" s="8" t="str">
        <f t="shared" si="51"/>
        <v/>
      </c>
      <c r="T72" s="6" t="str">
        <f t="shared" si="52"/>
        <v/>
      </c>
      <c r="U72" s="7" t="str">
        <f t="shared" si="53"/>
        <v/>
      </c>
      <c r="V72" s="10" t="str">
        <f t="shared" si="86"/>
        <v/>
      </c>
      <c r="W72" s="11" t="str">
        <f t="shared" si="214"/>
        <v/>
      </c>
      <c r="X72" s="7" t="str">
        <f t="shared" si="54"/>
        <v/>
      </c>
      <c r="Y72" s="9" t="str">
        <f t="shared" si="213"/>
        <v/>
      </c>
      <c r="Z72" s="24" t="str">
        <f t="shared" si="87"/>
        <v/>
      </c>
      <c r="AA72" s="7" t="str">
        <f t="shared" si="55"/>
        <v/>
      </c>
      <c r="AB72" s="7" t="str">
        <f t="shared" si="56"/>
        <v/>
      </c>
      <c r="AC72" s="10" t="str">
        <f t="shared" si="57"/>
        <v/>
      </c>
      <c r="AD72" s="11" t="str">
        <f t="shared" si="88"/>
        <v/>
      </c>
      <c r="AE72" s="7" t="str">
        <f t="shared" si="58"/>
        <v/>
      </c>
      <c r="AF72" s="12" t="str">
        <f t="shared" si="59"/>
        <v/>
      </c>
      <c r="AG72" s="6" t="str">
        <f t="shared" si="60"/>
        <v/>
      </c>
      <c r="AH72" s="12" t="str">
        <f t="shared" si="61"/>
        <v/>
      </c>
      <c r="AI72" s="11" t="str">
        <f t="shared" si="62"/>
        <v/>
      </c>
      <c r="AJ72" s="8" t="str">
        <f t="shared" si="63"/>
        <v/>
      </c>
      <c r="AK72" s="6" t="str">
        <f t="shared" si="89"/>
        <v/>
      </c>
      <c r="AL72" s="7" t="str">
        <f t="shared" si="64"/>
        <v/>
      </c>
      <c r="AM72" s="8" t="str">
        <f t="shared" si="65"/>
        <v/>
      </c>
      <c r="AN72" s="6" t="str">
        <f t="shared" si="66"/>
        <v/>
      </c>
      <c r="AO72" s="10" t="str">
        <f t="shared" si="376"/>
        <v/>
      </c>
      <c r="AP72" s="11" t="str">
        <f t="shared" si="67"/>
        <v/>
      </c>
      <c r="AQ72" s="8" t="str">
        <f t="shared" si="200"/>
        <v/>
      </c>
      <c r="AS72" s="123" t="str">
        <f t="shared" si="90"/>
        <v/>
      </c>
      <c r="AT72" s="174" t="str">
        <f t="shared" si="68"/>
        <v/>
      </c>
      <c r="AV72" s="292" t="str">
        <f t="shared" si="91"/>
        <v/>
      </c>
      <c r="AW72" s="709"/>
      <c r="AX72" s="710"/>
      <c r="AY72" s="711"/>
      <c r="AZ72" s="565" t="str">
        <f t="shared" si="92"/>
        <v/>
      </c>
      <c r="BA72" s="564" t="str">
        <f t="shared" si="93"/>
        <v/>
      </c>
      <c r="BB72" s="372" t="str">
        <f t="shared" si="94"/>
        <v/>
      </c>
      <c r="BC72" s="11"/>
      <c r="BD72" s="7" t="str">
        <f t="shared" si="95"/>
        <v/>
      </c>
      <c r="BE72" s="8" t="str">
        <f t="shared" si="96"/>
        <v/>
      </c>
      <c r="BF72" s="6" t="str">
        <f t="shared" si="97"/>
        <v/>
      </c>
      <c r="BG72" s="7" t="str">
        <f t="shared" si="98"/>
        <v/>
      </c>
      <c r="BH72" s="12" t="str">
        <f t="shared" si="99"/>
        <v/>
      </c>
      <c r="BI72" s="11" t="str">
        <f t="shared" si="100"/>
        <v/>
      </c>
      <c r="BJ72" s="7" t="str">
        <f t="shared" si="101"/>
        <v/>
      </c>
      <c r="BK72" s="10" t="str">
        <f t="shared" si="102"/>
        <v/>
      </c>
      <c r="BL72" s="328" t="str">
        <f t="shared" si="103"/>
        <v/>
      </c>
      <c r="BM72" s="7" t="str">
        <f t="shared" si="104"/>
        <v/>
      </c>
      <c r="BN72" s="8" t="str">
        <f t="shared" si="105"/>
        <v/>
      </c>
      <c r="BO72" s="6" t="str">
        <f t="shared" si="106"/>
        <v/>
      </c>
      <c r="BP72" s="7" t="str">
        <f t="shared" si="107"/>
        <v/>
      </c>
      <c r="BQ72" s="7" t="str">
        <f t="shared" si="108"/>
        <v/>
      </c>
      <c r="BR72" s="8" t="str">
        <f t="shared" si="109"/>
        <v/>
      </c>
      <c r="BS72" s="6" t="str">
        <f t="shared" si="409"/>
        <v/>
      </c>
      <c r="BT72" s="7" t="str">
        <f t="shared" si="409"/>
        <v/>
      </c>
      <c r="BU72" s="12" t="str">
        <f t="shared" si="70"/>
        <v/>
      </c>
      <c r="BV72" s="11" t="str">
        <f t="shared" si="71"/>
        <v/>
      </c>
      <c r="BW72" s="7" t="str">
        <f t="shared" si="72"/>
        <v/>
      </c>
      <c r="BX72" s="10" t="str">
        <f t="shared" si="73"/>
        <v/>
      </c>
      <c r="BY72" s="328" t="str">
        <f t="shared" si="74"/>
        <v/>
      </c>
      <c r="BZ72" s="7" t="str">
        <f t="shared" si="75"/>
        <v/>
      </c>
      <c r="CA72" s="8" t="str">
        <f t="shared" si="76"/>
        <v/>
      </c>
      <c r="CB72" s="6" t="str">
        <f t="shared" si="110"/>
        <v/>
      </c>
      <c r="CC72" s="7" t="str">
        <f t="shared" si="111"/>
        <v/>
      </c>
      <c r="CD72" s="7" t="str">
        <f t="shared" si="112"/>
        <v/>
      </c>
      <c r="CE72" s="8" t="str">
        <f t="shared" si="113"/>
        <v/>
      </c>
      <c r="CF72" s="6" t="str">
        <f t="shared" si="114"/>
        <v/>
      </c>
      <c r="CG72" s="7" t="str">
        <f t="shared" si="115"/>
        <v/>
      </c>
      <c r="CH72" s="7" t="str">
        <f t="shared" si="116"/>
        <v/>
      </c>
      <c r="CI72" s="6" t="str">
        <f t="shared" si="77"/>
        <v/>
      </c>
      <c r="CJ72" s="7" t="str">
        <f t="shared" si="78"/>
        <v/>
      </c>
      <c r="CK72" s="10" t="str">
        <f t="shared" si="79"/>
        <v/>
      </c>
      <c r="CL72" s="328" t="str">
        <f t="shared" si="80"/>
        <v/>
      </c>
      <c r="CM72" s="7" t="str">
        <f t="shared" si="81"/>
        <v/>
      </c>
      <c r="CN72" s="8" t="str">
        <f t="shared" si="82"/>
        <v/>
      </c>
      <c r="CO72" s="296" t="str">
        <f t="shared" si="201"/>
        <v/>
      </c>
      <c r="CP72" s="6" t="str">
        <f t="shared" si="202"/>
        <v/>
      </c>
      <c r="CQ72" s="7" t="str">
        <f t="shared" si="203"/>
        <v/>
      </c>
      <c r="CR72" s="7" t="str">
        <f t="shared" si="117"/>
        <v/>
      </c>
      <c r="CS72" s="10" t="str">
        <f t="shared" si="118"/>
        <v/>
      </c>
      <c r="CT72" s="11" t="str">
        <f t="shared" si="119"/>
        <v/>
      </c>
      <c r="CU72" s="8" t="str">
        <f t="shared" si="120"/>
        <v/>
      </c>
      <c r="CV72" s="6" t="str">
        <f t="shared" si="204"/>
        <v/>
      </c>
      <c r="CW72" s="7" t="str">
        <f t="shared" si="121"/>
        <v/>
      </c>
      <c r="CX72" s="10" t="str">
        <f t="shared" si="122"/>
        <v/>
      </c>
      <c r="CY72" s="11" t="str">
        <f t="shared" si="123"/>
        <v/>
      </c>
      <c r="CZ72" s="7" t="str">
        <f t="shared" si="124"/>
        <v/>
      </c>
      <c r="DA72" s="8" t="str">
        <f t="shared" si="125"/>
        <v/>
      </c>
      <c r="DB72" s="6" t="str">
        <f t="shared" si="410"/>
        <v/>
      </c>
      <c r="DC72" s="7" t="str">
        <f t="shared" si="410"/>
        <v/>
      </c>
      <c r="DD72" s="12" t="str">
        <f t="shared" si="127"/>
        <v/>
      </c>
      <c r="DE72" s="11" t="str">
        <f t="shared" si="411"/>
        <v/>
      </c>
      <c r="DF72" s="7" t="str">
        <f t="shared" si="411"/>
        <v/>
      </c>
      <c r="DG72" s="12" t="str">
        <f t="shared" si="129"/>
        <v/>
      </c>
      <c r="DH72" s="174" t="str">
        <f t="shared" si="130"/>
        <v/>
      </c>
      <c r="DI72" s="6" t="str">
        <f t="shared" si="131"/>
        <v/>
      </c>
      <c r="DJ72" s="7" t="str">
        <f t="shared" si="132"/>
        <v/>
      </c>
      <c r="DK72" s="12" t="str">
        <f t="shared" si="133"/>
        <v/>
      </c>
      <c r="DL72" s="11" t="str">
        <f t="shared" si="134"/>
        <v/>
      </c>
      <c r="DM72" s="328" t="str">
        <f t="shared" si="135"/>
        <v/>
      </c>
      <c r="DN72" s="376" t="str">
        <f t="shared" si="136"/>
        <v/>
      </c>
      <c r="DO72" s="11" t="str">
        <f t="shared" si="137"/>
        <v/>
      </c>
      <c r="DP72" s="328" t="str">
        <f t="shared" si="138"/>
        <v/>
      </c>
      <c r="DQ72" s="13" t="str">
        <f t="shared" si="139"/>
        <v/>
      </c>
      <c r="DR72" s="328" t="str">
        <f t="shared" si="140"/>
        <v/>
      </c>
      <c r="DS72" s="7" t="str">
        <f t="shared" si="141"/>
        <v/>
      </c>
      <c r="DT72" s="7" t="str">
        <f t="shared" si="142"/>
        <v/>
      </c>
      <c r="DU72" s="7" t="str">
        <f t="shared" si="143"/>
        <v/>
      </c>
      <c r="DV72" s="7" t="str">
        <f t="shared" si="144"/>
        <v/>
      </c>
      <c r="DW72" s="7" t="str">
        <f t="shared" si="145"/>
        <v/>
      </c>
      <c r="DX72" s="296" t="str">
        <f t="shared" si="146"/>
        <v/>
      </c>
      <c r="DY72" s="11" t="str">
        <f t="shared" si="147"/>
        <v/>
      </c>
      <c r="DZ72" s="7" t="str">
        <f t="shared" si="148"/>
        <v/>
      </c>
      <c r="EA72" s="12" t="str">
        <f t="shared" si="149"/>
        <v/>
      </c>
      <c r="EB72" s="8" t="str">
        <f t="shared" si="150"/>
        <v/>
      </c>
      <c r="EC72" s="328" t="str">
        <f t="shared" si="151"/>
        <v/>
      </c>
      <c r="ED72" s="7" t="str">
        <f t="shared" si="152"/>
        <v/>
      </c>
      <c r="EE72" s="6" t="str">
        <f t="shared" si="153"/>
        <v/>
      </c>
      <c r="EF72" s="7" t="str">
        <f t="shared" si="154"/>
        <v/>
      </c>
      <c r="EG72" s="12" t="str">
        <f t="shared" si="155"/>
        <v/>
      </c>
      <c r="EH72" s="11" t="str">
        <f t="shared" si="156"/>
        <v/>
      </c>
      <c r="EI72" s="7" t="str">
        <f t="shared" si="157"/>
        <v/>
      </c>
      <c r="EJ72" s="8" t="str">
        <f t="shared" si="158"/>
        <v/>
      </c>
      <c r="EK72" s="491" t="str">
        <f t="shared" si="159"/>
        <v/>
      </c>
      <c r="EL72" s="493" t="str">
        <f t="shared" si="160"/>
        <v/>
      </c>
      <c r="EM72" s="6" t="str">
        <f t="shared" si="161"/>
        <v/>
      </c>
      <c r="EN72" s="7" t="str">
        <f t="shared" si="162"/>
        <v/>
      </c>
      <c r="EO72" s="12" t="str">
        <f t="shared" si="163"/>
        <v/>
      </c>
      <c r="EP72" s="11" t="str">
        <f t="shared" si="164"/>
        <v/>
      </c>
      <c r="EQ72" s="7" t="str">
        <f t="shared" si="165"/>
        <v/>
      </c>
      <c r="ER72" s="9" t="str">
        <f t="shared" si="166"/>
        <v/>
      </c>
      <c r="ES72" s="24" t="str">
        <f t="shared" si="167"/>
        <v/>
      </c>
      <c r="ET72" s="7" t="str">
        <f t="shared" si="168"/>
        <v/>
      </c>
      <c r="EU72" s="12" t="str">
        <f t="shared" si="169"/>
        <v/>
      </c>
      <c r="EV72" s="337" t="str">
        <f t="shared" si="412"/>
        <v/>
      </c>
      <c r="EW72" s="11" t="str">
        <f t="shared" si="413"/>
        <v/>
      </c>
      <c r="EX72" s="7" t="str">
        <f t="shared" si="414"/>
        <v/>
      </c>
      <c r="EY72" s="8" t="str">
        <f t="shared" si="170"/>
        <v/>
      </c>
      <c r="EZ72" s="123" t="str">
        <f t="shared" si="171"/>
        <v/>
      </c>
      <c r="FA72" s="328" t="str">
        <f t="shared" si="415"/>
        <v/>
      </c>
      <c r="FB72" s="7" t="str">
        <f t="shared" si="416"/>
        <v/>
      </c>
      <c r="FC72" s="8" t="str">
        <f t="shared" si="417"/>
        <v/>
      </c>
      <c r="FD72" s="6" t="str">
        <f t="shared" si="418"/>
        <v/>
      </c>
      <c r="FE72" s="7" t="str">
        <f t="shared" si="419"/>
        <v/>
      </c>
      <c r="FF72" s="9" t="str">
        <f t="shared" si="172"/>
        <v/>
      </c>
      <c r="FG72" s="328" t="str">
        <f t="shared" si="420"/>
        <v/>
      </c>
      <c r="FH72" s="7" t="str">
        <f t="shared" si="421"/>
        <v/>
      </c>
      <c r="FI72" s="12" t="str">
        <f t="shared" si="422"/>
        <v/>
      </c>
      <c r="FJ72" s="547" t="str">
        <f t="shared" si="173"/>
        <v/>
      </c>
      <c r="FK72" s="6" t="str">
        <f t="shared" si="423"/>
        <v/>
      </c>
      <c r="FL72" s="7" t="str">
        <f t="shared" si="174"/>
        <v/>
      </c>
      <c r="FM72" s="10" t="str">
        <f t="shared" si="175"/>
        <v/>
      </c>
      <c r="FN72" s="11" t="str">
        <f t="shared" si="176"/>
        <v/>
      </c>
      <c r="FO72" s="12" t="str">
        <f t="shared" si="424"/>
        <v/>
      </c>
      <c r="FP72" s="545" t="str">
        <f t="shared" si="425"/>
        <v/>
      </c>
      <c r="FQ72" s="328" t="str">
        <f t="shared" si="205"/>
        <v/>
      </c>
      <c r="FR72" s="12" t="str">
        <f t="shared" si="177"/>
        <v/>
      </c>
      <c r="FS72" s="11" t="str">
        <f t="shared" si="178"/>
        <v/>
      </c>
      <c r="FT72" s="8" t="str">
        <f t="shared" si="179"/>
        <v/>
      </c>
      <c r="FU72" s="6" t="str">
        <f t="shared" si="180"/>
        <v/>
      </c>
      <c r="FV72" s="7" t="str">
        <f t="shared" si="181"/>
        <v/>
      </c>
      <c r="FW72" s="10" t="str">
        <f t="shared" si="206"/>
        <v/>
      </c>
      <c r="FX72" s="11" t="str">
        <f t="shared" si="207"/>
        <v/>
      </c>
      <c r="FY72" s="12" t="str">
        <f t="shared" si="426"/>
        <v/>
      </c>
      <c r="FZ72" s="545" t="str">
        <f t="shared" si="208"/>
        <v/>
      </c>
      <c r="GA72" s="372" t="str">
        <f t="shared" si="182"/>
        <v/>
      </c>
      <c r="GB72" s="46" t="str">
        <f t="shared" si="183"/>
        <v/>
      </c>
      <c r="GC72" s="47" t="str">
        <f t="shared" si="184"/>
        <v/>
      </c>
      <c r="GD72" s="578" t="str">
        <f t="shared" si="185"/>
        <v/>
      </c>
      <c r="GE72" s="585" t="str">
        <f t="shared" si="186"/>
        <v/>
      </c>
      <c r="GF72" s="634" t="str">
        <f t="shared" si="209"/>
        <v/>
      </c>
      <c r="GG72" s="553" t="str">
        <f t="shared" si="427"/>
        <v/>
      </c>
      <c r="GH72" s="554" t="str">
        <f t="shared" si="428"/>
        <v/>
      </c>
      <c r="GI72" s="549" t="str">
        <f t="shared" si="429"/>
        <v/>
      </c>
      <c r="GJ72" s="296" t="str">
        <f t="shared" si="187"/>
        <v/>
      </c>
      <c r="GK72" s="337" t="str">
        <f t="shared" si="430"/>
        <v/>
      </c>
      <c r="GL72" s="337" t="str">
        <f t="shared" si="188"/>
        <v/>
      </c>
      <c r="GM72" s="372" t="str">
        <f t="shared" si="210"/>
        <v/>
      </c>
      <c r="GN72" s="548" t="str">
        <f t="shared" si="189"/>
        <v/>
      </c>
      <c r="GO72" s="6" t="str">
        <f t="shared" si="190"/>
        <v/>
      </c>
      <c r="GP72" s="10" t="str">
        <f t="shared" si="211"/>
        <v/>
      </c>
      <c r="GQ72" s="372" t="str">
        <f t="shared" si="191"/>
        <v/>
      </c>
      <c r="GR72" s="697" t="str">
        <f t="shared" si="212"/>
        <v/>
      </c>
      <c r="GS72" s="637" t="str">
        <f t="shared" si="431"/>
        <v/>
      </c>
      <c r="GT72" s="638" t="str">
        <f t="shared" si="432"/>
        <v/>
      </c>
      <c r="GU72" s="639" t="str">
        <f t="shared" si="433"/>
        <v/>
      </c>
      <c r="GV72" s="638" t="str">
        <f t="shared" si="192"/>
        <v/>
      </c>
      <c r="GW72" s="640" t="str">
        <f t="shared" si="434"/>
        <v/>
      </c>
      <c r="GX72" s="641" t="str">
        <f t="shared" si="435"/>
        <v/>
      </c>
      <c r="GY72" s="639" t="str">
        <f t="shared" si="436"/>
        <v/>
      </c>
      <c r="GZ72" s="640" t="str">
        <f t="shared" si="437"/>
        <v/>
      </c>
      <c r="HA72" s="637" t="str">
        <f t="shared" si="438"/>
        <v/>
      </c>
      <c r="HB72" s="7" t="str">
        <f t="shared" si="193"/>
        <v/>
      </c>
      <c r="HC72" s="638" t="str">
        <f t="shared" si="194"/>
        <v/>
      </c>
      <c r="HD72" s="682" t="str">
        <f t="shared" si="195"/>
        <v/>
      </c>
      <c r="HE72" s="639" t="str">
        <f t="shared" si="439"/>
        <v/>
      </c>
      <c r="HF72" s="7" t="str">
        <f t="shared" si="440"/>
        <v/>
      </c>
      <c r="HG72" s="638" t="str">
        <f t="shared" si="196"/>
        <v/>
      </c>
      <c r="HH72" s="644" t="str">
        <f t="shared" si="197"/>
        <v/>
      </c>
      <c r="HI72" s="596" t="str">
        <f t="shared" si="198"/>
        <v/>
      </c>
      <c r="HK72" s="584" t="str">
        <f t="shared" si="217"/>
        <v/>
      </c>
      <c r="HL72" s="583" t="str">
        <f t="shared" si="441"/>
        <v/>
      </c>
      <c r="HM72" s="643" t="str">
        <f t="shared" si="444"/>
        <v/>
      </c>
      <c r="HN72" s="660" t="str">
        <f t="shared" si="444"/>
        <v/>
      </c>
      <c r="HO72" s="661" t="str">
        <f t="shared" si="444"/>
        <v/>
      </c>
      <c r="HP72" s="656" t="str">
        <f t="shared" si="444"/>
        <v/>
      </c>
      <c r="HQ72" s="660" t="str">
        <f t="shared" si="444"/>
        <v/>
      </c>
      <c r="HR72" s="671" t="str">
        <f t="shared" si="444"/>
        <v/>
      </c>
      <c r="HS72" s="655" t="str">
        <f t="shared" si="444"/>
        <v/>
      </c>
      <c r="HT72" s="648" t="str">
        <f t="shared" si="444"/>
        <v/>
      </c>
      <c r="HU72" s="649" t="str">
        <f t="shared" si="444"/>
        <v/>
      </c>
      <c r="HV72" s="650" t="str">
        <f t="shared" si="444"/>
        <v/>
      </c>
      <c r="HW72" s="648" t="str">
        <f t="shared" si="444"/>
        <v/>
      </c>
      <c r="HX72" s="649" t="str">
        <f t="shared" si="444"/>
        <v/>
      </c>
      <c r="HY72" s="650" t="str">
        <f t="shared" si="444"/>
        <v/>
      </c>
      <c r="HZ72" s="648" t="str">
        <f t="shared" si="444"/>
        <v/>
      </c>
      <c r="IA72" s="649" t="str">
        <f t="shared" si="444"/>
        <v/>
      </c>
      <c r="IB72" s="716"/>
    </row>
    <row r="73" spans="2:238" s="35" customFormat="1" ht="15" customHeight="1" x14ac:dyDescent="0.25">
      <c r="B73" s="143"/>
      <c r="C73" s="144"/>
      <c r="D73" s="145"/>
      <c r="E73" s="146"/>
      <c r="F73" s="144"/>
      <c r="G73" s="147"/>
      <c r="H73" s="146"/>
      <c r="I73" s="144"/>
      <c r="J73" s="306"/>
      <c r="K73" s="699" t="str">
        <f t="shared" si="199"/>
        <v/>
      </c>
      <c r="M73" s="292" t="str">
        <f>IF(J73="","",J73)</f>
        <v/>
      </c>
      <c r="N73" s="24" t="str">
        <f>IF(M73="","",B73)</f>
        <v/>
      </c>
      <c r="O73" s="7" t="str">
        <f>IF(M73="","",C73)</f>
        <v/>
      </c>
      <c r="P73" s="12" t="str">
        <f>IF(M73="","",D73)</f>
        <v/>
      </c>
      <c r="Q73" s="11" t="str">
        <f t="shared" si="85"/>
        <v/>
      </c>
      <c r="R73" s="7" t="str">
        <f>IF(M73="","",SQRT(N73^2+O73^2))</f>
        <v/>
      </c>
      <c r="S73" s="8" t="str">
        <f>IF(M73="","",P73)</f>
        <v/>
      </c>
      <c r="T73" s="6" t="str">
        <f>IF(M73="","",X73*COS(RADIANS(W73)))</f>
        <v/>
      </c>
      <c r="U73" s="7" t="str">
        <f>IF(M73="","",X73*SIN(RADIANS(W73)))</f>
        <v/>
      </c>
      <c r="V73" s="10" t="str">
        <f>IF(M73="","",Y73)</f>
        <v/>
      </c>
      <c r="W73" s="11" t="str">
        <f t="shared" si="214"/>
        <v/>
      </c>
      <c r="X73" s="7" t="str">
        <f>IF(M73="","",R73)</f>
        <v/>
      </c>
      <c r="Y73" s="9" t="str">
        <f t="shared" si="213"/>
        <v/>
      </c>
      <c r="Z73" s="24" t="str">
        <f>IF(M73="","",-E73)</f>
        <v/>
      </c>
      <c r="AA73" s="7" t="str">
        <f>IF(M73="","",-F73)</f>
        <v/>
      </c>
      <c r="AB73" s="7" t="str">
        <f>IF(M73="","",-G73)</f>
        <v/>
      </c>
      <c r="AC73" s="10" t="str">
        <f>IF(M73="","",SQRT(Z73^2+AA73^2+AB73^2))</f>
        <v/>
      </c>
      <c r="AD73" s="11" t="str">
        <f>IF(M73="","",Z73*(1/SQRT(Z73^2+AA73^2+AB73^2)))</f>
        <v/>
      </c>
      <c r="AE73" s="7" t="str">
        <f>IF(M73="","",AA73*(1/SQRT(Z73^2+AA73^2+AB73^2)))</f>
        <v/>
      </c>
      <c r="AF73" s="12" t="str">
        <f>IF(M73="","",AB73*(1/SQRT(Z73^2+AA73^2+AB73^2)))</f>
        <v/>
      </c>
      <c r="AG73" s="6" t="str">
        <f>IF(M73="","",DEGREES(ATAN2(-AF73,AE73)))</f>
        <v/>
      </c>
      <c r="AH73" s="12" t="str">
        <f>IF(M73="","",DEGREES(ACOS(AD73)))</f>
        <v/>
      </c>
      <c r="AI73" s="11" t="str">
        <f>IF(M73="","",DEGREES(-ACOS(-AF73)))</f>
        <v/>
      </c>
      <c r="AJ73" s="8" t="str">
        <f>IF(M73="","",DEGREES(ATAN2(-AE73,AD73)))</f>
        <v/>
      </c>
      <c r="AK73" s="6" t="str">
        <f>IF(M73="","",(COS(RADIANS((90-$Q$8)-W73))*AD73)+(-SIN(RADIANS((90-$Q$8)-W73))*AE73))</f>
        <v/>
      </c>
      <c r="AL73" s="7" t="str">
        <f>IF(M73="","",(SIN(RADIANS((90-$Q$8)-W73))*AD73)+(COS(RADIANS((90-$Q$8)-W73))*AE73))</f>
        <v/>
      </c>
      <c r="AM73" s="8" t="str">
        <f>IF(M73="","",AF73)</f>
        <v/>
      </c>
      <c r="AN73" s="6" t="str">
        <f>IF(M73="","",DEGREES(ATAN2(-AM73,AL73)))</f>
        <v/>
      </c>
      <c r="AO73" s="10" t="str">
        <f t="shared" si="376"/>
        <v/>
      </c>
      <c r="AP73" s="11" t="str">
        <f>IF(M73="","",DEGREES(ATAN2(AK73,AL73)))</f>
        <v/>
      </c>
      <c r="AQ73" s="8" t="str">
        <f t="shared" si="200"/>
        <v/>
      </c>
      <c r="AS73" s="123" t="str">
        <f t="shared" si="90"/>
        <v/>
      </c>
      <c r="AT73" s="174" t="str">
        <f>IF(M73="","",Y73+(((AS73-$AS$9)*$AS$6)*-1))</f>
        <v/>
      </c>
      <c r="AV73" s="292" t="str">
        <f t="shared" si="91"/>
        <v/>
      </c>
      <c r="AW73" s="709"/>
      <c r="AX73" s="710"/>
      <c r="AY73" s="711"/>
      <c r="AZ73" s="565" t="str">
        <f t="shared" si="92"/>
        <v/>
      </c>
      <c r="BA73" s="564" t="str">
        <f t="shared" si="93"/>
        <v/>
      </c>
      <c r="BB73" s="372" t="str">
        <f t="shared" si="94"/>
        <v/>
      </c>
      <c r="BC73" s="11"/>
      <c r="BD73" s="7" t="str">
        <f t="shared" si="95"/>
        <v/>
      </c>
      <c r="BE73" s="8" t="str">
        <f t="shared" si="96"/>
        <v/>
      </c>
      <c r="BF73" s="6" t="str">
        <f t="shared" si="97"/>
        <v/>
      </c>
      <c r="BG73" s="7" t="str">
        <f t="shared" si="98"/>
        <v/>
      </c>
      <c r="BH73" s="12" t="str">
        <f t="shared" si="99"/>
        <v/>
      </c>
      <c r="BI73" s="11" t="str">
        <f t="shared" si="100"/>
        <v/>
      </c>
      <c r="BJ73" s="7" t="str">
        <f t="shared" si="101"/>
        <v/>
      </c>
      <c r="BK73" s="10" t="str">
        <f t="shared" si="102"/>
        <v/>
      </c>
      <c r="BL73" s="328" t="str">
        <f t="shared" si="103"/>
        <v/>
      </c>
      <c r="BM73" s="7" t="str">
        <f t="shared" si="104"/>
        <v/>
      </c>
      <c r="BN73" s="8" t="str">
        <f t="shared" si="105"/>
        <v/>
      </c>
      <c r="BO73" s="6" t="str">
        <f t="shared" si="106"/>
        <v/>
      </c>
      <c r="BP73" s="7" t="str">
        <f t="shared" si="107"/>
        <v/>
      </c>
      <c r="BQ73" s="7" t="str">
        <f t="shared" si="108"/>
        <v/>
      </c>
      <c r="BR73" s="8" t="str">
        <f t="shared" si="109"/>
        <v/>
      </c>
      <c r="BS73" s="6" t="str">
        <f t="shared" si="409"/>
        <v/>
      </c>
      <c r="BT73" s="7" t="str">
        <f t="shared" si="409"/>
        <v/>
      </c>
      <c r="BU73" s="12" t="str">
        <f t="shared" si="70"/>
        <v/>
      </c>
      <c r="BV73" s="11" t="str">
        <f t="shared" si="71"/>
        <v/>
      </c>
      <c r="BW73" s="7" t="str">
        <f t="shared" si="72"/>
        <v/>
      </c>
      <c r="BX73" s="10" t="str">
        <f t="shared" si="73"/>
        <v/>
      </c>
      <c r="BY73" s="328" t="str">
        <f t="shared" si="74"/>
        <v/>
      </c>
      <c r="BZ73" s="7" t="str">
        <f t="shared" si="75"/>
        <v/>
      </c>
      <c r="CA73" s="8" t="str">
        <f t="shared" si="76"/>
        <v/>
      </c>
      <c r="CB73" s="6" t="str">
        <f t="shared" si="110"/>
        <v/>
      </c>
      <c r="CC73" s="7" t="str">
        <f t="shared" si="111"/>
        <v/>
      </c>
      <c r="CD73" s="7" t="str">
        <f t="shared" si="112"/>
        <v/>
      </c>
      <c r="CE73" s="8" t="str">
        <f t="shared" si="113"/>
        <v/>
      </c>
      <c r="CF73" s="6" t="str">
        <f t="shared" si="114"/>
        <v/>
      </c>
      <c r="CG73" s="7" t="str">
        <f t="shared" si="115"/>
        <v/>
      </c>
      <c r="CH73" s="7" t="str">
        <f t="shared" si="116"/>
        <v/>
      </c>
      <c r="CI73" s="6" t="str">
        <f t="shared" si="77"/>
        <v/>
      </c>
      <c r="CJ73" s="7" t="str">
        <f t="shared" si="78"/>
        <v/>
      </c>
      <c r="CK73" s="10" t="str">
        <f t="shared" si="79"/>
        <v/>
      </c>
      <c r="CL73" s="328" t="str">
        <f t="shared" si="80"/>
        <v/>
      </c>
      <c r="CM73" s="7" t="str">
        <f t="shared" si="81"/>
        <v/>
      </c>
      <c r="CN73" s="8" t="str">
        <f t="shared" si="82"/>
        <v/>
      </c>
      <c r="CO73" s="296" t="str">
        <f t="shared" si="201"/>
        <v/>
      </c>
      <c r="CP73" s="6" t="str">
        <f t="shared" si="202"/>
        <v/>
      </c>
      <c r="CQ73" s="7" t="str">
        <f t="shared" si="203"/>
        <v/>
      </c>
      <c r="CR73" s="7" t="str">
        <f t="shared" si="117"/>
        <v/>
      </c>
      <c r="CS73" s="10" t="str">
        <f t="shared" si="118"/>
        <v/>
      </c>
      <c r="CT73" s="11" t="str">
        <f t="shared" si="119"/>
        <v/>
      </c>
      <c r="CU73" s="8" t="str">
        <f t="shared" si="120"/>
        <v/>
      </c>
      <c r="CV73" s="6" t="str">
        <f t="shared" si="204"/>
        <v/>
      </c>
      <c r="CW73" s="7" t="str">
        <f t="shared" si="121"/>
        <v/>
      </c>
      <c r="CX73" s="10" t="str">
        <f t="shared" si="122"/>
        <v/>
      </c>
      <c r="CY73" s="11" t="str">
        <f t="shared" si="123"/>
        <v/>
      </c>
      <c r="CZ73" s="7" t="str">
        <f t="shared" si="124"/>
        <v/>
      </c>
      <c r="DA73" s="8" t="str">
        <f t="shared" si="125"/>
        <v/>
      </c>
      <c r="DB73" s="6" t="str">
        <f t="shared" si="410"/>
        <v/>
      </c>
      <c r="DC73" s="7" t="str">
        <f t="shared" si="410"/>
        <v/>
      </c>
      <c r="DD73" s="12" t="str">
        <f t="shared" si="127"/>
        <v/>
      </c>
      <c r="DE73" s="11" t="str">
        <f t="shared" si="411"/>
        <v/>
      </c>
      <c r="DF73" s="7" t="str">
        <f t="shared" si="411"/>
        <v/>
      </c>
      <c r="DG73" s="12" t="str">
        <f t="shared" si="129"/>
        <v/>
      </c>
      <c r="DH73" s="174" t="str">
        <f t="shared" si="130"/>
        <v/>
      </c>
      <c r="DI73" s="6" t="str">
        <f t="shared" si="131"/>
        <v/>
      </c>
      <c r="DJ73" s="7" t="str">
        <f t="shared" si="132"/>
        <v/>
      </c>
      <c r="DK73" s="12" t="str">
        <f t="shared" si="133"/>
        <v/>
      </c>
      <c r="DL73" s="11" t="str">
        <f t="shared" si="134"/>
        <v/>
      </c>
      <c r="DM73" s="328" t="str">
        <f t="shared" si="135"/>
        <v/>
      </c>
      <c r="DN73" s="376" t="str">
        <f t="shared" si="136"/>
        <v/>
      </c>
      <c r="DO73" s="11" t="str">
        <f t="shared" si="137"/>
        <v/>
      </c>
      <c r="DP73" s="328" t="str">
        <f t="shared" si="138"/>
        <v/>
      </c>
      <c r="DQ73" s="13" t="str">
        <f t="shared" si="139"/>
        <v/>
      </c>
      <c r="DR73" s="328" t="str">
        <f t="shared" si="140"/>
        <v/>
      </c>
      <c r="DS73" s="7" t="str">
        <f t="shared" si="141"/>
        <v/>
      </c>
      <c r="DT73" s="7" t="str">
        <f t="shared" si="142"/>
        <v/>
      </c>
      <c r="DU73" s="7" t="str">
        <f t="shared" si="143"/>
        <v/>
      </c>
      <c r="DV73" s="7" t="str">
        <f t="shared" si="144"/>
        <v/>
      </c>
      <c r="DW73" s="7" t="str">
        <f t="shared" si="145"/>
        <v/>
      </c>
      <c r="DX73" s="296" t="str">
        <f t="shared" si="146"/>
        <v/>
      </c>
      <c r="DY73" s="11" t="str">
        <f t="shared" si="147"/>
        <v/>
      </c>
      <c r="DZ73" s="7" t="str">
        <f t="shared" si="148"/>
        <v/>
      </c>
      <c r="EA73" s="12" t="str">
        <f t="shared" si="149"/>
        <v/>
      </c>
      <c r="EB73" s="8" t="str">
        <f t="shared" si="150"/>
        <v/>
      </c>
      <c r="EC73" s="328" t="str">
        <f t="shared" si="151"/>
        <v/>
      </c>
      <c r="ED73" s="7" t="str">
        <f t="shared" si="152"/>
        <v/>
      </c>
      <c r="EE73" s="6" t="str">
        <f t="shared" si="153"/>
        <v/>
      </c>
      <c r="EF73" s="7" t="str">
        <f t="shared" si="154"/>
        <v/>
      </c>
      <c r="EG73" s="12" t="str">
        <f t="shared" si="155"/>
        <v/>
      </c>
      <c r="EH73" s="11" t="str">
        <f t="shared" si="156"/>
        <v/>
      </c>
      <c r="EI73" s="7" t="str">
        <f t="shared" si="157"/>
        <v/>
      </c>
      <c r="EJ73" s="8" t="str">
        <f t="shared" si="158"/>
        <v/>
      </c>
      <c r="EK73" s="491" t="str">
        <f t="shared" si="159"/>
        <v/>
      </c>
      <c r="EL73" s="493" t="str">
        <f t="shared" si="160"/>
        <v/>
      </c>
      <c r="EM73" s="6" t="str">
        <f t="shared" si="161"/>
        <v/>
      </c>
      <c r="EN73" s="7" t="str">
        <f t="shared" si="162"/>
        <v/>
      </c>
      <c r="EO73" s="12" t="str">
        <f t="shared" si="163"/>
        <v/>
      </c>
      <c r="EP73" s="11" t="str">
        <f t="shared" si="164"/>
        <v/>
      </c>
      <c r="EQ73" s="7" t="str">
        <f t="shared" si="165"/>
        <v/>
      </c>
      <c r="ER73" s="9" t="str">
        <f t="shared" si="166"/>
        <v/>
      </c>
      <c r="ES73" s="24" t="str">
        <f t="shared" si="167"/>
        <v/>
      </c>
      <c r="ET73" s="7" t="str">
        <f t="shared" si="168"/>
        <v/>
      </c>
      <c r="EU73" s="12" t="str">
        <f t="shared" si="169"/>
        <v/>
      </c>
      <c r="EV73" s="337" t="str">
        <f t="shared" ref="EV73:EV104" si="445">IF(ISNUMBER($AV73),IF(($EV$1-EP73)&lt;0,(360+($EV$1-EP73)),($EV$1-EP73)),"")</f>
        <v/>
      </c>
      <c r="EW73" s="11" t="str">
        <f t="shared" ref="EW73:EW104" si="446">IF(ISNUMBER($AV73),(COS(RADIANS($EV73))*ES73)+(-SIN(RADIANS($EV73))*ET73),"")</f>
        <v/>
      </c>
      <c r="EX73" s="7" t="str">
        <f t="shared" ref="EX73:EX104" si="447">IF(ISNUMBER($AV73),(SIN(RADIANS($EV73))*ES73)+(COS(RADIANS($EV73))*ET73),"")</f>
        <v/>
      </c>
      <c r="EY73" s="8" t="str">
        <f t="shared" si="170"/>
        <v/>
      </c>
      <c r="EZ73" s="123" t="str">
        <f t="shared" si="171"/>
        <v/>
      </c>
      <c r="FA73" s="328" t="str">
        <f t="shared" ref="FA73:FA104" si="448">IF(ISNUMBER($AV73),SIN(RADIANS($EP73))*COS(RADIANS($EZ73)),"")</f>
        <v/>
      </c>
      <c r="FB73" s="7" t="str">
        <f t="shared" ref="FB73:FB104" si="449">IF(ISNUMBER($AV73),-1*COS(RADIANS($EP73))*COS(RADIANS($EZ73)),"")</f>
        <v/>
      </c>
      <c r="FC73" s="8" t="str">
        <f t="shared" ref="FC73:FC104" si="450">IF(ISNUMBER($AV73),-1*SIN(RADIANS($EZ73)),"")</f>
        <v/>
      </c>
      <c r="FD73" s="6" t="str">
        <f t="shared" ref="FD73:FD104" si="451">IF(ISNUMBER($AV73),(COS(RADIANS($EV73))*FA73)+(-SIN(RADIANS($EV73))*FB73),"")</f>
        <v/>
      </c>
      <c r="FE73" s="7" t="str">
        <f t="shared" ref="FE73:FE104" si="452">IF(ISNUMBER($AV73),(SIN(RADIANS($EV73))*FA73)+(COS(RADIANS($EV73))*FB73),"")</f>
        <v/>
      </c>
      <c r="FF73" s="9" t="str">
        <f t="shared" si="172"/>
        <v/>
      </c>
      <c r="FG73" s="328" t="str">
        <f t="shared" ref="FG73:FG104" si="453">IF(ISNUMBER($AV73),EW73-FD73,"")</f>
        <v/>
      </c>
      <c r="FH73" s="7" t="str">
        <f t="shared" ref="FH73:FH104" si="454">IF(ISNUMBER($AV73),EX73-FE73,"")</f>
        <v/>
      </c>
      <c r="FI73" s="12" t="str">
        <f t="shared" ref="FI73:FI104" si="455">IF(ISNUMBER($AV73),EY73-FF73,"")</f>
        <v/>
      </c>
      <c r="FJ73" s="547" t="str">
        <f t="shared" si="173"/>
        <v/>
      </c>
      <c r="FK73" s="6" t="str">
        <f t="shared" ref="FK73:FK104" si="456">IF(ISNUMBER($AV73),SQRT(ES73^2+ET73^2),"")</f>
        <v/>
      </c>
      <c r="FL73" s="7" t="str">
        <f t="shared" si="174"/>
        <v/>
      </c>
      <c r="FM73" s="10" t="str">
        <f t="shared" si="175"/>
        <v/>
      </c>
      <c r="FN73" s="11" t="str">
        <f t="shared" si="176"/>
        <v/>
      </c>
      <c r="FO73" s="12" t="str">
        <f t="shared" ref="FO73:FO104" si="457">IF(ISNUMBER($AV73),IF(SQRT((EM73+(ES73/SQRT(ES73^2+(ET73/SQRT(ES73^2+ET73^2))^2)))^2+(EN73+ET73)^2)&gt;SQRT((EM73+(FA73/SQRT(FA73^2+FB73^2)))^2+(EN73+(FB73/SQRT(FA73^2+FB73^2)))^2),-1,1),"")</f>
        <v/>
      </c>
      <c r="FP73" s="545" t="str">
        <f>IF(ISNUMBER($AV73),FN73*FO73,"")</f>
        <v/>
      </c>
      <c r="FQ73" s="328" t="str">
        <f t="shared" si="205"/>
        <v/>
      </c>
      <c r="FR73" s="12" t="str">
        <f t="shared" si="177"/>
        <v/>
      </c>
      <c r="FS73" s="11" t="str">
        <f t="shared" si="178"/>
        <v/>
      </c>
      <c r="FT73" s="8" t="str">
        <f t="shared" si="179"/>
        <v/>
      </c>
      <c r="FU73" s="6" t="str">
        <f t="shared" si="180"/>
        <v/>
      </c>
      <c r="FV73" s="7" t="str">
        <f t="shared" si="181"/>
        <v/>
      </c>
      <c r="FW73" s="10" t="str">
        <f t="shared" si="206"/>
        <v/>
      </c>
      <c r="FX73" s="11" t="str">
        <f t="shared" si="207"/>
        <v/>
      </c>
      <c r="FY73" s="12" t="str">
        <f t="shared" ref="FY73:FY104" si="458">IF(ISNUMBER($AV73),IF(EU73&lt;FC73,1,-1),"")</f>
        <v/>
      </c>
      <c r="FZ73" s="545" t="str">
        <f t="shared" si="208"/>
        <v/>
      </c>
      <c r="GA73" s="372" t="str">
        <f t="shared" si="182"/>
        <v/>
      </c>
      <c r="GB73" s="46" t="str">
        <f t="shared" si="183"/>
        <v/>
      </c>
      <c r="GC73" s="47" t="str">
        <f t="shared" si="184"/>
        <v/>
      </c>
      <c r="GD73" s="578" t="str">
        <f t="shared" si="185"/>
        <v/>
      </c>
      <c r="GE73" s="585" t="str">
        <f t="shared" si="186"/>
        <v/>
      </c>
      <c r="GF73" s="634" t="str">
        <f t="shared" si="209"/>
        <v/>
      </c>
      <c r="GG73" s="553" t="str">
        <f t="shared" ref="GG73:GG104" si="459">IF(ISNUMBER($AV73),ABS(GB73)/(ABS($GB73)+ABS($GC73)+ABS($GD73)),"")</f>
        <v/>
      </c>
      <c r="GH73" s="554" t="str">
        <f t="shared" ref="GH73:GH104" si="460">IF(ISNUMBER($AV73),ABS(GC73)/(ABS($GB73)+ABS($GC73)+ABS($GD73)),"")</f>
        <v/>
      </c>
      <c r="GI73" s="549" t="str">
        <f t="shared" ref="GI73:GI104" si="461">IF(ISNUMBER($AV73),ABS(GD73)/(ABS($GB73)+ABS($GC73)+ABS($GD73)),"")</f>
        <v/>
      </c>
      <c r="GJ73" s="296" t="str">
        <f t="shared" si="187"/>
        <v/>
      </c>
      <c r="GK73" s="337" t="str">
        <f t="shared" ref="GK73:GK104" si="462">IF(ISNUMBER($AV73),SQRT((2*PI()*$GJ73)^2+$AS$5^2)/12,"")</f>
        <v/>
      </c>
      <c r="GL73" s="337" t="str">
        <f t="shared" si="188"/>
        <v/>
      </c>
      <c r="GM73" s="372" t="str">
        <f t="shared" si="210"/>
        <v/>
      </c>
      <c r="GN73" s="548" t="str">
        <f t="shared" si="189"/>
        <v/>
      </c>
      <c r="GO73" s="6" t="str">
        <f t="shared" si="190"/>
        <v/>
      </c>
      <c r="GP73" s="10" t="str">
        <f t="shared" si="211"/>
        <v/>
      </c>
      <c r="GQ73" s="372" t="str">
        <f t="shared" si="191"/>
        <v/>
      </c>
      <c r="GR73" s="697" t="str">
        <f t="shared" si="212"/>
        <v/>
      </c>
      <c r="GS73" s="637" t="str">
        <f t="shared" ref="GS73:GS104" si="463">IF(ISNUMBER($AV73),GU73/GH73*GG73,"")</f>
        <v/>
      </c>
      <c r="GT73" s="638" t="str">
        <f t="shared" ref="GT73:GT104" si="464">IF(ISNUMBER($AV73),GS73/$GK73,"")</f>
        <v/>
      </c>
      <c r="GU73" s="639" t="str">
        <f t="shared" ref="GU73:GU104" si="465">IF(ISNUMBER($AV73),$GV73*$GK73,"")</f>
        <v/>
      </c>
      <c r="GV73" s="638" t="str">
        <f t="shared" si="192"/>
        <v/>
      </c>
      <c r="GW73" s="640" t="str">
        <f t="shared" ref="GW73:GW104" si="466">IF(ISNUMBER($AV73),$GW$2,"")</f>
        <v/>
      </c>
      <c r="GX73" s="641" t="str">
        <f t="shared" ref="GX73:GX104" si="467">IF(ISNUMBER($AV73),($GJ73/12)*$GV73,"")</f>
        <v/>
      </c>
      <c r="GY73" s="639" t="str">
        <f t="shared" ref="GY73:GY104" si="468">IF(ISNUMBER($AV73),GU73/GH73*GI73,"")</f>
        <v/>
      </c>
      <c r="GZ73" s="640" t="str">
        <f t="shared" ref="GZ73:GZ104" si="469">IF(ISNUMBER($AV73),GY73/$GK73,"")</f>
        <v/>
      </c>
      <c r="HA73" s="637" t="str">
        <f t="shared" ref="HA73:HA104" si="470">IF(ISNUMBER($AV73),$FO73*$GS73,"")</f>
        <v/>
      </c>
      <c r="HB73" s="7" t="str">
        <f t="shared" si="193"/>
        <v/>
      </c>
      <c r="HC73" s="638" t="str">
        <f t="shared" si="194"/>
        <v/>
      </c>
      <c r="HD73" s="682" t="str">
        <f t="shared" si="195"/>
        <v/>
      </c>
      <c r="HE73" s="639" t="str">
        <f t="shared" ref="HE73:HE104" si="471">IF(ISNUMBER($AV73),$FY73*$GV73,"")</f>
        <v/>
      </c>
      <c r="HF73" s="7" t="str">
        <f t="shared" ref="HF73:HF104" si="472">IF(ISNUMBER($AV73),IF(($HB73+90)&lt;0,(360+($HB73+90)),($HB73+90)),"")</f>
        <v/>
      </c>
      <c r="HG73" s="638" t="str">
        <f t="shared" si="196"/>
        <v/>
      </c>
      <c r="HH73" s="644" t="str">
        <f t="shared" si="197"/>
        <v/>
      </c>
      <c r="HI73" s="596" t="str">
        <f t="shared" si="198"/>
        <v/>
      </c>
      <c r="HJ73" s="511"/>
      <c r="HK73" s="584" t="str">
        <f t="shared" si="217"/>
        <v/>
      </c>
      <c r="HL73" s="583" t="str">
        <f t="shared" si="441"/>
        <v/>
      </c>
      <c r="HM73" s="643" t="str">
        <f t="shared" si="444"/>
        <v/>
      </c>
      <c r="HN73" s="660" t="str">
        <f t="shared" si="444"/>
        <v/>
      </c>
      <c r="HO73" s="661" t="str">
        <f t="shared" si="444"/>
        <v/>
      </c>
      <c r="HP73" s="656" t="str">
        <f t="shared" si="444"/>
        <v/>
      </c>
      <c r="HQ73" s="660" t="str">
        <f t="shared" si="444"/>
        <v/>
      </c>
      <c r="HR73" s="671" t="str">
        <f t="shared" si="444"/>
        <v/>
      </c>
      <c r="HS73" s="655" t="str">
        <f t="shared" si="444"/>
        <v/>
      </c>
      <c r="HT73" s="648" t="str">
        <f t="shared" si="444"/>
        <v/>
      </c>
      <c r="HU73" s="649" t="str">
        <f t="shared" si="444"/>
        <v/>
      </c>
      <c r="HV73" s="650" t="str">
        <f t="shared" si="444"/>
        <v/>
      </c>
      <c r="HW73" s="648" t="str">
        <f t="shared" si="444"/>
        <v/>
      </c>
      <c r="HX73" s="649" t="str">
        <f t="shared" si="444"/>
        <v/>
      </c>
      <c r="HY73" s="650" t="str">
        <f t="shared" si="444"/>
        <v/>
      </c>
      <c r="HZ73" s="648" t="str">
        <f t="shared" si="444"/>
        <v/>
      </c>
      <c r="IA73" s="649" t="str">
        <f t="shared" si="444"/>
        <v/>
      </c>
      <c r="IB73" s="716"/>
      <c r="ID73" s="511"/>
    </row>
    <row r="74" spans="2:238" s="35" customFormat="1" ht="15" customHeight="1" x14ac:dyDescent="0.25">
      <c r="B74" s="143"/>
      <c r="C74" s="144"/>
      <c r="D74" s="145"/>
      <c r="E74" s="146"/>
      <c r="F74" s="144"/>
      <c r="G74" s="147"/>
      <c r="H74" s="146"/>
      <c r="I74" s="144"/>
      <c r="J74" s="306"/>
      <c r="K74" s="699" t="str">
        <f t="shared" si="199"/>
        <v/>
      </c>
      <c r="M74" s="292" t="str">
        <f>IF(J74="","",J74)</f>
        <v/>
      </c>
      <c r="N74" s="24" t="str">
        <f>IF(M74="","",B74)</f>
        <v/>
      </c>
      <c r="O74" s="7" t="str">
        <f>IF(M74="","",C74)</f>
        <v/>
      </c>
      <c r="P74" s="12" t="str">
        <f>IF(M74="","",D74)</f>
        <v/>
      </c>
      <c r="Q74" s="11" t="str">
        <f t="shared" ref="Q74:Q130" si="473">IF(M74="","",IF(DEGREES(ATAN2(N74,O74))&lt;0,DEGREES(ATAN2(N74,O74))+360,IF(DEGREES(ATAN2(N74,O74))&gt;360,DEGREES(ATAN2(N74,O74))-360,DEGREES(ATAN2(N74,O74)))))</f>
        <v/>
      </c>
      <c r="R74" s="7" t="str">
        <f>IF(M74="","",SQRT(N74^2+O74^2))</f>
        <v/>
      </c>
      <c r="S74" s="8" t="str">
        <f>IF(M74="","",P74)</f>
        <v/>
      </c>
      <c r="T74" s="6" t="str">
        <f>IF(M74="","",X74*COS(RADIANS(W74)))</f>
        <v/>
      </c>
      <c r="U74" s="7" t="str">
        <f>IF(M74="","",X74*SIN(RADIANS(W74)))</f>
        <v/>
      </c>
      <c r="V74" s="10" t="str">
        <f>IF(M74="","",Y74)</f>
        <v/>
      </c>
      <c r="W74" s="11" t="str">
        <f t="shared" si="214"/>
        <v/>
      </c>
      <c r="X74" s="7" t="str">
        <f>IF(M74="","",R74)</f>
        <v/>
      </c>
      <c r="Y74" s="9" t="str">
        <f t="shared" si="213"/>
        <v/>
      </c>
      <c r="Z74" s="24" t="str">
        <f>IF(M74="","",-E74)</f>
        <v/>
      </c>
      <c r="AA74" s="7" t="str">
        <f>IF(M74="","",-F74)</f>
        <v/>
      </c>
      <c r="AB74" s="7" t="str">
        <f>IF(M74="","",-G74)</f>
        <v/>
      </c>
      <c r="AC74" s="10" t="str">
        <f>IF(M74="","",SQRT(Z74^2+AA74^2+AB74^2))</f>
        <v/>
      </c>
      <c r="AD74" s="11" t="str">
        <f>IF(M74="","",Z74*(1/SQRT(Z74^2+AA74^2+AB74^2)))</f>
        <v/>
      </c>
      <c r="AE74" s="7" t="str">
        <f>IF(M74="","",AA74*(1/SQRT(Z74^2+AA74^2+AB74^2)))</f>
        <v/>
      </c>
      <c r="AF74" s="12" t="str">
        <f>IF(M74="","",AB74*(1/SQRT(Z74^2+AA74^2+AB74^2)))</f>
        <v/>
      </c>
      <c r="AG74" s="6" t="str">
        <f>IF(M74="","",DEGREES(ATAN2(-AF74,AE74)))</f>
        <v/>
      </c>
      <c r="AH74" s="12" t="str">
        <f>IF(M74="","",DEGREES(ACOS(AD74)))</f>
        <v/>
      </c>
      <c r="AI74" s="11" t="str">
        <f>IF(M74="","",DEGREES(-ACOS(-AF74)))</f>
        <v/>
      </c>
      <c r="AJ74" s="8" t="str">
        <f>IF(M74="","",DEGREES(ATAN2(-AE74,AD74)))</f>
        <v/>
      </c>
      <c r="AK74" s="6" t="str">
        <f>IF(M74="","",(COS(RADIANS((90-$Q$8)-W74))*AD74)+(-SIN(RADIANS((90-$Q$8)-W74))*AE74))</f>
        <v/>
      </c>
      <c r="AL74" s="7" t="str">
        <f>IF(M74="","",(SIN(RADIANS((90-$Q$8)-W74))*AD74)+(COS(RADIANS((90-$Q$8)-W74))*AE74))</f>
        <v/>
      </c>
      <c r="AM74" s="8" t="str">
        <f>IF(M74="","",AF74)</f>
        <v/>
      </c>
      <c r="AN74" s="6" t="str">
        <f>IF(M74="","",DEGREES(ATAN2(-AM74,AL74)))</f>
        <v/>
      </c>
      <c r="AO74" s="10" t="str">
        <f t="shared" si="376"/>
        <v/>
      </c>
      <c r="AP74" s="11" t="str">
        <f>IF(M74="","",DEGREES(ATAN2(AK74,AL74)))</f>
        <v/>
      </c>
      <c r="AQ74" s="8" t="str">
        <f t="shared" si="200"/>
        <v/>
      </c>
      <c r="AS74" s="123" t="str">
        <f t="shared" si="90"/>
        <v/>
      </c>
      <c r="AT74" s="174" t="str">
        <f>IF(M74="","",Y74+(((AS74-$AS$9)*$AS$6)*-1))</f>
        <v/>
      </c>
      <c r="AV74" s="292" t="str">
        <f t="shared" si="91"/>
        <v/>
      </c>
      <c r="AW74" s="709"/>
      <c r="AX74" s="710"/>
      <c r="AY74" s="711"/>
      <c r="AZ74" s="565" t="str">
        <f t="shared" si="92"/>
        <v/>
      </c>
      <c r="BA74" s="564" t="str">
        <f t="shared" si="93"/>
        <v/>
      </c>
      <c r="BB74" s="372" t="str">
        <f t="shared" ref="BB74:BB130" si="474">IF(ISNUMBER($AV74),$AX74-($AT74+$AS$5),"")</f>
        <v/>
      </c>
      <c r="BC74" s="11"/>
      <c r="BD74" s="7" t="str">
        <f t="shared" ref="BD74:BD130" si="475">IF(ISNUMBER(AV74),AW74,"")</f>
        <v/>
      </c>
      <c r="BE74" s="8" t="str">
        <f t="shared" ref="BE74:BE130" si="476">IF(ISNUMBER(AV74),Y74+BB74,"")</f>
        <v/>
      </c>
      <c r="BF74" s="6" t="str">
        <f t="shared" si="97"/>
        <v/>
      </c>
      <c r="BG74" s="7" t="str">
        <f t="shared" si="98"/>
        <v/>
      </c>
      <c r="BH74" s="12" t="str">
        <f t="shared" si="99"/>
        <v/>
      </c>
      <c r="BI74" s="11" t="str">
        <f t="shared" si="100"/>
        <v/>
      </c>
      <c r="BJ74" s="7" t="str">
        <f t="shared" si="101"/>
        <v/>
      </c>
      <c r="BK74" s="10" t="str">
        <f t="shared" si="102"/>
        <v/>
      </c>
      <c r="BL74" s="328" t="str">
        <f t="shared" si="103"/>
        <v/>
      </c>
      <c r="BM74" s="7" t="str">
        <f t="shared" si="104"/>
        <v/>
      </c>
      <c r="BN74" s="8" t="str">
        <f t="shared" si="105"/>
        <v/>
      </c>
      <c r="BO74" s="6" t="str">
        <f t="shared" si="106"/>
        <v/>
      </c>
      <c r="BP74" s="7" t="str">
        <f t="shared" si="107"/>
        <v/>
      </c>
      <c r="BQ74" s="7" t="str">
        <f t="shared" si="108"/>
        <v/>
      </c>
      <c r="BR74" s="8" t="str">
        <f t="shared" si="109"/>
        <v/>
      </c>
      <c r="BS74" s="6" t="str">
        <f t="shared" ref="BS74:BT105" si="477">IF(ISNUMBER($AV74),0,"")</f>
        <v/>
      </c>
      <c r="BT74" s="7" t="str">
        <f t="shared" si="477"/>
        <v/>
      </c>
      <c r="BU74" s="12" t="str">
        <f t="shared" ref="BU74:BU130" si="478">IF(ISNUMBER($AV74),$BE74,"")</f>
        <v/>
      </c>
      <c r="BV74" s="11" t="str">
        <f t="shared" ref="BV74:BV130" si="479">IF(ISNUMBER($AV74),0,"")</f>
        <v/>
      </c>
      <c r="BW74" s="7" t="str">
        <f t="shared" ref="BW74:BW130" si="480">IF(ISNUMBER($AV74),1,"")</f>
        <v/>
      </c>
      <c r="BX74" s="10" t="str">
        <f t="shared" ref="BX74:BX130" si="481">IF(ISNUMBER($AV74),$BE74,"")</f>
        <v/>
      </c>
      <c r="BY74" s="328" t="str">
        <f t="shared" ref="BY74:BY130" si="482">IF(ISNUMBER($AV74),1,"")</f>
        <v/>
      </c>
      <c r="BZ74" s="7" t="str">
        <f t="shared" ref="BZ74:BZ130" si="483">IF(ISNUMBER($AV74),0,"")</f>
        <v/>
      </c>
      <c r="CA74" s="8" t="str">
        <f t="shared" ref="CA74:CA130" si="484">IF(ISNUMBER($AV74),$BE74,"")</f>
        <v/>
      </c>
      <c r="CB74" s="6" t="str">
        <f t="shared" si="110"/>
        <v/>
      </c>
      <c r="CC74" s="7" t="str">
        <f t="shared" si="111"/>
        <v/>
      </c>
      <c r="CD74" s="7" t="str">
        <f t="shared" si="112"/>
        <v/>
      </c>
      <c r="CE74" s="8" t="str">
        <f t="shared" si="113"/>
        <v/>
      </c>
      <c r="CF74" s="6" t="str">
        <f t="shared" si="114"/>
        <v/>
      </c>
      <c r="CG74" s="7" t="str">
        <f t="shared" si="115"/>
        <v/>
      </c>
      <c r="CH74" s="7" t="str">
        <f t="shared" si="116"/>
        <v/>
      </c>
      <c r="CI74" s="6" t="str">
        <f t="shared" ref="CI74:CI130" si="485">IF(ISNUMBER($AV74),0,"")</f>
        <v/>
      </c>
      <c r="CJ74" s="7" t="str">
        <f t="shared" ref="CJ74:CJ130" si="486">IF(ISNUMBER($AV74),(CD74*BR74-BQ74*CE74)/(BQ74*CC74-CD74*BP74),"")</f>
        <v/>
      </c>
      <c r="CK74" s="10" t="str">
        <f t="shared" ref="CK74:CK130" si="487">IF(ISNUMBER($AV74),(CC74*BR74-BP74*CE74)/(-CC74*BQ74+BP74*CD74),"")</f>
        <v/>
      </c>
      <c r="CL74" s="328" t="str">
        <f t="shared" ref="CL74:CL130" si="488">IF(ISNUMBER($AV74),CI74+CF74,"")</f>
        <v/>
      </c>
      <c r="CM74" s="7" t="str">
        <f t="shared" ref="CM74:CM130" si="489">IF(ISNUMBER($AV74),CJ74+CG74,"")</f>
        <v/>
      </c>
      <c r="CN74" s="8" t="str">
        <f t="shared" ref="CN74:CN130" si="490">IF(ISNUMBER($AV74),CK74+CH74,"")</f>
        <v/>
      </c>
      <c r="CO74" s="296" t="str">
        <f t="shared" si="201"/>
        <v/>
      </c>
      <c r="CP74" s="6" t="str">
        <f t="shared" si="202"/>
        <v/>
      </c>
      <c r="CQ74" s="7" t="str">
        <f t="shared" si="203"/>
        <v/>
      </c>
      <c r="CR74" s="7" t="str">
        <f t="shared" si="117"/>
        <v/>
      </c>
      <c r="CS74" s="10" t="str">
        <f t="shared" si="118"/>
        <v/>
      </c>
      <c r="CT74" s="11" t="str">
        <f t="shared" si="119"/>
        <v/>
      </c>
      <c r="CU74" s="8" t="str">
        <f t="shared" si="120"/>
        <v/>
      </c>
      <c r="CV74" s="6" t="str">
        <f t="shared" si="204"/>
        <v/>
      </c>
      <c r="CW74" s="7" t="str">
        <f t="shared" si="121"/>
        <v/>
      </c>
      <c r="CX74" s="10" t="str">
        <f t="shared" si="122"/>
        <v/>
      </c>
      <c r="CY74" s="11" t="str">
        <f t="shared" si="123"/>
        <v/>
      </c>
      <c r="CZ74" s="7" t="str">
        <f t="shared" si="124"/>
        <v/>
      </c>
      <c r="DA74" s="8" t="str">
        <f t="shared" si="125"/>
        <v/>
      </c>
      <c r="DB74" s="6" t="str">
        <f t="shared" si="410"/>
        <v/>
      </c>
      <c r="DC74" s="7" t="str">
        <f t="shared" si="410"/>
        <v/>
      </c>
      <c r="DD74" s="12" t="str">
        <f t="shared" si="127"/>
        <v/>
      </c>
      <c r="DE74" s="11" t="str">
        <f t="shared" si="411"/>
        <v/>
      </c>
      <c r="DF74" s="7" t="str">
        <f t="shared" si="411"/>
        <v/>
      </c>
      <c r="DG74" s="12" t="str">
        <f t="shared" si="129"/>
        <v/>
      </c>
      <c r="DH74" s="174" t="str">
        <f t="shared" si="130"/>
        <v/>
      </c>
      <c r="DI74" s="6" t="str">
        <f t="shared" si="131"/>
        <v/>
      </c>
      <c r="DJ74" s="7" t="str">
        <f t="shared" si="132"/>
        <v/>
      </c>
      <c r="DK74" s="12" t="str">
        <f t="shared" si="133"/>
        <v/>
      </c>
      <c r="DL74" s="11" t="str">
        <f t="shared" si="134"/>
        <v/>
      </c>
      <c r="DM74" s="328" t="str">
        <f t="shared" si="135"/>
        <v/>
      </c>
      <c r="DN74" s="376" t="str">
        <f t="shared" si="136"/>
        <v/>
      </c>
      <c r="DO74" s="11" t="str">
        <f t="shared" si="137"/>
        <v/>
      </c>
      <c r="DP74" s="328" t="str">
        <f t="shared" si="138"/>
        <v/>
      </c>
      <c r="DQ74" s="13" t="str">
        <f t="shared" si="139"/>
        <v/>
      </c>
      <c r="DR74" s="328" t="str">
        <f t="shared" si="140"/>
        <v/>
      </c>
      <c r="DS74" s="7" t="str">
        <f t="shared" si="141"/>
        <v/>
      </c>
      <c r="DT74" s="7" t="str">
        <f t="shared" si="142"/>
        <v/>
      </c>
      <c r="DU74" s="7" t="str">
        <f t="shared" si="143"/>
        <v/>
      </c>
      <c r="DV74" s="7" t="str">
        <f t="shared" si="144"/>
        <v/>
      </c>
      <c r="DW74" s="7" t="str">
        <f t="shared" si="145"/>
        <v/>
      </c>
      <c r="DX74" s="296" t="str">
        <f t="shared" si="146"/>
        <v/>
      </c>
      <c r="DY74" s="11" t="str">
        <f t="shared" si="147"/>
        <v/>
      </c>
      <c r="DZ74" s="7" t="str">
        <f t="shared" si="148"/>
        <v/>
      </c>
      <c r="EA74" s="12" t="str">
        <f t="shared" si="149"/>
        <v/>
      </c>
      <c r="EB74" s="8" t="str">
        <f t="shared" si="150"/>
        <v/>
      </c>
      <c r="EC74" s="328" t="str">
        <f t="shared" si="151"/>
        <v/>
      </c>
      <c r="ED74" s="7" t="str">
        <f t="shared" si="152"/>
        <v/>
      </c>
      <c r="EE74" s="6" t="str">
        <f t="shared" si="153"/>
        <v/>
      </c>
      <c r="EF74" s="7" t="str">
        <f t="shared" si="154"/>
        <v/>
      </c>
      <c r="EG74" s="12" t="str">
        <f t="shared" si="155"/>
        <v/>
      </c>
      <c r="EH74" s="11" t="str">
        <f t="shared" si="156"/>
        <v/>
      </c>
      <c r="EI74" s="7" t="str">
        <f t="shared" si="157"/>
        <v/>
      </c>
      <c r="EJ74" s="8" t="str">
        <f t="shared" si="158"/>
        <v/>
      </c>
      <c r="EK74" s="491" t="str">
        <f t="shared" si="159"/>
        <v/>
      </c>
      <c r="EL74" s="493" t="str">
        <f t="shared" si="160"/>
        <v/>
      </c>
      <c r="EM74" s="6" t="str">
        <f t="shared" si="161"/>
        <v/>
      </c>
      <c r="EN74" s="7" t="str">
        <f t="shared" si="162"/>
        <v/>
      </c>
      <c r="EO74" s="12" t="str">
        <f t="shared" si="163"/>
        <v/>
      </c>
      <c r="EP74" s="11" t="str">
        <f t="shared" si="164"/>
        <v/>
      </c>
      <c r="EQ74" s="7" t="str">
        <f t="shared" si="165"/>
        <v/>
      </c>
      <c r="ER74" s="9" t="str">
        <f t="shared" si="166"/>
        <v/>
      </c>
      <c r="ES74" s="24" t="str">
        <f t="shared" si="167"/>
        <v/>
      </c>
      <c r="ET74" s="7" t="str">
        <f t="shared" si="168"/>
        <v/>
      </c>
      <c r="EU74" s="12" t="str">
        <f t="shared" si="169"/>
        <v/>
      </c>
      <c r="EV74" s="337" t="str">
        <f t="shared" si="445"/>
        <v/>
      </c>
      <c r="EW74" s="11" t="str">
        <f t="shared" si="446"/>
        <v/>
      </c>
      <c r="EX74" s="7" t="str">
        <f t="shared" si="447"/>
        <v/>
      </c>
      <c r="EY74" s="8" t="str">
        <f t="shared" si="170"/>
        <v/>
      </c>
      <c r="EZ74" s="123" t="str">
        <f t="shared" si="171"/>
        <v/>
      </c>
      <c r="FA74" s="328" t="str">
        <f t="shared" si="448"/>
        <v/>
      </c>
      <c r="FB74" s="7" t="str">
        <f t="shared" si="449"/>
        <v/>
      </c>
      <c r="FC74" s="8" t="str">
        <f t="shared" si="450"/>
        <v/>
      </c>
      <c r="FD74" s="6" t="str">
        <f t="shared" si="451"/>
        <v/>
      </c>
      <c r="FE74" s="7" t="str">
        <f t="shared" si="452"/>
        <v/>
      </c>
      <c r="FF74" s="9" t="str">
        <f t="shared" si="172"/>
        <v/>
      </c>
      <c r="FG74" s="328" t="str">
        <f t="shared" si="453"/>
        <v/>
      </c>
      <c r="FH74" s="7" t="str">
        <f t="shared" si="454"/>
        <v/>
      </c>
      <c r="FI74" s="12" t="str">
        <f t="shared" si="455"/>
        <v/>
      </c>
      <c r="FJ74" s="547" t="str">
        <f t="shared" si="173"/>
        <v/>
      </c>
      <c r="FK74" s="6" t="str">
        <f t="shared" si="456"/>
        <v/>
      </c>
      <c r="FL74" s="7" t="str">
        <f t="shared" ref="FL74:FL130" si="491">IF(ISNUMBER($AV74),SQRT(FA74^2+FB74^2),"")</f>
        <v/>
      </c>
      <c r="FM74" s="10" t="str">
        <f t="shared" ref="FM74:FM130" si="492">IF(ISNUMBER($AV74),SQRT(FG74^2+FH74^2),"")</f>
        <v/>
      </c>
      <c r="FN74" s="11" t="str">
        <f t="shared" ref="FN74:FN130" si="493">IF(ISNUMBER($AV74),DEGREES(ACOS((FK74^2+FL74^2-FM74^2)/(2*FK74*FL74))),"")</f>
        <v/>
      </c>
      <c r="FO74" s="12" t="str">
        <f t="shared" si="457"/>
        <v/>
      </c>
      <c r="FP74" s="545" t="str">
        <f t="shared" ref="FP74:FP130" si="494">IF(ISNUMBER($AV74),FN74*FO74,"")</f>
        <v/>
      </c>
      <c r="FQ74" s="328" t="str">
        <f t="shared" si="205"/>
        <v/>
      </c>
      <c r="FR74" s="12" t="str">
        <f t="shared" si="177"/>
        <v/>
      </c>
      <c r="FS74" s="11" t="str">
        <f t="shared" si="178"/>
        <v/>
      </c>
      <c r="FT74" s="8" t="str">
        <f t="shared" si="179"/>
        <v/>
      </c>
      <c r="FU74" s="6" t="str">
        <f t="shared" si="180"/>
        <v/>
      </c>
      <c r="FV74" s="7" t="str">
        <f t="shared" si="181"/>
        <v/>
      </c>
      <c r="FW74" s="10" t="str">
        <f t="shared" si="206"/>
        <v/>
      </c>
      <c r="FX74" s="11" t="str">
        <f t="shared" si="207"/>
        <v/>
      </c>
      <c r="FY74" s="12" t="str">
        <f t="shared" si="458"/>
        <v/>
      </c>
      <c r="FZ74" s="545" t="str">
        <f t="shared" si="208"/>
        <v/>
      </c>
      <c r="GA74" s="372" t="str">
        <f t="shared" si="182"/>
        <v/>
      </c>
      <c r="GB74" s="46" t="str">
        <f t="shared" si="183"/>
        <v/>
      </c>
      <c r="GC74" s="47" t="str">
        <f t="shared" si="184"/>
        <v/>
      </c>
      <c r="GD74" s="578" t="str">
        <f t="shared" si="185"/>
        <v/>
      </c>
      <c r="GE74" s="585" t="str">
        <f t="shared" si="186"/>
        <v/>
      </c>
      <c r="GF74" s="634" t="str">
        <f t="shared" si="209"/>
        <v/>
      </c>
      <c r="GG74" s="553" t="str">
        <f t="shared" si="459"/>
        <v/>
      </c>
      <c r="GH74" s="554" t="str">
        <f t="shared" si="460"/>
        <v/>
      </c>
      <c r="GI74" s="549" t="str">
        <f t="shared" si="461"/>
        <v/>
      </c>
      <c r="GJ74" s="296" t="str">
        <f t="shared" si="187"/>
        <v/>
      </c>
      <c r="GK74" s="337" t="str">
        <f t="shared" si="462"/>
        <v/>
      </c>
      <c r="GL74" s="337" t="str">
        <f t="shared" si="188"/>
        <v/>
      </c>
      <c r="GM74" s="372" t="str">
        <f t="shared" si="210"/>
        <v/>
      </c>
      <c r="GN74" s="548" t="str">
        <f t="shared" si="189"/>
        <v/>
      </c>
      <c r="GO74" s="6" t="str">
        <f t="shared" si="190"/>
        <v/>
      </c>
      <c r="GP74" s="10" t="str">
        <f t="shared" si="211"/>
        <v/>
      </c>
      <c r="GQ74" s="372" t="str">
        <f t="shared" si="191"/>
        <v/>
      </c>
      <c r="GR74" s="697" t="str">
        <f t="shared" si="212"/>
        <v/>
      </c>
      <c r="GS74" s="637" t="str">
        <f t="shared" si="463"/>
        <v/>
      </c>
      <c r="GT74" s="638" t="str">
        <f t="shared" si="464"/>
        <v/>
      </c>
      <c r="GU74" s="639" t="str">
        <f t="shared" si="465"/>
        <v/>
      </c>
      <c r="GV74" s="638" t="str">
        <f t="shared" si="192"/>
        <v/>
      </c>
      <c r="GW74" s="640" t="str">
        <f t="shared" si="466"/>
        <v/>
      </c>
      <c r="GX74" s="641" t="str">
        <f t="shared" si="467"/>
        <v/>
      </c>
      <c r="GY74" s="639" t="str">
        <f t="shared" si="468"/>
        <v/>
      </c>
      <c r="GZ74" s="640" t="str">
        <f t="shared" si="469"/>
        <v/>
      </c>
      <c r="HA74" s="637" t="str">
        <f t="shared" si="470"/>
        <v/>
      </c>
      <c r="HB74" s="7" t="str">
        <f t="shared" si="193"/>
        <v/>
      </c>
      <c r="HC74" s="638" t="str">
        <f t="shared" si="194"/>
        <v/>
      </c>
      <c r="HD74" s="682" t="str">
        <f t="shared" si="195"/>
        <v/>
      </c>
      <c r="HE74" s="639" t="str">
        <f t="shared" si="471"/>
        <v/>
      </c>
      <c r="HF74" s="7" t="str">
        <f t="shared" si="472"/>
        <v/>
      </c>
      <c r="HG74" s="638" t="str">
        <f t="shared" si="196"/>
        <v/>
      </c>
      <c r="HH74" s="644" t="str">
        <f t="shared" si="197"/>
        <v/>
      </c>
      <c r="HI74" s="596" t="str">
        <f t="shared" si="198"/>
        <v/>
      </c>
      <c r="HJ74" s="511"/>
      <c r="HK74" s="584" t="str">
        <f t="shared" si="217"/>
        <v/>
      </c>
      <c r="HL74" s="583" t="str">
        <f t="shared" ref="HL74:HL105" si="495">IFERROR(SMALL($GJ$9:$GJ$130,($HK73+1)),"")</f>
        <v/>
      </c>
      <c r="HM74" s="643" t="str">
        <f t="shared" si="444"/>
        <v/>
      </c>
      <c r="HN74" s="660" t="str">
        <f t="shared" si="444"/>
        <v/>
      </c>
      <c r="HO74" s="661" t="str">
        <f t="shared" si="444"/>
        <v/>
      </c>
      <c r="HP74" s="656" t="str">
        <f t="shared" si="444"/>
        <v/>
      </c>
      <c r="HQ74" s="660" t="str">
        <f t="shared" si="444"/>
        <v/>
      </c>
      <c r="HR74" s="671" t="str">
        <f t="shared" si="444"/>
        <v/>
      </c>
      <c r="HS74" s="655" t="str">
        <f t="shared" si="444"/>
        <v/>
      </c>
      <c r="HT74" s="648" t="str">
        <f t="shared" si="444"/>
        <v/>
      </c>
      <c r="HU74" s="649" t="str">
        <f t="shared" si="444"/>
        <v/>
      </c>
      <c r="HV74" s="650" t="str">
        <f t="shared" si="444"/>
        <v/>
      </c>
      <c r="HW74" s="648" t="str">
        <f t="shared" si="444"/>
        <v/>
      </c>
      <c r="HX74" s="649" t="str">
        <f t="shared" si="444"/>
        <v/>
      </c>
      <c r="HY74" s="650" t="str">
        <f t="shared" si="444"/>
        <v/>
      </c>
      <c r="HZ74" s="648" t="str">
        <f t="shared" si="444"/>
        <v/>
      </c>
      <c r="IA74" s="649" t="str">
        <f t="shared" si="444"/>
        <v/>
      </c>
      <c r="IB74" s="716"/>
      <c r="ID74" s="511"/>
    </row>
    <row r="75" spans="2:238" s="35" customFormat="1" ht="15" customHeight="1" x14ac:dyDescent="0.25">
      <c r="B75" s="143"/>
      <c r="C75" s="144"/>
      <c r="D75" s="145"/>
      <c r="E75" s="146"/>
      <c r="F75" s="144"/>
      <c r="G75" s="147"/>
      <c r="H75" s="146"/>
      <c r="I75" s="144"/>
      <c r="J75" s="306"/>
      <c r="K75" s="699" t="str">
        <f t="shared" si="199"/>
        <v/>
      </c>
      <c r="M75" s="292" t="str">
        <f>IF(J75="","",J75)</f>
        <v/>
      </c>
      <c r="N75" s="24" t="str">
        <f>IF(M75="","",B75)</f>
        <v/>
      </c>
      <c r="O75" s="7" t="str">
        <f>IF(M75="","",C75)</f>
        <v/>
      </c>
      <c r="P75" s="12" t="str">
        <f>IF(M75="","",D75)</f>
        <v/>
      </c>
      <c r="Q75" s="11" t="str">
        <f t="shared" si="473"/>
        <v/>
      </c>
      <c r="R75" s="7" t="str">
        <f>IF(M75="","",SQRT(N75^2+O75^2))</f>
        <v/>
      </c>
      <c r="S75" s="8" t="str">
        <f>IF(M75="","",P75)</f>
        <v/>
      </c>
      <c r="T75" s="6" t="str">
        <f>IF(M75="","",X75*COS(RADIANS(W75)))</f>
        <v/>
      </c>
      <c r="U75" s="7" t="str">
        <f>IF(M75="","",X75*SIN(RADIANS(W75)))</f>
        <v/>
      </c>
      <c r="V75" s="10" t="str">
        <f>IF(M75="","",Y75)</f>
        <v/>
      </c>
      <c r="W75" s="11" t="str">
        <f t="shared" si="214"/>
        <v/>
      </c>
      <c r="X75" s="7" t="str">
        <f>IF(M75="","",R75)</f>
        <v/>
      </c>
      <c r="Y75" s="9" t="str">
        <f t="shared" si="213"/>
        <v/>
      </c>
      <c r="Z75" s="24" t="str">
        <f>IF(M75="","",-E75)</f>
        <v/>
      </c>
      <c r="AA75" s="7" t="str">
        <f>IF(M75="","",-F75)</f>
        <v/>
      </c>
      <c r="AB75" s="7" t="str">
        <f>IF(M75="","",-G75)</f>
        <v/>
      </c>
      <c r="AC75" s="10" t="str">
        <f>IF(M75="","",SQRT(Z75^2+AA75^2+AB75^2))</f>
        <v/>
      </c>
      <c r="AD75" s="11" t="str">
        <f>IF(M75="","",Z75*(1/SQRT(Z75^2+AA75^2+AB75^2)))</f>
        <v/>
      </c>
      <c r="AE75" s="7" t="str">
        <f>IF(M75="","",AA75*(1/SQRT(Z75^2+AA75^2+AB75^2)))</f>
        <v/>
      </c>
      <c r="AF75" s="12" t="str">
        <f>IF(M75="","",AB75*(1/SQRT(Z75^2+AA75^2+AB75^2)))</f>
        <v/>
      </c>
      <c r="AG75" s="6" t="str">
        <f>IF(M75="","",DEGREES(ATAN2(-AF75,AE75)))</f>
        <v/>
      </c>
      <c r="AH75" s="12" t="str">
        <f>IF(M75="","",DEGREES(ACOS(AD75)))</f>
        <v/>
      </c>
      <c r="AI75" s="11" t="str">
        <f>IF(M75="","",DEGREES(-ACOS(-AF75)))</f>
        <v/>
      </c>
      <c r="AJ75" s="8" t="str">
        <f>IF(M75="","",DEGREES(ATAN2(-AE75,AD75)))</f>
        <v/>
      </c>
      <c r="AK75" s="6" t="str">
        <f>IF(M75="","",(COS(RADIANS((90-$Q$8)-W75))*AD75)+(-SIN(RADIANS((90-$Q$8)-W75))*AE75))</f>
        <v/>
      </c>
      <c r="AL75" s="7" t="str">
        <f>IF(M75="","",(SIN(RADIANS((90-$Q$8)-W75))*AD75)+(COS(RADIANS((90-$Q$8)-W75))*AE75))</f>
        <v/>
      </c>
      <c r="AM75" s="8" t="str">
        <f>IF(M75="","",AF75)</f>
        <v/>
      </c>
      <c r="AN75" s="6" t="str">
        <f>IF(M75="","",DEGREES(ATAN2(-AM75,AL75)))</f>
        <v/>
      </c>
      <c r="AO75" s="10" t="str">
        <f t="shared" si="376"/>
        <v/>
      </c>
      <c r="AP75" s="11" t="str">
        <f>IF(M75="","",DEGREES(ATAN2(AK75,AL75)))</f>
        <v/>
      </c>
      <c r="AQ75" s="8" t="str">
        <f t="shared" si="200"/>
        <v/>
      </c>
      <c r="AS75" s="123" t="str">
        <f t="shared" ref="AS75:AS130" si="496">IF(G75="","",IF(AND(W75&lt;(AS74+180),W75&gt;(AS74-180)),W75,IF(W75&gt;(AS74+180),W75-360,IF(W75&lt;(AS74-180),W75+360,"Error"))))</f>
        <v/>
      </c>
      <c r="AT75" s="174" t="str">
        <f>IF(M75="","",Y75+(((AS75-$AS$9)*$AS$6)*-1))</f>
        <v/>
      </c>
      <c r="AV75" s="292" t="str">
        <f t="shared" ref="AV75:AV130" si="497">IF(AND(ISNUMBER(VALUE(K75)),ISNUMBER(AW75),ISNUMBER(AX75),ISNUMBER(AY75),AY75&gt;=0.0001),$M75,"")</f>
        <v/>
      </c>
      <c r="AW75" s="709"/>
      <c r="AX75" s="710"/>
      <c r="AY75" s="711"/>
      <c r="AZ75" s="565" t="str">
        <f t="shared" ref="AZ75:AZ130" si="498">IF(ISNUMBER(AV75),$AY75*SQRT((2*PI()*$AW75)^2+$AS$5^2),"")</f>
        <v/>
      </c>
      <c r="BA75" s="564" t="str">
        <f t="shared" ref="BA75:BA130" si="499">IF(ISNUMBER(AV75),AZ75/$AZ$131,"")</f>
        <v/>
      </c>
      <c r="BB75" s="372" t="str">
        <f t="shared" si="474"/>
        <v/>
      </c>
      <c r="BC75" s="11"/>
      <c r="BD75" s="7" t="str">
        <f t="shared" si="475"/>
        <v/>
      </c>
      <c r="BE75" s="8" t="str">
        <f t="shared" si="476"/>
        <v/>
      </c>
      <c r="BF75" s="6" t="str">
        <f t="shared" ref="BF75:BF130" si="500">IF(ISNUMBER($AV75),N75,"")</f>
        <v/>
      </c>
      <c r="BG75" s="7" t="str">
        <f t="shared" ref="BG75:BG130" si="501">IF(ISNUMBER($AV75),O75,"")</f>
        <v/>
      </c>
      <c r="BH75" s="12" t="str">
        <f t="shared" ref="BH75:BH130" si="502">IF(ISNUMBER($AV75),P75,"")</f>
        <v/>
      </c>
      <c r="BI75" s="11" t="str">
        <f t="shared" ref="BI75:BI130" si="503">IF(ISNUMBER($AV75),BF75+0,"")</f>
        <v/>
      </c>
      <c r="BJ75" s="7" t="str">
        <f t="shared" ref="BJ75:BJ130" si="504">IF(ISNUMBER($AV75),BG75+COS(RADIANS($AG75)),"")</f>
        <v/>
      </c>
      <c r="BK75" s="10" t="str">
        <f t="shared" ref="BK75:BK130" si="505">IF(ISNUMBER($AV75),BH75+SIN(RADIANS($AG75)),"")</f>
        <v/>
      </c>
      <c r="BL75" s="328" t="str">
        <f t="shared" ref="BL75:BL130" si="506">IF(ISNUMBER($AV75),BF75+SIN(RADIANS($AH75)),"")</f>
        <v/>
      </c>
      <c r="BM75" s="7" t="str">
        <f t="shared" ref="BM75:BM130" si="507">IF(ISNUMBER($AV75),BG75-SIN(RADIANS($AG75))*COS(RADIANS($AH75)),"")</f>
        <v/>
      </c>
      <c r="BN75" s="8" t="str">
        <f t="shared" ref="BN75:BN130" si="508">IF(ISNUMBER($AV75),BH75+COS(RADIANS($AG75))*COS(RADIANS($AH75)),"")</f>
        <v/>
      </c>
      <c r="BO75" s="6" t="str">
        <f t="shared" ref="BO75:BO130" si="509">IF(ISNUMBER($AV75),BJ75*BN75-BM75*BK75-BG75*(BN75-BK75)+BH75*(BM75-BJ75),"")</f>
        <v/>
      </c>
      <c r="BP75" s="7" t="str">
        <f t="shared" ref="BP75:BP130" si="510">IF(ISNUMBER($AV75),BF75*(BN75-BK75)-(BI75*BN75-BL75*BK75)+BH75*(BI75-BL75),"")</f>
        <v/>
      </c>
      <c r="BQ75" s="7" t="str">
        <f t="shared" ref="BQ75:BQ130" si="511">IF(ISNUMBER($AV75),BF75*(BJ75-BM75)-BG75*(BI75-BL75)+(BI75*BM75-BL75*BJ75),"")</f>
        <v/>
      </c>
      <c r="BR75" s="8" t="str">
        <f t="shared" ref="BR75:BR130" si="512">IF(ISNUMBER($AV75),-(BF75*(BJ75*BN75-BM75*BK75)-BG75*(BI75*BN75-BL75*BK75)+BH75*(BI75*BM75-BL75*BJ75)),"")</f>
        <v/>
      </c>
      <c r="BS75" s="6" t="str">
        <f t="shared" si="477"/>
        <v/>
      </c>
      <c r="BT75" s="7" t="str">
        <f t="shared" si="477"/>
        <v/>
      </c>
      <c r="BU75" s="12" t="str">
        <f t="shared" si="478"/>
        <v/>
      </c>
      <c r="BV75" s="11" t="str">
        <f t="shared" si="479"/>
        <v/>
      </c>
      <c r="BW75" s="7" t="str">
        <f t="shared" si="480"/>
        <v/>
      </c>
      <c r="BX75" s="10" t="str">
        <f t="shared" si="481"/>
        <v/>
      </c>
      <c r="BY75" s="328" t="str">
        <f t="shared" si="482"/>
        <v/>
      </c>
      <c r="BZ75" s="7" t="str">
        <f t="shared" si="483"/>
        <v/>
      </c>
      <c r="CA75" s="8" t="str">
        <f t="shared" si="484"/>
        <v/>
      </c>
      <c r="CB75" s="6" t="str">
        <f t="shared" ref="CB75:CB130" si="513">IF(ISNUMBER($AV75),BW75*CA75-BZ75*BX75-BT75*(CA75-BX75)+BU75*(BZ75-BW75),"")</f>
        <v/>
      </c>
      <c r="CC75" s="7" t="str">
        <f t="shared" ref="CC75:CC130" si="514">IF(ISNUMBER($AV75),BS75*(CA75-BX75)-(BV75*CA75-BY75*BX75)+BU75*(BV75-BY75),"")</f>
        <v/>
      </c>
      <c r="CD75" s="7" t="str">
        <f t="shared" ref="CD75:CD130" si="515">IF(ISNUMBER($AV75),BS75*(BW75-BZ75)-BT75*(BV75-BY75)+(BV75*BZ75-BY75*BW75),"")</f>
        <v/>
      </c>
      <c r="CE75" s="8" t="str">
        <f t="shared" ref="CE75:CE130" si="516">IF(ISNUMBER($AV75),-(BS75*(BW75*CA75-BZ75*BX75)-BT75*(BV75*CA75-BY75*BX75)+BU75*(BV75*BZ75-BY75*BW75)),"")</f>
        <v/>
      </c>
      <c r="CF75" s="6" t="str">
        <f t="shared" ref="CF75:CF130" si="517">IF(ISNUMBER($AV75),(BP75*CD75)-(BQ75*CC75),"")</f>
        <v/>
      </c>
      <c r="CG75" s="7" t="str">
        <f t="shared" ref="CG75:CG130" si="518">IF(ISNUMBER($AV75),(BQ75*CB75)-(BO75*CD75),"")</f>
        <v/>
      </c>
      <c r="CH75" s="7" t="str">
        <f t="shared" ref="CH75:CH130" si="519">IF(ISNUMBER($AV75),(BO75*CC75)-(BP75*CB75),"")</f>
        <v/>
      </c>
      <c r="CI75" s="6" t="str">
        <f t="shared" si="485"/>
        <v/>
      </c>
      <c r="CJ75" s="7" t="str">
        <f t="shared" si="486"/>
        <v/>
      </c>
      <c r="CK75" s="10" t="str">
        <f t="shared" si="487"/>
        <v/>
      </c>
      <c r="CL75" s="328" t="str">
        <f t="shared" si="488"/>
        <v/>
      </c>
      <c r="CM75" s="7" t="str">
        <f t="shared" si="489"/>
        <v/>
      </c>
      <c r="CN75" s="8" t="str">
        <f t="shared" si="490"/>
        <v/>
      </c>
      <c r="CO75" s="296" t="str">
        <f t="shared" si="201"/>
        <v/>
      </c>
      <c r="CP75" s="6" t="str">
        <f t="shared" ref="CP75:CP130" si="520">IF(ISNUMBER($AV75),(CL75-CI75)^2+(CM75-CJ75)^2+(CN75-CK75)^2,"")</f>
        <v/>
      </c>
      <c r="CQ75" s="7" t="str">
        <f t="shared" ref="CQ75:CQ130" si="521">IF(ISNUMBER($AV75),2*((CL75-CI75)*(CI75-BF75)+(CM75-CJ75)*(CJ75-BG75)+(CN75-CK75)*(CK75-BH75)),"")</f>
        <v/>
      </c>
      <c r="CR75" s="7" t="str">
        <f t="shared" ref="CR75:CR130" si="522">IF(ISNUMBER($AV75),BF75^2+BG75^2+BH75^2+CI75^2+CJ75^2+CK75^2-2*(BF75*CI75+BG75*CJ75+BH75*CK75)-CO75^2,"")</f>
        <v/>
      </c>
      <c r="CS75" s="10" t="str">
        <f t="shared" ref="CS75:CS130" si="523">IF(ISNUMBER($AV75),CQ75^2-(4*CP75*CR75),"")</f>
        <v/>
      </c>
      <c r="CT75" s="11" t="str">
        <f t="shared" ref="CT75:CT130" si="524">IF(ISNUMBER($AV75),(-CQ75+SQRT(CS75))/(CP75*2),"")</f>
        <v/>
      </c>
      <c r="CU75" s="8" t="str">
        <f t="shared" ref="CU75:CU130" si="525">IF(ISNUMBER($AV75),(-CQ75-SQRT(CS75))/(CP75*2),"")</f>
        <v/>
      </c>
      <c r="CV75" s="6" t="str">
        <f t="shared" ref="CV75:CV130" si="526">IF(ISNUMBER($AV75),CI75+($CT75*(CL75-CI75)),"")</f>
        <v/>
      </c>
      <c r="CW75" s="7" t="str">
        <f t="shared" ref="CW75:CW130" si="527">IF(ISNUMBER($AV75),CJ75+($CT75*(CM75-CJ75)),"")</f>
        <v/>
      </c>
      <c r="CX75" s="10" t="str">
        <f t="shared" ref="CX75:CX130" si="528">IF(ISNUMBER($AV75),CK75+($CT75*(CN75-CK75)),"")</f>
        <v/>
      </c>
      <c r="CY75" s="11" t="str">
        <f t="shared" ref="CY75:CY130" si="529">IF(ISNUMBER($AV75),CI75+($CU75*(CL75-CI75)),"")</f>
        <v/>
      </c>
      <c r="CZ75" s="7" t="str">
        <f t="shared" ref="CZ75:CZ130" si="530">IF(ISNUMBER($AV75),CJ75+($CU75*(CM75-CJ75)),"")</f>
        <v/>
      </c>
      <c r="DA75" s="8" t="str">
        <f t="shared" ref="DA75:DA130" si="531">IF(ISNUMBER($AV75),CK75+($CU75*(CN75-CK75)),"")</f>
        <v/>
      </c>
      <c r="DB75" s="6" t="str">
        <f t="shared" ref="DB75:DC106" si="532">IF(ISNUMBER($AV75),0,"")</f>
        <v/>
      </c>
      <c r="DC75" s="7" t="str">
        <f t="shared" si="532"/>
        <v/>
      </c>
      <c r="DD75" s="12" t="str">
        <f t="shared" ref="DD75:DD130" si="533">IF(ISNUMBER($AV75),-10,"")</f>
        <v/>
      </c>
      <c r="DE75" s="11" t="str">
        <f t="shared" ref="DE75:DF106" si="534">IF(ISNUMBER($AV75),0,"")</f>
        <v/>
      </c>
      <c r="DF75" s="7" t="str">
        <f t="shared" si="534"/>
        <v/>
      </c>
      <c r="DG75" s="12" t="str">
        <f t="shared" ref="DG75:DG130" si="535">IF(ISNUMBER($AV75),10,"")</f>
        <v/>
      </c>
      <c r="DH75" s="174" t="str">
        <f t="shared" ref="DH75:DH130" si="536">IF(ISNUMBER($AV75),BD75,"")</f>
        <v/>
      </c>
      <c r="DI75" s="6" t="str">
        <f t="shared" ref="DI75:DI130" si="537">IF(ISNUMBER($AV75),DE75-DB75,"")</f>
        <v/>
      </c>
      <c r="DJ75" s="7" t="str">
        <f t="shared" ref="DJ75:DJ130" si="538">IF(ISNUMBER($AV75),DF75-DC75,"")</f>
        <v/>
      </c>
      <c r="DK75" s="12" t="str">
        <f t="shared" ref="DK75:DK130" si="539">IF(ISNUMBER($AV75),DG75-DD75,"")</f>
        <v/>
      </c>
      <c r="DL75" s="11" t="str">
        <f t="shared" ref="DL75:DL130" si="540">IF(ISNUMBER($AV75),CV75-DB75,"")</f>
        <v/>
      </c>
      <c r="DM75" s="328" t="str">
        <f t="shared" ref="DM75:DM130" si="541">IF(ISNUMBER($AV75),CW75-DC75,"")</f>
        <v/>
      </c>
      <c r="DN75" s="376" t="str">
        <f t="shared" ref="DN75:DN130" si="542">IF(ISNUMBER($AV75),CX75-DD75,"")</f>
        <v/>
      </c>
      <c r="DO75" s="11" t="str">
        <f t="shared" ref="DO75:DO130" si="543">IF(ISNUMBER($AV75),CY75-CV75,"")</f>
        <v/>
      </c>
      <c r="DP75" s="328" t="str">
        <f t="shared" ref="DP75:DP130" si="544">IF(ISNUMBER($AV75),CZ75-CW75,"")</f>
        <v/>
      </c>
      <c r="DQ75" s="13" t="str">
        <f t="shared" ref="DQ75:DQ130" si="545">IF(ISNUMBER($AV75),DA75-CX75,"")</f>
        <v/>
      </c>
      <c r="DR75" s="328" t="str">
        <f t="shared" ref="DR75:DR130" si="546">IF(ISNUMBER($AV75),SUMPRODUCT(DI75:DK75,DL75:DN75),"")</f>
        <v/>
      </c>
      <c r="DS75" s="7" t="str">
        <f t="shared" ref="DS75:DS130" si="547">IF(ISNUMBER($AV75),SUMPRODUCT(DO75:DQ75,DI75:DK75),"")</f>
        <v/>
      </c>
      <c r="DT75" s="7" t="str">
        <f t="shared" ref="DT75:DT130" si="548">IF(ISNUMBER($AV75),SUMPRODUCT(DI75:DK75,DI75:DK75),"")</f>
        <v/>
      </c>
      <c r="DU75" s="7" t="str">
        <f t="shared" ref="DU75:DU130" si="549">IF(ISNUMBER($AV75),SUMPRODUCT(DO75:DQ75,DO75:DQ75),"")</f>
        <v/>
      </c>
      <c r="DV75" s="7" t="str">
        <f t="shared" ref="DV75:DV130" si="550">IF(ISNUMBER($AV75),SUMPRODUCT(DL75:DN75,DO75:DQ75),"")</f>
        <v/>
      </c>
      <c r="DW75" s="7" t="str">
        <f t="shared" ref="DW75:DW130" si="551">IF(ISNUMBER($AV75),SUMPRODUCT(DL75:DN75,DL75:DN75),"")</f>
        <v/>
      </c>
      <c r="DX75" s="296" t="str">
        <f t="shared" ref="DX75:DX130" si="552">IF(ISNUMBER($AV75),DW75-DH75*DH75,"")</f>
        <v/>
      </c>
      <c r="DY75" s="11" t="str">
        <f t="shared" ref="DY75:DY130" si="553">IF(ISNUMBER($AV75),DT75*DU75-DS75*DS75,"")</f>
        <v/>
      </c>
      <c r="DZ75" s="7" t="str">
        <f t="shared" ref="DZ75:DZ130" si="554">IF(ISNUMBER($AV75),DT75*DV75-DS75*DR75,"")</f>
        <v/>
      </c>
      <c r="EA75" s="12" t="str">
        <f t="shared" ref="EA75:EA130" si="555">IF(ISNUMBER($AV75),DT75*DX75-DR75*DR75,"")</f>
        <v/>
      </c>
      <c r="EB75" s="8" t="str">
        <f t="shared" ref="EB75:EB130" si="556">IF(ISNUMBER($AV75),DZ75*DZ75-DY75*EA75,"")</f>
        <v/>
      </c>
      <c r="EC75" s="328" t="str">
        <f t="shared" ref="EC75:EC130" si="557">IF(ISNUMBER($AV75),(-DZ75+SQRT(DZ75^2-DY75*EA75))/DY75,"")</f>
        <v/>
      </c>
      <c r="ED75" s="7" t="str">
        <f t="shared" ref="ED75:ED130" si="558">IF(ISNUMBER($AV75),(-DZ75-SQRT(DZ75^2-DY75*EA75))/DY75,"")</f>
        <v/>
      </c>
      <c r="EE75" s="6" t="str">
        <f t="shared" ref="EE75:EE130" si="559">IF(ISNUMBER($AV75),CV75+DO75*$EC75,"")</f>
        <v/>
      </c>
      <c r="EF75" s="7" t="str">
        <f t="shared" ref="EF75:EF130" si="560">IF(ISNUMBER($AV75),CW75+DP75*$EC75,"")</f>
        <v/>
      </c>
      <c r="EG75" s="12" t="str">
        <f t="shared" ref="EG75:EG130" si="561">IF(ISNUMBER($AV75),CX75+DQ75*$EC75,"")</f>
        <v/>
      </c>
      <c r="EH75" s="11" t="str">
        <f t="shared" ref="EH75:EH130" si="562">IF(ISNUMBER($AV75),CV75+DO75*$ED75,"")</f>
        <v/>
      </c>
      <c r="EI75" s="7" t="str">
        <f t="shared" ref="EI75:EI130" si="563">IF(ISNUMBER($AV75),CW75+DP75*$ED75,"")</f>
        <v/>
      </c>
      <c r="EJ75" s="8" t="str">
        <f t="shared" ref="EJ75:EJ130" si="564">IF(ISNUMBER($AV75),CX75+DQ75*$ED75,"")</f>
        <v/>
      </c>
      <c r="EK75" s="491" t="str">
        <f t="shared" ref="EK75:EK130" si="565">IF(ISNUMBER($AV75),IF(OR($EC75&lt;0,$EC75&gt;1),FALSE,TRUE),"")</f>
        <v/>
      </c>
      <c r="EL75" s="493" t="str">
        <f t="shared" ref="EL75:EL130" si="566">IF(ISNUMBER($AV75),IF(OR($ED75&lt;0,$ED75&gt;1),FALSE,TRUE),"")</f>
        <v/>
      </c>
      <c r="EM75" s="6" t="str">
        <f t="shared" ref="EM75:EM130" si="567">IF(ISNUMBER($AV75),IF($EK75=TRUE,EE75,IF($EL75=TRUE,EH75,"")),"")</f>
        <v/>
      </c>
      <c r="EN75" s="7" t="str">
        <f t="shared" ref="EN75:EN130" si="568">IF(ISNUMBER($AV75),IF($EK75=TRUE,EF75,IF($EL75=TRUE,EI75,"")),"")</f>
        <v/>
      </c>
      <c r="EO75" s="12" t="str">
        <f t="shared" ref="EO75:EO130" si="569">IF(ISNUMBER($AV75),IF($EK75=TRUE,EG75,IF($EL75=TRUE,EJ75,"")),"")</f>
        <v/>
      </c>
      <c r="EP75" s="11" t="str">
        <f t="shared" ref="EP75:EP130" si="570">IF(ISNUMBER($AV75),IF(DEGREES(ATAN2(EM75,EN75))&lt;0,DEGREES(ATAN2(EM75,EN75))+360,IF(DEGREES(ATAN2(EM75,EN75))&gt;360,DEGREES(ATAN2(EM75,EN75))-360,DEGREES(ATAN2(EM75,EN75)))),"")</f>
        <v/>
      </c>
      <c r="EQ75" s="7" t="str">
        <f t="shared" ref="EQ75:EQ130" si="571">IF(ISNUMBER($AV75),SQRT(EM75^2+EN75^2),"")</f>
        <v/>
      </c>
      <c r="ER75" s="9" t="str">
        <f t="shared" ref="ER75:ER130" si="572">IF(ISNUMBER($AV75),EO75,"")</f>
        <v/>
      </c>
      <c r="ES75" s="24" t="str">
        <f t="shared" ref="ES75:ES130" si="573">IF(ISNUMBER($AV75),AD75,"")</f>
        <v/>
      </c>
      <c r="ET75" s="7" t="str">
        <f t="shared" ref="ET75:ET130" si="574">IF(ISNUMBER($AV75),AE75,"")</f>
        <v/>
      </c>
      <c r="EU75" s="12" t="str">
        <f t="shared" ref="EU75:EU130" si="575">IF(ISNUMBER($AV75),AF75,"")</f>
        <v/>
      </c>
      <c r="EV75" s="337" t="str">
        <f t="shared" si="445"/>
        <v/>
      </c>
      <c r="EW75" s="11" t="str">
        <f t="shared" si="446"/>
        <v/>
      </c>
      <c r="EX75" s="7" t="str">
        <f t="shared" si="447"/>
        <v/>
      </c>
      <c r="EY75" s="8" t="str">
        <f t="shared" ref="EY75:EY130" si="576">IF(ISNUMBER($AV75),EU75,"")</f>
        <v/>
      </c>
      <c r="EZ75" s="123" t="str">
        <f t="shared" ref="EZ75:EZ130" si="577">IF(ISNUMBER($AV75),DEGREES(ATAN($AS$5/($EQ75*2*PI()))),"")</f>
        <v/>
      </c>
      <c r="FA75" s="328" t="str">
        <f t="shared" si="448"/>
        <v/>
      </c>
      <c r="FB75" s="7" t="str">
        <f t="shared" si="449"/>
        <v/>
      </c>
      <c r="FC75" s="8" t="str">
        <f t="shared" si="450"/>
        <v/>
      </c>
      <c r="FD75" s="6" t="str">
        <f t="shared" si="451"/>
        <v/>
      </c>
      <c r="FE75" s="7" t="str">
        <f t="shared" si="452"/>
        <v/>
      </c>
      <c r="FF75" s="9" t="str">
        <f t="shared" ref="FF75:FF130" si="578">IF(ISNUMBER($AV75),FC75,"")</f>
        <v/>
      </c>
      <c r="FG75" s="328" t="str">
        <f t="shared" si="453"/>
        <v/>
      </c>
      <c r="FH75" s="7" t="str">
        <f t="shared" si="454"/>
        <v/>
      </c>
      <c r="FI75" s="12" t="str">
        <f t="shared" si="455"/>
        <v/>
      </c>
      <c r="FJ75" s="547" t="str">
        <f t="shared" ref="FJ75:FJ130" si="579">IF(ISNUMBER($AV75),DEGREES(ACOS((2-SQRT((FG75)^2+(FH75)^2+(FI75)^2)^2)/2)),"")</f>
        <v/>
      </c>
      <c r="FK75" s="6" t="str">
        <f t="shared" si="456"/>
        <v/>
      </c>
      <c r="FL75" s="7" t="str">
        <f t="shared" si="491"/>
        <v/>
      </c>
      <c r="FM75" s="10" t="str">
        <f t="shared" si="492"/>
        <v/>
      </c>
      <c r="FN75" s="11" t="str">
        <f t="shared" si="493"/>
        <v/>
      </c>
      <c r="FO75" s="12" t="str">
        <f t="shared" si="457"/>
        <v/>
      </c>
      <c r="FP75" s="545" t="str">
        <f t="shared" si="494"/>
        <v/>
      </c>
      <c r="FQ75" s="328" t="str">
        <f t="shared" ref="FQ75:FQ130" si="580">IF(ISNUMBER($AV75),SIN(RADIANS(FN75)),"")</f>
        <v/>
      </c>
      <c r="FR75" s="12" t="str">
        <f t="shared" ref="FR75:FR130" si="581">IF(ISNUMBER($AV75),COS(RADIANS(FN75)),"")</f>
        <v/>
      </c>
      <c r="FS75" s="11" t="str">
        <f t="shared" ref="FS75:FS130" si="582">IF(ISNUMBER($AV75),FQ75/(FQ75+FR75),"")</f>
        <v/>
      </c>
      <c r="FT75" s="8" t="str">
        <f t="shared" ref="FT75:FT130" si="583">IF(ISNUMBER($AV75),FR75/(FQ75+FR75),"")</f>
        <v/>
      </c>
      <c r="FU75" s="6" t="str">
        <f t="shared" ref="FU75:FU130" si="584">IF(ISNUMBER($AV75),SQRT(EW75^2+EY75^2),"")</f>
        <v/>
      </c>
      <c r="FV75" s="7" t="str">
        <f t="shared" ref="FV75:FV130" si="585">IF(ISNUMBER($AV75),SQRT(FD75^2+FF75^2),"")</f>
        <v/>
      </c>
      <c r="FW75" s="10" t="str">
        <f t="shared" ref="FW75:FW130" si="586">IF(ISNUMBER($AV75),SQRT(FG75^2+FI75^2),"")</f>
        <v/>
      </c>
      <c r="FX75" s="11" t="str">
        <f t="shared" ref="FX75:FX130" si="587">IF(ISNUMBER($AV75),DEGREES(ACOS((FU75^2+FV75^2-FW75^2)/(2*FU75*FV75))),"")</f>
        <v/>
      </c>
      <c r="FY75" s="12" t="str">
        <f t="shared" si="458"/>
        <v/>
      </c>
      <c r="FZ75" s="545" t="str">
        <f t="shared" ref="FZ75:FZ130" si="588">IF(ISNUMBER($AV75),FX75*FY75,"")</f>
        <v/>
      </c>
      <c r="GA75" s="372" t="str">
        <f t="shared" ref="GA75:GA130" si="589">IF(ISNUMBER($AV75),DEGREES(FZ75*SIN(RADIANS(FU75))),"")</f>
        <v/>
      </c>
      <c r="GB75" s="46" t="str">
        <f t="shared" ref="GB75:GB130" si="590">IF(ISNUMBER($AV75),COS(RADIANS(FP75+90))*COS(RADIANS(FZ75)),"")</f>
        <v/>
      </c>
      <c r="GC75" s="47" t="str">
        <f t="shared" ref="GC75:GC130" si="591">IF(ISNUMBER($AV75),SIN(RADIANS(FP75+90))*COS(RADIANS(FZ75)),"")</f>
        <v/>
      </c>
      <c r="GD75" s="578" t="str">
        <f t="shared" ref="GD75:GD130" si="592">IF(ISNUMBER($AV75),-SIN(RADIANS(FZ75)),"")</f>
        <v/>
      </c>
      <c r="GE75" s="585" t="str">
        <f t="shared" ref="GE75:GE130" si="593">IF(ISNUMBER($AV75),SUM(ABS(GB75),ABS(GC75),ABS(GD75)),"")</f>
        <v/>
      </c>
      <c r="GF75" s="634" t="str">
        <f t="shared" ref="GF75:GF130" si="594">IF(ISNUMBER($AV75),1/GE75,"")</f>
        <v/>
      </c>
      <c r="GG75" s="553" t="str">
        <f t="shared" si="459"/>
        <v/>
      </c>
      <c r="GH75" s="554" t="str">
        <f t="shared" si="460"/>
        <v/>
      </c>
      <c r="GI75" s="549" t="str">
        <f t="shared" si="461"/>
        <v/>
      </c>
      <c r="GJ75" s="296" t="str">
        <f t="shared" ref="GJ75:GJ130" si="595">IF(ISNUMBER($AV75),AW75,"")</f>
        <v/>
      </c>
      <c r="GK75" s="337" t="str">
        <f t="shared" si="462"/>
        <v/>
      </c>
      <c r="GL75" s="337" t="str">
        <f t="shared" ref="GL75:GL130" si="596">IF(ISNUMBER($AV75),AY75,"")</f>
        <v/>
      </c>
      <c r="GM75" s="372" t="str">
        <f t="shared" ref="GM75:GM130" si="597">IF(ISNUMBER($AV75),AZ75,"")</f>
        <v/>
      </c>
      <c r="GN75" s="548" t="str">
        <f t="shared" ref="GN75:GN130" si="598">IF(ISNUMBER($AV75),BA75,"")</f>
        <v/>
      </c>
      <c r="GO75" s="6" t="str">
        <f t="shared" ref="GO75:GO130" si="599">IF(ISNUMBER($AV75),FP75,"")</f>
        <v/>
      </c>
      <c r="GP75" s="10" t="str">
        <f t="shared" ref="GP75:GP130" si="600">IF(ISNUMBER($AV75),FZ75,"")</f>
        <v/>
      </c>
      <c r="GQ75" s="372" t="str">
        <f t="shared" ref="GQ75:GQ130" si="601">IF(ISNUMBER($AV75),FJ75,"")</f>
        <v/>
      </c>
      <c r="GR75" s="697" t="str">
        <f t="shared" ref="GR75:GR130" si="602">IF(ISNUMBER($AV75),GS75+GU75+GY75,"")</f>
        <v/>
      </c>
      <c r="GS75" s="637" t="str">
        <f t="shared" si="463"/>
        <v/>
      </c>
      <c r="GT75" s="638" t="str">
        <f t="shared" si="464"/>
        <v/>
      </c>
      <c r="GU75" s="639" t="str">
        <f t="shared" si="465"/>
        <v/>
      </c>
      <c r="GV75" s="638" t="str">
        <f t="shared" ref="GV75:GV130" si="603">IF(ISNUMBER($AV75),GW75*$GL75,"")</f>
        <v/>
      </c>
      <c r="GW75" s="640" t="str">
        <f t="shared" si="466"/>
        <v/>
      </c>
      <c r="GX75" s="641" t="str">
        <f t="shared" si="467"/>
        <v/>
      </c>
      <c r="GY75" s="639" t="str">
        <f t="shared" si="468"/>
        <v/>
      </c>
      <c r="GZ75" s="640" t="str">
        <f t="shared" si="469"/>
        <v/>
      </c>
      <c r="HA75" s="637" t="str">
        <f t="shared" si="470"/>
        <v/>
      </c>
      <c r="HB75" s="7" t="str">
        <f t="shared" ref="HB75:HB130" si="604">IF(ISNUMBER($AV75),$EV75,"")</f>
        <v/>
      </c>
      <c r="HC75" s="638" t="str">
        <f t="shared" ref="HC75:HC130" si="605">IF(ISNUMBER($AV75),HA75*COS(RADIANS(HB75)),"")</f>
        <v/>
      </c>
      <c r="HD75" s="682" t="str">
        <f t="shared" ref="HD75:HD130" si="606">IF(ISNUMBER($AV75),HA75*SIN(RADIANS(HB75)),"")</f>
        <v/>
      </c>
      <c r="HE75" s="639" t="str">
        <f t="shared" si="471"/>
        <v/>
      </c>
      <c r="HF75" s="7" t="str">
        <f t="shared" si="472"/>
        <v/>
      </c>
      <c r="HG75" s="638" t="str">
        <f t="shared" ref="HG75:HG130" si="607">IF(ISNUMBER($AV75),HE75*COS(RADIANS(HF75)),"")</f>
        <v/>
      </c>
      <c r="HH75" s="644" t="str">
        <f t="shared" ref="HH75:HH130" si="608">IF(ISNUMBER($AV75),HE75*SIN(RADIANS(HF75)),"")</f>
        <v/>
      </c>
      <c r="HI75" s="596" t="str">
        <f t="shared" ref="HI75:HI130" si="609">IF(ISNUMBER($AV75),$M75,"")</f>
        <v/>
      </c>
      <c r="HJ75" s="511"/>
      <c r="HK75" s="584" t="str">
        <f t="shared" si="217"/>
        <v/>
      </c>
      <c r="HL75" s="583" t="str">
        <f t="shared" si="495"/>
        <v/>
      </c>
      <c r="HM75" s="643" t="str">
        <f t="shared" si="444"/>
        <v/>
      </c>
      <c r="HN75" s="660" t="str">
        <f t="shared" si="444"/>
        <v/>
      </c>
      <c r="HO75" s="661" t="str">
        <f t="shared" si="444"/>
        <v/>
      </c>
      <c r="HP75" s="656" t="str">
        <f t="shared" si="444"/>
        <v/>
      </c>
      <c r="HQ75" s="660" t="str">
        <f t="shared" si="444"/>
        <v/>
      </c>
      <c r="HR75" s="671" t="str">
        <f t="shared" si="444"/>
        <v/>
      </c>
      <c r="HS75" s="655" t="str">
        <f t="shared" si="444"/>
        <v/>
      </c>
      <c r="HT75" s="648" t="str">
        <f t="shared" si="444"/>
        <v/>
      </c>
      <c r="HU75" s="649" t="str">
        <f t="shared" si="444"/>
        <v/>
      </c>
      <c r="HV75" s="650" t="str">
        <f t="shared" si="444"/>
        <v/>
      </c>
      <c r="HW75" s="648" t="str">
        <f t="shared" si="444"/>
        <v/>
      </c>
      <c r="HX75" s="649" t="str">
        <f t="shared" si="444"/>
        <v/>
      </c>
      <c r="HY75" s="650" t="str">
        <f t="shared" si="444"/>
        <v/>
      </c>
      <c r="HZ75" s="648" t="str">
        <f t="shared" si="444"/>
        <v/>
      </c>
      <c r="IA75" s="649" t="str">
        <f t="shared" si="444"/>
        <v/>
      </c>
      <c r="IB75" s="716"/>
      <c r="ID75" s="511"/>
    </row>
    <row r="76" spans="2:238" ht="15" customHeight="1" x14ac:dyDescent="0.25">
      <c r="B76" s="143"/>
      <c r="C76" s="144"/>
      <c r="D76" s="145"/>
      <c r="E76" s="146"/>
      <c r="F76" s="144"/>
      <c r="G76" s="147"/>
      <c r="H76" s="146"/>
      <c r="I76" s="144"/>
      <c r="J76" s="306"/>
      <c r="K76" s="699" t="str">
        <f t="shared" ref="K76:K130" si="610">CONCATENATE(IF(H76=0.314,16,IF(H76=0.29,15,IF(H76=0.2645,13,IF(OR(H76=0.2625,H76=0.257),"Kunckle","")))),IF(I76=0.52,13,IF(I76=0.42,11,"")))</f>
        <v/>
      </c>
      <c r="M76" s="292" t="str">
        <f t="shared" si="46"/>
        <v/>
      </c>
      <c r="N76" s="24" t="str">
        <f t="shared" si="47"/>
        <v/>
      </c>
      <c r="O76" s="7" t="str">
        <f t="shared" si="48"/>
        <v/>
      </c>
      <c r="P76" s="12" t="str">
        <f t="shared" si="49"/>
        <v/>
      </c>
      <c r="Q76" s="11" t="str">
        <f t="shared" si="473"/>
        <v/>
      </c>
      <c r="R76" s="7" t="str">
        <f t="shared" si="50"/>
        <v/>
      </c>
      <c r="S76" s="8" t="str">
        <f t="shared" si="51"/>
        <v/>
      </c>
      <c r="T76" s="6" t="str">
        <f t="shared" si="52"/>
        <v/>
      </c>
      <c r="U76" s="7" t="str">
        <f t="shared" si="53"/>
        <v/>
      </c>
      <c r="V76" s="10" t="str">
        <f t="shared" si="86"/>
        <v/>
      </c>
      <c r="W76" s="11" t="str">
        <f t="shared" si="214"/>
        <v/>
      </c>
      <c r="X76" s="7" t="str">
        <f t="shared" si="54"/>
        <v/>
      </c>
      <c r="Y76" s="9" t="str">
        <f t="shared" ref="Y76:Y130" si="611">IF(M76="","",S76)</f>
        <v/>
      </c>
      <c r="Z76" s="24" t="str">
        <f t="shared" si="87"/>
        <v/>
      </c>
      <c r="AA76" s="7" t="str">
        <f t="shared" si="55"/>
        <v/>
      </c>
      <c r="AB76" s="7" t="str">
        <f t="shared" si="56"/>
        <v/>
      </c>
      <c r="AC76" s="10" t="str">
        <f t="shared" si="57"/>
        <v/>
      </c>
      <c r="AD76" s="11" t="str">
        <f t="shared" si="88"/>
        <v/>
      </c>
      <c r="AE76" s="7" t="str">
        <f t="shared" si="58"/>
        <v/>
      </c>
      <c r="AF76" s="12" t="str">
        <f t="shared" si="59"/>
        <v/>
      </c>
      <c r="AG76" s="6" t="str">
        <f t="shared" si="60"/>
        <v/>
      </c>
      <c r="AH76" s="12" t="str">
        <f t="shared" si="61"/>
        <v/>
      </c>
      <c r="AI76" s="11" t="str">
        <f t="shared" si="62"/>
        <v/>
      </c>
      <c r="AJ76" s="8" t="str">
        <f t="shared" si="63"/>
        <v/>
      </c>
      <c r="AK76" s="6" t="str">
        <f t="shared" si="89"/>
        <v/>
      </c>
      <c r="AL76" s="7" t="str">
        <f t="shared" si="64"/>
        <v/>
      </c>
      <c r="AM76" s="8" t="str">
        <f t="shared" si="65"/>
        <v/>
      </c>
      <c r="AN76" s="6" t="str">
        <f t="shared" si="66"/>
        <v/>
      </c>
      <c r="AO76" s="10" t="str">
        <f t="shared" si="376"/>
        <v/>
      </c>
      <c r="AP76" s="11" t="str">
        <f t="shared" si="67"/>
        <v/>
      </c>
      <c r="AQ76" s="8" t="str">
        <f t="shared" ref="AQ76:AQ130" si="612">IF(M76="","",DEGREES(TAN($AS$5/((X76*2)*PI()))))</f>
        <v/>
      </c>
      <c r="AS76" s="123" t="str">
        <f t="shared" si="496"/>
        <v/>
      </c>
      <c r="AT76" s="174" t="str">
        <f t="shared" si="68"/>
        <v/>
      </c>
      <c r="AV76" s="292" t="str">
        <f t="shared" si="497"/>
        <v/>
      </c>
      <c r="AW76" s="709"/>
      <c r="AX76" s="710"/>
      <c r="AY76" s="711"/>
      <c r="AZ76" s="565" t="str">
        <f t="shared" si="498"/>
        <v/>
      </c>
      <c r="BA76" s="564" t="str">
        <f t="shared" si="499"/>
        <v/>
      </c>
      <c r="BB76" s="372" t="str">
        <f t="shared" si="474"/>
        <v/>
      </c>
      <c r="BC76" s="11"/>
      <c r="BD76" s="7" t="str">
        <f t="shared" si="475"/>
        <v/>
      </c>
      <c r="BE76" s="8" t="str">
        <f t="shared" si="476"/>
        <v/>
      </c>
      <c r="BF76" s="6" t="str">
        <f t="shared" si="500"/>
        <v/>
      </c>
      <c r="BG76" s="7" t="str">
        <f t="shared" si="501"/>
        <v/>
      </c>
      <c r="BH76" s="12" t="str">
        <f t="shared" si="502"/>
        <v/>
      </c>
      <c r="BI76" s="11" t="str">
        <f t="shared" si="503"/>
        <v/>
      </c>
      <c r="BJ76" s="7" t="str">
        <f t="shared" si="504"/>
        <v/>
      </c>
      <c r="BK76" s="10" t="str">
        <f t="shared" si="505"/>
        <v/>
      </c>
      <c r="BL76" s="328" t="str">
        <f t="shared" si="506"/>
        <v/>
      </c>
      <c r="BM76" s="7" t="str">
        <f t="shared" si="507"/>
        <v/>
      </c>
      <c r="BN76" s="8" t="str">
        <f t="shared" si="508"/>
        <v/>
      </c>
      <c r="BO76" s="6" t="str">
        <f t="shared" si="509"/>
        <v/>
      </c>
      <c r="BP76" s="7" t="str">
        <f t="shared" si="510"/>
        <v/>
      </c>
      <c r="BQ76" s="7" t="str">
        <f t="shared" si="511"/>
        <v/>
      </c>
      <c r="BR76" s="8" t="str">
        <f t="shared" si="512"/>
        <v/>
      </c>
      <c r="BS76" s="6" t="str">
        <f t="shared" si="477"/>
        <v/>
      </c>
      <c r="BT76" s="7" t="str">
        <f t="shared" si="477"/>
        <v/>
      </c>
      <c r="BU76" s="12" t="str">
        <f t="shared" si="478"/>
        <v/>
      </c>
      <c r="BV76" s="11" t="str">
        <f t="shared" si="479"/>
        <v/>
      </c>
      <c r="BW76" s="7" t="str">
        <f t="shared" si="480"/>
        <v/>
      </c>
      <c r="BX76" s="10" t="str">
        <f t="shared" si="481"/>
        <v/>
      </c>
      <c r="BY76" s="328" t="str">
        <f t="shared" si="482"/>
        <v/>
      </c>
      <c r="BZ76" s="7" t="str">
        <f t="shared" si="483"/>
        <v/>
      </c>
      <c r="CA76" s="8" t="str">
        <f t="shared" si="484"/>
        <v/>
      </c>
      <c r="CB76" s="6" t="str">
        <f t="shared" si="513"/>
        <v/>
      </c>
      <c r="CC76" s="7" t="str">
        <f t="shared" si="514"/>
        <v/>
      </c>
      <c r="CD76" s="7" t="str">
        <f t="shared" si="515"/>
        <v/>
      </c>
      <c r="CE76" s="8" t="str">
        <f t="shared" si="516"/>
        <v/>
      </c>
      <c r="CF76" s="6" t="str">
        <f t="shared" si="517"/>
        <v/>
      </c>
      <c r="CG76" s="7" t="str">
        <f t="shared" si="518"/>
        <v/>
      </c>
      <c r="CH76" s="7" t="str">
        <f t="shared" si="519"/>
        <v/>
      </c>
      <c r="CI76" s="6" t="str">
        <f t="shared" si="485"/>
        <v/>
      </c>
      <c r="CJ76" s="7" t="str">
        <f t="shared" si="486"/>
        <v/>
      </c>
      <c r="CK76" s="10" t="str">
        <f t="shared" si="487"/>
        <v/>
      </c>
      <c r="CL76" s="328" t="str">
        <f t="shared" si="488"/>
        <v/>
      </c>
      <c r="CM76" s="7" t="str">
        <f t="shared" si="489"/>
        <v/>
      </c>
      <c r="CN76" s="8" t="str">
        <f t="shared" si="490"/>
        <v/>
      </c>
      <c r="CO76" s="296" t="str">
        <f t="shared" ref="CO76:CO130" si="613">IF(ISNUMBER($AV76),IF(AND(($H76*2)&gt;=$O$136,($H76*2)&lt;=$P$136),($N$136/2),IF(AND(($H76*2)&gt;=$O$137,($H76*2)&lt;=$P$137),($N$137/2),IF(AND(($H76*2)&gt;=$O$138,($H76*2)&lt;=$P$138),($N$138/2),IF(AND(($H76*2)&gt;=$O$139,($H76*2)&lt;=$P$139),($N$139/2),IF(AND(($H76*2)&gt;=$O$140,($H76*2)&lt;=$P$140),($N$140/2),IF(AND(($H76*2)&gt;=$O$143,($H76*2)&lt;=$P$143),($N$143/2),"Radius")))))),"")</f>
        <v/>
      </c>
      <c r="CP76" s="6" t="str">
        <f t="shared" si="520"/>
        <v/>
      </c>
      <c r="CQ76" s="7" t="str">
        <f t="shared" si="521"/>
        <v/>
      </c>
      <c r="CR76" s="7" t="str">
        <f t="shared" si="522"/>
        <v/>
      </c>
      <c r="CS76" s="10" t="str">
        <f t="shared" si="523"/>
        <v/>
      </c>
      <c r="CT76" s="11" t="str">
        <f t="shared" si="524"/>
        <v/>
      </c>
      <c r="CU76" s="8" t="str">
        <f t="shared" si="525"/>
        <v/>
      </c>
      <c r="CV76" s="6" t="str">
        <f t="shared" si="526"/>
        <v/>
      </c>
      <c r="CW76" s="7" t="str">
        <f t="shared" si="527"/>
        <v/>
      </c>
      <c r="CX76" s="10" t="str">
        <f t="shared" si="528"/>
        <v/>
      </c>
      <c r="CY76" s="11" t="str">
        <f t="shared" si="529"/>
        <v/>
      </c>
      <c r="CZ76" s="7" t="str">
        <f t="shared" si="530"/>
        <v/>
      </c>
      <c r="DA76" s="8" t="str">
        <f t="shared" si="531"/>
        <v/>
      </c>
      <c r="DB76" s="6" t="str">
        <f t="shared" si="532"/>
        <v/>
      </c>
      <c r="DC76" s="7" t="str">
        <f t="shared" si="532"/>
        <v/>
      </c>
      <c r="DD76" s="12" t="str">
        <f t="shared" si="533"/>
        <v/>
      </c>
      <c r="DE76" s="11" t="str">
        <f t="shared" si="534"/>
        <v/>
      </c>
      <c r="DF76" s="7" t="str">
        <f t="shared" si="534"/>
        <v/>
      </c>
      <c r="DG76" s="12" t="str">
        <f t="shared" si="535"/>
        <v/>
      </c>
      <c r="DH76" s="174" t="str">
        <f t="shared" si="536"/>
        <v/>
      </c>
      <c r="DI76" s="6" t="str">
        <f t="shared" si="537"/>
        <v/>
      </c>
      <c r="DJ76" s="7" t="str">
        <f t="shared" si="538"/>
        <v/>
      </c>
      <c r="DK76" s="12" t="str">
        <f t="shared" si="539"/>
        <v/>
      </c>
      <c r="DL76" s="11" t="str">
        <f t="shared" si="540"/>
        <v/>
      </c>
      <c r="DM76" s="328" t="str">
        <f t="shared" si="541"/>
        <v/>
      </c>
      <c r="DN76" s="376" t="str">
        <f t="shared" si="542"/>
        <v/>
      </c>
      <c r="DO76" s="11" t="str">
        <f t="shared" si="543"/>
        <v/>
      </c>
      <c r="DP76" s="328" t="str">
        <f t="shared" si="544"/>
        <v/>
      </c>
      <c r="DQ76" s="13" t="str">
        <f t="shared" si="545"/>
        <v/>
      </c>
      <c r="DR76" s="328" t="str">
        <f t="shared" si="546"/>
        <v/>
      </c>
      <c r="DS76" s="7" t="str">
        <f t="shared" si="547"/>
        <v/>
      </c>
      <c r="DT76" s="7" t="str">
        <f t="shared" si="548"/>
        <v/>
      </c>
      <c r="DU76" s="7" t="str">
        <f t="shared" si="549"/>
        <v/>
      </c>
      <c r="DV76" s="7" t="str">
        <f t="shared" si="550"/>
        <v/>
      </c>
      <c r="DW76" s="7" t="str">
        <f t="shared" si="551"/>
        <v/>
      </c>
      <c r="DX76" s="296" t="str">
        <f t="shared" si="552"/>
        <v/>
      </c>
      <c r="DY76" s="11" t="str">
        <f t="shared" si="553"/>
        <v/>
      </c>
      <c r="DZ76" s="7" t="str">
        <f t="shared" si="554"/>
        <v/>
      </c>
      <c r="EA76" s="12" t="str">
        <f t="shared" si="555"/>
        <v/>
      </c>
      <c r="EB76" s="8" t="str">
        <f t="shared" si="556"/>
        <v/>
      </c>
      <c r="EC76" s="328" t="str">
        <f t="shared" si="557"/>
        <v/>
      </c>
      <c r="ED76" s="7" t="str">
        <f t="shared" si="558"/>
        <v/>
      </c>
      <c r="EE76" s="6" t="str">
        <f t="shared" si="559"/>
        <v/>
      </c>
      <c r="EF76" s="7" t="str">
        <f t="shared" si="560"/>
        <v/>
      </c>
      <c r="EG76" s="12" t="str">
        <f t="shared" si="561"/>
        <v/>
      </c>
      <c r="EH76" s="11" t="str">
        <f t="shared" si="562"/>
        <v/>
      </c>
      <c r="EI76" s="7" t="str">
        <f t="shared" si="563"/>
        <v/>
      </c>
      <c r="EJ76" s="8" t="str">
        <f t="shared" si="564"/>
        <v/>
      </c>
      <c r="EK76" s="491" t="str">
        <f t="shared" si="565"/>
        <v/>
      </c>
      <c r="EL76" s="493" t="str">
        <f t="shared" si="566"/>
        <v/>
      </c>
      <c r="EM76" s="6" t="str">
        <f t="shared" si="567"/>
        <v/>
      </c>
      <c r="EN76" s="7" t="str">
        <f t="shared" si="568"/>
        <v/>
      </c>
      <c r="EO76" s="12" t="str">
        <f t="shared" si="569"/>
        <v/>
      </c>
      <c r="EP76" s="11" t="str">
        <f t="shared" si="570"/>
        <v/>
      </c>
      <c r="EQ76" s="7" t="str">
        <f t="shared" si="571"/>
        <v/>
      </c>
      <c r="ER76" s="9" t="str">
        <f t="shared" si="572"/>
        <v/>
      </c>
      <c r="ES76" s="24" t="str">
        <f t="shared" si="573"/>
        <v/>
      </c>
      <c r="ET76" s="7" t="str">
        <f t="shared" si="574"/>
        <v/>
      </c>
      <c r="EU76" s="12" t="str">
        <f t="shared" si="575"/>
        <v/>
      </c>
      <c r="EV76" s="337" t="str">
        <f t="shared" si="445"/>
        <v/>
      </c>
      <c r="EW76" s="11" t="str">
        <f t="shared" si="446"/>
        <v/>
      </c>
      <c r="EX76" s="7" t="str">
        <f t="shared" si="447"/>
        <v/>
      </c>
      <c r="EY76" s="8" t="str">
        <f t="shared" si="576"/>
        <v/>
      </c>
      <c r="EZ76" s="123" t="str">
        <f t="shared" si="577"/>
        <v/>
      </c>
      <c r="FA76" s="328" t="str">
        <f t="shared" si="448"/>
        <v/>
      </c>
      <c r="FB76" s="7" t="str">
        <f t="shared" si="449"/>
        <v/>
      </c>
      <c r="FC76" s="8" t="str">
        <f t="shared" si="450"/>
        <v/>
      </c>
      <c r="FD76" s="6" t="str">
        <f t="shared" si="451"/>
        <v/>
      </c>
      <c r="FE76" s="7" t="str">
        <f t="shared" si="452"/>
        <v/>
      </c>
      <c r="FF76" s="9" t="str">
        <f t="shared" si="578"/>
        <v/>
      </c>
      <c r="FG76" s="328" t="str">
        <f t="shared" si="453"/>
        <v/>
      </c>
      <c r="FH76" s="7" t="str">
        <f t="shared" si="454"/>
        <v/>
      </c>
      <c r="FI76" s="12" t="str">
        <f t="shared" si="455"/>
        <v/>
      </c>
      <c r="FJ76" s="547" t="str">
        <f t="shared" si="579"/>
        <v/>
      </c>
      <c r="FK76" s="6" t="str">
        <f t="shared" si="456"/>
        <v/>
      </c>
      <c r="FL76" s="7" t="str">
        <f t="shared" si="491"/>
        <v/>
      </c>
      <c r="FM76" s="10" t="str">
        <f t="shared" si="492"/>
        <v/>
      </c>
      <c r="FN76" s="11" t="str">
        <f t="shared" si="493"/>
        <v/>
      </c>
      <c r="FO76" s="12" t="str">
        <f t="shared" si="457"/>
        <v/>
      </c>
      <c r="FP76" s="545" t="str">
        <f t="shared" si="494"/>
        <v/>
      </c>
      <c r="FQ76" s="328" t="str">
        <f t="shared" si="580"/>
        <v/>
      </c>
      <c r="FR76" s="12" t="str">
        <f t="shared" si="581"/>
        <v/>
      </c>
      <c r="FS76" s="11" t="str">
        <f t="shared" si="582"/>
        <v/>
      </c>
      <c r="FT76" s="8" t="str">
        <f t="shared" si="583"/>
        <v/>
      </c>
      <c r="FU76" s="6" t="str">
        <f t="shared" si="584"/>
        <v/>
      </c>
      <c r="FV76" s="7" t="str">
        <f t="shared" si="585"/>
        <v/>
      </c>
      <c r="FW76" s="10" t="str">
        <f t="shared" si="586"/>
        <v/>
      </c>
      <c r="FX76" s="11" t="str">
        <f t="shared" si="587"/>
        <v/>
      </c>
      <c r="FY76" s="12" t="str">
        <f t="shared" si="458"/>
        <v/>
      </c>
      <c r="FZ76" s="545" t="str">
        <f t="shared" si="588"/>
        <v/>
      </c>
      <c r="GA76" s="372" t="str">
        <f t="shared" si="589"/>
        <v/>
      </c>
      <c r="GB76" s="46" t="str">
        <f t="shared" si="590"/>
        <v/>
      </c>
      <c r="GC76" s="47" t="str">
        <f t="shared" si="591"/>
        <v/>
      </c>
      <c r="GD76" s="578" t="str">
        <f t="shared" si="592"/>
        <v/>
      </c>
      <c r="GE76" s="585" t="str">
        <f t="shared" si="593"/>
        <v/>
      </c>
      <c r="GF76" s="634" t="str">
        <f t="shared" si="594"/>
        <v/>
      </c>
      <c r="GG76" s="553" t="str">
        <f t="shared" si="459"/>
        <v/>
      </c>
      <c r="GH76" s="554" t="str">
        <f t="shared" si="460"/>
        <v/>
      </c>
      <c r="GI76" s="549" t="str">
        <f t="shared" si="461"/>
        <v/>
      </c>
      <c r="GJ76" s="296" t="str">
        <f t="shared" si="595"/>
        <v/>
      </c>
      <c r="GK76" s="337" t="str">
        <f t="shared" si="462"/>
        <v/>
      </c>
      <c r="GL76" s="337" t="str">
        <f t="shared" si="596"/>
        <v/>
      </c>
      <c r="GM76" s="372" t="str">
        <f t="shared" si="597"/>
        <v/>
      </c>
      <c r="GN76" s="548" t="str">
        <f t="shared" si="598"/>
        <v/>
      </c>
      <c r="GO76" s="6" t="str">
        <f t="shared" si="599"/>
        <v/>
      </c>
      <c r="GP76" s="10" t="str">
        <f t="shared" si="600"/>
        <v/>
      </c>
      <c r="GQ76" s="372" t="str">
        <f t="shared" si="601"/>
        <v/>
      </c>
      <c r="GR76" s="697" t="str">
        <f t="shared" si="602"/>
        <v/>
      </c>
      <c r="GS76" s="637" t="str">
        <f t="shared" si="463"/>
        <v/>
      </c>
      <c r="GT76" s="638" t="str">
        <f t="shared" si="464"/>
        <v/>
      </c>
      <c r="GU76" s="639" t="str">
        <f t="shared" si="465"/>
        <v/>
      </c>
      <c r="GV76" s="638" t="str">
        <f t="shared" si="603"/>
        <v/>
      </c>
      <c r="GW76" s="640" t="str">
        <f t="shared" si="466"/>
        <v/>
      </c>
      <c r="GX76" s="641" t="str">
        <f t="shared" si="467"/>
        <v/>
      </c>
      <c r="GY76" s="639" t="str">
        <f t="shared" si="468"/>
        <v/>
      </c>
      <c r="GZ76" s="640" t="str">
        <f t="shared" si="469"/>
        <v/>
      </c>
      <c r="HA76" s="637" t="str">
        <f t="shared" si="470"/>
        <v/>
      </c>
      <c r="HB76" s="7" t="str">
        <f t="shared" si="604"/>
        <v/>
      </c>
      <c r="HC76" s="638" t="str">
        <f t="shared" si="605"/>
        <v/>
      </c>
      <c r="HD76" s="682" t="str">
        <f t="shared" si="606"/>
        <v/>
      </c>
      <c r="HE76" s="639" t="str">
        <f t="shared" si="471"/>
        <v/>
      </c>
      <c r="HF76" s="7" t="str">
        <f t="shared" si="472"/>
        <v/>
      </c>
      <c r="HG76" s="638" t="str">
        <f t="shared" si="607"/>
        <v/>
      </c>
      <c r="HH76" s="644" t="str">
        <f t="shared" si="608"/>
        <v/>
      </c>
      <c r="HI76" s="596" t="str">
        <f t="shared" si="609"/>
        <v/>
      </c>
      <c r="HK76" s="584" t="str">
        <f t="shared" si="217"/>
        <v/>
      </c>
      <c r="HL76" s="583" t="str">
        <f t="shared" si="495"/>
        <v/>
      </c>
      <c r="HM76" s="643" t="str">
        <f t="shared" si="444"/>
        <v/>
      </c>
      <c r="HN76" s="660" t="str">
        <f t="shared" si="444"/>
        <v/>
      </c>
      <c r="HO76" s="661" t="str">
        <f t="shared" si="444"/>
        <v/>
      </c>
      <c r="HP76" s="656" t="str">
        <f t="shared" si="444"/>
        <v/>
      </c>
      <c r="HQ76" s="660" t="str">
        <f t="shared" si="444"/>
        <v/>
      </c>
      <c r="HR76" s="671" t="str">
        <f t="shared" si="444"/>
        <v/>
      </c>
      <c r="HS76" s="655" t="str">
        <f t="shared" si="444"/>
        <v/>
      </c>
      <c r="HT76" s="648" t="str">
        <f t="shared" si="444"/>
        <v/>
      </c>
      <c r="HU76" s="649" t="str">
        <f t="shared" si="444"/>
        <v/>
      </c>
      <c r="HV76" s="650" t="str">
        <f t="shared" si="444"/>
        <v/>
      </c>
      <c r="HW76" s="648" t="str">
        <f t="shared" si="444"/>
        <v/>
      </c>
      <c r="HX76" s="649" t="str">
        <f t="shared" si="444"/>
        <v/>
      </c>
      <c r="HY76" s="650" t="str">
        <f t="shared" si="444"/>
        <v/>
      </c>
      <c r="HZ76" s="648" t="str">
        <f t="shared" si="444"/>
        <v/>
      </c>
      <c r="IA76" s="649" t="str">
        <f t="shared" si="444"/>
        <v/>
      </c>
      <c r="IB76" s="716"/>
    </row>
    <row r="77" spans="2:238" ht="15" customHeight="1" x14ac:dyDescent="0.25">
      <c r="B77" s="143"/>
      <c r="C77" s="144"/>
      <c r="D77" s="145"/>
      <c r="E77" s="146"/>
      <c r="F77" s="144"/>
      <c r="G77" s="147"/>
      <c r="H77" s="146"/>
      <c r="I77" s="144"/>
      <c r="J77" s="306"/>
      <c r="K77" s="699" t="str">
        <f t="shared" si="610"/>
        <v/>
      </c>
      <c r="M77" s="292" t="str">
        <f t="shared" si="46"/>
        <v/>
      </c>
      <c r="N77" s="24" t="str">
        <f t="shared" si="47"/>
        <v/>
      </c>
      <c r="O77" s="7" t="str">
        <f t="shared" si="48"/>
        <v/>
      </c>
      <c r="P77" s="12" t="str">
        <f t="shared" si="49"/>
        <v/>
      </c>
      <c r="Q77" s="11" t="str">
        <f t="shared" si="473"/>
        <v/>
      </c>
      <c r="R77" s="7" t="str">
        <f t="shared" si="50"/>
        <v/>
      </c>
      <c r="S77" s="8" t="str">
        <f t="shared" si="51"/>
        <v/>
      </c>
      <c r="T77" s="6" t="str">
        <f t="shared" si="52"/>
        <v/>
      </c>
      <c r="U77" s="7" t="str">
        <f t="shared" si="53"/>
        <v/>
      </c>
      <c r="V77" s="10" t="str">
        <f t="shared" si="86"/>
        <v/>
      </c>
      <c r="W77" s="11" t="str">
        <f t="shared" si="214"/>
        <v/>
      </c>
      <c r="X77" s="7" t="str">
        <f t="shared" si="54"/>
        <v/>
      </c>
      <c r="Y77" s="9" t="str">
        <f t="shared" si="611"/>
        <v/>
      </c>
      <c r="Z77" s="24" t="str">
        <f t="shared" si="87"/>
        <v/>
      </c>
      <c r="AA77" s="7" t="str">
        <f t="shared" si="55"/>
        <v/>
      </c>
      <c r="AB77" s="7" t="str">
        <f t="shared" si="56"/>
        <v/>
      </c>
      <c r="AC77" s="10" t="str">
        <f t="shared" si="57"/>
        <v/>
      </c>
      <c r="AD77" s="11" t="str">
        <f t="shared" si="88"/>
        <v/>
      </c>
      <c r="AE77" s="7" t="str">
        <f t="shared" si="58"/>
        <v/>
      </c>
      <c r="AF77" s="12" t="str">
        <f t="shared" si="59"/>
        <v/>
      </c>
      <c r="AG77" s="6" t="str">
        <f t="shared" si="60"/>
        <v/>
      </c>
      <c r="AH77" s="12" t="str">
        <f t="shared" si="61"/>
        <v/>
      </c>
      <c r="AI77" s="11" t="str">
        <f t="shared" si="62"/>
        <v/>
      </c>
      <c r="AJ77" s="8" t="str">
        <f t="shared" si="63"/>
        <v/>
      </c>
      <c r="AK77" s="6" t="str">
        <f t="shared" si="89"/>
        <v/>
      </c>
      <c r="AL77" s="7" t="str">
        <f t="shared" si="64"/>
        <v/>
      </c>
      <c r="AM77" s="8" t="str">
        <f t="shared" si="65"/>
        <v/>
      </c>
      <c r="AN77" s="6" t="str">
        <f t="shared" si="66"/>
        <v/>
      </c>
      <c r="AO77" s="10" t="str">
        <f t="shared" si="376"/>
        <v/>
      </c>
      <c r="AP77" s="11" t="str">
        <f t="shared" si="67"/>
        <v/>
      </c>
      <c r="AQ77" s="8" t="str">
        <f t="shared" si="612"/>
        <v/>
      </c>
      <c r="AS77" s="123" t="str">
        <f t="shared" si="496"/>
        <v/>
      </c>
      <c r="AT77" s="174" t="str">
        <f t="shared" si="68"/>
        <v/>
      </c>
      <c r="AV77" s="292" t="str">
        <f t="shared" si="497"/>
        <v/>
      </c>
      <c r="AW77" s="709"/>
      <c r="AX77" s="710"/>
      <c r="AY77" s="711"/>
      <c r="AZ77" s="565" t="str">
        <f t="shared" si="498"/>
        <v/>
      </c>
      <c r="BA77" s="564" t="str">
        <f t="shared" si="499"/>
        <v/>
      </c>
      <c r="BB77" s="372" t="str">
        <f t="shared" si="474"/>
        <v/>
      </c>
      <c r="BC77" s="11"/>
      <c r="BD77" s="7" t="str">
        <f t="shared" si="475"/>
        <v/>
      </c>
      <c r="BE77" s="8" t="str">
        <f t="shared" si="476"/>
        <v/>
      </c>
      <c r="BF77" s="6" t="str">
        <f t="shared" si="500"/>
        <v/>
      </c>
      <c r="BG77" s="7" t="str">
        <f t="shared" si="501"/>
        <v/>
      </c>
      <c r="BH77" s="12" t="str">
        <f t="shared" si="502"/>
        <v/>
      </c>
      <c r="BI77" s="11" t="str">
        <f t="shared" si="503"/>
        <v/>
      </c>
      <c r="BJ77" s="7" t="str">
        <f t="shared" si="504"/>
        <v/>
      </c>
      <c r="BK77" s="10" t="str">
        <f t="shared" si="505"/>
        <v/>
      </c>
      <c r="BL77" s="328" t="str">
        <f t="shared" si="506"/>
        <v/>
      </c>
      <c r="BM77" s="7" t="str">
        <f t="shared" si="507"/>
        <v/>
      </c>
      <c r="BN77" s="8" t="str">
        <f t="shared" si="508"/>
        <v/>
      </c>
      <c r="BO77" s="6" t="str">
        <f t="shared" si="509"/>
        <v/>
      </c>
      <c r="BP77" s="7" t="str">
        <f t="shared" si="510"/>
        <v/>
      </c>
      <c r="BQ77" s="7" t="str">
        <f t="shared" si="511"/>
        <v/>
      </c>
      <c r="BR77" s="8" t="str">
        <f t="shared" si="512"/>
        <v/>
      </c>
      <c r="BS77" s="6" t="str">
        <f t="shared" si="477"/>
        <v/>
      </c>
      <c r="BT77" s="7" t="str">
        <f t="shared" si="477"/>
        <v/>
      </c>
      <c r="BU77" s="12" t="str">
        <f t="shared" si="478"/>
        <v/>
      </c>
      <c r="BV77" s="11" t="str">
        <f t="shared" si="479"/>
        <v/>
      </c>
      <c r="BW77" s="7" t="str">
        <f t="shared" si="480"/>
        <v/>
      </c>
      <c r="BX77" s="10" t="str">
        <f t="shared" si="481"/>
        <v/>
      </c>
      <c r="BY77" s="328" t="str">
        <f t="shared" si="482"/>
        <v/>
      </c>
      <c r="BZ77" s="7" t="str">
        <f t="shared" si="483"/>
        <v/>
      </c>
      <c r="CA77" s="8" t="str">
        <f t="shared" si="484"/>
        <v/>
      </c>
      <c r="CB77" s="6" t="str">
        <f t="shared" si="513"/>
        <v/>
      </c>
      <c r="CC77" s="7" t="str">
        <f t="shared" si="514"/>
        <v/>
      </c>
      <c r="CD77" s="7" t="str">
        <f t="shared" si="515"/>
        <v/>
      </c>
      <c r="CE77" s="8" t="str">
        <f t="shared" si="516"/>
        <v/>
      </c>
      <c r="CF77" s="6" t="str">
        <f t="shared" si="517"/>
        <v/>
      </c>
      <c r="CG77" s="7" t="str">
        <f t="shared" si="518"/>
        <v/>
      </c>
      <c r="CH77" s="7" t="str">
        <f t="shared" si="519"/>
        <v/>
      </c>
      <c r="CI77" s="6" t="str">
        <f t="shared" si="485"/>
        <v/>
      </c>
      <c r="CJ77" s="7" t="str">
        <f t="shared" si="486"/>
        <v/>
      </c>
      <c r="CK77" s="10" t="str">
        <f t="shared" si="487"/>
        <v/>
      </c>
      <c r="CL77" s="328" t="str">
        <f t="shared" si="488"/>
        <v/>
      </c>
      <c r="CM77" s="7" t="str">
        <f t="shared" si="489"/>
        <v/>
      </c>
      <c r="CN77" s="8" t="str">
        <f t="shared" si="490"/>
        <v/>
      </c>
      <c r="CO77" s="296" t="str">
        <f t="shared" si="613"/>
        <v/>
      </c>
      <c r="CP77" s="6" t="str">
        <f t="shared" si="520"/>
        <v/>
      </c>
      <c r="CQ77" s="7" t="str">
        <f t="shared" si="521"/>
        <v/>
      </c>
      <c r="CR77" s="7" t="str">
        <f t="shared" si="522"/>
        <v/>
      </c>
      <c r="CS77" s="10" t="str">
        <f t="shared" si="523"/>
        <v/>
      </c>
      <c r="CT77" s="11" t="str">
        <f t="shared" si="524"/>
        <v/>
      </c>
      <c r="CU77" s="8" t="str">
        <f t="shared" si="525"/>
        <v/>
      </c>
      <c r="CV77" s="6" t="str">
        <f t="shared" si="526"/>
        <v/>
      </c>
      <c r="CW77" s="7" t="str">
        <f t="shared" si="527"/>
        <v/>
      </c>
      <c r="CX77" s="10" t="str">
        <f t="shared" si="528"/>
        <v/>
      </c>
      <c r="CY77" s="11" t="str">
        <f t="shared" si="529"/>
        <v/>
      </c>
      <c r="CZ77" s="7" t="str">
        <f t="shared" si="530"/>
        <v/>
      </c>
      <c r="DA77" s="8" t="str">
        <f t="shared" si="531"/>
        <v/>
      </c>
      <c r="DB77" s="6" t="str">
        <f t="shared" si="532"/>
        <v/>
      </c>
      <c r="DC77" s="7" t="str">
        <f t="shared" si="532"/>
        <v/>
      </c>
      <c r="DD77" s="12" t="str">
        <f t="shared" si="533"/>
        <v/>
      </c>
      <c r="DE77" s="11" t="str">
        <f t="shared" si="534"/>
        <v/>
      </c>
      <c r="DF77" s="7" t="str">
        <f t="shared" si="534"/>
        <v/>
      </c>
      <c r="DG77" s="12" t="str">
        <f t="shared" si="535"/>
        <v/>
      </c>
      <c r="DH77" s="174" t="str">
        <f t="shared" si="536"/>
        <v/>
      </c>
      <c r="DI77" s="6" t="str">
        <f t="shared" si="537"/>
        <v/>
      </c>
      <c r="DJ77" s="7" t="str">
        <f t="shared" si="538"/>
        <v/>
      </c>
      <c r="DK77" s="12" t="str">
        <f t="shared" si="539"/>
        <v/>
      </c>
      <c r="DL77" s="11" t="str">
        <f t="shared" si="540"/>
        <v/>
      </c>
      <c r="DM77" s="328" t="str">
        <f t="shared" si="541"/>
        <v/>
      </c>
      <c r="DN77" s="376" t="str">
        <f t="shared" si="542"/>
        <v/>
      </c>
      <c r="DO77" s="11" t="str">
        <f t="shared" si="543"/>
        <v/>
      </c>
      <c r="DP77" s="328" t="str">
        <f t="shared" si="544"/>
        <v/>
      </c>
      <c r="DQ77" s="13" t="str">
        <f t="shared" si="545"/>
        <v/>
      </c>
      <c r="DR77" s="328" t="str">
        <f t="shared" si="546"/>
        <v/>
      </c>
      <c r="DS77" s="7" t="str">
        <f t="shared" si="547"/>
        <v/>
      </c>
      <c r="DT77" s="7" t="str">
        <f t="shared" si="548"/>
        <v/>
      </c>
      <c r="DU77" s="7" t="str">
        <f t="shared" si="549"/>
        <v/>
      </c>
      <c r="DV77" s="7" t="str">
        <f t="shared" si="550"/>
        <v/>
      </c>
      <c r="DW77" s="7" t="str">
        <f t="shared" si="551"/>
        <v/>
      </c>
      <c r="DX77" s="296" t="str">
        <f t="shared" si="552"/>
        <v/>
      </c>
      <c r="DY77" s="11" t="str">
        <f t="shared" si="553"/>
        <v/>
      </c>
      <c r="DZ77" s="7" t="str">
        <f t="shared" si="554"/>
        <v/>
      </c>
      <c r="EA77" s="12" t="str">
        <f t="shared" si="555"/>
        <v/>
      </c>
      <c r="EB77" s="8" t="str">
        <f t="shared" si="556"/>
        <v/>
      </c>
      <c r="EC77" s="328" t="str">
        <f t="shared" si="557"/>
        <v/>
      </c>
      <c r="ED77" s="7" t="str">
        <f t="shared" si="558"/>
        <v/>
      </c>
      <c r="EE77" s="6" t="str">
        <f t="shared" si="559"/>
        <v/>
      </c>
      <c r="EF77" s="7" t="str">
        <f t="shared" si="560"/>
        <v/>
      </c>
      <c r="EG77" s="12" t="str">
        <f t="shared" si="561"/>
        <v/>
      </c>
      <c r="EH77" s="11" t="str">
        <f t="shared" si="562"/>
        <v/>
      </c>
      <c r="EI77" s="7" t="str">
        <f t="shared" si="563"/>
        <v/>
      </c>
      <c r="EJ77" s="8" t="str">
        <f t="shared" si="564"/>
        <v/>
      </c>
      <c r="EK77" s="491" t="str">
        <f t="shared" si="565"/>
        <v/>
      </c>
      <c r="EL77" s="493" t="str">
        <f t="shared" si="566"/>
        <v/>
      </c>
      <c r="EM77" s="6" t="str">
        <f t="shared" si="567"/>
        <v/>
      </c>
      <c r="EN77" s="7" t="str">
        <f t="shared" si="568"/>
        <v/>
      </c>
      <c r="EO77" s="12" t="str">
        <f t="shared" si="569"/>
        <v/>
      </c>
      <c r="EP77" s="11" t="str">
        <f t="shared" si="570"/>
        <v/>
      </c>
      <c r="EQ77" s="7" t="str">
        <f t="shared" si="571"/>
        <v/>
      </c>
      <c r="ER77" s="9" t="str">
        <f t="shared" si="572"/>
        <v/>
      </c>
      <c r="ES77" s="24" t="str">
        <f t="shared" si="573"/>
        <v/>
      </c>
      <c r="ET77" s="7" t="str">
        <f t="shared" si="574"/>
        <v/>
      </c>
      <c r="EU77" s="12" t="str">
        <f t="shared" si="575"/>
        <v/>
      </c>
      <c r="EV77" s="337" t="str">
        <f t="shared" si="445"/>
        <v/>
      </c>
      <c r="EW77" s="11" t="str">
        <f t="shared" si="446"/>
        <v/>
      </c>
      <c r="EX77" s="7" t="str">
        <f t="shared" si="447"/>
        <v/>
      </c>
      <c r="EY77" s="8" t="str">
        <f t="shared" si="576"/>
        <v/>
      </c>
      <c r="EZ77" s="123" t="str">
        <f t="shared" si="577"/>
        <v/>
      </c>
      <c r="FA77" s="328" t="str">
        <f t="shared" si="448"/>
        <v/>
      </c>
      <c r="FB77" s="7" t="str">
        <f t="shared" si="449"/>
        <v/>
      </c>
      <c r="FC77" s="8" t="str">
        <f t="shared" si="450"/>
        <v/>
      </c>
      <c r="FD77" s="6" t="str">
        <f t="shared" si="451"/>
        <v/>
      </c>
      <c r="FE77" s="7" t="str">
        <f t="shared" si="452"/>
        <v/>
      </c>
      <c r="FF77" s="9" t="str">
        <f t="shared" si="578"/>
        <v/>
      </c>
      <c r="FG77" s="328" t="str">
        <f t="shared" si="453"/>
        <v/>
      </c>
      <c r="FH77" s="7" t="str">
        <f t="shared" si="454"/>
        <v/>
      </c>
      <c r="FI77" s="12" t="str">
        <f t="shared" si="455"/>
        <v/>
      </c>
      <c r="FJ77" s="547" t="str">
        <f t="shared" si="579"/>
        <v/>
      </c>
      <c r="FK77" s="6" t="str">
        <f t="shared" si="456"/>
        <v/>
      </c>
      <c r="FL77" s="7" t="str">
        <f t="shared" si="491"/>
        <v/>
      </c>
      <c r="FM77" s="10" t="str">
        <f t="shared" si="492"/>
        <v/>
      </c>
      <c r="FN77" s="11" t="str">
        <f t="shared" si="493"/>
        <v/>
      </c>
      <c r="FO77" s="12" t="str">
        <f t="shared" si="457"/>
        <v/>
      </c>
      <c r="FP77" s="545" t="str">
        <f t="shared" si="494"/>
        <v/>
      </c>
      <c r="FQ77" s="328" t="str">
        <f t="shared" si="580"/>
        <v/>
      </c>
      <c r="FR77" s="12" t="str">
        <f t="shared" si="581"/>
        <v/>
      </c>
      <c r="FS77" s="11" t="str">
        <f t="shared" si="582"/>
        <v/>
      </c>
      <c r="FT77" s="8" t="str">
        <f t="shared" si="583"/>
        <v/>
      </c>
      <c r="FU77" s="6" t="str">
        <f t="shared" si="584"/>
        <v/>
      </c>
      <c r="FV77" s="7" t="str">
        <f t="shared" si="585"/>
        <v/>
      </c>
      <c r="FW77" s="10" t="str">
        <f t="shared" si="586"/>
        <v/>
      </c>
      <c r="FX77" s="11" t="str">
        <f t="shared" si="587"/>
        <v/>
      </c>
      <c r="FY77" s="12" t="str">
        <f t="shared" si="458"/>
        <v/>
      </c>
      <c r="FZ77" s="545" t="str">
        <f t="shared" si="588"/>
        <v/>
      </c>
      <c r="GA77" s="372" t="str">
        <f t="shared" si="589"/>
        <v/>
      </c>
      <c r="GB77" s="46" t="str">
        <f t="shared" si="590"/>
        <v/>
      </c>
      <c r="GC77" s="47" t="str">
        <f t="shared" si="591"/>
        <v/>
      </c>
      <c r="GD77" s="578" t="str">
        <f t="shared" si="592"/>
        <v/>
      </c>
      <c r="GE77" s="585" t="str">
        <f t="shared" si="593"/>
        <v/>
      </c>
      <c r="GF77" s="634" t="str">
        <f t="shared" si="594"/>
        <v/>
      </c>
      <c r="GG77" s="553" t="str">
        <f t="shared" si="459"/>
        <v/>
      </c>
      <c r="GH77" s="554" t="str">
        <f t="shared" si="460"/>
        <v/>
      </c>
      <c r="GI77" s="549" t="str">
        <f t="shared" si="461"/>
        <v/>
      </c>
      <c r="GJ77" s="296" t="str">
        <f t="shared" si="595"/>
        <v/>
      </c>
      <c r="GK77" s="337" t="str">
        <f t="shared" si="462"/>
        <v/>
      </c>
      <c r="GL77" s="337" t="str">
        <f t="shared" si="596"/>
        <v/>
      </c>
      <c r="GM77" s="372" t="str">
        <f t="shared" si="597"/>
        <v/>
      </c>
      <c r="GN77" s="548" t="str">
        <f t="shared" si="598"/>
        <v/>
      </c>
      <c r="GO77" s="6" t="str">
        <f t="shared" si="599"/>
        <v/>
      </c>
      <c r="GP77" s="10" t="str">
        <f t="shared" si="600"/>
        <v/>
      </c>
      <c r="GQ77" s="372" t="str">
        <f t="shared" si="601"/>
        <v/>
      </c>
      <c r="GR77" s="697" t="str">
        <f t="shared" si="602"/>
        <v/>
      </c>
      <c r="GS77" s="637" t="str">
        <f t="shared" si="463"/>
        <v/>
      </c>
      <c r="GT77" s="638" t="str">
        <f t="shared" si="464"/>
        <v/>
      </c>
      <c r="GU77" s="639" t="str">
        <f t="shared" si="465"/>
        <v/>
      </c>
      <c r="GV77" s="638" t="str">
        <f t="shared" si="603"/>
        <v/>
      </c>
      <c r="GW77" s="640" t="str">
        <f t="shared" si="466"/>
        <v/>
      </c>
      <c r="GX77" s="641" t="str">
        <f t="shared" si="467"/>
        <v/>
      </c>
      <c r="GY77" s="639" t="str">
        <f t="shared" si="468"/>
        <v/>
      </c>
      <c r="GZ77" s="640" t="str">
        <f t="shared" si="469"/>
        <v/>
      </c>
      <c r="HA77" s="637" t="str">
        <f t="shared" si="470"/>
        <v/>
      </c>
      <c r="HB77" s="7" t="str">
        <f t="shared" si="604"/>
        <v/>
      </c>
      <c r="HC77" s="638" t="str">
        <f t="shared" si="605"/>
        <v/>
      </c>
      <c r="HD77" s="682" t="str">
        <f t="shared" si="606"/>
        <v/>
      </c>
      <c r="HE77" s="639" t="str">
        <f t="shared" si="471"/>
        <v/>
      </c>
      <c r="HF77" s="7" t="str">
        <f t="shared" si="472"/>
        <v/>
      </c>
      <c r="HG77" s="638" t="str">
        <f t="shared" si="607"/>
        <v/>
      </c>
      <c r="HH77" s="644" t="str">
        <f t="shared" si="608"/>
        <v/>
      </c>
      <c r="HI77" s="596" t="str">
        <f t="shared" si="609"/>
        <v/>
      </c>
      <c r="HK77" s="584" t="str">
        <f t="shared" si="217"/>
        <v/>
      </c>
      <c r="HL77" s="583" t="str">
        <f t="shared" si="495"/>
        <v/>
      </c>
      <c r="HM77" s="643" t="str">
        <f t="shared" si="444"/>
        <v/>
      </c>
      <c r="HN77" s="660" t="str">
        <f t="shared" si="444"/>
        <v/>
      </c>
      <c r="HO77" s="661" t="str">
        <f t="shared" si="444"/>
        <v/>
      </c>
      <c r="HP77" s="656" t="str">
        <f t="shared" si="444"/>
        <v/>
      </c>
      <c r="HQ77" s="660" t="str">
        <f t="shared" si="444"/>
        <v/>
      </c>
      <c r="HR77" s="671" t="str">
        <f t="shared" si="444"/>
        <v/>
      </c>
      <c r="HS77" s="655" t="str">
        <f t="shared" si="444"/>
        <v/>
      </c>
      <c r="HT77" s="648" t="str">
        <f t="shared" si="444"/>
        <v/>
      </c>
      <c r="HU77" s="649" t="str">
        <f t="shared" si="444"/>
        <v/>
      </c>
      <c r="HV77" s="650" t="str">
        <f t="shared" si="444"/>
        <v/>
      </c>
      <c r="HW77" s="648" t="str">
        <f t="shared" si="444"/>
        <v/>
      </c>
      <c r="HX77" s="649" t="str">
        <f t="shared" si="444"/>
        <v/>
      </c>
      <c r="HY77" s="650" t="str">
        <f t="shared" si="444"/>
        <v/>
      </c>
      <c r="HZ77" s="648" t="str">
        <f t="shared" si="444"/>
        <v/>
      </c>
      <c r="IA77" s="649" t="str">
        <f t="shared" si="444"/>
        <v/>
      </c>
      <c r="IB77" s="716"/>
    </row>
    <row r="78" spans="2:238" s="35" customFormat="1" ht="15" customHeight="1" x14ac:dyDescent="0.25">
      <c r="B78" s="143"/>
      <c r="C78" s="144"/>
      <c r="D78" s="145"/>
      <c r="E78" s="146"/>
      <c r="F78" s="144"/>
      <c r="G78" s="147"/>
      <c r="H78" s="146"/>
      <c r="I78" s="144"/>
      <c r="J78" s="306"/>
      <c r="K78" s="699" t="str">
        <f t="shared" si="610"/>
        <v/>
      </c>
      <c r="M78" s="292" t="str">
        <f>IF(J78="","",J78)</f>
        <v/>
      </c>
      <c r="N78" s="24" t="str">
        <f>IF(M78="","",B78)</f>
        <v/>
      </c>
      <c r="O78" s="7" t="str">
        <f>IF(M78="","",C78)</f>
        <v/>
      </c>
      <c r="P78" s="12" t="str">
        <f>IF(M78="","",D78)</f>
        <v/>
      </c>
      <c r="Q78" s="11" t="str">
        <f t="shared" si="473"/>
        <v/>
      </c>
      <c r="R78" s="7" t="str">
        <f>IF(M78="","",SQRT(N78^2+O78^2))</f>
        <v/>
      </c>
      <c r="S78" s="8" t="str">
        <f>IF(M78="","",P78)</f>
        <v/>
      </c>
      <c r="T78" s="6" t="str">
        <f>IF(M78="","",X78*COS(RADIANS(W78)))</f>
        <v/>
      </c>
      <c r="U78" s="7" t="str">
        <f>IF(M78="","",X78*SIN(RADIANS(W78)))</f>
        <v/>
      </c>
      <c r="V78" s="10" t="str">
        <f>IF(M78="","",Y78)</f>
        <v/>
      </c>
      <c r="W78" s="11" t="str">
        <f t="shared" si="214"/>
        <v/>
      </c>
      <c r="X78" s="7" t="str">
        <f>IF(M78="","",R78)</f>
        <v/>
      </c>
      <c r="Y78" s="9" t="str">
        <f t="shared" si="611"/>
        <v/>
      </c>
      <c r="Z78" s="24" t="str">
        <f>IF(M78="","",-E78)</f>
        <v/>
      </c>
      <c r="AA78" s="7" t="str">
        <f>IF(M78="","",-F78)</f>
        <v/>
      </c>
      <c r="AB78" s="7" t="str">
        <f>IF(M78="","",-G78)</f>
        <v/>
      </c>
      <c r="AC78" s="10" t="str">
        <f>IF(M78="","",SQRT(Z78^2+AA78^2+AB78^2))</f>
        <v/>
      </c>
      <c r="AD78" s="11" t="str">
        <f>IF(M78="","",Z78*(1/SQRT(Z78^2+AA78^2+AB78^2)))</f>
        <v/>
      </c>
      <c r="AE78" s="7" t="str">
        <f>IF(M78="","",AA78*(1/SQRT(Z78^2+AA78^2+AB78^2)))</f>
        <v/>
      </c>
      <c r="AF78" s="12" t="str">
        <f>IF(M78="","",AB78*(1/SQRT(Z78^2+AA78^2+AB78^2)))</f>
        <v/>
      </c>
      <c r="AG78" s="6" t="str">
        <f>IF(M78="","",DEGREES(ATAN2(-AF78,AE78)))</f>
        <v/>
      </c>
      <c r="AH78" s="12" t="str">
        <f>IF(M78="","",DEGREES(ACOS(AD78)))</f>
        <v/>
      </c>
      <c r="AI78" s="11" t="str">
        <f>IF(M78="","",DEGREES(-ACOS(-AF78)))</f>
        <v/>
      </c>
      <c r="AJ78" s="8" t="str">
        <f>IF(M78="","",DEGREES(ATAN2(-AE78,AD78)))</f>
        <v/>
      </c>
      <c r="AK78" s="6" t="str">
        <f>IF(M78="","",(COS(RADIANS((90-$Q$8)-W78))*AD78)+(-SIN(RADIANS((90-$Q$8)-W78))*AE78))</f>
        <v/>
      </c>
      <c r="AL78" s="7" t="str">
        <f>IF(M78="","",(SIN(RADIANS((90-$Q$8)-W78))*AD78)+(COS(RADIANS((90-$Q$8)-W78))*AE78))</f>
        <v/>
      </c>
      <c r="AM78" s="8" t="str">
        <f>IF(M78="","",AF78)</f>
        <v/>
      </c>
      <c r="AN78" s="6" t="str">
        <f>IF(M78="","",DEGREES(ATAN2(-AM78,AL78)))</f>
        <v/>
      </c>
      <c r="AO78" s="10" t="str">
        <f t="shared" si="376"/>
        <v/>
      </c>
      <c r="AP78" s="11" t="str">
        <f>IF(M78="","",DEGREES(ATAN2(AK78,AL78)))</f>
        <v/>
      </c>
      <c r="AQ78" s="8" t="str">
        <f t="shared" si="612"/>
        <v/>
      </c>
      <c r="AS78" s="123" t="str">
        <f t="shared" si="496"/>
        <v/>
      </c>
      <c r="AT78" s="174" t="str">
        <f>IF(M78="","",Y78+(((AS78-$AS$9)*$AS$6)*-1))</f>
        <v/>
      </c>
      <c r="AV78" s="292" t="str">
        <f t="shared" si="497"/>
        <v/>
      </c>
      <c r="AW78" s="709"/>
      <c r="AX78" s="710"/>
      <c r="AY78" s="711"/>
      <c r="AZ78" s="565" t="str">
        <f t="shared" si="498"/>
        <v/>
      </c>
      <c r="BA78" s="564" t="str">
        <f t="shared" si="499"/>
        <v/>
      </c>
      <c r="BB78" s="372" t="str">
        <f t="shared" si="474"/>
        <v/>
      </c>
      <c r="BC78" s="11"/>
      <c r="BD78" s="7" t="str">
        <f t="shared" si="475"/>
        <v/>
      </c>
      <c r="BE78" s="8" t="str">
        <f t="shared" si="476"/>
        <v/>
      </c>
      <c r="BF78" s="6" t="str">
        <f t="shared" si="500"/>
        <v/>
      </c>
      <c r="BG78" s="7" t="str">
        <f t="shared" si="501"/>
        <v/>
      </c>
      <c r="BH78" s="12" t="str">
        <f t="shared" si="502"/>
        <v/>
      </c>
      <c r="BI78" s="11" t="str">
        <f t="shared" si="503"/>
        <v/>
      </c>
      <c r="BJ78" s="7" t="str">
        <f t="shared" si="504"/>
        <v/>
      </c>
      <c r="BK78" s="10" t="str">
        <f t="shared" si="505"/>
        <v/>
      </c>
      <c r="BL78" s="328" t="str">
        <f t="shared" si="506"/>
        <v/>
      </c>
      <c r="BM78" s="7" t="str">
        <f t="shared" si="507"/>
        <v/>
      </c>
      <c r="BN78" s="8" t="str">
        <f t="shared" si="508"/>
        <v/>
      </c>
      <c r="BO78" s="6" t="str">
        <f t="shared" si="509"/>
        <v/>
      </c>
      <c r="BP78" s="7" t="str">
        <f t="shared" si="510"/>
        <v/>
      </c>
      <c r="BQ78" s="7" t="str">
        <f t="shared" si="511"/>
        <v/>
      </c>
      <c r="BR78" s="8" t="str">
        <f t="shared" si="512"/>
        <v/>
      </c>
      <c r="BS78" s="6" t="str">
        <f t="shared" si="477"/>
        <v/>
      </c>
      <c r="BT78" s="7" t="str">
        <f t="shared" si="477"/>
        <v/>
      </c>
      <c r="BU78" s="12" t="str">
        <f t="shared" si="478"/>
        <v/>
      </c>
      <c r="BV78" s="11" t="str">
        <f t="shared" si="479"/>
        <v/>
      </c>
      <c r="BW78" s="7" t="str">
        <f t="shared" si="480"/>
        <v/>
      </c>
      <c r="BX78" s="10" t="str">
        <f t="shared" si="481"/>
        <v/>
      </c>
      <c r="BY78" s="328" t="str">
        <f t="shared" si="482"/>
        <v/>
      </c>
      <c r="BZ78" s="7" t="str">
        <f t="shared" si="483"/>
        <v/>
      </c>
      <c r="CA78" s="8" t="str">
        <f t="shared" si="484"/>
        <v/>
      </c>
      <c r="CB78" s="6" t="str">
        <f t="shared" si="513"/>
        <v/>
      </c>
      <c r="CC78" s="7" t="str">
        <f t="shared" si="514"/>
        <v/>
      </c>
      <c r="CD78" s="7" t="str">
        <f t="shared" si="515"/>
        <v/>
      </c>
      <c r="CE78" s="8" t="str">
        <f t="shared" si="516"/>
        <v/>
      </c>
      <c r="CF78" s="6" t="str">
        <f t="shared" si="517"/>
        <v/>
      </c>
      <c r="CG78" s="7" t="str">
        <f t="shared" si="518"/>
        <v/>
      </c>
      <c r="CH78" s="7" t="str">
        <f t="shared" si="519"/>
        <v/>
      </c>
      <c r="CI78" s="6" t="str">
        <f t="shared" si="485"/>
        <v/>
      </c>
      <c r="CJ78" s="7" t="str">
        <f t="shared" si="486"/>
        <v/>
      </c>
      <c r="CK78" s="10" t="str">
        <f t="shared" si="487"/>
        <v/>
      </c>
      <c r="CL78" s="328" t="str">
        <f t="shared" si="488"/>
        <v/>
      </c>
      <c r="CM78" s="7" t="str">
        <f t="shared" si="489"/>
        <v/>
      </c>
      <c r="CN78" s="8" t="str">
        <f t="shared" si="490"/>
        <v/>
      </c>
      <c r="CO78" s="296" t="str">
        <f t="shared" si="613"/>
        <v/>
      </c>
      <c r="CP78" s="6" t="str">
        <f t="shared" si="520"/>
        <v/>
      </c>
      <c r="CQ78" s="7" t="str">
        <f t="shared" si="521"/>
        <v/>
      </c>
      <c r="CR78" s="7" t="str">
        <f t="shared" si="522"/>
        <v/>
      </c>
      <c r="CS78" s="10" t="str">
        <f t="shared" si="523"/>
        <v/>
      </c>
      <c r="CT78" s="11" t="str">
        <f t="shared" si="524"/>
        <v/>
      </c>
      <c r="CU78" s="8" t="str">
        <f t="shared" si="525"/>
        <v/>
      </c>
      <c r="CV78" s="6" t="str">
        <f t="shared" si="526"/>
        <v/>
      </c>
      <c r="CW78" s="7" t="str">
        <f t="shared" si="527"/>
        <v/>
      </c>
      <c r="CX78" s="10" t="str">
        <f t="shared" si="528"/>
        <v/>
      </c>
      <c r="CY78" s="11" t="str">
        <f t="shared" si="529"/>
        <v/>
      </c>
      <c r="CZ78" s="7" t="str">
        <f t="shared" si="530"/>
        <v/>
      </c>
      <c r="DA78" s="8" t="str">
        <f t="shared" si="531"/>
        <v/>
      </c>
      <c r="DB78" s="6" t="str">
        <f t="shared" si="532"/>
        <v/>
      </c>
      <c r="DC78" s="7" t="str">
        <f t="shared" si="532"/>
        <v/>
      </c>
      <c r="DD78" s="12" t="str">
        <f t="shared" si="533"/>
        <v/>
      </c>
      <c r="DE78" s="11" t="str">
        <f t="shared" si="534"/>
        <v/>
      </c>
      <c r="DF78" s="7" t="str">
        <f t="shared" si="534"/>
        <v/>
      </c>
      <c r="DG78" s="12" t="str">
        <f t="shared" si="535"/>
        <v/>
      </c>
      <c r="DH78" s="174" t="str">
        <f t="shared" si="536"/>
        <v/>
      </c>
      <c r="DI78" s="6" t="str">
        <f t="shared" si="537"/>
        <v/>
      </c>
      <c r="DJ78" s="7" t="str">
        <f t="shared" si="538"/>
        <v/>
      </c>
      <c r="DK78" s="12" t="str">
        <f t="shared" si="539"/>
        <v/>
      </c>
      <c r="DL78" s="11" t="str">
        <f t="shared" si="540"/>
        <v/>
      </c>
      <c r="DM78" s="328" t="str">
        <f t="shared" si="541"/>
        <v/>
      </c>
      <c r="DN78" s="376" t="str">
        <f t="shared" si="542"/>
        <v/>
      </c>
      <c r="DO78" s="11" t="str">
        <f t="shared" si="543"/>
        <v/>
      </c>
      <c r="DP78" s="328" t="str">
        <f t="shared" si="544"/>
        <v/>
      </c>
      <c r="DQ78" s="13" t="str">
        <f t="shared" si="545"/>
        <v/>
      </c>
      <c r="DR78" s="328" t="str">
        <f t="shared" si="546"/>
        <v/>
      </c>
      <c r="DS78" s="7" t="str">
        <f t="shared" si="547"/>
        <v/>
      </c>
      <c r="DT78" s="7" t="str">
        <f t="shared" si="548"/>
        <v/>
      </c>
      <c r="DU78" s="7" t="str">
        <f t="shared" si="549"/>
        <v/>
      </c>
      <c r="DV78" s="7" t="str">
        <f t="shared" si="550"/>
        <v/>
      </c>
      <c r="DW78" s="7" t="str">
        <f t="shared" si="551"/>
        <v/>
      </c>
      <c r="DX78" s="296" t="str">
        <f t="shared" si="552"/>
        <v/>
      </c>
      <c r="DY78" s="11" t="str">
        <f t="shared" si="553"/>
        <v/>
      </c>
      <c r="DZ78" s="7" t="str">
        <f t="shared" si="554"/>
        <v/>
      </c>
      <c r="EA78" s="12" t="str">
        <f t="shared" si="555"/>
        <v/>
      </c>
      <c r="EB78" s="8" t="str">
        <f t="shared" si="556"/>
        <v/>
      </c>
      <c r="EC78" s="328" t="str">
        <f t="shared" si="557"/>
        <v/>
      </c>
      <c r="ED78" s="7" t="str">
        <f t="shared" si="558"/>
        <v/>
      </c>
      <c r="EE78" s="6" t="str">
        <f t="shared" si="559"/>
        <v/>
      </c>
      <c r="EF78" s="7" t="str">
        <f t="shared" si="560"/>
        <v/>
      </c>
      <c r="EG78" s="12" t="str">
        <f t="shared" si="561"/>
        <v/>
      </c>
      <c r="EH78" s="11" t="str">
        <f t="shared" si="562"/>
        <v/>
      </c>
      <c r="EI78" s="7" t="str">
        <f t="shared" si="563"/>
        <v/>
      </c>
      <c r="EJ78" s="8" t="str">
        <f t="shared" si="564"/>
        <v/>
      </c>
      <c r="EK78" s="491" t="str">
        <f t="shared" si="565"/>
        <v/>
      </c>
      <c r="EL78" s="493" t="str">
        <f t="shared" si="566"/>
        <v/>
      </c>
      <c r="EM78" s="6" t="str">
        <f t="shared" si="567"/>
        <v/>
      </c>
      <c r="EN78" s="7" t="str">
        <f t="shared" si="568"/>
        <v/>
      </c>
      <c r="EO78" s="12" t="str">
        <f t="shared" si="569"/>
        <v/>
      </c>
      <c r="EP78" s="11" t="str">
        <f t="shared" si="570"/>
        <v/>
      </c>
      <c r="EQ78" s="7" t="str">
        <f t="shared" si="571"/>
        <v/>
      </c>
      <c r="ER78" s="9" t="str">
        <f t="shared" si="572"/>
        <v/>
      </c>
      <c r="ES78" s="24" t="str">
        <f t="shared" si="573"/>
        <v/>
      </c>
      <c r="ET78" s="7" t="str">
        <f t="shared" si="574"/>
        <v/>
      </c>
      <c r="EU78" s="12" t="str">
        <f t="shared" si="575"/>
        <v/>
      </c>
      <c r="EV78" s="337" t="str">
        <f t="shared" si="445"/>
        <v/>
      </c>
      <c r="EW78" s="11" t="str">
        <f t="shared" si="446"/>
        <v/>
      </c>
      <c r="EX78" s="7" t="str">
        <f t="shared" si="447"/>
        <v/>
      </c>
      <c r="EY78" s="8" t="str">
        <f t="shared" si="576"/>
        <v/>
      </c>
      <c r="EZ78" s="123" t="str">
        <f t="shared" si="577"/>
        <v/>
      </c>
      <c r="FA78" s="328" t="str">
        <f t="shared" si="448"/>
        <v/>
      </c>
      <c r="FB78" s="7" t="str">
        <f t="shared" si="449"/>
        <v/>
      </c>
      <c r="FC78" s="8" t="str">
        <f t="shared" si="450"/>
        <v/>
      </c>
      <c r="FD78" s="6" t="str">
        <f t="shared" si="451"/>
        <v/>
      </c>
      <c r="FE78" s="7" t="str">
        <f t="shared" si="452"/>
        <v/>
      </c>
      <c r="FF78" s="9" t="str">
        <f t="shared" si="578"/>
        <v/>
      </c>
      <c r="FG78" s="328" t="str">
        <f t="shared" si="453"/>
        <v/>
      </c>
      <c r="FH78" s="7" t="str">
        <f t="shared" si="454"/>
        <v/>
      </c>
      <c r="FI78" s="12" t="str">
        <f t="shared" si="455"/>
        <v/>
      </c>
      <c r="FJ78" s="547" t="str">
        <f t="shared" si="579"/>
        <v/>
      </c>
      <c r="FK78" s="6" t="str">
        <f t="shared" si="456"/>
        <v/>
      </c>
      <c r="FL78" s="7" t="str">
        <f t="shared" si="491"/>
        <v/>
      </c>
      <c r="FM78" s="10" t="str">
        <f t="shared" si="492"/>
        <v/>
      </c>
      <c r="FN78" s="11" t="str">
        <f t="shared" si="493"/>
        <v/>
      </c>
      <c r="FO78" s="12" t="str">
        <f t="shared" si="457"/>
        <v/>
      </c>
      <c r="FP78" s="545" t="str">
        <f t="shared" si="494"/>
        <v/>
      </c>
      <c r="FQ78" s="328" t="str">
        <f t="shared" si="580"/>
        <v/>
      </c>
      <c r="FR78" s="12" t="str">
        <f t="shared" si="581"/>
        <v/>
      </c>
      <c r="FS78" s="11" t="str">
        <f t="shared" si="582"/>
        <v/>
      </c>
      <c r="FT78" s="8" t="str">
        <f t="shared" si="583"/>
        <v/>
      </c>
      <c r="FU78" s="6" t="str">
        <f t="shared" si="584"/>
        <v/>
      </c>
      <c r="FV78" s="7" t="str">
        <f t="shared" si="585"/>
        <v/>
      </c>
      <c r="FW78" s="10" t="str">
        <f t="shared" si="586"/>
        <v/>
      </c>
      <c r="FX78" s="11" t="str">
        <f t="shared" si="587"/>
        <v/>
      </c>
      <c r="FY78" s="12" t="str">
        <f t="shared" si="458"/>
        <v/>
      </c>
      <c r="FZ78" s="545" t="str">
        <f t="shared" si="588"/>
        <v/>
      </c>
      <c r="GA78" s="372" t="str">
        <f t="shared" si="589"/>
        <v/>
      </c>
      <c r="GB78" s="46" t="str">
        <f t="shared" si="590"/>
        <v/>
      </c>
      <c r="GC78" s="47" t="str">
        <f t="shared" si="591"/>
        <v/>
      </c>
      <c r="GD78" s="578" t="str">
        <f t="shared" si="592"/>
        <v/>
      </c>
      <c r="GE78" s="585" t="str">
        <f t="shared" si="593"/>
        <v/>
      </c>
      <c r="GF78" s="634" t="str">
        <f t="shared" si="594"/>
        <v/>
      </c>
      <c r="GG78" s="553" t="str">
        <f t="shared" si="459"/>
        <v/>
      </c>
      <c r="GH78" s="554" t="str">
        <f t="shared" si="460"/>
        <v/>
      </c>
      <c r="GI78" s="549" t="str">
        <f t="shared" si="461"/>
        <v/>
      </c>
      <c r="GJ78" s="296" t="str">
        <f t="shared" si="595"/>
        <v/>
      </c>
      <c r="GK78" s="337" t="str">
        <f t="shared" si="462"/>
        <v/>
      </c>
      <c r="GL78" s="337" t="str">
        <f t="shared" si="596"/>
        <v/>
      </c>
      <c r="GM78" s="372" t="str">
        <f t="shared" si="597"/>
        <v/>
      </c>
      <c r="GN78" s="548" t="str">
        <f t="shared" si="598"/>
        <v/>
      </c>
      <c r="GO78" s="6" t="str">
        <f t="shared" si="599"/>
        <v/>
      </c>
      <c r="GP78" s="10" t="str">
        <f t="shared" si="600"/>
        <v/>
      </c>
      <c r="GQ78" s="372" t="str">
        <f t="shared" si="601"/>
        <v/>
      </c>
      <c r="GR78" s="697" t="str">
        <f t="shared" si="602"/>
        <v/>
      </c>
      <c r="GS78" s="637" t="str">
        <f t="shared" si="463"/>
        <v/>
      </c>
      <c r="GT78" s="638" t="str">
        <f t="shared" si="464"/>
        <v/>
      </c>
      <c r="GU78" s="639" t="str">
        <f t="shared" si="465"/>
        <v/>
      </c>
      <c r="GV78" s="638" t="str">
        <f t="shared" si="603"/>
        <v/>
      </c>
      <c r="GW78" s="640" t="str">
        <f t="shared" si="466"/>
        <v/>
      </c>
      <c r="GX78" s="641" t="str">
        <f t="shared" si="467"/>
        <v/>
      </c>
      <c r="GY78" s="639" t="str">
        <f t="shared" si="468"/>
        <v/>
      </c>
      <c r="GZ78" s="640" t="str">
        <f t="shared" si="469"/>
        <v/>
      </c>
      <c r="HA78" s="637" t="str">
        <f t="shared" si="470"/>
        <v/>
      </c>
      <c r="HB78" s="7" t="str">
        <f t="shared" si="604"/>
        <v/>
      </c>
      <c r="HC78" s="638" t="str">
        <f t="shared" si="605"/>
        <v/>
      </c>
      <c r="HD78" s="682" t="str">
        <f t="shared" si="606"/>
        <v/>
      </c>
      <c r="HE78" s="639" t="str">
        <f t="shared" si="471"/>
        <v/>
      </c>
      <c r="HF78" s="7" t="str">
        <f t="shared" si="472"/>
        <v/>
      </c>
      <c r="HG78" s="638" t="str">
        <f t="shared" si="607"/>
        <v/>
      </c>
      <c r="HH78" s="644" t="str">
        <f t="shared" si="608"/>
        <v/>
      </c>
      <c r="HI78" s="596" t="str">
        <f t="shared" si="609"/>
        <v/>
      </c>
      <c r="HJ78" s="511"/>
      <c r="HK78" s="584" t="str">
        <f t="shared" si="217"/>
        <v/>
      </c>
      <c r="HL78" s="583" t="str">
        <f t="shared" si="495"/>
        <v/>
      </c>
      <c r="HM78" s="643" t="str">
        <f t="shared" si="444"/>
        <v/>
      </c>
      <c r="HN78" s="660" t="str">
        <f t="shared" si="444"/>
        <v/>
      </c>
      <c r="HO78" s="661" t="str">
        <f t="shared" si="444"/>
        <v/>
      </c>
      <c r="HP78" s="656" t="str">
        <f t="shared" si="444"/>
        <v/>
      </c>
      <c r="HQ78" s="660" t="str">
        <f t="shared" si="444"/>
        <v/>
      </c>
      <c r="HR78" s="671" t="str">
        <f t="shared" si="444"/>
        <v/>
      </c>
      <c r="HS78" s="655" t="str">
        <f t="shared" si="444"/>
        <v/>
      </c>
      <c r="HT78" s="648" t="str">
        <f t="shared" si="444"/>
        <v/>
      </c>
      <c r="HU78" s="649" t="str">
        <f t="shared" si="444"/>
        <v/>
      </c>
      <c r="HV78" s="650" t="str">
        <f t="shared" si="444"/>
        <v/>
      </c>
      <c r="HW78" s="648" t="str">
        <f t="shared" si="444"/>
        <v/>
      </c>
      <c r="HX78" s="649" t="str">
        <f t="shared" si="444"/>
        <v/>
      </c>
      <c r="HY78" s="650" t="str">
        <f t="shared" si="444"/>
        <v/>
      </c>
      <c r="HZ78" s="648" t="str">
        <f t="shared" si="444"/>
        <v/>
      </c>
      <c r="IA78" s="649" t="str">
        <f t="shared" si="444"/>
        <v/>
      </c>
      <c r="IB78" s="716"/>
      <c r="ID78" s="511"/>
    </row>
    <row r="79" spans="2:238" s="35" customFormat="1" ht="15" customHeight="1" x14ac:dyDescent="0.25">
      <c r="B79" s="143"/>
      <c r="C79" s="144"/>
      <c r="D79" s="145"/>
      <c r="E79" s="146"/>
      <c r="F79" s="144"/>
      <c r="G79" s="147"/>
      <c r="H79" s="146"/>
      <c r="I79" s="144"/>
      <c r="J79" s="306"/>
      <c r="K79" s="699" t="str">
        <f t="shared" si="610"/>
        <v/>
      </c>
      <c r="M79" s="292" t="str">
        <f>IF(J79="","",J79)</f>
        <v/>
      </c>
      <c r="N79" s="24" t="str">
        <f>IF(M79="","",B79)</f>
        <v/>
      </c>
      <c r="O79" s="7" t="str">
        <f>IF(M79="","",C79)</f>
        <v/>
      </c>
      <c r="P79" s="12" t="str">
        <f>IF(M79="","",D79)</f>
        <v/>
      </c>
      <c r="Q79" s="11" t="str">
        <f t="shared" si="473"/>
        <v/>
      </c>
      <c r="R79" s="7" t="str">
        <f>IF(M79="","",SQRT(N79^2+O79^2))</f>
        <v/>
      </c>
      <c r="S79" s="8" t="str">
        <f>IF(M79="","",P79)</f>
        <v/>
      </c>
      <c r="T79" s="6" t="str">
        <f>IF(M79="","",X79*COS(RADIANS(W79)))</f>
        <v/>
      </c>
      <c r="U79" s="7" t="str">
        <f>IF(M79="","",X79*SIN(RADIANS(W79)))</f>
        <v/>
      </c>
      <c r="V79" s="10" t="str">
        <f>IF(M79="","",Y79)</f>
        <v/>
      </c>
      <c r="W79" s="11" t="str">
        <f t="shared" ref="W79:W130" si="614">IF(M79="","",IF(Q79-$Q$8&lt;0,360+Q79-$Q$8,Q79-$Q$8))</f>
        <v/>
      </c>
      <c r="X79" s="7" t="str">
        <f>IF(M79="","",R79)</f>
        <v/>
      </c>
      <c r="Y79" s="9" t="str">
        <f t="shared" si="611"/>
        <v/>
      </c>
      <c r="Z79" s="24" t="str">
        <f>IF(M79="","",-E79)</f>
        <v/>
      </c>
      <c r="AA79" s="7" t="str">
        <f>IF(M79="","",-F79)</f>
        <v/>
      </c>
      <c r="AB79" s="7" t="str">
        <f>IF(M79="","",-G79)</f>
        <v/>
      </c>
      <c r="AC79" s="10" t="str">
        <f>IF(M79="","",SQRT(Z79^2+AA79^2+AB79^2))</f>
        <v/>
      </c>
      <c r="AD79" s="11" t="str">
        <f>IF(M79="","",Z79*(1/SQRT(Z79^2+AA79^2+AB79^2)))</f>
        <v/>
      </c>
      <c r="AE79" s="7" t="str">
        <f>IF(M79="","",AA79*(1/SQRT(Z79^2+AA79^2+AB79^2)))</f>
        <v/>
      </c>
      <c r="AF79" s="12" t="str">
        <f>IF(M79="","",AB79*(1/SQRT(Z79^2+AA79^2+AB79^2)))</f>
        <v/>
      </c>
      <c r="AG79" s="6" t="str">
        <f>IF(M79="","",DEGREES(ATAN2(-AF79,AE79)))</f>
        <v/>
      </c>
      <c r="AH79" s="12" t="str">
        <f>IF(M79="","",DEGREES(ACOS(AD79)))</f>
        <v/>
      </c>
      <c r="AI79" s="11" t="str">
        <f>IF(M79="","",DEGREES(-ACOS(-AF79)))</f>
        <v/>
      </c>
      <c r="AJ79" s="8" t="str">
        <f>IF(M79="","",DEGREES(ATAN2(-AE79,AD79)))</f>
        <v/>
      </c>
      <c r="AK79" s="6" t="str">
        <f>IF(M79="","",(COS(RADIANS((90-$Q$8)-W79))*AD79)+(-SIN(RADIANS((90-$Q$8)-W79))*AE79))</f>
        <v/>
      </c>
      <c r="AL79" s="7" t="str">
        <f>IF(M79="","",(SIN(RADIANS((90-$Q$8)-W79))*AD79)+(COS(RADIANS((90-$Q$8)-W79))*AE79))</f>
        <v/>
      </c>
      <c r="AM79" s="8" t="str">
        <f>IF(M79="","",AF79)</f>
        <v/>
      </c>
      <c r="AN79" s="6" t="str">
        <f>IF(M79="","",DEGREES(ATAN2(-AM79,AL79)))</f>
        <v/>
      </c>
      <c r="AO79" s="10" t="str">
        <f t="shared" si="376"/>
        <v/>
      </c>
      <c r="AP79" s="11" t="str">
        <f>IF(M79="","",DEGREES(ATAN2(AK79,AL79)))</f>
        <v/>
      </c>
      <c r="AQ79" s="8" t="str">
        <f t="shared" si="612"/>
        <v/>
      </c>
      <c r="AS79" s="123" t="str">
        <f t="shared" si="496"/>
        <v/>
      </c>
      <c r="AT79" s="174" t="str">
        <f>IF(M79="","",Y79+(((AS79-$AS$9)*$AS$6)*-1))</f>
        <v/>
      </c>
      <c r="AV79" s="292" t="str">
        <f t="shared" si="497"/>
        <v/>
      </c>
      <c r="AW79" s="709"/>
      <c r="AX79" s="710"/>
      <c r="AY79" s="711"/>
      <c r="AZ79" s="565" t="str">
        <f t="shared" si="498"/>
        <v/>
      </c>
      <c r="BA79" s="564" t="str">
        <f t="shared" si="499"/>
        <v/>
      </c>
      <c r="BB79" s="372" t="str">
        <f t="shared" si="474"/>
        <v/>
      </c>
      <c r="BC79" s="11"/>
      <c r="BD79" s="7" t="str">
        <f t="shared" si="475"/>
        <v/>
      </c>
      <c r="BE79" s="8" t="str">
        <f t="shared" si="476"/>
        <v/>
      </c>
      <c r="BF79" s="6" t="str">
        <f t="shared" si="500"/>
        <v/>
      </c>
      <c r="BG79" s="7" t="str">
        <f t="shared" si="501"/>
        <v/>
      </c>
      <c r="BH79" s="12" t="str">
        <f t="shared" si="502"/>
        <v/>
      </c>
      <c r="BI79" s="11" t="str">
        <f t="shared" si="503"/>
        <v/>
      </c>
      <c r="BJ79" s="7" t="str">
        <f t="shared" si="504"/>
        <v/>
      </c>
      <c r="BK79" s="10" t="str">
        <f t="shared" si="505"/>
        <v/>
      </c>
      <c r="BL79" s="328" t="str">
        <f t="shared" si="506"/>
        <v/>
      </c>
      <c r="BM79" s="7" t="str">
        <f t="shared" si="507"/>
        <v/>
      </c>
      <c r="BN79" s="8" t="str">
        <f t="shared" si="508"/>
        <v/>
      </c>
      <c r="BO79" s="6" t="str">
        <f t="shared" si="509"/>
        <v/>
      </c>
      <c r="BP79" s="7" t="str">
        <f t="shared" si="510"/>
        <v/>
      </c>
      <c r="BQ79" s="7" t="str">
        <f t="shared" si="511"/>
        <v/>
      </c>
      <c r="BR79" s="8" t="str">
        <f t="shared" si="512"/>
        <v/>
      </c>
      <c r="BS79" s="6" t="str">
        <f t="shared" si="477"/>
        <v/>
      </c>
      <c r="BT79" s="7" t="str">
        <f t="shared" si="477"/>
        <v/>
      </c>
      <c r="BU79" s="12" t="str">
        <f t="shared" si="478"/>
        <v/>
      </c>
      <c r="BV79" s="11" t="str">
        <f t="shared" si="479"/>
        <v/>
      </c>
      <c r="BW79" s="7" t="str">
        <f t="shared" si="480"/>
        <v/>
      </c>
      <c r="BX79" s="10" t="str">
        <f t="shared" si="481"/>
        <v/>
      </c>
      <c r="BY79" s="328" t="str">
        <f t="shared" si="482"/>
        <v/>
      </c>
      <c r="BZ79" s="7" t="str">
        <f t="shared" si="483"/>
        <v/>
      </c>
      <c r="CA79" s="8" t="str">
        <f t="shared" si="484"/>
        <v/>
      </c>
      <c r="CB79" s="6" t="str">
        <f t="shared" si="513"/>
        <v/>
      </c>
      <c r="CC79" s="7" t="str">
        <f t="shared" si="514"/>
        <v/>
      </c>
      <c r="CD79" s="7" t="str">
        <f t="shared" si="515"/>
        <v/>
      </c>
      <c r="CE79" s="8" t="str">
        <f t="shared" si="516"/>
        <v/>
      </c>
      <c r="CF79" s="6" t="str">
        <f t="shared" si="517"/>
        <v/>
      </c>
      <c r="CG79" s="7" t="str">
        <f t="shared" si="518"/>
        <v/>
      </c>
      <c r="CH79" s="7" t="str">
        <f t="shared" si="519"/>
        <v/>
      </c>
      <c r="CI79" s="6" t="str">
        <f t="shared" si="485"/>
        <v/>
      </c>
      <c r="CJ79" s="7" t="str">
        <f t="shared" si="486"/>
        <v/>
      </c>
      <c r="CK79" s="10" t="str">
        <f t="shared" si="487"/>
        <v/>
      </c>
      <c r="CL79" s="328" t="str">
        <f t="shared" si="488"/>
        <v/>
      </c>
      <c r="CM79" s="7" t="str">
        <f t="shared" si="489"/>
        <v/>
      </c>
      <c r="CN79" s="8" t="str">
        <f t="shared" si="490"/>
        <v/>
      </c>
      <c r="CO79" s="296" t="str">
        <f t="shared" si="613"/>
        <v/>
      </c>
      <c r="CP79" s="6" t="str">
        <f t="shared" si="520"/>
        <v/>
      </c>
      <c r="CQ79" s="7" t="str">
        <f t="shared" si="521"/>
        <v/>
      </c>
      <c r="CR79" s="7" t="str">
        <f t="shared" si="522"/>
        <v/>
      </c>
      <c r="CS79" s="10" t="str">
        <f t="shared" si="523"/>
        <v/>
      </c>
      <c r="CT79" s="11" t="str">
        <f t="shared" si="524"/>
        <v/>
      </c>
      <c r="CU79" s="8" t="str">
        <f t="shared" si="525"/>
        <v/>
      </c>
      <c r="CV79" s="6" t="str">
        <f t="shared" si="526"/>
        <v/>
      </c>
      <c r="CW79" s="7" t="str">
        <f t="shared" si="527"/>
        <v/>
      </c>
      <c r="CX79" s="10" t="str">
        <f t="shared" si="528"/>
        <v/>
      </c>
      <c r="CY79" s="11" t="str">
        <f t="shared" si="529"/>
        <v/>
      </c>
      <c r="CZ79" s="7" t="str">
        <f t="shared" si="530"/>
        <v/>
      </c>
      <c r="DA79" s="8" t="str">
        <f t="shared" si="531"/>
        <v/>
      </c>
      <c r="DB79" s="6" t="str">
        <f t="shared" si="532"/>
        <v/>
      </c>
      <c r="DC79" s="7" t="str">
        <f t="shared" si="532"/>
        <v/>
      </c>
      <c r="DD79" s="12" t="str">
        <f t="shared" si="533"/>
        <v/>
      </c>
      <c r="DE79" s="11" t="str">
        <f t="shared" si="534"/>
        <v/>
      </c>
      <c r="DF79" s="7" t="str">
        <f t="shared" si="534"/>
        <v/>
      </c>
      <c r="DG79" s="12" t="str">
        <f t="shared" si="535"/>
        <v/>
      </c>
      <c r="DH79" s="174" t="str">
        <f t="shared" si="536"/>
        <v/>
      </c>
      <c r="DI79" s="6" t="str">
        <f t="shared" si="537"/>
        <v/>
      </c>
      <c r="DJ79" s="7" t="str">
        <f t="shared" si="538"/>
        <v/>
      </c>
      <c r="DK79" s="12" t="str">
        <f t="shared" si="539"/>
        <v/>
      </c>
      <c r="DL79" s="11" t="str">
        <f t="shared" si="540"/>
        <v/>
      </c>
      <c r="DM79" s="328" t="str">
        <f t="shared" si="541"/>
        <v/>
      </c>
      <c r="DN79" s="376" t="str">
        <f t="shared" si="542"/>
        <v/>
      </c>
      <c r="DO79" s="11" t="str">
        <f t="shared" si="543"/>
        <v/>
      </c>
      <c r="DP79" s="328" t="str">
        <f t="shared" si="544"/>
        <v/>
      </c>
      <c r="DQ79" s="13" t="str">
        <f t="shared" si="545"/>
        <v/>
      </c>
      <c r="DR79" s="328" t="str">
        <f t="shared" si="546"/>
        <v/>
      </c>
      <c r="DS79" s="7" t="str">
        <f t="shared" si="547"/>
        <v/>
      </c>
      <c r="DT79" s="7" t="str">
        <f t="shared" si="548"/>
        <v/>
      </c>
      <c r="DU79" s="7" t="str">
        <f t="shared" si="549"/>
        <v/>
      </c>
      <c r="DV79" s="7" t="str">
        <f t="shared" si="550"/>
        <v/>
      </c>
      <c r="DW79" s="7" t="str">
        <f t="shared" si="551"/>
        <v/>
      </c>
      <c r="DX79" s="296" t="str">
        <f t="shared" si="552"/>
        <v/>
      </c>
      <c r="DY79" s="11" t="str">
        <f t="shared" si="553"/>
        <v/>
      </c>
      <c r="DZ79" s="7" t="str">
        <f t="shared" si="554"/>
        <v/>
      </c>
      <c r="EA79" s="12" t="str">
        <f t="shared" si="555"/>
        <v/>
      </c>
      <c r="EB79" s="8" t="str">
        <f t="shared" si="556"/>
        <v/>
      </c>
      <c r="EC79" s="328" t="str">
        <f t="shared" si="557"/>
        <v/>
      </c>
      <c r="ED79" s="7" t="str">
        <f t="shared" si="558"/>
        <v/>
      </c>
      <c r="EE79" s="6" t="str">
        <f t="shared" si="559"/>
        <v/>
      </c>
      <c r="EF79" s="7" t="str">
        <f t="shared" si="560"/>
        <v/>
      </c>
      <c r="EG79" s="12" t="str">
        <f t="shared" si="561"/>
        <v/>
      </c>
      <c r="EH79" s="11" t="str">
        <f t="shared" si="562"/>
        <v/>
      </c>
      <c r="EI79" s="7" t="str">
        <f t="shared" si="563"/>
        <v/>
      </c>
      <c r="EJ79" s="8" t="str">
        <f t="shared" si="564"/>
        <v/>
      </c>
      <c r="EK79" s="491" t="str">
        <f t="shared" si="565"/>
        <v/>
      </c>
      <c r="EL79" s="493" t="str">
        <f t="shared" si="566"/>
        <v/>
      </c>
      <c r="EM79" s="6" t="str">
        <f t="shared" si="567"/>
        <v/>
      </c>
      <c r="EN79" s="7" t="str">
        <f t="shared" si="568"/>
        <v/>
      </c>
      <c r="EO79" s="12" t="str">
        <f t="shared" si="569"/>
        <v/>
      </c>
      <c r="EP79" s="11" t="str">
        <f t="shared" si="570"/>
        <v/>
      </c>
      <c r="EQ79" s="7" t="str">
        <f t="shared" si="571"/>
        <v/>
      </c>
      <c r="ER79" s="9" t="str">
        <f t="shared" si="572"/>
        <v/>
      </c>
      <c r="ES79" s="24" t="str">
        <f t="shared" si="573"/>
        <v/>
      </c>
      <c r="ET79" s="7" t="str">
        <f t="shared" si="574"/>
        <v/>
      </c>
      <c r="EU79" s="12" t="str">
        <f t="shared" si="575"/>
        <v/>
      </c>
      <c r="EV79" s="337" t="str">
        <f t="shared" si="445"/>
        <v/>
      </c>
      <c r="EW79" s="11" t="str">
        <f t="shared" si="446"/>
        <v/>
      </c>
      <c r="EX79" s="7" t="str">
        <f t="shared" si="447"/>
        <v/>
      </c>
      <c r="EY79" s="8" t="str">
        <f t="shared" si="576"/>
        <v/>
      </c>
      <c r="EZ79" s="123" t="str">
        <f t="shared" si="577"/>
        <v/>
      </c>
      <c r="FA79" s="328" t="str">
        <f t="shared" si="448"/>
        <v/>
      </c>
      <c r="FB79" s="7" t="str">
        <f t="shared" si="449"/>
        <v/>
      </c>
      <c r="FC79" s="8" t="str">
        <f t="shared" si="450"/>
        <v/>
      </c>
      <c r="FD79" s="6" t="str">
        <f t="shared" si="451"/>
        <v/>
      </c>
      <c r="FE79" s="7" t="str">
        <f t="shared" si="452"/>
        <v/>
      </c>
      <c r="FF79" s="9" t="str">
        <f t="shared" si="578"/>
        <v/>
      </c>
      <c r="FG79" s="328" t="str">
        <f t="shared" si="453"/>
        <v/>
      </c>
      <c r="FH79" s="7" t="str">
        <f t="shared" si="454"/>
        <v/>
      </c>
      <c r="FI79" s="12" t="str">
        <f t="shared" si="455"/>
        <v/>
      </c>
      <c r="FJ79" s="547" t="str">
        <f t="shared" si="579"/>
        <v/>
      </c>
      <c r="FK79" s="6" t="str">
        <f t="shared" si="456"/>
        <v/>
      </c>
      <c r="FL79" s="7" t="str">
        <f t="shared" si="491"/>
        <v/>
      </c>
      <c r="FM79" s="10" t="str">
        <f t="shared" si="492"/>
        <v/>
      </c>
      <c r="FN79" s="11" t="str">
        <f t="shared" si="493"/>
        <v/>
      </c>
      <c r="FO79" s="12" t="str">
        <f t="shared" si="457"/>
        <v/>
      </c>
      <c r="FP79" s="545" t="str">
        <f t="shared" si="494"/>
        <v/>
      </c>
      <c r="FQ79" s="328" t="str">
        <f t="shared" si="580"/>
        <v/>
      </c>
      <c r="FR79" s="12" t="str">
        <f t="shared" si="581"/>
        <v/>
      </c>
      <c r="FS79" s="11" t="str">
        <f t="shared" si="582"/>
        <v/>
      </c>
      <c r="FT79" s="8" t="str">
        <f t="shared" si="583"/>
        <v/>
      </c>
      <c r="FU79" s="6" t="str">
        <f t="shared" si="584"/>
        <v/>
      </c>
      <c r="FV79" s="7" t="str">
        <f t="shared" si="585"/>
        <v/>
      </c>
      <c r="FW79" s="10" t="str">
        <f t="shared" si="586"/>
        <v/>
      </c>
      <c r="FX79" s="11" t="str">
        <f t="shared" si="587"/>
        <v/>
      </c>
      <c r="FY79" s="12" t="str">
        <f t="shared" si="458"/>
        <v/>
      </c>
      <c r="FZ79" s="545" t="str">
        <f t="shared" si="588"/>
        <v/>
      </c>
      <c r="GA79" s="372" t="str">
        <f t="shared" si="589"/>
        <v/>
      </c>
      <c r="GB79" s="46" t="str">
        <f t="shared" si="590"/>
        <v/>
      </c>
      <c r="GC79" s="47" t="str">
        <f t="shared" si="591"/>
        <v/>
      </c>
      <c r="GD79" s="578" t="str">
        <f t="shared" si="592"/>
        <v/>
      </c>
      <c r="GE79" s="585" t="str">
        <f t="shared" si="593"/>
        <v/>
      </c>
      <c r="GF79" s="634" t="str">
        <f t="shared" si="594"/>
        <v/>
      </c>
      <c r="GG79" s="553" t="str">
        <f t="shared" si="459"/>
        <v/>
      </c>
      <c r="GH79" s="554" t="str">
        <f t="shared" si="460"/>
        <v/>
      </c>
      <c r="GI79" s="549" t="str">
        <f t="shared" si="461"/>
        <v/>
      </c>
      <c r="GJ79" s="296" t="str">
        <f t="shared" si="595"/>
        <v/>
      </c>
      <c r="GK79" s="337" t="str">
        <f t="shared" si="462"/>
        <v/>
      </c>
      <c r="GL79" s="337" t="str">
        <f t="shared" si="596"/>
        <v/>
      </c>
      <c r="GM79" s="372" t="str">
        <f t="shared" si="597"/>
        <v/>
      </c>
      <c r="GN79" s="548" t="str">
        <f t="shared" si="598"/>
        <v/>
      </c>
      <c r="GO79" s="6" t="str">
        <f t="shared" si="599"/>
        <v/>
      </c>
      <c r="GP79" s="10" t="str">
        <f t="shared" si="600"/>
        <v/>
      </c>
      <c r="GQ79" s="372" t="str">
        <f t="shared" si="601"/>
        <v/>
      </c>
      <c r="GR79" s="697" t="str">
        <f t="shared" si="602"/>
        <v/>
      </c>
      <c r="GS79" s="637" t="str">
        <f t="shared" si="463"/>
        <v/>
      </c>
      <c r="GT79" s="638" t="str">
        <f t="shared" si="464"/>
        <v/>
      </c>
      <c r="GU79" s="639" t="str">
        <f t="shared" si="465"/>
        <v/>
      </c>
      <c r="GV79" s="638" t="str">
        <f t="shared" si="603"/>
        <v/>
      </c>
      <c r="GW79" s="640" t="str">
        <f t="shared" si="466"/>
        <v/>
      </c>
      <c r="GX79" s="641" t="str">
        <f t="shared" si="467"/>
        <v/>
      </c>
      <c r="GY79" s="639" t="str">
        <f t="shared" si="468"/>
        <v/>
      </c>
      <c r="GZ79" s="640" t="str">
        <f t="shared" si="469"/>
        <v/>
      </c>
      <c r="HA79" s="637" t="str">
        <f t="shared" si="470"/>
        <v/>
      </c>
      <c r="HB79" s="7" t="str">
        <f t="shared" si="604"/>
        <v/>
      </c>
      <c r="HC79" s="638" t="str">
        <f t="shared" si="605"/>
        <v/>
      </c>
      <c r="HD79" s="682" t="str">
        <f t="shared" si="606"/>
        <v/>
      </c>
      <c r="HE79" s="639" t="str">
        <f t="shared" si="471"/>
        <v/>
      </c>
      <c r="HF79" s="7" t="str">
        <f t="shared" si="472"/>
        <v/>
      </c>
      <c r="HG79" s="638" t="str">
        <f t="shared" si="607"/>
        <v/>
      </c>
      <c r="HH79" s="644" t="str">
        <f t="shared" si="608"/>
        <v/>
      </c>
      <c r="HI79" s="596" t="str">
        <f t="shared" si="609"/>
        <v/>
      </c>
      <c r="HJ79" s="511"/>
      <c r="HK79" s="584" t="str">
        <f t="shared" si="217"/>
        <v/>
      </c>
      <c r="HL79" s="583" t="str">
        <f t="shared" si="495"/>
        <v/>
      </c>
      <c r="HM79" s="643" t="str">
        <f t="shared" ref="HM79:IA88" si="615">IF(ISNUMBER($HL79),VLOOKUP($HL79,$GJ$9:$HI$130,HM$1,FALSE),"")</f>
        <v/>
      </c>
      <c r="HN79" s="660" t="str">
        <f t="shared" si="615"/>
        <v/>
      </c>
      <c r="HO79" s="661" t="str">
        <f t="shared" si="615"/>
        <v/>
      </c>
      <c r="HP79" s="656" t="str">
        <f t="shared" si="615"/>
        <v/>
      </c>
      <c r="HQ79" s="660" t="str">
        <f t="shared" si="615"/>
        <v/>
      </c>
      <c r="HR79" s="671" t="str">
        <f t="shared" si="615"/>
        <v/>
      </c>
      <c r="HS79" s="655" t="str">
        <f t="shared" si="615"/>
        <v/>
      </c>
      <c r="HT79" s="648" t="str">
        <f t="shared" si="615"/>
        <v/>
      </c>
      <c r="HU79" s="649" t="str">
        <f t="shared" si="615"/>
        <v/>
      </c>
      <c r="HV79" s="650" t="str">
        <f t="shared" si="615"/>
        <v/>
      </c>
      <c r="HW79" s="648" t="str">
        <f t="shared" si="615"/>
        <v/>
      </c>
      <c r="HX79" s="649" t="str">
        <f t="shared" si="615"/>
        <v/>
      </c>
      <c r="HY79" s="650" t="str">
        <f t="shared" si="615"/>
        <v/>
      </c>
      <c r="HZ79" s="648" t="str">
        <f t="shared" si="615"/>
        <v/>
      </c>
      <c r="IA79" s="649" t="str">
        <f t="shared" si="615"/>
        <v/>
      </c>
      <c r="IB79" s="716"/>
      <c r="ID79" s="511"/>
    </row>
    <row r="80" spans="2:238" ht="15" customHeight="1" x14ac:dyDescent="0.25">
      <c r="B80" s="143"/>
      <c r="C80" s="144"/>
      <c r="D80" s="145"/>
      <c r="E80" s="146"/>
      <c r="F80" s="144"/>
      <c r="G80" s="147"/>
      <c r="H80" s="146"/>
      <c r="I80" s="144"/>
      <c r="J80" s="306"/>
      <c r="K80" s="699" t="str">
        <f t="shared" si="610"/>
        <v/>
      </c>
      <c r="M80" s="292" t="str">
        <f t="shared" si="46"/>
        <v/>
      </c>
      <c r="N80" s="24" t="str">
        <f t="shared" si="47"/>
        <v/>
      </c>
      <c r="O80" s="7" t="str">
        <f t="shared" si="48"/>
        <v/>
      </c>
      <c r="P80" s="12" t="str">
        <f t="shared" si="49"/>
        <v/>
      </c>
      <c r="Q80" s="11" t="str">
        <f t="shared" si="473"/>
        <v/>
      </c>
      <c r="R80" s="7" t="str">
        <f t="shared" si="50"/>
        <v/>
      </c>
      <c r="S80" s="8" t="str">
        <f t="shared" si="51"/>
        <v/>
      </c>
      <c r="T80" s="6" t="str">
        <f t="shared" si="52"/>
        <v/>
      </c>
      <c r="U80" s="7" t="str">
        <f t="shared" si="53"/>
        <v/>
      </c>
      <c r="V80" s="10" t="str">
        <f t="shared" si="86"/>
        <v/>
      </c>
      <c r="W80" s="11" t="str">
        <f t="shared" si="614"/>
        <v/>
      </c>
      <c r="X80" s="7" t="str">
        <f t="shared" si="54"/>
        <v/>
      </c>
      <c r="Y80" s="9" t="str">
        <f t="shared" si="611"/>
        <v/>
      </c>
      <c r="Z80" s="24" t="str">
        <f t="shared" si="87"/>
        <v/>
      </c>
      <c r="AA80" s="7" t="str">
        <f t="shared" si="55"/>
        <v/>
      </c>
      <c r="AB80" s="7" t="str">
        <f t="shared" si="56"/>
        <v/>
      </c>
      <c r="AC80" s="10" t="str">
        <f t="shared" si="57"/>
        <v/>
      </c>
      <c r="AD80" s="11" t="str">
        <f t="shared" si="88"/>
        <v/>
      </c>
      <c r="AE80" s="7" t="str">
        <f t="shared" si="58"/>
        <v/>
      </c>
      <c r="AF80" s="12" t="str">
        <f t="shared" si="59"/>
        <v/>
      </c>
      <c r="AG80" s="6" t="str">
        <f t="shared" si="60"/>
        <v/>
      </c>
      <c r="AH80" s="12" t="str">
        <f t="shared" si="61"/>
        <v/>
      </c>
      <c r="AI80" s="11" t="str">
        <f t="shared" si="62"/>
        <v/>
      </c>
      <c r="AJ80" s="8" t="str">
        <f t="shared" si="63"/>
        <v/>
      </c>
      <c r="AK80" s="6" t="str">
        <f t="shared" si="89"/>
        <v/>
      </c>
      <c r="AL80" s="7" t="str">
        <f t="shared" si="64"/>
        <v/>
      </c>
      <c r="AM80" s="8" t="str">
        <f t="shared" si="65"/>
        <v/>
      </c>
      <c r="AN80" s="6" t="str">
        <f t="shared" si="66"/>
        <v/>
      </c>
      <c r="AO80" s="10" t="str">
        <f t="shared" si="376"/>
        <v/>
      </c>
      <c r="AP80" s="11" t="str">
        <f t="shared" si="67"/>
        <v/>
      </c>
      <c r="AQ80" s="8" t="str">
        <f t="shared" si="612"/>
        <v/>
      </c>
      <c r="AS80" s="123" t="str">
        <f t="shared" si="496"/>
        <v/>
      </c>
      <c r="AT80" s="174" t="str">
        <f t="shared" si="68"/>
        <v/>
      </c>
      <c r="AV80" s="292" t="str">
        <f t="shared" si="497"/>
        <v/>
      </c>
      <c r="AW80" s="709"/>
      <c r="AX80" s="710"/>
      <c r="AY80" s="711"/>
      <c r="AZ80" s="565" t="str">
        <f t="shared" si="498"/>
        <v/>
      </c>
      <c r="BA80" s="564" t="str">
        <f t="shared" si="499"/>
        <v/>
      </c>
      <c r="BB80" s="372" t="str">
        <f t="shared" si="474"/>
        <v/>
      </c>
      <c r="BC80" s="11"/>
      <c r="BD80" s="7" t="str">
        <f t="shared" si="475"/>
        <v/>
      </c>
      <c r="BE80" s="8" t="str">
        <f t="shared" si="476"/>
        <v/>
      </c>
      <c r="BF80" s="6" t="str">
        <f t="shared" si="500"/>
        <v/>
      </c>
      <c r="BG80" s="7" t="str">
        <f t="shared" si="501"/>
        <v/>
      </c>
      <c r="BH80" s="12" t="str">
        <f t="shared" si="502"/>
        <v/>
      </c>
      <c r="BI80" s="11" t="str">
        <f t="shared" si="503"/>
        <v/>
      </c>
      <c r="BJ80" s="7" t="str">
        <f t="shared" si="504"/>
        <v/>
      </c>
      <c r="BK80" s="10" t="str">
        <f t="shared" si="505"/>
        <v/>
      </c>
      <c r="BL80" s="328" t="str">
        <f t="shared" si="506"/>
        <v/>
      </c>
      <c r="BM80" s="7" t="str">
        <f t="shared" si="507"/>
        <v/>
      </c>
      <c r="BN80" s="8" t="str">
        <f t="shared" si="508"/>
        <v/>
      </c>
      <c r="BO80" s="6" t="str">
        <f t="shared" si="509"/>
        <v/>
      </c>
      <c r="BP80" s="7" t="str">
        <f t="shared" si="510"/>
        <v/>
      </c>
      <c r="BQ80" s="7" t="str">
        <f t="shared" si="511"/>
        <v/>
      </c>
      <c r="BR80" s="8" t="str">
        <f t="shared" si="512"/>
        <v/>
      </c>
      <c r="BS80" s="6" t="str">
        <f t="shared" si="477"/>
        <v/>
      </c>
      <c r="BT80" s="7" t="str">
        <f t="shared" si="477"/>
        <v/>
      </c>
      <c r="BU80" s="12" t="str">
        <f t="shared" si="478"/>
        <v/>
      </c>
      <c r="BV80" s="11" t="str">
        <f t="shared" si="479"/>
        <v/>
      </c>
      <c r="BW80" s="7" t="str">
        <f t="shared" si="480"/>
        <v/>
      </c>
      <c r="BX80" s="10" t="str">
        <f t="shared" si="481"/>
        <v/>
      </c>
      <c r="BY80" s="328" t="str">
        <f t="shared" si="482"/>
        <v/>
      </c>
      <c r="BZ80" s="7" t="str">
        <f t="shared" si="483"/>
        <v/>
      </c>
      <c r="CA80" s="8" t="str">
        <f t="shared" si="484"/>
        <v/>
      </c>
      <c r="CB80" s="6" t="str">
        <f t="shared" si="513"/>
        <v/>
      </c>
      <c r="CC80" s="7" t="str">
        <f t="shared" si="514"/>
        <v/>
      </c>
      <c r="CD80" s="7" t="str">
        <f t="shared" si="515"/>
        <v/>
      </c>
      <c r="CE80" s="8" t="str">
        <f t="shared" si="516"/>
        <v/>
      </c>
      <c r="CF80" s="6" t="str">
        <f t="shared" si="517"/>
        <v/>
      </c>
      <c r="CG80" s="7" t="str">
        <f t="shared" si="518"/>
        <v/>
      </c>
      <c r="CH80" s="7" t="str">
        <f t="shared" si="519"/>
        <v/>
      </c>
      <c r="CI80" s="6" t="str">
        <f t="shared" si="485"/>
        <v/>
      </c>
      <c r="CJ80" s="7" t="str">
        <f t="shared" si="486"/>
        <v/>
      </c>
      <c r="CK80" s="10" t="str">
        <f t="shared" si="487"/>
        <v/>
      </c>
      <c r="CL80" s="328" t="str">
        <f t="shared" si="488"/>
        <v/>
      </c>
      <c r="CM80" s="7" t="str">
        <f t="shared" si="489"/>
        <v/>
      </c>
      <c r="CN80" s="8" t="str">
        <f t="shared" si="490"/>
        <v/>
      </c>
      <c r="CO80" s="296" t="str">
        <f t="shared" si="613"/>
        <v/>
      </c>
      <c r="CP80" s="6" t="str">
        <f t="shared" si="520"/>
        <v/>
      </c>
      <c r="CQ80" s="7" t="str">
        <f t="shared" si="521"/>
        <v/>
      </c>
      <c r="CR80" s="7" t="str">
        <f t="shared" si="522"/>
        <v/>
      </c>
      <c r="CS80" s="10" t="str">
        <f t="shared" si="523"/>
        <v/>
      </c>
      <c r="CT80" s="11" t="str">
        <f t="shared" si="524"/>
        <v/>
      </c>
      <c r="CU80" s="8" t="str">
        <f t="shared" si="525"/>
        <v/>
      </c>
      <c r="CV80" s="6" t="str">
        <f t="shared" si="526"/>
        <v/>
      </c>
      <c r="CW80" s="7" t="str">
        <f t="shared" si="527"/>
        <v/>
      </c>
      <c r="CX80" s="10" t="str">
        <f t="shared" si="528"/>
        <v/>
      </c>
      <c r="CY80" s="11" t="str">
        <f t="shared" si="529"/>
        <v/>
      </c>
      <c r="CZ80" s="7" t="str">
        <f t="shared" si="530"/>
        <v/>
      </c>
      <c r="DA80" s="8" t="str">
        <f t="shared" si="531"/>
        <v/>
      </c>
      <c r="DB80" s="6" t="str">
        <f t="shared" si="532"/>
        <v/>
      </c>
      <c r="DC80" s="7" t="str">
        <f t="shared" si="532"/>
        <v/>
      </c>
      <c r="DD80" s="12" t="str">
        <f t="shared" si="533"/>
        <v/>
      </c>
      <c r="DE80" s="11" t="str">
        <f t="shared" si="534"/>
        <v/>
      </c>
      <c r="DF80" s="7" t="str">
        <f t="shared" si="534"/>
        <v/>
      </c>
      <c r="DG80" s="12" t="str">
        <f t="shared" si="535"/>
        <v/>
      </c>
      <c r="DH80" s="174" t="str">
        <f t="shared" si="536"/>
        <v/>
      </c>
      <c r="DI80" s="6" t="str">
        <f t="shared" si="537"/>
        <v/>
      </c>
      <c r="DJ80" s="7" t="str">
        <f t="shared" si="538"/>
        <v/>
      </c>
      <c r="DK80" s="12" t="str">
        <f t="shared" si="539"/>
        <v/>
      </c>
      <c r="DL80" s="11" t="str">
        <f t="shared" si="540"/>
        <v/>
      </c>
      <c r="DM80" s="328" t="str">
        <f t="shared" si="541"/>
        <v/>
      </c>
      <c r="DN80" s="376" t="str">
        <f t="shared" si="542"/>
        <v/>
      </c>
      <c r="DO80" s="11" t="str">
        <f t="shared" si="543"/>
        <v/>
      </c>
      <c r="DP80" s="328" t="str">
        <f t="shared" si="544"/>
        <v/>
      </c>
      <c r="DQ80" s="13" t="str">
        <f t="shared" si="545"/>
        <v/>
      </c>
      <c r="DR80" s="328" t="str">
        <f t="shared" si="546"/>
        <v/>
      </c>
      <c r="DS80" s="7" t="str">
        <f t="shared" si="547"/>
        <v/>
      </c>
      <c r="DT80" s="7" t="str">
        <f t="shared" si="548"/>
        <v/>
      </c>
      <c r="DU80" s="7" t="str">
        <f t="shared" si="549"/>
        <v/>
      </c>
      <c r="DV80" s="7" t="str">
        <f t="shared" si="550"/>
        <v/>
      </c>
      <c r="DW80" s="7" t="str">
        <f t="shared" si="551"/>
        <v/>
      </c>
      <c r="DX80" s="296" t="str">
        <f t="shared" si="552"/>
        <v/>
      </c>
      <c r="DY80" s="11" t="str">
        <f t="shared" si="553"/>
        <v/>
      </c>
      <c r="DZ80" s="7" t="str">
        <f t="shared" si="554"/>
        <v/>
      </c>
      <c r="EA80" s="12" t="str">
        <f t="shared" si="555"/>
        <v/>
      </c>
      <c r="EB80" s="8" t="str">
        <f t="shared" si="556"/>
        <v/>
      </c>
      <c r="EC80" s="328" t="str">
        <f t="shared" si="557"/>
        <v/>
      </c>
      <c r="ED80" s="7" t="str">
        <f t="shared" si="558"/>
        <v/>
      </c>
      <c r="EE80" s="6" t="str">
        <f t="shared" si="559"/>
        <v/>
      </c>
      <c r="EF80" s="7" t="str">
        <f t="shared" si="560"/>
        <v/>
      </c>
      <c r="EG80" s="12" t="str">
        <f t="shared" si="561"/>
        <v/>
      </c>
      <c r="EH80" s="11" t="str">
        <f t="shared" si="562"/>
        <v/>
      </c>
      <c r="EI80" s="7" t="str">
        <f t="shared" si="563"/>
        <v/>
      </c>
      <c r="EJ80" s="8" t="str">
        <f t="shared" si="564"/>
        <v/>
      </c>
      <c r="EK80" s="491" t="str">
        <f t="shared" si="565"/>
        <v/>
      </c>
      <c r="EL80" s="493" t="str">
        <f t="shared" si="566"/>
        <v/>
      </c>
      <c r="EM80" s="6" t="str">
        <f t="shared" si="567"/>
        <v/>
      </c>
      <c r="EN80" s="7" t="str">
        <f t="shared" si="568"/>
        <v/>
      </c>
      <c r="EO80" s="12" t="str">
        <f t="shared" si="569"/>
        <v/>
      </c>
      <c r="EP80" s="11" t="str">
        <f t="shared" si="570"/>
        <v/>
      </c>
      <c r="EQ80" s="7" t="str">
        <f t="shared" si="571"/>
        <v/>
      </c>
      <c r="ER80" s="9" t="str">
        <f t="shared" si="572"/>
        <v/>
      </c>
      <c r="ES80" s="24" t="str">
        <f t="shared" si="573"/>
        <v/>
      </c>
      <c r="ET80" s="7" t="str">
        <f t="shared" si="574"/>
        <v/>
      </c>
      <c r="EU80" s="12" t="str">
        <f t="shared" si="575"/>
        <v/>
      </c>
      <c r="EV80" s="337" t="str">
        <f t="shared" si="445"/>
        <v/>
      </c>
      <c r="EW80" s="11" t="str">
        <f t="shared" si="446"/>
        <v/>
      </c>
      <c r="EX80" s="7" t="str">
        <f t="shared" si="447"/>
        <v/>
      </c>
      <c r="EY80" s="8" t="str">
        <f t="shared" si="576"/>
        <v/>
      </c>
      <c r="EZ80" s="123" t="str">
        <f t="shared" si="577"/>
        <v/>
      </c>
      <c r="FA80" s="328" t="str">
        <f t="shared" si="448"/>
        <v/>
      </c>
      <c r="FB80" s="7" t="str">
        <f t="shared" si="449"/>
        <v/>
      </c>
      <c r="FC80" s="8" t="str">
        <f t="shared" si="450"/>
        <v/>
      </c>
      <c r="FD80" s="6" t="str">
        <f t="shared" si="451"/>
        <v/>
      </c>
      <c r="FE80" s="7" t="str">
        <f t="shared" si="452"/>
        <v/>
      </c>
      <c r="FF80" s="9" t="str">
        <f t="shared" si="578"/>
        <v/>
      </c>
      <c r="FG80" s="328" t="str">
        <f t="shared" si="453"/>
        <v/>
      </c>
      <c r="FH80" s="7" t="str">
        <f t="shared" si="454"/>
        <v/>
      </c>
      <c r="FI80" s="12" t="str">
        <f t="shared" si="455"/>
        <v/>
      </c>
      <c r="FJ80" s="547" t="str">
        <f t="shared" si="579"/>
        <v/>
      </c>
      <c r="FK80" s="6" t="str">
        <f t="shared" si="456"/>
        <v/>
      </c>
      <c r="FL80" s="7" t="str">
        <f t="shared" si="491"/>
        <v/>
      </c>
      <c r="FM80" s="10" t="str">
        <f t="shared" si="492"/>
        <v/>
      </c>
      <c r="FN80" s="11" t="str">
        <f t="shared" si="493"/>
        <v/>
      </c>
      <c r="FO80" s="12" t="str">
        <f t="shared" si="457"/>
        <v/>
      </c>
      <c r="FP80" s="545" t="str">
        <f t="shared" si="494"/>
        <v/>
      </c>
      <c r="FQ80" s="328" t="str">
        <f t="shared" si="580"/>
        <v/>
      </c>
      <c r="FR80" s="12" t="str">
        <f t="shared" si="581"/>
        <v/>
      </c>
      <c r="FS80" s="11" t="str">
        <f t="shared" si="582"/>
        <v/>
      </c>
      <c r="FT80" s="8" t="str">
        <f t="shared" si="583"/>
        <v/>
      </c>
      <c r="FU80" s="6" t="str">
        <f t="shared" si="584"/>
        <v/>
      </c>
      <c r="FV80" s="7" t="str">
        <f t="shared" si="585"/>
        <v/>
      </c>
      <c r="FW80" s="10" t="str">
        <f t="shared" si="586"/>
        <v/>
      </c>
      <c r="FX80" s="11" t="str">
        <f t="shared" si="587"/>
        <v/>
      </c>
      <c r="FY80" s="12" t="str">
        <f t="shared" si="458"/>
        <v/>
      </c>
      <c r="FZ80" s="545" t="str">
        <f t="shared" si="588"/>
        <v/>
      </c>
      <c r="GA80" s="372" t="str">
        <f t="shared" si="589"/>
        <v/>
      </c>
      <c r="GB80" s="46" t="str">
        <f t="shared" si="590"/>
        <v/>
      </c>
      <c r="GC80" s="47" t="str">
        <f t="shared" si="591"/>
        <v/>
      </c>
      <c r="GD80" s="578" t="str">
        <f t="shared" si="592"/>
        <v/>
      </c>
      <c r="GE80" s="585" t="str">
        <f t="shared" si="593"/>
        <v/>
      </c>
      <c r="GF80" s="634" t="str">
        <f t="shared" si="594"/>
        <v/>
      </c>
      <c r="GG80" s="553" t="str">
        <f t="shared" si="459"/>
        <v/>
      </c>
      <c r="GH80" s="554" t="str">
        <f t="shared" si="460"/>
        <v/>
      </c>
      <c r="GI80" s="549" t="str">
        <f t="shared" si="461"/>
        <v/>
      </c>
      <c r="GJ80" s="296" t="str">
        <f t="shared" si="595"/>
        <v/>
      </c>
      <c r="GK80" s="337" t="str">
        <f t="shared" si="462"/>
        <v/>
      </c>
      <c r="GL80" s="337" t="str">
        <f t="shared" si="596"/>
        <v/>
      </c>
      <c r="GM80" s="372" t="str">
        <f t="shared" si="597"/>
        <v/>
      </c>
      <c r="GN80" s="548" t="str">
        <f t="shared" si="598"/>
        <v/>
      </c>
      <c r="GO80" s="6" t="str">
        <f t="shared" si="599"/>
        <v/>
      </c>
      <c r="GP80" s="10" t="str">
        <f t="shared" si="600"/>
        <v/>
      </c>
      <c r="GQ80" s="372" t="str">
        <f t="shared" si="601"/>
        <v/>
      </c>
      <c r="GR80" s="697" t="str">
        <f t="shared" si="602"/>
        <v/>
      </c>
      <c r="GS80" s="637" t="str">
        <f t="shared" si="463"/>
        <v/>
      </c>
      <c r="GT80" s="638" t="str">
        <f t="shared" si="464"/>
        <v/>
      </c>
      <c r="GU80" s="639" t="str">
        <f t="shared" si="465"/>
        <v/>
      </c>
      <c r="GV80" s="638" t="str">
        <f t="shared" si="603"/>
        <v/>
      </c>
      <c r="GW80" s="640" t="str">
        <f t="shared" si="466"/>
        <v/>
      </c>
      <c r="GX80" s="641" t="str">
        <f t="shared" si="467"/>
        <v/>
      </c>
      <c r="GY80" s="639" t="str">
        <f t="shared" si="468"/>
        <v/>
      </c>
      <c r="GZ80" s="640" t="str">
        <f t="shared" si="469"/>
        <v/>
      </c>
      <c r="HA80" s="637" t="str">
        <f t="shared" si="470"/>
        <v/>
      </c>
      <c r="HB80" s="7" t="str">
        <f t="shared" si="604"/>
        <v/>
      </c>
      <c r="HC80" s="638" t="str">
        <f t="shared" si="605"/>
        <v/>
      </c>
      <c r="HD80" s="682" t="str">
        <f t="shared" si="606"/>
        <v/>
      </c>
      <c r="HE80" s="639" t="str">
        <f t="shared" si="471"/>
        <v/>
      </c>
      <c r="HF80" s="7" t="str">
        <f t="shared" si="472"/>
        <v/>
      </c>
      <c r="HG80" s="638" t="str">
        <f t="shared" si="607"/>
        <v/>
      </c>
      <c r="HH80" s="644" t="str">
        <f t="shared" si="608"/>
        <v/>
      </c>
      <c r="HI80" s="596" t="str">
        <f t="shared" si="609"/>
        <v/>
      </c>
      <c r="HK80" s="584" t="str">
        <f t="shared" si="217"/>
        <v/>
      </c>
      <c r="HL80" s="583" t="str">
        <f t="shared" si="495"/>
        <v/>
      </c>
      <c r="HM80" s="643" t="str">
        <f t="shared" si="615"/>
        <v/>
      </c>
      <c r="HN80" s="660" t="str">
        <f t="shared" si="615"/>
        <v/>
      </c>
      <c r="HO80" s="661" t="str">
        <f t="shared" si="615"/>
        <v/>
      </c>
      <c r="HP80" s="656" t="str">
        <f t="shared" si="615"/>
        <v/>
      </c>
      <c r="HQ80" s="660" t="str">
        <f t="shared" si="615"/>
        <v/>
      </c>
      <c r="HR80" s="671" t="str">
        <f t="shared" si="615"/>
        <v/>
      </c>
      <c r="HS80" s="655" t="str">
        <f t="shared" si="615"/>
        <v/>
      </c>
      <c r="HT80" s="648" t="str">
        <f t="shared" si="615"/>
        <v/>
      </c>
      <c r="HU80" s="649" t="str">
        <f t="shared" si="615"/>
        <v/>
      </c>
      <c r="HV80" s="650" t="str">
        <f t="shared" si="615"/>
        <v/>
      </c>
      <c r="HW80" s="648" t="str">
        <f t="shared" si="615"/>
        <v/>
      </c>
      <c r="HX80" s="649" t="str">
        <f t="shared" si="615"/>
        <v/>
      </c>
      <c r="HY80" s="650" t="str">
        <f t="shared" si="615"/>
        <v/>
      </c>
      <c r="HZ80" s="648" t="str">
        <f t="shared" si="615"/>
        <v/>
      </c>
      <c r="IA80" s="649" t="str">
        <f t="shared" si="615"/>
        <v/>
      </c>
      <c r="IB80" s="716"/>
    </row>
    <row r="81" spans="2:236" ht="15" customHeight="1" x14ac:dyDescent="0.25">
      <c r="B81" s="143"/>
      <c r="C81" s="144"/>
      <c r="D81" s="145"/>
      <c r="E81" s="146"/>
      <c r="F81" s="144"/>
      <c r="G81" s="147"/>
      <c r="H81" s="146"/>
      <c r="I81" s="144"/>
      <c r="J81" s="306"/>
      <c r="K81" s="699" t="str">
        <f t="shared" si="610"/>
        <v/>
      </c>
      <c r="M81" s="292" t="str">
        <f t="shared" si="46"/>
        <v/>
      </c>
      <c r="N81" s="24" t="str">
        <f t="shared" si="47"/>
        <v/>
      </c>
      <c r="O81" s="7" t="str">
        <f t="shared" si="48"/>
        <v/>
      </c>
      <c r="P81" s="12" t="str">
        <f t="shared" si="49"/>
        <v/>
      </c>
      <c r="Q81" s="11" t="str">
        <f t="shared" si="473"/>
        <v/>
      </c>
      <c r="R81" s="7" t="str">
        <f t="shared" si="50"/>
        <v/>
      </c>
      <c r="S81" s="8" t="str">
        <f t="shared" si="51"/>
        <v/>
      </c>
      <c r="T81" s="6" t="str">
        <f t="shared" si="52"/>
        <v/>
      </c>
      <c r="U81" s="7" t="str">
        <f t="shared" si="53"/>
        <v/>
      </c>
      <c r="V81" s="10" t="str">
        <f t="shared" si="86"/>
        <v/>
      </c>
      <c r="W81" s="11" t="str">
        <f t="shared" si="614"/>
        <v/>
      </c>
      <c r="X81" s="7" t="str">
        <f t="shared" si="54"/>
        <v/>
      </c>
      <c r="Y81" s="9" t="str">
        <f t="shared" si="611"/>
        <v/>
      </c>
      <c r="Z81" s="24" t="str">
        <f t="shared" si="87"/>
        <v/>
      </c>
      <c r="AA81" s="7" t="str">
        <f t="shared" si="55"/>
        <v/>
      </c>
      <c r="AB81" s="7" t="str">
        <f t="shared" si="56"/>
        <v/>
      </c>
      <c r="AC81" s="10" t="str">
        <f t="shared" si="57"/>
        <v/>
      </c>
      <c r="AD81" s="11" t="str">
        <f t="shared" si="88"/>
        <v/>
      </c>
      <c r="AE81" s="7" t="str">
        <f t="shared" si="58"/>
        <v/>
      </c>
      <c r="AF81" s="12" t="str">
        <f t="shared" si="59"/>
        <v/>
      </c>
      <c r="AG81" s="6" t="str">
        <f t="shared" si="60"/>
        <v/>
      </c>
      <c r="AH81" s="12" t="str">
        <f t="shared" si="61"/>
        <v/>
      </c>
      <c r="AI81" s="11" t="str">
        <f t="shared" si="62"/>
        <v/>
      </c>
      <c r="AJ81" s="8" t="str">
        <f t="shared" si="63"/>
        <v/>
      </c>
      <c r="AK81" s="6" t="str">
        <f t="shared" si="89"/>
        <v/>
      </c>
      <c r="AL81" s="7" t="str">
        <f t="shared" si="64"/>
        <v/>
      </c>
      <c r="AM81" s="8" t="str">
        <f t="shared" si="65"/>
        <v/>
      </c>
      <c r="AN81" s="6" t="str">
        <f t="shared" si="66"/>
        <v/>
      </c>
      <c r="AO81" s="10" t="str">
        <f t="shared" si="376"/>
        <v/>
      </c>
      <c r="AP81" s="11" t="str">
        <f t="shared" si="67"/>
        <v/>
      </c>
      <c r="AQ81" s="8" t="str">
        <f t="shared" si="612"/>
        <v/>
      </c>
      <c r="AS81" s="123" t="str">
        <f t="shared" si="496"/>
        <v/>
      </c>
      <c r="AT81" s="174" t="str">
        <f t="shared" si="68"/>
        <v/>
      </c>
      <c r="AV81" s="292" t="str">
        <f t="shared" si="497"/>
        <v/>
      </c>
      <c r="AW81" s="709"/>
      <c r="AX81" s="710"/>
      <c r="AY81" s="711"/>
      <c r="AZ81" s="565" t="str">
        <f t="shared" si="498"/>
        <v/>
      </c>
      <c r="BA81" s="564" t="str">
        <f t="shared" si="499"/>
        <v/>
      </c>
      <c r="BB81" s="372" t="str">
        <f t="shared" si="474"/>
        <v/>
      </c>
      <c r="BC81" s="11"/>
      <c r="BD81" s="7" t="str">
        <f t="shared" si="475"/>
        <v/>
      </c>
      <c r="BE81" s="8" t="str">
        <f t="shared" si="476"/>
        <v/>
      </c>
      <c r="BF81" s="6" t="str">
        <f t="shared" si="500"/>
        <v/>
      </c>
      <c r="BG81" s="7" t="str">
        <f t="shared" si="501"/>
        <v/>
      </c>
      <c r="BH81" s="12" t="str">
        <f t="shared" si="502"/>
        <v/>
      </c>
      <c r="BI81" s="11" t="str">
        <f t="shared" si="503"/>
        <v/>
      </c>
      <c r="BJ81" s="7" t="str">
        <f t="shared" si="504"/>
        <v/>
      </c>
      <c r="BK81" s="10" t="str">
        <f t="shared" si="505"/>
        <v/>
      </c>
      <c r="BL81" s="328" t="str">
        <f t="shared" si="506"/>
        <v/>
      </c>
      <c r="BM81" s="7" t="str">
        <f t="shared" si="507"/>
        <v/>
      </c>
      <c r="BN81" s="8" t="str">
        <f t="shared" si="508"/>
        <v/>
      </c>
      <c r="BO81" s="6" t="str">
        <f t="shared" si="509"/>
        <v/>
      </c>
      <c r="BP81" s="7" t="str">
        <f t="shared" si="510"/>
        <v/>
      </c>
      <c r="BQ81" s="7" t="str">
        <f t="shared" si="511"/>
        <v/>
      </c>
      <c r="BR81" s="8" t="str">
        <f t="shared" si="512"/>
        <v/>
      </c>
      <c r="BS81" s="6" t="str">
        <f t="shared" si="477"/>
        <v/>
      </c>
      <c r="BT81" s="7" t="str">
        <f t="shared" si="477"/>
        <v/>
      </c>
      <c r="BU81" s="12" t="str">
        <f t="shared" si="478"/>
        <v/>
      </c>
      <c r="BV81" s="11" t="str">
        <f t="shared" si="479"/>
        <v/>
      </c>
      <c r="BW81" s="7" t="str">
        <f t="shared" si="480"/>
        <v/>
      </c>
      <c r="BX81" s="10" t="str">
        <f t="shared" si="481"/>
        <v/>
      </c>
      <c r="BY81" s="328" t="str">
        <f t="shared" si="482"/>
        <v/>
      </c>
      <c r="BZ81" s="7" t="str">
        <f t="shared" si="483"/>
        <v/>
      </c>
      <c r="CA81" s="8" t="str">
        <f t="shared" si="484"/>
        <v/>
      </c>
      <c r="CB81" s="6" t="str">
        <f t="shared" si="513"/>
        <v/>
      </c>
      <c r="CC81" s="7" t="str">
        <f t="shared" si="514"/>
        <v/>
      </c>
      <c r="CD81" s="7" t="str">
        <f t="shared" si="515"/>
        <v/>
      </c>
      <c r="CE81" s="8" t="str">
        <f t="shared" si="516"/>
        <v/>
      </c>
      <c r="CF81" s="6" t="str">
        <f t="shared" si="517"/>
        <v/>
      </c>
      <c r="CG81" s="7" t="str">
        <f t="shared" si="518"/>
        <v/>
      </c>
      <c r="CH81" s="7" t="str">
        <f t="shared" si="519"/>
        <v/>
      </c>
      <c r="CI81" s="6" t="str">
        <f t="shared" si="485"/>
        <v/>
      </c>
      <c r="CJ81" s="7" t="str">
        <f t="shared" si="486"/>
        <v/>
      </c>
      <c r="CK81" s="10" t="str">
        <f t="shared" si="487"/>
        <v/>
      </c>
      <c r="CL81" s="328" t="str">
        <f t="shared" si="488"/>
        <v/>
      </c>
      <c r="CM81" s="7" t="str">
        <f t="shared" si="489"/>
        <v/>
      </c>
      <c r="CN81" s="8" t="str">
        <f t="shared" si="490"/>
        <v/>
      </c>
      <c r="CO81" s="296" t="str">
        <f t="shared" si="613"/>
        <v/>
      </c>
      <c r="CP81" s="6" t="str">
        <f t="shared" si="520"/>
        <v/>
      </c>
      <c r="CQ81" s="7" t="str">
        <f t="shared" si="521"/>
        <v/>
      </c>
      <c r="CR81" s="7" t="str">
        <f t="shared" si="522"/>
        <v/>
      </c>
      <c r="CS81" s="10" t="str">
        <f t="shared" si="523"/>
        <v/>
      </c>
      <c r="CT81" s="11" t="str">
        <f t="shared" si="524"/>
        <v/>
      </c>
      <c r="CU81" s="8" t="str">
        <f t="shared" si="525"/>
        <v/>
      </c>
      <c r="CV81" s="6" t="str">
        <f t="shared" si="526"/>
        <v/>
      </c>
      <c r="CW81" s="7" t="str">
        <f t="shared" si="527"/>
        <v/>
      </c>
      <c r="CX81" s="10" t="str">
        <f t="shared" si="528"/>
        <v/>
      </c>
      <c r="CY81" s="11" t="str">
        <f t="shared" si="529"/>
        <v/>
      </c>
      <c r="CZ81" s="7" t="str">
        <f t="shared" si="530"/>
        <v/>
      </c>
      <c r="DA81" s="8" t="str">
        <f t="shared" si="531"/>
        <v/>
      </c>
      <c r="DB81" s="6" t="str">
        <f t="shared" si="532"/>
        <v/>
      </c>
      <c r="DC81" s="7" t="str">
        <f t="shared" si="532"/>
        <v/>
      </c>
      <c r="DD81" s="12" t="str">
        <f t="shared" si="533"/>
        <v/>
      </c>
      <c r="DE81" s="11" t="str">
        <f t="shared" si="534"/>
        <v/>
      </c>
      <c r="DF81" s="7" t="str">
        <f t="shared" si="534"/>
        <v/>
      </c>
      <c r="DG81" s="12" t="str">
        <f t="shared" si="535"/>
        <v/>
      </c>
      <c r="DH81" s="174" t="str">
        <f t="shared" si="536"/>
        <v/>
      </c>
      <c r="DI81" s="6" t="str">
        <f t="shared" si="537"/>
        <v/>
      </c>
      <c r="DJ81" s="7" t="str">
        <f t="shared" si="538"/>
        <v/>
      </c>
      <c r="DK81" s="12" t="str">
        <f t="shared" si="539"/>
        <v/>
      </c>
      <c r="DL81" s="11" t="str">
        <f t="shared" si="540"/>
        <v/>
      </c>
      <c r="DM81" s="328" t="str">
        <f t="shared" si="541"/>
        <v/>
      </c>
      <c r="DN81" s="376" t="str">
        <f t="shared" si="542"/>
        <v/>
      </c>
      <c r="DO81" s="11" t="str">
        <f t="shared" si="543"/>
        <v/>
      </c>
      <c r="DP81" s="328" t="str">
        <f t="shared" si="544"/>
        <v/>
      </c>
      <c r="DQ81" s="13" t="str">
        <f t="shared" si="545"/>
        <v/>
      </c>
      <c r="DR81" s="328" t="str">
        <f t="shared" si="546"/>
        <v/>
      </c>
      <c r="DS81" s="7" t="str">
        <f t="shared" si="547"/>
        <v/>
      </c>
      <c r="DT81" s="7" t="str">
        <f t="shared" si="548"/>
        <v/>
      </c>
      <c r="DU81" s="7" t="str">
        <f t="shared" si="549"/>
        <v/>
      </c>
      <c r="DV81" s="7" t="str">
        <f t="shared" si="550"/>
        <v/>
      </c>
      <c r="DW81" s="7" t="str">
        <f t="shared" si="551"/>
        <v/>
      </c>
      <c r="DX81" s="296" t="str">
        <f t="shared" si="552"/>
        <v/>
      </c>
      <c r="DY81" s="11" t="str">
        <f t="shared" si="553"/>
        <v/>
      </c>
      <c r="DZ81" s="7" t="str">
        <f t="shared" si="554"/>
        <v/>
      </c>
      <c r="EA81" s="12" t="str">
        <f t="shared" si="555"/>
        <v/>
      </c>
      <c r="EB81" s="8" t="str">
        <f t="shared" si="556"/>
        <v/>
      </c>
      <c r="EC81" s="328" t="str">
        <f t="shared" si="557"/>
        <v/>
      </c>
      <c r="ED81" s="7" t="str">
        <f t="shared" si="558"/>
        <v/>
      </c>
      <c r="EE81" s="6" t="str">
        <f t="shared" si="559"/>
        <v/>
      </c>
      <c r="EF81" s="7" t="str">
        <f t="shared" si="560"/>
        <v/>
      </c>
      <c r="EG81" s="12" t="str">
        <f t="shared" si="561"/>
        <v/>
      </c>
      <c r="EH81" s="11" t="str">
        <f t="shared" si="562"/>
        <v/>
      </c>
      <c r="EI81" s="7" t="str">
        <f t="shared" si="563"/>
        <v/>
      </c>
      <c r="EJ81" s="8" t="str">
        <f t="shared" si="564"/>
        <v/>
      </c>
      <c r="EK81" s="491" t="str">
        <f t="shared" si="565"/>
        <v/>
      </c>
      <c r="EL81" s="493" t="str">
        <f t="shared" si="566"/>
        <v/>
      </c>
      <c r="EM81" s="6" t="str">
        <f t="shared" si="567"/>
        <v/>
      </c>
      <c r="EN81" s="7" t="str">
        <f t="shared" si="568"/>
        <v/>
      </c>
      <c r="EO81" s="12" t="str">
        <f t="shared" si="569"/>
        <v/>
      </c>
      <c r="EP81" s="11" t="str">
        <f t="shared" si="570"/>
        <v/>
      </c>
      <c r="EQ81" s="7" t="str">
        <f t="shared" si="571"/>
        <v/>
      </c>
      <c r="ER81" s="9" t="str">
        <f t="shared" si="572"/>
        <v/>
      </c>
      <c r="ES81" s="24" t="str">
        <f t="shared" si="573"/>
        <v/>
      </c>
      <c r="ET81" s="7" t="str">
        <f t="shared" si="574"/>
        <v/>
      </c>
      <c r="EU81" s="12" t="str">
        <f t="shared" si="575"/>
        <v/>
      </c>
      <c r="EV81" s="337" t="str">
        <f t="shared" si="445"/>
        <v/>
      </c>
      <c r="EW81" s="11" t="str">
        <f t="shared" si="446"/>
        <v/>
      </c>
      <c r="EX81" s="7" t="str">
        <f t="shared" si="447"/>
        <v/>
      </c>
      <c r="EY81" s="8" t="str">
        <f t="shared" si="576"/>
        <v/>
      </c>
      <c r="EZ81" s="123" t="str">
        <f t="shared" si="577"/>
        <v/>
      </c>
      <c r="FA81" s="328" t="str">
        <f t="shared" si="448"/>
        <v/>
      </c>
      <c r="FB81" s="7" t="str">
        <f t="shared" si="449"/>
        <v/>
      </c>
      <c r="FC81" s="8" t="str">
        <f t="shared" si="450"/>
        <v/>
      </c>
      <c r="FD81" s="6" t="str">
        <f t="shared" si="451"/>
        <v/>
      </c>
      <c r="FE81" s="7" t="str">
        <f t="shared" si="452"/>
        <v/>
      </c>
      <c r="FF81" s="9" t="str">
        <f t="shared" si="578"/>
        <v/>
      </c>
      <c r="FG81" s="328" t="str">
        <f t="shared" si="453"/>
        <v/>
      </c>
      <c r="FH81" s="7" t="str">
        <f t="shared" si="454"/>
        <v/>
      </c>
      <c r="FI81" s="12" t="str">
        <f t="shared" si="455"/>
        <v/>
      </c>
      <c r="FJ81" s="547" t="str">
        <f t="shared" si="579"/>
        <v/>
      </c>
      <c r="FK81" s="6" t="str">
        <f t="shared" si="456"/>
        <v/>
      </c>
      <c r="FL81" s="7" t="str">
        <f t="shared" si="491"/>
        <v/>
      </c>
      <c r="FM81" s="10" t="str">
        <f t="shared" si="492"/>
        <v/>
      </c>
      <c r="FN81" s="11" t="str">
        <f t="shared" si="493"/>
        <v/>
      </c>
      <c r="FO81" s="12" t="str">
        <f t="shared" si="457"/>
        <v/>
      </c>
      <c r="FP81" s="545" t="str">
        <f t="shared" si="494"/>
        <v/>
      </c>
      <c r="FQ81" s="328" t="str">
        <f t="shared" si="580"/>
        <v/>
      </c>
      <c r="FR81" s="12" t="str">
        <f t="shared" si="581"/>
        <v/>
      </c>
      <c r="FS81" s="11" t="str">
        <f t="shared" si="582"/>
        <v/>
      </c>
      <c r="FT81" s="8" t="str">
        <f t="shared" si="583"/>
        <v/>
      </c>
      <c r="FU81" s="6" t="str">
        <f t="shared" si="584"/>
        <v/>
      </c>
      <c r="FV81" s="7" t="str">
        <f t="shared" si="585"/>
        <v/>
      </c>
      <c r="FW81" s="10" t="str">
        <f t="shared" si="586"/>
        <v/>
      </c>
      <c r="FX81" s="11" t="str">
        <f t="shared" si="587"/>
        <v/>
      </c>
      <c r="FY81" s="12" t="str">
        <f t="shared" si="458"/>
        <v/>
      </c>
      <c r="FZ81" s="545" t="str">
        <f t="shared" si="588"/>
        <v/>
      </c>
      <c r="GA81" s="372" t="str">
        <f t="shared" si="589"/>
        <v/>
      </c>
      <c r="GB81" s="46" t="str">
        <f t="shared" si="590"/>
        <v/>
      </c>
      <c r="GC81" s="47" t="str">
        <f t="shared" si="591"/>
        <v/>
      </c>
      <c r="GD81" s="578" t="str">
        <f t="shared" si="592"/>
        <v/>
      </c>
      <c r="GE81" s="585" t="str">
        <f t="shared" si="593"/>
        <v/>
      </c>
      <c r="GF81" s="634" t="str">
        <f t="shared" si="594"/>
        <v/>
      </c>
      <c r="GG81" s="553" t="str">
        <f t="shared" si="459"/>
        <v/>
      </c>
      <c r="GH81" s="554" t="str">
        <f t="shared" si="460"/>
        <v/>
      </c>
      <c r="GI81" s="549" t="str">
        <f t="shared" si="461"/>
        <v/>
      </c>
      <c r="GJ81" s="296" t="str">
        <f t="shared" si="595"/>
        <v/>
      </c>
      <c r="GK81" s="337" t="str">
        <f t="shared" si="462"/>
        <v/>
      </c>
      <c r="GL81" s="337" t="str">
        <f t="shared" si="596"/>
        <v/>
      </c>
      <c r="GM81" s="372" t="str">
        <f t="shared" si="597"/>
        <v/>
      </c>
      <c r="GN81" s="548" t="str">
        <f t="shared" si="598"/>
        <v/>
      </c>
      <c r="GO81" s="6" t="str">
        <f t="shared" si="599"/>
        <v/>
      </c>
      <c r="GP81" s="10" t="str">
        <f t="shared" si="600"/>
        <v/>
      </c>
      <c r="GQ81" s="372" t="str">
        <f t="shared" si="601"/>
        <v/>
      </c>
      <c r="GR81" s="697" t="str">
        <f t="shared" si="602"/>
        <v/>
      </c>
      <c r="GS81" s="637" t="str">
        <f t="shared" si="463"/>
        <v/>
      </c>
      <c r="GT81" s="638" t="str">
        <f t="shared" si="464"/>
        <v/>
      </c>
      <c r="GU81" s="639" t="str">
        <f t="shared" si="465"/>
        <v/>
      </c>
      <c r="GV81" s="638" t="str">
        <f t="shared" si="603"/>
        <v/>
      </c>
      <c r="GW81" s="640" t="str">
        <f t="shared" si="466"/>
        <v/>
      </c>
      <c r="GX81" s="641" t="str">
        <f t="shared" si="467"/>
        <v/>
      </c>
      <c r="GY81" s="639" t="str">
        <f t="shared" si="468"/>
        <v/>
      </c>
      <c r="GZ81" s="640" t="str">
        <f t="shared" si="469"/>
        <v/>
      </c>
      <c r="HA81" s="637" t="str">
        <f t="shared" si="470"/>
        <v/>
      </c>
      <c r="HB81" s="7" t="str">
        <f t="shared" si="604"/>
        <v/>
      </c>
      <c r="HC81" s="638" t="str">
        <f t="shared" si="605"/>
        <v/>
      </c>
      <c r="HD81" s="682" t="str">
        <f t="shared" si="606"/>
        <v/>
      </c>
      <c r="HE81" s="639" t="str">
        <f t="shared" si="471"/>
        <v/>
      </c>
      <c r="HF81" s="7" t="str">
        <f t="shared" si="472"/>
        <v/>
      </c>
      <c r="HG81" s="638" t="str">
        <f t="shared" si="607"/>
        <v/>
      </c>
      <c r="HH81" s="644" t="str">
        <f t="shared" si="608"/>
        <v/>
      </c>
      <c r="HI81" s="596" t="str">
        <f t="shared" si="609"/>
        <v/>
      </c>
      <c r="HK81" s="584" t="str">
        <f t="shared" si="217"/>
        <v/>
      </c>
      <c r="HL81" s="583" t="str">
        <f t="shared" si="495"/>
        <v/>
      </c>
      <c r="HM81" s="643" t="str">
        <f t="shared" si="615"/>
        <v/>
      </c>
      <c r="HN81" s="660" t="str">
        <f t="shared" si="615"/>
        <v/>
      </c>
      <c r="HO81" s="661" t="str">
        <f t="shared" si="615"/>
        <v/>
      </c>
      <c r="HP81" s="656" t="str">
        <f t="shared" si="615"/>
        <v/>
      </c>
      <c r="HQ81" s="660" t="str">
        <f t="shared" si="615"/>
        <v/>
      </c>
      <c r="HR81" s="671" t="str">
        <f t="shared" si="615"/>
        <v/>
      </c>
      <c r="HS81" s="655" t="str">
        <f t="shared" si="615"/>
        <v/>
      </c>
      <c r="HT81" s="648" t="str">
        <f t="shared" si="615"/>
        <v/>
      </c>
      <c r="HU81" s="649" t="str">
        <f t="shared" si="615"/>
        <v/>
      </c>
      <c r="HV81" s="650" t="str">
        <f t="shared" si="615"/>
        <v/>
      </c>
      <c r="HW81" s="648" t="str">
        <f t="shared" si="615"/>
        <v/>
      </c>
      <c r="HX81" s="649" t="str">
        <f t="shared" si="615"/>
        <v/>
      </c>
      <c r="HY81" s="650" t="str">
        <f t="shared" si="615"/>
        <v/>
      </c>
      <c r="HZ81" s="648" t="str">
        <f t="shared" si="615"/>
        <v/>
      </c>
      <c r="IA81" s="649" t="str">
        <f t="shared" si="615"/>
        <v/>
      </c>
      <c r="IB81" s="716"/>
    </row>
    <row r="82" spans="2:236" ht="15" customHeight="1" x14ac:dyDescent="0.25">
      <c r="B82" s="143"/>
      <c r="C82" s="144"/>
      <c r="D82" s="145"/>
      <c r="E82" s="146"/>
      <c r="F82" s="144"/>
      <c r="G82" s="147"/>
      <c r="H82" s="146"/>
      <c r="I82" s="144"/>
      <c r="J82" s="306"/>
      <c r="K82" s="699" t="str">
        <f t="shared" si="610"/>
        <v/>
      </c>
      <c r="M82" s="292" t="str">
        <f t="shared" si="46"/>
        <v/>
      </c>
      <c r="N82" s="24" t="str">
        <f t="shared" si="47"/>
        <v/>
      </c>
      <c r="O82" s="7" t="str">
        <f t="shared" si="48"/>
        <v/>
      </c>
      <c r="P82" s="12" t="str">
        <f t="shared" si="49"/>
        <v/>
      </c>
      <c r="Q82" s="11" t="str">
        <f t="shared" si="473"/>
        <v/>
      </c>
      <c r="R82" s="7" t="str">
        <f t="shared" si="50"/>
        <v/>
      </c>
      <c r="S82" s="8" t="str">
        <f t="shared" si="51"/>
        <v/>
      </c>
      <c r="T82" s="6" t="str">
        <f t="shared" si="52"/>
        <v/>
      </c>
      <c r="U82" s="7" t="str">
        <f t="shared" si="53"/>
        <v/>
      </c>
      <c r="V82" s="10" t="str">
        <f t="shared" si="86"/>
        <v/>
      </c>
      <c r="W82" s="11" t="str">
        <f t="shared" si="614"/>
        <v/>
      </c>
      <c r="X82" s="7" t="str">
        <f t="shared" si="54"/>
        <v/>
      </c>
      <c r="Y82" s="9" t="str">
        <f t="shared" si="611"/>
        <v/>
      </c>
      <c r="Z82" s="24" t="str">
        <f t="shared" si="87"/>
        <v/>
      </c>
      <c r="AA82" s="7" t="str">
        <f t="shared" si="55"/>
        <v/>
      </c>
      <c r="AB82" s="7" t="str">
        <f t="shared" si="56"/>
        <v/>
      </c>
      <c r="AC82" s="10" t="str">
        <f t="shared" si="57"/>
        <v/>
      </c>
      <c r="AD82" s="11" t="str">
        <f t="shared" si="88"/>
        <v/>
      </c>
      <c r="AE82" s="7" t="str">
        <f t="shared" si="58"/>
        <v/>
      </c>
      <c r="AF82" s="12" t="str">
        <f t="shared" si="59"/>
        <v/>
      </c>
      <c r="AG82" s="6" t="str">
        <f t="shared" si="60"/>
        <v/>
      </c>
      <c r="AH82" s="12" t="str">
        <f t="shared" si="61"/>
        <v/>
      </c>
      <c r="AI82" s="11" t="str">
        <f t="shared" si="62"/>
        <v/>
      </c>
      <c r="AJ82" s="8" t="str">
        <f t="shared" si="63"/>
        <v/>
      </c>
      <c r="AK82" s="6" t="str">
        <f t="shared" si="89"/>
        <v/>
      </c>
      <c r="AL82" s="7" t="str">
        <f t="shared" si="64"/>
        <v/>
      </c>
      <c r="AM82" s="8" t="str">
        <f t="shared" si="65"/>
        <v/>
      </c>
      <c r="AN82" s="6" t="str">
        <f t="shared" si="66"/>
        <v/>
      </c>
      <c r="AO82" s="10" t="str">
        <f t="shared" si="376"/>
        <v/>
      </c>
      <c r="AP82" s="11" t="str">
        <f t="shared" si="67"/>
        <v/>
      </c>
      <c r="AQ82" s="8" t="str">
        <f t="shared" si="612"/>
        <v/>
      </c>
      <c r="AS82" s="123" t="str">
        <f t="shared" si="496"/>
        <v/>
      </c>
      <c r="AT82" s="174" t="str">
        <f t="shared" si="68"/>
        <v/>
      </c>
      <c r="AV82" s="292" t="str">
        <f t="shared" si="497"/>
        <v/>
      </c>
      <c r="AW82" s="709"/>
      <c r="AX82" s="710"/>
      <c r="AY82" s="711"/>
      <c r="AZ82" s="565" t="str">
        <f t="shared" si="498"/>
        <v/>
      </c>
      <c r="BA82" s="564" t="str">
        <f t="shared" si="499"/>
        <v/>
      </c>
      <c r="BB82" s="372" t="str">
        <f t="shared" si="474"/>
        <v/>
      </c>
      <c r="BC82" s="11"/>
      <c r="BD82" s="7" t="str">
        <f t="shared" si="475"/>
        <v/>
      </c>
      <c r="BE82" s="8" t="str">
        <f t="shared" si="476"/>
        <v/>
      </c>
      <c r="BF82" s="6" t="str">
        <f t="shared" si="500"/>
        <v/>
      </c>
      <c r="BG82" s="7" t="str">
        <f t="shared" si="501"/>
        <v/>
      </c>
      <c r="BH82" s="12" t="str">
        <f t="shared" si="502"/>
        <v/>
      </c>
      <c r="BI82" s="11" t="str">
        <f t="shared" si="503"/>
        <v/>
      </c>
      <c r="BJ82" s="7" t="str">
        <f t="shared" si="504"/>
        <v/>
      </c>
      <c r="BK82" s="10" t="str">
        <f t="shared" si="505"/>
        <v/>
      </c>
      <c r="BL82" s="328" t="str">
        <f t="shared" si="506"/>
        <v/>
      </c>
      <c r="BM82" s="7" t="str">
        <f t="shared" si="507"/>
        <v/>
      </c>
      <c r="BN82" s="8" t="str">
        <f t="shared" si="508"/>
        <v/>
      </c>
      <c r="BO82" s="6" t="str">
        <f t="shared" si="509"/>
        <v/>
      </c>
      <c r="BP82" s="7" t="str">
        <f t="shared" si="510"/>
        <v/>
      </c>
      <c r="BQ82" s="7" t="str">
        <f t="shared" si="511"/>
        <v/>
      </c>
      <c r="BR82" s="8" t="str">
        <f t="shared" si="512"/>
        <v/>
      </c>
      <c r="BS82" s="6" t="str">
        <f t="shared" si="477"/>
        <v/>
      </c>
      <c r="BT82" s="7" t="str">
        <f t="shared" si="477"/>
        <v/>
      </c>
      <c r="BU82" s="12" t="str">
        <f t="shared" si="478"/>
        <v/>
      </c>
      <c r="BV82" s="11" t="str">
        <f t="shared" si="479"/>
        <v/>
      </c>
      <c r="BW82" s="7" t="str">
        <f t="shared" si="480"/>
        <v/>
      </c>
      <c r="BX82" s="10" t="str">
        <f t="shared" si="481"/>
        <v/>
      </c>
      <c r="BY82" s="328" t="str">
        <f t="shared" si="482"/>
        <v/>
      </c>
      <c r="BZ82" s="7" t="str">
        <f t="shared" si="483"/>
        <v/>
      </c>
      <c r="CA82" s="8" t="str">
        <f t="shared" si="484"/>
        <v/>
      </c>
      <c r="CB82" s="6" t="str">
        <f t="shared" si="513"/>
        <v/>
      </c>
      <c r="CC82" s="7" t="str">
        <f t="shared" si="514"/>
        <v/>
      </c>
      <c r="CD82" s="7" t="str">
        <f t="shared" si="515"/>
        <v/>
      </c>
      <c r="CE82" s="8" t="str">
        <f t="shared" si="516"/>
        <v/>
      </c>
      <c r="CF82" s="6" t="str">
        <f t="shared" si="517"/>
        <v/>
      </c>
      <c r="CG82" s="7" t="str">
        <f t="shared" si="518"/>
        <v/>
      </c>
      <c r="CH82" s="7" t="str">
        <f t="shared" si="519"/>
        <v/>
      </c>
      <c r="CI82" s="6" t="str">
        <f t="shared" si="485"/>
        <v/>
      </c>
      <c r="CJ82" s="7" t="str">
        <f t="shared" si="486"/>
        <v/>
      </c>
      <c r="CK82" s="10" t="str">
        <f t="shared" si="487"/>
        <v/>
      </c>
      <c r="CL82" s="328" t="str">
        <f t="shared" si="488"/>
        <v/>
      </c>
      <c r="CM82" s="7" t="str">
        <f t="shared" si="489"/>
        <v/>
      </c>
      <c r="CN82" s="8" t="str">
        <f t="shared" si="490"/>
        <v/>
      </c>
      <c r="CO82" s="296" t="str">
        <f t="shared" si="613"/>
        <v/>
      </c>
      <c r="CP82" s="6" t="str">
        <f t="shared" si="520"/>
        <v/>
      </c>
      <c r="CQ82" s="7" t="str">
        <f t="shared" si="521"/>
        <v/>
      </c>
      <c r="CR82" s="7" t="str">
        <f t="shared" si="522"/>
        <v/>
      </c>
      <c r="CS82" s="10" t="str">
        <f t="shared" si="523"/>
        <v/>
      </c>
      <c r="CT82" s="11" t="str">
        <f t="shared" si="524"/>
        <v/>
      </c>
      <c r="CU82" s="8" t="str">
        <f t="shared" si="525"/>
        <v/>
      </c>
      <c r="CV82" s="6" t="str">
        <f t="shared" si="526"/>
        <v/>
      </c>
      <c r="CW82" s="7" t="str">
        <f t="shared" si="527"/>
        <v/>
      </c>
      <c r="CX82" s="10" t="str">
        <f t="shared" si="528"/>
        <v/>
      </c>
      <c r="CY82" s="11" t="str">
        <f t="shared" si="529"/>
        <v/>
      </c>
      <c r="CZ82" s="7" t="str">
        <f t="shared" si="530"/>
        <v/>
      </c>
      <c r="DA82" s="8" t="str">
        <f t="shared" si="531"/>
        <v/>
      </c>
      <c r="DB82" s="6" t="str">
        <f t="shared" si="532"/>
        <v/>
      </c>
      <c r="DC82" s="7" t="str">
        <f t="shared" si="532"/>
        <v/>
      </c>
      <c r="DD82" s="12" t="str">
        <f t="shared" si="533"/>
        <v/>
      </c>
      <c r="DE82" s="11" t="str">
        <f t="shared" si="534"/>
        <v/>
      </c>
      <c r="DF82" s="7" t="str">
        <f t="shared" si="534"/>
        <v/>
      </c>
      <c r="DG82" s="12" t="str">
        <f t="shared" si="535"/>
        <v/>
      </c>
      <c r="DH82" s="174" t="str">
        <f t="shared" si="536"/>
        <v/>
      </c>
      <c r="DI82" s="6" t="str">
        <f t="shared" si="537"/>
        <v/>
      </c>
      <c r="DJ82" s="7" t="str">
        <f t="shared" si="538"/>
        <v/>
      </c>
      <c r="DK82" s="12" t="str">
        <f t="shared" si="539"/>
        <v/>
      </c>
      <c r="DL82" s="11" t="str">
        <f t="shared" si="540"/>
        <v/>
      </c>
      <c r="DM82" s="328" t="str">
        <f t="shared" si="541"/>
        <v/>
      </c>
      <c r="DN82" s="376" t="str">
        <f t="shared" si="542"/>
        <v/>
      </c>
      <c r="DO82" s="11" t="str">
        <f t="shared" si="543"/>
        <v/>
      </c>
      <c r="DP82" s="328" t="str">
        <f t="shared" si="544"/>
        <v/>
      </c>
      <c r="DQ82" s="13" t="str">
        <f t="shared" si="545"/>
        <v/>
      </c>
      <c r="DR82" s="328" t="str">
        <f t="shared" si="546"/>
        <v/>
      </c>
      <c r="DS82" s="7" t="str">
        <f t="shared" si="547"/>
        <v/>
      </c>
      <c r="DT82" s="7" t="str">
        <f t="shared" si="548"/>
        <v/>
      </c>
      <c r="DU82" s="7" t="str">
        <f t="shared" si="549"/>
        <v/>
      </c>
      <c r="DV82" s="7" t="str">
        <f t="shared" si="550"/>
        <v/>
      </c>
      <c r="DW82" s="7" t="str">
        <f t="shared" si="551"/>
        <v/>
      </c>
      <c r="DX82" s="296" t="str">
        <f t="shared" si="552"/>
        <v/>
      </c>
      <c r="DY82" s="11" t="str">
        <f t="shared" si="553"/>
        <v/>
      </c>
      <c r="DZ82" s="7" t="str">
        <f t="shared" si="554"/>
        <v/>
      </c>
      <c r="EA82" s="12" t="str">
        <f t="shared" si="555"/>
        <v/>
      </c>
      <c r="EB82" s="8" t="str">
        <f t="shared" si="556"/>
        <v/>
      </c>
      <c r="EC82" s="328" t="str">
        <f t="shared" si="557"/>
        <v/>
      </c>
      <c r="ED82" s="7" t="str">
        <f t="shared" si="558"/>
        <v/>
      </c>
      <c r="EE82" s="6" t="str">
        <f t="shared" si="559"/>
        <v/>
      </c>
      <c r="EF82" s="7" t="str">
        <f t="shared" si="560"/>
        <v/>
      </c>
      <c r="EG82" s="12" t="str">
        <f t="shared" si="561"/>
        <v/>
      </c>
      <c r="EH82" s="11" t="str">
        <f t="shared" si="562"/>
        <v/>
      </c>
      <c r="EI82" s="7" t="str">
        <f t="shared" si="563"/>
        <v/>
      </c>
      <c r="EJ82" s="8" t="str">
        <f t="shared" si="564"/>
        <v/>
      </c>
      <c r="EK82" s="491" t="str">
        <f t="shared" si="565"/>
        <v/>
      </c>
      <c r="EL82" s="493" t="str">
        <f t="shared" si="566"/>
        <v/>
      </c>
      <c r="EM82" s="6" t="str">
        <f t="shared" si="567"/>
        <v/>
      </c>
      <c r="EN82" s="7" t="str">
        <f t="shared" si="568"/>
        <v/>
      </c>
      <c r="EO82" s="12" t="str">
        <f t="shared" si="569"/>
        <v/>
      </c>
      <c r="EP82" s="11" t="str">
        <f t="shared" si="570"/>
        <v/>
      </c>
      <c r="EQ82" s="7" t="str">
        <f t="shared" si="571"/>
        <v/>
      </c>
      <c r="ER82" s="9" t="str">
        <f t="shared" si="572"/>
        <v/>
      </c>
      <c r="ES82" s="24" t="str">
        <f t="shared" si="573"/>
        <v/>
      </c>
      <c r="ET82" s="7" t="str">
        <f t="shared" si="574"/>
        <v/>
      </c>
      <c r="EU82" s="12" t="str">
        <f t="shared" si="575"/>
        <v/>
      </c>
      <c r="EV82" s="337" t="str">
        <f t="shared" si="445"/>
        <v/>
      </c>
      <c r="EW82" s="11" t="str">
        <f t="shared" si="446"/>
        <v/>
      </c>
      <c r="EX82" s="7" t="str">
        <f t="shared" si="447"/>
        <v/>
      </c>
      <c r="EY82" s="8" t="str">
        <f t="shared" si="576"/>
        <v/>
      </c>
      <c r="EZ82" s="123" t="str">
        <f t="shared" si="577"/>
        <v/>
      </c>
      <c r="FA82" s="328" t="str">
        <f t="shared" si="448"/>
        <v/>
      </c>
      <c r="FB82" s="7" t="str">
        <f t="shared" si="449"/>
        <v/>
      </c>
      <c r="FC82" s="8" t="str">
        <f t="shared" si="450"/>
        <v/>
      </c>
      <c r="FD82" s="6" t="str">
        <f t="shared" si="451"/>
        <v/>
      </c>
      <c r="FE82" s="7" t="str">
        <f t="shared" si="452"/>
        <v/>
      </c>
      <c r="FF82" s="9" t="str">
        <f t="shared" si="578"/>
        <v/>
      </c>
      <c r="FG82" s="328" t="str">
        <f t="shared" si="453"/>
        <v/>
      </c>
      <c r="FH82" s="7" t="str">
        <f t="shared" si="454"/>
        <v/>
      </c>
      <c r="FI82" s="12" t="str">
        <f t="shared" si="455"/>
        <v/>
      </c>
      <c r="FJ82" s="547" t="str">
        <f t="shared" si="579"/>
        <v/>
      </c>
      <c r="FK82" s="6" t="str">
        <f t="shared" si="456"/>
        <v/>
      </c>
      <c r="FL82" s="7" t="str">
        <f t="shared" si="491"/>
        <v/>
      </c>
      <c r="FM82" s="10" t="str">
        <f t="shared" si="492"/>
        <v/>
      </c>
      <c r="FN82" s="11" t="str">
        <f t="shared" si="493"/>
        <v/>
      </c>
      <c r="FO82" s="12" t="str">
        <f t="shared" si="457"/>
        <v/>
      </c>
      <c r="FP82" s="545" t="str">
        <f t="shared" si="494"/>
        <v/>
      </c>
      <c r="FQ82" s="328" t="str">
        <f t="shared" si="580"/>
        <v/>
      </c>
      <c r="FR82" s="12" t="str">
        <f t="shared" si="581"/>
        <v/>
      </c>
      <c r="FS82" s="11" t="str">
        <f t="shared" si="582"/>
        <v/>
      </c>
      <c r="FT82" s="8" t="str">
        <f t="shared" si="583"/>
        <v/>
      </c>
      <c r="FU82" s="6" t="str">
        <f t="shared" si="584"/>
        <v/>
      </c>
      <c r="FV82" s="7" t="str">
        <f t="shared" si="585"/>
        <v/>
      </c>
      <c r="FW82" s="10" t="str">
        <f t="shared" si="586"/>
        <v/>
      </c>
      <c r="FX82" s="11" t="str">
        <f t="shared" si="587"/>
        <v/>
      </c>
      <c r="FY82" s="12" t="str">
        <f t="shared" si="458"/>
        <v/>
      </c>
      <c r="FZ82" s="545" t="str">
        <f t="shared" si="588"/>
        <v/>
      </c>
      <c r="GA82" s="372" t="str">
        <f t="shared" si="589"/>
        <v/>
      </c>
      <c r="GB82" s="46" t="str">
        <f t="shared" si="590"/>
        <v/>
      </c>
      <c r="GC82" s="47" t="str">
        <f t="shared" si="591"/>
        <v/>
      </c>
      <c r="GD82" s="578" t="str">
        <f t="shared" si="592"/>
        <v/>
      </c>
      <c r="GE82" s="585" t="str">
        <f t="shared" si="593"/>
        <v/>
      </c>
      <c r="GF82" s="634" t="str">
        <f t="shared" si="594"/>
        <v/>
      </c>
      <c r="GG82" s="553" t="str">
        <f t="shared" si="459"/>
        <v/>
      </c>
      <c r="GH82" s="554" t="str">
        <f t="shared" si="460"/>
        <v/>
      </c>
      <c r="GI82" s="549" t="str">
        <f t="shared" si="461"/>
        <v/>
      </c>
      <c r="GJ82" s="296" t="str">
        <f t="shared" si="595"/>
        <v/>
      </c>
      <c r="GK82" s="337" t="str">
        <f t="shared" si="462"/>
        <v/>
      </c>
      <c r="GL82" s="337" t="str">
        <f t="shared" si="596"/>
        <v/>
      </c>
      <c r="GM82" s="372" t="str">
        <f t="shared" si="597"/>
        <v/>
      </c>
      <c r="GN82" s="548" t="str">
        <f t="shared" si="598"/>
        <v/>
      </c>
      <c r="GO82" s="6" t="str">
        <f t="shared" si="599"/>
        <v/>
      </c>
      <c r="GP82" s="10" t="str">
        <f t="shared" si="600"/>
        <v/>
      </c>
      <c r="GQ82" s="372" t="str">
        <f t="shared" si="601"/>
        <v/>
      </c>
      <c r="GR82" s="697" t="str">
        <f t="shared" si="602"/>
        <v/>
      </c>
      <c r="GS82" s="637" t="str">
        <f t="shared" si="463"/>
        <v/>
      </c>
      <c r="GT82" s="638" t="str">
        <f t="shared" si="464"/>
        <v/>
      </c>
      <c r="GU82" s="639" t="str">
        <f t="shared" si="465"/>
        <v/>
      </c>
      <c r="GV82" s="638" t="str">
        <f t="shared" si="603"/>
        <v/>
      </c>
      <c r="GW82" s="640" t="str">
        <f t="shared" si="466"/>
        <v/>
      </c>
      <c r="GX82" s="641" t="str">
        <f t="shared" si="467"/>
        <v/>
      </c>
      <c r="GY82" s="639" t="str">
        <f t="shared" si="468"/>
        <v/>
      </c>
      <c r="GZ82" s="640" t="str">
        <f t="shared" si="469"/>
        <v/>
      </c>
      <c r="HA82" s="637" t="str">
        <f t="shared" si="470"/>
        <v/>
      </c>
      <c r="HB82" s="7" t="str">
        <f t="shared" si="604"/>
        <v/>
      </c>
      <c r="HC82" s="638" t="str">
        <f t="shared" si="605"/>
        <v/>
      </c>
      <c r="HD82" s="682" t="str">
        <f t="shared" si="606"/>
        <v/>
      </c>
      <c r="HE82" s="639" t="str">
        <f t="shared" si="471"/>
        <v/>
      </c>
      <c r="HF82" s="7" t="str">
        <f t="shared" si="472"/>
        <v/>
      </c>
      <c r="HG82" s="638" t="str">
        <f t="shared" si="607"/>
        <v/>
      </c>
      <c r="HH82" s="644" t="str">
        <f t="shared" si="608"/>
        <v/>
      </c>
      <c r="HI82" s="596" t="str">
        <f t="shared" si="609"/>
        <v/>
      </c>
      <c r="HK82" s="584" t="str">
        <f t="shared" si="217"/>
        <v/>
      </c>
      <c r="HL82" s="583" t="str">
        <f t="shared" si="495"/>
        <v/>
      </c>
      <c r="HM82" s="643" t="str">
        <f t="shared" si="615"/>
        <v/>
      </c>
      <c r="HN82" s="660" t="str">
        <f t="shared" si="615"/>
        <v/>
      </c>
      <c r="HO82" s="661" t="str">
        <f t="shared" si="615"/>
        <v/>
      </c>
      <c r="HP82" s="656" t="str">
        <f t="shared" si="615"/>
        <v/>
      </c>
      <c r="HQ82" s="660" t="str">
        <f t="shared" si="615"/>
        <v/>
      </c>
      <c r="HR82" s="671" t="str">
        <f t="shared" si="615"/>
        <v/>
      </c>
      <c r="HS82" s="655" t="str">
        <f t="shared" si="615"/>
        <v/>
      </c>
      <c r="HT82" s="648" t="str">
        <f t="shared" si="615"/>
        <v/>
      </c>
      <c r="HU82" s="649" t="str">
        <f t="shared" si="615"/>
        <v/>
      </c>
      <c r="HV82" s="650" t="str">
        <f t="shared" si="615"/>
        <v/>
      </c>
      <c r="HW82" s="648" t="str">
        <f t="shared" si="615"/>
        <v/>
      </c>
      <c r="HX82" s="649" t="str">
        <f t="shared" si="615"/>
        <v/>
      </c>
      <c r="HY82" s="650" t="str">
        <f t="shared" si="615"/>
        <v/>
      </c>
      <c r="HZ82" s="648" t="str">
        <f t="shared" si="615"/>
        <v/>
      </c>
      <c r="IA82" s="649" t="str">
        <f t="shared" si="615"/>
        <v/>
      </c>
      <c r="IB82" s="716"/>
    </row>
    <row r="83" spans="2:236" ht="15" customHeight="1" x14ac:dyDescent="0.25">
      <c r="B83" s="143"/>
      <c r="C83" s="144"/>
      <c r="D83" s="145"/>
      <c r="E83" s="146"/>
      <c r="F83" s="144"/>
      <c r="G83" s="147"/>
      <c r="H83" s="146"/>
      <c r="I83" s="144"/>
      <c r="J83" s="306"/>
      <c r="K83" s="699" t="str">
        <f t="shared" si="610"/>
        <v/>
      </c>
      <c r="M83" s="292" t="str">
        <f t="shared" si="46"/>
        <v/>
      </c>
      <c r="N83" s="24" t="str">
        <f t="shared" si="47"/>
        <v/>
      </c>
      <c r="O83" s="7" t="str">
        <f t="shared" si="48"/>
        <v/>
      </c>
      <c r="P83" s="12" t="str">
        <f t="shared" si="49"/>
        <v/>
      </c>
      <c r="Q83" s="11" t="str">
        <f t="shared" si="473"/>
        <v/>
      </c>
      <c r="R83" s="7" t="str">
        <f t="shared" si="50"/>
        <v/>
      </c>
      <c r="S83" s="8" t="str">
        <f t="shared" si="51"/>
        <v/>
      </c>
      <c r="T83" s="6" t="str">
        <f t="shared" si="52"/>
        <v/>
      </c>
      <c r="U83" s="7" t="str">
        <f t="shared" si="53"/>
        <v/>
      </c>
      <c r="V83" s="10" t="str">
        <f t="shared" si="86"/>
        <v/>
      </c>
      <c r="W83" s="11" t="str">
        <f t="shared" si="614"/>
        <v/>
      </c>
      <c r="X83" s="7" t="str">
        <f t="shared" si="54"/>
        <v/>
      </c>
      <c r="Y83" s="9" t="str">
        <f t="shared" si="611"/>
        <v/>
      </c>
      <c r="Z83" s="24" t="str">
        <f t="shared" si="87"/>
        <v/>
      </c>
      <c r="AA83" s="7" t="str">
        <f t="shared" si="55"/>
        <v/>
      </c>
      <c r="AB83" s="7" t="str">
        <f t="shared" si="56"/>
        <v/>
      </c>
      <c r="AC83" s="10" t="str">
        <f t="shared" si="57"/>
        <v/>
      </c>
      <c r="AD83" s="11" t="str">
        <f t="shared" si="88"/>
        <v/>
      </c>
      <c r="AE83" s="7" t="str">
        <f t="shared" si="58"/>
        <v/>
      </c>
      <c r="AF83" s="12" t="str">
        <f t="shared" si="59"/>
        <v/>
      </c>
      <c r="AG83" s="6" t="str">
        <f t="shared" si="60"/>
        <v/>
      </c>
      <c r="AH83" s="12" t="str">
        <f t="shared" si="61"/>
        <v/>
      </c>
      <c r="AI83" s="11" t="str">
        <f t="shared" si="62"/>
        <v/>
      </c>
      <c r="AJ83" s="8" t="str">
        <f t="shared" si="63"/>
        <v/>
      </c>
      <c r="AK83" s="6" t="str">
        <f t="shared" si="89"/>
        <v/>
      </c>
      <c r="AL83" s="7" t="str">
        <f t="shared" si="64"/>
        <v/>
      </c>
      <c r="AM83" s="8" t="str">
        <f t="shared" si="65"/>
        <v/>
      </c>
      <c r="AN83" s="6" t="str">
        <f t="shared" si="66"/>
        <v/>
      </c>
      <c r="AO83" s="10" t="str">
        <f t="shared" si="376"/>
        <v/>
      </c>
      <c r="AP83" s="11" t="str">
        <f t="shared" si="67"/>
        <v/>
      </c>
      <c r="AQ83" s="8" t="str">
        <f t="shared" si="612"/>
        <v/>
      </c>
      <c r="AS83" s="123" t="str">
        <f t="shared" si="496"/>
        <v/>
      </c>
      <c r="AT83" s="174" t="str">
        <f t="shared" si="68"/>
        <v/>
      </c>
      <c r="AV83" s="292" t="str">
        <f t="shared" si="497"/>
        <v/>
      </c>
      <c r="AW83" s="709"/>
      <c r="AX83" s="710"/>
      <c r="AY83" s="711"/>
      <c r="AZ83" s="565" t="str">
        <f t="shared" si="498"/>
        <v/>
      </c>
      <c r="BA83" s="564" t="str">
        <f t="shared" si="499"/>
        <v/>
      </c>
      <c r="BB83" s="372" t="str">
        <f t="shared" si="474"/>
        <v/>
      </c>
      <c r="BC83" s="11"/>
      <c r="BD83" s="7" t="str">
        <f t="shared" si="475"/>
        <v/>
      </c>
      <c r="BE83" s="8" t="str">
        <f t="shared" si="476"/>
        <v/>
      </c>
      <c r="BF83" s="6" t="str">
        <f t="shared" si="500"/>
        <v/>
      </c>
      <c r="BG83" s="7" t="str">
        <f t="shared" si="501"/>
        <v/>
      </c>
      <c r="BH83" s="12" t="str">
        <f t="shared" si="502"/>
        <v/>
      </c>
      <c r="BI83" s="11" t="str">
        <f t="shared" si="503"/>
        <v/>
      </c>
      <c r="BJ83" s="7" t="str">
        <f t="shared" si="504"/>
        <v/>
      </c>
      <c r="BK83" s="10" t="str">
        <f t="shared" si="505"/>
        <v/>
      </c>
      <c r="BL83" s="328" t="str">
        <f t="shared" si="506"/>
        <v/>
      </c>
      <c r="BM83" s="7" t="str">
        <f t="shared" si="507"/>
        <v/>
      </c>
      <c r="BN83" s="8" t="str">
        <f t="shared" si="508"/>
        <v/>
      </c>
      <c r="BO83" s="6" t="str">
        <f t="shared" si="509"/>
        <v/>
      </c>
      <c r="BP83" s="7" t="str">
        <f t="shared" si="510"/>
        <v/>
      </c>
      <c r="BQ83" s="7" t="str">
        <f t="shared" si="511"/>
        <v/>
      </c>
      <c r="BR83" s="8" t="str">
        <f t="shared" si="512"/>
        <v/>
      </c>
      <c r="BS83" s="6" t="str">
        <f t="shared" si="477"/>
        <v/>
      </c>
      <c r="BT83" s="7" t="str">
        <f t="shared" si="477"/>
        <v/>
      </c>
      <c r="BU83" s="12" t="str">
        <f t="shared" si="478"/>
        <v/>
      </c>
      <c r="BV83" s="11" t="str">
        <f t="shared" si="479"/>
        <v/>
      </c>
      <c r="BW83" s="7" t="str">
        <f t="shared" si="480"/>
        <v/>
      </c>
      <c r="BX83" s="10" t="str">
        <f t="shared" si="481"/>
        <v/>
      </c>
      <c r="BY83" s="328" t="str">
        <f t="shared" si="482"/>
        <v/>
      </c>
      <c r="BZ83" s="7" t="str">
        <f t="shared" si="483"/>
        <v/>
      </c>
      <c r="CA83" s="8" t="str">
        <f t="shared" si="484"/>
        <v/>
      </c>
      <c r="CB83" s="6" t="str">
        <f t="shared" si="513"/>
        <v/>
      </c>
      <c r="CC83" s="7" t="str">
        <f t="shared" si="514"/>
        <v/>
      </c>
      <c r="CD83" s="7" t="str">
        <f t="shared" si="515"/>
        <v/>
      </c>
      <c r="CE83" s="8" t="str">
        <f t="shared" si="516"/>
        <v/>
      </c>
      <c r="CF83" s="6" t="str">
        <f t="shared" si="517"/>
        <v/>
      </c>
      <c r="CG83" s="7" t="str">
        <f t="shared" si="518"/>
        <v/>
      </c>
      <c r="CH83" s="7" t="str">
        <f t="shared" si="519"/>
        <v/>
      </c>
      <c r="CI83" s="6" t="str">
        <f t="shared" si="485"/>
        <v/>
      </c>
      <c r="CJ83" s="7" t="str">
        <f t="shared" si="486"/>
        <v/>
      </c>
      <c r="CK83" s="10" t="str">
        <f t="shared" si="487"/>
        <v/>
      </c>
      <c r="CL83" s="328" t="str">
        <f t="shared" si="488"/>
        <v/>
      </c>
      <c r="CM83" s="7" t="str">
        <f t="shared" si="489"/>
        <v/>
      </c>
      <c r="CN83" s="8" t="str">
        <f t="shared" si="490"/>
        <v/>
      </c>
      <c r="CO83" s="296" t="str">
        <f t="shared" si="613"/>
        <v/>
      </c>
      <c r="CP83" s="6" t="str">
        <f t="shared" si="520"/>
        <v/>
      </c>
      <c r="CQ83" s="7" t="str">
        <f t="shared" si="521"/>
        <v/>
      </c>
      <c r="CR83" s="7" t="str">
        <f t="shared" si="522"/>
        <v/>
      </c>
      <c r="CS83" s="10" t="str">
        <f t="shared" si="523"/>
        <v/>
      </c>
      <c r="CT83" s="11" t="str">
        <f t="shared" si="524"/>
        <v/>
      </c>
      <c r="CU83" s="8" t="str">
        <f t="shared" si="525"/>
        <v/>
      </c>
      <c r="CV83" s="6" t="str">
        <f t="shared" si="526"/>
        <v/>
      </c>
      <c r="CW83" s="7" t="str">
        <f t="shared" si="527"/>
        <v/>
      </c>
      <c r="CX83" s="10" t="str">
        <f t="shared" si="528"/>
        <v/>
      </c>
      <c r="CY83" s="11" t="str">
        <f t="shared" si="529"/>
        <v/>
      </c>
      <c r="CZ83" s="7" t="str">
        <f t="shared" si="530"/>
        <v/>
      </c>
      <c r="DA83" s="8" t="str">
        <f t="shared" si="531"/>
        <v/>
      </c>
      <c r="DB83" s="6" t="str">
        <f t="shared" si="532"/>
        <v/>
      </c>
      <c r="DC83" s="7" t="str">
        <f t="shared" si="532"/>
        <v/>
      </c>
      <c r="DD83" s="12" t="str">
        <f t="shared" si="533"/>
        <v/>
      </c>
      <c r="DE83" s="11" t="str">
        <f t="shared" si="534"/>
        <v/>
      </c>
      <c r="DF83" s="7" t="str">
        <f t="shared" si="534"/>
        <v/>
      </c>
      <c r="DG83" s="12" t="str">
        <f t="shared" si="535"/>
        <v/>
      </c>
      <c r="DH83" s="174" t="str">
        <f t="shared" si="536"/>
        <v/>
      </c>
      <c r="DI83" s="6" t="str">
        <f t="shared" si="537"/>
        <v/>
      </c>
      <c r="DJ83" s="7" t="str">
        <f t="shared" si="538"/>
        <v/>
      </c>
      <c r="DK83" s="12" t="str">
        <f t="shared" si="539"/>
        <v/>
      </c>
      <c r="DL83" s="11" t="str">
        <f t="shared" si="540"/>
        <v/>
      </c>
      <c r="DM83" s="328" t="str">
        <f t="shared" si="541"/>
        <v/>
      </c>
      <c r="DN83" s="376" t="str">
        <f t="shared" si="542"/>
        <v/>
      </c>
      <c r="DO83" s="11" t="str">
        <f t="shared" si="543"/>
        <v/>
      </c>
      <c r="DP83" s="328" t="str">
        <f t="shared" si="544"/>
        <v/>
      </c>
      <c r="DQ83" s="13" t="str">
        <f t="shared" si="545"/>
        <v/>
      </c>
      <c r="DR83" s="328" t="str">
        <f t="shared" si="546"/>
        <v/>
      </c>
      <c r="DS83" s="7" t="str">
        <f t="shared" si="547"/>
        <v/>
      </c>
      <c r="DT83" s="7" t="str">
        <f t="shared" si="548"/>
        <v/>
      </c>
      <c r="DU83" s="7" t="str">
        <f t="shared" si="549"/>
        <v/>
      </c>
      <c r="DV83" s="7" t="str">
        <f t="shared" si="550"/>
        <v/>
      </c>
      <c r="DW83" s="7" t="str">
        <f t="shared" si="551"/>
        <v/>
      </c>
      <c r="DX83" s="296" t="str">
        <f t="shared" si="552"/>
        <v/>
      </c>
      <c r="DY83" s="11" t="str">
        <f t="shared" si="553"/>
        <v/>
      </c>
      <c r="DZ83" s="7" t="str">
        <f t="shared" si="554"/>
        <v/>
      </c>
      <c r="EA83" s="12" t="str">
        <f t="shared" si="555"/>
        <v/>
      </c>
      <c r="EB83" s="8" t="str">
        <f t="shared" si="556"/>
        <v/>
      </c>
      <c r="EC83" s="328" t="str">
        <f t="shared" si="557"/>
        <v/>
      </c>
      <c r="ED83" s="7" t="str">
        <f t="shared" si="558"/>
        <v/>
      </c>
      <c r="EE83" s="6" t="str">
        <f t="shared" si="559"/>
        <v/>
      </c>
      <c r="EF83" s="7" t="str">
        <f t="shared" si="560"/>
        <v/>
      </c>
      <c r="EG83" s="12" t="str">
        <f t="shared" si="561"/>
        <v/>
      </c>
      <c r="EH83" s="11" t="str">
        <f t="shared" si="562"/>
        <v/>
      </c>
      <c r="EI83" s="7" t="str">
        <f t="shared" si="563"/>
        <v/>
      </c>
      <c r="EJ83" s="8" t="str">
        <f t="shared" si="564"/>
        <v/>
      </c>
      <c r="EK83" s="491" t="str">
        <f t="shared" si="565"/>
        <v/>
      </c>
      <c r="EL83" s="493" t="str">
        <f t="shared" si="566"/>
        <v/>
      </c>
      <c r="EM83" s="6" t="str">
        <f t="shared" si="567"/>
        <v/>
      </c>
      <c r="EN83" s="7" t="str">
        <f t="shared" si="568"/>
        <v/>
      </c>
      <c r="EO83" s="12" t="str">
        <f t="shared" si="569"/>
        <v/>
      </c>
      <c r="EP83" s="11" t="str">
        <f t="shared" si="570"/>
        <v/>
      </c>
      <c r="EQ83" s="7" t="str">
        <f t="shared" si="571"/>
        <v/>
      </c>
      <c r="ER83" s="9" t="str">
        <f t="shared" si="572"/>
        <v/>
      </c>
      <c r="ES83" s="24" t="str">
        <f t="shared" si="573"/>
        <v/>
      </c>
      <c r="ET83" s="7" t="str">
        <f t="shared" si="574"/>
        <v/>
      </c>
      <c r="EU83" s="12" t="str">
        <f t="shared" si="575"/>
        <v/>
      </c>
      <c r="EV83" s="337" t="str">
        <f t="shared" si="445"/>
        <v/>
      </c>
      <c r="EW83" s="11" t="str">
        <f t="shared" si="446"/>
        <v/>
      </c>
      <c r="EX83" s="7" t="str">
        <f t="shared" si="447"/>
        <v/>
      </c>
      <c r="EY83" s="8" t="str">
        <f t="shared" si="576"/>
        <v/>
      </c>
      <c r="EZ83" s="123" t="str">
        <f t="shared" si="577"/>
        <v/>
      </c>
      <c r="FA83" s="328" t="str">
        <f t="shared" si="448"/>
        <v/>
      </c>
      <c r="FB83" s="7" t="str">
        <f t="shared" si="449"/>
        <v/>
      </c>
      <c r="FC83" s="8" t="str">
        <f t="shared" si="450"/>
        <v/>
      </c>
      <c r="FD83" s="6" t="str">
        <f t="shared" si="451"/>
        <v/>
      </c>
      <c r="FE83" s="7" t="str">
        <f t="shared" si="452"/>
        <v/>
      </c>
      <c r="FF83" s="9" t="str">
        <f t="shared" si="578"/>
        <v/>
      </c>
      <c r="FG83" s="328" t="str">
        <f t="shared" si="453"/>
        <v/>
      </c>
      <c r="FH83" s="7" t="str">
        <f t="shared" si="454"/>
        <v/>
      </c>
      <c r="FI83" s="12" t="str">
        <f t="shared" si="455"/>
        <v/>
      </c>
      <c r="FJ83" s="547" t="str">
        <f t="shared" si="579"/>
        <v/>
      </c>
      <c r="FK83" s="6" t="str">
        <f t="shared" si="456"/>
        <v/>
      </c>
      <c r="FL83" s="7" t="str">
        <f t="shared" si="491"/>
        <v/>
      </c>
      <c r="FM83" s="10" t="str">
        <f t="shared" si="492"/>
        <v/>
      </c>
      <c r="FN83" s="11" t="str">
        <f t="shared" si="493"/>
        <v/>
      </c>
      <c r="FO83" s="12" t="str">
        <f t="shared" si="457"/>
        <v/>
      </c>
      <c r="FP83" s="545" t="str">
        <f t="shared" si="494"/>
        <v/>
      </c>
      <c r="FQ83" s="328" t="str">
        <f t="shared" si="580"/>
        <v/>
      </c>
      <c r="FR83" s="12" t="str">
        <f t="shared" si="581"/>
        <v/>
      </c>
      <c r="FS83" s="11" t="str">
        <f t="shared" si="582"/>
        <v/>
      </c>
      <c r="FT83" s="8" t="str">
        <f t="shared" si="583"/>
        <v/>
      </c>
      <c r="FU83" s="6" t="str">
        <f t="shared" si="584"/>
        <v/>
      </c>
      <c r="FV83" s="7" t="str">
        <f t="shared" si="585"/>
        <v/>
      </c>
      <c r="FW83" s="10" t="str">
        <f t="shared" si="586"/>
        <v/>
      </c>
      <c r="FX83" s="11" t="str">
        <f t="shared" si="587"/>
        <v/>
      </c>
      <c r="FY83" s="12" t="str">
        <f t="shared" si="458"/>
        <v/>
      </c>
      <c r="FZ83" s="545" t="str">
        <f t="shared" si="588"/>
        <v/>
      </c>
      <c r="GA83" s="372" t="str">
        <f t="shared" si="589"/>
        <v/>
      </c>
      <c r="GB83" s="46" t="str">
        <f t="shared" si="590"/>
        <v/>
      </c>
      <c r="GC83" s="47" t="str">
        <f t="shared" si="591"/>
        <v/>
      </c>
      <c r="GD83" s="578" t="str">
        <f t="shared" si="592"/>
        <v/>
      </c>
      <c r="GE83" s="585" t="str">
        <f t="shared" si="593"/>
        <v/>
      </c>
      <c r="GF83" s="634" t="str">
        <f t="shared" si="594"/>
        <v/>
      </c>
      <c r="GG83" s="553" t="str">
        <f t="shared" si="459"/>
        <v/>
      </c>
      <c r="GH83" s="554" t="str">
        <f t="shared" si="460"/>
        <v/>
      </c>
      <c r="GI83" s="549" t="str">
        <f t="shared" si="461"/>
        <v/>
      </c>
      <c r="GJ83" s="296" t="str">
        <f t="shared" si="595"/>
        <v/>
      </c>
      <c r="GK83" s="337" t="str">
        <f t="shared" si="462"/>
        <v/>
      </c>
      <c r="GL83" s="337" t="str">
        <f t="shared" si="596"/>
        <v/>
      </c>
      <c r="GM83" s="372" t="str">
        <f t="shared" si="597"/>
        <v/>
      </c>
      <c r="GN83" s="548" t="str">
        <f t="shared" si="598"/>
        <v/>
      </c>
      <c r="GO83" s="6" t="str">
        <f t="shared" si="599"/>
        <v/>
      </c>
      <c r="GP83" s="10" t="str">
        <f t="shared" si="600"/>
        <v/>
      </c>
      <c r="GQ83" s="372" t="str">
        <f t="shared" si="601"/>
        <v/>
      </c>
      <c r="GR83" s="697" t="str">
        <f t="shared" si="602"/>
        <v/>
      </c>
      <c r="GS83" s="637" t="str">
        <f t="shared" si="463"/>
        <v/>
      </c>
      <c r="GT83" s="638" t="str">
        <f t="shared" si="464"/>
        <v/>
      </c>
      <c r="GU83" s="639" t="str">
        <f t="shared" si="465"/>
        <v/>
      </c>
      <c r="GV83" s="638" t="str">
        <f t="shared" si="603"/>
        <v/>
      </c>
      <c r="GW83" s="640" t="str">
        <f t="shared" si="466"/>
        <v/>
      </c>
      <c r="GX83" s="641" t="str">
        <f t="shared" si="467"/>
        <v/>
      </c>
      <c r="GY83" s="639" t="str">
        <f t="shared" si="468"/>
        <v/>
      </c>
      <c r="GZ83" s="640" t="str">
        <f t="shared" si="469"/>
        <v/>
      </c>
      <c r="HA83" s="637" t="str">
        <f t="shared" si="470"/>
        <v/>
      </c>
      <c r="HB83" s="7" t="str">
        <f t="shared" si="604"/>
        <v/>
      </c>
      <c r="HC83" s="638" t="str">
        <f t="shared" si="605"/>
        <v/>
      </c>
      <c r="HD83" s="682" t="str">
        <f t="shared" si="606"/>
        <v/>
      </c>
      <c r="HE83" s="639" t="str">
        <f t="shared" si="471"/>
        <v/>
      </c>
      <c r="HF83" s="7" t="str">
        <f t="shared" si="472"/>
        <v/>
      </c>
      <c r="HG83" s="638" t="str">
        <f t="shared" si="607"/>
        <v/>
      </c>
      <c r="HH83" s="644" t="str">
        <f t="shared" si="608"/>
        <v/>
      </c>
      <c r="HI83" s="596" t="str">
        <f t="shared" si="609"/>
        <v/>
      </c>
      <c r="HK83" s="584" t="str">
        <f t="shared" si="217"/>
        <v/>
      </c>
      <c r="HL83" s="583" t="str">
        <f t="shared" si="495"/>
        <v/>
      </c>
      <c r="HM83" s="643" t="str">
        <f t="shared" si="615"/>
        <v/>
      </c>
      <c r="HN83" s="660" t="str">
        <f t="shared" si="615"/>
        <v/>
      </c>
      <c r="HO83" s="661" t="str">
        <f t="shared" si="615"/>
        <v/>
      </c>
      <c r="HP83" s="656" t="str">
        <f t="shared" si="615"/>
        <v/>
      </c>
      <c r="HQ83" s="660" t="str">
        <f t="shared" si="615"/>
        <v/>
      </c>
      <c r="HR83" s="671" t="str">
        <f t="shared" si="615"/>
        <v/>
      </c>
      <c r="HS83" s="655" t="str">
        <f t="shared" si="615"/>
        <v/>
      </c>
      <c r="HT83" s="648" t="str">
        <f t="shared" si="615"/>
        <v/>
      </c>
      <c r="HU83" s="649" t="str">
        <f t="shared" si="615"/>
        <v/>
      </c>
      <c r="HV83" s="650" t="str">
        <f t="shared" si="615"/>
        <v/>
      </c>
      <c r="HW83" s="648" t="str">
        <f t="shared" si="615"/>
        <v/>
      </c>
      <c r="HX83" s="649" t="str">
        <f t="shared" si="615"/>
        <v/>
      </c>
      <c r="HY83" s="650" t="str">
        <f t="shared" si="615"/>
        <v/>
      </c>
      <c r="HZ83" s="648" t="str">
        <f t="shared" si="615"/>
        <v/>
      </c>
      <c r="IA83" s="649" t="str">
        <f t="shared" si="615"/>
        <v/>
      </c>
      <c r="IB83" s="716"/>
    </row>
    <row r="84" spans="2:236" ht="15" customHeight="1" x14ac:dyDescent="0.25">
      <c r="B84" s="143"/>
      <c r="C84" s="144"/>
      <c r="D84" s="145"/>
      <c r="E84" s="146"/>
      <c r="F84" s="144"/>
      <c r="G84" s="147"/>
      <c r="H84" s="146"/>
      <c r="I84" s="144"/>
      <c r="J84" s="306"/>
      <c r="K84" s="699" t="str">
        <f t="shared" si="610"/>
        <v/>
      </c>
      <c r="M84" s="292" t="str">
        <f t="shared" si="46"/>
        <v/>
      </c>
      <c r="N84" s="24" t="str">
        <f t="shared" si="47"/>
        <v/>
      </c>
      <c r="O84" s="7" t="str">
        <f t="shared" si="48"/>
        <v/>
      </c>
      <c r="P84" s="12" t="str">
        <f t="shared" si="49"/>
        <v/>
      </c>
      <c r="Q84" s="11" t="str">
        <f t="shared" si="473"/>
        <v/>
      </c>
      <c r="R84" s="7" t="str">
        <f t="shared" si="50"/>
        <v/>
      </c>
      <c r="S84" s="8" t="str">
        <f t="shared" si="51"/>
        <v/>
      </c>
      <c r="T84" s="6" t="str">
        <f t="shared" si="52"/>
        <v/>
      </c>
      <c r="U84" s="7" t="str">
        <f t="shared" si="53"/>
        <v/>
      </c>
      <c r="V84" s="10" t="str">
        <f t="shared" si="86"/>
        <v/>
      </c>
      <c r="W84" s="11" t="str">
        <f t="shared" si="614"/>
        <v/>
      </c>
      <c r="X84" s="7" t="str">
        <f t="shared" si="54"/>
        <v/>
      </c>
      <c r="Y84" s="9" t="str">
        <f t="shared" si="611"/>
        <v/>
      </c>
      <c r="Z84" s="24" t="str">
        <f t="shared" si="87"/>
        <v/>
      </c>
      <c r="AA84" s="7" t="str">
        <f t="shared" si="55"/>
        <v/>
      </c>
      <c r="AB84" s="7" t="str">
        <f t="shared" si="56"/>
        <v/>
      </c>
      <c r="AC84" s="10" t="str">
        <f t="shared" si="57"/>
        <v/>
      </c>
      <c r="AD84" s="11" t="str">
        <f t="shared" si="88"/>
        <v/>
      </c>
      <c r="AE84" s="7" t="str">
        <f t="shared" si="58"/>
        <v/>
      </c>
      <c r="AF84" s="12" t="str">
        <f t="shared" si="59"/>
        <v/>
      </c>
      <c r="AG84" s="6" t="str">
        <f t="shared" si="60"/>
        <v/>
      </c>
      <c r="AH84" s="12" t="str">
        <f t="shared" si="61"/>
        <v/>
      </c>
      <c r="AI84" s="11" t="str">
        <f t="shared" si="62"/>
        <v/>
      </c>
      <c r="AJ84" s="8" t="str">
        <f t="shared" si="63"/>
        <v/>
      </c>
      <c r="AK84" s="6" t="str">
        <f t="shared" si="89"/>
        <v/>
      </c>
      <c r="AL84" s="7" t="str">
        <f t="shared" si="64"/>
        <v/>
      </c>
      <c r="AM84" s="8" t="str">
        <f t="shared" si="65"/>
        <v/>
      </c>
      <c r="AN84" s="6" t="str">
        <f t="shared" si="66"/>
        <v/>
      </c>
      <c r="AO84" s="10" t="str">
        <f t="shared" si="376"/>
        <v/>
      </c>
      <c r="AP84" s="11" t="str">
        <f t="shared" si="67"/>
        <v/>
      </c>
      <c r="AQ84" s="8" t="str">
        <f t="shared" si="612"/>
        <v/>
      </c>
      <c r="AS84" s="123" t="str">
        <f t="shared" si="496"/>
        <v/>
      </c>
      <c r="AT84" s="174" t="str">
        <f t="shared" si="68"/>
        <v/>
      </c>
      <c r="AV84" s="292" t="str">
        <f t="shared" si="497"/>
        <v/>
      </c>
      <c r="AW84" s="709"/>
      <c r="AX84" s="710"/>
      <c r="AY84" s="711"/>
      <c r="AZ84" s="565" t="str">
        <f t="shared" si="498"/>
        <v/>
      </c>
      <c r="BA84" s="564" t="str">
        <f t="shared" si="499"/>
        <v/>
      </c>
      <c r="BB84" s="372" t="str">
        <f t="shared" si="474"/>
        <v/>
      </c>
      <c r="BC84" s="11"/>
      <c r="BD84" s="7" t="str">
        <f t="shared" si="475"/>
        <v/>
      </c>
      <c r="BE84" s="8" t="str">
        <f t="shared" si="476"/>
        <v/>
      </c>
      <c r="BF84" s="6" t="str">
        <f t="shared" si="500"/>
        <v/>
      </c>
      <c r="BG84" s="7" t="str">
        <f t="shared" si="501"/>
        <v/>
      </c>
      <c r="BH84" s="12" t="str">
        <f t="shared" si="502"/>
        <v/>
      </c>
      <c r="BI84" s="11" t="str">
        <f t="shared" si="503"/>
        <v/>
      </c>
      <c r="BJ84" s="7" t="str">
        <f t="shared" si="504"/>
        <v/>
      </c>
      <c r="BK84" s="10" t="str">
        <f t="shared" si="505"/>
        <v/>
      </c>
      <c r="BL84" s="328" t="str">
        <f t="shared" si="506"/>
        <v/>
      </c>
      <c r="BM84" s="7" t="str">
        <f t="shared" si="507"/>
        <v/>
      </c>
      <c r="BN84" s="8" t="str">
        <f t="shared" si="508"/>
        <v/>
      </c>
      <c r="BO84" s="6" t="str">
        <f t="shared" si="509"/>
        <v/>
      </c>
      <c r="BP84" s="7" t="str">
        <f t="shared" si="510"/>
        <v/>
      </c>
      <c r="BQ84" s="7" t="str">
        <f t="shared" si="511"/>
        <v/>
      </c>
      <c r="BR84" s="8" t="str">
        <f t="shared" si="512"/>
        <v/>
      </c>
      <c r="BS84" s="6" t="str">
        <f t="shared" si="477"/>
        <v/>
      </c>
      <c r="BT84" s="7" t="str">
        <f t="shared" si="477"/>
        <v/>
      </c>
      <c r="BU84" s="12" t="str">
        <f t="shared" si="478"/>
        <v/>
      </c>
      <c r="BV84" s="11" t="str">
        <f t="shared" si="479"/>
        <v/>
      </c>
      <c r="BW84" s="7" t="str">
        <f t="shared" si="480"/>
        <v/>
      </c>
      <c r="BX84" s="10" t="str">
        <f t="shared" si="481"/>
        <v/>
      </c>
      <c r="BY84" s="328" t="str">
        <f t="shared" si="482"/>
        <v/>
      </c>
      <c r="BZ84" s="7" t="str">
        <f t="shared" si="483"/>
        <v/>
      </c>
      <c r="CA84" s="8" t="str">
        <f t="shared" si="484"/>
        <v/>
      </c>
      <c r="CB84" s="6" t="str">
        <f t="shared" si="513"/>
        <v/>
      </c>
      <c r="CC84" s="7" t="str">
        <f t="shared" si="514"/>
        <v/>
      </c>
      <c r="CD84" s="7" t="str">
        <f t="shared" si="515"/>
        <v/>
      </c>
      <c r="CE84" s="8" t="str">
        <f t="shared" si="516"/>
        <v/>
      </c>
      <c r="CF84" s="6" t="str">
        <f t="shared" si="517"/>
        <v/>
      </c>
      <c r="CG84" s="7" t="str">
        <f t="shared" si="518"/>
        <v/>
      </c>
      <c r="CH84" s="7" t="str">
        <f t="shared" si="519"/>
        <v/>
      </c>
      <c r="CI84" s="6" t="str">
        <f t="shared" si="485"/>
        <v/>
      </c>
      <c r="CJ84" s="7" t="str">
        <f t="shared" si="486"/>
        <v/>
      </c>
      <c r="CK84" s="10" t="str">
        <f t="shared" si="487"/>
        <v/>
      </c>
      <c r="CL84" s="328" t="str">
        <f t="shared" si="488"/>
        <v/>
      </c>
      <c r="CM84" s="7" t="str">
        <f t="shared" si="489"/>
        <v/>
      </c>
      <c r="CN84" s="8" t="str">
        <f t="shared" si="490"/>
        <v/>
      </c>
      <c r="CO84" s="296" t="str">
        <f t="shared" si="613"/>
        <v/>
      </c>
      <c r="CP84" s="6" t="str">
        <f t="shared" si="520"/>
        <v/>
      </c>
      <c r="CQ84" s="7" t="str">
        <f t="shared" si="521"/>
        <v/>
      </c>
      <c r="CR84" s="7" t="str">
        <f t="shared" si="522"/>
        <v/>
      </c>
      <c r="CS84" s="10" t="str">
        <f t="shared" si="523"/>
        <v/>
      </c>
      <c r="CT84" s="11" t="str">
        <f t="shared" si="524"/>
        <v/>
      </c>
      <c r="CU84" s="8" t="str">
        <f t="shared" si="525"/>
        <v/>
      </c>
      <c r="CV84" s="6" t="str">
        <f t="shared" si="526"/>
        <v/>
      </c>
      <c r="CW84" s="7" t="str">
        <f t="shared" si="527"/>
        <v/>
      </c>
      <c r="CX84" s="10" t="str">
        <f t="shared" si="528"/>
        <v/>
      </c>
      <c r="CY84" s="11" t="str">
        <f t="shared" si="529"/>
        <v/>
      </c>
      <c r="CZ84" s="7" t="str">
        <f t="shared" si="530"/>
        <v/>
      </c>
      <c r="DA84" s="8" t="str">
        <f t="shared" si="531"/>
        <v/>
      </c>
      <c r="DB84" s="6" t="str">
        <f t="shared" si="532"/>
        <v/>
      </c>
      <c r="DC84" s="7" t="str">
        <f t="shared" si="532"/>
        <v/>
      </c>
      <c r="DD84" s="12" t="str">
        <f t="shared" si="533"/>
        <v/>
      </c>
      <c r="DE84" s="11" t="str">
        <f t="shared" si="534"/>
        <v/>
      </c>
      <c r="DF84" s="7" t="str">
        <f t="shared" si="534"/>
        <v/>
      </c>
      <c r="DG84" s="12" t="str">
        <f t="shared" si="535"/>
        <v/>
      </c>
      <c r="DH84" s="174" t="str">
        <f t="shared" si="536"/>
        <v/>
      </c>
      <c r="DI84" s="6" t="str">
        <f t="shared" si="537"/>
        <v/>
      </c>
      <c r="DJ84" s="7" t="str">
        <f t="shared" si="538"/>
        <v/>
      </c>
      <c r="DK84" s="12" t="str">
        <f t="shared" si="539"/>
        <v/>
      </c>
      <c r="DL84" s="11" t="str">
        <f t="shared" si="540"/>
        <v/>
      </c>
      <c r="DM84" s="328" t="str">
        <f t="shared" si="541"/>
        <v/>
      </c>
      <c r="DN84" s="376" t="str">
        <f t="shared" si="542"/>
        <v/>
      </c>
      <c r="DO84" s="11" t="str">
        <f t="shared" si="543"/>
        <v/>
      </c>
      <c r="DP84" s="328" t="str">
        <f t="shared" si="544"/>
        <v/>
      </c>
      <c r="DQ84" s="13" t="str">
        <f t="shared" si="545"/>
        <v/>
      </c>
      <c r="DR84" s="328" t="str">
        <f t="shared" si="546"/>
        <v/>
      </c>
      <c r="DS84" s="7" t="str">
        <f t="shared" si="547"/>
        <v/>
      </c>
      <c r="DT84" s="7" t="str">
        <f t="shared" si="548"/>
        <v/>
      </c>
      <c r="DU84" s="7" t="str">
        <f t="shared" si="549"/>
        <v/>
      </c>
      <c r="DV84" s="7" t="str">
        <f t="shared" si="550"/>
        <v/>
      </c>
      <c r="DW84" s="7" t="str">
        <f t="shared" si="551"/>
        <v/>
      </c>
      <c r="DX84" s="296" t="str">
        <f t="shared" si="552"/>
        <v/>
      </c>
      <c r="DY84" s="11" t="str">
        <f t="shared" si="553"/>
        <v/>
      </c>
      <c r="DZ84" s="7" t="str">
        <f t="shared" si="554"/>
        <v/>
      </c>
      <c r="EA84" s="12" t="str">
        <f t="shared" si="555"/>
        <v/>
      </c>
      <c r="EB84" s="8" t="str">
        <f t="shared" si="556"/>
        <v/>
      </c>
      <c r="EC84" s="328" t="str">
        <f t="shared" si="557"/>
        <v/>
      </c>
      <c r="ED84" s="7" t="str">
        <f t="shared" si="558"/>
        <v/>
      </c>
      <c r="EE84" s="6" t="str">
        <f t="shared" si="559"/>
        <v/>
      </c>
      <c r="EF84" s="7" t="str">
        <f t="shared" si="560"/>
        <v/>
      </c>
      <c r="EG84" s="12" t="str">
        <f t="shared" si="561"/>
        <v/>
      </c>
      <c r="EH84" s="11" t="str">
        <f t="shared" si="562"/>
        <v/>
      </c>
      <c r="EI84" s="7" t="str">
        <f t="shared" si="563"/>
        <v/>
      </c>
      <c r="EJ84" s="8" t="str">
        <f t="shared" si="564"/>
        <v/>
      </c>
      <c r="EK84" s="491" t="str">
        <f t="shared" si="565"/>
        <v/>
      </c>
      <c r="EL84" s="493" t="str">
        <f t="shared" si="566"/>
        <v/>
      </c>
      <c r="EM84" s="6" t="str">
        <f t="shared" si="567"/>
        <v/>
      </c>
      <c r="EN84" s="7" t="str">
        <f t="shared" si="568"/>
        <v/>
      </c>
      <c r="EO84" s="12" t="str">
        <f t="shared" si="569"/>
        <v/>
      </c>
      <c r="EP84" s="11" t="str">
        <f t="shared" si="570"/>
        <v/>
      </c>
      <c r="EQ84" s="7" t="str">
        <f t="shared" si="571"/>
        <v/>
      </c>
      <c r="ER84" s="9" t="str">
        <f t="shared" si="572"/>
        <v/>
      </c>
      <c r="ES84" s="24" t="str">
        <f t="shared" si="573"/>
        <v/>
      </c>
      <c r="ET84" s="7" t="str">
        <f t="shared" si="574"/>
        <v/>
      </c>
      <c r="EU84" s="12" t="str">
        <f t="shared" si="575"/>
        <v/>
      </c>
      <c r="EV84" s="337" t="str">
        <f t="shared" si="445"/>
        <v/>
      </c>
      <c r="EW84" s="11" t="str">
        <f t="shared" si="446"/>
        <v/>
      </c>
      <c r="EX84" s="7" t="str">
        <f t="shared" si="447"/>
        <v/>
      </c>
      <c r="EY84" s="8" t="str">
        <f t="shared" si="576"/>
        <v/>
      </c>
      <c r="EZ84" s="123" t="str">
        <f t="shared" si="577"/>
        <v/>
      </c>
      <c r="FA84" s="328" t="str">
        <f t="shared" si="448"/>
        <v/>
      </c>
      <c r="FB84" s="7" t="str">
        <f t="shared" si="449"/>
        <v/>
      </c>
      <c r="FC84" s="8" t="str">
        <f t="shared" si="450"/>
        <v/>
      </c>
      <c r="FD84" s="6" t="str">
        <f t="shared" si="451"/>
        <v/>
      </c>
      <c r="FE84" s="7" t="str">
        <f t="shared" si="452"/>
        <v/>
      </c>
      <c r="FF84" s="9" t="str">
        <f t="shared" si="578"/>
        <v/>
      </c>
      <c r="FG84" s="328" t="str">
        <f t="shared" si="453"/>
        <v/>
      </c>
      <c r="FH84" s="7" t="str">
        <f t="shared" si="454"/>
        <v/>
      </c>
      <c r="FI84" s="12" t="str">
        <f t="shared" si="455"/>
        <v/>
      </c>
      <c r="FJ84" s="547" t="str">
        <f t="shared" si="579"/>
        <v/>
      </c>
      <c r="FK84" s="6" t="str">
        <f t="shared" si="456"/>
        <v/>
      </c>
      <c r="FL84" s="7" t="str">
        <f t="shared" si="491"/>
        <v/>
      </c>
      <c r="FM84" s="10" t="str">
        <f t="shared" si="492"/>
        <v/>
      </c>
      <c r="FN84" s="11" t="str">
        <f t="shared" si="493"/>
        <v/>
      </c>
      <c r="FO84" s="12" t="str">
        <f t="shared" si="457"/>
        <v/>
      </c>
      <c r="FP84" s="545" t="str">
        <f t="shared" si="494"/>
        <v/>
      </c>
      <c r="FQ84" s="328" t="str">
        <f t="shared" si="580"/>
        <v/>
      </c>
      <c r="FR84" s="12" t="str">
        <f t="shared" si="581"/>
        <v/>
      </c>
      <c r="FS84" s="11" t="str">
        <f t="shared" si="582"/>
        <v/>
      </c>
      <c r="FT84" s="8" t="str">
        <f t="shared" si="583"/>
        <v/>
      </c>
      <c r="FU84" s="6" t="str">
        <f t="shared" si="584"/>
        <v/>
      </c>
      <c r="FV84" s="7" t="str">
        <f t="shared" si="585"/>
        <v/>
      </c>
      <c r="FW84" s="10" t="str">
        <f t="shared" si="586"/>
        <v/>
      </c>
      <c r="FX84" s="11" t="str">
        <f t="shared" si="587"/>
        <v/>
      </c>
      <c r="FY84" s="12" t="str">
        <f t="shared" si="458"/>
        <v/>
      </c>
      <c r="FZ84" s="545" t="str">
        <f t="shared" si="588"/>
        <v/>
      </c>
      <c r="GA84" s="372" t="str">
        <f t="shared" si="589"/>
        <v/>
      </c>
      <c r="GB84" s="46" t="str">
        <f t="shared" si="590"/>
        <v/>
      </c>
      <c r="GC84" s="47" t="str">
        <f t="shared" si="591"/>
        <v/>
      </c>
      <c r="GD84" s="578" t="str">
        <f t="shared" si="592"/>
        <v/>
      </c>
      <c r="GE84" s="585" t="str">
        <f t="shared" si="593"/>
        <v/>
      </c>
      <c r="GF84" s="634" t="str">
        <f t="shared" si="594"/>
        <v/>
      </c>
      <c r="GG84" s="553" t="str">
        <f t="shared" si="459"/>
        <v/>
      </c>
      <c r="GH84" s="554" t="str">
        <f t="shared" si="460"/>
        <v/>
      </c>
      <c r="GI84" s="549" t="str">
        <f t="shared" si="461"/>
        <v/>
      </c>
      <c r="GJ84" s="296" t="str">
        <f t="shared" si="595"/>
        <v/>
      </c>
      <c r="GK84" s="337" t="str">
        <f t="shared" si="462"/>
        <v/>
      </c>
      <c r="GL84" s="337" t="str">
        <f t="shared" si="596"/>
        <v/>
      </c>
      <c r="GM84" s="372" t="str">
        <f t="shared" si="597"/>
        <v/>
      </c>
      <c r="GN84" s="548" t="str">
        <f t="shared" si="598"/>
        <v/>
      </c>
      <c r="GO84" s="6" t="str">
        <f t="shared" si="599"/>
        <v/>
      </c>
      <c r="GP84" s="10" t="str">
        <f t="shared" si="600"/>
        <v/>
      </c>
      <c r="GQ84" s="372" t="str">
        <f t="shared" si="601"/>
        <v/>
      </c>
      <c r="GR84" s="697" t="str">
        <f t="shared" si="602"/>
        <v/>
      </c>
      <c r="GS84" s="637" t="str">
        <f t="shared" si="463"/>
        <v/>
      </c>
      <c r="GT84" s="638" t="str">
        <f t="shared" si="464"/>
        <v/>
      </c>
      <c r="GU84" s="639" t="str">
        <f t="shared" si="465"/>
        <v/>
      </c>
      <c r="GV84" s="638" t="str">
        <f t="shared" si="603"/>
        <v/>
      </c>
      <c r="GW84" s="640" t="str">
        <f t="shared" si="466"/>
        <v/>
      </c>
      <c r="GX84" s="641" t="str">
        <f t="shared" si="467"/>
        <v/>
      </c>
      <c r="GY84" s="639" t="str">
        <f t="shared" si="468"/>
        <v/>
      </c>
      <c r="GZ84" s="640" t="str">
        <f t="shared" si="469"/>
        <v/>
      </c>
      <c r="HA84" s="637" t="str">
        <f t="shared" si="470"/>
        <v/>
      </c>
      <c r="HB84" s="7" t="str">
        <f t="shared" si="604"/>
        <v/>
      </c>
      <c r="HC84" s="638" t="str">
        <f t="shared" si="605"/>
        <v/>
      </c>
      <c r="HD84" s="682" t="str">
        <f t="shared" si="606"/>
        <v/>
      </c>
      <c r="HE84" s="639" t="str">
        <f t="shared" si="471"/>
        <v/>
      </c>
      <c r="HF84" s="7" t="str">
        <f t="shared" si="472"/>
        <v/>
      </c>
      <c r="HG84" s="638" t="str">
        <f t="shared" si="607"/>
        <v/>
      </c>
      <c r="HH84" s="644" t="str">
        <f t="shared" si="608"/>
        <v/>
      </c>
      <c r="HI84" s="596" t="str">
        <f t="shared" si="609"/>
        <v/>
      </c>
      <c r="HK84" s="584" t="str">
        <f t="shared" si="217"/>
        <v/>
      </c>
      <c r="HL84" s="583" t="str">
        <f t="shared" si="495"/>
        <v/>
      </c>
      <c r="HM84" s="643" t="str">
        <f t="shared" si="615"/>
        <v/>
      </c>
      <c r="HN84" s="660" t="str">
        <f t="shared" si="615"/>
        <v/>
      </c>
      <c r="HO84" s="661" t="str">
        <f t="shared" si="615"/>
        <v/>
      </c>
      <c r="HP84" s="656" t="str">
        <f t="shared" si="615"/>
        <v/>
      </c>
      <c r="HQ84" s="660" t="str">
        <f t="shared" si="615"/>
        <v/>
      </c>
      <c r="HR84" s="671" t="str">
        <f t="shared" si="615"/>
        <v/>
      </c>
      <c r="HS84" s="655" t="str">
        <f t="shared" si="615"/>
        <v/>
      </c>
      <c r="HT84" s="648" t="str">
        <f t="shared" si="615"/>
        <v/>
      </c>
      <c r="HU84" s="649" t="str">
        <f t="shared" si="615"/>
        <v/>
      </c>
      <c r="HV84" s="650" t="str">
        <f t="shared" si="615"/>
        <v/>
      </c>
      <c r="HW84" s="648" t="str">
        <f t="shared" si="615"/>
        <v/>
      </c>
      <c r="HX84" s="649" t="str">
        <f t="shared" si="615"/>
        <v/>
      </c>
      <c r="HY84" s="650" t="str">
        <f t="shared" si="615"/>
        <v/>
      </c>
      <c r="HZ84" s="648" t="str">
        <f t="shared" si="615"/>
        <v/>
      </c>
      <c r="IA84" s="649" t="str">
        <f t="shared" si="615"/>
        <v/>
      </c>
      <c r="IB84" s="716"/>
    </row>
    <row r="85" spans="2:236" ht="15" customHeight="1" x14ac:dyDescent="0.25">
      <c r="B85" s="143"/>
      <c r="C85" s="144"/>
      <c r="D85" s="145"/>
      <c r="E85" s="146"/>
      <c r="F85" s="144"/>
      <c r="G85" s="147"/>
      <c r="H85" s="146"/>
      <c r="I85" s="144"/>
      <c r="J85" s="306"/>
      <c r="K85" s="699" t="str">
        <f t="shared" si="610"/>
        <v/>
      </c>
      <c r="M85" s="292" t="str">
        <f t="shared" si="46"/>
        <v/>
      </c>
      <c r="N85" s="24" t="str">
        <f t="shared" si="47"/>
        <v/>
      </c>
      <c r="O85" s="7" t="str">
        <f t="shared" si="48"/>
        <v/>
      </c>
      <c r="P85" s="12" t="str">
        <f t="shared" si="49"/>
        <v/>
      </c>
      <c r="Q85" s="11" t="str">
        <f t="shared" si="473"/>
        <v/>
      </c>
      <c r="R85" s="7" t="str">
        <f t="shared" si="50"/>
        <v/>
      </c>
      <c r="S85" s="8" t="str">
        <f t="shared" si="51"/>
        <v/>
      </c>
      <c r="T85" s="6" t="str">
        <f t="shared" si="52"/>
        <v/>
      </c>
      <c r="U85" s="7" t="str">
        <f t="shared" si="53"/>
        <v/>
      </c>
      <c r="V85" s="10" t="str">
        <f t="shared" si="86"/>
        <v/>
      </c>
      <c r="W85" s="11" t="str">
        <f t="shared" si="614"/>
        <v/>
      </c>
      <c r="X85" s="7" t="str">
        <f t="shared" si="54"/>
        <v/>
      </c>
      <c r="Y85" s="9" t="str">
        <f t="shared" si="611"/>
        <v/>
      </c>
      <c r="Z85" s="24" t="str">
        <f t="shared" si="87"/>
        <v/>
      </c>
      <c r="AA85" s="7" t="str">
        <f t="shared" si="55"/>
        <v/>
      </c>
      <c r="AB85" s="7" t="str">
        <f t="shared" si="56"/>
        <v/>
      </c>
      <c r="AC85" s="10" t="str">
        <f t="shared" si="57"/>
        <v/>
      </c>
      <c r="AD85" s="11" t="str">
        <f t="shared" si="88"/>
        <v/>
      </c>
      <c r="AE85" s="7" t="str">
        <f t="shared" si="58"/>
        <v/>
      </c>
      <c r="AF85" s="12" t="str">
        <f t="shared" si="59"/>
        <v/>
      </c>
      <c r="AG85" s="6" t="str">
        <f t="shared" si="60"/>
        <v/>
      </c>
      <c r="AH85" s="12" t="str">
        <f t="shared" si="61"/>
        <v/>
      </c>
      <c r="AI85" s="11" t="str">
        <f t="shared" si="62"/>
        <v/>
      </c>
      <c r="AJ85" s="8" t="str">
        <f t="shared" si="63"/>
        <v/>
      </c>
      <c r="AK85" s="6" t="str">
        <f t="shared" si="89"/>
        <v/>
      </c>
      <c r="AL85" s="7" t="str">
        <f t="shared" si="64"/>
        <v/>
      </c>
      <c r="AM85" s="8" t="str">
        <f t="shared" si="65"/>
        <v/>
      </c>
      <c r="AN85" s="6" t="str">
        <f t="shared" si="66"/>
        <v/>
      </c>
      <c r="AO85" s="10" t="str">
        <f t="shared" si="376"/>
        <v/>
      </c>
      <c r="AP85" s="11" t="str">
        <f t="shared" si="67"/>
        <v/>
      </c>
      <c r="AQ85" s="8" t="str">
        <f t="shared" si="612"/>
        <v/>
      </c>
      <c r="AS85" s="123" t="str">
        <f t="shared" si="496"/>
        <v/>
      </c>
      <c r="AT85" s="174" t="str">
        <f t="shared" si="68"/>
        <v/>
      </c>
      <c r="AV85" s="292" t="str">
        <f t="shared" si="497"/>
        <v/>
      </c>
      <c r="AW85" s="709"/>
      <c r="AX85" s="710"/>
      <c r="AY85" s="711"/>
      <c r="AZ85" s="565" t="str">
        <f t="shared" si="498"/>
        <v/>
      </c>
      <c r="BA85" s="564" t="str">
        <f t="shared" si="499"/>
        <v/>
      </c>
      <c r="BB85" s="372" t="str">
        <f t="shared" si="474"/>
        <v/>
      </c>
      <c r="BC85" s="11"/>
      <c r="BD85" s="7" t="str">
        <f t="shared" si="475"/>
        <v/>
      </c>
      <c r="BE85" s="8" t="str">
        <f t="shared" si="476"/>
        <v/>
      </c>
      <c r="BF85" s="6" t="str">
        <f t="shared" si="500"/>
        <v/>
      </c>
      <c r="BG85" s="7" t="str">
        <f t="shared" si="501"/>
        <v/>
      </c>
      <c r="BH85" s="12" t="str">
        <f t="shared" si="502"/>
        <v/>
      </c>
      <c r="BI85" s="11" t="str">
        <f t="shared" si="503"/>
        <v/>
      </c>
      <c r="BJ85" s="7" t="str">
        <f t="shared" si="504"/>
        <v/>
      </c>
      <c r="BK85" s="10" t="str">
        <f t="shared" si="505"/>
        <v/>
      </c>
      <c r="BL85" s="328" t="str">
        <f t="shared" si="506"/>
        <v/>
      </c>
      <c r="BM85" s="7" t="str">
        <f t="shared" si="507"/>
        <v/>
      </c>
      <c r="BN85" s="8" t="str">
        <f t="shared" si="508"/>
        <v/>
      </c>
      <c r="BO85" s="6" t="str">
        <f t="shared" si="509"/>
        <v/>
      </c>
      <c r="BP85" s="7" t="str">
        <f t="shared" si="510"/>
        <v/>
      </c>
      <c r="BQ85" s="7" t="str">
        <f t="shared" si="511"/>
        <v/>
      </c>
      <c r="BR85" s="8" t="str">
        <f t="shared" si="512"/>
        <v/>
      </c>
      <c r="BS85" s="6" t="str">
        <f t="shared" si="477"/>
        <v/>
      </c>
      <c r="BT85" s="7" t="str">
        <f t="shared" si="477"/>
        <v/>
      </c>
      <c r="BU85" s="12" t="str">
        <f t="shared" si="478"/>
        <v/>
      </c>
      <c r="BV85" s="11" t="str">
        <f t="shared" si="479"/>
        <v/>
      </c>
      <c r="BW85" s="7" t="str">
        <f t="shared" si="480"/>
        <v/>
      </c>
      <c r="BX85" s="10" t="str">
        <f t="shared" si="481"/>
        <v/>
      </c>
      <c r="BY85" s="328" t="str">
        <f t="shared" si="482"/>
        <v/>
      </c>
      <c r="BZ85" s="7" t="str">
        <f t="shared" si="483"/>
        <v/>
      </c>
      <c r="CA85" s="8" t="str">
        <f t="shared" si="484"/>
        <v/>
      </c>
      <c r="CB85" s="6" t="str">
        <f t="shared" si="513"/>
        <v/>
      </c>
      <c r="CC85" s="7" t="str">
        <f t="shared" si="514"/>
        <v/>
      </c>
      <c r="CD85" s="7" t="str">
        <f t="shared" si="515"/>
        <v/>
      </c>
      <c r="CE85" s="8" t="str">
        <f t="shared" si="516"/>
        <v/>
      </c>
      <c r="CF85" s="6" t="str">
        <f t="shared" si="517"/>
        <v/>
      </c>
      <c r="CG85" s="7" t="str">
        <f t="shared" si="518"/>
        <v/>
      </c>
      <c r="CH85" s="7" t="str">
        <f t="shared" si="519"/>
        <v/>
      </c>
      <c r="CI85" s="6" t="str">
        <f t="shared" si="485"/>
        <v/>
      </c>
      <c r="CJ85" s="7" t="str">
        <f t="shared" si="486"/>
        <v/>
      </c>
      <c r="CK85" s="10" t="str">
        <f t="shared" si="487"/>
        <v/>
      </c>
      <c r="CL85" s="328" t="str">
        <f t="shared" si="488"/>
        <v/>
      </c>
      <c r="CM85" s="7" t="str">
        <f t="shared" si="489"/>
        <v/>
      </c>
      <c r="CN85" s="8" t="str">
        <f t="shared" si="490"/>
        <v/>
      </c>
      <c r="CO85" s="296" t="str">
        <f t="shared" si="613"/>
        <v/>
      </c>
      <c r="CP85" s="6" t="str">
        <f t="shared" si="520"/>
        <v/>
      </c>
      <c r="CQ85" s="7" t="str">
        <f t="shared" si="521"/>
        <v/>
      </c>
      <c r="CR85" s="7" t="str">
        <f t="shared" si="522"/>
        <v/>
      </c>
      <c r="CS85" s="10" t="str">
        <f t="shared" si="523"/>
        <v/>
      </c>
      <c r="CT85" s="11" t="str">
        <f t="shared" si="524"/>
        <v/>
      </c>
      <c r="CU85" s="8" t="str">
        <f t="shared" si="525"/>
        <v/>
      </c>
      <c r="CV85" s="6" t="str">
        <f t="shared" si="526"/>
        <v/>
      </c>
      <c r="CW85" s="7" t="str">
        <f t="shared" si="527"/>
        <v/>
      </c>
      <c r="CX85" s="10" t="str">
        <f t="shared" si="528"/>
        <v/>
      </c>
      <c r="CY85" s="11" t="str">
        <f t="shared" si="529"/>
        <v/>
      </c>
      <c r="CZ85" s="7" t="str">
        <f t="shared" si="530"/>
        <v/>
      </c>
      <c r="DA85" s="8" t="str">
        <f t="shared" si="531"/>
        <v/>
      </c>
      <c r="DB85" s="6" t="str">
        <f t="shared" si="532"/>
        <v/>
      </c>
      <c r="DC85" s="7" t="str">
        <f t="shared" si="532"/>
        <v/>
      </c>
      <c r="DD85" s="12" t="str">
        <f t="shared" si="533"/>
        <v/>
      </c>
      <c r="DE85" s="11" t="str">
        <f t="shared" si="534"/>
        <v/>
      </c>
      <c r="DF85" s="7" t="str">
        <f t="shared" si="534"/>
        <v/>
      </c>
      <c r="DG85" s="12" t="str">
        <f t="shared" si="535"/>
        <v/>
      </c>
      <c r="DH85" s="174" t="str">
        <f t="shared" si="536"/>
        <v/>
      </c>
      <c r="DI85" s="6" t="str">
        <f t="shared" si="537"/>
        <v/>
      </c>
      <c r="DJ85" s="7" t="str">
        <f t="shared" si="538"/>
        <v/>
      </c>
      <c r="DK85" s="12" t="str">
        <f t="shared" si="539"/>
        <v/>
      </c>
      <c r="DL85" s="11" t="str">
        <f t="shared" si="540"/>
        <v/>
      </c>
      <c r="DM85" s="328" t="str">
        <f t="shared" si="541"/>
        <v/>
      </c>
      <c r="DN85" s="376" t="str">
        <f t="shared" si="542"/>
        <v/>
      </c>
      <c r="DO85" s="11" t="str">
        <f t="shared" si="543"/>
        <v/>
      </c>
      <c r="DP85" s="328" t="str">
        <f t="shared" si="544"/>
        <v/>
      </c>
      <c r="DQ85" s="13" t="str">
        <f t="shared" si="545"/>
        <v/>
      </c>
      <c r="DR85" s="328" t="str">
        <f t="shared" si="546"/>
        <v/>
      </c>
      <c r="DS85" s="7" t="str">
        <f t="shared" si="547"/>
        <v/>
      </c>
      <c r="DT85" s="7" t="str">
        <f t="shared" si="548"/>
        <v/>
      </c>
      <c r="DU85" s="7" t="str">
        <f t="shared" si="549"/>
        <v/>
      </c>
      <c r="DV85" s="7" t="str">
        <f t="shared" si="550"/>
        <v/>
      </c>
      <c r="DW85" s="7" t="str">
        <f t="shared" si="551"/>
        <v/>
      </c>
      <c r="DX85" s="296" t="str">
        <f t="shared" si="552"/>
        <v/>
      </c>
      <c r="DY85" s="11" t="str">
        <f t="shared" si="553"/>
        <v/>
      </c>
      <c r="DZ85" s="7" t="str">
        <f t="shared" si="554"/>
        <v/>
      </c>
      <c r="EA85" s="12" t="str">
        <f t="shared" si="555"/>
        <v/>
      </c>
      <c r="EB85" s="8" t="str">
        <f t="shared" si="556"/>
        <v/>
      </c>
      <c r="EC85" s="328" t="str">
        <f t="shared" si="557"/>
        <v/>
      </c>
      <c r="ED85" s="7" t="str">
        <f t="shared" si="558"/>
        <v/>
      </c>
      <c r="EE85" s="6" t="str">
        <f t="shared" si="559"/>
        <v/>
      </c>
      <c r="EF85" s="7" t="str">
        <f t="shared" si="560"/>
        <v/>
      </c>
      <c r="EG85" s="12" t="str">
        <f t="shared" si="561"/>
        <v/>
      </c>
      <c r="EH85" s="11" t="str">
        <f t="shared" si="562"/>
        <v/>
      </c>
      <c r="EI85" s="7" t="str">
        <f t="shared" si="563"/>
        <v/>
      </c>
      <c r="EJ85" s="8" t="str">
        <f t="shared" si="564"/>
        <v/>
      </c>
      <c r="EK85" s="491" t="str">
        <f t="shared" si="565"/>
        <v/>
      </c>
      <c r="EL85" s="493" t="str">
        <f t="shared" si="566"/>
        <v/>
      </c>
      <c r="EM85" s="6" t="str">
        <f t="shared" si="567"/>
        <v/>
      </c>
      <c r="EN85" s="7" t="str">
        <f t="shared" si="568"/>
        <v/>
      </c>
      <c r="EO85" s="12" t="str">
        <f t="shared" si="569"/>
        <v/>
      </c>
      <c r="EP85" s="11" t="str">
        <f t="shared" si="570"/>
        <v/>
      </c>
      <c r="EQ85" s="7" t="str">
        <f t="shared" si="571"/>
        <v/>
      </c>
      <c r="ER85" s="9" t="str">
        <f t="shared" si="572"/>
        <v/>
      </c>
      <c r="ES85" s="24" t="str">
        <f t="shared" si="573"/>
        <v/>
      </c>
      <c r="ET85" s="7" t="str">
        <f t="shared" si="574"/>
        <v/>
      </c>
      <c r="EU85" s="12" t="str">
        <f t="shared" si="575"/>
        <v/>
      </c>
      <c r="EV85" s="337" t="str">
        <f t="shared" si="445"/>
        <v/>
      </c>
      <c r="EW85" s="11" t="str">
        <f t="shared" si="446"/>
        <v/>
      </c>
      <c r="EX85" s="7" t="str">
        <f t="shared" si="447"/>
        <v/>
      </c>
      <c r="EY85" s="8" t="str">
        <f t="shared" si="576"/>
        <v/>
      </c>
      <c r="EZ85" s="123" t="str">
        <f t="shared" si="577"/>
        <v/>
      </c>
      <c r="FA85" s="328" t="str">
        <f t="shared" si="448"/>
        <v/>
      </c>
      <c r="FB85" s="7" t="str">
        <f t="shared" si="449"/>
        <v/>
      </c>
      <c r="FC85" s="8" t="str">
        <f t="shared" si="450"/>
        <v/>
      </c>
      <c r="FD85" s="6" t="str">
        <f t="shared" si="451"/>
        <v/>
      </c>
      <c r="FE85" s="7" t="str">
        <f t="shared" si="452"/>
        <v/>
      </c>
      <c r="FF85" s="9" t="str">
        <f t="shared" si="578"/>
        <v/>
      </c>
      <c r="FG85" s="328" t="str">
        <f t="shared" si="453"/>
        <v/>
      </c>
      <c r="FH85" s="7" t="str">
        <f t="shared" si="454"/>
        <v/>
      </c>
      <c r="FI85" s="12" t="str">
        <f t="shared" si="455"/>
        <v/>
      </c>
      <c r="FJ85" s="547" t="str">
        <f t="shared" si="579"/>
        <v/>
      </c>
      <c r="FK85" s="6" t="str">
        <f t="shared" si="456"/>
        <v/>
      </c>
      <c r="FL85" s="7" t="str">
        <f t="shared" si="491"/>
        <v/>
      </c>
      <c r="FM85" s="10" t="str">
        <f t="shared" si="492"/>
        <v/>
      </c>
      <c r="FN85" s="11" t="str">
        <f t="shared" si="493"/>
        <v/>
      </c>
      <c r="FO85" s="12" t="str">
        <f t="shared" si="457"/>
        <v/>
      </c>
      <c r="FP85" s="545" t="str">
        <f t="shared" si="494"/>
        <v/>
      </c>
      <c r="FQ85" s="328" t="str">
        <f t="shared" si="580"/>
        <v/>
      </c>
      <c r="FR85" s="12" t="str">
        <f t="shared" si="581"/>
        <v/>
      </c>
      <c r="FS85" s="11" t="str">
        <f t="shared" si="582"/>
        <v/>
      </c>
      <c r="FT85" s="8" t="str">
        <f t="shared" si="583"/>
        <v/>
      </c>
      <c r="FU85" s="6" t="str">
        <f t="shared" si="584"/>
        <v/>
      </c>
      <c r="FV85" s="7" t="str">
        <f t="shared" si="585"/>
        <v/>
      </c>
      <c r="FW85" s="10" t="str">
        <f t="shared" si="586"/>
        <v/>
      </c>
      <c r="FX85" s="11" t="str">
        <f t="shared" si="587"/>
        <v/>
      </c>
      <c r="FY85" s="12" t="str">
        <f t="shared" si="458"/>
        <v/>
      </c>
      <c r="FZ85" s="545" t="str">
        <f t="shared" si="588"/>
        <v/>
      </c>
      <c r="GA85" s="372" t="str">
        <f t="shared" si="589"/>
        <v/>
      </c>
      <c r="GB85" s="46" t="str">
        <f t="shared" si="590"/>
        <v/>
      </c>
      <c r="GC85" s="47" t="str">
        <f t="shared" si="591"/>
        <v/>
      </c>
      <c r="GD85" s="578" t="str">
        <f t="shared" si="592"/>
        <v/>
      </c>
      <c r="GE85" s="585" t="str">
        <f t="shared" si="593"/>
        <v/>
      </c>
      <c r="GF85" s="634" t="str">
        <f t="shared" si="594"/>
        <v/>
      </c>
      <c r="GG85" s="553" t="str">
        <f t="shared" si="459"/>
        <v/>
      </c>
      <c r="GH85" s="554" t="str">
        <f t="shared" si="460"/>
        <v/>
      </c>
      <c r="GI85" s="549" t="str">
        <f t="shared" si="461"/>
        <v/>
      </c>
      <c r="GJ85" s="296" t="str">
        <f t="shared" si="595"/>
        <v/>
      </c>
      <c r="GK85" s="337" t="str">
        <f t="shared" si="462"/>
        <v/>
      </c>
      <c r="GL85" s="337" t="str">
        <f t="shared" si="596"/>
        <v/>
      </c>
      <c r="GM85" s="372" t="str">
        <f t="shared" si="597"/>
        <v/>
      </c>
      <c r="GN85" s="548" t="str">
        <f t="shared" si="598"/>
        <v/>
      </c>
      <c r="GO85" s="6" t="str">
        <f t="shared" si="599"/>
        <v/>
      </c>
      <c r="GP85" s="10" t="str">
        <f t="shared" si="600"/>
        <v/>
      </c>
      <c r="GQ85" s="372" t="str">
        <f t="shared" si="601"/>
        <v/>
      </c>
      <c r="GR85" s="697" t="str">
        <f t="shared" si="602"/>
        <v/>
      </c>
      <c r="GS85" s="637" t="str">
        <f t="shared" si="463"/>
        <v/>
      </c>
      <c r="GT85" s="638" t="str">
        <f t="shared" si="464"/>
        <v/>
      </c>
      <c r="GU85" s="639" t="str">
        <f t="shared" si="465"/>
        <v/>
      </c>
      <c r="GV85" s="638" t="str">
        <f t="shared" si="603"/>
        <v/>
      </c>
      <c r="GW85" s="640" t="str">
        <f t="shared" si="466"/>
        <v/>
      </c>
      <c r="GX85" s="641" t="str">
        <f t="shared" si="467"/>
        <v/>
      </c>
      <c r="GY85" s="639" t="str">
        <f t="shared" si="468"/>
        <v/>
      </c>
      <c r="GZ85" s="640" t="str">
        <f t="shared" si="469"/>
        <v/>
      </c>
      <c r="HA85" s="637" t="str">
        <f t="shared" si="470"/>
        <v/>
      </c>
      <c r="HB85" s="7" t="str">
        <f t="shared" si="604"/>
        <v/>
      </c>
      <c r="HC85" s="638" t="str">
        <f t="shared" si="605"/>
        <v/>
      </c>
      <c r="HD85" s="682" t="str">
        <f t="shared" si="606"/>
        <v/>
      </c>
      <c r="HE85" s="639" t="str">
        <f t="shared" si="471"/>
        <v/>
      </c>
      <c r="HF85" s="7" t="str">
        <f t="shared" si="472"/>
        <v/>
      </c>
      <c r="HG85" s="638" t="str">
        <f t="shared" si="607"/>
        <v/>
      </c>
      <c r="HH85" s="644" t="str">
        <f t="shared" si="608"/>
        <v/>
      </c>
      <c r="HI85" s="596" t="str">
        <f t="shared" si="609"/>
        <v/>
      </c>
      <c r="HK85" s="584" t="str">
        <f t="shared" si="217"/>
        <v/>
      </c>
      <c r="HL85" s="583" t="str">
        <f t="shared" si="495"/>
        <v/>
      </c>
      <c r="HM85" s="643" t="str">
        <f t="shared" si="615"/>
        <v/>
      </c>
      <c r="HN85" s="660" t="str">
        <f t="shared" si="615"/>
        <v/>
      </c>
      <c r="HO85" s="661" t="str">
        <f t="shared" si="615"/>
        <v/>
      </c>
      <c r="HP85" s="656" t="str">
        <f t="shared" si="615"/>
        <v/>
      </c>
      <c r="HQ85" s="660" t="str">
        <f t="shared" si="615"/>
        <v/>
      </c>
      <c r="HR85" s="671" t="str">
        <f t="shared" si="615"/>
        <v/>
      </c>
      <c r="HS85" s="655" t="str">
        <f t="shared" si="615"/>
        <v/>
      </c>
      <c r="HT85" s="648" t="str">
        <f t="shared" si="615"/>
        <v/>
      </c>
      <c r="HU85" s="649" t="str">
        <f t="shared" si="615"/>
        <v/>
      </c>
      <c r="HV85" s="650" t="str">
        <f t="shared" si="615"/>
        <v/>
      </c>
      <c r="HW85" s="648" t="str">
        <f t="shared" si="615"/>
        <v/>
      </c>
      <c r="HX85" s="649" t="str">
        <f t="shared" si="615"/>
        <v/>
      </c>
      <c r="HY85" s="650" t="str">
        <f t="shared" si="615"/>
        <v/>
      </c>
      <c r="HZ85" s="648" t="str">
        <f t="shared" si="615"/>
        <v/>
      </c>
      <c r="IA85" s="649" t="str">
        <f t="shared" si="615"/>
        <v/>
      </c>
      <c r="IB85" s="716"/>
    </row>
    <row r="86" spans="2:236" ht="15" customHeight="1" x14ac:dyDescent="0.25">
      <c r="B86" s="143"/>
      <c r="C86" s="144"/>
      <c r="D86" s="145"/>
      <c r="E86" s="146"/>
      <c r="F86" s="144"/>
      <c r="G86" s="147"/>
      <c r="H86" s="146"/>
      <c r="I86" s="144"/>
      <c r="J86" s="306"/>
      <c r="K86" s="699" t="str">
        <f t="shared" si="610"/>
        <v/>
      </c>
      <c r="M86" s="292" t="str">
        <f t="shared" si="46"/>
        <v/>
      </c>
      <c r="N86" s="24" t="str">
        <f t="shared" si="47"/>
        <v/>
      </c>
      <c r="O86" s="7" t="str">
        <f t="shared" si="48"/>
        <v/>
      </c>
      <c r="P86" s="12" t="str">
        <f t="shared" si="49"/>
        <v/>
      </c>
      <c r="Q86" s="11" t="str">
        <f t="shared" si="473"/>
        <v/>
      </c>
      <c r="R86" s="7" t="str">
        <f t="shared" si="50"/>
        <v/>
      </c>
      <c r="S86" s="8" t="str">
        <f t="shared" si="51"/>
        <v/>
      </c>
      <c r="T86" s="6" t="str">
        <f t="shared" si="52"/>
        <v/>
      </c>
      <c r="U86" s="7" t="str">
        <f t="shared" si="53"/>
        <v/>
      </c>
      <c r="V86" s="10" t="str">
        <f t="shared" si="86"/>
        <v/>
      </c>
      <c r="W86" s="11" t="str">
        <f t="shared" si="614"/>
        <v/>
      </c>
      <c r="X86" s="7" t="str">
        <f t="shared" si="54"/>
        <v/>
      </c>
      <c r="Y86" s="9" t="str">
        <f t="shared" si="611"/>
        <v/>
      </c>
      <c r="Z86" s="24" t="str">
        <f t="shared" si="87"/>
        <v/>
      </c>
      <c r="AA86" s="7" t="str">
        <f t="shared" si="55"/>
        <v/>
      </c>
      <c r="AB86" s="7" t="str">
        <f t="shared" si="56"/>
        <v/>
      </c>
      <c r="AC86" s="10" t="str">
        <f t="shared" si="57"/>
        <v/>
      </c>
      <c r="AD86" s="11" t="str">
        <f t="shared" si="88"/>
        <v/>
      </c>
      <c r="AE86" s="7" t="str">
        <f t="shared" si="58"/>
        <v/>
      </c>
      <c r="AF86" s="12" t="str">
        <f t="shared" si="59"/>
        <v/>
      </c>
      <c r="AG86" s="6" t="str">
        <f t="shared" si="60"/>
        <v/>
      </c>
      <c r="AH86" s="12" t="str">
        <f t="shared" si="61"/>
        <v/>
      </c>
      <c r="AI86" s="11" t="str">
        <f t="shared" si="62"/>
        <v/>
      </c>
      <c r="AJ86" s="8" t="str">
        <f t="shared" si="63"/>
        <v/>
      </c>
      <c r="AK86" s="6" t="str">
        <f t="shared" si="89"/>
        <v/>
      </c>
      <c r="AL86" s="7" t="str">
        <f t="shared" si="64"/>
        <v/>
      </c>
      <c r="AM86" s="8" t="str">
        <f t="shared" si="65"/>
        <v/>
      </c>
      <c r="AN86" s="6" t="str">
        <f t="shared" si="66"/>
        <v/>
      </c>
      <c r="AO86" s="10" t="str">
        <f t="shared" si="376"/>
        <v/>
      </c>
      <c r="AP86" s="11" t="str">
        <f t="shared" si="67"/>
        <v/>
      </c>
      <c r="AQ86" s="8" t="str">
        <f t="shared" si="612"/>
        <v/>
      </c>
      <c r="AS86" s="123" t="str">
        <f t="shared" si="496"/>
        <v/>
      </c>
      <c r="AT86" s="174" t="str">
        <f t="shared" si="68"/>
        <v/>
      </c>
      <c r="AV86" s="292" t="str">
        <f t="shared" si="497"/>
        <v/>
      </c>
      <c r="AW86" s="709"/>
      <c r="AX86" s="710"/>
      <c r="AY86" s="711"/>
      <c r="AZ86" s="565" t="str">
        <f t="shared" si="498"/>
        <v/>
      </c>
      <c r="BA86" s="564" t="str">
        <f t="shared" si="499"/>
        <v/>
      </c>
      <c r="BB86" s="372" t="str">
        <f t="shared" si="474"/>
        <v/>
      </c>
      <c r="BC86" s="11"/>
      <c r="BD86" s="7" t="str">
        <f t="shared" si="475"/>
        <v/>
      </c>
      <c r="BE86" s="8" t="str">
        <f t="shared" si="476"/>
        <v/>
      </c>
      <c r="BF86" s="6" t="str">
        <f t="shared" si="500"/>
        <v/>
      </c>
      <c r="BG86" s="7" t="str">
        <f t="shared" si="501"/>
        <v/>
      </c>
      <c r="BH86" s="12" t="str">
        <f t="shared" si="502"/>
        <v/>
      </c>
      <c r="BI86" s="11" t="str">
        <f t="shared" si="503"/>
        <v/>
      </c>
      <c r="BJ86" s="7" t="str">
        <f t="shared" si="504"/>
        <v/>
      </c>
      <c r="BK86" s="10" t="str">
        <f t="shared" si="505"/>
        <v/>
      </c>
      <c r="BL86" s="328" t="str">
        <f t="shared" si="506"/>
        <v/>
      </c>
      <c r="BM86" s="7" t="str">
        <f t="shared" si="507"/>
        <v/>
      </c>
      <c r="BN86" s="8" t="str">
        <f t="shared" si="508"/>
        <v/>
      </c>
      <c r="BO86" s="6" t="str">
        <f t="shared" si="509"/>
        <v/>
      </c>
      <c r="BP86" s="7" t="str">
        <f t="shared" si="510"/>
        <v/>
      </c>
      <c r="BQ86" s="7" t="str">
        <f t="shared" si="511"/>
        <v/>
      </c>
      <c r="BR86" s="8" t="str">
        <f t="shared" si="512"/>
        <v/>
      </c>
      <c r="BS86" s="6" t="str">
        <f t="shared" si="477"/>
        <v/>
      </c>
      <c r="BT86" s="7" t="str">
        <f t="shared" si="477"/>
        <v/>
      </c>
      <c r="BU86" s="12" t="str">
        <f t="shared" si="478"/>
        <v/>
      </c>
      <c r="BV86" s="11" t="str">
        <f t="shared" si="479"/>
        <v/>
      </c>
      <c r="BW86" s="7" t="str">
        <f t="shared" si="480"/>
        <v/>
      </c>
      <c r="BX86" s="10" t="str">
        <f t="shared" si="481"/>
        <v/>
      </c>
      <c r="BY86" s="328" t="str">
        <f t="shared" si="482"/>
        <v/>
      </c>
      <c r="BZ86" s="7" t="str">
        <f t="shared" si="483"/>
        <v/>
      </c>
      <c r="CA86" s="8" t="str">
        <f t="shared" si="484"/>
        <v/>
      </c>
      <c r="CB86" s="6" t="str">
        <f t="shared" si="513"/>
        <v/>
      </c>
      <c r="CC86" s="7" t="str">
        <f t="shared" si="514"/>
        <v/>
      </c>
      <c r="CD86" s="7" t="str">
        <f t="shared" si="515"/>
        <v/>
      </c>
      <c r="CE86" s="8" t="str">
        <f t="shared" si="516"/>
        <v/>
      </c>
      <c r="CF86" s="6" t="str">
        <f t="shared" si="517"/>
        <v/>
      </c>
      <c r="CG86" s="7" t="str">
        <f t="shared" si="518"/>
        <v/>
      </c>
      <c r="CH86" s="7" t="str">
        <f t="shared" si="519"/>
        <v/>
      </c>
      <c r="CI86" s="6" t="str">
        <f t="shared" si="485"/>
        <v/>
      </c>
      <c r="CJ86" s="7" t="str">
        <f t="shared" si="486"/>
        <v/>
      </c>
      <c r="CK86" s="10" t="str">
        <f t="shared" si="487"/>
        <v/>
      </c>
      <c r="CL86" s="328" t="str">
        <f t="shared" si="488"/>
        <v/>
      </c>
      <c r="CM86" s="7" t="str">
        <f t="shared" si="489"/>
        <v/>
      </c>
      <c r="CN86" s="8" t="str">
        <f t="shared" si="490"/>
        <v/>
      </c>
      <c r="CO86" s="296" t="str">
        <f t="shared" si="613"/>
        <v/>
      </c>
      <c r="CP86" s="6" t="str">
        <f t="shared" si="520"/>
        <v/>
      </c>
      <c r="CQ86" s="7" t="str">
        <f t="shared" si="521"/>
        <v/>
      </c>
      <c r="CR86" s="7" t="str">
        <f t="shared" si="522"/>
        <v/>
      </c>
      <c r="CS86" s="10" t="str">
        <f t="shared" si="523"/>
        <v/>
      </c>
      <c r="CT86" s="11" t="str">
        <f t="shared" si="524"/>
        <v/>
      </c>
      <c r="CU86" s="8" t="str">
        <f t="shared" si="525"/>
        <v/>
      </c>
      <c r="CV86" s="6" t="str">
        <f t="shared" si="526"/>
        <v/>
      </c>
      <c r="CW86" s="7" t="str">
        <f t="shared" si="527"/>
        <v/>
      </c>
      <c r="CX86" s="10" t="str">
        <f t="shared" si="528"/>
        <v/>
      </c>
      <c r="CY86" s="11" t="str">
        <f t="shared" si="529"/>
        <v/>
      </c>
      <c r="CZ86" s="7" t="str">
        <f t="shared" si="530"/>
        <v/>
      </c>
      <c r="DA86" s="8" t="str">
        <f t="shared" si="531"/>
        <v/>
      </c>
      <c r="DB86" s="6" t="str">
        <f t="shared" si="532"/>
        <v/>
      </c>
      <c r="DC86" s="7" t="str">
        <f t="shared" si="532"/>
        <v/>
      </c>
      <c r="DD86" s="12" t="str">
        <f t="shared" si="533"/>
        <v/>
      </c>
      <c r="DE86" s="11" t="str">
        <f t="shared" si="534"/>
        <v/>
      </c>
      <c r="DF86" s="7" t="str">
        <f t="shared" si="534"/>
        <v/>
      </c>
      <c r="DG86" s="12" t="str">
        <f t="shared" si="535"/>
        <v/>
      </c>
      <c r="DH86" s="174" t="str">
        <f t="shared" si="536"/>
        <v/>
      </c>
      <c r="DI86" s="6" t="str">
        <f t="shared" si="537"/>
        <v/>
      </c>
      <c r="DJ86" s="7" t="str">
        <f t="shared" si="538"/>
        <v/>
      </c>
      <c r="DK86" s="12" t="str">
        <f t="shared" si="539"/>
        <v/>
      </c>
      <c r="DL86" s="11" t="str">
        <f t="shared" si="540"/>
        <v/>
      </c>
      <c r="DM86" s="328" t="str">
        <f t="shared" si="541"/>
        <v/>
      </c>
      <c r="DN86" s="376" t="str">
        <f t="shared" si="542"/>
        <v/>
      </c>
      <c r="DO86" s="11" t="str">
        <f t="shared" si="543"/>
        <v/>
      </c>
      <c r="DP86" s="328" t="str">
        <f t="shared" si="544"/>
        <v/>
      </c>
      <c r="DQ86" s="13" t="str">
        <f t="shared" si="545"/>
        <v/>
      </c>
      <c r="DR86" s="328" t="str">
        <f t="shared" si="546"/>
        <v/>
      </c>
      <c r="DS86" s="7" t="str">
        <f t="shared" si="547"/>
        <v/>
      </c>
      <c r="DT86" s="7" t="str">
        <f t="shared" si="548"/>
        <v/>
      </c>
      <c r="DU86" s="7" t="str">
        <f t="shared" si="549"/>
        <v/>
      </c>
      <c r="DV86" s="7" t="str">
        <f t="shared" si="550"/>
        <v/>
      </c>
      <c r="DW86" s="7" t="str">
        <f t="shared" si="551"/>
        <v/>
      </c>
      <c r="DX86" s="296" t="str">
        <f t="shared" si="552"/>
        <v/>
      </c>
      <c r="DY86" s="11" t="str">
        <f t="shared" si="553"/>
        <v/>
      </c>
      <c r="DZ86" s="7" t="str">
        <f t="shared" si="554"/>
        <v/>
      </c>
      <c r="EA86" s="12" t="str">
        <f t="shared" si="555"/>
        <v/>
      </c>
      <c r="EB86" s="8" t="str">
        <f t="shared" si="556"/>
        <v/>
      </c>
      <c r="EC86" s="328" t="str">
        <f t="shared" si="557"/>
        <v/>
      </c>
      <c r="ED86" s="7" t="str">
        <f t="shared" si="558"/>
        <v/>
      </c>
      <c r="EE86" s="6" t="str">
        <f t="shared" si="559"/>
        <v/>
      </c>
      <c r="EF86" s="7" t="str">
        <f t="shared" si="560"/>
        <v/>
      </c>
      <c r="EG86" s="12" t="str">
        <f t="shared" si="561"/>
        <v/>
      </c>
      <c r="EH86" s="11" t="str">
        <f t="shared" si="562"/>
        <v/>
      </c>
      <c r="EI86" s="7" t="str">
        <f t="shared" si="563"/>
        <v/>
      </c>
      <c r="EJ86" s="8" t="str">
        <f t="shared" si="564"/>
        <v/>
      </c>
      <c r="EK86" s="491" t="str">
        <f t="shared" si="565"/>
        <v/>
      </c>
      <c r="EL86" s="493" t="str">
        <f t="shared" si="566"/>
        <v/>
      </c>
      <c r="EM86" s="6" t="str">
        <f t="shared" si="567"/>
        <v/>
      </c>
      <c r="EN86" s="7" t="str">
        <f t="shared" si="568"/>
        <v/>
      </c>
      <c r="EO86" s="12" t="str">
        <f t="shared" si="569"/>
        <v/>
      </c>
      <c r="EP86" s="11" t="str">
        <f t="shared" si="570"/>
        <v/>
      </c>
      <c r="EQ86" s="7" t="str">
        <f t="shared" si="571"/>
        <v/>
      </c>
      <c r="ER86" s="9" t="str">
        <f t="shared" si="572"/>
        <v/>
      </c>
      <c r="ES86" s="24" t="str">
        <f t="shared" si="573"/>
        <v/>
      </c>
      <c r="ET86" s="7" t="str">
        <f t="shared" si="574"/>
        <v/>
      </c>
      <c r="EU86" s="12" t="str">
        <f t="shared" si="575"/>
        <v/>
      </c>
      <c r="EV86" s="337" t="str">
        <f t="shared" si="445"/>
        <v/>
      </c>
      <c r="EW86" s="11" t="str">
        <f t="shared" si="446"/>
        <v/>
      </c>
      <c r="EX86" s="7" t="str">
        <f t="shared" si="447"/>
        <v/>
      </c>
      <c r="EY86" s="8" t="str">
        <f t="shared" si="576"/>
        <v/>
      </c>
      <c r="EZ86" s="123" t="str">
        <f t="shared" si="577"/>
        <v/>
      </c>
      <c r="FA86" s="328" t="str">
        <f t="shared" si="448"/>
        <v/>
      </c>
      <c r="FB86" s="7" t="str">
        <f t="shared" si="449"/>
        <v/>
      </c>
      <c r="FC86" s="8" t="str">
        <f t="shared" si="450"/>
        <v/>
      </c>
      <c r="FD86" s="6" t="str">
        <f t="shared" si="451"/>
        <v/>
      </c>
      <c r="FE86" s="7" t="str">
        <f t="shared" si="452"/>
        <v/>
      </c>
      <c r="FF86" s="9" t="str">
        <f t="shared" si="578"/>
        <v/>
      </c>
      <c r="FG86" s="328" t="str">
        <f t="shared" si="453"/>
        <v/>
      </c>
      <c r="FH86" s="7" t="str">
        <f t="shared" si="454"/>
        <v/>
      </c>
      <c r="FI86" s="12" t="str">
        <f t="shared" si="455"/>
        <v/>
      </c>
      <c r="FJ86" s="547" t="str">
        <f t="shared" si="579"/>
        <v/>
      </c>
      <c r="FK86" s="6" t="str">
        <f t="shared" si="456"/>
        <v/>
      </c>
      <c r="FL86" s="7" t="str">
        <f t="shared" si="491"/>
        <v/>
      </c>
      <c r="FM86" s="10" t="str">
        <f t="shared" si="492"/>
        <v/>
      </c>
      <c r="FN86" s="11" t="str">
        <f t="shared" si="493"/>
        <v/>
      </c>
      <c r="FO86" s="12" t="str">
        <f t="shared" si="457"/>
        <v/>
      </c>
      <c r="FP86" s="545" t="str">
        <f t="shared" si="494"/>
        <v/>
      </c>
      <c r="FQ86" s="328" t="str">
        <f t="shared" si="580"/>
        <v/>
      </c>
      <c r="FR86" s="12" t="str">
        <f t="shared" si="581"/>
        <v/>
      </c>
      <c r="FS86" s="11" t="str">
        <f t="shared" si="582"/>
        <v/>
      </c>
      <c r="FT86" s="8" t="str">
        <f t="shared" si="583"/>
        <v/>
      </c>
      <c r="FU86" s="6" t="str">
        <f t="shared" si="584"/>
        <v/>
      </c>
      <c r="FV86" s="7" t="str">
        <f t="shared" si="585"/>
        <v/>
      </c>
      <c r="FW86" s="10" t="str">
        <f t="shared" si="586"/>
        <v/>
      </c>
      <c r="FX86" s="11" t="str">
        <f t="shared" si="587"/>
        <v/>
      </c>
      <c r="FY86" s="12" t="str">
        <f t="shared" si="458"/>
        <v/>
      </c>
      <c r="FZ86" s="545" t="str">
        <f t="shared" si="588"/>
        <v/>
      </c>
      <c r="GA86" s="372" t="str">
        <f t="shared" si="589"/>
        <v/>
      </c>
      <c r="GB86" s="46" t="str">
        <f t="shared" si="590"/>
        <v/>
      </c>
      <c r="GC86" s="47" t="str">
        <f t="shared" si="591"/>
        <v/>
      </c>
      <c r="GD86" s="578" t="str">
        <f t="shared" si="592"/>
        <v/>
      </c>
      <c r="GE86" s="585" t="str">
        <f t="shared" si="593"/>
        <v/>
      </c>
      <c r="GF86" s="634" t="str">
        <f t="shared" si="594"/>
        <v/>
      </c>
      <c r="GG86" s="553" t="str">
        <f t="shared" si="459"/>
        <v/>
      </c>
      <c r="GH86" s="554" t="str">
        <f t="shared" si="460"/>
        <v/>
      </c>
      <c r="GI86" s="549" t="str">
        <f t="shared" si="461"/>
        <v/>
      </c>
      <c r="GJ86" s="296" t="str">
        <f t="shared" si="595"/>
        <v/>
      </c>
      <c r="GK86" s="337" t="str">
        <f t="shared" si="462"/>
        <v/>
      </c>
      <c r="GL86" s="337" t="str">
        <f t="shared" si="596"/>
        <v/>
      </c>
      <c r="GM86" s="372" t="str">
        <f t="shared" si="597"/>
        <v/>
      </c>
      <c r="GN86" s="548" t="str">
        <f t="shared" si="598"/>
        <v/>
      </c>
      <c r="GO86" s="6" t="str">
        <f t="shared" si="599"/>
        <v/>
      </c>
      <c r="GP86" s="10" t="str">
        <f t="shared" si="600"/>
        <v/>
      </c>
      <c r="GQ86" s="372" t="str">
        <f t="shared" si="601"/>
        <v/>
      </c>
      <c r="GR86" s="697" t="str">
        <f t="shared" si="602"/>
        <v/>
      </c>
      <c r="GS86" s="637" t="str">
        <f t="shared" si="463"/>
        <v/>
      </c>
      <c r="GT86" s="638" t="str">
        <f t="shared" si="464"/>
        <v/>
      </c>
      <c r="GU86" s="639" t="str">
        <f t="shared" si="465"/>
        <v/>
      </c>
      <c r="GV86" s="638" t="str">
        <f t="shared" si="603"/>
        <v/>
      </c>
      <c r="GW86" s="640" t="str">
        <f t="shared" si="466"/>
        <v/>
      </c>
      <c r="GX86" s="641" t="str">
        <f t="shared" si="467"/>
        <v/>
      </c>
      <c r="GY86" s="639" t="str">
        <f t="shared" si="468"/>
        <v/>
      </c>
      <c r="GZ86" s="640" t="str">
        <f t="shared" si="469"/>
        <v/>
      </c>
      <c r="HA86" s="637" t="str">
        <f t="shared" si="470"/>
        <v/>
      </c>
      <c r="HB86" s="7" t="str">
        <f t="shared" si="604"/>
        <v/>
      </c>
      <c r="HC86" s="638" t="str">
        <f t="shared" si="605"/>
        <v/>
      </c>
      <c r="HD86" s="682" t="str">
        <f t="shared" si="606"/>
        <v/>
      </c>
      <c r="HE86" s="639" t="str">
        <f t="shared" si="471"/>
        <v/>
      </c>
      <c r="HF86" s="7" t="str">
        <f t="shared" si="472"/>
        <v/>
      </c>
      <c r="HG86" s="638" t="str">
        <f t="shared" si="607"/>
        <v/>
      </c>
      <c r="HH86" s="644" t="str">
        <f t="shared" si="608"/>
        <v/>
      </c>
      <c r="HI86" s="596" t="str">
        <f t="shared" si="609"/>
        <v/>
      </c>
      <c r="HK86" s="584" t="str">
        <f t="shared" si="217"/>
        <v/>
      </c>
      <c r="HL86" s="583" t="str">
        <f t="shared" si="495"/>
        <v/>
      </c>
      <c r="HM86" s="643" t="str">
        <f t="shared" si="615"/>
        <v/>
      </c>
      <c r="HN86" s="660" t="str">
        <f t="shared" si="615"/>
        <v/>
      </c>
      <c r="HO86" s="661" t="str">
        <f t="shared" si="615"/>
        <v/>
      </c>
      <c r="HP86" s="656" t="str">
        <f t="shared" si="615"/>
        <v/>
      </c>
      <c r="HQ86" s="660" t="str">
        <f t="shared" si="615"/>
        <v/>
      </c>
      <c r="HR86" s="671" t="str">
        <f t="shared" si="615"/>
        <v/>
      </c>
      <c r="HS86" s="655" t="str">
        <f t="shared" si="615"/>
        <v/>
      </c>
      <c r="HT86" s="648" t="str">
        <f t="shared" si="615"/>
        <v/>
      </c>
      <c r="HU86" s="649" t="str">
        <f t="shared" si="615"/>
        <v/>
      </c>
      <c r="HV86" s="650" t="str">
        <f t="shared" si="615"/>
        <v/>
      </c>
      <c r="HW86" s="648" t="str">
        <f t="shared" si="615"/>
        <v/>
      </c>
      <c r="HX86" s="649" t="str">
        <f t="shared" si="615"/>
        <v/>
      </c>
      <c r="HY86" s="650" t="str">
        <f t="shared" si="615"/>
        <v/>
      </c>
      <c r="HZ86" s="648" t="str">
        <f t="shared" si="615"/>
        <v/>
      </c>
      <c r="IA86" s="649" t="str">
        <f t="shared" si="615"/>
        <v/>
      </c>
      <c r="IB86" s="716"/>
    </row>
    <row r="87" spans="2:236" ht="15" customHeight="1" x14ac:dyDescent="0.25">
      <c r="B87" s="143"/>
      <c r="C87" s="144"/>
      <c r="D87" s="145"/>
      <c r="E87" s="146"/>
      <c r="F87" s="144"/>
      <c r="G87" s="147"/>
      <c r="H87" s="146"/>
      <c r="I87" s="144"/>
      <c r="J87" s="306"/>
      <c r="K87" s="699" t="str">
        <f t="shared" si="610"/>
        <v/>
      </c>
      <c r="M87" s="292" t="str">
        <f t="shared" si="46"/>
        <v/>
      </c>
      <c r="N87" s="24" t="str">
        <f t="shared" si="47"/>
        <v/>
      </c>
      <c r="O87" s="7" t="str">
        <f t="shared" si="48"/>
        <v/>
      </c>
      <c r="P87" s="12" t="str">
        <f t="shared" si="49"/>
        <v/>
      </c>
      <c r="Q87" s="11" t="str">
        <f t="shared" si="473"/>
        <v/>
      </c>
      <c r="R87" s="7" t="str">
        <f t="shared" si="50"/>
        <v/>
      </c>
      <c r="S87" s="8" t="str">
        <f t="shared" si="51"/>
        <v/>
      </c>
      <c r="T87" s="6" t="str">
        <f t="shared" si="52"/>
        <v/>
      </c>
      <c r="U87" s="7" t="str">
        <f t="shared" si="53"/>
        <v/>
      </c>
      <c r="V87" s="10" t="str">
        <f t="shared" si="86"/>
        <v/>
      </c>
      <c r="W87" s="11" t="str">
        <f t="shared" si="614"/>
        <v/>
      </c>
      <c r="X87" s="7" t="str">
        <f t="shared" si="54"/>
        <v/>
      </c>
      <c r="Y87" s="9" t="str">
        <f t="shared" si="611"/>
        <v/>
      </c>
      <c r="Z87" s="24" t="str">
        <f t="shared" si="87"/>
        <v/>
      </c>
      <c r="AA87" s="7" t="str">
        <f t="shared" si="55"/>
        <v/>
      </c>
      <c r="AB87" s="7" t="str">
        <f t="shared" si="56"/>
        <v/>
      </c>
      <c r="AC87" s="10" t="str">
        <f t="shared" si="57"/>
        <v/>
      </c>
      <c r="AD87" s="11" t="str">
        <f t="shared" si="88"/>
        <v/>
      </c>
      <c r="AE87" s="7" t="str">
        <f t="shared" si="58"/>
        <v/>
      </c>
      <c r="AF87" s="12" t="str">
        <f t="shared" si="59"/>
        <v/>
      </c>
      <c r="AG87" s="6" t="str">
        <f t="shared" si="60"/>
        <v/>
      </c>
      <c r="AH87" s="12" t="str">
        <f t="shared" si="61"/>
        <v/>
      </c>
      <c r="AI87" s="11" t="str">
        <f t="shared" si="62"/>
        <v/>
      </c>
      <c r="AJ87" s="8" t="str">
        <f t="shared" si="63"/>
        <v/>
      </c>
      <c r="AK87" s="6" t="str">
        <f t="shared" si="89"/>
        <v/>
      </c>
      <c r="AL87" s="7" t="str">
        <f t="shared" si="64"/>
        <v/>
      </c>
      <c r="AM87" s="8" t="str">
        <f t="shared" si="65"/>
        <v/>
      </c>
      <c r="AN87" s="6" t="str">
        <f t="shared" si="66"/>
        <v/>
      </c>
      <c r="AO87" s="10" t="str">
        <f t="shared" si="376"/>
        <v/>
      </c>
      <c r="AP87" s="11" t="str">
        <f t="shared" si="67"/>
        <v/>
      </c>
      <c r="AQ87" s="8" t="str">
        <f t="shared" si="612"/>
        <v/>
      </c>
      <c r="AS87" s="123" t="str">
        <f t="shared" si="496"/>
        <v/>
      </c>
      <c r="AT87" s="174" t="str">
        <f t="shared" si="68"/>
        <v/>
      </c>
      <c r="AV87" s="292" t="str">
        <f t="shared" si="497"/>
        <v/>
      </c>
      <c r="AW87" s="709"/>
      <c r="AX87" s="710"/>
      <c r="AY87" s="711"/>
      <c r="AZ87" s="565" t="str">
        <f t="shared" si="498"/>
        <v/>
      </c>
      <c r="BA87" s="564" t="str">
        <f t="shared" si="499"/>
        <v/>
      </c>
      <c r="BB87" s="372" t="str">
        <f t="shared" si="474"/>
        <v/>
      </c>
      <c r="BC87" s="11"/>
      <c r="BD87" s="7" t="str">
        <f t="shared" si="475"/>
        <v/>
      </c>
      <c r="BE87" s="8" t="str">
        <f t="shared" si="476"/>
        <v/>
      </c>
      <c r="BF87" s="6" t="str">
        <f t="shared" si="500"/>
        <v/>
      </c>
      <c r="BG87" s="7" t="str">
        <f t="shared" si="501"/>
        <v/>
      </c>
      <c r="BH87" s="12" t="str">
        <f t="shared" si="502"/>
        <v/>
      </c>
      <c r="BI87" s="11" t="str">
        <f t="shared" si="503"/>
        <v/>
      </c>
      <c r="BJ87" s="7" t="str">
        <f t="shared" si="504"/>
        <v/>
      </c>
      <c r="BK87" s="10" t="str">
        <f t="shared" si="505"/>
        <v/>
      </c>
      <c r="BL87" s="328" t="str">
        <f t="shared" si="506"/>
        <v/>
      </c>
      <c r="BM87" s="7" t="str">
        <f t="shared" si="507"/>
        <v/>
      </c>
      <c r="BN87" s="8" t="str">
        <f t="shared" si="508"/>
        <v/>
      </c>
      <c r="BO87" s="6" t="str">
        <f t="shared" si="509"/>
        <v/>
      </c>
      <c r="BP87" s="7" t="str">
        <f t="shared" si="510"/>
        <v/>
      </c>
      <c r="BQ87" s="7" t="str">
        <f t="shared" si="511"/>
        <v/>
      </c>
      <c r="BR87" s="8" t="str">
        <f t="shared" si="512"/>
        <v/>
      </c>
      <c r="BS87" s="6" t="str">
        <f t="shared" si="477"/>
        <v/>
      </c>
      <c r="BT87" s="7" t="str">
        <f t="shared" si="477"/>
        <v/>
      </c>
      <c r="BU87" s="12" t="str">
        <f t="shared" si="478"/>
        <v/>
      </c>
      <c r="BV87" s="11" t="str">
        <f t="shared" si="479"/>
        <v/>
      </c>
      <c r="BW87" s="7" t="str">
        <f t="shared" si="480"/>
        <v/>
      </c>
      <c r="BX87" s="10" t="str">
        <f t="shared" si="481"/>
        <v/>
      </c>
      <c r="BY87" s="328" t="str">
        <f t="shared" si="482"/>
        <v/>
      </c>
      <c r="BZ87" s="7" t="str">
        <f t="shared" si="483"/>
        <v/>
      </c>
      <c r="CA87" s="8" t="str">
        <f t="shared" si="484"/>
        <v/>
      </c>
      <c r="CB87" s="6" t="str">
        <f t="shared" si="513"/>
        <v/>
      </c>
      <c r="CC87" s="7" t="str">
        <f t="shared" si="514"/>
        <v/>
      </c>
      <c r="CD87" s="7" t="str">
        <f t="shared" si="515"/>
        <v/>
      </c>
      <c r="CE87" s="8" t="str">
        <f t="shared" si="516"/>
        <v/>
      </c>
      <c r="CF87" s="6" t="str">
        <f t="shared" si="517"/>
        <v/>
      </c>
      <c r="CG87" s="7" t="str">
        <f t="shared" si="518"/>
        <v/>
      </c>
      <c r="CH87" s="7" t="str">
        <f t="shared" si="519"/>
        <v/>
      </c>
      <c r="CI87" s="6" t="str">
        <f t="shared" si="485"/>
        <v/>
      </c>
      <c r="CJ87" s="7" t="str">
        <f t="shared" si="486"/>
        <v/>
      </c>
      <c r="CK87" s="10" t="str">
        <f t="shared" si="487"/>
        <v/>
      </c>
      <c r="CL87" s="328" t="str">
        <f t="shared" si="488"/>
        <v/>
      </c>
      <c r="CM87" s="7" t="str">
        <f t="shared" si="489"/>
        <v/>
      </c>
      <c r="CN87" s="8" t="str">
        <f t="shared" si="490"/>
        <v/>
      </c>
      <c r="CO87" s="296" t="str">
        <f t="shared" si="613"/>
        <v/>
      </c>
      <c r="CP87" s="6" t="str">
        <f t="shared" si="520"/>
        <v/>
      </c>
      <c r="CQ87" s="7" t="str">
        <f t="shared" si="521"/>
        <v/>
      </c>
      <c r="CR87" s="7" t="str">
        <f t="shared" si="522"/>
        <v/>
      </c>
      <c r="CS87" s="10" t="str">
        <f t="shared" si="523"/>
        <v/>
      </c>
      <c r="CT87" s="11" t="str">
        <f t="shared" si="524"/>
        <v/>
      </c>
      <c r="CU87" s="8" t="str">
        <f t="shared" si="525"/>
        <v/>
      </c>
      <c r="CV87" s="6" t="str">
        <f t="shared" si="526"/>
        <v/>
      </c>
      <c r="CW87" s="7" t="str">
        <f t="shared" si="527"/>
        <v/>
      </c>
      <c r="CX87" s="10" t="str">
        <f t="shared" si="528"/>
        <v/>
      </c>
      <c r="CY87" s="11" t="str">
        <f t="shared" si="529"/>
        <v/>
      </c>
      <c r="CZ87" s="7" t="str">
        <f t="shared" si="530"/>
        <v/>
      </c>
      <c r="DA87" s="8" t="str">
        <f t="shared" si="531"/>
        <v/>
      </c>
      <c r="DB87" s="6" t="str">
        <f t="shared" si="532"/>
        <v/>
      </c>
      <c r="DC87" s="7" t="str">
        <f t="shared" si="532"/>
        <v/>
      </c>
      <c r="DD87" s="12" t="str">
        <f t="shared" si="533"/>
        <v/>
      </c>
      <c r="DE87" s="11" t="str">
        <f t="shared" si="534"/>
        <v/>
      </c>
      <c r="DF87" s="7" t="str">
        <f t="shared" si="534"/>
        <v/>
      </c>
      <c r="DG87" s="12" t="str">
        <f t="shared" si="535"/>
        <v/>
      </c>
      <c r="DH87" s="174" t="str">
        <f t="shared" si="536"/>
        <v/>
      </c>
      <c r="DI87" s="6" t="str">
        <f t="shared" si="537"/>
        <v/>
      </c>
      <c r="DJ87" s="7" t="str">
        <f t="shared" si="538"/>
        <v/>
      </c>
      <c r="DK87" s="12" t="str">
        <f t="shared" si="539"/>
        <v/>
      </c>
      <c r="DL87" s="11" t="str">
        <f t="shared" si="540"/>
        <v/>
      </c>
      <c r="DM87" s="328" t="str">
        <f t="shared" si="541"/>
        <v/>
      </c>
      <c r="DN87" s="376" t="str">
        <f t="shared" si="542"/>
        <v/>
      </c>
      <c r="DO87" s="11" t="str">
        <f t="shared" si="543"/>
        <v/>
      </c>
      <c r="DP87" s="328" t="str">
        <f t="shared" si="544"/>
        <v/>
      </c>
      <c r="DQ87" s="13" t="str">
        <f t="shared" si="545"/>
        <v/>
      </c>
      <c r="DR87" s="328" t="str">
        <f t="shared" si="546"/>
        <v/>
      </c>
      <c r="DS87" s="7" t="str">
        <f t="shared" si="547"/>
        <v/>
      </c>
      <c r="DT87" s="7" t="str">
        <f t="shared" si="548"/>
        <v/>
      </c>
      <c r="DU87" s="7" t="str">
        <f t="shared" si="549"/>
        <v/>
      </c>
      <c r="DV87" s="7" t="str">
        <f t="shared" si="550"/>
        <v/>
      </c>
      <c r="DW87" s="7" t="str">
        <f t="shared" si="551"/>
        <v/>
      </c>
      <c r="DX87" s="296" t="str">
        <f t="shared" si="552"/>
        <v/>
      </c>
      <c r="DY87" s="11" t="str">
        <f t="shared" si="553"/>
        <v/>
      </c>
      <c r="DZ87" s="7" t="str">
        <f t="shared" si="554"/>
        <v/>
      </c>
      <c r="EA87" s="12" t="str">
        <f t="shared" si="555"/>
        <v/>
      </c>
      <c r="EB87" s="8" t="str">
        <f t="shared" si="556"/>
        <v/>
      </c>
      <c r="EC87" s="328" t="str">
        <f t="shared" si="557"/>
        <v/>
      </c>
      <c r="ED87" s="7" t="str">
        <f t="shared" si="558"/>
        <v/>
      </c>
      <c r="EE87" s="6" t="str">
        <f t="shared" si="559"/>
        <v/>
      </c>
      <c r="EF87" s="7" t="str">
        <f t="shared" si="560"/>
        <v/>
      </c>
      <c r="EG87" s="12" t="str">
        <f t="shared" si="561"/>
        <v/>
      </c>
      <c r="EH87" s="11" t="str">
        <f t="shared" si="562"/>
        <v/>
      </c>
      <c r="EI87" s="7" t="str">
        <f t="shared" si="563"/>
        <v/>
      </c>
      <c r="EJ87" s="8" t="str">
        <f t="shared" si="564"/>
        <v/>
      </c>
      <c r="EK87" s="491" t="str">
        <f t="shared" si="565"/>
        <v/>
      </c>
      <c r="EL87" s="493" t="str">
        <f t="shared" si="566"/>
        <v/>
      </c>
      <c r="EM87" s="6" t="str">
        <f t="shared" si="567"/>
        <v/>
      </c>
      <c r="EN87" s="7" t="str">
        <f t="shared" si="568"/>
        <v/>
      </c>
      <c r="EO87" s="12" t="str">
        <f t="shared" si="569"/>
        <v/>
      </c>
      <c r="EP87" s="11" t="str">
        <f t="shared" si="570"/>
        <v/>
      </c>
      <c r="EQ87" s="7" t="str">
        <f t="shared" si="571"/>
        <v/>
      </c>
      <c r="ER87" s="9" t="str">
        <f t="shared" si="572"/>
        <v/>
      </c>
      <c r="ES87" s="24" t="str">
        <f t="shared" si="573"/>
        <v/>
      </c>
      <c r="ET87" s="7" t="str">
        <f t="shared" si="574"/>
        <v/>
      </c>
      <c r="EU87" s="12" t="str">
        <f t="shared" si="575"/>
        <v/>
      </c>
      <c r="EV87" s="337" t="str">
        <f t="shared" si="445"/>
        <v/>
      </c>
      <c r="EW87" s="11" t="str">
        <f t="shared" si="446"/>
        <v/>
      </c>
      <c r="EX87" s="7" t="str">
        <f t="shared" si="447"/>
        <v/>
      </c>
      <c r="EY87" s="8" t="str">
        <f t="shared" si="576"/>
        <v/>
      </c>
      <c r="EZ87" s="123" t="str">
        <f t="shared" si="577"/>
        <v/>
      </c>
      <c r="FA87" s="328" t="str">
        <f t="shared" si="448"/>
        <v/>
      </c>
      <c r="FB87" s="7" t="str">
        <f t="shared" si="449"/>
        <v/>
      </c>
      <c r="FC87" s="8" t="str">
        <f t="shared" si="450"/>
        <v/>
      </c>
      <c r="FD87" s="6" t="str">
        <f t="shared" si="451"/>
        <v/>
      </c>
      <c r="FE87" s="7" t="str">
        <f t="shared" si="452"/>
        <v/>
      </c>
      <c r="FF87" s="9" t="str">
        <f t="shared" si="578"/>
        <v/>
      </c>
      <c r="FG87" s="328" t="str">
        <f t="shared" si="453"/>
        <v/>
      </c>
      <c r="FH87" s="7" t="str">
        <f t="shared" si="454"/>
        <v/>
      </c>
      <c r="FI87" s="12" t="str">
        <f t="shared" si="455"/>
        <v/>
      </c>
      <c r="FJ87" s="547" t="str">
        <f t="shared" si="579"/>
        <v/>
      </c>
      <c r="FK87" s="6" t="str">
        <f t="shared" si="456"/>
        <v/>
      </c>
      <c r="FL87" s="7" t="str">
        <f t="shared" si="491"/>
        <v/>
      </c>
      <c r="FM87" s="10" t="str">
        <f t="shared" si="492"/>
        <v/>
      </c>
      <c r="FN87" s="11" t="str">
        <f t="shared" si="493"/>
        <v/>
      </c>
      <c r="FO87" s="12" t="str">
        <f t="shared" si="457"/>
        <v/>
      </c>
      <c r="FP87" s="545" t="str">
        <f t="shared" si="494"/>
        <v/>
      </c>
      <c r="FQ87" s="328" t="str">
        <f t="shared" si="580"/>
        <v/>
      </c>
      <c r="FR87" s="12" t="str">
        <f t="shared" si="581"/>
        <v/>
      </c>
      <c r="FS87" s="11" t="str">
        <f t="shared" si="582"/>
        <v/>
      </c>
      <c r="FT87" s="8" t="str">
        <f t="shared" si="583"/>
        <v/>
      </c>
      <c r="FU87" s="6" t="str">
        <f t="shared" si="584"/>
        <v/>
      </c>
      <c r="FV87" s="7" t="str">
        <f t="shared" si="585"/>
        <v/>
      </c>
      <c r="FW87" s="10" t="str">
        <f t="shared" si="586"/>
        <v/>
      </c>
      <c r="FX87" s="11" t="str">
        <f t="shared" si="587"/>
        <v/>
      </c>
      <c r="FY87" s="12" t="str">
        <f t="shared" si="458"/>
        <v/>
      </c>
      <c r="FZ87" s="545" t="str">
        <f t="shared" si="588"/>
        <v/>
      </c>
      <c r="GA87" s="372" t="str">
        <f t="shared" si="589"/>
        <v/>
      </c>
      <c r="GB87" s="46" t="str">
        <f t="shared" si="590"/>
        <v/>
      </c>
      <c r="GC87" s="47" t="str">
        <f t="shared" si="591"/>
        <v/>
      </c>
      <c r="GD87" s="578" t="str">
        <f t="shared" si="592"/>
        <v/>
      </c>
      <c r="GE87" s="585" t="str">
        <f t="shared" si="593"/>
        <v/>
      </c>
      <c r="GF87" s="634" t="str">
        <f t="shared" si="594"/>
        <v/>
      </c>
      <c r="GG87" s="553" t="str">
        <f t="shared" si="459"/>
        <v/>
      </c>
      <c r="GH87" s="554" t="str">
        <f t="shared" si="460"/>
        <v/>
      </c>
      <c r="GI87" s="549" t="str">
        <f t="shared" si="461"/>
        <v/>
      </c>
      <c r="GJ87" s="296" t="str">
        <f t="shared" si="595"/>
        <v/>
      </c>
      <c r="GK87" s="337" t="str">
        <f t="shared" si="462"/>
        <v/>
      </c>
      <c r="GL87" s="337" t="str">
        <f t="shared" si="596"/>
        <v/>
      </c>
      <c r="GM87" s="372" t="str">
        <f t="shared" si="597"/>
        <v/>
      </c>
      <c r="GN87" s="548" t="str">
        <f t="shared" si="598"/>
        <v/>
      </c>
      <c r="GO87" s="6" t="str">
        <f t="shared" si="599"/>
        <v/>
      </c>
      <c r="GP87" s="10" t="str">
        <f t="shared" si="600"/>
        <v/>
      </c>
      <c r="GQ87" s="372" t="str">
        <f t="shared" si="601"/>
        <v/>
      </c>
      <c r="GR87" s="697" t="str">
        <f t="shared" si="602"/>
        <v/>
      </c>
      <c r="GS87" s="637" t="str">
        <f t="shared" si="463"/>
        <v/>
      </c>
      <c r="GT87" s="638" t="str">
        <f t="shared" si="464"/>
        <v/>
      </c>
      <c r="GU87" s="639" t="str">
        <f t="shared" si="465"/>
        <v/>
      </c>
      <c r="GV87" s="638" t="str">
        <f t="shared" si="603"/>
        <v/>
      </c>
      <c r="GW87" s="640" t="str">
        <f t="shared" si="466"/>
        <v/>
      </c>
      <c r="GX87" s="641" t="str">
        <f t="shared" si="467"/>
        <v/>
      </c>
      <c r="GY87" s="639" t="str">
        <f t="shared" si="468"/>
        <v/>
      </c>
      <c r="GZ87" s="640" t="str">
        <f t="shared" si="469"/>
        <v/>
      </c>
      <c r="HA87" s="637" t="str">
        <f t="shared" si="470"/>
        <v/>
      </c>
      <c r="HB87" s="7" t="str">
        <f t="shared" si="604"/>
        <v/>
      </c>
      <c r="HC87" s="638" t="str">
        <f t="shared" si="605"/>
        <v/>
      </c>
      <c r="HD87" s="682" t="str">
        <f t="shared" si="606"/>
        <v/>
      </c>
      <c r="HE87" s="639" t="str">
        <f t="shared" si="471"/>
        <v/>
      </c>
      <c r="HF87" s="7" t="str">
        <f t="shared" si="472"/>
        <v/>
      </c>
      <c r="HG87" s="638" t="str">
        <f t="shared" si="607"/>
        <v/>
      </c>
      <c r="HH87" s="644" t="str">
        <f t="shared" si="608"/>
        <v/>
      </c>
      <c r="HI87" s="596" t="str">
        <f t="shared" si="609"/>
        <v/>
      </c>
      <c r="HK87" s="584" t="str">
        <f t="shared" si="217"/>
        <v/>
      </c>
      <c r="HL87" s="583" t="str">
        <f t="shared" si="495"/>
        <v/>
      </c>
      <c r="HM87" s="643" t="str">
        <f t="shared" si="615"/>
        <v/>
      </c>
      <c r="HN87" s="660" t="str">
        <f t="shared" si="615"/>
        <v/>
      </c>
      <c r="HO87" s="661" t="str">
        <f t="shared" si="615"/>
        <v/>
      </c>
      <c r="HP87" s="656" t="str">
        <f t="shared" si="615"/>
        <v/>
      </c>
      <c r="HQ87" s="660" t="str">
        <f t="shared" si="615"/>
        <v/>
      </c>
      <c r="HR87" s="671" t="str">
        <f t="shared" si="615"/>
        <v/>
      </c>
      <c r="HS87" s="655" t="str">
        <f t="shared" si="615"/>
        <v/>
      </c>
      <c r="HT87" s="648" t="str">
        <f t="shared" si="615"/>
        <v/>
      </c>
      <c r="HU87" s="649" t="str">
        <f t="shared" si="615"/>
        <v/>
      </c>
      <c r="HV87" s="650" t="str">
        <f t="shared" si="615"/>
        <v/>
      </c>
      <c r="HW87" s="648" t="str">
        <f t="shared" si="615"/>
        <v/>
      </c>
      <c r="HX87" s="649" t="str">
        <f t="shared" si="615"/>
        <v/>
      </c>
      <c r="HY87" s="650" t="str">
        <f t="shared" si="615"/>
        <v/>
      </c>
      <c r="HZ87" s="648" t="str">
        <f t="shared" si="615"/>
        <v/>
      </c>
      <c r="IA87" s="649" t="str">
        <f t="shared" si="615"/>
        <v/>
      </c>
      <c r="IB87" s="716"/>
    </row>
    <row r="88" spans="2:236" ht="15" customHeight="1" x14ac:dyDescent="0.25">
      <c r="B88" s="143"/>
      <c r="C88" s="144"/>
      <c r="D88" s="145"/>
      <c r="E88" s="146"/>
      <c r="F88" s="144"/>
      <c r="G88" s="147"/>
      <c r="H88" s="146"/>
      <c r="I88" s="144"/>
      <c r="J88" s="306"/>
      <c r="K88" s="699" t="str">
        <f t="shared" si="610"/>
        <v/>
      </c>
      <c r="M88" s="292" t="str">
        <f t="shared" si="46"/>
        <v/>
      </c>
      <c r="N88" s="24" t="str">
        <f t="shared" si="47"/>
        <v/>
      </c>
      <c r="O88" s="7" t="str">
        <f t="shared" si="48"/>
        <v/>
      </c>
      <c r="P88" s="12" t="str">
        <f t="shared" si="49"/>
        <v/>
      </c>
      <c r="Q88" s="11" t="str">
        <f t="shared" si="473"/>
        <v/>
      </c>
      <c r="R88" s="7" t="str">
        <f t="shared" si="50"/>
        <v/>
      </c>
      <c r="S88" s="8" t="str">
        <f t="shared" si="51"/>
        <v/>
      </c>
      <c r="T88" s="6" t="str">
        <f t="shared" si="52"/>
        <v/>
      </c>
      <c r="U88" s="7" t="str">
        <f t="shared" si="53"/>
        <v/>
      </c>
      <c r="V88" s="10" t="str">
        <f t="shared" si="86"/>
        <v/>
      </c>
      <c r="W88" s="11" t="str">
        <f t="shared" si="614"/>
        <v/>
      </c>
      <c r="X88" s="7" t="str">
        <f t="shared" si="54"/>
        <v/>
      </c>
      <c r="Y88" s="9" t="str">
        <f t="shared" si="611"/>
        <v/>
      </c>
      <c r="Z88" s="24" t="str">
        <f t="shared" si="87"/>
        <v/>
      </c>
      <c r="AA88" s="7" t="str">
        <f t="shared" si="55"/>
        <v/>
      </c>
      <c r="AB88" s="7" t="str">
        <f t="shared" si="56"/>
        <v/>
      </c>
      <c r="AC88" s="10" t="str">
        <f t="shared" si="57"/>
        <v/>
      </c>
      <c r="AD88" s="11" t="str">
        <f t="shared" si="88"/>
        <v/>
      </c>
      <c r="AE88" s="7" t="str">
        <f t="shared" si="58"/>
        <v/>
      </c>
      <c r="AF88" s="12" t="str">
        <f t="shared" si="59"/>
        <v/>
      </c>
      <c r="AG88" s="6" t="str">
        <f t="shared" si="60"/>
        <v/>
      </c>
      <c r="AH88" s="12" t="str">
        <f t="shared" si="61"/>
        <v/>
      </c>
      <c r="AI88" s="11" t="str">
        <f t="shared" si="62"/>
        <v/>
      </c>
      <c r="AJ88" s="8" t="str">
        <f t="shared" si="63"/>
        <v/>
      </c>
      <c r="AK88" s="6" t="str">
        <f t="shared" si="89"/>
        <v/>
      </c>
      <c r="AL88" s="7" t="str">
        <f t="shared" si="64"/>
        <v/>
      </c>
      <c r="AM88" s="8" t="str">
        <f t="shared" si="65"/>
        <v/>
      </c>
      <c r="AN88" s="6" t="str">
        <f t="shared" si="66"/>
        <v/>
      </c>
      <c r="AO88" s="10" t="str">
        <f t="shared" si="376"/>
        <v/>
      </c>
      <c r="AP88" s="11" t="str">
        <f t="shared" si="67"/>
        <v/>
      </c>
      <c r="AQ88" s="8" t="str">
        <f t="shared" si="612"/>
        <v/>
      </c>
      <c r="AS88" s="123" t="str">
        <f t="shared" si="496"/>
        <v/>
      </c>
      <c r="AT88" s="174" t="str">
        <f t="shared" si="68"/>
        <v/>
      </c>
      <c r="AV88" s="292" t="str">
        <f t="shared" si="497"/>
        <v/>
      </c>
      <c r="AW88" s="709"/>
      <c r="AX88" s="710"/>
      <c r="AY88" s="711"/>
      <c r="AZ88" s="565" t="str">
        <f t="shared" si="498"/>
        <v/>
      </c>
      <c r="BA88" s="564" t="str">
        <f t="shared" si="499"/>
        <v/>
      </c>
      <c r="BB88" s="372" t="str">
        <f t="shared" si="474"/>
        <v/>
      </c>
      <c r="BC88" s="11"/>
      <c r="BD88" s="7" t="str">
        <f t="shared" si="475"/>
        <v/>
      </c>
      <c r="BE88" s="8" t="str">
        <f t="shared" si="476"/>
        <v/>
      </c>
      <c r="BF88" s="6" t="str">
        <f t="shared" si="500"/>
        <v/>
      </c>
      <c r="BG88" s="7" t="str">
        <f t="shared" si="501"/>
        <v/>
      </c>
      <c r="BH88" s="12" t="str">
        <f t="shared" si="502"/>
        <v/>
      </c>
      <c r="BI88" s="11" t="str">
        <f t="shared" si="503"/>
        <v/>
      </c>
      <c r="BJ88" s="7" t="str">
        <f t="shared" si="504"/>
        <v/>
      </c>
      <c r="BK88" s="10" t="str">
        <f t="shared" si="505"/>
        <v/>
      </c>
      <c r="BL88" s="328" t="str">
        <f t="shared" si="506"/>
        <v/>
      </c>
      <c r="BM88" s="7" t="str">
        <f t="shared" si="507"/>
        <v/>
      </c>
      <c r="BN88" s="8" t="str">
        <f t="shared" si="508"/>
        <v/>
      </c>
      <c r="BO88" s="6" t="str">
        <f t="shared" si="509"/>
        <v/>
      </c>
      <c r="BP88" s="7" t="str">
        <f t="shared" si="510"/>
        <v/>
      </c>
      <c r="BQ88" s="7" t="str">
        <f t="shared" si="511"/>
        <v/>
      </c>
      <c r="BR88" s="8" t="str">
        <f t="shared" si="512"/>
        <v/>
      </c>
      <c r="BS88" s="6" t="str">
        <f t="shared" si="477"/>
        <v/>
      </c>
      <c r="BT88" s="7" t="str">
        <f t="shared" si="477"/>
        <v/>
      </c>
      <c r="BU88" s="12" t="str">
        <f t="shared" si="478"/>
        <v/>
      </c>
      <c r="BV88" s="11" t="str">
        <f t="shared" si="479"/>
        <v/>
      </c>
      <c r="BW88" s="7" t="str">
        <f t="shared" si="480"/>
        <v/>
      </c>
      <c r="BX88" s="10" t="str">
        <f t="shared" si="481"/>
        <v/>
      </c>
      <c r="BY88" s="328" t="str">
        <f t="shared" si="482"/>
        <v/>
      </c>
      <c r="BZ88" s="7" t="str">
        <f t="shared" si="483"/>
        <v/>
      </c>
      <c r="CA88" s="8" t="str">
        <f t="shared" si="484"/>
        <v/>
      </c>
      <c r="CB88" s="6" t="str">
        <f t="shared" si="513"/>
        <v/>
      </c>
      <c r="CC88" s="7" t="str">
        <f t="shared" si="514"/>
        <v/>
      </c>
      <c r="CD88" s="7" t="str">
        <f t="shared" si="515"/>
        <v/>
      </c>
      <c r="CE88" s="8" t="str">
        <f t="shared" si="516"/>
        <v/>
      </c>
      <c r="CF88" s="6" t="str">
        <f t="shared" si="517"/>
        <v/>
      </c>
      <c r="CG88" s="7" t="str">
        <f t="shared" si="518"/>
        <v/>
      </c>
      <c r="CH88" s="7" t="str">
        <f t="shared" si="519"/>
        <v/>
      </c>
      <c r="CI88" s="6" t="str">
        <f t="shared" si="485"/>
        <v/>
      </c>
      <c r="CJ88" s="7" t="str">
        <f t="shared" si="486"/>
        <v/>
      </c>
      <c r="CK88" s="10" t="str">
        <f t="shared" si="487"/>
        <v/>
      </c>
      <c r="CL88" s="328" t="str">
        <f t="shared" si="488"/>
        <v/>
      </c>
      <c r="CM88" s="7" t="str">
        <f t="shared" si="489"/>
        <v/>
      </c>
      <c r="CN88" s="8" t="str">
        <f t="shared" si="490"/>
        <v/>
      </c>
      <c r="CO88" s="296" t="str">
        <f t="shared" si="613"/>
        <v/>
      </c>
      <c r="CP88" s="6" t="str">
        <f t="shared" si="520"/>
        <v/>
      </c>
      <c r="CQ88" s="7" t="str">
        <f t="shared" si="521"/>
        <v/>
      </c>
      <c r="CR88" s="7" t="str">
        <f t="shared" si="522"/>
        <v/>
      </c>
      <c r="CS88" s="10" t="str">
        <f t="shared" si="523"/>
        <v/>
      </c>
      <c r="CT88" s="11" t="str">
        <f t="shared" si="524"/>
        <v/>
      </c>
      <c r="CU88" s="8" t="str">
        <f t="shared" si="525"/>
        <v/>
      </c>
      <c r="CV88" s="6" t="str">
        <f t="shared" si="526"/>
        <v/>
      </c>
      <c r="CW88" s="7" t="str">
        <f t="shared" si="527"/>
        <v/>
      </c>
      <c r="CX88" s="10" t="str">
        <f t="shared" si="528"/>
        <v/>
      </c>
      <c r="CY88" s="11" t="str">
        <f t="shared" si="529"/>
        <v/>
      </c>
      <c r="CZ88" s="7" t="str">
        <f t="shared" si="530"/>
        <v/>
      </c>
      <c r="DA88" s="8" t="str">
        <f t="shared" si="531"/>
        <v/>
      </c>
      <c r="DB88" s="6" t="str">
        <f t="shared" si="532"/>
        <v/>
      </c>
      <c r="DC88" s="7" t="str">
        <f t="shared" si="532"/>
        <v/>
      </c>
      <c r="DD88" s="12" t="str">
        <f t="shared" si="533"/>
        <v/>
      </c>
      <c r="DE88" s="11" t="str">
        <f t="shared" si="534"/>
        <v/>
      </c>
      <c r="DF88" s="7" t="str">
        <f t="shared" si="534"/>
        <v/>
      </c>
      <c r="DG88" s="12" t="str">
        <f t="shared" si="535"/>
        <v/>
      </c>
      <c r="DH88" s="174" t="str">
        <f t="shared" si="536"/>
        <v/>
      </c>
      <c r="DI88" s="6" t="str">
        <f t="shared" si="537"/>
        <v/>
      </c>
      <c r="DJ88" s="7" t="str">
        <f t="shared" si="538"/>
        <v/>
      </c>
      <c r="DK88" s="12" t="str">
        <f t="shared" si="539"/>
        <v/>
      </c>
      <c r="DL88" s="11" t="str">
        <f t="shared" si="540"/>
        <v/>
      </c>
      <c r="DM88" s="328" t="str">
        <f t="shared" si="541"/>
        <v/>
      </c>
      <c r="DN88" s="376" t="str">
        <f t="shared" si="542"/>
        <v/>
      </c>
      <c r="DO88" s="11" t="str">
        <f t="shared" si="543"/>
        <v/>
      </c>
      <c r="DP88" s="328" t="str">
        <f t="shared" si="544"/>
        <v/>
      </c>
      <c r="DQ88" s="13" t="str">
        <f t="shared" si="545"/>
        <v/>
      </c>
      <c r="DR88" s="328" t="str">
        <f t="shared" si="546"/>
        <v/>
      </c>
      <c r="DS88" s="7" t="str">
        <f t="shared" si="547"/>
        <v/>
      </c>
      <c r="DT88" s="7" t="str">
        <f t="shared" si="548"/>
        <v/>
      </c>
      <c r="DU88" s="7" t="str">
        <f t="shared" si="549"/>
        <v/>
      </c>
      <c r="DV88" s="7" t="str">
        <f t="shared" si="550"/>
        <v/>
      </c>
      <c r="DW88" s="7" t="str">
        <f t="shared" si="551"/>
        <v/>
      </c>
      <c r="DX88" s="296" t="str">
        <f t="shared" si="552"/>
        <v/>
      </c>
      <c r="DY88" s="11" t="str">
        <f t="shared" si="553"/>
        <v/>
      </c>
      <c r="DZ88" s="7" t="str">
        <f t="shared" si="554"/>
        <v/>
      </c>
      <c r="EA88" s="12" t="str">
        <f t="shared" si="555"/>
        <v/>
      </c>
      <c r="EB88" s="8" t="str">
        <f t="shared" si="556"/>
        <v/>
      </c>
      <c r="EC88" s="328" t="str">
        <f t="shared" si="557"/>
        <v/>
      </c>
      <c r="ED88" s="7" t="str">
        <f t="shared" si="558"/>
        <v/>
      </c>
      <c r="EE88" s="6" t="str">
        <f t="shared" si="559"/>
        <v/>
      </c>
      <c r="EF88" s="7" t="str">
        <f t="shared" si="560"/>
        <v/>
      </c>
      <c r="EG88" s="12" t="str">
        <f t="shared" si="561"/>
        <v/>
      </c>
      <c r="EH88" s="11" t="str">
        <f t="shared" si="562"/>
        <v/>
      </c>
      <c r="EI88" s="7" t="str">
        <f t="shared" si="563"/>
        <v/>
      </c>
      <c r="EJ88" s="8" t="str">
        <f t="shared" si="564"/>
        <v/>
      </c>
      <c r="EK88" s="491" t="str">
        <f t="shared" si="565"/>
        <v/>
      </c>
      <c r="EL88" s="493" t="str">
        <f t="shared" si="566"/>
        <v/>
      </c>
      <c r="EM88" s="6" t="str">
        <f t="shared" si="567"/>
        <v/>
      </c>
      <c r="EN88" s="7" t="str">
        <f t="shared" si="568"/>
        <v/>
      </c>
      <c r="EO88" s="12" t="str">
        <f t="shared" si="569"/>
        <v/>
      </c>
      <c r="EP88" s="11" t="str">
        <f t="shared" si="570"/>
        <v/>
      </c>
      <c r="EQ88" s="7" t="str">
        <f t="shared" si="571"/>
        <v/>
      </c>
      <c r="ER88" s="9" t="str">
        <f t="shared" si="572"/>
        <v/>
      </c>
      <c r="ES88" s="24" t="str">
        <f t="shared" si="573"/>
        <v/>
      </c>
      <c r="ET88" s="7" t="str">
        <f t="shared" si="574"/>
        <v/>
      </c>
      <c r="EU88" s="12" t="str">
        <f t="shared" si="575"/>
        <v/>
      </c>
      <c r="EV88" s="337" t="str">
        <f t="shared" si="445"/>
        <v/>
      </c>
      <c r="EW88" s="11" t="str">
        <f t="shared" si="446"/>
        <v/>
      </c>
      <c r="EX88" s="7" t="str">
        <f t="shared" si="447"/>
        <v/>
      </c>
      <c r="EY88" s="8" t="str">
        <f t="shared" si="576"/>
        <v/>
      </c>
      <c r="EZ88" s="123" t="str">
        <f t="shared" si="577"/>
        <v/>
      </c>
      <c r="FA88" s="328" t="str">
        <f t="shared" si="448"/>
        <v/>
      </c>
      <c r="FB88" s="7" t="str">
        <f t="shared" si="449"/>
        <v/>
      </c>
      <c r="FC88" s="8" t="str">
        <f t="shared" si="450"/>
        <v/>
      </c>
      <c r="FD88" s="6" t="str">
        <f t="shared" si="451"/>
        <v/>
      </c>
      <c r="FE88" s="7" t="str">
        <f t="shared" si="452"/>
        <v/>
      </c>
      <c r="FF88" s="9" t="str">
        <f t="shared" si="578"/>
        <v/>
      </c>
      <c r="FG88" s="328" t="str">
        <f t="shared" si="453"/>
        <v/>
      </c>
      <c r="FH88" s="7" t="str">
        <f t="shared" si="454"/>
        <v/>
      </c>
      <c r="FI88" s="12" t="str">
        <f t="shared" si="455"/>
        <v/>
      </c>
      <c r="FJ88" s="547" t="str">
        <f t="shared" si="579"/>
        <v/>
      </c>
      <c r="FK88" s="6" t="str">
        <f t="shared" si="456"/>
        <v/>
      </c>
      <c r="FL88" s="7" t="str">
        <f t="shared" si="491"/>
        <v/>
      </c>
      <c r="FM88" s="10" t="str">
        <f t="shared" si="492"/>
        <v/>
      </c>
      <c r="FN88" s="11" t="str">
        <f t="shared" si="493"/>
        <v/>
      </c>
      <c r="FO88" s="12" t="str">
        <f t="shared" si="457"/>
        <v/>
      </c>
      <c r="FP88" s="545" t="str">
        <f t="shared" si="494"/>
        <v/>
      </c>
      <c r="FQ88" s="328" t="str">
        <f t="shared" si="580"/>
        <v/>
      </c>
      <c r="FR88" s="12" t="str">
        <f t="shared" si="581"/>
        <v/>
      </c>
      <c r="FS88" s="11" t="str">
        <f t="shared" si="582"/>
        <v/>
      </c>
      <c r="FT88" s="8" t="str">
        <f t="shared" si="583"/>
        <v/>
      </c>
      <c r="FU88" s="6" t="str">
        <f t="shared" si="584"/>
        <v/>
      </c>
      <c r="FV88" s="7" t="str">
        <f t="shared" si="585"/>
        <v/>
      </c>
      <c r="FW88" s="10" t="str">
        <f t="shared" si="586"/>
        <v/>
      </c>
      <c r="FX88" s="11" t="str">
        <f t="shared" si="587"/>
        <v/>
      </c>
      <c r="FY88" s="12" t="str">
        <f t="shared" si="458"/>
        <v/>
      </c>
      <c r="FZ88" s="545" t="str">
        <f t="shared" si="588"/>
        <v/>
      </c>
      <c r="GA88" s="372" t="str">
        <f t="shared" si="589"/>
        <v/>
      </c>
      <c r="GB88" s="46" t="str">
        <f t="shared" si="590"/>
        <v/>
      </c>
      <c r="GC88" s="47" t="str">
        <f t="shared" si="591"/>
        <v/>
      </c>
      <c r="GD88" s="578" t="str">
        <f t="shared" si="592"/>
        <v/>
      </c>
      <c r="GE88" s="585" t="str">
        <f t="shared" si="593"/>
        <v/>
      </c>
      <c r="GF88" s="634" t="str">
        <f t="shared" si="594"/>
        <v/>
      </c>
      <c r="GG88" s="553" t="str">
        <f t="shared" si="459"/>
        <v/>
      </c>
      <c r="GH88" s="554" t="str">
        <f t="shared" si="460"/>
        <v/>
      </c>
      <c r="GI88" s="549" t="str">
        <f t="shared" si="461"/>
        <v/>
      </c>
      <c r="GJ88" s="296" t="str">
        <f t="shared" si="595"/>
        <v/>
      </c>
      <c r="GK88" s="337" t="str">
        <f t="shared" si="462"/>
        <v/>
      </c>
      <c r="GL88" s="337" t="str">
        <f t="shared" si="596"/>
        <v/>
      </c>
      <c r="GM88" s="372" t="str">
        <f t="shared" si="597"/>
        <v/>
      </c>
      <c r="GN88" s="548" t="str">
        <f t="shared" si="598"/>
        <v/>
      </c>
      <c r="GO88" s="6" t="str">
        <f t="shared" si="599"/>
        <v/>
      </c>
      <c r="GP88" s="10" t="str">
        <f t="shared" si="600"/>
        <v/>
      </c>
      <c r="GQ88" s="372" t="str">
        <f t="shared" si="601"/>
        <v/>
      </c>
      <c r="GR88" s="697" t="str">
        <f t="shared" si="602"/>
        <v/>
      </c>
      <c r="GS88" s="637" t="str">
        <f t="shared" si="463"/>
        <v/>
      </c>
      <c r="GT88" s="638" t="str">
        <f t="shared" si="464"/>
        <v/>
      </c>
      <c r="GU88" s="639" t="str">
        <f t="shared" si="465"/>
        <v/>
      </c>
      <c r="GV88" s="638" t="str">
        <f t="shared" si="603"/>
        <v/>
      </c>
      <c r="GW88" s="640" t="str">
        <f t="shared" si="466"/>
        <v/>
      </c>
      <c r="GX88" s="641" t="str">
        <f t="shared" si="467"/>
        <v/>
      </c>
      <c r="GY88" s="639" t="str">
        <f t="shared" si="468"/>
        <v/>
      </c>
      <c r="GZ88" s="640" t="str">
        <f t="shared" si="469"/>
        <v/>
      </c>
      <c r="HA88" s="637" t="str">
        <f t="shared" si="470"/>
        <v/>
      </c>
      <c r="HB88" s="7" t="str">
        <f t="shared" si="604"/>
        <v/>
      </c>
      <c r="HC88" s="638" t="str">
        <f t="shared" si="605"/>
        <v/>
      </c>
      <c r="HD88" s="682" t="str">
        <f t="shared" si="606"/>
        <v/>
      </c>
      <c r="HE88" s="639" t="str">
        <f t="shared" si="471"/>
        <v/>
      </c>
      <c r="HF88" s="7" t="str">
        <f t="shared" si="472"/>
        <v/>
      </c>
      <c r="HG88" s="638" t="str">
        <f t="shared" si="607"/>
        <v/>
      </c>
      <c r="HH88" s="644" t="str">
        <f t="shared" si="608"/>
        <v/>
      </c>
      <c r="HI88" s="596" t="str">
        <f t="shared" si="609"/>
        <v/>
      </c>
      <c r="HK88" s="584" t="str">
        <f t="shared" si="217"/>
        <v/>
      </c>
      <c r="HL88" s="583" t="str">
        <f t="shared" si="495"/>
        <v/>
      </c>
      <c r="HM88" s="643" t="str">
        <f t="shared" si="615"/>
        <v/>
      </c>
      <c r="HN88" s="660" t="str">
        <f t="shared" si="615"/>
        <v/>
      </c>
      <c r="HO88" s="661" t="str">
        <f t="shared" si="615"/>
        <v/>
      </c>
      <c r="HP88" s="656" t="str">
        <f t="shared" si="615"/>
        <v/>
      </c>
      <c r="HQ88" s="660" t="str">
        <f t="shared" si="615"/>
        <v/>
      </c>
      <c r="HR88" s="671" t="str">
        <f t="shared" si="615"/>
        <v/>
      </c>
      <c r="HS88" s="655" t="str">
        <f t="shared" si="615"/>
        <v/>
      </c>
      <c r="HT88" s="648" t="str">
        <f t="shared" si="615"/>
        <v/>
      </c>
      <c r="HU88" s="649" t="str">
        <f t="shared" si="615"/>
        <v/>
      </c>
      <c r="HV88" s="650" t="str">
        <f t="shared" si="615"/>
        <v/>
      </c>
      <c r="HW88" s="648" t="str">
        <f t="shared" si="615"/>
        <v/>
      </c>
      <c r="HX88" s="649" t="str">
        <f t="shared" si="615"/>
        <v/>
      </c>
      <c r="HY88" s="650" t="str">
        <f t="shared" si="615"/>
        <v/>
      </c>
      <c r="HZ88" s="648" t="str">
        <f t="shared" si="615"/>
        <v/>
      </c>
      <c r="IA88" s="649" t="str">
        <f t="shared" si="615"/>
        <v/>
      </c>
      <c r="IB88" s="716"/>
    </row>
    <row r="89" spans="2:236" ht="15" customHeight="1" x14ac:dyDescent="0.25">
      <c r="B89" s="143"/>
      <c r="C89" s="144"/>
      <c r="D89" s="145"/>
      <c r="E89" s="146"/>
      <c r="F89" s="144"/>
      <c r="G89" s="147"/>
      <c r="H89" s="146"/>
      <c r="I89" s="144"/>
      <c r="J89" s="306"/>
      <c r="K89" s="699" t="str">
        <f t="shared" si="610"/>
        <v/>
      </c>
      <c r="M89" s="292" t="str">
        <f t="shared" si="46"/>
        <v/>
      </c>
      <c r="N89" s="24" t="str">
        <f t="shared" si="47"/>
        <v/>
      </c>
      <c r="O89" s="7" t="str">
        <f t="shared" si="48"/>
        <v/>
      </c>
      <c r="P89" s="12" t="str">
        <f t="shared" si="49"/>
        <v/>
      </c>
      <c r="Q89" s="11" t="str">
        <f t="shared" si="473"/>
        <v/>
      </c>
      <c r="R89" s="7" t="str">
        <f t="shared" si="50"/>
        <v/>
      </c>
      <c r="S89" s="8" t="str">
        <f t="shared" si="51"/>
        <v/>
      </c>
      <c r="T89" s="6" t="str">
        <f t="shared" si="52"/>
        <v/>
      </c>
      <c r="U89" s="7" t="str">
        <f t="shared" si="53"/>
        <v/>
      </c>
      <c r="V89" s="10" t="str">
        <f t="shared" si="86"/>
        <v/>
      </c>
      <c r="W89" s="11" t="str">
        <f t="shared" si="614"/>
        <v/>
      </c>
      <c r="X89" s="7" t="str">
        <f t="shared" si="54"/>
        <v/>
      </c>
      <c r="Y89" s="9" t="str">
        <f t="shared" si="611"/>
        <v/>
      </c>
      <c r="Z89" s="24" t="str">
        <f t="shared" si="87"/>
        <v/>
      </c>
      <c r="AA89" s="7" t="str">
        <f t="shared" si="55"/>
        <v/>
      </c>
      <c r="AB89" s="7" t="str">
        <f t="shared" si="56"/>
        <v/>
      </c>
      <c r="AC89" s="10" t="str">
        <f t="shared" si="57"/>
        <v/>
      </c>
      <c r="AD89" s="11" t="str">
        <f t="shared" si="88"/>
        <v/>
      </c>
      <c r="AE89" s="7" t="str">
        <f t="shared" si="58"/>
        <v/>
      </c>
      <c r="AF89" s="12" t="str">
        <f t="shared" si="59"/>
        <v/>
      </c>
      <c r="AG89" s="6" t="str">
        <f t="shared" si="60"/>
        <v/>
      </c>
      <c r="AH89" s="12" t="str">
        <f t="shared" si="61"/>
        <v/>
      </c>
      <c r="AI89" s="11" t="str">
        <f t="shared" si="62"/>
        <v/>
      </c>
      <c r="AJ89" s="8" t="str">
        <f t="shared" si="63"/>
        <v/>
      </c>
      <c r="AK89" s="6" t="str">
        <f t="shared" si="89"/>
        <v/>
      </c>
      <c r="AL89" s="7" t="str">
        <f t="shared" si="64"/>
        <v/>
      </c>
      <c r="AM89" s="8" t="str">
        <f t="shared" si="65"/>
        <v/>
      </c>
      <c r="AN89" s="6" t="str">
        <f t="shared" si="66"/>
        <v/>
      </c>
      <c r="AO89" s="10" t="str">
        <f t="shared" si="376"/>
        <v/>
      </c>
      <c r="AP89" s="11" t="str">
        <f t="shared" si="67"/>
        <v/>
      </c>
      <c r="AQ89" s="8" t="str">
        <f t="shared" si="612"/>
        <v/>
      </c>
      <c r="AS89" s="123" t="str">
        <f t="shared" si="496"/>
        <v/>
      </c>
      <c r="AT89" s="174" t="str">
        <f t="shared" si="68"/>
        <v/>
      </c>
      <c r="AV89" s="292" t="str">
        <f t="shared" si="497"/>
        <v/>
      </c>
      <c r="AW89" s="709"/>
      <c r="AX89" s="710"/>
      <c r="AY89" s="711"/>
      <c r="AZ89" s="565" t="str">
        <f t="shared" si="498"/>
        <v/>
      </c>
      <c r="BA89" s="564" t="str">
        <f t="shared" si="499"/>
        <v/>
      </c>
      <c r="BB89" s="372" t="str">
        <f t="shared" si="474"/>
        <v/>
      </c>
      <c r="BC89" s="11"/>
      <c r="BD89" s="7" t="str">
        <f t="shared" si="475"/>
        <v/>
      </c>
      <c r="BE89" s="8" t="str">
        <f t="shared" si="476"/>
        <v/>
      </c>
      <c r="BF89" s="6" t="str">
        <f t="shared" si="500"/>
        <v/>
      </c>
      <c r="BG89" s="7" t="str">
        <f t="shared" si="501"/>
        <v/>
      </c>
      <c r="BH89" s="12" t="str">
        <f t="shared" si="502"/>
        <v/>
      </c>
      <c r="BI89" s="11" t="str">
        <f t="shared" si="503"/>
        <v/>
      </c>
      <c r="BJ89" s="7" t="str">
        <f t="shared" si="504"/>
        <v/>
      </c>
      <c r="BK89" s="10" t="str">
        <f t="shared" si="505"/>
        <v/>
      </c>
      <c r="BL89" s="328" t="str">
        <f t="shared" si="506"/>
        <v/>
      </c>
      <c r="BM89" s="7" t="str">
        <f t="shared" si="507"/>
        <v/>
      </c>
      <c r="BN89" s="8" t="str">
        <f t="shared" si="508"/>
        <v/>
      </c>
      <c r="BO89" s="6" t="str">
        <f t="shared" si="509"/>
        <v/>
      </c>
      <c r="BP89" s="7" t="str">
        <f t="shared" si="510"/>
        <v/>
      </c>
      <c r="BQ89" s="7" t="str">
        <f t="shared" si="511"/>
        <v/>
      </c>
      <c r="BR89" s="8" t="str">
        <f t="shared" si="512"/>
        <v/>
      </c>
      <c r="BS89" s="6" t="str">
        <f t="shared" si="477"/>
        <v/>
      </c>
      <c r="BT89" s="7" t="str">
        <f t="shared" si="477"/>
        <v/>
      </c>
      <c r="BU89" s="12" t="str">
        <f t="shared" si="478"/>
        <v/>
      </c>
      <c r="BV89" s="11" t="str">
        <f t="shared" si="479"/>
        <v/>
      </c>
      <c r="BW89" s="7" t="str">
        <f t="shared" si="480"/>
        <v/>
      </c>
      <c r="BX89" s="10" t="str">
        <f t="shared" si="481"/>
        <v/>
      </c>
      <c r="BY89" s="328" t="str">
        <f t="shared" si="482"/>
        <v/>
      </c>
      <c r="BZ89" s="7" t="str">
        <f t="shared" si="483"/>
        <v/>
      </c>
      <c r="CA89" s="8" t="str">
        <f t="shared" si="484"/>
        <v/>
      </c>
      <c r="CB89" s="6" t="str">
        <f t="shared" si="513"/>
        <v/>
      </c>
      <c r="CC89" s="7" t="str">
        <f t="shared" si="514"/>
        <v/>
      </c>
      <c r="CD89" s="7" t="str">
        <f t="shared" si="515"/>
        <v/>
      </c>
      <c r="CE89" s="8" t="str">
        <f t="shared" si="516"/>
        <v/>
      </c>
      <c r="CF89" s="6" t="str">
        <f t="shared" si="517"/>
        <v/>
      </c>
      <c r="CG89" s="7" t="str">
        <f t="shared" si="518"/>
        <v/>
      </c>
      <c r="CH89" s="7" t="str">
        <f t="shared" si="519"/>
        <v/>
      </c>
      <c r="CI89" s="6" t="str">
        <f t="shared" si="485"/>
        <v/>
      </c>
      <c r="CJ89" s="7" t="str">
        <f t="shared" si="486"/>
        <v/>
      </c>
      <c r="CK89" s="10" t="str">
        <f t="shared" si="487"/>
        <v/>
      </c>
      <c r="CL89" s="328" t="str">
        <f t="shared" si="488"/>
        <v/>
      </c>
      <c r="CM89" s="7" t="str">
        <f t="shared" si="489"/>
        <v/>
      </c>
      <c r="CN89" s="8" t="str">
        <f t="shared" si="490"/>
        <v/>
      </c>
      <c r="CO89" s="296" t="str">
        <f t="shared" si="613"/>
        <v/>
      </c>
      <c r="CP89" s="6" t="str">
        <f t="shared" si="520"/>
        <v/>
      </c>
      <c r="CQ89" s="7" t="str">
        <f t="shared" si="521"/>
        <v/>
      </c>
      <c r="CR89" s="7" t="str">
        <f t="shared" si="522"/>
        <v/>
      </c>
      <c r="CS89" s="10" t="str">
        <f t="shared" si="523"/>
        <v/>
      </c>
      <c r="CT89" s="11" t="str">
        <f t="shared" si="524"/>
        <v/>
      </c>
      <c r="CU89" s="8" t="str">
        <f t="shared" si="525"/>
        <v/>
      </c>
      <c r="CV89" s="6" t="str">
        <f t="shared" si="526"/>
        <v/>
      </c>
      <c r="CW89" s="7" t="str">
        <f t="shared" si="527"/>
        <v/>
      </c>
      <c r="CX89" s="10" t="str">
        <f t="shared" si="528"/>
        <v/>
      </c>
      <c r="CY89" s="11" t="str">
        <f t="shared" si="529"/>
        <v/>
      </c>
      <c r="CZ89" s="7" t="str">
        <f t="shared" si="530"/>
        <v/>
      </c>
      <c r="DA89" s="8" t="str">
        <f t="shared" si="531"/>
        <v/>
      </c>
      <c r="DB89" s="6" t="str">
        <f t="shared" si="532"/>
        <v/>
      </c>
      <c r="DC89" s="7" t="str">
        <f t="shared" si="532"/>
        <v/>
      </c>
      <c r="DD89" s="12" t="str">
        <f t="shared" si="533"/>
        <v/>
      </c>
      <c r="DE89" s="11" t="str">
        <f t="shared" si="534"/>
        <v/>
      </c>
      <c r="DF89" s="7" t="str">
        <f t="shared" si="534"/>
        <v/>
      </c>
      <c r="DG89" s="12" t="str">
        <f t="shared" si="535"/>
        <v/>
      </c>
      <c r="DH89" s="174" t="str">
        <f t="shared" si="536"/>
        <v/>
      </c>
      <c r="DI89" s="6" t="str">
        <f t="shared" si="537"/>
        <v/>
      </c>
      <c r="DJ89" s="7" t="str">
        <f t="shared" si="538"/>
        <v/>
      </c>
      <c r="DK89" s="12" t="str">
        <f t="shared" si="539"/>
        <v/>
      </c>
      <c r="DL89" s="11" t="str">
        <f t="shared" si="540"/>
        <v/>
      </c>
      <c r="DM89" s="328" t="str">
        <f t="shared" si="541"/>
        <v/>
      </c>
      <c r="DN89" s="376" t="str">
        <f t="shared" si="542"/>
        <v/>
      </c>
      <c r="DO89" s="11" t="str">
        <f t="shared" si="543"/>
        <v/>
      </c>
      <c r="DP89" s="328" t="str">
        <f t="shared" si="544"/>
        <v/>
      </c>
      <c r="DQ89" s="13" t="str">
        <f t="shared" si="545"/>
        <v/>
      </c>
      <c r="DR89" s="328" t="str">
        <f t="shared" si="546"/>
        <v/>
      </c>
      <c r="DS89" s="7" t="str">
        <f t="shared" si="547"/>
        <v/>
      </c>
      <c r="DT89" s="7" t="str">
        <f t="shared" si="548"/>
        <v/>
      </c>
      <c r="DU89" s="7" t="str">
        <f t="shared" si="549"/>
        <v/>
      </c>
      <c r="DV89" s="7" t="str">
        <f t="shared" si="550"/>
        <v/>
      </c>
      <c r="DW89" s="7" t="str">
        <f t="shared" si="551"/>
        <v/>
      </c>
      <c r="DX89" s="296" t="str">
        <f t="shared" si="552"/>
        <v/>
      </c>
      <c r="DY89" s="11" t="str">
        <f t="shared" si="553"/>
        <v/>
      </c>
      <c r="DZ89" s="7" t="str">
        <f t="shared" si="554"/>
        <v/>
      </c>
      <c r="EA89" s="12" t="str">
        <f t="shared" si="555"/>
        <v/>
      </c>
      <c r="EB89" s="8" t="str">
        <f t="shared" si="556"/>
        <v/>
      </c>
      <c r="EC89" s="328" t="str">
        <f t="shared" si="557"/>
        <v/>
      </c>
      <c r="ED89" s="7" t="str">
        <f t="shared" si="558"/>
        <v/>
      </c>
      <c r="EE89" s="6" t="str">
        <f t="shared" si="559"/>
        <v/>
      </c>
      <c r="EF89" s="7" t="str">
        <f t="shared" si="560"/>
        <v/>
      </c>
      <c r="EG89" s="12" t="str">
        <f t="shared" si="561"/>
        <v/>
      </c>
      <c r="EH89" s="11" t="str">
        <f t="shared" si="562"/>
        <v/>
      </c>
      <c r="EI89" s="7" t="str">
        <f t="shared" si="563"/>
        <v/>
      </c>
      <c r="EJ89" s="8" t="str">
        <f t="shared" si="564"/>
        <v/>
      </c>
      <c r="EK89" s="491" t="str">
        <f t="shared" si="565"/>
        <v/>
      </c>
      <c r="EL89" s="493" t="str">
        <f t="shared" si="566"/>
        <v/>
      </c>
      <c r="EM89" s="6" t="str">
        <f t="shared" si="567"/>
        <v/>
      </c>
      <c r="EN89" s="7" t="str">
        <f t="shared" si="568"/>
        <v/>
      </c>
      <c r="EO89" s="12" t="str">
        <f t="shared" si="569"/>
        <v/>
      </c>
      <c r="EP89" s="11" t="str">
        <f t="shared" si="570"/>
        <v/>
      </c>
      <c r="EQ89" s="7" t="str">
        <f t="shared" si="571"/>
        <v/>
      </c>
      <c r="ER89" s="9" t="str">
        <f t="shared" si="572"/>
        <v/>
      </c>
      <c r="ES89" s="24" t="str">
        <f t="shared" si="573"/>
        <v/>
      </c>
      <c r="ET89" s="7" t="str">
        <f t="shared" si="574"/>
        <v/>
      </c>
      <c r="EU89" s="12" t="str">
        <f t="shared" si="575"/>
        <v/>
      </c>
      <c r="EV89" s="337" t="str">
        <f t="shared" si="445"/>
        <v/>
      </c>
      <c r="EW89" s="11" t="str">
        <f t="shared" si="446"/>
        <v/>
      </c>
      <c r="EX89" s="7" t="str">
        <f t="shared" si="447"/>
        <v/>
      </c>
      <c r="EY89" s="8" t="str">
        <f t="shared" si="576"/>
        <v/>
      </c>
      <c r="EZ89" s="123" t="str">
        <f t="shared" si="577"/>
        <v/>
      </c>
      <c r="FA89" s="328" t="str">
        <f t="shared" si="448"/>
        <v/>
      </c>
      <c r="FB89" s="7" t="str">
        <f t="shared" si="449"/>
        <v/>
      </c>
      <c r="FC89" s="8" t="str">
        <f t="shared" si="450"/>
        <v/>
      </c>
      <c r="FD89" s="6" t="str">
        <f t="shared" si="451"/>
        <v/>
      </c>
      <c r="FE89" s="7" t="str">
        <f t="shared" si="452"/>
        <v/>
      </c>
      <c r="FF89" s="9" t="str">
        <f t="shared" si="578"/>
        <v/>
      </c>
      <c r="FG89" s="328" t="str">
        <f t="shared" si="453"/>
        <v/>
      </c>
      <c r="FH89" s="7" t="str">
        <f t="shared" si="454"/>
        <v/>
      </c>
      <c r="FI89" s="12" t="str">
        <f t="shared" si="455"/>
        <v/>
      </c>
      <c r="FJ89" s="547" t="str">
        <f t="shared" si="579"/>
        <v/>
      </c>
      <c r="FK89" s="6" t="str">
        <f t="shared" si="456"/>
        <v/>
      </c>
      <c r="FL89" s="7" t="str">
        <f t="shared" si="491"/>
        <v/>
      </c>
      <c r="FM89" s="10" t="str">
        <f t="shared" si="492"/>
        <v/>
      </c>
      <c r="FN89" s="11" t="str">
        <f t="shared" si="493"/>
        <v/>
      </c>
      <c r="FO89" s="12" t="str">
        <f t="shared" si="457"/>
        <v/>
      </c>
      <c r="FP89" s="545" t="str">
        <f t="shared" si="494"/>
        <v/>
      </c>
      <c r="FQ89" s="328" t="str">
        <f t="shared" si="580"/>
        <v/>
      </c>
      <c r="FR89" s="12" t="str">
        <f t="shared" si="581"/>
        <v/>
      </c>
      <c r="FS89" s="11" t="str">
        <f t="shared" si="582"/>
        <v/>
      </c>
      <c r="FT89" s="8" t="str">
        <f t="shared" si="583"/>
        <v/>
      </c>
      <c r="FU89" s="6" t="str">
        <f t="shared" si="584"/>
        <v/>
      </c>
      <c r="FV89" s="7" t="str">
        <f t="shared" si="585"/>
        <v/>
      </c>
      <c r="FW89" s="10" t="str">
        <f t="shared" si="586"/>
        <v/>
      </c>
      <c r="FX89" s="11" t="str">
        <f t="shared" si="587"/>
        <v/>
      </c>
      <c r="FY89" s="12" t="str">
        <f t="shared" si="458"/>
        <v/>
      </c>
      <c r="FZ89" s="545" t="str">
        <f t="shared" si="588"/>
        <v/>
      </c>
      <c r="GA89" s="372" t="str">
        <f t="shared" si="589"/>
        <v/>
      </c>
      <c r="GB89" s="46" t="str">
        <f t="shared" si="590"/>
        <v/>
      </c>
      <c r="GC89" s="47" t="str">
        <f t="shared" si="591"/>
        <v/>
      </c>
      <c r="GD89" s="578" t="str">
        <f t="shared" si="592"/>
        <v/>
      </c>
      <c r="GE89" s="585" t="str">
        <f t="shared" si="593"/>
        <v/>
      </c>
      <c r="GF89" s="634" t="str">
        <f t="shared" si="594"/>
        <v/>
      </c>
      <c r="GG89" s="553" t="str">
        <f t="shared" si="459"/>
        <v/>
      </c>
      <c r="GH89" s="554" t="str">
        <f t="shared" si="460"/>
        <v/>
      </c>
      <c r="GI89" s="549" t="str">
        <f t="shared" si="461"/>
        <v/>
      </c>
      <c r="GJ89" s="296" t="str">
        <f t="shared" si="595"/>
        <v/>
      </c>
      <c r="GK89" s="337" t="str">
        <f t="shared" si="462"/>
        <v/>
      </c>
      <c r="GL89" s="337" t="str">
        <f t="shared" si="596"/>
        <v/>
      </c>
      <c r="GM89" s="372" t="str">
        <f t="shared" si="597"/>
        <v/>
      </c>
      <c r="GN89" s="548" t="str">
        <f t="shared" si="598"/>
        <v/>
      </c>
      <c r="GO89" s="6" t="str">
        <f t="shared" si="599"/>
        <v/>
      </c>
      <c r="GP89" s="10" t="str">
        <f t="shared" si="600"/>
        <v/>
      </c>
      <c r="GQ89" s="372" t="str">
        <f t="shared" si="601"/>
        <v/>
      </c>
      <c r="GR89" s="697" t="str">
        <f t="shared" si="602"/>
        <v/>
      </c>
      <c r="GS89" s="637" t="str">
        <f t="shared" si="463"/>
        <v/>
      </c>
      <c r="GT89" s="638" t="str">
        <f t="shared" si="464"/>
        <v/>
      </c>
      <c r="GU89" s="639" t="str">
        <f t="shared" si="465"/>
        <v/>
      </c>
      <c r="GV89" s="638" t="str">
        <f t="shared" si="603"/>
        <v/>
      </c>
      <c r="GW89" s="640" t="str">
        <f t="shared" si="466"/>
        <v/>
      </c>
      <c r="GX89" s="641" t="str">
        <f t="shared" si="467"/>
        <v/>
      </c>
      <c r="GY89" s="639" t="str">
        <f t="shared" si="468"/>
        <v/>
      </c>
      <c r="GZ89" s="640" t="str">
        <f t="shared" si="469"/>
        <v/>
      </c>
      <c r="HA89" s="637" t="str">
        <f t="shared" si="470"/>
        <v/>
      </c>
      <c r="HB89" s="7" t="str">
        <f t="shared" si="604"/>
        <v/>
      </c>
      <c r="HC89" s="638" t="str">
        <f t="shared" si="605"/>
        <v/>
      </c>
      <c r="HD89" s="682" t="str">
        <f t="shared" si="606"/>
        <v/>
      </c>
      <c r="HE89" s="639" t="str">
        <f t="shared" si="471"/>
        <v/>
      </c>
      <c r="HF89" s="7" t="str">
        <f t="shared" si="472"/>
        <v/>
      </c>
      <c r="HG89" s="638" t="str">
        <f t="shared" si="607"/>
        <v/>
      </c>
      <c r="HH89" s="644" t="str">
        <f t="shared" si="608"/>
        <v/>
      </c>
      <c r="HI89" s="596" t="str">
        <f t="shared" si="609"/>
        <v/>
      </c>
      <c r="HK89" s="584" t="str">
        <f t="shared" si="217"/>
        <v/>
      </c>
      <c r="HL89" s="583" t="str">
        <f t="shared" si="495"/>
        <v/>
      </c>
      <c r="HM89" s="643" t="str">
        <f t="shared" ref="HM89:IA98" si="616">IF(ISNUMBER($HL89),VLOOKUP($HL89,$GJ$9:$HI$130,HM$1,FALSE),"")</f>
        <v/>
      </c>
      <c r="HN89" s="660" t="str">
        <f t="shared" si="616"/>
        <v/>
      </c>
      <c r="HO89" s="661" t="str">
        <f t="shared" si="616"/>
        <v/>
      </c>
      <c r="HP89" s="656" t="str">
        <f t="shared" si="616"/>
        <v/>
      </c>
      <c r="HQ89" s="660" t="str">
        <f t="shared" si="616"/>
        <v/>
      </c>
      <c r="HR89" s="671" t="str">
        <f t="shared" si="616"/>
        <v/>
      </c>
      <c r="HS89" s="655" t="str">
        <f t="shared" si="616"/>
        <v/>
      </c>
      <c r="HT89" s="648" t="str">
        <f t="shared" si="616"/>
        <v/>
      </c>
      <c r="HU89" s="649" t="str">
        <f t="shared" si="616"/>
        <v/>
      </c>
      <c r="HV89" s="650" t="str">
        <f t="shared" si="616"/>
        <v/>
      </c>
      <c r="HW89" s="648" t="str">
        <f t="shared" si="616"/>
        <v/>
      </c>
      <c r="HX89" s="649" t="str">
        <f t="shared" si="616"/>
        <v/>
      </c>
      <c r="HY89" s="650" t="str">
        <f t="shared" si="616"/>
        <v/>
      </c>
      <c r="HZ89" s="648" t="str">
        <f t="shared" si="616"/>
        <v/>
      </c>
      <c r="IA89" s="649" t="str">
        <f t="shared" si="616"/>
        <v/>
      </c>
      <c r="IB89" s="716"/>
    </row>
    <row r="90" spans="2:236" ht="15" customHeight="1" x14ac:dyDescent="0.25">
      <c r="B90" s="143"/>
      <c r="C90" s="144"/>
      <c r="D90" s="145"/>
      <c r="E90" s="146"/>
      <c r="F90" s="144"/>
      <c r="G90" s="147"/>
      <c r="H90" s="146"/>
      <c r="I90" s="144"/>
      <c r="J90" s="306"/>
      <c r="K90" s="699" t="str">
        <f t="shared" si="610"/>
        <v/>
      </c>
      <c r="M90" s="292" t="str">
        <f t="shared" si="46"/>
        <v/>
      </c>
      <c r="N90" s="24" t="str">
        <f t="shared" si="47"/>
        <v/>
      </c>
      <c r="O90" s="7" t="str">
        <f t="shared" si="48"/>
        <v/>
      </c>
      <c r="P90" s="12" t="str">
        <f t="shared" si="49"/>
        <v/>
      </c>
      <c r="Q90" s="11" t="str">
        <f t="shared" si="473"/>
        <v/>
      </c>
      <c r="R90" s="7" t="str">
        <f t="shared" si="50"/>
        <v/>
      </c>
      <c r="S90" s="8" t="str">
        <f t="shared" si="51"/>
        <v/>
      </c>
      <c r="T90" s="6" t="str">
        <f t="shared" si="52"/>
        <v/>
      </c>
      <c r="U90" s="7" t="str">
        <f t="shared" si="53"/>
        <v/>
      </c>
      <c r="V90" s="10" t="str">
        <f t="shared" si="86"/>
        <v/>
      </c>
      <c r="W90" s="11" t="str">
        <f t="shared" si="614"/>
        <v/>
      </c>
      <c r="X90" s="7" t="str">
        <f t="shared" si="54"/>
        <v/>
      </c>
      <c r="Y90" s="9" t="str">
        <f t="shared" si="611"/>
        <v/>
      </c>
      <c r="Z90" s="24" t="str">
        <f t="shared" si="87"/>
        <v/>
      </c>
      <c r="AA90" s="7" t="str">
        <f t="shared" si="55"/>
        <v/>
      </c>
      <c r="AB90" s="7" t="str">
        <f t="shared" si="56"/>
        <v/>
      </c>
      <c r="AC90" s="10" t="str">
        <f t="shared" si="57"/>
        <v/>
      </c>
      <c r="AD90" s="11" t="str">
        <f t="shared" si="88"/>
        <v/>
      </c>
      <c r="AE90" s="7" t="str">
        <f t="shared" si="58"/>
        <v/>
      </c>
      <c r="AF90" s="12" t="str">
        <f t="shared" si="59"/>
        <v/>
      </c>
      <c r="AG90" s="6" t="str">
        <f t="shared" si="60"/>
        <v/>
      </c>
      <c r="AH90" s="12" t="str">
        <f t="shared" si="61"/>
        <v/>
      </c>
      <c r="AI90" s="11" t="str">
        <f t="shared" si="62"/>
        <v/>
      </c>
      <c r="AJ90" s="8" t="str">
        <f t="shared" si="63"/>
        <v/>
      </c>
      <c r="AK90" s="6" t="str">
        <f t="shared" si="89"/>
        <v/>
      </c>
      <c r="AL90" s="7" t="str">
        <f t="shared" si="64"/>
        <v/>
      </c>
      <c r="AM90" s="8" t="str">
        <f t="shared" si="65"/>
        <v/>
      </c>
      <c r="AN90" s="6" t="str">
        <f t="shared" si="66"/>
        <v/>
      </c>
      <c r="AO90" s="10" t="str">
        <f t="shared" si="376"/>
        <v/>
      </c>
      <c r="AP90" s="11" t="str">
        <f t="shared" si="67"/>
        <v/>
      </c>
      <c r="AQ90" s="8" t="str">
        <f t="shared" si="612"/>
        <v/>
      </c>
      <c r="AS90" s="123" t="str">
        <f t="shared" si="496"/>
        <v/>
      </c>
      <c r="AT90" s="174" t="str">
        <f t="shared" si="68"/>
        <v/>
      </c>
      <c r="AV90" s="292" t="str">
        <f t="shared" si="497"/>
        <v/>
      </c>
      <c r="AW90" s="709"/>
      <c r="AX90" s="710"/>
      <c r="AY90" s="711"/>
      <c r="AZ90" s="565" t="str">
        <f t="shared" si="498"/>
        <v/>
      </c>
      <c r="BA90" s="564" t="str">
        <f t="shared" si="499"/>
        <v/>
      </c>
      <c r="BB90" s="372" t="str">
        <f t="shared" si="474"/>
        <v/>
      </c>
      <c r="BC90" s="11"/>
      <c r="BD90" s="7" t="str">
        <f t="shared" si="475"/>
        <v/>
      </c>
      <c r="BE90" s="8" t="str">
        <f t="shared" si="476"/>
        <v/>
      </c>
      <c r="BF90" s="6" t="str">
        <f t="shared" si="500"/>
        <v/>
      </c>
      <c r="BG90" s="7" t="str">
        <f t="shared" si="501"/>
        <v/>
      </c>
      <c r="BH90" s="12" t="str">
        <f t="shared" si="502"/>
        <v/>
      </c>
      <c r="BI90" s="11" t="str">
        <f t="shared" si="503"/>
        <v/>
      </c>
      <c r="BJ90" s="7" t="str">
        <f t="shared" si="504"/>
        <v/>
      </c>
      <c r="BK90" s="10" t="str">
        <f t="shared" si="505"/>
        <v/>
      </c>
      <c r="BL90" s="328" t="str">
        <f t="shared" si="506"/>
        <v/>
      </c>
      <c r="BM90" s="7" t="str">
        <f t="shared" si="507"/>
        <v/>
      </c>
      <c r="BN90" s="8" t="str">
        <f t="shared" si="508"/>
        <v/>
      </c>
      <c r="BO90" s="6" t="str">
        <f t="shared" si="509"/>
        <v/>
      </c>
      <c r="BP90" s="7" t="str">
        <f t="shared" si="510"/>
        <v/>
      </c>
      <c r="BQ90" s="7" t="str">
        <f t="shared" si="511"/>
        <v/>
      </c>
      <c r="BR90" s="8" t="str">
        <f t="shared" si="512"/>
        <v/>
      </c>
      <c r="BS90" s="6" t="str">
        <f t="shared" si="477"/>
        <v/>
      </c>
      <c r="BT90" s="7" t="str">
        <f t="shared" si="477"/>
        <v/>
      </c>
      <c r="BU90" s="12" t="str">
        <f t="shared" si="478"/>
        <v/>
      </c>
      <c r="BV90" s="11" t="str">
        <f t="shared" si="479"/>
        <v/>
      </c>
      <c r="BW90" s="7" t="str">
        <f t="shared" si="480"/>
        <v/>
      </c>
      <c r="BX90" s="10" t="str">
        <f t="shared" si="481"/>
        <v/>
      </c>
      <c r="BY90" s="328" t="str">
        <f t="shared" si="482"/>
        <v/>
      </c>
      <c r="BZ90" s="7" t="str">
        <f t="shared" si="483"/>
        <v/>
      </c>
      <c r="CA90" s="8" t="str">
        <f t="shared" si="484"/>
        <v/>
      </c>
      <c r="CB90" s="6" t="str">
        <f t="shared" si="513"/>
        <v/>
      </c>
      <c r="CC90" s="7" t="str">
        <f t="shared" si="514"/>
        <v/>
      </c>
      <c r="CD90" s="7" t="str">
        <f t="shared" si="515"/>
        <v/>
      </c>
      <c r="CE90" s="8" t="str">
        <f t="shared" si="516"/>
        <v/>
      </c>
      <c r="CF90" s="6" t="str">
        <f t="shared" si="517"/>
        <v/>
      </c>
      <c r="CG90" s="7" t="str">
        <f t="shared" si="518"/>
        <v/>
      </c>
      <c r="CH90" s="7" t="str">
        <f t="shared" si="519"/>
        <v/>
      </c>
      <c r="CI90" s="6" t="str">
        <f t="shared" si="485"/>
        <v/>
      </c>
      <c r="CJ90" s="7" t="str">
        <f t="shared" si="486"/>
        <v/>
      </c>
      <c r="CK90" s="10" t="str">
        <f t="shared" si="487"/>
        <v/>
      </c>
      <c r="CL90" s="328" t="str">
        <f t="shared" si="488"/>
        <v/>
      </c>
      <c r="CM90" s="7" t="str">
        <f t="shared" si="489"/>
        <v/>
      </c>
      <c r="CN90" s="8" t="str">
        <f t="shared" si="490"/>
        <v/>
      </c>
      <c r="CO90" s="296" t="str">
        <f t="shared" si="613"/>
        <v/>
      </c>
      <c r="CP90" s="6" t="str">
        <f t="shared" si="520"/>
        <v/>
      </c>
      <c r="CQ90" s="7" t="str">
        <f t="shared" si="521"/>
        <v/>
      </c>
      <c r="CR90" s="7" t="str">
        <f t="shared" si="522"/>
        <v/>
      </c>
      <c r="CS90" s="10" t="str">
        <f t="shared" si="523"/>
        <v/>
      </c>
      <c r="CT90" s="11" t="str">
        <f t="shared" si="524"/>
        <v/>
      </c>
      <c r="CU90" s="8" t="str">
        <f t="shared" si="525"/>
        <v/>
      </c>
      <c r="CV90" s="6" t="str">
        <f t="shared" si="526"/>
        <v/>
      </c>
      <c r="CW90" s="7" t="str">
        <f t="shared" si="527"/>
        <v/>
      </c>
      <c r="CX90" s="10" t="str">
        <f t="shared" si="528"/>
        <v/>
      </c>
      <c r="CY90" s="11" t="str">
        <f t="shared" si="529"/>
        <v/>
      </c>
      <c r="CZ90" s="7" t="str">
        <f t="shared" si="530"/>
        <v/>
      </c>
      <c r="DA90" s="8" t="str">
        <f t="shared" si="531"/>
        <v/>
      </c>
      <c r="DB90" s="6" t="str">
        <f t="shared" si="532"/>
        <v/>
      </c>
      <c r="DC90" s="7" t="str">
        <f t="shared" si="532"/>
        <v/>
      </c>
      <c r="DD90" s="12" t="str">
        <f t="shared" si="533"/>
        <v/>
      </c>
      <c r="DE90" s="11" t="str">
        <f t="shared" si="534"/>
        <v/>
      </c>
      <c r="DF90" s="7" t="str">
        <f t="shared" si="534"/>
        <v/>
      </c>
      <c r="DG90" s="12" t="str">
        <f t="shared" si="535"/>
        <v/>
      </c>
      <c r="DH90" s="174" t="str">
        <f t="shared" si="536"/>
        <v/>
      </c>
      <c r="DI90" s="6" t="str">
        <f t="shared" si="537"/>
        <v/>
      </c>
      <c r="DJ90" s="7" t="str">
        <f t="shared" si="538"/>
        <v/>
      </c>
      <c r="DK90" s="12" t="str">
        <f t="shared" si="539"/>
        <v/>
      </c>
      <c r="DL90" s="11" t="str">
        <f t="shared" si="540"/>
        <v/>
      </c>
      <c r="DM90" s="328" t="str">
        <f t="shared" si="541"/>
        <v/>
      </c>
      <c r="DN90" s="376" t="str">
        <f t="shared" si="542"/>
        <v/>
      </c>
      <c r="DO90" s="11" t="str">
        <f t="shared" si="543"/>
        <v/>
      </c>
      <c r="DP90" s="328" t="str">
        <f t="shared" si="544"/>
        <v/>
      </c>
      <c r="DQ90" s="13" t="str">
        <f t="shared" si="545"/>
        <v/>
      </c>
      <c r="DR90" s="328" t="str">
        <f t="shared" si="546"/>
        <v/>
      </c>
      <c r="DS90" s="7" t="str">
        <f t="shared" si="547"/>
        <v/>
      </c>
      <c r="DT90" s="7" t="str">
        <f t="shared" si="548"/>
        <v/>
      </c>
      <c r="DU90" s="7" t="str">
        <f t="shared" si="549"/>
        <v/>
      </c>
      <c r="DV90" s="7" t="str">
        <f t="shared" si="550"/>
        <v/>
      </c>
      <c r="DW90" s="7" t="str">
        <f t="shared" si="551"/>
        <v/>
      </c>
      <c r="DX90" s="296" t="str">
        <f t="shared" si="552"/>
        <v/>
      </c>
      <c r="DY90" s="11" t="str">
        <f t="shared" si="553"/>
        <v/>
      </c>
      <c r="DZ90" s="7" t="str">
        <f t="shared" si="554"/>
        <v/>
      </c>
      <c r="EA90" s="12" t="str">
        <f t="shared" si="555"/>
        <v/>
      </c>
      <c r="EB90" s="8" t="str">
        <f t="shared" si="556"/>
        <v/>
      </c>
      <c r="EC90" s="328" t="str">
        <f t="shared" si="557"/>
        <v/>
      </c>
      <c r="ED90" s="7" t="str">
        <f t="shared" si="558"/>
        <v/>
      </c>
      <c r="EE90" s="6" t="str">
        <f t="shared" si="559"/>
        <v/>
      </c>
      <c r="EF90" s="7" t="str">
        <f t="shared" si="560"/>
        <v/>
      </c>
      <c r="EG90" s="12" t="str">
        <f t="shared" si="561"/>
        <v/>
      </c>
      <c r="EH90" s="11" t="str">
        <f t="shared" si="562"/>
        <v/>
      </c>
      <c r="EI90" s="7" t="str">
        <f t="shared" si="563"/>
        <v/>
      </c>
      <c r="EJ90" s="8" t="str">
        <f t="shared" si="564"/>
        <v/>
      </c>
      <c r="EK90" s="491" t="str">
        <f t="shared" si="565"/>
        <v/>
      </c>
      <c r="EL90" s="493" t="str">
        <f t="shared" si="566"/>
        <v/>
      </c>
      <c r="EM90" s="6" t="str">
        <f t="shared" si="567"/>
        <v/>
      </c>
      <c r="EN90" s="7" t="str">
        <f t="shared" si="568"/>
        <v/>
      </c>
      <c r="EO90" s="12" t="str">
        <f t="shared" si="569"/>
        <v/>
      </c>
      <c r="EP90" s="11" t="str">
        <f t="shared" si="570"/>
        <v/>
      </c>
      <c r="EQ90" s="7" t="str">
        <f t="shared" si="571"/>
        <v/>
      </c>
      <c r="ER90" s="9" t="str">
        <f t="shared" si="572"/>
        <v/>
      </c>
      <c r="ES90" s="24" t="str">
        <f t="shared" si="573"/>
        <v/>
      </c>
      <c r="ET90" s="7" t="str">
        <f t="shared" si="574"/>
        <v/>
      </c>
      <c r="EU90" s="12" t="str">
        <f t="shared" si="575"/>
        <v/>
      </c>
      <c r="EV90" s="337" t="str">
        <f t="shared" si="445"/>
        <v/>
      </c>
      <c r="EW90" s="11" t="str">
        <f t="shared" si="446"/>
        <v/>
      </c>
      <c r="EX90" s="7" t="str">
        <f t="shared" si="447"/>
        <v/>
      </c>
      <c r="EY90" s="8" t="str">
        <f t="shared" si="576"/>
        <v/>
      </c>
      <c r="EZ90" s="123" t="str">
        <f t="shared" si="577"/>
        <v/>
      </c>
      <c r="FA90" s="328" t="str">
        <f t="shared" si="448"/>
        <v/>
      </c>
      <c r="FB90" s="7" t="str">
        <f t="shared" si="449"/>
        <v/>
      </c>
      <c r="FC90" s="8" t="str">
        <f t="shared" si="450"/>
        <v/>
      </c>
      <c r="FD90" s="6" t="str">
        <f t="shared" si="451"/>
        <v/>
      </c>
      <c r="FE90" s="7" t="str">
        <f t="shared" si="452"/>
        <v/>
      </c>
      <c r="FF90" s="9" t="str">
        <f t="shared" si="578"/>
        <v/>
      </c>
      <c r="FG90" s="328" t="str">
        <f t="shared" si="453"/>
        <v/>
      </c>
      <c r="FH90" s="7" t="str">
        <f t="shared" si="454"/>
        <v/>
      </c>
      <c r="FI90" s="12" t="str">
        <f t="shared" si="455"/>
        <v/>
      </c>
      <c r="FJ90" s="547" t="str">
        <f t="shared" si="579"/>
        <v/>
      </c>
      <c r="FK90" s="6" t="str">
        <f t="shared" si="456"/>
        <v/>
      </c>
      <c r="FL90" s="7" t="str">
        <f t="shared" si="491"/>
        <v/>
      </c>
      <c r="FM90" s="10" t="str">
        <f t="shared" si="492"/>
        <v/>
      </c>
      <c r="FN90" s="11" t="str">
        <f t="shared" si="493"/>
        <v/>
      </c>
      <c r="FO90" s="12" t="str">
        <f t="shared" si="457"/>
        <v/>
      </c>
      <c r="FP90" s="545" t="str">
        <f t="shared" si="494"/>
        <v/>
      </c>
      <c r="FQ90" s="328" t="str">
        <f t="shared" si="580"/>
        <v/>
      </c>
      <c r="FR90" s="12" t="str">
        <f t="shared" si="581"/>
        <v/>
      </c>
      <c r="FS90" s="11" t="str">
        <f t="shared" si="582"/>
        <v/>
      </c>
      <c r="FT90" s="8" t="str">
        <f t="shared" si="583"/>
        <v/>
      </c>
      <c r="FU90" s="6" t="str">
        <f t="shared" si="584"/>
        <v/>
      </c>
      <c r="FV90" s="7" t="str">
        <f t="shared" si="585"/>
        <v/>
      </c>
      <c r="FW90" s="10" t="str">
        <f t="shared" si="586"/>
        <v/>
      </c>
      <c r="FX90" s="11" t="str">
        <f t="shared" si="587"/>
        <v/>
      </c>
      <c r="FY90" s="12" t="str">
        <f t="shared" si="458"/>
        <v/>
      </c>
      <c r="FZ90" s="545" t="str">
        <f t="shared" si="588"/>
        <v/>
      </c>
      <c r="GA90" s="372" t="str">
        <f t="shared" si="589"/>
        <v/>
      </c>
      <c r="GB90" s="46" t="str">
        <f t="shared" si="590"/>
        <v/>
      </c>
      <c r="GC90" s="47" t="str">
        <f t="shared" si="591"/>
        <v/>
      </c>
      <c r="GD90" s="578" t="str">
        <f t="shared" si="592"/>
        <v/>
      </c>
      <c r="GE90" s="585" t="str">
        <f t="shared" si="593"/>
        <v/>
      </c>
      <c r="GF90" s="634" t="str">
        <f t="shared" si="594"/>
        <v/>
      </c>
      <c r="GG90" s="553" t="str">
        <f t="shared" si="459"/>
        <v/>
      </c>
      <c r="GH90" s="554" t="str">
        <f t="shared" si="460"/>
        <v/>
      </c>
      <c r="GI90" s="549" t="str">
        <f t="shared" si="461"/>
        <v/>
      </c>
      <c r="GJ90" s="296" t="str">
        <f t="shared" si="595"/>
        <v/>
      </c>
      <c r="GK90" s="337" t="str">
        <f t="shared" si="462"/>
        <v/>
      </c>
      <c r="GL90" s="337" t="str">
        <f t="shared" si="596"/>
        <v/>
      </c>
      <c r="GM90" s="372" t="str">
        <f t="shared" si="597"/>
        <v/>
      </c>
      <c r="GN90" s="548" t="str">
        <f t="shared" si="598"/>
        <v/>
      </c>
      <c r="GO90" s="6" t="str">
        <f t="shared" si="599"/>
        <v/>
      </c>
      <c r="GP90" s="10" t="str">
        <f t="shared" si="600"/>
        <v/>
      </c>
      <c r="GQ90" s="372" t="str">
        <f t="shared" si="601"/>
        <v/>
      </c>
      <c r="GR90" s="697" t="str">
        <f t="shared" si="602"/>
        <v/>
      </c>
      <c r="GS90" s="637" t="str">
        <f t="shared" si="463"/>
        <v/>
      </c>
      <c r="GT90" s="638" t="str">
        <f t="shared" si="464"/>
        <v/>
      </c>
      <c r="GU90" s="639" t="str">
        <f t="shared" si="465"/>
        <v/>
      </c>
      <c r="GV90" s="638" t="str">
        <f t="shared" si="603"/>
        <v/>
      </c>
      <c r="GW90" s="640" t="str">
        <f t="shared" si="466"/>
        <v/>
      </c>
      <c r="GX90" s="641" t="str">
        <f t="shared" si="467"/>
        <v/>
      </c>
      <c r="GY90" s="639" t="str">
        <f t="shared" si="468"/>
        <v/>
      </c>
      <c r="GZ90" s="640" t="str">
        <f t="shared" si="469"/>
        <v/>
      </c>
      <c r="HA90" s="637" t="str">
        <f t="shared" si="470"/>
        <v/>
      </c>
      <c r="HB90" s="7" t="str">
        <f t="shared" si="604"/>
        <v/>
      </c>
      <c r="HC90" s="638" t="str">
        <f t="shared" si="605"/>
        <v/>
      </c>
      <c r="HD90" s="682" t="str">
        <f t="shared" si="606"/>
        <v/>
      </c>
      <c r="HE90" s="639" t="str">
        <f t="shared" si="471"/>
        <v/>
      </c>
      <c r="HF90" s="7" t="str">
        <f t="shared" si="472"/>
        <v/>
      </c>
      <c r="HG90" s="638" t="str">
        <f t="shared" si="607"/>
        <v/>
      </c>
      <c r="HH90" s="644" t="str">
        <f t="shared" si="608"/>
        <v/>
      </c>
      <c r="HI90" s="596" t="str">
        <f t="shared" si="609"/>
        <v/>
      </c>
      <c r="HK90" s="584" t="str">
        <f t="shared" si="217"/>
        <v/>
      </c>
      <c r="HL90" s="583" t="str">
        <f t="shared" si="495"/>
        <v/>
      </c>
      <c r="HM90" s="643" t="str">
        <f t="shared" si="616"/>
        <v/>
      </c>
      <c r="HN90" s="660" t="str">
        <f t="shared" si="616"/>
        <v/>
      </c>
      <c r="HO90" s="661" t="str">
        <f t="shared" si="616"/>
        <v/>
      </c>
      <c r="HP90" s="656" t="str">
        <f t="shared" si="616"/>
        <v/>
      </c>
      <c r="HQ90" s="660" t="str">
        <f t="shared" si="616"/>
        <v/>
      </c>
      <c r="HR90" s="671" t="str">
        <f t="shared" si="616"/>
        <v/>
      </c>
      <c r="HS90" s="655" t="str">
        <f t="shared" si="616"/>
        <v/>
      </c>
      <c r="HT90" s="648" t="str">
        <f t="shared" si="616"/>
        <v/>
      </c>
      <c r="HU90" s="649" t="str">
        <f t="shared" si="616"/>
        <v/>
      </c>
      <c r="HV90" s="650" t="str">
        <f t="shared" si="616"/>
        <v/>
      </c>
      <c r="HW90" s="648" t="str">
        <f t="shared" si="616"/>
        <v/>
      </c>
      <c r="HX90" s="649" t="str">
        <f t="shared" si="616"/>
        <v/>
      </c>
      <c r="HY90" s="650" t="str">
        <f t="shared" si="616"/>
        <v/>
      </c>
      <c r="HZ90" s="648" t="str">
        <f t="shared" si="616"/>
        <v/>
      </c>
      <c r="IA90" s="649" t="str">
        <f t="shared" si="616"/>
        <v/>
      </c>
      <c r="IB90" s="716"/>
    </row>
    <row r="91" spans="2:236" ht="15" customHeight="1" x14ac:dyDescent="0.25">
      <c r="B91" s="143"/>
      <c r="C91" s="144"/>
      <c r="D91" s="145"/>
      <c r="E91" s="146"/>
      <c r="F91" s="144"/>
      <c r="G91" s="147"/>
      <c r="H91" s="146"/>
      <c r="I91" s="144"/>
      <c r="J91" s="306"/>
      <c r="K91" s="699" t="str">
        <f t="shared" si="610"/>
        <v/>
      </c>
      <c r="M91" s="292" t="str">
        <f t="shared" si="46"/>
        <v/>
      </c>
      <c r="N91" s="24" t="str">
        <f t="shared" si="47"/>
        <v/>
      </c>
      <c r="O91" s="7" t="str">
        <f t="shared" si="48"/>
        <v/>
      </c>
      <c r="P91" s="12" t="str">
        <f t="shared" si="49"/>
        <v/>
      </c>
      <c r="Q91" s="11" t="str">
        <f t="shared" si="473"/>
        <v/>
      </c>
      <c r="R91" s="7" t="str">
        <f t="shared" si="50"/>
        <v/>
      </c>
      <c r="S91" s="8" t="str">
        <f t="shared" si="51"/>
        <v/>
      </c>
      <c r="T91" s="6" t="str">
        <f t="shared" si="52"/>
        <v/>
      </c>
      <c r="U91" s="7" t="str">
        <f t="shared" si="53"/>
        <v/>
      </c>
      <c r="V91" s="10" t="str">
        <f t="shared" si="86"/>
        <v/>
      </c>
      <c r="W91" s="11" t="str">
        <f t="shared" si="614"/>
        <v/>
      </c>
      <c r="X91" s="7" t="str">
        <f t="shared" si="54"/>
        <v/>
      </c>
      <c r="Y91" s="9" t="str">
        <f t="shared" si="611"/>
        <v/>
      </c>
      <c r="Z91" s="24" t="str">
        <f t="shared" si="87"/>
        <v/>
      </c>
      <c r="AA91" s="7" t="str">
        <f t="shared" si="55"/>
        <v/>
      </c>
      <c r="AB91" s="7" t="str">
        <f t="shared" si="56"/>
        <v/>
      </c>
      <c r="AC91" s="10" t="str">
        <f t="shared" si="57"/>
        <v/>
      </c>
      <c r="AD91" s="11" t="str">
        <f t="shared" si="88"/>
        <v/>
      </c>
      <c r="AE91" s="7" t="str">
        <f t="shared" si="58"/>
        <v/>
      </c>
      <c r="AF91" s="12" t="str">
        <f t="shared" si="59"/>
        <v/>
      </c>
      <c r="AG91" s="6" t="str">
        <f t="shared" si="60"/>
        <v/>
      </c>
      <c r="AH91" s="12" t="str">
        <f t="shared" si="61"/>
        <v/>
      </c>
      <c r="AI91" s="11" t="str">
        <f t="shared" si="62"/>
        <v/>
      </c>
      <c r="AJ91" s="8" t="str">
        <f t="shared" si="63"/>
        <v/>
      </c>
      <c r="AK91" s="6" t="str">
        <f t="shared" si="89"/>
        <v/>
      </c>
      <c r="AL91" s="7" t="str">
        <f t="shared" si="64"/>
        <v/>
      </c>
      <c r="AM91" s="8" t="str">
        <f t="shared" si="65"/>
        <v/>
      </c>
      <c r="AN91" s="6" t="str">
        <f t="shared" si="66"/>
        <v/>
      </c>
      <c r="AO91" s="10" t="str">
        <f t="shared" si="376"/>
        <v/>
      </c>
      <c r="AP91" s="11" t="str">
        <f t="shared" si="67"/>
        <v/>
      </c>
      <c r="AQ91" s="8" t="str">
        <f t="shared" si="612"/>
        <v/>
      </c>
      <c r="AS91" s="123" t="str">
        <f t="shared" si="496"/>
        <v/>
      </c>
      <c r="AT91" s="174" t="str">
        <f>IF(M91="","",Y91+(((AS91-$AS$9)*$AS$6)*-1))</f>
        <v/>
      </c>
      <c r="AV91" s="292" t="str">
        <f t="shared" si="497"/>
        <v/>
      </c>
      <c r="AW91" s="709"/>
      <c r="AX91" s="710"/>
      <c r="AY91" s="711"/>
      <c r="AZ91" s="565" t="str">
        <f t="shared" si="498"/>
        <v/>
      </c>
      <c r="BA91" s="564" t="str">
        <f t="shared" si="499"/>
        <v/>
      </c>
      <c r="BB91" s="372" t="str">
        <f t="shared" si="474"/>
        <v/>
      </c>
      <c r="BC91" s="11"/>
      <c r="BD91" s="7" t="str">
        <f t="shared" si="475"/>
        <v/>
      </c>
      <c r="BE91" s="8" t="str">
        <f t="shared" si="476"/>
        <v/>
      </c>
      <c r="BF91" s="6" t="str">
        <f t="shared" si="500"/>
        <v/>
      </c>
      <c r="BG91" s="7" t="str">
        <f t="shared" si="501"/>
        <v/>
      </c>
      <c r="BH91" s="12" t="str">
        <f t="shared" si="502"/>
        <v/>
      </c>
      <c r="BI91" s="11" t="str">
        <f t="shared" si="503"/>
        <v/>
      </c>
      <c r="BJ91" s="7" t="str">
        <f t="shared" si="504"/>
        <v/>
      </c>
      <c r="BK91" s="10" t="str">
        <f t="shared" si="505"/>
        <v/>
      </c>
      <c r="BL91" s="328" t="str">
        <f t="shared" si="506"/>
        <v/>
      </c>
      <c r="BM91" s="7" t="str">
        <f t="shared" si="507"/>
        <v/>
      </c>
      <c r="BN91" s="8" t="str">
        <f t="shared" si="508"/>
        <v/>
      </c>
      <c r="BO91" s="6" t="str">
        <f t="shared" si="509"/>
        <v/>
      </c>
      <c r="BP91" s="7" t="str">
        <f t="shared" si="510"/>
        <v/>
      </c>
      <c r="BQ91" s="7" t="str">
        <f t="shared" si="511"/>
        <v/>
      </c>
      <c r="BR91" s="8" t="str">
        <f t="shared" si="512"/>
        <v/>
      </c>
      <c r="BS91" s="6" t="str">
        <f t="shared" si="477"/>
        <v/>
      </c>
      <c r="BT91" s="7" t="str">
        <f t="shared" si="477"/>
        <v/>
      </c>
      <c r="BU91" s="12" t="str">
        <f t="shared" si="478"/>
        <v/>
      </c>
      <c r="BV91" s="11" t="str">
        <f t="shared" si="479"/>
        <v/>
      </c>
      <c r="BW91" s="7" t="str">
        <f t="shared" si="480"/>
        <v/>
      </c>
      <c r="BX91" s="10" t="str">
        <f t="shared" si="481"/>
        <v/>
      </c>
      <c r="BY91" s="328" t="str">
        <f t="shared" si="482"/>
        <v/>
      </c>
      <c r="BZ91" s="7" t="str">
        <f t="shared" si="483"/>
        <v/>
      </c>
      <c r="CA91" s="8" t="str">
        <f t="shared" si="484"/>
        <v/>
      </c>
      <c r="CB91" s="6" t="str">
        <f t="shared" si="513"/>
        <v/>
      </c>
      <c r="CC91" s="7" t="str">
        <f t="shared" si="514"/>
        <v/>
      </c>
      <c r="CD91" s="7" t="str">
        <f t="shared" si="515"/>
        <v/>
      </c>
      <c r="CE91" s="8" t="str">
        <f t="shared" si="516"/>
        <v/>
      </c>
      <c r="CF91" s="6" t="str">
        <f t="shared" si="517"/>
        <v/>
      </c>
      <c r="CG91" s="7" t="str">
        <f t="shared" si="518"/>
        <v/>
      </c>
      <c r="CH91" s="7" t="str">
        <f t="shared" si="519"/>
        <v/>
      </c>
      <c r="CI91" s="6" t="str">
        <f t="shared" si="485"/>
        <v/>
      </c>
      <c r="CJ91" s="7" t="str">
        <f t="shared" si="486"/>
        <v/>
      </c>
      <c r="CK91" s="10" t="str">
        <f t="shared" si="487"/>
        <v/>
      </c>
      <c r="CL91" s="328" t="str">
        <f t="shared" si="488"/>
        <v/>
      </c>
      <c r="CM91" s="7" t="str">
        <f t="shared" si="489"/>
        <v/>
      </c>
      <c r="CN91" s="8" t="str">
        <f t="shared" si="490"/>
        <v/>
      </c>
      <c r="CO91" s="296" t="str">
        <f t="shared" si="613"/>
        <v/>
      </c>
      <c r="CP91" s="6" t="str">
        <f t="shared" si="520"/>
        <v/>
      </c>
      <c r="CQ91" s="7" t="str">
        <f t="shared" si="521"/>
        <v/>
      </c>
      <c r="CR91" s="7" t="str">
        <f t="shared" si="522"/>
        <v/>
      </c>
      <c r="CS91" s="10" t="str">
        <f t="shared" si="523"/>
        <v/>
      </c>
      <c r="CT91" s="11" t="str">
        <f t="shared" si="524"/>
        <v/>
      </c>
      <c r="CU91" s="8" t="str">
        <f t="shared" si="525"/>
        <v/>
      </c>
      <c r="CV91" s="6" t="str">
        <f t="shared" si="526"/>
        <v/>
      </c>
      <c r="CW91" s="7" t="str">
        <f t="shared" si="527"/>
        <v/>
      </c>
      <c r="CX91" s="10" t="str">
        <f t="shared" si="528"/>
        <v/>
      </c>
      <c r="CY91" s="11" t="str">
        <f t="shared" si="529"/>
        <v/>
      </c>
      <c r="CZ91" s="7" t="str">
        <f t="shared" si="530"/>
        <v/>
      </c>
      <c r="DA91" s="8" t="str">
        <f t="shared" si="531"/>
        <v/>
      </c>
      <c r="DB91" s="6" t="str">
        <f t="shared" si="532"/>
        <v/>
      </c>
      <c r="DC91" s="7" t="str">
        <f t="shared" si="532"/>
        <v/>
      </c>
      <c r="DD91" s="12" t="str">
        <f t="shared" si="533"/>
        <v/>
      </c>
      <c r="DE91" s="11" t="str">
        <f t="shared" si="534"/>
        <v/>
      </c>
      <c r="DF91" s="7" t="str">
        <f t="shared" si="534"/>
        <v/>
      </c>
      <c r="DG91" s="12" t="str">
        <f t="shared" si="535"/>
        <v/>
      </c>
      <c r="DH91" s="174" t="str">
        <f t="shared" si="536"/>
        <v/>
      </c>
      <c r="DI91" s="6" t="str">
        <f t="shared" si="537"/>
        <v/>
      </c>
      <c r="DJ91" s="7" t="str">
        <f t="shared" si="538"/>
        <v/>
      </c>
      <c r="DK91" s="12" t="str">
        <f t="shared" si="539"/>
        <v/>
      </c>
      <c r="DL91" s="11" t="str">
        <f t="shared" si="540"/>
        <v/>
      </c>
      <c r="DM91" s="328" t="str">
        <f t="shared" si="541"/>
        <v/>
      </c>
      <c r="DN91" s="376" t="str">
        <f t="shared" si="542"/>
        <v/>
      </c>
      <c r="DO91" s="11" t="str">
        <f t="shared" si="543"/>
        <v/>
      </c>
      <c r="DP91" s="328" t="str">
        <f t="shared" si="544"/>
        <v/>
      </c>
      <c r="DQ91" s="13" t="str">
        <f t="shared" si="545"/>
        <v/>
      </c>
      <c r="DR91" s="328" t="str">
        <f t="shared" si="546"/>
        <v/>
      </c>
      <c r="DS91" s="7" t="str">
        <f t="shared" si="547"/>
        <v/>
      </c>
      <c r="DT91" s="7" t="str">
        <f t="shared" si="548"/>
        <v/>
      </c>
      <c r="DU91" s="7" t="str">
        <f t="shared" si="549"/>
        <v/>
      </c>
      <c r="DV91" s="7" t="str">
        <f t="shared" si="550"/>
        <v/>
      </c>
      <c r="DW91" s="7" t="str">
        <f t="shared" si="551"/>
        <v/>
      </c>
      <c r="DX91" s="296" t="str">
        <f t="shared" si="552"/>
        <v/>
      </c>
      <c r="DY91" s="11" t="str">
        <f t="shared" si="553"/>
        <v/>
      </c>
      <c r="DZ91" s="7" t="str">
        <f t="shared" si="554"/>
        <v/>
      </c>
      <c r="EA91" s="12" t="str">
        <f t="shared" si="555"/>
        <v/>
      </c>
      <c r="EB91" s="8" t="str">
        <f t="shared" si="556"/>
        <v/>
      </c>
      <c r="EC91" s="328" t="str">
        <f t="shared" si="557"/>
        <v/>
      </c>
      <c r="ED91" s="7" t="str">
        <f t="shared" si="558"/>
        <v/>
      </c>
      <c r="EE91" s="6" t="str">
        <f t="shared" si="559"/>
        <v/>
      </c>
      <c r="EF91" s="7" t="str">
        <f t="shared" si="560"/>
        <v/>
      </c>
      <c r="EG91" s="12" t="str">
        <f t="shared" si="561"/>
        <v/>
      </c>
      <c r="EH91" s="11" t="str">
        <f t="shared" si="562"/>
        <v/>
      </c>
      <c r="EI91" s="7" t="str">
        <f t="shared" si="563"/>
        <v/>
      </c>
      <c r="EJ91" s="8" t="str">
        <f t="shared" si="564"/>
        <v/>
      </c>
      <c r="EK91" s="491" t="str">
        <f t="shared" si="565"/>
        <v/>
      </c>
      <c r="EL91" s="493" t="str">
        <f t="shared" si="566"/>
        <v/>
      </c>
      <c r="EM91" s="6" t="str">
        <f t="shared" si="567"/>
        <v/>
      </c>
      <c r="EN91" s="7" t="str">
        <f t="shared" si="568"/>
        <v/>
      </c>
      <c r="EO91" s="12" t="str">
        <f t="shared" si="569"/>
        <v/>
      </c>
      <c r="EP91" s="11" t="str">
        <f t="shared" si="570"/>
        <v/>
      </c>
      <c r="EQ91" s="7" t="str">
        <f t="shared" si="571"/>
        <v/>
      </c>
      <c r="ER91" s="9" t="str">
        <f t="shared" si="572"/>
        <v/>
      </c>
      <c r="ES91" s="24" t="str">
        <f t="shared" si="573"/>
        <v/>
      </c>
      <c r="ET91" s="7" t="str">
        <f t="shared" si="574"/>
        <v/>
      </c>
      <c r="EU91" s="12" t="str">
        <f t="shared" si="575"/>
        <v/>
      </c>
      <c r="EV91" s="337" t="str">
        <f t="shared" si="445"/>
        <v/>
      </c>
      <c r="EW91" s="11" t="str">
        <f t="shared" si="446"/>
        <v/>
      </c>
      <c r="EX91" s="7" t="str">
        <f t="shared" si="447"/>
        <v/>
      </c>
      <c r="EY91" s="8" t="str">
        <f t="shared" si="576"/>
        <v/>
      </c>
      <c r="EZ91" s="123" t="str">
        <f t="shared" si="577"/>
        <v/>
      </c>
      <c r="FA91" s="328" t="str">
        <f t="shared" si="448"/>
        <v/>
      </c>
      <c r="FB91" s="7" t="str">
        <f t="shared" si="449"/>
        <v/>
      </c>
      <c r="FC91" s="8" t="str">
        <f t="shared" si="450"/>
        <v/>
      </c>
      <c r="FD91" s="6" t="str">
        <f t="shared" si="451"/>
        <v/>
      </c>
      <c r="FE91" s="7" t="str">
        <f t="shared" si="452"/>
        <v/>
      </c>
      <c r="FF91" s="9" t="str">
        <f t="shared" si="578"/>
        <v/>
      </c>
      <c r="FG91" s="328" t="str">
        <f t="shared" si="453"/>
        <v/>
      </c>
      <c r="FH91" s="7" t="str">
        <f t="shared" si="454"/>
        <v/>
      </c>
      <c r="FI91" s="12" t="str">
        <f t="shared" si="455"/>
        <v/>
      </c>
      <c r="FJ91" s="547" t="str">
        <f t="shared" si="579"/>
        <v/>
      </c>
      <c r="FK91" s="6" t="str">
        <f t="shared" si="456"/>
        <v/>
      </c>
      <c r="FL91" s="7" t="str">
        <f t="shared" si="491"/>
        <v/>
      </c>
      <c r="FM91" s="10" t="str">
        <f t="shared" si="492"/>
        <v/>
      </c>
      <c r="FN91" s="11" t="str">
        <f t="shared" si="493"/>
        <v/>
      </c>
      <c r="FO91" s="12" t="str">
        <f t="shared" si="457"/>
        <v/>
      </c>
      <c r="FP91" s="545" t="str">
        <f t="shared" si="494"/>
        <v/>
      </c>
      <c r="FQ91" s="328" t="str">
        <f t="shared" si="580"/>
        <v/>
      </c>
      <c r="FR91" s="12" t="str">
        <f t="shared" si="581"/>
        <v/>
      </c>
      <c r="FS91" s="11" t="str">
        <f t="shared" si="582"/>
        <v/>
      </c>
      <c r="FT91" s="8" t="str">
        <f t="shared" si="583"/>
        <v/>
      </c>
      <c r="FU91" s="6" t="str">
        <f t="shared" si="584"/>
        <v/>
      </c>
      <c r="FV91" s="7" t="str">
        <f t="shared" si="585"/>
        <v/>
      </c>
      <c r="FW91" s="10" t="str">
        <f t="shared" si="586"/>
        <v/>
      </c>
      <c r="FX91" s="11" t="str">
        <f t="shared" si="587"/>
        <v/>
      </c>
      <c r="FY91" s="12" t="str">
        <f t="shared" si="458"/>
        <v/>
      </c>
      <c r="FZ91" s="545" t="str">
        <f t="shared" si="588"/>
        <v/>
      </c>
      <c r="GA91" s="372" t="str">
        <f t="shared" si="589"/>
        <v/>
      </c>
      <c r="GB91" s="46" t="str">
        <f t="shared" si="590"/>
        <v/>
      </c>
      <c r="GC91" s="47" t="str">
        <f t="shared" si="591"/>
        <v/>
      </c>
      <c r="GD91" s="578" t="str">
        <f t="shared" si="592"/>
        <v/>
      </c>
      <c r="GE91" s="585" t="str">
        <f t="shared" si="593"/>
        <v/>
      </c>
      <c r="GF91" s="634" t="str">
        <f t="shared" si="594"/>
        <v/>
      </c>
      <c r="GG91" s="553" t="str">
        <f t="shared" si="459"/>
        <v/>
      </c>
      <c r="GH91" s="554" t="str">
        <f t="shared" si="460"/>
        <v/>
      </c>
      <c r="GI91" s="549" t="str">
        <f t="shared" si="461"/>
        <v/>
      </c>
      <c r="GJ91" s="296" t="str">
        <f t="shared" si="595"/>
        <v/>
      </c>
      <c r="GK91" s="337" t="str">
        <f t="shared" si="462"/>
        <v/>
      </c>
      <c r="GL91" s="337" t="str">
        <f t="shared" si="596"/>
        <v/>
      </c>
      <c r="GM91" s="372" t="str">
        <f t="shared" si="597"/>
        <v/>
      </c>
      <c r="GN91" s="548" t="str">
        <f t="shared" si="598"/>
        <v/>
      </c>
      <c r="GO91" s="6" t="str">
        <f t="shared" si="599"/>
        <v/>
      </c>
      <c r="GP91" s="10" t="str">
        <f t="shared" si="600"/>
        <v/>
      </c>
      <c r="GQ91" s="372" t="str">
        <f t="shared" si="601"/>
        <v/>
      </c>
      <c r="GR91" s="697" t="str">
        <f t="shared" si="602"/>
        <v/>
      </c>
      <c r="GS91" s="637" t="str">
        <f t="shared" si="463"/>
        <v/>
      </c>
      <c r="GT91" s="638" t="str">
        <f t="shared" si="464"/>
        <v/>
      </c>
      <c r="GU91" s="639" t="str">
        <f t="shared" si="465"/>
        <v/>
      </c>
      <c r="GV91" s="638" t="str">
        <f t="shared" si="603"/>
        <v/>
      </c>
      <c r="GW91" s="640" t="str">
        <f t="shared" si="466"/>
        <v/>
      </c>
      <c r="GX91" s="641" t="str">
        <f t="shared" si="467"/>
        <v/>
      </c>
      <c r="GY91" s="639" t="str">
        <f t="shared" si="468"/>
        <v/>
      </c>
      <c r="GZ91" s="640" t="str">
        <f t="shared" si="469"/>
        <v/>
      </c>
      <c r="HA91" s="637" t="str">
        <f t="shared" si="470"/>
        <v/>
      </c>
      <c r="HB91" s="7" t="str">
        <f t="shared" si="604"/>
        <v/>
      </c>
      <c r="HC91" s="638" t="str">
        <f t="shared" si="605"/>
        <v/>
      </c>
      <c r="HD91" s="682" t="str">
        <f t="shared" si="606"/>
        <v/>
      </c>
      <c r="HE91" s="639" t="str">
        <f t="shared" si="471"/>
        <v/>
      </c>
      <c r="HF91" s="7" t="str">
        <f t="shared" si="472"/>
        <v/>
      </c>
      <c r="HG91" s="638" t="str">
        <f t="shared" si="607"/>
        <v/>
      </c>
      <c r="HH91" s="644" t="str">
        <f t="shared" si="608"/>
        <v/>
      </c>
      <c r="HI91" s="596" t="str">
        <f t="shared" si="609"/>
        <v/>
      </c>
      <c r="HK91" s="584" t="str">
        <f t="shared" si="217"/>
        <v/>
      </c>
      <c r="HL91" s="583" t="str">
        <f t="shared" si="495"/>
        <v/>
      </c>
      <c r="HM91" s="643" t="str">
        <f t="shared" si="616"/>
        <v/>
      </c>
      <c r="HN91" s="660" t="str">
        <f t="shared" si="616"/>
        <v/>
      </c>
      <c r="HO91" s="661" t="str">
        <f t="shared" si="616"/>
        <v/>
      </c>
      <c r="HP91" s="656" t="str">
        <f t="shared" si="616"/>
        <v/>
      </c>
      <c r="HQ91" s="660" t="str">
        <f t="shared" si="616"/>
        <v/>
      </c>
      <c r="HR91" s="671" t="str">
        <f t="shared" si="616"/>
        <v/>
      </c>
      <c r="HS91" s="655" t="str">
        <f t="shared" si="616"/>
        <v/>
      </c>
      <c r="HT91" s="648" t="str">
        <f t="shared" si="616"/>
        <v/>
      </c>
      <c r="HU91" s="649" t="str">
        <f t="shared" si="616"/>
        <v/>
      </c>
      <c r="HV91" s="650" t="str">
        <f t="shared" si="616"/>
        <v/>
      </c>
      <c r="HW91" s="648" t="str">
        <f t="shared" si="616"/>
        <v/>
      </c>
      <c r="HX91" s="649" t="str">
        <f t="shared" si="616"/>
        <v/>
      </c>
      <c r="HY91" s="650" t="str">
        <f t="shared" si="616"/>
        <v/>
      </c>
      <c r="HZ91" s="648" t="str">
        <f t="shared" si="616"/>
        <v/>
      </c>
      <c r="IA91" s="649" t="str">
        <f t="shared" si="616"/>
        <v/>
      </c>
      <c r="IB91" s="716"/>
    </row>
    <row r="92" spans="2:236" ht="15" customHeight="1" x14ac:dyDescent="0.25">
      <c r="B92" s="143"/>
      <c r="C92" s="144"/>
      <c r="D92" s="145"/>
      <c r="E92" s="146"/>
      <c r="F92" s="144"/>
      <c r="G92" s="147"/>
      <c r="H92" s="146"/>
      <c r="I92" s="144"/>
      <c r="J92" s="306"/>
      <c r="K92" s="699" t="str">
        <f t="shared" si="610"/>
        <v/>
      </c>
      <c r="M92" s="292" t="str">
        <f t="shared" si="46"/>
        <v/>
      </c>
      <c r="N92" s="24" t="str">
        <f t="shared" si="47"/>
        <v/>
      </c>
      <c r="O92" s="7" t="str">
        <f t="shared" si="48"/>
        <v/>
      </c>
      <c r="P92" s="12" t="str">
        <f t="shared" si="49"/>
        <v/>
      </c>
      <c r="Q92" s="11" t="str">
        <f t="shared" si="473"/>
        <v/>
      </c>
      <c r="R92" s="7" t="str">
        <f t="shared" si="50"/>
        <v/>
      </c>
      <c r="S92" s="8" t="str">
        <f t="shared" si="51"/>
        <v/>
      </c>
      <c r="T92" s="6" t="str">
        <f t="shared" si="52"/>
        <v/>
      </c>
      <c r="U92" s="7" t="str">
        <f t="shared" si="53"/>
        <v/>
      </c>
      <c r="V92" s="10" t="str">
        <f t="shared" si="86"/>
        <v/>
      </c>
      <c r="W92" s="11" t="str">
        <f t="shared" si="614"/>
        <v/>
      </c>
      <c r="X92" s="7" t="str">
        <f t="shared" si="54"/>
        <v/>
      </c>
      <c r="Y92" s="9" t="str">
        <f t="shared" si="611"/>
        <v/>
      </c>
      <c r="Z92" s="24" t="str">
        <f t="shared" si="87"/>
        <v/>
      </c>
      <c r="AA92" s="7" t="str">
        <f t="shared" si="55"/>
        <v/>
      </c>
      <c r="AB92" s="7" t="str">
        <f t="shared" si="56"/>
        <v/>
      </c>
      <c r="AC92" s="10" t="str">
        <f t="shared" si="57"/>
        <v/>
      </c>
      <c r="AD92" s="11" t="str">
        <f t="shared" si="88"/>
        <v/>
      </c>
      <c r="AE92" s="7" t="str">
        <f t="shared" si="58"/>
        <v/>
      </c>
      <c r="AF92" s="12" t="str">
        <f t="shared" si="59"/>
        <v/>
      </c>
      <c r="AG92" s="6" t="str">
        <f t="shared" si="60"/>
        <v/>
      </c>
      <c r="AH92" s="12" t="str">
        <f t="shared" si="61"/>
        <v/>
      </c>
      <c r="AI92" s="11" t="str">
        <f t="shared" si="62"/>
        <v/>
      </c>
      <c r="AJ92" s="8" t="str">
        <f t="shared" si="63"/>
        <v/>
      </c>
      <c r="AK92" s="6" t="str">
        <f t="shared" si="89"/>
        <v/>
      </c>
      <c r="AL92" s="7" t="str">
        <f t="shared" si="64"/>
        <v/>
      </c>
      <c r="AM92" s="8" t="str">
        <f t="shared" si="65"/>
        <v/>
      </c>
      <c r="AN92" s="6" t="str">
        <f t="shared" si="66"/>
        <v/>
      </c>
      <c r="AO92" s="10" t="str">
        <f t="shared" si="376"/>
        <v/>
      </c>
      <c r="AP92" s="11" t="str">
        <f t="shared" si="67"/>
        <v/>
      </c>
      <c r="AQ92" s="8" t="str">
        <f t="shared" si="612"/>
        <v/>
      </c>
      <c r="AS92" s="123" t="str">
        <f t="shared" si="496"/>
        <v/>
      </c>
      <c r="AT92" s="175" t="str">
        <f t="shared" ref="AT92:AT130" si="617">IF(M92="","",Y92+(((AS92-$AS$9)*$AS$6)*-1))</f>
        <v/>
      </c>
      <c r="AV92" s="292" t="str">
        <f t="shared" si="497"/>
        <v/>
      </c>
      <c r="AW92" s="709"/>
      <c r="AX92" s="710"/>
      <c r="AY92" s="711"/>
      <c r="AZ92" s="565" t="str">
        <f t="shared" si="498"/>
        <v/>
      </c>
      <c r="BA92" s="564" t="str">
        <f t="shared" si="499"/>
        <v/>
      </c>
      <c r="BB92" s="372" t="str">
        <f t="shared" si="474"/>
        <v/>
      </c>
      <c r="BC92" s="11"/>
      <c r="BD92" s="7" t="str">
        <f t="shared" si="475"/>
        <v/>
      </c>
      <c r="BE92" s="8" t="str">
        <f t="shared" si="476"/>
        <v/>
      </c>
      <c r="BF92" s="6" t="str">
        <f t="shared" si="500"/>
        <v/>
      </c>
      <c r="BG92" s="7" t="str">
        <f t="shared" si="501"/>
        <v/>
      </c>
      <c r="BH92" s="12" t="str">
        <f t="shared" si="502"/>
        <v/>
      </c>
      <c r="BI92" s="11" t="str">
        <f t="shared" si="503"/>
        <v/>
      </c>
      <c r="BJ92" s="7" t="str">
        <f t="shared" si="504"/>
        <v/>
      </c>
      <c r="BK92" s="10" t="str">
        <f t="shared" si="505"/>
        <v/>
      </c>
      <c r="BL92" s="328" t="str">
        <f t="shared" si="506"/>
        <v/>
      </c>
      <c r="BM92" s="7" t="str">
        <f t="shared" si="507"/>
        <v/>
      </c>
      <c r="BN92" s="8" t="str">
        <f t="shared" si="508"/>
        <v/>
      </c>
      <c r="BO92" s="6" t="str">
        <f t="shared" si="509"/>
        <v/>
      </c>
      <c r="BP92" s="7" t="str">
        <f t="shared" si="510"/>
        <v/>
      </c>
      <c r="BQ92" s="7" t="str">
        <f t="shared" si="511"/>
        <v/>
      </c>
      <c r="BR92" s="8" t="str">
        <f t="shared" si="512"/>
        <v/>
      </c>
      <c r="BS92" s="6" t="str">
        <f t="shared" si="477"/>
        <v/>
      </c>
      <c r="BT92" s="7" t="str">
        <f t="shared" si="477"/>
        <v/>
      </c>
      <c r="BU92" s="12" t="str">
        <f t="shared" si="478"/>
        <v/>
      </c>
      <c r="BV92" s="11" t="str">
        <f t="shared" si="479"/>
        <v/>
      </c>
      <c r="BW92" s="7" t="str">
        <f t="shared" si="480"/>
        <v/>
      </c>
      <c r="BX92" s="10" t="str">
        <f t="shared" si="481"/>
        <v/>
      </c>
      <c r="BY92" s="328" t="str">
        <f t="shared" si="482"/>
        <v/>
      </c>
      <c r="BZ92" s="7" t="str">
        <f t="shared" si="483"/>
        <v/>
      </c>
      <c r="CA92" s="8" t="str">
        <f t="shared" si="484"/>
        <v/>
      </c>
      <c r="CB92" s="6" t="str">
        <f t="shared" si="513"/>
        <v/>
      </c>
      <c r="CC92" s="7" t="str">
        <f t="shared" si="514"/>
        <v/>
      </c>
      <c r="CD92" s="7" t="str">
        <f t="shared" si="515"/>
        <v/>
      </c>
      <c r="CE92" s="8" t="str">
        <f t="shared" si="516"/>
        <v/>
      </c>
      <c r="CF92" s="6" t="str">
        <f t="shared" si="517"/>
        <v/>
      </c>
      <c r="CG92" s="7" t="str">
        <f t="shared" si="518"/>
        <v/>
      </c>
      <c r="CH92" s="7" t="str">
        <f t="shared" si="519"/>
        <v/>
      </c>
      <c r="CI92" s="6" t="str">
        <f t="shared" si="485"/>
        <v/>
      </c>
      <c r="CJ92" s="7" t="str">
        <f t="shared" si="486"/>
        <v/>
      </c>
      <c r="CK92" s="10" t="str">
        <f t="shared" si="487"/>
        <v/>
      </c>
      <c r="CL92" s="328" t="str">
        <f t="shared" si="488"/>
        <v/>
      </c>
      <c r="CM92" s="7" t="str">
        <f t="shared" si="489"/>
        <v/>
      </c>
      <c r="CN92" s="8" t="str">
        <f t="shared" si="490"/>
        <v/>
      </c>
      <c r="CO92" s="296" t="str">
        <f t="shared" si="613"/>
        <v/>
      </c>
      <c r="CP92" s="6" t="str">
        <f t="shared" si="520"/>
        <v/>
      </c>
      <c r="CQ92" s="7" t="str">
        <f t="shared" si="521"/>
        <v/>
      </c>
      <c r="CR92" s="7" t="str">
        <f t="shared" si="522"/>
        <v/>
      </c>
      <c r="CS92" s="10" t="str">
        <f t="shared" si="523"/>
        <v/>
      </c>
      <c r="CT92" s="11" t="str">
        <f t="shared" si="524"/>
        <v/>
      </c>
      <c r="CU92" s="8" t="str">
        <f t="shared" si="525"/>
        <v/>
      </c>
      <c r="CV92" s="6" t="str">
        <f t="shared" si="526"/>
        <v/>
      </c>
      <c r="CW92" s="7" t="str">
        <f t="shared" si="527"/>
        <v/>
      </c>
      <c r="CX92" s="10" t="str">
        <f t="shared" si="528"/>
        <v/>
      </c>
      <c r="CY92" s="11" t="str">
        <f t="shared" si="529"/>
        <v/>
      </c>
      <c r="CZ92" s="7" t="str">
        <f t="shared" si="530"/>
        <v/>
      </c>
      <c r="DA92" s="8" t="str">
        <f t="shared" si="531"/>
        <v/>
      </c>
      <c r="DB92" s="6" t="str">
        <f t="shared" si="532"/>
        <v/>
      </c>
      <c r="DC92" s="7" t="str">
        <f t="shared" si="532"/>
        <v/>
      </c>
      <c r="DD92" s="12" t="str">
        <f t="shared" si="533"/>
        <v/>
      </c>
      <c r="DE92" s="11" t="str">
        <f t="shared" si="534"/>
        <v/>
      </c>
      <c r="DF92" s="7" t="str">
        <f t="shared" si="534"/>
        <v/>
      </c>
      <c r="DG92" s="12" t="str">
        <f t="shared" si="535"/>
        <v/>
      </c>
      <c r="DH92" s="174" t="str">
        <f t="shared" si="536"/>
        <v/>
      </c>
      <c r="DI92" s="6" t="str">
        <f t="shared" si="537"/>
        <v/>
      </c>
      <c r="DJ92" s="7" t="str">
        <f t="shared" si="538"/>
        <v/>
      </c>
      <c r="DK92" s="12" t="str">
        <f t="shared" si="539"/>
        <v/>
      </c>
      <c r="DL92" s="11" t="str">
        <f t="shared" si="540"/>
        <v/>
      </c>
      <c r="DM92" s="328" t="str">
        <f t="shared" si="541"/>
        <v/>
      </c>
      <c r="DN92" s="376" t="str">
        <f t="shared" si="542"/>
        <v/>
      </c>
      <c r="DO92" s="11" t="str">
        <f t="shared" si="543"/>
        <v/>
      </c>
      <c r="DP92" s="328" t="str">
        <f t="shared" si="544"/>
        <v/>
      </c>
      <c r="DQ92" s="13" t="str">
        <f t="shared" si="545"/>
        <v/>
      </c>
      <c r="DR92" s="328" t="str">
        <f t="shared" si="546"/>
        <v/>
      </c>
      <c r="DS92" s="7" t="str">
        <f t="shared" si="547"/>
        <v/>
      </c>
      <c r="DT92" s="7" t="str">
        <f t="shared" si="548"/>
        <v/>
      </c>
      <c r="DU92" s="7" t="str">
        <f t="shared" si="549"/>
        <v/>
      </c>
      <c r="DV92" s="7" t="str">
        <f t="shared" si="550"/>
        <v/>
      </c>
      <c r="DW92" s="7" t="str">
        <f t="shared" si="551"/>
        <v/>
      </c>
      <c r="DX92" s="296" t="str">
        <f t="shared" si="552"/>
        <v/>
      </c>
      <c r="DY92" s="11" t="str">
        <f t="shared" si="553"/>
        <v/>
      </c>
      <c r="DZ92" s="7" t="str">
        <f t="shared" si="554"/>
        <v/>
      </c>
      <c r="EA92" s="12" t="str">
        <f t="shared" si="555"/>
        <v/>
      </c>
      <c r="EB92" s="8" t="str">
        <f t="shared" si="556"/>
        <v/>
      </c>
      <c r="EC92" s="328" t="str">
        <f t="shared" si="557"/>
        <v/>
      </c>
      <c r="ED92" s="7" t="str">
        <f t="shared" si="558"/>
        <v/>
      </c>
      <c r="EE92" s="6" t="str">
        <f t="shared" si="559"/>
        <v/>
      </c>
      <c r="EF92" s="7" t="str">
        <f t="shared" si="560"/>
        <v/>
      </c>
      <c r="EG92" s="12" t="str">
        <f t="shared" si="561"/>
        <v/>
      </c>
      <c r="EH92" s="11" t="str">
        <f t="shared" si="562"/>
        <v/>
      </c>
      <c r="EI92" s="7" t="str">
        <f t="shared" si="563"/>
        <v/>
      </c>
      <c r="EJ92" s="8" t="str">
        <f t="shared" si="564"/>
        <v/>
      </c>
      <c r="EK92" s="491" t="str">
        <f t="shared" si="565"/>
        <v/>
      </c>
      <c r="EL92" s="493" t="str">
        <f t="shared" si="566"/>
        <v/>
      </c>
      <c r="EM92" s="6" t="str">
        <f t="shared" si="567"/>
        <v/>
      </c>
      <c r="EN92" s="7" t="str">
        <f t="shared" si="568"/>
        <v/>
      </c>
      <c r="EO92" s="12" t="str">
        <f t="shared" si="569"/>
        <v/>
      </c>
      <c r="EP92" s="11" t="str">
        <f t="shared" si="570"/>
        <v/>
      </c>
      <c r="EQ92" s="7" t="str">
        <f t="shared" si="571"/>
        <v/>
      </c>
      <c r="ER92" s="9" t="str">
        <f t="shared" si="572"/>
        <v/>
      </c>
      <c r="ES92" s="24" t="str">
        <f t="shared" si="573"/>
        <v/>
      </c>
      <c r="ET92" s="7" t="str">
        <f t="shared" si="574"/>
        <v/>
      </c>
      <c r="EU92" s="12" t="str">
        <f t="shared" si="575"/>
        <v/>
      </c>
      <c r="EV92" s="337" t="str">
        <f t="shared" si="445"/>
        <v/>
      </c>
      <c r="EW92" s="11" t="str">
        <f t="shared" si="446"/>
        <v/>
      </c>
      <c r="EX92" s="7" t="str">
        <f t="shared" si="447"/>
        <v/>
      </c>
      <c r="EY92" s="8" t="str">
        <f t="shared" si="576"/>
        <v/>
      </c>
      <c r="EZ92" s="123" t="str">
        <f t="shared" si="577"/>
        <v/>
      </c>
      <c r="FA92" s="328" t="str">
        <f t="shared" si="448"/>
        <v/>
      </c>
      <c r="FB92" s="7" t="str">
        <f t="shared" si="449"/>
        <v/>
      </c>
      <c r="FC92" s="8" t="str">
        <f t="shared" si="450"/>
        <v/>
      </c>
      <c r="FD92" s="6" t="str">
        <f t="shared" si="451"/>
        <v/>
      </c>
      <c r="FE92" s="7" t="str">
        <f t="shared" si="452"/>
        <v/>
      </c>
      <c r="FF92" s="9" t="str">
        <f t="shared" si="578"/>
        <v/>
      </c>
      <c r="FG92" s="328" t="str">
        <f t="shared" si="453"/>
        <v/>
      </c>
      <c r="FH92" s="7" t="str">
        <f t="shared" si="454"/>
        <v/>
      </c>
      <c r="FI92" s="12" t="str">
        <f t="shared" si="455"/>
        <v/>
      </c>
      <c r="FJ92" s="547" t="str">
        <f t="shared" si="579"/>
        <v/>
      </c>
      <c r="FK92" s="6" t="str">
        <f t="shared" si="456"/>
        <v/>
      </c>
      <c r="FL92" s="7" t="str">
        <f t="shared" si="491"/>
        <v/>
      </c>
      <c r="FM92" s="10" t="str">
        <f t="shared" si="492"/>
        <v/>
      </c>
      <c r="FN92" s="11" t="str">
        <f t="shared" si="493"/>
        <v/>
      </c>
      <c r="FO92" s="12" t="str">
        <f t="shared" si="457"/>
        <v/>
      </c>
      <c r="FP92" s="545" t="str">
        <f t="shared" si="494"/>
        <v/>
      </c>
      <c r="FQ92" s="328" t="str">
        <f t="shared" si="580"/>
        <v/>
      </c>
      <c r="FR92" s="12" t="str">
        <f t="shared" si="581"/>
        <v/>
      </c>
      <c r="FS92" s="11" t="str">
        <f t="shared" si="582"/>
        <v/>
      </c>
      <c r="FT92" s="8" t="str">
        <f t="shared" si="583"/>
        <v/>
      </c>
      <c r="FU92" s="6" t="str">
        <f t="shared" si="584"/>
        <v/>
      </c>
      <c r="FV92" s="7" t="str">
        <f t="shared" si="585"/>
        <v/>
      </c>
      <c r="FW92" s="10" t="str">
        <f t="shared" si="586"/>
        <v/>
      </c>
      <c r="FX92" s="11" t="str">
        <f t="shared" si="587"/>
        <v/>
      </c>
      <c r="FY92" s="12" t="str">
        <f t="shared" si="458"/>
        <v/>
      </c>
      <c r="FZ92" s="545" t="str">
        <f t="shared" si="588"/>
        <v/>
      </c>
      <c r="GA92" s="372" t="str">
        <f t="shared" si="589"/>
        <v/>
      </c>
      <c r="GB92" s="46" t="str">
        <f t="shared" si="590"/>
        <v/>
      </c>
      <c r="GC92" s="47" t="str">
        <f t="shared" si="591"/>
        <v/>
      </c>
      <c r="GD92" s="578" t="str">
        <f t="shared" si="592"/>
        <v/>
      </c>
      <c r="GE92" s="585" t="str">
        <f t="shared" si="593"/>
        <v/>
      </c>
      <c r="GF92" s="634" t="str">
        <f t="shared" si="594"/>
        <v/>
      </c>
      <c r="GG92" s="553" t="str">
        <f t="shared" si="459"/>
        <v/>
      </c>
      <c r="GH92" s="554" t="str">
        <f t="shared" si="460"/>
        <v/>
      </c>
      <c r="GI92" s="549" t="str">
        <f t="shared" si="461"/>
        <v/>
      </c>
      <c r="GJ92" s="296" t="str">
        <f t="shared" si="595"/>
        <v/>
      </c>
      <c r="GK92" s="337" t="str">
        <f t="shared" si="462"/>
        <v/>
      </c>
      <c r="GL92" s="337" t="str">
        <f t="shared" si="596"/>
        <v/>
      </c>
      <c r="GM92" s="372" t="str">
        <f t="shared" si="597"/>
        <v/>
      </c>
      <c r="GN92" s="548" t="str">
        <f t="shared" si="598"/>
        <v/>
      </c>
      <c r="GO92" s="6" t="str">
        <f t="shared" si="599"/>
        <v/>
      </c>
      <c r="GP92" s="10" t="str">
        <f t="shared" si="600"/>
        <v/>
      </c>
      <c r="GQ92" s="372" t="str">
        <f t="shared" si="601"/>
        <v/>
      </c>
      <c r="GR92" s="697" t="str">
        <f t="shared" si="602"/>
        <v/>
      </c>
      <c r="GS92" s="637" t="str">
        <f t="shared" si="463"/>
        <v/>
      </c>
      <c r="GT92" s="638" t="str">
        <f t="shared" si="464"/>
        <v/>
      </c>
      <c r="GU92" s="639" t="str">
        <f t="shared" si="465"/>
        <v/>
      </c>
      <c r="GV92" s="638" t="str">
        <f t="shared" si="603"/>
        <v/>
      </c>
      <c r="GW92" s="640" t="str">
        <f t="shared" si="466"/>
        <v/>
      </c>
      <c r="GX92" s="641" t="str">
        <f t="shared" si="467"/>
        <v/>
      </c>
      <c r="GY92" s="639" t="str">
        <f t="shared" si="468"/>
        <v/>
      </c>
      <c r="GZ92" s="640" t="str">
        <f t="shared" si="469"/>
        <v/>
      </c>
      <c r="HA92" s="637" t="str">
        <f t="shared" si="470"/>
        <v/>
      </c>
      <c r="HB92" s="7" t="str">
        <f t="shared" si="604"/>
        <v/>
      </c>
      <c r="HC92" s="638" t="str">
        <f t="shared" si="605"/>
        <v/>
      </c>
      <c r="HD92" s="682" t="str">
        <f t="shared" si="606"/>
        <v/>
      </c>
      <c r="HE92" s="639" t="str">
        <f t="shared" si="471"/>
        <v/>
      </c>
      <c r="HF92" s="7" t="str">
        <f t="shared" si="472"/>
        <v/>
      </c>
      <c r="HG92" s="638" t="str">
        <f t="shared" si="607"/>
        <v/>
      </c>
      <c r="HH92" s="644" t="str">
        <f t="shared" si="608"/>
        <v/>
      </c>
      <c r="HI92" s="596" t="str">
        <f t="shared" si="609"/>
        <v/>
      </c>
      <c r="HK92" s="584" t="str">
        <f t="shared" si="217"/>
        <v/>
      </c>
      <c r="HL92" s="583" t="str">
        <f t="shared" si="495"/>
        <v/>
      </c>
      <c r="HM92" s="643" t="str">
        <f t="shared" si="616"/>
        <v/>
      </c>
      <c r="HN92" s="660" t="str">
        <f t="shared" si="616"/>
        <v/>
      </c>
      <c r="HO92" s="661" t="str">
        <f t="shared" si="616"/>
        <v/>
      </c>
      <c r="HP92" s="656" t="str">
        <f t="shared" si="616"/>
        <v/>
      </c>
      <c r="HQ92" s="660" t="str">
        <f t="shared" si="616"/>
        <v/>
      </c>
      <c r="HR92" s="671" t="str">
        <f t="shared" si="616"/>
        <v/>
      </c>
      <c r="HS92" s="655" t="str">
        <f t="shared" si="616"/>
        <v/>
      </c>
      <c r="HT92" s="648" t="str">
        <f t="shared" si="616"/>
        <v/>
      </c>
      <c r="HU92" s="649" t="str">
        <f t="shared" si="616"/>
        <v/>
      </c>
      <c r="HV92" s="650" t="str">
        <f t="shared" si="616"/>
        <v/>
      </c>
      <c r="HW92" s="648" t="str">
        <f t="shared" si="616"/>
        <v/>
      </c>
      <c r="HX92" s="649" t="str">
        <f t="shared" si="616"/>
        <v/>
      </c>
      <c r="HY92" s="650" t="str">
        <f t="shared" si="616"/>
        <v/>
      </c>
      <c r="HZ92" s="648" t="str">
        <f t="shared" si="616"/>
        <v/>
      </c>
      <c r="IA92" s="649" t="str">
        <f t="shared" si="616"/>
        <v/>
      </c>
      <c r="IB92" s="716"/>
    </row>
    <row r="93" spans="2:236" ht="15" customHeight="1" x14ac:dyDescent="0.25">
      <c r="B93" s="143"/>
      <c r="C93" s="144"/>
      <c r="D93" s="145"/>
      <c r="E93" s="146"/>
      <c r="F93" s="144"/>
      <c r="G93" s="147"/>
      <c r="H93" s="146"/>
      <c r="I93" s="144"/>
      <c r="J93" s="306"/>
      <c r="K93" s="699" t="str">
        <f t="shared" si="610"/>
        <v/>
      </c>
      <c r="M93" s="292" t="str">
        <f t="shared" si="46"/>
        <v/>
      </c>
      <c r="N93" s="24" t="str">
        <f t="shared" si="47"/>
        <v/>
      </c>
      <c r="O93" s="7" t="str">
        <f t="shared" si="48"/>
        <v/>
      </c>
      <c r="P93" s="12" t="str">
        <f t="shared" si="49"/>
        <v/>
      </c>
      <c r="Q93" s="11" t="str">
        <f t="shared" si="473"/>
        <v/>
      </c>
      <c r="R93" s="7" t="str">
        <f t="shared" si="50"/>
        <v/>
      </c>
      <c r="S93" s="8" t="str">
        <f t="shared" si="51"/>
        <v/>
      </c>
      <c r="T93" s="6" t="str">
        <f t="shared" si="52"/>
        <v/>
      </c>
      <c r="U93" s="7" t="str">
        <f t="shared" si="53"/>
        <v/>
      </c>
      <c r="V93" s="10" t="str">
        <f t="shared" si="86"/>
        <v/>
      </c>
      <c r="W93" s="11" t="str">
        <f t="shared" si="614"/>
        <v/>
      </c>
      <c r="X93" s="7" t="str">
        <f t="shared" si="54"/>
        <v/>
      </c>
      <c r="Y93" s="9" t="str">
        <f t="shared" si="611"/>
        <v/>
      </c>
      <c r="Z93" s="24" t="str">
        <f t="shared" si="87"/>
        <v/>
      </c>
      <c r="AA93" s="7" t="str">
        <f t="shared" si="55"/>
        <v/>
      </c>
      <c r="AB93" s="7" t="str">
        <f t="shared" si="56"/>
        <v/>
      </c>
      <c r="AC93" s="10" t="str">
        <f t="shared" si="57"/>
        <v/>
      </c>
      <c r="AD93" s="11" t="str">
        <f t="shared" si="88"/>
        <v/>
      </c>
      <c r="AE93" s="7" t="str">
        <f t="shared" si="58"/>
        <v/>
      </c>
      <c r="AF93" s="12" t="str">
        <f t="shared" si="59"/>
        <v/>
      </c>
      <c r="AG93" s="6" t="str">
        <f t="shared" si="60"/>
        <v/>
      </c>
      <c r="AH93" s="12" t="str">
        <f t="shared" si="61"/>
        <v/>
      </c>
      <c r="AI93" s="11" t="str">
        <f t="shared" si="62"/>
        <v/>
      </c>
      <c r="AJ93" s="8" t="str">
        <f t="shared" si="63"/>
        <v/>
      </c>
      <c r="AK93" s="6" t="str">
        <f t="shared" si="89"/>
        <v/>
      </c>
      <c r="AL93" s="7" t="str">
        <f t="shared" si="64"/>
        <v/>
      </c>
      <c r="AM93" s="8" t="str">
        <f t="shared" si="65"/>
        <v/>
      </c>
      <c r="AN93" s="6" t="str">
        <f t="shared" si="66"/>
        <v/>
      </c>
      <c r="AO93" s="10" t="str">
        <f t="shared" si="376"/>
        <v/>
      </c>
      <c r="AP93" s="11" t="str">
        <f t="shared" si="67"/>
        <v/>
      </c>
      <c r="AQ93" s="8" t="str">
        <f t="shared" si="612"/>
        <v/>
      </c>
      <c r="AS93" s="123" t="str">
        <f t="shared" si="496"/>
        <v/>
      </c>
      <c r="AT93" s="175" t="str">
        <f t="shared" si="617"/>
        <v/>
      </c>
      <c r="AV93" s="292" t="str">
        <f t="shared" si="497"/>
        <v/>
      </c>
      <c r="AW93" s="709"/>
      <c r="AX93" s="710"/>
      <c r="AY93" s="711"/>
      <c r="AZ93" s="565" t="str">
        <f t="shared" si="498"/>
        <v/>
      </c>
      <c r="BA93" s="564" t="str">
        <f t="shared" si="499"/>
        <v/>
      </c>
      <c r="BB93" s="372" t="str">
        <f t="shared" si="474"/>
        <v/>
      </c>
      <c r="BC93" s="11"/>
      <c r="BD93" s="7" t="str">
        <f t="shared" si="475"/>
        <v/>
      </c>
      <c r="BE93" s="8" t="str">
        <f t="shared" si="476"/>
        <v/>
      </c>
      <c r="BF93" s="6" t="str">
        <f t="shared" si="500"/>
        <v/>
      </c>
      <c r="BG93" s="7" t="str">
        <f t="shared" si="501"/>
        <v/>
      </c>
      <c r="BH93" s="12" t="str">
        <f t="shared" si="502"/>
        <v/>
      </c>
      <c r="BI93" s="11" t="str">
        <f t="shared" si="503"/>
        <v/>
      </c>
      <c r="BJ93" s="7" t="str">
        <f t="shared" si="504"/>
        <v/>
      </c>
      <c r="BK93" s="10" t="str">
        <f t="shared" si="505"/>
        <v/>
      </c>
      <c r="BL93" s="328" t="str">
        <f t="shared" si="506"/>
        <v/>
      </c>
      <c r="BM93" s="7" t="str">
        <f t="shared" si="507"/>
        <v/>
      </c>
      <c r="BN93" s="8" t="str">
        <f t="shared" si="508"/>
        <v/>
      </c>
      <c r="BO93" s="6" t="str">
        <f t="shared" si="509"/>
        <v/>
      </c>
      <c r="BP93" s="7" t="str">
        <f t="shared" si="510"/>
        <v/>
      </c>
      <c r="BQ93" s="7" t="str">
        <f t="shared" si="511"/>
        <v/>
      </c>
      <c r="BR93" s="8" t="str">
        <f t="shared" si="512"/>
        <v/>
      </c>
      <c r="BS93" s="6" t="str">
        <f t="shared" si="477"/>
        <v/>
      </c>
      <c r="BT93" s="7" t="str">
        <f t="shared" si="477"/>
        <v/>
      </c>
      <c r="BU93" s="12" t="str">
        <f t="shared" si="478"/>
        <v/>
      </c>
      <c r="BV93" s="11" t="str">
        <f t="shared" si="479"/>
        <v/>
      </c>
      <c r="BW93" s="7" t="str">
        <f t="shared" si="480"/>
        <v/>
      </c>
      <c r="BX93" s="10" t="str">
        <f t="shared" si="481"/>
        <v/>
      </c>
      <c r="BY93" s="328" t="str">
        <f t="shared" si="482"/>
        <v/>
      </c>
      <c r="BZ93" s="7" t="str">
        <f t="shared" si="483"/>
        <v/>
      </c>
      <c r="CA93" s="8" t="str">
        <f t="shared" si="484"/>
        <v/>
      </c>
      <c r="CB93" s="6" t="str">
        <f t="shared" si="513"/>
        <v/>
      </c>
      <c r="CC93" s="7" t="str">
        <f t="shared" si="514"/>
        <v/>
      </c>
      <c r="CD93" s="7" t="str">
        <f t="shared" si="515"/>
        <v/>
      </c>
      <c r="CE93" s="8" t="str">
        <f t="shared" si="516"/>
        <v/>
      </c>
      <c r="CF93" s="6" t="str">
        <f t="shared" si="517"/>
        <v/>
      </c>
      <c r="CG93" s="7" t="str">
        <f t="shared" si="518"/>
        <v/>
      </c>
      <c r="CH93" s="7" t="str">
        <f t="shared" si="519"/>
        <v/>
      </c>
      <c r="CI93" s="6" t="str">
        <f t="shared" si="485"/>
        <v/>
      </c>
      <c r="CJ93" s="7" t="str">
        <f t="shared" si="486"/>
        <v/>
      </c>
      <c r="CK93" s="10" t="str">
        <f t="shared" si="487"/>
        <v/>
      </c>
      <c r="CL93" s="328" t="str">
        <f t="shared" si="488"/>
        <v/>
      </c>
      <c r="CM93" s="7" t="str">
        <f t="shared" si="489"/>
        <v/>
      </c>
      <c r="CN93" s="8" t="str">
        <f t="shared" si="490"/>
        <v/>
      </c>
      <c r="CO93" s="296" t="str">
        <f t="shared" si="613"/>
        <v/>
      </c>
      <c r="CP93" s="6" t="str">
        <f t="shared" si="520"/>
        <v/>
      </c>
      <c r="CQ93" s="7" t="str">
        <f t="shared" si="521"/>
        <v/>
      </c>
      <c r="CR93" s="7" t="str">
        <f t="shared" si="522"/>
        <v/>
      </c>
      <c r="CS93" s="10" t="str">
        <f t="shared" si="523"/>
        <v/>
      </c>
      <c r="CT93" s="11" t="str">
        <f t="shared" si="524"/>
        <v/>
      </c>
      <c r="CU93" s="8" t="str">
        <f t="shared" si="525"/>
        <v/>
      </c>
      <c r="CV93" s="6" t="str">
        <f t="shared" si="526"/>
        <v/>
      </c>
      <c r="CW93" s="7" t="str">
        <f t="shared" si="527"/>
        <v/>
      </c>
      <c r="CX93" s="10" t="str">
        <f t="shared" si="528"/>
        <v/>
      </c>
      <c r="CY93" s="11" t="str">
        <f t="shared" si="529"/>
        <v/>
      </c>
      <c r="CZ93" s="7" t="str">
        <f t="shared" si="530"/>
        <v/>
      </c>
      <c r="DA93" s="8" t="str">
        <f t="shared" si="531"/>
        <v/>
      </c>
      <c r="DB93" s="6" t="str">
        <f t="shared" si="532"/>
        <v/>
      </c>
      <c r="DC93" s="7" t="str">
        <f t="shared" si="532"/>
        <v/>
      </c>
      <c r="DD93" s="12" t="str">
        <f t="shared" si="533"/>
        <v/>
      </c>
      <c r="DE93" s="11" t="str">
        <f t="shared" si="534"/>
        <v/>
      </c>
      <c r="DF93" s="7" t="str">
        <f t="shared" si="534"/>
        <v/>
      </c>
      <c r="DG93" s="12" t="str">
        <f t="shared" si="535"/>
        <v/>
      </c>
      <c r="DH93" s="174" t="str">
        <f t="shared" si="536"/>
        <v/>
      </c>
      <c r="DI93" s="6" t="str">
        <f t="shared" si="537"/>
        <v/>
      </c>
      <c r="DJ93" s="7" t="str">
        <f t="shared" si="538"/>
        <v/>
      </c>
      <c r="DK93" s="12" t="str">
        <f t="shared" si="539"/>
        <v/>
      </c>
      <c r="DL93" s="11" t="str">
        <f t="shared" si="540"/>
        <v/>
      </c>
      <c r="DM93" s="328" t="str">
        <f t="shared" si="541"/>
        <v/>
      </c>
      <c r="DN93" s="376" t="str">
        <f t="shared" si="542"/>
        <v/>
      </c>
      <c r="DO93" s="11" t="str">
        <f t="shared" si="543"/>
        <v/>
      </c>
      <c r="DP93" s="328" t="str">
        <f t="shared" si="544"/>
        <v/>
      </c>
      <c r="DQ93" s="13" t="str">
        <f t="shared" si="545"/>
        <v/>
      </c>
      <c r="DR93" s="328" t="str">
        <f t="shared" si="546"/>
        <v/>
      </c>
      <c r="DS93" s="7" t="str">
        <f t="shared" si="547"/>
        <v/>
      </c>
      <c r="DT93" s="7" t="str">
        <f t="shared" si="548"/>
        <v/>
      </c>
      <c r="DU93" s="7" t="str">
        <f t="shared" si="549"/>
        <v/>
      </c>
      <c r="DV93" s="7" t="str">
        <f t="shared" si="550"/>
        <v/>
      </c>
      <c r="DW93" s="7" t="str">
        <f t="shared" si="551"/>
        <v/>
      </c>
      <c r="DX93" s="296" t="str">
        <f t="shared" si="552"/>
        <v/>
      </c>
      <c r="DY93" s="11" t="str">
        <f t="shared" si="553"/>
        <v/>
      </c>
      <c r="DZ93" s="7" t="str">
        <f t="shared" si="554"/>
        <v/>
      </c>
      <c r="EA93" s="12" t="str">
        <f t="shared" si="555"/>
        <v/>
      </c>
      <c r="EB93" s="8" t="str">
        <f t="shared" si="556"/>
        <v/>
      </c>
      <c r="EC93" s="328" t="str">
        <f t="shared" si="557"/>
        <v/>
      </c>
      <c r="ED93" s="7" t="str">
        <f t="shared" si="558"/>
        <v/>
      </c>
      <c r="EE93" s="6" t="str">
        <f t="shared" si="559"/>
        <v/>
      </c>
      <c r="EF93" s="7" t="str">
        <f t="shared" si="560"/>
        <v/>
      </c>
      <c r="EG93" s="12" t="str">
        <f t="shared" si="561"/>
        <v/>
      </c>
      <c r="EH93" s="11" t="str">
        <f t="shared" si="562"/>
        <v/>
      </c>
      <c r="EI93" s="7" t="str">
        <f t="shared" si="563"/>
        <v/>
      </c>
      <c r="EJ93" s="8" t="str">
        <f t="shared" si="564"/>
        <v/>
      </c>
      <c r="EK93" s="491" t="str">
        <f t="shared" si="565"/>
        <v/>
      </c>
      <c r="EL93" s="493" t="str">
        <f t="shared" si="566"/>
        <v/>
      </c>
      <c r="EM93" s="6" t="str">
        <f t="shared" si="567"/>
        <v/>
      </c>
      <c r="EN93" s="7" t="str">
        <f t="shared" si="568"/>
        <v/>
      </c>
      <c r="EO93" s="12" t="str">
        <f t="shared" si="569"/>
        <v/>
      </c>
      <c r="EP93" s="11" t="str">
        <f t="shared" si="570"/>
        <v/>
      </c>
      <c r="EQ93" s="7" t="str">
        <f t="shared" si="571"/>
        <v/>
      </c>
      <c r="ER93" s="9" t="str">
        <f t="shared" si="572"/>
        <v/>
      </c>
      <c r="ES93" s="24" t="str">
        <f t="shared" si="573"/>
        <v/>
      </c>
      <c r="ET93" s="7" t="str">
        <f t="shared" si="574"/>
        <v/>
      </c>
      <c r="EU93" s="12" t="str">
        <f t="shared" si="575"/>
        <v/>
      </c>
      <c r="EV93" s="337" t="str">
        <f t="shared" si="445"/>
        <v/>
      </c>
      <c r="EW93" s="11" t="str">
        <f t="shared" si="446"/>
        <v/>
      </c>
      <c r="EX93" s="7" t="str">
        <f t="shared" si="447"/>
        <v/>
      </c>
      <c r="EY93" s="8" t="str">
        <f t="shared" si="576"/>
        <v/>
      </c>
      <c r="EZ93" s="123" t="str">
        <f t="shared" si="577"/>
        <v/>
      </c>
      <c r="FA93" s="328" t="str">
        <f t="shared" si="448"/>
        <v/>
      </c>
      <c r="FB93" s="7" t="str">
        <f t="shared" si="449"/>
        <v/>
      </c>
      <c r="FC93" s="8" t="str">
        <f t="shared" si="450"/>
        <v/>
      </c>
      <c r="FD93" s="6" t="str">
        <f t="shared" si="451"/>
        <v/>
      </c>
      <c r="FE93" s="7" t="str">
        <f t="shared" si="452"/>
        <v/>
      </c>
      <c r="FF93" s="9" t="str">
        <f t="shared" si="578"/>
        <v/>
      </c>
      <c r="FG93" s="328" t="str">
        <f t="shared" si="453"/>
        <v/>
      </c>
      <c r="FH93" s="7" t="str">
        <f t="shared" si="454"/>
        <v/>
      </c>
      <c r="FI93" s="12" t="str">
        <f t="shared" si="455"/>
        <v/>
      </c>
      <c r="FJ93" s="547" t="str">
        <f t="shared" si="579"/>
        <v/>
      </c>
      <c r="FK93" s="6" t="str">
        <f t="shared" si="456"/>
        <v/>
      </c>
      <c r="FL93" s="7" t="str">
        <f t="shared" si="491"/>
        <v/>
      </c>
      <c r="FM93" s="10" t="str">
        <f t="shared" si="492"/>
        <v/>
      </c>
      <c r="FN93" s="11" t="str">
        <f t="shared" si="493"/>
        <v/>
      </c>
      <c r="FO93" s="12" t="str">
        <f t="shared" si="457"/>
        <v/>
      </c>
      <c r="FP93" s="545" t="str">
        <f t="shared" si="494"/>
        <v/>
      </c>
      <c r="FQ93" s="328" t="str">
        <f t="shared" si="580"/>
        <v/>
      </c>
      <c r="FR93" s="12" t="str">
        <f t="shared" si="581"/>
        <v/>
      </c>
      <c r="FS93" s="11" t="str">
        <f t="shared" si="582"/>
        <v/>
      </c>
      <c r="FT93" s="8" t="str">
        <f t="shared" si="583"/>
        <v/>
      </c>
      <c r="FU93" s="6" t="str">
        <f t="shared" si="584"/>
        <v/>
      </c>
      <c r="FV93" s="7" t="str">
        <f t="shared" si="585"/>
        <v/>
      </c>
      <c r="FW93" s="10" t="str">
        <f t="shared" si="586"/>
        <v/>
      </c>
      <c r="FX93" s="11" t="str">
        <f t="shared" si="587"/>
        <v/>
      </c>
      <c r="FY93" s="12" t="str">
        <f t="shared" si="458"/>
        <v/>
      </c>
      <c r="FZ93" s="545" t="str">
        <f t="shared" si="588"/>
        <v/>
      </c>
      <c r="GA93" s="372" t="str">
        <f t="shared" si="589"/>
        <v/>
      </c>
      <c r="GB93" s="46" t="str">
        <f t="shared" si="590"/>
        <v/>
      </c>
      <c r="GC93" s="47" t="str">
        <f t="shared" si="591"/>
        <v/>
      </c>
      <c r="GD93" s="578" t="str">
        <f t="shared" si="592"/>
        <v/>
      </c>
      <c r="GE93" s="585" t="str">
        <f t="shared" si="593"/>
        <v/>
      </c>
      <c r="GF93" s="634" t="str">
        <f t="shared" si="594"/>
        <v/>
      </c>
      <c r="GG93" s="553" t="str">
        <f t="shared" si="459"/>
        <v/>
      </c>
      <c r="GH93" s="554" t="str">
        <f t="shared" si="460"/>
        <v/>
      </c>
      <c r="GI93" s="549" t="str">
        <f t="shared" si="461"/>
        <v/>
      </c>
      <c r="GJ93" s="296" t="str">
        <f t="shared" si="595"/>
        <v/>
      </c>
      <c r="GK93" s="337" t="str">
        <f t="shared" si="462"/>
        <v/>
      </c>
      <c r="GL93" s="337" t="str">
        <f t="shared" si="596"/>
        <v/>
      </c>
      <c r="GM93" s="372" t="str">
        <f t="shared" si="597"/>
        <v/>
      </c>
      <c r="GN93" s="548" t="str">
        <f t="shared" si="598"/>
        <v/>
      </c>
      <c r="GO93" s="6" t="str">
        <f t="shared" si="599"/>
        <v/>
      </c>
      <c r="GP93" s="10" t="str">
        <f t="shared" si="600"/>
        <v/>
      </c>
      <c r="GQ93" s="372" t="str">
        <f t="shared" si="601"/>
        <v/>
      </c>
      <c r="GR93" s="697" t="str">
        <f t="shared" si="602"/>
        <v/>
      </c>
      <c r="GS93" s="637" t="str">
        <f t="shared" si="463"/>
        <v/>
      </c>
      <c r="GT93" s="638" t="str">
        <f t="shared" si="464"/>
        <v/>
      </c>
      <c r="GU93" s="639" t="str">
        <f t="shared" si="465"/>
        <v/>
      </c>
      <c r="GV93" s="638" t="str">
        <f t="shared" si="603"/>
        <v/>
      </c>
      <c r="GW93" s="640" t="str">
        <f t="shared" si="466"/>
        <v/>
      </c>
      <c r="GX93" s="641" t="str">
        <f t="shared" si="467"/>
        <v/>
      </c>
      <c r="GY93" s="639" t="str">
        <f t="shared" si="468"/>
        <v/>
      </c>
      <c r="GZ93" s="640" t="str">
        <f t="shared" si="469"/>
        <v/>
      </c>
      <c r="HA93" s="637" t="str">
        <f t="shared" si="470"/>
        <v/>
      </c>
      <c r="HB93" s="7" t="str">
        <f t="shared" si="604"/>
        <v/>
      </c>
      <c r="HC93" s="638" t="str">
        <f t="shared" si="605"/>
        <v/>
      </c>
      <c r="HD93" s="682" t="str">
        <f t="shared" si="606"/>
        <v/>
      </c>
      <c r="HE93" s="639" t="str">
        <f t="shared" si="471"/>
        <v/>
      </c>
      <c r="HF93" s="7" t="str">
        <f t="shared" si="472"/>
        <v/>
      </c>
      <c r="HG93" s="638" t="str">
        <f t="shared" si="607"/>
        <v/>
      </c>
      <c r="HH93" s="644" t="str">
        <f t="shared" si="608"/>
        <v/>
      </c>
      <c r="HI93" s="596" t="str">
        <f t="shared" si="609"/>
        <v/>
      </c>
      <c r="HK93" s="584" t="str">
        <f t="shared" si="217"/>
        <v/>
      </c>
      <c r="HL93" s="583" t="str">
        <f t="shared" si="495"/>
        <v/>
      </c>
      <c r="HM93" s="643" t="str">
        <f t="shared" si="616"/>
        <v/>
      </c>
      <c r="HN93" s="660" t="str">
        <f t="shared" si="616"/>
        <v/>
      </c>
      <c r="HO93" s="661" t="str">
        <f t="shared" si="616"/>
        <v/>
      </c>
      <c r="HP93" s="656" t="str">
        <f t="shared" si="616"/>
        <v/>
      </c>
      <c r="HQ93" s="660" t="str">
        <f t="shared" si="616"/>
        <v/>
      </c>
      <c r="HR93" s="671" t="str">
        <f t="shared" si="616"/>
        <v/>
      </c>
      <c r="HS93" s="655" t="str">
        <f t="shared" si="616"/>
        <v/>
      </c>
      <c r="HT93" s="648" t="str">
        <f t="shared" si="616"/>
        <v/>
      </c>
      <c r="HU93" s="649" t="str">
        <f t="shared" si="616"/>
        <v/>
      </c>
      <c r="HV93" s="650" t="str">
        <f t="shared" si="616"/>
        <v/>
      </c>
      <c r="HW93" s="648" t="str">
        <f t="shared" si="616"/>
        <v/>
      </c>
      <c r="HX93" s="649" t="str">
        <f t="shared" si="616"/>
        <v/>
      </c>
      <c r="HY93" s="650" t="str">
        <f t="shared" si="616"/>
        <v/>
      </c>
      <c r="HZ93" s="648" t="str">
        <f t="shared" si="616"/>
        <v/>
      </c>
      <c r="IA93" s="649" t="str">
        <f t="shared" si="616"/>
        <v/>
      </c>
      <c r="IB93" s="716"/>
    </row>
    <row r="94" spans="2:236" ht="15" customHeight="1" x14ac:dyDescent="0.25">
      <c r="B94" s="143"/>
      <c r="C94" s="144"/>
      <c r="D94" s="145"/>
      <c r="E94" s="146"/>
      <c r="F94" s="144"/>
      <c r="G94" s="147"/>
      <c r="H94" s="146"/>
      <c r="I94" s="144"/>
      <c r="J94" s="306"/>
      <c r="K94" s="699" t="str">
        <f t="shared" si="610"/>
        <v/>
      </c>
      <c r="M94" s="292" t="str">
        <f t="shared" si="46"/>
        <v/>
      </c>
      <c r="N94" s="24" t="str">
        <f t="shared" si="47"/>
        <v/>
      </c>
      <c r="O94" s="7" t="str">
        <f t="shared" si="48"/>
        <v/>
      </c>
      <c r="P94" s="12" t="str">
        <f t="shared" si="49"/>
        <v/>
      </c>
      <c r="Q94" s="11" t="str">
        <f t="shared" si="473"/>
        <v/>
      </c>
      <c r="R94" s="7" t="str">
        <f t="shared" si="50"/>
        <v/>
      </c>
      <c r="S94" s="8" t="str">
        <f t="shared" si="51"/>
        <v/>
      </c>
      <c r="T94" s="6" t="str">
        <f t="shared" si="52"/>
        <v/>
      </c>
      <c r="U94" s="7" t="str">
        <f t="shared" si="53"/>
        <v/>
      </c>
      <c r="V94" s="10" t="str">
        <f t="shared" si="86"/>
        <v/>
      </c>
      <c r="W94" s="11" t="str">
        <f t="shared" si="614"/>
        <v/>
      </c>
      <c r="X94" s="7" t="str">
        <f t="shared" si="54"/>
        <v/>
      </c>
      <c r="Y94" s="9" t="str">
        <f t="shared" si="611"/>
        <v/>
      </c>
      <c r="Z94" s="24" t="str">
        <f t="shared" si="87"/>
        <v/>
      </c>
      <c r="AA94" s="7" t="str">
        <f t="shared" si="55"/>
        <v/>
      </c>
      <c r="AB94" s="7" t="str">
        <f t="shared" si="56"/>
        <v/>
      </c>
      <c r="AC94" s="10" t="str">
        <f t="shared" si="57"/>
        <v/>
      </c>
      <c r="AD94" s="11" t="str">
        <f t="shared" si="88"/>
        <v/>
      </c>
      <c r="AE94" s="7" t="str">
        <f t="shared" si="58"/>
        <v/>
      </c>
      <c r="AF94" s="12" t="str">
        <f t="shared" si="59"/>
        <v/>
      </c>
      <c r="AG94" s="6" t="str">
        <f t="shared" si="60"/>
        <v/>
      </c>
      <c r="AH94" s="12" t="str">
        <f t="shared" si="61"/>
        <v/>
      </c>
      <c r="AI94" s="11" t="str">
        <f t="shared" si="62"/>
        <v/>
      </c>
      <c r="AJ94" s="8" t="str">
        <f t="shared" si="63"/>
        <v/>
      </c>
      <c r="AK94" s="6" t="str">
        <f t="shared" si="89"/>
        <v/>
      </c>
      <c r="AL94" s="7" t="str">
        <f t="shared" si="64"/>
        <v/>
      </c>
      <c r="AM94" s="8" t="str">
        <f t="shared" si="65"/>
        <v/>
      </c>
      <c r="AN94" s="6" t="str">
        <f t="shared" si="66"/>
        <v/>
      </c>
      <c r="AO94" s="10" t="str">
        <f t="shared" si="376"/>
        <v/>
      </c>
      <c r="AP94" s="11" t="str">
        <f t="shared" si="67"/>
        <v/>
      </c>
      <c r="AQ94" s="8" t="str">
        <f t="shared" si="612"/>
        <v/>
      </c>
      <c r="AS94" s="123" t="str">
        <f t="shared" si="496"/>
        <v/>
      </c>
      <c r="AT94" s="175" t="str">
        <f t="shared" si="617"/>
        <v/>
      </c>
      <c r="AV94" s="292" t="str">
        <f t="shared" si="497"/>
        <v/>
      </c>
      <c r="AW94" s="709"/>
      <c r="AX94" s="710"/>
      <c r="AY94" s="711"/>
      <c r="AZ94" s="565" t="str">
        <f t="shared" si="498"/>
        <v/>
      </c>
      <c r="BA94" s="564" t="str">
        <f t="shared" si="499"/>
        <v/>
      </c>
      <c r="BB94" s="372" t="str">
        <f t="shared" si="474"/>
        <v/>
      </c>
      <c r="BC94" s="11"/>
      <c r="BD94" s="7" t="str">
        <f t="shared" si="475"/>
        <v/>
      </c>
      <c r="BE94" s="8" t="str">
        <f t="shared" si="476"/>
        <v/>
      </c>
      <c r="BF94" s="6" t="str">
        <f t="shared" si="500"/>
        <v/>
      </c>
      <c r="BG94" s="7" t="str">
        <f t="shared" si="501"/>
        <v/>
      </c>
      <c r="BH94" s="12" t="str">
        <f t="shared" si="502"/>
        <v/>
      </c>
      <c r="BI94" s="11" t="str">
        <f t="shared" si="503"/>
        <v/>
      </c>
      <c r="BJ94" s="7" t="str">
        <f t="shared" si="504"/>
        <v/>
      </c>
      <c r="BK94" s="10" t="str">
        <f t="shared" si="505"/>
        <v/>
      </c>
      <c r="BL94" s="328" t="str">
        <f t="shared" si="506"/>
        <v/>
      </c>
      <c r="BM94" s="7" t="str">
        <f t="shared" si="507"/>
        <v/>
      </c>
      <c r="BN94" s="8" t="str">
        <f t="shared" si="508"/>
        <v/>
      </c>
      <c r="BO94" s="6" t="str">
        <f t="shared" si="509"/>
        <v/>
      </c>
      <c r="BP94" s="7" t="str">
        <f t="shared" si="510"/>
        <v/>
      </c>
      <c r="BQ94" s="7" t="str">
        <f t="shared" si="511"/>
        <v/>
      </c>
      <c r="BR94" s="8" t="str">
        <f t="shared" si="512"/>
        <v/>
      </c>
      <c r="BS94" s="6" t="str">
        <f t="shared" si="477"/>
        <v/>
      </c>
      <c r="BT94" s="7" t="str">
        <f t="shared" si="477"/>
        <v/>
      </c>
      <c r="BU94" s="12" t="str">
        <f t="shared" si="478"/>
        <v/>
      </c>
      <c r="BV94" s="11" t="str">
        <f t="shared" si="479"/>
        <v/>
      </c>
      <c r="BW94" s="7" t="str">
        <f t="shared" si="480"/>
        <v/>
      </c>
      <c r="BX94" s="10" t="str">
        <f t="shared" si="481"/>
        <v/>
      </c>
      <c r="BY94" s="328" t="str">
        <f t="shared" si="482"/>
        <v/>
      </c>
      <c r="BZ94" s="7" t="str">
        <f t="shared" si="483"/>
        <v/>
      </c>
      <c r="CA94" s="8" t="str">
        <f t="shared" si="484"/>
        <v/>
      </c>
      <c r="CB94" s="6" t="str">
        <f t="shared" si="513"/>
        <v/>
      </c>
      <c r="CC94" s="7" t="str">
        <f t="shared" si="514"/>
        <v/>
      </c>
      <c r="CD94" s="7" t="str">
        <f t="shared" si="515"/>
        <v/>
      </c>
      <c r="CE94" s="8" t="str">
        <f t="shared" si="516"/>
        <v/>
      </c>
      <c r="CF94" s="6" t="str">
        <f t="shared" si="517"/>
        <v/>
      </c>
      <c r="CG94" s="7" t="str">
        <f t="shared" si="518"/>
        <v/>
      </c>
      <c r="CH94" s="7" t="str">
        <f t="shared" si="519"/>
        <v/>
      </c>
      <c r="CI94" s="6" t="str">
        <f t="shared" si="485"/>
        <v/>
      </c>
      <c r="CJ94" s="7" t="str">
        <f t="shared" si="486"/>
        <v/>
      </c>
      <c r="CK94" s="10" t="str">
        <f t="shared" si="487"/>
        <v/>
      </c>
      <c r="CL94" s="328" t="str">
        <f t="shared" si="488"/>
        <v/>
      </c>
      <c r="CM94" s="7" t="str">
        <f t="shared" si="489"/>
        <v/>
      </c>
      <c r="CN94" s="8" t="str">
        <f t="shared" si="490"/>
        <v/>
      </c>
      <c r="CO94" s="296" t="str">
        <f t="shared" si="613"/>
        <v/>
      </c>
      <c r="CP94" s="6" t="str">
        <f t="shared" si="520"/>
        <v/>
      </c>
      <c r="CQ94" s="7" t="str">
        <f t="shared" si="521"/>
        <v/>
      </c>
      <c r="CR94" s="7" t="str">
        <f t="shared" si="522"/>
        <v/>
      </c>
      <c r="CS94" s="10" t="str">
        <f t="shared" si="523"/>
        <v/>
      </c>
      <c r="CT94" s="11" t="str">
        <f t="shared" si="524"/>
        <v/>
      </c>
      <c r="CU94" s="8" t="str">
        <f t="shared" si="525"/>
        <v/>
      </c>
      <c r="CV94" s="6" t="str">
        <f t="shared" si="526"/>
        <v/>
      </c>
      <c r="CW94" s="7" t="str">
        <f t="shared" si="527"/>
        <v/>
      </c>
      <c r="CX94" s="10" t="str">
        <f t="shared" si="528"/>
        <v/>
      </c>
      <c r="CY94" s="11" t="str">
        <f t="shared" si="529"/>
        <v/>
      </c>
      <c r="CZ94" s="7" t="str">
        <f t="shared" si="530"/>
        <v/>
      </c>
      <c r="DA94" s="8" t="str">
        <f t="shared" si="531"/>
        <v/>
      </c>
      <c r="DB94" s="6" t="str">
        <f t="shared" si="532"/>
        <v/>
      </c>
      <c r="DC94" s="7" t="str">
        <f t="shared" si="532"/>
        <v/>
      </c>
      <c r="DD94" s="12" t="str">
        <f t="shared" si="533"/>
        <v/>
      </c>
      <c r="DE94" s="11" t="str">
        <f t="shared" si="534"/>
        <v/>
      </c>
      <c r="DF94" s="7" t="str">
        <f t="shared" si="534"/>
        <v/>
      </c>
      <c r="DG94" s="12" t="str">
        <f t="shared" si="535"/>
        <v/>
      </c>
      <c r="DH94" s="174" t="str">
        <f t="shared" si="536"/>
        <v/>
      </c>
      <c r="DI94" s="6" t="str">
        <f t="shared" si="537"/>
        <v/>
      </c>
      <c r="DJ94" s="7" t="str">
        <f t="shared" si="538"/>
        <v/>
      </c>
      <c r="DK94" s="12" t="str">
        <f t="shared" si="539"/>
        <v/>
      </c>
      <c r="DL94" s="11" t="str">
        <f t="shared" si="540"/>
        <v/>
      </c>
      <c r="DM94" s="328" t="str">
        <f t="shared" si="541"/>
        <v/>
      </c>
      <c r="DN94" s="376" t="str">
        <f t="shared" si="542"/>
        <v/>
      </c>
      <c r="DO94" s="11" t="str">
        <f t="shared" si="543"/>
        <v/>
      </c>
      <c r="DP94" s="328" t="str">
        <f t="shared" si="544"/>
        <v/>
      </c>
      <c r="DQ94" s="13" t="str">
        <f t="shared" si="545"/>
        <v/>
      </c>
      <c r="DR94" s="328" t="str">
        <f t="shared" si="546"/>
        <v/>
      </c>
      <c r="DS94" s="7" t="str">
        <f t="shared" si="547"/>
        <v/>
      </c>
      <c r="DT94" s="7" t="str">
        <f t="shared" si="548"/>
        <v/>
      </c>
      <c r="DU94" s="7" t="str">
        <f t="shared" si="549"/>
        <v/>
      </c>
      <c r="DV94" s="7" t="str">
        <f t="shared" si="550"/>
        <v/>
      </c>
      <c r="DW94" s="7" t="str">
        <f t="shared" si="551"/>
        <v/>
      </c>
      <c r="DX94" s="296" t="str">
        <f t="shared" si="552"/>
        <v/>
      </c>
      <c r="DY94" s="11" t="str">
        <f t="shared" si="553"/>
        <v/>
      </c>
      <c r="DZ94" s="7" t="str">
        <f t="shared" si="554"/>
        <v/>
      </c>
      <c r="EA94" s="12" t="str">
        <f t="shared" si="555"/>
        <v/>
      </c>
      <c r="EB94" s="8" t="str">
        <f t="shared" si="556"/>
        <v/>
      </c>
      <c r="EC94" s="328" t="str">
        <f t="shared" si="557"/>
        <v/>
      </c>
      <c r="ED94" s="7" t="str">
        <f t="shared" si="558"/>
        <v/>
      </c>
      <c r="EE94" s="6" t="str">
        <f t="shared" si="559"/>
        <v/>
      </c>
      <c r="EF94" s="7" t="str">
        <f t="shared" si="560"/>
        <v/>
      </c>
      <c r="EG94" s="12" t="str">
        <f t="shared" si="561"/>
        <v/>
      </c>
      <c r="EH94" s="11" t="str">
        <f t="shared" si="562"/>
        <v/>
      </c>
      <c r="EI94" s="7" t="str">
        <f t="shared" si="563"/>
        <v/>
      </c>
      <c r="EJ94" s="8" t="str">
        <f t="shared" si="564"/>
        <v/>
      </c>
      <c r="EK94" s="491" t="str">
        <f t="shared" si="565"/>
        <v/>
      </c>
      <c r="EL94" s="493" t="str">
        <f t="shared" si="566"/>
        <v/>
      </c>
      <c r="EM94" s="6" t="str">
        <f t="shared" si="567"/>
        <v/>
      </c>
      <c r="EN94" s="7" t="str">
        <f t="shared" si="568"/>
        <v/>
      </c>
      <c r="EO94" s="12" t="str">
        <f t="shared" si="569"/>
        <v/>
      </c>
      <c r="EP94" s="11" t="str">
        <f t="shared" si="570"/>
        <v/>
      </c>
      <c r="EQ94" s="7" t="str">
        <f t="shared" si="571"/>
        <v/>
      </c>
      <c r="ER94" s="9" t="str">
        <f t="shared" si="572"/>
        <v/>
      </c>
      <c r="ES94" s="24" t="str">
        <f t="shared" si="573"/>
        <v/>
      </c>
      <c r="ET94" s="7" t="str">
        <f t="shared" si="574"/>
        <v/>
      </c>
      <c r="EU94" s="12" t="str">
        <f t="shared" si="575"/>
        <v/>
      </c>
      <c r="EV94" s="337" t="str">
        <f t="shared" si="445"/>
        <v/>
      </c>
      <c r="EW94" s="11" t="str">
        <f t="shared" si="446"/>
        <v/>
      </c>
      <c r="EX94" s="7" t="str">
        <f t="shared" si="447"/>
        <v/>
      </c>
      <c r="EY94" s="8" t="str">
        <f t="shared" si="576"/>
        <v/>
      </c>
      <c r="EZ94" s="123" t="str">
        <f t="shared" si="577"/>
        <v/>
      </c>
      <c r="FA94" s="328" t="str">
        <f t="shared" si="448"/>
        <v/>
      </c>
      <c r="FB94" s="7" t="str">
        <f t="shared" si="449"/>
        <v/>
      </c>
      <c r="FC94" s="8" t="str">
        <f t="shared" si="450"/>
        <v/>
      </c>
      <c r="FD94" s="6" t="str">
        <f t="shared" si="451"/>
        <v/>
      </c>
      <c r="FE94" s="7" t="str">
        <f t="shared" si="452"/>
        <v/>
      </c>
      <c r="FF94" s="9" t="str">
        <f t="shared" si="578"/>
        <v/>
      </c>
      <c r="FG94" s="328" t="str">
        <f t="shared" si="453"/>
        <v/>
      </c>
      <c r="FH94" s="7" t="str">
        <f t="shared" si="454"/>
        <v/>
      </c>
      <c r="FI94" s="12" t="str">
        <f t="shared" si="455"/>
        <v/>
      </c>
      <c r="FJ94" s="547" t="str">
        <f t="shared" si="579"/>
        <v/>
      </c>
      <c r="FK94" s="6" t="str">
        <f t="shared" si="456"/>
        <v/>
      </c>
      <c r="FL94" s="7" t="str">
        <f t="shared" si="491"/>
        <v/>
      </c>
      <c r="FM94" s="10" t="str">
        <f t="shared" si="492"/>
        <v/>
      </c>
      <c r="FN94" s="11" t="str">
        <f t="shared" si="493"/>
        <v/>
      </c>
      <c r="FO94" s="12" t="str">
        <f t="shared" si="457"/>
        <v/>
      </c>
      <c r="FP94" s="545" t="str">
        <f t="shared" si="494"/>
        <v/>
      </c>
      <c r="FQ94" s="328" t="str">
        <f t="shared" si="580"/>
        <v/>
      </c>
      <c r="FR94" s="12" t="str">
        <f t="shared" si="581"/>
        <v/>
      </c>
      <c r="FS94" s="11" t="str">
        <f t="shared" si="582"/>
        <v/>
      </c>
      <c r="FT94" s="8" t="str">
        <f t="shared" si="583"/>
        <v/>
      </c>
      <c r="FU94" s="6" t="str">
        <f t="shared" si="584"/>
        <v/>
      </c>
      <c r="FV94" s="7" t="str">
        <f t="shared" si="585"/>
        <v/>
      </c>
      <c r="FW94" s="10" t="str">
        <f t="shared" si="586"/>
        <v/>
      </c>
      <c r="FX94" s="11" t="str">
        <f t="shared" si="587"/>
        <v/>
      </c>
      <c r="FY94" s="12" t="str">
        <f t="shared" si="458"/>
        <v/>
      </c>
      <c r="FZ94" s="545" t="str">
        <f t="shared" si="588"/>
        <v/>
      </c>
      <c r="GA94" s="372" t="str">
        <f t="shared" si="589"/>
        <v/>
      </c>
      <c r="GB94" s="46" t="str">
        <f t="shared" si="590"/>
        <v/>
      </c>
      <c r="GC94" s="47" t="str">
        <f t="shared" si="591"/>
        <v/>
      </c>
      <c r="GD94" s="578" t="str">
        <f t="shared" si="592"/>
        <v/>
      </c>
      <c r="GE94" s="585" t="str">
        <f t="shared" si="593"/>
        <v/>
      </c>
      <c r="GF94" s="634" t="str">
        <f t="shared" si="594"/>
        <v/>
      </c>
      <c r="GG94" s="553" t="str">
        <f t="shared" si="459"/>
        <v/>
      </c>
      <c r="GH94" s="554" t="str">
        <f t="shared" si="460"/>
        <v/>
      </c>
      <c r="GI94" s="549" t="str">
        <f t="shared" si="461"/>
        <v/>
      </c>
      <c r="GJ94" s="296" t="str">
        <f t="shared" si="595"/>
        <v/>
      </c>
      <c r="GK94" s="337" t="str">
        <f t="shared" si="462"/>
        <v/>
      </c>
      <c r="GL94" s="337" t="str">
        <f t="shared" si="596"/>
        <v/>
      </c>
      <c r="GM94" s="372" t="str">
        <f t="shared" si="597"/>
        <v/>
      </c>
      <c r="GN94" s="548" t="str">
        <f t="shared" si="598"/>
        <v/>
      </c>
      <c r="GO94" s="6" t="str">
        <f t="shared" si="599"/>
        <v/>
      </c>
      <c r="GP94" s="10" t="str">
        <f t="shared" si="600"/>
        <v/>
      </c>
      <c r="GQ94" s="372" t="str">
        <f t="shared" si="601"/>
        <v/>
      </c>
      <c r="GR94" s="697" t="str">
        <f t="shared" si="602"/>
        <v/>
      </c>
      <c r="GS94" s="637" t="str">
        <f t="shared" si="463"/>
        <v/>
      </c>
      <c r="GT94" s="638" t="str">
        <f t="shared" si="464"/>
        <v/>
      </c>
      <c r="GU94" s="639" t="str">
        <f t="shared" si="465"/>
        <v/>
      </c>
      <c r="GV94" s="638" t="str">
        <f t="shared" si="603"/>
        <v/>
      </c>
      <c r="GW94" s="640" t="str">
        <f t="shared" si="466"/>
        <v/>
      </c>
      <c r="GX94" s="641" t="str">
        <f t="shared" si="467"/>
        <v/>
      </c>
      <c r="GY94" s="639" t="str">
        <f t="shared" si="468"/>
        <v/>
      </c>
      <c r="GZ94" s="640" t="str">
        <f t="shared" si="469"/>
        <v/>
      </c>
      <c r="HA94" s="637" t="str">
        <f t="shared" si="470"/>
        <v/>
      </c>
      <c r="HB94" s="7" t="str">
        <f t="shared" si="604"/>
        <v/>
      </c>
      <c r="HC94" s="638" t="str">
        <f t="shared" si="605"/>
        <v/>
      </c>
      <c r="HD94" s="682" t="str">
        <f t="shared" si="606"/>
        <v/>
      </c>
      <c r="HE94" s="639" t="str">
        <f t="shared" si="471"/>
        <v/>
      </c>
      <c r="HF94" s="7" t="str">
        <f t="shared" si="472"/>
        <v/>
      </c>
      <c r="HG94" s="638" t="str">
        <f t="shared" si="607"/>
        <v/>
      </c>
      <c r="HH94" s="644" t="str">
        <f t="shared" si="608"/>
        <v/>
      </c>
      <c r="HI94" s="596" t="str">
        <f t="shared" si="609"/>
        <v/>
      </c>
      <c r="HK94" s="584" t="str">
        <f t="shared" si="217"/>
        <v/>
      </c>
      <c r="HL94" s="583" t="str">
        <f t="shared" si="495"/>
        <v/>
      </c>
      <c r="HM94" s="643" t="str">
        <f t="shared" si="616"/>
        <v/>
      </c>
      <c r="HN94" s="660" t="str">
        <f t="shared" si="616"/>
        <v/>
      </c>
      <c r="HO94" s="661" t="str">
        <f t="shared" si="616"/>
        <v/>
      </c>
      <c r="HP94" s="656" t="str">
        <f t="shared" si="616"/>
        <v/>
      </c>
      <c r="HQ94" s="660" t="str">
        <f t="shared" si="616"/>
        <v/>
      </c>
      <c r="HR94" s="671" t="str">
        <f t="shared" si="616"/>
        <v/>
      </c>
      <c r="HS94" s="655" t="str">
        <f t="shared" si="616"/>
        <v/>
      </c>
      <c r="HT94" s="648" t="str">
        <f t="shared" si="616"/>
        <v/>
      </c>
      <c r="HU94" s="649" t="str">
        <f t="shared" si="616"/>
        <v/>
      </c>
      <c r="HV94" s="650" t="str">
        <f t="shared" si="616"/>
        <v/>
      </c>
      <c r="HW94" s="648" t="str">
        <f t="shared" si="616"/>
        <v/>
      </c>
      <c r="HX94" s="649" t="str">
        <f t="shared" si="616"/>
        <v/>
      </c>
      <c r="HY94" s="650" t="str">
        <f t="shared" si="616"/>
        <v/>
      </c>
      <c r="HZ94" s="648" t="str">
        <f t="shared" si="616"/>
        <v/>
      </c>
      <c r="IA94" s="649" t="str">
        <f t="shared" si="616"/>
        <v/>
      </c>
      <c r="IB94" s="716"/>
    </row>
    <row r="95" spans="2:236" ht="15" customHeight="1" x14ac:dyDescent="0.25">
      <c r="B95" s="143"/>
      <c r="C95" s="144"/>
      <c r="D95" s="145"/>
      <c r="E95" s="146"/>
      <c r="F95" s="144"/>
      <c r="G95" s="147"/>
      <c r="H95" s="146"/>
      <c r="I95" s="144"/>
      <c r="J95" s="306"/>
      <c r="K95" s="699" t="str">
        <f t="shared" si="610"/>
        <v/>
      </c>
      <c r="M95" s="292" t="str">
        <f t="shared" si="46"/>
        <v/>
      </c>
      <c r="N95" s="24" t="str">
        <f t="shared" si="47"/>
        <v/>
      </c>
      <c r="O95" s="7" t="str">
        <f t="shared" si="48"/>
        <v/>
      </c>
      <c r="P95" s="12" t="str">
        <f t="shared" si="49"/>
        <v/>
      </c>
      <c r="Q95" s="11" t="str">
        <f t="shared" si="473"/>
        <v/>
      </c>
      <c r="R95" s="7" t="str">
        <f t="shared" si="50"/>
        <v/>
      </c>
      <c r="S95" s="8" t="str">
        <f t="shared" si="51"/>
        <v/>
      </c>
      <c r="T95" s="6" t="str">
        <f t="shared" si="52"/>
        <v/>
      </c>
      <c r="U95" s="7" t="str">
        <f t="shared" si="53"/>
        <v/>
      </c>
      <c r="V95" s="10" t="str">
        <f t="shared" si="86"/>
        <v/>
      </c>
      <c r="W95" s="11" t="str">
        <f t="shared" si="614"/>
        <v/>
      </c>
      <c r="X95" s="7" t="str">
        <f t="shared" si="54"/>
        <v/>
      </c>
      <c r="Y95" s="9" t="str">
        <f t="shared" si="611"/>
        <v/>
      </c>
      <c r="Z95" s="24" t="str">
        <f t="shared" si="87"/>
        <v/>
      </c>
      <c r="AA95" s="7" t="str">
        <f t="shared" si="55"/>
        <v/>
      </c>
      <c r="AB95" s="7" t="str">
        <f t="shared" si="56"/>
        <v/>
      </c>
      <c r="AC95" s="10" t="str">
        <f t="shared" si="57"/>
        <v/>
      </c>
      <c r="AD95" s="11" t="str">
        <f t="shared" si="88"/>
        <v/>
      </c>
      <c r="AE95" s="7" t="str">
        <f t="shared" si="58"/>
        <v/>
      </c>
      <c r="AF95" s="12" t="str">
        <f t="shared" si="59"/>
        <v/>
      </c>
      <c r="AG95" s="6" t="str">
        <f t="shared" si="60"/>
        <v/>
      </c>
      <c r="AH95" s="12" t="str">
        <f t="shared" si="61"/>
        <v/>
      </c>
      <c r="AI95" s="11" t="str">
        <f t="shared" si="62"/>
        <v/>
      </c>
      <c r="AJ95" s="8" t="str">
        <f t="shared" si="63"/>
        <v/>
      </c>
      <c r="AK95" s="6" t="str">
        <f t="shared" si="89"/>
        <v/>
      </c>
      <c r="AL95" s="7" t="str">
        <f t="shared" si="64"/>
        <v/>
      </c>
      <c r="AM95" s="8" t="str">
        <f t="shared" si="65"/>
        <v/>
      </c>
      <c r="AN95" s="6" t="str">
        <f t="shared" si="66"/>
        <v/>
      </c>
      <c r="AO95" s="10" t="str">
        <f t="shared" si="376"/>
        <v/>
      </c>
      <c r="AP95" s="11" t="str">
        <f t="shared" si="67"/>
        <v/>
      </c>
      <c r="AQ95" s="8" t="str">
        <f t="shared" si="612"/>
        <v/>
      </c>
      <c r="AS95" s="123" t="str">
        <f t="shared" si="496"/>
        <v/>
      </c>
      <c r="AT95" s="175" t="str">
        <f t="shared" si="617"/>
        <v/>
      </c>
      <c r="AV95" s="292" t="str">
        <f t="shared" si="497"/>
        <v/>
      </c>
      <c r="AW95" s="709"/>
      <c r="AX95" s="710"/>
      <c r="AY95" s="711"/>
      <c r="AZ95" s="565" t="str">
        <f t="shared" si="498"/>
        <v/>
      </c>
      <c r="BA95" s="564" t="str">
        <f t="shared" si="499"/>
        <v/>
      </c>
      <c r="BB95" s="372" t="str">
        <f t="shared" si="474"/>
        <v/>
      </c>
      <c r="BC95" s="11"/>
      <c r="BD95" s="7" t="str">
        <f t="shared" si="475"/>
        <v/>
      </c>
      <c r="BE95" s="8" t="str">
        <f t="shared" si="476"/>
        <v/>
      </c>
      <c r="BF95" s="6" t="str">
        <f t="shared" si="500"/>
        <v/>
      </c>
      <c r="BG95" s="7" t="str">
        <f t="shared" si="501"/>
        <v/>
      </c>
      <c r="BH95" s="12" t="str">
        <f t="shared" si="502"/>
        <v/>
      </c>
      <c r="BI95" s="11" t="str">
        <f t="shared" si="503"/>
        <v/>
      </c>
      <c r="BJ95" s="7" t="str">
        <f t="shared" si="504"/>
        <v/>
      </c>
      <c r="BK95" s="10" t="str">
        <f t="shared" si="505"/>
        <v/>
      </c>
      <c r="BL95" s="328" t="str">
        <f t="shared" si="506"/>
        <v/>
      </c>
      <c r="BM95" s="7" t="str">
        <f t="shared" si="507"/>
        <v/>
      </c>
      <c r="BN95" s="8" t="str">
        <f t="shared" si="508"/>
        <v/>
      </c>
      <c r="BO95" s="6" t="str">
        <f t="shared" si="509"/>
        <v/>
      </c>
      <c r="BP95" s="7" t="str">
        <f t="shared" si="510"/>
        <v/>
      </c>
      <c r="BQ95" s="7" t="str">
        <f t="shared" si="511"/>
        <v/>
      </c>
      <c r="BR95" s="8" t="str">
        <f t="shared" si="512"/>
        <v/>
      </c>
      <c r="BS95" s="6" t="str">
        <f t="shared" si="477"/>
        <v/>
      </c>
      <c r="BT95" s="7" t="str">
        <f t="shared" si="477"/>
        <v/>
      </c>
      <c r="BU95" s="12" t="str">
        <f t="shared" si="478"/>
        <v/>
      </c>
      <c r="BV95" s="11" t="str">
        <f t="shared" si="479"/>
        <v/>
      </c>
      <c r="BW95" s="7" t="str">
        <f t="shared" si="480"/>
        <v/>
      </c>
      <c r="BX95" s="10" t="str">
        <f t="shared" si="481"/>
        <v/>
      </c>
      <c r="BY95" s="328" t="str">
        <f t="shared" si="482"/>
        <v/>
      </c>
      <c r="BZ95" s="7" t="str">
        <f t="shared" si="483"/>
        <v/>
      </c>
      <c r="CA95" s="8" t="str">
        <f t="shared" si="484"/>
        <v/>
      </c>
      <c r="CB95" s="6" t="str">
        <f t="shared" si="513"/>
        <v/>
      </c>
      <c r="CC95" s="7" t="str">
        <f t="shared" si="514"/>
        <v/>
      </c>
      <c r="CD95" s="7" t="str">
        <f t="shared" si="515"/>
        <v/>
      </c>
      <c r="CE95" s="8" t="str">
        <f t="shared" si="516"/>
        <v/>
      </c>
      <c r="CF95" s="6" t="str">
        <f t="shared" si="517"/>
        <v/>
      </c>
      <c r="CG95" s="7" t="str">
        <f t="shared" si="518"/>
        <v/>
      </c>
      <c r="CH95" s="7" t="str">
        <f t="shared" si="519"/>
        <v/>
      </c>
      <c r="CI95" s="6" t="str">
        <f t="shared" si="485"/>
        <v/>
      </c>
      <c r="CJ95" s="7" t="str">
        <f t="shared" si="486"/>
        <v/>
      </c>
      <c r="CK95" s="10" t="str">
        <f t="shared" si="487"/>
        <v/>
      </c>
      <c r="CL95" s="328" t="str">
        <f t="shared" si="488"/>
        <v/>
      </c>
      <c r="CM95" s="7" t="str">
        <f t="shared" si="489"/>
        <v/>
      </c>
      <c r="CN95" s="8" t="str">
        <f t="shared" si="490"/>
        <v/>
      </c>
      <c r="CO95" s="296" t="str">
        <f t="shared" si="613"/>
        <v/>
      </c>
      <c r="CP95" s="6" t="str">
        <f t="shared" si="520"/>
        <v/>
      </c>
      <c r="CQ95" s="7" t="str">
        <f t="shared" si="521"/>
        <v/>
      </c>
      <c r="CR95" s="7" t="str">
        <f t="shared" si="522"/>
        <v/>
      </c>
      <c r="CS95" s="10" t="str">
        <f t="shared" si="523"/>
        <v/>
      </c>
      <c r="CT95" s="11" t="str">
        <f t="shared" si="524"/>
        <v/>
      </c>
      <c r="CU95" s="8" t="str">
        <f t="shared" si="525"/>
        <v/>
      </c>
      <c r="CV95" s="6" t="str">
        <f t="shared" si="526"/>
        <v/>
      </c>
      <c r="CW95" s="7" t="str">
        <f t="shared" si="527"/>
        <v/>
      </c>
      <c r="CX95" s="10" t="str">
        <f t="shared" si="528"/>
        <v/>
      </c>
      <c r="CY95" s="11" t="str">
        <f t="shared" si="529"/>
        <v/>
      </c>
      <c r="CZ95" s="7" t="str">
        <f t="shared" si="530"/>
        <v/>
      </c>
      <c r="DA95" s="8" t="str">
        <f t="shared" si="531"/>
        <v/>
      </c>
      <c r="DB95" s="6" t="str">
        <f t="shared" si="532"/>
        <v/>
      </c>
      <c r="DC95" s="7" t="str">
        <f t="shared" si="532"/>
        <v/>
      </c>
      <c r="DD95" s="12" t="str">
        <f t="shared" si="533"/>
        <v/>
      </c>
      <c r="DE95" s="11" t="str">
        <f t="shared" si="534"/>
        <v/>
      </c>
      <c r="DF95" s="7" t="str">
        <f t="shared" si="534"/>
        <v/>
      </c>
      <c r="DG95" s="12" t="str">
        <f t="shared" si="535"/>
        <v/>
      </c>
      <c r="DH95" s="174" t="str">
        <f t="shared" si="536"/>
        <v/>
      </c>
      <c r="DI95" s="6" t="str">
        <f t="shared" si="537"/>
        <v/>
      </c>
      <c r="DJ95" s="7" t="str">
        <f t="shared" si="538"/>
        <v/>
      </c>
      <c r="DK95" s="12" t="str">
        <f t="shared" si="539"/>
        <v/>
      </c>
      <c r="DL95" s="11" t="str">
        <f t="shared" si="540"/>
        <v/>
      </c>
      <c r="DM95" s="328" t="str">
        <f t="shared" si="541"/>
        <v/>
      </c>
      <c r="DN95" s="376" t="str">
        <f t="shared" si="542"/>
        <v/>
      </c>
      <c r="DO95" s="11" t="str">
        <f t="shared" si="543"/>
        <v/>
      </c>
      <c r="DP95" s="328" t="str">
        <f t="shared" si="544"/>
        <v/>
      </c>
      <c r="DQ95" s="13" t="str">
        <f t="shared" si="545"/>
        <v/>
      </c>
      <c r="DR95" s="328" t="str">
        <f t="shared" si="546"/>
        <v/>
      </c>
      <c r="DS95" s="7" t="str">
        <f t="shared" si="547"/>
        <v/>
      </c>
      <c r="DT95" s="7" t="str">
        <f t="shared" si="548"/>
        <v/>
      </c>
      <c r="DU95" s="7" t="str">
        <f t="shared" si="549"/>
        <v/>
      </c>
      <c r="DV95" s="7" t="str">
        <f t="shared" si="550"/>
        <v/>
      </c>
      <c r="DW95" s="7" t="str">
        <f t="shared" si="551"/>
        <v/>
      </c>
      <c r="DX95" s="296" t="str">
        <f t="shared" si="552"/>
        <v/>
      </c>
      <c r="DY95" s="11" t="str">
        <f t="shared" si="553"/>
        <v/>
      </c>
      <c r="DZ95" s="7" t="str">
        <f t="shared" si="554"/>
        <v/>
      </c>
      <c r="EA95" s="12" t="str">
        <f t="shared" si="555"/>
        <v/>
      </c>
      <c r="EB95" s="8" t="str">
        <f t="shared" si="556"/>
        <v/>
      </c>
      <c r="EC95" s="328" t="str">
        <f t="shared" si="557"/>
        <v/>
      </c>
      <c r="ED95" s="7" t="str">
        <f t="shared" si="558"/>
        <v/>
      </c>
      <c r="EE95" s="6" t="str">
        <f t="shared" si="559"/>
        <v/>
      </c>
      <c r="EF95" s="7" t="str">
        <f t="shared" si="560"/>
        <v/>
      </c>
      <c r="EG95" s="12" t="str">
        <f t="shared" si="561"/>
        <v/>
      </c>
      <c r="EH95" s="11" t="str">
        <f t="shared" si="562"/>
        <v/>
      </c>
      <c r="EI95" s="7" t="str">
        <f t="shared" si="563"/>
        <v/>
      </c>
      <c r="EJ95" s="8" t="str">
        <f t="shared" si="564"/>
        <v/>
      </c>
      <c r="EK95" s="491" t="str">
        <f t="shared" si="565"/>
        <v/>
      </c>
      <c r="EL95" s="493" t="str">
        <f t="shared" si="566"/>
        <v/>
      </c>
      <c r="EM95" s="6" t="str">
        <f t="shared" si="567"/>
        <v/>
      </c>
      <c r="EN95" s="7" t="str">
        <f t="shared" si="568"/>
        <v/>
      </c>
      <c r="EO95" s="12" t="str">
        <f t="shared" si="569"/>
        <v/>
      </c>
      <c r="EP95" s="11" t="str">
        <f t="shared" si="570"/>
        <v/>
      </c>
      <c r="EQ95" s="7" t="str">
        <f t="shared" si="571"/>
        <v/>
      </c>
      <c r="ER95" s="9" t="str">
        <f t="shared" si="572"/>
        <v/>
      </c>
      <c r="ES95" s="24" t="str">
        <f t="shared" si="573"/>
        <v/>
      </c>
      <c r="ET95" s="7" t="str">
        <f t="shared" si="574"/>
        <v/>
      </c>
      <c r="EU95" s="12" t="str">
        <f t="shared" si="575"/>
        <v/>
      </c>
      <c r="EV95" s="337" t="str">
        <f t="shared" si="445"/>
        <v/>
      </c>
      <c r="EW95" s="11" t="str">
        <f t="shared" si="446"/>
        <v/>
      </c>
      <c r="EX95" s="7" t="str">
        <f t="shared" si="447"/>
        <v/>
      </c>
      <c r="EY95" s="8" t="str">
        <f t="shared" si="576"/>
        <v/>
      </c>
      <c r="EZ95" s="123" t="str">
        <f t="shared" si="577"/>
        <v/>
      </c>
      <c r="FA95" s="328" t="str">
        <f t="shared" si="448"/>
        <v/>
      </c>
      <c r="FB95" s="7" t="str">
        <f t="shared" si="449"/>
        <v/>
      </c>
      <c r="FC95" s="8" t="str">
        <f t="shared" si="450"/>
        <v/>
      </c>
      <c r="FD95" s="6" t="str">
        <f t="shared" si="451"/>
        <v/>
      </c>
      <c r="FE95" s="7" t="str">
        <f t="shared" si="452"/>
        <v/>
      </c>
      <c r="FF95" s="9" t="str">
        <f t="shared" si="578"/>
        <v/>
      </c>
      <c r="FG95" s="328" t="str">
        <f t="shared" si="453"/>
        <v/>
      </c>
      <c r="FH95" s="7" t="str">
        <f t="shared" si="454"/>
        <v/>
      </c>
      <c r="FI95" s="12" t="str">
        <f t="shared" si="455"/>
        <v/>
      </c>
      <c r="FJ95" s="547" t="str">
        <f t="shared" si="579"/>
        <v/>
      </c>
      <c r="FK95" s="6" t="str">
        <f t="shared" si="456"/>
        <v/>
      </c>
      <c r="FL95" s="7" t="str">
        <f t="shared" si="491"/>
        <v/>
      </c>
      <c r="FM95" s="10" t="str">
        <f t="shared" si="492"/>
        <v/>
      </c>
      <c r="FN95" s="11" t="str">
        <f t="shared" si="493"/>
        <v/>
      </c>
      <c r="FO95" s="12" t="str">
        <f t="shared" si="457"/>
        <v/>
      </c>
      <c r="FP95" s="545" t="str">
        <f t="shared" si="494"/>
        <v/>
      </c>
      <c r="FQ95" s="328" t="str">
        <f t="shared" si="580"/>
        <v/>
      </c>
      <c r="FR95" s="12" t="str">
        <f t="shared" si="581"/>
        <v/>
      </c>
      <c r="FS95" s="11" t="str">
        <f t="shared" si="582"/>
        <v/>
      </c>
      <c r="FT95" s="8" t="str">
        <f t="shared" si="583"/>
        <v/>
      </c>
      <c r="FU95" s="6" t="str">
        <f t="shared" si="584"/>
        <v/>
      </c>
      <c r="FV95" s="7" t="str">
        <f t="shared" si="585"/>
        <v/>
      </c>
      <c r="FW95" s="10" t="str">
        <f t="shared" si="586"/>
        <v/>
      </c>
      <c r="FX95" s="11" t="str">
        <f t="shared" si="587"/>
        <v/>
      </c>
      <c r="FY95" s="12" t="str">
        <f t="shared" si="458"/>
        <v/>
      </c>
      <c r="FZ95" s="545" t="str">
        <f t="shared" si="588"/>
        <v/>
      </c>
      <c r="GA95" s="372" t="str">
        <f t="shared" si="589"/>
        <v/>
      </c>
      <c r="GB95" s="46" t="str">
        <f t="shared" si="590"/>
        <v/>
      </c>
      <c r="GC95" s="47" t="str">
        <f t="shared" si="591"/>
        <v/>
      </c>
      <c r="GD95" s="578" t="str">
        <f t="shared" si="592"/>
        <v/>
      </c>
      <c r="GE95" s="585" t="str">
        <f t="shared" si="593"/>
        <v/>
      </c>
      <c r="GF95" s="634" t="str">
        <f t="shared" si="594"/>
        <v/>
      </c>
      <c r="GG95" s="553" t="str">
        <f t="shared" si="459"/>
        <v/>
      </c>
      <c r="GH95" s="554" t="str">
        <f t="shared" si="460"/>
        <v/>
      </c>
      <c r="GI95" s="549" t="str">
        <f t="shared" si="461"/>
        <v/>
      </c>
      <c r="GJ95" s="296" t="str">
        <f t="shared" si="595"/>
        <v/>
      </c>
      <c r="GK95" s="337" t="str">
        <f t="shared" si="462"/>
        <v/>
      </c>
      <c r="GL95" s="337" t="str">
        <f t="shared" si="596"/>
        <v/>
      </c>
      <c r="GM95" s="372" t="str">
        <f t="shared" si="597"/>
        <v/>
      </c>
      <c r="GN95" s="548" t="str">
        <f t="shared" si="598"/>
        <v/>
      </c>
      <c r="GO95" s="6" t="str">
        <f t="shared" si="599"/>
        <v/>
      </c>
      <c r="GP95" s="10" t="str">
        <f t="shared" si="600"/>
        <v/>
      </c>
      <c r="GQ95" s="372" t="str">
        <f t="shared" si="601"/>
        <v/>
      </c>
      <c r="GR95" s="697" t="str">
        <f t="shared" si="602"/>
        <v/>
      </c>
      <c r="GS95" s="637" t="str">
        <f t="shared" si="463"/>
        <v/>
      </c>
      <c r="GT95" s="638" t="str">
        <f t="shared" si="464"/>
        <v/>
      </c>
      <c r="GU95" s="639" t="str">
        <f t="shared" si="465"/>
        <v/>
      </c>
      <c r="GV95" s="638" t="str">
        <f t="shared" si="603"/>
        <v/>
      </c>
      <c r="GW95" s="640" t="str">
        <f t="shared" si="466"/>
        <v/>
      </c>
      <c r="GX95" s="641" t="str">
        <f t="shared" si="467"/>
        <v/>
      </c>
      <c r="GY95" s="639" t="str">
        <f t="shared" si="468"/>
        <v/>
      </c>
      <c r="GZ95" s="640" t="str">
        <f t="shared" si="469"/>
        <v/>
      </c>
      <c r="HA95" s="637" t="str">
        <f t="shared" si="470"/>
        <v/>
      </c>
      <c r="HB95" s="7" t="str">
        <f t="shared" si="604"/>
        <v/>
      </c>
      <c r="HC95" s="638" t="str">
        <f t="shared" si="605"/>
        <v/>
      </c>
      <c r="HD95" s="682" t="str">
        <f t="shared" si="606"/>
        <v/>
      </c>
      <c r="HE95" s="639" t="str">
        <f t="shared" si="471"/>
        <v/>
      </c>
      <c r="HF95" s="7" t="str">
        <f t="shared" si="472"/>
        <v/>
      </c>
      <c r="HG95" s="638" t="str">
        <f t="shared" si="607"/>
        <v/>
      </c>
      <c r="HH95" s="644" t="str">
        <f t="shared" si="608"/>
        <v/>
      </c>
      <c r="HI95" s="596" t="str">
        <f t="shared" si="609"/>
        <v/>
      </c>
      <c r="HK95" s="584" t="str">
        <f t="shared" si="217"/>
        <v/>
      </c>
      <c r="HL95" s="583" t="str">
        <f t="shared" si="495"/>
        <v/>
      </c>
      <c r="HM95" s="643" t="str">
        <f t="shared" si="616"/>
        <v/>
      </c>
      <c r="HN95" s="660" t="str">
        <f t="shared" si="616"/>
        <v/>
      </c>
      <c r="HO95" s="661" t="str">
        <f t="shared" si="616"/>
        <v/>
      </c>
      <c r="HP95" s="656" t="str">
        <f t="shared" si="616"/>
        <v/>
      </c>
      <c r="HQ95" s="660" t="str">
        <f t="shared" si="616"/>
        <v/>
      </c>
      <c r="HR95" s="671" t="str">
        <f t="shared" si="616"/>
        <v/>
      </c>
      <c r="HS95" s="655" t="str">
        <f t="shared" si="616"/>
        <v/>
      </c>
      <c r="HT95" s="648" t="str">
        <f t="shared" si="616"/>
        <v/>
      </c>
      <c r="HU95" s="649" t="str">
        <f t="shared" si="616"/>
        <v/>
      </c>
      <c r="HV95" s="650" t="str">
        <f t="shared" si="616"/>
        <v/>
      </c>
      <c r="HW95" s="648" t="str">
        <f t="shared" si="616"/>
        <v/>
      </c>
      <c r="HX95" s="649" t="str">
        <f t="shared" si="616"/>
        <v/>
      </c>
      <c r="HY95" s="650" t="str">
        <f t="shared" si="616"/>
        <v/>
      </c>
      <c r="HZ95" s="648" t="str">
        <f t="shared" si="616"/>
        <v/>
      </c>
      <c r="IA95" s="649" t="str">
        <f t="shared" si="616"/>
        <v/>
      </c>
      <c r="IB95" s="716"/>
    </row>
    <row r="96" spans="2:236" ht="15" customHeight="1" x14ac:dyDescent="0.25">
      <c r="B96" s="143"/>
      <c r="C96" s="144"/>
      <c r="D96" s="145"/>
      <c r="E96" s="146"/>
      <c r="F96" s="144"/>
      <c r="G96" s="147"/>
      <c r="H96" s="146"/>
      <c r="I96" s="144"/>
      <c r="J96" s="306"/>
      <c r="K96" s="699" t="str">
        <f t="shared" si="610"/>
        <v/>
      </c>
      <c r="M96" s="292" t="str">
        <f t="shared" si="46"/>
        <v/>
      </c>
      <c r="N96" s="24" t="str">
        <f t="shared" si="47"/>
        <v/>
      </c>
      <c r="O96" s="7" t="str">
        <f t="shared" si="48"/>
        <v/>
      </c>
      <c r="P96" s="12" t="str">
        <f t="shared" si="49"/>
        <v/>
      </c>
      <c r="Q96" s="11" t="str">
        <f t="shared" si="473"/>
        <v/>
      </c>
      <c r="R96" s="7" t="str">
        <f t="shared" si="50"/>
        <v/>
      </c>
      <c r="S96" s="8" t="str">
        <f t="shared" si="51"/>
        <v/>
      </c>
      <c r="T96" s="6" t="str">
        <f t="shared" si="52"/>
        <v/>
      </c>
      <c r="U96" s="7" t="str">
        <f t="shared" si="53"/>
        <v/>
      </c>
      <c r="V96" s="10" t="str">
        <f t="shared" si="86"/>
        <v/>
      </c>
      <c r="W96" s="11" t="str">
        <f t="shared" si="614"/>
        <v/>
      </c>
      <c r="X96" s="7" t="str">
        <f t="shared" si="54"/>
        <v/>
      </c>
      <c r="Y96" s="9" t="str">
        <f t="shared" si="611"/>
        <v/>
      </c>
      <c r="Z96" s="24" t="str">
        <f t="shared" si="87"/>
        <v/>
      </c>
      <c r="AA96" s="7" t="str">
        <f t="shared" si="55"/>
        <v/>
      </c>
      <c r="AB96" s="7" t="str">
        <f t="shared" si="56"/>
        <v/>
      </c>
      <c r="AC96" s="10" t="str">
        <f t="shared" si="57"/>
        <v/>
      </c>
      <c r="AD96" s="11" t="str">
        <f t="shared" si="88"/>
        <v/>
      </c>
      <c r="AE96" s="7" t="str">
        <f t="shared" si="58"/>
        <v/>
      </c>
      <c r="AF96" s="12" t="str">
        <f t="shared" si="59"/>
        <v/>
      </c>
      <c r="AG96" s="6" t="str">
        <f t="shared" si="60"/>
        <v/>
      </c>
      <c r="AH96" s="12" t="str">
        <f t="shared" si="61"/>
        <v/>
      </c>
      <c r="AI96" s="11" t="str">
        <f t="shared" si="62"/>
        <v/>
      </c>
      <c r="AJ96" s="8" t="str">
        <f t="shared" si="63"/>
        <v/>
      </c>
      <c r="AK96" s="6" t="str">
        <f t="shared" si="89"/>
        <v/>
      </c>
      <c r="AL96" s="7" t="str">
        <f t="shared" si="64"/>
        <v/>
      </c>
      <c r="AM96" s="8" t="str">
        <f t="shared" si="65"/>
        <v/>
      </c>
      <c r="AN96" s="6" t="str">
        <f t="shared" si="66"/>
        <v/>
      </c>
      <c r="AO96" s="10" t="str">
        <f t="shared" si="376"/>
        <v/>
      </c>
      <c r="AP96" s="11" t="str">
        <f t="shared" si="67"/>
        <v/>
      </c>
      <c r="AQ96" s="8" t="str">
        <f t="shared" si="612"/>
        <v/>
      </c>
      <c r="AS96" s="123" t="str">
        <f t="shared" si="496"/>
        <v/>
      </c>
      <c r="AT96" s="175" t="str">
        <f t="shared" si="617"/>
        <v/>
      </c>
      <c r="AV96" s="292" t="str">
        <f t="shared" si="497"/>
        <v/>
      </c>
      <c r="AW96" s="709"/>
      <c r="AX96" s="710"/>
      <c r="AY96" s="711"/>
      <c r="AZ96" s="565" t="str">
        <f t="shared" si="498"/>
        <v/>
      </c>
      <c r="BA96" s="564" t="str">
        <f t="shared" si="499"/>
        <v/>
      </c>
      <c r="BB96" s="372" t="str">
        <f t="shared" si="474"/>
        <v/>
      </c>
      <c r="BC96" s="11"/>
      <c r="BD96" s="7" t="str">
        <f t="shared" si="475"/>
        <v/>
      </c>
      <c r="BE96" s="8" t="str">
        <f t="shared" si="476"/>
        <v/>
      </c>
      <c r="BF96" s="6" t="str">
        <f t="shared" si="500"/>
        <v/>
      </c>
      <c r="BG96" s="7" t="str">
        <f t="shared" si="501"/>
        <v/>
      </c>
      <c r="BH96" s="12" t="str">
        <f t="shared" si="502"/>
        <v/>
      </c>
      <c r="BI96" s="11" t="str">
        <f t="shared" si="503"/>
        <v/>
      </c>
      <c r="BJ96" s="7" t="str">
        <f t="shared" si="504"/>
        <v/>
      </c>
      <c r="BK96" s="10" t="str">
        <f t="shared" si="505"/>
        <v/>
      </c>
      <c r="BL96" s="328" t="str">
        <f t="shared" si="506"/>
        <v/>
      </c>
      <c r="BM96" s="7" t="str">
        <f t="shared" si="507"/>
        <v/>
      </c>
      <c r="BN96" s="8" t="str">
        <f t="shared" si="508"/>
        <v/>
      </c>
      <c r="BO96" s="6" t="str">
        <f t="shared" si="509"/>
        <v/>
      </c>
      <c r="BP96" s="7" t="str">
        <f t="shared" si="510"/>
        <v/>
      </c>
      <c r="BQ96" s="7" t="str">
        <f t="shared" si="511"/>
        <v/>
      </c>
      <c r="BR96" s="8" t="str">
        <f t="shared" si="512"/>
        <v/>
      </c>
      <c r="BS96" s="6" t="str">
        <f t="shared" si="477"/>
        <v/>
      </c>
      <c r="BT96" s="7" t="str">
        <f t="shared" si="477"/>
        <v/>
      </c>
      <c r="BU96" s="12" t="str">
        <f t="shared" si="478"/>
        <v/>
      </c>
      <c r="BV96" s="11" t="str">
        <f t="shared" si="479"/>
        <v/>
      </c>
      <c r="BW96" s="7" t="str">
        <f t="shared" si="480"/>
        <v/>
      </c>
      <c r="BX96" s="10" t="str">
        <f t="shared" si="481"/>
        <v/>
      </c>
      <c r="BY96" s="328" t="str">
        <f t="shared" si="482"/>
        <v/>
      </c>
      <c r="BZ96" s="7" t="str">
        <f t="shared" si="483"/>
        <v/>
      </c>
      <c r="CA96" s="8" t="str">
        <f t="shared" si="484"/>
        <v/>
      </c>
      <c r="CB96" s="6" t="str">
        <f t="shared" si="513"/>
        <v/>
      </c>
      <c r="CC96" s="7" t="str">
        <f t="shared" si="514"/>
        <v/>
      </c>
      <c r="CD96" s="7" t="str">
        <f t="shared" si="515"/>
        <v/>
      </c>
      <c r="CE96" s="8" t="str">
        <f t="shared" si="516"/>
        <v/>
      </c>
      <c r="CF96" s="6" t="str">
        <f t="shared" si="517"/>
        <v/>
      </c>
      <c r="CG96" s="7" t="str">
        <f t="shared" si="518"/>
        <v/>
      </c>
      <c r="CH96" s="7" t="str">
        <f t="shared" si="519"/>
        <v/>
      </c>
      <c r="CI96" s="6" t="str">
        <f t="shared" si="485"/>
        <v/>
      </c>
      <c r="CJ96" s="7" t="str">
        <f t="shared" si="486"/>
        <v/>
      </c>
      <c r="CK96" s="10" t="str">
        <f t="shared" si="487"/>
        <v/>
      </c>
      <c r="CL96" s="328" t="str">
        <f t="shared" si="488"/>
        <v/>
      </c>
      <c r="CM96" s="7" t="str">
        <f t="shared" si="489"/>
        <v/>
      </c>
      <c r="CN96" s="8" t="str">
        <f t="shared" si="490"/>
        <v/>
      </c>
      <c r="CO96" s="296" t="str">
        <f t="shared" si="613"/>
        <v/>
      </c>
      <c r="CP96" s="6" t="str">
        <f t="shared" si="520"/>
        <v/>
      </c>
      <c r="CQ96" s="7" t="str">
        <f t="shared" si="521"/>
        <v/>
      </c>
      <c r="CR96" s="7" t="str">
        <f t="shared" si="522"/>
        <v/>
      </c>
      <c r="CS96" s="10" t="str">
        <f t="shared" si="523"/>
        <v/>
      </c>
      <c r="CT96" s="11" t="str">
        <f t="shared" si="524"/>
        <v/>
      </c>
      <c r="CU96" s="8" t="str">
        <f t="shared" si="525"/>
        <v/>
      </c>
      <c r="CV96" s="6" t="str">
        <f t="shared" si="526"/>
        <v/>
      </c>
      <c r="CW96" s="7" t="str">
        <f t="shared" si="527"/>
        <v/>
      </c>
      <c r="CX96" s="10" t="str">
        <f t="shared" si="528"/>
        <v/>
      </c>
      <c r="CY96" s="11" t="str">
        <f t="shared" si="529"/>
        <v/>
      </c>
      <c r="CZ96" s="7" t="str">
        <f t="shared" si="530"/>
        <v/>
      </c>
      <c r="DA96" s="8" t="str">
        <f t="shared" si="531"/>
        <v/>
      </c>
      <c r="DB96" s="6" t="str">
        <f t="shared" si="532"/>
        <v/>
      </c>
      <c r="DC96" s="7" t="str">
        <f t="shared" si="532"/>
        <v/>
      </c>
      <c r="DD96" s="12" t="str">
        <f t="shared" si="533"/>
        <v/>
      </c>
      <c r="DE96" s="11" t="str">
        <f t="shared" si="534"/>
        <v/>
      </c>
      <c r="DF96" s="7" t="str">
        <f t="shared" si="534"/>
        <v/>
      </c>
      <c r="DG96" s="12" t="str">
        <f t="shared" si="535"/>
        <v/>
      </c>
      <c r="DH96" s="174" t="str">
        <f t="shared" si="536"/>
        <v/>
      </c>
      <c r="DI96" s="6" t="str">
        <f t="shared" si="537"/>
        <v/>
      </c>
      <c r="DJ96" s="7" t="str">
        <f t="shared" si="538"/>
        <v/>
      </c>
      <c r="DK96" s="12" t="str">
        <f t="shared" si="539"/>
        <v/>
      </c>
      <c r="DL96" s="11" t="str">
        <f t="shared" si="540"/>
        <v/>
      </c>
      <c r="DM96" s="328" t="str">
        <f t="shared" si="541"/>
        <v/>
      </c>
      <c r="DN96" s="376" t="str">
        <f t="shared" si="542"/>
        <v/>
      </c>
      <c r="DO96" s="11" t="str">
        <f t="shared" si="543"/>
        <v/>
      </c>
      <c r="DP96" s="328" t="str">
        <f t="shared" si="544"/>
        <v/>
      </c>
      <c r="DQ96" s="13" t="str">
        <f t="shared" si="545"/>
        <v/>
      </c>
      <c r="DR96" s="328" t="str">
        <f t="shared" si="546"/>
        <v/>
      </c>
      <c r="DS96" s="7" t="str">
        <f t="shared" si="547"/>
        <v/>
      </c>
      <c r="DT96" s="7" t="str">
        <f t="shared" si="548"/>
        <v/>
      </c>
      <c r="DU96" s="7" t="str">
        <f t="shared" si="549"/>
        <v/>
      </c>
      <c r="DV96" s="7" t="str">
        <f t="shared" si="550"/>
        <v/>
      </c>
      <c r="DW96" s="7" t="str">
        <f t="shared" si="551"/>
        <v/>
      </c>
      <c r="DX96" s="296" t="str">
        <f t="shared" si="552"/>
        <v/>
      </c>
      <c r="DY96" s="11" t="str">
        <f t="shared" si="553"/>
        <v/>
      </c>
      <c r="DZ96" s="7" t="str">
        <f t="shared" si="554"/>
        <v/>
      </c>
      <c r="EA96" s="12" t="str">
        <f t="shared" si="555"/>
        <v/>
      </c>
      <c r="EB96" s="8" t="str">
        <f t="shared" si="556"/>
        <v/>
      </c>
      <c r="EC96" s="328" t="str">
        <f t="shared" si="557"/>
        <v/>
      </c>
      <c r="ED96" s="7" t="str">
        <f t="shared" si="558"/>
        <v/>
      </c>
      <c r="EE96" s="6" t="str">
        <f t="shared" si="559"/>
        <v/>
      </c>
      <c r="EF96" s="7" t="str">
        <f t="shared" si="560"/>
        <v/>
      </c>
      <c r="EG96" s="12" t="str">
        <f t="shared" si="561"/>
        <v/>
      </c>
      <c r="EH96" s="11" t="str">
        <f t="shared" si="562"/>
        <v/>
      </c>
      <c r="EI96" s="7" t="str">
        <f t="shared" si="563"/>
        <v/>
      </c>
      <c r="EJ96" s="8" t="str">
        <f t="shared" si="564"/>
        <v/>
      </c>
      <c r="EK96" s="491" t="str">
        <f t="shared" si="565"/>
        <v/>
      </c>
      <c r="EL96" s="493" t="str">
        <f t="shared" si="566"/>
        <v/>
      </c>
      <c r="EM96" s="6" t="str">
        <f t="shared" si="567"/>
        <v/>
      </c>
      <c r="EN96" s="7" t="str">
        <f t="shared" si="568"/>
        <v/>
      </c>
      <c r="EO96" s="12" t="str">
        <f t="shared" si="569"/>
        <v/>
      </c>
      <c r="EP96" s="11" t="str">
        <f t="shared" si="570"/>
        <v/>
      </c>
      <c r="EQ96" s="7" t="str">
        <f t="shared" si="571"/>
        <v/>
      </c>
      <c r="ER96" s="9" t="str">
        <f t="shared" si="572"/>
        <v/>
      </c>
      <c r="ES96" s="24" t="str">
        <f t="shared" si="573"/>
        <v/>
      </c>
      <c r="ET96" s="7" t="str">
        <f t="shared" si="574"/>
        <v/>
      </c>
      <c r="EU96" s="12" t="str">
        <f t="shared" si="575"/>
        <v/>
      </c>
      <c r="EV96" s="337" t="str">
        <f t="shared" si="445"/>
        <v/>
      </c>
      <c r="EW96" s="11" t="str">
        <f t="shared" si="446"/>
        <v/>
      </c>
      <c r="EX96" s="7" t="str">
        <f t="shared" si="447"/>
        <v/>
      </c>
      <c r="EY96" s="8" t="str">
        <f t="shared" si="576"/>
        <v/>
      </c>
      <c r="EZ96" s="123" t="str">
        <f t="shared" si="577"/>
        <v/>
      </c>
      <c r="FA96" s="328" t="str">
        <f t="shared" si="448"/>
        <v/>
      </c>
      <c r="FB96" s="7" t="str">
        <f t="shared" si="449"/>
        <v/>
      </c>
      <c r="FC96" s="8" t="str">
        <f t="shared" si="450"/>
        <v/>
      </c>
      <c r="FD96" s="6" t="str">
        <f t="shared" si="451"/>
        <v/>
      </c>
      <c r="FE96" s="7" t="str">
        <f t="shared" si="452"/>
        <v/>
      </c>
      <c r="FF96" s="9" t="str">
        <f t="shared" si="578"/>
        <v/>
      </c>
      <c r="FG96" s="328" t="str">
        <f t="shared" si="453"/>
        <v/>
      </c>
      <c r="FH96" s="7" t="str">
        <f t="shared" si="454"/>
        <v/>
      </c>
      <c r="FI96" s="12" t="str">
        <f t="shared" si="455"/>
        <v/>
      </c>
      <c r="FJ96" s="547" t="str">
        <f t="shared" si="579"/>
        <v/>
      </c>
      <c r="FK96" s="6" t="str">
        <f t="shared" si="456"/>
        <v/>
      </c>
      <c r="FL96" s="7" t="str">
        <f t="shared" si="491"/>
        <v/>
      </c>
      <c r="FM96" s="10" t="str">
        <f t="shared" si="492"/>
        <v/>
      </c>
      <c r="FN96" s="11" t="str">
        <f t="shared" si="493"/>
        <v/>
      </c>
      <c r="FO96" s="12" t="str">
        <f t="shared" si="457"/>
        <v/>
      </c>
      <c r="FP96" s="545" t="str">
        <f t="shared" si="494"/>
        <v/>
      </c>
      <c r="FQ96" s="328" t="str">
        <f t="shared" si="580"/>
        <v/>
      </c>
      <c r="FR96" s="12" t="str">
        <f t="shared" si="581"/>
        <v/>
      </c>
      <c r="FS96" s="11" t="str">
        <f t="shared" si="582"/>
        <v/>
      </c>
      <c r="FT96" s="8" t="str">
        <f t="shared" si="583"/>
        <v/>
      </c>
      <c r="FU96" s="6" t="str">
        <f t="shared" si="584"/>
        <v/>
      </c>
      <c r="FV96" s="7" t="str">
        <f t="shared" si="585"/>
        <v/>
      </c>
      <c r="FW96" s="10" t="str">
        <f t="shared" si="586"/>
        <v/>
      </c>
      <c r="FX96" s="11" t="str">
        <f t="shared" si="587"/>
        <v/>
      </c>
      <c r="FY96" s="12" t="str">
        <f t="shared" si="458"/>
        <v/>
      </c>
      <c r="FZ96" s="545" t="str">
        <f t="shared" si="588"/>
        <v/>
      </c>
      <c r="GA96" s="372" t="str">
        <f t="shared" si="589"/>
        <v/>
      </c>
      <c r="GB96" s="46" t="str">
        <f t="shared" si="590"/>
        <v/>
      </c>
      <c r="GC96" s="47" t="str">
        <f t="shared" si="591"/>
        <v/>
      </c>
      <c r="GD96" s="578" t="str">
        <f t="shared" si="592"/>
        <v/>
      </c>
      <c r="GE96" s="585" t="str">
        <f t="shared" si="593"/>
        <v/>
      </c>
      <c r="GF96" s="634" t="str">
        <f t="shared" si="594"/>
        <v/>
      </c>
      <c r="GG96" s="553" t="str">
        <f t="shared" si="459"/>
        <v/>
      </c>
      <c r="GH96" s="554" t="str">
        <f t="shared" si="460"/>
        <v/>
      </c>
      <c r="GI96" s="549" t="str">
        <f t="shared" si="461"/>
        <v/>
      </c>
      <c r="GJ96" s="296" t="str">
        <f t="shared" si="595"/>
        <v/>
      </c>
      <c r="GK96" s="337" t="str">
        <f t="shared" si="462"/>
        <v/>
      </c>
      <c r="GL96" s="337" t="str">
        <f t="shared" si="596"/>
        <v/>
      </c>
      <c r="GM96" s="372" t="str">
        <f t="shared" si="597"/>
        <v/>
      </c>
      <c r="GN96" s="548" t="str">
        <f t="shared" si="598"/>
        <v/>
      </c>
      <c r="GO96" s="6" t="str">
        <f t="shared" si="599"/>
        <v/>
      </c>
      <c r="GP96" s="10" t="str">
        <f t="shared" si="600"/>
        <v/>
      </c>
      <c r="GQ96" s="372" t="str">
        <f t="shared" si="601"/>
        <v/>
      </c>
      <c r="GR96" s="697" t="str">
        <f t="shared" si="602"/>
        <v/>
      </c>
      <c r="GS96" s="637" t="str">
        <f t="shared" si="463"/>
        <v/>
      </c>
      <c r="GT96" s="638" t="str">
        <f t="shared" si="464"/>
        <v/>
      </c>
      <c r="GU96" s="639" t="str">
        <f t="shared" si="465"/>
        <v/>
      </c>
      <c r="GV96" s="638" t="str">
        <f t="shared" si="603"/>
        <v/>
      </c>
      <c r="GW96" s="640" t="str">
        <f t="shared" si="466"/>
        <v/>
      </c>
      <c r="GX96" s="641" t="str">
        <f t="shared" si="467"/>
        <v/>
      </c>
      <c r="GY96" s="639" t="str">
        <f t="shared" si="468"/>
        <v/>
      </c>
      <c r="GZ96" s="640" t="str">
        <f t="shared" si="469"/>
        <v/>
      </c>
      <c r="HA96" s="637" t="str">
        <f t="shared" si="470"/>
        <v/>
      </c>
      <c r="HB96" s="7" t="str">
        <f t="shared" si="604"/>
        <v/>
      </c>
      <c r="HC96" s="638" t="str">
        <f t="shared" si="605"/>
        <v/>
      </c>
      <c r="HD96" s="682" t="str">
        <f t="shared" si="606"/>
        <v/>
      </c>
      <c r="HE96" s="639" t="str">
        <f t="shared" si="471"/>
        <v/>
      </c>
      <c r="HF96" s="7" t="str">
        <f t="shared" si="472"/>
        <v/>
      </c>
      <c r="HG96" s="638" t="str">
        <f t="shared" si="607"/>
        <v/>
      </c>
      <c r="HH96" s="644" t="str">
        <f t="shared" si="608"/>
        <v/>
      </c>
      <c r="HI96" s="596" t="str">
        <f t="shared" si="609"/>
        <v/>
      </c>
      <c r="HK96" s="584" t="str">
        <f t="shared" si="217"/>
        <v/>
      </c>
      <c r="HL96" s="583" t="str">
        <f t="shared" si="495"/>
        <v/>
      </c>
      <c r="HM96" s="643" t="str">
        <f t="shared" si="616"/>
        <v/>
      </c>
      <c r="HN96" s="660" t="str">
        <f t="shared" si="616"/>
        <v/>
      </c>
      <c r="HO96" s="661" t="str">
        <f t="shared" si="616"/>
        <v/>
      </c>
      <c r="HP96" s="656" t="str">
        <f t="shared" si="616"/>
        <v/>
      </c>
      <c r="HQ96" s="660" t="str">
        <f t="shared" si="616"/>
        <v/>
      </c>
      <c r="HR96" s="671" t="str">
        <f t="shared" si="616"/>
        <v/>
      </c>
      <c r="HS96" s="655" t="str">
        <f t="shared" si="616"/>
        <v/>
      </c>
      <c r="HT96" s="648" t="str">
        <f t="shared" si="616"/>
        <v/>
      </c>
      <c r="HU96" s="649" t="str">
        <f t="shared" si="616"/>
        <v/>
      </c>
      <c r="HV96" s="650" t="str">
        <f t="shared" si="616"/>
        <v/>
      </c>
      <c r="HW96" s="648" t="str">
        <f t="shared" si="616"/>
        <v/>
      </c>
      <c r="HX96" s="649" t="str">
        <f t="shared" si="616"/>
        <v/>
      </c>
      <c r="HY96" s="650" t="str">
        <f t="shared" si="616"/>
        <v/>
      </c>
      <c r="HZ96" s="648" t="str">
        <f t="shared" si="616"/>
        <v/>
      </c>
      <c r="IA96" s="649" t="str">
        <f t="shared" si="616"/>
        <v/>
      </c>
      <c r="IB96" s="716"/>
    </row>
    <row r="97" spans="2:236" ht="15" customHeight="1" x14ac:dyDescent="0.25">
      <c r="B97" s="143"/>
      <c r="C97" s="144"/>
      <c r="D97" s="145"/>
      <c r="E97" s="146"/>
      <c r="F97" s="144"/>
      <c r="G97" s="147"/>
      <c r="H97" s="146"/>
      <c r="I97" s="144"/>
      <c r="J97" s="306"/>
      <c r="K97" s="699" t="str">
        <f t="shared" si="610"/>
        <v/>
      </c>
      <c r="M97" s="292" t="str">
        <f t="shared" si="46"/>
        <v/>
      </c>
      <c r="N97" s="24" t="str">
        <f t="shared" si="47"/>
        <v/>
      </c>
      <c r="O97" s="7" t="str">
        <f t="shared" si="48"/>
        <v/>
      </c>
      <c r="P97" s="12" t="str">
        <f t="shared" si="49"/>
        <v/>
      </c>
      <c r="Q97" s="11" t="str">
        <f t="shared" si="473"/>
        <v/>
      </c>
      <c r="R97" s="7" t="str">
        <f t="shared" si="50"/>
        <v/>
      </c>
      <c r="S97" s="8" t="str">
        <f t="shared" si="51"/>
        <v/>
      </c>
      <c r="T97" s="6" t="str">
        <f t="shared" si="52"/>
        <v/>
      </c>
      <c r="U97" s="7" t="str">
        <f t="shared" si="53"/>
        <v/>
      </c>
      <c r="V97" s="10" t="str">
        <f t="shared" si="86"/>
        <v/>
      </c>
      <c r="W97" s="11" t="str">
        <f t="shared" si="614"/>
        <v/>
      </c>
      <c r="X97" s="7" t="str">
        <f t="shared" si="54"/>
        <v/>
      </c>
      <c r="Y97" s="9" t="str">
        <f t="shared" si="611"/>
        <v/>
      </c>
      <c r="Z97" s="24" t="str">
        <f t="shared" si="87"/>
        <v/>
      </c>
      <c r="AA97" s="7" t="str">
        <f t="shared" si="55"/>
        <v/>
      </c>
      <c r="AB97" s="7" t="str">
        <f t="shared" si="56"/>
        <v/>
      </c>
      <c r="AC97" s="10" t="str">
        <f t="shared" si="57"/>
        <v/>
      </c>
      <c r="AD97" s="11" t="str">
        <f t="shared" si="88"/>
        <v/>
      </c>
      <c r="AE97" s="7" t="str">
        <f t="shared" si="58"/>
        <v/>
      </c>
      <c r="AF97" s="12" t="str">
        <f t="shared" si="59"/>
        <v/>
      </c>
      <c r="AG97" s="6" t="str">
        <f t="shared" si="60"/>
        <v/>
      </c>
      <c r="AH97" s="12" t="str">
        <f t="shared" si="61"/>
        <v/>
      </c>
      <c r="AI97" s="11" t="str">
        <f t="shared" si="62"/>
        <v/>
      </c>
      <c r="AJ97" s="8" t="str">
        <f t="shared" si="63"/>
        <v/>
      </c>
      <c r="AK97" s="6" t="str">
        <f t="shared" si="89"/>
        <v/>
      </c>
      <c r="AL97" s="7" t="str">
        <f t="shared" si="64"/>
        <v/>
      </c>
      <c r="AM97" s="8" t="str">
        <f t="shared" si="65"/>
        <v/>
      </c>
      <c r="AN97" s="6" t="str">
        <f t="shared" si="66"/>
        <v/>
      </c>
      <c r="AO97" s="10" t="str">
        <f t="shared" si="376"/>
        <v/>
      </c>
      <c r="AP97" s="11" t="str">
        <f t="shared" si="67"/>
        <v/>
      </c>
      <c r="AQ97" s="8" t="str">
        <f t="shared" si="612"/>
        <v/>
      </c>
      <c r="AS97" s="123" t="str">
        <f t="shared" si="496"/>
        <v/>
      </c>
      <c r="AT97" s="175" t="str">
        <f t="shared" si="617"/>
        <v/>
      </c>
      <c r="AV97" s="292" t="str">
        <f t="shared" si="497"/>
        <v/>
      </c>
      <c r="AW97" s="709"/>
      <c r="AX97" s="710"/>
      <c r="AY97" s="711"/>
      <c r="AZ97" s="565" t="str">
        <f t="shared" si="498"/>
        <v/>
      </c>
      <c r="BA97" s="564" t="str">
        <f t="shared" si="499"/>
        <v/>
      </c>
      <c r="BB97" s="372" t="str">
        <f t="shared" si="474"/>
        <v/>
      </c>
      <c r="BC97" s="11"/>
      <c r="BD97" s="7" t="str">
        <f t="shared" si="475"/>
        <v/>
      </c>
      <c r="BE97" s="8" t="str">
        <f t="shared" si="476"/>
        <v/>
      </c>
      <c r="BF97" s="6" t="str">
        <f t="shared" si="500"/>
        <v/>
      </c>
      <c r="BG97" s="7" t="str">
        <f t="shared" si="501"/>
        <v/>
      </c>
      <c r="BH97" s="12" t="str">
        <f t="shared" si="502"/>
        <v/>
      </c>
      <c r="BI97" s="11" t="str">
        <f t="shared" si="503"/>
        <v/>
      </c>
      <c r="BJ97" s="7" t="str">
        <f t="shared" si="504"/>
        <v/>
      </c>
      <c r="BK97" s="10" t="str">
        <f t="shared" si="505"/>
        <v/>
      </c>
      <c r="BL97" s="328" t="str">
        <f t="shared" si="506"/>
        <v/>
      </c>
      <c r="BM97" s="7" t="str">
        <f t="shared" si="507"/>
        <v/>
      </c>
      <c r="BN97" s="8" t="str">
        <f t="shared" si="508"/>
        <v/>
      </c>
      <c r="BO97" s="6" t="str">
        <f t="shared" si="509"/>
        <v/>
      </c>
      <c r="BP97" s="7" t="str">
        <f t="shared" si="510"/>
        <v/>
      </c>
      <c r="BQ97" s="7" t="str">
        <f t="shared" si="511"/>
        <v/>
      </c>
      <c r="BR97" s="8" t="str">
        <f t="shared" si="512"/>
        <v/>
      </c>
      <c r="BS97" s="6" t="str">
        <f t="shared" si="477"/>
        <v/>
      </c>
      <c r="BT97" s="7" t="str">
        <f t="shared" si="477"/>
        <v/>
      </c>
      <c r="BU97" s="12" t="str">
        <f t="shared" si="478"/>
        <v/>
      </c>
      <c r="BV97" s="11" t="str">
        <f t="shared" si="479"/>
        <v/>
      </c>
      <c r="BW97" s="7" t="str">
        <f t="shared" si="480"/>
        <v/>
      </c>
      <c r="BX97" s="10" t="str">
        <f t="shared" si="481"/>
        <v/>
      </c>
      <c r="BY97" s="328" t="str">
        <f t="shared" si="482"/>
        <v/>
      </c>
      <c r="BZ97" s="7" t="str">
        <f t="shared" si="483"/>
        <v/>
      </c>
      <c r="CA97" s="8" t="str">
        <f t="shared" si="484"/>
        <v/>
      </c>
      <c r="CB97" s="6" t="str">
        <f t="shared" si="513"/>
        <v/>
      </c>
      <c r="CC97" s="7" t="str">
        <f t="shared" si="514"/>
        <v/>
      </c>
      <c r="CD97" s="7" t="str">
        <f t="shared" si="515"/>
        <v/>
      </c>
      <c r="CE97" s="8" t="str">
        <f t="shared" si="516"/>
        <v/>
      </c>
      <c r="CF97" s="6" t="str">
        <f t="shared" si="517"/>
        <v/>
      </c>
      <c r="CG97" s="7" t="str">
        <f t="shared" si="518"/>
        <v/>
      </c>
      <c r="CH97" s="7" t="str">
        <f t="shared" si="519"/>
        <v/>
      </c>
      <c r="CI97" s="6" t="str">
        <f t="shared" si="485"/>
        <v/>
      </c>
      <c r="CJ97" s="7" t="str">
        <f t="shared" si="486"/>
        <v/>
      </c>
      <c r="CK97" s="10" t="str">
        <f t="shared" si="487"/>
        <v/>
      </c>
      <c r="CL97" s="328" t="str">
        <f t="shared" si="488"/>
        <v/>
      </c>
      <c r="CM97" s="7" t="str">
        <f t="shared" si="489"/>
        <v/>
      </c>
      <c r="CN97" s="8" t="str">
        <f t="shared" si="490"/>
        <v/>
      </c>
      <c r="CO97" s="296" t="str">
        <f t="shared" si="613"/>
        <v/>
      </c>
      <c r="CP97" s="6" t="str">
        <f t="shared" si="520"/>
        <v/>
      </c>
      <c r="CQ97" s="7" t="str">
        <f t="shared" si="521"/>
        <v/>
      </c>
      <c r="CR97" s="7" t="str">
        <f t="shared" si="522"/>
        <v/>
      </c>
      <c r="CS97" s="10" t="str">
        <f t="shared" si="523"/>
        <v/>
      </c>
      <c r="CT97" s="11" t="str">
        <f t="shared" si="524"/>
        <v/>
      </c>
      <c r="CU97" s="8" t="str">
        <f t="shared" si="525"/>
        <v/>
      </c>
      <c r="CV97" s="6" t="str">
        <f t="shared" si="526"/>
        <v/>
      </c>
      <c r="CW97" s="7" t="str">
        <f t="shared" si="527"/>
        <v/>
      </c>
      <c r="CX97" s="10" t="str">
        <f t="shared" si="528"/>
        <v/>
      </c>
      <c r="CY97" s="11" t="str">
        <f t="shared" si="529"/>
        <v/>
      </c>
      <c r="CZ97" s="7" t="str">
        <f t="shared" si="530"/>
        <v/>
      </c>
      <c r="DA97" s="8" t="str">
        <f t="shared" si="531"/>
        <v/>
      </c>
      <c r="DB97" s="6" t="str">
        <f t="shared" si="532"/>
        <v/>
      </c>
      <c r="DC97" s="7" t="str">
        <f t="shared" si="532"/>
        <v/>
      </c>
      <c r="DD97" s="12" t="str">
        <f t="shared" si="533"/>
        <v/>
      </c>
      <c r="DE97" s="11" t="str">
        <f t="shared" si="534"/>
        <v/>
      </c>
      <c r="DF97" s="7" t="str">
        <f t="shared" si="534"/>
        <v/>
      </c>
      <c r="DG97" s="12" t="str">
        <f t="shared" si="535"/>
        <v/>
      </c>
      <c r="DH97" s="174" t="str">
        <f t="shared" si="536"/>
        <v/>
      </c>
      <c r="DI97" s="6" t="str">
        <f t="shared" si="537"/>
        <v/>
      </c>
      <c r="DJ97" s="7" t="str">
        <f t="shared" si="538"/>
        <v/>
      </c>
      <c r="DK97" s="12" t="str">
        <f t="shared" si="539"/>
        <v/>
      </c>
      <c r="DL97" s="11" t="str">
        <f t="shared" si="540"/>
        <v/>
      </c>
      <c r="DM97" s="328" t="str">
        <f t="shared" si="541"/>
        <v/>
      </c>
      <c r="DN97" s="376" t="str">
        <f t="shared" si="542"/>
        <v/>
      </c>
      <c r="DO97" s="11" t="str">
        <f t="shared" si="543"/>
        <v/>
      </c>
      <c r="DP97" s="328" t="str">
        <f t="shared" si="544"/>
        <v/>
      </c>
      <c r="DQ97" s="13" t="str">
        <f t="shared" si="545"/>
        <v/>
      </c>
      <c r="DR97" s="328" t="str">
        <f t="shared" si="546"/>
        <v/>
      </c>
      <c r="DS97" s="7" t="str">
        <f t="shared" si="547"/>
        <v/>
      </c>
      <c r="DT97" s="7" t="str">
        <f t="shared" si="548"/>
        <v/>
      </c>
      <c r="DU97" s="7" t="str">
        <f t="shared" si="549"/>
        <v/>
      </c>
      <c r="DV97" s="7" t="str">
        <f t="shared" si="550"/>
        <v/>
      </c>
      <c r="DW97" s="7" t="str">
        <f t="shared" si="551"/>
        <v/>
      </c>
      <c r="DX97" s="296" t="str">
        <f t="shared" si="552"/>
        <v/>
      </c>
      <c r="DY97" s="11" t="str">
        <f t="shared" si="553"/>
        <v/>
      </c>
      <c r="DZ97" s="7" t="str">
        <f t="shared" si="554"/>
        <v/>
      </c>
      <c r="EA97" s="12" t="str">
        <f t="shared" si="555"/>
        <v/>
      </c>
      <c r="EB97" s="8" t="str">
        <f t="shared" si="556"/>
        <v/>
      </c>
      <c r="EC97" s="328" t="str">
        <f t="shared" si="557"/>
        <v/>
      </c>
      <c r="ED97" s="7" t="str">
        <f t="shared" si="558"/>
        <v/>
      </c>
      <c r="EE97" s="6" t="str">
        <f t="shared" si="559"/>
        <v/>
      </c>
      <c r="EF97" s="7" t="str">
        <f t="shared" si="560"/>
        <v/>
      </c>
      <c r="EG97" s="12" t="str">
        <f t="shared" si="561"/>
        <v/>
      </c>
      <c r="EH97" s="11" t="str">
        <f t="shared" si="562"/>
        <v/>
      </c>
      <c r="EI97" s="7" t="str">
        <f t="shared" si="563"/>
        <v/>
      </c>
      <c r="EJ97" s="8" t="str">
        <f t="shared" si="564"/>
        <v/>
      </c>
      <c r="EK97" s="491" t="str">
        <f t="shared" si="565"/>
        <v/>
      </c>
      <c r="EL97" s="493" t="str">
        <f t="shared" si="566"/>
        <v/>
      </c>
      <c r="EM97" s="6" t="str">
        <f t="shared" si="567"/>
        <v/>
      </c>
      <c r="EN97" s="7" t="str">
        <f t="shared" si="568"/>
        <v/>
      </c>
      <c r="EO97" s="12" t="str">
        <f t="shared" si="569"/>
        <v/>
      </c>
      <c r="EP97" s="11" t="str">
        <f t="shared" si="570"/>
        <v/>
      </c>
      <c r="EQ97" s="7" t="str">
        <f t="shared" si="571"/>
        <v/>
      </c>
      <c r="ER97" s="9" t="str">
        <f t="shared" si="572"/>
        <v/>
      </c>
      <c r="ES97" s="24" t="str">
        <f t="shared" si="573"/>
        <v/>
      </c>
      <c r="ET97" s="7" t="str">
        <f t="shared" si="574"/>
        <v/>
      </c>
      <c r="EU97" s="12" t="str">
        <f t="shared" si="575"/>
        <v/>
      </c>
      <c r="EV97" s="337" t="str">
        <f t="shared" si="445"/>
        <v/>
      </c>
      <c r="EW97" s="11" t="str">
        <f t="shared" si="446"/>
        <v/>
      </c>
      <c r="EX97" s="7" t="str">
        <f t="shared" si="447"/>
        <v/>
      </c>
      <c r="EY97" s="8" t="str">
        <f t="shared" si="576"/>
        <v/>
      </c>
      <c r="EZ97" s="123" t="str">
        <f t="shared" si="577"/>
        <v/>
      </c>
      <c r="FA97" s="328" t="str">
        <f t="shared" si="448"/>
        <v/>
      </c>
      <c r="FB97" s="7" t="str">
        <f t="shared" si="449"/>
        <v/>
      </c>
      <c r="FC97" s="8" t="str">
        <f t="shared" si="450"/>
        <v/>
      </c>
      <c r="FD97" s="6" t="str">
        <f t="shared" si="451"/>
        <v/>
      </c>
      <c r="FE97" s="7" t="str">
        <f t="shared" si="452"/>
        <v/>
      </c>
      <c r="FF97" s="9" t="str">
        <f t="shared" si="578"/>
        <v/>
      </c>
      <c r="FG97" s="328" t="str">
        <f t="shared" si="453"/>
        <v/>
      </c>
      <c r="FH97" s="7" t="str">
        <f t="shared" si="454"/>
        <v/>
      </c>
      <c r="FI97" s="12" t="str">
        <f t="shared" si="455"/>
        <v/>
      </c>
      <c r="FJ97" s="547" t="str">
        <f t="shared" si="579"/>
        <v/>
      </c>
      <c r="FK97" s="6" t="str">
        <f t="shared" si="456"/>
        <v/>
      </c>
      <c r="FL97" s="7" t="str">
        <f t="shared" si="491"/>
        <v/>
      </c>
      <c r="FM97" s="10" t="str">
        <f t="shared" si="492"/>
        <v/>
      </c>
      <c r="FN97" s="11" t="str">
        <f t="shared" si="493"/>
        <v/>
      </c>
      <c r="FO97" s="12" t="str">
        <f t="shared" si="457"/>
        <v/>
      </c>
      <c r="FP97" s="545" t="str">
        <f t="shared" si="494"/>
        <v/>
      </c>
      <c r="FQ97" s="328" t="str">
        <f t="shared" si="580"/>
        <v/>
      </c>
      <c r="FR97" s="12" t="str">
        <f t="shared" si="581"/>
        <v/>
      </c>
      <c r="FS97" s="11" t="str">
        <f t="shared" si="582"/>
        <v/>
      </c>
      <c r="FT97" s="8" t="str">
        <f t="shared" si="583"/>
        <v/>
      </c>
      <c r="FU97" s="6" t="str">
        <f t="shared" si="584"/>
        <v/>
      </c>
      <c r="FV97" s="7" t="str">
        <f t="shared" si="585"/>
        <v/>
      </c>
      <c r="FW97" s="10" t="str">
        <f t="shared" si="586"/>
        <v/>
      </c>
      <c r="FX97" s="11" t="str">
        <f t="shared" si="587"/>
        <v/>
      </c>
      <c r="FY97" s="12" t="str">
        <f t="shared" si="458"/>
        <v/>
      </c>
      <c r="FZ97" s="545" t="str">
        <f t="shared" si="588"/>
        <v/>
      </c>
      <c r="GA97" s="372" t="str">
        <f t="shared" si="589"/>
        <v/>
      </c>
      <c r="GB97" s="46" t="str">
        <f t="shared" si="590"/>
        <v/>
      </c>
      <c r="GC97" s="47" t="str">
        <f t="shared" si="591"/>
        <v/>
      </c>
      <c r="GD97" s="578" t="str">
        <f t="shared" si="592"/>
        <v/>
      </c>
      <c r="GE97" s="585" t="str">
        <f t="shared" si="593"/>
        <v/>
      </c>
      <c r="GF97" s="634" t="str">
        <f t="shared" si="594"/>
        <v/>
      </c>
      <c r="GG97" s="553" t="str">
        <f t="shared" si="459"/>
        <v/>
      </c>
      <c r="GH97" s="554" t="str">
        <f t="shared" si="460"/>
        <v/>
      </c>
      <c r="GI97" s="549" t="str">
        <f t="shared" si="461"/>
        <v/>
      </c>
      <c r="GJ97" s="296" t="str">
        <f t="shared" si="595"/>
        <v/>
      </c>
      <c r="GK97" s="337" t="str">
        <f t="shared" si="462"/>
        <v/>
      </c>
      <c r="GL97" s="337" t="str">
        <f t="shared" si="596"/>
        <v/>
      </c>
      <c r="GM97" s="372" t="str">
        <f t="shared" si="597"/>
        <v/>
      </c>
      <c r="GN97" s="548" t="str">
        <f t="shared" si="598"/>
        <v/>
      </c>
      <c r="GO97" s="6" t="str">
        <f t="shared" si="599"/>
        <v/>
      </c>
      <c r="GP97" s="10" t="str">
        <f t="shared" si="600"/>
        <v/>
      </c>
      <c r="GQ97" s="372" t="str">
        <f t="shared" si="601"/>
        <v/>
      </c>
      <c r="GR97" s="697" t="str">
        <f t="shared" si="602"/>
        <v/>
      </c>
      <c r="GS97" s="637" t="str">
        <f t="shared" si="463"/>
        <v/>
      </c>
      <c r="GT97" s="638" t="str">
        <f t="shared" si="464"/>
        <v/>
      </c>
      <c r="GU97" s="639" t="str">
        <f t="shared" si="465"/>
        <v/>
      </c>
      <c r="GV97" s="638" t="str">
        <f t="shared" si="603"/>
        <v/>
      </c>
      <c r="GW97" s="640" t="str">
        <f t="shared" si="466"/>
        <v/>
      </c>
      <c r="GX97" s="641" t="str">
        <f t="shared" si="467"/>
        <v/>
      </c>
      <c r="GY97" s="639" t="str">
        <f t="shared" si="468"/>
        <v/>
      </c>
      <c r="GZ97" s="640" t="str">
        <f t="shared" si="469"/>
        <v/>
      </c>
      <c r="HA97" s="637" t="str">
        <f t="shared" si="470"/>
        <v/>
      </c>
      <c r="HB97" s="7" t="str">
        <f t="shared" si="604"/>
        <v/>
      </c>
      <c r="HC97" s="638" t="str">
        <f t="shared" si="605"/>
        <v/>
      </c>
      <c r="HD97" s="682" t="str">
        <f t="shared" si="606"/>
        <v/>
      </c>
      <c r="HE97" s="639" t="str">
        <f t="shared" si="471"/>
        <v/>
      </c>
      <c r="HF97" s="7" t="str">
        <f t="shared" si="472"/>
        <v/>
      </c>
      <c r="HG97" s="638" t="str">
        <f t="shared" si="607"/>
        <v/>
      </c>
      <c r="HH97" s="644" t="str">
        <f t="shared" si="608"/>
        <v/>
      </c>
      <c r="HI97" s="596" t="str">
        <f t="shared" si="609"/>
        <v/>
      </c>
      <c r="HK97" s="584" t="str">
        <f t="shared" si="217"/>
        <v/>
      </c>
      <c r="HL97" s="583" t="str">
        <f t="shared" si="495"/>
        <v/>
      </c>
      <c r="HM97" s="643" t="str">
        <f t="shared" si="616"/>
        <v/>
      </c>
      <c r="HN97" s="660" t="str">
        <f t="shared" si="616"/>
        <v/>
      </c>
      <c r="HO97" s="661" t="str">
        <f t="shared" si="616"/>
        <v/>
      </c>
      <c r="HP97" s="656" t="str">
        <f t="shared" si="616"/>
        <v/>
      </c>
      <c r="HQ97" s="660" t="str">
        <f t="shared" si="616"/>
        <v/>
      </c>
      <c r="HR97" s="671" t="str">
        <f t="shared" si="616"/>
        <v/>
      </c>
      <c r="HS97" s="655" t="str">
        <f t="shared" si="616"/>
        <v/>
      </c>
      <c r="HT97" s="648" t="str">
        <f t="shared" si="616"/>
        <v/>
      </c>
      <c r="HU97" s="649" t="str">
        <f t="shared" si="616"/>
        <v/>
      </c>
      <c r="HV97" s="650" t="str">
        <f t="shared" si="616"/>
        <v/>
      </c>
      <c r="HW97" s="648" t="str">
        <f t="shared" si="616"/>
        <v/>
      </c>
      <c r="HX97" s="649" t="str">
        <f t="shared" si="616"/>
        <v/>
      </c>
      <c r="HY97" s="650" t="str">
        <f t="shared" si="616"/>
        <v/>
      </c>
      <c r="HZ97" s="648" t="str">
        <f t="shared" si="616"/>
        <v/>
      </c>
      <c r="IA97" s="649" t="str">
        <f t="shared" si="616"/>
        <v/>
      </c>
      <c r="IB97" s="716"/>
    </row>
    <row r="98" spans="2:236" ht="15" customHeight="1" x14ac:dyDescent="0.25">
      <c r="B98" s="143"/>
      <c r="C98" s="144"/>
      <c r="D98" s="145"/>
      <c r="E98" s="146"/>
      <c r="F98" s="144"/>
      <c r="G98" s="147"/>
      <c r="H98" s="146"/>
      <c r="I98" s="144"/>
      <c r="J98" s="306"/>
      <c r="K98" s="699" t="str">
        <f t="shared" si="610"/>
        <v/>
      </c>
      <c r="M98" s="292" t="str">
        <f t="shared" si="46"/>
        <v/>
      </c>
      <c r="N98" s="24" t="str">
        <f t="shared" si="47"/>
        <v/>
      </c>
      <c r="O98" s="7" t="str">
        <f t="shared" si="48"/>
        <v/>
      </c>
      <c r="P98" s="12" t="str">
        <f t="shared" si="49"/>
        <v/>
      </c>
      <c r="Q98" s="11" t="str">
        <f t="shared" si="473"/>
        <v/>
      </c>
      <c r="R98" s="7" t="str">
        <f t="shared" si="50"/>
        <v/>
      </c>
      <c r="S98" s="8" t="str">
        <f t="shared" si="51"/>
        <v/>
      </c>
      <c r="T98" s="6" t="str">
        <f t="shared" si="52"/>
        <v/>
      </c>
      <c r="U98" s="7" t="str">
        <f t="shared" si="53"/>
        <v/>
      </c>
      <c r="V98" s="10" t="str">
        <f t="shared" si="86"/>
        <v/>
      </c>
      <c r="W98" s="11" t="str">
        <f t="shared" si="614"/>
        <v/>
      </c>
      <c r="X98" s="7" t="str">
        <f t="shared" si="54"/>
        <v/>
      </c>
      <c r="Y98" s="9" t="str">
        <f t="shared" si="611"/>
        <v/>
      </c>
      <c r="Z98" s="24" t="str">
        <f t="shared" si="87"/>
        <v/>
      </c>
      <c r="AA98" s="7" t="str">
        <f t="shared" si="55"/>
        <v/>
      </c>
      <c r="AB98" s="7" t="str">
        <f t="shared" si="56"/>
        <v/>
      </c>
      <c r="AC98" s="10" t="str">
        <f t="shared" si="57"/>
        <v/>
      </c>
      <c r="AD98" s="11" t="str">
        <f t="shared" si="88"/>
        <v/>
      </c>
      <c r="AE98" s="7" t="str">
        <f t="shared" si="58"/>
        <v/>
      </c>
      <c r="AF98" s="12" t="str">
        <f t="shared" si="59"/>
        <v/>
      </c>
      <c r="AG98" s="6" t="str">
        <f t="shared" si="60"/>
        <v/>
      </c>
      <c r="AH98" s="12" t="str">
        <f t="shared" si="61"/>
        <v/>
      </c>
      <c r="AI98" s="11" t="str">
        <f t="shared" si="62"/>
        <v/>
      </c>
      <c r="AJ98" s="8" t="str">
        <f t="shared" si="63"/>
        <v/>
      </c>
      <c r="AK98" s="6" t="str">
        <f t="shared" si="89"/>
        <v/>
      </c>
      <c r="AL98" s="7" t="str">
        <f t="shared" si="64"/>
        <v/>
      </c>
      <c r="AM98" s="8" t="str">
        <f t="shared" si="65"/>
        <v/>
      </c>
      <c r="AN98" s="6" t="str">
        <f t="shared" si="66"/>
        <v/>
      </c>
      <c r="AO98" s="10" t="str">
        <f t="shared" si="376"/>
        <v/>
      </c>
      <c r="AP98" s="11" t="str">
        <f t="shared" si="67"/>
        <v/>
      </c>
      <c r="AQ98" s="8" t="str">
        <f t="shared" si="612"/>
        <v/>
      </c>
      <c r="AS98" s="123" t="str">
        <f t="shared" si="496"/>
        <v/>
      </c>
      <c r="AT98" s="175" t="str">
        <f t="shared" si="617"/>
        <v/>
      </c>
      <c r="AV98" s="292" t="str">
        <f t="shared" si="497"/>
        <v/>
      </c>
      <c r="AW98" s="709"/>
      <c r="AX98" s="710"/>
      <c r="AY98" s="711"/>
      <c r="AZ98" s="565" t="str">
        <f t="shared" si="498"/>
        <v/>
      </c>
      <c r="BA98" s="564" t="str">
        <f t="shared" si="499"/>
        <v/>
      </c>
      <c r="BB98" s="372" t="str">
        <f t="shared" si="474"/>
        <v/>
      </c>
      <c r="BC98" s="11"/>
      <c r="BD98" s="7" t="str">
        <f t="shared" si="475"/>
        <v/>
      </c>
      <c r="BE98" s="8" t="str">
        <f t="shared" si="476"/>
        <v/>
      </c>
      <c r="BF98" s="6" t="str">
        <f t="shared" si="500"/>
        <v/>
      </c>
      <c r="BG98" s="7" t="str">
        <f t="shared" si="501"/>
        <v/>
      </c>
      <c r="BH98" s="12" t="str">
        <f t="shared" si="502"/>
        <v/>
      </c>
      <c r="BI98" s="11" t="str">
        <f t="shared" si="503"/>
        <v/>
      </c>
      <c r="BJ98" s="7" t="str">
        <f t="shared" si="504"/>
        <v/>
      </c>
      <c r="BK98" s="10" t="str">
        <f t="shared" si="505"/>
        <v/>
      </c>
      <c r="BL98" s="328" t="str">
        <f t="shared" si="506"/>
        <v/>
      </c>
      <c r="BM98" s="7" t="str">
        <f t="shared" si="507"/>
        <v/>
      </c>
      <c r="BN98" s="8" t="str">
        <f t="shared" si="508"/>
        <v/>
      </c>
      <c r="BO98" s="6" t="str">
        <f t="shared" si="509"/>
        <v/>
      </c>
      <c r="BP98" s="7" t="str">
        <f t="shared" si="510"/>
        <v/>
      </c>
      <c r="BQ98" s="7" t="str">
        <f t="shared" si="511"/>
        <v/>
      </c>
      <c r="BR98" s="8" t="str">
        <f t="shared" si="512"/>
        <v/>
      </c>
      <c r="BS98" s="6" t="str">
        <f t="shared" si="477"/>
        <v/>
      </c>
      <c r="BT98" s="7" t="str">
        <f t="shared" si="477"/>
        <v/>
      </c>
      <c r="BU98" s="12" t="str">
        <f t="shared" si="478"/>
        <v/>
      </c>
      <c r="BV98" s="11" t="str">
        <f t="shared" si="479"/>
        <v/>
      </c>
      <c r="BW98" s="7" t="str">
        <f t="shared" si="480"/>
        <v/>
      </c>
      <c r="BX98" s="10" t="str">
        <f t="shared" si="481"/>
        <v/>
      </c>
      <c r="BY98" s="328" t="str">
        <f t="shared" si="482"/>
        <v/>
      </c>
      <c r="BZ98" s="7" t="str">
        <f t="shared" si="483"/>
        <v/>
      </c>
      <c r="CA98" s="8" t="str">
        <f t="shared" si="484"/>
        <v/>
      </c>
      <c r="CB98" s="6" t="str">
        <f t="shared" si="513"/>
        <v/>
      </c>
      <c r="CC98" s="7" t="str">
        <f t="shared" si="514"/>
        <v/>
      </c>
      <c r="CD98" s="7" t="str">
        <f t="shared" si="515"/>
        <v/>
      </c>
      <c r="CE98" s="8" t="str">
        <f t="shared" si="516"/>
        <v/>
      </c>
      <c r="CF98" s="6" t="str">
        <f t="shared" si="517"/>
        <v/>
      </c>
      <c r="CG98" s="7" t="str">
        <f t="shared" si="518"/>
        <v/>
      </c>
      <c r="CH98" s="7" t="str">
        <f t="shared" si="519"/>
        <v/>
      </c>
      <c r="CI98" s="6" t="str">
        <f t="shared" si="485"/>
        <v/>
      </c>
      <c r="CJ98" s="7" t="str">
        <f t="shared" si="486"/>
        <v/>
      </c>
      <c r="CK98" s="10" t="str">
        <f t="shared" si="487"/>
        <v/>
      </c>
      <c r="CL98" s="328" t="str">
        <f t="shared" si="488"/>
        <v/>
      </c>
      <c r="CM98" s="7" t="str">
        <f t="shared" si="489"/>
        <v/>
      </c>
      <c r="CN98" s="8" t="str">
        <f t="shared" si="490"/>
        <v/>
      </c>
      <c r="CO98" s="296" t="str">
        <f t="shared" si="613"/>
        <v/>
      </c>
      <c r="CP98" s="6" t="str">
        <f t="shared" si="520"/>
        <v/>
      </c>
      <c r="CQ98" s="7" t="str">
        <f t="shared" si="521"/>
        <v/>
      </c>
      <c r="CR98" s="7" t="str">
        <f t="shared" si="522"/>
        <v/>
      </c>
      <c r="CS98" s="10" t="str">
        <f t="shared" si="523"/>
        <v/>
      </c>
      <c r="CT98" s="11" t="str">
        <f t="shared" si="524"/>
        <v/>
      </c>
      <c r="CU98" s="8" t="str">
        <f t="shared" si="525"/>
        <v/>
      </c>
      <c r="CV98" s="6" t="str">
        <f t="shared" si="526"/>
        <v/>
      </c>
      <c r="CW98" s="7" t="str">
        <f t="shared" si="527"/>
        <v/>
      </c>
      <c r="CX98" s="10" t="str">
        <f t="shared" si="528"/>
        <v/>
      </c>
      <c r="CY98" s="11" t="str">
        <f t="shared" si="529"/>
        <v/>
      </c>
      <c r="CZ98" s="7" t="str">
        <f t="shared" si="530"/>
        <v/>
      </c>
      <c r="DA98" s="8" t="str">
        <f t="shared" si="531"/>
        <v/>
      </c>
      <c r="DB98" s="6" t="str">
        <f t="shared" si="532"/>
        <v/>
      </c>
      <c r="DC98" s="7" t="str">
        <f t="shared" si="532"/>
        <v/>
      </c>
      <c r="DD98" s="12" t="str">
        <f t="shared" si="533"/>
        <v/>
      </c>
      <c r="DE98" s="11" t="str">
        <f t="shared" si="534"/>
        <v/>
      </c>
      <c r="DF98" s="7" t="str">
        <f t="shared" si="534"/>
        <v/>
      </c>
      <c r="DG98" s="12" t="str">
        <f t="shared" si="535"/>
        <v/>
      </c>
      <c r="DH98" s="174" t="str">
        <f t="shared" si="536"/>
        <v/>
      </c>
      <c r="DI98" s="6" t="str">
        <f t="shared" si="537"/>
        <v/>
      </c>
      <c r="DJ98" s="7" t="str">
        <f t="shared" si="538"/>
        <v/>
      </c>
      <c r="DK98" s="12" t="str">
        <f t="shared" si="539"/>
        <v/>
      </c>
      <c r="DL98" s="11" t="str">
        <f t="shared" si="540"/>
        <v/>
      </c>
      <c r="DM98" s="328" t="str">
        <f t="shared" si="541"/>
        <v/>
      </c>
      <c r="DN98" s="376" t="str">
        <f t="shared" si="542"/>
        <v/>
      </c>
      <c r="DO98" s="11" t="str">
        <f t="shared" si="543"/>
        <v/>
      </c>
      <c r="DP98" s="328" t="str">
        <f t="shared" si="544"/>
        <v/>
      </c>
      <c r="DQ98" s="13" t="str">
        <f t="shared" si="545"/>
        <v/>
      </c>
      <c r="DR98" s="328" t="str">
        <f t="shared" si="546"/>
        <v/>
      </c>
      <c r="DS98" s="7" t="str">
        <f t="shared" si="547"/>
        <v/>
      </c>
      <c r="DT98" s="7" t="str">
        <f t="shared" si="548"/>
        <v/>
      </c>
      <c r="DU98" s="7" t="str">
        <f t="shared" si="549"/>
        <v/>
      </c>
      <c r="DV98" s="7" t="str">
        <f t="shared" si="550"/>
        <v/>
      </c>
      <c r="DW98" s="7" t="str">
        <f t="shared" si="551"/>
        <v/>
      </c>
      <c r="DX98" s="296" t="str">
        <f t="shared" si="552"/>
        <v/>
      </c>
      <c r="DY98" s="11" t="str">
        <f t="shared" si="553"/>
        <v/>
      </c>
      <c r="DZ98" s="7" t="str">
        <f t="shared" si="554"/>
        <v/>
      </c>
      <c r="EA98" s="12" t="str">
        <f t="shared" si="555"/>
        <v/>
      </c>
      <c r="EB98" s="8" t="str">
        <f t="shared" si="556"/>
        <v/>
      </c>
      <c r="EC98" s="328" t="str">
        <f t="shared" si="557"/>
        <v/>
      </c>
      <c r="ED98" s="7" t="str">
        <f t="shared" si="558"/>
        <v/>
      </c>
      <c r="EE98" s="6" t="str">
        <f t="shared" si="559"/>
        <v/>
      </c>
      <c r="EF98" s="7" t="str">
        <f t="shared" si="560"/>
        <v/>
      </c>
      <c r="EG98" s="12" t="str">
        <f t="shared" si="561"/>
        <v/>
      </c>
      <c r="EH98" s="11" t="str">
        <f t="shared" si="562"/>
        <v/>
      </c>
      <c r="EI98" s="7" t="str">
        <f t="shared" si="563"/>
        <v/>
      </c>
      <c r="EJ98" s="8" t="str">
        <f t="shared" si="564"/>
        <v/>
      </c>
      <c r="EK98" s="491" t="str">
        <f t="shared" si="565"/>
        <v/>
      </c>
      <c r="EL98" s="493" t="str">
        <f t="shared" si="566"/>
        <v/>
      </c>
      <c r="EM98" s="6" t="str">
        <f t="shared" si="567"/>
        <v/>
      </c>
      <c r="EN98" s="7" t="str">
        <f t="shared" si="568"/>
        <v/>
      </c>
      <c r="EO98" s="12" t="str">
        <f t="shared" si="569"/>
        <v/>
      </c>
      <c r="EP98" s="11" t="str">
        <f t="shared" si="570"/>
        <v/>
      </c>
      <c r="EQ98" s="7" t="str">
        <f t="shared" si="571"/>
        <v/>
      </c>
      <c r="ER98" s="9" t="str">
        <f t="shared" si="572"/>
        <v/>
      </c>
      <c r="ES98" s="24" t="str">
        <f t="shared" si="573"/>
        <v/>
      </c>
      <c r="ET98" s="7" t="str">
        <f t="shared" si="574"/>
        <v/>
      </c>
      <c r="EU98" s="12" t="str">
        <f t="shared" si="575"/>
        <v/>
      </c>
      <c r="EV98" s="337" t="str">
        <f t="shared" si="445"/>
        <v/>
      </c>
      <c r="EW98" s="11" t="str">
        <f t="shared" si="446"/>
        <v/>
      </c>
      <c r="EX98" s="7" t="str">
        <f t="shared" si="447"/>
        <v/>
      </c>
      <c r="EY98" s="8" t="str">
        <f t="shared" si="576"/>
        <v/>
      </c>
      <c r="EZ98" s="123" t="str">
        <f t="shared" si="577"/>
        <v/>
      </c>
      <c r="FA98" s="328" t="str">
        <f t="shared" si="448"/>
        <v/>
      </c>
      <c r="FB98" s="7" t="str">
        <f t="shared" si="449"/>
        <v/>
      </c>
      <c r="FC98" s="8" t="str">
        <f t="shared" si="450"/>
        <v/>
      </c>
      <c r="FD98" s="6" t="str">
        <f t="shared" si="451"/>
        <v/>
      </c>
      <c r="FE98" s="7" t="str">
        <f t="shared" si="452"/>
        <v/>
      </c>
      <c r="FF98" s="9" t="str">
        <f t="shared" si="578"/>
        <v/>
      </c>
      <c r="FG98" s="328" t="str">
        <f t="shared" si="453"/>
        <v/>
      </c>
      <c r="FH98" s="7" t="str">
        <f t="shared" si="454"/>
        <v/>
      </c>
      <c r="FI98" s="12" t="str">
        <f t="shared" si="455"/>
        <v/>
      </c>
      <c r="FJ98" s="547" t="str">
        <f t="shared" si="579"/>
        <v/>
      </c>
      <c r="FK98" s="6" t="str">
        <f t="shared" si="456"/>
        <v/>
      </c>
      <c r="FL98" s="7" t="str">
        <f t="shared" si="491"/>
        <v/>
      </c>
      <c r="FM98" s="10" t="str">
        <f t="shared" si="492"/>
        <v/>
      </c>
      <c r="FN98" s="11" t="str">
        <f t="shared" si="493"/>
        <v/>
      </c>
      <c r="FO98" s="12" t="str">
        <f t="shared" si="457"/>
        <v/>
      </c>
      <c r="FP98" s="545" t="str">
        <f t="shared" si="494"/>
        <v/>
      </c>
      <c r="FQ98" s="328" t="str">
        <f t="shared" si="580"/>
        <v/>
      </c>
      <c r="FR98" s="12" t="str">
        <f t="shared" si="581"/>
        <v/>
      </c>
      <c r="FS98" s="11" t="str">
        <f t="shared" si="582"/>
        <v/>
      </c>
      <c r="FT98" s="8" t="str">
        <f t="shared" si="583"/>
        <v/>
      </c>
      <c r="FU98" s="6" t="str">
        <f t="shared" si="584"/>
        <v/>
      </c>
      <c r="FV98" s="7" t="str">
        <f t="shared" si="585"/>
        <v/>
      </c>
      <c r="FW98" s="10" t="str">
        <f t="shared" si="586"/>
        <v/>
      </c>
      <c r="FX98" s="11" t="str">
        <f t="shared" si="587"/>
        <v/>
      </c>
      <c r="FY98" s="12" t="str">
        <f t="shared" si="458"/>
        <v/>
      </c>
      <c r="FZ98" s="545" t="str">
        <f t="shared" si="588"/>
        <v/>
      </c>
      <c r="GA98" s="372" t="str">
        <f t="shared" si="589"/>
        <v/>
      </c>
      <c r="GB98" s="46" t="str">
        <f t="shared" si="590"/>
        <v/>
      </c>
      <c r="GC98" s="47" t="str">
        <f t="shared" si="591"/>
        <v/>
      </c>
      <c r="GD98" s="578" t="str">
        <f t="shared" si="592"/>
        <v/>
      </c>
      <c r="GE98" s="585" t="str">
        <f t="shared" si="593"/>
        <v/>
      </c>
      <c r="GF98" s="634" t="str">
        <f t="shared" si="594"/>
        <v/>
      </c>
      <c r="GG98" s="553" t="str">
        <f t="shared" si="459"/>
        <v/>
      </c>
      <c r="GH98" s="554" t="str">
        <f t="shared" si="460"/>
        <v/>
      </c>
      <c r="GI98" s="549" t="str">
        <f t="shared" si="461"/>
        <v/>
      </c>
      <c r="GJ98" s="296" t="str">
        <f t="shared" si="595"/>
        <v/>
      </c>
      <c r="GK98" s="337" t="str">
        <f t="shared" si="462"/>
        <v/>
      </c>
      <c r="GL98" s="337" t="str">
        <f t="shared" si="596"/>
        <v/>
      </c>
      <c r="GM98" s="372" t="str">
        <f t="shared" si="597"/>
        <v/>
      </c>
      <c r="GN98" s="548" t="str">
        <f t="shared" si="598"/>
        <v/>
      </c>
      <c r="GO98" s="6" t="str">
        <f t="shared" si="599"/>
        <v/>
      </c>
      <c r="GP98" s="10" t="str">
        <f t="shared" si="600"/>
        <v/>
      </c>
      <c r="GQ98" s="372" t="str">
        <f t="shared" si="601"/>
        <v/>
      </c>
      <c r="GR98" s="697" t="str">
        <f t="shared" si="602"/>
        <v/>
      </c>
      <c r="GS98" s="637" t="str">
        <f t="shared" si="463"/>
        <v/>
      </c>
      <c r="GT98" s="638" t="str">
        <f t="shared" si="464"/>
        <v/>
      </c>
      <c r="GU98" s="639" t="str">
        <f t="shared" si="465"/>
        <v/>
      </c>
      <c r="GV98" s="638" t="str">
        <f t="shared" si="603"/>
        <v/>
      </c>
      <c r="GW98" s="640" t="str">
        <f t="shared" si="466"/>
        <v/>
      </c>
      <c r="GX98" s="641" t="str">
        <f t="shared" si="467"/>
        <v/>
      </c>
      <c r="GY98" s="639" t="str">
        <f t="shared" si="468"/>
        <v/>
      </c>
      <c r="GZ98" s="640" t="str">
        <f t="shared" si="469"/>
        <v/>
      </c>
      <c r="HA98" s="637" t="str">
        <f t="shared" si="470"/>
        <v/>
      </c>
      <c r="HB98" s="7" t="str">
        <f t="shared" si="604"/>
        <v/>
      </c>
      <c r="HC98" s="638" t="str">
        <f t="shared" si="605"/>
        <v/>
      </c>
      <c r="HD98" s="682" t="str">
        <f t="shared" si="606"/>
        <v/>
      </c>
      <c r="HE98" s="639" t="str">
        <f t="shared" si="471"/>
        <v/>
      </c>
      <c r="HF98" s="7" t="str">
        <f t="shared" si="472"/>
        <v/>
      </c>
      <c r="HG98" s="638" t="str">
        <f t="shared" si="607"/>
        <v/>
      </c>
      <c r="HH98" s="644" t="str">
        <f t="shared" si="608"/>
        <v/>
      </c>
      <c r="HI98" s="596" t="str">
        <f t="shared" si="609"/>
        <v/>
      </c>
      <c r="HK98" s="584" t="str">
        <f t="shared" si="217"/>
        <v/>
      </c>
      <c r="HL98" s="583" t="str">
        <f t="shared" si="495"/>
        <v/>
      </c>
      <c r="HM98" s="643" t="str">
        <f t="shared" si="616"/>
        <v/>
      </c>
      <c r="HN98" s="660" t="str">
        <f t="shared" si="616"/>
        <v/>
      </c>
      <c r="HO98" s="661" t="str">
        <f t="shared" si="616"/>
        <v/>
      </c>
      <c r="HP98" s="656" t="str">
        <f t="shared" si="616"/>
        <v/>
      </c>
      <c r="HQ98" s="660" t="str">
        <f t="shared" si="616"/>
        <v/>
      </c>
      <c r="HR98" s="671" t="str">
        <f t="shared" si="616"/>
        <v/>
      </c>
      <c r="HS98" s="655" t="str">
        <f t="shared" si="616"/>
        <v/>
      </c>
      <c r="HT98" s="648" t="str">
        <f t="shared" si="616"/>
        <v/>
      </c>
      <c r="HU98" s="649" t="str">
        <f t="shared" si="616"/>
        <v/>
      </c>
      <c r="HV98" s="650" t="str">
        <f t="shared" si="616"/>
        <v/>
      </c>
      <c r="HW98" s="648" t="str">
        <f t="shared" si="616"/>
        <v/>
      </c>
      <c r="HX98" s="649" t="str">
        <f t="shared" si="616"/>
        <v/>
      </c>
      <c r="HY98" s="650" t="str">
        <f t="shared" si="616"/>
        <v/>
      </c>
      <c r="HZ98" s="648" t="str">
        <f t="shared" si="616"/>
        <v/>
      </c>
      <c r="IA98" s="649" t="str">
        <f t="shared" si="616"/>
        <v/>
      </c>
      <c r="IB98" s="716"/>
    </row>
    <row r="99" spans="2:236" ht="15" customHeight="1" x14ac:dyDescent="0.25">
      <c r="B99" s="143"/>
      <c r="C99" s="144"/>
      <c r="D99" s="145"/>
      <c r="E99" s="146"/>
      <c r="F99" s="144"/>
      <c r="G99" s="147"/>
      <c r="H99" s="146"/>
      <c r="I99" s="144"/>
      <c r="J99" s="306"/>
      <c r="K99" s="699" t="str">
        <f t="shared" si="610"/>
        <v/>
      </c>
      <c r="M99" s="292" t="str">
        <f t="shared" si="46"/>
        <v/>
      </c>
      <c r="N99" s="24" t="str">
        <f t="shared" si="47"/>
        <v/>
      </c>
      <c r="O99" s="7" t="str">
        <f t="shared" si="48"/>
        <v/>
      </c>
      <c r="P99" s="12" t="str">
        <f t="shared" si="49"/>
        <v/>
      </c>
      <c r="Q99" s="11" t="str">
        <f t="shared" si="473"/>
        <v/>
      </c>
      <c r="R99" s="7" t="str">
        <f t="shared" si="50"/>
        <v/>
      </c>
      <c r="S99" s="8" t="str">
        <f t="shared" si="51"/>
        <v/>
      </c>
      <c r="T99" s="6" t="str">
        <f t="shared" si="52"/>
        <v/>
      </c>
      <c r="U99" s="7" t="str">
        <f t="shared" si="53"/>
        <v/>
      </c>
      <c r="V99" s="10" t="str">
        <f t="shared" si="86"/>
        <v/>
      </c>
      <c r="W99" s="11" t="str">
        <f t="shared" si="614"/>
        <v/>
      </c>
      <c r="X99" s="7" t="str">
        <f t="shared" si="54"/>
        <v/>
      </c>
      <c r="Y99" s="9" t="str">
        <f t="shared" si="611"/>
        <v/>
      </c>
      <c r="Z99" s="24" t="str">
        <f t="shared" si="87"/>
        <v/>
      </c>
      <c r="AA99" s="7" t="str">
        <f t="shared" si="55"/>
        <v/>
      </c>
      <c r="AB99" s="7" t="str">
        <f t="shared" si="56"/>
        <v/>
      </c>
      <c r="AC99" s="10" t="str">
        <f t="shared" si="57"/>
        <v/>
      </c>
      <c r="AD99" s="11" t="str">
        <f t="shared" si="88"/>
        <v/>
      </c>
      <c r="AE99" s="7" t="str">
        <f t="shared" si="58"/>
        <v/>
      </c>
      <c r="AF99" s="12" t="str">
        <f t="shared" si="59"/>
        <v/>
      </c>
      <c r="AG99" s="6" t="str">
        <f t="shared" si="60"/>
        <v/>
      </c>
      <c r="AH99" s="12" t="str">
        <f t="shared" si="61"/>
        <v/>
      </c>
      <c r="AI99" s="11" t="str">
        <f t="shared" si="62"/>
        <v/>
      </c>
      <c r="AJ99" s="8" t="str">
        <f t="shared" si="63"/>
        <v/>
      </c>
      <c r="AK99" s="6" t="str">
        <f t="shared" si="89"/>
        <v/>
      </c>
      <c r="AL99" s="7" t="str">
        <f t="shared" si="64"/>
        <v/>
      </c>
      <c r="AM99" s="8" t="str">
        <f t="shared" si="65"/>
        <v/>
      </c>
      <c r="AN99" s="6" t="str">
        <f t="shared" si="66"/>
        <v/>
      </c>
      <c r="AO99" s="10" t="str">
        <f t="shared" si="376"/>
        <v/>
      </c>
      <c r="AP99" s="11" t="str">
        <f t="shared" si="67"/>
        <v/>
      </c>
      <c r="AQ99" s="8" t="str">
        <f t="shared" si="612"/>
        <v/>
      </c>
      <c r="AS99" s="123" t="str">
        <f t="shared" si="496"/>
        <v/>
      </c>
      <c r="AT99" s="175" t="str">
        <f t="shared" si="617"/>
        <v/>
      </c>
      <c r="AV99" s="292" t="str">
        <f t="shared" si="497"/>
        <v/>
      </c>
      <c r="AW99" s="709"/>
      <c r="AX99" s="710"/>
      <c r="AY99" s="711"/>
      <c r="AZ99" s="565" t="str">
        <f t="shared" si="498"/>
        <v/>
      </c>
      <c r="BA99" s="564" t="str">
        <f t="shared" si="499"/>
        <v/>
      </c>
      <c r="BB99" s="372" t="str">
        <f t="shared" si="474"/>
        <v/>
      </c>
      <c r="BC99" s="11"/>
      <c r="BD99" s="7" t="str">
        <f t="shared" si="475"/>
        <v/>
      </c>
      <c r="BE99" s="8" t="str">
        <f t="shared" si="476"/>
        <v/>
      </c>
      <c r="BF99" s="6" t="str">
        <f t="shared" si="500"/>
        <v/>
      </c>
      <c r="BG99" s="7" t="str">
        <f t="shared" si="501"/>
        <v/>
      </c>
      <c r="BH99" s="12" t="str">
        <f t="shared" si="502"/>
        <v/>
      </c>
      <c r="BI99" s="11" t="str">
        <f t="shared" si="503"/>
        <v/>
      </c>
      <c r="BJ99" s="7" t="str">
        <f t="shared" si="504"/>
        <v/>
      </c>
      <c r="BK99" s="10" t="str">
        <f t="shared" si="505"/>
        <v/>
      </c>
      <c r="BL99" s="328" t="str">
        <f t="shared" si="506"/>
        <v/>
      </c>
      <c r="BM99" s="7" t="str">
        <f t="shared" si="507"/>
        <v/>
      </c>
      <c r="BN99" s="8" t="str">
        <f t="shared" si="508"/>
        <v/>
      </c>
      <c r="BO99" s="6" t="str">
        <f t="shared" si="509"/>
        <v/>
      </c>
      <c r="BP99" s="7" t="str">
        <f t="shared" si="510"/>
        <v/>
      </c>
      <c r="BQ99" s="7" t="str">
        <f t="shared" si="511"/>
        <v/>
      </c>
      <c r="BR99" s="8" t="str">
        <f t="shared" si="512"/>
        <v/>
      </c>
      <c r="BS99" s="6" t="str">
        <f t="shared" si="477"/>
        <v/>
      </c>
      <c r="BT99" s="7" t="str">
        <f t="shared" si="477"/>
        <v/>
      </c>
      <c r="BU99" s="12" t="str">
        <f t="shared" si="478"/>
        <v/>
      </c>
      <c r="BV99" s="11" t="str">
        <f t="shared" si="479"/>
        <v/>
      </c>
      <c r="BW99" s="7" t="str">
        <f t="shared" si="480"/>
        <v/>
      </c>
      <c r="BX99" s="10" t="str">
        <f t="shared" si="481"/>
        <v/>
      </c>
      <c r="BY99" s="328" t="str">
        <f t="shared" si="482"/>
        <v/>
      </c>
      <c r="BZ99" s="7" t="str">
        <f t="shared" si="483"/>
        <v/>
      </c>
      <c r="CA99" s="8" t="str">
        <f t="shared" si="484"/>
        <v/>
      </c>
      <c r="CB99" s="6" t="str">
        <f t="shared" si="513"/>
        <v/>
      </c>
      <c r="CC99" s="7" t="str">
        <f t="shared" si="514"/>
        <v/>
      </c>
      <c r="CD99" s="7" t="str">
        <f t="shared" si="515"/>
        <v/>
      </c>
      <c r="CE99" s="8" t="str">
        <f t="shared" si="516"/>
        <v/>
      </c>
      <c r="CF99" s="6" t="str">
        <f t="shared" si="517"/>
        <v/>
      </c>
      <c r="CG99" s="7" t="str">
        <f t="shared" si="518"/>
        <v/>
      </c>
      <c r="CH99" s="7" t="str">
        <f t="shared" si="519"/>
        <v/>
      </c>
      <c r="CI99" s="6" t="str">
        <f t="shared" si="485"/>
        <v/>
      </c>
      <c r="CJ99" s="7" t="str">
        <f t="shared" si="486"/>
        <v/>
      </c>
      <c r="CK99" s="10" t="str">
        <f t="shared" si="487"/>
        <v/>
      </c>
      <c r="CL99" s="328" t="str">
        <f t="shared" si="488"/>
        <v/>
      </c>
      <c r="CM99" s="7" t="str">
        <f t="shared" si="489"/>
        <v/>
      </c>
      <c r="CN99" s="8" t="str">
        <f t="shared" si="490"/>
        <v/>
      </c>
      <c r="CO99" s="296" t="str">
        <f t="shared" si="613"/>
        <v/>
      </c>
      <c r="CP99" s="6" t="str">
        <f t="shared" si="520"/>
        <v/>
      </c>
      <c r="CQ99" s="7" t="str">
        <f t="shared" si="521"/>
        <v/>
      </c>
      <c r="CR99" s="7" t="str">
        <f t="shared" si="522"/>
        <v/>
      </c>
      <c r="CS99" s="10" t="str">
        <f t="shared" si="523"/>
        <v/>
      </c>
      <c r="CT99" s="11" t="str">
        <f t="shared" si="524"/>
        <v/>
      </c>
      <c r="CU99" s="8" t="str">
        <f t="shared" si="525"/>
        <v/>
      </c>
      <c r="CV99" s="6" t="str">
        <f t="shared" si="526"/>
        <v/>
      </c>
      <c r="CW99" s="7" t="str">
        <f t="shared" si="527"/>
        <v/>
      </c>
      <c r="CX99" s="10" t="str">
        <f t="shared" si="528"/>
        <v/>
      </c>
      <c r="CY99" s="11" t="str">
        <f t="shared" si="529"/>
        <v/>
      </c>
      <c r="CZ99" s="7" t="str">
        <f t="shared" si="530"/>
        <v/>
      </c>
      <c r="DA99" s="8" t="str">
        <f t="shared" si="531"/>
        <v/>
      </c>
      <c r="DB99" s="6" t="str">
        <f t="shared" si="532"/>
        <v/>
      </c>
      <c r="DC99" s="7" t="str">
        <f t="shared" si="532"/>
        <v/>
      </c>
      <c r="DD99" s="12" t="str">
        <f t="shared" si="533"/>
        <v/>
      </c>
      <c r="DE99" s="11" t="str">
        <f t="shared" si="534"/>
        <v/>
      </c>
      <c r="DF99" s="7" t="str">
        <f t="shared" si="534"/>
        <v/>
      </c>
      <c r="DG99" s="12" t="str">
        <f t="shared" si="535"/>
        <v/>
      </c>
      <c r="DH99" s="174" t="str">
        <f t="shared" si="536"/>
        <v/>
      </c>
      <c r="DI99" s="6" t="str">
        <f t="shared" si="537"/>
        <v/>
      </c>
      <c r="DJ99" s="7" t="str">
        <f t="shared" si="538"/>
        <v/>
      </c>
      <c r="DK99" s="12" t="str">
        <f t="shared" si="539"/>
        <v/>
      </c>
      <c r="DL99" s="11" t="str">
        <f t="shared" si="540"/>
        <v/>
      </c>
      <c r="DM99" s="328" t="str">
        <f t="shared" si="541"/>
        <v/>
      </c>
      <c r="DN99" s="376" t="str">
        <f t="shared" si="542"/>
        <v/>
      </c>
      <c r="DO99" s="11" t="str">
        <f t="shared" si="543"/>
        <v/>
      </c>
      <c r="DP99" s="328" t="str">
        <f t="shared" si="544"/>
        <v/>
      </c>
      <c r="DQ99" s="13" t="str">
        <f t="shared" si="545"/>
        <v/>
      </c>
      <c r="DR99" s="328" t="str">
        <f t="shared" si="546"/>
        <v/>
      </c>
      <c r="DS99" s="7" t="str">
        <f t="shared" si="547"/>
        <v/>
      </c>
      <c r="DT99" s="7" t="str">
        <f t="shared" si="548"/>
        <v/>
      </c>
      <c r="DU99" s="7" t="str">
        <f t="shared" si="549"/>
        <v/>
      </c>
      <c r="DV99" s="7" t="str">
        <f t="shared" si="550"/>
        <v/>
      </c>
      <c r="DW99" s="7" t="str">
        <f t="shared" si="551"/>
        <v/>
      </c>
      <c r="DX99" s="296" t="str">
        <f t="shared" si="552"/>
        <v/>
      </c>
      <c r="DY99" s="11" t="str">
        <f t="shared" si="553"/>
        <v/>
      </c>
      <c r="DZ99" s="7" t="str">
        <f t="shared" si="554"/>
        <v/>
      </c>
      <c r="EA99" s="12" t="str">
        <f t="shared" si="555"/>
        <v/>
      </c>
      <c r="EB99" s="8" t="str">
        <f t="shared" si="556"/>
        <v/>
      </c>
      <c r="EC99" s="328" t="str">
        <f t="shared" si="557"/>
        <v/>
      </c>
      <c r="ED99" s="7" t="str">
        <f t="shared" si="558"/>
        <v/>
      </c>
      <c r="EE99" s="6" t="str">
        <f t="shared" si="559"/>
        <v/>
      </c>
      <c r="EF99" s="7" t="str">
        <f t="shared" si="560"/>
        <v/>
      </c>
      <c r="EG99" s="12" t="str">
        <f t="shared" si="561"/>
        <v/>
      </c>
      <c r="EH99" s="11" t="str">
        <f t="shared" si="562"/>
        <v/>
      </c>
      <c r="EI99" s="7" t="str">
        <f t="shared" si="563"/>
        <v/>
      </c>
      <c r="EJ99" s="8" t="str">
        <f t="shared" si="564"/>
        <v/>
      </c>
      <c r="EK99" s="491" t="str">
        <f t="shared" si="565"/>
        <v/>
      </c>
      <c r="EL99" s="493" t="str">
        <f t="shared" si="566"/>
        <v/>
      </c>
      <c r="EM99" s="6" t="str">
        <f t="shared" si="567"/>
        <v/>
      </c>
      <c r="EN99" s="7" t="str">
        <f t="shared" si="568"/>
        <v/>
      </c>
      <c r="EO99" s="12" t="str">
        <f t="shared" si="569"/>
        <v/>
      </c>
      <c r="EP99" s="11" t="str">
        <f t="shared" si="570"/>
        <v/>
      </c>
      <c r="EQ99" s="7" t="str">
        <f t="shared" si="571"/>
        <v/>
      </c>
      <c r="ER99" s="9" t="str">
        <f t="shared" si="572"/>
        <v/>
      </c>
      <c r="ES99" s="24" t="str">
        <f t="shared" si="573"/>
        <v/>
      </c>
      <c r="ET99" s="7" t="str">
        <f t="shared" si="574"/>
        <v/>
      </c>
      <c r="EU99" s="12" t="str">
        <f t="shared" si="575"/>
        <v/>
      </c>
      <c r="EV99" s="337" t="str">
        <f t="shared" si="445"/>
        <v/>
      </c>
      <c r="EW99" s="11" t="str">
        <f t="shared" si="446"/>
        <v/>
      </c>
      <c r="EX99" s="7" t="str">
        <f t="shared" si="447"/>
        <v/>
      </c>
      <c r="EY99" s="8" t="str">
        <f t="shared" si="576"/>
        <v/>
      </c>
      <c r="EZ99" s="123" t="str">
        <f t="shared" si="577"/>
        <v/>
      </c>
      <c r="FA99" s="328" t="str">
        <f t="shared" si="448"/>
        <v/>
      </c>
      <c r="FB99" s="7" t="str">
        <f t="shared" si="449"/>
        <v/>
      </c>
      <c r="FC99" s="8" t="str">
        <f t="shared" si="450"/>
        <v/>
      </c>
      <c r="FD99" s="6" t="str">
        <f t="shared" si="451"/>
        <v/>
      </c>
      <c r="FE99" s="7" t="str">
        <f t="shared" si="452"/>
        <v/>
      </c>
      <c r="FF99" s="9" t="str">
        <f t="shared" si="578"/>
        <v/>
      </c>
      <c r="FG99" s="328" t="str">
        <f t="shared" si="453"/>
        <v/>
      </c>
      <c r="FH99" s="7" t="str">
        <f t="shared" si="454"/>
        <v/>
      </c>
      <c r="FI99" s="12" t="str">
        <f t="shared" si="455"/>
        <v/>
      </c>
      <c r="FJ99" s="547" t="str">
        <f t="shared" si="579"/>
        <v/>
      </c>
      <c r="FK99" s="6" t="str">
        <f t="shared" si="456"/>
        <v/>
      </c>
      <c r="FL99" s="7" t="str">
        <f t="shared" si="491"/>
        <v/>
      </c>
      <c r="FM99" s="10" t="str">
        <f t="shared" si="492"/>
        <v/>
      </c>
      <c r="FN99" s="11" t="str">
        <f t="shared" si="493"/>
        <v/>
      </c>
      <c r="FO99" s="12" t="str">
        <f t="shared" si="457"/>
        <v/>
      </c>
      <c r="FP99" s="545" t="str">
        <f t="shared" si="494"/>
        <v/>
      </c>
      <c r="FQ99" s="328" t="str">
        <f t="shared" si="580"/>
        <v/>
      </c>
      <c r="FR99" s="12" t="str">
        <f t="shared" si="581"/>
        <v/>
      </c>
      <c r="FS99" s="11" t="str">
        <f t="shared" si="582"/>
        <v/>
      </c>
      <c r="FT99" s="8" t="str">
        <f t="shared" si="583"/>
        <v/>
      </c>
      <c r="FU99" s="6" t="str">
        <f t="shared" si="584"/>
        <v/>
      </c>
      <c r="FV99" s="7" t="str">
        <f t="shared" si="585"/>
        <v/>
      </c>
      <c r="FW99" s="10" t="str">
        <f t="shared" si="586"/>
        <v/>
      </c>
      <c r="FX99" s="11" t="str">
        <f t="shared" si="587"/>
        <v/>
      </c>
      <c r="FY99" s="12" t="str">
        <f t="shared" si="458"/>
        <v/>
      </c>
      <c r="FZ99" s="545" t="str">
        <f t="shared" si="588"/>
        <v/>
      </c>
      <c r="GA99" s="372" t="str">
        <f t="shared" si="589"/>
        <v/>
      </c>
      <c r="GB99" s="46" t="str">
        <f t="shared" si="590"/>
        <v/>
      </c>
      <c r="GC99" s="47" t="str">
        <f t="shared" si="591"/>
        <v/>
      </c>
      <c r="GD99" s="578" t="str">
        <f t="shared" si="592"/>
        <v/>
      </c>
      <c r="GE99" s="585" t="str">
        <f t="shared" si="593"/>
        <v/>
      </c>
      <c r="GF99" s="634" t="str">
        <f t="shared" si="594"/>
        <v/>
      </c>
      <c r="GG99" s="553" t="str">
        <f t="shared" si="459"/>
        <v/>
      </c>
      <c r="GH99" s="554" t="str">
        <f t="shared" si="460"/>
        <v/>
      </c>
      <c r="GI99" s="549" t="str">
        <f t="shared" si="461"/>
        <v/>
      </c>
      <c r="GJ99" s="296" t="str">
        <f t="shared" si="595"/>
        <v/>
      </c>
      <c r="GK99" s="337" t="str">
        <f t="shared" si="462"/>
        <v/>
      </c>
      <c r="GL99" s="337" t="str">
        <f t="shared" si="596"/>
        <v/>
      </c>
      <c r="GM99" s="372" t="str">
        <f t="shared" si="597"/>
        <v/>
      </c>
      <c r="GN99" s="548" t="str">
        <f t="shared" si="598"/>
        <v/>
      </c>
      <c r="GO99" s="6" t="str">
        <f t="shared" si="599"/>
        <v/>
      </c>
      <c r="GP99" s="10" t="str">
        <f t="shared" si="600"/>
        <v/>
      </c>
      <c r="GQ99" s="372" t="str">
        <f t="shared" si="601"/>
        <v/>
      </c>
      <c r="GR99" s="697" t="str">
        <f t="shared" si="602"/>
        <v/>
      </c>
      <c r="GS99" s="637" t="str">
        <f t="shared" si="463"/>
        <v/>
      </c>
      <c r="GT99" s="638" t="str">
        <f t="shared" si="464"/>
        <v/>
      </c>
      <c r="GU99" s="639" t="str">
        <f t="shared" si="465"/>
        <v/>
      </c>
      <c r="GV99" s="638" t="str">
        <f t="shared" si="603"/>
        <v/>
      </c>
      <c r="GW99" s="640" t="str">
        <f t="shared" si="466"/>
        <v/>
      </c>
      <c r="GX99" s="641" t="str">
        <f t="shared" si="467"/>
        <v/>
      </c>
      <c r="GY99" s="639" t="str">
        <f t="shared" si="468"/>
        <v/>
      </c>
      <c r="GZ99" s="640" t="str">
        <f t="shared" si="469"/>
        <v/>
      </c>
      <c r="HA99" s="637" t="str">
        <f t="shared" si="470"/>
        <v/>
      </c>
      <c r="HB99" s="7" t="str">
        <f t="shared" si="604"/>
        <v/>
      </c>
      <c r="HC99" s="638" t="str">
        <f t="shared" si="605"/>
        <v/>
      </c>
      <c r="HD99" s="682" t="str">
        <f t="shared" si="606"/>
        <v/>
      </c>
      <c r="HE99" s="639" t="str">
        <f t="shared" si="471"/>
        <v/>
      </c>
      <c r="HF99" s="7" t="str">
        <f t="shared" si="472"/>
        <v/>
      </c>
      <c r="HG99" s="638" t="str">
        <f t="shared" si="607"/>
        <v/>
      </c>
      <c r="HH99" s="644" t="str">
        <f t="shared" si="608"/>
        <v/>
      </c>
      <c r="HI99" s="596" t="str">
        <f t="shared" si="609"/>
        <v/>
      </c>
      <c r="HK99" s="584" t="str">
        <f t="shared" si="217"/>
        <v/>
      </c>
      <c r="HL99" s="583" t="str">
        <f t="shared" si="495"/>
        <v/>
      </c>
      <c r="HM99" s="643" t="str">
        <f t="shared" ref="HM99:IA108" si="618">IF(ISNUMBER($HL99),VLOOKUP($HL99,$GJ$9:$HI$130,HM$1,FALSE),"")</f>
        <v/>
      </c>
      <c r="HN99" s="660" t="str">
        <f t="shared" si="618"/>
        <v/>
      </c>
      <c r="HO99" s="661" t="str">
        <f t="shared" si="618"/>
        <v/>
      </c>
      <c r="HP99" s="656" t="str">
        <f t="shared" si="618"/>
        <v/>
      </c>
      <c r="HQ99" s="660" t="str">
        <f t="shared" si="618"/>
        <v/>
      </c>
      <c r="HR99" s="671" t="str">
        <f t="shared" si="618"/>
        <v/>
      </c>
      <c r="HS99" s="655" t="str">
        <f t="shared" si="618"/>
        <v/>
      </c>
      <c r="HT99" s="648" t="str">
        <f t="shared" si="618"/>
        <v/>
      </c>
      <c r="HU99" s="649" t="str">
        <f t="shared" si="618"/>
        <v/>
      </c>
      <c r="HV99" s="650" t="str">
        <f t="shared" si="618"/>
        <v/>
      </c>
      <c r="HW99" s="648" t="str">
        <f t="shared" si="618"/>
        <v/>
      </c>
      <c r="HX99" s="649" t="str">
        <f t="shared" si="618"/>
        <v/>
      </c>
      <c r="HY99" s="650" t="str">
        <f t="shared" si="618"/>
        <v/>
      </c>
      <c r="HZ99" s="648" t="str">
        <f t="shared" si="618"/>
        <v/>
      </c>
      <c r="IA99" s="649" t="str">
        <f t="shared" si="618"/>
        <v/>
      </c>
      <c r="IB99" s="716"/>
    </row>
    <row r="100" spans="2:236" ht="15" customHeight="1" x14ac:dyDescent="0.25">
      <c r="B100" s="143"/>
      <c r="C100" s="144"/>
      <c r="D100" s="145"/>
      <c r="E100" s="146"/>
      <c r="F100" s="144"/>
      <c r="G100" s="147"/>
      <c r="H100" s="146"/>
      <c r="I100" s="144"/>
      <c r="J100" s="306"/>
      <c r="K100" s="699" t="str">
        <f t="shared" si="610"/>
        <v/>
      </c>
      <c r="M100" s="292" t="str">
        <f t="shared" si="46"/>
        <v/>
      </c>
      <c r="N100" s="24" t="str">
        <f t="shared" si="47"/>
        <v/>
      </c>
      <c r="O100" s="7" t="str">
        <f t="shared" si="48"/>
        <v/>
      </c>
      <c r="P100" s="12" t="str">
        <f t="shared" si="49"/>
        <v/>
      </c>
      <c r="Q100" s="11" t="str">
        <f t="shared" si="473"/>
        <v/>
      </c>
      <c r="R100" s="7" t="str">
        <f t="shared" si="50"/>
        <v/>
      </c>
      <c r="S100" s="8" t="str">
        <f t="shared" si="51"/>
        <v/>
      </c>
      <c r="T100" s="6" t="str">
        <f t="shared" si="52"/>
        <v/>
      </c>
      <c r="U100" s="7" t="str">
        <f t="shared" si="53"/>
        <v/>
      </c>
      <c r="V100" s="10" t="str">
        <f t="shared" si="86"/>
        <v/>
      </c>
      <c r="W100" s="11" t="str">
        <f t="shared" si="614"/>
        <v/>
      </c>
      <c r="X100" s="7" t="str">
        <f t="shared" si="54"/>
        <v/>
      </c>
      <c r="Y100" s="9" t="str">
        <f t="shared" si="611"/>
        <v/>
      </c>
      <c r="Z100" s="24" t="str">
        <f t="shared" si="87"/>
        <v/>
      </c>
      <c r="AA100" s="7" t="str">
        <f t="shared" si="55"/>
        <v/>
      </c>
      <c r="AB100" s="7" t="str">
        <f t="shared" si="56"/>
        <v/>
      </c>
      <c r="AC100" s="10" t="str">
        <f t="shared" si="57"/>
        <v/>
      </c>
      <c r="AD100" s="11" t="str">
        <f t="shared" si="88"/>
        <v/>
      </c>
      <c r="AE100" s="7" t="str">
        <f t="shared" si="58"/>
        <v/>
      </c>
      <c r="AF100" s="12" t="str">
        <f t="shared" si="59"/>
        <v/>
      </c>
      <c r="AG100" s="6" t="str">
        <f t="shared" si="60"/>
        <v/>
      </c>
      <c r="AH100" s="12" t="str">
        <f t="shared" si="61"/>
        <v/>
      </c>
      <c r="AI100" s="11" t="str">
        <f t="shared" si="62"/>
        <v/>
      </c>
      <c r="AJ100" s="8" t="str">
        <f t="shared" si="63"/>
        <v/>
      </c>
      <c r="AK100" s="6" t="str">
        <f t="shared" si="89"/>
        <v/>
      </c>
      <c r="AL100" s="7" t="str">
        <f t="shared" si="64"/>
        <v/>
      </c>
      <c r="AM100" s="8" t="str">
        <f t="shared" si="65"/>
        <v/>
      </c>
      <c r="AN100" s="6" t="str">
        <f t="shared" si="66"/>
        <v/>
      </c>
      <c r="AO100" s="10" t="str">
        <f t="shared" si="376"/>
        <v/>
      </c>
      <c r="AP100" s="11" t="str">
        <f t="shared" si="67"/>
        <v/>
      </c>
      <c r="AQ100" s="8" t="str">
        <f t="shared" si="612"/>
        <v/>
      </c>
      <c r="AS100" s="123" t="str">
        <f t="shared" si="496"/>
        <v/>
      </c>
      <c r="AT100" s="175" t="str">
        <f t="shared" si="617"/>
        <v/>
      </c>
      <c r="AV100" s="292" t="str">
        <f t="shared" si="497"/>
        <v/>
      </c>
      <c r="AW100" s="709"/>
      <c r="AX100" s="710"/>
      <c r="AY100" s="711"/>
      <c r="AZ100" s="565" t="str">
        <f t="shared" si="498"/>
        <v/>
      </c>
      <c r="BA100" s="564" t="str">
        <f t="shared" si="499"/>
        <v/>
      </c>
      <c r="BB100" s="372" t="str">
        <f t="shared" si="474"/>
        <v/>
      </c>
      <c r="BC100" s="11"/>
      <c r="BD100" s="7" t="str">
        <f t="shared" si="475"/>
        <v/>
      </c>
      <c r="BE100" s="8" t="str">
        <f t="shared" si="476"/>
        <v/>
      </c>
      <c r="BF100" s="6" t="str">
        <f t="shared" si="500"/>
        <v/>
      </c>
      <c r="BG100" s="7" t="str">
        <f t="shared" si="501"/>
        <v/>
      </c>
      <c r="BH100" s="12" t="str">
        <f t="shared" si="502"/>
        <v/>
      </c>
      <c r="BI100" s="11" t="str">
        <f t="shared" si="503"/>
        <v/>
      </c>
      <c r="BJ100" s="7" t="str">
        <f t="shared" si="504"/>
        <v/>
      </c>
      <c r="BK100" s="10" t="str">
        <f t="shared" si="505"/>
        <v/>
      </c>
      <c r="BL100" s="328" t="str">
        <f t="shared" si="506"/>
        <v/>
      </c>
      <c r="BM100" s="7" t="str">
        <f t="shared" si="507"/>
        <v/>
      </c>
      <c r="BN100" s="8" t="str">
        <f t="shared" si="508"/>
        <v/>
      </c>
      <c r="BO100" s="6" t="str">
        <f t="shared" si="509"/>
        <v/>
      </c>
      <c r="BP100" s="7" t="str">
        <f t="shared" si="510"/>
        <v/>
      </c>
      <c r="BQ100" s="7" t="str">
        <f t="shared" si="511"/>
        <v/>
      </c>
      <c r="BR100" s="8" t="str">
        <f t="shared" si="512"/>
        <v/>
      </c>
      <c r="BS100" s="6" t="str">
        <f t="shared" si="477"/>
        <v/>
      </c>
      <c r="BT100" s="7" t="str">
        <f t="shared" si="477"/>
        <v/>
      </c>
      <c r="BU100" s="12" t="str">
        <f t="shared" si="478"/>
        <v/>
      </c>
      <c r="BV100" s="11" t="str">
        <f t="shared" si="479"/>
        <v/>
      </c>
      <c r="BW100" s="7" t="str">
        <f t="shared" si="480"/>
        <v/>
      </c>
      <c r="BX100" s="10" t="str">
        <f t="shared" si="481"/>
        <v/>
      </c>
      <c r="BY100" s="328" t="str">
        <f t="shared" si="482"/>
        <v/>
      </c>
      <c r="BZ100" s="7" t="str">
        <f t="shared" si="483"/>
        <v/>
      </c>
      <c r="CA100" s="8" t="str">
        <f t="shared" si="484"/>
        <v/>
      </c>
      <c r="CB100" s="6" t="str">
        <f t="shared" si="513"/>
        <v/>
      </c>
      <c r="CC100" s="7" t="str">
        <f t="shared" si="514"/>
        <v/>
      </c>
      <c r="CD100" s="7" t="str">
        <f t="shared" si="515"/>
        <v/>
      </c>
      <c r="CE100" s="8" t="str">
        <f t="shared" si="516"/>
        <v/>
      </c>
      <c r="CF100" s="6" t="str">
        <f t="shared" si="517"/>
        <v/>
      </c>
      <c r="CG100" s="7" t="str">
        <f t="shared" si="518"/>
        <v/>
      </c>
      <c r="CH100" s="7" t="str">
        <f t="shared" si="519"/>
        <v/>
      </c>
      <c r="CI100" s="6" t="str">
        <f t="shared" si="485"/>
        <v/>
      </c>
      <c r="CJ100" s="7" t="str">
        <f t="shared" si="486"/>
        <v/>
      </c>
      <c r="CK100" s="10" t="str">
        <f t="shared" si="487"/>
        <v/>
      </c>
      <c r="CL100" s="328" t="str">
        <f t="shared" si="488"/>
        <v/>
      </c>
      <c r="CM100" s="7" t="str">
        <f t="shared" si="489"/>
        <v/>
      </c>
      <c r="CN100" s="8" t="str">
        <f t="shared" si="490"/>
        <v/>
      </c>
      <c r="CO100" s="296" t="str">
        <f t="shared" si="613"/>
        <v/>
      </c>
      <c r="CP100" s="6" t="str">
        <f t="shared" si="520"/>
        <v/>
      </c>
      <c r="CQ100" s="7" t="str">
        <f t="shared" si="521"/>
        <v/>
      </c>
      <c r="CR100" s="7" t="str">
        <f t="shared" si="522"/>
        <v/>
      </c>
      <c r="CS100" s="10" t="str">
        <f t="shared" si="523"/>
        <v/>
      </c>
      <c r="CT100" s="11" t="str">
        <f t="shared" si="524"/>
        <v/>
      </c>
      <c r="CU100" s="8" t="str">
        <f t="shared" si="525"/>
        <v/>
      </c>
      <c r="CV100" s="6" t="str">
        <f t="shared" si="526"/>
        <v/>
      </c>
      <c r="CW100" s="7" t="str">
        <f t="shared" si="527"/>
        <v/>
      </c>
      <c r="CX100" s="10" t="str">
        <f t="shared" si="528"/>
        <v/>
      </c>
      <c r="CY100" s="11" t="str">
        <f t="shared" si="529"/>
        <v/>
      </c>
      <c r="CZ100" s="7" t="str">
        <f t="shared" si="530"/>
        <v/>
      </c>
      <c r="DA100" s="8" t="str">
        <f t="shared" si="531"/>
        <v/>
      </c>
      <c r="DB100" s="6" t="str">
        <f t="shared" si="532"/>
        <v/>
      </c>
      <c r="DC100" s="7" t="str">
        <f t="shared" si="532"/>
        <v/>
      </c>
      <c r="DD100" s="12" t="str">
        <f t="shared" si="533"/>
        <v/>
      </c>
      <c r="DE100" s="11" t="str">
        <f t="shared" si="534"/>
        <v/>
      </c>
      <c r="DF100" s="7" t="str">
        <f t="shared" si="534"/>
        <v/>
      </c>
      <c r="DG100" s="12" t="str">
        <f t="shared" si="535"/>
        <v/>
      </c>
      <c r="DH100" s="174" t="str">
        <f t="shared" si="536"/>
        <v/>
      </c>
      <c r="DI100" s="6" t="str">
        <f t="shared" si="537"/>
        <v/>
      </c>
      <c r="DJ100" s="7" t="str">
        <f t="shared" si="538"/>
        <v/>
      </c>
      <c r="DK100" s="12" t="str">
        <f t="shared" si="539"/>
        <v/>
      </c>
      <c r="DL100" s="11" t="str">
        <f t="shared" si="540"/>
        <v/>
      </c>
      <c r="DM100" s="328" t="str">
        <f t="shared" si="541"/>
        <v/>
      </c>
      <c r="DN100" s="376" t="str">
        <f t="shared" si="542"/>
        <v/>
      </c>
      <c r="DO100" s="11" t="str">
        <f t="shared" si="543"/>
        <v/>
      </c>
      <c r="DP100" s="328" t="str">
        <f t="shared" si="544"/>
        <v/>
      </c>
      <c r="DQ100" s="13" t="str">
        <f t="shared" si="545"/>
        <v/>
      </c>
      <c r="DR100" s="328" t="str">
        <f t="shared" si="546"/>
        <v/>
      </c>
      <c r="DS100" s="7" t="str">
        <f t="shared" si="547"/>
        <v/>
      </c>
      <c r="DT100" s="7" t="str">
        <f t="shared" si="548"/>
        <v/>
      </c>
      <c r="DU100" s="7" t="str">
        <f t="shared" si="549"/>
        <v/>
      </c>
      <c r="DV100" s="7" t="str">
        <f t="shared" si="550"/>
        <v/>
      </c>
      <c r="DW100" s="7" t="str">
        <f t="shared" si="551"/>
        <v/>
      </c>
      <c r="DX100" s="296" t="str">
        <f t="shared" si="552"/>
        <v/>
      </c>
      <c r="DY100" s="11" t="str">
        <f t="shared" si="553"/>
        <v/>
      </c>
      <c r="DZ100" s="7" t="str">
        <f t="shared" si="554"/>
        <v/>
      </c>
      <c r="EA100" s="12" t="str">
        <f t="shared" si="555"/>
        <v/>
      </c>
      <c r="EB100" s="8" t="str">
        <f t="shared" si="556"/>
        <v/>
      </c>
      <c r="EC100" s="328" t="str">
        <f t="shared" si="557"/>
        <v/>
      </c>
      <c r="ED100" s="7" t="str">
        <f t="shared" si="558"/>
        <v/>
      </c>
      <c r="EE100" s="6" t="str">
        <f t="shared" si="559"/>
        <v/>
      </c>
      <c r="EF100" s="7" t="str">
        <f t="shared" si="560"/>
        <v/>
      </c>
      <c r="EG100" s="12" t="str">
        <f t="shared" si="561"/>
        <v/>
      </c>
      <c r="EH100" s="11" t="str">
        <f t="shared" si="562"/>
        <v/>
      </c>
      <c r="EI100" s="7" t="str">
        <f t="shared" si="563"/>
        <v/>
      </c>
      <c r="EJ100" s="8" t="str">
        <f t="shared" si="564"/>
        <v/>
      </c>
      <c r="EK100" s="491" t="str">
        <f t="shared" si="565"/>
        <v/>
      </c>
      <c r="EL100" s="493" t="str">
        <f t="shared" si="566"/>
        <v/>
      </c>
      <c r="EM100" s="6" t="str">
        <f t="shared" si="567"/>
        <v/>
      </c>
      <c r="EN100" s="7" t="str">
        <f t="shared" si="568"/>
        <v/>
      </c>
      <c r="EO100" s="12" t="str">
        <f t="shared" si="569"/>
        <v/>
      </c>
      <c r="EP100" s="11" t="str">
        <f t="shared" si="570"/>
        <v/>
      </c>
      <c r="EQ100" s="7" t="str">
        <f t="shared" si="571"/>
        <v/>
      </c>
      <c r="ER100" s="9" t="str">
        <f t="shared" si="572"/>
        <v/>
      </c>
      <c r="ES100" s="24" t="str">
        <f t="shared" si="573"/>
        <v/>
      </c>
      <c r="ET100" s="7" t="str">
        <f t="shared" si="574"/>
        <v/>
      </c>
      <c r="EU100" s="12" t="str">
        <f t="shared" si="575"/>
        <v/>
      </c>
      <c r="EV100" s="337" t="str">
        <f t="shared" si="445"/>
        <v/>
      </c>
      <c r="EW100" s="11" t="str">
        <f t="shared" si="446"/>
        <v/>
      </c>
      <c r="EX100" s="7" t="str">
        <f t="shared" si="447"/>
        <v/>
      </c>
      <c r="EY100" s="8" t="str">
        <f t="shared" si="576"/>
        <v/>
      </c>
      <c r="EZ100" s="123" t="str">
        <f t="shared" si="577"/>
        <v/>
      </c>
      <c r="FA100" s="328" t="str">
        <f t="shared" si="448"/>
        <v/>
      </c>
      <c r="FB100" s="7" t="str">
        <f t="shared" si="449"/>
        <v/>
      </c>
      <c r="FC100" s="8" t="str">
        <f t="shared" si="450"/>
        <v/>
      </c>
      <c r="FD100" s="6" t="str">
        <f t="shared" si="451"/>
        <v/>
      </c>
      <c r="FE100" s="7" t="str">
        <f t="shared" si="452"/>
        <v/>
      </c>
      <c r="FF100" s="9" t="str">
        <f t="shared" si="578"/>
        <v/>
      </c>
      <c r="FG100" s="328" t="str">
        <f t="shared" si="453"/>
        <v/>
      </c>
      <c r="FH100" s="7" t="str">
        <f t="shared" si="454"/>
        <v/>
      </c>
      <c r="FI100" s="12" t="str">
        <f t="shared" si="455"/>
        <v/>
      </c>
      <c r="FJ100" s="547" t="str">
        <f t="shared" si="579"/>
        <v/>
      </c>
      <c r="FK100" s="6" t="str">
        <f t="shared" si="456"/>
        <v/>
      </c>
      <c r="FL100" s="7" t="str">
        <f t="shared" si="491"/>
        <v/>
      </c>
      <c r="FM100" s="10" t="str">
        <f t="shared" si="492"/>
        <v/>
      </c>
      <c r="FN100" s="11" t="str">
        <f t="shared" si="493"/>
        <v/>
      </c>
      <c r="FO100" s="12" t="str">
        <f t="shared" si="457"/>
        <v/>
      </c>
      <c r="FP100" s="545" t="str">
        <f t="shared" si="494"/>
        <v/>
      </c>
      <c r="FQ100" s="328" t="str">
        <f t="shared" si="580"/>
        <v/>
      </c>
      <c r="FR100" s="12" t="str">
        <f t="shared" si="581"/>
        <v/>
      </c>
      <c r="FS100" s="11" t="str">
        <f t="shared" si="582"/>
        <v/>
      </c>
      <c r="FT100" s="8" t="str">
        <f t="shared" si="583"/>
        <v/>
      </c>
      <c r="FU100" s="6" t="str">
        <f t="shared" si="584"/>
        <v/>
      </c>
      <c r="FV100" s="7" t="str">
        <f t="shared" si="585"/>
        <v/>
      </c>
      <c r="FW100" s="10" t="str">
        <f t="shared" si="586"/>
        <v/>
      </c>
      <c r="FX100" s="11" t="str">
        <f t="shared" si="587"/>
        <v/>
      </c>
      <c r="FY100" s="12" t="str">
        <f t="shared" si="458"/>
        <v/>
      </c>
      <c r="FZ100" s="545" t="str">
        <f t="shared" si="588"/>
        <v/>
      </c>
      <c r="GA100" s="372" t="str">
        <f t="shared" si="589"/>
        <v/>
      </c>
      <c r="GB100" s="46" t="str">
        <f t="shared" si="590"/>
        <v/>
      </c>
      <c r="GC100" s="47" t="str">
        <f t="shared" si="591"/>
        <v/>
      </c>
      <c r="GD100" s="578" t="str">
        <f t="shared" si="592"/>
        <v/>
      </c>
      <c r="GE100" s="585" t="str">
        <f t="shared" si="593"/>
        <v/>
      </c>
      <c r="GF100" s="634" t="str">
        <f t="shared" si="594"/>
        <v/>
      </c>
      <c r="GG100" s="553" t="str">
        <f t="shared" si="459"/>
        <v/>
      </c>
      <c r="GH100" s="554" t="str">
        <f t="shared" si="460"/>
        <v/>
      </c>
      <c r="GI100" s="549" t="str">
        <f t="shared" si="461"/>
        <v/>
      </c>
      <c r="GJ100" s="296" t="str">
        <f t="shared" si="595"/>
        <v/>
      </c>
      <c r="GK100" s="337" t="str">
        <f t="shared" si="462"/>
        <v/>
      </c>
      <c r="GL100" s="337" t="str">
        <f t="shared" si="596"/>
        <v/>
      </c>
      <c r="GM100" s="372" t="str">
        <f t="shared" si="597"/>
        <v/>
      </c>
      <c r="GN100" s="548" t="str">
        <f t="shared" si="598"/>
        <v/>
      </c>
      <c r="GO100" s="6" t="str">
        <f t="shared" si="599"/>
        <v/>
      </c>
      <c r="GP100" s="10" t="str">
        <f t="shared" si="600"/>
        <v/>
      </c>
      <c r="GQ100" s="372" t="str">
        <f t="shared" si="601"/>
        <v/>
      </c>
      <c r="GR100" s="697" t="str">
        <f t="shared" si="602"/>
        <v/>
      </c>
      <c r="GS100" s="637" t="str">
        <f t="shared" si="463"/>
        <v/>
      </c>
      <c r="GT100" s="638" t="str">
        <f t="shared" si="464"/>
        <v/>
      </c>
      <c r="GU100" s="639" t="str">
        <f t="shared" si="465"/>
        <v/>
      </c>
      <c r="GV100" s="638" t="str">
        <f t="shared" si="603"/>
        <v/>
      </c>
      <c r="GW100" s="640" t="str">
        <f t="shared" si="466"/>
        <v/>
      </c>
      <c r="GX100" s="641" t="str">
        <f t="shared" si="467"/>
        <v/>
      </c>
      <c r="GY100" s="639" t="str">
        <f t="shared" si="468"/>
        <v/>
      </c>
      <c r="GZ100" s="640" t="str">
        <f t="shared" si="469"/>
        <v/>
      </c>
      <c r="HA100" s="637" t="str">
        <f t="shared" si="470"/>
        <v/>
      </c>
      <c r="HB100" s="7" t="str">
        <f t="shared" si="604"/>
        <v/>
      </c>
      <c r="HC100" s="638" t="str">
        <f t="shared" si="605"/>
        <v/>
      </c>
      <c r="HD100" s="682" t="str">
        <f t="shared" si="606"/>
        <v/>
      </c>
      <c r="HE100" s="639" t="str">
        <f t="shared" si="471"/>
        <v/>
      </c>
      <c r="HF100" s="7" t="str">
        <f t="shared" si="472"/>
        <v/>
      </c>
      <c r="HG100" s="638" t="str">
        <f t="shared" si="607"/>
        <v/>
      </c>
      <c r="HH100" s="644" t="str">
        <f t="shared" si="608"/>
        <v/>
      </c>
      <c r="HI100" s="596" t="str">
        <f t="shared" si="609"/>
        <v/>
      </c>
      <c r="HK100" s="584" t="str">
        <f t="shared" si="217"/>
        <v/>
      </c>
      <c r="HL100" s="583" t="str">
        <f t="shared" si="495"/>
        <v/>
      </c>
      <c r="HM100" s="643" t="str">
        <f t="shared" si="618"/>
        <v/>
      </c>
      <c r="HN100" s="660" t="str">
        <f t="shared" si="618"/>
        <v/>
      </c>
      <c r="HO100" s="661" t="str">
        <f t="shared" si="618"/>
        <v/>
      </c>
      <c r="HP100" s="656" t="str">
        <f t="shared" si="618"/>
        <v/>
      </c>
      <c r="HQ100" s="660" t="str">
        <f t="shared" si="618"/>
        <v/>
      </c>
      <c r="HR100" s="671" t="str">
        <f t="shared" si="618"/>
        <v/>
      </c>
      <c r="HS100" s="655" t="str">
        <f t="shared" si="618"/>
        <v/>
      </c>
      <c r="HT100" s="648" t="str">
        <f t="shared" si="618"/>
        <v/>
      </c>
      <c r="HU100" s="649" t="str">
        <f t="shared" si="618"/>
        <v/>
      </c>
      <c r="HV100" s="650" t="str">
        <f t="shared" si="618"/>
        <v/>
      </c>
      <c r="HW100" s="648" t="str">
        <f t="shared" si="618"/>
        <v/>
      </c>
      <c r="HX100" s="649" t="str">
        <f t="shared" si="618"/>
        <v/>
      </c>
      <c r="HY100" s="650" t="str">
        <f t="shared" si="618"/>
        <v/>
      </c>
      <c r="HZ100" s="648" t="str">
        <f t="shared" si="618"/>
        <v/>
      </c>
      <c r="IA100" s="649" t="str">
        <f t="shared" si="618"/>
        <v/>
      </c>
      <c r="IB100" s="716"/>
    </row>
    <row r="101" spans="2:236" ht="15" customHeight="1" x14ac:dyDescent="0.25">
      <c r="B101" s="143"/>
      <c r="C101" s="144"/>
      <c r="D101" s="145"/>
      <c r="E101" s="146"/>
      <c r="F101" s="144"/>
      <c r="G101" s="147"/>
      <c r="H101" s="146"/>
      <c r="I101" s="144"/>
      <c r="J101" s="306"/>
      <c r="K101" s="699" t="str">
        <f t="shared" si="610"/>
        <v/>
      </c>
      <c r="M101" s="292" t="str">
        <f t="shared" si="46"/>
        <v/>
      </c>
      <c r="N101" s="24" t="str">
        <f t="shared" si="47"/>
        <v/>
      </c>
      <c r="O101" s="7" t="str">
        <f t="shared" si="48"/>
        <v/>
      </c>
      <c r="P101" s="12" t="str">
        <f t="shared" si="49"/>
        <v/>
      </c>
      <c r="Q101" s="11" t="str">
        <f t="shared" si="473"/>
        <v/>
      </c>
      <c r="R101" s="7" t="str">
        <f t="shared" si="50"/>
        <v/>
      </c>
      <c r="S101" s="8" t="str">
        <f t="shared" si="51"/>
        <v/>
      </c>
      <c r="T101" s="6" t="str">
        <f t="shared" si="52"/>
        <v/>
      </c>
      <c r="U101" s="7" t="str">
        <f t="shared" si="53"/>
        <v/>
      </c>
      <c r="V101" s="10" t="str">
        <f t="shared" si="86"/>
        <v/>
      </c>
      <c r="W101" s="11" t="str">
        <f t="shared" si="614"/>
        <v/>
      </c>
      <c r="X101" s="7" t="str">
        <f t="shared" si="54"/>
        <v/>
      </c>
      <c r="Y101" s="9" t="str">
        <f t="shared" si="611"/>
        <v/>
      </c>
      <c r="Z101" s="24" t="str">
        <f t="shared" si="87"/>
        <v/>
      </c>
      <c r="AA101" s="7" t="str">
        <f t="shared" si="55"/>
        <v/>
      </c>
      <c r="AB101" s="7" t="str">
        <f t="shared" si="56"/>
        <v/>
      </c>
      <c r="AC101" s="10" t="str">
        <f t="shared" si="57"/>
        <v/>
      </c>
      <c r="AD101" s="11" t="str">
        <f t="shared" si="88"/>
        <v/>
      </c>
      <c r="AE101" s="7" t="str">
        <f t="shared" si="58"/>
        <v/>
      </c>
      <c r="AF101" s="12" t="str">
        <f t="shared" si="59"/>
        <v/>
      </c>
      <c r="AG101" s="6" t="str">
        <f t="shared" si="60"/>
        <v/>
      </c>
      <c r="AH101" s="12" t="str">
        <f t="shared" si="61"/>
        <v/>
      </c>
      <c r="AI101" s="11" t="str">
        <f t="shared" si="62"/>
        <v/>
      </c>
      <c r="AJ101" s="8" t="str">
        <f t="shared" si="63"/>
        <v/>
      </c>
      <c r="AK101" s="6" t="str">
        <f t="shared" si="89"/>
        <v/>
      </c>
      <c r="AL101" s="7" t="str">
        <f t="shared" si="64"/>
        <v/>
      </c>
      <c r="AM101" s="8" t="str">
        <f t="shared" si="65"/>
        <v/>
      </c>
      <c r="AN101" s="6" t="str">
        <f t="shared" si="66"/>
        <v/>
      </c>
      <c r="AO101" s="10" t="str">
        <f t="shared" si="376"/>
        <v/>
      </c>
      <c r="AP101" s="11" t="str">
        <f t="shared" si="67"/>
        <v/>
      </c>
      <c r="AQ101" s="8" t="str">
        <f t="shared" si="612"/>
        <v/>
      </c>
      <c r="AS101" s="123" t="str">
        <f t="shared" si="496"/>
        <v/>
      </c>
      <c r="AT101" s="175" t="str">
        <f t="shared" si="617"/>
        <v/>
      </c>
      <c r="AV101" s="292" t="str">
        <f t="shared" si="497"/>
        <v/>
      </c>
      <c r="AW101" s="709"/>
      <c r="AX101" s="710"/>
      <c r="AY101" s="711"/>
      <c r="AZ101" s="565" t="str">
        <f t="shared" si="498"/>
        <v/>
      </c>
      <c r="BA101" s="564" t="str">
        <f t="shared" si="499"/>
        <v/>
      </c>
      <c r="BB101" s="372" t="str">
        <f t="shared" si="474"/>
        <v/>
      </c>
      <c r="BC101" s="11"/>
      <c r="BD101" s="7" t="str">
        <f t="shared" si="475"/>
        <v/>
      </c>
      <c r="BE101" s="8" t="str">
        <f t="shared" si="476"/>
        <v/>
      </c>
      <c r="BF101" s="6" t="str">
        <f t="shared" si="500"/>
        <v/>
      </c>
      <c r="BG101" s="7" t="str">
        <f t="shared" si="501"/>
        <v/>
      </c>
      <c r="BH101" s="12" t="str">
        <f t="shared" si="502"/>
        <v/>
      </c>
      <c r="BI101" s="11" t="str">
        <f t="shared" si="503"/>
        <v/>
      </c>
      <c r="BJ101" s="7" t="str">
        <f t="shared" si="504"/>
        <v/>
      </c>
      <c r="BK101" s="10" t="str">
        <f t="shared" si="505"/>
        <v/>
      </c>
      <c r="BL101" s="328" t="str">
        <f t="shared" si="506"/>
        <v/>
      </c>
      <c r="BM101" s="7" t="str">
        <f t="shared" si="507"/>
        <v/>
      </c>
      <c r="BN101" s="8" t="str">
        <f t="shared" si="508"/>
        <v/>
      </c>
      <c r="BO101" s="6" t="str">
        <f t="shared" si="509"/>
        <v/>
      </c>
      <c r="BP101" s="7" t="str">
        <f t="shared" si="510"/>
        <v/>
      </c>
      <c r="BQ101" s="7" t="str">
        <f t="shared" si="511"/>
        <v/>
      </c>
      <c r="BR101" s="8" t="str">
        <f t="shared" si="512"/>
        <v/>
      </c>
      <c r="BS101" s="6" t="str">
        <f t="shared" si="477"/>
        <v/>
      </c>
      <c r="BT101" s="7" t="str">
        <f t="shared" si="477"/>
        <v/>
      </c>
      <c r="BU101" s="12" t="str">
        <f t="shared" si="478"/>
        <v/>
      </c>
      <c r="BV101" s="11" t="str">
        <f t="shared" si="479"/>
        <v/>
      </c>
      <c r="BW101" s="7" t="str">
        <f t="shared" si="480"/>
        <v/>
      </c>
      <c r="BX101" s="10" t="str">
        <f t="shared" si="481"/>
        <v/>
      </c>
      <c r="BY101" s="328" t="str">
        <f t="shared" si="482"/>
        <v/>
      </c>
      <c r="BZ101" s="7" t="str">
        <f t="shared" si="483"/>
        <v/>
      </c>
      <c r="CA101" s="8" t="str">
        <f t="shared" si="484"/>
        <v/>
      </c>
      <c r="CB101" s="6" t="str">
        <f t="shared" si="513"/>
        <v/>
      </c>
      <c r="CC101" s="7" t="str">
        <f t="shared" si="514"/>
        <v/>
      </c>
      <c r="CD101" s="7" t="str">
        <f t="shared" si="515"/>
        <v/>
      </c>
      <c r="CE101" s="8" t="str">
        <f t="shared" si="516"/>
        <v/>
      </c>
      <c r="CF101" s="6" t="str">
        <f t="shared" si="517"/>
        <v/>
      </c>
      <c r="CG101" s="7" t="str">
        <f t="shared" si="518"/>
        <v/>
      </c>
      <c r="CH101" s="7" t="str">
        <f t="shared" si="519"/>
        <v/>
      </c>
      <c r="CI101" s="6" t="str">
        <f t="shared" si="485"/>
        <v/>
      </c>
      <c r="CJ101" s="7" t="str">
        <f t="shared" si="486"/>
        <v/>
      </c>
      <c r="CK101" s="10" t="str">
        <f t="shared" si="487"/>
        <v/>
      </c>
      <c r="CL101" s="328" t="str">
        <f t="shared" si="488"/>
        <v/>
      </c>
      <c r="CM101" s="7" t="str">
        <f t="shared" si="489"/>
        <v/>
      </c>
      <c r="CN101" s="8" t="str">
        <f t="shared" si="490"/>
        <v/>
      </c>
      <c r="CO101" s="296" t="str">
        <f t="shared" si="613"/>
        <v/>
      </c>
      <c r="CP101" s="6" t="str">
        <f t="shared" si="520"/>
        <v/>
      </c>
      <c r="CQ101" s="7" t="str">
        <f t="shared" si="521"/>
        <v/>
      </c>
      <c r="CR101" s="7" t="str">
        <f t="shared" si="522"/>
        <v/>
      </c>
      <c r="CS101" s="10" t="str">
        <f t="shared" si="523"/>
        <v/>
      </c>
      <c r="CT101" s="11" t="str">
        <f t="shared" si="524"/>
        <v/>
      </c>
      <c r="CU101" s="8" t="str">
        <f t="shared" si="525"/>
        <v/>
      </c>
      <c r="CV101" s="6" t="str">
        <f t="shared" si="526"/>
        <v/>
      </c>
      <c r="CW101" s="7" t="str">
        <f t="shared" si="527"/>
        <v/>
      </c>
      <c r="CX101" s="10" t="str">
        <f t="shared" si="528"/>
        <v/>
      </c>
      <c r="CY101" s="11" t="str">
        <f t="shared" si="529"/>
        <v/>
      </c>
      <c r="CZ101" s="7" t="str">
        <f t="shared" si="530"/>
        <v/>
      </c>
      <c r="DA101" s="8" t="str">
        <f t="shared" si="531"/>
        <v/>
      </c>
      <c r="DB101" s="6" t="str">
        <f t="shared" si="532"/>
        <v/>
      </c>
      <c r="DC101" s="7" t="str">
        <f t="shared" si="532"/>
        <v/>
      </c>
      <c r="DD101" s="12" t="str">
        <f t="shared" si="533"/>
        <v/>
      </c>
      <c r="DE101" s="11" t="str">
        <f t="shared" si="534"/>
        <v/>
      </c>
      <c r="DF101" s="7" t="str">
        <f t="shared" si="534"/>
        <v/>
      </c>
      <c r="DG101" s="12" t="str">
        <f t="shared" si="535"/>
        <v/>
      </c>
      <c r="DH101" s="174" t="str">
        <f t="shared" si="536"/>
        <v/>
      </c>
      <c r="DI101" s="6" t="str">
        <f t="shared" si="537"/>
        <v/>
      </c>
      <c r="DJ101" s="7" t="str">
        <f t="shared" si="538"/>
        <v/>
      </c>
      <c r="DK101" s="12" t="str">
        <f t="shared" si="539"/>
        <v/>
      </c>
      <c r="DL101" s="11" t="str">
        <f t="shared" si="540"/>
        <v/>
      </c>
      <c r="DM101" s="328" t="str">
        <f t="shared" si="541"/>
        <v/>
      </c>
      <c r="DN101" s="376" t="str">
        <f t="shared" si="542"/>
        <v/>
      </c>
      <c r="DO101" s="11" t="str">
        <f t="shared" si="543"/>
        <v/>
      </c>
      <c r="DP101" s="328" t="str">
        <f t="shared" si="544"/>
        <v/>
      </c>
      <c r="DQ101" s="13" t="str">
        <f t="shared" si="545"/>
        <v/>
      </c>
      <c r="DR101" s="328" t="str">
        <f t="shared" si="546"/>
        <v/>
      </c>
      <c r="DS101" s="7" t="str">
        <f t="shared" si="547"/>
        <v/>
      </c>
      <c r="DT101" s="7" t="str">
        <f t="shared" si="548"/>
        <v/>
      </c>
      <c r="DU101" s="7" t="str">
        <f t="shared" si="549"/>
        <v/>
      </c>
      <c r="DV101" s="7" t="str">
        <f t="shared" si="550"/>
        <v/>
      </c>
      <c r="DW101" s="7" t="str">
        <f t="shared" si="551"/>
        <v/>
      </c>
      <c r="DX101" s="296" t="str">
        <f t="shared" si="552"/>
        <v/>
      </c>
      <c r="DY101" s="11" t="str">
        <f t="shared" si="553"/>
        <v/>
      </c>
      <c r="DZ101" s="7" t="str">
        <f t="shared" si="554"/>
        <v/>
      </c>
      <c r="EA101" s="12" t="str">
        <f t="shared" si="555"/>
        <v/>
      </c>
      <c r="EB101" s="8" t="str">
        <f t="shared" si="556"/>
        <v/>
      </c>
      <c r="EC101" s="328" t="str">
        <f t="shared" si="557"/>
        <v/>
      </c>
      <c r="ED101" s="7" t="str">
        <f t="shared" si="558"/>
        <v/>
      </c>
      <c r="EE101" s="6" t="str">
        <f t="shared" si="559"/>
        <v/>
      </c>
      <c r="EF101" s="7" t="str">
        <f t="shared" si="560"/>
        <v/>
      </c>
      <c r="EG101" s="12" t="str">
        <f t="shared" si="561"/>
        <v/>
      </c>
      <c r="EH101" s="11" t="str">
        <f t="shared" si="562"/>
        <v/>
      </c>
      <c r="EI101" s="7" t="str">
        <f t="shared" si="563"/>
        <v/>
      </c>
      <c r="EJ101" s="8" t="str">
        <f t="shared" si="564"/>
        <v/>
      </c>
      <c r="EK101" s="491" t="str">
        <f t="shared" si="565"/>
        <v/>
      </c>
      <c r="EL101" s="493" t="str">
        <f t="shared" si="566"/>
        <v/>
      </c>
      <c r="EM101" s="6" t="str">
        <f t="shared" si="567"/>
        <v/>
      </c>
      <c r="EN101" s="7" t="str">
        <f t="shared" si="568"/>
        <v/>
      </c>
      <c r="EO101" s="12" t="str">
        <f t="shared" si="569"/>
        <v/>
      </c>
      <c r="EP101" s="11" t="str">
        <f t="shared" si="570"/>
        <v/>
      </c>
      <c r="EQ101" s="7" t="str">
        <f t="shared" si="571"/>
        <v/>
      </c>
      <c r="ER101" s="9" t="str">
        <f t="shared" si="572"/>
        <v/>
      </c>
      <c r="ES101" s="24" t="str">
        <f t="shared" si="573"/>
        <v/>
      </c>
      <c r="ET101" s="7" t="str">
        <f t="shared" si="574"/>
        <v/>
      </c>
      <c r="EU101" s="12" t="str">
        <f t="shared" si="575"/>
        <v/>
      </c>
      <c r="EV101" s="337" t="str">
        <f t="shared" si="445"/>
        <v/>
      </c>
      <c r="EW101" s="11" t="str">
        <f t="shared" si="446"/>
        <v/>
      </c>
      <c r="EX101" s="7" t="str">
        <f t="shared" si="447"/>
        <v/>
      </c>
      <c r="EY101" s="8" t="str">
        <f t="shared" si="576"/>
        <v/>
      </c>
      <c r="EZ101" s="123" t="str">
        <f t="shared" si="577"/>
        <v/>
      </c>
      <c r="FA101" s="328" t="str">
        <f t="shared" si="448"/>
        <v/>
      </c>
      <c r="FB101" s="7" t="str">
        <f t="shared" si="449"/>
        <v/>
      </c>
      <c r="FC101" s="8" t="str">
        <f t="shared" si="450"/>
        <v/>
      </c>
      <c r="FD101" s="6" t="str">
        <f t="shared" si="451"/>
        <v/>
      </c>
      <c r="FE101" s="7" t="str">
        <f t="shared" si="452"/>
        <v/>
      </c>
      <c r="FF101" s="9" t="str">
        <f t="shared" si="578"/>
        <v/>
      </c>
      <c r="FG101" s="328" t="str">
        <f t="shared" si="453"/>
        <v/>
      </c>
      <c r="FH101" s="7" t="str">
        <f t="shared" si="454"/>
        <v/>
      </c>
      <c r="FI101" s="12" t="str">
        <f t="shared" si="455"/>
        <v/>
      </c>
      <c r="FJ101" s="547" t="str">
        <f t="shared" si="579"/>
        <v/>
      </c>
      <c r="FK101" s="6" t="str">
        <f t="shared" si="456"/>
        <v/>
      </c>
      <c r="FL101" s="7" t="str">
        <f t="shared" si="491"/>
        <v/>
      </c>
      <c r="FM101" s="10" t="str">
        <f t="shared" si="492"/>
        <v/>
      </c>
      <c r="FN101" s="11" t="str">
        <f t="shared" si="493"/>
        <v/>
      </c>
      <c r="FO101" s="12" t="str">
        <f t="shared" si="457"/>
        <v/>
      </c>
      <c r="FP101" s="545" t="str">
        <f t="shared" si="494"/>
        <v/>
      </c>
      <c r="FQ101" s="328" t="str">
        <f t="shared" si="580"/>
        <v/>
      </c>
      <c r="FR101" s="12" t="str">
        <f t="shared" si="581"/>
        <v/>
      </c>
      <c r="FS101" s="11" t="str">
        <f t="shared" si="582"/>
        <v/>
      </c>
      <c r="FT101" s="8" t="str">
        <f t="shared" si="583"/>
        <v/>
      </c>
      <c r="FU101" s="6" t="str">
        <f t="shared" si="584"/>
        <v/>
      </c>
      <c r="FV101" s="7" t="str">
        <f t="shared" si="585"/>
        <v/>
      </c>
      <c r="FW101" s="10" t="str">
        <f t="shared" si="586"/>
        <v/>
      </c>
      <c r="FX101" s="11" t="str">
        <f t="shared" si="587"/>
        <v/>
      </c>
      <c r="FY101" s="12" t="str">
        <f t="shared" si="458"/>
        <v/>
      </c>
      <c r="FZ101" s="545" t="str">
        <f t="shared" si="588"/>
        <v/>
      </c>
      <c r="GA101" s="372" t="str">
        <f t="shared" si="589"/>
        <v/>
      </c>
      <c r="GB101" s="46" t="str">
        <f t="shared" si="590"/>
        <v/>
      </c>
      <c r="GC101" s="47" t="str">
        <f t="shared" si="591"/>
        <v/>
      </c>
      <c r="GD101" s="578" t="str">
        <f t="shared" si="592"/>
        <v/>
      </c>
      <c r="GE101" s="585" t="str">
        <f t="shared" si="593"/>
        <v/>
      </c>
      <c r="GF101" s="634" t="str">
        <f t="shared" si="594"/>
        <v/>
      </c>
      <c r="GG101" s="553" t="str">
        <f t="shared" si="459"/>
        <v/>
      </c>
      <c r="GH101" s="554" t="str">
        <f t="shared" si="460"/>
        <v/>
      </c>
      <c r="GI101" s="549" t="str">
        <f t="shared" si="461"/>
        <v/>
      </c>
      <c r="GJ101" s="296" t="str">
        <f t="shared" si="595"/>
        <v/>
      </c>
      <c r="GK101" s="337" t="str">
        <f t="shared" si="462"/>
        <v/>
      </c>
      <c r="GL101" s="337" t="str">
        <f t="shared" si="596"/>
        <v/>
      </c>
      <c r="GM101" s="372" t="str">
        <f t="shared" si="597"/>
        <v/>
      </c>
      <c r="GN101" s="548" t="str">
        <f t="shared" si="598"/>
        <v/>
      </c>
      <c r="GO101" s="6" t="str">
        <f t="shared" si="599"/>
        <v/>
      </c>
      <c r="GP101" s="10" t="str">
        <f t="shared" si="600"/>
        <v/>
      </c>
      <c r="GQ101" s="372" t="str">
        <f t="shared" si="601"/>
        <v/>
      </c>
      <c r="GR101" s="697" t="str">
        <f t="shared" si="602"/>
        <v/>
      </c>
      <c r="GS101" s="637" t="str">
        <f t="shared" si="463"/>
        <v/>
      </c>
      <c r="GT101" s="638" t="str">
        <f t="shared" si="464"/>
        <v/>
      </c>
      <c r="GU101" s="639" t="str">
        <f t="shared" si="465"/>
        <v/>
      </c>
      <c r="GV101" s="638" t="str">
        <f t="shared" si="603"/>
        <v/>
      </c>
      <c r="GW101" s="640" t="str">
        <f t="shared" si="466"/>
        <v/>
      </c>
      <c r="GX101" s="641" t="str">
        <f t="shared" si="467"/>
        <v/>
      </c>
      <c r="GY101" s="639" t="str">
        <f t="shared" si="468"/>
        <v/>
      </c>
      <c r="GZ101" s="640" t="str">
        <f t="shared" si="469"/>
        <v/>
      </c>
      <c r="HA101" s="637" t="str">
        <f t="shared" si="470"/>
        <v/>
      </c>
      <c r="HB101" s="7" t="str">
        <f t="shared" si="604"/>
        <v/>
      </c>
      <c r="HC101" s="638" t="str">
        <f t="shared" si="605"/>
        <v/>
      </c>
      <c r="HD101" s="682" t="str">
        <f t="shared" si="606"/>
        <v/>
      </c>
      <c r="HE101" s="639" t="str">
        <f t="shared" si="471"/>
        <v/>
      </c>
      <c r="HF101" s="7" t="str">
        <f t="shared" si="472"/>
        <v/>
      </c>
      <c r="HG101" s="638" t="str">
        <f t="shared" si="607"/>
        <v/>
      </c>
      <c r="HH101" s="644" t="str">
        <f t="shared" si="608"/>
        <v/>
      </c>
      <c r="HI101" s="596" t="str">
        <f t="shared" si="609"/>
        <v/>
      </c>
      <c r="HK101" s="584" t="str">
        <f t="shared" si="217"/>
        <v/>
      </c>
      <c r="HL101" s="583" t="str">
        <f t="shared" si="495"/>
        <v/>
      </c>
      <c r="HM101" s="643" t="str">
        <f t="shared" si="618"/>
        <v/>
      </c>
      <c r="HN101" s="660" t="str">
        <f t="shared" si="618"/>
        <v/>
      </c>
      <c r="HO101" s="661" t="str">
        <f t="shared" si="618"/>
        <v/>
      </c>
      <c r="HP101" s="656" t="str">
        <f t="shared" si="618"/>
        <v/>
      </c>
      <c r="HQ101" s="660" t="str">
        <f t="shared" si="618"/>
        <v/>
      </c>
      <c r="HR101" s="671" t="str">
        <f t="shared" si="618"/>
        <v/>
      </c>
      <c r="HS101" s="655" t="str">
        <f t="shared" si="618"/>
        <v/>
      </c>
      <c r="HT101" s="648" t="str">
        <f t="shared" si="618"/>
        <v/>
      </c>
      <c r="HU101" s="649" t="str">
        <f t="shared" si="618"/>
        <v/>
      </c>
      <c r="HV101" s="650" t="str">
        <f t="shared" si="618"/>
        <v/>
      </c>
      <c r="HW101" s="648" t="str">
        <f t="shared" si="618"/>
        <v/>
      </c>
      <c r="HX101" s="649" t="str">
        <f t="shared" si="618"/>
        <v/>
      </c>
      <c r="HY101" s="650" t="str">
        <f t="shared" si="618"/>
        <v/>
      </c>
      <c r="HZ101" s="648" t="str">
        <f t="shared" si="618"/>
        <v/>
      </c>
      <c r="IA101" s="649" t="str">
        <f t="shared" si="618"/>
        <v/>
      </c>
      <c r="IB101" s="716"/>
    </row>
    <row r="102" spans="2:236" ht="15" customHeight="1" x14ac:dyDescent="0.25">
      <c r="B102" s="143"/>
      <c r="C102" s="144"/>
      <c r="D102" s="145"/>
      <c r="E102" s="146"/>
      <c r="F102" s="144"/>
      <c r="G102" s="147"/>
      <c r="H102" s="146"/>
      <c r="I102" s="144"/>
      <c r="J102" s="306"/>
      <c r="K102" s="699" t="str">
        <f t="shared" si="610"/>
        <v/>
      </c>
      <c r="M102" s="292" t="str">
        <f t="shared" si="46"/>
        <v/>
      </c>
      <c r="N102" s="24" t="str">
        <f t="shared" si="47"/>
        <v/>
      </c>
      <c r="O102" s="7" t="str">
        <f t="shared" si="48"/>
        <v/>
      </c>
      <c r="P102" s="12" t="str">
        <f t="shared" si="49"/>
        <v/>
      </c>
      <c r="Q102" s="11" t="str">
        <f t="shared" si="473"/>
        <v/>
      </c>
      <c r="R102" s="7" t="str">
        <f t="shared" si="50"/>
        <v/>
      </c>
      <c r="S102" s="8" t="str">
        <f t="shared" si="51"/>
        <v/>
      </c>
      <c r="T102" s="6" t="str">
        <f t="shared" si="52"/>
        <v/>
      </c>
      <c r="U102" s="7" t="str">
        <f t="shared" si="53"/>
        <v/>
      </c>
      <c r="V102" s="10" t="str">
        <f t="shared" si="86"/>
        <v/>
      </c>
      <c r="W102" s="11" t="str">
        <f t="shared" si="614"/>
        <v/>
      </c>
      <c r="X102" s="7" t="str">
        <f t="shared" si="54"/>
        <v/>
      </c>
      <c r="Y102" s="9" t="str">
        <f t="shared" si="611"/>
        <v/>
      </c>
      <c r="Z102" s="24" t="str">
        <f t="shared" si="87"/>
        <v/>
      </c>
      <c r="AA102" s="7" t="str">
        <f t="shared" si="55"/>
        <v/>
      </c>
      <c r="AB102" s="7" t="str">
        <f t="shared" si="56"/>
        <v/>
      </c>
      <c r="AC102" s="10" t="str">
        <f t="shared" si="57"/>
        <v/>
      </c>
      <c r="AD102" s="11" t="str">
        <f t="shared" si="88"/>
        <v/>
      </c>
      <c r="AE102" s="7" t="str">
        <f t="shared" si="58"/>
        <v/>
      </c>
      <c r="AF102" s="12" t="str">
        <f t="shared" si="59"/>
        <v/>
      </c>
      <c r="AG102" s="6" t="str">
        <f t="shared" si="60"/>
        <v/>
      </c>
      <c r="AH102" s="12" t="str">
        <f t="shared" si="61"/>
        <v/>
      </c>
      <c r="AI102" s="11" t="str">
        <f t="shared" si="62"/>
        <v/>
      </c>
      <c r="AJ102" s="8" t="str">
        <f t="shared" si="63"/>
        <v/>
      </c>
      <c r="AK102" s="6" t="str">
        <f t="shared" si="89"/>
        <v/>
      </c>
      <c r="AL102" s="7" t="str">
        <f t="shared" si="64"/>
        <v/>
      </c>
      <c r="AM102" s="8" t="str">
        <f t="shared" si="65"/>
        <v/>
      </c>
      <c r="AN102" s="6" t="str">
        <f t="shared" si="66"/>
        <v/>
      </c>
      <c r="AO102" s="10" t="str">
        <f t="shared" si="376"/>
        <v/>
      </c>
      <c r="AP102" s="11" t="str">
        <f t="shared" si="67"/>
        <v/>
      </c>
      <c r="AQ102" s="8" t="str">
        <f t="shared" si="612"/>
        <v/>
      </c>
      <c r="AS102" s="123" t="str">
        <f t="shared" si="496"/>
        <v/>
      </c>
      <c r="AT102" s="175" t="str">
        <f t="shared" si="617"/>
        <v/>
      </c>
      <c r="AV102" s="292" t="str">
        <f t="shared" si="497"/>
        <v/>
      </c>
      <c r="AW102" s="709"/>
      <c r="AX102" s="710"/>
      <c r="AY102" s="711"/>
      <c r="AZ102" s="565" t="str">
        <f t="shared" si="498"/>
        <v/>
      </c>
      <c r="BA102" s="564" t="str">
        <f t="shared" si="499"/>
        <v/>
      </c>
      <c r="BB102" s="372" t="str">
        <f t="shared" si="474"/>
        <v/>
      </c>
      <c r="BC102" s="11"/>
      <c r="BD102" s="7" t="str">
        <f t="shared" si="475"/>
        <v/>
      </c>
      <c r="BE102" s="8" t="str">
        <f t="shared" si="476"/>
        <v/>
      </c>
      <c r="BF102" s="6" t="str">
        <f t="shared" si="500"/>
        <v/>
      </c>
      <c r="BG102" s="7" t="str">
        <f t="shared" si="501"/>
        <v/>
      </c>
      <c r="BH102" s="12" t="str">
        <f t="shared" si="502"/>
        <v/>
      </c>
      <c r="BI102" s="11" t="str">
        <f t="shared" si="503"/>
        <v/>
      </c>
      <c r="BJ102" s="7" t="str">
        <f t="shared" si="504"/>
        <v/>
      </c>
      <c r="BK102" s="10" t="str">
        <f t="shared" si="505"/>
        <v/>
      </c>
      <c r="BL102" s="328" t="str">
        <f t="shared" si="506"/>
        <v/>
      </c>
      <c r="BM102" s="7" t="str">
        <f t="shared" si="507"/>
        <v/>
      </c>
      <c r="BN102" s="8" t="str">
        <f t="shared" si="508"/>
        <v/>
      </c>
      <c r="BO102" s="6" t="str">
        <f t="shared" si="509"/>
        <v/>
      </c>
      <c r="BP102" s="7" t="str">
        <f t="shared" si="510"/>
        <v/>
      </c>
      <c r="BQ102" s="7" t="str">
        <f t="shared" si="511"/>
        <v/>
      </c>
      <c r="BR102" s="8" t="str">
        <f t="shared" si="512"/>
        <v/>
      </c>
      <c r="BS102" s="6" t="str">
        <f t="shared" si="477"/>
        <v/>
      </c>
      <c r="BT102" s="7" t="str">
        <f t="shared" si="477"/>
        <v/>
      </c>
      <c r="BU102" s="12" t="str">
        <f t="shared" si="478"/>
        <v/>
      </c>
      <c r="BV102" s="11" t="str">
        <f t="shared" si="479"/>
        <v/>
      </c>
      <c r="BW102" s="7" t="str">
        <f t="shared" si="480"/>
        <v/>
      </c>
      <c r="BX102" s="10" t="str">
        <f t="shared" si="481"/>
        <v/>
      </c>
      <c r="BY102" s="328" t="str">
        <f t="shared" si="482"/>
        <v/>
      </c>
      <c r="BZ102" s="7" t="str">
        <f t="shared" si="483"/>
        <v/>
      </c>
      <c r="CA102" s="8" t="str">
        <f t="shared" si="484"/>
        <v/>
      </c>
      <c r="CB102" s="6" t="str">
        <f t="shared" si="513"/>
        <v/>
      </c>
      <c r="CC102" s="7" t="str">
        <f t="shared" si="514"/>
        <v/>
      </c>
      <c r="CD102" s="7" t="str">
        <f t="shared" si="515"/>
        <v/>
      </c>
      <c r="CE102" s="8" t="str">
        <f t="shared" si="516"/>
        <v/>
      </c>
      <c r="CF102" s="6" t="str">
        <f t="shared" si="517"/>
        <v/>
      </c>
      <c r="CG102" s="7" t="str">
        <f t="shared" si="518"/>
        <v/>
      </c>
      <c r="CH102" s="7" t="str">
        <f t="shared" si="519"/>
        <v/>
      </c>
      <c r="CI102" s="6" t="str">
        <f t="shared" si="485"/>
        <v/>
      </c>
      <c r="CJ102" s="7" t="str">
        <f t="shared" si="486"/>
        <v/>
      </c>
      <c r="CK102" s="10" t="str">
        <f t="shared" si="487"/>
        <v/>
      </c>
      <c r="CL102" s="328" t="str">
        <f t="shared" si="488"/>
        <v/>
      </c>
      <c r="CM102" s="7" t="str">
        <f t="shared" si="489"/>
        <v/>
      </c>
      <c r="CN102" s="8" t="str">
        <f t="shared" si="490"/>
        <v/>
      </c>
      <c r="CO102" s="296" t="str">
        <f t="shared" si="613"/>
        <v/>
      </c>
      <c r="CP102" s="6" t="str">
        <f t="shared" si="520"/>
        <v/>
      </c>
      <c r="CQ102" s="7" t="str">
        <f t="shared" si="521"/>
        <v/>
      </c>
      <c r="CR102" s="7" t="str">
        <f t="shared" si="522"/>
        <v/>
      </c>
      <c r="CS102" s="10" t="str">
        <f t="shared" si="523"/>
        <v/>
      </c>
      <c r="CT102" s="11" t="str">
        <f t="shared" si="524"/>
        <v/>
      </c>
      <c r="CU102" s="8" t="str">
        <f t="shared" si="525"/>
        <v/>
      </c>
      <c r="CV102" s="6" t="str">
        <f t="shared" si="526"/>
        <v/>
      </c>
      <c r="CW102" s="7" t="str">
        <f t="shared" si="527"/>
        <v/>
      </c>
      <c r="CX102" s="10" t="str">
        <f t="shared" si="528"/>
        <v/>
      </c>
      <c r="CY102" s="11" t="str">
        <f t="shared" si="529"/>
        <v/>
      </c>
      <c r="CZ102" s="7" t="str">
        <f t="shared" si="530"/>
        <v/>
      </c>
      <c r="DA102" s="8" t="str">
        <f t="shared" si="531"/>
        <v/>
      </c>
      <c r="DB102" s="6" t="str">
        <f t="shared" si="532"/>
        <v/>
      </c>
      <c r="DC102" s="7" t="str">
        <f t="shared" si="532"/>
        <v/>
      </c>
      <c r="DD102" s="12" t="str">
        <f t="shared" si="533"/>
        <v/>
      </c>
      <c r="DE102" s="11" t="str">
        <f t="shared" si="534"/>
        <v/>
      </c>
      <c r="DF102" s="7" t="str">
        <f t="shared" si="534"/>
        <v/>
      </c>
      <c r="DG102" s="12" t="str">
        <f t="shared" si="535"/>
        <v/>
      </c>
      <c r="DH102" s="174" t="str">
        <f t="shared" si="536"/>
        <v/>
      </c>
      <c r="DI102" s="6" t="str">
        <f t="shared" si="537"/>
        <v/>
      </c>
      <c r="DJ102" s="7" t="str">
        <f t="shared" si="538"/>
        <v/>
      </c>
      <c r="DK102" s="12" t="str">
        <f t="shared" si="539"/>
        <v/>
      </c>
      <c r="DL102" s="11" t="str">
        <f t="shared" si="540"/>
        <v/>
      </c>
      <c r="DM102" s="328" t="str">
        <f t="shared" si="541"/>
        <v/>
      </c>
      <c r="DN102" s="376" t="str">
        <f t="shared" si="542"/>
        <v/>
      </c>
      <c r="DO102" s="11" t="str">
        <f t="shared" si="543"/>
        <v/>
      </c>
      <c r="DP102" s="328" t="str">
        <f t="shared" si="544"/>
        <v/>
      </c>
      <c r="DQ102" s="13" t="str">
        <f t="shared" si="545"/>
        <v/>
      </c>
      <c r="DR102" s="328" t="str">
        <f t="shared" si="546"/>
        <v/>
      </c>
      <c r="DS102" s="7" t="str">
        <f t="shared" si="547"/>
        <v/>
      </c>
      <c r="DT102" s="7" t="str">
        <f t="shared" si="548"/>
        <v/>
      </c>
      <c r="DU102" s="7" t="str">
        <f t="shared" si="549"/>
        <v/>
      </c>
      <c r="DV102" s="7" t="str">
        <f t="shared" si="550"/>
        <v/>
      </c>
      <c r="DW102" s="7" t="str">
        <f t="shared" si="551"/>
        <v/>
      </c>
      <c r="DX102" s="296" t="str">
        <f t="shared" si="552"/>
        <v/>
      </c>
      <c r="DY102" s="11" t="str">
        <f t="shared" si="553"/>
        <v/>
      </c>
      <c r="DZ102" s="7" t="str">
        <f t="shared" si="554"/>
        <v/>
      </c>
      <c r="EA102" s="12" t="str">
        <f t="shared" si="555"/>
        <v/>
      </c>
      <c r="EB102" s="8" t="str">
        <f t="shared" si="556"/>
        <v/>
      </c>
      <c r="EC102" s="328" t="str">
        <f t="shared" si="557"/>
        <v/>
      </c>
      <c r="ED102" s="7" t="str">
        <f t="shared" si="558"/>
        <v/>
      </c>
      <c r="EE102" s="6" t="str">
        <f t="shared" si="559"/>
        <v/>
      </c>
      <c r="EF102" s="7" t="str">
        <f t="shared" si="560"/>
        <v/>
      </c>
      <c r="EG102" s="12" t="str">
        <f t="shared" si="561"/>
        <v/>
      </c>
      <c r="EH102" s="11" t="str">
        <f t="shared" si="562"/>
        <v/>
      </c>
      <c r="EI102" s="7" t="str">
        <f t="shared" si="563"/>
        <v/>
      </c>
      <c r="EJ102" s="8" t="str">
        <f t="shared" si="564"/>
        <v/>
      </c>
      <c r="EK102" s="491" t="str">
        <f t="shared" si="565"/>
        <v/>
      </c>
      <c r="EL102" s="493" t="str">
        <f t="shared" si="566"/>
        <v/>
      </c>
      <c r="EM102" s="6" t="str">
        <f t="shared" si="567"/>
        <v/>
      </c>
      <c r="EN102" s="7" t="str">
        <f t="shared" si="568"/>
        <v/>
      </c>
      <c r="EO102" s="12" t="str">
        <f t="shared" si="569"/>
        <v/>
      </c>
      <c r="EP102" s="11" t="str">
        <f t="shared" si="570"/>
        <v/>
      </c>
      <c r="EQ102" s="7" t="str">
        <f t="shared" si="571"/>
        <v/>
      </c>
      <c r="ER102" s="9" t="str">
        <f t="shared" si="572"/>
        <v/>
      </c>
      <c r="ES102" s="24" t="str">
        <f t="shared" si="573"/>
        <v/>
      </c>
      <c r="ET102" s="7" t="str">
        <f t="shared" si="574"/>
        <v/>
      </c>
      <c r="EU102" s="12" t="str">
        <f t="shared" si="575"/>
        <v/>
      </c>
      <c r="EV102" s="337" t="str">
        <f t="shared" si="445"/>
        <v/>
      </c>
      <c r="EW102" s="11" t="str">
        <f t="shared" si="446"/>
        <v/>
      </c>
      <c r="EX102" s="7" t="str">
        <f t="shared" si="447"/>
        <v/>
      </c>
      <c r="EY102" s="8" t="str">
        <f t="shared" si="576"/>
        <v/>
      </c>
      <c r="EZ102" s="123" t="str">
        <f t="shared" si="577"/>
        <v/>
      </c>
      <c r="FA102" s="328" t="str">
        <f t="shared" si="448"/>
        <v/>
      </c>
      <c r="FB102" s="7" t="str">
        <f t="shared" si="449"/>
        <v/>
      </c>
      <c r="FC102" s="8" t="str">
        <f t="shared" si="450"/>
        <v/>
      </c>
      <c r="FD102" s="6" t="str">
        <f t="shared" si="451"/>
        <v/>
      </c>
      <c r="FE102" s="7" t="str">
        <f t="shared" si="452"/>
        <v/>
      </c>
      <c r="FF102" s="9" t="str">
        <f t="shared" si="578"/>
        <v/>
      </c>
      <c r="FG102" s="328" t="str">
        <f t="shared" si="453"/>
        <v/>
      </c>
      <c r="FH102" s="7" t="str">
        <f t="shared" si="454"/>
        <v/>
      </c>
      <c r="FI102" s="12" t="str">
        <f t="shared" si="455"/>
        <v/>
      </c>
      <c r="FJ102" s="547" t="str">
        <f t="shared" si="579"/>
        <v/>
      </c>
      <c r="FK102" s="6" t="str">
        <f t="shared" si="456"/>
        <v/>
      </c>
      <c r="FL102" s="7" t="str">
        <f t="shared" si="491"/>
        <v/>
      </c>
      <c r="FM102" s="10" t="str">
        <f t="shared" si="492"/>
        <v/>
      </c>
      <c r="FN102" s="11" t="str">
        <f t="shared" si="493"/>
        <v/>
      </c>
      <c r="FO102" s="12" t="str">
        <f t="shared" si="457"/>
        <v/>
      </c>
      <c r="FP102" s="545" t="str">
        <f t="shared" si="494"/>
        <v/>
      </c>
      <c r="FQ102" s="328" t="str">
        <f t="shared" si="580"/>
        <v/>
      </c>
      <c r="FR102" s="12" t="str">
        <f t="shared" si="581"/>
        <v/>
      </c>
      <c r="FS102" s="11" t="str">
        <f t="shared" si="582"/>
        <v/>
      </c>
      <c r="FT102" s="8" t="str">
        <f t="shared" si="583"/>
        <v/>
      </c>
      <c r="FU102" s="6" t="str">
        <f t="shared" si="584"/>
        <v/>
      </c>
      <c r="FV102" s="7" t="str">
        <f t="shared" si="585"/>
        <v/>
      </c>
      <c r="FW102" s="10" t="str">
        <f t="shared" si="586"/>
        <v/>
      </c>
      <c r="FX102" s="11" t="str">
        <f t="shared" si="587"/>
        <v/>
      </c>
      <c r="FY102" s="12" t="str">
        <f t="shared" si="458"/>
        <v/>
      </c>
      <c r="FZ102" s="545" t="str">
        <f t="shared" si="588"/>
        <v/>
      </c>
      <c r="GA102" s="372" t="str">
        <f t="shared" si="589"/>
        <v/>
      </c>
      <c r="GB102" s="46" t="str">
        <f t="shared" si="590"/>
        <v/>
      </c>
      <c r="GC102" s="47" t="str">
        <f t="shared" si="591"/>
        <v/>
      </c>
      <c r="GD102" s="578" t="str">
        <f t="shared" si="592"/>
        <v/>
      </c>
      <c r="GE102" s="585" t="str">
        <f t="shared" si="593"/>
        <v/>
      </c>
      <c r="GF102" s="634" t="str">
        <f t="shared" si="594"/>
        <v/>
      </c>
      <c r="GG102" s="553" t="str">
        <f t="shared" si="459"/>
        <v/>
      </c>
      <c r="GH102" s="554" t="str">
        <f t="shared" si="460"/>
        <v/>
      </c>
      <c r="GI102" s="549" t="str">
        <f t="shared" si="461"/>
        <v/>
      </c>
      <c r="GJ102" s="296" t="str">
        <f t="shared" si="595"/>
        <v/>
      </c>
      <c r="GK102" s="337" t="str">
        <f t="shared" si="462"/>
        <v/>
      </c>
      <c r="GL102" s="337" t="str">
        <f t="shared" si="596"/>
        <v/>
      </c>
      <c r="GM102" s="372" t="str">
        <f t="shared" si="597"/>
        <v/>
      </c>
      <c r="GN102" s="548" t="str">
        <f t="shared" si="598"/>
        <v/>
      </c>
      <c r="GO102" s="6" t="str">
        <f t="shared" si="599"/>
        <v/>
      </c>
      <c r="GP102" s="10" t="str">
        <f t="shared" si="600"/>
        <v/>
      </c>
      <c r="GQ102" s="372" t="str">
        <f t="shared" si="601"/>
        <v/>
      </c>
      <c r="GR102" s="697" t="str">
        <f t="shared" si="602"/>
        <v/>
      </c>
      <c r="GS102" s="637" t="str">
        <f t="shared" si="463"/>
        <v/>
      </c>
      <c r="GT102" s="638" t="str">
        <f t="shared" si="464"/>
        <v/>
      </c>
      <c r="GU102" s="639" t="str">
        <f t="shared" si="465"/>
        <v/>
      </c>
      <c r="GV102" s="638" t="str">
        <f t="shared" si="603"/>
        <v/>
      </c>
      <c r="GW102" s="640" t="str">
        <f t="shared" si="466"/>
        <v/>
      </c>
      <c r="GX102" s="641" t="str">
        <f t="shared" si="467"/>
        <v/>
      </c>
      <c r="GY102" s="639" t="str">
        <f t="shared" si="468"/>
        <v/>
      </c>
      <c r="GZ102" s="640" t="str">
        <f t="shared" si="469"/>
        <v/>
      </c>
      <c r="HA102" s="637" t="str">
        <f t="shared" si="470"/>
        <v/>
      </c>
      <c r="HB102" s="7" t="str">
        <f t="shared" si="604"/>
        <v/>
      </c>
      <c r="HC102" s="638" t="str">
        <f t="shared" si="605"/>
        <v/>
      </c>
      <c r="HD102" s="682" t="str">
        <f t="shared" si="606"/>
        <v/>
      </c>
      <c r="HE102" s="639" t="str">
        <f t="shared" si="471"/>
        <v/>
      </c>
      <c r="HF102" s="7" t="str">
        <f t="shared" si="472"/>
        <v/>
      </c>
      <c r="HG102" s="638" t="str">
        <f t="shared" si="607"/>
        <v/>
      </c>
      <c r="HH102" s="644" t="str">
        <f t="shared" si="608"/>
        <v/>
      </c>
      <c r="HI102" s="596" t="str">
        <f t="shared" si="609"/>
        <v/>
      </c>
      <c r="HK102" s="584" t="str">
        <f t="shared" ref="HK102:HK130" si="619">IF(ISNUMBER(HL102),HK101+1,"")</f>
        <v/>
      </c>
      <c r="HL102" s="583" t="str">
        <f t="shared" si="495"/>
        <v/>
      </c>
      <c r="HM102" s="643" t="str">
        <f t="shared" si="618"/>
        <v/>
      </c>
      <c r="HN102" s="660" t="str">
        <f t="shared" si="618"/>
        <v/>
      </c>
      <c r="HO102" s="661" t="str">
        <f t="shared" si="618"/>
        <v/>
      </c>
      <c r="HP102" s="656" t="str">
        <f t="shared" si="618"/>
        <v/>
      </c>
      <c r="HQ102" s="660" t="str">
        <f t="shared" si="618"/>
        <v/>
      </c>
      <c r="HR102" s="671" t="str">
        <f t="shared" si="618"/>
        <v/>
      </c>
      <c r="HS102" s="655" t="str">
        <f t="shared" si="618"/>
        <v/>
      </c>
      <c r="HT102" s="648" t="str">
        <f t="shared" si="618"/>
        <v/>
      </c>
      <c r="HU102" s="649" t="str">
        <f t="shared" si="618"/>
        <v/>
      </c>
      <c r="HV102" s="650" t="str">
        <f t="shared" si="618"/>
        <v/>
      </c>
      <c r="HW102" s="648" t="str">
        <f t="shared" si="618"/>
        <v/>
      </c>
      <c r="HX102" s="649" t="str">
        <f t="shared" si="618"/>
        <v/>
      </c>
      <c r="HY102" s="650" t="str">
        <f t="shared" si="618"/>
        <v/>
      </c>
      <c r="HZ102" s="648" t="str">
        <f t="shared" si="618"/>
        <v/>
      </c>
      <c r="IA102" s="649" t="str">
        <f t="shared" si="618"/>
        <v/>
      </c>
      <c r="IB102" s="716"/>
    </row>
    <row r="103" spans="2:236" ht="15" customHeight="1" x14ac:dyDescent="0.25">
      <c r="B103" s="143"/>
      <c r="C103" s="144"/>
      <c r="D103" s="145"/>
      <c r="E103" s="146"/>
      <c r="F103" s="144"/>
      <c r="G103" s="147"/>
      <c r="H103" s="146"/>
      <c r="I103" s="144"/>
      <c r="J103" s="306"/>
      <c r="K103" s="699" t="str">
        <f t="shared" si="610"/>
        <v/>
      </c>
      <c r="M103" s="292" t="str">
        <f t="shared" si="46"/>
        <v/>
      </c>
      <c r="N103" s="24" t="str">
        <f t="shared" si="47"/>
        <v/>
      </c>
      <c r="O103" s="7" t="str">
        <f t="shared" si="48"/>
        <v/>
      </c>
      <c r="P103" s="12" t="str">
        <f t="shared" si="49"/>
        <v/>
      </c>
      <c r="Q103" s="11" t="str">
        <f t="shared" si="473"/>
        <v/>
      </c>
      <c r="R103" s="7" t="str">
        <f t="shared" si="50"/>
        <v/>
      </c>
      <c r="S103" s="8" t="str">
        <f t="shared" si="51"/>
        <v/>
      </c>
      <c r="T103" s="6" t="str">
        <f t="shared" si="52"/>
        <v/>
      </c>
      <c r="U103" s="7" t="str">
        <f t="shared" si="53"/>
        <v/>
      </c>
      <c r="V103" s="10" t="str">
        <f t="shared" si="86"/>
        <v/>
      </c>
      <c r="W103" s="11" t="str">
        <f t="shared" si="614"/>
        <v/>
      </c>
      <c r="X103" s="7" t="str">
        <f t="shared" si="54"/>
        <v/>
      </c>
      <c r="Y103" s="9" t="str">
        <f t="shared" si="611"/>
        <v/>
      </c>
      <c r="Z103" s="24" t="str">
        <f t="shared" si="87"/>
        <v/>
      </c>
      <c r="AA103" s="7" t="str">
        <f t="shared" si="55"/>
        <v/>
      </c>
      <c r="AB103" s="7" t="str">
        <f t="shared" si="56"/>
        <v/>
      </c>
      <c r="AC103" s="10" t="str">
        <f t="shared" si="57"/>
        <v/>
      </c>
      <c r="AD103" s="11" t="str">
        <f t="shared" si="88"/>
        <v/>
      </c>
      <c r="AE103" s="7" t="str">
        <f t="shared" si="58"/>
        <v/>
      </c>
      <c r="AF103" s="12" t="str">
        <f t="shared" si="59"/>
        <v/>
      </c>
      <c r="AG103" s="6" t="str">
        <f t="shared" si="60"/>
        <v/>
      </c>
      <c r="AH103" s="12" t="str">
        <f t="shared" si="61"/>
        <v/>
      </c>
      <c r="AI103" s="11" t="str">
        <f t="shared" si="62"/>
        <v/>
      </c>
      <c r="AJ103" s="8" t="str">
        <f t="shared" si="63"/>
        <v/>
      </c>
      <c r="AK103" s="6" t="str">
        <f t="shared" si="89"/>
        <v/>
      </c>
      <c r="AL103" s="7" t="str">
        <f t="shared" si="64"/>
        <v/>
      </c>
      <c r="AM103" s="8" t="str">
        <f t="shared" si="65"/>
        <v/>
      </c>
      <c r="AN103" s="6" t="str">
        <f t="shared" si="66"/>
        <v/>
      </c>
      <c r="AO103" s="10" t="str">
        <f t="shared" si="376"/>
        <v/>
      </c>
      <c r="AP103" s="11" t="str">
        <f t="shared" si="67"/>
        <v/>
      </c>
      <c r="AQ103" s="8" t="str">
        <f t="shared" si="612"/>
        <v/>
      </c>
      <c r="AS103" s="123" t="str">
        <f t="shared" si="496"/>
        <v/>
      </c>
      <c r="AT103" s="175" t="str">
        <f t="shared" si="617"/>
        <v/>
      </c>
      <c r="AV103" s="292" t="str">
        <f t="shared" si="497"/>
        <v/>
      </c>
      <c r="AW103" s="709"/>
      <c r="AX103" s="710"/>
      <c r="AY103" s="711"/>
      <c r="AZ103" s="565" t="str">
        <f t="shared" si="498"/>
        <v/>
      </c>
      <c r="BA103" s="564" t="str">
        <f t="shared" si="499"/>
        <v/>
      </c>
      <c r="BB103" s="372" t="str">
        <f t="shared" si="474"/>
        <v/>
      </c>
      <c r="BC103" s="11"/>
      <c r="BD103" s="7" t="str">
        <f t="shared" si="475"/>
        <v/>
      </c>
      <c r="BE103" s="8" t="str">
        <f t="shared" si="476"/>
        <v/>
      </c>
      <c r="BF103" s="6" t="str">
        <f t="shared" si="500"/>
        <v/>
      </c>
      <c r="BG103" s="7" t="str">
        <f t="shared" si="501"/>
        <v/>
      </c>
      <c r="BH103" s="12" t="str">
        <f t="shared" si="502"/>
        <v/>
      </c>
      <c r="BI103" s="11" t="str">
        <f t="shared" si="503"/>
        <v/>
      </c>
      <c r="BJ103" s="7" t="str">
        <f t="shared" si="504"/>
        <v/>
      </c>
      <c r="BK103" s="10" t="str">
        <f t="shared" si="505"/>
        <v/>
      </c>
      <c r="BL103" s="328" t="str">
        <f t="shared" si="506"/>
        <v/>
      </c>
      <c r="BM103" s="7" t="str">
        <f t="shared" si="507"/>
        <v/>
      </c>
      <c r="BN103" s="8" t="str">
        <f t="shared" si="508"/>
        <v/>
      </c>
      <c r="BO103" s="6" t="str">
        <f t="shared" si="509"/>
        <v/>
      </c>
      <c r="BP103" s="7" t="str">
        <f t="shared" si="510"/>
        <v/>
      </c>
      <c r="BQ103" s="7" t="str">
        <f t="shared" si="511"/>
        <v/>
      </c>
      <c r="BR103" s="8" t="str">
        <f t="shared" si="512"/>
        <v/>
      </c>
      <c r="BS103" s="6" t="str">
        <f t="shared" si="477"/>
        <v/>
      </c>
      <c r="BT103" s="7" t="str">
        <f t="shared" si="477"/>
        <v/>
      </c>
      <c r="BU103" s="12" t="str">
        <f t="shared" si="478"/>
        <v/>
      </c>
      <c r="BV103" s="11" t="str">
        <f t="shared" si="479"/>
        <v/>
      </c>
      <c r="BW103" s="7" t="str">
        <f t="shared" si="480"/>
        <v/>
      </c>
      <c r="BX103" s="10" t="str">
        <f t="shared" si="481"/>
        <v/>
      </c>
      <c r="BY103" s="328" t="str">
        <f t="shared" si="482"/>
        <v/>
      </c>
      <c r="BZ103" s="7" t="str">
        <f t="shared" si="483"/>
        <v/>
      </c>
      <c r="CA103" s="8" t="str">
        <f t="shared" si="484"/>
        <v/>
      </c>
      <c r="CB103" s="6" t="str">
        <f t="shared" si="513"/>
        <v/>
      </c>
      <c r="CC103" s="7" t="str">
        <f t="shared" si="514"/>
        <v/>
      </c>
      <c r="CD103" s="7" t="str">
        <f t="shared" si="515"/>
        <v/>
      </c>
      <c r="CE103" s="8" t="str">
        <f t="shared" si="516"/>
        <v/>
      </c>
      <c r="CF103" s="6" t="str">
        <f t="shared" si="517"/>
        <v/>
      </c>
      <c r="CG103" s="7" t="str">
        <f t="shared" si="518"/>
        <v/>
      </c>
      <c r="CH103" s="7" t="str">
        <f t="shared" si="519"/>
        <v/>
      </c>
      <c r="CI103" s="6" t="str">
        <f t="shared" si="485"/>
        <v/>
      </c>
      <c r="CJ103" s="7" t="str">
        <f t="shared" si="486"/>
        <v/>
      </c>
      <c r="CK103" s="10" t="str">
        <f t="shared" si="487"/>
        <v/>
      </c>
      <c r="CL103" s="328" t="str">
        <f t="shared" si="488"/>
        <v/>
      </c>
      <c r="CM103" s="7" t="str">
        <f t="shared" si="489"/>
        <v/>
      </c>
      <c r="CN103" s="8" t="str">
        <f t="shared" si="490"/>
        <v/>
      </c>
      <c r="CO103" s="296" t="str">
        <f t="shared" si="613"/>
        <v/>
      </c>
      <c r="CP103" s="6" t="str">
        <f t="shared" si="520"/>
        <v/>
      </c>
      <c r="CQ103" s="7" t="str">
        <f t="shared" si="521"/>
        <v/>
      </c>
      <c r="CR103" s="7" t="str">
        <f t="shared" si="522"/>
        <v/>
      </c>
      <c r="CS103" s="10" t="str">
        <f t="shared" si="523"/>
        <v/>
      </c>
      <c r="CT103" s="11" t="str">
        <f t="shared" si="524"/>
        <v/>
      </c>
      <c r="CU103" s="8" t="str">
        <f t="shared" si="525"/>
        <v/>
      </c>
      <c r="CV103" s="6" t="str">
        <f t="shared" si="526"/>
        <v/>
      </c>
      <c r="CW103" s="7" t="str">
        <f t="shared" si="527"/>
        <v/>
      </c>
      <c r="CX103" s="10" t="str">
        <f t="shared" si="528"/>
        <v/>
      </c>
      <c r="CY103" s="11" t="str">
        <f t="shared" si="529"/>
        <v/>
      </c>
      <c r="CZ103" s="7" t="str">
        <f t="shared" si="530"/>
        <v/>
      </c>
      <c r="DA103" s="8" t="str">
        <f t="shared" si="531"/>
        <v/>
      </c>
      <c r="DB103" s="6" t="str">
        <f t="shared" si="532"/>
        <v/>
      </c>
      <c r="DC103" s="7" t="str">
        <f t="shared" si="532"/>
        <v/>
      </c>
      <c r="DD103" s="12" t="str">
        <f t="shared" si="533"/>
        <v/>
      </c>
      <c r="DE103" s="11" t="str">
        <f t="shared" si="534"/>
        <v/>
      </c>
      <c r="DF103" s="7" t="str">
        <f t="shared" si="534"/>
        <v/>
      </c>
      <c r="DG103" s="12" t="str">
        <f t="shared" si="535"/>
        <v/>
      </c>
      <c r="DH103" s="174" t="str">
        <f t="shared" si="536"/>
        <v/>
      </c>
      <c r="DI103" s="6" t="str">
        <f t="shared" si="537"/>
        <v/>
      </c>
      <c r="DJ103" s="7" t="str">
        <f t="shared" si="538"/>
        <v/>
      </c>
      <c r="DK103" s="12" t="str">
        <f t="shared" si="539"/>
        <v/>
      </c>
      <c r="DL103" s="11" t="str">
        <f t="shared" si="540"/>
        <v/>
      </c>
      <c r="DM103" s="328" t="str">
        <f t="shared" si="541"/>
        <v/>
      </c>
      <c r="DN103" s="376" t="str">
        <f t="shared" si="542"/>
        <v/>
      </c>
      <c r="DO103" s="11" t="str">
        <f t="shared" si="543"/>
        <v/>
      </c>
      <c r="DP103" s="328" t="str">
        <f t="shared" si="544"/>
        <v/>
      </c>
      <c r="DQ103" s="13" t="str">
        <f t="shared" si="545"/>
        <v/>
      </c>
      <c r="DR103" s="328" t="str">
        <f t="shared" si="546"/>
        <v/>
      </c>
      <c r="DS103" s="7" t="str">
        <f t="shared" si="547"/>
        <v/>
      </c>
      <c r="DT103" s="7" t="str">
        <f t="shared" si="548"/>
        <v/>
      </c>
      <c r="DU103" s="7" t="str">
        <f t="shared" si="549"/>
        <v/>
      </c>
      <c r="DV103" s="7" t="str">
        <f t="shared" si="550"/>
        <v/>
      </c>
      <c r="DW103" s="7" t="str">
        <f t="shared" si="551"/>
        <v/>
      </c>
      <c r="DX103" s="296" t="str">
        <f t="shared" si="552"/>
        <v/>
      </c>
      <c r="DY103" s="11" t="str">
        <f t="shared" si="553"/>
        <v/>
      </c>
      <c r="DZ103" s="7" t="str">
        <f t="shared" si="554"/>
        <v/>
      </c>
      <c r="EA103" s="12" t="str">
        <f t="shared" si="555"/>
        <v/>
      </c>
      <c r="EB103" s="8" t="str">
        <f t="shared" si="556"/>
        <v/>
      </c>
      <c r="EC103" s="328" t="str">
        <f t="shared" si="557"/>
        <v/>
      </c>
      <c r="ED103" s="7" t="str">
        <f t="shared" si="558"/>
        <v/>
      </c>
      <c r="EE103" s="6" t="str">
        <f t="shared" si="559"/>
        <v/>
      </c>
      <c r="EF103" s="7" t="str">
        <f t="shared" si="560"/>
        <v/>
      </c>
      <c r="EG103" s="12" t="str">
        <f t="shared" si="561"/>
        <v/>
      </c>
      <c r="EH103" s="11" t="str">
        <f t="shared" si="562"/>
        <v/>
      </c>
      <c r="EI103" s="7" t="str">
        <f t="shared" si="563"/>
        <v/>
      </c>
      <c r="EJ103" s="8" t="str">
        <f t="shared" si="564"/>
        <v/>
      </c>
      <c r="EK103" s="491" t="str">
        <f t="shared" si="565"/>
        <v/>
      </c>
      <c r="EL103" s="493" t="str">
        <f t="shared" si="566"/>
        <v/>
      </c>
      <c r="EM103" s="6" t="str">
        <f t="shared" si="567"/>
        <v/>
      </c>
      <c r="EN103" s="7" t="str">
        <f t="shared" si="568"/>
        <v/>
      </c>
      <c r="EO103" s="12" t="str">
        <f t="shared" si="569"/>
        <v/>
      </c>
      <c r="EP103" s="11" t="str">
        <f t="shared" si="570"/>
        <v/>
      </c>
      <c r="EQ103" s="7" t="str">
        <f t="shared" si="571"/>
        <v/>
      </c>
      <c r="ER103" s="9" t="str">
        <f t="shared" si="572"/>
        <v/>
      </c>
      <c r="ES103" s="24" t="str">
        <f t="shared" si="573"/>
        <v/>
      </c>
      <c r="ET103" s="7" t="str">
        <f t="shared" si="574"/>
        <v/>
      </c>
      <c r="EU103" s="12" t="str">
        <f t="shared" si="575"/>
        <v/>
      </c>
      <c r="EV103" s="337" t="str">
        <f t="shared" si="445"/>
        <v/>
      </c>
      <c r="EW103" s="11" t="str">
        <f t="shared" si="446"/>
        <v/>
      </c>
      <c r="EX103" s="7" t="str">
        <f t="shared" si="447"/>
        <v/>
      </c>
      <c r="EY103" s="8" t="str">
        <f t="shared" si="576"/>
        <v/>
      </c>
      <c r="EZ103" s="123" t="str">
        <f t="shared" si="577"/>
        <v/>
      </c>
      <c r="FA103" s="328" t="str">
        <f t="shared" si="448"/>
        <v/>
      </c>
      <c r="FB103" s="7" t="str">
        <f t="shared" si="449"/>
        <v/>
      </c>
      <c r="FC103" s="8" t="str">
        <f t="shared" si="450"/>
        <v/>
      </c>
      <c r="FD103" s="6" t="str">
        <f t="shared" si="451"/>
        <v/>
      </c>
      <c r="FE103" s="7" t="str">
        <f t="shared" si="452"/>
        <v/>
      </c>
      <c r="FF103" s="9" t="str">
        <f t="shared" si="578"/>
        <v/>
      </c>
      <c r="FG103" s="328" t="str">
        <f t="shared" si="453"/>
        <v/>
      </c>
      <c r="FH103" s="7" t="str">
        <f t="shared" si="454"/>
        <v/>
      </c>
      <c r="FI103" s="12" t="str">
        <f t="shared" si="455"/>
        <v/>
      </c>
      <c r="FJ103" s="547" t="str">
        <f t="shared" si="579"/>
        <v/>
      </c>
      <c r="FK103" s="6" t="str">
        <f t="shared" si="456"/>
        <v/>
      </c>
      <c r="FL103" s="7" t="str">
        <f t="shared" si="491"/>
        <v/>
      </c>
      <c r="FM103" s="10" t="str">
        <f t="shared" si="492"/>
        <v/>
      </c>
      <c r="FN103" s="11" t="str">
        <f t="shared" si="493"/>
        <v/>
      </c>
      <c r="FO103" s="12" t="str">
        <f t="shared" si="457"/>
        <v/>
      </c>
      <c r="FP103" s="545" t="str">
        <f t="shared" si="494"/>
        <v/>
      </c>
      <c r="FQ103" s="328" t="str">
        <f t="shared" si="580"/>
        <v/>
      </c>
      <c r="FR103" s="12" t="str">
        <f t="shared" si="581"/>
        <v/>
      </c>
      <c r="FS103" s="11" t="str">
        <f t="shared" si="582"/>
        <v/>
      </c>
      <c r="FT103" s="8" t="str">
        <f t="shared" si="583"/>
        <v/>
      </c>
      <c r="FU103" s="6" t="str">
        <f t="shared" si="584"/>
        <v/>
      </c>
      <c r="FV103" s="7" t="str">
        <f t="shared" si="585"/>
        <v/>
      </c>
      <c r="FW103" s="10" t="str">
        <f t="shared" si="586"/>
        <v/>
      </c>
      <c r="FX103" s="11" t="str">
        <f t="shared" si="587"/>
        <v/>
      </c>
      <c r="FY103" s="12" t="str">
        <f t="shared" si="458"/>
        <v/>
      </c>
      <c r="FZ103" s="545" t="str">
        <f t="shared" si="588"/>
        <v/>
      </c>
      <c r="GA103" s="372" t="str">
        <f t="shared" si="589"/>
        <v/>
      </c>
      <c r="GB103" s="46" t="str">
        <f t="shared" si="590"/>
        <v/>
      </c>
      <c r="GC103" s="47" t="str">
        <f t="shared" si="591"/>
        <v/>
      </c>
      <c r="GD103" s="578" t="str">
        <f t="shared" si="592"/>
        <v/>
      </c>
      <c r="GE103" s="585" t="str">
        <f t="shared" si="593"/>
        <v/>
      </c>
      <c r="GF103" s="634" t="str">
        <f t="shared" si="594"/>
        <v/>
      </c>
      <c r="GG103" s="553" t="str">
        <f t="shared" si="459"/>
        <v/>
      </c>
      <c r="GH103" s="554" t="str">
        <f t="shared" si="460"/>
        <v/>
      </c>
      <c r="GI103" s="549" t="str">
        <f t="shared" si="461"/>
        <v/>
      </c>
      <c r="GJ103" s="296" t="str">
        <f t="shared" si="595"/>
        <v/>
      </c>
      <c r="GK103" s="337" t="str">
        <f t="shared" si="462"/>
        <v/>
      </c>
      <c r="GL103" s="337" t="str">
        <f t="shared" si="596"/>
        <v/>
      </c>
      <c r="GM103" s="372" t="str">
        <f t="shared" si="597"/>
        <v/>
      </c>
      <c r="GN103" s="548" t="str">
        <f t="shared" si="598"/>
        <v/>
      </c>
      <c r="GO103" s="6" t="str">
        <f t="shared" si="599"/>
        <v/>
      </c>
      <c r="GP103" s="10" t="str">
        <f t="shared" si="600"/>
        <v/>
      </c>
      <c r="GQ103" s="372" t="str">
        <f t="shared" si="601"/>
        <v/>
      </c>
      <c r="GR103" s="697" t="str">
        <f t="shared" si="602"/>
        <v/>
      </c>
      <c r="GS103" s="637" t="str">
        <f t="shared" si="463"/>
        <v/>
      </c>
      <c r="GT103" s="638" t="str">
        <f t="shared" si="464"/>
        <v/>
      </c>
      <c r="GU103" s="639" t="str">
        <f t="shared" si="465"/>
        <v/>
      </c>
      <c r="GV103" s="638" t="str">
        <f t="shared" si="603"/>
        <v/>
      </c>
      <c r="GW103" s="640" t="str">
        <f t="shared" si="466"/>
        <v/>
      </c>
      <c r="GX103" s="641" t="str">
        <f t="shared" si="467"/>
        <v/>
      </c>
      <c r="GY103" s="639" t="str">
        <f t="shared" si="468"/>
        <v/>
      </c>
      <c r="GZ103" s="640" t="str">
        <f t="shared" si="469"/>
        <v/>
      </c>
      <c r="HA103" s="637" t="str">
        <f t="shared" si="470"/>
        <v/>
      </c>
      <c r="HB103" s="7" t="str">
        <f t="shared" si="604"/>
        <v/>
      </c>
      <c r="HC103" s="638" t="str">
        <f t="shared" si="605"/>
        <v/>
      </c>
      <c r="HD103" s="682" t="str">
        <f t="shared" si="606"/>
        <v/>
      </c>
      <c r="HE103" s="639" t="str">
        <f t="shared" si="471"/>
        <v/>
      </c>
      <c r="HF103" s="7" t="str">
        <f t="shared" si="472"/>
        <v/>
      </c>
      <c r="HG103" s="638" t="str">
        <f t="shared" si="607"/>
        <v/>
      </c>
      <c r="HH103" s="644" t="str">
        <f t="shared" si="608"/>
        <v/>
      </c>
      <c r="HI103" s="596" t="str">
        <f t="shared" si="609"/>
        <v/>
      </c>
      <c r="HK103" s="584" t="str">
        <f t="shared" si="619"/>
        <v/>
      </c>
      <c r="HL103" s="583" t="str">
        <f t="shared" si="495"/>
        <v/>
      </c>
      <c r="HM103" s="643" t="str">
        <f t="shared" si="618"/>
        <v/>
      </c>
      <c r="HN103" s="660" t="str">
        <f t="shared" si="618"/>
        <v/>
      </c>
      <c r="HO103" s="661" t="str">
        <f t="shared" si="618"/>
        <v/>
      </c>
      <c r="HP103" s="656" t="str">
        <f t="shared" si="618"/>
        <v/>
      </c>
      <c r="HQ103" s="660" t="str">
        <f t="shared" si="618"/>
        <v/>
      </c>
      <c r="HR103" s="671" t="str">
        <f t="shared" si="618"/>
        <v/>
      </c>
      <c r="HS103" s="655" t="str">
        <f t="shared" si="618"/>
        <v/>
      </c>
      <c r="HT103" s="648" t="str">
        <f t="shared" si="618"/>
        <v/>
      </c>
      <c r="HU103" s="649" t="str">
        <f t="shared" si="618"/>
        <v/>
      </c>
      <c r="HV103" s="650" t="str">
        <f t="shared" si="618"/>
        <v/>
      </c>
      <c r="HW103" s="648" t="str">
        <f t="shared" si="618"/>
        <v/>
      </c>
      <c r="HX103" s="649" t="str">
        <f t="shared" si="618"/>
        <v/>
      </c>
      <c r="HY103" s="650" t="str">
        <f t="shared" si="618"/>
        <v/>
      </c>
      <c r="HZ103" s="648" t="str">
        <f t="shared" si="618"/>
        <v/>
      </c>
      <c r="IA103" s="649" t="str">
        <f t="shared" si="618"/>
        <v/>
      </c>
      <c r="IB103" s="716"/>
    </row>
    <row r="104" spans="2:236" ht="15" customHeight="1" x14ac:dyDescent="0.25">
      <c r="B104" s="143"/>
      <c r="C104" s="144"/>
      <c r="D104" s="145"/>
      <c r="E104" s="146"/>
      <c r="F104" s="144"/>
      <c r="G104" s="147"/>
      <c r="H104" s="146"/>
      <c r="I104" s="144"/>
      <c r="J104" s="306"/>
      <c r="K104" s="699" t="str">
        <f t="shared" si="610"/>
        <v/>
      </c>
      <c r="M104" s="292" t="str">
        <f t="shared" si="46"/>
        <v/>
      </c>
      <c r="N104" s="24" t="str">
        <f t="shared" si="47"/>
        <v/>
      </c>
      <c r="O104" s="7" t="str">
        <f t="shared" si="48"/>
        <v/>
      </c>
      <c r="P104" s="12" t="str">
        <f t="shared" si="49"/>
        <v/>
      </c>
      <c r="Q104" s="11" t="str">
        <f t="shared" si="473"/>
        <v/>
      </c>
      <c r="R104" s="7" t="str">
        <f t="shared" si="50"/>
        <v/>
      </c>
      <c r="S104" s="8" t="str">
        <f t="shared" si="51"/>
        <v/>
      </c>
      <c r="T104" s="6" t="str">
        <f t="shared" si="52"/>
        <v/>
      </c>
      <c r="U104" s="7" t="str">
        <f t="shared" si="53"/>
        <v/>
      </c>
      <c r="V104" s="10" t="str">
        <f t="shared" si="86"/>
        <v/>
      </c>
      <c r="W104" s="11" t="str">
        <f t="shared" si="614"/>
        <v/>
      </c>
      <c r="X104" s="7" t="str">
        <f t="shared" si="54"/>
        <v/>
      </c>
      <c r="Y104" s="9" t="str">
        <f t="shared" si="611"/>
        <v/>
      </c>
      <c r="Z104" s="24" t="str">
        <f t="shared" si="87"/>
        <v/>
      </c>
      <c r="AA104" s="7" t="str">
        <f t="shared" si="55"/>
        <v/>
      </c>
      <c r="AB104" s="7" t="str">
        <f t="shared" si="56"/>
        <v/>
      </c>
      <c r="AC104" s="10" t="str">
        <f t="shared" si="57"/>
        <v/>
      </c>
      <c r="AD104" s="11" t="str">
        <f t="shared" si="88"/>
        <v/>
      </c>
      <c r="AE104" s="7" t="str">
        <f t="shared" si="58"/>
        <v/>
      </c>
      <c r="AF104" s="12" t="str">
        <f t="shared" si="59"/>
        <v/>
      </c>
      <c r="AG104" s="6" t="str">
        <f t="shared" si="60"/>
        <v/>
      </c>
      <c r="AH104" s="12" t="str">
        <f t="shared" si="61"/>
        <v/>
      </c>
      <c r="AI104" s="11" t="str">
        <f t="shared" si="62"/>
        <v/>
      </c>
      <c r="AJ104" s="8" t="str">
        <f t="shared" si="63"/>
        <v/>
      </c>
      <c r="AK104" s="6" t="str">
        <f t="shared" si="89"/>
        <v/>
      </c>
      <c r="AL104" s="7" t="str">
        <f t="shared" si="64"/>
        <v/>
      </c>
      <c r="AM104" s="8" t="str">
        <f t="shared" si="65"/>
        <v/>
      </c>
      <c r="AN104" s="6" t="str">
        <f t="shared" si="66"/>
        <v/>
      </c>
      <c r="AO104" s="10" t="str">
        <f t="shared" si="376"/>
        <v/>
      </c>
      <c r="AP104" s="11" t="str">
        <f t="shared" si="67"/>
        <v/>
      </c>
      <c r="AQ104" s="8" t="str">
        <f t="shared" si="612"/>
        <v/>
      </c>
      <c r="AS104" s="123" t="str">
        <f t="shared" si="496"/>
        <v/>
      </c>
      <c r="AT104" s="175" t="str">
        <f t="shared" si="617"/>
        <v/>
      </c>
      <c r="AV104" s="292" t="str">
        <f t="shared" si="497"/>
        <v/>
      </c>
      <c r="AW104" s="709"/>
      <c r="AX104" s="710"/>
      <c r="AY104" s="711"/>
      <c r="AZ104" s="565" t="str">
        <f t="shared" si="498"/>
        <v/>
      </c>
      <c r="BA104" s="564" t="str">
        <f t="shared" si="499"/>
        <v/>
      </c>
      <c r="BB104" s="372" t="str">
        <f t="shared" si="474"/>
        <v/>
      </c>
      <c r="BC104" s="11"/>
      <c r="BD104" s="7" t="str">
        <f t="shared" si="475"/>
        <v/>
      </c>
      <c r="BE104" s="8" t="str">
        <f t="shared" si="476"/>
        <v/>
      </c>
      <c r="BF104" s="6" t="str">
        <f t="shared" si="500"/>
        <v/>
      </c>
      <c r="BG104" s="7" t="str">
        <f t="shared" si="501"/>
        <v/>
      </c>
      <c r="BH104" s="12" t="str">
        <f t="shared" si="502"/>
        <v/>
      </c>
      <c r="BI104" s="11" t="str">
        <f t="shared" si="503"/>
        <v/>
      </c>
      <c r="BJ104" s="7" t="str">
        <f t="shared" si="504"/>
        <v/>
      </c>
      <c r="BK104" s="10" t="str">
        <f t="shared" si="505"/>
        <v/>
      </c>
      <c r="BL104" s="328" t="str">
        <f t="shared" si="506"/>
        <v/>
      </c>
      <c r="BM104" s="7" t="str">
        <f t="shared" si="507"/>
        <v/>
      </c>
      <c r="BN104" s="8" t="str">
        <f t="shared" si="508"/>
        <v/>
      </c>
      <c r="BO104" s="6" t="str">
        <f t="shared" si="509"/>
        <v/>
      </c>
      <c r="BP104" s="7" t="str">
        <f t="shared" si="510"/>
        <v/>
      </c>
      <c r="BQ104" s="7" t="str">
        <f t="shared" si="511"/>
        <v/>
      </c>
      <c r="BR104" s="8" t="str">
        <f t="shared" si="512"/>
        <v/>
      </c>
      <c r="BS104" s="6" t="str">
        <f t="shared" si="477"/>
        <v/>
      </c>
      <c r="BT104" s="7" t="str">
        <f t="shared" si="477"/>
        <v/>
      </c>
      <c r="BU104" s="12" t="str">
        <f t="shared" si="478"/>
        <v/>
      </c>
      <c r="BV104" s="11" t="str">
        <f t="shared" si="479"/>
        <v/>
      </c>
      <c r="BW104" s="7" t="str">
        <f t="shared" si="480"/>
        <v/>
      </c>
      <c r="BX104" s="10" t="str">
        <f t="shared" si="481"/>
        <v/>
      </c>
      <c r="BY104" s="328" t="str">
        <f t="shared" si="482"/>
        <v/>
      </c>
      <c r="BZ104" s="7" t="str">
        <f t="shared" si="483"/>
        <v/>
      </c>
      <c r="CA104" s="8" t="str">
        <f t="shared" si="484"/>
        <v/>
      </c>
      <c r="CB104" s="6" t="str">
        <f t="shared" si="513"/>
        <v/>
      </c>
      <c r="CC104" s="7" t="str">
        <f t="shared" si="514"/>
        <v/>
      </c>
      <c r="CD104" s="7" t="str">
        <f t="shared" si="515"/>
        <v/>
      </c>
      <c r="CE104" s="8" t="str">
        <f t="shared" si="516"/>
        <v/>
      </c>
      <c r="CF104" s="6" t="str">
        <f t="shared" si="517"/>
        <v/>
      </c>
      <c r="CG104" s="7" t="str">
        <f t="shared" si="518"/>
        <v/>
      </c>
      <c r="CH104" s="7" t="str">
        <f t="shared" si="519"/>
        <v/>
      </c>
      <c r="CI104" s="6" t="str">
        <f t="shared" si="485"/>
        <v/>
      </c>
      <c r="CJ104" s="7" t="str">
        <f t="shared" si="486"/>
        <v/>
      </c>
      <c r="CK104" s="10" t="str">
        <f t="shared" si="487"/>
        <v/>
      </c>
      <c r="CL104" s="328" t="str">
        <f t="shared" si="488"/>
        <v/>
      </c>
      <c r="CM104" s="7" t="str">
        <f t="shared" si="489"/>
        <v/>
      </c>
      <c r="CN104" s="8" t="str">
        <f t="shared" si="490"/>
        <v/>
      </c>
      <c r="CO104" s="296" t="str">
        <f t="shared" si="613"/>
        <v/>
      </c>
      <c r="CP104" s="6" t="str">
        <f t="shared" si="520"/>
        <v/>
      </c>
      <c r="CQ104" s="7" t="str">
        <f t="shared" si="521"/>
        <v/>
      </c>
      <c r="CR104" s="7" t="str">
        <f t="shared" si="522"/>
        <v/>
      </c>
      <c r="CS104" s="10" t="str">
        <f t="shared" si="523"/>
        <v/>
      </c>
      <c r="CT104" s="11" t="str">
        <f t="shared" si="524"/>
        <v/>
      </c>
      <c r="CU104" s="8" t="str">
        <f t="shared" si="525"/>
        <v/>
      </c>
      <c r="CV104" s="6" t="str">
        <f t="shared" si="526"/>
        <v/>
      </c>
      <c r="CW104" s="7" t="str">
        <f t="shared" si="527"/>
        <v/>
      </c>
      <c r="CX104" s="10" t="str">
        <f t="shared" si="528"/>
        <v/>
      </c>
      <c r="CY104" s="11" t="str">
        <f t="shared" si="529"/>
        <v/>
      </c>
      <c r="CZ104" s="7" t="str">
        <f t="shared" si="530"/>
        <v/>
      </c>
      <c r="DA104" s="8" t="str">
        <f t="shared" si="531"/>
        <v/>
      </c>
      <c r="DB104" s="6" t="str">
        <f t="shared" si="532"/>
        <v/>
      </c>
      <c r="DC104" s="7" t="str">
        <f t="shared" si="532"/>
        <v/>
      </c>
      <c r="DD104" s="12" t="str">
        <f t="shared" si="533"/>
        <v/>
      </c>
      <c r="DE104" s="11" t="str">
        <f t="shared" si="534"/>
        <v/>
      </c>
      <c r="DF104" s="7" t="str">
        <f t="shared" si="534"/>
        <v/>
      </c>
      <c r="DG104" s="12" t="str">
        <f t="shared" si="535"/>
        <v/>
      </c>
      <c r="DH104" s="174" t="str">
        <f t="shared" si="536"/>
        <v/>
      </c>
      <c r="DI104" s="6" t="str">
        <f t="shared" si="537"/>
        <v/>
      </c>
      <c r="DJ104" s="7" t="str">
        <f t="shared" si="538"/>
        <v/>
      </c>
      <c r="DK104" s="12" t="str">
        <f t="shared" si="539"/>
        <v/>
      </c>
      <c r="DL104" s="11" t="str">
        <f t="shared" si="540"/>
        <v/>
      </c>
      <c r="DM104" s="328" t="str">
        <f t="shared" si="541"/>
        <v/>
      </c>
      <c r="DN104" s="376" t="str">
        <f t="shared" si="542"/>
        <v/>
      </c>
      <c r="DO104" s="11" t="str">
        <f t="shared" si="543"/>
        <v/>
      </c>
      <c r="DP104" s="328" t="str">
        <f t="shared" si="544"/>
        <v/>
      </c>
      <c r="DQ104" s="13" t="str">
        <f t="shared" si="545"/>
        <v/>
      </c>
      <c r="DR104" s="328" t="str">
        <f t="shared" si="546"/>
        <v/>
      </c>
      <c r="DS104" s="7" t="str">
        <f t="shared" si="547"/>
        <v/>
      </c>
      <c r="DT104" s="7" t="str">
        <f t="shared" si="548"/>
        <v/>
      </c>
      <c r="DU104" s="7" t="str">
        <f t="shared" si="549"/>
        <v/>
      </c>
      <c r="DV104" s="7" t="str">
        <f t="shared" si="550"/>
        <v/>
      </c>
      <c r="DW104" s="7" t="str">
        <f t="shared" si="551"/>
        <v/>
      </c>
      <c r="DX104" s="296" t="str">
        <f t="shared" si="552"/>
        <v/>
      </c>
      <c r="DY104" s="11" t="str">
        <f t="shared" si="553"/>
        <v/>
      </c>
      <c r="DZ104" s="7" t="str">
        <f t="shared" si="554"/>
        <v/>
      </c>
      <c r="EA104" s="12" t="str">
        <f t="shared" si="555"/>
        <v/>
      </c>
      <c r="EB104" s="8" t="str">
        <f t="shared" si="556"/>
        <v/>
      </c>
      <c r="EC104" s="328" t="str">
        <f t="shared" si="557"/>
        <v/>
      </c>
      <c r="ED104" s="7" t="str">
        <f t="shared" si="558"/>
        <v/>
      </c>
      <c r="EE104" s="6" t="str">
        <f t="shared" si="559"/>
        <v/>
      </c>
      <c r="EF104" s="7" t="str">
        <f t="shared" si="560"/>
        <v/>
      </c>
      <c r="EG104" s="12" t="str">
        <f t="shared" si="561"/>
        <v/>
      </c>
      <c r="EH104" s="11" t="str">
        <f t="shared" si="562"/>
        <v/>
      </c>
      <c r="EI104" s="7" t="str">
        <f t="shared" si="563"/>
        <v/>
      </c>
      <c r="EJ104" s="8" t="str">
        <f t="shared" si="564"/>
        <v/>
      </c>
      <c r="EK104" s="491" t="str">
        <f t="shared" si="565"/>
        <v/>
      </c>
      <c r="EL104" s="493" t="str">
        <f t="shared" si="566"/>
        <v/>
      </c>
      <c r="EM104" s="6" t="str">
        <f t="shared" si="567"/>
        <v/>
      </c>
      <c r="EN104" s="7" t="str">
        <f t="shared" si="568"/>
        <v/>
      </c>
      <c r="EO104" s="12" t="str">
        <f t="shared" si="569"/>
        <v/>
      </c>
      <c r="EP104" s="11" t="str">
        <f t="shared" si="570"/>
        <v/>
      </c>
      <c r="EQ104" s="7" t="str">
        <f t="shared" si="571"/>
        <v/>
      </c>
      <c r="ER104" s="9" t="str">
        <f t="shared" si="572"/>
        <v/>
      </c>
      <c r="ES104" s="24" t="str">
        <f t="shared" si="573"/>
        <v/>
      </c>
      <c r="ET104" s="7" t="str">
        <f t="shared" si="574"/>
        <v/>
      </c>
      <c r="EU104" s="12" t="str">
        <f t="shared" si="575"/>
        <v/>
      </c>
      <c r="EV104" s="337" t="str">
        <f t="shared" si="445"/>
        <v/>
      </c>
      <c r="EW104" s="11" t="str">
        <f t="shared" si="446"/>
        <v/>
      </c>
      <c r="EX104" s="7" t="str">
        <f t="shared" si="447"/>
        <v/>
      </c>
      <c r="EY104" s="8" t="str">
        <f t="shared" si="576"/>
        <v/>
      </c>
      <c r="EZ104" s="123" t="str">
        <f t="shared" si="577"/>
        <v/>
      </c>
      <c r="FA104" s="328" t="str">
        <f t="shared" si="448"/>
        <v/>
      </c>
      <c r="FB104" s="7" t="str">
        <f t="shared" si="449"/>
        <v/>
      </c>
      <c r="FC104" s="8" t="str">
        <f t="shared" si="450"/>
        <v/>
      </c>
      <c r="FD104" s="6" t="str">
        <f t="shared" si="451"/>
        <v/>
      </c>
      <c r="FE104" s="7" t="str">
        <f t="shared" si="452"/>
        <v/>
      </c>
      <c r="FF104" s="9" t="str">
        <f t="shared" si="578"/>
        <v/>
      </c>
      <c r="FG104" s="328" t="str">
        <f t="shared" si="453"/>
        <v/>
      </c>
      <c r="FH104" s="7" t="str">
        <f t="shared" si="454"/>
        <v/>
      </c>
      <c r="FI104" s="12" t="str">
        <f t="shared" si="455"/>
        <v/>
      </c>
      <c r="FJ104" s="547" t="str">
        <f t="shared" si="579"/>
        <v/>
      </c>
      <c r="FK104" s="6" t="str">
        <f t="shared" si="456"/>
        <v/>
      </c>
      <c r="FL104" s="7" t="str">
        <f t="shared" si="491"/>
        <v/>
      </c>
      <c r="FM104" s="10" t="str">
        <f t="shared" si="492"/>
        <v/>
      </c>
      <c r="FN104" s="11" t="str">
        <f t="shared" si="493"/>
        <v/>
      </c>
      <c r="FO104" s="12" t="str">
        <f t="shared" si="457"/>
        <v/>
      </c>
      <c r="FP104" s="545" t="str">
        <f t="shared" si="494"/>
        <v/>
      </c>
      <c r="FQ104" s="328" t="str">
        <f t="shared" si="580"/>
        <v/>
      </c>
      <c r="FR104" s="12" t="str">
        <f t="shared" si="581"/>
        <v/>
      </c>
      <c r="FS104" s="11" t="str">
        <f t="shared" si="582"/>
        <v/>
      </c>
      <c r="FT104" s="8" t="str">
        <f t="shared" si="583"/>
        <v/>
      </c>
      <c r="FU104" s="6" t="str">
        <f t="shared" si="584"/>
        <v/>
      </c>
      <c r="FV104" s="7" t="str">
        <f t="shared" si="585"/>
        <v/>
      </c>
      <c r="FW104" s="10" t="str">
        <f t="shared" si="586"/>
        <v/>
      </c>
      <c r="FX104" s="11" t="str">
        <f t="shared" si="587"/>
        <v/>
      </c>
      <c r="FY104" s="12" t="str">
        <f t="shared" si="458"/>
        <v/>
      </c>
      <c r="FZ104" s="545" t="str">
        <f t="shared" si="588"/>
        <v/>
      </c>
      <c r="GA104" s="372" t="str">
        <f t="shared" si="589"/>
        <v/>
      </c>
      <c r="GB104" s="46" t="str">
        <f t="shared" si="590"/>
        <v/>
      </c>
      <c r="GC104" s="47" t="str">
        <f t="shared" si="591"/>
        <v/>
      </c>
      <c r="GD104" s="578" t="str">
        <f t="shared" si="592"/>
        <v/>
      </c>
      <c r="GE104" s="585" t="str">
        <f t="shared" si="593"/>
        <v/>
      </c>
      <c r="GF104" s="634" t="str">
        <f t="shared" si="594"/>
        <v/>
      </c>
      <c r="GG104" s="553" t="str">
        <f t="shared" si="459"/>
        <v/>
      </c>
      <c r="GH104" s="554" t="str">
        <f t="shared" si="460"/>
        <v/>
      </c>
      <c r="GI104" s="549" t="str">
        <f t="shared" si="461"/>
        <v/>
      </c>
      <c r="GJ104" s="296" t="str">
        <f t="shared" si="595"/>
        <v/>
      </c>
      <c r="GK104" s="337" t="str">
        <f t="shared" si="462"/>
        <v/>
      </c>
      <c r="GL104" s="337" t="str">
        <f t="shared" si="596"/>
        <v/>
      </c>
      <c r="GM104" s="372" t="str">
        <f t="shared" si="597"/>
        <v/>
      </c>
      <c r="GN104" s="548" t="str">
        <f t="shared" si="598"/>
        <v/>
      </c>
      <c r="GO104" s="6" t="str">
        <f t="shared" si="599"/>
        <v/>
      </c>
      <c r="GP104" s="10" t="str">
        <f t="shared" si="600"/>
        <v/>
      </c>
      <c r="GQ104" s="372" t="str">
        <f t="shared" si="601"/>
        <v/>
      </c>
      <c r="GR104" s="697" t="str">
        <f t="shared" si="602"/>
        <v/>
      </c>
      <c r="GS104" s="637" t="str">
        <f t="shared" si="463"/>
        <v/>
      </c>
      <c r="GT104" s="638" t="str">
        <f t="shared" si="464"/>
        <v/>
      </c>
      <c r="GU104" s="639" t="str">
        <f t="shared" si="465"/>
        <v/>
      </c>
      <c r="GV104" s="638" t="str">
        <f t="shared" si="603"/>
        <v/>
      </c>
      <c r="GW104" s="640" t="str">
        <f t="shared" si="466"/>
        <v/>
      </c>
      <c r="GX104" s="641" t="str">
        <f t="shared" si="467"/>
        <v/>
      </c>
      <c r="GY104" s="639" t="str">
        <f t="shared" si="468"/>
        <v/>
      </c>
      <c r="GZ104" s="640" t="str">
        <f t="shared" si="469"/>
        <v/>
      </c>
      <c r="HA104" s="637" t="str">
        <f t="shared" si="470"/>
        <v/>
      </c>
      <c r="HB104" s="7" t="str">
        <f t="shared" si="604"/>
        <v/>
      </c>
      <c r="HC104" s="638" t="str">
        <f t="shared" si="605"/>
        <v/>
      </c>
      <c r="HD104" s="682" t="str">
        <f t="shared" si="606"/>
        <v/>
      </c>
      <c r="HE104" s="639" t="str">
        <f t="shared" si="471"/>
        <v/>
      </c>
      <c r="HF104" s="7" t="str">
        <f t="shared" si="472"/>
        <v/>
      </c>
      <c r="HG104" s="638" t="str">
        <f t="shared" si="607"/>
        <v/>
      </c>
      <c r="HH104" s="644" t="str">
        <f t="shared" si="608"/>
        <v/>
      </c>
      <c r="HI104" s="596" t="str">
        <f t="shared" si="609"/>
        <v/>
      </c>
      <c r="HK104" s="584" t="str">
        <f t="shared" si="619"/>
        <v/>
      </c>
      <c r="HL104" s="583" t="str">
        <f t="shared" si="495"/>
        <v/>
      </c>
      <c r="HM104" s="643" t="str">
        <f t="shared" si="618"/>
        <v/>
      </c>
      <c r="HN104" s="660" t="str">
        <f t="shared" si="618"/>
        <v/>
      </c>
      <c r="HO104" s="661" t="str">
        <f t="shared" si="618"/>
        <v/>
      </c>
      <c r="HP104" s="656" t="str">
        <f t="shared" si="618"/>
        <v/>
      </c>
      <c r="HQ104" s="660" t="str">
        <f t="shared" si="618"/>
        <v/>
      </c>
      <c r="HR104" s="671" t="str">
        <f t="shared" si="618"/>
        <v/>
      </c>
      <c r="HS104" s="655" t="str">
        <f t="shared" si="618"/>
        <v/>
      </c>
      <c r="HT104" s="648" t="str">
        <f t="shared" si="618"/>
        <v/>
      </c>
      <c r="HU104" s="649" t="str">
        <f t="shared" si="618"/>
        <v/>
      </c>
      <c r="HV104" s="650" t="str">
        <f t="shared" si="618"/>
        <v/>
      </c>
      <c r="HW104" s="648" t="str">
        <f t="shared" si="618"/>
        <v/>
      </c>
      <c r="HX104" s="649" t="str">
        <f t="shared" si="618"/>
        <v/>
      </c>
      <c r="HY104" s="650" t="str">
        <f t="shared" si="618"/>
        <v/>
      </c>
      <c r="HZ104" s="648" t="str">
        <f t="shared" si="618"/>
        <v/>
      </c>
      <c r="IA104" s="649" t="str">
        <f t="shared" si="618"/>
        <v/>
      </c>
      <c r="IB104" s="716"/>
    </row>
    <row r="105" spans="2:236" ht="15" customHeight="1" x14ac:dyDescent="0.25">
      <c r="B105" s="143"/>
      <c r="C105" s="144"/>
      <c r="D105" s="145"/>
      <c r="E105" s="146"/>
      <c r="F105" s="144"/>
      <c r="G105" s="147"/>
      <c r="H105" s="146"/>
      <c r="I105" s="144"/>
      <c r="J105" s="306"/>
      <c r="K105" s="699" t="str">
        <f t="shared" si="610"/>
        <v/>
      </c>
      <c r="M105" s="292" t="str">
        <f t="shared" si="46"/>
        <v/>
      </c>
      <c r="N105" s="24" t="str">
        <f t="shared" si="47"/>
        <v/>
      </c>
      <c r="O105" s="7" t="str">
        <f t="shared" si="48"/>
        <v/>
      </c>
      <c r="P105" s="12" t="str">
        <f t="shared" si="49"/>
        <v/>
      </c>
      <c r="Q105" s="11" t="str">
        <f t="shared" si="473"/>
        <v/>
      </c>
      <c r="R105" s="7" t="str">
        <f t="shared" si="50"/>
        <v/>
      </c>
      <c r="S105" s="8" t="str">
        <f t="shared" si="51"/>
        <v/>
      </c>
      <c r="T105" s="6" t="str">
        <f t="shared" si="52"/>
        <v/>
      </c>
      <c r="U105" s="7" t="str">
        <f t="shared" si="53"/>
        <v/>
      </c>
      <c r="V105" s="10" t="str">
        <f t="shared" si="86"/>
        <v/>
      </c>
      <c r="W105" s="11" t="str">
        <f t="shared" si="614"/>
        <v/>
      </c>
      <c r="X105" s="7" t="str">
        <f t="shared" si="54"/>
        <v/>
      </c>
      <c r="Y105" s="9" t="str">
        <f t="shared" si="611"/>
        <v/>
      </c>
      <c r="Z105" s="24" t="str">
        <f t="shared" si="87"/>
        <v/>
      </c>
      <c r="AA105" s="7" t="str">
        <f t="shared" si="55"/>
        <v/>
      </c>
      <c r="AB105" s="7" t="str">
        <f t="shared" si="56"/>
        <v/>
      </c>
      <c r="AC105" s="10" t="str">
        <f t="shared" si="57"/>
        <v/>
      </c>
      <c r="AD105" s="11" t="str">
        <f t="shared" si="88"/>
        <v/>
      </c>
      <c r="AE105" s="7" t="str">
        <f t="shared" si="58"/>
        <v/>
      </c>
      <c r="AF105" s="12" t="str">
        <f t="shared" si="59"/>
        <v/>
      </c>
      <c r="AG105" s="6" t="str">
        <f t="shared" si="60"/>
        <v/>
      </c>
      <c r="AH105" s="12" t="str">
        <f t="shared" si="61"/>
        <v/>
      </c>
      <c r="AI105" s="11" t="str">
        <f t="shared" si="62"/>
        <v/>
      </c>
      <c r="AJ105" s="8" t="str">
        <f t="shared" si="63"/>
        <v/>
      </c>
      <c r="AK105" s="6" t="str">
        <f t="shared" si="89"/>
        <v/>
      </c>
      <c r="AL105" s="7" t="str">
        <f t="shared" si="64"/>
        <v/>
      </c>
      <c r="AM105" s="8" t="str">
        <f t="shared" si="65"/>
        <v/>
      </c>
      <c r="AN105" s="6" t="str">
        <f t="shared" si="66"/>
        <v/>
      </c>
      <c r="AO105" s="10" t="str">
        <f t="shared" si="376"/>
        <v/>
      </c>
      <c r="AP105" s="11" t="str">
        <f t="shared" si="67"/>
        <v/>
      </c>
      <c r="AQ105" s="8" t="str">
        <f t="shared" si="612"/>
        <v/>
      </c>
      <c r="AS105" s="123" t="str">
        <f t="shared" si="496"/>
        <v/>
      </c>
      <c r="AT105" s="175" t="str">
        <f t="shared" si="617"/>
        <v/>
      </c>
      <c r="AV105" s="292" t="str">
        <f t="shared" si="497"/>
        <v/>
      </c>
      <c r="AW105" s="709"/>
      <c r="AX105" s="710"/>
      <c r="AY105" s="711"/>
      <c r="AZ105" s="565" t="str">
        <f t="shared" si="498"/>
        <v/>
      </c>
      <c r="BA105" s="564" t="str">
        <f t="shared" si="499"/>
        <v/>
      </c>
      <c r="BB105" s="372" t="str">
        <f t="shared" si="474"/>
        <v/>
      </c>
      <c r="BC105" s="11"/>
      <c r="BD105" s="7" t="str">
        <f t="shared" si="475"/>
        <v/>
      </c>
      <c r="BE105" s="8" t="str">
        <f t="shared" si="476"/>
        <v/>
      </c>
      <c r="BF105" s="6" t="str">
        <f t="shared" si="500"/>
        <v/>
      </c>
      <c r="BG105" s="7" t="str">
        <f t="shared" si="501"/>
        <v/>
      </c>
      <c r="BH105" s="12" t="str">
        <f t="shared" si="502"/>
        <v/>
      </c>
      <c r="BI105" s="11" t="str">
        <f t="shared" si="503"/>
        <v/>
      </c>
      <c r="BJ105" s="7" t="str">
        <f t="shared" si="504"/>
        <v/>
      </c>
      <c r="BK105" s="10" t="str">
        <f t="shared" si="505"/>
        <v/>
      </c>
      <c r="BL105" s="328" t="str">
        <f t="shared" si="506"/>
        <v/>
      </c>
      <c r="BM105" s="7" t="str">
        <f t="shared" si="507"/>
        <v/>
      </c>
      <c r="BN105" s="8" t="str">
        <f t="shared" si="508"/>
        <v/>
      </c>
      <c r="BO105" s="6" t="str">
        <f t="shared" si="509"/>
        <v/>
      </c>
      <c r="BP105" s="7" t="str">
        <f t="shared" si="510"/>
        <v/>
      </c>
      <c r="BQ105" s="7" t="str">
        <f t="shared" si="511"/>
        <v/>
      </c>
      <c r="BR105" s="8" t="str">
        <f t="shared" si="512"/>
        <v/>
      </c>
      <c r="BS105" s="6" t="str">
        <f t="shared" si="477"/>
        <v/>
      </c>
      <c r="BT105" s="7" t="str">
        <f t="shared" si="477"/>
        <v/>
      </c>
      <c r="BU105" s="12" t="str">
        <f t="shared" si="478"/>
        <v/>
      </c>
      <c r="BV105" s="11" t="str">
        <f t="shared" si="479"/>
        <v/>
      </c>
      <c r="BW105" s="7" t="str">
        <f t="shared" si="480"/>
        <v/>
      </c>
      <c r="BX105" s="10" t="str">
        <f t="shared" si="481"/>
        <v/>
      </c>
      <c r="BY105" s="328" t="str">
        <f t="shared" si="482"/>
        <v/>
      </c>
      <c r="BZ105" s="7" t="str">
        <f t="shared" si="483"/>
        <v/>
      </c>
      <c r="CA105" s="8" t="str">
        <f t="shared" si="484"/>
        <v/>
      </c>
      <c r="CB105" s="6" t="str">
        <f t="shared" si="513"/>
        <v/>
      </c>
      <c r="CC105" s="7" t="str">
        <f t="shared" si="514"/>
        <v/>
      </c>
      <c r="CD105" s="7" t="str">
        <f t="shared" si="515"/>
        <v/>
      </c>
      <c r="CE105" s="8" t="str">
        <f t="shared" si="516"/>
        <v/>
      </c>
      <c r="CF105" s="6" t="str">
        <f t="shared" si="517"/>
        <v/>
      </c>
      <c r="CG105" s="7" t="str">
        <f t="shared" si="518"/>
        <v/>
      </c>
      <c r="CH105" s="7" t="str">
        <f t="shared" si="519"/>
        <v/>
      </c>
      <c r="CI105" s="6" t="str">
        <f t="shared" si="485"/>
        <v/>
      </c>
      <c r="CJ105" s="7" t="str">
        <f t="shared" si="486"/>
        <v/>
      </c>
      <c r="CK105" s="10" t="str">
        <f t="shared" si="487"/>
        <v/>
      </c>
      <c r="CL105" s="328" t="str">
        <f t="shared" si="488"/>
        <v/>
      </c>
      <c r="CM105" s="7" t="str">
        <f t="shared" si="489"/>
        <v/>
      </c>
      <c r="CN105" s="8" t="str">
        <f t="shared" si="490"/>
        <v/>
      </c>
      <c r="CO105" s="296" t="str">
        <f t="shared" si="613"/>
        <v/>
      </c>
      <c r="CP105" s="6" t="str">
        <f t="shared" si="520"/>
        <v/>
      </c>
      <c r="CQ105" s="7" t="str">
        <f t="shared" si="521"/>
        <v/>
      </c>
      <c r="CR105" s="7" t="str">
        <f t="shared" si="522"/>
        <v/>
      </c>
      <c r="CS105" s="10" t="str">
        <f t="shared" si="523"/>
        <v/>
      </c>
      <c r="CT105" s="11" t="str">
        <f t="shared" si="524"/>
        <v/>
      </c>
      <c r="CU105" s="8" t="str">
        <f t="shared" si="525"/>
        <v/>
      </c>
      <c r="CV105" s="6" t="str">
        <f t="shared" si="526"/>
        <v/>
      </c>
      <c r="CW105" s="7" t="str">
        <f t="shared" si="527"/>
        <v/>
      </c>
      <c r="CX105" s="10" t="str">
        <f t="shared" si="528"/>
        <v/>
      </c>
      <c r="CY105" s="11" t="str">
        <f t="shared" si="529"/>
        <v/>
      </c>
      <c r="CZ105" s="7" t="str">
        <f t="shared" si="530"/>
        <v/>
      </c>
      <c r="DA105" s="8" t="str">
        <f t="shared" si="531"/>
        <v/>
      </c>
      <c r="DB105" s="6" t="str">
        <f t="shared" si="532"/>
        <v/>
      </c>
      <c r="DC105" s="7" t="str">
        <f t="shared" si="532"/>
        <v/>
      </c>
      <c r="DD105" s="12" t="str">
        <f t="shared" si="533"/>
        <v/>
      </c>
      <c r="DE105" s="11" t="str">
        <f t="shared" si="534"/>
        <v/>
      </c>
      <c r="DF105" s="7" t="str">
        <f t="shared" si="534"/>
        <v/>
      </c>
      <c r="DG105" s="12" t="str">
        <f t="shared" si="535"/>
        <v/>
      </c>
      <c r="DH105" s="174" t="str">
        <f t="shared" si="536"/>
        <v/>
      </c>
      <c r="DI105" s="6" t="str">
        <f t="shared" si="537"/>
        <v/>
      </c>
      <c r="DJ105" s="7" t="str">
        <f t="shared" si="538"/>
        <v/>
      </c>
      <c r="DK105" s="12" t="str">
        <f t="shared" si="539"/>
        <v/>
      </c>
      <c r="DL105" s="11" t="str">
        <f t="shared" si="540"/>
        <v/>
      </c>
      <c r="DM105" s="328" t="str">
        <f t="shared" si="541"/>
        <v/>
      </c>
      <c r="DN105" s="376" t="str">
        <f t="shared" si="542"/>
        <v/>
      </c>
      <c r="DO105" s="11" t="str">
        <f t="shared" si="543"/>
        <v/>
      </c>
      <c r="DP105" s="328" t="str">
        <f t="shared" si="544"/>
        <v/>
      </c>
      <c r="DQ105" s="13" t="str">
        <f t="shared" si="545"/>
        <v/>
      </c>
      <c r="DR105" s="328" t="str">
        <f t="shared" si="546"/>
        <v/>
      </c>
      <c r="DS105" s="7" t="str">
        <f t="shared" si="547"/>
        <v/>
      </c>
      <c r="DT105" s="7" t="str">
        <f t="shared" si="548"/>
        <v/>
      </c>
      <c r="DU105" s="7" t="str">
        <f t="shared" si="549"/>
        <v/>
      </c>
      <c r="DV105" s="7" t="str">
        <f t="shared" si="550"/>
        <v/>
      </c>
      <c r="DW105" s="7" t="str">
        <f t="shared" si="551"/>
        <v/>
      </c>
      <c r="DX105" s="296" t="str">
        <f t="shared" si="552"/>
        <v/>
      </c>
      <c r="DY105" s="11" t="str">
        <f t="shared" si="553"/>
        <v/>
      </c>
      <c r="DZ105" s="7" t="str">
        <f t="shared" si="554"/>
        <v/>
      </c>
      <c r="EA105" s="12" t="str">
        <f t="shared" si="555"/>
        <v/>
      </c>
      <c r="EB105" s="8" t="str">
        <f t="shared" si="556"/>
        <v/>
      </c>
      <c r="EC105" s="328" t="str">
        <f t="shared" si="557"/>
        <v/>
      </c>
      <c r="ED105" s="7" t="str">
        <f t="shared" si="558"/>
        <v/>
      </c>
      <c r="EE105" s="6" t="str">
        <f t="shared" si="559"/>
        <v/>
      </c>
      <c r="EF105" s="7" t="str">
        <f t="shared" si="560"/>
        <v/>
      </c>
      <c r="EG105" s="12" t="str">
        <f t="shared" si="561"/>
        <v/>
      </c>
      <c r="EH105" s="11" t="str">
        <f t="shared" si="562"/>
        <v/>
      </c>
      <c r="EI105" s="7" t="str">
        <f t="shared" si="563"/>
        <v/>
      </c>
      <c r="EJ105" s="8" t="str">
        <f t="shared" si="564"/>
        <v/>
      </c>
      <c r="EK105" s="491" t="str">
        <f t="shared" si="565"/>
        <v/>
      </c>
      <c r="EL105" s="493" t="str">
        <f t="shared" si="566"/>
        <v/>
      </c>
      <c r="EM105" s="6" t="str">
        <f t="shared" si="567"/>
        <v/>
      </c>
      <c r="EN105" s="7" t="str">
        <f t="shared" si="568"/>
        <v/>
      </c>
      <c r="EO105" s="12" t="str">
        <f t="shared" si="569"/>
        <v/>
      </c>
      <c r="EP105" s="11" t="str">
        <f t="shared" si="570"/>
        <v/>
      </c>
      <c r="EQ105" s="7" t="str">
        <f t="shared" si="571"/>
        <v/>
      </c>
      <c r="ER105" s="9" t="str">
        <f t="shared" si="572"/>
        <v/>
      </c>
      <c r="ES105" s="24" t="str">
        <f t="shared" si="573"/>
        <v/>
      </c>
      <c r="ET105" s="7" t="str">
        <f t="shared" si="574"/>
        <v/>
      </c>
      <c r="EU105" s="12" t="str">
        <f t="shared" si="575"/>
        <v/>
      </c>
      <c r="EV105" s="337" t="str">
        <f t="shared" ref="EV105:EV130" si="620">IF(ISNUMBER($AV105),IF(($EV$1-EP105)&lt;0,(360+($EV$1-EP105)),($EV$1-EP105)),"")</f>
        <v/>
      </c>
      <c r="EW105" s="11" t="str">
        <f t="shared" ref="EW105:EW130" si="621">IF(ISNUMBER($AV105),(COS(RADIANS($EV105))*ES105)+(-SIN(RADIANS($EV105))*ET105),"")</f>
        <v/>
      </c>
      <c r="EX105" s="7" t="str">
        <f t="shared" ref="EX105:EX130" si="622">IF(ISNUMBER($AV105),(SIN(RADIANS($EV105))*ES105)+(COS(RADIANS($EV105))*ET105),"")</f>
        <v/>
      </c>
      <c r="EY105" s="8" t="str">
        <f t="shared" si="576"/>
        <v/>
      </c>
      <c r="EZ105" s="123" t="str">
        <f t="shared" si="577"/>
        <v/>
      </c>
      <c r="FA105" s="328" t="str">
        <f t="shared" ref="FA105:FA130" si="623">IF(ISNUMBER($AV105),SIN(RADIANS($EP105))*COS(RADIANS($EZ105)),"")</f>
        <v/>
      </c>
      <c r="FB105" s="7" t="str">
        <f t="shared" ref="FB105:FB130" si="624">IF(ISNUMBER($AV105),-1*COS(RADIANS($EP105))*COS(RADIANS($EZ105)),"")</f>
        <v/>
      </c>
      <c r="FC105" s="8" t="str">
        <f t="shared" ref="FC105:FC130" si="625">IF(ISNUMBER($AV105),-1*SIN(RADIANS($EZ105)),"")</f>
        <v/>
      </c>
      <c r="FD105" s="6" t="str">
        <f t="shared" ref="FD105:FD130" si="626">IF(ISNUMBER($AV105),(COS(RADIANS($EV105))*FA105)+(-SIN(RADIANS($EV105))*FB105),"")</f>
        <v/>
      </c>
      <c r="FE105" s="7" t="str">
        <f t="shared" ref="FE105:FE130" si="627">IF(ISNUMBER($AV105),(SIN(RADIANS($EV105))*FA105)+(COS(RADIANS($EV105))*FB105),"")</f>
        <v/>
      </c>
      <c r="FF105" s="9" t="str">
        <f t="shared" si="578"/>
        <v/>
      </c>
      <c r="FG105" s="328" t="str">
        <f t="shared" ref="FG105:FG130" si="628">IF(ISNUMBER($AV105),EW105-FD105,"")</f>
        <v/>
      </c>
      <c r="FH105" s="7" t="str">
        <f t="shared" ref="FH105:FH130" si="629">IF(ISNUMBER($AV105),EX105-FE105,"")</f>
        <v/>
      </c>
      <c r="FI105" s="12" t="str">
        <f t="shared" ref="FI105:FI130" si="630">IF(ISNUMBER($AV105),EY105-FF105,"")</f>
        <v/>
      </c>
      <c r="FJ105" s="547" t="str">
        <f t="shared" si="579"/>
        <v/>
      </c>
      <c r="FK105" s="6" t="str">
        <f t="shared" ref="FK105:FK130" si="631">IF(ISNUMBER($AV105),SQRT(ES105^2+ET105^2),"")</f>
        <v/>
      </c>
      <c r="FL105" s="7" t="str">
        <f t="shared" si="491"/>
        <v/>
      </c>
      <c r="FM105" s="10" t="str">
        <f t="shared" si="492"/>
        <v/>
      </c>
      <c r="FN105" s="11" t="str">
        <f t="shared" si="493"/>
        <v/>
      </c>
      <c r="FO105" s="12" t="str">
        <f t="shared" ref="FO105:FO130" si="632">IF(ISNUMBER($AV105),IF(SQRT((EM105+(ES105/SQRT(ES105^2+(ET105/SQRT(ES105^2+ET105^2))^2)))^2+(EN105+ET105)^2)&gt;SQRT((EM105+(FA105/SQRT(FA105^2+FB105^2)))^2+(EN105+(FB105/SQRT(FA105^2+FB105^2)))^2),-1,1),"")</f>
        <v/>
      </c>
      <c r="FP105" s="545" t="str">
        <f t="shared" si="494"/>
        <v/>
      </c>
      <c r="FQ105" s="328" t="str">
        <f t="shared" si="580"/>
        <v/>
      </c>
      <c r="FR105" s="12" t="str">
        <f t="shared" si="581"/>
        <v/>
      </c>
      <c r="FS105" s="11" t="str">
        <f t="shared" si="582"/>
        <v/>
      </c>
      <c r="FT105" s="8" t="str">
        <f t="shared" si="583"/>
        <v/>
      </c>
      <c r="FU105" s="6" t="str">
        <f t="shared" si="584"/>
        <v/>
      </c>
      <c r="FV105" s="7" t="str">
        <f t="shared" si="585"/>
        <v/>
      </c>
      <c r="FW105" s="10" t="str">
        <f t="shared" si="586"/>
        <v/>
      </c>
      <c r="FX105" s="11" t="str">
        <f t="shared" si="587"/>
        <v/>
      </c>
      <c r="FY105" s="12" t="str">
        <f t="shared" ref="FY105:FY130" si="633">IF(ISNUMBER($AV105),IF(EU105&lt;FC105,1,-1),"")</f>
        <v/>
      </c>
      <c r="FZ105" s="545" t="str">
        <f t="shared" si="588"/>
        <v/>
      </c>
      <c r="GA105" s="372" t="str">
        <f t="shared" si="589"/>
        <v/>
      </c>
      <c r="GB105" s="46" t="str">
        <f t="shared" si="590"/>
        <v/>
      </c>
      <c r="GC105" s="47" t="str">
        <f t="shared" si="591"/>
        <v/>
      </c>
      <c r="GD105" s="578" t="str">
        <f t="shared" si="592"/>
        <v/>
      </c>
      <c r="GE105" s="585" t="str">
        <f t="shared" si="593"/>
        <v/>
      </c>
      <c r="GF105" s="634" t="str">
        <f t="shared" si="594"/>
        <v/>
      </c>
      <c r="GG105" s="553" t="str">
        <f t="shared" ref="GG105:GG130" si="634">IF(ISNUMBER($AV105),ABS(GB105)/(ABS($GB105)+ABS($GC105)+ABS($GD105)),"")</f>
        <v/>
      </c>
      <c r="GH105" s="554" t="str">
        <f t="shared" ref="GH105:GH130" si="635">IF(ISNUMBER($AV105),ABS(GC105)/(ABS($GB105)+ABS($GC105)+ABS($GD105)),"")</f>
        <v/>
      </c>
      <c r="GI105" s="549" t="str">
        <f t="shared" ref="GI105:GI130" si="636">IF(ISNUMBER($AV105),ABS(GD105)/(ABS($GB105)+ABS($GC105)+ABS($GD105)),"")</f>
        <v/>
      </c>
      <c r="GJ105" s="296" t="str">
        <f t="shared" si="595"/>
        <v/>
      </c>
      <c r="GK105" s="337" t="str">
        <f t="shared" ref="GK105:GK130" si="637">IF(ISNUMBER($AV105),SQRT((2*PI()*$GJ105)^2+$AS$5^2)/12,"")</f>
        <v/>
      </c>
      <c r="GL105" s="337" t="str">
        <f t="shared" si="596"/>
        <v/>
      </c>
      <c r="GM105" s="372" t="str">
        <f t="shared" si="597"/>
        <v/>
      </c>
      <c r="GN105" s="548" t="str">
        <f t="shared" si="598"/>
        <v/>
      </c>
      <c r="GO105" s="6" t="str">
        <f t="shared" si="599"/>
        <v/>
      </c>
      <c r="GP105" s="10" t="str">
        <f t="shared" si="600"/>
        <v/>
      </c>
      <c r="GQ105" s="372" t="str">
        <f t="shared" si="601"/>
        <v/>
      </c>
      <c r="GR105" s="697" t="str">
        <f t="shared" si="602"/>
        <v/>
      </c>
      <c r="GS105" s="637" t="str">
        <f t="shared" ref="GS105:GS130" si="638">IF(ISNUMBER($AV105),GU105/GH105*GG105,"")</f>
        <v/>
      </c>
      <c r="GT105" s="638" t="str">
        <f t="shared" ref="GT105:GT130" si="639">IF(ISNUMBER($AV105),GS105/$GK105,"")</f>
        <v/>
      </c>
      <c r="GU105" s="639" t="str">
        <f t="shared" ref="GU105:GU130" si="640">IF(ISNUMBER($AV105),$GV105*$GK105,"")</f>
        <v/>
      </c>
      <c r="GV105" s="638" t="str">
        <f t="shared" si="603"/>
        <v/>
      </c>
      <c r="GW105" s="640" t="str">
        <f t="shared" ref="GW105:GW130" si="641">IF(ISNUMBER($AV105),$GW$2,"")</f>
        <v/>
      </c>
      <c r="GX105" s="641" t="str">
        <f t="shared" ref="GX105:GX130" si="642">IF(ISNUMBER($AV105),($GJ105/12)*$GV105,"")</f>
        <v/>
      </c>
      <c r="GY105" s="639" t="str">
        <f t="shared" ref="GY105:GY130" si="643">IF(ISNUMBER($AV105),GU105/GH105*GI105,"")</f>
        <v/>
      </c>
      <c r="GZ105" s="640" t="str">
        <f t="shared" ref="GZ105:GZ130" si="644">IF(ISNUMBER($AV105),GY105/$GK105,"")</f>
        <v/>
      </c>
      <c r="HA105" s="637" t="str">
        <f t="shared" ref="HA105:HA130" si="645">IF(ISNUMBER($AV105),$FO105*$GS105,"")</f>
        <v/>
      </c>
      <c r="HB105" s="7" t="str">
        <f t="shared" si="604"/>
        <v/>
      </c>
      <c r="HC105" s="638" t="str">
        <f t="shared" si="605"/>
        <v/>
      </c>
      <c r="HD105" s="682" t="str">
        <f t="shared" si="606"/>
        <v/>
      </c>
      <c r="HE105" s="639" t="str">
        <f t="shared" ref="HE105:HE130" si="646">IF(ISNUMBER($AV105),$FY105*$GV105,"")</f>
        <v/>
      </c>
      <c r="HF105" s="7" t="str">
        <f t="shared" ref="HF105:HF130" si="647">IF(ISNUMBER($AV105),IF(($HB105+90)&lt;0,(360+($HB105+90)),($HB105+90)),"")</f>
        <v/>
      </c>
      <c r="HG105" s="638" t="str">
        <f t="shared" si="607"/>
        <v/>
      </c>
      <c r="HH105" s="644" t="str">
        <f t="shared" si="608"/>
        <v/>
      </c>
      <c r="HI105" s="596" t="str">
        <f t="shared" si="609"/>
        <v/>
      </c>
      <c r="HK105" s="584" t="str">
        <f t="shared" si="619"/>
        <v/>
      </c>
      <c r="HL105" s="583" t="str">
        <f t="shared" si="495"/>
        <v/>
      </c>
      <c r="HM105" s="643" t="str">
        <f t="shared" si="618"/>
        <v/>
      </c>
      <c r="HN105" s="660" t="str">
        <f t="shared" si="618"/>
        <v/>
      </c>
      <c r="HO105" s="661" t="str">
        <f t="shared" si="618"/>
        <v/>
      </c>
      <c r="HP105" s="656" t="str">
        <f t="shared" si="618"/>
        <v/>
      </c>
      <c r="HQ105" s="660" t="str">
        <f t="shared" si="618"/>
        <v/>
      </c>
      <c r="HR105" s="671" t="str">
        <f t="shared" si="618"/>
        <v/>
      </c>
      <c r="HS105" s="655" t="str">
        <f t="shared" si="618"/>
        <v/>
      </c>
      <c r="HT105" s="648" t="str">
        <f t="shared" si="618"/>
        <v/>
      </c>
      <c r="HU105" s="649" t="str">
        <f t="shared" si="618"/>
        <v/>
      </c>
      <c r="HV105" s="650" t="str">
        <f t="shared" si="618"/>
        <v/>
      </c>
      <c r="HW105" s="648" t="str">
        <f t="shared" si="618"/>
        <v/>
      </c>
      <c r="HX105" s="649" t="str">
        <f t="shared" si="618"/>
        <v/>
      </c>
      <c r="HY105" s="650" t="str">
        <f t="shared" si="618"/>
        <v/>
      </c>
      <c r="HZ105" s="648" t="str">
        <f t="shared" si="618"/>
        <v/>
      </c>
      <c r="IA105" s="649" t="str">
        <f t="shared" si="618"/>
        <v/>
      </c>
      <c r="IB105" s="716"/>
    </row>
    <row r="106" spans="2:236" ht="15" customHeight="1" x14ac:dyDescent="0.25">
      <c r="B106" s="143"/>
      <c r="C106" s="144"/>
      <c r="D106" s="145"/>
      <c r="E106" s="146"/>
      <c r="F106" s="144"/>
      <c r="G106" s="147"/>
      <c r="H106" s="146"/>
      <c r="I106" s="144"/>
      <c r="J106" s="306"/>
      <c r="K106" s="699" t="str">
        <f t="shared" si="610"/>
        <v/>
      </c>
      <c r="M106" s="292" t="str">
        <f t="shared" ref="M106:M130" si="648">IF(J106="","",J106)</f>
        <v/>
      </c>
      <c r="N106" s="24" t="str">
        <f t="shared" ref="N106:N130" si="649">IF(M106="","",B106)</f>
        <v/>
      </c>
      <c r="O106" s="7" t="str">
        <f t="shared" ref="O106:O130" si="650">IF(M106="","",C106)</f>
        <v/>
      </c>
      <c r="P106" s="12" t="str">
        <f t="shared" ref="P106:P130" si="651">IF(M106="","",D106)</f>
        <v/>
      </c>
      <c r="Q106" s="11" t="str">
        <f t="shared" si="473"/>
        <v/>
      </c>
      <c r="R106" s="7" t="str">
        <f t="shared" ref="R106:R130" si="652">IF(M106="","",SQRT(N106^2+O106^2))</f>
        <v/>
      </c>
      <c r="S106" s="8" t="str">
        <f t="shared" ref="S106:S130" si="653">IF(M106="","",P106)</f>
        <v/>
      </c>
      <c r="T106" s="6" t="str">
        <f t="shared" ref="T106:T130" si="654">IF(M106="","",X106*COS(RADIANS(W106)))</f>
        <v/>
      </c>
      <c r="U106" s="7" t="str">
        <f t="shared" ref="U106:U130" si="655">IF(M106="","",X106*SIN(RADIANS(W106)))</f>
        <v/>
      </c>
      <c r="V106" s="10" t="str">
        <f t="shared" ref="V106:V130" si="656">IF(M106="","",Y106)</f>
        <v/>
      </c>
      <c r="W106" s="11" t="str">
        <f t="shared" si="614"/>
        <v/>
      </c>
      <c r="X106" s="7" t="str">
        <f t="shared" ref="X106:X130" si="657">IF(M106="","",R106)</f>
        <v/>
      </c>
      <c r="Y106" s="9" t="str">
        <f t="shared" si="611"/>
        <v/>
      </c>
      <c r="Z106" s="24" t="str">
        <f t="shared" ref="Z106:Z130" si="658">IF(M106="","",-E106)</f>
        <v/>
      </c>
      <c r="AA106" s="7" t="str">
        <f t="shared" ref="AA106:AA130" si="659">IF(M106="","",-F106)</f>
        <v/>
      </c>
      <c r="AB106" s="7" t="str">
        <f t="shared" ref="AB106:AB130" si="660">IF(M106="","",-G106)</f>
        <v/>
      </c>
      <c r="AC106" s="10" t="str">
        <f t="shared" ref="AC106:AC130" si="661">IF(M106="","",SQRT(Z106^2+AA106^2+AB106^2))</f>
        <v/>
      </c>
      <c r="AD106" s="11" t="str">
        <f t="shared" ref="AD106:AD130" si="662">IF(M106="","",Z106*(1/SQRT(Z106^2+AA106^2+AB106^2)))</f>
        <v/>
      </c>
      <c r="AE106" s="7" t="str">
        <f t="shared" ref="AE106:AE130" si="663">IF(M106="","",AA106*(1/SQRT(Z106^2+AA106^2+AB106^2)))</f>
        <v/>
      </c>
      <c r="AF106" s="12" t="str">
        <f t="shared" ref="AF106:AF130" si="664">IF(M106="","",AB106*(1/SQRT(Z106^2+AA106^2+AB106^2)))</f>
        <v/>
      </c>
      <c r="AG106" s="6" t="str">
        <f t="shared" ref="AG106:AG130" si="665">IF(M106="","",DEGREES(ATAN2(-AF106,AE106)))</f>
        <v/>
      </c>
      <c r="AH106" s="12" t="str">
        <f t="shared" ref="AH106:AH130" si="666">IF(M106="","",DEGREES(ACOS(AD106)))</f>
        <v/>
      </c>
      <c r="AI106" s="11" t="str">
        <f t="shared" ref="AI106:AI130" si="667">IF(M106="","",DEGREES(-ACOS(-AF106)))</f>
        <v/>
      </c>
      <c r="AJ106" s="8" t="str">
        <f t="shared" ref="AJ106:AJ130" si="668">IF(M106="","",DEGREES(ATAN2(-AE106,AD106)))</f>
        <v/>
      </c>
      <c r="AK106" s="6" t="str">
        <f t="shared" ref="AK106:AK130" si="669">IF(M106="","",(COS(RADIANS((90-$Q$8)-W106))*AD106)+(-SIN(RADIANS((90-$Q$8)-W106))*AE106))</f>
        <v/>
      </c>
      <c r="AL106" s="7" t="str">
        <f t="shared" ref="AL106:AL130" si="670">IF(M106="","",(SIN(RADIANS((90-$Q$8)-W106))*AD106)+(COS(RADIANS((90-$Q$8)-W106))*AE106))</f>
        <v/>
      </c>
      <c r="AM106" s="8" t="str">
        <f t="shared" ref="AM106:AM130" si="671">IF(M106="","",AF106)</f>
        <v/>
      </c>
      <c r="AN106" s="6" t="str">
        <f t="shared" ref="AN106:AN130" si="672">IF(M106="","",DEGREES(ATAN2(-AM106,AL106)))</f>
        <v/>
      </c>
      <c r="AO106" s="10" t="str">
        <f t="shared" ref="AO106:AO130" si="673">IFERROR(IF(ROUND(IF(M106="","",DEGREES(ACOS(AK106))),4)=90,0,IF(M106="","",DEGREES(ACOS(AK106)))),"")</f>
        <v/>
      </c>
      <c r="AP106" s="11" t="str">
        <f t="shared" ref="AP106:AP130" si="674">IF(M106="","",DEGREES(ATAN2(AK106,AL106)))</f>
        <v/>
      </c>
      <c r="AQ106" s="8" t="str">
        <f t="shared" si="612"/>
        <v/>
      </c>
      <c r="AS106" s="123" t="str">
        <f t="shared" si="496"/>
        <v/>
      </c>
      <c r="AT106" s="175" t="str">
        <f t="shared" si="617"/>
        <v/>
      </c>
      <c r="AV106" s="292" t="str">
        <f t="shared" si="497"/>
        <v/>
      </c>
      <c r="AW106" s="709"/>
      <c r="AX106" s="710"/>
      <c r="AY106" s="711"/>
      <c r="AZ106" s="565" t="str">
        <f t="shared" si="498"/>
        <v/>
      </c>
      <c r="BA106" s="564" t="str">
        <f t="shared" si="499"/>
        <v/>
      </c>
      <c r="BB106" s="372" t="str">
        <f t="shared" si="474"/>
        <v/>
      </c>
      <c r="BC106" s="11"/>
      <c r="BD106" s="7" t="str">
        <f t="shared" si="475"/>
        <v/>
      </c>
      <c r="BE106" s="8" t="str">
        <f t="shared" si="476"/>
        <v/>
      </c>
      <c r="BF106" s="6" t="str">
        <f t="shared" si="500"/>
        <v/>
      </c>
      <c r="BG106" s="7" t="str">
        <f t="shared" si="501"/>
        <v/>
      </c>
      <c r="BH106" s="12" t="str">
        <f t="shared" si="502"/>
        <v/>
      </c>
      <c r="BI106" s="11" t="str">
        <f t="shared" si="503"/>
        <v/>
      </c>
      <c r="BJ106" s="7" t="str">
        <f t="shared" si="504"/>
        <v/>
      </c>
      <c r="BK106" s="10" t="str">
        <f t="shared" si="505"/>
        <v/>
      </c>
      <c r="BL106" s="328" t="str">
        <f t="shared" si="506"/>
        <v/>
      </c>
      <c r="BM106" s="7" t="str">
        <f t="shared" si="507"/>
        <v/>
      </c>
      <c r="BN106" s="8" t="str">
        <f t="shared" si="508"/>
        <v/>
      </c>
      <c r="BO106" s="6" t="str">
        <f t="shared" si="509"/>
        <v/>
      </c>
      <c r="BP106" s="7" t="str">
        <f t="shared" si="510"/>
        <v/>
      </c>
      <c r="BQ106" s="7" t="str">
        <f t="shared" si="511"/>
        <v/>
      </c>
      <c r="BR106" s="8" t="str">
        <f t="shared" si="512"/>
        <v/>
      </c>
      <c r="BS106" s="6" t="str">
        <f t="shared" ref="BS106:BT130" si="675">IF(ISNUMBER($AV106),0,"")</f>
        <v/>
      </c>
      <c r="BT106" s="7" t="str">
        <f t="shared" si="675"/>
        <v/>
      </c>
      <c r="BU106" s="12" t="str">
        <f t="shared" si="478"/>
        <v/>
      </c>
      <c r="BV106" s="11" t="str">
        <f t="shared" si="479"/>
        <v/>
      </c>
      <c r="BW106" s="7" t="str">
        <f t="shared" si="480"/>
        <v/>
      </c>
      <c r="BX106" s="10" t="str">
        <f t="shared" si="481"/>
        <v/>
      </c>
      <c r="BY106" s="328" t="str">
        <f t="shared" si="482"/>
        <v/>
      </c>
      <c r="BZ106" s="7" t="str">
        <f t="shared" si="483"/>
        <v/>
      </c>
      <c r="CA106" s="8" t="str">
        <f t="shared" si="484"/>
        <v/>
      </c>
      <c r="CB106" s="6" t="str">
        <f t="shared" si="513"/>
        <v/>
      </c>
      <c r="CC106" s="7" t="str">
        <f t="shared" si="514"/>
        <v/>
      </c>
      <c r="CD106" s="7" t="str">
        <f t="shared" si="515"/>
        <v/>
      </c>
      <c r="CE106" s="8" t="str">
        <f t="shared" si="516"/>
        <v/>
      </c>
      <c r="CF106" s="6" t="str">
        <f t="shared" si="517"/>
        <v/>
      </c>
      <c r="CG106" s="7" t="str">
        <f t="shared" si="518"/>
        <v/>
      </c>
      <c r="CH106" s="7" t="str">
        <f t="shared" si="519"/>
        <v/>
      </c>
      <c r="CI106" s="6" t="str">
        <f t="shared" si="485"/>
        <v/>
      </c>
      <c r="CJ106" s="7" t="str">
        <f t="shared" si="486"/>
        <v/>
      </c>
      <c r="CK106" s="10" t="str">
        <f t="shared" si="487"/>
        <v/>
      </c>
      <c r="CL106" s="328" t="str">
        <f t="shared" si="488"/>
        <v/>
      </c>
      <c r="CM106" s="7" t="str">
        <f t="shared" si="489"/>
        <v/>
      </c>
      <c r="CN106" s="8" t="str">
        <f t="shared" si="490"/>
        <v/>
      </c>
      <c r="CO106" s="296" t="str">
        <f t="shared" si="613"/>
        <v/>
      </c>
      <c r="CP106" s="6" t="str">
        <f t="shared" si="520"/>
        <v/>
      </c>
      <c r="CQ106" s="7" t="str">
        <f t="shared" si="521"/>
        <v/>
      </c>
      <c r="CR106" s="7" t="str">
        <f t="shared" si="522"/>
        <v/>
      </c>
      <c r="CS106" s="10" t="str">
        <f t="shared" si="523"/>
        <v/>
      </c>
      <c r="CT106" s="11" t="str">
        <f t="shared" si="524"/>
        <v/>
      </c>
      <c r="CU106" s="8" t="str">
        <f t="shared" si="525"/>
        <v/>
      </c>
      <c r="CV106" s="6" t="str">
        <f t="shared" si="526"/>
        <v/>
      </c>
      <c r="CW106" s="7" t="str">
        <f t="shared" si="527"/>
        <v/>
      </c>
      <c r="CX106" s="10" t="str">
        <f t="shared" si="528"/>
        <v/>
      </c>
      <c r="CY106" s="11" t="str">
        <f t="shared" si="529"/>
        <v/>
      </c>
      <c r="CZ106" s="7" t="str">
        <f t="shared" si="530"/>
        <v/>
      </c>
      <c r="DA106" s="8" t="str">
        <f t="shared" si="531"/>
        <v/>
      </c>
      <c r="DB106" s="6" t="str">
        <f t="shared" si="532"/>
        <v/>
      </c>
      <c r="DC106" s="7" t="str">
        <f t="shared" si="532"/>
        <v/>
      </c>
      <c r="DD106" s="12" t="str">
        <f t="shared" si="533"/>
        <v/>
      </c>
      <c r="DE106" s="11" t="str">
        <f t="shared" si="534"/>
        <v/>
      </c>
      <c r="DF106" s="7" t="str">
        <f t="shared" si="534"/>
        <v/>
      </c>
      <c r="DG106" s="12" t="str">
        <f t="shared" si="535"/>
        <v/>
      </c>
      <c r="DH106" s="174" t="str">
        <f t="shared" si="536"/>
        <v/>
      </c>
      <c r="DI106" s="6" t="str">
        <f t="shared" si="537"/>
        <v/>
      </c>
      <c r="DJ106" s="7" t="str">
        <f t="shared" si="538"/>
        <v/>
      </c>
      <c r="DK106" s="12" t="str">
        <f t="shared" si="539"/>
        <v/>
      </c>
      <c r="DL106" s="11" t="str">
        <f t="shared" si="540"/>
        <v/>
      </c>
      <c r="DM106" s="328" t="str">
        <f t="shared" si="541"/>
        <v/>
      </c>
      <c r="DN106" s="376" t="str">
        <f t="shared" si="542"/>
        <v/>
      </c>
      <c r="DO106" s="11" t="str">
        <f t="shared" si="543"/>
        <v/>
      </c>
      <c r="DP106" s="328" t="str">
        <f t="shared" si="544"/>
        <v/>
      </c>
      <c r="DQ106" s="13" t="str">
        <f t="shared" si="545"/>
        <v/>
      </c>
      <c r="DR106" s="328" t="str">
        <f t="shared" si="546"/>
        <v/>
      </c>
      <c r="DS106" s="7" t="str">
        <f t="shared" si="547"/>
        <v/>
      </c>
      <c r="DT106" s="7" t="str">
        <f t="shared" si="548"/>
        <v/>
      </c>
      <c r="DU106" s="7" t="str">
        <f t="shared" si="549"/>
        <v/>
      </c>
      <c r="DV106" s="7" t="str">
        <f t="shared" si="550"/>
        <v/>
      </c>
      <c r="DW106" s="7" t="str">
        <f t="shared" si="551"/>
        <v/>
      </c>
      <c r="DX106" s="296" t="str">
        <f t="shared" si="552"/>
        <v/>
      </c>
      <c r="DY106" s="11" t="str">
        <f t="shared" si="553"/>
        <v/>
      </c>
      <c r="DZ106" s="7" t="str">
        <f t="shared" si="554"/>
        <v/>
      </c>
      <c r="EA106" s="12" t="str">
        <f t="shared" si="555"/>
        <v/>
      </c>
      <c r="EB106" s="8" t="str">
        <f t="shared" si="556"/>
        <v/>
      </c>
      <c r="EC106" s="328" t="str">
        <f t="shared" si="557"/>
        <v/>
      </c>
      <c r="ED106" s="7" t="str">
        <f t="shared" si="558"/>
        <v/>
      </c>
      <c r="EE106" s="6" t="str">
        <f t="shared" si="559"/>
        <v/>
      </c>
      <c r="EF106" s="7" t="str">
        <f t="shared" si="560"/>
        <v/>
      </c>
      <c r="EG106" s="12" t="str">
        <f t="shared" si="561"/>
        <v/>
      </c>
      <c r="EH106" s="11" t="str">
        <f t="shared" si="562"/>
        <v/>
      </c>
      <c r="EI106" s="7" t="str">
        <f t="shared" si="563"/>
        <v/>
      </c>
      <c r="EJ106" s="8" t="str">
        <f t="shared" si="564"/>
        <v/>
      </c>
      <c r="EK106" s="491" t="str">
        <f t="shared" si="565"/>
        <v/>
      </c>
      <c r="EL106" s="493" t="str">
        <f t="shared" si="566"/>
        <v/>
      </c>
      <c r="EM106" s="6" t="str">
        <f t="shared" si="567"/>
        <v/>
      </c>
      <c r="EN106" s="7" t="str">
        <f t="shared" si="568"/>
        <v/>
      </c>
      <c r="EO106" s="12" t="str">
        <f t="shared" si="569"/>
        <v/>
      </c>
      <c r="EP106" s="11" t="str">
        <f t="shared" si="570"/>
        <v/>
      </c>
      <c r="EQ106" s="7" t="str">
        <f t="shared" si="571"/>
        <v/>
      </c>
      <c r="ER106" s="9" t="str">
        <f t="shared" si="572"/>
        <v/>
      </c>
      <c r="ES106" s="24" t="str">
        <f t="shared" si="573"/>
        <v/>
      </c>
      <c r="ET106" s="7" t="str">
        <f t="shared" si="574"/>
        <v/>
      </c>
      <c r="EU106" s="12" t="str">
        <f t="shared" si="575"/>
        <v/>
      </c>
      <c r="EV106" s="337" t="str">
        <f t="shared" si="620"/>
        <v/>
      </c>
      <c r="EW106" s="11" t="str">
        <f t="shared" si="621"/>
        <v/>
      </c>
      <c r="EX106" s="7" t="str">
        <f t="shared" si="622"/>
        <v/>
      </c>
      <c r="EY106" s="8" t="str">
        <f t="shared" si="576"/>
        <v/>
      </c>
      <c r="EZ106" s="123" t="str">
        <f t="shared" si="577"/>
        <v/>
      </c>
      <c r="FA106" s="328" t="str">
        <f t="shared" si="623"/>
        <v/>
      </c>
      <c r="FB106" s="7" t="str">
        <f t="shared" si="624"/>
        <v/>
      </c>
      <c r="FC106" s="8" t="str">
        <f t="shared" si="625"/>
        <v/>
      </c>
      <c r="FD106" s="6" t="str">
        <f t="shared" si="626"/>
        <v/>
      </c>
      <c r="FE106" s="7" t="str">
        <f t="shared" si="627"/>
        <v/>
      </c>
      <c r="FF106" s="9" t="str">
        <f t="shared" si="578"/>
        <v/>
      </c>
      <c r="FG106" s="328" t="str">
        <f t="shared" si="628"/>
        <v/>
      </c>
      <c r="FH106" s="7" t="str">
        <f t="shared" si="629"/>
        <v/>
      </c>
      <c r="FI106" s="12" t="str">
        <f t="shared" si="630"/>
        <v/>
      </c>
      <c r="FJ106" s="547" t="str">
        <f t="shared" si="579"/>
        <v/>
      </c>
      <c r="FK106" s="6" t="str">
        <f t="shared" si="631"/>
        <v/>
      </c>
      <c r="FL106" s="7" t="str">
        <f t="shared" si="491"/>
        <v/>
      </c>
      <c r="FM106" s="10" t="str">
        <f t="shared" si="492"/>
        <v/>
      </c>
      <c r="FN106" s="11" t="str">
        <f t="shared" si="493"/>
        <v/>
      </c>
      <c r="FO106" s="12" t="str">
        <f t="shared" si="632"/>
        <v/>
      </c>
      <c r="FP106" s="545" t="str">
        <f t="shared" si="494"/>
        <v/>
      </c>
      <c r="FQ106" s="328" t="str">
        <f t="shared" si="580"/>
        <v/>
      </c>
      <c r="FR106" s="12" t="str">
        <f t="shared" si="581"/>
        <v/>
      </c>
      <c r="FS106" s="11" t="str">
        <f t="shared" si="582"/>
        <v/>
      </c>
      <c r="FT106" s="8" t="str">
        <f t="shared" si="583"/>
        <v/>
      </c>
      <c r="FU106" s="6" t="str">
        <f t="shared" si="584"/>
        <v/>
      </c>
      <c r="FV106" s="7" t="str">
        <f t="shared" si="585"/>
        <v/>
      </c>
      <c r="FW106" s="10" t="str">
        <f t="shared" si="586"/>
        <v/>
      </c>
      <c r="FX106" s="11" t="str">
        <f t="shared" si="587"/>
        <v/>
      </c>
      <c r="FY106" s="12" t="str">
        <f t="shared" si="633"/>
        <v/>
      </c>
      <c r="FZ106" s="545" t="str">
        <f t="shared" si="588"/>
        <v/>
      </c>
      <c r="GA106" s="372" t="str">
        <f t="shared" si="589"/>
        <v/>
      </c>
      <c r="GB106" s="46" t="str">
        <f t="shared" si="590"/>
        <v/>
      </c>
      <c r="GC106" s="47" t="str">
        <f t="shared" si="591"/>
        <v/>
      </c>
      <c r="GD106" s="578" t="str">
        <f t="shared" si="592"/>
        <v/>
      </c>
      <c r="GE106" s="585" t="str">
        <f t="shared" si="593"/>
        <v/>
      </c>
      <c r="GF106" s="634" t="str">
        <f t="shared" si="594"/>
        <v/>
      </c>
      <c r="GG106" s="553" t="str">
        <f t="shared" si="634"/>
        <v/>
      </c>
      <c r="GH106" s="554" t="str">
        <f t="shared" si="635"/>
        <v/>
      </c>
      <c r="GI106" s="549" t="str">
        <f t="shared" si="636"/>
        <v/>
      </c>
      <c r="GJ106" s="296" t="str">
        <f t="shared" si="595"/>
        <v/>
      </c>
      <c r="GK106" s="337" t="str">
        <f t="shared" si="637"/>
        <v/>
      </c>
      <c r="GL106" s="337" t="str">
        <f t="shared" si="596"/>
        <v/>
      </c>
      <c r="GM106" s="372" t="str">
        <f t="shared" si="597"/>
        <v/>
      </c>
      <c r="GN106" s="548" t="str">
        <f t="shared" si="598"/>
        <v/>
      </c>
      <c r="GO106" s="6" t="str">
        <f t="shared" si="599"/>
        <v/>
      </c>
      <c r="GP106" s="10" t="str">
        <f t="shared" si="600"/>
        <v/>
      </c>
      <c r="GQ106" s="372" t="str">
        <f t="shared" si="601"/>
        <v/>
      </c>
      <c r="GR106" s="697" t="str">
        <f t="shared" si="602"/>
        <v/>
      </c>
      <c r="GS106" s="637" t="str">
        <f t="shared" si="638"/>
        <v/>
      </c>
      <c r="GT106" s="638" t="str">
        <f t="shared" si="639"/>
        <v/>
      </c>
      <c r="GU106" s="639" t="str">
        <f t="shared" si="640"/>
        <v/>
      </c>
      <c r="GV106" s="638" t="str">
        <f t="shared" si="603"/>
        <v/>
      </c>
      <c r="GW106" s="640" t="str">
        <f t="shared" si="641"/>
        <v/>
      </c>
      <c r="GX106" s="641" t="str">
        <f t="shared" si="642"/>
        <v/>
      </c>
      <c r="GY106" s="639" t="str">
        <f t="shared" si="643"/>
        <v/>
      </c>
      <c r="GZ106" s="640" t="str">
        <f t="shared" si="644"/>
        <v/>
      </c>
      <c r="HA106" s="637" t="str">
        <f t="shared" si="645"/>
        <v/>
      </c>
      <c r="HB106" s="7" t="str">
        <f t="shared" si="604"/>
        <v/>
      </c>
      <c r="HC106" s="638" t="str">
        <f t="shared" si="605"/>
        <v/>
      </c>
      <c r="HD106" s="682" t="str">
        <f t="shared" si="606"/>
        <v/>
      </c>
      <c r="HE106" s="639" t="str">
        <f t="shared" si="646"/>
        <v/>
      </c>
      <c r="HF106" s="7" t="str">
        <f t="shared" si="647"/>
        <v/>
      </c>
      <c r="HG106" s="638" t="str">
        <f t="shared" si="607"/>
        <v/>
      </c>
      <c r="HH106" s="644" t="str">
        <f t="shared" si="608"/>
        <v/>
      </c>
      <c r="HI106" s="596" t="str">
        <f t="shared" si="609"/>
        <v/>
      </c>
      <c r="HK106" s="584" t="str">
        <f t="shared" si="619"/>
        <v/>
      </c>
      <c r="HL106" s="583" t="str">
        <f t="shared" ref="HL106:HL130" si="676">IFERROR(SMALL($GJ$9:$GJ$130,($HK105+1)),"")</f>
        <v/>
      </c>
      <c r="HM106" s="643" t="str">
        <f t="shared" si="618"/>
        <v/>
      </c>
      <c r="HN106" s="660" t="str">
        <f t="shared" si="618"/>
        <v/>
      </c>
      <c r="HO106" s="661" t="str">
        <f t="shared" si="618"/>
        <v/>
      </c>
      <c r="HP106" s="656" t="str">
        <f t="shared" si="618"/>
        <v/>
      </c>
      <c r="HQ106" s="660" t="str">
        <f t="shared" si="618"/>
        <v/>
      </c>
      <c r="HR106" s="671" t="str">
        <f t="shared" si="618"/>
        <v/>
      </c>
      <c r="HS106" s="655" t="str">
        <f t="shared" si="618"/>
        <v/>
      </c>
      <c r="HT106" s="648" t="str">
        <f t="shared" si="618"/>
        <v/>
      </c>
      <c r="HU106" s="649" t="str">
        <f t="shared" si="618"/>
        <v/>
      </c>
      <c r="HV106" s="650" t="str">
        <f t="shared" si="618"/>
        <v/>
      </c>
      <c r="HW106" s="648" t="str">
        <f t="shared" si="618"/>
        <v/>
      </c>
      <c r="HX106" s="649" t="str">
        <f t="shared" si="618"/>
        <v/>
      </c>
      <c r="HY106" s="650" t="str">
        <f t="shared" si="618"/>
        <v/>
      </c>
      <c r="HZ106" s="648" t="str">
        <f t="shared" si="618"/>
        <v/>
      </c>
      <c r="IA106" s="649" t="str">
        <f t="shared" si="618"/>
        <v/>
      </c>
      <c r="IB106" s="716"/>
    </row>
    <row r="107" spans="2:236" ht="15" customHeight="1" x14ac:dyDescent="0.25">
      <c r="B107" s="143"/>
      <c r="C107" s="144"/>
      <c r="D107" s="145"/>
      <c r="E107" s="146"/>
      <c r="F107" s="144"/>
      <c r="G107" s="147"/>
      <c r="H107" s="146"/>
      <c r="I107" s="144"/>
      <c r="J107" s="306"/>
      <c r="K107" s="699" t="str">
        <f t="shared" si="610"/>
        <v/>
      </c>
      <c r="M107" s="292" t="str">
        <f t="shared" si="648"/>
        <v/>
      </c>
      <c r="N107" s="24" t="str">
        <f t="shared" si="649"/>
        <v/>
      </c>
      <c r="O107" s="7" t="str">
        <f t="shared" si="650"/>
        <v/>
      </c>
      <c r="P107" s="12" t="str">
        <f t="shared" si="651"/>
        <v/>
      </c>
      <c r="Q107" s="11" t="str">
        <f t="shared" si="473"/>
        <v/>
      </c>
      <c r="R107" s="7" t="str">
        <f t="shared" si="652"/>
        <v/>
      </c>
      <c r="S107" s="8" t="str">
        <f t="shared" si="653"/>
        <v/>
      </c>
      <c r="T107" s="6" t="str">
        <f t="shared" si="654"/>
        <v/>
      </c>
      <c r="U107" s="7" t="str">
        <f t="shared" si="655"/>
        <v/>
      </c>
      <c r="V107" s="10" t="str">
        <f t="shared" si="656"/>
        <v/>
      </c>
      <c r="W107" s="11" t="str">
        <f t="shared" si="614"/>
        <v/>
      </c>
      <c r="X107" s="7" t="str">
        <f t="shared" si="657"/>
        <v/>
      </c>
      <c r="Y107" s="9" t="str">
        <f t="shared" si="611"/>
        <v/>
      </c>
      <c r="Z107" s="24" t="str">
        <f t="shared" si="658"/>
        <v/>
      </c>
      <c r="AA107" s="7" t="str">
        <f t="shared" si="659"/>
        <v/>
      </c>
      <c r="AB107" s="7" t="str">
        <f t="shared" si="660"/>
        <v/>
      </c>
      <c r="AC107" s="10" t="str">
        <f t="shared" si="661"/>
        <v/>
      </c>
      <c r="AD107" s="11" t="str">
        <f t="shared" si="662"/>
        <v/>
      </c>
      <c r="AE107" s="7" t="str">
        <f t="shared" si="663"/>
        <v/>
      </c>
      <c r="AF107" s="12" t="str">
        <f t="shared" si="664"/>
        <v/>
      </c>
      <c r="AG107" s="6" t="str">
        <f t="shared" si="665"/>
        <v/>
      </c>
      <c r="AH107" s="12" t="str">
        <f t="shared" si="666"/>
        <v/>
      </c>
      <c r="AI107" s="11" t="str">
        <f t="shared" si="667"/>
        <v/>
      </c>
      <c r="AJ107" s="8" t="str">
        <f t="shared" si="668"/>
        <v/>
      </c>
      <c r="AK107" s="6" t="str">
        <f t="shared" si="669"/>
        <v/>
      </c>
      <c r="AL107" s="7" t="str">
        <f t="shared" si="670"/>
        <v/>
      </c>
      <c r="AM107" s="8" t="str">
        <f t="shared" si="671"/>
        <v/>
      </c>
      <c r="AN107" s="6" t="str">
        <f t="shared" si="672"/>
        <v/>
      </c>
      <c r="AO107" s="10" t="str">
        <f t="shared" si="673"/>
        <v/>
      </c>
      <c r="AP107" s="11" t="str">
        <f t="shared" si="674"/>
        <v/>
      </c>
      <c r="AQ107" s="8" t="str">
        <f t="shared" si="612"/>
        <v/>
      </c>
      <c r="AS107" s="123" t="str">
        <f t="shared" si="496"/>
        <v/>
      </c>
      <c r="AT107" s="175" t="str">
        <f t="shared" si="617"/>
        <v/>
      </c>
      <c r="AV107" s="292" t="str">
        <f t="shared" si="497"/>
        <v/>
      </c>
      <c r="AW107" s="709"/>
      <c r="AX107" s="710"/>
      <c r="AY107" s="711"/>
      <c r="AZ107" s="565" t="str">
        <f t="shared" si="498"/>
        <v/>
      </c>
      <c r="BA107" s="564" t="str">
        <f t="shared" si="499"/>
        <v/>
      </c>
      <c r="BB107" s="372" t="str">
        <f t="shared" si="474"/>
        <v/>
      </c>
      <c r="BC107" s="11"/>
      <c r="BD107" s="7" t="str">
        <f t="shared" si="475"/>
        <v/>
      </c>
      <c r="BE107" s="8" t="str">
        <f t="shared" si="476"/>
        <v/>
      </c>
      <c r="BF107" s="6" t="str">
        <f t="shared" si="500"/>
        <v/>
      </c>
      <c r="BG107" s="7" t="str">
        <f t="shared" si="501"/>
        <v/>
      </c>
      <c r="BH107" s="12" t="str">
        <f t="shared" si="502"/>
        <v/>
      </c>
      <c r="BI107" s="11" t="str">
        <f t="shared" si="503"/>
        <v/>
      </c>
      <c r="BJ107" s="7" t="str">
        <f t="shared" si="504"/>
        <v/>
      </c>
      <c r="BK107" s="10" t="str">
        <f t="shared" si="505"/>
        <v/>
      </c>
      <c r="BL107" s="328" t="str">
        <f t="shared" si="506"/>
        <v/>
      </c>
      <c r="BM107" s="7" t="str">
        <f t="shared" si="507"/>
        <v/>
      </c>
      <c r="BN107" s="8" t="str">
        <f t="shared" si="508"/>
        <v/>
      </c>
      <c r="BO107" s="6" t="str">
        <f t="shared" si="509"/>
        <v/>
      </c>
      <c r="BP107" s="7" t="str">
        <f t="shared" si="510"/>
        <v/>
      </c>
      <c r="BQ107" s="7" t="str">
        <f t="shared" si="511"/>
        <v/>
      </c>
      <c r="BR107" s="8" t="str">
        <f t="shared" si="512"/>
        <v/>
      </c>
      <c r="BS107" s="6" t="str">
        <f t="shared" si="675"/>
        <v/>
      </c>
      <c r="BT107" s="7" t="str">
        <f t="shared" si="675"/>
        <v/>
      </c>
      <c r="BU107" s="12" t="str">
        <f t="shared" si="478"/>
        <v/>
      </c>
      <c r="BV107" s="11" t="str">
        <f t="shared" si="479"/>
        <v/>
      </c>
      <c r="BW107" s="7" t="str">
        <f t="shared" si="480"/>
        <v/>
      </c>
      <c r="BX107" s="10" t="str">
        <f t="shared" si="481"/>
        <v/>
      </c>
      <c r="BY107" s="328" t="str">
        <f t="shared" si="482"/>
        <v/>
      </c>
      <c r="BZ107" s="7" t="str">
        <f t="shared" si="483"/>
        <v/>
      </c>
      <c r="CA107" s="8" t="str">
        <f t="shared" si="484"/>
        <v/>
      </c>
      <c r="CB107" s="6" t="str">
        <f t="shared" si="513"/>
        <v/>
      </c>
      <c r="CC107" s="7" t="str">
        <f t="shared" si="514"/>
        <v/>
      </c>
      <c r="CD107" s="7" t="str">
        <f t="shared" si="515"/>
        <v/>
      </c>
      <c r="CE107" s="8" t="str">
        <f t="shared" si="516"/>
        <v/>
      </c>
      <c r="CF107" s="6" t="str">
        <f t="shared" si="517"/>
        <v/>
      </c>
      <c r="CG107" s="7" t="str">
        <f t="shared" si="518"/>
        <v/>
      </c>
      <c r="CH107" s="7" t="str">
        <f t="shared" si="519"/>
        <v/>
      </c>
      <c r="CI107" s="6" t="str">
        <f t="shared" si="485"/>
        <v/>
      </c>
      <c r="CJ107" s="7" t="str">
        <f t="shared" si="486"/>
        <v/>
      </c>
      <c r="CK107" s="10" t="str">
        <f t="shared" si="487"/>
        <v/>
      </c>
      <c r="CL107" s="328" t="str">
        <f t="shared" si="488"/>
        <v/>
      </c>
      <c r="CM107" s="7" t="str">
        <f t="shared" si="489"/>
        <v/>
      </c>
      <c r="CN107" s="8" t="str">
        <f t="shared" si="490"/>
        <v/>
      </c>
      <c r="CO107" s="296" t="str">
        <f t="shared" si="613"/>
        <v/>
      </c>
      <c r="CP107" s="6" t="str">
        <f t="shared" si="520"/>
        <v/>
      </c>
      <c r="CQ107" s="7" t="str">
        <f t="shared" si="521"/>
        <v/>
      </c>
      <c r="CR107" s="7" t="str">
        <f t="shared" si="522"/>
        <v/>
      </c>
      <c r="CS107" s="10" t="str">
        <f t="shared" si="523"/>
        <v/>
      </c>
      <c r="CT107" s="11" t="str">
        <f t="shared" si="524"/>
        <v/>
      </c>
      <c r="CU107" s="8" t="str">
        <f t="shared" si="525"/>
        <v/>
      </c>
      <c r="CV107" s="6" t="str">
        <f t="shared" si="526"/>
        <v/>
      </c>
      <c r="CW107" s="7" t="str">
        <f t="shared" si="527"/>
        <v/>
      </c>
      <c r="CX107" s="10" t="str">
        <f t="shared" si="528"/>
        <v/>
      </c>
      <c r="CY107" s="11" t="str">
        <f t="shared" si="529"/>
        <v/>
      </c>
      <c r="CZ107" s="7" t="str">
        <f t="shared" si="530"/>
        <v/>
      </c>
      <c r="DA107" s="8" t="str">
        <f t="shared" si="531"/>
        <v/>
      </c>
      <c r="DB107" s="6" t="str">
        <f t="shared" ref="DB107:DC130" si="677">IF(ISNUMBER($AV107),0,"")</f>
        <v/>
      </c>
      <c r="DC107" s="7" t="str">
        <f t="shared" si="677"/>
        <v/>
      </c>
      <c r="DD107" s="12" t="str">
        <f t="shared" si="533"/>
        <v/>
      </c>
      <c r="DE107" s="11" t="str">
        <f t="shared" ref="DE107:DF130" si="678">IF(ISNUMBER($AV107),0,"")</f>
        <v/>
      </c>
      <c r="DF107" s="7" t="str">
        <f t="shared" si="678"/>
        <v/>
      </c>
      <c r="DG107" s="12" t="str">
        <f t="shared" si="535"/>
        <v/>
      </c>
      <c r="DH107" s="174" t="str">
        <f t="shared" si="536"/>
        <v/>
      </c>
      <c r="DI107" s="6" t="str">
        <f t="shared" si="537"/>
        <v/>
      </c>
      <c r="DJ107" s="7" t="str">
        <f t="shared" si="538"/>
        <v/>
      </c>
      <c r="DK107" s="12" t="str">
        <f t="shared" si="539"/>
        <v/>
      </c>
      <c r="DL107" s="11" t="str">
        <f t="shared" si="540"/>
        <v/>
      </c>
      <c r="DM107" s="328" t="str">
        <f t="shared" si="541"/>
        <v/>
      </c>
      <c r="DN107" s="376" t="str">
        <f t="shared" si="542"/>
        <v/>
      </c>
      <c r="DO107" s="11" t="str">
        <f t="shared" si="543"/>
        <v/>
      </c>
      <c r="DP107" s="328" t="str">
        <f t="shared" si="544"/>
        <v/>
      </c>
      <c r="DQ107" s="13" t="str">
        <f t="shared" si="545"/>
        <v/>
      </c>
      <c r="DR107" s="328" t="str">
        <f t="shared" si="546"/>
        <v/>
      </c>
      <c r="DS107" s="7" t="str">
        <f t="shared" si="547"/>
        <v/>
      </c>
      <c r="DT107" s="7" t="str">
        <f t="shared" si="548"/>
        <v/>
      </c>
      <c r="DU107" s="7" t="str">
        <f t="shared" si="549"/>
        <v/>
      </c>
      <c r="DV107" s="7" t="str">
        <f t="shared" si="550"/>
        <v/>
      </c>
      <c r="DW107" s="7" t="str">
        <f t="shared" si="551"/>
        <v/>
      </c>
      <c r="DX107" s="296" t="str">
        <f t="shared" si="552"/>
        <v/>
      </c>
      <c r="DY107" s="11" t="str">
        <f t="shared" si="553"/>
        <v/>
      </c>
      <c r="DZ107" s="7" t="str">
        <f t="shared" si="554"/>
        <v/>
      </c>
      <c r="EA107" s="12" t="str">
        <f t="shared" si="555"/>
        <v/>
      </c>
      <c r="EB107" s="8" t="str">
        <f t="shared" si="556"/>
        <v/>
      </c>
      <c r="EC107" s="328" t="str">
        <f t="shared" si="557"/>
        <v/>
      </c>
      <c r="ED107" s="7" t="str">
        <f t="shared" si="558"/>
        <v/>
      </c>
      <c r="EE107" s="6" t="str">
        <f t="shared" si="559"/>
        <v/>
      </c>
      <c r="EF107" s="7" t="str">
        <f t="shared" si="560"/>
        <v/>
      </c>
      <c r="EG107" s="12" t="str">
        <f t="shared" si="561"/>
        <v/>
      </c>
      <c r="EH107" s="11" t="str">
        <f t="shared" si="562"/>
        <v/>
      </c>
      <c r="EI107" s="7" t="str">
        <f t="shared" si="563"/>
        <v/>
      </c>
      <c r="EJ107" s="8" t="str">
        <f t="shared" si="564"/>
        <v/>
      </c>
      <c r="EK107" s="491" t="str">
        <f t="shared" si="565"/>
        <v/>
      </c>
      <c r="EL107" s="493" t="str">
        <f t="shared" si="566"/>
        <v/>
      </c>
      <c r="EM107" s="6" t="str">
        <f t="shared" si="567"/>
        <v/>
      </c>
      <c r="EN107" s="7" t="str">
        <f t="shared" si="568"/>
        <v/>
      </c>
      <c r="EO107" s="12" t="str">
        <f t="shared" si="569"/>
        <v/>
      </c>
      <c r="EP107" s="11" t="str">
        <f t="shared" si="570"/>
        <v/>
      </c>
      <c r="EQ107" s="7" t="str">
        <f t="shared" si="571"/>
        <v/>
      </c>
      <c r="ER107" s="9" t="str">
        <f t="shared" si="572"/>
        <v/>
      </c>
      <c r="ES107" s="24" t="str">
        <f t="shared" si="573"/>
        <v/>
      </c>
      <c r="ET107" s="7" t="str">
        <f t="shared" si="574"/>
        <v/>
      </c>
      <c r="EU107" s="12" t="str">
        <f t="shared" si="575"/>
        <v/>
      </c>
      <c r="EV107" s="337" t="str">
        <f t="shared" si="620"/>
        <v/>
      </c>
      <c r="EW107" s="11" t="str">
        <f t="shared" si="621"/>
        <v/>
      </c>
      <c r="EX107" s="7" t="str">
        <f t="shared" si="622"/>
        <v/>
      </c>
      <c r="EY107" s="8" t="str">
        <f t="shared" si="576"/>
        <v/>
      </c>
      <c r="EZ107" s="123" t="str">
        <f t="shared" si="577"/>
        <v/>
      </c>
      <c r="FA107" s="328" t="str">
        <f t="shared" si="623"/>
        <v/>
      </c>
      <c r="FB107" s="7" t="str">
        <f t="shared" si="624"/>
        <v/>
      </c>
      <c r="FC107" s="8" t="str">
        <f t="shared" si="625"/>
        <v/>
      </c>
      <c r="FD107" s="6" t="str">
        <f t="shared" si="626"/>
        <v/>
      </c>
      <c r="FE107" s="7" t="str">
        <f t="shared" si="627"/>
        <v/>
      </c>
      <c r="FF107" s="9" t="str">
        <f t="shared" si="578"/>
        <v/>
      </c>
      <c r="FG107" s="328" t="str">
        <f t="shared" si="628"/>
        <v/>
      </c>
      <c r="FH107" s="7" t="str">
        <f t="shared" si="629"/>
        <v/>
      </c>
      <c r="FI107" s="12" t="str">
        <f t="shared" si="630"/>
        <v/>
      </c>
      <c r="FJ107" s="547" t="str">
        <f t="shared" si="579"/>
        <v/>
      </c>
      <c r="FK107" s="6" t="str">
        <f t="shared" si="631"/>
        <v/>
      </c>
      <c r="FL107" s="7" t="str">
        <f t="shared" si="491"/>
        <v/>
      </c>
      <c r="FM107" s="10" t="str">
        <f t="shared" si="492"/>
        <v/>
      </c>
      <c r="FN107" s="11" t="str">
        <f t="shared" si="493"/>
        <v/>
      </c>
      <c r="FO107" s="12" t="str">
        <f t="shared" si="632"/>
        <v/>
      </c>
      <c r="FP107" s="545" t="str">
        <f t="shared" si="494"/>
        <v/>
      </c>
      <c r="FQ107" s="328" t="str">
        <f t="shared" si="580"/>
        <v/>
      </c>
      <c r="FR107" s="12" t="str">
        <f t="shared" si="581"/>
        <v/>
      </c>
      <c r="FS107" s="11" t="str">
        <f t="shared" si="582"/>
        <v/>
      </c>
      <c r="FT107" s="8" t="str">
        <f t="shared" si="583"/>
        <v/>
      </c>
      <c r="FU107" s="6" t="str">
        <f t="shared" si="584"/>
        <v/>
      </c>
      <c r="FV107" s="7" t="str">
        <f t="shared" si="585"/>
        <v/>
      </c>
      <c r="FW107" s="10" t="str">
        <f t="shared" si="586"/>
        <v/>
      </c>
      <c r="FX107" s="11" t="str">
        <f t="shared" si="587"/>
        <v/>
      </c>
      <c r="FY107" s="12" t="str">
        <f t="shared" si="633"/>
        <v/>
      </c>
      <c r="FZ107" s="545" t="str">
        <f t="shared" si="588"/>
        <v/>
      </c>
      <c r="GA107" s="372" t="str">
        <f t="shared" si="589"/>
        <v/>
      </c>
      <c r="GB107" s="46" t="str">
        <f t="shared" si="590"/>
        <v/>
      </c>
      <c r="GC107" s="47" t="str">
        <f t="shared" si="591"/>
        <v/>
      </c>
      <c r="GD107" s="578" t="str">
        <f t="shared" si="592"/>
        <v/>
      </c>
      <c r="GE107" s="585" t="str">
        <f t="shared" si="593"/>
        <v/>
      </c>
      <c r="GF107" s="634" t="str">
        <f t="shared" si="594"/>
        <v/>
      </c>
      <c r="GG107" s="553" t="str">
        <f t="shared" si="634"/>
        <v/>
      </c>
      <c r="GH107" s="554" t="str">
        <f t="shared" si="635"/>
        <v/>
      </c>
      <c r="GI107" s="549" t="str">
        <f t="shared" si="636"/>
        <v/>
      </c>
      <c r="GJ107" s="296" t="str">
        <f t="shared" si="595"/>
        <v/>
      </c>
      <c r="GK107" s="337" t="str">
        <f t="shared" si="637"/>
        <v/>
      </c>
      <c r="GL107" s="337" t="str">
        <f t="shared" si="596"/>
        <v/>
      </c>
      <c r="GM107" s="372" t="str">
        <f t="shared" si="597"/>
        <v/>
      </c>
      <c r="GN107" s="548" t="str">
        <f t="shared" si="598"/>
        <v/>
      </c>
      <c r="GO107" s="6" t="str">
        <f t="shared" si="599"/>
        <v/>
      </c>
      <c r="GP107" s="10" t="str">
        <f t="shared" si="600"/>
        <v/>
      </c>
      <c r="GQ107" s="372" t="str">
        <f t="shared" si="601"/>
        <v/>
      </c>
      <c r="GR107" s="697" t="str">
        <f t="shared" si="602"/>
        <v/>
      </c>
      <c r="GS107" s="637" t="str">
        <f t="shared" si="638"/>
        <v/>
      </c>
      <c r="GT107" s="638" t="str">
        <f t="shared" si="639"/>
        <v/>
      </c>
      <c r="GU107" s="639" t="str">
        <f t="shared" si="640"/>
        <v/>
      </c>
      <c r="GV107" s="638" t="str">
        <f t="shared" si="603"/>
        <v/>
      </c>
      <c r="GW107" s="640" t="str">
        <f t="shared" si="641"/>
        <v/>
      </c>
      <c r="GX107" s="641" t="str">
        <f t="shared" si="642"/>
        <v/>
      </c>
      <c r="GY107" s="639" t="str">
        <f t="shared" si="643"/>
        <v/>
      </c>
      <c r="GZ107" s="640" t="str">
        <f t="shared" si="644"/>
        <v/>
      </c>
      <c r="HA107" s="637" t="str">
        <f t="shared" si="645"/>
        <v/>
      </c>
      <c r="HB107" s="7" t="str">
        <f t="shared" si="604"/>
        <v/>
      </c>
      <c r="HC107" s="638" t="str">
        <f t="shared" si="605"/>
        <v/>
      </c>
      <c r="HD107" s="682" t="str">
        <f t="shared" si="606"/>
        <v/>
      </c>
      <c r="HE107" s="639" t="str">
        <f t="shared" si="646"/>
        <v/>
      </c>
      <c r="HF107" s="7" t="str">
        <f t="shared" si="647"/>
        <v/>
      </c>
      <c r="HG107" s="638" t="str">
        <f t="shared" si="607"/>
        <v/>
      </c>
      <c r="HH107" s="644" t="str">
        <f t="shared" si="608"/>
        <v/>
      </c>
      <c r="HI107" s="596" t="str">
        <f t="shared" si="609"/>
        <v/>
      </c>
      <c r="HK107" s="584" t="str">
        <f t="shared" si="619"/>
        <v/>
      </c>
      <c r="HL107" s="583" t="str">
        <f t="shared" si="676"/>
        <v/>
      </c>
      <c r="HM107" s="643" t="str">
        <f t="shared" si="618"/>
        <v/>
      </c>
      <c r="HN107" s="660" t="str">
        <f t="shared" si="618"/>
        <v/>
      </c>
      <c r="HO107" s="661" t="str">
        <f t="shared" si="618"/>
        <v/>
      </c>
      <c r="HP107" s="656" t="str">
        <f t="shared" si="618"/>
        <v/>
      </c>
      <c r="HQ107" s="660" t="str">
        <f t="shared" si="618"/>
        <v/>
      </c>
      <c r="HR107" s="671" t="str">
        <f t="shared" si="618"/>
        <v/>
      </c>
      <c r="HS107" s="655" t="str">
        <f t="shared" si="618"/>
        <v/>
      </c>
      <c r="HT107" s="648" t="str">
        <f t="shared" si="618"/>
        <v/>
      </c>
      <c r="HU107" s="649" t="str">
        <f t="shared" si="618"/>
        <v/>
      </c>
      <c r="HV107" s="650" t="str">
        <f t="shared" si="618"/>
        <v/>
      </c>
      <c r="HW107" s="648" t="str">
        <f t="shared" si="618"/>
        <v/>
      </c>
      <c r="HX107" s="649" t="str">
        <f t="shared" si="618"/>
        <v/>
      </c>
      <c r="HY107" s="650" t="str">
        <f t="shared" si="618"/>
        <v/>
      </c>
      <c r="HZ107" s="648" t="str">
        <f t="shared" si="618"/>
        <v/>
      </c>
      <c r="IA107" s="649" t="str">
        <f t="shared" si="618"/>
        <v/>
      </c>
      <c r="IB107" s="716"/>
    </row>
    <row r="108" spans="2:236" ht="15" customHeight="1" x14ac:dyDescent="0.25">
      <c r="B108" s="143"/>
      <c r="C108" s="144"/>
      <c r="D108" s="145"/>
      <c r="E108" s="146"/>
      <c r="F108" s="144"/>
      <c r="G108" s="147"/>
      <c r="H108" s="146"/>
      <c r="I108" s="144"/>
      <c r="J108" s="306"/>
      <c r="K108" s="699" t="str">
        <f t="shared" si="610"/>
        <v/>
      </c>
      <c r="M108" s="292" t="str">
        <f t="shared" si="648"/>
        <v/>
      </c>
      <c r="N108" s="24" t="str">
        <f t="shared" si="649"/>
        <v/>
      </c>
      <c r="O108" s="7" t="str">
        <f t="shared" si="650"/>
        <v/>
      </c>
      <c r="P108" s="12" t="str">
        <f t="shared" si="651"/>
        <v/>
      </c>
      <c r="Q108" s="11" t="str">
        <f t="shared" si="473"/>
        <v/>
      </c>
      <c r="R108" s="7" t="str">
        <f t="shared" si="652"/>
        <v/>
      </c>
      <c r="S108" s="8" t="str">
        <f t="shared" si="653"/>
        <v/>
      </c>
      <c r="T108" s="6" t="str">
        <f t="shared" si="654"/>
        <v/>
      </c>
      <c r="U108" s="7" t="str">
        <f t="shared" si="655"/>
        <v/>
      </c>
      <c r="V108" s="10" t="str">
        <f t="shared" si="656"/>
        <v/>
      </c>
      <c r="W108" s="11" t="str">
        <f t="shared" si="614"/>
        <v/>
      </c>
      <c r="X108" s="7" t="str">
        <f t="shared" si="657"/>
        <v/>
      </c>
      <c r="Y108" s="9" t="str">
        <f t="shared" si="611"/>
        <v/>
      </c>
      <c r="Z108" s="24" t="str">
        <f t="shared" si="658"/>
        <v/>
      </c>
      <c r="AA108" s="7" t="str">
        <f t="shared" si="659"/>
        <v/>
      </c>
      <c r="AB108" s="7" t="str">
        <f t="shared" si="660"/>
        <v/>
      </c>
      <c r="AC108" s="10" t="str">
        <f t="shared" si="661"/>
        <v/>
      </c>
      <c r="AD108" s="11" t="str">
        <f t="shared" si="662"/>
        <v/>
      </c>
      <c r="AE108" s="7" t="str">
        <f t="shared" si="663"/>
        <v/>
      </c>
      <c r="AF108" s="12" t="str">
        <f t="shared" si="664"/>
        <v/>
      </c>
      <c r="AG108" s="6" t="str">
        <f t="shared" si="665"/>
        <v/>
      </c>
      <c r="AH108" s="12" t="str">
        <f t="shared" si="666"/>
        <v/>
      </c>
      <c r="AI108" s="11" t="str">
        <f t="shared" si="667"/>
        <v/>
      </c>
      <c r="AJ108" s="8" t="str">
        <f t="shared" si="668"/>
        <v/>
      </c>
      <c r="AK108" s="6" t="str">
        <f t="shared" si="669"/>
        <v/>
      </c>
      <c r="AL108" s="7" t="str">
        <f t="shared" si="670"/>
        <v/>
      </c>
      <c r="AM108" s="8" t="str">
        <f t="shared" si="671"/>
        <v/>
      </c>
      <c r="AN108" s="6" t="str">
        <f t="shared" si="672"/>
        <v/>
      </c>
      <c r="AO108" s="10" t="str">
        <f t="shared" si="673"/>
        <v/>
      </c>
      <c r="AP108" s="11" t="str">
        <f t="shared" si="674"/>
        <v/>
      </c>
      <c r="AQ108" s="8" t="str">
        <f t="shared" si="612"/>
        <v/>
      </c>
      <c r="AS108" s="123" t="str">
        <f t="shared" si="496"/>
        <v/>
      </c>
      <c r="AT108" s="175" t="str">
        <f t="shared" si="617"/>
        <v/>
      </c>
      <c r="AV108" s="292" t="str">
        <f t="shared" si="497"/>
        <v/>
      </c>
      <c r="AW108" s="709"/>
      <c r="AX108" s="710"/>
      <c r="AY108" s="711"/>
      <c r="AZ108" s="565" t="str">
        <f t="shared" si="498"/>
        <v/>
      </c>
      <c r="BA108" s="564" t="str">
        <f t="shared" si="499"/>
        <v/>
      </c>
      <c r="BB108" s="372" t="str">
        <f t="shared" si="474"/>
        <v/>
      </c>
      <c r="BC108" s="11"/>
      <c r="BD108" s="7" t="str">
        <f t="shared" si="475"/>
        <v/>
      </c>
      <c r="BE108" s="8" t="str">
        <f t="shared" si="476"/>
        <v/>
      </c>
      <c r="BF108" s="6" t="str">
        <f t="shared" si="500"/>
        <v/>
      </c>
      <c r="BG108" s="7" t="str">
        <f t="shared" si="501"/>
        <v/>
      </c>
      <c r="BH108" s="12" t="str">
        <f t="shared" si="502"/>
        <v/>
      </c>
      <c r="BI108" s="11" t="str">
        <f t="shared" si="503"/>
        <v/>
      </c>
      <c r="BJ108" s="7" t="str">
        <f t="shared" si="504"/>
        <v/>
      </c>
      <c r="BK108" s="10" t="str">
        <f t="shared" si="505"/>
        <v/>
      </c>
      <c r="BL108" s="328" t="str">
        <f t="shared" si="506"/>
        <v/>
      </c>
      <c r="BM108" s="7" t="str">
        <f t="shared" si="507"/>
        <v/>
      </c>
      <c r="BN108" s="8" t="str">
        <f t="shared" si="508"/>
        <v/>
      </c>
      <c r="BO108" s="6" t="str">
        <f t="shared" si="509"/>
        <v/>
      </c>
      <c r="BP108" s="7" t="str">
        <f t="shared" si="510"/>
        <v/>
      </c>
      <c r="BQ108" s="7" t="str">
        <f t="shared" si="511"/>
        <v/>
      </c>
      <c r="BR108" s="8" t="str">
        <f t="shared" si="512"/>
        <v/>
      </c>
      <c r="BS108" s="6" t="str">
        <f t="shared" si="675"/>
        <v/>
      </c>
      <c r="BT108" s="7" t="str">
        <f t="shared" si="675"/>
        <v/>
      </c>
      <c r="BU108" s="12" t="str">
        <f t="shared" si="478"/>
        <v/>
      </c>
      <c r="BV108" s="11" t="str">
        <f t="shared" si="479"/>
        <v/>
      </c>
      <c r="BW108" s="7" t="str">
        <f t="shared" si="480"/>
        <v/>
      </c>
      <c r="BX108" s="10" t="str">
        <f t="shared" si="481"/>
        <v/>
      </c>
      <c r="BY108" s="328" t="str">
        <f t="shared" si="482"/>
        <v/>
      </c>
      <c r="BZ108" s="7" t="str">
        <f t="shared" si="483"/>
        <v/>
      </c>
      <c r="CA108" s="8" t="str">
        <f t="shared" si="484"/>
        <v/>
      </c>
      <c r="CB108" s="6" t="str">
        <f t="shared" si="513"/>
        <v/>
      </c>
      <c r="CC108" s="7" t="str">
        <f t="shared" si="514"/>
        <v/>
      </c>
      <c r="CD108" s="7" t="str">
        <f t="shared" si="515"/>
        <v/>
      </c>
      <c r="CE108" s="8" t="str">
        <f t="shared" si="516"/>
        <v/>
      </c>
      <c r="CF108" s="6" t="str">
        <f t="shared" si="517"/>
        <v/>
      </c>
      <c r="CG108" s="7" t="str">
        <f t="shared" si="518"/>
        <v/>
      </c>
      <c r="CH108" s="7" t="str">
        <f t="shared" si="519"/>
        <v/>
      </c>
      <c r="CI108" s="6" t="str">
        <f t="shared" si="485"/>
        <v/>
      </c>
      <c r="CJ108" s="7" t="str">
        <f t="shared" si="486"/>
        <v/>
      </c>
      <c r="CK108" s="10" t="str">
        <f t="shared" si="487"/>
        <v/>
      </c>
      <c r="CL108" s="328" t="str">
        <f t="shared" si="488"/>
        <v/>
      </c>
      <c r="CM108" s="7" t="str">
        <f t="shared" si="489"/>
        <v/>
      </c>
      <c r="CN108" s="8" t="str">
        <f t="shared" si="490"/>
        <v/>
      </c>
      <c r="CO108" s="296" t="str">
        <f t="shared" si="613"/>
        <v/>
      </c>
      <c r="CP108" s="6" t="str">
        <f t="shared" si="520"/>
        <v/>
      </c>
      <c r="CQ108" s="7" t="str">
        <f t="shared" si="521"/>
        <v/>
      </c>
      <c r="CR108" s="7" t="str">
        <f t="shared" si="522"/>
        <v/>
      </c>
      <c r="CS108" s="10" t="str">
        <f t="shared" si="523"/>
        <v/>
      </c>
      <c r="CT108" s="11" t="str">
        <f t="shared" si="524"/>
        <v/>
      </c>
      <c r="CU108" s="8" t="str">
        <f t="shared" si="525"/>
        <v/>
      </c>
      <c r="CV108" s="6" t="str">
        <f t="shared" si="526"/>
        <v/>
      </c>
      <c r="CW108" s="7" t="str">
        <f t="shared" si="527"/>
        <v/>
      </c>
      <c r="CX108" s="10" t="str">
        <f t="shared" si="528"/>
        <v/>
      </c>
      <c r="CY108" s="11" t="str">
        <f t="shared" si="529"/>
        <v/>
      </c>
      <c r="CZ108" s="7" t="str">
        <f t="shared" si="530"/>
        <v/>
      </c>
      <c r="DA108" s="8" t="str">
        <f t="shared" si="531"/>
        <v/>
      </c>
      <c r="DB108" s="6" t="str">
        <f t="shared" si="677"/>
        <v/>
      </c>
      <c r="DC108" s="7" t="str">
        <f t="shared" si="677"/>
        <v/>
      </c>
      <c r="DD108" s="12" t="str">
        <f t="shared" si="533"/>
        <v/>
      </c>
      <c r="DE108" s="11" t="str">
        <f t="shared" si="678"/>
        <v/>
      </c>
      <c r="DF108" s="7" t="str">
        <f t="shared" si="678"/>
        <v/>
      </c>
      <c r="DG108" s="12" t="str">
        <f t="shared" si="535"/>
        <v/>
      </c>
      <c r="DH108" s="174" t="str">
        <f t="shared" si="536"/>
        <v/>
      </c>
      <c r="DI108" s="6" t="str">
        <f t="shared" si="537"/>
        <v/>
      </c>
      <c r="DJ108" s="7" t="str">
        <f t="shared" si="538"/>
        <v/>
      </c>
      <c r="DK108" s="12" t="str">
        <f t="shared" si="539"/>
        <v/>
      </c>
      <c r="DL108" s="11" t="str">
        <f t="shared" si="540"/>
        <v/>
      </c>
      <c r="DM108" s="328" t="str">
        <f t="shared" si="541"/>
        <v/>
      </c>
      <c r="DN108" s="376" t="str">
        <f t="shared" si="542"/>
        <v/>
      </c>
      <c r="DO108" s="11" t="str">
        <f t="shared" si="543"/>
        <v/>
      </c>
      <c r="DP108" s="328" t="str">
        <f t="shared" si="544"/>
        <v/>
      </c>
      <c r="DQ108" s="13" t="str">
        <f t="shared" si="545"/>
        <v/>
      </c>
      <c r="DR108" s="328" t="str">
        <f t="shared" si="546"/>
        <v/>
      </c>
      <c r="DS108" s="7" t="str">
        <f t="shared" si="547"/>
        <v/>
      </c>
      <c r="DT108" s="7" t="str">
        <f t="shared" si="548"/>
        <v/>
      </c>
      <c r="DU108" s="7" t="str">
        <f t="shared" si="549"/>
        <v/>
      </c>
      <c r="DV108" s="7" t="str">
        <f t="shared" si="550"/>
        <v/>
      </c>
      <c r="DW108" s="7" t="str">
        <f t="shared" si="551"/>
        <v/>
      </c>
      <c r="DX108" s="296" t="str">
        <f t="shared" si="552"/>
        <v/>
      </c>
      <c r="DY108" s="11" t="str">
        <f t="shared" si="553"/>
        <v/>
      </c>
      <c r="DZ108" s="7" t="str">
        <f t="shared" si="554"/>
        <v/>
      </c>
      <c r="EA108" s="12" t="str">
        <f t="shared" si="555"/>
        <v/>
      </c>
      <c r="EB108" s="8" t="str">
        <f t="shared" si="556"/>
        <v/>
      </c>
      <c r="EC108" s="328" t="str">
        <f t="shared" si="557"/>
        <v/>
      </c>
      <c r="ED108" s="7" t="str">
        <f t="shared" si="558"/>
        <v/>
      </c>
      <c r="EE108" s="6" t="str">
        <f t="shared" si="559"/>
        <v/>
      </c>
      <c r="EF108" s="7" t="str">
        <f t="shared" si="560"/>
        <v/>
      </c>
      <c r="EG108" s="12" t="str">
        <f t="shared" si="561"/>
        <v/>
      </c>
      <c r="EH108" s="11" t="str">
        <f t="shared" si="562"/>
        <v/>
      </c>
      <c r="EI108" s="7" t="str">
        <f t="shared" si="563"/>
        <v/>
      </c>
      <c r="EJ108" s="8" t="str">
        <f t="shared" si="564"/>
        <v/>
      </c>
      <c r="EK108" s="491" t="str">
        <f t="shared" si="565"/>
        <v/>
      </c>
      <c r="EL108" s="493" t="str">
        <f t="shared" si="566"/>
        <v/>
      </c>
      <c r="EM108" s="6" t="str">
        <f t="shared" si="567"/>
        <v/>
      </c>
      <c r="EN108" s="7" t="str">
        <f t="shared" si="568"/>
        <v/>
      </c>
      <c r="EO108" s="12" t="str">
        <f t="shared" si="569"/>
        <v/>
      </c>
      <c r="EP108" s="11" t="str">
        <f t="shared" si="570"/>
        <v/>
      </c>
      <c r="EQ108" s="7" t="str">
        <f t="shared" si="571"/>
        <v/>
      </c>
      <c r="ER108" s="9" t="str">
        <f t="shared" si="572"/>
        <v/>
      </c>
      <c r="ES108" s="24" t="str">
        <f t="shared" si="573"/>
        <v/>
      </c>
      <c r="ET108" s="7" t="str">
        <f t="shared" si="574"/>
        <v/>
      </c>
      <c r="EU108" s="12" t="str">
        <f t="shared" si="575"/>
        <v/>
      </c>
      <c r="EV108" s="337" t="str">
        <f t="shared" si="620"/>
        <v/>
      </c>
      <c r="EW108" s="11" t="str">
        <f t="shared" si="621"/>
        <v/>
      </c>
      <c r="EX108" s="7" t="str">
        <f t="shared" si="622"/>
        <v/>
      </c>
      <c r="EY108" s="8" t="str">
        <f t="shared" si="576"/>
        <v/>
      </c>
      <c r="EZ108" s="123" t="str">
        <f t="shared" si="577"/>
        <v/>
      </c>
      <c r="FA108" s="328" t="str">
        <f t="shared" si="623"/>
        <v/>
      </c>
      <c r="FB108" s="7" t="str">
        <f t="shared" si="624"/>
        <v/>
      </c>
      <c r="FC108" s="8" t="str">
        <f t="shared" si="625"/>
        <v/>
      </c>
      <c r="FD108" s="6" t="str">
        <f t="shared" si="626"/>
        <v/>
      </c>
      <c r="FE108" s="7" t="str">
        <f t="shared" si="627"/>
        <v/>
      </c>
      <c r="FF108" s="9" t="str">
        <f t="shared" si="578"/>
        <v/>
      </c>
      <c r="FG108" s="328" t="str">
        <f t="shared" si="628"/>
        <v/>
      </c>
      <c r="FH108" s="7" t="str">
        <f t="shared" si="629"/>
        <v/>
      </c>
      <c r="FI108" s="12" t="str">
        <f t="shared" si="630"/>
        <v/>
      </c>
      <c r="FJ108" s="547" t="str">
        <f t="shared" si="579"/>
        <v/>
      </c>
      <c r="FK108" s="6" t="str">
        <f t="shared" si="631"/>
        <v/>
      </c>
      <c r="FL108" s="7" t="str">
        <f t="shared" si="491"/>
        <v/>
      </c>
      <c r="FM108" s="10" t="str">
        <f t="shared" si="492"/>
        <v/>
      </c>
      <c r="FN108" s="11" t="str">
        <f t="shared" si="493"/>
        <v/>
      </c>
      <c r="FO108" s="12" t="str">
        <f t="shared" si="632"/>
        <v/>
      </c>
      <c r="FP108" s="545" t="str">
        <f t="shared" si="494"/>
        <v/>
      </c>
      <c r="FQ108" s="328" t="str">
        <f t="shared" si="580"/>
        <v/>
      </c>
      <c r="FR108" s="12" t="str">
        <f t="shared" si="581"/>
        <v/>
      </c>
      <c r="FS108" s="11" t="str">
        <f t="shared" si="582"/>
        <v/>
      </c>
      <c r="FT108" s="8" t="str">
        <f t="shared" si="583"/>
        <v/>
      </c>
      <c r="FU108" s="6" t="str">
        <f t="shared" si="584"/>
        <v/>
      </c>
      <c r="FV108" s="7" t="str">
        <f t="shared" si="585"/>
        <v/>
      </c>
      <c r="FW108" s="10" t="str">
        <f t="shared" si="586"/>
        <v/>
      </c>
      <c r="FX108" s="11" t="str">
        <f t="shared" si="587"/>
        <v/>
      </c>
      <c r="FY108" s="12" t="str">
        <f t="shared" si="633"/>
        <v/>
      </c>
      <c r="FZ108" s="545" t="str">
        <f t="shared" si="588"/>
        <v/>
      </c>
      <c r="GA108" s="372" t="str">
        <f t="shared" si="589"/>
        <v/>
      </c>
      <c r="GB108" s="46" t="str">
        <f t="shared" si="590"/>
        <v/>
      </c>
      <c r="GC108" s="47" t="str">
        <f t="shared" si="591"/>
        <v/>
      </c>
      <c r="GD108" s="578" t="str">
        <f t="shared" si="592"/>
        <v/>
      </c>
      <c r="GE108" s="585" t="str">
        <f t="shared" si="593"/>
        <v/>
      </c>
      <c r="GF108" s="634" t="str">
        <f t="shared" si="594"/>
        <v/>
      </c>
      <c r="GG108" s="553" t="str">
        <f t="shared" si="634"/>
        <v/>
      </c>
      <c r="GH108" s="554" t="str">
        <f t="shared" si="635"/>
        <v/>
      </c>
      <c r="GI108" s="549" t="str">
        <f t="shared" si="636"/>
        <v/>
      </c>
      <c r="GJ108" s="296" t="str">
        <f t="shared" si="595"/>
        <v/>
      </c>
      <c r="GK108" s="337" t="str">
        <f t="shared" si="637"/>
        <v/>
      </c>
      <c r="GL108" s="337" t="str">
        <f t="shared" si="596"/>
        <v/>
      </c>
      <c r="GM108" s="372" t="str">
        <f t="shared" si="597"/>
        <v/>
      </c>
      <c r="GN108" s="548" t="str">
        <f t="shared" si="598"/>
        <v/>
      </c>
      <c r="GO108" s="6" t="str">
        <f t="shared" si="599"/>
        <v/>
      </c>
      <c r="GP108" s="10" t="str">
        <f t="shared" si="600"/>
        <v/>
      </c>
      <c r="GQ108" s="372" t="str">
        <f t="shared" si="601"/>
        <v/>
      </c>
      <c r="GR108" s="697" t="str">
        <f t="shared" si="602"/>
        <v/>
      </c>
      <c r="GS108" s="637" t="str">
        <f t="shared" si="638"/>
        <v/>
      </c>
      <c r="GT108" s="638" t="str">
        <f t="shared" si="639"/>
        <v/>
      </c>
      <c r="GU108" s="639" t="str">
        <f t="shared" si="640"/>
        <v/>
      </c>
      <c r="GV108" s="638" t="str">
        <f t="shared" si="603"/>
        <v/>
      </c>
      <c r="GW108" s="640" t="str">
        <f t="shared" si="641"/>
        <v/>
      </c>
      <c r="GX108" s="641" t="str">
        <f t="shared" si="642"/>
        <v/>
      </c>
      <c r="GY108" s="639" t="str">
        <f t="shared" si="643"/>
        <v/>
      </c>
      <c r="GZ108" s="640" t="str">
        <f t="shared" si="644"/>
        <v/>
      </c>
      <c r="HA108" s="637" t="str">
        <f t="shared" si="645"/>
        <v/>
      </c>
      <c r="HB108" s="7" t="str">
        <f t="shared" si="604"/>
        <v/>
      </c>
      <c r="HC108" s="638" t="str">
        <f t="shared" si="605"/>
        <v/>
      </c>
      <c r="HD108" s="682" t="str">
        <f t="shared" si="606"/>
        <v/>
      </c>
      <c r="HE108" s="639" t="str">
        <f t="shared" si="646"/>
        <v/>
      </c>
      <c r="HF108" s="7" t="str">
        <f t="shared" si="647"/>
        <v/>
      </c>
      <c r="HG108" s="638" t="str">
        <f t="shared" si="607"/>
        <v/>
      </c>
      <c r="HH108" s="644" t="str">
        <f t="shared" si="608"/>
        <v/>
      </c>
      <c r="HI108" s="596" t="str">
        <f t="shared" si="609"/>
        <v/>
      </c>
      <c r="HK108" s="584" t="str">
        <f t="shared" si="619"/>
        <v/>
      </c>
      <c r="HL108" s="583" t="str">
        <f t="shared" si="676"/>
        <v/>
      </c>
      <c r="HM108" s="643" t="str">
        <f t="shared" si="618"/>
        <v/>
      </c>
      <c r="HN108" s="660" t="str">
        <f t="shared" si="618"/>
        <v/>
      </c>
      <c r="HO108" s="661" t="str">
        <f t="shared" si="618"/>
        <v/>
      </c>
      <c r="HP108" s="656" t="str">
        <f t="shared" si="618"/>
        <v/>
      </c>
      <c r="HQ108" s="660" t="str">
        <f t="shared" si="618"/>
        <v/>
      </c>
      <c r="HR108" s="671" t="str">
        <f t="shared" si="618"/>
        <v/>
      </c>
      <c r="HS108" s="655" t="str">
        <f t="shared" si="618"/>
        <v/>
      </c>
      <c r="HT108" s="648" t="str">
        <f t="shared" si="618"/>
        <v/>
      </c>
      <c r="HU108" s="649" t="str">
        <f t="shared" si="618"/>
        <v/>
      </c>
      <c r="HV108" s="650" t="str">
        <f t="shared" si="618"/>
        <v/>
      </c>
      <c r="HW108" s="648" t="str">
        <f t="shared" si="618"/>
        <v/>
      </c>
      <c r="HX108" s="649" t="str">
        <f t="shared" si="618"/>
        <v/>
      </c>
      <c r="HY108" s="650" t="str">
        <f t="shared" si="618"/>
        <v/>
      </c>
      <c r="HZ108" s="648" t="str">
        <f t="shared" si="618"/>
        <v/>
      </c>
      <c r="IA108" s="649" t="str">
        <f t="shared" si="618"/>
        <v/>
      </c>
      <c r="IB108" s="716"/>
    </row>
    <row r="109" spans="2:236" ht="15" customHeight="1" x14ac:dyDescent="0.25">
      <c r="B109" s="143"/>
      <c r="C109" s="144"/>
      <c r="D109" s="145"/>
      <c r="E109" s="146"/>
      <c r="F109" s="144"/>
      <c r="G109" s="147"/>
      <c r="H109" s="146"/>
      <c r="I109" s="144"/>
      <c r="J109" s="306"/>
      <c r="K109" s="699" t="str">
        <f t="shared" si="610"/>
        <v/>
      </c>
      <c r="M109" s="292" t="str">
        <f t="shared" si="648"/>
        <v/>
      </c>
      <c r="N109" s="24" t="str">
        <f t="shared" si="649"/>
        <v/>
      </c>
      <c r="O109" s="7" t="str">
        <f t="shared" si="650"/>
        <v/>
      </c>
      <c r="P109" s="12" t="str">
        <f t="shared" si="651"/>
        <v/>
      </c>
      <c r="Q109" s="11" t="str">
        <f t="shared" si="473"/>
        <v/>
      </c>
      <c r="R109" s="7" t="str">
        <f t="shared" si="652"/>
        <v/>
      </c>
      <c r="S109" s="8" t="str">
        <f t="shared" si="653"/>
        <v/>
      </c>
      <c r="T109" s="6" t="str">
        <f t="shared" si="654"/>
        <v/>
      </c>
      <c r="U109" s="7" t="str">
        <f t="shared" si="655"/>
        <v/>
      </c>
      <c r="V109" s="10" t="str">
        <f t="shared" si="656"/>
        <v/>
      </c>
      <c r="W109" s="11" t="str">
        <f t="shared" si="614"/>
        <v/>
      </c>
      <c r="X109" s="7" t="str">
        <f t="shared" si="657"/>
        <v/>
      </c>
      <c r="Y109" s="9" t="str">
        <f t="shared" si="611"/>
        <v/>
      </c>
      <c r="Z109" s="24" t="str">
        <f t="shared" si="658"/>
        <v/>
      </c>
      <c r="AA109" s="7" t="str">
        <f t="shared" si="659"/>
        <v/>
      </c>
      <c r="AB109" s="7" t="str">
        <f t="shared" si="660"/>
        <v/>
      </c>
      <c r="AC109" s="10" t="str">
        <f t="shared" si="661"/>
        <v/>
      </c>
      <c r="AD109" s="11" t="str">
        <f t="shared" si="662"/>
        <v/>
      </c>
      <c r="AE109" s="7" t="str">
        <f t="shared" si="663"/>
        <v/>
      </c>
      <c r="AF109" s="12" t="str">
        <f t="shared" si="664"/>
        <v/>
      </c>
      <c r="AG109" s="6" t="str">
        <f t="shared" si="665"/>
        <v/>
      </c>
      <c r="AH109" s="12" t="str">
        <f t="shared" si="666"/>
        <v/>
      </c>
      <c r="AI109" s="11" t="str">
        <f t="shared" si="667"/>
        <v/>
      </c>
      <c r="AJ109" s="8" t="str">
        <f t="shared" si="668"/>
        <v/>
      </c>
      <c r="AK109" s="6" t="str">
        <f t="shared" si="669"/>
        <v/>
      </c>
      <c r="AL109" s="7" t="str">
        <f t="shared" si="670"/>
        <v/>
      </c>
      <c r="AM109" s="8" t="str">
        <f t="shared" si="671"/>
        <v/>
      </c>
      <c r="AN109" s="6" t="str">
        <f t="shared" si="672"/>
        <v/>
      </c>
      <c r="AO109" s="10" t="str">
        <f t="shared" si="673"/>
        <v/>
      </c>
      <c r="AP109" s="11" t="str">
        <f t="shared" si="674"/>
        <v/>
      </c>
      <c r="AQ109" s="8" t="str">
        <f t="shared" si="612"/>
        <v/>
      </c>
      <c r="AS109" s="123" t="str">
        <f t="shared" si="496"/>
        <v/>
      </c>
      <c r="AT109" s="175" t="str">
        <f t="shared" si="617"/>
        <v/>
      </c>
      <c r="AV109" s="292" t="str">
        <f t="shared" si="497"/>
        <v/>
      </c>
      <c r="AW109" s="709"/>
      <c r="AX109" s="710"/>
      <c r="AY109" s="711"/>
      <c r="AZ109" s="565" t="str">
        <f t="shared" si="498"/>
        <v/>
      </c>
      <c r="BA109" s="564" t="str">
        <f t="shared" si="499"/>
        <v/>
      </c>
      <c r="BB109" s="372" t="str">
        <f t="shared" si="474"/>
        <v/>
      </c>
      <c r="BC109" s="11"/>
      <c r="BD109" s="7" t="str">
        <f t="shared" si="475"/>
        <v/>
      </c>
      <c r="BE109" s="8" t="str">
        <f t="shared" si="476"/>
        <v/>
      </c>
      <c r="BF109" s="6" t="str">
        <f t="shared" si="500"/>
        <v/>
      </c>
      <c r="BG109" s="7" t="str">
        <f t="shared" si="501"/>
        <v/>
      </c>
      <c r="BH109" s="12" t="str">
        <f t="shared" si="502"/>
        <v/>
      </c>
      <c r="BI109" s="11" t="str">
        <f t="shared" si="503"/>
        <v/>
      </c>
      <c r="BJ109" s="7" t="str">
        <f t="shared" si="504"/>
        <v/>
      </c>
      <c r="BK109" s="10" t="str">
        <f t="shared" si="505"/>
        <v/>
      </c>
      <c r="BL109" s="328" t="str">
        <f t="shared" si="506"/>
        <v/>
      </c>
      <c r="BM109" s="7" t="str">
        <f t="shared" si="507"/>
        <v/>
      </c>
      <c r="BN109" s="8" t="str">
        <f t="shared" si="508"/>
        <v/>
      </c>
      <c r="BO109" s="6" t="str">
        <f t="shared" si="509"/>
        <v/>
      </c>
      <c r="BP109" s="7" t="str">
        <f t="shared" si="510"/>
        <v/>
      </c>
      <c r="BQ109" s="7" t="str">
        <f t="shared" si="511"/>
        <v/>
      </c>
      <c r="BR109" s="8" t="str">
        <f t="shared" si="512"/>
        <v/>
      </c>
      <c r="BS109" s="6" t="str">
        <f t="shared" si="675"/>
        <v/>
      </c>
      <c r="BT109" s="7" t="str">
        <f t="shared" si="675"/>
        <v/>
      </c>
      <c r="BU109" s="12" t="str">
        <f t="shared" si="478"/>
        <v/>
      </c>
      <c r="BV109" s="11" t="str">
        <f t="shared" si="479"/>
        <v/>
      </c>
      <c r="BW109" s="7" t="str">
        <f t="shared" si="480"/>
        <v/>
      </c>
      <c r="BX109" s="10" t="str">
        <f t="shared" si="481"/>
        <v/>
      </c>
      <c r="BY109" s="328" t="str">
        <f t="shared" si="482"/>
        <v/>
      </c>
      <c r="BZ109" s="7" t="str">
        <f t="shared" si="483"/>
        <v/>
      </c>
      <c r="CA109" s="8" t="str">
        <f t="shared" si="484"/>
        <v/>
      </c>
      <c r="CB109" s="6" t="str">
        <f t="shared" si="513"/>
        <v/>
      </c>
      <c r="CC109" s="7" t="str">
        <f t="shared" si="514"/>
        <v/>
      </c>
      <c r="CD109" s="7" t="str">
        <f t="shared" si="515"/>
        <v/>
      </c>
      <c r="CE109" s="8" t="str">
        <f t="shared" si="516"/>
        <v/>
      </c>
      <c r="CF109" s="6" t="str">
        <f t="shared" si="517"/>
        <v/>
      </c>
      <c r="CG109" s="7" t="str">
        <f t="shared" si="518"/>
        <v/>
      </c>
      <c r="CH109" s="7" t="str">
        <f t="shared" si="519"/>
        <v/>
      </c>
      <c r="CI109" s="6" t="str">
        <f t="shared" si="485"/>
        <v/>
      </c>
      <c r="CJ109" s="7" t="str">
        <f t="shared" si="486"/>
        <v/>
      </c>
      <c r="CK109" s="10" t="str">
        <f t="shared" si="487"/>
        <v/>
      </c>
      <c r="CL109" s="328" t="str">
        <f t="shared" si="488"/>
        <v/>
      </c>
      <c r="CM109" s="7" t="str">
        <f t="shared" si="489"/>
        <v/>
      </c>
      <c r="CN109" s="8" t="str">
        <f t="shared" si="490"/>
        <v/>
      </c>
      <c r="CO109" s="296" t="str">
        <f t="shared" si="613"/>
        <v/>
      </c>
      <c r="CP109" s="6" t="str">
        <f t="shared" si="520"/>
        <v/>
      </c>
      <c r="CQ109" s="7" t="str">
        <f t="shared" si="521"/>
        <v/>
      </c>
      <c r="CR109" s="7" t="str">
        <f t="shared" si="522"/>
        <v/>
      </c>
      <c r="CS109" s="10" t="str">
        <f t="shared" si="523"/>
        <v/>
      </c>
      <c r="CT109" s="11" t="str">
        <f t="shared" si="524"/>
        <v/>
      </c>
      <c r="CU109" s="8" t="str">
        <f t="shared" si="525"/>
        <v/>
      </c>
      <c r="CV109" s="6" t="str">
        <f t="shared" si="526"/>
        <v/>
      </c>
      <c r="CW109" s="7" t="str">
        <f t="shared" si="527"/>
        <v/>
      </c>
      <c r="CX109" s="10" t="str">
        <f t="shared" si="528"/>
        <v/>
      </c>
      <c r="CY109" s="11" t="str">
        <f t="shared" si="529"/>
        <v/>
      </c>
      <c r="CZ109" s="7" t="str">
        <f t="shared" si="530"/>
        <v/>
      </c>
      <c r="DA109" s="8" t="str">
        <f t="shared" si="531"/>
        <v/>
      </c>
      <c r="DB109" s="6" t="str">
        <f t="shared" si="677"/>
        <v/>
      </c>
      <c r="DC109" s="7" t="str">
        <f t="shared" si="677"/>
        <v/>
      </c>
      <c r="DD109" s="12" t="str">
        <f t="shared" si="533"/>
        <v/>
      </c>
      <c r="DE109" s="11" t="str">
        <f t="shared" si="678"/>
        <v/>
      </c>
      <c r="DF109" s="7" t="str">
        <f t="shared" si="678"/>
        <v/>
      </c>
      <c r="DG109" s="12" t="str">
        <f t="shared" si="535"/>
        <v/>
      </c>
      <c r="DH109" s="174" t="str">
        <f t="shared" si="536"/>
        <v/>
      </c>
      <c r="DI109" s="6" t="str">
        <f t="shared" si="537"/>
        <v/>
      </c>
      <c r="DJ109" s="7" t="str">
        <f t="shared" si="538"/>
        <v/>
      </c>
      <c r="DK109" s="12" t="str">
        <f t="shared" si="539"/>
        <v/>
      </c>
      <c r="DL109" s="11" t="str">
        <f t="shared" si="540"/>
        <v/>
      </c>
      <c r="DM109" s="328" t="str">
        <f t="shared" si="541"/>
        <v/>
      </c>
      <c r="DN109" s="376" t="str">
        <f t="shared" si="542"/>
        <v/>
      </c>
      <c r="DO109" s="11" t="str">
        <f t="shared" si="543"/>
        <v/>
      </c>
      <c r="DP109" s="328" t="str">
        <f t="shared" si="544"/>
        <v/>
      </c>
      <c r="DQ109" s="13" t="str">
        <f t="shared" si="545"/>
        <v/>
      </c>
      <c r="DR109" s="328" t="str">
        <f t="shared" si="546"/>
        <v/>
      </c>
      <c r="DS109" s="7" t="str">
        <f t="shared" si="547"/>
        <v/>
      </c>
      <c r="DT109" s="7" t="str">
        <f t="shared" si="548"/>
        <v/>
      </c>
      <c r="DU109" s="7" t="str">
        <f t="shared" si="549"/>
        <v/>
      </c>
      <c r="DV109" s="7" t="str">
        <f t="shared" si="550"/>
        <v/>
      </c>
      <c r="DW109" s="7" t="str">
        <f t="shared" si="551"/>
        <v/>
      </c>
      <c r="DX109" s="296" t="str">
        <f t="shared" si="552"/>
        <v/>
      </c>
      <c r="DY109" s="11" t="str">
        <f t="shared" si="553"/>
        <v/>
      </c>
      <c r="DZ109" s="7" t="str">
        <f t="shared" si="554"/>
        <v/>
      </c>
      <c r="EA109" s="12" t="str">
        <f t="shared" si="555"/>
        <v/>
      </c>
      <c r="EB109" s="8" t="str">
        <f t="shared" si="556"/>
        <v/>
      </c>
      <c r="EC109" s="328" t="str">
        <f t="shared" si="557"/>
        <v/>
      </c>
      <c r="ED109" s="7" t="str">
        <f t="shared" si="558"/>
        <v/>
      </c>
      <c r="EE109" s="6" t="str">
        <f t="shared" si="559"/>
        <v/>
      </c>
      <c r="EF109" s="7" t="str">
        <f t="shared" si="560"/>
        <v/>
      </c>
      <c r="EG109" s="12" t="str">
        <f t="shared" si="561"/>
        <v/>
      </c>
      <c r="EH109" s="11" t="str">
        <f t="shared" si="562"/>
        <v/>
      </c>
      <c r="EI109" s="7" t="str">
        <f t="shared" si="563"/>
        <v/>
      </c>
      <c r="EJ109" s="8" t="str">
        <f t="shared" si="564"/>
        <v/>
      </c>
      <c r="EK109" s="491" t="str">
        <f t="shared" si="565"/>
        <v/>
      </c>
      <c r="EL109" s="493" t="str">
        <f t="shared" si="566"/>
        <v/>
      </c>
      <c r="EM109" s="6" t="str">
        <f t="shared" si="567"/>
        <v/>
      </c>
      <c r="EN109" s="7" t="str">
        <f t="shared" si="568"/>
        <v/>
      </c>
      <c r="EO109" s="12" t="str">
        <f t="shared" si="569"/>
        <v/>
      </c>
      <c r="EP109" s="11" t="str">
        <f t="shared" si="570"/>
        <v/>
      </c>
      <c r="EQ109" s="7" t="str">
        <f t="shared" si="571"/>
        <v/>
      </c>
      <c r="ER109" s="9" t="str">
        <f t="shared" si="572"/>
        <v/>
      </c>
      <c r="ES109" s="24" t="str">
        <f t="shared" si="573"/>
        <v/>
      </c>
      <c r="ET109" s="7" t="str">
        <f t="shared" si="574"/>
        <v/>
      </c>
      <c r="EU109" s="12" t="str">
        <f t="shared" si="575"/>
        <v/>
      </c>
      <c r="EV109" s="337" t="str">
        <f t="shared" si="620"/>
        <v/>
      </c>
      <c r="EW109" s="11" t="str">
        <f t="shared" si="621"/>
        <v/>
      </c>
      <c r="EX109" s="7" t="str">
        <f t="shared" si="622"/>
        <v/>
      </c>
      <c r="EY109" s="8" t="str">
        <f t="shared" si="576"/>
        <v/>
      </c>
      <c r="EZ109" s="123" t="str">
        <f t="shared" si="577"/>
        <v/>
      </c>
      <c r="FA109" s="328" t="str">
        <f t="shared" si="623"/>
        <v/>
      </c>
      <c r="FB109" s="7" t="str">
        <f t="shared" si="624"/>
        <v/>
      </c>
      <c r="FC109" s="8" t="str">
        <f t="shared" si="625"/>
        <v/>
      </c>
      <c r="FD109" s="6" t="str">
        <f t="shared" si="626"/>
        <v/>
      </c>
      <c r="FE109" s="7" t="str">
        <f t="shared" si="627"/>
        <v/>
      </c>
      <c r="FF109" s="9" t="str">
        <f t="shared" si="578"/>
        <v/>
      </c>
      <c r="FG109" s="328" t="str">
        <f t="shared" si="628"/>
        <v/>
      </c>
      <c r="FH109" s="7" t="str">
        <f t="shared" si="629"/>
        <v/>
      </c>
      <c r="FI109" s="12" t="str">
        <f t="shared" si="630"/>
        <v/>
      </c>
      <c r="FJ109" s="547" t="str">
        <f t="shared" si="579"/>
        <v/>
      </c>
      <c r="FK109" s="6" t="str">
        <f t="shared" si="631"/>
        <v/>
      </c>
      <c r="FL109" s="7" t="str">
        <f t="shared" si="491"/>
        <v/>
      </c>
      <c r="FM109" s="10" t="str">
        <f t="shared" si="492"/>
        <v/>
      </c>
      <c r="FN109" s="11" t="str">
        <f t="shared" si="493"/>
        <v/>
      </c>
      <c r="FO109" s="12" t="str">
        <f t="shared" si="632"/>
        <v/>
      </c>
      <c r="FP109" s="545" t="str">
        <f t="shared" si="494"/>
        <v/>
      </c>
      <c r="FQ109" s="328" t="str">
        <f t="shared" si="580"/>
        <v/>
      </c>
      <c r="FR109" s="12" t="str">
        <f t="shared" si="581"/>
        <v/>
      </c>
      <c r="FS109" s="11" t="str">
        <f t="shared" si="582"/>
        <v/>
      </c>
      <c r="FT109" s="8" t="str">
        <f t="shared" si="583"/>
        <v/>
      </c>
      <c r="FU109" s="6" t="str">
        <f t="shared" si="584"/>
        <v/>
      </c>
      <c r="FV109" s="7" t="str">
        <f t="shared" si="585"/>
        <v/>
      </c>
      <c r="FW109" s="10" t="str">
        <f t="shared" si="586"/>
        <v/>
      </c>
      <c r="FX109" s="11" t="str">
        <f t="shared" si="587"/>
        <v/>
      </c>
      <c r="FY109" s="12" t="str">
        <f t="shared" si="633"/>
        <v/>
      </c>
      <c r="FZ109" s="545" t="str">
        <f t="shared" si="588"/>
        <v/>
      </c>
      <c r="GA109" s="372" t="str">
        <f t="shared" si="589"/>
        <v/>
      </c>
      <c r="GB109" s="46" t="str">
        <f t="shared" si="590"/>
        <v/>
      </c>
      <c r="GC109" s="47" t="str">
        <f t="shared" si="591"/>
        <v/>
      </c>
      <c r="GD109" s="578" t="str">
        <f t="shared" si="592"/>
        <v/>
      </c>
      <c r="GE109" s="585" t="str">
        <f t="shared" si="593"/>
        <v/>
      </c>
      <c r="GF109" s="634" t="str">
        <f t="shared" si="594"/>
        <v/>
      </c>
      <c r="GG109" s="553" t="str">
        <f t="shared" si="634"/>
        <v/>
      </c>
      <c r="GH109" s="554" t="str">
        <f t="shared" si="635"/>
        <v/>
      </c>
      <c r="GI109" s="549" t="str">
        <f t="shared" si="636"/>
        <v/>
      </c>
      <c r="GJ109" s="296" t="str">
        <f t="shared" si="595"/>
        <v/>
      </c>
      <c r="GK109" s="337" t="str">
        <f t="shared" si="637"/>
        <v/>
      </c>
      <c r="GL109" s="337" t="str">
        <f t="shared" si="596"/>
        <v/>
      </c>
      <c r="GM109" s="372" t="str">
        <f t="shared" si="597"/>
        <v/>
      </c>
      <c r="GN109" s="548" t="str">
        <f t="shared" si="598"/>
        <v/>
      </c>
      <c r="GO109" s="6" t="str">
        <f t="shared" si="599"/>
        <v/>
      </c>
      <c r="GP109" s="10" t="str">
        <f t="shared" si="600"/>
        <v/>
      </c>
      <c r="GQ109" s="372" t="str">
        <f t="shared" si="601"/>
        <v/>
      </c>
      <c r="GR109" s="697" t="str">
        <f t="shared" si="602"/>
        <v/>
      </c>
      <c r="GS109" s="637" t="str">
        <f t="shared" si="638"/>
        <v/>
      </c>
      <c r="GT109" s="638" t="str">
        <f t="shared" si="639"/>
        <v/>
      </c>
      <c r="GU109" s="639" t="str">
        <f t="shared" si="640"/>
        <v/>
      </c>
      <c r="GV109" s="638" t="str">
        <f t="shared" si="603"/>
        <v/>
      </c>
      <c r="GW109" s="640" t="str">
        <f t="shared" si="641"/>
        <v/>
      </c>
      <c r="GX109" s="641" t="str">
        <f t="shared" si="642"/>
        <v/>
      </c>
      <c r="GY109" s="639" t="str">
        <f t="shared" si="643"/>
        <v/>
      </c>
      <c r="GZ109" s="640" t="str">
        <f t="shared" si="644"/>
        <v/>
      </c>
      <c r="HA109" s="637" t="str">
        <f t="shared" si="645"/>
        <v/>
      </c>
      <c r="HB109" s="7" t="str">
        <f t="shared" si="604"/>
        <v/>
      </c>
      <c r="HC109" s="638" t="str">
        <f t="shared" si="605"/>
        <v/>
      </c>
      <c r="HD109" s="682" t="str">
        <f t="shared" si="606"/>
        <v/>
      </c>
      <c r="HE109" s="639" t="str">
        <f t="shared" si="646"/>
        <v/>
      </c>
      <c r="HF109" s="7" t="str">
        <f t="shared" si="647"/>
        <v/>
      </c>
      <c r="HG109" s="638" t="str">
        <f t="shared" si="607"/>
        <v/>
      </c>
      <c r="HH109" s="644" t="str">
        <f t="shared" si="608"/>
        <v/>
      </c>
      <c r="HI109" s="596" t="str">
        <f t="shared" si="609"/>
        <v/>
      </c>
      <c r="HK109" s="584" t="str">
        <f t="shared" si="619"/>
        <v/>
      </c>
      <c r="HL109" s="583" t="str">
        <f t="shared" si="676"/>
        <v/>
      </c>
      <c r="HM109" s="643" t="str">
        <f t="shared" ref="HM109:IA118" si="679">IF(ISNUMBER($HL109),VLOOKUP($HL109,$GJ$9:$HI$130,HM$1,FALSE),"")</f>
        <v/>
      </c>
      <c r="HN109" s="660" t="str">
        <f t="shared" si="679"/>
        <v/>
      </c>
      <c r="HO109" s="661" t="str">
        <f t="shared" si="679"/>
        <v/>
      </c>
      <c r="HP109" s="656" t="str">
        <f t="shared" si="679"/>
        <v/>
      </c>
      <c r="HQ109" s="660" t="str">
        <f t="shared" si="679"/>
        <v/>
      </c>
      <c r="HR109" s="671" t="str">
        <f t="shared" si="679"/>
        <v/>
      </c>
      <c r="HS109" s="655" t="str">
        <f t="shared" si="679"/>
        <v/>
      </c>
      <c r="HT109" s="648" t="str">
        <f t="shared" si="679"/>
        <v/>
      </c>
      <c r="HU109" s="649" t="str">
        <f t="shared" si="679"/>
        <v/>
      </c>
      <c r="HV109" s="650" t="str">
        <f t="shared" si="679"/>
        <v/>
      </c>
      <c r="HW109" s="648" t="str">
        <f t="shared" si="679"/>
        <v/>
      </c>
      <c r="HX109" s="649" t="str">
        <f t="shared" si="679"/>
        <v/>
      </c>
      <c r="HY109" s="650" t="str">
        <f t="shared" si="679"/>
        <v/>
      </c>
      <c r="HZ109" s="648" t="str">
        <f t="shared" si="679"/>
        <v/>
      </c>
      <c r="IA109" s="649" t="str">
        <f t="shared" si="679"/>
        <v/>
      </c>
      <c r="IB109" s="716"/>
    </row>
    <row r="110" spans="2:236" ht="15" customHeight="1" x14ac:dyDescent="0.25">
      <c r="B110" s="143"/>
      <c r="C110" s="144"/>
      <c r="D110" s="145"/>
      <c r="E110" s="146"/>
      <c r="F110" s="144"/>
      <c r="G110" s="147"/>
      <c r="H110" s="146"/>
      <c r="I110" s="144"/>
      <c r="J110" s="306"/>
      <c r="K110" s="699" t="str">
        <f t="shared" si="610"/>
        <v/>
      </c>
      <c r="M110" s="292" t="str">
        <f t="shared" si="648"/>
        <v/>
      </c>
      <c r="N110" s="24" t="str">
        <f t="shared" si="649"/>
        <v/>
      </c>
      <c r="O110" s="7" t="str">
        <f t="shared" si="650"/>
        <v/>
      </c>
      <c r="P110" s="12" t="str">
        <f t="shared" si="651"/>
        <v/>
      </c>
      <c r="Q110" s="11" t="str">
        <f t="shared" si="473"/>
        <v/>
      </c>
      <c r="R110" s="7" t="str">
        <f t="shared" si="652"/>
        <v/>
      </c>
      <c r="S110" s="8" t="str">
        <f t="shared" si="653"/>
        <v/>
      </c>
      <c r="T110" s="6" t="str">
        <f t="shared" si="654"/>
        <v/>
      </c>
      <c r="U110" s="7" t="str">
        <f t="shared" si="655"/>
        <v/>
      </c>
      <c r="V110" s="10" t="str">
        <f t="shared" si="656"/>
        <v/>
      </c>
      <c r="W110" s="11" t="str">
        <f t="shared" si="614"/>
        <v/>
      </c>
      <c r="X110" s="7" t="str">
        <f t="shared" si="657"/>
        <v/>
      </c>
      <c r="Y110" s="9" t="str">
        <f t="shared" si="611"/>
        <v/>
      </c>
      <c r="Z110" s="24" t="str">
        <f t="shared" si="658"/>
        <v/>
      </c>
      <c r="AA110" s="7" t="str">
        <f t="shared" si="659"/>
        <v/>
      </c>
      <c r="AB110" s="7" t="str">
        <f t="shared" si="660"/>
        <v/>
      </c>
      <c r="AC110" s="10" t="str">
        <f t="shared" si="661"/>
        <v/>
      </c>
      <c r="AD110" s="11" t="str">
        <f t="shared" si="662"/>
        <v/>
      </c>
      <c r="AE110" s="7" t="str">
        <f t="shared" si="663"/>
        <v/>
      </c>
      <c r="AF110" s="12" t="str">
        <f t="shared" si="664"/>
        <v/>
      </c>
      <c r="AG110" s="6" t="str">
        <f t="shared" si="665"/>
        <v/>
      </c>
      <c r="AH110" s="12" t="str">
        <f t="shared" si="666"/>
        <v/>
      </c>
      <c r="AI110" s="11" t="str">
        <f t="shared" si="667"/>
        <v/>
      </c>
      <c r="AJ110" s="8" t="str">
        <f t="shared" si="668"/>
        <v/>
      </c>
      <c r="AK110" s="6" t="str">
        <f t="shared" si="669"/>
        <v/>
      </c>
      <c r="AL110" s="7" t="str">
        <f t="shared" si="670"/>
        <v/>
      </c>
      <c r="AM110" s="8" t="str">
        <f t="shared" si="671"/>
        <v/>
      </c>
      <c r="AN110" s="6" t="str">
        <f t="shared" si="672"/>
        <v/>
      </c>
      <c r="AO110" s="10" t="str">
        <f t="shared" si="673"/>
        <v/>
      </c>
      <c r="AP110" s="11" t="str">
        <f t="shared" si="674"/>
        <v/>
      </c>
      <c r="AQ110" s="8" t="str">
        <f t="shared" si="612"/>
        <v/>
      </c>
      <c r="AS110" s="123" t="str">
        <f t="shared" si="496"/>
        <v/>
      </c>
      <c r="AT110" s="175" t="str">
        <f t="shared" si="617"/>
        <v/>
      </c>
      <c r="AV110" s="292" t="str">
        <f t="shared" si="497"/>
        <v/>
      </c>
      <c r="AW110" s="709"/>
      <c r="AX110" s="710"/>
      <c r="AY110" s="711"/>
      <c r="AZ110" s="565" t="str">
        <f t="shared" si="498"/>
        <v/>
      </c>
      <c r="BA110" s="564" t="str">
        <f t="shared" si="499"/>
        <v/>
      </c>
      <c r="BB110" s="372" t="str">
        <f t="shared" si="474"/>
        <v/>
      </c>
      <c r="BC110" s="11"/>
      <c r="BD110" s="7" t="str">
        <f t="shared" si="475"/>
        <v/>
      </c>
      <c r="BE110" s="8" t="str">
        <f t="shared" si="476"/>
        <v/>
      </c>
      <c r="BF110" s="6" t="str">
        <f t="shared" si="500"/>
        <v/>
      </c>
      <c r="BG110" s="7" t="str">
        <f t="shared" si="501"/>
        <v/>
      </c>
      <c r="BH110" s="12" t="str">
        <f t="shared" si="502"/>
        <v/>
      </c>
      <c r="BI110" s="11" t="str">
        <f t="shared" si="503"/>
        <v/>
      </c>
      <c r="BJ110" s="7" t="str">
        <f t="shared" si="504"/>
        <v/>
      </c>
      <c r="BK110" s="10" t="str">
        <f t="shared" si="505"/>
        <v/>
      </c>
      <c r="BL110" s="328" t="str">
        <f t="shared" si="506"/>
        <v/>
      </c>
      <c r="BM110" s="7" t="str">
        <f t="shared" si="507"/>
        <v/>
      </c>
      <c r="BN110" s="8" t="str">
        <f t="shared" si="508"/>
        <v/>
      </c>
      <c r="BO110" s="6" t="str">
        <f t="shared" si="509"/>
        <v/>
      </c>
      <c r="BP110" s="7" t="str">
        <f t="shared" si="510"/>
        <v/>
      </c>
      <c r="BQ110" s="7" t="str">
        <f t="shared" si="511"/>
        <v/>
      </c>
      <c r="BR110" s="8" t="str">
        <f t="shared" si="512"/>
        <v/>
      </c>
      <c r="BS110" s="6" t="str">
        <f t="shared" si="675"/>
        <v/>
      </c>
      <c r="BT110" s="7" t="str">
        <f t="shared" si="675"/>
        <v/>
      </c>
      <c r="BU110" s="12" t="str">
        <f t="shared" si="478"/>
        <v/>
      </c>
      <c r="BV110" s="11" t="str">
        <f t="shared" si="479"/>
        <v/>
      </c>
      <c r="BW110" s="7" t="str">
        <f t="shared" si="480"/>
        <v/>
      </c>
      <c r="BX110" s="10" t="str">
        <f t="shared" si="481"/>
        <v/>
      </c>
      <c r="BY110" s="328" t="str">
        <f t="shared" si="482"/>
        <v/>
      </c>
      <c r="BZ110" s="7" t="str">
        <f t="shared" si="483"/>
        <v/>
      </c>
      <c r="CA110" s="8" t="str">
        <f t="shared" si="484"/>
        <v/>
      </c>
      <c r="CB110" s="6" t="str">
        <f t="shared" si="513"/>
        <v/>
      </c>
      <c r="CC110" s="7" t="str">
        <f t="shared" si="514"/>
        <v/>
      </c>
      <c r="CD110" s="7" t="str">
        <f t="shared" si="515"/>
        <v/>
      </c>
      <c r="CE110" s="8" t="str">
        <f t="shared" si="516"/>
        <v/>
      </c>
      <c r="CF110" s="6" t="str">
        <f t="shared" si="517"/>
        <v/>
      </c>
      <c r="CG110" s="7" t="str">
        <f t="shared" si="518"/>
        <v/>
      </c>
      <c r="CH110" s="7" t="str">
        <f t="shared" si="519"/>
        <v/>
      </c>
      <c r="CI110" s="6" t="str">
        <f t="shared" si="485"/>
        <v/>
      </c>
      <c r="CJ110" s="7" t="str">
        <f t="shared" si="486"/>
        <v/>
      </c>
      <c r="CK110" s="10" t="str">
        <f t="shared" si="487"/>
        <v/>
      </c>
      <c r="CL110" s="328" t="str">
        <f t="shared" si="488"/>
        <v/>
      </c>
      <c r="CM110" s="7" t="str">
        <f t="shared" si="489"/>
        <v/>
      </c>
      <c r="CN110" s="8" t="str">
        <f t="shared" si="490"/>
        <v/>
      </c>
      <c r="CO110" s="296" t="str">
        <f t="shared" si="613"/>
        <v/>
      </c>
      <c r="CP110" s="6" t="str">
        <f t="shared" si="520"/>
        <v/>
      </c>
      <c r="CQ110" s="7" t="str">
        <f t="shared" si="521"/>
        <v/>
      </c>
      <c r="CR110" s="7" t="str">
        <f t="shared" si="522"/>
        <v/>
      </c>
      <c r="CS110" s="10" t="str">
        <f t="shared" si="523"/>
        <v/>
      </c>
      <c r="CT110" s="11" t="str">
        <f t="shared" si="524"/>
        <v/>
      </c>
      <c r="CU110" s="8" t="str">
        <f t="shared" si="525"/>
        <v/>
      </c>
      <c r="CV110" s="6" t="str">
        <f t="shared" si="526"/>
        <v/>
      </c>
      <c r="CW110" s="7" t="str">
        <f t="shared" si="527"/>
        <v/>
      </c>
      <c r="CX110" s="10" t="str">
        <f t="shared" si="528"/>
        <v/>
      </c>
      <c r="CY110" s="11" t="str">
        <f t="shared" si="529"/>
        <v/>
      </c>
      <c r="CZ110" s="7" t="str">
        <f t="shared" si="530"/>
        <v/>
      </c>
      <c r="DA110" s="8" t="str">
        <f t="shared" si="531"/>
        <v/>
      </c>
      <c r="DB110" s="6" t="str">
        <f t="shared" si="677"/>
        <v/>
      </c>
      <c r="DC110" s="7" t="str">
        <f t="shared" si="677"/>
        <v/>
      </c>
      <c r="DD110" s="12" t="str">
        <f t="shared" si="533"/>
        <v/>
      </c>
      <c r="DE110" s="11" t="str">
        <f t="shared" si="678"/>
        <v/>
      </c>
      <c r="DF110" s="7" t="str">
        <f t="shared" si="678"/>
        <v/>
      </c>
      <c r="DG110" s="12" t="str">
        <f t="shared" si="535"/>
        <v/>
      </c>
      <c r="DH110" s="174" t="str">
        <f t="shared" si="536"/>
        <v/>
      </c>
      <c r="DI110" s="6" t="str">
        <f t="shared" si="537"/>
        <v/>
      </c>
      <c r="DJ110" s="7" t="str">
        <f t="shared" si="538"/>
        <v/>
      </c>
      <c r="DK110" s="12" t="str">
        <f t="shared" si="539"/>
        <v/>
      </c>
      <c r="DL110" s="11" t="str">
        <f t="shared" si="540"/>
        <v/>
      </c>
      <c r="DM110" s="328" t="str">
        <f t="shared" si="541"/>
        <v/>
      </c>
      <c r="DN110" s="376" t="str">
        <f t="shared" si="542"/>
        <v/>
      </c>
      <c r="DO110" s="11" t="str">
        <f t="shared" si="543"/>
        <v/>
      </c>
      <c r="DP110" s="328" t="str">
        <f t="shared" si="544"/>
        <v/>
      </c>
      <c r="DQ110" s="13" t="str">
        <f t="shared" si="545"/>
        <v/>
      </c>
      <c r="DR110" s="328" t="str">
        <f t="shared" si="546"/>
        <v/>
      </c>
      <c r="DS110" s="7" t="str">
        <f t="shared" si="547"/>
        <v/>
      </c>
      <c r="DT110" s="7" t="str">
        <f t="shared" si="548"/>
        <v/>
      </c>
      <c r="DU110" s="7" t="str">
        <f t="shared" si="549"/>
        <v/>
      </c>
      <c r="DV110" s="7" t="str">
        <f t="shared" si="550"/>
        <v/>
      </c>
      <c r="DW110" s="7" t="str">
        <f t="shared" si="551"/>
        <v/>
      </c>
      <c r="DX110" s="296" t="str">
        <f t="shared" si="552"/>
        <v/>
      </c>
      <c r="DY110" s="11" t="str">
        <f t="shared" si="553"/>
        <v/>
      </c>
      <c r="DZ110" s="7" t="str">
        <f t="shared" si="554"/>
        <v/>
      </c>
      <c r="EA110" s="12" t="str">
        <f t="shared" si="555"/>
        <v/>
      </c>
      <c r="EB110" s="8" t="str">
        <f t="shared" si="556"/>
        <v/>
      </c>
      <c r="EC110" s="328" t="str">
        <f t="shared" si="557"/>
        <v/>
      </c>
      <c r="ED110" s="7" t="str">
        <f t="shared" si="558"/>
        <v/>
      </c>
      <c r="EE110" s="6" t="str">
        <f t="shared" si="559"/>
        <v/>
      </c>
      <c r="EF110" s="7" t="str">
        <f t="shared" si="560"/>
        <v/>
      </c>
      <c r="EG110" s="12" t="str">
        <f t="shared" si="561"/>
        <v/>
      </c>
      <c r="EH110" s="11" t="str">
        <f t="shared" si="562"/>
        <v/>
      </c>
      <c r="EI110" s="7" t="str">
        <f t="shared" si="563"/>
        <v/>
      </c>
      <c r="EJ110" s="8" t="str">
        <f t="shared" si="564"/>
        <v/>
      </c>
      <c r="EK110" s="491" t="str">
        <f t="shared" si="565"/>
        <v/>
      </c>
      <c r="EL110" s="493" t="str">
        <f t="shared" si="566"/>
        <v/>
      </c>
      <c r="EM110" s="6" t="str">
        <f t="shared" si="567"/>
        <v/>
      </c>
      <c r="EN110" s="7" t="str">
        <f t="shared" si="568"/>
        <v/>
      </c>
      <c r="EO110" s="12" t="str">
        <f t="shared" si="569"/>
        <v/>
      </c>
      <c r="EP110" s="11" t="str">
        <f t="shared" si="570"/>
        <v/>
      </c>
      <c r="EQ110" s="7" t="str">
        <f t="shared" si="571"/>
        <v/>
      </c>
      <c r="ER110" s="9" t="str">
        <f t="shared" si="572"/>
        <v/>
      </c>
      <c r="ES110" s="24" t="str">
        <f t="shared" si="573"/>
        <v/>
      </c>
      <c r="ET110" s="7" t="str">
        <f t="shared" si="574"/>
        <v/>
      </c>
      <c r="EU110" s="12" t="str">
        <f t="shared" si="575"/>
        <v/>
      </c>
      <c r="EV110" s="337" t="str">
        <f t="shared" si="620"/>
        <v/>
      </c>
      <c r="EW110" s="11" t="str">
        <f t="shared" si="621"/>
        <v/>
      </c>
      <c r="EX110" s="7" t="str">
        <f t="shared" si="622"/>
        <v/>
      </c>
      <c r="EY110" s="8" t="str">
        <f t="shared" si="576"/>
        <v/>
      </c>
      <c r="EZ110" s="123" t="str">
        <f t="shared" si="577"/>
        <v/>
      </c>
      <c r="FA110" s="328" t="str">
        <f t="shared" si="623"/>
        <v/>
      </c>
      <c r="FB110" s="7" t="str">
        <f t="shared" si="624"/>
        <v/>
      </c>
      <c r="FC110" s="8" t="str">
        <f t="shared" si="625"/>
        <v/>
      </c>
      <c r="FD110" s="6" t="str">
        <f t="shared" si="626"/>
        <v/>
      </c>
      <c r="FE110" s="7" t="str">
        <f t="shared" si="627"/>
        <v/>
      </c>
      <c r="FF110" s="9" t="str">
        <f t="shared" si="578"/>
        <v/>
      </c>
      <c r="FG110" s="328" t="str">
        <f t="shared" si="628"/>
        <v/>
      </c>
      <c r="FH110" s="7" t="str">
        <f t="shared" si="629"/>
        <v/>
      </c>
      <c r="FI110" s="12" t="str">
        <f t="shared" si="630"/>
        <v/>
      </c>
      <c r="FJ110" s="547" t="str">
        <f t="shared" si="579"/>
        <v/>
      </c>
      <c r="FK110" s="6" t="str">
        <f t="shared" si="631"/>
        <v/>
      </c>
      <c r="FL110" s="7" t="str">
        <f t="shared" si="491"/>
        <v/>
      </c>
      <c r="FM110" s="10" t="str">
        <f t="shared" si="492"/>
        <v/>
      </c>
      <c r="FN110" s="11" t="str">
        <f t="shared" si="493"/>
        <v/>
      </c>
      <c r="FO110" s="12" t="str">
        <f t="shared" si="632"/>
        <v/>
      </c>
      <c r="FP110" s="545" t="str">
        <f t="shared" si="494"/>
        <v/>
      </c>
      <c r="FQ110" s="328" t="str">
        <f t="shared" si="580"/>
        <v/>
      </c>
      <c r="FR110" s="12" t="str">
        <f t="shared" si="581"/>
        <v/>
      </c>
      <c r="FS110" s="11" t="str">
        <f t="shared" si="582"/>
        <v/>
      </c>
      <c r="FT110" s="8" t="str">
        <f t="shared" si="583"/>
        <v/>
      </c>
      <c r="FU110" s="6" t="str">
        <f t="shared" si="584"/>
        <v/>
      </c>
      <c r="FV110" s="7" t="str">
        <f t="shared" si="585"/>
        <v/>
      </c>
      <c r="FW110" s="10" t="str">
        <f t="shared" si="586"/>
        <v/>
      </c>
      <c r="FX110" s="11" t="str">
        <f t="shared" si="587"/>
        <v/>
      </c>
      <c r="FY110" s="12" t="str">
        <f t="shared" si="633"/>
        <v/>
      </c>
      <c r="FZ110" s="545" t="str">
        <f t="shared" si="588"/>
        <v/>
      </c>
      <c r="GA110" s="372" t="str">
        <f t="shared" si="589"/>
        <v/>
      </c>
      <c r="GB110" s="46" t="str">
        <f t="shared" si="590"/>
        <v/>
      </c>
      <c r="GC110" s="47" t="str">
        <f t="shared" si="591"/>
        <v/>
      </c>
      <c r="GD110" s="578" t="str">
        <f t="shared" si="592"/>
        <v/>
      </c>
      <c r="GE110" s="585" t="str">
        <f t="shared" si="593"/>
        <v/>
      </c>
      <c r="GF110" s="634" t="str">
        <f t="shared" si="594"/>
        <v/>
      </c>
      <c r="GG110" s="553" t="str">
        <f t="shared" si="634"/>
        <v/>
      </c>
      <c r="GH110" s="554" t="str">
        <f t="shared" si="635"/>
        <v/>
      </c>
      <c r="GI110" s="549" t="str">
        <f t="shared" si="636"/>
        <v/>
      </c>
      <c r="GJ110" s="296" t="str">
        <f t="shared" si="595"/>
        <v/>
      </c>
      <c r="GK110" s="337" t="str">
        <f t="shared" si="637"/>
        <v/>
      </c>
      <c r="GL110" s="337" t="str">
        <f t="shared" si="596"/>
        <v/>
      </c>
      <c r="GM110" s="372" t="str">
        <f t="shared" si="597"/>
        <v/>
      </c>
      <c r="GN110" s="548" t="str">
        <f t="shared" si="598"/>
        <v/>
      </c>
      <c r="GO110" s="6" t="str">
        <f t="shared" si="599"/>
        <v/>
      </c>
      <c r="GP110" s="10" t="str">
        <f t="shared" si="600"/>
        <v/>
      </c>
      <c r="GQ110" s="372" t="str">
        <f t="shared" si="601"/>
        <v/>
      </c>
      <c r="GR110" s="697" t="str">
        <f t="shared" si="602"/>
        <v/>
      </c>
      <c r="GS110" s="637" t="str">
        <f t="shared" si="638"/>
        <v/>
      </c>
      <c r="GT110" s="638" t="str">
        <f t="shared" si="639"/>
        <v/>
      </c>
      <c r="GU110" s="639" t="str">
        <f t="shared" si="640"/>
        <v/>
      </c>
      <c r="GV110" s="638" t="str">
        <f t="shared" si="603"/>
        <v/>
      </c>
      <c r="GW110" s="640" t="str">
        <f t="shared" si="641"/>
        <v/>
      </c>
      <c r="GX110" s="641" t="str">
        <f t="shared" si="642"/>
        <v/>
      </c>
      <c r="GY110" s="639" t="str">
        <f t="shared" si="643"/>
        <v/>
      </c>
      <c r="GZ110" s="640" t="str">
        <f t="shared" si="644"/>
        <v/>
      </c>
      <c r="HA110" s="637" t="str">
        <f t="shared" si="645"/>
        <v/>
      </c>
      <c r="HB110" s="7" t="str">
        <f t="shared" si="604"/>
        <v/>
      </c>
      <c r="HC110" s="638" t="str">
        <f t="shared" si="605"/>
        <v/>
      </c>
      <c r="HD110" s="682" t="str">
        <f t="shared" si="606"/>
        <v/>
      </c>
      <c r="HE110" s="639" t="str">
        <f t="shared" si="646"/>
        <v/>
      </c>
      <c r="HF110" s="7" t="str">
        <f t="shared" si="647"/>
        <v/>
      </c>
      <c r="HG110" s="638" t="str">
        <f t="shared" si="607"/>
        <v/>
      </c>
      <c r="HH110" s="644" t="str">
        <f t="shared" si="608"/>
        <v/>
      </c>
      <c r="HI110" s="596" t="str">
        <f t="shared" si="609"/>
        <v/>
      </c>
      <c r="HK110" s="584" t="str">
        <f t="shared" si="619"/>
        <v/>
      </c>
      <c r="HL110" s="583" t="str">
        <f t="shared" si="676"/>
        <v/>
      </c>
      <c r="HM110" s="643" t="str">
        <f t="shared" si="679"/>
        <v/>
      </c>
      <c r="HN110" s="660" t="str">
        <f t="shared" si="679"/>
        <v/>
      </c>
      <c r="HO110" s="661" t="str">
        <f t="shared" si="679"/>
        <v/>
      </c>
      <c r="HP110" s="656" t="str">
        <f t="shared" si="679"/>
        <v/>
      </c>
      <c r="HQ110" s="660" t="str">
        <f t="shared" si="679"/>
        <v/>
      </c>
      <c r="HR110" s="671" t="str">
        <f t="shared" si="679"/>
        <v/>
      </c>
      <c r="HS110" s="655" t="str">
        <f t="shared" si="679"/>
        <v/>
      </c>
      <c r="HT110" s="648" t="str">
        <f t="shared" si="679"/>
        <v/>
      </c>
      <c r="HU110" s="649" t="str">
        <f t="shared" si="679"/>
        <v/>
      </c>
      <c r="HV110" s="650" t="str">
        <f t="shared" si="679"/>
        <v/>
      </c>
      <c r="HW110" s="648" t="str">
        <f t="shared" si="679"/>
        <v/>
      </c>
      <c r="HX110" s="649" t="str">
        <f t="shared" si="679"/>
        <v/>
      </c>
      <c r="HY110" s="650" t="str">
        <f t="shared" si="679"/>
        <v/>
      </c>
      <c r="HZ110" s="648" t="str">
        <f t="shared" si="679"/>
        <v/>
      </c>
      <c r="IA110" s="649" t="str">
        <f t="shared" si="679"/>
        <v/>
      </c>
      <c r="IB110" s="716"/>
    </row>
    <row r="111" spans="2:236" ht="15" customHeight="1" x14ac:dyDescent="0.25">
      <c r="B111" s="143"/>
      <c r="C111" s="144"/>
      <c r="D111" s="145"/>
      <c r="E111" s="146"/>
      <c r="F111" s="144"/>
      <c r="G111" s="147"/>
      <c r="H111" s="146"/>
      <c r="I111" s="144"/>
      <c r="J111" s="306"/>
      <c r="K111" s="699" t="str">
        <f t="shared" si="610"/>
        <v/>
      </c>
      <c r="M111" s="292" t="str">
        <f t="shared" si="648"/>
        <v/>
      </c>
      <c r="N111" s="24" t="str">
        <f t="shared" si="649"/>
        <v/>
      </c>
      <c r="O111" s="7" t="str">
        <f t="shared" si="650"/>
        <v/>
      </c>
      <c r="P111" s="12" t="str">
        <f t="shared" si="651"/>
        <v/>
      </c>
      <c r="Q111" s="11" t="str">
        <f t="shared" si="473"/>
        <v/>
      </c>
      <c r="R111" s="7" t="str">
        <f t="shared" si="652"/>
        <v/>
      </c>
      <c r="S111" s="8" t="str">
        <f t="shared" si="653"/>
        <v/>
      </c>
      <c r="T111" s="6" t="str">
        <f t="shared" si="654"/>
        <v/>
      </c>
      <c r="U111" s="7" t="str">
        <f t="shared" si="655"/>
        <v/>
      </c>
      <c r="V111" s="10" t="str">
        <f t="shared" si="656"/>
        <v/>
      </c>
      <c r="W111" s="11" t="str">
        <f t="shared" si="614"/>
        <v/>
      </c>
      <c r="X111" s="7" t="str">
        <f t="shared" si="657"/>
        <v/>
      </c>
      <c r="Y111" s="9" t="str">
        <f t="shared" si="611"/>
        <v/>
      </c>
      <c r="Z111" s="24" t="str">
        <f t="shared" si="658"/>
        <v/>
      </c>
      <c r="AA111" s="7" t="str">
        <f t="shared" si="659"/>
        <v/>
      </c>
      <c r="AB111" s="7" t="str">
        <f t="shared" si="660"/>
        <v/>
      </c>
      <c r="AC111" s="10" t="str">
        <f t="shared" si="661"/>
        <v/>
      </c>
      <c r="AD111" s="11" t="str">
        <f t="shared" si="662"/>
        <v/>
      </c>
      <c r="AE111" s="7" t="str">
        <f t="shared" si="663"/>
        <v/>
      </c>
      <c r="AF111" s="12" t="str">
        <f t="shared" si="664"/>
        <v/>
      </c>
      <c r="AG111" s="6" t="str">
        <f t="shared" si="665"/>
        <v/>
      </c>
      <c r="AH111" s="12" t="str">
        <f t="shared" si="666"/>
        <v/>
      </c>
      <c r="AI111" s="11" t="str">
        <f t="shared" si="667"/>
        <v/>
      </c>
      <c r="AJ111" s="8" t="str">
        <f t="shared" si="668"/>
        <v/>
      </c>
      <c r="AK111" s="6" t="str">
        <f t="shared" si="669"/>
        <v/>
      </c>
      <c r="AL111" s="7" t="str">
        <f t="shared" si="670"/>
        <v/>
      </c>
      <c r="AM111" s="8" t="str">
        <f t="shared" si="671"/>
        <v/>
      </c>
      <c r="AN111" s="6" t="str">
        <f t="shared" si="672"/>
        <v/>
      </c>
      <c r="AO111" s="10" t="str">
        <f t="shared" si="673"/>
        <v/>
      </c>
      <c r="AP111" s="11" t="str">
        <f t="shared" si="674"/>
        <v/>
      </c>
      <c r="AQ111" s="8" t="str">
        <f t="shared" si="612"/>
        <v/>
      </c>
      <c r="AS111" s="123" t="str">
        <f t="shared" si="496"/>
        <v/>
      </c>
      <c r="AT111" s="175" t="str">
        <f t="shared" si="617"/>
        <v/>
      </c>
      <c r="AV111" s="292" t="str">
        <f t="shared" si="497"/>
        <v/>
      </c>
      <c r="AW111" s="709"/>
      <c r="AX111" s="710"/>
      <c r="AY111" s="711"/>
      <c r="AZ111" s="565" t="str">
        <f t="shared" si="498"/>
        <v/>
      </c>
      <c r="BA111" s="564" t="str">
        <f t="shared" si="499"/>
        <v/>
      </c>
      <c r="BB111" s="372" t="str">
        <f t="shared" si="474"/>
        <v/>
      </c>
      <c r="BC111" s="11"/>
      <c r="BD111" s="7" t="str">
        <f t="shared" si="475"/>
        <v/>
      </c>
      <c r="BE111" s="8" t="str">
        <f t="shared" si="476"/>
        <v/>
      </c>
      <c r="BF111" s="6" t="str">
        <f t="shared" si="500"/>
        <v/>
      </c>
      <c r="BG111" s="7" t="str">
        <f t="shared" si="501"/>
        <v/>
      </c>
      <c r="BH111" s="12" t="str">
        <f t="shared" si="502"/>
        <v/>
      </c>
      <c r="BI111" s="11" t="str">
        <f t="shared" si="503"/>
        <v/>
      </c>
      <c r="BJ111" s="7" t="str">
        <f t="shared" si="504"/>
        <v/>
      </c>
      <c r="BK111" s="10" t="str">
        <f t="shared" si="505"/>
        <v/>
      </c>
      <c r="BL111" s="328" t="str">
        <f t="shared" si="506"/>
        <v/>
      </c>
      <c r="BM111" s="7" t="str">
        <f t="shared" si="507"/>
        <v/>
      </c>
      <c r="BN111" s="8" t="str">
        <f t="shared" si="508"/>
        <v/>
      </c>
      <c r="BO111" s="6" t="str">
        <f t="shared" si="509"/>
        <v/>
      </c>
      <c r="BP111" s="7" t="str">
        <f t="shared" si="510"/>
        <v/>
      </c>
      <c r="BQ111" s="7" t="str">
        <f t="shared" si="511"/>
        <v/>
      </c>
      <c r="BR111" s="8" t="str">
        <f t="shared" si="512"/>
        <v/>
      </c>
      <c r="BS111" s="6" t="str">
        <f t="shared" si="675"/>
        <v/>
      </c>
      <c r="BT111" s="7" t="str">
        <f t="shared" si="675"/>
        <v/>
      </c>
      <c r="BU111" s="12" t="str">
        <f t="shared" si="478"/>
        <v/>
      </c>
      <c r="BV111" s="11" t="str">
        <f t="shared" si="479"/>
        <v/>
      </c>
      <c r="BW111" s="7" t="str">
        <f t="shared" si="480"/>
        <v/>
      </c>
      <c r="BX111" s="10" t="str">
        <f t="shared" si="481"/>
        <v/>
      </c>
      <c r="BY111" s="328" t="str">
        <f t="shared" si="482"/>
        <v/>
      </c>
      <c r="BZ111" s="7" t="str">
        <f t="shared" si="483"/>
        <v/>
      </c>
      <c r="CA111" s="8" t="str">
        <f t="shared" si="484"/>
        <v/>
      </c>
      <c r="CB111" s="6" t="str">
        <f t="shared" si="513"/>
        <v/>
      </c>
      <c r="CC111" s="7" t="str">
        <f t="shared" si="514"/>
        <v/>
      </c>
      <c r="CD111" s="7" t="str">
        <f t="shared" si="515"/>
        <v/>
      </c>
      <c r="CE111" s="8" t="str">
        <f t="shared" si="516"/>
        <v/>
      </c>
      <c r="CF111" s="6" t="str">
        <f t="shared" si="517"/>
        <v/>
      </c>
      <c r="CG111" s="7" t="str">
        <f t="shared" si="518"/>
        <v/>
      </c>
      <c r="CH111" s="7" t="str">
        <f t="shared" si="519"/>
        <v/>
      </c>
      <c r="CI111" s="6" t="str">
        <f t="shared" si="485"/>
        <v/>
      </c>
      <c r="CJ111" s="7" t="str">
        <f t="shared" si="486"/>
        <v/>
      </c>
      <c r="CK111" s="10" t="str">
        <f t="shared" si="487"/>
        <v/>
      </c>
      <c r="CL111" s="328" t="str">
        <f t="shared" si="488"/>
        <v/>
      </c>
      <c r="CM111" s="7" t="str">
        <f t="shared" si="489"/>
        <v/>
      </c>
      <c r="CN111" s="8" t="str">
        <f t="shared" si="490"/>
        <v/>
      </c>
      <c r="CO111" s="296" t="str">
        <f t="shared" si="613"/>
        <v/>
      </c>
      <c r="CP111" s="6" t="str">
        <f t="shared" si="520"/>
        <v/>
      </c>
      <c r="CQ111" s="7" t="str">
        <f t="shared" si="521"/>
        <v/>
      </c>
      <c r="CR111" s="7" t="str">
        <f t="shared" si="522"/>
        <v/>
      </c>
      <c r="CS111" s="10" t="str">
        <f t="shared" si="523"/>
        <v/>
      </c>
      <c r="CT111" s="11" t="str">
        <f t="shared" si="524"/>
        <v/>
      </c>
      <c r="CU111" s="8" t="str">
        <f t="shared" si="525"/>
        <v/>
      </c>
      <c r="CV111" s="6" t="str">
        <f t="shared" si="526"/>
        <v/>
      </c>
      <c r="CW111" s="7" t="str">
        <f t="shared" si="527"/>
        <v/>
      </c>
      <c r="CX111" s="10" t="str">
        <f t="shared" si="528"/>
        <v/>
      </c>
      <c r="CY111" s="11" t="str">
        <f t="shared" si="529"/>
        <v/>
      </c>
      <c r="CZ111" s="7" t="str">
        <f t="shared" si="530"/>
        <v/>
      </c>
      <c r="DA111" s="8" t="str">
        <f t="shared" si="531"/>
        <v/>
      </c>
      <c r="DB111" s="6" t="str">
        <f t="shared" si="677"/>
        <v/>
      </c>
      <c r="DC111" s="7" t="str">
        <f t="shared" si="677"/>
        <v/>
      </c>
      <c r="DD111" s="12" t="str">
        <f t="shared" si="533"/>
        <v/>
      </c>
      <c r="DE111" s="11" t="str">
        <f t="shared" si="678"/>
        <v/>
      </c>
      <c r="DF111" s="7" t="str">
        <f t="shared" si="678"/>
        <v/>
      </c>
      <c r="DG111" s="12" t="str">
        <f t="shared" si="535"/>
        <v/>
      </c>
      <c r="DH111" s="174" t="str">
        <f t="shared" si="536"/>
        <v/>
      </c>
      <c r="DI111" s="6" t="str">
        <f t="shared" si="537"/>
        <v/>
      </c>
      <c r="DJ111" s="7" t="str">
        <f t="shared" si="538"/>
        <v/>
      </c>
      <c r="DK111" s="12" t="str">
        <f t="shared" si="539"/>
        <v/>
      </c>
      <c r="DL111" s="11" t="str">
        <f t="shared" si="540"/>
        <v/>
      </c>
      <c r="DM111" s="328" t="str">
        <f t="shared" si="541"/>
        <v/>
      </c>
      <c r="DN111" s="376" t="str">
        <f t="shared" si="542"/>
        <v/>
      </c>
      <c r="DO111" s="11" t="str">
        <f t="shared" si="543"/>
        <v/>
      </c>
      <c r="DP111" s="328" t="str">
        <f t="shared" si="544"/>
        <v/>
      </c>
      <c r="DQ111" s="13" t="str">
        <f t="shared" si="545"/>
        <v/>
      </c>
      <c r="DR111" s="328" t="str">
        <f t="shared" si="546"/>
        <v/>
      </c>
      <c r="DS111" s="7" t="str">
        <f t="shared" si="547"/>
        <v/>
      </c>
      <c r="DT111" s="7" t="str">
        <f t="shared" si="548"/>
        <v/>
      </c>
      <c r="DU111" s="7" t="str">
        <f t="shared" si="549"/>
        <v/>
      </c>
      <c r="DV111" s="7" t="str">
        <f t="shared" si="550"/>
        <v/>
      </c>
      <c r="DW111" s="7" t="str">
        <f t="shared" si="551"/>
        <v/>
      </c>
      <c r="DX111" s="296" t="str">
        <f t="shared" si="552"/>
        <v/>
      </c>
      <c r="DY111" s="11" t="str">
        <f t="shared" si="553"/>
        <v/>
      </c>
      <c r="DZ111" s="7" t="str">
        <f t="shared" si="554"/>
        <v/>
      </c>
      <c r="EA111" s="12" t="str">
        <f t="shared" si="555"/>
        <v/>
      </c>
      <c r="EB111" s="8" t="str">
        <f t="shared" si="556"/>
        <v/>
      </c>
      <c r="EC111" s="328" t="str">
        <f t="shared" si="557"/>
        <v/>
      </c>
      <c r="ED111" s="7" t="str">
        <f t="shared" si="558"/>
        <v/>
      </c>
      <c r="EE111" s="6" t="str">
        <f t="shared" si="559"/>
        <v/>
      </c>
      <c r="EF111" s="7" t="str">
        <f t="shared" si="560"/>
        <v/>
      </c>
      <c r="EG111" s="12" t="str">
        <f t="shared" si="561"/>
        <v/>
      </c>
      <c r="EH111" s="11" t="str">
        <f t="shared" si="562"/>
        <v/>
      </c>
      <c r="EI111" s="7" t="str">
        <f t="shared" si="563"/>
        <v/>
      </c>
      <c r="EJ111" s="8" t="str">
        <f t="shared" si="564"/>
        <v/>
      </c>
      <c r="EK111" s="491" t="str">
        <f t="shared" si="565"/>
        <v/>
      </c>
      <c r="EL111" s="493" t="str">
        <f t="shared" si="566"/>
        <v/>
      </c>
      <c r="EM111" s="6" t="str">
        <f t="shared" si="567"/>
        <v/>
      </c>
      <c r="EN111" s="7" t="str">
        <f t="shared" si="568"/>
        <v/>
      </c>
      <c r="EO111" s="12" t="str">
        <f t="shared" si="569"/>
        <v/>
      </c>
      <c r="EP111" s="11" t="str">
        <f t="shared" si="570"/>
        <v/>
      </c>
      <c r="EQ111" s="7" t="str">
        <f t="shared" si="571"/>
        <v/>
      </c>
      <c r="ER111" s="9" t="str">
        <f t="shared" si="572"/>
        <v/>
      </c>
      <c r="ES111" s="24" t="str">
        <f t="shared" si="573"/>
        <v/>
      </c>
      <c r="ET111" s="7" t="str">
        <f t="shared" si="574"/>
        <v/>
      </c>
      <c r="EU111" s="12" t="str">
        <f t="shared" si="575"/>
        <v/>
      </c>
      <c r="EV111" s="337" t="str">
        <f t="shared" si="620"/>
        <v/>
      </c>
      <c r="EW111" s="11" t="str">
        <f t="shared" si="621"/>
        <v/>
      </c>
      <c r="EX111" s="7" t="str">
        <f t="shared" si="622"/>
        <v/>
      </c>
      <c r="EY111" s="8" t="str">
        <f t="shared" si="576"/>
        <v/>
      </c>
      <c r="EZ111" s="123" t="str">
        <f t="shared" si="577"/>
        <v/>
      </c>
      <c r="FA111" s="328" t="str">
        <f t="shared" si="623"/>
        <v/>
      </c>
      <c r="FB111" s="7" t="str">
        <f t="shared" si="624"/>
        <v/>
      </c>
      <c r="FC111" s="8" t="str">
        <f t="shared" si="625"/>
        <v/>
      </c>
      <c r="FD111" s="6" t="str">
        <f t="shared" si="626"/>
        <v/>
      </c>
      <c r="FE111" s="7" t="str">
        <f t="shared" si="627"/>
        <v/>
      </c>
      <c r="FF111" s="9" t="str">
        <f t="shared" si="578"/>
        <v/>
      </c>
      <c r="FG111" s="328" t="str">
        <f t="shared" si="628"/>
        <v/>
      </c>
      <c r="FH111" s="7" t="str">
        <f t="shared" si="629"/>
        <v/>
      </c>
      <c r="FI111" s="12" t="str">
        <f t="shared" si="630"/>
        <v/>
      </c>
      <c r="FJ111" s="547" t="str">
        <f t="shared" si="579"/>
        <v/>
      </c>
      <c r="FK111" s="6" t="str">
        <f t="shared" si="631"/>
        <v/>
      </c>
      <c r="FL111" s="7" t="str">
        <f t="shared" si="491"/>
        <v/>
      </c>
      <c r="FM111" s="10" t="str">
        <f t="shared" si="492"/>
        <v/>
      </c>
      <c r="FN111" s="11" t="str">
        <f t="shared" si="493"/>
        <v/>
      </c>
      <c r="FO111" s="12" t="str">
        <f t="shared" si="632"/>
        <v/>
      </c>
      <c r="FP111" s="545" t="str">
        <f t="shared" si="494"/>
        <v/>
      </c>
      <c r="FQ111" s="328" t="str">
        <f t="shared" si="580"/>
        <v/>
      </c>
      <c r="FR111" s="12" t="str">
        <f t="shared" si="581"/>
        <v/>
      </c>
      <c r="FS111" s="11" t="str">
        <f t="shared" si="582"/>
        <v/>
      </c>
      <c r="FT111" s="8" t="str">
        <f t="shared" si="583"/>
        <v/>
      </c>
      <c r="FU111" s="6" t="str">
        <f t="shared" si="584"/>
        <v/>
      </c>
      <c r="FV111" s="7" t="str">
        <f t="shared" si="585"/>
        <v/>
      </c>
      <c r="FW111" s="10" t="str">
        <f t="shared" si="586"/>
        <v/>
      </c>
      <c r="FX111" s="11" t="str">
        <f t="shared" si="587"/>
        <v/>
      </c>
      <c r="FY111" s="12" t="str">
        <f t="shared" si="633"/>
        <v/>
      </c>
      <c r="FZ111" s="545" t="str">
        <f t="shared" si="588"/>
        <v/>
      </c>
      <c r="GA111" s="372" t="str">
        <f t="shared" si="589"/>
        <v/>
      </c>
      <c r="GB111" s="46" t="str">
        <f t="shared" si="590"/>
        <v/>
      </c>
      <c r="GC111" s="47" t="str">
        <f t="shared" si="591"/>
        <v/>
      </c>
      <c r="GD111" s="578" t="str">
        <f t="shared" si="592"/>
        <v/>
      </c>
      <c r="GE111" s="585" t="str">
        <f t="shared" si="593"/>
        <v/>
      </c>
      <c r="GF111" s="634" t="str">
        <f t="shared" si="594"/>
        <v/>
      </c>
      <c r="GG111" s="553" t="str">
        <f t="shared" si="634"/>
        <v/>
      </c>
      <c r="GH111" s="554" t="str">
        <f t="shared" si="635"/>
        <v/>
      </c>
      <c r="GI111" s="549" t="str">
        <f t="shared" si="636"/>
        <v/>
      </c>
      <c r="GJ111" s="296" t="str">
        <f t="shared" si="595"/>
        <v/>
      </c>
      <c r="GK111" s="337" t="str">
        <f t="shared" si="637"/>
        <v/>
      </c>
      <c r="GL111" s="337" t="str">
        <f t="shared" si="596"/>
        <v/>
      </c>
      <c r="GM111" s="372" t="str">
        <f t="shared" si="597"/>
        <v/>
      </c>
      <c r="GN111" s="548" t="str">
        <f t="shared" si="598"/>
        <v/>
      </c>
      <c r="GO111" s="6" t="str">
        <f t="shared" si="599"/>
        <v/>
      </c>
      <c r="GP111" s="10" t="str">
        <f t="shared" si="600"/>
        <v/>
      </c>
      <c r="GQ111" s="372" t="str">
        <f t="shared" si="601"/>
        <v/>
      </c>
      <c r="GR111" s="697" t="str">
        <f t="shared" si="602"/>
        <v/>
      </c>
      <c r="GS111" s="637" t="str">
        <f t="shared" si="638"/>
        <v/>
      </c>
      <c r="GT111" s="638" t="str">
        <f t="shared" si="639"/>
        <v/>
      </c>
      <c r="GU111" s="639" t="str">
        <f t="shared" si="640"/>
        <v/>
      </c>
      <c r="GV111" s="638" t="str">
        <f t="shared" si="603"/>
        <v/>
      </c>
      <c r="GW111" s="640" t="str">
        <f t="shared" si="641"/>
        <v/>
      </c>
      <c r="GX111" s="641" t="str">
        <f t="shared" si="642"/>
        <v/>
      </c>
      <c r="GY111" s="639" t="str">
        <f t="shared" si="643"/>
        <v/>
      </c>
      <c r="GZ111" s="640" t="str">
        <f t="shared" si="644"/>
        <v/>
      </c>
      <c r="HA111" s="637" t="str">
        <f t="shared" si="645"/>
        <v/>
      </c>
      <c r="HB111" s="7" t="str">
        <f t="shared" si="604"/>
        <v/>
      </c>
      <c r="HC111" s="638" t="str">
        <f t="shared" si="605"/>
        <v/>
      </c>
      <c r="HD111" s="682" t="str">
        <f t="shared" si="606"/>
        <v/>
      </c>
      <c r="HE111" s="639" t="str">
        <f t="shared" si="646"/>
        <v/>
      </c>
      <c r="HF111" s="7" t="str">
        <f t="shared" si="647"/>
        <v/>
      </c>
      <c r="HG111" s="638" t="str">
        <f t="shared" si="607"/>
        <v/>
      </c>
      <c r="HH111" s="644" t="str">
        <f t="shared" si="608"/>
        <v/>
      </c>
      <c r="HI111" s="596" t="str">
        <f t="shared" si="609"/>
        <v/>
      </c>
      <c r="HK111" s="584" t="str">
        <f t="shared" si="619"/>
        <v/>
      </c>
      <c r="HL111" s="583" t="str">
        <f t="shared" si="676"/>
        <v/>
      </c>
      <c r="HM111" s="643" t="str">
        <f t="shared" si="679"/>
        <v/>
      </c>
      <c r="HN111" s="660" t="str">
        <f t="shared" si="679"/>
        <v/>
      </c>
      <c r="HO111" s="661" t="str">
        <f t="shared" si="679"/>
        <v/>
      </c>
      <c r="HP111" s="656" t="str">
        <f t="shared" si="679"/>
        <v/>
      </c>
      <c r="HQ111" s="660" t="str">
        <f t="shared" si="679"/>
        <v/>
      </c>
      <c r="HR111" s="671" t="str">
        <f t="shared" si="679"/>
        <v/>
      </c>
      <c r="HS111" s="655" t="str">
        <f t="shared" si="679"/>
        <v/>
      </c>
      <c r="HT111" s="648" t="str">
        <f t="shared" si="679"/>
        <v/>
      </c>
      <c r="HU111" s="649" t="str">
        <f t="shared" si="679"/>
        <v/>
      </c>
      <c r="HV111" s="650" t="str">
        <f t="shared" si="679"/>
        <v/>
      </c>
      <c r="HW111" s="648" t="str">
        <f t="shared" si="679"/>
        <v/>
      </c>
      <c r="HX111" s="649" t="str">
        <f t="shared" si="679"/>
        <v/>
      </c>
      <c r="HY111" s="650" t="str">
        <f t="shared" si="679"/>
        <v/>
      </c>
      <c r="HZ111" s="648" t="str">
        <f t="shared" si="679"/>
        <v/>
      </c>
      <c r="IA111" s="649" t="str">
        <f t="shared" si="679"/>
        <v/>
      </c>
      <c r="IB111" s="716"/>
    </row>
    <row r="112" spans="2:236" ht="15" customHeight="1" x14ac:dyDescent="0.25">
      <c r="B112" s="143"/>
      <c r="C112" s="144"/>
      <c r="D112" s="145"/>
      <c r="E112" s="146"/>
      <c r="F112" s="144"/>
      <c r="G112" s="147"/>
      <c r="H112" s="146"/>
      <c r="I112" s="144"/>
      <c r="J112" s="306"/>
      <c r="K112" s="699" t="str">
        <f t="shared" si="610"/>
        <v/>
      </c>
      <c r="M112" s="292" t="str">
        <f t="shared" si="648"/>
        <v/>
      </c>
      <c r="N112" s="24" t="str">
        <f t="shared" si="649"/>
        <v/>
      </c>
      <c r="O112" s="7" t="str">
        <f t="shared" si="650"/>
        <v/>
      </c>
      <c r="P112" s="12" t="str">
        <f t="shared" si="651"/>
        <v/>
      </c>
      <c r="Q112" s="11" t="str">
        <f t="shared" si="473"/>
        <v/>
      </c>
      <c r="R112" s="7" t="str">
        <f t="shared" si="652"/>
        <v/>
      </c>
      <c r="S112" s="8" t="str">
        <f t="shared" si="653"/>
        <v/>
      </c>
      <c r="T112" s="6" t="str">
        <f t="shared" si="654"/>
        <v/>
      </c>
      <c r="U112" s="7" t="str">
        <f t="shared" si="655"/>
        <v/>
      </c>
      <c r="V112" s="10" t="str">
        <f t="shared" si="656"/>
        <v/>
      </c>
      <c r="W112" s="11" t="str">
        <f t="shared" si="614"/>
        <v/>
      </c>
      <c r="X112" s="7" t="str">
        <f t="shared" si="657"/>
        <v/>
      </c>
      <c r="Y112" s="9" t="str">
        <f t="shared" si="611"/>
        <v/>
      </c>
      <c r="Z112" s="24" t="str">
        <f t="shared" si="658"/>
        <v/>
      </c>
      <c r="AA112" s="7" t="str">
        <f t="shared" si="659"/>
        <v/>
      </c>
      <c r="AB112" s="7" t="str">
        <f t="shared" si="660"/>
        <v/>
      </c>
      <c r="AC112" s="10" t="str">
        <f t="shared" si="661"/>
        <v/>
      </c>
      <c r="AD112" s="11" t="str">
        <f t="shared" si="662"/>
        <v/>
      </c>
      <c r="AE112" s="7" t="str">
        <f t="shared" si="663"/>
        <v/>
      </c>
      <c r="AF112" s="12" t="str">
        <f t="shared" si="664"/>
        <v/>
      </c>
      <c r="AG112" s="6" t="str">
        <f t="shared" si="665"/>
        <v/>
      </c>
      <c r="AH112" s="12" t="str">
        <f t="shared" si="666"/>
        <v/>
      </c>
      <c r="AI112" s="11" t="str">
        <f t="shared" si="667"/>
        <v/>
      </c>
      <c r="AJ112" s="8" t="str">
        <f t="shared" si="668"/>
        <v/>
      </c>
      <c r="AK112" s="6" t="str">
        <f t="shared" si="669"/>
        <v/>
      </c>
      <c r="AL112" s="7" t="str">
        <f t="shared" si="670"/>
        <v/>
      </c>
      <c r="AM112" s="8" t="str">
        <f t="shared" si="671"/>
        <v/>
      </c>
      <c r="AN112" s="6" t="str">
        <f t="shared" si="672"/>
        <v/>
      </c>
      <c r="AO112" s="10" t="str">
        <f t="shared" si="673"/>
        <v/>
      </c>
      <c r="AP112" s="11" t="str">
        <f t="shared" si="674"/>
        <v/>
      </c>
      <c r="AQ112" s="8" t="str">
        <f t="shared" si="612"/>
        <v/>
      </c>
      <c r="AS112" s="123" t="str">
        <f t="shared" si="496"/>
        <v/>
      </c>
      <c r="AT112" s="175" t="str">
        <f t="shared" si="617"/>
        <v/>
      </c>
      <c r="AV112" s="292" t="str">
        <f t="shared" si="497"/>
        <v/>
      </c>
      <c r="AW112" s="709"/>
      <c r="AX112" s="710"/>
      <c r="AY112" s="711"/>
      <c r="AZ112" s="565" t="str">
        <f t="shared" si="498"/>
        <v/>
      </c>
      <c r="BA112" s="564" t="str">
        <f t="shared" si="499"/>
        <v/>
      </c>
      <c r="BB112" s="372" t="str">
        <f t="shared" si="474"/>
        <v/>
      </c>
      <c r="BC112" s="11"/>
      <c r="BD112" s="7" t="str">
        <f t="shared" si="475"/>
        <v/>
      </c>
      <c r="BE112" s="8" t="str">
        <f t="shared" si="476"/>
        <v/>
      </c>
      <c r="BF112" s="6" t="str">
        <f t="shared" si="500"/>
        <v/>
      </c>
      <c r="BG112" s="7" t="str">
        <f t="shared" si="501"/>
        <v/>
      </c>
      <c r="BH112" s="12" t="str">
        <f t="shared" si="502"/>
        <v/>
      </c>
      <c r="BI112" s="11" t="str">
        <f t="shared" si="503"/>
        <v/>
      </c>
      <c r="BJ112" s="7" t="str">
        <f t="shared" si="504"/>
        <v/>
      </c>
      <c r="BK112" s="10" t="str">
        <f t="shared" si="505"/>
        <v/>
      </c>
      <c r="BL112" s="328" t="str">
        <f t="shared" si="506"/>
        <v/>
      </c>
      <c r="BM112" s="7" t="str">
        <f t="shared" si="507"/>
        <v/>
      </c>
      <c r="BN112" s="8" t="str">
        <f t="shared" si="508"/>
        <v/>
      </c>
      <c r="BO112" s="6" t="str">
        <f t="shared" si="509"/>
        <v/>
      </c>
      <c r="BP112" s="7" t="str">
        <f t="shared" si="510"/>
        <v/>
      </c>
      <c r="BQ112" s="7" t="str">
        <f t="shared" si="511"/>
        <v/>
      </c>
      <c r="BR112" s="8" t="str">
        <f t="shared" si="512"/>
        <v/>
      </c>
      <c r="BS112" s="6" t="str">
        <f t="shared" si="675"/>
        <v/>
      </c>
      <c r="BT112" s="7" t="str">
        <f t="shared" si="675"/>
        <v/>
      </c>
      <c r="BU112" s="12" t="str">
        <f t="shared" si="478"/>
        <v/>
      </c>
      <c r="BV112" s="11" t="str">
        <f t="shared" si="479"/>
        <v/>
      </c>
      <c r="BW112" s="7" t="str">
        <f t="shared" si="480"/>
        <v/>
      </c>
      <c r="BX112" s="10" t="str">
        <f t="shared" si="481"/>
        <v/>
      </c>
      <c r="BY112" s="328" t="str">
        <f t="shared" si="482"/>
        <v/>
      </c>
      <c r="BZ112" s="7" t="str">
        <f t="shared" si="483"/>
        <v/>
      </c>
      <c r="CA112" s="8" t="str">
        <f t="shared" si="484"/>
        <v/>
      </c>
      <c r="CB112" s="6" t="str">
        <f t="shared" si="513"/>
        <v/>
      </c>
      <c r="CC112" s="7" t="str">
        <f t="shared" si="514"/>
        <v/>
      </c>
      <c r="CD112" s="7" t="str">
        <f t="shared" si="515"/>
        <v/>
      </c>
      <c r="CE112" s="8" t="str">
        <f t="shared" si="516"/>
        <v/>
      </c>
      <c r="CF112" s="6" t="str">
        <f t="shared" si="517"/>
        <v/>
      </c>
      <c r="CG112" s="7" t="str">
        <f t="shared" si="518"/>
        <v/>
      </c>
      <c r="CH112" s="7" t="str">
        <f t="shared" si="519"/>
        <v/>
      </c>
      <c r="CI112" s="6" t="str">
        <f t="shared" si="485"/>
        <v/>
      </c>
      <c r="CJ112" s="7" t="str">
        <f t="shared" si="486"/>
        <v/>
      </c>
      <c r="CK112" s="10" t="str">
        <f t="shared" si="487"/>
        <v/>
      </c>
      <c r="CL112" s="328" t="str">
        <f t="shared" si="488"/>
        <v/>
      </c>
      <c r="CM112" s="7" t="str">
        <f t="shared" si="489"/>
        <v/>
      </c>
      <c r="CN112" s="8" t="str">
        <f t="shared" si="490"/>
        <v/>
      </c>
      <c r="CO112" s="296" t="str">
        <f t="shared" si="613"/>
        <v/>
      </c>
      <c r="CP112" s="6" t="str">
        <f t="shared" si="520"/>
        <v/>
      </c>
      <c r="CQ112" s="7" t="str">
        <f t="shared" si="521"/>
        <v/>
      </c>
      <c r="CR112" s="7" t="str">
        <f t="shared" si="522"/>
        <v/>
      </c>
      <c r="CS112" s="10" t="str">
        <f t="shared" si="523"/>
        <v/>
      </c>
      <c r="CT112" s="11" t="str">
        <f t="shared" si="524"/>
        <v/>
      </c>
      <c r="CU112" s="8" t="str">
        <f t="shared" si="525"/>
        <v/>
      </c>
      <c r="CV112" s="6" t="str">
        <f t="shared" si="526"/>
        <v/>
      </c>
      <c r="CW112" s="7" t="str">
        <f t="shared" si="527"/>
        <v/>
      </c>
      <c r="CX112" s="10" t="str">
        <f t="shared" si="528"/>
        <v/>
      </c>
      <c r="CY112" s="11" t="str">
        <f t="shared" si="529"/>
        <v/>
      </c>
      <c r="CZ112" s="7" t="str">
        <f t="shared" si="530"/>
        <v/>
      </c>
      <c r="DA112" s="8" t="str">
        <f t="shared" si="531"/>
        <v/>
      </c>
      <c r="DB112" s="6" t="str">
        <f t="shared" si="677"/>
        <v/>
      </c>
      <c r="DC112" s="7" t="str">
        <f t="shared" si="677"/>
        <v/>
      </c>
      <c r="DD112" s="12" t="str">
        <f t="shared" si="533"/>
        <v/>
      </c>
      <c r="DE112" s="11" t="str">
        <f t="shared" si="678"/>
        <v/>
      </c>
      <c r="DF112" s="7" t="str">
        <f t="shared" si="678"/>
        <v/>
      </c>
      <c r="DG112" s="12" t="str">
        <f t="shared" si="535"/>
        <v/>
      </c>
      <c r="DH112" s="174" t="str">
        <f t="shared" si="536"/>
        <v/>
      </c>
      <c r="DI112" s="6" t="str">
        <f t="shared" si="537"/>
        <v/>
      </c>
      <c r="DJ112" s="7" t="str">
        <f t="shared" si="538"/>
        <v/>
      </c>
      <c r="DK112" s="12" t="str">
        <f t="shared" si="539"/>
        <v/>
      </c>
      <c r="DL112" s="11" t="str">
        <f t="shared" si="540"/>
        <v/>
      </c>
      <c r="DM112" s="328" t="str">
        <f t="shared" si="541"/>
        <v/>
      </c>
      <c r="DN112" s="376" t="str">
        <f t="shared" si="542"/>
        <v/>
      </c>
      <c r="DO112" s="11" t="str">
        <f t="shared" si="543"/>
        <v/>
      </c>
      <c r="DP112" s="328" t="str">
        <f t="shared" si="544"/>
        <v/>
      </c>
      <c r="DQ112" s="13" t="str">
        <f t="shared" si="545"/>
        <v/>
      </c>
      <c r="DR112" s="328" t="str">
        <f t="shared" si="546"/>
        <v/>
      </c>
      <c r="DS112" s="7" t="str">
        <f t="shared" si="547"/>
        <v/>
      </c>
      <c r="DT112" s="7" t="str">
        <f t="shared" si="548"/>
        <v/>
      </c>
      <c r="DU112" s="7" t="str">
        <f t="shared" si="549"/>
        <v/>
      </c>
      <c r="DV112" s="7" t="str">
        <f t="shared" si="550"/>
        <v/>
      </c>
      <c r="DW112" s="7" t="str">
        <f t="shared" si="551"/>
        <v/>
      </c>
      <c r="DX112" s="296" t="str">
        <f t="shared" si="552"/>
        <v/>
      </c>
      <c r="DY112" s="11" t="str">
        <f t="shared" si="553"/>
        <v/>
      </c>
      <c r="DZ112" s="7" t="str">
        <f t="shared" si="554"/>
        <v/>
      </c>
      <c r="EA112" s="12" t="str">
        <f t="shared" si="555"/>
        <v/>
      </c>
      <c r="EB112" s="8" t="str">
        <f t="shared" si="556"/>
        <v/>
      </c>
      <c r="EC112" s="328" t="str">
        <f t="shared" si="557"/>
        <v/>
      </c>
      <c r="ED112" s="7" t="str">
        <f t="shared" si="558"/>
        <v/>
      </c>
      <c r="EE112" s="6" t="str">
        <f t="shared" si="559"/>
        <v/>
      </c>
      <c r="EF112" s="7" t="str">
        <f t="shared" si="560"/>
        <v/>
      </c>
      <c r="EG112" s="12" t="str">
        <f t="shared" si="561"/>
        <v/>
      </c>
      <c r="EH112" s="11" t="str">
        <f t="shared" si="562"/>
        <v/>
      </c>
      <c r="EI112" s="7" t="str">
        <f t="shared" si="563"/>
        <v/>
      </c>
      <c r="EJ112" s="8" t="str">
        <f t="shared" si="564"/>
        <v/>
      </c>
      <c r="EK112" s="491" t="str">
        <f t="shared" si="565"/>
        <v/>
      </c>
      <c r="EL112" s="493" t="str">
        <f t="shared" si="566"/>
        <v/>
      </c>
      <c r="EM112" s="6" t="str">
        <f t="shared" si="567"/>
        <v/>
      </c>
      <c r="EN112" s="7" t="str">
        <f t="shared" si="568"/>
        <v/>
      </c>
      <c r="EO112" s="12" t="str">
        <f t="shared" si="569"/>
        <v/>
      </c>
      <c r="EP112" s="11" t="str">
        <f t="shared" si="570"/>
        <v/>
      </c>
      <c r="EQ112" s="7" t="str">
        <f t="shared" si="571"/>
        <v/>
      </c>
      <c r="ER112" s="9" t="str">
        <f t="shared" si="572"/>
        <v/>
      </c>
      <c r="ES112" s="24" t="str">
        <f t="shared" si="573"/>
        <v/>
      </c>
      <c r="ET112" s="7" t="str">
        <f t="shared" si="574"/>
        <v/>
      </c>
      <c r="EU112" s="12" t="str">
        <f t="shared" si="575"/>
        <v/>
      </c>
      <c r="EV112" s="337" t="str">
        <f t="shared" si="620"/>
        <v/>
      </c>
      <c r="EW112" s="11" t="str">
        <f t="shared" si="621"/>
        <v/>
      </c>
      <c r="EX112" s="7" t="str">
        <f t="shared" si="622"/>
        <v/>
      </c>
      <c r="EY112" s="8" t="str">
        <f t="shared" si="576"/>
        <v/>
      </c>
      <c r="EZ112" s="123" t="str">
        <f t="shared" si="577"/>
        <v/>
      </c>
      <c r="FA112" s="328" t="str">
        <f t="shared" si="623"/>
        <v/>
      </c>
      <c r="FB112" s="7" t="str">
        <f t="shared" si="624"/>
        <v/>
      </c>
      <c r="FC112" s="8" t="str">
        <f t="shared" si="625"/>
        <v/>
      </c>
      <c r="FD112" s="6" t="str">
        <f t="shared" si="626"/>
        <v/>
      </c>
      <c r="FE112" s="7" t="str">
        <f t="shared" si="627"/>
        <v/>
      </c>
      <c r="FF112" s="9" t="str">
        <f t="shared" si="578"/>
        <v/>
      </c>
      <c r="FG112" s="328" t="str">
        <f t="shared" si="628"/>
        <v/>
      </c>
      <c r="FH112" s="7" t="str">
        <f t="shared" si="629"/>
        <v/>
      </c>
      <c r="FI112" s="12" t="str">
        <f t="shared" si="630"/>
        <v/>
      </c>
      <c r="FJ112" s="547" t="str">
        <f t="shared" si="579"/>
        <v/>
      </c>
      <c r="FK112" s="6" t="str">
        <f t="shared" si="631"/>
        <v/>
      </c>
      <c r="FL112" s="7" t="str">
        <f t="shared" si="491"/>
        <v/>
      </c>
      <c r="FM112" s="10" t="str">
        <f t="shared" si="492"/>
        <v/>
      </c>
      <c r="FN112" s="11" t="str">
        <f t="shared" si="493"/>
        <v/>
      </c>
      <c r="FO112" s="12" t="str">
        <f t="shared" si="632"/>
        <v/>
      </c>
      <c r="FP112" s="545" t="str">
        <f t="shared" si="494"/>
        <v/>
      </c>
      <c r="FQ112" s="328" t="str">
        <f t="shared" si="580"/>
        <v/>
      </c>
      <c r="FR112" s="12" t="str">
        <f t="shared" si="581"/>
        <v/>
      </c>
      <c r="FS112" s="11" t="str">
        <f t="shared" si="582"/>
        <v/>
      </c>
      <c r="FT112" s="8" t="str">
        <f t="shared" si="583"/>
        <v/>
      </c>
      <c r="FU112" s="6" t="str">
        <f t="shared" si="584"/>
        <v/>
      </c>
      <c r="FV112" s="7" t="str">
        <f t="shared" si="585"/>
        <v/>
      </c>
      <c r="FW112" s="10" t="str">
        <f t="shared" si="586"/>
        <v/>
      </c>
      <c r="FX112" s="11" t="str">
        <f t="shared" si="587"/>
        <v/>
      </c>
      <c r="FY112" s="12" t="str">
        <f t="shared" si="633"/>
        <v/>
      </c>
      <c r="FZ112" s="545" t="str">
        <f t="shared" si="588"/>
        <v/>
      </c>
      <c r="GA112" s="372" t="str">
        <f t="shared" si="589"/>
        <v/>
      </c>
      <c r="GB112" s="46" t="str">
        <f t="shared" si="590"/>
        <v/>
      </c>
      <c r="GC112" s="47" t="str">
        <f t="shared" si="591"/>
        <v/>
      </c>
      <c r="GD112" s="578" t="str">
        <f t="shared" si="592"/>
        <v/>
      </c>
      <c r="GE112" s="585" t="str">
        <f t="shared" si="593"/>
        <v/>
      </c>
      <c r="GF112" s="634" t="str">
        <f t="shared" si="594"/>
        <v/>
      </c>
      <c r="GG112" s="553" t="str">
        <f t="shared" si="634"/>
        <v/>
      </c>
      <c r="GH112" s="554" t="str">
        <f t="shared" si="635"/>
        <v/>
      </c>
      <c r="GI112" s="549" t="str">
        <f t="shared" si="636"/>
        <v/>
      </c>
      <c r="GJ112" s="296" t="str">
        <f t="shared" si="595"/>
        <v/>
      </c>
      <c r="GK112" s="337" t="str">
        <f t="shared" si="637"/>
        <v/>
      </c>
      <c r="GL112" s="337" t="str">
        <f t="shared" si="596"/>
        <v/>
      </c>
      <c r="GM112" s="372" t="str">
        <f t="shared" si="597"/>
        <v/>
      </c>
      <c r="GN112" s="548" t="str">
        <f t="shared" si="598"/>
        <v/>
      </c>
      <c r="GO112" s="6" t="str">
        <f t="shared" si="599"/>
        <v/>
      </c>
      <c r="GP112" s="10" t="str">
        <f t="shared" si="600"/>
        <v/>
      </c>
      <c r="GQ112" s="372" t="str">
        <f t="shared" si="601"/>
        <v/>
      </c>
      <c r="GR112" s="697" t="str">
        <f t="shared" si="602"/>
        <v/>
      </c>
      <c r="GS112" s="637" t="str">
        <f t="shared" si="638"/>
        <v/>
      </c>
      <c r="GT112" s="638" t="str">
        <f t="shared" si="639"/>
        <v/>
      </c>
      <c r="GU112" s="639" t="str">
        <f t="shared" si="640"/>
        <v/>
      </c>
      <c r="GV112" s="638" t="str">
        <f t="shared" si="603"/>
        <v/>
      </c>
      <c r="GW112" s="640" t="str">
        <f t="shared" si="641"/>
        <v/>
      </c>
      <c r="GX112" s="641" t="str">
        <f t="shared" si="642"/>
        <v/>
      </c>
      <c r="GY112" s="639" t="str">
        <f t="shared" si="643"/>
        <v/>
      </c>
      <c r="GZ112" s="640" t="str">
        <f t="shared" si="644"/>
        <v/>
      </c>
      <c r="HA112" s="637" t="str">
        <f t="shared" si="645"/>
        <v/>
      </c>
      <c r="HB112" s="7" t="str">
        <f t="shared" si="604"/>
        <v/>
      </c>
      <c r="HC112" s="638" t="str">
        <f t="shared" si="605"/>
        <v/>
      </c>
      <c r="HD112" s="682" t="str">
        <f t="shared" si="606"/>
        <v/>
      </c>
      <c r="HE112" s="639" t="str">
        <f t="shared" si="646"/>
        <v/>
      </c>
      <c r="HF112" s="7" t="str">
        <f t="shared" si="647"/>
        <v/>
      </c>
      <c r="HG112" s="638" t="str">
        <f t="shared" si="607"/>
        <v/>
      </c>
      <c r="HH112" s="644" t="str">
        <f t="shared" si="608"/>
        <v/>
      </c>
      <c r="HI112" s="596" t="str">
        <f t="shared" si="609"/>
        <v/>
      </c>
      <c r="HK112" s="584" t="str">
        <f t="shared" si="619"/>
        <v/>
      </c>
      <c r="HL112" s="583" t="str">
        <f t="shared" si="676"/>
        <v/>
      </c>
      <c r="HM112" s="643" t="str">
        <f t="shared" si="679"/>
        <v/>
      </c>
      <c r="HN112" s="660" t="str">
        <f t="shared" si="679"/>
        <v/>
      </c>
      <c r="HO112" s="661" t="str">
        <f t="shared" si="679"/>
        <v/>
      </c>
      <c r="HP112" s="656" t="str">
        <f t="shared" si="679"/>
        <v/>
      </c>
      <c r="HQ112" s="660" t="str">
        <f t="shared" si="679"/>
        <v/>
      </c>
      <c r="HR112" s="671" t="str">
        <f t="shared" si="679"/>
        <v/>
      </c>
      <c r="HS112" s="655" t="str">
        <f t="shared" si="679"/>
        <v/>
      </c>
      <c r="HT112" s="648" t="str">
        <f t="shared" si="679"/>
        <v/>
      </c>
      <c r="HU112" s="649" t="str">
        <f t="shared" si="679"/>
        <v/>
      </c>
      <c r="HV112" s="650" t="str">
        <f t="shared" si="679"/>
        <v/>
      </c>
      <c r="HW112" s="648" t="str">
        <f t="shared" si="679"/>
        <v/>
      </c>
      <c r="HX112" s="649" t="str">
        <f t="shared" si="679"/>
        <v/>
      </c>
      <c r="HY112" s="650" t="str">
        <f t="shared" si="679"/>
        <v/>
      </c>
      <c r="HZ112" s="648" t="str">
        <f t="shared" si="679"/>
        <v/>
      </c>
      <c r="IA112" s="649" t="str">
        <f t="shared" si="679"/>
        <v/>
      </c>
      <c r="IB112" s="716"/>
    </row>
    <row r="113" spans="2:236" ht="15" customHeight="1" x14ac:dyDescent="0.25">
      <c r="B113" s="143"/>
      <c r="C113" s="144"/>
      <c r="D113" s="145"/>
      <c r="E113" s="146"/>
      <c r="F113" s="144"/>
      <c r="G113" s="147"/>
      <c r="H113" s="146"/>
      <c r="I113" s="144"/>
      <c r="J113" s="306"/>
      <c r="K113" s="699" t="str">
        <f t="shared" si="610"/>
        <v/>
      </c>
      <c r="M113" s="292" t="str">
        <f t="shared" si="648"/>
        <v/>
      </c>
      <c r="N113" s="24" t="str">
        <f t="shared" si="649"/>
        <v/>
      </c>
      <c r="O113" s="7" t="str">
        <f t="shared" si="650"/>
        <v/>
      </c>
      <c r="P113" s="12" t="str">
        <f t="shared" si="651"/>
        <v/>
      </c>
      <c r="Q113" s="11" t="str">
        <f t="shared" si="473"/>
        <v/>
      </c>
      <c r="R113" s="7" t="str">
        <f t="shared" si="652"/>
        <v/>
      </c>
      <c r="S113" s="8" t="str">
        <f t="shared" si="653"/>
        <v/>
      </c>
      <c r="T113" s="6" t="str">
        <f t="shared" si="654"/>
        <v/>
      </c>
      <c r="U113" s="7" t="str">
        <f t="shared" si="655"/>
        <v/>
      </c>
      <c r="V113" s="10" t="str">
        <f t="shared" si="656"/>
        <v/>
      </c>
      <c r="W113" s="11" t="str">
        <f t="shared" si="614"/>
        <v/>
      </c>
      <c r="X113" s="7" t="str">
        <f t="shared" si="657"/>
        <v/>
      </c>
      <c r="Y113" s="9" t="str">
        <f t="shared" si="611"/>
        <v/>
      </c>
      <c r="Z113" s="24" t="str">
        <f t="shared" si="658"/>
        <v/>
      </c>
      <c r="AA113" s="7" t="str">
        <f t="shared" si="659"/>
        <v/>
      </c>
      <c r="AB113" s="7" t="str">
        <f t="shared" si="660"/>
        <v/>
      </c>
      <c r="AC113" s="10" t="str">
        <f t="shared" si="661"/>
        <v/>
      </c>
      <c r="AD113" s="11" t="str">
        <f t="shared" si="662"/>
        <v/>
      </c>
      <c r="AE113" s="7" t="str">
        <f t="shared" si="663"/>
        <v/>
      </c>
      <c r="AF113" s="12" t="str">
        <f t="shared" si="664"/>
        <v/>
      </c>
      <c r="AG113" s="6" t="str">
        <f t="shared" si="665"/>
        <v/>
      </c>
      <c r="AH113" s="12" t="str">
        <f t="shared" si="666"/>
        <v/>
      </c>
      <c r="AI113" s="11" t="str">
        <f t="shared" si="667"/>
        <v/>
      </c>
      <c r="AJ113" s="8" t="str">
        <f t="shared" si="668"/>
        <v/>
      </c>
      <c r="AK113" s="6" t="str">
        <f t="shared" si="669"/>
        <v/>
      </c>
      <c r="AL113" s="7" t="str">
        <f t="shared" si="670"/>
        <v/>
      </c>
      <c r="AM113" s="8" t="str">
        <f t="shared" si="671"/>
        <v/>
      </c>
      <c r="AN113" s="6" t="str">
        <f t="shared" si="672"/>
        <v/>
      </c>
      <c r="AO113" s="10" t="str">
        <f t="shared" si="673"/>
        <v/>
      </c>
      <c r="AP113" s="11" t="str">
        <f t="shared" si="674"/>
        <v/>
      </c>
      <c r="AQ113" s="8" t="str">
        <f t="shared" si="612"/>
        <v/>
      </c>
      <c r="AS113" s="123" t="str">
        <f t="shared" si="496"/>
        <v/>
      </c>
      <c r="AT113" s="175" t="str">
        <f t="shared" si="617"/>
        <v/>
      </c>
      <c r="AV113" s="292" t="str">
        <f t="shared" si="497"/>
        <v/>
      </c>
      <c r="AW113" s="709"/>
      <c r="AX113" s="710"/>
      <c r="AY113" s="711"/>
      <c r="AZ113" s="565" t="str">
        <f t="shared" si="498"/>
        <v/>
      </c>
      <c r="BA113" s="564" t="str">
        <f t="shared" si="499"/>
        <v/>
      </c>
      <c r="BB113" s="372" t="str">
        <f t="shared" si="474"/>
        <v/>
      </c>
      <c r="BC113" s="11"/>
      <c r="BD113" s="7" t="str">
        <f t="shared" si="475"/>
        <v/>
      </c>
      <c r="BE113" s="8" t="str">
        <f t="shared" si="476"/>
        <v/>
      </c>
      <c r="BF113" s="6" t="str">
        <f t="shared" si="500"/>
        <v/>
      </c>
      <c r="BG113" s="7" t="str">
        <f t="shared" si="501"/>
        <v/>
      </c>
      <c r="BH113" s="12" t="str">
        <f t="shared" si="502"/>
        <v/>
      </c>
      <c r="BI113" s="11" t="str">
        <f t="shared" si="503"/>
        <v/>
      </c>
      <c r="BJ113" s="7" t="str">
        <f t="shared" si="504"/>
        <v/>
      </c>
      <c r="BK113" s="10" t="str">
        <f t="shared" si="505"/>
        <v/>
      </c>
      <c r="BL113" s="328" t="str">
        <f t="shared" si="506"/>
        <v/>
      </c>
      <c r="BM113" s="7" t="str">
        <f t="shared" si="507"/>
        <v/>
      </c>
      <c r="BN113" s="8" t="str">
        <f t="shared" si="508"/>
        <v/>
      </c>
      <c r="BO113" s="6" t="str">
        <f t="shared" si="509"/>
        <v/>
      </c>
      <c r="BP113" s="7" t="str">
        <f t="shared" si="510"/>
        <v/>
      </c>
      <c r="BQ113" s="7" t="str">
        <f t="shared" si="511"/>
        <v/>
      </c>
      <c r="BR113" s="8" t="str">
        <f t="shared" si="512"/>
        <v/>
      </c>
      <c r="BS113" s="6" t="str">
        <f t="shared" si="675"/>
        <v/>
      </c>
      <c r="BT113" s="7" t="str">
        <f t="shared" si="675"/>
        <v/>
      </c>
      <c r="BU113" s="12" t="str">
        <f t="shared" si="478"/>
        <v/>
      </c>
      <c r="BV113" s="11" t="str">
        <f t="shared" si="479"/>
        <v/>
      </c>
      <c r="BW113" s="7" t="str">
        <f t="shared" si="480"/>
        <v/>
      </c>
      <c r="BX113" s="10" t="str">
        <f t="shared" si="481"/>
        <v/>
      </c>
      <c r="BY113" s="328" t="str">
        <f t="shared" si="482"/>
        <v/>
      </c>
      <c r="BZ113" s="7" t="str">
        <f t="shared" si="483"/>
        <v/>
      </c>
      <c r="CA113" s="8" t="str">
        <f t="shared" si="484"/>
        <v/>
      </c>
      <c r="CB113" s="6" t="str">
        <f t="shared" si="513"/>
        <v/>
      </c>
      <c r="CC113" s="7" t="str">
        <f t="shared" si="514"/>
        <v/>
      </c>
      <c r="CD113" s="7" t="str">
        <f t="shared" si="515"/>
        <v/>
      </c>
      <c r="CE113" s="8" t="str">
        <f t="shared" si="516"/>
        <v/>
      </c>
      <c r="CF113" s="6" t="str">
        <f t="shared" si="517"/>
        <v/>
      </c>
      <c r="CG113" s="7" t="str">
        <f t="shared" si="518"/>
        <v/>
      </c>
      <c r="CH113" s="7" t="str">
        <f t="shared" si="519"/>
        <v/>
      </c>
      <c r="CI113" s="6" t="str">
        <f t="shared" si="485"/>
        <v/>
      </c>
      <c r="CJ113" s="7" t="str">
        <f t="shared" si="486"/>
        <v/>
      </c>
      <c r="CK113" s="10" t="str">
        <f t="shared" si="487"/>
        <v/>
      </c>
      <c r="CL113" s="328" t="str">
        <f t="shared" si="488"/>
        <v/>
      </c>
      <c r="CM113" s="7" t="str">
        <f t="shared" si="489"/>
        <v/>
      </c>
      <c r="CN113" s="8" t="str">
        <f t="shared" si="490"/>
        <v/>
      </c>
      <c r="CO113" s="296" t="str">
        <f t="shared" si="613"/>
        <v/>
      </c>
      <c r="CP113" s="6" t="str">
        <f t="shared" si="520"/>
        <v/>
      </c>
      <c r="CQ113" s="7" t="str">
        <f t="shared" si="521"/>
        <v/>
      </c>
      <c r="CR113" s="7" t="str">
        <f t="shared" si="522"/>
        <v/>
      </c>
      <c r="CS113" s="10" t="str">
        <f t="shared" si="523"/>
        <v/>
      </c>
      <c r="CT113" s="11" t="str">
        <f t="shared" si="524"/>
        <v/>
      </c>
      <c r="CU113" s="8" t="str">
        <f t="shared" si="525"/>
        <v/>
      </c>
      <c r="CV113" s="6" t="str">
        <f t="shared" si="526"/>
        <v/>
      </c>
      <c r="CW113" s="7" t="str">
        <f t="shared" si="527"/>
        <v/>
      </c>
      <c r="CX113" s="10" t="str">
        <f t="shared" si="528"/>
        <v/>
      </c>
      <c r="CY113" s="11" t="str">
        <f t="shared" si="529"/>
        <v/>
      </c>
      <c r="CZ113" s="7" t="str">
        <f t="shared" si="530"/>
        <v/>
      </c>
      <c r="DA113" s="8" t="str">
        <f t="shared" si="531"/>
        <v/>
      </c>
      <c r="DB113" s="6" t="str">
        <f t="shared" si="677"/>
        <v/>
      </c>
      <c r="DC113" s="7" t="str">
        <f t="shared" si="677"/>
        <v/>
      </c>
      <c r="DD113" s="12" t="str">
        <f t="shared" si="533"/>
        <v/>
      </c>
      <c r="DE113" s="11" t="str">
        <f t="shared" si="678"/>
        <v/>
      </c>
      <c r="DF113" s="7" t="str">
        <f t="shared" si="678"/>
        <v/>
      </c>
      <c r="DG113" s="12" t="str">
        <f t="shared" si="535"/>
        <v/>
      </c>
      <c r="DH113" s="174" t="str">
        <f t="shared" si="536"/>
        <v/>
      </c>
      <c r="DI113" s="6" t="str">
        <f t="shared" si="537"/>
        <v/>
      </c>
      <c r="DJ113" s="7" t="str">
        <f t="shared" si="538"/>
        <v/>
      </c>
      <c r="DK113" s="12" t="str">
        <f t="shared" si="539"/>
        <v/>
      </c>
      <c r="DL113" s="11" t="str">
        <f t="shared" si="540"/>
        <v/>
      </c>
      <c r="DM113" s="328" t="str">
        <f t="shared" si="541"/>
        <v/>
      </c>
      <c r="DN113" s="376" t="str">
        <f t="shared" si="542"/>
        <v/>
      </c>
      <c r="DO113" s="11" t="str">
        <f t="shared" si="543"/>
        <v/>
      </c>
      <c r="DP113" s="328" t="str">
        <f t="shared" si="544"/>
        <v/>
      </c>
      <c r="DQ113" s="13" t="str">
        <f t="shared" si="545"/>
        <v/>
      </c>
      <c r="DR113" s="328" t="str">
        <f t="shared" si="546"/>
        <v/>
      </c>
      <c r="DS113" s="7" t="str">
        <f t="shared" si="547"/>
        <v/>
      </c>
      <c r="DT113" s="7" t="str">
        <f t="shared" si="548"/>
        <v/>
      </c>
      <c r="DU113" s="7" t="str">
        <f t="shared" si="549"/>
        <v/>
      </c>
      <c r="DV113" s="7" t="str">
        <f t="shared" si="550"/>
        <v/>
      </c>
      <c r="DW113" s="7" t="str">
        <f t="shared" si="551"/>
        <v/>
      </c>
      <c r="DX113" s="296" t="str">
        <f t="shared" si="552"/>
        <v/>
      </c>
      <c r="DY113" s="11" t="str">
        <f t="shared" si="553"/>
        <v/>
      </c>
      <c r="DZ113" s="7" t="str">
        <f t="shared" si="554"/>
        <v/>
      </c>
      <c r="EA113" s="12" t="str">
        <f t="shared" si="555"/>
        <v/>
      </c>
      <c r="EB113" s="8" t="str">
        <f t="shared" si="556"/>
        <v/>
      </c>
      <c r="EC113" s="328" t="str">
        <f t="shared" si="557"/>
        <v/>
      </c>
      <c r="ED113" s="7" t="str">
        <f t="shared" si="558"/>
        <v/>
      </c>
      <c r="EE113" s="6" t="str">
        <f t="shared" si="559"/>
        <v/>
      </c>
      <c r="EF113" s="7" t="str">
        <f t="shared" si="560"/>
        <v/>
      </c>
      <c r="EG113" s="12" t="str">
        <f t="shared" si="561"/>
        <v/>
      </c>
      <c r="EH113" s="11" t="str">
        <f t="shared" si="562"/>
        <v/>
      </c>
      <c r="EI113" s="7" t="str">
        <f t="shared" si="563"/>
        <v/>
      </c>
      <c r="EJ113" s="8" t="str">
        <f t="shared" si="564"/>
        <v/>
      </c>
      <c r="EK113" s="491" t="str">
        <f t="shared" si="565"/>
        <v/>
      </c>
      <c r="EL113" s="493" t="str">
        <f t="shared" si="566"/>
        <v/>
      </c>
      <c r="EM113" s="6" t="str">
        <f t="shared" si="567"/>
        <v/>
      </c>
      <c r="EN113" s="7" t="str">
        <f t="shared" si="568"/>
        <v/>
      </c>
      <c r="EO113" s="12" t="str">
        <f t="shared" si="569"/>
        <v/>
      </c>
      <c r="EP113" s="11" t="str">
        <f t="shared" si="570"/>
        <v/>
      </c>
      <c r="EQ113" s="7" t="str">
        <f t="shared" si="571"/>
        <v/>
      </c>
      <c r="ER113" s="9" t="str">
        <f t="shared" si="572"/>
        <v/>
      </c>
      <c r="ES113" s="24" t="str">
        <f t="shared" si="573"/>
        <v/>
      </c>
      <c r="ET113" s="7" t="str">
        <f t="shared" si="574"/>
        <v/>
      </c>
      <c r="EU113" s="12" t="str">
        <f t="shared" si="575"/>
        <v/>
      </c>
      <c r="EV113" s="337" t="str">
        <f t="shared" si="620"/>
        <v/>
      </c>
      <c r="EW113" s="11" t="str">
        <f t="shared" si="621"/>
        <v/>
      </c>
      <c r="EX113" s="7" t="str">
        <f t="shared" si="622"/>
        <v/>
      </c>
      <c r="EY113" s="8" t="str">
        <f t="shared" si="576"/>
        <v/>
      </c>
      <c r="EZ113" s="123" t="str">
        <f t="shared" si="577"/>
        <v/>
      </c>
      <c r="FA113" s="328" t="str">
        <f t="shared" si="623"/>
        <v/>
      </c>
      <c r="FB113" s="7" t="str">
        <f t="shared" si="624"/>
        <v/>
      </c>
      <c r="FC113" s="8" t="str">
        <f t="shared" si="625"/>
        <v/>
      </c>
      <c r="FD113" s="6" t="str">
        <f t="shared" si="626"/>
        <v/>
      </c>
      <c r="FE113" s="7" t="str">
        <f t="shared" si="627"/>
        <v/>
      </c>
      <c r="FF113" s="9" t="str">
        <f t="shared" si="578"/>
        <v/>
      </c>
      <c r="FG113" s="328" t="str">
        <f t="shared" si="628"/>
        <v/>
      </c>
      <c r="FH113" s="7" t="str">
        <f t="shared" si="629"/>
        <v/>
      </c>
      <c r="FI113" s="12" t="str">
        <f t="shared" si="630"/>
        <v/>
      </c>
      <c r="FJ113" s="547" t="str">
        <f t="shared" si="579"/>
        <v/>
      </c>
      <c r="FK113" s="6" t="str">
        <f t="shared" si="631"/>
        <v/>
      </c>
      <c r="FL113" s="7" t="str">
        <f t="shared" si="491"/>
        <v/>
      </c>
      <c r="FM113" s="10" t="str">
        <f t="shared" si="492"/>
        <v/>
      </c>
      <c r="FN113" s="11" t="str">
        <f t="shared" si="493"/>
        <v/>
      </c>
      <c r="FO113" s="12" t="str">
        <f t="shared" si="632"/>
        <v/>
      </c>
      <c r="FP113" s="545" t="str">
        <f t="shared" si="494"/>
        <v/>
      </c>
      <c r="FQ113" s="328" t="str">
        <f t="shared" si="580"/>
        <v/>
      </c>
      <c r="FR113" s="12" t="str">
        <f t="shared" si="581"/>
        <v/>
      </c>
      <c r="FS113" s="11" t="str">
        <f t="shared" si="582"/>
        <v/>
      </c>
      <c r="FT113" s="8" t="str">
        <f t="shared" si="583"/>
        <v/>
      </c>
      <c r="FU113" s="6" t="str">
        <f t="shared" si="584"/>
        <v/>
      </c>
      <c r="FV113" s="7" t="str">
        <f t="shared" si="585"/>
        <v/>
      </c>
      <c r="FW113" s="10" t="str">
        <f t="shared" si="586"/>
        <v/>
      </c>
      <c r="FX113" s="11" t="str">
        <f t="shared" si="587"/>
        <v/>
      </c>
      <c r="FY113" s="12" t="str">
        <f t="shared" si="633"/>
        <v/>
      </c>
      <c r="FZ113" s="545" t="str">
        <f t="shared" si="588"/>
        <v/>
      </c>
      <c r="GA113" s="372" t="str">
        <f t="shared" si="589"/>
        <v/>
      </c>
      <c r="GB113" s="46" t="str">
        <f t="shared" si="590"/>
        <v/>
      </c>
      <c r="GC113" s="47" t="str">
        <f t="shared" si="591"/>
        <v/>
      </c>
      <c r="GD113" s="578" t="str">
        <f t="shared" si="592"/>
        <v/>
      </c>
      <c r="GE113" s="585" t="str">
        <f t="shared" si="593"/>
        <v/>
      </c>
      <c r="GF113" s="634" t="str">
        <f t="shared" si="594"/>
        <v/>
      </c>
      <c r="GG113" s="553" t="str">
        <f t="shared" si="634"/>
        <v/>
      </c>
      <c r="GH113" s="554" t="str">
        <f t="shared" si="635"/>
        <v/>
      </c>
      <c r="GI113" s="549" t="str">
        <f t="shared" si="636"/>
        <v/>
      </c>
      <c r="GJ113" s="296" t="str">
        <f t="shared" si="595"/>
        <v/>
      </c>
      <c r="GK113" s="337" t="str">
        <f t="shared" si="637"/>
        <v/>
      </c>
      <c r="GL113" s="337" t="str">
        <f t="shared" si="596"/>
        <v/>
      </c>
      <c r="GM113" s="372" t="str">
        <f t="shared" si="597"/>
        <v/>
      </c>
      <c r="GN113" s="548" t="str">
        <f t="shared" si="598"/>
        <v/>
      </c>
      <c r="GO113" s="6" t="str">
        <f t="shared" si="599"/>
        <v/>
      </c>
      <c r="GP113" s="10" t="str">
        <f t="shared" si="600"/>
        <v/>
      </c>
      <c r="GQ113" s="372" t="str">
        <f t="shared" si="601"/>
        <v/>
      </c>
      <c r="GR113" s="697" t="str">
        <f t="shared" si="602"/>
        <v/>
      </c>
      <c r="GS113" s="637" t="str">
        <f t="shared" si="638"/>
        <v/>
      </c>
      <c r="GT113" s="638" t="str">
        <f t="shared" si="639"/>
        <v/>
      </c>
      <c r="GU113" s="639" t="str">
        <f t="shared" si="640"/>
        <v/>
      </c>
      <c r="GV113" s="638" t="str">
        <f t="shared" si="603"/>
        <v/>
      </c>
      <c r="GW113" s="640" t="str">
        <f t="shared" si="641"/>
        <v/>
      </c>
      <c r="GX113" s="641" t="str">
        <f t="shared" si="642"/>
        <v/>
      </c>
      <c r="GY113" s="639" t="str">
        <f t="shared" si="643"/>
        <v/>
      </c>
      <c r="GZ113" s="640" t="str">
        <f t="shared" si="644"/>
        <v/>
      </c>
      <c r="HA113" s="637" t="str">
        <f t="shared" si="645"/>
        <v/>
      </c>
      <c r="HB113" s="7" t="str">
        <f t="shared" si="604"/>
        <v/>
      </c>
      <c r="HC113" s="638" t="str">
        <f t="shared" si="605"/>
        <v/>
      </c>
      <c r="HD113" s="682" t="str">
        <f t="shared" si="606"/>
        <v/>
      </c>
      <c r="HE113" s="639" t="str">
        <f t="shared" si="646"/>
        <v/>
      </c>
      <c r="HF113" s="7" t="str">
        <f t="shared" si="647"/>
        <v/>
      </c>
      <c r="HG113" s="638" t="str">
        <f t="shared" si="607"/>
        <v/>
      </c>
      <c r="HH113" s="644" t="str">
        <f t="shared" si="608"/>
        <v/>
      </c>
      <c r="HI113" s="596" t="str">
        <f t="shared" si="609"/>
        <v/>
      </c>
      <c r="HK113" s="584" t="str">
        <f t="shared" si="619"/>
        <v/>
      </c>
      <c r="HL113" s="583" t="str">
        <f t="shared" si="676"/>
        <v/>
      </c>
      <c r="HM113" s="643" t="str">
        <f t="shared" si="679"/>
        <v/>
      </c>
      <c r="HN113" s="660" t="str">
        <f t="shared" si="679"/>
        <v/>
      </c>
      <c r="HO113" s="661" t="str">
        <f t="shared" si="679"/>
        <v/>
      </c>
      <c r="HP113" s="656" t="str">
        <f t="shared" si="679"/>
        <v/>
      </c>
      <c r="HQ113" s="660" t="str">
        <f t="shared" si="679"/>
        <v/>
      </c>
      <c r="HR113" s="671" t="str">
        <f t="shared" si="679"/>
        <v/>
      </c>
      <c r="HS113" s="655" t="str">
        <f t="shared" si="679"/>
        <v/>
      </c>
      <c r="HT113" s="648" t="str">
        <f t="shared" si="679"/>
        <v/>
      </c>
      <c r="HU113" s="649" t="str">
        <f t="shared" si="679"/>
        <v/>
      </c>
      <c r="HV113" s="650" t="str">
        <f t="shared" si="679"/>
        <v/>
      </c>
      <c r="HW113" s="648" t="str">
        <f t="shared" si="679"/>
        <v/>
      </c>
      <c r="HX113" s="649" t="str">
        <f t="shared" si="679"/>
        <v/>
      </c>
      <c r="HY113" s="650" t="str">
        <f t="shared" si="679"/>
        <v/>
      </c>
      <c r="HZ113" s="648" t="str">
        <f t="shared" si="679"/>
        <v/>
      </c>
      <c r="IA113" s="649" t="str">
        <f t="shared" si="679"/>
        <v/>
      </c>
      <c r="IB113" s="716"/>
    </row>
    <row r="114" spans="2:236" ht="15" customHeight="1" x14ac:dyDescent="0.25">
      <c r="B114" s="143"/>
      <c r="C114" s="144"/>
      <c r="D114" s="145"/>
      <c r="E114" s="146"/>
      <c r="F114" s="144"/>
      <c r="G114" s="147"/>
      <c r="H114" s="146"/>
      <c r="I114" s="144"/>
      <c r="J114" s="306"/>
      <c r="K114" s="699" t="str">
        <f t="shared" si="610"/>
        <v/>
      </c>
      <c r="M114" s="292" t="str">
        <f t="shared" si="648"/>
        <v/>
      </c>
      <c r="N114" s="24" t="str">
        <f t="shared" si="649"/>
        <v/>
      </c>
      <c r="O114" s="7" t="str">
        <f t="shared" si="650"/>
        <v/>
      </c>
      <c r="P114" s="12" t="str">
        <f t="shared" si="651"/>
        <v/>
      </c>
      <c r="Q114" s="11" t="str">
        <f t="shared" si="473"/>
        <v/>
      </c>
      <c r="R114" s="7" t="str">
        <f t="shared" si="652"/>
        <v/>
      </c>
      <c r="S114" s="8" t="str">
        <f t="shared" si="653"/>
        <v/>
      </c>
      <c r="T114" s="6" t="str">
        <f t="shared" si="654"/>
        <v/>
      </c>
      <c r="U114" s="7" t="str">
        <f t="shared" si="655"/>
        <v/>
      </c>
      <c r="V114" s="10" t="str">
        <f t="shared" si="656"/>
        <v/>
      </c>
      <c r="W114" s="11" t="str">
        <f t="shared" si="614"/>
        <v/>
      </c>
      <c r="X114" s="7" t="str">
        <f t="shared" si="657"/>
        <v/>
      </c>
      <c r="Y114" s="9" t="str">
        <f t="shared" si="611"/>
        <v/>
      </c>
      <c r="Z114" s="24" t="str">
        <f t="shared" si="658"/>
        <v/>
      </c>
      <c r="AA114" s="7" t="str">
        <f t="shared" si="659"/>
        <v/>
      </c>
      <c r="AB114" s="7" t="str">
        <f t="shared" si="660"/>
        <v/>
      </c>
      <c r="AC114" s="10" t="str">
        <f t="shared" si="661"/>
        <v/>
      </c>
      <c r="AD114" s="11" t="str">
        <f t="shared" si="662"/>
        <v/>
      </c>
      <c r="AE114" s="7" t="str">
        <f t="shared" si="663"/>
        <v/>
      </c>
      <c r="AF114" s="12" t="str">
        <f t="shared" si="664"/>
        <v/>
      </c>
      <c r="AG114" s="6" t="str">
        <f t="shared" si="665"/>
        <v/>
      </c>
      <c r="AH114" s="12" t="str">
        <f t="shared" si="666"/>
        <v/>
      </c>
      <c r="AI114" s="11" t="str">
        <f t="shared" si="667"/>
        <v/>
      </c>
      <c r="AJ114" s="8" t="str">
        <f t="shared" si="668"/>
        <v/>
      </c>
      <c r="AK114" s="6" t="str">
        <f t="shared" si="669"/>
        <v/>
      </c>
      <c r="AL114" s="7" t="str">
        <f t="shared" si="670"/>
        <v/>
      </c>
      <c r="AM114" s="8" t="str">
        <f t="shared" si="671"/>
        <v/>
      </c>
      <c r="AN114" s="6" t="str">
        <f t="shared" si="672"/>
        <v/>
      </c>
      <c r="AO114" s="10" t="str">
        <f t="shared" si="673"/>
        <v/>
      </c>
      <c r="AP114" s="11" t="str">
        <f t="shared" si="674"/>
        <v/>
      </c>
      <c r="AQ114" s="8" t="str">
        <f t="shared" si="612"/>
        <v/>
      </c>
      <c r="AS114" s="123" t="str">
        <f t="shared" si="496"/>
        <v/>
      </c>
      <c r="AT114" s="175" t="str">
        <f t="shared" si="617"/>
        <v/>
      </c>
      <c r="AV114" s="292" t="str">
        <f t="shared" si="497"/>
        <v/>
      </c>
      <c r="AW114" s="709"/>
      <c r="AX114" s="710"/>
      <c r="AY114" s="711"/>
      <c r="AZ114" s="565" t="str">
        <f t="shared" si="498"/>
        <v/>
      </c>
      <c r="BA114" s="564" t="str">
        <f t="shared" si="499"/>
        <v/>
      </c>
      <c r="BB114" s="372" t="str">
        <f t="shared" si="474"/>
        <v/>
      </c>
      <c r="BC114" s="11"/>
      <c r="BD114" s="7" t="str">
        <f t="shared" si="475"/>
        <v/>
      </c>
      <c r="BE114" s="8" t="str">
        <f t="shared" si="476"/>
        <v/>
      </c>
      <c r="BF114" s="6" t="str">
        <f t="shared" si="500"/>
        <v/>
      </c>
      <c r="BG114" s="7" t="str">
        <f t="shared" si="501"/>
        <v/>
      </c>
      <c r="BH114" s="12" t="str">
        <f t="shared" si="502"/>
        <v/>
      </c>
      <c r="BI114" s="11" t="str">
        <f t="shared" si="503"/>
        <v/>
      </c>
      <c r="BJ114" s="7" t="str">
        <f t="shared" si="504"/>
        <v/>
      </c>
      <c r="BK114" s="10" t="str">
        <f t="shared" si="505"/>
        <v/>
      </c>
      <c r="BL114" s="328" t="str">
        <f t="shared" si="506"/>
        <v/>
      </c>
      <c r="BM114" s="7" t="str">
        <f t="shared" si="507"/>
        <v/>
      </c>
      <c r="BN114" s="8" t="str">
        <f t="shared" si="508"/>
        <v/>
      </c>
      <c r="BO114" s="6" t="str">
        <f t="shared" si="509"/>
        <v/>
      </c>
      <c r="BP114" s="7" t="str">
        <f t="shared" si="510"/>
        <v/>
      </c>
      <c r="BQ114" s="7" t="str">
        <f t="shared" si="511"/>
        <v/>
      </c>
      <c r="BR114" s="8" t="str">
        <f t="shared" si="512"/>
        <v/>
      </c>
      <c r="BS114" s="6" t="str">
        <f t="shared" si="675"/>
        <v/>
      </c>
      <c r="BT114" s="7" t="str">
        <f t="shared" si="675"/>
        <v/>
      </c>
      <c r="BU114" s="12" t="str">
        <f t="shared" si="478"/>
        <v/>
      </c>
      <c r="BV114" s="11" t="str">
        <f t="shared" si="479"/>
        <v/>
      </c>
      <c r="BW114" s="7" t="str">
        <f t="shared" si="480"/>
        <v/>
      </c>
      <c r="BX114" s="10" t="str">
        <f t="shared" si="481"/>
        <v/>
      </c>
      <c r="BY114" s="328" t="str">
        <f t="shared" si="482"/>
        <v/>
      </c>
      <c r="BZ114" s="7" t="str">
        <f t="shared" si="483"/>
        <v/>
      </c>
      <c r="CA114" s="8" t="str">
        <f t="shared" si="484"/>
        <v/>
      </c>
      <c r="CB114" s="6" t="str">
        <f t="shared" si="513"/>
        <v/>
      </c>
      <c r="CC114" s="7" t="str">
        <f t="shared" si="514"/>
        <v/>
      </c>
      <c r="CD114" s="7" t="str">
        <f t="shared" si="515"/>
        <v/>
      </c>
      <c r="CE114" s="8" t="str">
        <f t="shared" si="516"/>
        <v/>
      </c>
      <c r="CF114" s="6" t="str">
        <f t="shared" si="517"/>
        <v/>
      </c>
      <c r="CG114" s="7" t="str">
        <f t="shared" si="518"/>
        <v/>
      </c>
      <c r="CH114" s="7" t="str">
        <f t="shared" si="519"/>
        <v/>
      </c>
      <c r="CI114" s="6" t="str">
        <f t="shared" si="485"/>
        <v/>
      </c>
      <c r="CJ114" s="7" t="str">
        <f t="shared" si="486"/>
        <v/>
      </c>
      <c r="CK114" s="10" t="str">
        <f t="shared" si="487"/>
        <v/>
      </c>
      <c r="CL114" s="328" t="str">
        <f t="shared" si="488"/>
        <v/>
      </c>
      <c r="CM114" s="7" t="str">
        <f t="shared" si="489"/>
        <v/>
      </c>
      <c r="CN114" s="8" t="str">
        <f t="shared" si="490"/>
        <v/>
      </c>
      <c r="CO114" s="296" t="str">
        <f t="shared" si="613"/>
        <v/>
      </c>
      <c r="CP114" s="6" t="str">
        <f t="shared" si="520"/>
        <v/>
      </c>
      <c r="CQ114" s="7" t="str">
        <f t="shared" si="521"/>
        <v/>
      </c>
      <c r="CR114" s="7" t="str">
        <f t="shared" si="522"/>
        <v/>
      </c>
      <c r="CS114" s="10" t="str">
        <f t="shared" si="523"/>
        <v/>
      </c>
      <c r="CT114" s="11" t="str">
        <f t="shared" si="524"/>
        <v/>
      </c>
      <c r="CU114" s="8" t="str">
        <f t="shared" si="525"/>
        <v/>
      </c>
      <c r="CV114" s="6" t="str">
        <f t="shared" si="526"/>
        <v/>
      </c>
      <c r="CW114" s="7" t="str">
        <f t="shared" si="527"/>
        <v/>
      </c>
      <c r="CX114" s="10" t="str">
        <f t="shared" si="528"/>
        <v/>
      </c>
      <c r="CY114" s="11" t="str">
        <f t="shared" si="529"/>
        <v/>
      </c>
      <c r="CZ114" s="7" t="str">
        <f t="shared" si="530"/>
        <v/>
      </c>
      <c r="DA114" s="8" t="str">
        <f t="shared" si="531"/>
        <v/>
      </c>
      <c r="DB114" s="6" t="str">
        <f t="shared" si="677"/>
        <v/>
      </c>
      <c r="DC114" s="7" t="str">
        <f t="shared" si="677"/>
        <v/>
      </c>
      <c r="DD114" s="12" t="str">
        <f t="shared" si="533"/>
        <v/>
      </c>
      <c r="DE114" s="11" t="str">
        <f t="shared" si="678"/>
        <v/>
      </c>
      <c r="DF114" s="7" t="str">
        <f t="shared" si="678"/>
        <v/>
      </c>
      <c r="DG114" s="12" t="str">
        <f t="shared" si="535"/>
        <v/>
      </c>
      <c r="DH114" s="174" t="str">
        <f t="shared" si="536"/>
        <v/>
      </c>
      <c r="DI114" s="6" t="str">
        <f t="shared" si="537"/>
        <v/>
      </c>
      <c r="DJ114" s="7" t="str">
        <f t="shared" si="538"/>
        <v/>
      </c>
      <c r="DK114" s="12" t="str">
        <f t="shared" si="539"/>
        <v/>
      </c>
      <c r="DL114" s="11" t="str">
        <f t="shared" si="540"/>
        <v/>
      </c>
      <c r="DM114" s="328" t="str">
        <f t="shared" si="541"/>
        <v/>
      </c>
      <c r="DN114" s="376" t="str">
        <f t="shared" si="542"/>
        <v/>
      </c>
      <c r="DO114" s="11" t="str">
        <f t="shared" si="543"/>
        <v/>
      </c>
      <c r="DP114" s="328" t="str">
        <f t="shared" si="544"/>
        <v/>
      </c>
      <c r="DQ114" s="13" t="str">
        <f t="shared" si="545"/>
        <v/>
      </c>
      <c r="DR114" s="328" t="str">
        <f t="shared" si="546"/>
        <v/>
      </c>
      <c r="DS114" s="7" t="str">
        <f t="shared" si="547"/>
        <v/>
      </c>
      <c r="DT114" s="7" t="str">
        <f t="shared" si="548"/>
        <v/>
      </c>
      <c r="DU114" s="7" t="str">
        <f t="shared" si="549"/>
        <v/>
      </c>
      <c r="DV114" s="7" t="str">
        <f t="shared" si="550"/>
        <v/>
      </c>
      <c r="DW114" s="7" t="str">
        <f t="shared" si="551"/>
        <v/>
      </c>
      <c r="DX114" s="296" t="str">
        <f t="shared" si="552"/>
        <v/>
      </c>
      <c r="DY114" s="11" t="str">
        <f t="shared" si="553"/>
        <v/>
      </c>
      <c r="DZ114" s="7" t="str">
        <f t="shared" si="554"/>
        <v/>
      </c>
      <c r="EA114" s="12" t="str">
        <f t="shared" si="555"/>
        <v/>
      </c>
      <c r="EB114" s="8" t="str">
        <f t="shared" si="556"/>
        <v/>
      </c>
      <c r="EC114" s="328" t="str">
        <f t="shared" si="557"/>
        <v/>
      </c>
      <c r="ED114" s="7" t="str">
        <f t="shared" si="558"/>
        <v/>
      </c>
      <c r="EE114" s="6" t="str">
        <f t="shared" si="559"/>
        <v/>
      </c>
      <c r="EF114" s="7" t="str">
        <f t="shared" si="560"/>
        <v/>
      </c>
      <c r="EG114" s="12" t="str">
        <f t="shared" si="561"/>
        <v/>
      </c>
      <c r="EH114" s="11" t="str">
        <f t="shared" si="562"/>
        <v/>
      </c>
      <c r="EI114" s="7" t="str">
        <f t="shared" si="563"/>
        <v/>
      </c>
      <c r="EJ114" s="8" t="str">
        <f t="shared" si="564"/>
        <v/>
      </c>
      <c r="EK114" s="491" t="str">
        <f t="shared" si="565"/>
        <v/>
      </c>
      <c r="EL114" s="493" t="str">
        <f t="shared" si="566"/>
        <v/>
      </c>
      <c r="EM114" s="6" t="str">
        <f t="shared" si="567"/>
        <v/>
      </c>
      <c r="EN114" s="7" t="str">
        <f t="shared" si="568"/>
        <v/>
      </c>
      <c r="EO114" s="12" t="str">
        <f t="shared" si="569"/>
        <v/>
      </c>
      <c r="EP114" s="11" t="str">
        <f t="shared" si="570"/>
        <v/>
      </c>
      <c r="EQ114" s="7" t="str">
        <f t="shared" si="571"/>
        <v/>
      </c>
      <c r="ER114" s="9" t="str">
        <f t="shared" si="572"/>
        <v/>
      </c>
      <c r="ES114" s="24" t="str">
        <f t="shared" si="573"/>
        <v/>
      </c>
      <c r="ET114" s="7" t="str">
        <f t="shared" si="574"/>
        <v/>
      </c>
      <c r="EU114" s="12" t="str">
        <f t="shared" si="575"/>
        <v/>
      </c>
      <c r="EV114" s="337" t="str">
        <f t="shared" si="620"/>
        <v/>
      </c>
      <c r="EW114" s="11" t="str">
        <f t="shared" si="621"/>
        <v/>
      </c>
      <c r="EX114" s="7" t="str">
        <f t="shared" si="622"/>
        <v/>
      </c>
      <c r="EY114" s="8" t="str">
        <f t="shared" si="576"/>
        <v/>
      </c>
      <c r="EZ114" s="123" t="str">
        <f t="shared" si="577"/>
        <v/>
      </c>
      <c r="FA114" s="328" t="str">
        <f t="shared" si="623"/>
        <v/>
      </c>
      <c r="FB114" s="7" t="str">
        <f t="shared" si="624"/>
        <v/>
      </c>
      <c r="FC114" s="8" t="str">
        <f t="shared" si="625"/>
        <v/>
      </c>
      <c r="FD114" s="6" t="str">
        <f t="shared" si="626"/>
        <v/>
      </c>
      <c r="FE114" s="7" t="str">
        <f t="shared" si="627"/>
        <v/>
      </c>
      <c r="FF114" s="9" t="str">
        <f t="shared" si="578"/>
        <v/>
      </c>
      <c r="FG114" s="328" t="str">
        <f t="shared" si="628"/>
        <v/>
      </c>
      <c r="FH114" s="7" t="str">
        <f t="shared" si="629"/>
        <v/>
      </c>
      <c r="FI114" s="12" t="str">
        <f t="shared" si="630"/>
        <v/>
      </c>
      <c r="FJ114" s="547" t="str">
        <f t="shared" si="579"/>
        <v/>
      </c>
      <c r="FK114" s="6" t="str">
        <f t="shared" si="631"/>
        <v/>
      </c>
      <c r="FL114" s="7" t="str">
        <f t="shared" si="491"/>
        <v/>
      </c>
      <c r="FM114" s="10" t="str">
        <f t="shared" si="492"/>
        <v/>
      </c>
      <c r="FN114" s="11" t="str">
        <f t="shared" si="493"/>
        <v/>
      </c>
      <c r="FO114" s="12" t="str">
        <f t="shared" si="632"/>
        <v/>
      </c>
      <c r="FP114" s="545" t="str">
        <f t="shared" si="494"/>
        <v/>
      </c>
      <c r="FQ114" s="328" t="str">
        <f t="shared" si="580"/>
        <v/>
      </c>
      <c r="FR114" s="12" t="str">
        <f t="shared" si="581"/>
        <v/>
      </c>
      <c r="FS114" s="11" t="str">
        <f t="shared" si="582"/>
        <v/>
      </c>
      <c r="FT114" s="8" t="str">
        <f t="shared" si="583"/>
        <v/>
      </c>
      <c r="FU114" s="6" t="str">
        <f t="shared" si="584"/>
        <v/>
      </c>
      <c r="FV114" s="7" t="str">
        <f t="shared" si="585"/>
        <v/>
      </c>
      <c r="FW114" s="10" t="str">
        <f t="shared" si="586"/>
        <v/>
      </c>
      <c r="FX114" s="11" t="str">
        <f t="shared" si="587"/>
        <v/>
      </c>
      <c r="FY114" s="12" t="str">
        <f t="shared" si="633"/>
        <v/>
      </c>
      <c r="FZ114" s="545" t="str">
        <f t="shared" si="588"/>
        <v/>
      </c>
      <c r="GA114" s="372" t="str">
        <f t="shared" si="589"/>
        <v/>
      </c>
      <c r="GB114" s="46" t="str">
        <f t="shared" si="590"/>
        <v/>
      </c>
      <c r="GC114" s="47" t="str">
        <f t="shared" si="591"/>
        <v/>
      </c>
      <c r="GD114" s="578" t="str">
        <f t="shared" si="592"/>
        <v/>
      </c>
      <c r="GE114" s="585" t="str">
        <f t="shared" si="593"/>
        <v/>
      </c>
      <c r="GF114" s="634" t="str">
        <f t="shared" si="594"/>
        <v/>
      </c>
      <c r="GG114" s="553" t="str">
        <f t="shared" si="634"/>
        <v/>
      </c>
      <c r="GH114" s="554" t="str">
        <f t="shared" si="635"/>
        <v/>
      </c>
      <c r="GI114" s="549" t="str">
        <f t="shared" si="636"/>
        <v/>
      </c>
      <c r="GJ114" s="296" t="str">
        <f t="shared" si="595"/>
        <v/>
      </c>
      <c r="GK114" s="337" t="str">
        <f t="shared" si="637"/>
        <v/>
      </c>
      <c r="GL114" s="337" t="str">
        <f t="shared" si="596"/>
        <v/>
      </c>
      <c r="GM114" s="372" t="str">
        <f t="shared" si="597"/>
        <v/>
      </c>
      <c r="GN114" s="548" t="str">
        <f t="shared" si="598"/>
        <v/>
      </c>
      <c r="GO114" s="6" t="str">
        <f t="shared" si="599"/>
        <v/>
      </c>
      <c r="GP114" s="10" t="str">
        <f t="shared" si="600"/>
        <v/>
      </c>
      <c r="GQ114" s="372" t="str">
        <f t="shared" si="601"/>
        <v/>
      </c>
      <c r="GR114" s="697" t="str">
        <f t="shared" si="602"/>
        <v/>
      </c>
      <c r="GS114" s="637" t="str">
        <f t="shared" si="638"/>
        <v/>
      </c>
      <c r="GT114" s="638" t="str">
        <f t="shared" si="639"/>
        <v/>
      </c>
      <c r="GU114" s="639" t="str">
        <f t="shared" si="640"/>
        <v/>
      </c>
      <c r="GV114" s="638" t="str">
        <f t="shared" si="603"/>
        <v/>
      </c>
      <c r="GW114" s="640" t="str">
        <f t="shared" si="641"/>
        <v/>
      </c>
      <c r="GX114" s="641" t="str">
        <f t="shared" si="642"/>
        <v/>
      </c>
      <c r="GY114" s="639" t="str">
        <f t="shared" si="643"/>
        <v/>
      </c>
      <c r="GZ114" s="640" t="str">
        <f t="shared" si="644"/>
        <v/>
      </c>
      <c r="HA114" s="637" t="str">
        <f t="shared" si="645"/>
        <v/>
      </c>
      <c r="HB114" s="7" t="str">
        <f t="shared" si="604"/>
        <v/>
      </c>
      <c r="HC114" s="638" t="str">
        <f t="shared" si="605"/>
        <v/>
      </c>
      <c r="HD114" s="682" t="str">
        <f t="shared" si="606"/>
        <v/>
      </c>
      <c r="HE114" s="639" t="str">
        <f t="shared" si="646"/>
        <v/>
      </c>
      <c r="HF114" s="7" t="str">
        <f t="shared" si="647"/>
        <v/>
      </c>
      <c r="HG114" s="638" t="str">
        <f t="shared" si="607"/>
        <v/>
      </c>
      <c r="HH114" s="644" t="str">
        <f t="shared" si="608"/>
        <v/>
      </c>
      <c r="HI114" s="596" t="str">
        <f t="shared" si="609"/>
        <v/>
      </c>
      <c r="HK114" s="584" t="str">
        <f t="shared" si="619"/>
        <v/>
      </c>
      <c r="HL114" s="583" t="str">
        <f t="shared" si="676"/>
        <v/>
      </c>
      <c r="HM114" s="643" t="str">
        <f t="shared" si="679"/>
        <v/>
      </c>
      <c r="HN114" s="660" t="str">
        <f t="shared" si="679"/>
        <v/>
      </c>
      <c r="HO114" s="661" t="str">
        <f t="shared" si="679"/>
        <v/>
      </c>
      <c r="HP114" s="656" t="str">
        <f t="shared" si="679"/>
        <v/>
      </c>
      <c r="HQ114" s="660" t="str">
        <f t="shared" si="679"/>
        <v/>
      </c>
      <c r="HR114" s="671" t="str">
        <f t="shared" si="679"/>
        <v/>
      </c>
      <c r="HS114" s="655" t="str">
        <f t="shared" si="679"/>
        <v/>
      </c>
      <c r="HT114" s="648" t="str">
        <f t="shared" si="679"/>
        <v/>
      </c>
      <c r="HU114" s="649" t="str">
        <f t="shared" si="679"/>
        <v/>
      </c>
      <c r="HV114" s="650" t="str">
        <f t="shared" si="679"/>
        <v/>
      </c>
      <c r="HW114" s="648" t="str">
        <f t="shared" si="679"/>
        <v/>
      </c>
      <c r="HX114" s="649" t="str">
        <f t="shared" si="679"/>
        <v/>
      </c>
      <c r="HY114" s="650" t="str">
        <f t="shared" si="679"/>
        <v/>
      </c>
      <c r="HZ114" s="648" t="str">
        <f t="shared" si="679"/>
        <v/>
      </c>
      <c r="IA114" s="649" t="str">
        <f t="shared" si="679"/>
        <v/>
      </c>
      <c r="IB114" s="716"/>
    </row>
    <row r="115" spans="2:236" ht="15" customHeight="1" x14ac:dyDescent="0.25">
      <c r="B115" s="143"/>
      <c r="C115" s="144"/>
      <c r="D115" s="145"/>
      <c r="E115" s="146"/>
      <c r="F115" s="144"/>
      <c r="G115" s="147"/>
      <c r="H115" s="146"/>
      <c r="I115" s="144"/>
      <c r="J115" s="306"/>
      <c r="K115" s="699" t="str">
        <f t="shared" si="610"/>
        <v/>
      </c>
      <c r="M115" s="292" t="str">
        <f t="shared" si="648"/>
        <v/>
      </c>
      <c r="N115" s="24" t="str">
        <f t="shared" si="649"/>
        <v/>
      </c>
      <c r="O115" s="7" t="str">
        <f t="shared" si="650"/>
        <v/>
      </c>
      <c r="P115" s="12" t="str">
        <f t="shared" si="651"/>
        <v/>
      </c>
      <c r="Q115" s="11" t="str">
        <f t="shared" si="473"/>
        <v/>
      </c>
      <c r="R115" s="7" t="str">
        <f t="shared" si="652"/>
        <v/>
      </c>
      <c r="S115" s="8" t="str">
        <f t="shared" si="653"/>
        <v/>
      </c>
      <c r="T115" s="6" t="str">
        <f t="shared" si="654"/>
        <v/>
      </c>
      <c r="U115" s="7" t="str">
        <f t="shared" si="655"/>
        <v/>
      </c>
      <c r="V115" s="10" t="str">
        <f t="shared" si="656"/>
        <v/>
      </c>
      <c r="W115" s="11" t="str">
        <f t="shared" si="614"/>
        <v/>
      </c>
      <c r="X115" s="7" t="str">
        <f t="shared" si="657"/>
        <v/>
      </c>
      <c r="Y115" s="9" t="str">
        <f t="shared" si="611"/>
        <v/>
      </c>
      <c r="Z115" s="24" t="str">
        <f t="shared" si="658"/>
        <v/>
      </c>
      <c r="AA115" s="7" t="str">
        <f t="shared" si="659"/>
        <v/>
      </c>
      <c r="AB115" s="7" t="str">
        <f t="shared" si="660"/>
        <v/>
      </c>
      <c r="AC115" s="10" t="str">
        <f t="shared" si="661"/>
        <v/>
      </c>
      <c r="AD115" s="11" t="str">
        <f t="shared" si="662"/>
        <v/>
      </c>
      <c r="AE115" s="7" t="str">
        <f t="shared" si="663"/>
        <v/>
      </c>
      <c r="AF115" s="12" t="str">
        <f t="shared" si="664"/>
        <v/>
      </c>
      <c r="AG115" s="6" t="str">
        <f t="shared" si="665"/>
        <v/>
      </c>
      <c r="AH115" s="12" t="str">
        <f t="shared" si="666"/>
        <v/>
      </c>
      <c r="AI115" s="11" t="str">
        <f t="shared" si="667"/>
        <v/>
      </c>
      <c r="AJ115" s="8" t="str">
        <f t="shared" si="668"/>
        <v/>
      </c>
      <c r="AK115" s="6" t="str">
        <f t="shared" si="669"/>
        <v/>
      </c>
      <c r="AL115" s="7" t="str">
        <f t="shared" si="670"/>
        <v/>
      </c>
      <c r="AM115" s="8" t="str">
        <f t="shared" si="671"/>
        <v/>
      </c>
      <c r="AN115" s="6" t="str">
        <f t="shared" si="672"/>
        <v/>
      </c>
      <c r="AO115" s="10" t="str">
        <f t="shared" si="673"/>
        <v/>
      </c>
      <c r="AP115" s="11" t="str">
        <f t="shared" si="674"/>
        <v/>
      </c>
      <c r="AQ115" s="8" t="str">
        <f t="shared" si="612"/>
        <v/>
      </c>
      <c r="AS115" s="123" t="str">
        <f t="shared" si="496"/>
        <v/>
      </c>
      <c r="AT115" s="175" t="str">
        <f t="shared" si="617"/>
        <v/>
      </c>
      <c r="AV115" s="292" t="str">
        <f t="shared" si="497"/>
        <v/>
      </c>
      <c r="AW115" s="709"/>
      <c r="AX115" s="710"/>
      <c r="AY115" s="711"/>
      <c r="AZ115" s="565" t="str">
        <f t="shared" si="498"/>
        <v/>
      </c>
      <c r="BA115" s="564" t="str">
        <f t="shared" si="499"/>
        <v/>
      </c>
      <c r="BB115" s="372" t="str">
        <f t="shared" si="474"/>
        <v/>
      </c>
      <c r="BC115" s="11"/>
      <c r="BD115" s="7" t="str">
        <f t="shared" si="475"/>
        <v/>
      </c>
      <c r="BE115" s="8" t="str">
        <f t="shared" si="476"/>
        <v/>
      </c>
      <c r="BF115" s="6" t="str">
        <f t="shared" si="500"/>
        <v/>
      </c>
      <c r="BG115" s="7" t="str">
        <f t="shared" si="501"/>
        <v/>
      </c>
      <c r="BH115" s="12" t="str">
        <f t="shared" si="502"/>
        <v/>
      </c>
      <c r="BI115" s="11" t="str">
        <f t="shared" si="503"/>
        <v/>
      </c>
      <c r="BJ115" s="7" t="str">
        <f t="shared" si="504"/>
        <v/>
      </c>
      <c r="BK115" s="10" t="str">
        <f t="shared" si="505"/>
        <v/>
      </c>
      <c r="BL115" s="328" t="str">
        <f t="shared" si="506"/>
        <v/>
      </c>
      <c r="BM115" s="7" t="str">
        <f t="shared" si="507"/>
        <v/>
      </c>
      <c r="BN115" s="8" t="str">
        <f t="shared" si="508"/>
        <v/>
      </c>
      <c r="BO115" s="6" t="str">
        <f t="shared" si="509"/>
        <v/>
      </c>
      <c r="BP115" s="7" t="str">
        <f t="shared" si="510"/>
        <v/>
      </c>
      <c r="BQ115" s="7" t="str">
        <f t="shared" si="511"/>
        <v/>
      </c>
      <c r="BR115" s="8" t="str">
        <f t="shared" si="512"/>
        <v/>
      </c>
      <c r="BS115" s="6" t="str">
        <f t="shared" si="675"/>
        <v/>
      </c>
      <c r="BT115" s="7" t="str">
        <f t="shared" si="675"/>
        <v/>
      </c>
      <c r="BU115" s="12" t="str">
        <f t="shared" si="478"/>
        <v/>
      </c>
      <c r="BV115" s="11" t="str">
        <f t="shared" si="479"/>
        <v/>
      </c>
      <c r="BW115" s="7" t="str">
        <f t="shared" si="480"/>
        <v/>
      </c>
      <c r="BX115" s="10" t="str">
        <f t="shared" si="481"/>
        <v/>
      </c>
      <c r="BY115" s="328" t="str">
        <f t="shared" si="482"/>
        <v/>
      </c>
      <c r="BZ115" s="7" t="str">
        <f t="shared" si="483"/>
        <v/>
      </c>
      <c r="CA115" s="8" t="str">
        <f t="shared" si="484"/>
        <v/>
      </c>
      <c r="CB115" s="6" t="str">
        <f t="shared" si="513"/>
        <v/>
      </c>
      <c r="CC115" s="7" t="str">
        <f t="shared" si="514"/>
        <v/>
      </c>
      <c r="CD115" s="7" t="str">
        <f t="shared" si="515"/>
        <v/>
      </c>
      <c r="CE115" s="8" t="str">
        <f t="shared" si="516"/>
        <v/>
      </c>
      <c r="CF115" s="6" t="str">
        <f t="shared" si="517"/>
        <v/>
      </c>
      <c r="CG115" s="7" t="str">
        <f t="shared" si="518"/>
        <v/>
      </c>
      <c r="CH115" s="7" t="str">
        <f t="shared" si="519"/>
        <v/>
      </c>
      <c r="CI115" s="6" t="str">
        <f t="shared" si="485"/>
        <v/>
      </c>
      <c r="CJ115" s="7" t="str">
        <f t="shared" si="486"/>
        <v/>
      </c>
      <c r="CK115" s="10" t="str">
        <f t="shared" si="487"/>
        <v/>
      </c>
      <c r="CL115" s="328" t="str">
        <f t="shared" si="488"/>
        <v/>
      </c>
      <c r="CM115" s="7" t="str">
        <f t="shared" si="489"/>
        <v/>
      </c>
      <c r="CN115" s="8" t="str">
        <f t="shared" si="490"/>
        <v/>
      </c>
      <c r="CO115" s="296" t="str">
        <f t="shared" si="613"/>
        <v/>
      </c>
      <c r="CP115" s="6" t="str">
        <f t="shared" si="520"/>
        <v/>
      </c>
      <c r="CQ115" s="7" t="str">
        <f t="shared" si="521"/>
        <v/>
      </c>
      <c r="CR115" s="7" t="str">
        <f t="shared" si="522"/>
        <v/>
      </c>
      <c r="CS115" s="10" t="str">
        <f t="shared" si="523"/>
        <v/>
      </c>
      <c r="CT115" s="11" t="str">
        <f t="shared" si="524"/>
        <v/>
      </c>
      <c r="CU115" s="8" t="str">
        <f t="shared" si="525"/>
        <v/>
      </c>
      <c r="CV115" s="6" t="str">
        <f t="shared" si="526"/>
        <v/>
      </c>
      <c r="CW115" s="7" t="str">
        <f t="shared" si="527"/>
        <v/>
      </c>
      <c r="CX115" s="10" t="str">
        <f t="shared" si="528"/>
        <v/>
      </c>
      <c r="CY115" s="11" t="str">
        <f t="shared" si="529"/>
        <v/>
      </c>
      <c r="CZ115" s="7" t="str">
        <f t="shared" si="530"/>
        <v/>
      </c>
      <c r="DA115" s="8" t="str">
        <f t="shared" si="531"/>
        <v/>
      </c>
      <c r="DB115" s="6" t="str">
        <f t="shared" si="677"/>
        <v/>
      </c>
      <c r="DC115" s="7" t="str">
        <f t="shared" si="677"/>
        <v/>
      </c>
      <c r="DD115" s="12" t="str">
        <f t="shared" si="533"/>
        <v/>
      </c>
      <c r="DE115" s="11" t="str">
        <f t="shared" si="678"/>
        <v/>
      </c>
      <c r="DF115" s="7" t="str">
        <f t="shared" si="678"/>
        <v/>
      </c>
      <c r="DG115" s="12" t="str">
        <f t="shared" si="535"/>
        <v/>
      </c>
      <c r="DH115" s="174" t="str">
        <f t="shared" si="536"/>
        <v/>
      </c>
      <c r="DI115" s="6" t="str">
        <f t="shared" si="537"/>
        <v/>
      </c>
      <c r="DJ115" s="7" t="str">
        <f t="shared" si="538"/>
        <v/>
      </c>
      <c r="DK115" s="12" t="str">
        <f t="shared" si="539"/>
        <v/>
      </c>
      <c r="DL115" s="11" t="str">
        <f t="shared" si="540"/>
        <v/>
      </c>
      <c r="DM115" s="328" t="str">
        <f t="shared" si="541"/>
        <v/>
      </c>
      <c r="DN115" s="376" t="str">
        <f t="shared" si="542"/>
        <v/>
      </c>
      <c r="DO115" s="11" t="str">
        <f t="shared" si="543"/>
        <v/>
      </c>
      <c r="DP115" s="328" t="str">
        <f t="shared" si="544"/>
        <v/>
      </c>
      <c r="DQ115" s="13" t="str">
        <f t="shared" si="545"/>
        <v/>
      </c>
      <c r="DR115" s="328" t="str">
        <f t="shared" si="546"/>
        <v/>
      </c>
      <c r="DS115" s="7" t="str">
        <f t="shared" si="547"/>
        <v/>
      </c>
      <c r="DT115" s="7" t="str">
        <f t="shared" si="548"/>
        <v/>
      </c>
      <c r="DU115" s="7" t="str">
        <f t="shared" si="549"/>
        <v/>
      </c>
      <c r="DV115" s="7" t="str">
        <f t="shared" si="550"/>
        <v/>
      </c>
      <c r="DW115" s="7" t="str">
        <f t="shared" si="551"/>
        <v/>
      </c>
      <c r="DX115" s="296" t="str">
        <f t="shared" si="552"/>
        <v/>
      </c>
      <c r="DY115" s="11" t="str">
        <f t="shared" si="553"/>
        <v/>
      </c>
      <c r="DZ115" s="7" t="str">
        <f t="shared" si="554"/>
        <v/>
      </c>
      <c r="EA115" s="12" t="str">
        <f t="shared" si="555"/>
        <v/>
      </c>
      <c r="EB115" s="8" t="str">
        <f t="shared" si="556"/>
        <v/>
      </c>
      <c r="EC115" s="328" t="str">
        <f t="shared" si="557"/>
        <v/>
      </c>
      <c r="ED115" s="7" t="str">
        <f t="shared" si="558"/>
        <v/>
      </c>
      <c r="EE115" s="6" t="str">
        <f t="shared" si="559"/>
        <v/>
      </c>
      <c r="EF115" s="7" t="str">
        <f t="shared" si="560"/>
        <v/>
      </c>
      <c r="EG115" s="12" t="str">
        <f t="shared" si="561"/>
        <v/>
      </c>
      <c r="EH115" s="11" t="str">
        <f t="shared" si="562"/>
        <v/>
      </c>
      <c r="EI115" s="7" t="str">
        <f t="shared" si="563"/>
        <v/>
      </c>
      <c r="EJ115" s="8" t="str">
        <f t="shared" si="564"/>
        <v/>
      </c>
      <c r="EK115" s="491" t="str">
        <f t="shared" si="565"/>
        <v/>
      </c>
      <c r="EL115" s="493" t="str">
        <f t="shared" si="566"/>
        <v/>
      </c>
      <c r="EM115" s="6" t="str">
        <f t="shared" si="567"/>
        <v/>
      </c>
      <c r="EN115" s="7" t="str">
        <f t="shared" si="568"/>
        <v/>
      </c>
      <c r="EO115" s="12" t="str">
        <f t="shared" si="569"/>
        <v/>
      </c>
      <c r="EP115" s="11" t="str">
        <f t="shared" si="570"/>
        <v/>
      </c>
      <c r="EQ115" s="7" t="str">
        <f t="shared" si="571"/>
        <v/>
      </c>
      <c r="ER115" s="9" t="str">
        <f t="shared" si="572"/>
        <v/>
      </c>
      <c r="ES115" s="24" t="str">
        <f t="shared" si="573"/>
        <v/>
      </c>
      <c r="ET115" s="7" t="str">
        <f t="shared" si="574"/>
        <v/>
      </c>
      <c r="EU115" s="12" t="str">
        <f t="shared" si="575"/>
        <v/>
      </c>
      <c r="EV115" s="337" t="str">
        <f t="shared" si="620"/>
        <v/>
      </c>
      <c r="EW115" s="11" t="str">
        <f t="shared" si="621"/>
        <v/>
      </c>
      <c r="EX115" s="7" t="str">
        <f t="shared" si="622"/>
        <v/>
      </c>
      <c r="EY115" s="8" t="str">
        <f t="shared" si="576"/>
        <v/>
      </c>
      <c r="EZ115" s="123" t="str">
        <f t="shared" si="577"/>
        <v/>
      </c>
      <c r="FA115" s="328" t="str">
        <f t="shared" si="623"/>
        <v/>
      </c>
      <c r="FB115" s="7" t="str">
        <f t="shared" si="624"/>
        <v/>
      </c>
      <c r="FC115" s="8" t="str">
        <f t="shared" si="625"/>
        <v/>
      </c>
      <c r="FD115" s="6" t="str">
        <f t="shared" si="626"/>
        <v/>
      </c>
      <c r="FE115" s="7" t="str">
        <f t="shared" si="627"/>
        <v/>
      </c>
      <c r="FF115" s="9" t="str">
        <f t="shared" si="578"/>
        <v/>
      </c>
      <c r="FG115" s="328" t="str">
        <f t="shared" si="628"/>
        <v/>
      </c>
      <c r="FH115" s="7" t="str">
        <f t="shared" si="629"/>
        <v/>
      </c>
      <c r="FI115" s="12" t="str">
        <f t="shared" si="630"/>
        <v/>
      </c>
      <c r="FJ115" s="547" t="str">
        <f t="shared" si="579"/>
        <v/>
      </c>
      <c r="FK115" s="6" t="str">
        <f t="shared" si="631"/>
        <v/>
      </c>
      <c r="FL115" s="7" t="str">
        <f t="shared" si="491"/>
        <v/>
      </c>
      <c r="FM115" s="10" t="str">
        <f t="shared" si="492"/>
        <v/>
      </c>
      <c r="FN115" s="11" t="str">
        <f t="shared" si="493"/>
        <v/>
      </c>
      <c r="FO115" s="12" t="str">
        <f t="shared" si="632"/>
        <v/>
      </c>
      <c r="FP115" s="545" t="str">
        <f t="shared" si="494"/>
        <v/>
      </c>
      <c r="FQ115" s="328" t="str">
        <f t="shared" si="580"/>
        <v/>
      </c>
      <c r="FR115" s="12" t="str">
        <f t="shared" si="581"/>
        <v/>
      </c>
      <c r="FS115" s="11" t="str">
        <f t="shared" si="582"/>
        <v/>
      </c>
      <c r="FT115" s="8" t="str">
        <f t="shared" si="583"/>
        <v/>
      </c>
      <c r="FU115" s="6" t="str">
        <f t="shared" si="584"/>
        <v/>
      </c>
      <c r="FV115" s="7" t="str">
        <f t="shared" si="585"/>
        <v/>
      </c>
      <c r="FW115" s="10" t="str">
        <f t="shared" si="586"/>
        <v/>
      </c>
      <c r="FX115" s="11" t="str">
        <f t="shared" si="587"/>
        <v/>
      </c>
      <c r="FY115" s="12" t="str">
        <f t="shared" si="633"/>
        <v/>
      </c>
      <c r="FZ115" s="545" t="str">
        <f t="shared" si="588"/>
        <v/>
      </c>
      <c r="GA115" s="372" t="str">
        <f t="shared" si="589"/>
        <v/>
      </c>
      <c r="GB115" s="46" t="str">
        <f t="shared" si="590"/>
        <v/>
      </c>
      <c r="GC115" s="47" t="str">
        <f t="shared" si="591"/>
        <v/>
      </c>
      <c r="GD115" s="578" t="str">
        <f t="shared" si="592"/>
        <v/>
      </c>
      <c r="GE115" s="585" t="str">
        <f t="shared" si="593"/>
        <v/>
      </c>
      <c r="GF115" s="634" t="str">
        <f t="shared" si="594"/>
        <v/>
      </c>
      <c r="GG115" s="553" t="str">
        <f t="shared" si="634"/>
        <v/>
      </c>
      <c r="GH115" s="554" t="str">
        <f t="shared" si="635"/>
        <v/>
      </c>
      <c r="GI115" s="549" t="str">
        <f t="shared" si="636"/>
        <v/>
      </c>
      <c r="GJ115" s="296" t="str">
        <f t="shared" si="595"/>
        <v/>
      </c>
      <c r="GK115" s="337" t="str">
        <f t="shared" si="637"/>
        <v/>
      </c>
      <c r="GL115" s="337" t="str">
        <f t="shared" si="596"/>
        <v/>
      </c>
      <c r="GM115" s="372" t="str">
        <f t="shared" si="597"/>
        <v/>
      </c>
      <c r="GN115" s="548" t="str">
        <f t="shared" si="598"/>
        <v/>
      </c>
      <c r="GO115" s="6" t="str">
        <f t="shared" si="599"/>
        <v/>
      </c>
      <c r="GP115" s="10" t="str">
        <f t="shared" si="600"/>
        <v/>
      </c>
      <c r="GQ115" s="372" t="str">
        <f t="shared" si="601"/>
        <v/>
      </c>
      <c r="GR115" s="697" t="str">
        <f t="shared" si="602"/>
        <v/>
      </c>
      <c r="GS115" s="637" t="str">
        <f t="shared" si="638"/>
        <v/>
      </c>
      <c r="GT115" s="638" t="str">
        <f t="shared" si="639"/>
        <v/>
      </c>
      <c r="GU115" s="639" t="str">
        <f t="shared" si="640"/>
        <v/>
      </c>
      <c r="GV115" s="638" t="str">
        <f t="shared" si="603"/>
        <v/>
      </c>
      <c r="GW115" s="640" t="str">
        <f t="shared" si="641"/>
        <v/>
      </c>
      <c r="GX115" s="641" t="str">
        <f t="shared" si="642"/>
        <v/>
      </c>
      <c r="GY115" s="639" t="str">
        <f t="shared" si="643"/>
        <v/>
      </c>
      <c r="GZ115" s="640" t="str">
        <f t="shared" si="644"/>
        <v/>
      </c>
      <c r="HA115" s="637" t="str">
        <f t="shared" si="645"/>
        <v/>
      </c>
      <c r="HB115" s="7" t="str">
        <f t="shared" si="604"/>
        <v/>
      </c>
      <c r="HC115" s="638" t="str">
        <f t="shared" si="605"/>
        <v/>
      </c>
      <c r="HD115" s="682" t="str">
        <f t="shared" si="606"/>
        <v/>
      </c>
      <c r="HE115" s="639" t="str">
        <f t="shared" si="646"/>
        <v/>
      </c>
      <c r="HF115" s="7" t="str">
        <f t="shared" si="647"/>
        <v/>
      </c>
      <c r="HG115" s="638" t="str">
        <f t="shared" si="607"/>
        <v/>
      </c>
      <c r="HH115" s="644" t="str">
        <f t="shared" si="608"/>
        <v/>
      </c>
      <c r="HI115" s="596" t="str">
        <f t="shared" si="609"/>
        <v/>
      </c>
      <c r="HK115" s="584" t="str">
        <f t="shared" si="619"/>
        <v/>
      </c>
      <c r="HL115" s="583" t="str">
        <f t="shared" si="676"/>
        <v/>
      </c>
      <c r="HM115" s="643" t="str">
        <f t="shared" si="679"/>
        <v/>
      </c>
      <c r="HN115" s="660" t="str">
        <f t="shared" si="679"/>
        <v/>
      </c>
      <c r="HO115" s="661" t="str">
        <f t="shared" si="679"/>
        <v/>
      </c>
      <c r="HP115" s="656" t="str">
        <f t="shared" si="679"/>
        <v/>
      </c>
      <c r="HQ115" s="660" t="str">
        <f t="shared" si="679"/>
        <v/>
      </c>
      <c r="HR115" s="671" t="str">
        <f t="shared" si="679"/>
        <v/>
      </c>
      <c r="HS115" s="655" t="str">
        <f t="shared" si="679"/>
        <v/>
      </c>
      <c r="HT115" s="648" t="str">
        <f t="shared" si="679"/>
        <v/>
      </c>
      <c r="HU115" s="649" t="str">
        <f t="shared" si="679"/>
        <v/>
      </c>
      <c r="HV115" s="650" t="str">
        <f t="shared" si="679"/>
        <v/>
      </c>
      <c r="HW115" s="648" t="str">
        <f t="shared" si="679"/>
        <v/>
      </c>
      <c r="HX115" s="649" t="str">
        <f t="shared" si="679"/>
        <v/>
      </c>
      <c r="HY115" s="650" t="str">
        <f t="shared" si="679"/>
        <v/>
      </c>
      <c r="HZ115" s="648" t="str">
        <f t="shared" si="679"/>
        <v/>
      </c>
      <c r="IA115" s="649" t="str">
        <f t="shared" si="679"/>
        <v/>
      </c>
      <c r="IB115" s="716"/>
    </row>
    <row r="116" spans="2:236" ht="15" customHeight="1" x14ac:dyDescent="0.25">
      <c r="B116" s="143"/>
      <c r="C116" s="144"/>
      <c r="D116" s="145"/>
      <c r="E116" s="146"/>
      <c r="F116" s="144"/>
      <c r="G116" s="147"/>
      <c r="H116" s="146"/>
      <c r="I116" s="144"/>
      <c r="J116" s="306"/>
      <c r="K116" s="699" t="str">
        <f t="shared" si="610"/>
        <v/>
      </c>
      <c r="M116" s="292" t="str">
        <f t="shared" si="648"/>
        <v/>
      </c>
      <c r="N116" s="24" t="str">
        <f t="shared" si="649"/>
        <v/>
      </c>
      <c r="O116" s="7" t="str">
        <f t="shared" si="650"/>
        <v/>
      </c>
      <c r="P116" s="12" t="str">
        <f t="shared" si="651"/>
        <v/>
      </c>
      <c r="Q116" s="11" t="str">
        <f t="shared" si="473"/>
        <v/>
      </c>
      <c r="R116" s="7" t="str">
        <f t="shared" si="652"/>
        <v/>
      </c>
      <c r="S116" s="8" t="str">
        <f t="shared" si="653"/>
        <v/>
      </c>
      <c r="T116" s="6" t="str">
        <f t="shared" si="654"/>
        <v/>
      </c>
      <c r="U116" s="7" t="str">
        <f t="shared" si="655"/>
        <v/>
      </c>
      <c r="V116" s="10" t="str">
        <f t="shared" si="656"/>
        <v/>
      </c>
      <c r="W116" s="11" t="str">
        <f t="shared" si="614"/>
        <v/>
      </c>
      <c r="X116" s="7" t="str">
        <f t="shared" si="657"/>
        <v/>
      </c>
      <c r="Y116" s="9" t="str">
        <f t="shared" si="611"/>
        <v/>
      </c>
      <c r="Z116" s="24" t="str">
        <f t="shared" si="658"/>
        <v/>
      </c>
      <c r="AA116" s="7" t="str">
        <f t="shared" si="659"/>
        <v/>
      </c>
      <c r="AB116" s="7" t="str">
        <f t="shared" si="660"/>
        <v/>
      </c>
      <c r="AC116" s="10" t="str">
        <f t="shared" si="661"/>
        <v/>
      </c>
      <c r="AD116" s="11" t="str">
        <f t="shared" si="662"/>
        <v/>
      </c>
      <c r="AE116" s="7" t="str">
        <f t="shared" si="663"/>
        <v/>
      </c>
      <c r="AF116" s="12" t="str">
        <f t="shared" si="664"/>
        <v/>
      </c>
      <c r="AG116" s="6" t="str">
        <f t="shared" si="665"/>
        <v/>
      </c>
      <c r="AH116" s="12" t="str">
        <f t="shared" si="666"/>
        <v/>
      </c>
      <c r="AI116" s="11" t="str">
        <f t="shared" si="667"/>
        <v/>
      </c>
      <c r="AJ116" s="8" t="str">
        <f t="shared" si="668"/>
        <v/>
      </c>
      <c r="AK116" s="6" t="str">
        <f t="shared" si="669"/>
        <v/>
      </c>
      <c r="AL116" s="7" t="str">
        <f t="shared" si="670"/>
        <v/>
      </c>
      <c r="AM116" s="8" t="str">
        <f t="shared" si="671"/>
        <v/>
      </c>
      <c r="AN116" s="6" t="str">
        <f t="shared" si="672"/>
        <v/>
      </c>
      <c r="AO116" s="10" t="str">
        <f t="shared" si="673"/>
        <v/>
      </c>
      <c r="AP116" s="11" t="str">
        <f t="shared" si="674"/>
        <v/>
      </c>
      <c r="AQ116" s="8" t="str">
        <f t="shared" si="612"/>
        <v/>
      </c>
      <c r="AS116" s="123" t="str">
        <f t="shared" si="496"/>
        <v/>
      </c>
      <c r="AT116" s="175" t="str">
        <f t="shared" si="617"/>
        <v/>
      </c>
      <c r="AV116" s="292" t="str">
        <f t="shared" si="497"/>
        <v/>
      </c>
      <c r="AW116" s="709"/>
      <c r="AX116" s="710"/>
      <c r="AY116" s="711"/>
      <c r="AZ116" s="565" t="str">
        <f t="shared" si="498"/>
        <v/>
      </c>
      <c r="BA116" s="564" t="str">
        <f t="shared" si="499"/>
        <v/>
      </c>
      <c r="BB116" s="372" t="str">
        <f t="shared" si="474"/>
        <v/>
      </c>
      <c r="BC116" s="11"/>
      <c r="BD116" s="7" t="str">
        <f t="shared" si="475"/>
        <v/>
      </c>
      <c r="BE116" s="8" t="str">
        <f t="shared" si="476"/>
        <v/>
      </c>
      <c r="BF116" s="6" t="str">
        <f t="shared" si="500"/>
        <v/>
      </c>
      <c r="BG116" s="7" t="str">
        <f t="shared" si="501"/>
        <v/>
      </c>
      <c r="BH116" s="12" t="str">
        <f t="shared" si="502"/>
        <v/>
      </c>
      <c r="BI116" s="11" t="str">
        <f t="shared" si="503"/>
        <v/>
      </c>
      <c r="BJ116" s="7" t="str">
        <f t="shared" si="504"/>
        <v/>
      </c>
      <c r="BK116" s="10" t="str">
        <f t="shared" si="505"/>
        <v/>
      </c>
      <c r="BL116" s="328" t="str">
        <f t="shared" si="506"/>
        <v/>
      </c>
      <c r="BM116" s="7" t="str">
        <f t="shared" si="507"/>
        <v/>
      </c>
      <c r="BN116" s="8" t="str">
        <f t="shared" si="508"/>
        <v/>
      </c>
      <c r="BO116" s="6" t="str">
        <f t="shared" si="509"/>
        <v/>
      </c>
      <c r="BP116" s="7" t="str">
        <f t="shared" si="510"/>
        <v/>
      </c>
      <c r="BQ116" s="7" t="str">
        <f t="shared" si="511"/>
        <v/>
      </c>
      <c r="BR116" s="8" t="str">
        <f t="shared" si="512"/>
        <v/>
      </c>
      <c r="BS116" s="6" t="str">
        <f t="shared" si="675"/>
        <v/>
      </c>
      <c r="BT116" s="7" t="str">
        <f t="shared" si="675"/>
        <v/>
      </c>
      <c r="BU116" s="12" t="str">
        <f t="shared" si="478"/>
        <v/>
      </c>
      <c r="BV116" s="11" t="str">
        <f t="shared" si="479"/>
        <v/>
      </c>
      <c r="BW116" s="7" t="str">
        <f t="shared" si="480"/>
        <v/>
      </c>
      <c r="BX116" s="10" t="str">
        <f t="shared" si="481"/>
        <v/>
      </c>
      <c r="BY116" s="328" t="str">
        <f t="shared" si="482"/>
        <v/>
      </c>
      <c r="BZ116" s="7" t="str">
        <f t="shared" si="483"/>
        <v/>
      </c>
      <c r="CA116" s="8" t="str">
        <f t="shared" si="484"/>
        <v/>
      </c>
      <c r="CB116" s="6" t="str">
        <f t="shared" si="513"/>
        <v/>
      </c>
      <c r="CC116" s="7" t="str">
        <f t="shared" si="514"/>
        <v/>
      </c>
      <c r="CD116" s="7" t="str">
        <f t="shared" si="515"/>
        <v/>
      </c>
      <c r="CE116" s="8" t="str">
        <f t="shared" si="516"/>
        <v/>
      </c>
      <c r="CF116" s="6" t="str">
        <f t="shared" si="517"/>
        <v/>
      </c>
      <c r="CG116" s="7" t="str">
        <f t="shared" si="518"/>
        <v/>
      </c>
      <c r="CH116" s="7" t="str">
        <f t="shared" si="519"/>
        <v/>
      </c>
      <c r="CI116" s="6" t="str">
        <f t="shared" si="485"/>
        <v/>
      </c>
      <c r="CJ116" s="7" t="str">
        <f t="shared" si="486"/>
        <v/>
      </c>
      <c r="CK116" s="10" t="str">
        <f t="shared" si="487"/>
        <v/>
      </c>
      <c r="CL116" s="328" t="str">
        <f t="shared" si="488"/>
        <v/>
      </c>
      <c r="CM116" s="7" t="str">
        <f t="shared" si="489"/>
        <v/>
      </c>
      <c r="CN116" s="8" t="str">
        <f t="shared" si="490"/>
        <v/>
      </c>
      <c r="CO116" s="296" t="str">
        <f t="shared" si="613"/>
        <v/>
      </c>
      <c r="CP116" s="6" t="str">
        <f t="shared" si="520"/>
        <v/>
      </c>
      <c r="CQ116" s="7" t="str">
        <f t="shared" si="521"/>
        <v/>
      </c>
      <c r="CR116" s="7" t="str">
        <f t="shared" si="522"/>
        <v/>
      </c>
      <c r="CS116" s="10" t="str">
        <f t="shared" si="523"/>
        <v/>
      </c>
      <c r="CT116" s="11" t="str">
        <f t="shared" si="524"/>
        <v/>
      </c>
      <c r="CU116" s="8" t="str">
        <f t="shared" si="525"/>
        <v/>
      </c>
      <c r="CV116" s="6" t="str">
        <f t="shared" si="526"/>
        <v/>
      </c>
      <c r="CW116" s="7" t="str">
        <f t="shared" si="527"/>
        <v/>
      </c>
      <c r="CX116" s="10" t="str">
        <f t="shared" si="528"/>
        <v/>
      </c>
      <c r="CY116" s="11" t="str">
        <f t="shared" si="529"/>
        <v/>
      </c>
      <c r="CZ116" s="7" t="str">
        <f t="shared" si="530"/>
        <v/>
      </c>
      <c r="DA116" s="8" t="str">
        <f t="shared" si="531"/>
        <v/>
      </c>
      <c r="DB116" s="6" t="str">
        <f t="shared" si="677"/>
        <v/>
      </c>
      <c r="DC116" s="7" t="str">
        <f t="shared" si="677"/>
        <v/>
      </c>
      <c r="DD116" s="12" t="str">
        <f t="shared" si="533"/>
        <v/>
      </c>
      <c r="DE116" s="11" t="str">
        <f t="shared" si="678"/>
        <v/>
      </c>
      <c r="DF116" s="7" t="str">
        <f t="shared" si="678"/>
        <v/>
      </c>
      <c r="DG116" s="12" t="str">
        <f t="shared" si="535"/>
        <v/>
      </c>
      <c r="DH116" s="174" t="str">
        <f t="shared" si="536"/>
        <v/>
      </c>
      <c r="DI116" s="6" t="str">
        <f t="shared" si="537"/>
        <v/>
      </c>
      <c r="DJ116" s="7" t="str">
        <f t="shared" si="538"/>
        <v/>
      </c>
      <c r="DK116" s="12" t="str">
        <f t="shared" si="539"/>
        <v/>
      </c>
      <c r="DL116" s="11" t="str">
        <f t="shared" si="540"/>
        <v/>
      </c>
      <c r="DM116" s="328" t="str">
        <f t="shared" si="541"/>
        <v/>
      </c>
      <c r="DN116" s="376" t="str">
        <f t="shared" si="542"/>
        <v/>
      </c>
      <c r="DO116" s="11" t="str">
        <f t="shared" si="543"/>
        <v/>
      </c>
      <c r="DP116" s="328" t="str">
        <f t="shared" si="544"/>
        <v/>
      </c>
      <c r="DQ116" s="13" t="str">
        <f t="shared" si="545"/>
        <v/>
      </c>
      <c r="DR116" s="328" t="str">
        <f t="shared" si="546"/>
        <v/>
      </c>
      <c r="DS116" s="7" t="str">
        <f t="shared" si="547"/>
        <v/>
      </c>
      <c r="DT116" s="7" t="str">
        <f t="shared" si="548"/>
        <v/>
      </c>
      <c r="DU116" s="7" t="str">
        <f t="shared" si="549"/>
        <v/>
      </c>
      <c r="DV116" s="7" t="str">
        <f t="shared" si="550"/>
        <v/>
      </c>
      <c r="DW116" s="7" t="str">
        <f t="shared" si="551"/>
        <v/>
      </c>
      <c r="DX116" s="296" t="str">
        <f t="shared" si="552"/>
        <v/>
      </c>
      <c r="DY116" s="11" t="str">
        <f t="shared" si="553"/>
        <v/>
      </c>
      <c r="DZ116" s="7" t="str">
        <f t="shared" si="554"/>
        <v/>
      </c>
      <c r="EA116" s="12" t="str">
        <f t="shared" si="555"/>
        <v/>
      </c>
      <c r="EB116" s="8" t="str">
        <f t="shared" si="556"/>
        <v/>
      </c>
      <c r="EC116" s="328" t="str">
        <f t="shared" si="557"/>
        <v/>
      </c>
      <c r="ED116" s="7" t="str">
        <f t="shared" si="558"/>
        <v/>
      </c>
      <c r="EE116" s="6" t="str">
        <f t="shared" si="559"/>
        <v/>
      </c>
      <c r="EF116" s="7" t="str">
        <f t="shared" si="560"/>
        <v/>
      </c>
      <c r="EG116" s="12" t="str">
        <f t="shared" si="561"/>
        <v/>
      </c>
      <c r="EH116" s="11" t="str">
        <f t="shared" si="562"/>
        <v/>
      </c>
      <c r="EI116" s="7" t="str">
        <f t="shared" si="563"/>
        <v/>
      </c>
      <c r="EJ116" s="8" t="str">
        <f t="shared" si="564"/>
        <v/>
      </c>
      <c r="EK116" s="491" t="str">
        <f t="shared" si="565"/>
        <v/>
      </c>
      <c r="EL116" s="493" t="str">
        <f t="shared" si="566"/>
        <v/>
      </c>
      <c r="EM116" s="6" t="str">
        <f t="shared" si="567"/>
        <v/>
      </c>
      <c r="EN116" s="7" t="str">
        <f t="shared" si="568"/>
        <v/>
      </c>
      <c r="EO116" s="12" t="str">
        <f t="shared" si="569"/>
        <v/>
      </c>
      <c r="EP116" s="11" t="str">
        <f t="shared" si="570"/>
        <v/>
      </c>
      <c r="EQ116" s="7" t="str">
        <f t="shared" si="571"/>
        <v/>
      </c>
      <c r="ER116" s="9" t="str">
        <f t="shared" si="572"/>
        <v/>
      </c>
      <c r="ES116" s="24" t="str">
        <f t="shared" si="573"/>
        <v/>
      </c>
      <c r="ET116" s="7" t="str">
        <f t="shared" si="574"/>
        <v/>
      </c>
      <c r="EU116" s="12" t="str">
        <f t="shared" si="575"/>
        <v/>
      </c>
      <c r="EV116" s="337" t="str">
        <f t="shared" si="620"/>
        <v/>
      </c>
      <c r="EW116" s="11" t="str">
        <f t="shared" si="621"/>
        <v/>
      </c>
      <c r="EX116" s="7" t="str">
        <f t="shared" si="622"/>
        <v/>
      </c>
      <c r="EY116" s="8" t="str">
        <f t="shared" si="576"/>
        <v/>
      </c>
      <c r="EZ116" s="123" t="str">
        <f t="shared" si="577"/>
        <v/>
      </c>
      <c r="FA116" s="328" t="str">
        <f t="shared" si="623"/>
        <v/>
      </c>
      <c r="FB116" s="7" t="str">
        <f t="shared" si="624"/>
        <v/>
      </c>
      <c r="FC116" s="8" t="str">
        <f t="shared" si="625"/>
        <v/>
      </c>
      <c r="FD116" s="6" t="str">
        <f t="shared" si="626"/>
        <v/>
      </c>
      <c r="FE116" s="7" t="str">
        <f t="shared" si="627"/>
        <v/>
      </c>
      <c r="FF116" s="9" t="str">
        <f t="shared" si="578"/>
        <v/>
      </c>
      <c r="FG116" s="328" t="str">
        <f t="shared" si="628"/>
        <v/>
      </c>
      <c r="FH116" s="7" t="str">
        <f t="shared" si="629"/>
        <v/>
      </c>
      <c r="FI116" s="12" t="str">
        <f t="shared" si="630"/>
        <v/>
      </c>
      <c r="FJ116" s="547" t="str">
        <f t="shared" si="579"/>
        <v/>
      </c>
      <c r="FK116" s="6" t="str">
        <f t="shared" si="631"/>
        <v/>
      </c>
      <c r="FL116" s="7" t="str">
        <f t="shared" si="491"/>
        <v/>
      </c>
      <c r="FM116" s="10" t="str">
        <f t="shared" si="492"/>
        <v/>
      </c>
      <c r="FN116" s="11" t="str">
        <f t="shared" si="493"/>
        <v/>
      </c>
      <c r="FO116" s="12" t="str">
        <f t="shared" si="632"/>
        <v/>
      </c>
      <c r="FP116" s="545" t="str">
        <f t="shared" si="494"/>
        <v/>
      </c>
      <c r="FQ116" s="328" t="str">
        <f t="shared" si="580"/>
        <v/>
      </c>
      <c r="FR116" s="12" t="str">
        <f t="shared" si="581"/>
        <v/>
      </c>
      <c r="FS116" s="11" t="str">
        <f t="shared" si="582"/>
        <v/>
      </c>
      <c r="FT116" s="8" t="str">
        <f t="shared" si="583"/>
        <v/>
      </c>
      <c r="FU116" s="6" t="str">
        <f t="shared" si="584"/>
        <v/>
      </c>
      <c r="FV116" s="7" t="str">
        <f t="shared" si="585"/>
        <v/>
      </c>
      <c r="FW116" s="10" t="str">
        <f t="shared" si="586"/>
        <v/>
      </c>
      <c r="FX116" s="11" t="str">
        <f t="shared" si="587"/>
        <v/>
      </c>
      <c r="FY116" s="12" t="str">
        <f t="shared" si="633"/>
        <v/>
      </c>
      <c r="FZ116" s="545" t="str">
        <f t="shared" si="588"/>
        <v/>
      </c>
      <c r="GA116" s="372" t="str">
        <f t="shared" si="589"/>
        <v/>
      </c>
      <c r="GB116" s="46" t="str">
        <f t="shared" si="590"/>
        <v/>
      </c>
      <c r="GC116" s="47" t="str">
        <f t="shared" si="591"/>
        <v/>
      </c>
      <c r="GD116" s="578" t="str">
        <f t="shared" si="592"/>
        <v/>
      </c>
      <c r="GE116" s="585" t="str">
        <f t="shared" si="593"/>
        <v/>
      </c>
      <c r="GF116" s="634" t="str">
        <f t="shared" si="594"/>
        <v/>
      </c>
      <c r="GG116" s="553" t="str">
        <f t="shared" si="634"/>
        <v/>
      </c>
      <c r="GH116" s="554" t="str">
        <f t="shared" si="635"/>
        <v/>
      </c>
      <c r="GI116" s="549" t="str">
        <f t="shared" si="636"/>
        <v/>
      </c>
      <c r="GJ116" s="296" t="str">
        <f t="shared" si="595"/>
        <v/>
      </c>
      <c r="GK116" s="337" t="str">
        <f t="shared" si="637"/>
        <v/>
      </c>
      <c r="GL116" s="337" t="str">
        <f t="shared" si="596"/>
        <v/>
      </c>
      <c r="GM116" s="372" t="str">
        <f t="shared" si="597"/>
        <v/>
      </c>
      <c r="GN116" s="548" t="str">
        <f t="shared" si="598"/>
        <v/>
      </c>
      <c r="GO116" s="6" t="str">
        <f t="shared" si="599"/>
        <v/>
      </c>
      <c r="GP116" s="10" t="str">
        <f t="shared" si="600"/>
        <v/>
      </c>
      <c r="GQ116" s="372" t="str">
        <f t="shared" si="601"/>
        <v/>
      </c>
      <c r="GR116" s="697" t="str">
        <f t="shared" si="602"/>
        <v/>
      </c>
      <c r="GS116" s="637" t="str">
        <f t="shared" si="638"/>
        <v/>
      </c>
      <c r="GT116" s="638" t="str">
        <f t="shared" si="639"/>
        <v/>
      </c>
      <c r="GU116" s="639" t="str">
        <f t="shared" si="640"/>
        <v/>
      </c>
      <c r="GV116" s="638" t="str">
        <f t="shared" si="603"/>
        <v/>
      </c>
      <c r="GW116" s="640" t="str">
        <f t="shared" si="641"/>
        <v/>
      </c>
      <c r="GX116" s="641" t="str">
        <f t="shared" si="642"/>
        <v/>
      </c>
      <c r="GY116" s="639" t="str">
        <f t="shared" si="643"/>
        <v/>
      </c>
      <c r="GZ116" s="640" t="str">
        <f t="shared" si="644"/>
        <v/>
      </c>
      <c r="HA116" s="637" t="str">
        <f t="shared" si="645"/>
        <v/>
      </c>
      <c r="HB116" s="7" t="str">
        <f t="shared" si="604"/>
        <v/>
      </c>
      <c r="HC116" s="638" t="str">
        <f t="shared" si="605"/>
        <v/>
      </c>
      <c r="HD116" s="682" t="str">
        <f t="shared" si="606"/>
        <v/>
      </c>
      <c r="HE116" s="639" t="str">
        <f t="shared" si="646"/>
        <v/>
      </c>
      <c r="HF116" s="7" t="str">
        <f t="shared" si="647"/>
        <v/>
      </c>
      <c r="HG116" s="638" t="str">
        <f t="shared" si="607"/>
        <v/>
      </c>
      <c r="HH116" s="644" t="str">
        <f t="shared" si="608"/>
        <v/>
      </c>
      <c r="HI116" s="596" t="str">
        <f t="shared" si="609"/>
        <v/>
      </c>
      <c r="HK116" s="584" t="str">
        <f t="shared" si="619"/>
        <v/>
      </c>
      <c r="HL116" s="583" t="str">
        <f t="shared" si="676"/>
        <v/>
      </c>
      <c r="HM116" s="643" t="str">
        <f t="shared" si="679"/>
        <v/>
      </c>
      <c r="HN116" s="660" t="str">
        <f t="shared" si="679"/>
        <v/>
      </c>
      <c r="HO116" s="661" t="str">
        <f t="shared" si="679"/>
        <v/>
      </c>
      <c r="HP116" s="656" t="str">
        <f t="shared" si="679"/>
        <v/>
      </c>
      <c r="HQ116" s="660" t="str">
        <f t="shared" si="679"/>
        <v/>
      </c>
      <c r="HR116" s="671" t="str">
        <f t="shared" si="679"/>
        <v/>
      </c>
      <c r="HS116" s="655" t="str">
        <f t="shared" si="679"/>
        <v/>
      </c>
      <c r="HT116" s="648" t="str">
        <f t="shared" si="679"/>
        <v/>
      </c>
      <c r="HU116" s="649" t="str">
        <f t="shared" si="679"/>
        <v/>
      </c>
      <c r="HV116" s="650" t="str">
        <f t="shared" si="679"/>
        <v/>
      </c>
      <c r="HW116" s="648" t="str">
        <f t="shared" si="679"/>
        <v/>
      </c>
      <c r="HX116" s="649" t="str">
        <f t="shared" si="679"/>
        <v/>
      </c>
      <c r="HY116" s="650" t="str">
        <f t="shared" si="679"/>
        <v/>
      </c>
      <c r="HZ116" s="648" t="str">
        <f t="shared" si="679"/>
        <v/>
      </c>
      <c r="IA116" s="649" t="str">
        <f t="shared" si="679"/>
        <v/>
      </c>
      <c r="IB116" s="716"/>
    </row>
    <row r="117" spans="2:236" ht="15" customHeight="1" x14ac:dyDescent="0.25">
      <c r="B117" s="143"/>
      <c r="C117" s="144"/>
      <c r="D117" s="145"/>
      <c r="E117" s="146"/>
      <c r="F117" s="144"/>
      <c r="G117" s="147"/>
      <c r="H117" s="146"/>
      <c r="I117" s="144"/>
      <c r="J117" s="306"/>
      <c r="K117" s="699" t="str">
        <f t="shared" si="610"/>
        <v/>
      </c>
      <c r="M117" s="292" t="str">
        <f t="shared" si="648"/>
        <v/>
      </c>
      <c r="N117" s="24" t="str">
        <f t="shared" si="649"/>
        <v/>
      </c>
      <c r="O117" s="7" t="str">
        <f t="shared" si="650"/>
        <v/>
      </c>
      <c r="P117" s="12" t="str">
        <f t="shared" si="651"/>
        <v/>
      </c>
      <c r="Q117" s="11" t="str">
        <f t="shared" si="473"/>
        <v/>
      </c>
      <c r="R117" s="7" t="str">
        <f t="shared" si="652"/>
        <v/>
      </c>
      <c r="S117" s="8" t="str">
        <f t="shared" si="653"/>
        <v/>
      </c>
      <c r="T117" s="6" t="str">
        <f t="shared" si="654"/>
        <v/>
      </c>
      <c r="U117" s="7" t="str">
        <f t="shared" si="655"/>
        <v/>
      </c>
      <c r="V117" s="10" t="str">
        <f t="shared" si="656"/>
        <v/>
      </c>
      <c r="W117" s="11" t="str">
        <f t="shared" si="614"/>
        <v/>
      </c>
      <c r="X117" s="7" t="str">
        <f t="shared" si="657"/>
        <v/>
      </c>
      <c r="Y117" s="9" t="str">
        <f t="shared" si="611"/>
        <v/>
      </c>
      <c r="Z117" s="24" t="str">
        <f t="shared" si="658"/>
        <v/>
      </c>
      <c r="AA117" s="7" t="str">
        <f t="shared" si="659"/>
        <v/>
      </c>
      <c r="AB117" s="7" t="str">
        <f t="shared" si="660"/>
        <v/>
      </c>
      <c r="AC117" s="10" t="str">
        <f t="shared" si="661"/>
        <v/>
      </c>
      <c r="AD117" s="11" t="str">
        <f t="shared" si="662"/>
        <v/>
      </c>
      <c r="AE117" s="7" t="str">
        <f t="shared" si="663"/>
        <v/>
      </c>
      <c r="AF117" s="12" t="str">
        <f t="shared" si="664"/>
        <v/>
      </c>
      <c r="AG117" s="6" t="str">
        <f t="shared" si="665"/>
        <v/>
      </c>
      <c r="AH117" s="12" t="str">
        <f t="shared" si="666"/>
        <v/>
      </c>
      <c r="AI117" s="11" t="str">
        <f t="shared" si="667"/>
        <v/>
      </c>
      <c r="AJ117" s="8" t="str">
        <f t="shared" si="668"/>
        <v/>
      </c>
      <c r="AK117" s="6" t="str">
        <f t="shared" si="669"/>
        <v/>
      </c>
      <c r="AL117" s="7" t="str">
        <f t="shared" si="670"/>
        <v/>
      </c>
      <c r="AM117" s="8" t="str">
        <f t="shared" si="671"/>
        <v/>
      </c>
      <c r="AN117" s="6" t="str">
        <f t="shared" si="672"/>
        <v/>
      </c>
      <c r="AO117" s="10" t="str">
        <f t="shared" si="673"/>
        <v/>
      </c>
      <c r="AP117" s="11" t="str">
        <f t="shared" si="674"/>
        <v/>
      </c>
      <c r="AQ117" s="8" t="str">
        <f t="shared" si="612"/>
        <v/>
      </c>
      <c r="AS117" s="123" t="str">
        <f t="shared" si="496"/>
        <v/>
      </c>
      <c r="AT117" s="175" t="str">
        <f t="shared" si="617"/>
        <v/>
      </c>
      <c r="AV117" s="292" t="str">
        <f t="shared" si="497"/>
        <v/>
      </c>
      <c r="AW117" s="709"/>
      <c r="AX117" s="710"/>
      <c r="AY117" s="711"/>
      <c r="AZ117" s="565" t="str">
        <f t="shared" si="498"/>
        <v/>
      </c>
      <c r="BA117" s="564" t="str">
        <f t="shared" si="499"/>
        <v/>
      </c>
      <c r="BB117" s="372" t="str">
        <f t="shared" si="474"/>
        <v/>
      </c>
      <c r="BC117" s="11"/>
      <c r="BD117" s="7" t="str">
        <f t="shared" si="475"/>
        <v/>
      </c>
      <c r="BE117" s="8" t="str">
        <f t="shared" si="476"/>
        <v/>
      </c>
      <c r="BF117" s="6" t="str">
        <f t="shared" si="500"/>
        <v/>
      </c>
      <c r="BG117" s="7" t="str">
        <f t="shared" si="501"/>
        <v/>
      </c>
      <c r="BH117" s="12" t="str">
        <f t="shared" si="502"/>
        <v/>
      </c>
      <c r="BI117" s="11" t="str">
        <f t="shared" si="503"/>
        <v/>
      </c>
      <c r="BJ117" s="7" t="str">
        <f t="shared" si="504"/>
        <v/>
      </c>
      <c r="BK117" s="10" t="str">
        <f t="shared" si="505"/>
        <v/>
      </c>
      <c r="BL117" s="328" t="str">
        <f t="shared" si="506"/>
        <v/>
      </c>
      <c r="BM117" s="7" t="str">
        <f t="shared" si="507"/>
        <v/>
      </c>
      <c r="BN117" s="8" t="str">
        <f t="shared" si="508"/>
        <v/>
      </c>
      <c r="BO117" s="6" t="str">
        <f t="shared" si="509"/>
        <v/>
      </c>
      <c r="BP117" s="7" t="str">
        <f t="shared" si="510"/>
        <v/>
      </c>
      <c r="BQ117" s="7" t="str">
        <f t="shared" si="511"/>
        <v/>
      </c>
      <c r="BR117" s="8" t="str">
        <f t="shared" si="512"/>
        <v/>
      </c>
      <c r="BS117" s="6" t="str">
        <f t="shared" si="675"/>
        <v/>
      </c>
      <c r="BT117" s="7" t="str">
        <f t="shared" si="675"/>
        <v/>
      </c>
      <c r="BU117" s="12" t="str">
        <f t="shared" si="478"/>
        <v/>
      </c>
      <c r="BV117" s="11" t="str">
        <f t="shared" si="479"/>
        <v/>
      </c>
      <c r="BW117" s="7" t="str">
        <f t="shared" si="480"/>
        <v/>
      </c>
      <c r="BX117" s="10" t="str">
        <f t="shared" si="481"/>
        <v/>
      </c>
      <c r="BY117" s="328" t="str">
        <f t="shared" si="482"/>
        <v/>
      </c>
      <c r="BZ117" s="7" t="str">
        <f t="shared" si="483"/>
        <v/>
      </c>
      <c r="CA117" s="8" t="str">
        <f t="shared" si="484"/>
        <v/>
      </c>
      <c r="CB117" s="6" t="str">
        <f t="shared" si="513"/>
        <v/>
      </c>
      <c r="CC117" s="7" t="str">
        <f t="shared" si="514"/>
        <v/>
      </c>
      <c r="CD117" s="7" t="str">
        <f t="shared" si="515"/>
        <v/>
      </c>
      <c r="CE117" s="8" t="str">
        <f t="shared" si="516"/>
        <v/>
      </c>
      <c r="CF117" s="6" t="str">
        <f t="shared" si="517"/>
        <v/>
      </c>
      <c r="CG117" s="7" t="str">
        <f t="shared" si="518"/>
        <v/>
      </c>
      <c r="CH117" s="7" t="str">
        <f t="shared" si="519"/>
        <v/>
      </c>
      <c r="CI117" s="6" t="str">
        <f t="shared" si="485"/>
        <v/>
      </c>
      <c r="CJ117" s="7" t="str">
        <f t="shared" si="486"/>
        <v/>
      </c>
      <c r="CK117" s="10" t="str">
        <f t="shared" si="487"/>
        <v/>
      </c>
      <c r="CL117" s="328" t="str">
        <f t="shared" si="488"/>
        <v/>
      </c>
      <c r="CM117" s="7" t="str">
        <f t="shared" si="489"/>
        <v/>
      </c>
      <c r="CN117" s="8" t="str">
        <f t="shared" si="490"/>
        <v/>
      </c>
      <c r="CO117" s="296" t="str">
        <f t="shared" si="613"/>
        <v/>
      </c>
      <c r="CP117" s="6" t="str">
        <f t="shared" si="520"/>
        <v/>
      </c>
      <c r="CQ117" s="7" t="str">
        <f t="shared" si="521"/>
        <v/>
      </c>
      <c r="CR117" s="7" t="str">
        <f t="shared" si="522"/>
        <v/>
      </c>
      <c r="CS117" s="10" t="str">
        <f t="shared" si="523"/>
        <v/>
      </c>
      <c r="CT117" s="11" t="str">
        <f t="shared" si="524"/>
        <v/>
      </c>
      <c r="CU117" s="8" t="str">
        <f t="shared" si="525"/>
        <v/>
      </c>
      <c r="CV117" s="6" t="str">
        <f t="shared" si="526"/>
        <v/>
      </c>
      <c r="CW117" s="7" t="str">
        <f t="shared" si="527"/>
        <v/>
      </c>
      <c r="CX117" s="10" t="str">
        <f t="shared" si="528"/>
        <v/>
      </c>
      <c r="CY117" s="11" t="str">
        <f t="shared" si="529"/>
        <v/>
      </c>
      <c r="CZ117" s="7" t="str">
        <f t="shared" si="530"/>
        <v/>
      </c>
      <c r="DA117" s="8" t="str">
        <f t="shared" si="531"/>
        <v/>
      </c>
      <c r="DB117" s="6" t="str">
        <f t="shared" si="677"/>
        <v/>
      </c>
      <c r="DC117" s="7" t="str">
        <f t="shared" si="677"/>
        <v/>
      </c>
      <c r="DD117" s="12" t="str">
        <f t="shared" si="533"/>
        <v/>
      </c>
      <c r="DE117" s="11" t="str">
        <f t="shared" si="678"/>
        <v/>
      </c>
      <c r="DF117" s="7" t="str">
        <f t="shared" si="678"/>
        <v/>
      </c>
      <c r="DG117" s="12" t="str">
        <f t="shared" si="535"/>
        <v/>
      </c>
      <c r="DH117" s="174" t="str">
        <f t="shared" si="536"/>
        <v/>
      </c>
      <c r="DI117" s="6" t="str">
        <f t="shared" si="537"/>
        <v/>
      </c>
      <c r="DJ117" s="7" t="str">
        <f t="shared" si="538"/>
        <v/>
      </c>
      <c r="DK117" s="12" t="str">
        <f t="shared" si="539"/>
        <v/>
      </c>
      <c r="DL117" s="11" t="str">
        <f t="shared" si="540"/>
        <v/>
      </c>
      <c r="DM117" s="328" t="str">
        <f t="shared" si="541"/>
        <v/>
      </c>
      <c r="DN117" s="376" t="str">
        <f t="shared" si="542"/>
        <v/>
      </c>
      <c r="DO117" s="11" t="str">
        <f t="shared" si="543"/>
        <v/>
      </c>
      <c r="DP117" s="328" t="str">
        <f t="shared" si="544"/>
        <v/>
      </c>
      <c r="DQ117" s="13" t="str">
        <f t="shared" si="545"/>
        <v/>
      </c>
      <c r="DR117" s="328" t="str">
        <f t="shared" si="546"/>
        <v/>
      </c>
      <c r="DS117" s="7" t="str">
        <f t="shared" si="547"/>
        <v/>
      </c>
      <c r="DT117" s="7" t="str">
        <f t="shared" si="548"/>
        <v/>
      </c>
      <c r="DU117" s="7" t="str">
        <f t="shared" si="549"/>
        <v/>
      </c>
      <c r="DV117" s="7" t="str">
        <f t="shared" si="550"/>
        <v/>
      </c>
      <c r="DW117" s="7" t="str">
        <f t="shared" si="551"/>
        <v/>
      </c>
      <c r="DX117" s="296" t="str">
        <f t="shared" si="552"/>
        <v/>
      </c>
      <c r="DY117" s="11" t="str">
        <f t="shared" si="553"/>
        <v/>
      </c>
      <c r="DZ117" s="7" t="str">
        <f t="shared" si="554"/>
        <v/>
      </c>
      <c r="EA117" s="12" t="str">
        <f t="shared" si="555"/>
        <v/>
      </c>
      <c r="EB117" s="8" t="str">
        <f t="shared" si="556"/>
        <v/>
      </c>
      <c r="EC117" s="328" t="str">
        <f t="shared" si="557"/>
        <v/>
      </c>
      <c r="ED117" s="7" t="str">
        <f t="shared" si="558"/>
        <v/>
      </c>
      <c r="EE117" s="6" t="str">
        <f t="shared" si="559"/>
        <v/>
      </c>
      <c r="EF117" s="7" t="str">
        <f t="shared" si="560"/>
        <v/>
      </c>
      <c r="EG117" s="12" t="str">
        <f t="shared" si="561"/>
        <v/>
      </c>
      <c r="EH117" s="11" t="str">
        <f t="shared" si="562"/>
        <v/>
      </c>
      <c r="EI117" s="7" t="str">
        <f t="shared" si="563"/>
        <v/>
      </c>
      <c r="EJ117" s="8" t="str">
        <f t="shared" si="564"/>
        <v/>
      </c>
      <c r="EK117" s="491" t="str">
        <f t="shared" si="565"/>
        <v/>
      </c>
      <c r="EL117" s="493" t="str">
        <f t="shared" si="566"/>
        <v/>
      </c>
      <c r="EM117" s="6" t="str">
        <f t="shared" si="567"/>
        <v/>
      </c>
      <c r="EN117" s="7" t="str">
        <f t="shared" si="568"/>
        <v/>
      </c>
      <c r="EO117" s="12" t="str">
        <f t="shared" si="569"/>
        <v/>
      </c>
      <c r="EP117" s="11" t="str">
        <f t="shared" si="570"/>
        <v/>
      </c>
      <c r="EQ117" s="7" t="str">
        <f t="shared" si="571"/>
        <v/>
      </c>
      <c r="ER117" s="9" t="str">
        <f t="shared" si="572"/>
        <v/>
      </c>
      <c r="ES117" s="24" t="str">
        <f t="shared" si="573"/>
        <v/>
      </c>
      <c r="ET117" s="7" t="str">
        <f t="shared" si="574"/>
        <v/>
      </c>
      <c r="EU117" s="12" t="str">
        <f t="shared" si="575"/>
        <v/>
      </c>
      <c r="EV117" s="337" t="str">
        <f t="shared" si="620"/>
        <v/>
      </c>
      <c r="EW117" s="11" t="str">
        <f t="shared" si="621"/>
        <v/>
      </c>
      <c r="EX117" s="7" t="str">
        <f t="shared" si="622"/>
        <v/>
      </c>
      <c r="EY117" s="8" t="str">
        <f t="shared" si="576"/>
        <v/>
      </c>
      <c r="EZ117" s="123" t="str">
        <f t="shared" si="577"/>
        <v/>
      </c>
      <c r="FA117" s="328" t="str">
        <f t="shared" si="623"/>
        <v/>
      </c>
      <c r="FB117" s="7" t="str">
        <f t="shared" si="624"/>
        <v/>
      </c>
      <c r="FC117" s="8" t="str">
        <f t="shared" si="625"/>
        <v/>
      </c>
      <c r="FD117" s="6" t="str">
        <f t="shared" si="626"/>
        <v/>
      </c>
      <c r="FE117" s="7" t="str">
        <f t="shared" si="627"/>
        <v/>
      </c>
      <c r="FF117" s="9" t="str">
        <f t="shared" si="578"/>
        <v/>
      </c>
      <c r="FG117" s="328" t="str">
        <f t="shared" si="628"/>
        <v/>
      </c>
      <c r="FH117" s="7" t="str">
        <f t="shared" si="629"/>
        <v/>
      </c>
      <c r="FI117" s="12" t="str">
        <f t="shared" si="630"/>
        <v/>
      </c>
      <c r="FJ117" s="547" t="str">
        <f t="shared" si="579"/>
        <v/>
      </c>
      <c r="FK117" s="6" t="str">
        <f t="shared" si="631"/>
        <v/>
      </c>
      <c r="FL117" s="7" t="str">
        <f t="shared" si="491"/>
        <v/>
      </c>
      <c r="FM117" s="10" t="str">
        <f t="shared" si="492"/>
        <v/>
      </c>
      <c r="FN117" s="11" t="str">
        <f t="shared" si="493"/>
        <v/>
      </c>
      <c r="FO117" s="12" t="str">
        <f t="shared" si="632"/>
        <v/>
      </c>
      <c r="FP117" s="545" t="str">
        <f t="shared" si="494"/>
        <v/>
      </c>
      <c r="FQ117" s="328" t="str">
        <f t="shared" si="580"/>
        <v/>
      </c>
      <c r="FR117" s="12" t="str">
        <f t="shared" si="581"/>
        <v/>
      </c>
      <c r="FS117" s="11" t="str">
        <f t="shared" si="582"/>
        <v/>
      </c>
      <c r="FT117" s="8" t="str">
        <f t="shared" si="583"/>
        <v/>
      </c>
      <c r="FU117" s="6" t="str">
        <f t="shared" si="584"/>
        <v/>
      </c>
      <c r="FV117" s="7" t="str">
        <f t="shared" si="585"/>
        <v/>
      </c>
      <c r="FW117" s="10" t="str">
        <f t="shared" si="586"/>
        <v/>
      </c>
      <c r="FX117" s="11" t="str">
        <f t="shared" si="587"/>
        <v/>
      </c>
      <c r="FY117" s="12" t="str">
        <f t="shared" si="633"/>
        <v/>
      </c>
      <c r="FZ117" s="545" t="str">
        <f t="shared" si="588"/>
        <v/>
      </c>
      <c r="GA117" s="372" t="str">
        <f t="shared" si="589"/>
        <v/>
      </c>
      <c r="GB117" s="46" t="str">
        <f t="shared" si="590"/>
        <v/>
      </c>
      <c r="GC117" s="47" t="str">
        <f t="shared" si="591"/>
        <v/>
      </c>
      <c r="GD117" s="578" t="str">
        <f t="shared" si="592"/>
        <v/>
      </c>
      <c r="GE117" s="585" t="str">
        <f t="shared" si="593"/>
        <v/>
      </c>
      <c r="GF117" s="634" t="str">
        <f t="shared" si="594"/>
        <v/>
      </c>
      <c r="GG117" s="553" t="str">
        <f t="shared" si="634"/>
        <v/>
      </c>
      <c r="GH117" s="554" t="str">
        <f t="shared" si="635"/>
        <v/>
      </c>
      <c r="GI117" s="549" t="str">
        <f t="shared" si="636"/>
        <v/>
      </c>
      <c r="GJ117" s="296" t="str">
        <f t="shared" si="595"/>
        <v/>
      </c>
      <c r="GK117" s="337" t="str">
        <f t="shared" si="637"/>
        <v/>
      </c>
      <c r="GL117" s="337" t="str">
        <f t="shared" si="596"/>
        <v/>
      </c>
      <c r="GM117" s="372" t="str">
        <f t="shared" si="597"/>
        <v/>
      </c>
      <c r="GN117" s="548" t="str">
        <f t="shared" si="598"/>
        <v/>
      </c>
      <c r="GO117" s="6" t="str">
        <f t="shared" si="599"/>
        <v/>
      </c>
      <c r="GP117" s="10" t="str">
        <f t="shared" si="600"/>
        <v/>
      </c>
      <c r="GQ117" s="372" t="str">
        <f t="shared" si="601"/>
        <v/>
      </c>
      <c r="GR117" s="697" t="str">
        <f t="shared" si="602"/>
        <v/>
      </c>
      <c r="GS117" s="637" t="str">
        <f t="shared" si="638"/>
        <v/>
      </c>
      <c r="GT117" s="638" t="str">
        <f t="shared" si="639"/>
        <v/>
      </c>
      <c r="GU117" s="639" t="str">
        <f t="shared" si="640"/>
        <v/>
      </c>
      <c r="GV117" s="638" t="str">
        <f t="shared" si="603"/>
        <v/>
      </c>
      <c r="GW117" s="640" t="str">
        <f t="shared" si="641"/>
        <v/>
      </c>
      <c r="GX117" s="641" t="str">
        <f t="shared" si="642"/>
        <v/>
      </c>
      <c r="GY117" s="639" t="str">
        <f t="shared" si="643"/>
        <v/>
      </c>
      <c r="GZ117" s="640" t="str">
        <f t="shared" si="644"/>
        <v/>
      </c>
      <c r="HA117" s="637" t="str">
        <f t="shared" si="645"/>
        <v/>
      </c>
      <c r="HB117" s="7" t="str">
        <f t="shared" si="604"/>
        <v/>
      </c>
      <c r="HC117" s="638" t="str">
        <f t="shared" si="605"/>
        <v/>
      </c>
      <c r="HD117" s="682" t="str">
        <f t="shared" si="606"/>
        <v/>
      </c>
      <c r="HE117" s="639" t="str">
        <f t="shared" si="646"/>
        <v/>
      </c>
      <c r="HF117" s="7" t="str">
        <f t="shared" si="647"/>
        <v/>
      </c>
      <c r="HG117" s="638" t="str">
        <f t="shared" si="607"/>
        <v/>
      </c>
      <c r="HH117" s="644" t="str">
        <f t="shared" si="608"/>
        <v/>
      </c>
      <c r="HI117" s="596" t="str">
        <f t="shared" si="609"/>
        <v/>
      </c>
      <c r="HK117" s="584" t="str">
        <f t="shared" si="619"/>
        <v/>
      </c>
      <c r="HL117" s="583" t="str">
        <f t="shared" si="676"/>
        <v/>
      </c>
      <c r="HM117" s="643" t="str">
        <f t="shared" si="679"/>
        <v/>
      </c>
      <c r="HN117" s="660" t="str">
        <f t="shared" si="679"/>
        <v/>
      </c>
      <c r="HO117" s="661" t="str">
        <f t="shared" si="679"/>
        <v/>
      </c>
      <c r="HP117" s="656" t="str">
        <f t="shared" si="679"/>
        <v/>
      </c>
      <c r="HQ117" s="660" t="str">
        <f t="shared" si="679"/>
        <v/>
      </c>
      <c r="HR117" s="671" t="str">
        <f t="shared" si="679"/>
        <v/>
      </c>
      <c r="HS117" s="655" t="str">
        <f t="shared" si="679"/>
        <v/>
      </c>
      <c r="HT117" s="648" t="str">
        <f t="shared" si="679"/>
        <v/>
      </c>
      <c r="HU117" s="649" t="str">
        <f t="shared" si="679"/>
        <v/>
      </c>
      <c r="HV117" s="650" t="str">
        <f t="shared" si="679"/>
        <v/>
      </c>
      <c r="HW117" s="648" t="str">
        <f t="shared" si="679"/>
        <v/>
      </c>
      <c r="HX117" s="649" t="str">
        <f t="shared" si="679"/>
        <v/>
      </c>
      <c r="HY117" s="650" t="str">
        <f t="shared" si="679"/>
        <v/>
      </c>
      <c r="HZ117" s="648" t="str">
        <f t="shared" si="679"/>
        <v/>
      </c>
      <c r="IA117" s="649" t="str">
        <f t="shared" si="679"/>
        <v/>
      </c>
      <c r="IB117" s="716"/>
    </row>
    <row r="118" spans="2:236" ht="15" customHeight="1" x14ac:dyDescent="0.25">
      <c r="B118" s="143"/>
      <c r="C118" s="144"/>
      <c r="D118" s="145"/>
      <c r="E118" s="146"/>
      <c r="F118" s="144"/>
      <c r="G118" s="147"/>
      <c r="H118" s="146"/>
      <c r="I118" s="144"/>
      <c r="J118" s="306"/>
      <c r="K118" s="699" t="str">
        <f t="shared" si="610"/>
        <v/>
      </c>
      <c r="M118" s="292" t="str">
        <f t="shared" si="648"/>
        <v/>
      </c>
      <c r="N118" s="24" t="str">
        <f t="shared" si="649"/>
        <v/>
      </c>
      <c r="O118" s="7" t="str">
        <f t="shared" si="650"/>
        <v/>
      </c>
      <c r="P118" s="12" t="str">
        <f t="shared" si="651"/>
        <v/>
      </c>
      <c r="Q118" s="11" t="str">
        <f t="shared" si="473"/>
        <v/>
      </c>
      <c r="R118" s="7" t="str">
        <f t="shared" si="652"/>
        <v/>
      </c>
      <c r="S118" s="8" t="str">
        <f t="shared" si="653"/>
        <v/>
      </c>
      <c r="T118" s="6" t="str">
        <f t="shared" si="654"/>
        <v/>
      </c>
      <c r="U118" s="7" t="str">
        <f t="shared" si="655"/>
        <v/>
      </c>
      <c r="V118" s="10" t="str">
        <f t="shared" si="656"/>
        <v/>
      </c>
      <c r="W118" s="11" t="str">
        <f t="shared" si="614"/>
        <v/>
      </c>
      <c r="X118" s="7" t="str">
        <f t="shared" si="657"/>
        <v/>
      </c>
      <c r="Y118" s="9" t="str">
        <f t="shared" si="611"/>
        <v/>
      </c>
      <c r="Z118" s="24" t="str">
        <f t="shared" si="658"/>
        <v/>
      </c>
      <c r="AA118" s="7" t="str">
        <f t="shared" si="659"/>
        <v/>
      </c>
      <c r="AB118" s="7" t="str">
        <f t="shared" si="660"/>
        <v/>
      </c>
      <c r="AC118" s="10" t="str">
        <f t="shared" si="661"/>
        <v/>
      </c>
      <c r="AD118" s="11" t="str">
        <f t="shared" si="662"/>
        <v/>
      </c>
      <c r="AE118" s="7" t="str">
        <f t="shared" si="663"/>
        <v/>
      </c>
      <c r="AF118" s="12" t="str">
        <f t="shared" si="664"/>
        <v/>
      </c>
      <c r="AG118" s="6" t="str">
        <f t="shared" si="665"/>
        <v/>
      </c>
      <c r="AH118" s="12" t="str">
        <f t="shared" si="666"/>
        <v/>
      </c>
      <c r="AI118" s="11" t="str">
        <f t="shared" si="667"/>
        <v/>
      </c>
      <c r="AJ118" s="8" t="str">
        <f t="shared" si="668"/>
        <v/>
      </c>
      <c r="AK118" s="6" t="str">
        <f t="shared" si="669"/>
        <v/>
      </c>
      <c r="AL118" s="7" t="str">
        <f t="shared" si="670"/>
        <v/>
      </c>
      <c r="AM118" s="8" t="str">
        <f t="shared" si="671"/>
        <v/>
      </c>
      <c r="AN118" s="6" t="str">
        <f t="shared" si="672"/>
        <v/>
      </c>
      <c r="AO118" s="10" t="str">
        <f t="shared" si="673"/>
        <v/>
      </c>
      <c r="AP118" s="11" t="str">
        <f t="shared" si="674"/>
        <v/>
      </c>
      <c r="AQ118" s="8" t="str">
        <f t="shared" si="612"/>
        <v/>
      </c>
      <c r="AS118" s="123" t="str">
        <f t="shared" si="496"/>
        <v/>
      </c>
      <c r="AT118" s="175" t="str">
        <f t="shared" si="617"/>
        <v/>
      </c>
      <c r="AV118" s="292" t="str">
        <f t="shared" si="497"/>
        <v/>
      </c>
      <c r="AW118" s="709"/>
      <c r="AX118" s="710"/>
      <c r="AY118" s="711"/>
      <c r="AZ118" s="565" t="str">
        <f t="shared" si="498"/>
        <v/>
      </c>
      <c r="BA118" s="564" t="str">
        <f t="shared" si="499"/>
        <v/>
      </c>
      <c r="BB118" s="372" t="str">
        <f t="shared" si="474"/>
        <v/>
      </c>
      <c r="BC118" s="11"/>
      <c r="BD118" s="7" t="str">
        <f t="shared" si="475"/>
        <v/>
      </c>
      <c r="BE118" s="8" t="str">
        <f t="shared" si="476"/>
        <v/>
      </c>
      <c r="BF118" s="6" t="str">
        <f t="shared" si="500"/>
        <v/>
      </c>
      <c r="BG118" s="7" t="str">
        <f t="shared" si="501"/>
        <v/>
      </c>
      <c r="BH118" s="12" t="str">
        <f t="shared" si="502"/>
        <v/>
      </c>
      <c r="BI118" s="11" t="str">
        <f t="shared" si="503"/>
        <v/>
      </c>
      <c r="BJ118" s="7" t="str">
        <f t="shared" si="504"/>
        <v/>
      </c>
      <c r="BK118" s="10" t="str">
        <f t="shared" si="505"/>
        <v/>
      </c>
      <c r="BL118" s="328" t="str">
        <f t="shared" si="506"/>
        <v/>
      </c>
      <c r="BM118" s="7" t="str">
        <f t="shared" si="507"/>
        <v/>
      </c>
      <c r="BN118" s="8" t="str">
        <f t="shared" si="508"/>
        <v/>
      </c>
      <c r="BO118" s="6" t="str">
        <f t="shared" si="509"/>
        <v/>
      </c>
      <c r="BP118" s="7" t="str">
        <f t="shared" si="510"/>
        <v/>
      </c>
      <c r="BQ118" s="7" t="str">
        <f t="shared" si="511"/>
        <v/>
      </c>
      <c r="BR118" s="8" t="str">
        <f t="shared" si="512"/>
        <v/>
      </c>
      <c r="BS118" s="6" t="str">
        <f t="shared" si="675"/>
        <v/>
      </c>
      <c r="BT118" s="7" t="str">
        <f t="shared" si="675"/>
        <v/>
      </c>
      <c r="BU118" s="12" t="str">
        <f t="shared" si="478"/>
        <v/>
      </c>
      <c r="BV118" s="11" t="str">
        <f t="shared" si="479"/>
        <v/>
      </c>
      <c r="BW118" s="7" t="str">
        <f t="shared" si="480"/>
        <v/>
      </c>
      <c r="BX118" s="10" t="str">
        <f t="shared" si="481"/>
        <v/>
      </c>
      <c r="BY118" s="328" t="str">
        <f t="shared" si="482"/>
        <v/>
      </c>
      <c r="BZ118" s="7" t="str">
        <f t="shared" si="483"/>
        <v/>
      </c>
      <c r="CA118" s="8" t="str">
        <f t="shared" si="484"/>
        <v/>
      </c>
      <c r="CB118" s="6" t="str">
        <f t="shared" si="513"/>
        <v/>
      </c>
      <c r="CC118" s="7" t="str">
        <f t="shared" si="514"/>
        <v/>
      </c>
      <c r="CD118" s="7" t="str">
        <f t="shared" si="515"/>
        <v/>
      </c>
      <c r="CE118" s="8" t="str">
        <f t="shared" si="516"/>
        <v/>
      </c>
      <c r="CF118" s="6" t="str">
        <f t="shared" si="517"/>
        <v/>
      </c>
      <c r="CG118" s="7" t="str">
        <f t="shared" si="518"/>
        <v/>
      </c>
      <c r="CH118" s="7" t="str">
        <f t="shared" si="519"/>
        <v/>
      </c>
      <c r="CI118" s="6" t="str">
        <f t="shared" si="485"/>
        <v/>
      </c>
      <c r="CJ118" s="7" t="str">
        <f t="shared" si="486"/>
        <v/>
      </c>
      <c r="CK118" s="10" t="str">
        <f t="shared" si="487"/>
        <v/>
      </c>
      <c r="CL118" s="328" t="str">
        <f t="shared" si="488"/>
        <v/>
      </c>
      <c r="CM118" s="7" t="str">
        <f t="shared" si="489"/>
        <v/>
      </c>
      <c r="CN118" s="8" t="str">
        <f t="shared" si="490"/>
        <v/>
      </c>
      <c r="CO118" s="296" t="str">
        <f t="shared" si="613"/>
        <v/>
      </c>
      <c r="CP118" s="6" t="str">
        <f t="shared" si="520"/>
        <v/>
      </c>
      <c r="CQ118" s="7" t="str">
        <f t="shared" si="521"/>
        <v/>
      </c>
      <c r="CR118" s="7" t="str">
        <f t="shared" si="522"/>
        <v/>
      </c>
      <c r="CS118" s="10" t="str">
        <f t="shared" si="523"/>
        <v/>
      </c>
      <c r="CT118" s="11" t="str">
        <f t="shared" si="524"/>
        <v/>
      </c>
      <c r="CU118" s="8" t="str">
        <f t="shared" si="525"/>
        <v/>
      </c>
      <c r="CV118" s="6" t="str">
        <f t="shared" si="526"/>
        <v/>
      </c>
      <c r="CW118" s="7" t="str">
        <f t="shared" si="527"/>
        <v/>
      </c>
      <c r="CX118" s="10" t="str">
        <f t="shared" si="528"/>
        <v/>
      </c>
      <c r="CY118" s="11" t="str">
        <f t="shared" si="529"/>
        <v/>
      </c>
      <c r="CZ118" s="7" t="str">
        <f t="shared" si="530"/>
        <v/>
      </c>
      <c r="DA118" s="8" t="str">
        <f t="shared" si="531"/>
        <v/>
      </c>
      <c r="DB118" s="6" t="str">
        <f t="shared" si="677"/>
        <v/>
      </c>
      <c r="DC118" s="7" t="str">
        <f t="shared" si="677"/>
        <v/>
      </c>
      <c r="DD118" s="12" t="str">
        <f t="shared" si="533"/>
        <v/>
      </c>
      <c r="DE118" s="11" t="str">
        <f t="shared" si="678"/>
        <v/>
      </c>
      <c r="DF118" s="7" t="str">
        <f t="shared" si="678"/>
        <v/>
      </c>
      <c r="DG118" s="12" t="str">
        <f t="shared" si="535"/>
        <v/>
      </c>
      <c r="DH118" s="174" t="str">
        <f t="shared" si="536"/>
        <v/>
      </c>
      <c r="DI118" s="6" t="str">
        <f t="shared" si="537"/>
        <v/>
      </c>
      <c r="DJ118" s="7" t="str">
        <f t="shared" si="538"/>
        <v/>
      </c>
      <c r="DK118" s="12" t="str">
        <f t="shared" si="539"/>
        <v/>
      </c>
      <c r="DL118" s="11" t="str">
        <f t="shared" si="540"/>
        <v/>
      </c>
      <c r="DM118" s="328" t="str">
        <f t="shared" si="541"/>
        <v/>
      </c>
      <c r="DN118" s="376" t="str">
        <f t="shared" si="542"/>
        <v/>
      </c>
      <c r="DO118" s="11" t="str">
        <f t="shared" si="543"/>
        <v/>
      </c>
      <c r="DP118" s="328" t="str">
        <f t="shared" si="544"/>
        <v/>
      </c>
      <c r="DQ118" s="13" t="str">
        <f t="shared" si="545"/>
        <v/>
      </c>
      <c r="DR118" s="328" t="str">
        <f t="shared" si="546"/>
        <v/>
      </c>
      <c r="DS118" s="7" t="str">
        <f t="shared" si="547"/>
        <v/>
      </c>
      <c r="DT118" s="7" t="str">
        <f t="shared" si="548"/>
        <v/>
      </c>
      <c r="DU118" s="7" t="str">
        <f t="shared" si="549"/>
        <v/>
      </c>
      <c r="DV118" s="7" t="str">
        <f t="shared" si="550"/>
        <v/>
      </c>
      <c r="DW118" s="7" t="str">
        <f t="shared" si="551"/>
        <v/>
      </c>
      <c r="DX118" s="296" t="str">
        <f t="shared" si="552"/>
        <v/>
      </c>
      <c r="DY118" s="11" t="str">
        <f t="shared" si="553"/>
        <v/>
      </c>
      <c r="DZ118" s="7" t="str">
        <f t="shared" si="554"/>
        <v/>
      </c>
      <c r="EA118" s="12" t="str">
        <f t="shared" si="555"/>
        <v/>
      </c>
      <c r="EB118" s="8" t="str">
        <f t="shared" si="556"/>
        <v/>
      </c>
      <c r="EC118" s="328" t="str">
        <f t="shared" si="557"/>
        <v/>
      </c>
      <c r="ED118" s="7" t="str">
        <f t="shared" si="558"/>
        <v/>
      </c>
      <c r="EE118" s="6" t="str">
        <f t="shared" si="559"/>
        <v/>
      </c>
      <c r="EF118" s="7" t="str">
        <f t="shared" si="560"/>
        <v/>
      </c>
      <c r="EG118" s="12" t="str">
        <f t="shared" si="561"/>
        <v/>
      </c>
      <c r="EH118" s="11" t="str">
        <f t="shared" si="562"/>
        <v/>
      </c>
      <c r="EI118" s="7" t="str">
        <f t="shared" si="563"/>
        <v/>
      </c>
      <c r="EJ118" s="8" t="str">
        <f t="shared" si="564"/>
        <v/>
      </c>
      <c r="EK118" s="491" t="str">
        <f t="shared" si="565"/>
        <v/>
      </c>
      <c r="EL118" s="493" t="str">
        <f t="shared" si="566"/>
        <v/>
      </c>
      <c r="EM118" s="6" t="str">
        <f t="shared" si="567"/>
        <v/>
      </c>
      <c r="EN118" s="7" t="str">
        <f t="shared" si="568"/>
        <v/>
      </c>
      <c r="EO118" s="12" t="str">
        <f t="shared" si="569"/>
        <v/>
      </c>
      <c r="EP118" s="11" t="str">
        <f t="shared" si="570"/>
        <v/>
      </c>
      <c r="EQ118" s="7" t="str">
        <f t="shared" si="571"/>
        <v/>
      </c>
      <c r="ER118" s="9" t="str">
        <f t="shared" si="572"/>
        <v/>
      </c>
      <c r="ES118" s="24" t="str">
        <f t="shared" si="573"/>
        <v/>
      </c>
      <c r="ET118" s="7" t="str">
        <f t="shared" si="574"/>
        <v/>
      </c>
      <c r="EU118" s="12" t="str">
        <f t="shared" si="575"/>
        <v/>
      </c>
      <c r="EV118" s="337" t="str">
        <f t="shared" si="620"/>
        <v/>
      </c>
      <c r="EW118" s="11" t="str">
        <f t="shared" si="621"/>
        <v/>
      </c>
      <c r="EX118" s="7" t="str">
        <f t="shared" si="622"/>
        <v/>
      </c>
      <c r="EY118" s="8" t="str">
        <f t="shared" si="576"/>
        <v/>
      </c>
      <c r="EZ118" s="123" t="str">
        <f t="shared" si="577"/>
        <v/>
      </c>
      <c r="FA118" s="328" t="str">
        <f t="shared" si="623"/>
        <v/>
      </c>
      <c r="FB118" s="7" t="str">
        <f t="shared" si="624"/>
        <v/>
      </c>
      <c r="FC118" s="8" t="str">
        <f t="shared" si="625"/>
        <v/>
      </c>
      <c r="FD118" s="6" t="str">
        <f t="shared" si="626"/>
        <v/>
      </c>
      <c r="FE118" s="7" t="str">
        <f t="shared" si="627"/>
        <v/>
      </c>
      <c r="FF118" s="9" t="str">
        <f t="shared" si="578"/>
        <v/>
      </c>
      <c r="FG118" s="328" t="str">
        <f t="shared" si="628"/>
        <v/>
      </c>
      <c r="FH118" s="7" t="str">
        <f t="shared" si="629"/>
        <v/>
      </c>
      <c r="FI118" s="12" t="str">
        <f t="shared" si="630"/>
        <v/>
      </c>
      <c r="FJ118" s="547" t="str">
        <f t="shared" si="579"/>
        <v/>
      </c>
      <c r="FK118" s="6" t="str">
        <f t="shared" si="631"/>
        <v/>
      </c>
      <c r="FL118" s="7" t="str">
        <f t="shared" si="491"/>
        <v/>
      </c>
      <c r="FM118" s="10" t="str">
        <f t="shared" si="492"/>
        <v/>
      </c>
      <c r="FN118" s="11" t="str">
        <f t="shared" si="493"/>
        <v/>
      </c>
      <c r="FO118" s="12" t="str">
        <f t="shared" si="632"/>
        <v/>
      </c>
      <c r="FP118" s="545" t="str">
        <f t="shared" si="494"/>
        <v/>
      </c>
      <c r="FQ118" s="328" t="str">
        <f t="shared" si="580"/>
        <v/>
      </c>
      <c r="FR118" s="12" t="str">
        <f t="shared" si="581"/>
        <v/>
      </c>
      <c r="FS118" s="11" t="str">
        <f t="shared" si="582"/>
        <v/>
      </c>
      <c r="FT118" s="8" t="str">
        <f t="shared" si="583"/>
        <v/>
      </c>
      <c r="FU118" s="6" t="str">
        <f t="shared" si="584"/>
        <v/>
      </c>
      <c r="FV118" s="7" t="str">
        <f t="shared" si="585"/>
        <v/>
      </c>
      <c r="FW118" s="10" t="str">
        <f t="shared" si="586"/>
        <v/>
      </c>
      <c r="FX118" s="11" t="str">
        <f t="shared" si="587"/>
        <v/>
      </c>
      <c r="FY118" s="12" t="str">
        <f t="shared" si="633"/>
        <v/>
      </c>
      <c r="FZ118" s="545" t="str">
        <f t="shared" si="588"/>
        <v/>
      </c>
      <c r="GA118" s="372" t="str">
        <f t="shared" si="589"/>
        <v/>
      </c>
      <c r="GB118" s="46" t="str">
        <f t="shared" si="590"/>
        <v/>
      </c>
      <c r="GC118" s="47" t="str">
        <f t="shared" si="591"/>
        <v/>
      </c>
      <c r="GD118" s="578" t="str">
        <f t="shared" si="592"/>
        <v/>
      </c>
      <c r="GE118" s="585" t="str">
        <f t="shared" si="593"/>
        <v/>
      </c>
      <c r="GF118" s="634" t="str">
        <f t="shared" si="594"/>
        <v/>
      </c>
      <c r="GG118" s="553" t="str">
        <f t="shared" si="634"/>
        <v/>
      </c>
      <c r="GH118" s="554" t="str">
        <f t="shared" si="635"/>
        <v/>
      </c>
      <c r="GI118" s="549" t="str">
        <f t="shared" si="636"/>
        <v/>
      </c>
      <c r="GJ118" s="296" t="str">
        <f t="shared" si="595"/>
        <v/>
      </c>
      <c r="GK118" s="337" t="str">
        <f t="shared" si="637"/>
        <v/>
      </c>
      <c r="GL118" s="337" t="str">
        <f t="shared" si="596"/>
        <v/>
      </c>
      <c r="GM118" s="372" t="str">
        <f t="shared" si="597"/>
        <v/>
      </c>
      <c r="GN118" s="548" t="str">
        <f t="shared" si="598"/>
        <v/>
      </c>
      <c r="GO118" s="6" t="str">
        <f t="shared" si="599"/>
        <v/>
      </c>
      <c r="GP118" s="10" t="str">
        <f t="shared" si="600"/>
        <v/>
      </c>
      <c r="GQ118" s="372" t="str">
        <f t="shared" si="601"/>
        <v/>
      </c>
      <c r="GR118" s="697" t="str">
        <f t="shared" si="602"/>
        <v/>
      </c>
      <c r="GS118" s="637" t="str">
        <f t="shared" si="638"/>
        <v/>
      </c>
      <c r="GT118" s="638" t="str">
        <f t="shared" si="639"/>
        <v/>
      </c>
      <c r="GU118" s="639" t="str">
        <f t="shared" si="640"/>
        <v/>
      </c>
      <c r="GV118" s="638" t="str">
        <f t="shared" si="603"/>
        <v/>
      </c>
      <c r="GW118" s="640" t="str">
        <f t="shared" si="641"/>
        <v/>
      </c>
      <c r="GX118" s="641" t="str">
        <f t="shared" si="642"/>
        <v/>
      </c>
      <c r="GY118" s="639" t="str">
        <f t="shared" si="643"/>
        <v/>
      </c>
      <c r="GZ118" s="640" t="str">
        <f t="shared" si="644"/>
        <v/>
      </c>
      <c r="HA118" s="637" t="str">
        <f t="shared" si="645"/>
        <v/>
      </c>
      <c r="HB118" s="7" t="str">
        <f t="shared" si="604"/>
        <v/>
      </c>
      <c r="HC118" s="638" t="str">
        <f t="shared" si="605"/>
        <v/>
      </c>
      <c r="HD118" s="682" t="str">
        <f t="shared" si="606"/>
        <v/>
      </c>
      <c r="HE118" s="639" t="str">
        <f t="shared" si="646"/>
        <v/>
      </c>
      <c r="HF118" s="7" t="str">
        <f t="shared" si="647"/>
        <v/>
      </c>
      <c r="HG118" s="638" t="str">
        <f t="shared" si="607"/>
        <v/>
      </c>
      <c r="HH118" s="644" t="str">
        <f t="shared" si="608"/>
        <v/>
      </c>
      <c r="HI118" s="596" t="str">
        <f t="shared" si="609"/>
        <v/>
      </c>
      <c r="HK118" s="584" t="str">
        <f t="shared" si="619"/>
        <v/>
      </c>
      <c r="HL118" s="583" t="str">
        <f t="shared" si="676"/>
        <v/>
      </c>
      <c r="HM118" s="643" t="str">
        <f t="shared" si="679"/>
        <v/>
      </c>
      <c r="HN118" s="660" t="str">
        <f t="shared" si="679"/>
        <v/>
      </c>
      <c r="HO118" s="661" t="str">
        <f t="shared" si="679"/>
        <v/>
      </c>
      <c r="HP118" s="656" t="str">
        <f t="shared" si="679"/>
        <v/>
      </c>
      <c r="HQ118" s="660" t="str">
        <f t="shared" si="679"/>
        <v/>
      </c>
      <c r="HR118" s="671" t="str">
        <f t="shared" si="679"/>
        <v/>
      </c>
      <c r="HS118" s="655" t="str">
        <f t="shared" si="679"/>
        <v/>
      </c>
      <c r="HT118" s="648" t="str">
        <f t="shared" si="679"/>
        <v/>
      </c>
      <c r="HU118" s="649" t="str">
        <f t="shared" si="679"/>
        <v/>
      </c>
      <c r="HV118" s="650" t="str">
        <f t="shared" si="679"/>
        <v/>
      </c>
      <c r="HW118" s="648" t="str">
        <f t="shared" si="679"/>
        <v/>
      </c>
      <c r="HX118" s="649" t="str">
        <f t="shared" si="679"/>
        <v/>
      </c>
      <c r="HY118" s="650" t="str">
        <f t="shared" si="679"/>
        <v/>
      </c>
      <c r="HZ118" s="648" t="str">
        <f t="shared" si="679"/>
        <v/>
      </c>
      <c r="IA118" s="649" t="str">
        <f t="shared" si="679"/>
        <v/>
      </c>
      <c r="IB118" s="716"/>
    </row>
    <row r="119" spans="2:236" ht="15" customHeight="1" x14ac:dyDescent="0.25">
      <c r="B119" s="143"/>
      <c r="C119" s="144"/>
      <c r="D119" s="145"/>
      <c r="E119" s="146"/>
      <c r="F119" s="144"/>
      <c r="G119" s="147"/>
      <c r="H119" s="146"/>
      <c r="I119" s="144"/>
      <c r="J119" s="306"/>
      <c r="K119" s="699" t="str">
        <f t="shared" si="610"/>
        <v/>
      </c>
      <c r="M119" s="292" t="str">
        <f t="shared" si="648"/>
        <v/>
      </c>
      <c r="N119" s="24" t="str">
        <f t="shared" si="649"/>
        <v/>
      </c>
      <c r="O119" s="7" t="str">
        <f t="shared" si="650"/>
        <v/>
      </c>
      <c r="P119" s="12" t="str">
        <f t="shared" si="651"/>
        <v/>
      </c>
      <c r="Q119" s="11" t="str">
        <f t="shared" si="473"/>
        <v/>
      </c>
      <c r="R119" s="7" t="str">
        <f t="shared" si="652"/>
        <v/>
      </c>
      <c r="S119" s="8" t="str">
        <f t="shared" si="653"/>
        <v/>
      </c>
      <c r="T119" s="6" t="str">
        <f t="shared" si="654"/>
        <v/>
      </c>
      <c r="U119" s="7" t="str">
        <f t="shared" si="655"/>
        <v/>
      </c>
      <c r="V119" s="10" t="str">
        <f t="shared" si="656"/>
        <v/>
      </c>
      <c r="W119" s="11" t="str">
        <f t="shared" si="614"/>
        <v/>
      </c>
      <c r="X119" s="7" t="str">
        <f t="shared" si="657"/>
        <v/>
      </c>
      <c r="Y119" s="9" t="str">
        <f t="shared" si="611"/>
        <v/>
      </c>
      <c r="Z119" s="24" t="str">
        <f t="shared" si="658"/>
        <v/>
      </c>
      <c r="AA119" s="7" t="str">
        <f t="shared" si="659"/>
        <v/>
      </c>
      <c r="AB119" s="7" t="str">
        <f t="shared" si="660"/>
        <v/>
      </c>
      <c r="AC119" s="10" t="str">
        <f t="shared" si="661"/>
        <v/>
      </c>
      <c r="AD119" s="11" t="str">
        <f t="shared" si="662"/>
        <v/>
      </c>
      <c r="AE119" s="7" t="str">
        <f t="shared" si="663"/>
        <v/>
      </c>
      <c r="AF119" s="12" t="str">
        <f t="shared" si="664"/>
        <v/>
      </c>
      <c r="AG119" s="6" t="str">
        <f t="shared" si="665"/>
        <v/>
      </c>
      <c r="AH119" s="12" t="str">
        <f t="shared" si="666"/>
        <v/>
      </c>
      <c r="AI119" s="11" t="str">
        <f t="shared" si="667"/>
        <v/>
      </c>
      <c r="AJ119" s="8" t="str">
        <f t="shared" si="668"/>
        <v/>
      </c>
      <c r="AK119" s="6" t="str">
        <f t="shared" si="669"/>
        <v/>
      </c>
      <c r="AL119" s="7" t="str">
        <f t="shared" si="670"/>
        <v/>
      </c>
      <c r="AM119" s="8" t="str">
        <f t="shared" si="671"/>
        <v/>
      </c>
      <c r="AN119" s="6" t="str">
        <f t="shared" si="672"/>
        <v/>
      </c>
      <c r="AO119" s="10" t="str">
        <f t="shared" si="673"/>
        <v/>
      </c>
      <c r="AP119" s="11" t="str">
        <f t="shared" si="674"/>
        <v/>
      </c>
      <c r="AQ119" s="8" t="str">
        <f t="shared" si="612"/>
        <v/>
      </c>
      <c r="AS119" s="123" t="str">
        <f t="shared" si="496"/>
        <v/>
      </c>
      <c r="AT119" s="175" t="str">
        <f t="shared" si="617"/>
        <v/>
      </c>
      <c r="AV119" s="292" t="str">
        <f t="shared" si="497"/>
        <v/>
      </c>
      <c r="AW119" s="709"/>
      <c r="AX119" s="710"/>
      <c r="AY119" s="711"/>
      <c r="AZ119" s="565" t="str">
        <f t="shared" si="498"/>
        <v/>
      </c>
      <c r="BA119" s="564" t="str">
        <f t="shared" si="499"/>
        <v/>
      </c>
      <c r="BB119" s="372" t="str">
        <f t="shared" si="474"/>
        <v/>
      </c>
      <c r="BC119" s="11"/>
      <c r="BD119" s="7" t="str">
        <f t="shared" si="475"/>
        <v/>
      </c>
      <c r="BE119" s="8" t="str">
        <f t="shared" si="476"/>
        <v/>
      </c>
      <c r="BF119" s="6" t="str">
        <f t="shared" si="500"/>
        <v/>
      </c>
      <c r="BG119" s="7" t="str">
        <f t="shared" si="501"/>
        <v/>
      </c>
      <c r="BH119" s="12" t="str">
        <f t="shared" si="502"/>
        <v/>
      </c>
      <c r="BI119" s="11" t="str">
        <f t="shared" si="503"/>
        <v/>
      </c>
      <c r="BJ119" s="7" t="str">
        <f t="shared" si="504"/>
        <v/>
      </c>
      <c r="BK119" s="10" t="str">
        <f t="shared" si="505"/>
        <v/>
      </c>
      <c r="BL119" s="328" t="str">
        <f t="shared" si="506"/>
        <v/>
      </c>
      <c r="BM119" s="7" t="str">
        <f t="shared" si="507"/>
        <v/>
      </c>
      <c r="BN119" s="8" t="str">
        <f t="shared" si="508"/>
        <v/>
      </c>
      <c r="BO119" s="6" t="str">
        <f t="shared" si="509"/>
        <v/>
      </c>
      <c r="BP119" s="7" t="str">
        <f t="shared" si="510"/>
        <v/>
      </c>
      <c r="BQ119" s="7" t="str">
        <f t="shared" si="511"/>
        <v/>
      </c>
      <c r="BR119" s="8" t="str">
        <f t="shared" si="512"/>
        <v/>
      </c>
      <c r="BS119" s="6" t="str">
        <f t="shared" si="675"/>
        <v/>
      </c>
      <c r="BT119" s="7" t="str">
        <f t="shared" si="675"/>
        <v/>
      </c>
      <c r="BU119" s="12" t="str">
        <f t="shared" si="478"/>
        <v/>
      </c>
      <c r="BV119" s="11" t="str">
        <f t="shared" si="479"/>
        <v/>
      </c>
      <c r="BW119" s="7" t="str">
        <f t="shared" si="480"/>
        <v/>
      </c>
      <c r="BX119" s="10" t="str">
        <f t="shared" si="481"/>
        <v/>
      </c>
      <c r="BY119" s="328" t="str">
        <f t="shared" si="482"/>
        <v/>
      </c>
      <c r="BZ119" s="7" t="str">
        <f t="shared" si="483"/>
        <v/>
      </c>
      <c r="CA119" s="8" t="str">
        <f t="shared" si="484"/>
        <v/>
      </c>
      <c r="CB119" s="6" t="str">
        <f t="shared" si="513"/>
        <v/>
      </c>
      <c r="CC119" s="7" t="str">
        <f t="shared" si="514"/>
        <v/>
      </c>
      <c r="CD119" s="7" t="str">
        <f t="shared" si="515"/>
        <v/>
      </c>
      <c r="CE119" s="8" t="str">
        <f t="shared" si="516"/>
        <v/>
      </c>
      <c r="CF119" s="6" t="str">
        <f t="shared" si="517"/>
        <v/>
      </c>
      <c r="CG119" s="7" t="str">
        <f t="shared" si="518"/>
        <v/>
      </c>
      <c r="CH119" s="7" t="str">
        <f t="shared" si="519"/>
        <v/>
      </c>
      <c r="CI119" s="6" t="str">
        <f t="shared" si="485"/>
        <v/>
      </c>
      <c r="CJ119" s="7" t="str">
        <f t="shared" si="486"/>
        <v/>
      </c>
      <c r="CK119" s="10" t="str">
        <f t="shared" si="487"/>
        <v/>
      </c>
      <c r="CL119" s="328" t="str">
        <f t="shared" si="488"/>
        <v/>
      </c>
      <c r="CM119" s="7" t="str">
        <f t="shared" si="489"/>
        <v/>
      </c>
      <c r="CN119" s="8" t="str">
        <f t="shared" si="490"/>
        <v/>
      </c>
      <c r="CO119" s="296" t="str">
        <f t="shared" si="613"/>
        <v/>
      </c>
      <c r="CP119" s="6" t="str">
        <f t="shared" si="520"/>
        <v/>
      </c>
      <c r="CQ119" s="7" t="str">
        <f t="shared" si="521"/>
        <v/>
      </c>
      <c r="CR119" s="7" t="str">
        <f t="shared" si="522"/>
        <v/>
      </c>
      <c r="CS119" s="10" t="str">
        <f t="shared" si="523"/>
        <v/>
      </c>
      <c r="CT119" s="11" t="str">
        <f t="shared" si="524"/>
        <v/>
      </c>
      <c r="CU119" s="8" t="str">
        <f t="shared" si="525"/>
        <v/>
      </c>
      <c r="CV119" s="6" t="str">
        <f t="shared" si="526"/>
        <v/>
      </c>
      <c r="CW119" s="7" t="str">
        <f t="shared" si="527"/>
        <v/>
      </c>
      <c r="CX119" s="10" t="str">
        <f t="shared" si="528"/>
        <v/>
      </c>
      <c r="CY119" s="11" t="str">
        <f t="shared" si="529"/>
        <v/>
      </c>
      <c r="CZ119" s="7" t="str">
        <f t="shared" si="530"/>
        <v/>
      </c>
      <c r="DA119" s="8" t="str">
        <f t="shared" si="531"/>
        <v/>
      </c>
      <c r="DB119" s="6" t="str">
        <f t="shared" si="677"/>
        <v/>
      </c>
      <c r="DC119" s="7" t="str">
        <f t="shared" si="677"/>
        <v/>
      </c>
      <c r="DD119" s="12" t="str">
        <f t="shared" si="533"/>
        <v/>
      </c>
      <c r="DE119" s="11" t="str">
        <f t="shared" si="678"/>
        <v/>
      </c>
      <c r="DF119" s="7" t="str">
        <f t="shared" si="678"/>
        <v/>
      </c>
      <c r="DG119" s="12" t="str">
        <f t="shared" si="535"/>
        <v/>
      </c>
      <c r="DH119" s="174" t="str">
        <f t="shared" si="536"/>
        <v/>
      </c>
      <c r="DI119" s="6" t="str">
        <f t="shared" si="537"/>
        <v/>
      </c>
      <c r="DJ119" s="7" t="str">
        <f t="shared" si="538"/>
        <v/>
      </c>
      <c r="DK119" s="12" t="str">
        <f t="shared" si="539"/>
        <v/>
      </c>
      <c r="DL119" s="11" t="str">
        <f t="shared" si="540"/>
        <v/>
      </c>
      <c r="DM119" s="328" t="str">
        <f t="shared" si="541"/>
        <v/>
      </c>
      <c r="DN119" s="376" t="str">
        <f t="shared" si="542"/>
        <v/>
      </c>
      <c r="DO119" s="11" t="str">
        <f t="shared" si="543"/>
        <v/>
      </c>
      <c r="DP119" s="328" t="str">
        <f t="shared" si="544"/>
        <v/>
      </c>
      <c r="DQ119" s="13" t="str">
        <f t="shared" si="545"/>
        <v/>
      </c>
      <c r="DR119" s="328" t="str">
        <f t="shared" si="546"/>
        <v/>
      </c>
      <c r="DS119" s="7" t="str">
        <f t="shared" si="547"/>
        <v/>
      </c>
      <c r="DT119" s="7" t="str">
        <f t="shared" si="548"/>
        <v/>
      </c>
      <c r="DU119" s="7" t="str">
        <f t="shared" si="549"/>
        <v/>
      </c>
      <c r="DV119" s="7" t="str">
        <f t="shared" si="550"/>
        <v/>
      </c>
      <c r="DW119" s="7" t="str">
        <f t="shared" si="551"/>
        <v/>
      </c>
      <c r="DX119" s="296" t="str">
        <f t="shared" si="552"/>
        <v/>
      </c>
      <c r="DY119" s="11" t="str">
        <f t="shared" si="553"/>
        <v/>
      </c>
      <c r="DZ119" s="7" t="str">
        <f t="shared" si="554"/>
        <v/>
      </c>
      <c r="EA119" s="12" t="str">
        <f t="shared" si="555"/>
        <v/>
      </c>
      <c r="EB119" s="8" t="str">
        <f t="shared" si="556"/>
        <v/>
      </c>
      <c r="EC119" s="328" t="str">
        <f t="shared" si="557"/>
        <v/>
      </c>
      <c r="ED119" s="7" t="str">
        <f t="shared" si="558"/>
        <v/>
      </c>
      <c r="EE119" s="6" t="str">
        <f t="shared" si="559"/>
        <v/>
      </c>
      <c r="EF119" s="7" t="str">
        <f t="shared" si="560"/>
        <v/>
      </c>
      <c r="EG119" s="12" t="str">
        <f t="shared" si="561"/>
        <v/>
      </c>
      <c r="EH119" s="11" t="str">
        <f t="shared" si="562"/>
        <v/>
      </c>
      <c r="EI119" s="7" t="str">
        <f t="shared" si="563"/>
        <v/>
      </c>
      <c r="EJ119" s="8" t="str">
        <f t="shared" si="564"/>
        <v/>
      </c>
      <c r="EK119" s="491" t="str">
        <f t="shared" si="565"/>
        <v/>
      </c>
      <c r="EL119" s="493" t="str">
        <f t="shared" si="566"/>
        <v/>
      </c>
      <c r="EM119" s="6" t="str">
        <f t="shared" si="567"/>
        <v/>
      </c>
      <c r="EN119" s="7" t="str">
        <f t="shared" si="568"/>
        <v/>
      </c>
      <c r="EO119" s="12" t="str">
        <f t="shared" si="569"/>
        <v/>
      </c>
      <c r="EP119" s="11" t="str">
        <f t="shared" si="570"/>
        <v/>
      </c>
      <c r="EQ119" s="7" t="str">
        <f t="shared" si="571"/>
        <v/>
      </c>
      <c r="ER119" s="9" t="str">
        <f t="shared" si="572"/>
        <v/>
      </c>
      <c r="ES119" s="24" t="str">
        <f t="shared" si="573"/>
        <v/>
      </c>
      <c r="ET119" s="7" t="str">
        <f t="shared" si="574"/>
        <v/>
      </c>
      <c r="EU119" s="12" t="str">
        <f t="shared" si="575"/>
        <v/>
      </c>
      <c r="EV119" s="337" t="str">
        <f t="shared" si="620"/>
        <v/>
      </c>
      <c r="EW119" s="11" t="str">
        <f t="shared" si="621"/>
        <v/>
      </c>
      <c r="EX119" s="7" t="str">
        <f t="shared" si="622"/>
        <v/>
      </c>
      <c r="EY119" s="8" t="str">
        <f t="shared" si="576"/>
        <v/>
      </c>
      <c r="EZ119" s="123" t="str">
        <f t="shared" si="577"/>
        <v/>
      </c>
      <c r="FA119" s="328" t="str">
        <f t="shared" si="623"/>
        <v/>
      </c>
      <c r="FB119" s="7" t="str">
        <f t="shared" si="624"/>
        <v/>
      </c>
      <c r="FC119" s="8" t="str">
        <f t="shared" si="625"/>
        <v/>
      </c>
      <c r="FD119" s="6" t="str">
        <f t="shared" si="626"/>
        <v/>
      </c>
      <c r="FE119" s="7" t="str">
        <f t="shared" si="627"/>
        <v/>
      </c>
      <c r="FF119" s="9" t="str">
        <f t="shared" si="578"/>
        <v/>
      </c>
      <c r="FG119" s="328" t="str">
        <f t="shared" si="628"/>
        <v/>
      </c>
      <c r="FH119" s="7" t="str">
        <f t="shared" si="629"/>
        <v/>
      </c>
      <c r="FI119" s="12" t="str">
        <f t="shared" si="630"/>
        <v/>
      </c>
      <c r="FJ119" s="547" t="str">
        <f t="shared" si="579"/>
        <v/>
      </c>
      <c r="FK119" s="6" t="str">
        <f t="shared" si="631"/>
        <v/>
      </c>
      <c r="FL119" s="7" t="str">
        <f t="shared" si="491"/>
        <v/>
      </c>
      <c r="FM119" s="10" t="str">
        <f t="shared" si="492"/>
        <v/>
      </c>
      <c r="FN119" s="11" t="str">
        <f t="shared" si="493"/>
        <v/>
      </c>
      <c r="FO119" s="12" t="str">
        <f t="shared" si="632"/>
        <v/>
      </c>
      <c r="FP119" s="545" t="str">
        <f t="shared" si="494"/>
        <v/>
      </c>
      <c r="FQ119" s="328" t="str">
        <f t="shared" si="580"/>
        <v/>
      </c>
      <c r="FR119" s="12" t="str">
        <f t="shared" si="581"/>
        <v/>
      </c>
      <c r="FS119" s="11" t="str">
        <f t="shared" si="582"/>
        <v/>
      </c>
      <c r="FT119" s="8" t="str">
        <f t="shared" si="583"/>
        <v/>
      </c>
      <c r="FU119" s="6" t="str">
        <f t="shared" si="584"/>
        <v/>
      </c>
      <c r="FV119" s="7" t="str">
        <f t="shared" si="585"/>
        <v/>
      </c>
      <c r="FW119" s="10" t="str">
        <f t="shared" si="586"/>
        <v/>
      </c>
      <c r="FX119" s="11" t="str">
        <f t="shared" si="587"/>
        <v/>
      </c>
      <c r="FY119" s="12" t="str">
        <f t="shared" si="633"/>
        <v/>
      </c>
      <c r="FZ119" s="545" t="str">
        <f t="shared" si="588"/>
        <v/>
      </c>
      <c r="GA119" s="372" t="str">
        <f t="shared" si="589"/>
        <v/>
      </c>
      <c r="GB119" s="46" t="str">
        <f t="shared" si="590"/>
        <v/>
      </c>
      <c r="GC119" s="47" t="str">
        <f t="shared" si="591"/>
        <v/>
      </c>
      <c r="GD119" s="578" t="str">
        <f t="shared" si="592"/>
        <v/>
      </c>
      <c r="GE119" s="585" t="str">
        <f t="shared" si="593"/>
        <v/>
      </c>
      <c r="GF119" s="634" t="str">
        <f t="shared" si="594"/>
        <v/>
      </c>
      <c r="GG119" s="553" t="str">
        <f t="shared" si="634"/>
        <v/>
      </c>
      <c r="GH119" s="554" t="str">
        <f t="shared" si="635"/>
        <v/>
      </c>
      <c r="GI119" s="549" t="str">
        <f t="shared" si="636"/>
        <v/>
      </c>
      <c r="GJ119" s="296" t="str">
        <f t="shared" si="595"/>
        <v/>
      </c>
      <c r="GK119" s="337" t="str">
        <f t="shared" si="637"/>
        <v/>
      </c>
      <c r="GL119" s="337" t="str">
        <f t="shared" si="596"/>
        <v/>
      </c>
      <c r="GM119" s="372" t="str">
        <f t="shared" si="597"/>
        <v/>
      </c>
      <c r="GN119" s="548" t="str">
        <f t="shared" si="598"/>
        <v/>
      </c>
      <c r="GO119" s="6" t="str">
        <f t="shared" si="599"/>
        <v/>
      </c>
      <c r="GP119" s="10" t="str">
        <f t="shared" si="600"/>
        <v/>
      </c>
      <c r="GQ119" s="372" t="str">
        <f t="shared" si="601"/>
        <v/>
      </c>
      <c r="GR119" s="697" t="str">
        <f t="shared" si="602"/>
        <v/>
      </c>
      <c r="GS119" s="637" t="str">
        <f t="shared" si="638"/>
        <v/>
      </c>
      <c r="GT119" s="638" t="str">
        <f t="shared" si="639"/>
        <v/>
      </c>
      <c r="GU119" s="639" t="str">
        <f t="shared" si="640"/>
        <v/>
      </c>
      <c r="GV119" s="638" t="str">
        <f t="shared" si="603"/>
        <v/>
      </c>
      <c r="GW119" s="640" t="str">
        <f t="shared" si="641"/>
        <v/>
      </c>
      <c r="GX119" s="641" t="str">
        <f t="shared" si="642"/>
        <v/>
      </c>
      <c r="GY119" s="639" t="str">
        <f t="shared" si="643"/>
        <v/>
      </c>
      <c r="GZ119" s="640" t="str">
        <f t="shared" si="644"/>
        <v/>
      </c>
      <c r="HA119" s="637" t="str">
        <f t="shared" si="645"/>
        <v/>
      </c>
      <c r="HB119" s="7" t="str">
        <f t="shared" si="604"/>
        <v/>
      </c>
      <c r="HC119" s="638" t="str">
        <f t="shared" si="605"/>
        <v/>
      </c>
      <c r="HD119" s="682" t="str">
        <f t="shared" si="606"/>
        <v/>
      </c>
      <c r="HE119" s="639" t="str">
        <f t="shared" si="646"/>
        <v/>
      </c>
      <c r="HF119" s="7" t="str">
        <f t="shared" si="647"/>
        <v/>
      </c>
      <c r="HG119" s="638" t="str">
        <f t="shared" si="607"/>
        <v/>
      </c>
      <c r="HH119" s="644" t="str">
        <f t="shared" si="608"/>
        <v/>
      </c>
      <c r="HI119" s="596" t="str">
        <f t="shared" si="609"/>
        <v/>
      </c>
      <c r="HK119" s="584" t="str">
        <f t="shared" si="619"/>
        <v/>
      </c>
      <c r="HL119" s="583" t="str">
        <f t="shared" si="676"/>
        <v/>
      </c>
      <c r="HM119" s="643" t="str">
        <f t="shared" ref="HM119:IA130" si="680">IF(ISNUMBER($HL119),VLOOKUP($HL119,$GJ$9:$HI$130,HM$1,FALSE),"")</f>
        <v/>
      </c>
      <c r="HN119" s="660" t="str">
        <f t="shared" si="680"/>
        <v/>
      </c>
      <c r="HO119" s="661" t="str">
        <f t="shared" si="680"/>
        <v/>
      </c>
      <c r="HP119" s="656" t="str">
        <f t="shared" si="680"/>
        <v/>
      </c>
      <c r="HQ119" s="660" t="str">
        <f t="shared" si="680"/>
        <v/>
      </c>
      <c r="HR119" s="671" t="str">
        <f t="shared" si="680"/>
        <v/>
      </c>
      <c r="HS119" s="655" t="str">
        <f t="shared" si="680"/>
        <v/>
      </c>
      <c r="HT119" s="648" t="str">
        <f t="shared" si="680"/>
        <v/>
      </c>
      <c r="HU119" s="649" t="str">
        <f t="shared" si="680"/>
        <v/>
      </c>
      <c r="HV119" s="650" t="str">
        <f t="shared" si="680"/>
        <v/>
      </c>
      <c r="HW119" s="648" t="str">
        <f t="shared" si="680"/>
        <v/>
      </c>
      <c r="HX119" s="649" t="str">
        <f t="shared" si="680"/>
        <v/>
      </c>
      <c r="HY119" s="650" t="str">
        <f t="shared" si="680"/>
        <v/>
      </c>
      <c r="HZ119" s="648" t="str">
        <f t="shared" si="680"/>
        <v/>
      </c>
      <c r="IA119" s="649" t="str">
        <f t="shared" si="680"/>
        <v/>
      </c>
      <c r="IB119" s="716"/>
    </row>
    <row r="120" spans="2:236" ht="15" customHeight="1" x14ac:dyDescent="0.25">
      <c r="B120" s="143"/>
      <c r="C120" s="144"/>
      <c r="D120" s="145"/>
      <c r="E120" s="146"/>
      <c r="F120" s="144"/>
      <c r="G120" s="147"/>
      <c r="H120" s="146"/>
      <c r="I120" s="144"/>
      <c r="J120" s="306"/>
      <c r="K120" s="699" t="str">
        <f t="shared" si="610"/>
        <v/>
      </c>
      <c r="M120" s="292" t="str">
        <f t="shared" si="648"/>
        <v/>
      </c>
      <c r="N120" s="24" t="str">
        <f t="shared" si="649"/>
        <v/>
      </c>
      <c r="O120" s="7" t="str">
        <f t="shared" si="650"/>
        <v/>
      </c>
      <c r="P120" s="12" t="str">
        <f t="shared" si="651"/>
        <v/>
      </c>
      <c r="Q120" s="11" t="str">
        <f t="shared" si="473"/>
        <v/>
      </c>
      <c r="R120" s="7" t="str">
        <f t="shared" si="652"/>
        <v/>
      </c>
      <c r="S120" s="8" t="str">
        <f t="shared" si="653"/>
        <v/>
      </c>
      <c r="T120" s="6" t="str">
        <f t="shared" si="654"/>
        <v/>
      </c>
      <c r="U120" s="7" t="str">
        <f t="shared" si="655"/>
        <v/>
      </c>
      <c r="V120" s="10" t="str">
        <f t="shared" si="656"/>
        <v/>
      </c>
      <c r="W120" s="11" t="str">
        <f t="shared" si="614"/>
        <v/>
      </c>
      <c r="X120" s="7" t="str">
        <f t="shared" si="657"/>
        <v/>
      </c>
      <c r="Y120" s="9" t="str">
        <f t="shared" si="611"/>
        <v/>
      </c>
      <c r="Z120" s="24" t="str">
        <f t="shared" si="658"/>
        <v/>
      </c>
      <c r="AA120" s="7" t="str">
        <f t="shared" si="659"/>
        <v/>
      </c>
      <c r="AB120" s="7" t="str">
        <f t="shared" si="660"/>
        <v/>
      </c>
      <c r="AC120" s="10" t="str">
        <f t="shared" si="661"/>
        <v/>
      </c>
      <c r="AD120" s="11" t="str">
        <f t="shared" si="662"/>
        <v/>
      </c>
      <c r="AE120" s="7" t="str">
        <f t="shared" si="663"/>
        <v/>
      </c>
      <c r="AF120" s="12" t="str">
        <f t="shared" si="664"/>
        <v/>
      </c>
      <c r="AG120" s="6" t="str">
        <f t="shared" si="665"/>
        <v/>
      </c>
      <c r="AH120" s="12" t="str">
        <f t="shared" si="666"/>
        <v/>
      </c>
      <c r="AI120" s="11" t="str">
        <f t="shared" si="667"/>
        <v/>
      </c>
      <c r="AJ120" s="8" t="str">
        <f t="shared" si="668"/>
        <v/>
      </c>
      <c r="AK120" s="6" t="str">
        <f t="shared" si="669"/>
        <v/>
      </c>
      <c r="AL120" s="7" t="str">
        <f t="shared" si="670"/>
        <v/>
      </c>
      <c r="AM120" s="8" t="str">
        <f t="shared" si="671"/>
        <v/>
      </c>
      <c r="AN120" s="6" t="str">
        <f t="shared" si="672"/>
        <v/>
      </c>
      <c r="AO120" s="10" t="str">
        <f t="shared" si="673"/>
        <v/>
      </c>
      <c r="AP120" s="11" t="str">
        <f t="shared" si="674"/>
        <v/>
      </c>
      <c r="AQ120" s="8" t="str">
        <f t="shared" si="612"/>
        <v/>
      </c>
      <c r="AS120" s="123" t="str">
        <f t="shared" si="496"/>
        <v/>
      </c>
      <c r="AT120" s="175" t="str">
        <f t="shared" si="617"/>
        <v/>
      </c>
      <c r="AV120" s="292" t="str">
        <f t="shared" si="497"/>
        <v/>
      </c>
      <c r="AW120" s="709"/>
      <c r="AX120" s="710"/>
      <c r="AY120" s="711"/>
      <c r="AZ120" s="565" t="str">
        <f t="shared" si="498"/>
        <v/>
      </c>
      <c r="BA120" s="564" t="str">
        <f t="shared" si="499"/>
        <v/>
      </c>
      <c r="BB120" s="372" t="str">
        <f t="shared" si="474"/>
        <v/>
      </c>
      <c r="BC120" s="11"/>
      <c r="BD120" s="7" t="str">
        <f t="shared" si="475"/>
        <v/>
      </c>
      <c r="BE120" s="8" t="str">
        <f t="shared" si="476"/>
        <v/>
      </c>
      <c r="BF120" s="6" t="str">
        <f t="shared" si="500"/>
        <v/>
      </c>
      <c r="BG120" s="7" t="str">
        <f t="shared" si="501"/>
        <v/>
      </c>
      <c r="BH120" s="12" t="str">
        <f t="shared" si="502"/>
        <v/>
      </c>
      <c r="BI120" s="11" t="str">
        <f t="shared" si="503"/>
        <v/>
      </c>
      <c r="BJ120" s="7" t="str">
        <f t="shared" si="504"/>
        <v/>
      </c>
      <c r="BK120" s="10" t="str">
        <f t="shared" si="505"/>
        <v/>
      </c>
      <c r="BL120" s="328" t="str">
        <f t="shared" si="506"/>
        <v/>
      </c>
      <c r="BM120" s="7" t="str">
        <f t="shared" si="507"/>
        <v/>
      </c>
      <c r="BN120" s="8" t="str">
        <f t="shared" si="508"/>
        <v/>
      </c>
      <c r="BO120" s="6" t="str">
        <f t="shared" si="509"/>
        <v/>
      </c>
      <c r="BP120" s="7" t="str">
        <f t="shared" si="510"/>
        <v/>
      </c>
      <c r="BQ120" s="7" t="str">
        <f t="shared" si="511"/>
        <v/>
      </c>
      <c r="BR120" s="8" t="str">
        <f t="shared" si="512"/>
        <v/>
      </c>
      <c r="BS120" s="6" t="str">
        <f t="shared" si="675"/>
        <v/>
      </c>
      <c r="BT120" s="7" t="str">
        <f t="shared" si="675"/>
        <v/>
      </c>
      <c r="BU120" s="12" t="str">
        <f t="shared" si="478"/>
        <v/>
      </c>
      <c r="BV120" s="11" t="str">
        <f t="shared" si="479"/>
        <v/>
      </c>
      <c r="BW120" s="7" t="str">
        <f t="shared" si="480"/>
        <v/>
      </c>
      <c r="BX120" s="10" t="str">
        <f t="shared" si="481"/>
        <v/>
      </c>
      <c r="BY120" s="328" t="str">
        <f t="shared" si="482"/>
        <v/>
      </c>
      <c r="BZ120" s="7" t="str">
        <f t="shared" si="483"/>
        <v/>
      </c>
      <c r="CA120" s="8" t="str">
        <f t="shared" si="484"/>
        <v/>
      </c>
      <c r="CB120" s="6" t="str">
        <f t="shared" si="513"/>
        <v/>
      </c>
      <c r="CC120" s="7" t="str">
        <f t="shared" si="514"/>
        <v/>
      </c>
      <c r="CD120" s="7" t="str">
        <f t="shared" si="515"/>
        <v/>
      </c>
      <c r="CE120" s="8" t="str">
        <f t="shared" si="516"/>
        <v/>
      </c>
      <c r="CF120" s="6" t="str">
        <f t="shared" si="517"/>
        <v/>
      </c>
      <c r="CG120" s="7" t="str">
        <f t="shared" si="518"/>
        <v/>
      </c>
      <c r="CH120" s="7" t="str">
        <f t="shared" si="519"/>
        <v/>
      </c>
      <c r="CI120" s="6" t="str">
        <f t="shared" si="485"/>
        <v/>
      </c>
      <c r="CJ120" s="7" t="str">
        <f t="shared" si="486"/>
        <v/>
      </c>
      <c r="CK120" s="10" t="str">
        <f t="shared" si="487"/>
        <v/>
      </c>
      <c r="CL120" s="328" t="str">
        <f t="shared" si="488"/>
        <v/>
      </c>
      <c r="CM120" s="7" t="str">
        <f t="shared" si="489"/>
        <v/>
      </c>
      <c r="CN120" s="8" t="str">
        <f t="shared" si="490"/>
        <v/>
      </c>
      <c r="CO120" s="296" t="str">
        <f t="shared" si="613"/>
        <v/>
      </c>
      <c r="CP120" s="6" t="str">
        <f t="shared" si="520"/>
        <v/>
      </c>
      <c r="CQ120" s="7" t="str">
        <f t="shared" si="521"/>
        <v/>
      </c>
      <c r="CR120" s="7" t="str">
        <f t="shared" si="522"/>
        <v/>
      </c>
      <c r="CS120" s="10" t="str">
        <f t="shared" si="523"/>
        <v/>
      </c>
      <c r="CT120" s="11" t="str">
        <f t="shared" si="524"/>
        <v/>
      </c>
      <c r="CU120" s="8" t="str">
        <f t="shared" si="525"/>
        <v/>
      </c>
      <c r="CV120" s="6" t="str">
        <f t="shared" si="526"/>
        <v/>
      </c>
      <c r="CW120" s="7" t="str">
        <f t="shared" si="527"/>
        <v/>
      </c>
      <c r="CX120" s="10" t="str">
        <f t="shared" si="528"/>
        <v/>
      </c>
      <c r="CY120" s="11" t="str">
        <f t="shared" si="529"/>
        <v/>
      </c>
      <c r="CZ120" s="7" t="str">
        <f t="shared" si="530"/>
        <v/>
      </c>
      <c r="DA120" s="8" t="str">
        <f t="shared" si="531"/>
        <v/>
      </c>
      <c r="DB120" s="6" t="str">
        <f t="shared" si="677"/>
        <v/>
      </c>
      <c r="DC120" s="7" t="str">
        <f t="shared" si="677"/>
        <v/>
      </c>
      <c r="DD120" s="12" t="str">
        <f t="shared" si="533"/>
        <v/>
      </c>
      <c r="DE120" s="11" t="str">
        <f t="shared" si="678"/>
        <v/>
      </c>
      <c r="DF120" s="7" t="str">
        <f t="shared" si="678"/>
        <v/>
      </c>
      <c r="DG120" s="12" t="str">
        <f t="shared" si="535"/>
        <v/>
      </c>
      <c r="DH120" s="174" t="str">
        <f t="shared" si="536"/>
        <v/>
      </c>
      <c r="DI120" s="6" t="str">
        <f t="shared" si="537"/>
        <v/>
      </c>
      <c r="DJ120" s="7" t="str">
        <f t="shared" si="538"/>
        <v/>
      </c>
      <c r="DK120" s="12" t="str">
        <f t="shared" si="539"/>
        <v/>
      </c>
      <c r="DL120" s="11" t="str">
        <f t="shared" si="540"/>
        <v/>
      </c>
      <c r="DM120" s="328" t="str">
        <f t="shared" si="541"/>
        <v/>
      </c>
      <c r="DN120" s="376" t="str">
        <f t="shared" si="542"/>
        <v/>
      </c>
      <c r="DO120" s="11" t="str">
        <f t="shared" si="543"/>
        <v/>
      </c>
      <c r="DP120" s="328" t="str">
        <f t="shared" si="544"/>
        <v/>
      </c>
      <c r="DQ120" s="13" t="str">
        <f t="shared" si="545"/>
        <v/>
      </c>
      <c r="DR120" s="328" t="str">
        <f t="shared" si="546"/>
        <v/>
      </c>
      <c r="DS120" s="7" t="str">
        <f t="shared" si="547"/>
        <v/>
      </c>
      <c r="DT120" s="7" t="str">
        <f t="shared" si="548"/>
        <v/>
      </c>
      <c r="DU120" s="7" t="str">
        <f t="shared" si="549"/>
        <v/>
      </c>
      <c r="DV120" s="7" t="str">
        <f t="shared" si="550"/>
        <v/>
      </c>
      <c r="DW120" s="7" t="str">
        <f t="shared" si="551"/>
        <v/>
      </c>
      <c r="DX120" s="296" t="str">
        <f t="shared" si="552"/>
        <v/>
      </c>
      <c r="DY120" s="11" t="str">
        <f t="shared" si="553"/>
        <v/>
      </c>
      <c r="DZ120" s="7" t="str">
        <f t="shared" si="554"/>
        <v/>
      </c>
      <c r="EA120" s="12" t="str">
        <f t="shared" si="555"/>
        <v/>
      </c>
      <c r="EB120" s="8" t="str">
        <f t="shared" si="556"/>
        <v/>
      </c>
      <c r="EC120" s="328" t="str">
        <f t="shared" si="557"/>
        <v/>
      </c>
      <c r="ED120" s="7" t="str">
        <f t="shared" si="558"/>
        <v/>
      </c>
      <c r="EE120" s="6" t="str">
        <f t="shared" si="559"/>
        <v/>
      </c>
      <c r="EF120" s="7" t="str">
        <f t="shared" si="560"/>
        <v/>
      </c>
      <c r="EG120" s="12" t="str">
        <f t="shared" si="561"/>
        <v/>
      </c>
      <c r="EH120" s="11" t="str">
        <f t="shared" si="562"/>
        <v/>
      </c>
      <c r="EI120" s="7" t="str">
        <f t="shared" si="563"/>
        <v/>
      </c>
      <c r="EJ120" s="8" t="str">
        <f t="shared" si="564"/>
        <v/>
      </c>
      <c r="EK120" s="491" t="str">
        <f t="shared" si="565"/>
        <v/>
      </c>
      <c r="EL120" s="493" t="str">
        <f t="shared" si="566"/>
        <v/>
      </c>
      <c r="EM120" s="6" t="str">
        <f t="shared" si="567"/>
        <v/>
      </c>
      <c r="EN120" s="7" t="str">
        <f t="shared" si="568"/>
        <v/>
      </c>
      <c r="EO120" s="12" t="str">
        <f t="shared" si="569"/>
        <v/>
      </c>
      <c r="EP120" s="11" t="str">
        <f t="shared" si="570"/>
        <v/>
      </c>
      <c r="EQ120" s="7" t="str">
        <f t="shared" si="571"/>
        <v/>
      </c>
      <c r="ER120" s="9" t="str">
        <f t="shared" si="572"/>
        <v/>
      </c>
      <c r="ES120" s="24" t="str">
        <f t="shared" si="573"/>
        <v/>
      </c>
      <c r="ET120" s="7" t="str">
        <f t="shared" si="574"/>
        <v/>
      </c>
      <c r="EU120" s="12" t="str">
        <f t="shared" si="575"/>
        <v/>
      </c>
      <c r="EV120" s="337" t="str">
        <f t="shared" si="620"/>
        <v/>
      </c>
      <c r="EW120" s="11" t="str">
        <f t="shared" si="621"/>
        <v/>
      </c>
      <c r="EX120" s="7" t="str">
        <f t="shared" si="622"/>
        <v/>
      </c>
      <c r="EY120" s="8" t="str">
        <f t="shared" si="576"/>
        <v/>
      </c>
      <c r="EZ120" s="123" t="str">
        <f t="shared" si="577"/>
        <v/>
      </c>
      <c r="FA120" s="328" t="str">
        <f t="shared" si="623"/>
        <v/>
      </c>
      <c r="FB120" s="7" t="str">
        <f t="shared" si="624"/>
        <v/>
      </c>
      <c r="FC120" s="8" t="str">
        <f t="shared" si="625"/>
        <v/>
      </c>
      <c r="FD120" s="6" t="str">
        <f t="shared" si="626"/>
        <v/>
      </c>
      <c r="FE120" s="7" t="str">
        <f t="shared" si="627"/>
        <v/>
      </c>
      <c r="FF120" s="9" t="str">
        <f t="shared" si="578"/>
        <v/>
      </c>
      <c r="FG120" s="328" t="str">
        <f t="shared" si="628"/>
        <v/>
      </c>
      <c r="FH120" s="7" t="str">
        <f t="shared" si="629"/>
        <v/>
      </c>
      <c r="FI120" s="12" t="str">
        <f t="shared" si="630"/>
        <v/>
      </c>
      <c r="FJ120" s="547" t="str">
        <f t="shared" si="579"/>
        <v/>
      </c>
      <c r="FK120" s="6" t="str">
        <f t="shared" si="631"/>
        <v/>
      </c>
      <c r="FL120" s="7" t="str">
        <f t="shared" si="491"/>
        <v/>
      </c>
      <c r="FM120" s="10" t="str">
        <f t="shared" si="492"/>
        <v/>
      </c>
      <c r="FN120" s="11" t="str">
        <f t="shared" si="493"/>
        <v/>
      </c>
      <c r="FO120" s="12" t="str">
        <f t="shared" si="632"/>
        <v/>
      </c>
      <c r="FP120" s="545" t="str">
        <f t="shared" si="494"/>
        <v/>
      </c>
      <c r="FQ120" s="328" t="str">
        <f t="shared" si="580"/>
        <v/>
      </c>
      <c r="FR120" s="12" t="str">
        <f t="shared" si="581"/>
        <v/>
      </c>
      <c r="FS120" s="11" t="str">
        <f t="shared" si="582"/>
        <v/>
      </c>
      <c r="FT120" s="8" t="str">
        <f t="shared" si="583"/>
        <v/>
      </c>
      <c r="FU120" s="6" t="str">
        <f t="shared" si="584"/>
        <v/>
      </c>
      <c r="FV120" s="7" t="str">
        <f t="shared" si="585"/>
        <v/>
      </c>
      <c r="FW120" s="10" t="str">
        <f t="shared" si="586"/>
        <v/>
      </c>
      <c r="FX120" s="11" t="str">
        <f t="shared" si="587"/>
        <v/>
      </c>
      <c r="FY120" s="12" t="str">
        <f t="shared" si="633"/>
        <v/>
      </c>
      <c r="FZ120" s="545" t="str">
        <f t="shared" si="588"/>
        <v/>
      </c>
      <c r="GA120" s="372" t="str">
        <f t="shared" si="589"/>
        <v/>
      </c>
      <c r="GB120" s="46" t="str">
        <f t="shared" si="590"/>
        <v/>
      </c>
      <c r="GC120" s="47" t="str">
        <f t="shared" si="591"/>
        <v/>
      </c>
      <c r="GD120" s="578" t="str">
        <f t="shared" si="592"/>
        <v/>
      </c>
      <c r="GE120" s="585" t="str">
        <f t="shared" si="593"/>
        <v/>
      </c>
      <c r="GF120" s="634" t="str">
        <f t="shared" si="594"/>
        <v/>
      </c>
      <c r="GG120" s="553" t="str">
        <f t="shared" si="634"/>
        <v/>
      </c>
      <c r="GH120" s="554" t="str">
        <f t="shared" si="635"/>
        <v/>
      </c>
      <c r="GI120" s="549" t="str">
        <f t="shared" si="636"/>
        <v/>
      </c>
      <c r="GJ120" s="296" t="str">
        <f t="shared" si="595"/>
        <v/>
      </c>
      <c r="GK120" s="337" t="str">
        <f t="shared" si="637"/>
        <v/>
      </c>
      <c r="GL120" s="337" t="str">
        <f t="shared" si="596"/>
        <v/>
      </c>
      <c r="GM120" s="372" t="str">
        <f t="shared" si="597"/>
        <v/>
      </c>
      <c r="GN120" s="548" t="str">
        <f t="shared" si="598"/>
        <v/>
      </c>
      <c r="GO120" s="6" t="str">
        <f t="shared" si="599"/>
        <v/>
      </c>
      <c r="GP120" s="10" t="str">
        <f t="shared" si="600"/>
        <v/>
      </c>
      <c r="GQ120" s="372" t="str">
        <f t="shared" si="601"/>
        <v/>
      </c>
      <c r="GR120" s="697" t="str">
        <f t="shared" si="602"/>
        <v/>
      </c>
      <c r="GS120" s="637" t="str">
        <f t="shared" si="638"/>
        <v/>
      </c>
      <c r="GT120" s="638" t="str">
        <f t="shared" si="639"/>
        <v/>
      </c>
      <c r="GU120" s="639" t="str">
        <f t="shared" si="640"/>
        <v/>
      </c>
      <c r="GV120" s="638" t="str">
        <f t="shared" si="603"/>
        <v/>
      </c>
      <c r="GW120" s="640" t="str">
        <f t="shared" si="641"/>
        <v/>
      </c>
      <c r="GX120" s="641" t="str">
        <f t="shared" si="642"/>
        <v/>
      </c>
      <c r="GY120" s="639" t="str">
        <f t="shared" si="643"/>
        <v/>
      </c>
      <c r="GZ120" s="640" t="str">
        <f t="shared" si="644"/>
        <v/>
      </c>
      <c r="HA120" s="637" t="str">
        <f t="shared" si="645"/>
        <v/>
      </c>
      <c r="HB120" s="7" t="str">
        <f t="shared" si="604"/>
        <v/>
      </c>
      <c r="HC120" s="638" t="str">
        <f t="shared" si="605"/>
        <v/>
      </c>
      <c r="HD120" s="682" t="str">
        <f t="shared" si="606"/>
        <v/>
      </c>
      <c r="HE120" s="639" t="str">
        <f t="shared" si="646"/>
        <v/>
      </c>
      <c r="HF120" s="7" t="str">
        <f t="shared" si="647"/>
        <v/>
      </c>
      <c r="HG120" s="638" t="str">
        <f t="shared" si="607"/>
        <v/>
      </c>
      <c r="HH120" s="644" t="str">
        <f t="shared" si="608"/>
        <v/>
      </c>
      <c r="HI120" s="596" t="str">
        <f t="shared" si="609"/>
        <v/>
      </c>
      <c r="HK120" s="584" t="str">
        <f t="shared" si="619"/>
        <v/>
      </c>
      <c r="HL120" s="583" t="str">
        <f t="shared" si="676"/>
        <v/>
      </c>
      <c r="HM120" s="643" t="str">
        <f t="shared" si="680"/>
        <v/>
      </c>
      <c r="HN120" s="660" t="str">
        <f t="shared" si="680"/>
        <v/>
      </c>
      <c r="HO120" s="661" t="str">
        <f t="shared" si="680"/>
        <v/>
      </c>
      <c r="HP120" s="656" t="str">
        <f t="shared" si="680"/>
        <v/>
      </c>
      <c r="HQ120" s="660" t="str">
        <f t="shared" si="680"/>
        <v/>
      </c>
      <c r="HR120" s="671" t="str">
        <f t="shared" si="680"/>
        <v/>
      </c>
      <c r="HS120" s="655" t="str">
        <f t="shared" si="680"/>
        <v/>
      </c>
      <c r="HT120" s="648" t="str">
        <f t="shared" si="680"/>
        <v/>
      </c>
      <c r="HU120" s="649" t="str">
        <f t="shared" si="680"/>
        <v/>
      </c>
      <c r="HV120" s="650" t="str">
        <f t="shared" si="680"/>
        <v/>
      </c>
      <c r="HW120" s="648" t="str">
        <f t="shared" si="680"/>
        <v/>
      </c>
      <c r="HX120" s="649" t="str">
        <f t="shared" si="680"/>
        <v/>
      </c>
      <c r="HY120" s="650" t="str">
        <f t="shared" si="680"/>
        <v/>
      </c>
      <c r="HZ120" s="648" t="str">
        <f t="shared" si="680"/>
        <v/>
      </c>
      <c r="IA120" s="649" t="str">
        <f t="shared" si="680"/>
        <v/>
      </c>
      <c r="IB120" s="716"/>
    </row>
    <row r="121" spans="2:236" ht="15" customHeight="1" x14ac:dyDescent="0.25">
      <c r="B121" s="143"/>
      <c r="C121" s="144"/>
      <c r="D121" s="145"/>
      <c r="E121" s="146"/>
      <c r="F121" s="144"/>
      <c r="G121" s="147"/>
      <c r="H121" s="146"/>
      <c r="I121" s="144"/>
      <c r="J121" s="306"/>
      <c r="K121" s="699" t="str">
        <f t="shared" si="610"/>
        <v/>
      </c>
      <c r="M121" s="292" t="str">
        <f t="shared" si="648"/>
        <v/>
      </c>
      <c r="N121" s="24" t="str">
        <f t="shared" si="649"/>
        <v/>
      </c>
      <c r="O121" s="7" t="str">
        <f t="shared" si="650"/>
        <v/>
      </c>
      <c r="P121" s="12" t="str">
        <f t="shared" si="651"/>
        <v/>
      </c>
      <c r="Q121" s="11" t="str">
        <f t="shared" si="473"/>
        <v/>
      </c>
      <c r="R121" s="7" t="str">
        <f t="shared" si="652"/>
        <v/>
      </c>
      <c r="S121" s="8" t="str">
        <f t="shared" si="653"/>
        <v/>
      </c>
      <c r="T121" s="6" t="str">
        <f t="shared" si="654"/>
        <v/>
      </c>
      <c r="U121" s="7" t="str">
        <f t="shared" si="655"/>
        <v/>
      </c>
      <c r="V121" s="10" t="str">
        <f t="shared" si="656"/>
        <v/>
      </c>
      <c r="W121" s="11" t="str">
        <f t="shared" si="614"/>
        <v/>
      </c>
      <c r="X121" s="7" t="str">
        <f t="shared" si="657"/>
        <v/>
      </c>
      <c r="Y121" s="9" t="str">
        <f t="shared" si="611"/>
        <v/>
      </c>
      <c r="Z121" s="24" t="str">
        <f t="shared" si="658"/>
        <v/>
      </c>
      <c r="AA121" s="7" t="str">
        <f t="shared" si="659"/>
        <v/>
      </c>
      <c r="AB121" s="7" t="str">
        <f t="shared" si="660"/>
        <v/>
      </c>
      <c r="AC121" s="10" t="str">
        <f t="shared" si="661"/>
        <v/>
      </c>
      <c r="AD121" s="11" t="str">
        <f t="shared" si="662"/>
        <v/>
      </c>
      <c r="AE121" s="7" t="str">
        <f t="shared" si="663"/>
        <v/>
      </c>
      <c r="AF121" s="12" t="str">
        <f t="shared" si="664"/>
        <v/>
      </c>
      <c r="AG121" s="6" t="str">
        <f t="shared" si="665"/>
        <v/>
      </c>
      <c r="AH121" s="12" t="str">
        <f t="shared" si="666"/>
        <v/>
      </c>
      <c r="AI121" s="11" t="str">
        <f t="shared" si="667"/>
        <v/>
      </c>
      <c r="AJ121" s="8" t="str">
        <f t="shared" si="668"/>
        <v/>
      </c>
      <c r="AK121" s="6" t="str">
        <f t="shared" si="669"/>
        <v/>
      </c>
      <c r="AL121" s="7" t="str">
        <f t="shared" si="670"/>
        <v/>
      </c>
      <c r="AM121" s="8" t="str">
        <f t="shared" si="671"/>
        <v/>
      </c>
      <c r="AN121" s="6" t="str">
        <f t="shared" si="672"/>
        <v/>
      </c>
      <c r="AO121" s="10" t="str">
        <f t="shared" si="673"/>
        <v/>
      </c>
      <c r="AP121" s="11" t="str">
        <f t="shared" si="674"/>
        <v/>
      </c>
      <c r="AQ121" s="8" t="str">
        <f t="shared" si="612"/>
        <v/>
      </c>
      <c r="AS121" s="123" t="str">
        <f t="shared" si="496"/>
        <v/>
      </c>
      <c r="AT121" s="175" t="str">
        <f t="shared" si="617"/>
        <v/>
      </c>
      <c r="AV121" s="292" t="str">
        <f t="shared" si="497"/>
        <v/>
      </c>
      <c r="AW121" s="709"/>
      <c r="AX121" s="710"/>
      <c r="AY121" s="711"/>
      <c r="AZ121" s="565" t="str">
        <f t="shared" si="498"/>
        <v/>
      </c>
      <c r="BA121" s="564" t="str">
        <f t="shared" si="499"/>
        <v/>
      </c>
      <c r="BB121" s="372" t="str">
        <f t="shared" si="474"/>
        <v/>
      </c>
      <c r="BC121" s="11"/>
      <c r="BD121" s="7" t="str">
        <f t="shared" si="475"/>
        <v/>
      </c>
      <c r="BE121" s="8" t="str">
        <f t="shared" si="476"/>
        <v/>
      </c>
      <c r="BF121" s="6" t="str">
        <f t="shared" si="500"/>
        <v/>
      </c>
      <c r="BG121" s="7" t="str">
        <f t="shared" si="501"/>
        <v/>
      </c>
      <c r="BH121" s="12" t="str">
        <f t="shared" si="502"/>
        <v/>
      </c>
      <c r="BI121" s="11" t="str">
        <f t="shared" si="503"/>
        <v/>
      </c>
      <c r="BJ121" s="7" t="str">
        <f t="shared" si="504"/>
        <v/>
      </c>
      <c r="BK121" s="10" t="str">
        <f t="shared" si="505"/>
        <v/>
      </c>
      <c r="BL121" s="328" t="str">
        <f t="shared" si="506"/>
        <v/>
      </c>
      <c r="BM121" s="7" t="str">
        <f t="shared" si="507"/>
        <v/>
      </c>
      <c r="BN121" s="8" t="str">
        <f t="shared" si="508"/>
        <v/>
      </c>
      <c r="BO121" s="6" t="str">
        <f t="shared" si="509"/>
        <v/>
      </c>
      <c r="BP121" s="7" t="str">
        <f t="shared" si="510"/>
        <v/>
      </c>
      <c r="BQ121" s="7" t="str">
        <f t="shared" si="511"/>
        <v/>
      </c>
      <c r="BR121" s="8" t="str">
        <f t="shared" si="512"/>
        <v/>
      </c>
      <c r="BS121" s="6" t="str">
        <f t="shared" si="675"/>
        <v/>
      </c>
      <c r="BT121" s="7" t="str">
        <f t="shared" si="675"/>
        <v/>
      </c>
      <c r="BU121" s="12" t="str">
        <f t="shared" si="478"/>
        <v/>
      </c>
      <c r="BV121" s="11" t="str">
        <f t="shared" si="479"/>
        <v/>
      </c>
      <c r="BW121" s="7" t="str">
        <f t="shared" si="480"/>
        <v/>
      </c>
      <c r="BX121" s="10" t="str">
        <f t="shared" si="481"/>
        <v/>
      </c>
      <c r="BY121" s="328" t="str">
        <f t="shared" si="482"/>
        <v/>
      </c>
      <c r="BZ121" s="7" t="str">
        <f t="shared" si="483"/>
        <v/>
      </c>
      <c r="CA121" s="8" t="str">
        <f t="shared" si="484"/>
        <v/>
      </c>
      <c r="CB121" s="6" t="str">
        <f t="shared" si="513"/>
        <v/>
      </c>
      <c r="CC121" s="7" t="str">
        <f t="shared" si="514"/>
        <v/>
      </c>
      <c r="CD121" s="7" t="str">
        <f t="shared" si="515"/>
        <v/>
      </c>
      <c r="CE121" s="8" t="str">
        <f t="shared" si="516"/>
        <v/>
      </c>
      <c r="CF121" s="6" t="str">
        <f t="shared" si="517"/>
        <v/>
      </c>
      <c r="CG121" s="7" t="str">
        <f t="shared" si="518"/>
        <v/>
      </c>
      <c r="CH121" s="7" t="str">
        <f t="shared" si="519"/>
        <v/>
      </c>
      <c r="CI121" s="6" t="str">
        <f t="shared" si="485"/>
        <v/>
      </c>
      <c r="CJ121" s="7" t="str">
        <f t="shared" si="486"/>
        <v/>
      </c>
      <c r="CK121" s="10" t="str">
        <f t="shared" si="487"/>
        <v/>
      </c>
      <c r="CL121" s="328" t="str">
        <f t="shared" si="488"/>
        <v/>
      </c>
      <c r="CM121" s="7" t="str">
        <f t="shared" si="489"/>
        <v/>
      </c>
      <c r="CN121" s="8" t="str">
        <f t="shared" si="490"/>
        <v/>
      </c>
      <c r="CO121" s="296" t="str">
        <f t="shared" si="613"/>
        <v/>
      </c>
      <c r="CP121" s="6" t="str">
        <f t="shared" si="520"/>
        <v/>
      </c>
      <c r="CQ121" s="7" t="str">
        <f t="shared" si="521"/>
        <v/>
      </c>
      <c r="CR121" s="7" t="str">
        <f t="shared" si="522"/>
        <v/>
      </c>
      <c r="CS121" s="10" t="str">
        <f t="shared" si="523"/>
        <v/>
      </c>
      <c r="CT121" s="11" t="str">
        <f t="shared" si="524"/>
        <v/>
      </c>
      <c r="CU121" s="8" t="str">
        <f t="shared" si="525"/>
        <v/>
      </c>
      <c r="CV121" s="6" t="str">
        <f t="shared" si="526"/>
        <v/>
      </c>
      <c r="CW121" s="7" t="str">
        <f t="shared" si="527"/>
        <v/>
      </c>
      <c r="CX121" s="10" t="str">
        <f t="shared" si="528"/>
        <v/>
      </c>
      <c r="CY121" s="11" t="str">
        <f t="shared" si="529"/>
        <v/>
      </c>
      <c r="CZ121" s="7" t="str">
        <f t="shared" si="530"/>
        <v/>
      </c>
      <c r="DA121" s="8" t="str">
        <f t="shared" si="531"/>
        <v/>
      </c>
      <c r="DB121" s="6" t="str">
        <f t="shared" si="677"/>
        <v/>
      </c>
      <c r="DC121" s="7" t="str">
        <f t="shared" si="677"/>
        <v/>
      </c>
      <c r="DD121" s="12" t="str">
        <f t="shared" si="533"/>
        <v/>
      </c>
      <c r="DE121" s="11" t="str">
        <f t="shared" si="678"/>
        <v/>
      </c>
      <c r="DF121" s="7" t="str">
        <f t="shared" si="678"/>
        <v/>
      </c>
      <c r="DG121" s="12" t="str">
        <f t="shared" si="535"/>
        <v/>
      </c>
      <c r="DH121" s="174" t="str">
        <f t="shared" si="536"/>
        <v/>
      </c>
      <c r="DI121" s="6" t="str">
        <f t="shared" si="537"/>
        <v/>
      </c>
      <c r="DJ121" s="7" t="str">
        <f t="shared" si="538"/>
        <v/>
      </c>
      <c r="DK121" s="12" t="str">
        <f t="shared" si="539"/>
        <v/>
      </c>
      <c r="DL121" s="11" t="str">
        <f t="shared" si="540"/>
        <v/>
      </c>
      <c r="DM121" s="328" t="str">
        <f t="shared" si="541"/>
        <v/>
      </c>
      <c r="DN121" s="376" t="str">
        <f t="shared" si="542"/>
        <v/>
      </c>
      <c r="DO121" s="11" t="str">
        <f t="shared" si="543"/>
        <v/>
      </c>
      <c r="DP121" s="328" t="str">
        <f t="shared" si="544"/>
        <v/>
      </c>
      <c r="DQ121" s="13" t="str">
        <f t="shared" si="545"/>
        <v/>
      </c>
      <c r="DR121" s="328" t="str">
        <f t="shared" si="546"/>
        <v/>
      </c>
      <c r="DS121" s="7" t="str">
        <f t="shared" si="547"/>
        <v/>
      </c>
      <c r="DT121" s="7" t="str">
        <f t="shared" si="548"/>
        <v/>
      </c>
      <c r="DU121" s="7" t="str">
        <f t="shared" si="549"/>
        <v/>
      </c>
      <c r="DV121" s="7" t="str">
        <f t="shared" si="550"/>
        <v/>
      </c>
      <c r="DW121" s="7" t="str">
        <f t="shared" si="551"/>
        <v/>
      </c>
      <c r="DX121" s="296" t="str">
        <f t="shared" si="552"/>
        <v/>
      </c>
      <c r="DY121" s="11" t="str">
        <f t="shared" si="553"/>
        <v/>
      </c>
      <c r="DZ121" s="7" t="str">
        <f t="shared" si="554"/>
        <v/>
      </c>
      <c r="EA121" s="12" t="str">
        <f t="shared" si="555"/>
        <v/>
      </c>
      <c r="EB121" s="8" t="str">
        <f t="shared" si="556"/>
        <v/>
      </c>
      <c r="EC121" s="328" t="str">
        <f t="shared" si="557"/>
        <v/>
      </c>
      <c r="ED121" s="7" t="str">
        <f t="shared" si="558"/>
        <v/>
      </c>
      <c r="EE121" s="6" t="str">
        <f t="shared" si="559"/>
        <v/>
      </c>
      <c r="EF121" s="7" t="str">
        <f t="shared" si="560"/>
        <v/>
      </c>
      <c r="EG121" s="12" t="str">
        <f t="shared" si="561"/>
        <v/>
      </c>
      <c r="EH121" s="11" t="str">
        <f t="shared" si="562"/>
        <v/>
      </c>
      <c r="EI121" s="7" t="str">
        <f t="shared" si="563"/>
        <v/>
      </c>
      <c r="EJ121" s="8" t="str">
        <f t="shared" si="564"/>
        <v/>
      </c>
      <c r="EK121" s="491" t="str">
        <f t="shared" si="565"/>
        <v/>
      </c>
      <c r="EL121" s="493" t="str">
        <f t="shared" si="566"/>
        <v/>
      </c>
      <c r="EM121" s="6" t="str">
        <f t="shared" si="567"/>
        <v/>
      </c>
      <c r="EN121" s="7" t="str">
        <f t="shared" si="568"/>
        <v/>
      </c>
      <c r="EO121" s="12" t="str">
        <f t="shared" si="569"/>
        <v/>
      </c>
      <c r="EP121" s="11" t="str">
        <f t="shared" si="570"/>
        <v/>
      </c>
      <c r="EQ121" s="7" t="str">
        <f t="shared" si="571"/>
        <v/>
      </c>
      <c r="ER121" s="9" t="str">
        <f t="shared" si="572"/>
        <v/>
      </c>
      <c r="ES121" s="24" t="str">
        <f t="shared" si="573"/>
        <v/>
      </c>
      <c r="ET121" s="7" t="str">
        <f t="shared" si="574"/>
        <v/>
      </c>
      <c r="EU121" s="12" t="str">
        <f t="shared" si="575"/>
        <v/>
      </c>
      <c r="EV121" s="337" t="str">
        <f t="shared" si="620"/>
        <v/>
      </c>
      <c r="EW121" s="11" t="str">
        <f t="shared" si="621"/>
        <v/>
      </c>
      <c r="EX121" s="7" t="str">
        <f t="shared" si="622"/>
        <v/>
      </c>
      <c r="EY121" s="8" t="str">
        <f t="shared" si="576"/>
        <v/>
      </c>
      <c r="EZ121" s="123" t="str">
        <f t="shared" si="577"/>
        <v/>
      </c>
      <c r="FA121" s="328" t="str">
        <f t="shared" si="623"/>
        <v/>
      </c>
      <c r="FB121" s="7" t="str">
        <f t="shared" si="624"/>
        <v/>
      </c>
      <c r="FC121" s="8" t="str">
        <f t="shared" si="625"/>
        <v/>
      </c>
      <c r="FD121" s="6" t="str">
        <f t="shared" si="626"/>
        <v/>
      </c>
      <c r="FE121" s="7" t="str">
        <f t="shared" si="627"/>
        <v/>
      </c>
      <c r="FF121" s="9" t="str">
        <f t="shared" si="578"/>
        <v/>
      </c>
      <c r="FG121" s="328" t="str">
        <f t="shared" si="628"/>
        <v/>
      </c>
      <c r="FH121" s="7" t="str">
        <f t="shared" si="629"/>
        <v/>
      </c>
      <c r="FI121" s="12" t="str">
        <f t="shared" si="630"/>
        <v/>
      </c>
      <c r="FJ121" s="547" t="str">
        <f t="shared" si="579"/>
        <v/>
      </c>
      <c r="FK121" s="6" t="str">
        <f t="shared" si="631"/>
        <v/>
      </c>
      <c r="FL121" s="7" t="str">
        <f t="shared" si="491"/>
        <v/>
      </c>
      <c r="FM121" s="10" t="str">
        <f t="shared" si="492"/>
        <v/>
      </c>
      <c r="FN121" s="11" t="str">
        <f t="shared" si="493"/>
        <v/>
      </c>
      <c r="FO121" s="12" t="str">
        <f t="shared" si="632"/>
        <v/>
      </c>
      <c r="FP121" s="545" t="str">
        <f t="shared" si="494"/>
        <v/>
      </c>
      <c r="FQ121" s="328" t="str">
        <f t="shared" si="580"/>
        <v/>
      </c>
      <c r="FR121" s="12" t="str">
        <f t="shared" si="581"/>
        <v/>
      </c>
      <c r="FS121" s="11" t="str">
        <f t="shared" si="582"/>
        <v/>
      </c>
      <c r="FT121" s="8" t="str">
        <f t="shared" si="583"/>
        <v/>
      </c>
      <c r="FU121" s="6" t="str">
        <f t="shared" si="584"/>
        <v/>
      </c>
      <c r="FV121" s="7" t="str">
        <f t="shared" si="585"/>
        <v/>
      </c>
      <c r="FW121" s="10" t="str">
        <f t="shared" si="586"/>
        <v/>
      </c>
      <c r="FX121" s="11" t="str">
        <f t="shared" si="587"/>
        <v/>
      </c>
      <c r="FY121" s="12" t="str">
        <f t="shared" si="633"/>
        <v/>
      </c>
      <c r="FZ121" s="545" t="str">
        <f t="shared" si="588"/>
        <v/>
      </c>
      <c r="GA121" s="372" t="str">
        <f t="shared" si="589"/>
        <v/>
      </c>
      <c r="GB121" s="46" t="str">
        <f t="shared" si="590"/>
        <v/>
      </c>
      <c r="GC121" s="47" t="str">
        <f t="shared" si="591"/>
        <v/>
      </c>
      <c r="GD121" s="578" t="str">
        <f t="shared" si="592"/>
        <v/>
      </c>
      <c r="GE121" s="585" t="str">
        <f t="shared" si="593"/>
        <v/>
      </c>
      <c r="GF121" s="634" t="str">
        <f t="shared" si="594"/>
        <v/>
      </c>
      <c r="GG121" s="553" t="str">
        <f t="shared" si="634"/>
        <v/>
      </c>
      <c r="GH121" s="554" t="str">
        <f t="shared" si="635"/>
        <v/>
      </c>
      <c r="GI121" s="549" t="str">
        <f t="shared" si="636"/>
        <v/>
      </c>
      <c r="GJ121" s="296" t="str">
        <f t="shared" si="595"/>
        <v/>
      </c>
      <c r="GK121" s="337" t="str">
        <f t="shared" si="637"/>
        <v/>
      </c>
      <c r="GL121" s="337" t="str">
        <f t="shared" si="596"/>
        <v/>
      </c>
      <c r="GM121" s="372" t="str">
        <f t="shared" si="597"/>
        <v/>
      </c>
      <c r="GN121" s="548" t="str">
        <f t="shared" si="598"/>
        <v/>
      </c>
      <c r="GO121" s="6" t="str">
        <f t="shared" si="599"/>
        <v/>
      </c>
      <c r="GP121" s="10" t="str">
        <f t="shared" si="600"/>
        <v/>
      </c>
      <c r="GQ121" s="372" t="str">
        <f t="shared" si="601"/>
        <v/>
      </c>
      <c r="GR121" s="697" t="str">
        <f t="shared" si="602"/>
        <v/>
      </c>
      <c r="GS121" s="637" t="str">
        <f t="shared" si="638"/>
        <v/>
      </c>
      <c r="GT121" s="638" t="str">
        <f t="shared" si="639"/>
        <v/>
      </c>
      <c r="GU121" s="639" t="str">
        <f t="shared" si="640"/>
        <v/>
      </c>
      <c r="GV121" s="638" t="str">
        <f t="shared" si="603"/>
        <v/>
      </c>
      <c r="GW121" s="640" t="str">
        <f t="shared" si="641"/>
        <v/>
      </c>
      <c r="GX121" s="641" t="str">
        <f t="shared" si="642"/>
        <v/>
      </c>
      <c r="GY121" s="639" t="str">
        <f t="shared" si="643"/>
        <v/>
      </c>
      <c r="GZ121" s="640" t="str">
        <f t="shared" si="644"/>
        <v/>
      </c>
      <c r="HA121" s="637" t="str">
        <f t="shared" si="645"/>
        <v/>
      </c>
      <c r="HB121" s="7" t="str">
        <f t="shared" si="604"/>
        <v/>
      </c>
      <c r="HC121" s="638" t="str">
        <f t="shared" si="605"/>
        <v/>
      </c>
      <c r="HD121" s="682" t="str">
        <f t="shared" si="606"/>
        <v/>
      </c>
      <c r="HE121" s="639" t="str">
        <f t="shared" si="646"/>
        <v/>
      </c>
      <c r="HF121" s="7" t="str">
        <f t="shared" si="647"/>
        <v/>
      </c>
      <c r="HG121" s="638" t="str">
        <f t="shared" si="607"/>
        <v/>
      </c>
      <c r="HH121" s="644" t="str">
        <f t="shared" si="608"/>
        <v/>
      </c>
      <c r="HI121" s="596" t="str">
        <f t="shared" si="609"/>
        <v/>
      </c>
      <c r="HK121" s="584" t="str">
        <f t="shared" si="619"/>
        <v/>
      </c>
      <c r="HL121" s="583" t="str">
        <f t="shared" si="676"/>
        <v/>
      </c>
      <c r="HM121" s="643" t="str">
        <f t="shared" si="680"/>
        <v/>
      </c>
      <c r="HN121" s="660" t="str">
        <f t="shared" si="680"/>
        <v/>
      </c>
      <c r="HO121" s="661" t="str">
        <f t="shared" si="680"/>
        <v/>
      </c>
      <c r="HP121" s="656" t="str">
        <f t="shared" si="680"/>
        <v/>
      </c>
      <c r="HQ121" s="660" t="str">
        <f t="shared" si="680"/>
        <v/>
      </c>
      <c r="HR121" s="671" t="str">
        <f t="shared" si="680"/>
        <v/>
      </c>
      <c r="HS121" s="655" t="str">
        <f t="shared" si="680"/>
        <v/>
      </c>
      <c r="HT121" s="648" t="str">
        <f t="shared" si="680"/>
        <v/>
      </c>
      <c r="HU121" s="649" t="str">
        <f t="shared" si="680"/>
        <v/>
      </c>
      <c r="HV121" s="650" t="str">
        <f t="shared" si="680"/>
        <v/>
      </c>
      <c r="HW121" s="648" t="str">
        <f t="shared" si="680"/>
        <v/>
      </c>
      <c r="HX121" s="649" t="str">
        <f t="shared" si="680"/>
        <v/>
      </c>
      <c r="HY121" s="650" t="str">
        <f t="shared" si="680"/>
        <v/>
      </c>
      <c r="HZ121" s="648" t="str">
        <f t="shared" si="680"/>
        <v/>
      </c>
      <c r="IA121" s="649" t="str">
        <f t="shared" si="680"/>
        <v/>
      </c>
      <c r="IB121" s="716"/>
    </row>
    <row r="122" spans="2:236" ht="15" customHeight="1" x14ac:dyDescent="0.25">
      <c r="B122" s="143"/>
      <c r="C122" s="144"/>
      <c r="D122" s="145"/>
      <c r="E122" s="146"/>
      <c r="F122" s="144"/>
      <c r="G122" s="147"/>
      <c r="H122" s="146"/>
      <c r="I122" s="144"/>
      <c r="J122" s="306"/>
      <c r="K122" s="699" t="str">
        <f t="shared" si="610"/>
        <v/>
      </c>
      <c r="M122" s="292" t="str">
        <f t="shared" si="648"/>
        <v/>
      </c>
      <c r="N122" s="24" t="str">
        <f t="shared" si="649"/>
        <v/>
      </c>
      <c r="O122" s="7" t="str">
        <f t="shared" si="650"/>
        <v/>
      </c>
      <c r="P122" s="12" t="str">
        <f t="shared" si="651"/>
        <v/>
      </c>
      <c r="Q122" s="11" t="str">
        <f t="shared" si="473"/>
        <v/>
      </c>
      <c r="R122" s="7" t="str">
        <f t="shared" si="652"/>
        <v/>
      </c>
      <c r="S122" s="8" t="str">
        <f t="shared" si="653"/>
        <v/>
      </c>
      <c r="T122" s="6" t="str">
        <f t="shared" si="654"/>
        <v/>
      </c>
      <c r="U122" s="7" t="str">
        <f t="shared" si="655"/>
        <v/>
      </c>
      <c r="V122" s="10" t="str">
        <f t="shared" si="656"/>
        <v/>
      </c>
      <c r="W122" s="11" t="str">
        <f t="shared" si="614"/>
        <v/>
      </c>
      <c r="X122" s="7" t="str">
        <f t="shared" si="657"/>
        <v/>
      </c>
      <c r="Y122" s="9" t="str">
        <f t="shared" si="611"/>
        <v/>
      </c>
      <c r="Z122" s="24" t="str">
        <f t="shared" si="658"/>
        <v/>
      </c>
      <c r="AA122" s="7" t="str">
        <f t="shared" si="659"/>
        <v/>
      </c>
      <c r="AB122" s="7" t="str">
        <f t="shared" si="660"/>
        <v/>
      </c>
      <c r="AC122" s="10" t="str">
        <f t="shared" si="661"/>
        <v/>
      </c>
      <c r="AD122" s="11" t="str">
        <f t="shared" si="662"/>
        <v/>
      </c>
      <c r="AE122" s="7" t="str">
        <f t="shared" si="663"/>
        <v/>
      </c>
      <c r="AF122" s="12" t="str">
        <f t="shared" si="664"/>
        <v/>
      </c>
      <c r="AG122" s="6" t="str">
        <f t="shared" si="665"/>
        <v/>
      </c>
      <c r="AH122" s="12" t="str">
        <f t="shared" si="666"/>
        <v/>
      </c>
      <c r="AI122" s="11" t="str">
        <f t="shared" si="667"/>
        <v/>
      </c>
      <c r="AJ122" s="8" t="str">
        <f t="shared" si="668"/>
        <v/>
      </c>
      <c r="AK122" s="6" t="str">
        <f t="shared" si="669"/>
        <v/>
      </c>
      <c r="AL122" s="7" t="str">
        <f t="shared" si="670"/>
        <v/>
      </c>
      <c r="AM122" s="8" t="str">
        <f t="shared" si="671"/>
        <v/>
      </c>
      <c r="AN122" s="6" t="str">
        <f t="shared" si="672"/>
        <v/>
      </c>
      <c r="AO122" s="10" t="str">
        <f t="shared" si="673"/>
        <v/>
      </c>
      <c r="AP122" s="11" t="str">
        <f t="shared" si="674"/>
        <v/>
      </c>
      <c r="AQ122" s="8" t="str">
        <f t="shared" si="612"/>
        <v/>
      </c>
      <c r="AS122" s="123" t="str">
        <f t="shared" si="496"/>
        <v/>
      </c>
      <c r="AT122" s="175" t="str">
        <f t="shared" si="617"/>
        <v/>
      </c>
      <c r="AV122" s="292" t="str">
        <f t="shared" si="497"/>
        <v/>
      </c>
      <c r="AW122" s="709"/>
      <c r="AX122" s="710"/>
      <c r="AY122" s="711"/>
      <c r="AZ122" s="565" t="str">
        <f t="shared" si="498"/>
        <v/>
      </c>
      <c r="BA122" s="564" t="str">
        <f t="shared" si="499"/>
        <v/>
      </c>
      <c r="BB122" s="372" t="str">
        <f t="shared" si="474"/>
        <v/>
      </c>
      <c r="BC122" s="11"/>
      <c r="BD122" s="7" t="str">
        <f t="shared" si="475"/>
        <v/>
      </c>
      <c r="BE122" s="8" t="str">
        <f t="shared" si="476"/>
        <v/>
      </c>
      <c r="BF122" s="6" t="str">
        <f t="shared" si="500"/>
        <v/>
      </c>
      <c r="BG122" s="7" t="str">
        <f t="shared" si="501"/>
        <v/>
      </c>
      <c r="BH122" s="12" t="str">
        <f t="shared" si="502"/>
        <v/>
      </c>
      <c r="BI122" s="11" t="str">
        <f t="shared" si="503"/>
        <v/>
      </c>
      <c r="BJ122" s="7" t="str">
        <f t="shared" si="504"/>
        <v/>
      </c>
      <c r="BK122" s="10" t="str">
        <f t="shared" si="505"/>
        <v/>
      </c>
      <c r="BL122" s="328" t="str">
        <f t="shared" si="506"/>
        <v/>
      </c>
      <c r="BM122" s="7" t="str">
        <f t="shared" si="507"/>
        <v/>
      </c>
      <c r="BN122" s="8" t="str">
        <f t="shared" si="508"/>
        <v/>
      </c>
      <c r="BO122" s="6" t="str">
        <f t="shared" si="509"/>
        <v/>
      </c>
      <c r="BP122" s="7" t="str">
        <f t="shared" si="510"/>
        <v/>
      </c>
      <c r="BQ122" s="7" t="str">
        <f t="shared" si="511"/>
        <v/>
      </c>
      <c r="BR122" s="8" t="str">
        <f t="shared" si="512"/>
        <v/>
      </c>
      <c r="BS122" s="6" t="str">
        <f t="shared" si="675"/>
        <v/>
      </c>
      <c r="BT122" s="7" t="str">
        <f t="shared" si="675"/>
        <v/>
      </c>
      <c r="BU122" s="12" t="str">
        <f t="shared" si="478"/>
        <v/>
      </c>
      <c r="BV122" s="11" t="str">
        <f t="shared" si="479"/>
        <v/>
      </c>
      <c r="BW122" s="7" t="str">
        <f t="shared" si="480"/>
        <v/>
      </c>
      <c r="BX122" s="10" t="str">
        <f t="shared" si="481"/>
        <v/>
      </c>
      <c r="BY122" s="328" t="str">
        <f t="shared" si="482"/>
        <v/>
      </c>
      <c r="BZ122" s="7" t="str">
        <f t="shared" si="483"/>
        <v/>
      </c>
      <c r="CA122" s="8" t="str">
        <f t="shared" si="484"/>
        <v/>
      </c>
      <c r="CB122" s="6" t="str">
        <f t="shared" si="513"/>
        <v/>
      </c>
      <c r="CC122" s="7" t="str">
        <f t="shared" si="514"/>
        <v/>
      </c>
      <c r="CD122" s="7" t="str">
        <f t="shared" si="515"/>
        <v/>
      </c>
      <c r="CE122" s="8" t="str">
        <f t="shared" si="516"/>
        <v/>
      </c>
      <c r="CF122" s="6" t="str">
        <f t="shared" si="517"/>
        <v/>
      </c>
      <c r="CG122" s="7" t="str">
        <f t="shared" si="518"/>
        <v/>
      </c>
      <c r="CH122" s="7" t="str">
        <f t="shared" si="519"/>
        <v/>
      </c>
      <c r="CI122" s="6" t="str">
        <f t="shared" si="485"/>
        <v/>
      </c>
      <c r="CJ122" s="7" t="str">
        <f t="shared" si="486"/>
        <v/>
      </c>
      <c r="CK122" s="10" t="str">
        <f t="shared" si="487"/>
        <v/>
      </c>
      <c r="CL122" s="328" t="str">
        <f t="shared" si="488"/>
        <v/>
      </c>
      <c r="CM122" s="7" t="str">
        <f t="shared" si="489"/>
        <v/>
      </c>
      <c r="CN122" s="8" t="str">
        <f t="shared" si="490"/>
        <v/>
      </c>
      <c r="CO122" s="296" t="str">
        <f t="shared" si="613"/>
        <v/>
      </c>
      <c r="CP122" s="6" t="str">
        <f t="shared" si="520"/>
        <v/>
      </c>
      <c r="CQ122" s="7" t="str">
        <f t="shared" si="521"/>
        <v/>
      </c>
      <c r="CR122" s="7" t="str">
        <f t="shared" si="522"/>
        <v/>
      </c>
      <c r="CS122" s="10" t="str">
        <f t="shared" si="523"/>
        <v/>
      </c>
      <c r="CT122" s="11" t="str">
        <f t="shared" si="524"/>
        <v/>
      </c>
      <c r="CU122" s="8" t="str">
        <f t="shared" si="525"/>
        <v/>
      </c>
      <c r="CV122" s="6" t="str">
        <f t="shared" si="526"/>
        <v/>
      </c>
      <c r="CW122" s="7" t="str">
        <f t="shared" si="527"/>
        <v/>
      </c>
      <c r="CX122" s="10" t="str">
        <f t="shared" si="528"/>
        <v/>
      </c>
      <c r="CY122" s="11" t="str">
        <f t="shared" si="529"/>
        <v/>
      </c>
      <c r="CZ122" s="7" t="str">
        <f t="shared" si="530"/>
        <v/>
      </c>
      <c r="DA122" s="8" t="str">
        <f t="shared" si="531"/>
        <v/>
      </c>
      <c r="DB122" s="6" t="str">
        <f t="shared" si="677"/>
        <v/>
      </c>
      <c r="DC122" s="7" t="str">
        <f t="shared" si="677"/>
        <v/>
      </c>
      <c r="DD122" s="12" t="str">
        <f t="shared" si="533"/>
        <v/>
      </c>
      <c r="DE122" s="11" t="str">
        <f t="shared" si="678"/>
        <v/>
      </c>
      <c r="DF122" s="7" t="str">
        <f t="shared" si="678"/>
        <v/>
      </c>
      <c r="DG122" s="12" t="str">
        <f t="shared" si="535"/>
        <v/>
      </c>
      <c r="DH122" s="174" t="str">
        <f t="shared" si="536"/>
        <v/>
      </c>
      <c r="DI122" s="6" t="str">
        <f t="shared" si="537"/>
        <v/>
      </c>
      <c r="DJ122" s="7" t="str">
        <f t="shared" si="538"/>
        <v/>
      </c>
      <c r="DK122" s="12" t="str">
        <f t="shared" si="539"/>
        <v/>
      </c>
      <c r="DL122" s="11" t="str">
        <f t="shared" si="540"/>
        <v/>
      </c>
      <c r="DM122" s="328" t="str">
        <f t="shared" si="541"/>
        <v/>
      </c>
      <c r="DN122" s="376" t="str">
        <f t="shared" si="542"/>
        <v/>
      </c>
      <c r="DO122" s="11" t="str">
        <f t="shared" si="543"/>
        <v/>
      </c>
      <c r="DP122" s="328" t="str">
        <f t="shared" si="544"/>
        <v/>
      </c>
      <c r="DQ122" s="13" t="str">
        <f t="shared" si="545"/>
        <v/>
      </c>
      <c r="DR122" s="328" t="str">
        <f t="shared" si="546"/>
        <v/>
      </c>
      <c r="DS122" s="7" t="str">
        <f t="shared" si="547"/>
        <v/>
      </c>
      <c r="DT122" s="7" t="str">
        <f t="shared" si="548"/>
        <v/>
      </c>
      <c r="DU122" s="7" t="str">
        <f t="shared" si="549"/>
        <v/>
      </c>
      <c r="DV122" s="7" t="str">
        <f t="shared" si="550"/>
        <v/>
      </c>
      <c r="DW122" s="7" t="str">
        <f t="shared" si="551"/>
        <v/>
      </c>
      <c r="DX122" s="296" t="str">
        <f t="shared" si="552"/>
        <v/>
      </c>
      <c r="DY122" s="11" t="str">
        <f t="shared" si="553"/>
        <v/>
      </c>
      <c r="DZ122" s="7" t="str">
        <f t="shared" si="554"/>
        <v/>
      </c>
      <c r="EA122" s="12" t="str">
        <f t="shared" si="555"/>
        <v/>
      </c>
      <c r="EB122" s="8" t="str">
        <f t="shared" si="556"/>
        <v/>
      </c>
      <c r="EC122" s="328" t="str">
        <f t="shared" si="557"/>
        <v/>
      </c>
      <c r="ED122" s="7" t="str">
        <f t="shared" si="558"/>
        <v/>
      </c>
      <c r="EE122" s="6" t="str">
        <f t="shared" si="559"/>
        <v/>
      </c>
      <c r="EF122" s="7" t="str">
        <f t="shared" si="560"/>
        <v/>
      </c>
      <c r="EG122" s="12" t="str">
        <f t="shared" si="561"/>
        <v/>
      </c>
      <c r="EH122" s="11" t="str">
        <f t="shared" si="562"/>
        <v/>
      </c>
      <c r="EI122" s="7" t="str">
        <f t="shared" si="563"/>
        <v/>
      </c>
      <c r="EJ122" s="8" t="str">
        <f t="shared" si="564"/>
        <v/>
      </c>
      <c r="EK122" s="491" t="str">
        <f t="shared" si="565"/>
        <v/>
      </c>
      <c r="EL122" s="493" t="str">
        <f t="shared" si="566"/>
        <v/>
      </c>
      <c r="EM122" s="6" t="str">
        <f t="shared" si="567"/>
        <v/>
      </c>
      <c r="EN122" s="7" t="str">
        <f t="shared" si="568"/>
        <v/>
      </c>
      <c r="EO122" s="12" t="str">
        <f t="shared" si="569"/>
        <v/>
      </c>
      <c r="EP122" s="11" t="str">
        <f t="shared" si="570"/>
        <v/>
      </c>
      <c r="EQ122" s="7" t="str">
        <f t="shared" si="571"/>
        <v/>
      </c>
      <c r="ER122" s="9" t="str">
        <f t="shared" si="572"/>
        <v/>
      </c>
      <c r="ES122" s="24" t="str">
        <f t="shared" si="573"/>
        <v/>
      </c>
      <c r="ET122" s="7" t="str">
        <f t="shared" si="574"/>
        <v/>
      </c>
      <c r="EU122" s="12" t="str">
        <f t="shared" si="575"/>
        <v/>
      </c>
      <c r="EV122" s="337" t="str">
        <f t="shared" si="620"/>
        <v/>
      </c>
      <c r="EW122" s="11" t="str">
        <f t="shared" si="621"/>
        <v/>
      </c>
      <c r="EX122" s="7" t="str">
        <f t="shared" si="622"/>
        <v/>
      </c>
      <c r="EY122" s="8" t="str">
        <f t="shared" si="576"/>
        <v/>
      </c>
      <c r="EZ122" s="123" t="str">
        <f t="shared" si="577"/>
        <v/>
      </c>
      <c r="FA122" s="328" t="str">
        <f t="shared" si="623"/>
        <v/>
      </c>
      <c r="FB122" s="7" t="str">
        <f t="shared" si="624"/>
        <v/>
      </c>
      <c r="FC122" s="8" t="str">
        <f t="shared" si="625"/>
        <v/>
      </c>
      <c r="FD122" s="6" t="str">
        <f t="shared" si="626"/>
        <v/>
      </c>
      <c r="FE122" s="7" t="str">
        <f t="shared" si="627"/>
        <v/>
      </c>
      <c r="FF122" s="9" t="str">
        <f t="shared" si="578"/>
        <v/>
      </c>
      <c r="FG122" s="328" t="str">
        <f t="shared" si="628"/>
        <v/>
      </c>
      <c r="FH122" s="7" t="str">
        <f t="shared" si="629"/>
        <v/>
      </c>
      <c r="FI122" s="12" t="str">
        <f t="shared" si="630"/>
        <v/>
      </c>
      <c r="FJ122" s="547" t="str">
        <f t="shared" si="579"/>
        <v/>
      </c>
      <c r="FK122" s="6" t="str">
        <f t="shared" si="631"/>
        <v/>
      </c>
      <c r="FL122" s="7" t="str">
        <f t="shared" si="491"/>
        <v/>
      </c>
      <c r="FM122" s="10" t="str">
        <f t="shared" si="492"/>
        <v/>
      </c>
      <c r="FN122" s="11" t="str">
        <f t="shared" si="493"/>
        <v/>
      </c>
      <c r="FO122" s="12" t="str">
        <f t="shared" si="632"/>
        <v/>
      </c>
      <c r="FP122" s="545" t="str">
        <f t="shared" si="494"/>
        <v/>
      </c>
      <c r="FQ122" s="328" t="str">
        <f t="shared" si="580"/>
        <v/>
      </c>
      <c r="FR122" s="12" t="str">
        <f t="shared" si="581"/>
        <v/>
      </c>
      <c r="FS122" s="11" t="str">
        <f t="shared" si="582"/>
        <v/>
      </c>
      <c r="FT122" s="8" t="str">
        <f t="shared" si="583"/>
        <v/>
      </c>
      <c r="FU122" s="6" t="str">
        <f t="shared" si="584"/>
        <v/>
      </c>
      <c r="FV122" s="7" t="str">
        <f t="shared" si="585"/>
        <v/>
      </c>
      <c r="FW122" s="10" t="str">
        <f t="shared" si="586"/>
        <v/>
      </c>
      <c r="FX122" s="11" t="str">
        <f t="shared" si="587"/>
        <v/>
      </c>
      <c r="FY122" s="12" t="str">
        <f t="shared" si="633"/>
        <v/>
      </c>
      <c r="FZ122" s="545" t="str">
        <f t="shared" si="588"/>
        <v/>
      </c>
      <c r="GA122" s="372" t="str">
        <f t="shared" si="589"/>
        <v/>
      </c>
      <c r="GB122" s="46" t="str">
        <f t="shared" si="590"/>
        <v/>
      </c>
      <c r="GC122" s="47" t="str">
        <f t="shared" si="591"/>
        <v/>
      </c>
      <c r="GD122" s="578" t="str">
        <f t="shared" si="592"/>
        <v/>
      </c>
      <c r="GE122" s="585" t="str">
        <f t="shared" si="593"/>
        <v/>
      </c>
      <c r="GF122" s="634" t="str">
        <f t="shared" si="594"/>
        <v/>
      </c>
      <c r="GG122" s="553" t="str">
        <f t="shared" si="634"/>
        <v/>
      </c>
      <c r="GH122" s="554" t="str">
        <f t="shared" si="635"/>
        <v/>
      </c>
      <c r="GI122" s="549" t="str">
        <f t="shared" si="636"/>
        <v/>
      </c>
      <c r="GJ122" s="296" t="str">
        <f t="shared" si="595"/>
        <v/>
      </c>
      <c r="GK122" s="337" t="str">
        <f t="shared" si="637"/>
        <v/>
      </c>
      <c r="GL122" s="337" t="str">
        <f t="shared" si="596"/>
        <v/>
      </c>
      <c r="GM122" s="372" t="str">
        <f t="shared" si="597"/>
        <v/>
      </c>
      <c r="GN122" s="548" t="str">
        <f t="shared" si="598"/>
        <v/>
      </c>
      <c r="GO122" s="6" t="str">
        <f t="shared" si="599"/>
        <v/>
      </c>
      <c r="GP122" s="10" t="str">
        <f t="shared" si="600"/>
        <v/>
      </c>
      <c r="GQ122" s="372" t="str">
        <f t="shared" si="601"/>
        <v/>
      </c>
      <c r="GR122" s="697" t="str">
        <f t="shared" si="602"/>
        <v/>
      </c>
      <c r="GS122" s="637" t="str">
        <f t="shared" si="638"/>
        <v/>
      </c>
      <c r="GT122" s="638" t="str">
        <f t="shared" si="639"/>
        <v/>
      </c>
      <c r="GU122" s="639" t="str">
        <f t="shared" si="640"/>
        <v/>
      </c>
      <c r="GV122" s="638" t="str">
        <f t="shared" si="603"/>
        <v/>
      </c>
      <c r="GW122" s="640" t="str">
        <f t="shared" si="641"/>
        <v/>
      </c>
      <c r="GX122" s="641" t="str">
        <f t="shared" si="642"/>
        <v/>
      </c>
      <c r="GY122" s="639" t="str">
        <f t="shared" si="643"/>
        <v/>
      </c>
      <c r="GZ122" s="640" t="str">
        <f t="shared" si="644"/>
        <v/>
      </c>
      <c r="HA122" s="637" t="str">
        <f t="shared" si="645"/>
        <v/>
      </c>
      <c r="HB122" s="7" t="str">
        <f t="shared" si="604"/>
        <v/>
      </c>
      <c r="HC122" s="638" t="str">
        <f t="shared" si="605"/>
        <v/>
      </c>
      <c r="HD122" s="682" t="str">
        <f t="shared" si="606"/>
        <v/>
      </c>
      <c r="HE122" s="639" t="str">
        <f t="shared" si="646"/>
        <v/>
      </c>
      <c r="HF122" s="7" t="str">
        <f t="shared" si="647"/>
        <v/>
      </c>
      <c r="HG122" s="638" t="str">
        <f t="shared" si="607"/>
        <v/>
      </c>
      <c r="HH122" s="644" t="str">
        <f t="shared" si="608"/>
        <v/>
      </c>
      <c r="HI122" s="596" t="str">
        <f t="shared" si="609"/>
        <v/>
      </c>
      <c r="HK122" s="584" t="str">
        <f t="shared" si="619"/>
        <v/>
      </c>
      <c r="HL122" s="583" t="str">
        <f t="shared" si="676"/>
        <v/>
      </c>
      <c r="HM122" s="643" t="str">
        <f t="shared" si="680"/>
        <v/>
      </c>
      <c r="HN122" s="660" t="str">
        <f t="shared" si="680"/>
        <v/>
      </c>
      <c r="HO122" s="661" t="str">
        <f t="shared" si="680"/>
        <v/>
      </c>
      <c r="HP122" s="656" t="str">
        <f t="shared" si="680"/>
        <v/>
      </c>
      <c r="HQ122" s="660" t="str">
        <f t="shared" si="680"/>
        <v/>
      </c>
      <c r="HR122" s="671" t="str">
        <f t="shared" si="680"/>
        <v/>
      </c>
      <c r="HS122" s="655" t="str">
        <f t="shared" si="680"/>
        <v/>
      </c>
      <c r="HT122" s="648" t="str">
        <f t="shared" si="680"/>
        <v/>
      </c>
      <c r="HU122" s="649" t="str">
        <f t="shared" si="680"/>
        <v/>
      </c>
      <c r="HV122" s="650" t="str">
        <f t="shared" si="680"/>
        <v/>
      </c>
      <c r="HW122" s="648" t="str">
        <f t="shared" si="680"/>
        <v/>
      </c>
      <c r="HX122" s="649" t="str">
        <f t="shared" si="680"/>
        <v/>
      </c>
      <c r="HY122" s="650" t="str">
        <f t="shared" si="680"/>
        <v/>
      </c>
      <c r="HZ122" s="648" t="str">
        <f t="shared" si="680"/>
        <v/>
      </c>
      <c r="IA122" s="649" t="str">
        <f t="shared" si="680"/>
        <v/>
      </c>
      <c r="IB122" s="716"/>
    </row>
    <row r="123" spans="2:236" ht="15" customHeight="1" x14ac:dyDescent="0.25">
      <c r="B123" s="143"/>
      <c r="C123" s="144"/>
      <c r="D123" s="145"/>
      <c r="E123" s="146"/>
      <c r="F123" s="144"/>
      <c r="G123" s="147"/>
      <c r="H123" s="146"/>
      <c r="I123" s="144"/>
      <c r="J123" s="306"/>
      <c r="K123" s="699" t="str">
        <f t="shared" si="610"/>
        <v/>
      </c>
      <c r="M123" s="292" t="str">
        <f t="shared" si="648"/>
        <v/>
      </c>
      <c r="N123" s="24" t="str">
        <f t="shared" si="649"/>
        <v/>
      </c>
      <c r="O123" s="7" t="str">
        <f t="shared" si="650"/>
        <v/>
      </c>
      <c r="P123" s="12" t="str">
        <f t="shared" si="651"/>
        <v/>
      </c>
      <c r="Q123" s="11" t="str">
        <f t="shared" si="473"/>
        <v/>
      </c>
      <c r="R123" s="7" t="str">
        <f t="shared" si="652"/>
        <v/>
      </c>
      <c r="S123" s="8" t="str">
        <f t="shared" si="653"/>
        <v/>
      </c>
      <c r="T123" s="6" t="str">
        <f t="shared" si="654"/>
        <v/>
      </c>
      <c r="U123" s="7" t="str">
        <f t="shared" si="655"/>
        <v/>
      </c>
      <c r="V123" s="10" t="str">
        <f t="shared" si="656"/>
        <v/>
      </c>
      <c r="W123" s="11" t="str">
        <f t="shared" si="614"/>
        <v/>
      </c>
      <c r="X123" s="7" t="str">
        <f t="shared" si="657"/>
        <v/>
      </c>
      <c r="Y123" s="9" t="str">
        <f t="shared" si="611"/>
        <v/>
      </c>
      <c r="Z123" s="24" t="str">
        <f t="shared" si="658"/>
        <v/>
      </c>
      <c r="AA123" s="7" t="str">
        <f t="shared" si="659"/>
        <v/>
      </c>
      <c r="AB123" s="7" t="str">
        <f t="shared" si="660"/>
        <v/>
      </c>
      <c r="AC123" s="10" t="str">
        <f t="shared" si="661"/>
        <v/>
      </c>
      <c r="AD123" s="11" t="str">
        <f t="shared" si="662"/>
        <v/>
      </c>
      <c r="AE123" s="7" t="str">
        <f t="shared" si="663"/>
        <v/>
      </c>
      <c r="AF123" s="12" t="str">
        <f t="shared" si="664"/>
        <v/>
      </c>
      <c r="AG123" s="6" t="str">
        <f t="shared" si="665"/>
        <v/>
      </c>
      <c r="AH123" s="12" t="str">
        <f t="shared" si="666"/>
        <v/>
      </c>
      <c r="AI123" s="11" t="str">
        <f t="shared" si="667"/>
        <v/>
      </c>
      <c r="AJ123" s="8" t="str">
        <f t="shared" si="668"/>
        <v/>
      </c>
      <c r="AK123" s="6" t="str">
        <f t="shared" si="669"/>
        <v/>
      </c>
      <c r="AL123" s="7" t="str">
        <f t="shared" si="670"/>
        <v/>
      </c>
      <c r="AM123" s="8" t="str">
        <f t="shared" si="671"/>
        <v/>
      </c>
      <c r="AN123" s="6" t="str">
        <f t="shared" si="672"/>
        <v/>
      </c>
      <c r="AO123" s="10" t="str">
        <f t="shared" si="673"/>
        <v/>
      </c>
      <c r="AP123" s="11" t="str">
        <f t="shared" si="674"/>
        <v/>
      </c>
      <c r="AQ123" s="8" t="str">
        <f t="shared" si="612"/>
        <v/>
      </c>
      <c r="AS123" s="123" t="str">
        <f t="shared" si="496"/>
        <v/>
      </c>
      <c r="AT123" s="175" t="str">
        <f t="shared" si="617"/>
        <v/>
      </c>
      <c r="AV123" s="292" t="str">
        <f t="shared" si="497"/>
        <v/>
      </c>
      <c r="AW123" s="709"/>
      <c r="AX123" s="710"/>
      <c r="AY123" s="711"/>
      <c r="AZ123" s="565" t="str">
        <f t="shared" si="498"/>
        <v/>
      </c>
      <c r="BA123" s="564" t="str">
        <f t="shared" si="499"/>
        <v/>
      </c>
      <c r="BB123" s="372" t="str">
        <f t="shared" si="474"/>
        <v/>
      </c>
      <c r="BC123" s="11"/>
      <c r="BD123" s="7" t="str">
        <f t="shared" si="475"/>
        <v/>
      </c>
      <c r="BE123" s="8" t="str">
        <f t="shared" si="476"/>
        <v/>
      </c>
      <c r="BF123" s="6" t="str">
        <f t="shared" si="500"/>
        <v/>
      </c>
      <c r="BG123" s="7" t="str">
        <f t="shared" si="501"/>
        <v/>
      </c>
      <c r="BH123" s="12" t="str">
        <f t="shared" si="502"/>
        <v/>
      </c>
      <c r="BI123" s="11" t="str">
        <f t="shared" si="503"/>
        <v/>
      </c>
      <c r="BJ123" s="7" t="str">
        <f t="shared" si="504"/>
        <v/>
      </c>
      <c r="BK123" s="10" t="str">
        <f t="shared" si="505"/>
        <v/>
      </c>
      <c r="BL123" s="328" t="str">
        <f t="shared" si="506"/>
        <v/>
      </c>
      <c r="BM123" s="7" t="str">
        <f t="shared" si="507"/>
        <v/>
      </c>
      <c r="BN123" s="8" t="str">
        <f t="shared" si="508"/>
        <v/>
      </c>
      <c r="BO123" s="6" t="str">
        <f t="shared" si="509"/>
        <v/>
      </c>
      <c r="BP123" s="7" t="str">
        <f t="shared" si="510"/>
        <v/>
      </c>
      <c r="BQ123" s="7" t="str">
        <f t="shared" si="511"/>
        <v/>
      </c>
      <c r="BR123" s="8" t="str">
        <f t="shared" si="512"/>
        <v/>
      </c>
      <c r="BS123" s="6" t="str">
        <f t="shared" si="675"/>
        <v/>
      </c>
      <c r="BT123" s="7" t="str">
        <f t="shared" si="675"/>
        <v/>
      </c>
      <c r="BU123" s="12" t="str">
        <f t="shared" si="478"/>
        <v/>
      </c>
      <c r="BV123" s="11" t="str">
        <f t="shared" si="479"/>
        <v/>
      </c>
      <c r="BW123" s="7" t="str">
        <f t="shared" si="480"/>
        <v/>
      </c>
      <c r="BX123" s="10" t="str">
        <f t="shared" si="481"/>
        <v/>
      </c>
      <c r="BY123" s="328" t="str">
        <f t="shared" si="482"/>
        <v/>
      </c>
      <c r="BZ123" s="7" t="str">
        <f t="shared" si="483"/>
        <v/>
      </c>
      <c r="CA123" s="8" t="str">
        <f t="shared" si="484"/>
        <v/>
      </c>
      <c r="CB123" s="6" t="str">
        <f t="shared" si="513"/>
        <v/>
      </c>
      <c r="CC123" s="7" t="str">
        <f t="shared" si="514"/>
        <v/>
      </c>
      <c r="CD123" s="7" t="str">
        <f t="shared" si="515"/>
        <v/>
      </c>
      <c r="CE123" s="8" t="str">
        <f t="shared" si="516"/>
        <v/>
      </c>
      <c r="CF123" s="6" t="str">
        <f t="shared" si="517"/>
        <v/>
      </c>
      <c r="CG123" s="7" t="str">
        <f t="shared" si="518"/>
        <v/>
      </c>
      <c r="CH123" s="7" t="str">
        <f t="shared" si="519"/>
        <v/>
      </c>
      <c r="CI123" s="6" t="str">
        <f t="shared" si="485"/>
        <v/>
      </c>
      <c r="CJ123" s="7" t="str">
        <f t="shared" si="486"/>
        <v/>
      </c>
      <c r="CK123" s="10" t="str">
        <f t="shared" si="487"/>
        <v/>
      </c>
      <c r="CL123" s="328" t="str">
        <f t="shared" si="488"/>
        <v/>
      </c>
      <c r="CM123" s="7" t="str">
        <f t="shared" si="489"/>
        <v/>
      </c>
      <c r="CN123" s="8" t="str">
        <f t="shared" si="490"/>
        <v/>
      </c>
      <c r="CO123" s="296" t="str">
        <f t="shared" si="613"/>
        <v/>
      </c>
      <c r="CP123" s="6" t="str">
        <f t="shared" si="520"/>
        <v/>
      </c>
      <c r="CQ123" s="7" t="str">
        <f t="shared" si="521"/>
        <v/>
      </c>
      <c r="CR123" s="7" t="str">
        <f t="shared" si="522"/>
        <v/>
      </c>
      <c r="CS123" s="10" t="str">
        <f t="shared" si="523"/>
        <v/>
      </c>
      <c r="CT123" s="11" t="str">
        <f t="shared" si="524"/>
        <v/>
      </c>
      <c r="CU123" s="8" t="str">
        <f t="shared" si="525"/>
        <v/>
      </c>
      <c r="CV123" s="6" t="str">
        <f t="shared" si="526"/>
        <v/>
      </c>
      <c r="CW123" s="7" t="str">
        <f t="shared" si="527"/>
        <v/>
      </c>
      <c r="CX123" s="10" t="str">
        <f t="shared" si="528"/>
        <v/>
      </c>
      <c r="CY123" s="11" t="str">
        <f t="shared" si="529"/>
        <v/>
      </c>
      <c r="CZ123" s="7" t="str">
        <f t="shared" si="530"/>
        <v/>
      </c>
      <c r="DA123" s="8" t="str">
        <f t="shared" si="531"/>
        <v/>
      </c>
      <c r="DB123" s="6" t="str">
        <f t="shared" si="677"/>
        <v/>
      </c>
      <c r="DC123" s="7" t="str">
        <f t="shared" si="677"/>
        <v/>
      </c>
      <c r="DD123" s="12" t="str">
        <f t="shared" si="533"/>
        <v/>
      </c>
      <c r="DE123" s="11" t="str">
        <f t="shared" si="678"/>
        <v/>
      </c>
      <c r="DF123" s="7" t="str">
        <f t="shared" si="678"/>
        <v/>
      </c>
      <c r="DG123" s="12" t="str">
        <f t="shared" si="535"/>
        <v/>
      </c>
      <c r="DH123" s="174" t="str">
        <f t="shared" si="536"/>
        <v/>
      </c>
      <c r="DI123" s="6" t="str">
        <f t="shared" si="537"/>
        <v/>
      </c>
      <c r="DJ123" s="7" t="str">
        <f t="shared" si="538"/>
        <v/>
      </c>
      <c r="DK123" s="12" t="str">
        <f t="shared" si="539"/>
        <v/>
      </c>
      <c r="DL123" s="11" t="str">
        <f t="shared" si="540"/>
        <v/>
      </c>
      <c r="DM123" s="328" t="str">
        <f t="shared" si="541"/>
        <v/>
      </c>
      <c r="DN123" s="376" t="str">
        <f t="shared" si="542"/>
        <v/>
      </c>
      <c r="DO123" s="11" t="str">
        <f t="shared" si="543"/>
        <v/>
      </c>
      <c r="DP123" s="328" t="str">
        <f t="shared" si="544"/>
        <v/>
      </c>
      <c r="DQ123" s="13" t="str">
        <f t="shared" si="545"/>
        <v/>
      </c>
      <c r="DR123" s="328" t="str">
        <f t="shared" si="546"/>
        <v/>
      </c>
      <c r="DS123" s="7" t="str">
        <f t="shared" si="547"/>
        <v/>
      </c>
      <c r="DT123" s="7" t="str">
        <f t="shared" si="548"/>
        <v/>
      </c>
      <c r="DU123" s="7" t="str">
        <f t="shared" si="549"/>
        <v/>
      </c>
      <c r="DV123" s="7" t="str">
        <f t="shared" si="550"/>
        <v/>
      </c>
      <c r="DW123" s="7" t="str">
        <f t="shared" si="551"/>
        <v/>
      </c>
      <c r="DX123" s="296" t="str">
        <f t="shared" si="552"/>
        <v/>
      </c>
      <c r="DY123" s="11" t="str">
        <f t="shared" si="553"/>
        <v/>
      </c>
      <c r="DZ123" s="7" t="str">
        <f t="shared" si="554"/>
        <v/>
      </c>
      <c r="EA123" s="12" t="str">
        <f t="shared" si="555"/>
        <v/>
      </c>
      <c r="EB123" s="8" t="str">
        <f t="shared" si="556"/>
        <v/>
      </c>
      <c r="EC123" s="328" t="str">
        <f t="shared" si="557"/>
        <v/>
      </c>
      <c r="ED123" s="7" t="str">
        <f t="shared" si="558"/>
        <v/>
      </c>
      <c r="EE123" s="6" t="str">
        <f t="shared" si="559"/>
        <v/>
      </c>
      <c r="EF123" s="7" t="str">
        <f t="shared" si="560"/>
        <v/>
      </c>
      <c r="EG123" s="12" t="str">
        <f t="shared" si="561"/>
        <v/>
      </c>
      <c r="EH123" s="11" t="str">
        <f t="shared" si="562"/>
        <v/>
      </c>
      <c r="EI123" s="7" t="str">
        <f t="shared" si="563"/>
        <v/>
      </c>
      <c r="EJ123" s="8" t="str">
        <f t="shared" si="564"/>
        <v/>
      </c>
      <c r="EK123" s="491" t="str">
        <f t="shared" si="565"/>
        <v/>
      </c>
      <c r="EL123" s="493" t="str">
        <f t="shared" si="566"/>
        <v/>
      </c>
      <c r="EM123" s="6" t="str">
        <f t="shared" si="567"/>
        <v/>
      </c>
      <c r="EN123" s="7" t="str">
        <f t="shared" si="568"/>
        <v/>
      </c>
      <c r="EO123" s="12" t="str">
        <f t="shared" si="569"/>
        <v/>
      </c>
      <c r="EP123" s="11" t="str">
        <f t="shared" si="570"/>
        <v/>
      </c>
      <c r="EQ123" s="7" t="str">
        <f t="shared" si="571"/>
        <v/>
      </c>
      <c r="ER123" s="9" t="str">
        <f t="shared" si="572"/>
        <v/>
      </c>
      <c r="ES123" s="24" t="str">
        <f t="shared" si="573"/>
        <v/>
      </c>
      <c r="ET123" s="7" t="str">
        <f t="shared" si="574"/>
        <v/>
      </c>
      <c r="EU123" s="12" t="str">
        <f t="shared" si="575"/>
        <v/>
      </c>
      <c r="EV123" s="337" t="str">
        <f t="shared" si="620"/>
        <v/>
      </c>
      <c r="EW123" s="11" t="str">
        <f t="shared" si="621"/>
        <v/>
      </c>
      <c r="EX123" s="7" t="str">
        <f t="shared" si="622"/>
        <v/>
      </c>
      <c r="EY123" s="8" t="str">
        <f t="shared" si="576"/>
        <v/>
      </c>
      <c r="EZ123" s="123" t="str">
        <f t="shared" si="577"/>
        <v/>
      </c>
      <c r="FA123" s="328" t="str">
        <f t="shared" si="623"/>
        <v/>
      </c>
      <c r="FB123" s="7" t="str">
        <f t="shared" si="624"/>
        <v/>
      </c>
      <c r="FC123" s="8" t="str">
        <f t="shared" si="625"/>
        <v/>
      </c>
      <c r="FD123" s="6" t="str">
        <f t="shared" si="626"/>
        <v/>
      </c>
      <c r="FE123" s="7" t="str">
        <f t="shared" si="627"/>
        <v/>
      </c>
      <c r="FF123" s="9" t="str">
        <f t="shared" si="578"/>
        <v/>
      </c>
      <c r="FG123" s="328" t="str">
        <f t="shared" si="628"/>
        <v/>
      </c>
      <c r="FH123" s="7" t="str">
        <f t="shared" si="629"/>
        <v/>
      </c>
      <c r="FI123" s="12" t="str">
        <f t="shared" si="630"/>
        <v/>
      </c>
      <c r="FJ123" s="547" t="str">
        <f t="shared" si="579"/>
        <v/>
      </c>
      <c r="FK123" s="6" t="str">
        <f t="shared" si="631"/>
        <v/>
      </c>
      <c r="FL123" s="7" t="str">
        <f t="shared" si="491"/>
        <v/>
      </c>
      <c r="FM123" s="10" t="str">
        <f t="shared" si="492"/>
        <v/>
      </c>
      <c r="FN123" s="11" t="str">
        <f t="shared" si="493"/>
        <v/>
      </c>
      <c r="FO123" s="12" t="str">
        <f t="shared" si="632"/>
        <v/>
      </c>
      <c r="FP123" s="545" t="str">
        <f t="shared" si="494"/>
        <v/>
      </c>
      <c r="FQ123" s="328" t="str">
        <f t="shared" si="580"/>
        <v/>
      </c>
      <c r="FR123" s="12" t="str">
        <f t="shared" si="581"/>
        <v/>
      </c>
      <c r="FS123" s="11" t="str">
        <f t="shared" si="582"/>
        <v/>
      </c>
      <c r="FT123" s="8" t="str">
        <f t="shared" si="583"/>
        <v/>
      </c>
      <c r="FU123" s="6" t="str">
        <f t="shared" si="584"/>
        <v/>
      </c>
      <c r="FV123" s="7" t="str">
        <f t="shared" si="585"/>
        <v/>
      </c>
      <c r="FW123" s="10" t="str">
        <f t="shared" si="586"/>
        <v/>
      </c>
      <c r="FX123" s="11" t="str">
        <f t="shared" si="587"/>
        <v/>
      </c>
      <c r="FY123" s="12" t="str">
        <f t="shared" si="633"/>
        <v/>
      </c>
      <c r="FZ123" s="545" t="str">
        <f t="shared" si="588"/>
        <v/>
      </c>
      <c r="GA123" s="372" t="str">
        <f t="shared" si="589"/>
        <v/>
      </c>
      <c r="GB123" s="46" t="str">
        <f t="shared" si="590"/>
        <v/>
      </c>
      <c r="GC123" s="47" t="str">
        <f t="shared" si="591"/>
        <v/>
      </c>
      <c r="GD123" s="578" t="str">
        <f t="shared" si="592"/>
        <v/>
      </c>
      <c r="GE123" s="585" t="str">
        <f t="shared" si="593"/>
        <v/>
      </c>
      <c r="GF123" s="634" t="str">
        <f t="shared" si="594"/>
        <v/>
      </c>
      <c r="GG123" s="553" t="str">
        <f t="shared" si="634"/>
        <v/>
      </c>
      <c r="GH123" s="554" t="str">
        <f t="shared" si="635"/>
        <v/>
      </c>
      <c r="GI123" s="549" t="str">
        <f t="shared" si="636"/>
        <v/>
      </c>
      <c r="GJ123" s="296" t="str">
        <f t="shared" si="595"/>
        <v/>
      </c>
      <c r="GK123" s="337" t="str">
        <f t="shared" si="637"/>
        <v/>
      </c>
      <c r="GL123" s="337" t="str">
        <f t="shared" si="596"/>
        <v/>
      </c>
      <c r="GM123" s="372" t="str">
        <f t="shared" si="597"/>
        <v/>
      </c>
      <c r="GN123" s="548" t="str">
        <f t="shared" si="598"/>
        <v/>
      </c>
      <c r="GO123" s="6" t="str">
        <f t="shared" si="599"/>
        <v/>
      </c>
      <c r="GP123" s="10" t="str">
        <f t="shared" si="600"/>
        <v/>
      </c>
      <c r="GQ123" s="372" t="str">
        <f t="shared" si="601"/>
        <v/>
      </c>
      <c r="GR123" s="697" t="str">
        <f t="shared" si="602"/>
        <v/>
      </c>
      <c r="GS123" s="637" t="str">
        <f t="shared" si="638"/>
        <v/>
      </c>
      <c r="GT123" s="638" t="str">
        <f t="shared" si="639"/>
        <v/>
      </c>
      <c r="GU123" s="639" t="str">
        <f t="shared" si="640"/>
        <v/>
      </c>
      <c r="GV123" s="638" t="str">
        <f t="shared" si="603"/>
        <v/>
      </c>
      <c r="GW123" s="640" t="str">
        <f t="shared" si="641"/>
        <v/>
      </c>
      <c r="GX123" s="641" t="str">
        <f t="shared" si="642"/>
        <v/>
      </c>
      <c r="GY123" s="639" t="str">
        <f t="shared" si="643"/>
        <v/>
      </c>
      <c r="GZ123" s="640" t="str">
        <f t="shared" si="644"/>
        <v/>
      </c>
      <c r="HA123" s="637" t="str">
        <f t="shared" si="645"/>
        <v/>
      </c>
      <c r="HB123" s="7" t="str">
        <f t="shared" si="604"/>
        <v/>
      </c>
      <c r="HC123" s="638" t="str">
        <f t="shared" si="605"/>
        <v/>
      </c>
      <c r="HD123" s="682" t="str">
        <f t="shared" si="606"/>
        <v/>
      </c>
      <c r="HE123" s="639" t="str">
        <f t="shared" si="646"/>
        <v/>
      </c>
      <c r="HF123" s="7" t="str">
        <f t="shared" si="647"/>
        <v/>
      </c>
      <c r="HG123" s="638" t="str">
        <f t="shared" si="607"/>
        <v/>
      </c>
      <c r="HH123" s="644" t="str">
        <f t="shared" si="608"/>
        <v/>
      </c>
      <c r="HI123" s="596" t="str">
        <f t="shared" si="609"/>
        <v/>
      </c>
      <c r="HK123" s="584" t="str">
        <f t="shared" si="619"/>
        <v/>
      </c>
      <c r="HL123" s="583" t="str">
        <f t="shared" si="676"/>
        <v/>
      </c>
      <c r="HM123" s="643" t="str">
        <f t="shared" si="680"/>
        <v/>
      </c>
      <c r="HN123" s="660" t="str">
        <f t="shared" si="680"/>
        <v/>
      </c>
      <c r="HO123" s="661" t="str">
        <f t="shared" si="680"/>
        <v/>
      </c>
      <c r="HP123" s="656" t="str">
        <f t="shared" si="680"/>
        <v/>
      </c>
      <c r="HQ123" s="660" t="str">
        <f t="shared" si="680"/>
        <v/>
      </c>
      <c r="HR123" s="671" t="str">
        <f t="shared" si="680"/>
        <v/>
      </c>
      <c r="HS123" s="655" t="str">
        <f t="shared" si="680"/>
        <v/>
      </c>
      <c r="HT123" s="648" t="str">
        <f t="shared" si="680"/>
        <v/>
      </c>
      <c r="HU123" s="649" t="str">
        <f t="shared" si="680"/>
        <v/>
      </c>
      <c r="HV123" s="650" t="str">
        <f t="shared" si="680"/>
        <v/>
      </c>
      <c r="HW123" s="648" t="str">
        <f t="shared" si="680"/>
        <v/>
      </c>
      <c r="HX123" s="649" t="str">
        <f t="shared" si="680"/>
        <v/>
      </c>
      <c r="HY123" s="650" t="str">
        <f t="shared" si="680"/>
        <v/>
      </c>
      <c r="HZ123" s="648" t="str">
        <f t="shared" si="680"/>
        <v/>
      </c>
      <c r="IA123" s="649" t="str">
        <f t="shared" si="680"/>
        <v/>
      </c>
      <c r="IB123" s="716"/>
    </row>
    <row r="124" spans="2:236" ht="15" customHeight="1" x14ac:dyDescent="0.25">
      <c r="B124" s="143"/>
      <c r="C124" s="144"/>
      <c r="D124" s="145"/>
      <c r="E124" s="146"/>
      <c r="F124" s="144"/>
      <c r="G124" s="147"/>
      <c r="H124" s="146"/>
      <c r="I124" s="144"/>
      <c r="J124" s="306"/>
      <c r="K124" s="699" t="str">
        <f t="shared" si="610"/>
        <v/>
      </c>
      <c r="M124" s="292" t="str">
        <f t="shared" si="648"/>
        <v/>
      </c>
      <c r="N124" s="24" t="str">
        <f t="shared" si="649"/>
        <v/>
      </c>
      <c r="O124" s="7" t="str">
        <f t="shared" si="650"/>
        <v/>
      </c>
      <c r="P124" s="12" t="str">
        <f t="shared" si="651"/>
        <v/>
      </c>
      <c r="Q124" s="11" t="str">
        <f t="shared" si="473"/>
        <v/>
      </c>
      <c r="R124" s="7" t="str">
        <f t="shared" si="652"/>
        <v/>
      </c>
      <c r="S124" s="8" t="str">
        <f t="shared" si="653"/>
        <v/>
      </c>
      <c r="T124" s="6" t="str">
        <f t="shared" si="654"/>
        <v/>
      </c>
      <c r="U124" s="7" t="str">
        <f t="shared" si="655"/>
        <v/>
      </c>
      <c r="V124" s="10" t="str">
        <f t="shared" si="656"/>
        <v/>
      </c>
      <c r="W124" s="11" t="str">
        <f t="shared" si="614"/>
        <v/>
      </c>
      <c r="X124" s="7" t="str">
        <f t="shared" si="657"/>
        <v/>
      </c>
      <c r="Y124" s="9" t="str">
        <f t="shared" si="611"/>
        <v/>
      </c>
      <c r="Z124" s="24" t="str">
        <f t="shared" si="658"/>
        <v/>
      </c>
      <c r="AA124" s="7" t="str">
        <f t="shared" si="659"/>
        <v/>
      </c>
      <c r="AB124" s="7" t="str">
        <f t="shared" si="660"/>
        <v/>
      </c>
      <c r="AC124" s="10" t="str">
        <f t="shared" si="661"/>
        <v/>
      </c>
      <c r="AD124" s="11" t="str">
        <f t="shared" si="662"/>
        <v/>
      </c>
      <c r="AE124" s="7" t="str">
        <f t="shared" si="663"/>
        <v/>
      </c>
      <c r="AF124" s="12" t="str">
        <f t="shared" si="664"/>
        <v/>
      </c>
      <c r="AG124" s="6" t="str">
        <f t="shared" si="665"/>
        <v/>
      </c>
      <c r="AH124" s="12" t="str">
        <f t="shared" si="666"/>
        <v/>
      </c>
      <c r="AI124" s="11" t="str">
        <f t="shared" si="667"/>
        <v/>
      </c>
      <c r="AJ124" s="8" t="str">
        <f t="shared" si="668"/>
        <v/>
      </c>
      <c r="AK124" s="6" t="str">
        <f t="shared" si="669"/>
        <v/>
      </c>
      <c r="AL124" s="7" t="str">
        <f t="shared" si="670"/>
        <v/>
      </c>
      <c r="AM124" s="8" t="str">
        <f t="shared" si="671"/>
        <v/>
      </c>
      <c r="AN124" s="6" t="str">
        <f t="shared" si="672"/>
        <v/>
      </c>
      <c r="AO124" s="10" t="str">
        <f t="shared" si="673"/>
        <v/>
      </c>
      <c r="AP124" s="11" t="str">
        <f t="shared" si="674"/>
        <v/>
      </c>
      <c r="AQ124" s="8" t="str">
        <f t="shared" si="612"/>
        <v/>
      </c>
      <c r="AS124" s="123" t="str">
        <f t="shared" si="496"/>
        <v/>
      </c>
      <c r="AT124" s="175" t="str">
        <f t="shared" si="617"/>
        <v/>
      </c>
      <c r="AV124" s="292" t="str">
        <f t="shared" si="497"/>
        <v/>
      </c>
      <c r="AW124" s="709"/>
      <c r="AX124" s="710"/>
      <c r="AY124" s="711"/>
      <c r="AZ124" s="565" t="str">
        <f t="shared" si="498"/>
        <v/>
      </c>
      <c r="BA124" s="564" t="str">
        <f t="shared" si="499"/>
        <v/>
      </c>
      <c r="BB124" s="372" t="str">
        <f t="shared" si="474"/>
        <v/>
      </c>
      <c r="BC124" s="11"/>
      <c r="BD124" s="7" t="str">
        <f t="shared" si="475"/>
        <v/>
      </c>
      <c r="BE124" s="8" t="str">
        <f t="shared" si="476"/>
        <v/>
      </c>
      <c r="BF124" s="6" t="str">
        <f t="shared" si="500"/>
        <v/>
      </c>
      <c r="BG124" s="7" t="str">
        <f t="shared" si="501"/>
        <v/>
      </c>
      <c r="BH124" s="12" t="str">
        <f t="shared" si="502"/>
        <v/>
      </c>
      <c r="BI124" s="11" t="str">
        <f t="shared" si="503"/>
        <v/>
      </c>
      <c r="BJ124" s="7" t="str">
        <f t="shared" si="504"/>
        <v/>
      </c>
      <c r="BK124" s="10" t="str">
        <f t="shared" si="505"/>
        <v/>
      </c>
      <c r="BL124" s="328" t="str">
        <f t="shared" si="506"/>
        <v/>
      </c>
      <c r="BM124" s="7" t="str">
        <f t="shared" si="507"/>
        <v/>
      </c>
      <c r="BN124" s="8" t="str">
        <f t="shared" si="508"/>
        <v/>
      </c>
      <c r="BO124" s="6" t="str">
        <f t="shared" si="509"/>
        <v/>
      </c>
      <c r="BP124" s="7" t="str">
        <f t="shared" si="510"/>
        <v/>
      </c>
      <c r="BQ124" s="7" t="str">
        <f t="shared" si="511"/>
        <v/>
      </c>
      <c r="BR124" s="8" t="str">
        <f t="shared" si="512"/>
        <v/>
      </c>
      <c r="BS124" s="6" t="str">
        <f t="shared" si="675"/>
        <v/>
      </c>
      <c r="BT124" s="7" t="str">
        <f t="shared" si="675"/>
        <v/>
      </c>
      <c r="BU124" s="12" t="str">
        <f t="shared" si="478"/>
        <v/>
      </c>
      <c r="BV124" s="11" t="str">
        <f t="shared" si="479"/>
        <v/>
      </c>
      <c r="BW124" s="7" t="str">
        <f t="shared" si="480"/>
        <v/>
      </c>
      <c r="BX124" s="10" t="str">
        <f t="shared" si="481"/>
        <v/>
      </c>
      <c r="BY124" s="328" t="str">
        <f t="shared" si="482"/>
        <v/>
      </c>
      <c r="BZ124" s="7" t="str">
        <f t="shared" si="483"/>
        <v/>
      </c>
      <c r="CA124" s="8" t="str">
        <f t="shared" si="484"/>
        <v/>
      </c>
      <c r="CB124" s="6" t="str">
        <f t="shared" si="513"/>
        <v/>
      </c>
      <c r="CC124" s="7" t="str">
        <f t="shared" si="514"/>
        <v/>
      </c>
      <c r="CD124" s="7" t="str">
        <f t="shared" si="515"/>
        <v/>
      </c>
      <c r="CE124" s="8" t="str">
        <f t="shared" si="516"/>
        <v/>
      </c>
      <c r="CF124" s="6" t="str">
        <f t="shared" si="517"/>
        <v/>
      </c>
      <c r="CG124" s="7" t="str">
        <f t="shared" si="518"/>
        <v/>
      </c>
      <c r="CH124" s="7" t="str">
        <f t="shared" si="519"/>
        <v/>
      </c>
      <c r="CI124" s="6" t="str">
        <f t="shared" si="485"/>
        <v/>
      </c>
      <c r="CJ124" s="7" t="str">
        <f t="shared" si="486"/>
        <v/>
      </c>
      <c r="CK124" s="10" t="str">
        <f t="shared" si="487"/>
        <v/>
      </c>
      <c r="CL124" s="328" t="str">
        <f t="shared" si="488"/>
        <v/>
      </c>
      <c r="CM124" s="7" t="str">
        <f t="shared" si="489"/>
        <v/>
      </c>
      <c r="CN124" s="8" t="str">
        <f t="shared" si="490"/>
        <v/>
      </c>
      <c r="CO124" s="296" t="str">
        <f t="shared" si="613"/>
        <v/>
      </c>
      <c r="CP124" s="6" t="str">
        <f t="shared" si="520"/>
        <v/>
      </c>
      <c r="CQ124" s="7" t="str">
        <f t="shared" si="521"/>
        <v/>
      </c>
      <c r="CR124" s="7" t="str">
        <f t="shared" si="522"/>
        <v/>
      </c>
      <c r="CS124" s="10" t="str">
        <f t="shared" si="523"/>
        <v/>
      </c>
      <c r="CT124" s="11" t="str">
        <f t="shared" si="524"/>
        <v/>
      </c>
      <c r="CU124" s="8" t="str">
        <f t="shared" si="525"/>
        <v/>
      </c>
      <c r="CV124" s="6" t="str">
        <f t="shared" si="526"/>
        <v/>
      </c>
      <c r="CW124" s="7" t="str">
        <f t="shared" si="527"/>
        <v/>
      </c>
      <c r="CX124" s="10" t="str">
        <f t="shared" si="528"/>
        <v/>
      </c>
      <c r="CY124" s="11" t="str">
        <f t="shared" si="529"/>
        <v/>
      </c>
      <c r="CZ124" s="7" t="str">
        <f t="shared" si="530"/>
        <v/>
      </c>
      <c r="DA124" s="8" t="str">
        <f t="shared" si="531"/>
        <v/>
      </c>
      <c r="DB124" s="6" t="str">
        <f t="shared" si="677"/>
        <v/>
      </c>
      <c r="DC124" s="7" t="str">
        <f t="shared" si="677"/>
        <v/>
      </c>
      <c r="DD124" s="12" t="str">
        <f t="shared" si="533"/>
        <v/>
      </c>
      <c r="DE124" s="11" t="str">
        <f t="shared" si="678"/>
        <v/>
      </c>
      <c r="DF124" s="7" t="str">
        <f t="shared" si="678"/>
        <v/>
      </c>
      <c r="DG124" s="12" t="str">
        <f t="shared" si="535"/>
        <v/>
      </c>
      <c r="DH124" s="174" t="str">
        <f t="shared" si="536"/>
        <v/>
      </c>
      <c r="DI124" s="6" t="str">
        <f t="shared" si="537"/>
        <v/>
      </c>
      <c r="DJ124" s="7" t="str">
        <f t="shared" si="538"/>
        <v/>
      </c>
      <c r="DK124" s="12" t="str">
        <f t="shared" si="539"/>
        <v/>
      </c>
      <c r="DL124" s="11" t="str">
        <f t="shared" si="540"/>
        <v/>
      </c>
      <c r="DM124" s="328" t="str">
        <f t="shared" si="541"/>
        <v/>
      </c>
      <c r="DN124" s="376" t="str">
        <f t="shared" si="542"/>
        <v/>
      </c>
      <c r="DO124" s="11" t="str">
        <f t="shared" si="543"/>
        <v/>
      </c>
      <c r="DP124" s="328" t="str">
        <f t="shared" si="544"/>
        <v/>
      </c>
      <c r="DQ124" s="13" t="str">
        <f t="shared" si="545"/>
        <v/>
      </c>
      <c r="DR124" s="328" t="str">
        <f t="shared" si="546"/>
        <v/>
      </c>
      <c r="DS124" s="7" t="str">
        <f t="shared" si="547"/>
        <v/>
      </c>
      <c r="DT124" s="7" t="str">
        <f t="shared" si="548"/>
        <v/>
      </c>
      <c r="DU124" s="7" t="str">
        <f t="shared" si="549"/>
        <v/>
      </c>
      <c r="DV124" s="7" t="str">
        <f t="shared" si="550"/>
        <v/>
      </c>
      <c r="DW124" s="7" t="str">
        <f t="shared" si="551"/>
        <v/>
      </c>
      <c r="DX124" s="296" t="str">
        <f t="shared" si="552"/>
        <v/>
      </c>
      <c r="DY124" s="11" t="str">
        <f t="shared" si="553"/>
        <v/>
      </c>
      <c r="DZ124" s="7" t="str">
        <f t="shared" si="554"/>
        <v/>
      </c>
      <c r="EA124" s="12" t="str">
        <f t="shared" si="555"/>
        <v/>
      </c>
      <c r="EB124" s="8" t="str">
        <f t="shared" si="556"/>
        <v/>
      </c>
      <c r="EC124" s="328" t="str">
        <f t="shared" si="557"/>
        <v/>
      </c>
      <c r="ED124" s="7" t="str">
        <f t="shared" si="558"/>
        <v/>
      </c>
      <c r="EE124" s="6" t="str">
        <f t="shared" si="559"/>
        <v/>
      </c>
      <c r="EF124" s="7" t="str">
        <f t="shared" si="560"/>
        <v/>
      </c>
      <c r="EG124" s="12" t="str">
        <f t="shared" si="561"/>
        <v/>
      </c>
      <c r="EH124" s="11" t="str">
        <f t="shared" si="562"/>
        <v/>
      </c>
      <c r="EI124" s="7" t="str">
        <f t="shared" si="563"/>
        <v/>
      </c>
      <c r="EJ124" s="8" t="str">
        <f t="shared" si="564"/>
        <v/>
      </c>
      <c r="EK124" s="491" t="str">
        <f t="shared" si="565"/>
        <v/>
      </c>
      <c r="EL124" s="493" t="str">
        <f t="shared" si="566"/>
        <v/>
      </c>
      <c r="EM124" s="6" t="str">
        <f t="shared" si="567"/>
        <v/>
      </c>
      <c r="EN124" s="7" t="str">
        <f t="shared" si="568"/>
        <v/>
      </c>
      <c r="EO124" s="12" t="str">
        <f t="shared" si="569"/>
        <v/>
      </c>
      <c r="EP124" s="11" t="str">
        <f t="shared" si="570"/>
        <v/>
      </c>
      <c r="EQ124" s="7" t="str">
        <f t="shared" si="571"/>
        <v/>
      </c>
      <c r="ER124" s="9" t="str">
        <f t="shared" si="572"/>
        <v/>
      </c>
      <c r="ES124" s="24" t="str">
        <f t="shared" si="573"/>
        <v/>
      </c>
      <c r="ET124" s="7" t="str">
        <f t="shared" si="574"/>
        <v/>
      </c>
      <c r="EU124" s="12" t="str">
        <f t="shared" si="575"/>
        <v/>
      </c>
      <c r="EV124" s="337" t="str">
        <f t="shared" si="620"/>
        <v/>
      </c>
      <c r="EW124" s="11" t="str">
        <f t="shared" si="621"/>
        <v/>
      </c>
      <c r="EX124" s="7" t="str">
        <f t="shared" si="622"/>
        <v/>
      </c>
      <c r="EY124" s="8" t="str">
        <f t="shared" si="576"/>
        <v/>
      </c>
      <c r="EZ124" s="123" t="str">
        <f t="shared" si="577"/>
        <v/>
      </c>
      <c r="FA124" s="328" t="str">
        <f t="shared" si="623"/>
        <v/>
      </c>
      <c r="FB124" s="7" t="str">
        <f t="shared" si="624"/>
        <v/>
      </c>
      <c r="FC124" s="8" t="str">
        <f t="shared" si="625"/>
        <v/>
      </c>
      <c r="FD124" s="6" t="str">
        <f t="shared" si="626"/>
        <v/>
      </c>
      <c r="FE124" s="7" t="str">
        <f t="shared" si="627"/>
        <v/>
      </c>
      <c r="FF124" s="9" t="str">
        <f t="shared" si="578"/>
        <v/>
      </c>
      <c r="FG124" s="328" t="str">
        <f t="shared" si="628"/>
        <v/>
      </c>
      <c r="FH124" s="7" t="str">
        <f t="shared" si="629"/>
        <v/>
      </c>
      <c r="FI124" s="12" t="str">
        <f t="shared" si="630"/>
        <v/>
      </c>
      <c r="FJ124" s="547" t="str">
        <f t="shared" si="579"/>
        <v/>
      </c>
      <c r="FK124" s="6" t="str">
        <f t="shared" si="631"/>
        <v/>
      </c>
      <c r="FL124" s="7" t="str">
        <f t="shared" si="491"/>
        <v/>
      </c>
      <c r="FM124" s="10" t="str">
        <f t="shared" si="492"/>
        <v/>
      </c>
      <c r="FN124" s="11" t="str">
        <f t="shared" si="493"/>
        <v/>
      </c>
      <c r="FO124" s="12" t="str">
        <f t="shared" si="632"/>
        <v/>
      </c>
      <c r="FP124" s="545" t="str">
        <f t="shared" si="494"/>
        <v/>
      </c>
      <c r="FQ124" s="328" t="str">
        <f t="shared" si="580"/>
        <v/>
      </c>
      <c r="FR124" s="12" t="str">
        <f t="shared" si="581"/>
        <v/>
      </c>
      <c r="FS124" s="11" t="str">
        <f t="shared" si="582"/>
        <v/>
      </c>
      <c r="FT124" s="8" t="str">
        <f t="shared" si="583"/>
        <v/>
      </c>
      <c r="FU124" s="6" t="str">
        <f t="shared" si="584"/>
        <v/>
      </c>
      <c r="FV124" s="7" t="str">
        <f t="shared" si="585"/>
        <v/>
      </c>
      <c r="FW124" s="10" t="str">
        <f t="shared" si="586"/>
        <v/>
      </c>
      <c r="FX124" s="11" t="str">
        <f t="shared" si="587"/>
        <v/>
      </c>
      <c r="FY124" s="12" t="str">
        <f t="shared" si="633"/>
        <v/>
      </c>
      <c r="FZ124" s="545" t="str">
        <f t="shared" si="588"/>
        <v/>
      </c>
      <c r="GA124" s="372" t="str">
        <f t="shared" si="589"/>
        <v/>
      </c>
      <c r="GB124" s="46" t="str">
        <f t="shared" si="590"/>
        <v/>
      </c>
      <c r="GC124" s="47" t="str">
        <f t="shared" si="591"/>
        <v/>
      </c>
      <c r="GD124" s="578" t="str">
        <f t="shared" si="592"/>
        <v/>
      </c>
      <c r="GE124" s="585" t="str">
        <f t="shared" si="593"/>
        <v/>
      </c>
      <c r="GF124" s="634" t="str">
        <f t="shared" si="594"/>
        <v/>
      </c>
      <c r="GG124" s="553" t="str">
        <f t="shared" si="634"/>
        <v/>
      </c>
      <c r="GH124" s="554" t="str">
        <f t="shared" si="635"/>
        <v/>
      </c>
      <c r="GI124" s="549" t="str">
        <f t="shared" si="636"/>
        <v/>
      </c>
      <c r="GJ124" s="296" t="str">
        <f t="shared" si="595"/>
        <v/>
      </c>
      <c r="GK124" s="337" t="str">
        <f t="shared" si="637"/>
        <v/>
      </c>
      <c r="GL124" s="337" t="str">
        <f t="shared" si="596"/>
        <v/>
      </c>
      <c r="GM124" s="372" t="str">
        <f t="shared" si="597"/>
        <v/>
      </c>
      <c r="GN124" s="548" t="str">
        <f t="shared" si="598"/>
        <v/>
      </c>
      <c r="GO124" s="6" t="str">
        <f t="shared" si="599"/>
        <v/>
      </c>
      <c r="GP124" s="10" t="str">
        <f t="shared" si="600"/>
        <v/>
      </c>
      <c r="GQ124" s="372" t="str">
        <f t="shared" si="601"/>
        <v/>
      </c>
      <c r="GR124" s="697" t="str">
        <f t="shared" si="602"/>
        <v/>
      </c>
      <c r="GS124" s="637" t="str">
        <f t="shared" si="638"/>
        <v/>
      </c>
      <c r="GT124" s="638" t="str">
        <f t="shared" si="639"/>
        <v/>
      </c>
      <c r="GU124" s="639" t="str">
        <f t="shared" si="640"/>
        <v/>
      </c>
      <c r="GV124" s="638" t="str">
        <f t="shared" si="603"/>
        <v/>
      </c>
      <c r="GW124" s="640" t="str">
        <f t="shared" si="641"/>
        <v/>
      </c>
      <c r="GX124" s="641" t="str">
        <f t="shared" si="642"/>
        <v/>
      </c>
      <c r="GY124" s="639" t="str">
        <f t="shared" si="643"/>
        <v/>
      </c>
      <c r="GZ124" s="640" t="str">
        <f t="shared" si="644"/>
        <v/>
      </c>
      <c r="HA124" s="637" t="str">
        <f t="shared" si="645"/>
        <v/>
      </c>
      <c r="HB124" s="7" t="str">
        <f t="shared" si="604"/>
        <v/>
      </c>
      <c r="HC124" s="638" t="str">
        <f t="shared" si="605"/>
        <v/>
      </c>
      <c r="HD124" s="682" t="str">
        <f t="shared" si="606"/>
        <v/>
      </c>
      <c r="HE124" s="639" t="str">
        <f t="shared" si="646"/>
        <v/>
      </c>
      <c r="HF124" s="7" t="str">
        <f t="shared" si="647"/>
        <v/>
      </c>
      <c r="HG124" s="638" t="str">
        <f t="shared" si="607"/>
        <v/>
      </c>
      <c r="HH124" s="644" t="str">
        <f t="shared" si="608"/>
        <v/>
      </c>
      <c r="HI124" s="596" t="str">
        <f t="shared" si="609"/>
        <v/>
      </c>
      <c r="HK124" s="584" t="str">
        <f t="shared" si="619"/>
        <v/>
      </c>
      <c r="HL124" s="583" t="str">
        <f t="shared" si="676"/>
        <v/>
      </c>
      <c r="HM124" s="643" t="str">
        <f t="shared" si="680"/>
        <v/>
      </c>
      <c r="HN124" s="660" t="str">
        <f t="shared" si="680"/>
        <v/>
      </c>
      <c r="HO124" s="661" t="str">
        <f t="shared" si="680"/>
        <v/>
      </c>
      <c r="HP124" s="656" t="str">
        <f t="shared" si="680"/>
        <v/>
      </c>
      <c r="HQ124" s="660" t="str">
        <f t="shared" si="680"/>
        <v/>
      </c>
      <c r="HR124" s="671" t="str">
        <f t="shared" si="680"/>
        <v/>
      </c>
      <c r="HS124" s="655" t="str">
        <f t="shared" si="680"/>
        <v/>
      </c>
      <c r="HT124" s="648" t="str">
        <f t="shared" si="680"/>
        <v/>
      </c>
      <c r="HU124" s="649" t="str">
        <f t="shared" si="680"/>
        <v/>
      </c>
      <c r="HV124" s="650" t="str">
        <f t="shared" si="680"/>
        <v/>
      </c>
      <c r="HW124" s="648" t="str">
        <f t="shared" si="680"/>
        <v/>
      </c>
      <c r="HX124" s="649" t="str">
        <f t="shared" si="680"/>
        <v/>
      </c>
      <c r="HY124" s="650" t="str">
        <f t="shared" si="680"/>
        <v/>
      </c>
      <c r="HZ124" s="648" t="str">
        <f t="shared" si="680"/>
        <v/>
      </c>
      <c r="IA124" s="649" t="str">
        <f t="shared" si="680"/>
        <v/>
      </c>
      <c r="IB124" s="716"/>
    </row>
    <row r="125" spans="2:236" ht="15" customHeight="1" x14ac:dyDescent="0.25">
      <c r="B125" s="143"/>
      <c r="C125" s="144"/>
      <c r="D125" s="145"/>
      <c r="E125" s="146"/>
      <c r="F125" s="144"/>
      <c r="G125" s="147"/>
      <c r="H125" s="146"/>
      <c r="I125" s="144"/>
      <c r="J125" s="306"/>
      <c r="K125" s="699" t="str">
        <f t="shared" si="610"/>
        <v/>
      </c>
      <c r="M125" s="292" t="str">
        <f t="shared" si="648"/>
        <v/>
      </c>
      <c r="N125" s="24" t="str">
        <f t="shared" si="649"/>
        <v/>
      </c>
      <c r="O125" s="7" t="str">
        <f t="shared" si="650"/>
        <v/>
      </c>
      <c r="P125" s="12" t="str">
        <f t="shared" si="651"/>
        <v/>
      </c>
      <c r="Q125" s="11" t="str">
        <f t="shared" si="473"/>
        <v/>
      </c>
      <c r="R125" s="7" t="str">
        <f t="shared" si="652"/>
        <v/>
      </c>
      <c r="S125" s="8" t="str">
        <f t="shared" si="653"/>
        <v/>
      </c>
      <c r="T125" s="6" t="str">
        <f t="shared" si="654"/>
        <v/>
      </c>
      <c r="U125" s="7" t="str">
        <f t="shared" si="655"/>
        <v/>
      </c>
      <c r="V125" s="10" t="str">
        <f t="shared" si="656"/>
        <v/>
      </c>
      <c r="W125" s="11" t="str">
        <f t="shared" si="614"/>
        <v/>
      </c>
      <c r="X125" s="7" t="str">
        <f t="shared" si="657"/>
        <v/>
      </c>
      <c r="Y125" s="9" t="str">
        <f t="shared" si="611"/>
        <v/>
      </c>
      <c r="Z125" s="24" t="str">
        <f t="shared" si="658"/>
        <v/>
      </c>
      <c r="AA125" s="7" t="str">
        <f t="shared" si="659"/>
        <v/>
      </c>
      <c r="AB125" s="7" t="str">
        <f t="shared" si="660"/>
        <v/>
      </c>
      <c r="AC125" s="10" t="str">
        <f t="shared" si="661"/>
        <v/>
      </c>
      <c r="AD125" s="11" t="str">
        <f t="shared" si="662"/>
        <v/>
      </c>
      <c r="AE125" s="7" t="str">
        <f t="shared" si="663"/>
        <v/>
      </c>
      <c r="AF125" s="12" t="str">
        <f t="shared" si="664"/>
        <v/>
      </c>
      <c r="AG125" s="6" t="str">
        <f t="shared" si="665"/>
        <v/>
      </c>
      <c r="AH125" s="12" t="str">
        <f t="shared" si="666"/>
        <v/>
      </c>
      <c r="AI125" s="11" t="str">
        <f t="shared" si="667"/>
        <v/>
      </c>
      <c r="AJ125" s="8" t="str">
        <f t="shared" si="668"/>
        <v/>
      </c>
      <c r="AK125" s="6" t="str">
        <f t="shared" si="669"/>
        <v/>
      </c>
      <c r="AL125" s="7" t="str">
        <f t="shared" si="670"/>
        <v/>
      </c>
      <c r="AM125" s="8" t="str">
        <f t="shared" si="671"/>
        <v/>
      </c>
      <c r="AN125" s="6" t="str">
        <f t="shared" si="672"/>
        <v/>
      </c>
      <c r="AO125" s="10" t="str">
        <f t="shared" si="673"/>
        <v/>
      </c>
      <c r="AP125" s="11" t="str">
        <f t="shared" si="674"/>
        <v/>
      </c>
      <c r="AQ125" s="8" t="str">
        <f t="shared" si="612"/>
        <v/>
      </c>
      <c r="AS125" s="123" t="str">
        <f t="shared" si="496"/>
        <v/>
      </c>
      <c r="AT125" s="175" t="str">
        <f t="shared" si="617"/>
        <v/>
      </c>
      <c r="AV125" s="292" t="str">
        <f t="shared" si="497"/>
        <v/>
      </c>
      <c r="AW125" s="709"/>
      <c r="AX125" s="710"/>
      <c r="AY125" s="711"/>
      <c r="AZ125" s="565" t="str">
        <f t="shared" si="498"/>
        <v/>
      </c>
      <c r="BA125" s="564" t="str">
        <f t="shared" si="499"/>
        <v/>
      </c>
      <c r="BB125" s="372" t="str">
        <f t="shared" si="474"/>
        <v/>
      </c>
      <c r="BC125" s="11"/>
      <c r="BD125" s="7" t="str">
        <f t="shared" si="475"/>
        <v/>
      </c>
      <c r="BE125" s="8" t="str">
        <f t="shared" si="476"/>
        <v/>
      </c>
      <c r="BF125" s="6" t="str">
        <f t="shared" si="500"/>
        <v/>
      </c>
      <c r="BG125" s="7" t="str">
        <f t="shared" si="501"/>
        <v/>
      </c>
      <c r="BH125" s="12" t="str">
        <f t="shared" si="502"/>
        <v/>
      </c>
      <c r="BI125" s="11" t="str">
        <f t="shared" si="503"/>
        <v/>
      </c>
      <c r="BJ125" s="7" t="str">
        <f t="shared" si="504"/>
        <v/>
      </c>
      <c r="BK125" s="10" t="str">
        <f t="shared" si="505"/>
        <v/>
      </c>
      <c r="BL125" s="328" t="str">
        <f t="shared" si="506"/>
        <v/>
      </c>
      <c r="BM125" s="7" t="str">
        <f t="shared" si="507"/>
        <v/>
      </c>
      <c r="BN125" s="8" t="str">
        <f t="shared" si="508"/>
        <v/>
      </c>
      <c r="BO125" s="6" t="str">
        <f t="shared" si="509"/>
        <v/>
      </c>
      <c r="BP125" s="7" t="str">
        <f t="shared" si="510"/>
        <v/>
      </c>
      <c r="BQ125" s="7" t="str">
        <f t="shared" si="511"/>
        <v/>
      </c>
      <c r="BR125" s="8" t="str">
        <f t="shared" si="512"/>
        <v/>
      </c>
      <c r="BS125" s="6" t="str">
        <f t="shared" si="675"/>
        <v/>
      </c>
      <c r="BT125" s="7" t="str">
        <f t="shared" si="675"/>
        <v/>
      </c>
      <c r="BU125" s="12" t="str">
        <f t="shared" si="478"/>
        <v/>
      </c>
      <c r="BV125" s="11" t="str">
        <f t="shared" si="479"/>
        <v/>
      </c>
      <c r="BW125" s="7" t="str">
        <f t="shared" si="480"/>
        <v/>
      </c>
      <c r="BX125" s="10" t="str">
        <f t="shared" si="481"/>
        <v/>
      </c>
      <c r="BY125" s="328" t="str">
        <f t="shared" si="482"/>
        <v/>
      </c>
      <c r="BZ125" s="7" t="str">
        <f t="shared" si="483"/>
        <v/>
      </c>
      <c r="CA125" s="8" t="str">
        <f t="shared" si="484"/>
        <v/>
      </c>
      <c r="CB125" s="6" t="str">
        <f t="shared" si="513"/>
        <v/>
      </c>
      <c r="CC125" s="7" t="str">
        <f t="shared" si="514"/>
        <v/>
      </c>
      <c r="CD125" s="7" t="str">
        <f t="shared" si="515"/>
        <v/>
      </c>
      <c r="CE125" s="8" t="str">
        <f t="shared" si="516"/>
        <v/>
      </c>
      <c r="CF125" s="6" t="str">
        <f t="shared" si="517"/>
        <v/>
      </c>
      <c r="CG125" s="7" t="str">
        <f t="shared" si="518"/>
        <v/>
      </c>
      <c r="CH125" s="7" t="str">
        <f t="shared" si="519"/>
        <v/>
      </c>
      <c r="CI125" s="6" t="str">
        <f t="shared" si="485"/>
        <v/>
      </c>
      <c r="CJ125" s="7" t="str">
        <f t="shared" si="486"/>
        <v/>
      </c>
      <c r="CK125" s="10" t="str">
        <f t="shared" si="487"/>
        <v/>
      </c>
      <c r="CL125" s="328" t="str">
        <f t="shared" si="488"/>
        <v/>
      </c>
      <c r="CM125" s="7" t="str">
        <f t="shared" si="489"/>
        <v/>
      </c>
      <c r="CN125" s="8" t="str">
        <f t="shared" si="490"/>
        <v/>
      </c>
      <c r="CO125" s="296" t="str">
        <f t="shared" si="613"/>
        <v/>
      </c>
      <c r="CP125" s="6" t="str">
        <f t="shared" si="520"/>
        <v/>
      </c>
      <c r="CQ125" s="7" t="str">
        <f t="shared" si="521"/>
        <v/>
      </c>
      <c r="CR125" s="7" t="str">
        <f t="shared" si="522"/>
        <v/>
      </c>
      <c r="CS125" s="10" t="str">
        <f t="shared" si="523"/>
        <v/>
      </c>
      <c r="CT125" s="11" t="str">
        <f t="shared" si="524"/>
        <v/>
      </c>
      <c r="CU125" s="8" t="str">
        <f t="shared" si="525"/>
        <v/>
      </c>
      <c r="CV125" s="6" t="str">
        <f t="shared" si="526"/>
        <v/>
      </c>
      <c r="CW125" s="7" t="str">
        <f t="shared" si="527"/>
        <v/>
      </c>
      <c r="CX125" s="10" t="str">
        <f t="shared" si="528"/>
        <v/>
      </c>
      <c r="CY125" s="11" t="str">
        <f t="shared" si="529"/>
        <v/>
      </c>
      <c r="CZ125" s="7" t="str">
        <f t="shared" si="530"/>
        <v/>
      </c>
      <c r="DA125" s="8" t="str">
        <f t="shared" si="531"/>
        <v/>
      </c>
      <c r="DB125" s="6" t="str">
        <f t="shared" si="677"/>
        <v/>
      </c>
      <c r="DC125" s="7" t="str">
        <f t="shared" si="677"/>
        <v/>
      </c>
      <c r="DD125" s="12" t="str">
        <f t="shared" si="533"/>
        <v/>
      </c>
      <c r="DE125" s="11" t="str">
        <f t="shared" si="678"/>
        <v/>
      </c>
      <c r="DF125" s="7" t="str">
        <f t="shared" si="678"/>
        <v/>
      </c>
      <c r="DG125" s="12" t="str">
        <f t="shared" si="535"/>
        <v/>
      </c>
      <c r="DH125" s="174" t="str">
        <f t="shared" si="536"/>
        <v/>
      </c>
      <c r="DI125" s="6" t="str">
        <f t="shared" si="537"/>
        <v/>
      </c>
      <c r="DJ125" s="7" t="str">
        <f t="shared" si="538"/>
        <v/>
      </c>
      <c r="DK125" s="12" t="str">
        <f t="shared" si="539"/>
        <v/>
      </c>
      <c r="DL125" s="11" t="str">
        <f t="shared" si="540"/>
        <v/>
      </c>
      <c r="DM125" s="328" t="str">
        <f t="shared" si="541"/>
        <v/>
      </c>
      <c r="DN125" s="376" t="str">
        <f t="shared" si="542"/>
        <v/>
      </c>
      <c r="DO125" s="11" t="str">
        <f t="shared" si="543"/>
        <v/>
      </c>
      <c r="DP125" s="328" t="str">
        <f t="shared" si="544"/>
        <v/>
      </c>
      <c r="DQ125" s="13" t="str">
        <f t="shared" si="545"/>
        <v/>
      </c>
      <c r="DR125" s="328" t="str">
        <f t="shared" si="546"/>
        <v/>
      </c>
      <c r="DS125" s="7" t="str">
        <f t="shared" si="547"/>
        <v/>
      </c>
      <c r="DT125" s="7" t="str">
        <f t="shared" si="548"/>
        <v/>
      </c>
      <c r="DU125" s="7" t="str">
        <f t="shared" si="549"/>
        <v/>
      </c>
      <c r="DV125" s="7" t="str">
        <f t="shared" si="550"/>
        <v/>
      </c>
      <c r="DW125" s="7" t="str">
        <f t="shared" si="551"/>
        <v/>
      </c>
      <c r="DX125" s="296" t="str">
        <f t="shared" si="552"/>
        <v/>
      </c>
      <c r="DY125" s="11" t="str">
        <f t="shared" si="553"/>
        <v/>
      </c>
      <c r="DZ125" s="7" t="str">
        <f t="shared" si="554"/>
        <v/>
      </c>
      <c r="EA125" s="12" t="str">
        <f t="shared" si="555"/>
        <v/>
      </c>
      <c r="EB125" s="8" t="str">
        <f t="shared" si="556"/>
        <v/>
      </c>
      <c r="EC125" s="328" t="str">
        <f t="shared" si="557"/>
        <v/>
      </c>
      <c r="ED125" s="7" t="str">
        <f t="shared" si="558"/>
        <v/>
      </c>
      <c r="EE125" s="6" t="str">
        <f t="shared" si="559"/>
        <v/>
      </c>
      <c r="EF125" s="7" t="str">
        <f t="shared" si="560"/>
        <v/>
      </c>
      <c r="EG125" s="12" t="str">
        <f t="shared" si="561"/>
        <v/>
      </c>
      <c r="EH125" s="11" t="str">
        <f t="shared" si="562"/>
        <v/>
      </c>
      <c r="EI125" s="7" t="str">
        <f t="shared" si="563"/>
        <v/>
      </c>
      <c r="EJ125" s="8" t="str">
        <f t="shared" si="564"/>
        <v/>
      </c>
      <c r="EK125" s="491" t="str">
        <f t="shared" si="565"/>
        <v/>
      </c>
      <c r="EL125" s="493" t="str">
        <f t="shared" si="566"/>
        <v/>
      </c>
      <c r="EM125" s="6" t="str">
        <f t="shared" si="567"/>
        <v/>
      </c>
      <c r="EN125" s="7" t="str">
        <f t="shared" si="568"/>
        <v/>
      </c>
      <c r="EO125" s="12" t="str">
        <f t="shared" si="569"/>
        <v/>
      </c>
      <c r="EP125" s="11" t="str">
        <f t="shared" si="570"/>
        <v/>
      </c>
      <c r="EQ125" s="7" t="str">
        <f t="shared" si="571"/>
        <v/>
      </c>
      <c r="ER125" s="9" t="str">
        <f t="shared" si="572"/>
        <v/>
      </c>
      <c r="ES125" s="24" t="str">
        <f t="shared" si="573"/>
        <v/>
      </c>
      <c r="ET125" s="7" t="str">
        <f t="shared" si="574"/>
        <v/>
      </c>
      <c r="EU125" s="12" t="str">
        <f t="shared" si="575"/>
        <v/>
      </c>
      <c r="EV125" s="337" t="str">
        <f t="shared" si="620"/>
        <v/>
      </c>
      <c r="EW125" s="11" t="str">
        <f t="shared" si="621"/>
        <v/>
      </c>
      <c r="EX125" s="7" t="str">
        <f t="shared" si="622"/>
        <v/>
      </c>
      <c r="EY125" s="8" t="str">
        <f t="shared" si="576"/>
        <v/>
      </c>
      <c r="EZ125" s="123" t="str">
        <f t="shared" si="577"/>
        <v/>
      </c>
      <c r="FA125" s="328" t="str">
        <f t="shared" si="623"/>
        <v/>
      </c>
      <c r="FB125" s="7" t="str">
        <f t="shared" si="624"/>
        <v/>
      </c>
      <c r="FC125" s="8" t="str">
        <f t="shared" si="625"/>
        <v/>
      </c>
      <c r="FD125" s="6" t="str">
        <f t="shared" si="626"/>
        <v/>
      </c>
      <c r="FE125" s="7" t="str">
        <f t="shared" si="627"/>
        <v/>
      </c>
      <c r="FF125" s="9" t="str">
        <f t="shared" si="578"/>
        <v/>
      </c>
      <c r="FG125" s="328" t="str">
        <f t="shared" si="628"/>
        <v/>
      </c>
      <c r="FH125" s="7" t="str">
        <f t="shared" si="629"/>
        <v/>
      </c>
      <c r="FI125" s="12" t="str">
        <f t="shared" si="630"/>
        <v/>
      </c>
      <c r="FJ125" s="547" t="str">
        <f t="shared" si="579"/>
        <v/>
      </c>
      <c r="FK125" s="6" t="str">
        <f t="shared" si="631"/>
        <v/>
      </c>
      <c r="FL125" s="7" t="str">
        <f t="shared" si="491"/>
        <v/>
      </c>
      <c r="FM125" s="10" t="str">
        <f t="shared" si="492"/>
        <v/>
      </c>
      <c r="FN125" s="11" t="str">
        <f t="shared" si="493"/>
        <v/>
      </c>
      <c r="FO125" s="12" t="str">
        <f t="shared" si="632"/>
        <v/>
      </c>
      <c r="FP125" s="545" t="str">
        <f t="shared" si="494"/>
        <v/>
      </c>
      <c r="FQ125" s="328" t="str">
        <f t="shared" si="580"/>
        <v/>
      </c>
      <c r="FR125" s="12" t="str">
        <f t="shared" si="581"/>
        <v/>
      </c>
      <c r="FS125" s="11" t="str">
        <f t="shared" si="582"/>
        <v/>
      </c>
      <c r="FT125" s="8" t="str">
        <f t="shared" si="583"/>
        <v/>
      </c>
      <c r="FU125" s="6" t="str">
        <f t="shared" si="584"/>
        <v/>
      </c>
      <c r="FV125" s="7" t="str">
        <f t="shared" si="585"/>
        <v/>
      </c>
      <c r="FW125" s="10" t="str">
        <f t="shared" si="586"/>
        <v/>
      </c>
      <c r="FX125" s="11" t="str">
        <f t="shared" si="587"/>
        <v/>
      </c>
      <c r="FY125" s="12" t="str">
        <f t="shared" si="633"/>
        <v/>
      </c>
      <c r="FZ125" s="545" t="str">
        <f t="shared" si="588"/>
        <v/>
      </c>
      <c r="GA125" s="372" t="str">
        <f t="shared" si="589"/>
        <v/>
      </c>
      <c r="GB125" s="46" t="str">
        <f t="shared" si="590"/>
        <v/>
      </c>
      <c r="GC125" s="47" t="str">
        <f t="shared" si="591"/>
        <v/>
      </c>
      <c r="GD125" s="578" t="str">
        <f t="shared" si="592"/>
        <v/>
      </c>
      <c r="GE125" s="585" t="str">
        <f t="shared" si="593"/>
        <v/>
      </c>
      <c r="GF125" s="634" t="str">
        <f t="shared" si="594"/>
        <v/>
      </c>
      <c r="GG125" s="553" t="str">
        <f t="shared" si="634"/>
        <v/>
      </c>
      <c r="GH125" s="554" t="str">
        <f t="shared" si="635"/>
        <v/>
      </c>
      <c r="GI125" s="549" t="str">
        <f t="shared" si="636"/>
        <v/>
      </c>
      <c r="GJ125" s="296" t="str">
        <f t="shared" si="595"/>
        <v/>
      </c>
      <c r="GK125" s="337" t="str">
        <f t="shared" si="637"/>
        <v/>
      </c>
      <c r="GL125" s="337" t="str">
        <f t="shared" si="596"/>
        <v/>
      </c>
      <c r="GM125" s="372" t="str">
        <f t="shared" si="597"/>
        <v/>
      </c>
      <c r="GN125" s="548" t="str">
        <f t="shared" si="598"/>
        <v/>
      </c>
      <c r="GO125" s="6" t="str">
        <f t="shared" si="599"/>
        <v/>
      </c>
      <c r="GP125" s="10" t="str">
        <f t="shared" si="600"/>
        <v/>
      </c>
      <c r="GQ125" s="372" t="str">
        <f t="shared" si="601"/>
        <v/>
      </c>
      <c r="GR125" s="697" t="str">
        <f t="shared" si="602"/>
        <v/>
      </c>
      <c r="GS125" s="637" t="str">
        <f t="shared" si="638"/>
        <v/>
      </c>
      <c r="GT125" s="638" t="str">
        <f t="shared" si="639"/>
        <v/>
      </c>
      <c r="GU125" s="639" t="str">
        <f t="shared" si="640"/>
        <v/>
      </c>
      <c r="GV125" s="638" t="str">
        <f t="shared" si="603"/>
        <v/>
      </c>
      <c r="GW125" s="640" t="str">
        <f t="shared" si="641"/>
        <v/>
      </c>
      <c r="GX125" s="641" t="str">
        <f t="shared" si="642"/>
        <v/>
      </c>
      <c r="GY125" s="639" t="str">
        <f t="shared" si="643"/>
        <v/>
      </c>
      <c r="GZ125" s="640" t="str">
        <f t="shared" si="644"/>
        <v/>
      </c>
      <c r="HA125" s="637" t="str">
        <f t="shared" si="645"/>
        <v/>
      </c>
      <c r="HB125" s="7" t="str">
        <f t="shared" si="604"/>
        <v/>
      </c>
      <c r="HC125" s="638" t="str">
        <f t="shared" si="605"/>
        <v/>
      </c>
      <c r="HD125" s="682" t="str">
        <f t="shared" si="606"/>
        <v/>
      </c>
      <c r="HE125" s="639" t="str">
        <f t="shared" si="646"/>
        <v/>
      </c>
      <c r="HF125" s="7" t="str">
        <f t="shared" si="647"/>
        <v/>
      </c>
      <c r="HG125" s="638" t="str">
        <f t="shared" si="607"/>
        <v/>
      </c>
      <c r="HH125" s="644" t="str">
        <f t="shared" si="608"/>
        <v/>
      </c>
      <c r="HI125" s="596" t="str">
        <f t="shared" si="609"/>
        <v/>
      </c>
      <c r="HK125" s="584" t="str">
        <f t="shared" si="619"/>
        <v/>
      </c>
      <c r="HL125" s="583" t="str">
        <f t="shared" si="676"/>
        <v/>
      </c>
      <c r="HM125" s="643" t="str">
        <f t="shared" si="680"/>
        <v/>
      </c>
      <c r="HN125" s="660" t="str">
        <f t="shared" si="680"/>
        <v/>
      </c>
      <c r="HO125" s="661" t="str">
        <f t="shared" si="680"/>
        <v/>
      </c>
      <c r="HP125" s="656" t="str">
        <f t="shared" si="680"/>
        <v/>
      </c>
      <c r="HQ125" s="660" t="str">
        <f t="shared" si="680"/>
        <v/>
      </c>
      <c r="HR125" s="671" t="str">
        <f t="shared" si="680"/>
        <v/>
      </c>
      <c r="HS125" s="655" t="str">
        <f t="shared" si="680"/>
        <v/>
      </c>
      <c r="HT125" s="648" t="str">
        <f t="shared" si="680"/>
        <v/>
      </c>
      <c r="HU125" s="649" t="str">
        <f t="shared" si="680"/>
        <v/>
      </c>
      <c r="HV125" s="650" t="str">
        <f t="shared" si="680"/>
        <v/>
      </c>
      <c r="HW125" s="648" t="str">
        <f t="shared" si="680"/>
        <v/>
      </c>
      <c r="HX125" s="649" t="str">
        <f t="shared" si="680"/>
        <v/>
      </c>
      <c r="HY125" s="650" t="str">
        <f t="shared" si="680"/>
        <v/>
      </c>
      <c r="HZ125" s="648" t="str">
        <f t="shared" si="680"/>
        <v/>
      </c>
      <c r="IA125" s="649" t="str">
        <f t="shared" si="680"/>
        <v/>
      </c>
      <c r="IB125" s="716"/>
    </row>
    <row r="126" spans="2:236" ht="15" customHeight="1" x14ac:dyDescent="0.25">
      <c r="B126" s="143"/>
      <c r="C126" s="144"/>
      <c r="D126" s="145"/>
      <c r="E126" s="146"/>
      <c r="F126" s="144"/>
      <c r="G126" s="147"/>
      <c r="H126" s="146"/>
      <c r="I126" s="144"/>
      <c r="J126" s="306"/>
      <c r="K126" s="699" t="str">
        <f t="shared" si="610"/>
        <v/>
      </c>
      <c r="M126" s="292" t="str">
        <f t="shared" si="648"/>
        <v/>
      </c>
      <c r="N126" s="24" t="str">
        <f t="shared" si="649"/>
        <v/>
      </c>
      <c r="O126" s="7" t="str">
        <f t="shared" si="650"/>
        <v/>
      </c>
      <c r="P126" s="12" t="str">
        <f t="shared" si="651"/>
        <v/>
      </c>
      <c r="Q126" s="11" t="str">
        <f t="shared" si="473"/>
        <v/>
      </c>
      <c r="R126" s="7" t="str">
        <f t="shared" si="652"/>
        <v/>
      </c>
      <c r="S126" s="8" t="str">
        <f t="shared" si="653"/>
        <v/>
      </c>
      <c r="T126" s="6" t="str">
        <f t="shared" si="654"/>
        <v/>
      </c>
      <c r="U126" s="7" t="str">
        <f t="shared" si="655"/>
        <v/>
      </c>
      <c r="V126" s="10" t="str">
        <f t="shared" si="656"/>
        <v/>
      </c>
      <c r="W126" s="11" t="str">
        <f t="shared" si="614"/>
        <v/>
      </c>
      <c r="X126" s="7" t="str">
        <f t="shared" si="657"/>
        <v/>
      </c>
      <c r="Y126" s="9" t="str">
        <f t="shared" si="611"/>
        <v/>
      </c>
      <c r="Z126" s="24" t="str">
        <f t="shared" si="658"/>
        <v/>
      </c>
      <c r="AA126" s="7" t="str">
        <f t="shared" si="659"/>
        <v/>
      </c>
      <c r="AB126" s="7" t="str">
        <f t="shared" si="660"/>
        <v/>
      </c>
      <c r="AC126" s="10" t="str">
        <f t="shared" si="661"/>
        <v/>
      </c>
      <c r="AD126" s="11" t="str">
        <f t="shared" si="662"/>
        <v/>
      </c>
      <c r="AE126" s="7" t="str">
        <f t="shared" si="663"/>
        <v/>
      </c>
      <c r="AF126" s="12" t="str">
        <f t="shared" si="664"/>
        <v/>
      </c>
      <c r="AG126" s="6" t="str">
        <f t="shared" si="665"/>
        <v/>
      </c>
      <c r="AH126" s="12" t="str">
        <f t="shared" si="666"/>
        <v/>
      </c>
      <c r="AI126" s="11" t="str">
        <f t="shared" si="667"/>
        <v/>
      </c>
      <c r="AJ126" s="8" t="str">
        <f t="shared" si="668"/>
        <v/>
      </c>
      <c r="AK126" s="6" t="str">
        <f t="shared" si="669"/>
        <v/>
      </c>
      <c r="AL126" s="7" t="str">
        <f t="shared" si="670"/>
        <v/>
      </c>
      <c r="AM126" s="8" t="str">
        <f t="shared" si="671"/>
        <v/>
      </c>
      <c r="AN126" s="6" t="str">
        <f t="shared" si="672"/>
        <v/>
      </c>
      <c r="AO126" s="10" t="str">
        <f t="shared" si="673"/>
        <v/>
      </c>
      <c r="AP126" s="11" t="str">
        <f t="shared" si="674"/>
        <v/>
      </c>
      <c r="AQ126" s="8" t="str">
        <f t="shared" si="612"/>
        <v/>
      </c>
      <c r="AS126" s="123" t="str">
        <f t="shared" si="496"/>
        <v/>
      </c>
      <c r="AT126" s="175" t="str">
        <f t="shared" si="617"/>
        <v/>
      </c>
      <c r="AV126" s="292" t="str">
        <f t="shared" si="497"/>
        <v/>
      </c>
      <c r="AW126" s="709"/>
      <c r="AX126" s="710"/>
      <c r="AY126" s="711"/>
      <c r="AZ126" s="565" t="str">
        <f t="shared" si="498"/>
        <v/>
      </c>
      <c r="BA126" s="564" t="str">
        <f t="shared" si="499"/>
        <v/>
      </c>
      <c r="BB126" s="372" t="str">
        <f t="shared" si="474"/>
        <v/>
      </c>
      <c r="BC126" s="11"/>
      <c r="BD126" s="7" t="str">
        <f t="shared" si="475"/>
        <v/>
      </c>
      <c r="BE126" s="8" t="str">
        <f t="shared" si="476"/>
        <v/>
      </c>
      <c r="BF126" s="6" t="str">
        <f t="shared" si="500"/>
        <v/>
      </c>
      <c r="BG126" s="7" t="str">
        <f t="shared" si="501"/>
        <v/>
      </c>
      <c r="BH126" s="12" t="str">
        <f t="shared" si="502"/>
        <v/>
      </c>
      <c r="BI126" s="11" t="str">
        <f t="shared" si="503"/>
        <v/>
      </c>
      <c r="BJ126" s="7" t="str">
        <f t="shared" si="504"/>
        <v/>
      </c>
      <c r="BK126" s="10" t="str">
        <f t="shared" si="505"/>
        <v/>
      </c>
      <c r="BL126" s="328" t="str">
        <f t="shared" si="506"/>
        <v/>
      </c>
      <c r="BM126" s="7" t="str">
        <f t="shared" si="507"/>
        <v/>
      </c>
      <c r="BN126" s="8" t="str">
        <f t="shared" si="508"/>
        <v/>
      </c>
      <c r="BO126" s="6" t="str">
        <f t="shared" si="509"/>
        <v/>
      </c>
      <c r="BP126" s="7" t="str">
        <f t="shared" si="510"/>
        <v/>
      </c>
      <c r="BQ126" s="7" t="str">
        <f t="shared" si="511"/>
        <v/>
      </c>
      <c r="BR126" s="8" t="str">
        <f t="shared" si="512"/>
        <v/>
      </c>
      <c r="BS126" s="6" t="str">
        <f t="shared" si="675"/>
        <v/>
      </c>
      <c r="BT126" s="7" t="str">
        <f t="shared" si="675"/>
        <v/>
      </c>
      <c r="BU126" s="12" t="str">
        <f t="shared" si="478"/>
        <v/>
      </c>
      <c r="BV126" s="11" t="str">
        <f t="shared" si="479"/>
        <v/>
      </c>
      <c r="BW126" s="7" t="str">
        <f t="shared" si="480"/>
        <v/>
      </c>
      <c r="BX126" s="10" t="str">
        <f t="shared" si="481"/>
        <v/>
      </c>
      <c r="BY126" s="328" t="str">
        <f t="shared" si="482"/>
        <v/>
      </c>
      <c r="BZ126" s="7" t="str">
        <f t="shared" si="483"/>
        <v/>
      </c>
      <c r="CA126" s="8" t="str">
        <f t="shared" si="484"/>
        <v/>
      </c>
      <c r="CB126" s="6" t="str">
        <f t="shared" si="513"/>
        <v/>
      </c>
      <c r="CC126" s="7" t="str">
        <f t="shared" si="514"/>
        <v/>
      </c>
      <c r="CD126" s="7" t="str">
        <f t="shared" si="515"/>
        <v/>
      </c>
      <c r="CE126" s="8" t="str">
        <f t="shared" si="516"/>
        <v/>
      </c>
      <c r="CF126" s="6" t="str">
        <f t="shared" si="517"/>
        <v/>
      </c>
      <c r="CG126" s="7" t="str">
        <f t="shared" si="518"/>
        <v/>
      </c>
      <c r="CH126" s="7" t="str">
        <f t="shared" si="519"/>
        <v/>
      </c>
      <c r="CI126" s="6" t="str">
        <f t="shared" si="485"/>
        <v/>
      </c>
      <c r="CJ126" s="7" t="str">
        <f t="shared" si="486"/>
        <v/>
      </c>
      <c r="CK126" s="10" t="str">
        <f t="shared" si="487"/>
        <v/>
      </c>
      <c r="CL126" s="328" t="str">
        <f t="shared" si="488"/>
        <v/>
      </c>
      <c r="CM126" s="7" t="str">
        <f t="shared" si="489"/>
        <v/>
      </c>
      <c r="CN126" s="8" t="str">
        <f t="shared" si="490"/>
        <v/>
      </c>
      <c r="CO126" s="296" t="str">
        <f t="shared" si="613"/>
        <v/>
      </c>
      <c r="CP126" s="6" t="str">
        <f t="shared" si="520"/>
        <v/>
      </c>
      <c r="CQ126" s="7" t="str">
        <f t="shared" si="521"/>
        <v/>
      </c>
      <c r="CR126" s="7" t="str">
        <f t="shared" si="522"/>
        <v/>
      </c>
      <c r="CS126" s="10" t="str">
        <f t="shared" si="523"/>
        <v/>
      </c>
      <c r="CT126" s="11" t="str">
        <f t="shared" si="524"/>
        <v/>
      </c>
      <c r="CU126" s="8" t="str">
        <f t="shared" si="525"/>
        <v/>
      </c>
      <c r="CV126" s="6" t="str">
        <f t="shared" si="526"/>
        <v/>
      </c>
      <c r="CW126" s="7" t="str">
        <f t="shared" si="527"/>
        <v/>
      </c>
      <c r="CX126" s="10" t="str">
        <f t="shared" si="528"/>
        <v/>
      </c>
      <c r="CY126" s="11" t="str">
        <f t="shared" si="529"/>
        <v/>
      </c>
      <c r="CZ126" s="7" t="str">
        <f t="shared" si="530"/>
        <v/>
      </c>
      <c r="DA126" s="8" t="str">
        <f t="shared" si="531"/>
        <v/>
      </c>
      <c r="DB126" s="6" t="str">
        <f t="shared" si="677"/>
        <v/>
      </c>
      <c r="DC126" s="7" t="str">
        <f t="shared" si="677"/>
        <v/>
      </c>
      <c r="DD126" s="12" t="str">
        <f t="shared" si="533"/>
        <v/>
      </c>
      <c r="DE126" s="11" t="str">
        <f t="shared" si="678"/>
        <v/>
      </c>
      <c r="DF126" s="7" t="str">
        <f t="shared" si="678"/>
        <v/>
      </c>
      <c r="DG126" s="12" t="str">
        <f t="shared" si="535"/>
        <v/>
      </c>
      <c r="DH126" s="174" t="str">
        <f t="shared" si="536"/>
        <v/>
      </c>
      <c r="DI126" s="6" t="str">
        <f t="shared" si="537"/>
        <v/>
      </c>
      <c r="DJ126" s="7" t="str">
        <f t="shared" si="538"/>
        <v/>
      </c>
      <c r="DK126" s="12" t="str">
        <f t="shared" si="539"/>
        <v/>
      </c>
      <c r="DL126" s="11" t="str">
        <f t="shared" si="540"/>
        <v/>
      </c>
      <c r="DM126" s="328" t="str">
        <f t="shared" si="541"/>
        <v/>
      </c>
      <c r="DN126" s="376" t="str">
        <f t="shared" si="542"/>
        <v/>
      </c>
      <c r="DO126" s="11" t="str">
        <f t="shared" si="543"/>
        <v/>
      </c>
      <c r="DP126" s="328" t="str">
        <f t="shared" si="544"/>
        <v/>
      </c>
      <c r="DQ126" s="13" t="str">
        <f t="shared" si="545"/>
        <v/>
      </c>
      <c r="DR126" s="328" t="str">
        <f t="shared" si="546"/>
        <v/>
      </c>
      <c r="DS126" s="7" t="str">
        <f t="shared" si="547"/>
        <v/>
      </c>
      <c r="DT126" s="7" t="str">
        <f t="shared" si="548"/>
        <v/>
      </c>
      <c r="DU126" s="7" t="str">
        <f t="shared" si="549"/>
        <v/>
      </c>
      <c r="DV126" s="7" t="str">
        <f t="shared" si="550"/>
        <v/>
      </c>
      <c r="DW126" s="7" t="str">
        <f t="shared" si="551"/>
        <v/>
      </c>
      <c r="DX126" s="296" t="str">
        <f t="shared" si="552"/>
        <v/>
      </c>
      <c r="DY126" s="11" t="str">
        <f t="shared" si="553"/>
        <v/>
      </c>
      <c r="DZ126" s="7" t="str">
        <f t="shared" si="554"/>
        <v/>
      </c>
      <c r="EA126" s="12" t="str">
        <f t="shared" si="555"/>
        <v/>
      </c>
      <c r="EB126" s="8" t="str">
        <f t="shared" si="556"/>
        <v/>
      </c>
      <c r="EC126" s="328" t="str">
        <f t="shared" si="557"/>
        <v/>
      </c>
      <c r="ED126" s="7" t="str">
        <f t="shared" si="558"/>
        <v/>
      </c>
      <c r="EE126" s="6" t="str">
        <f t="shared" si="559"/>
        <v/>
      </c>
      <c r="EF126" s="7" t="str">
        <f t="shared" si="560"/>
        <v/>
      </c>
      <c r="EG126" s="12" t="str">
        <f t="shared" si="561"/>
        <v/>
      </c>
      <c r="EH126" s="11" t="str">
        <f t="shared" si="562"/>
        <v/>
      </c>
      <c r="EI126" s="7" t="str">
        <f t="shared" si="563"/>
        <v/>
      </c>
      <c r="EJ126" s="8" t="str">
        <f t="shared" si="564"/>
        <v/>
      </c>
      <c r="EK126" s="491" t="str">
        <f t="shared" si="565"/>
        <v/>
      </c>
      <c r="EL126" s="493" t="str">
        <f t="shared" si="566"/>
        <v/>
      </c>
      <c r="EM126" s="6" t="str">
        <f t="shared" si="567"/>
        <v/>
      </c>
      <c r="EN126" s="7" t="str">
        <f t="shared" si="568"/>
        <v/>
      </c>
      <c r="EO126" s="12" t="str">
        <f t="shared" si="569"/>
        <v/>
      </c>
      <c r="EP126" s="11" t="str">
        <f t="shared" si="570"/>
        <v/>
      </c>
      <c r="EQ126" s="7" t="str">
        <f t="shared" si="571"/>
        <v/>
      </c>
      <c r="ER126" s="9" t="str">
        <f t="shared" si="572"/>
        <v/>
      </c>
      <c r="ES126" s="24" t="str">
        <f t="shared" si="573"/>
        <v/>
      </c>
      <c r="ET126" s="7" t="str">
        <f t="shared" si="574"/>
        <v/>
      </c>
      <c r="EU126" s="12" t="str">
        <f t="shared" si="575"/>
        <v/>
      </c>
      <c r="EV126" s="337" t="str">
        <f t="shared" si="620"/>
        <v/>
      </c>
      <c r="EW126" s="11" t="str">
        <f t="shared" si="621"/>
        <v/>
      </c>
      <c r="EX126" s="7" t="str">
        <f t="shared" si="622"/>
        <v/>
      </c>
      <c r="EY126" s="8" t="str">
        <f t="shared" si="576"/>
        <v/>
      </c>
      <c r="EZ126" s="123" t="str">
        <f t="shared" si="577"/>
        <v/>
      </c>
      <c r="FA126" s="328" t="str">
        <f t="shared" si="623"/>
        <v/>
      </c>
      <c r="FB126" s="7" t="str">
        <f t="shared" si="624"/>
        <v/>
      </c>
      <c r="FC126" s="8" t="str">
        <f t="shared" si="625"/>
        <v/>
      </c>
      <c r="FD126" s="6" t="str">
        <f t="shared" si="626"/>
        <v/>
      </c>
      <c r="FE126" s="7" t="str">
        <f t="shared" si="627"/>
        <v/>
      </c>
      <c r="FF126" s="9" t="str">
        <f t="shared" si="578"/>
        <v/>
      </c>
      <c r="FG126" s="328" t="str">
        <f t="shared" si="628"/>
        <v/>
      </c>
      <c r="FH126" s="7" t="str">
        <f t="shared" si="629"/>
        <v/>
      </c>
      <c r="FI126" s="12" t="str">
        <f t="shared" si="630"/>
        <v/>
      </c>
      <c r="FJ126" s="547" t="str">
        <f t="shared" si="579"/>
        <v/>
      </c>
      <c r="FK126" s="6" t="str">
        <f t="shared" si="631"/>
        <v/>
      </c>
      <c r="FL126" s="7" t="str">
        <f t="shared" si="491"/>
        <v/>
      </c>
      <c r="FM126" s="10" t="str">
        <f t="shared" si="492"/>
        <v/>
      </c>
      <c r="FN126" s="11" t="str">
        <f t="shared" si="493"/>
        <v/>
      </c>
      <c r="FO126" s="12" t="str">
        <f t="shared" si="632"/>
        <v/>
      </c>
      <c r="FP126" s="545" t="str">
        <f t="shared" si="494"/>
        <v/>
      </c>
      <c r="FQ126" s="328" t="str">
        <f t="shared" si="580"/>
        <v/>
      </c>
      <c r="FR126" s="12" t="str">
        <f t="shared" si="581"/>
        <v/>
      </c>
      <c r="FS126" s="11" t="str">
        <f t="shared" si="582"/>
        <v/>
      </c>
      <c r="FT126" s="8" t="str">
        <f t="shared" si="583"/>
        <v/>
      </c>
      <c r="FU126" s="6" t="str">
        <f t="shared" si="584"/>
        <v/>
      </c>
      <c r="FV126" s="7" t="str">
        <f t="shared" si="585"/>
        <v/>
      </c>
      <c r="FW126" s="10" t="str">
        <f t="shared" si="586"/>
        <v/>
      </c>
      <c r="FX126" s="11" t="str">
        <f t="shared" si="587"/>
        <v/>
      </c>
      <c r="FY126" s="12" t="str">
        <f t="shared" si="633"/>
        <v/>
      </c>
      <c r="FZ126" s="545" t="str">
        <f t="shared" si="588"/>
        <v/>
      </c>
      <c r="GA126" s="372" t="str">
        <f t="shared" si="589"/>
        <v/>
      </c>
      <c r="GB126" s="46" t="str">
        <f t="shared" si="590"/>
        <v/>
      </c>
      <c r="GC126" s="47" t="str">
        <f t="shared" si="591"/>
        <v/>
      </c>
      <c r="GD126" s="578" t="str">
        <f t="shared" si="592"/>
        <v/>
      </c>
      <c r="GE126" s="585" t="str">
        <f t="shared" si="593"/>
        <v/>
      </c>
      <c r="GF126" s="634" t="str">
        <f t="shared" si="594"/>
        <v/>
      </c>
      <c r="GG126" s="553" t="str">
        <f t="shared" si="634"/>
        <v/>
      </c>
      <c r="GH126" s="554" t="str">
        <f t="shared" si="635"/>
        <v/>
      </c>
      <c r="GI126" s="549" t="str">
        <f t="shared" si="636"/>
        <v/>
      </c>
      <c r="GJ126" s="296" t="str">
        <f t="shared" si="595"/>
        <v/>
      </c>
      <c r="GK126" s="337" t="str">
        <f t="shared" si="637"/>
        <v/>
      </c>
      <c r="GL126" s="337" t="str">
        <f t="shared" si="596"/>
        <v/>
      </c>
      <c r="GM126" s="372" t="str">
        <f t="shared" si="597"/>
        <v/>
      </c>
      <c r="GN126" s="548" t="str">
        <f t="shared" si="598"/>
        <v/>
      </c>
      <c r="GO126" s="6" t="str">
        <f t="shared" si="599"/>
        <v/>
      </c>
      <c r="GP126" s="10" t="str">
        <f t="shared" si="600"/>
        <v/>
      </c>
      <c r="GQ126" s="372" t="str">
        <f t="shared" si="601"/>
        <v/>
      </c>
      <c r="GR126" s="697" t="str">
        <f t="shared" si="602"/>
        <v/>
      </c>
      <c r="GS126" s="637" t="str">
        <f t="shared" si="638"/>
        <v/>
      </c>
      <c r="GT126" s="638" t="str">
        <f t="shared" si="639"/>
        <v/>
      </c>
      <c r="GU126" s="639" t="str">
        <f t="shared" si="640"/>
        <v/>
      </c>
      <c r="GV126" s="638" t="str">
        <f t="shared" si="603"/>
        <v/>
      </c>
      <c r="GW126" s="640" t="str">
        <f t="shared" si="641"/>
        <v/>
      </c>
      <c r="GX126" s="641" t="str">
        <f t="shared" si="642"/>
        <v/>
      </c>
      <c r="GY126" s="639" t="str">
        <f t="shared" si="643"/>
        <v/>
      </c>
      <c r="GZ126" s="640" t="str">
        <f t="shared" si="644"/>
        <v/>
      </c>
      <c r="HA126" s="637" t="str">
        <f t="shared" si="645"/>
        <v/>
      </c>
      <c r="HB126" s="7" t="str">
        <f t="shared" si="604"/>
        <v/>
      </c>
      <c r="HC126" s="638" t="str">
        <f t="shared" si="605"/>
        <v/>
      </c>
      <c r="HD126" s="682" t="str">
        <f t="shared" si="606"/>
        <v/>
      </c>
      <c r="HE126" s="639" t="str">
        <f t="shared" si="646"/>
        <v/>
      </c>
      <c r="HF126" s="7" t="str">
        <f t="shared" si="647"/>
        <v/>
      </c>
      <c r="HG126" s="638" t="str">
        <f t="shared" si="607"/>
        <v/>
      </c>
      <c r="HH126" s="644" t="str">
        <f t="shared" si="608"/>
        <v/>
      </c>
      <c r="HI126" s="596" t="str">
        <f t="shared" si="609"/>
        <v/>
      </c>
      <c r="HK126" s="584" t="str">
        <f t="shared" si="619"/>
        <v/>
      </c>
      <c r="HL126" s="583" t="str">
        <f t="shared" si="676"/>
        <v/>
      </c>
      <c r="HM126" s="643" t="str">
        <f t="shared" si="680"/>
        <v/>
      </c>
      <c r="HN126" s="660" t="str">
        <f t="shared" si="680"/>
        <v/>
      </c>
      <c r="HO126" s="661" t="str">
        <f t="shared" si="680"/>
        <v/>
      </c>
      <c r="HP126" s="656" t="str">
        <f t="shared" si="680"/>
        <v/>
      </c>
      <c r="HQ126" s="660" t="str">
        <f t="shared" si="680"/>
        <v/>
      </c>
      <c r="HR126" s="671" t="str">
        <f t="shared" si="680"/>
        <v/>
      </c>
      <c r="HS126" s="655" t="str">
        <f t="shared" si="680"/>
        <v/>
      </c>
      <c r="HT126" s="648" t="str">
        <f t="shared" si="680"/>
        <v/>
      </c>
      <c r="HU126" s="649" t="str">
        <f t="shared" si="680"/>
        <v/>
      </c>
      <c r="HV126" s="650" t="str">
        <f t="shared" si="680"/>
        <v/>
      </c>
      <c r="HW126" s="648" t="str">
        <f t="shared" si="680"/>
        <v/>
      </c>
      <c r="HX126" s="649" t="str">
        <f t="shared" si="680"/>
        <v/>
      </c>
      <c r="HY126" s="650" t="str">
        <f t="shared" si="680"/>
        <v/>
      </c>
      <c r="HZ126" s="648" t="str">
        <f t="shared" si="680"/>
        <v/>
      </c>
      <c r="IA126" s="649" t="str">
        <f t="shared" si="680"/>
        <v/>
      </c>
      <c r="IB126" s="716"/>
    </row>
    <row r="127" spans="2:236" ht="15" customHeight="1" x14ac:dyDescent="0.25">
      <c r="B127" s="143"/>
      <c r="C127" s="144"/>
      <c r="D127" s="145"/>
      <c r="E127" s="146"/>
      <c r="F127" s="144"/>
      <c r="G127" s="147"/>
      <c r="H127" s="146"/>
      <c r="I127" s="144"/>
      <c r="J127" s="306"/>
      <c r="K127" s="699" t="str">
        <f t="shared" si="610"/>
        <v/>
      </c>
      <c r="M127" s="292" t="str">
        <f t="shared" si="648"/>
        <v/>
      </c>
      <c r="N127" s="24" t="str">
        <f t="shared" si="649"/>
        <v/>
      </c>
      <c r="O127" s="7" t="str">
        <f t="shared" si="650"/>
        <v/>
      </c>
      <c r="P127" s="12" t="str">
        <f t="shared" si="651"/>
        <v/>
      </c>
      <c r="Q127" s="11" t="str">
        <f t="shared" si="473"/>
        <v/>
      </c>
      <c r="R127" s="7" t="str">
        <f t="shared" si="652"/>
        <v/>
      </c>
      <c r="S127" s="8" t="str">
        <f t="shared" si="653"/>
        <v/>
      </c>
      <c r="T127" s="6" t="str">
        <f t="shared" si="654"/>
        <v/>
      </c>
      <c r="U127" s="7" t="str">
        <f t="shared" si="655"/>
        <v/>
      </c>
      <c r="V127" s="10" t="str">
        <f t="shared" si="656"/>
        <v/>
      </c>
      <c r="W127" s="11" t="str">
        <f t="shared" si="614"/>
        <v/>
      </c>
      <c r="X127" s="7" t="str">
        <f t="shared" si="657"/>
        <v/>
      </c>
      <c r="Y127" s="9" t="str">
        <f t="shared" si="611"/>
        <v/>
      </c>
      <c r="Z127" s="24" t="str">
        <f t="shared" si="658"/>
        <v/>
      </c>
      <c r="AA127" s="7" t="str">
        <f t="shared" si="659"/>
        <v/>
      </c>
      <c r="AB127" s="7" t="str">
        <f t="shared" si="660"/>
        <v/>
      </c>
      <c r="AC127" s="10" t="str">
        <f t="shared" si="661"/>
        <v/>
      </c>
      <c r="AD127" s="11" t="str">
        <f t="shared" si="662"/>
        <v/>
      </c>
      <c r="AE127" s="7" t="str">
        <f t="shared" si="663"/>
        <v/>
      </c>
      <c r="AF127" s="12" t="str">
        <f t="shared" si="664"/>
        <v/>
      </c>
      <c r="AG127" s="6" t="str">
        <f t="shared" si="665"/>
        <v/>
      </c>
      <c r="AH127" s="12" t="str">
        <f t="shared" si="666"/>
        <v/>
      </c>
      <c r="AI127" s="11" t="str">
        <f t="shared" si="667"/>
        <v/>
      </c>
      <c r="AJ127" s="8" t="str">
        <f t="shared" si="668"/>
        <v/>
      </c>
      <c r="AK127" s="6" t="str">
        <f t="shared" si="669"/>
        <v/>
      </c>
      <c r="AL127" s="7" t="str">
        <f t="shared" si="670"/>
        <v/>
      </c>
      <c r="AM127" s="8" t="str">
        <f t="shared" si="671"/>
        <v/>
      </c>
      <c r="AN127" s="6" t="str">
        <f t="shared" si="672"/>
        <v/>
      </c>
      <c r="AO127" s="10" t="str">
        <f t="shared" si="673"/>
        <v/>
      </c>
      <c r="AP127" s="11" t="str">
        <f t="shared" si="674"/>
        <v/>
      </c>
      <c r="AQ127" s="8" t="str">
        <f t="shared" si="612"/>
        <v/>
      </c>
      <c r="AS127" s="123" t="str">
        <f t="shared" si="496"/>
        <v/>
      </c>
      <c r="AT127" s="175" t="str">
        <f t="shared" si="617"/>
        <v/>
      </c>
      <c r="AV127" s="292" t="str">
        <f t="shared" si="497"/>
        <v/>
      </c>
      <c r="AW127" s="709"/>
      <c r="AX127" s="710"/>
      <c r="AY127" s="711"/>
      <c r="AZ127" s="565" t="str">
        <f t="shared" si="498"/>
        <v/>
      </c>
      <c r="BA127" s="564" t="str">
        <f t="shared" si="499"/>
        <v/>
      </c>
      <c r="BB127" s="372" t="str">
        <f t="shared" si="474"/>
        <v/>
      </c>
      <c r="BC127" s="11"/>
      <c r="BD127" s="7" t="str">
        <f t="shared" si="475"/>
        <v/>
      </c>
      <c r="BE127" s="8" t="str">
        <f t="shared" si="476"/>
        <v/>
      </c>
      <c r="BF127" s="6" t="str">
        <f t="shared" si="500"/>
        <v/>
      </c>
      <c r="BG127" s="7" t="str">
        <f t="shared" si="501"/>
        <v/>
      </c>
      <c r="BH127" s="12" t="str">
        <f t="shared" si="502"/>
        <v/>
      </c>
      <c r="BI127" s="11" t="str">
        <f t="shared" si="503"/>
        <v/>
      </c>
      <c r="BJ127" s="7" t="str">
        <f t="shared" si="504"/>
        <v/>
      </c>
      <c r="BK127" s="10" t="str">
        <f t="shared" si="505"/>
        <v/>
      </c>
      <c r="BL127" s="328" t="str">
        <f t="shared" si="506"/>
        <v/>
      </c>
      <c r="BM127" s="7" t="str">
        <f t="shared" si="507"/>
        <v/>
      </c>
      <c r="BN127" s="8" t="str">
        <f t="shared" si="508"/>
        <v/>
      </c>
      <c r="BO127" s="6" t="str">
        <f t="shared" si="509"/>
        <v/>
      </c>
      <c r="BP127" s="7" t="str">
        <f t="shared" si="510"/>
        <v/>
      </c>
      <c r="BQ127" s="7" t="str">
        <f t="shared" si="511"/>
        <v/>
      </c>
      <c r="BR127" s="8" t="str">
        <f t="shared" si="512"/>
        <v/>
      </c>
      <c r="BS127" s="6" t="str">
        <f t="shared" si="675"/>
        <v/>
      </c>
      <c r="BT127" s="7" t="str">
        <f t="shared" si="675"/>
        <v/>
      </c>
      <c r="BU127" s="12" t="str">
        <f t="shared" si="478"/>
        <v/>
      </c>
      <c r="BV127" s="11" t="str">
        <f t="shared" si="479"/>
        <v/>
      </c>
      <c r="BW127" s="7" t="str">
        <f t="shared" si="480"/>
        <v/>
      </c>
      <c r="BX127" s="10" t="str">
        <f t="shared" si="481"/>
        <v/>
      </c>
      <c r="BY127" s="328" t="str">
        <f t="shared" si="482"/>
        <v/>
      </c>
      <c r="BZ127" s="7" t="str">
        <f t="shared" si="483"/>
        <v/>
      </c>
      <c r="CA127" s="8" t="str">
        <f t="shared" si="484"/>
        <v/>
      </c>
      <c r="CB127" s="6" t="str">
        <f t="shared" si="513"/>
        <v/>
      </c>
      <c r="CC127" s="7" t="str">
        <f t="shared" si="514"/>
        <v/>
      </c>
      <c r="CD127" s="7" t="str">
        <f t="shared" si="515"/>
        <v/>
      </c>
      <c r="CE127" s="8" t="str">
        <f t="shared" si="516"/>
        <v/>
      </c>
      <c r="CF127" s="6" t="str">
        <f t="shared" si="517"/>
        <v/>
      </c>
      <c r="CG127" s="7" t="str">
        <f t="shared" si="518"/>
        <v/>
      </c>
      <c r="CH127" s="7" t="str">
        <f t="shared" si="519"/>
        <v/>
      </c>
      <c r="CI127" s="6" t="str">
        <f t="shared" si="485"/>
        <v/>
      </c>
      <c r="CJ127" s="7" t="str">
        <f t="shared" si="486"/>
        <v/>
      </c>
      <c r="CK127" s="10" t="str">
        <f t="shared" si="487"/>
        <v/>
      </c>
      <c r="CL127" s="328" t="str">
        <f t="shared" si="488"/>
        <v/>
      </c>
      <c r="CM127" s="7" t="str">
        <f t="shared" si="489"/>
        <v/>
      </c>
      <c r="CN127" s="8" t="str">
        <f t="shared" si="490"/>
        <v/>
      </c>
      <c r="CO127" s="296" t="str">
        <f t="shared" si="613"/>
        <v/>
      </c>
      <c r="CP127" s="6" t="str">
        <f t="shared" si="520"/>
        <v/>
      </c>
      <c r="CQ127" s="7" t="str">
        <f t="shared" si="521"/>
        <v/>
      </c>
      <c r="CR127" s="7" t="str">
        <f t="shared" si="522"/>
        <v/>
      </c>
      <c r="CS127" s="10" t="str">
        <f t="shared" si="523"/>
        <v/>
      </c>
      <c r="CT127" s="11" t="str">
        <f t="shared" si="524"/>
        <v/>
      </c>
      <c r="CU127" s="8" t="str">
        <f t="shared" si="525"/>
        <v/>
      </c>
      <c r="CV127" s="6" t="str">
        <f t="shared" si="526"/>
        <v/>
      </c>
      <c r="CW127" s="7" t="str">
        <f t="shared" si="527"/>
        <v/>
      </c>
      <c r="CX127" s="10" t="str">
        <f t="shared" si="528"/>
        <v/>
      </c>
      <c r="CY127" s="11" t="str">
        <f t="shared" si="529"/>
        <v/>
      </c>
      <c r="CZ127" s="7" t="str">
        <f t="shared" si="530"/>
        <v/>
      </c>
      <c r="DA127" s="8" t="str">
        <f t="shared" si="531"/>
        <v/>
      </c>
      <c r="DB127" s="6" t="str">
        <f t="shared" si="677"/>
        <v/>
      </c>
      <c r="DC127" s="7" t="str">
        <f t="shared" si="677"/>
        <v/>
      </c>
      <c r="DD127" s="12" t="str">
        <f t="shared" si="533"/>
        <v/>
      </c>
      <c r="DE127" s="11" t="str">
        <f t="shared" si="678"/>
        <v/>
      </c>
      <c r="DF127" s="7" t="str">
        <f t="shared" si="678"/>
        <v/>
      </c>
      <c r="DG127" s="12" t="str">
        <f t="shared" si="535"/>
        <v/>
      </c>
      <c r="DH127" s="174" t="str">
        <f t="shared" si="536"/>
        <v/>
      </c>
      <c r="DI127" s="6" t="str">
        <f t="shared" si="537"/>
        <v/>
      </c>
      <c r="DJ127" s="7" t="str">
        <f t="shared" si="538"/>
        <v/>
      </c>
      <c r="DK127" s="12" t="str">
        <f t="shared" si="539"/>
        <v/>
      </c>
      <c r="DL127" s="11" t="str">
        <f t="shared" si="540"/>
        <v/>
      </c>
      <c r="DM127" s="328" t="str">
        <f t="shared" si="541"/>
        <v/>
      </c>
      <c r="DN127" s="376" t="str">
        <f t="shared" si="542"/>
        <v/>
      </c>
      <c r="DO127" s="11" t="str">
        <f t="shared" si="543"/>
        <v/>
      </c>
      <c r="DP127" s="328" t="str">
        <f t="shared" si="544"/>
        <v/>
      </c>
      <c r="DQ127" s="13" t="str">
        <f t="shared" si="545"/>
        <v/>
      </c>
      <c r="DR127" s="328" t="str">
        <f t="shared" si="546"/>
        <v/>
      </c>
      <c r="DS127" s="7" t="str">
        <f t="shared" si="547"/>
        <v/>
      </c>
      <c r="DT127" s="7" t="str">
        <f t="shared" si="548"/>
        <v/>
      </c>
      <c r="DU127" s="7" t="str">
        <f t="shared" si="549"/>
        <v/>
      </c>
      <c r="DV127" s="7" t="str">
        <f t="shared" si="550"/>
        <v/>
      </c>
      <c r="DW127" s="7" t="str">
        <f t="shared" si="551"/>
        <v/>
      </c>
      <c r="DX127" s="296" t="str">
        <f t="shared" si="552"/>
        <v/>
      </c>
      <c r="DY127" s="11" t="str">
        <f t="shared" si="553"/>
        <v/>
      </c>
      <c r="DZ127" s="7" t="str">
        <f t="shared" si="554"/>
        <v/>
      </c>
      <c r="EA127" s="12" t="str">
        <f t="shared" si="555"/>
        <v/>
      </c>
      <c r="EB127" s="8" t="str">
        <f t="shared" si="556"/>
        <v/>
      </c>
      <c r="EC127" s="328" t="str">
        <f t="shared" si="557"/>
        <v/>
      </c>
      <c r="ED127" s="7" t="str">
        <f t="shared" si="558"/>
        <v/>
      </c>
      <c r="EE127" s="6" t="str">
        <f t="shared" si="559"/>
        <v/>
      </c>
      <c r="EF127" s="7" t="str">
        <f t="shared" si="560"/>
        <v/>
      </c>
      <c r="EG127" s="12" t="str">
        <f t="shared" si="561"/>
        <v/>
      </c>
      <c r="EH127" s="11" t="str">
        <f t="shared" si="562"/>
        <v/>
      </c>
      <c r="EI127" s="7" t="str">
        <f t="shared" si="563"/>
        <v/>
      </c>
      <c r="EJ127" s="8" t="str">
        <f t="shared" si="564"/>
        <v/>
      </c>
      <c r="EK127" s="491" t="str">
        <f t="shared" si="565"/>
        <v/>
      </c>
      <c r="EL127" s="493" t="str">
        <f t="shared" si="566"/>
        <v/>
      </c>
      <c r="EM127" s="6" t="str">
        <f t="shared" si="567"/>
        <v/>
      </c>
      <c r="EN127" s="7" t="str">
        <f t="shared" si="568"/>
        <v/>
      </c>
      <c r="EO127" s="12" t="str">
        <f t="shared" si="569"/>
        <v/>
      </c>
      <c r="EP127" s="11" t="str">
        <f t="shared" si="570"/>
        <v/>
      </c>
      <c r="EQ127" s="7" t="str">
        <f t="shared" si="571"/>
        <v/>
      </c>
      <c r="ER127" s="9" t="str">
        <f t="shared" si="572"/>
        <v/>
      </c>
      <c r="ES127" s="24" t="str">
        <f t="shared" si="573"/>
        <v/>
      </c>
      <c r="ET127" s="7" t="str">
        <f t="shared" si="574"/>
        <v/>
      </c>
      <c r="EU127" s="12" t="str">
        <f t="shared" si="575"/>
        <v/>
      </c>
      <c r="EV127" s="337" t="str">
        <f t="shared" si="620"/>
        <v/>
      </c>
      <c r="EW127" s="11" t="str">
        <f t="shared" si="621"/>
        <v/>
      </c>
      <c r="EX127" s="7" t="str">
        <f t="shared" si="622"/>
        <v/>
      </c>
      <c r="EY127" s="8" t="str">
        <f t="shared" si="576"/>
        <v/>
      </c>
      <c r="EZ127" s="123" t="str">
        <f t="shared" si="577"/>
        <v/>
      </c>
      <c r="FA127" s="328" t="str">
        <f t="shared" si="623"/>
        <v/>
      </c>
      <c r="FB127" s="7" t="str">
        <f t="shared" si="624"/>
        <v/>
      </c>
      <c r="FC127" s="8" t="str">
        <f t="shared" si="625"/>
        <v/>
      </c>
      <c r="FD127" s="6" t="str">
        <f t="shared" si="626"/>
        <v/>
      </c>
      <c r="FE127" s="7" t="str">
        <f t="shared" si="627"/>
        <v/>
      </c>
      <c r="FF127" s="9" t="str">
        <f t="shared" si="578"/>
        <v/>
      </c>
      <c r="FG127" s="328" t="str">
        <f t="shared" si="628"/>
        <v/>
      </c>
      <c r="FH127" s="7" t="str">
        <f t="shared" si="629"/>
        <v/>
      </c>
      <c r="FI127" s="12" t="str">
        <f t="shared" si="630"/>
        <v/>
      </c>
      <c r="FJ127" s="547" t="str">
        <f t="shared" si="579"/>
        <v/>
      </c>
      <c r="FK127" s="6" t="str">
        <f t="shared" si="631"/>
        <v/>
      </c>
      <c r="FL127" s="7" t="str">
        <f t="shared" si="491"/>
        <v/>
      </c>
      <c r="FM127" s="10" t="str">
        <f t="shared" si="492"/>
        <v/>
      </c>
      <c r="FN127" s="11" t="str">
        <f t="shared" si="493"/>
        <v/>
      </c>
      <c r="FO127" s="12" t="str">
        <f t="shared" si="632"/>
        <v/>
      </c>
      <c r="FP127" s="545" t="str">
        <f t="shared" si="494"/>
        <v/>
      </c>
      <c r="FQ127" s="328" t="str">
        <f t="shared" si="580"/>
        <v/>
      </c>
      <c r="FR127" s="12" t="str">
        <f t="shared" si="581"/>
        <v/>
      </c>
      <c r="FS127" s="11" t="str">
        <f t="shared" si="582"/>
        <v/>
      </c>
      <c r="FT127" s="8" t="str">
        <f t="shared" si="583"/>
        <v/>
      </c>
      <c r="FU127" s="6" t="str">
        <f t="shared" si="584"/>
        <v/>
      </c>
      <c r="FV127" s="7" t="str">
        <f t="shared" si="585"/>
        <v/>
      </c>
      <c r="FW127" s="10" t="str">
        <f t="shared" si="586"/>
        <v/>
      </c>
      <c r="FX127" s="11" t="str">
        <f t="shared" si="587"/>
        <v/>
      </c>
      <c r="FY127" s="12" t="str">
        <f t="shared" si="633"/>
        <v/>
      </c>
      <c r="FZ127" s="545" t="str">
        <f t="shared" si="588"/>
        <v/>
      </c>
      <c r="GA127" s="372" t="str">
        <f t="shared" si="589"/>
        <v/>
      </c>
      <c r="GB127" s="46" t="str">
        <f t="shared" si="590"/>
        <v/>
      </c>
      <c r="GC127" s="47" t="str">
        <f t="shared" si="591"/>
        <v/>
      </c>
      <c r="GD127" s="578" t="str">
        <f t="shared" si="592"/>
        <v/>
      </c>
      <c r="GE127" s="585" t="str">
        <f t="shared" si="593"/>
        <v/>
      </c>
      <c r="GF127" s="634" t="str">
        <f t="shared" si="594"/>
        <v/>
      </c>
      <c r="GG127" s="553" t="str">
        <f t="shared" si="634"/>
        <v/>
      </c>
      <c r="GH127" s="554" t="str">
        <f t="shared" si="635"/>
        <v/>
      </c>
      <c r="GI127" s="549" t="str">
        <f t="shared" si="636"/>
        <v/>
      </c>
      <c r="GJ127" s="296" t="str">
        <f t="shared" si="595"/>
        <v/>
      </c>
      <c r="GK127" s="337" t="str">
        <f t="shared" si="637"/>
        <v/>
      </c>
      <c r="GL127" s="337" t="str">
        <f t="shared" si="596"/>
        <v/>
      </c>
      <c r="GM127" s="372" t="str">
        <f t="shared" si="597"/>
        <v/>
      </c>
      <c r="GN127" s="548" t="str">
        <f t="shared" si="598"/>
        <v/>
      </c>
      <c r="GO127" s="6" t="str">
        <f t="shared" si="599"/>
        <v/>
      </c>
      <c r="GP127" s="10" t="str">
        <f t="shared" si="600"/>
        <v/>
      </c>
      <c r="GQ127" s="372" t="str">
        <f t="shared" si="601"/>
        <v/>
      </c>
      <c r="GR127" s="697" t="str">
        <f t="shared" si="602"/>
        <v/>
      </c>
      <c r="GS127" s="637" t="str">
        <f t="shared" si="638"/>
        <v/>
      </c>
      <c r="GT127" s="638" t="str">
        <f t="shared" si="639"/>
        <v/>
      </c>
      <c r="GU127" s="639" t="str">
        <f t="shared" si="640"/>
        <v/>
      </c>
      <c r="GV127" s="638" t="str">
        <f t="shared" si="603"/>
        <v/>
      </c>
      <c r="GW127" s="640" t="str">
        <f t="shared" si="641"/>
        <v/>
      </c>
      <c r="GX127" s="641" t="str">
        <f t="shared" si="642"/>
        <v/>
      </c>
      <c r="GY127" s="639" t="str">
        <f t="shared" si="643"/>
        <v/>
      </c>
      <c r="GZ127" s="640" t="str">
        <f t="shared" si="644"/>
        <v/>
      </c>
      <c r="HA127" s="637" t="str">
        <f t="shared" si="645"/>
        <v/>
      </c>
      <c r="HB127" s="7" t="str">
        <f t="shared" si="604"/>
        <v/>
      </c>
      <c r="HC127" s="638" t="str">
        <f t="shared" si="605"/>
        <v/>
      </c>
      <c r="HD127" s="682" t="str">
        <f t="shared" si="606"/>
        <v/>
      </c>
      <c r="HE127" s="639" t="str">
        <f t="shared" si="646"/>
        <v/>
      </c>
      <c r="HF127" s="7" t="str">
        <f t="shared" si="647"/>
        <v/>
      </c>
      <c r="HG127" s="638" t="str">
        <f t="shared" si="607"/>
        <v/>
      </c>
      <c r="HH127" s="644" t="str">
        <f t="shared" si="608"/>
        <v/>
      </c>
      <c r="HI127" s="596" t="str">
        <f t="shared" si="609"/>
        <v/>
      </c>
      <c r="HK127" s="584" t="str">
        <f t="shared" si="619"/>
        <v/>
      </c>
      <c r="HL127" s="583" t="str">
        <f t="shared" si="676"/>
        <v/>
      </c>
      <c r="HM127" s="643" t="str">
        <f t="shared" si="680"/>
        <v/>
      </c>
      <c r="HN127" s="660" t="str">
        <f t="shared" si="680"/>
        <v/>
      </c>
      <c r="HO127" s="661" t="str">
        <f t="shared" si="680"/>
        <v/>
      </c>
      <c r="HP127" s="656" t="str">
        <f t="shared" si="680"/>
        <v/>
      </c>
      <c r="HQ127" s="660" t="str">
        <f t="shared" si="680"/>
        <v/>
      </c>
      <c r="HR127" s="671" t="str">
        <f t="shared" si="680"/>
        <v/>
      </c>
      <c r="HS127" s="655" t="str">
        <f t="shared" si="680"/>
        <v/>
      </c>
      <c r="HT127" s="648" t="str">
        <f t="shared" si="680"/>
        <v/>
      </c>
      <c r="HU127" s="649" t="str">
        <f t="shared" si="680"/>
        <v/>
      </c>
      <c r="HV127" s="650" t="str">
        <f t="shared" si="680"/>
        <v/>
      </c>
      <c r="HW127" s="648" t="str">
        <f t="shared" si="680"/>
        <v/>
      </c>
      <c r="HX127" s="649" t="str">
        <f t="shared" si="680"/>
        <v/>
      </c>
      <c r="HY127" s="650" t="str">
        <f t="shared" si="680"/>
        <v/>
      </c>
      <c r="HZ127" s="648" t="str">
        <f t="shared" si="680"/>
        <v/>
      </c>
      <c r="IA127" s="649" t="str">
        <f t="shared" si="680"/>
        <v/>
      </c>
      <c r="IB127" s="716"/>
    </row>
    <row r="128" spans="2:236" ht="15" customHeight="1" x14ac:dyDescent="0.25">
      <c r="B128" s="143"/>
      <c r="C128" s="144"/>
      <c r="D128" s="145"/>
      <c r="E128" s="146"/>
      <c r="F128" s="144"/>
      <c r="G128" s="147"/>
      <c r="H128" s="146"/>
      <c r="I128" s="144"/>
      <c r="J128" s="306"/>
      <c r="K128" s="699" t="str">
        <f t="shared" si="610"/>
        <v/>
      </c>
      <c r="M128" s="292" t="str">
        <f t="shared" si="648"/>
        <v/>
      </c>
      <c r="N128" s="24" t="str">
        <f t="shared" si="649"/>
        <v/>
      </c>
      <c r="O128" s="7" t="str">
        <f t="shared" si="650"/>
        <v/>
      </c>
      <c r="P128" s="12" t="str">
        <f t="shared" si="651"/>
        <v/>
      </c>
      <c r="Q128" s="11" t="str">
        <f t="shared" si="473"/>
        <v/>
      </c>
      <c r="R128" s="7" t="str">
        <f t="shared" si="652"/>
        <v/>
      </c>
      <c r="S128" s="8" t="str">
        <f t="shared" si="653"/>
        <v/>
      </c>
      <c r="T128" s="6" t="str">
        <f t="shared" si="654"/>
        <v/>
      </c>
      <c r="U128" s="7" t="str">
        <f t="shared" si="655"/>
        <v/>
      </c>
      <c r="V128" s="10" t="str">
        <f t="shared" si="656"/>
        <v/>
      </c>
      <c r="W128" s="11" t="str">
        <f t="shared" si="614"/>
        <v/>
      </c>
      <c r="X128" s="7" t="str">
        <f t="shared" si="657"/>
        <v/>
      </c>
      <c r="Y128" s="9" t="str">
        <f t="shared" si="611"/>
        <v/>
      </c>
      <c r="Z128" s="24" t="str">
        <f t="shared" si="658"/>
        <v/>
      </c>
      <c r="AA128" s="7" t="str">
        <f t="shared" si="659"/>
        <v/>
      </c>
      <c r="AB128" s="7" t="str">
        <f t="shared" si="660"/>
        <v/>
      </c>
      <c r="AC128" s="10" t="str">
        <f t="shared" si="661"/>
        <v/>
      </c>
      <c r="AD128" s="11" t="str">
        <f t="shared" si="662"/>
        <v/>
      </c>
      <c r="AE128" s="7" t="str">
        <f t="shared" si="663"/>
        <v/>
      </c>
      <c r="AF128" s="12" t="str">
        <f t="shared" si="664"/>
        <v/>
      </c>
      <c r="AG128" s="6" t="str">
        <f t="shared" si="665"/>
        <v/>
      </c>
      <c r="AH128" s="12" t="str">
        <f t="shared" si="666"/>
        <v/>
      </c>
      <c r="AI128" s="11" t="str">
        <f t="shared" si="667"/>
        <v/>
      </c>
      <c r="AJ128" s="8" t="str">
        <f t="shared" si="668"/>
        <v/>
      </c>
      <c r="AK128" s="6" t="str">
        <f t="shared" si="669"/>
        <v/>
      </c>
      <c r="AL128" s="7" t="str">
        <f t="shared" si="670"/>
        <v/>
      </c>
      <c r="AM128" s="8" t="str">
        <f t="shared" si="671"/>
        <v/>
      </c>
      <c r="AN128" s="6" t="str">
        <f t="shared" si="672"/>
        <v/>
      </c>
      <c r="AO128" s="10" t="str">
        <f t="shared" si="673"/>
        <v/>
      </c>
      <c r="AP128" s="11" t="str">
        <f t="shared" si="674"/>
        <v/>
      </c>
      <c r="AQ128" s="8" t="str">
        <f t="shared" si="612"/>
        <v/>
      </c>
      <c r="AS128" s="123" t="str">
        <f t="shared" si="496"/>
        <v/>
      </c>
      <c r="AT128" s="175" t="str">
        <f t="shared" si="617"/>
        <v/>
      </c>
      <c r="AV128" s="292" t="str">
        <f t="shared" si="497"/>
        <v/>
      </c>
      <c r="AW128" s="709"/>
      <c r="AX128" s="710"/>
      <c r="AY128" s="711"/>
      <c r="AZ128" s="565" t="str">
        <f t="shared" si="498"/>
        <v/>
      </c>
      <c r="BA128" s="564" t="str">
        <f t="shared" si="499"/>
        <v/>
      </c>
      <c r="BB128" s="372" t="str">
        <f t="shared" si="474"/>
        <v/>
      </c>
      <c r="BC128" s="11"/>
      <c r="BD128" s="7" t="str">
        <f t="shared" si="475"/>
        <v/>
      </c>
      <c r="BE128" s="8" t="str">
        <f t="shared" si="476"/>
        <v/>
      </c>
      <c r="BF128" s="6" t="str">
        <f t="shared" si="500"/>
        <v/>
      </c>
      <c r="BG128" s="7" t="str">
        <f t="shared" si="501"/>
        <v/>
      </c>
      <c r="BH128" s="12" t="str">
        <f t="shared" si="502"/>
        <v/>
      </c>
      <c r="BI128" s="11" t="str">
        <f t="shared" si="503"/>
        <v/>
      </c>
      <c r="BJ128" s="7" t="str">
        <f t="shared" si="504"/>
        <v/>
      </c>
      <c r="BK128" s="10" t="str">
        <f t="shared" si="505"/>
        <v/>
      </c>
      <c r="BL128" s="328" t="str">
        <f t="shared" si="506"/>
        <v/>
      </c>
      <c r="BM128" s="7" t="str">
        <f t="shared" si="507"/>
        <v/>
      </c>
      <c r="BN128" s="8" t="str">
        <f t="shared" si="508"/>
        <v/>
      </c>
      <c r="BO128" s="6" t="str">
        <f t="shared" si="509"/>
        <v/>
      </c>
      <c r="BP128" s="7" t="str">
        <f t="shared" si="510"/>
        <v/>
      </c>
      <c r="BQ128" s="7" t="str">
        <f t="shared" si="511"/>
        <v/>
      </c>
      <c r="BR128" s="8" t="str">
        <f t="shared" si="512"/>
        <v/>
      </c>
      <c r="BS128" s="6" t="str">
        <f t="shared" si="675"/>
        <v/>
      </c>
      <c r="BT128" s="7" t="str">
        <f t="shared" si="675"/>
        <v/>
      </c>
      <c r="BU128" s="12" t="str">
        <f t="shared" si="478"/>
        <v/>
      </c>
      <c r="BV128" s="11" t="str">
        <f t="shared" si="479"/>
        <v/>
      </c>
      <c r="BW128" s="7" t="str">
        <f t="shared" si="480"/>
        <v/>
      </c>
      <c r="BX128" s="10" t="str">
        <f t="shared" si="481"/>
        <v/>
      </c>
      <c r="BY128" s="328" t="str">
        <f t="shared" si="482"/>
        <v/>
      </c>
      <c r="BZ128" s="7" t="str">
        <f t="shared" si="483"/>
        <v/>
      </c>
      <c r="CA128" s="8" t="str">
        <f t="shared" si="484"/>
        <v/>
      </c>
      <c r="CB128" s="6" t="str">
        <f t="shared" si="513"/>
        <v/>
      </c>
      <c r="CC128" s="7" t="str">
        <f t="shared" si="514"/>
        <v/>
      </c>
      <c r="CD128" s="7" t="str">
        <f t="shared" si="515"/>
        <v/>
      </c>
      <c r="CE128" s="8" t="str">
        <f t="shared" si="516"/>
        <v/>
      </c>
      <c r="CF128" s="6" t="str">
        <f t="shared" si="517"/>
        <v/>
      </c>
      <c r="CG128" s="7" t="str">
        <f t="shared" si="518"/>
        <v/>
      </c>
      <c r="CH128" s="7" t="str">
        <f t="shared" si="519"/>
        <v/>
      </c>
      <c r="CI128" s="6" t="str">
        <f t="shared" si="485"/>
        <v/>
      </c>
      <c r="CJ128" s="7" t="str">
        <f t="shared" si="486"/>
        <v/>
      </c>
      <c r="CK128" s="10" t="str">
        <f t="shared" si="487"/>
        <v/>
      </c>
      <c r="CL128" s="328" t="str">
        <f t="shared" si="488"/>
        <v/>
      </c>
      <c r="CM128" s="7" t="str">
        <f t="shared" si="489"/>
        <v/>
      </c>
      <c r="CN128" s="8" t="str">
        <f t="shared" si="490"/>
        <v/>
      </c>
      <c r="CO128" s="296" t="str">
        <f t="shared" si="613"/>
        <v/>
      </c>
      <c r="CP128" s="6" t="str">
        <f t="shared" si="520"/>
        <v/>
      </c>
      <c r="CQ128" s="7" t="str">
        <f t="shared" si="521"/>
        <v/>
      </c>
      <c r="CR128" s="7" t="str">
        <f t="shared" si="522"/>
        <v/>
      </c>
      <c r="CS128" s="10" t="str">
        <f t="shared" si="523"/>
        <v/>
      </c>
      <c r="CT128" s="11" t="str">
        <f t="shared" si="524"/>
        <v/>
      </c>
      <c r="CU128" s="8" t="str">
        <f t="shared" si="525"/>
        <v/>
      </c>
      <c r="CV128" s="6" t="str">
        <f t="shared" si="526"/>
        <v/>
      </c>
      <c r="CW128" s="7" t="str">
        <f t="shared" si="527"/>
        <v/>
      </c>
      <c r="CX128" s="10" t="str">
        <f t="shared" si="528"/>
        <v/>
      </c>
      <c r="CY128" s="11" t="str">
        <f t="shared" si="529"/>
        <v/>
      </c>
      <c r="CZ128" s="7" t="str">
        <f t="shared" si="530"/>
        <v/>
      </c>
      <c r="DA128" s="8" t="str">
        <f t="shared" si="531"/>
        <v/>
      </c>
      <c r="DB128" s="6" t="str">
        <f t="shared" si="677"/>
        <v/>
      </c>
      <c r="DC128" s="7" t="str">
        <f t="shared" si="677"/>
        <v/>
      </c>
      <c r="DD128" s="12" t="str">
        <f t="shared" si="533"/>
        <v/>
      </c>
      <c r="DE128" s="11" t="str">
        <f t="shared" si="678"/>
        <v/>
      </c>
      <c r="DF128" s="7" t="str">
        <f t="shared" si="678"/>
        <v/>
      </c>
      <c r="DG128" s="12" t="str">
        <f t="shared" si="535"/>
        <v/>
      </c>
      <c r="DH128" s="174" t="str">
        <f t="shared" si="536"/>
        <v/>
      </c>
      <c r="DI128" s="6" t="str">
        <f t="shared" si="537"/>
        <v/>
      </c>
      <c r="DJ128" s="7" t="str">
        <f t="shared" si="538"/>
        <v/>
      </c>
      <c r="DK128" s="12" t="str">
        <f t="shared" si="539"/>
        <v/>
      </c>
      <c r="DL128" s="11" t="str">
        <f t="shared" si="540"/>
        <v/>
      </c>
      <c r="DM128" s="328" t="str">
        <f t="shared" si="541"/>
        <v/>
      </c>
      <c r="DN128" s="376" t="str">
        <f t="shared" si="542"/>
        <v/>
      </c>
      <c r="DO128" s="11" t="str">
        <f t="shared" si="543"/>
        <v/>
      </c>
      <c r="DP128" s="328" t="str">
        <f t="shared" si="544"/>
        <v/>
      </c>
      <c r="DQ128" s="13" t="str">
        <f t="shared" si="545"/>
        <v/>
      </c>
      <c r="DR128" s="328" t="str">
        <f t="shared" si="546"/>
        <v/>
      </c>
      <c r="DS128" s="7" t="str">
        <f t="shared" si="547"/>
        <v/>
      </c>
      <c r="DT128" s="7" t="str">
        <f t="shared" si="548"/>
        <v/>
      </c>
      <c r="DU128" s="7" t="str">
        <f t="shared" si="549"/>
        <v/>
      </c>
      <c r="DV128" s="7" t="str">
        <f t="shared" si="550"/>
        <v/>
      </c>
      <c r="DW128" s="7" t="str">
        <f t="shared" si="551"/>
        <v/>
      </c>
      <c r="DX128" s="296" t="str">
        <f t="shared" si="552"/>
        <v/>
      </c>
      <c r="DY128" s="11" t="str">
        <f t="shared" si="553"/>
        <v/>
      </c>
      <c r="DZ128" s="7" t="str">
        <f t="shared" si="554"/>
        <v/>
      </c>
      <c r="EA128" s="12" t="str">
        <f t="shared" si="555"/>
        <v/>
      </c>
      <c r="EB128" s="8" t="str">
        <f t="shared" si="556"/>
        <v/>
      </c>
      <c r="EC128" s="328" t="str">
        <f t="shared" si="557"/>
        <v/>
      </c>
      <c r="ED128" s="7" t="str">
        <f t="shared" si="558"/>
        <v/>
      </c>
      <c r="EE128" s="6" t="str">
        <f t="shared" si="559"/>
        <v/>
      </c>
      <c r="EF128" s="7" t="str">
        <f t="shared" si="560"/>
        <v/>
      </c>
      <c r="EG128" s="12" t="str">
        <f t="shared" si="561"/>
        <v/>
      </c>
      <c r="EH128" s="11" t="str">
        <f t="shared" si="562"/>
        <v/>
      </c>
      <c r="EI128" s="7" t="str">
        <f t="shared" si="563"/>
        <v/>
      </c>
      <c r="EJ128" s="8" t="str">
        <f t="shared" si="564"/>
        <v/>
      </c>
      <c r="EK128" s="491" t="str">
        <f t="shared" si="565"/>
        <v/>
      </c>
      <c r="EL128" s="493" t="str">
        <f t="shared" si="566"/>
        <v/>
      </c>
      <c r="EM128" s="6" t="str">
        <f t="shared" si="567"/>
        <v/>
      </c>
      <c r="EN128" s="7" t="str">
        <f t="shared" si="568"/>
        <v/>
      </c>
      <c r="EO128" s="12" t="str">
        <f t="shared" si="569"/>
        <v/>
      </c>
      <c r="EP128" s="11" t="str">
        <f t="shared" si="570"/>
        <v/>
      </c>
      <c r="EQ128" s="7" t="str">
        <f t="shared" si="571"/>
        <v/>
      </c>
      <c r="ER128" s="9" t="str">
        <f t="shared" si="572"/>
        <v/>
      </c>
      <c r="ES128" s="24" t="str">
        <f t="shared" si="573"/>
        <v/>
      </c>
      <c r="ET128" s="7" t="str">
        <f t="shared" si="574"/>
        <v/>
      </c>
      <c r="EU128" s="12" t="str">
        <f t="shared" si="575"/>
        <v/>
      </c>
      <c r="EV128" s="337" t="str">
        <f t="shared" si="620"/>
        <v/>
      </c>
      <c r="EW128" s="11" t="str">
        <f t="shared" si="621"/>
        <v/>
      </c>
      <c r="EX128" s="7" t="str">
        <f t="shared" si="622"/>
        <v/>
      </c>
      <c r="EY128" s="8" t="str">
        <f t="shared" si="576"/>
        <v/>
      </c>
      <c r="EZ128" s="123" t="str">
        <f t="shared" si="577"/>
        <v/>
      </c>
      <c r="FA128" s="328" t="str">
        <f t="shared" si="623"/>
        <v/>
      </c>
      <c r="FB128" s="7" t="str">
        <f t="shared" si="624"/>
        <v/>
      </c>
      <c r="FC128" s="8" t="str">
        <f t="shared" si="625"/>
        <v/>
      </c>
      <c r="FD128" s="6" t="str">
        <f t="shared" si="626"/>
        <v/>
      </c>
      <c r="FE128" s="7" t="str">
        <f t="shared" si="627"/>
        <v/>
      </c>
      <c r="FF128" s="9" t="str">
        <f t="shared" si="578"/>
        <v/>
      </c>
      <c r="FG128" s="328" t="str">
        <f t="shared" si="628"/>
        <v/>
      </c>
      <c r="FH128" s="7" t="str">
        <f t="shared" si="629"/>
        <v/>
      </c>
      <c r="FI128" s="12" t="str">
        <f t="shared" si="630"/>
        <v/>
      </c>
      <c r="FJ128" s="547" t="str">
        <f t="shared" si="579"/>
        <v/>
      </c>
      <c r="FK128" s="6" t="str">
        <f t="shared" si="631"/>
        <v/>
      </c>
      <c r="FL128" s="7" t="str">
        <f t="shared" si="491"/>
        <v/>
      </c>
      <c r="FM128" s="10" t="str">
        <f t="shared" si="492"/>
        <v/>
      </c>
      <c r="FN128" s="11" t="str">
        <f t="shared" si="493"/>
        <v/>
      </c>
      <c r="FO128" s="12" t="str">
        <f t="shared" si="632"/>
        <v/>
      </c>
      <c r="FP128" s="545" t="str">
        <f t="shared" si="494"/>
        <v/>
      </c>
      <c r="FQ128" s="328" t="str">
        <f t="shared" si="580"/>
        <v/>
      </c>
      <c r="FR128" s="12" t="str">
        <f t="shared" si="581"/>
        <v/>
      </c>
      <c r="FS128" s="11" t="str">
        <f t="shared" si="582"/>
        <v/>
      </c>
      <c r="FT128" s="8" t="str">
        <f t="shared" si="583"/>
        <v/>
      </c>
      <c r="FU128" s="6" t="str">
        <f t="shared" si="584"/>
        <v/>
      </c>
      <c r="FV128" s="7" t="str">
        <f t="shared" si="585"/>
        <v/>
      </c>
      <c r="FW128" s="10" t="str">
        <f t="shared" si="586"/>
        <v/>
      </c>
      <c r="FX128" s="11" t="str">
        <f t="shared" si="587"/>
        <v/>
      </c>
      <c r="FY128" s="12" t="str">
        <f t="shared" si="633"/>
        <v/>
      </c>
      <c r="FZ128" s="545" t="str">
        <f t="shared" si="588"/>
        <v/>
      </c>
      <c r="GA128" s="372" t="str">
        <f t="shared" si="589"/>
        <v/>
      </c>
      <c r="GB128" s="46" t="str">
        <f t="shared" si="590"/>
        <v/>
      </c>
      <c r="GC128" s="47" t="str">
        <f t="shared" si="591"/>
        <v/>
      </c>
      <c r="GD128" s="578" t="str">
        <f t="shared" si="592"/>
        <v/>
      </c>
      <c r="GE128" s="585" t="str">
        <f t="shared" si="593"/>
        <v/>
      </c>
      <c r="GF128" s="634" t="str">
        <f t="shared" si="594"/>
        <v/>
      </c>
      <c r="GG128" s="553" t="str">
        <f t="shared" si="634"/>
        <v/>
      </c>
      <c r="GH128" s="554" t="str">
        <f t="shared" si="635"/>
        <v/>
      </c>
      <c r="GI128" s="549" t="str">
        <f t="shared" si="636"/>
        <v/>
      </c>
      <c r="GJ128" s="296" t="str">
        <f t="shared" si="595"/>
        <v/>
      </c>
      <c r="GK128" s="337" t="str">
        <f t="shared" si="637"/>
        <v/>
      </c>
      <c r="GL128" s="337" t="str">
        <f t="shared" si="596"/>
        <v/>
      </c>
      <c r="GM128" s="372" t="str">
        <f t="shared" si="597"/>
        <v/>
      </c>
      <c r="GN128" s="548" t="str">
        <f t="shared" si="598"/>
        <v/>
      </c>
      <c r="GO128" s="6" t="str">
        <f t="shared" si="599"/>
        <v/>
      </c>
      <c r="GP128" s="10" t="str">
        <f t="shared" si="600"/>
        <v/>
      </c>
      <c r="GQ128" s="372" t="str">
        <f t="shared" si="601"/>
        <v/>
      </c>
      <c r="GR128" s="697" t="str">
        <f t="shared" si="602"/>
        <v/>
      </c>
      <c r="GS128" s="637" t="str">
        <f t="shared" si="638"/>
        <v/>
      </c>
      <c r="GT128" s="638" t="str">
        <f t="shared" si="639"/>
        <v/>
      </c>
      <c r="GU128" s="639" t="str">
        <f t="shared" si="640"/>
        <v/>
      </c>
      <c r="GV128" s="638" t="str">
        <f t="shared" si="603"/>
        <v/>
      </c>
      <c r="GW128" s="640" t="str">
        <f t="shared" si="641"/>
        <v/>
      </c>
      <c r="GX128" s="641" t="str">
        <f t="shared" si="642"/>
        <v/>
      </c>
      <c r="GY128" s="639" t="str">
        <f t="shared" si="643"/>
        <v/>
      </c>
      <c r="GZ128" s="640" t="str">
        <f t="shared" si="644"/>
        <v/>
      </c>
      <c r="HA128" s="637" t="str">
        <f t="shared" si="645"/>
        <v/>
      </c>
      <c r="HB128" s="7" t="str">
        <f t="shared" si="604"/>
        <v/>
      </c>
      <c r="HC128" s="638" t="str">
        <f t="shared" si="605"/>
        <v/>
      </c>
      <c r="HD128" s="682" t="str">
        <f t="shared" si="606"/>
        <v/>
      </c>
      <c r="HE128" s="639" t="str">
        <f t="shared" si="646"/>
        <v/>
      </c>
      <c r="HF128" s="7" t="str">
        <f t="shared" si="647"/>
        <v/>
      </c>
      <c r="HG128" s="638" t="str">
        <f t="shared" si="607"/>
        <v/>
      </c>
      <c r="HH128" s="644" t="str">
        <f t="shared" si="608"/>
        <v/>
      </c>
      <c r="HI128" s="596" t="str">
        <f t="shared" si="609"/>
        <v/>
      </c>
      <c r="HK128" s="584" t="str">
        <f t="shared" si="619"/>
        <v/>
      </c>
      <c r="HL128" s="583" t="str">
        <f t="shared" si="676"/>
        <v/>
      </c>
      <c r="HM128" s="643" t="str">
        <f t="shared" si="680"/>
        <v/>
      </c>
      <c r="HN128" s="660" t="str">
        <f t="shared" si="680"/>
        <v/>
      </c>
      <c r="HO128" s="661" t="str">
        <f t="shared" si="680"/>
        <v/>
      </c>
      <c r="HP128" s="656" t="str">
        <f t="shared" si="680"/>
        <v/>
      </c>
      <c r="HQ128" s="660" t="str">
        <f t="shared" si="680"/>
        <v/>
      </c>
      <c r="HR128" s="671" t="str">
        <f t="shared" si="680"/>
        <v/>
      </c>
      <c r="HS128" s="655" t="str">
        <f t="shared" si="680"/>
        <v/>
      </c>
      <c r="HT128" s="648" t="str">
        <f t="shared" si="680"/>
        <v/>
      </c>
      <c r="HU128" s="649" t="str">
        <f t="shared" si="680"/>
        <v/>
      </c>
      <c r="HV128" s="650" t="str">
        <f t="shared" si="680"/>
        <v/>
      </c>
      <c r="HW128" s="648" t="str">
        <f t="shared" si="680"/>
        <v/>
      </c>
      <c r="HX128" s="649" t="str">
        <f t="shared" si="680"/>
        <v/>
      </c>
      <c r="HY128" s="650" t="str">
        <f t="shared" si="680"/>
        <v/>
      </c>
      <c r="HZ128" s="648" t="str">
        <f t="shared" si="680"/>
        <v/>
      </c>
      <c r="IA128" s="649" t="str">
        <f t="shared" si="680"/>
        <v/>
      </c>
      <c r="IB128" s="716"/>
    </row>
    <row r="129" spans="2:236" ht="15" customHeight="1" x14ac:dyDescent="0.25">
      <c r="B129" s="143"/>
      <c r="C129" s="144"/>
      <c r="D129" s="145"/>
      <c r="E129" s="146"/>
      <c r="F129" s="144"/>
      <c r="G129" s="147"/>
      <c r="H129" s="146"/>
      <c r="I129" s="144"/>
      <c r="J129" s="306"/>
      <c r="K129" s="699" t="str">
        <f t="shared" si="610"/>
        <v/>
      </c>
      <c r="M129" s="292" t="str">
        <f t="shared" si="648"/>
        <v/>
      </c>
      <c r="N129" s="24" t="str">
        <f t="shared" si="649"/>
        <v/>
      </c>
      <c r="O129" s="7" t="str">
        <f t="shared" si="650"/>
        <v/>
      </c>
      <c r="P129" s="12" t="str">
        <f t="shared" si="651"/>
        <v/>
      </c>
      <c r="Q129" s="11" t="str">
        <f t="shared" si="473"/>
        <v/>
      </c>
      <c r="R129" s="7" t="str">
        <f t="shared" si="652"/>
        <v/>
      </c>
      <c r="S129" s="8" t="str">
        <f t="shared" si="653"/>
        <v/>
      </c>
      <c r="T129" s="6" t="str">
        <f t="shared" si="654"/>
        <v/>
      </c>
      <c r="U129" s="7" t="str">
        <f t="shared" si="655"/>
        <v/>
      </c>
      <c r="V129" s="10" t="str">
        <f t="shared" si="656"/>
        <v/>
      </c>
      <c r="W129" s="11" t="str">
        <f t="shared" si="614"/>
        <v/>
      </c>
      <c r="X129" s="7" t="str">
        <f t="shared" si="657"/>
        <v/>
      </c>
      <c r="Y129" s="9" t="str">
        <f t="shared" si="611"/>
        <v/>
      </c>
      <c r="Z129" s="24" t="str">
        <f t="shared" si="658"/>
        <v/>
      </c>
      <c r="AA129" s="7" t="str">
        <f t="shared" si="659"/>
        <v/>
      </c>
      <c r="AB129" s="7" t="str">
        <f t="shared" si="660"/>
        <v/>
      </c>
      <c r="AC129" s="10" t="str">
        <f t="shared" si="661"/>
        <v/>
      </c>
      <c r="AD129" s="11" t="str">
        <f t="shared" si="662"/>
        <v/>
      </c>
      <c r="AE129" s="7" t="str">
        <f t="shared" si="663"/>
        <v/>
      </c>
      <c r="AF129" s="12" t="str">
        <f t="shared" si="664"/>
        <v/>
      </c>
      <c r="AG129" s="6" t="str">
        <f t="shared" si="665"/>
        <v/>
      </c>
      <c r="AH129" s="12" t="str">
        <f t="shared" si="666"/>
        <v/>
      </c>
      <c r="AI129" s="11" t="str">
        <f t="shared" si="667"/>
        <v/>
      </c>
      <c r="AJ129" s="8" t="str">
        <f t="shared" si="668"/>
        <v/>
      </c>
      <c r="AK129" s="6" t="str">
        <f t="shared" si="669"/>
        <v/>
      </c>
      <c r="AL129" s="7" t="str">
        <f t="shared" si="670"/>
        <v/>
      </c>
      <c r="AM129" s="8" t="str">
        <f t="shared" si="671"/>
        <v/>
      </c>
      <c r="AN129" s="6" t="str">
        <f t="shared" si="672"/>
        <v/>
      </c>
      <c r="AO129" s="10" t="str">
        <f t="shared" si="673"/>
        <v/>
      </c>
      <c r="AP129" s="11" t="str">
        <f t="shared" si="674"/>
        <v/>
      </c>
      <c r="AQ129" s="8" t="str">
        <f t="shared" si="612"/>
        <v/>
      </c>
      <c r="AS129" s="123" t="str">
        <f t="shared" si="496"/>
        <v/>
      </c>
      <c r="AT129" s="175" t="str">
        <f t="shared" si="617"/>
        <v/>
      </c>
      <c r="AV129" s="292" t="str">
        <f t="shared" si="497"/>
        <v/>
      </c>
      <c r="AW129" s="709"/>
      <c r="AX129" s="710"/>
      <c r="AY129" s="711"/>
      <c r="AZ129" s="565" t="str">
        <f t="shared" si="498"/>
        <v/>
      </c>
      <c r="BA129" s="564" t="str">
        <f t="shared" si="499"/>
        <v/>
      </c>
      <c r="BB129" s="372" t="str">
        <f t="shared" si="474"/>
        <v/>
      </c>
      <c r="BC129" s="11"/>
      <c r="BD129" s="7" t="str">
        <f t="shared" si="475"/>
        <v/>
      </c>
      <c r="BE129" s="8" t="str">
        <f t="shared" si="476"/>
        <v/>
      </c>
      <c r="BF129" s="6" t="str">
        <f t="shared" si="500"/>
        <v/>
      </c>
      <c r="BG129" s="7" t="str">
        <f t="shared" si="501"/>
        <v/>
      </c>
      <c r="BH129" s="12" t="str">
        <f t="shared" si="502"/>
        <v/>
      </c>
      <c r="BI129" s="11" t="str">
        <f t="shared" si="503"/>
        <v/>
      </c>
      <c r="BJ129" s="7" t="str">
        <f t="shared" si="504"/>
        <v/>
      </c>
      <c r="BK129" s="10" t="str">
        <f t="shared" si="505"/>
        <v/>
      </c>
      <c r="BL129" s="328" t="str">
        <f t="shared" si="506"/>
        <v/>
      </c>
      <c r="BM129" s="7" t="str">
        <f t="shared" si="507"/>
        <v/>
      </c>
      <c r="BN129" s="8" t="str">
        <f t="shared" si="508"/>
        <v/>
      </c>
      <c r="BO129" s="6" t="str">
        <f t="shared" si="509"/>
        <v/>
      </c>
      <c r="BP129" s="7" t="str">
        <f t="shared" si="510"/>
        <v/>
      </c>
      <c r="BQ129" s="7" t="str">
        <f t="shared" si="511"/>
        <v/>
      </c>
      <c r="BR129" s="8" t="str">
        <f t="shared" si="512"/>
        <v/>
      </c>
      <c r="BS129" s="6" t="str">
        <f t="shared" si="675"/>
        <v/>
      </c>
      <c r="BT129" s="7" t="str">
        <f t="shared" si="675"/>
        <v/>
      </c>
      <c r="BU129" s="12" t="str">
        <f t="shared" si="478"/>
        <v/>
      </c>
      <c r="BV129" s="11" t="str">
        <f t="shared" si="479"/>
        <v/>
      </c>
      <c r="BW129" s="7" t="str">
        <f t="shared" si="480"/>
        <v/>
      </c>
      <c r="BX129" s="10" t="str">
        <f t="shared" si="481"/>
        <v/>
      </c>
      <c r="BY129" s="328" t="str">
        <f t="shared" si="482"/>
        <v/>
      </c>
      <c r="BZ129" s="7" t="str">
        <f t="shared" si="483"/>
        <v/>
      </c>
      <c r="CA129" s="8" t="str">
        <f t="shared" si="484"/>
        <v/>
      </c>
      <c r="CB129" s="6" t="str">
        <f t="shared" si="513"/>
        <v/>
      </c>
      <c r="CC129" s="7" t="str">
        <f t="shared" si="514"/>
        <v/>
      </c>
      <c r="CD129" s="7" t="str">
        <f t="shared" si="515"/>
        <v/>
      </c>
      <c r="CE129" s="8" t="str">
        <f t="shared" si="516"/>
        <v/>
      </c>
      <c r="CF129" s="6" t="str">
        <f t="shared" si="517"/>
        <v/>
      </c>
      <c r="CG129" s="7" t="str">
        <f t="shared" si="518"/>
        <v/>
      </c>
      <c r="CH129" s="7" t="str">
        <f t="shared" si="519"/>
        <v/>
      </c>
      <c r="CI129" s="6" t="str">
        <f t="shared" si="485"/>
        <v/>
      </c>
      <c r="CJ129" s="7" t="str">
        <f t="shared" si="486"/>
        <v/>
      </c>
      <c r="CK129" s="10" t="str">
        <f t="shared" si="487"/>
        <v/>
      </c>
      <c r="CL129" s="328" t="str">
        <f t="shared" si="488"/>
        <v/>
      </c>
      <c r="CM129" s="7" t="str">
        <f t="shared" si="489"/>
        <v/>
      </c>
      <c r="CN129" s="8" t="str">
        <f t="shared" si="490"/>
        <v/>
      </c>
      <c r="CO129" s="296" t="str">
        <f t="shared" si="613"/>
        <v/>
      </c>
      <c r="CP129" s="6" t="str">
        <f t="shared" si="520"/>
        <v/>
      </c>
      <c r="CQ129" s="7" t="str">
        <f t="shared" si="521"/>
        <v/>
      </c>
      <c r="CR129" s="7" t="str">
        <f t="shared" si="522"/>
        <v/>
      </c>
      <c r="CS129" s="10" t="str">
        <f t="shared" si="523"/>
        <v/>
      </c>
      <c r="CT129" s="11" t="str">
        <f t="shared" si="524"/>
        <v/>
      </c>
      <c r="CU129" s="8" t="str">
        <f t="shared" si="525"/>
        <v/>
      </c>
      <c r="CV129" s="6" t="str">
        <f t="shared" si="526"/>
        <v/>
      </c>
      <c r="CW129" s="7" t="str">
        <f t="shared" si="527"/>
        <v/>
      </c>
      <c r="CX129" s="10" t="str">
        <f t="shared" si="528"/>
        <v/>
      </c>
      <c r="CY129" s="11" t="str">
        <f t="shared" si="529"/>
        <v/>
      </c>
      <c r="CZ129" s="7" t="str">
        <f t="shared" si="530"/>
        <v/>
      </c>
      <c r="DA129" s="8" t="str">
        <f t="shared" si="531"/>
        <v/>
      </c>
      <c r="DB129" s="6" t="str">
        <f t="shared" si="677"/>
        <v/>
      </c>
      <c r="DC129" s="7" t="str">
        <f t="shared" si="677"/>
        <v/>
      </c>
      <c r="DD129" s="12" t="str">
        <f t="shared" si="533"/>
        <v/>
      </c>
      <c r="DE129" s="11" t="str">
        <f t="shared" si="678"/>
        <v/>
      </c>
      <c r="DF129" s="7" t="str">
        <f t="shared" si="678"/>
        <v/>
      </c>
      <c r="DG129" s="12" t="str">
        <f t="shared" si="535"/>
        <v/>
      </c>
      <c r="DH129" s="174" t="str">
        <f t="shared" si="536"/>
        <v/>
      </c>
      <c r="DI129" s="6" t="str">
        <f t="shared" si="537"/>
        <v/>
      </c>
      <c r="DJ129" s="7" t="str">
        <f t="shared" si="538"/>
        <v/>
      </c>
      <c r="DK129" s="12" t="str">
        <f t="shared" si="539"/>
        <v/>
      </c>
      <c r="DL129" s="11" t="str">
        <f t="shared" si="540"/>
        <v/>
      </c>
      <c r="DM129" s="328" t="str">
        <f t="shared" si="541"/>
        <v/>
      </c>
      <c r="DN129" s="376" t="str">
        <f t="shared" si="542"/>
        <v/>
      </c>
      <c r="DO129" s="11" t="str">
        <f t="shared" si="543"/>
        <v/>
      </c>
      <c r="DP129" s="328" t="str">
        <f t="shared" si="544"/>
        <v/>
      </c>
      <c r="DQ129" s="13" t="str">
        <f t="shared" si="545"/>
        <v/>
      </c>
      <c r="DR129" s="328" t="str">
        <f t="shared" si="546"/>
        <v/>
      </c>
      <c r="DS129" s="7" t="str">
        <f t="shared" si="547"/>
        <v/>
      </c>
      <c r="DT129" s="7" t="str">
        <f t="shared" si="548"/>
        <v/>
      </c>
      <c r="DU129" s="7" t="str">
        <f t="shared" si="549"/>
        <v/>
      </c>
      <c r="DV129" s="7" t="str">
        <f t="shared" si="550"/>
        <v/>
      </c>
      <c r="DW129" s="7" t="str">
        <f t="shared" si="551"/>
        <v/>
      </c>
      <c r="DX129" s="296" t="str">
        <f t="shared" si="552"/>
        <v/>
      </c>
      <c r="DY129" s="11" t="str">
        <f t="shared" si="553"/>
        <v/>
      </c>
      <c r="DZ129" s="7" t="str">
        <f t="shared" si="554"/>
        <v/>
      </c>
      <c r="EA129" s="12" t="str">
        <f t="shared" si="555"/>
        <v/>
      </c>
      <c r="EB129" s="8" t="str">
        <f t="shared" si="556"/>
        <v/>
      </c>
      <c r="EC129" s="328" t="str">
        <f t="shared" si="557"/>
        <v/>
      </c>
      <c r="ED129" s="7" t="str">
        <f t="shared" si="558"/>
        <v/>
      </c>
      <c r="EE129" s="6" t="str">
        <f t="shared" si="559"/>
        <v/>
      </c>
      <c r="EF129" s="7" t="str">
        <f t="shared" si="560"/>
        <v/>
      </c>
      <c r="EG129" s="12" t="str">
        <f t="shared" si="561"/>
        <v/>
      </c>
      <c r="EH129" s="11" t="str">
        <f t="shared" si="562"/>
        <v/>
      </c>
      <c r="EI129" s="7" t="str">
        <f t="shared" si="563"/>
        <v/>
      </c>
      <c r="EJ129" s="8" t="str">
        <f t="shared" si="564"/>
        <v/>
      </c>
      <c r="EK129" s="491" t="str">
        <f t="shared" si="565"/>
        <v/>
      </c>
      <c r="EL129" s="493" t="str">
        <f t="shared" si="566"/>
        <v/>
      </c>
      <c r="EM129" s="6" t="str">
        <f t="shared" si="567"/>
        <v/>
      </c>
      <c r="EN129" s="7" t="str">
        <f t="shared" si="568"/>
        <v/>
      </c>
      <c r="EO129" s="12" t="str">
        <f t="shared" si="569"/>
        <v/>
      </c>
      <c r="EP129" s="11" t="str">
        <f t="shared" si="570"/>
        <v/>
      </c>
      <c r="EQ129" s="7" t="str">
        <f t="shared" si="571"/>
        <v/>
      </c>
      <c r="ER129" s="9" t="str">
        <f t="shared" si="572"/>
        <v/>
      </c>
      <c r="ES129" s="24" t="str">
        <f t="shared" si="573"/>
        <v/>
      </c>
      <c r="ET129" s="7" t="str">
        <f t="shared" si="574"/>
        <v/>
      </c>
      <c r="EU129" s="12" t="str">
        <f t="shared" si="575"/>
        <v/>
      </c>
      <c r="EV129" s="337" t="str">
        <f t="shared" si="620"/>
        <v/>
      </c>
      <c r="EW129" s="11" t="str">
        <f t="shared" si="621"/>
        <v/>
      </c>
      <c r="EX129" s="7" t="str">
        <f t="shared" si="622"/>
        <v/>
      </c>
      <c r="EY129" s="8" t="str">
        <f t="shared" si="576"/>
        <v/>
      </c>
      <c r="EZ129" s="123" t="str">
        <f t="shared" si="577"/>
        <v/>
      </c>
      <c r="FA129" s="328" t="str">
        <f t="shared" si="623"/>
        <v/>
      </c>
      <c r="FB129" s="7" t="str">
        <f t="shared" si="624"/>
        <v/>
      </c>
      <c r="FC129" s="8" t="str">
        <f t="shared" si="625"/>
        <v/>
      </c>
      <c r="FD129" s="6" t="str">
        <f t="shared" si="626"/>
        <v/>
      </c>
      <c r="FE129" s="7" t="str">
        <f t="shared" si="627"/>
        <v/>
      </c>
      <c r="FF129" s="9" t="str">
        <f t="shared" si="578"/>
        <v/>
      </c>
      <c r="FG129" s="328" t="str">
        <f t="shared" si="628"/>
        <v/>
      </c>
      <c r="FH129" s="7" t="str">
        <f t="shared" si="629"/>
        <v/>
      </c>
      <c r="FI129" s="12" t="str">
        <f t="shared" si="630"/>
        <v/>
      </c>
      <c r="FJ129" s="547" t="str">
        <f t="shared" si="579"/>
        <v/>
      </c>
      <c r="FK129" s="6" t="str">
        <f t="shared" si="631"/>
        <v/>
      </c>
      <c r="FL129" s="7" t="str">
        <f t="shared" si="491"/>
        <v/>
      </c>
      <c r="FM129" s="10" t="str">
        <f t="shared" si="492"/>
        <v/>
      </c>
      <c r="FN129" s="11" t="str">
        <f t="shared" si="493"/>
        <v/>
      </c>
      <c r="FO129" s="12" t="str">
        <f t="shared" si="632"/>
        <v/>
      </c>
      <c r="FP129" s="545" t="str">
        <f t="shared" si="494"/>
        <v/>
      </c>
      <c r="FQ129" s="328" t="str">
        <f t="shared" si="580"/>
        <v/>
      </c>
      <c r="FR129" s="12" t="str">
        <f t="shared" si="581"/>
        <v/>
      </c>
      <c r="FS129" s="11" t="str">
        <f t="shared" si="582"/>
        <v/>
      </c>
      <c r="FT129" s="8" t="str">
        <f t="shared" si="583"/>
        <v/>
      </c>
      <c r="FU129" s="6" t="str">
        <f t="shared" si="584"/>
        <v/>
      </c>
      <c r="FV129" s="7" t="str">
        <f t="shared" si="585"/>
        <v/>
      </c>
      <c r="FW129" s="10" t="str">
        <f t="shared" si="586"/>
        <v/>
      </c>
      <c r="FX129" s="11" t="str">
        <f t="shared" si="587"/>
        <v/>
      </c>
      <c r="FY129" s="12" t="str">
        <f t="shared" si="633"/>
        <v/>
      </c>
      <c r="FZ129" s="545" t="str">
        <f t="shared" si="588"/>
        <v/>
      </c>
      <c r="GA129" s="372" t="str">
        <f t="shared" si="589"/>
        <v/>
      </c>
      <c r="GB129" s="46" t="str">
        <f t="shared" si="590"/>
        <v/>
      </c>
      <c r="GC129" s="47" t="str">
        <f t="shared" si="591"/>
        <v/>
      </c>
      <c r="GD129" s="578" t="str">
        <f t="shared" si="592"/>
        <v/>
      </c>
      <c r="GE129" s="585" t="str">
        <f t="shared" si="593"/>
        <v/>
      </c>
      <c r="GF129" s="634" t="str">
        <f t="shared" si="594"/>
        <v/>
      </c>
      <c r="GG129" s="553" t="str">
        <f t="shared" si="634"/>
        <v/>
      </c>
      <c r="GH129" s="554" t="str">
        <f t="shared" si="635"/>
        <v/>
      </c>
      <c r="GI129" s="549" t="str">
        <f t="shared" si="636"/>
        <v/>
      </c>
      <c r="GJ129" s="296" t="str">
        <f t="shared" si="595"/>
        <v/>
      </c>
      <c r="GK129" s="337" t="str">
        <f t="shared" si="637"/>
        <v/>
      </c>
      <c r="GL129" s="337" t="str">
        <f t="shared" si="596"/>
        <v/>
      </c>
      <c r="GM129" s="372" t="str">
        <f t="shared" si="597"/>
        <v/>
      </c>
      <c r="GN129" s="548" t="str">
        <f t="shared" si="598"/>
        <v/>
      </c>
      <c r="GO129" s="6" t="str">
        <f t="shared" si="599"/>
        <v/>
      </c>
      <c r="GP129" s="10" t="str">
        <f t="shared" si="600"/>
        <v/>
      </c>
      <c r="GQ129" s="372" t="str">
        <f t="shared" si="601"/>
        <v/>
      </c>
      <c r="GR129" s="697" t="str">
        <f t="shared" si="602"/>
        <v/>
      </c>
      <c r="GS129" s="637" t="str">
        <f t="shared" si="638"/>
        <v/>
      </c>
      <c r="GT129" s="638" t="str">
        <f t="shared" si="639"/>
        <v/>
      </c>
      <c r="GU129" s="639" t="str">
        <f t="shared" si="640"/>
        <v/>
      </c>
      <c r="GV129" s="638" t="str">
        <f t="shared" si="603"/>
        <v/>
      </c>
      <c r="GW129" s="640" t="str">
        <f t="shared" si="641"/>
        <v/>
      </c>
      <c r="GX129" s="641" t="str">
        <f t="shared" si="642"/>
        <v/>
      </c>
      <c r="GY129" s="639" t="str">
        <f t="shared" si="643"/>
        <v/>
      </c>
      <c r="GZ129" s="640" t="str">
        <f t="shared" si="644"/>
        <v/>
      </c>
      <c r="HA129" s="637" t="str">
        <f t="shared" si="645"/>
        <v/>
      </c>
      <c r="HB129" s="7" t="str">
        <f t="shared" si="604"/>
        <v/>
      </c>
      <c r="HC129" s="638" t="str">
        <f t="shared" si="605"/>
        <v/>
      </c>
      <c r="HD129" s="682" t="str">
        <f t="shared" si="606"/>
        <v/>
      </c>
      <c r="HE129" s="639" t="str">
        <f t="shared" si="646"/>
        <v/>
      </c>
      <c r="HF129" s="7" t="str">
        <f t="shared" si="647"/>
        <v/>
      </c>
      <c r="HG129" s="638" t="str">
        <f t="shared" si="607"/>
        <v/>
      </c>
      <c r="HH129" s="644" t="str">
        <f t="shared" si="608"/>
        <v/>
      </c>
      <c r="HI129" s="596" t="str">
        <f t="shared" si="609"/>
        <v/>
      </c>
      <c r="HK129" s="584" t="str">
        <f t="shared" si="619"/>
        <v/>
      </c>
      <c r="HL129" s="583" t="str">
        <f t="shared" si="676"/>
        <v/>
      </c>
      <c r="HM129" s="643" t="str">
        <f t="shared" si="680"/>
        <v/>
      </c>
      <c r="HN129" s="660" t="str">
        <f t="shared" si="680"/>
        <v/>
      </c>
      <c r="HO129" s="661" t="str">
        <f t="shared" si="680"/>
        <v/>
      </c>
      <c r="HP129" s="656" t="str">
        <f t="shared" si="680"/>
        <v/>
      </c>
      <c r="HQ129" s="660" t="str">
        <f t="shared" si="680"/>
        <v/>
      </c>
      <c r="HR129" s="671" t="str">
        <f t="shared" si="680"/>
        <v/>
      </c>
      <c r="HS129" s="655" t="str">
        <f t="shared" si="680"/>
        <v/>
      </c>
      <c r="HT129" s="648" t="str">
        <f t="shared" si="680"/>
        <v/>
      </c>
      <c r="HU129" s="649" t="str">
        <f t="shared" si="680"/>
        <v/>
      </c>
      <c r="HV129" s="650" t="str">
        <f t="shared" si="680"/>
        <v/>
      </c>
      <c r="HW129" s="648" t="str">
        <f t="shared" si="680"/>
        <v/>
      </c>
      <c r="HX129" s="649" t="str">
        <f t="shared" si="680"/>
        <v/>
      </c>
      <c r="HY129" s="650" t="str">
        <f t="shared" si="680"/>
        <v/>
      </c>
      <c r="HZ129" s="648" t="str">
        <f t="shared" si="680"/>
        <v/>
      </c>
      <c r="IA129" s="649" t="str">
        <f t="shared" si="680"/>
        <v/>
      </c>
      <c r="IB129" s="716"/>
    </row>
    <row r="130" spans="2:236" ht="15" customHeight="1" thickBot="1" x14ac:dyDescent="0.3">
      <c r="B130" s="149"/>
      <c r="C130" s="150"/>
      <c r="D130" s="151"/>
      <c r="E130" s="152"/>
      <c r="F130" s="150"/>
      <c r="G130" s="153"/>
      <c r="H130" s="152"/>
      <c r="I130" s="150"/>
      <c r="J130" s="307"/>
      <c r="K130" s="700" t="str">
        <f t="shared" si="610"/>
        <v/>
      </c>
      <c r="M130" s="293" t="str">
        <f t="shared" si="648"/>
        <v/>
      </c>
      <c r="N130" s="25" t="str">
        <f t="shared" si="649"/>
        <v/>
      </c>
      <c r="O130" s="16" t="str">
        <f t="shared" si="650"/>
        <v/>
      </c>
      <c r="P130" s="21" t="str">
        <f t="shared" si="651"/>
        <v/>
      </c>
      <c r="Q130" s="20" t="str">
        <f t="shared" si="473"/>
        <v/>
      </c>
      <c r="R130" s="16" t="str">
        <f t="shared" si="652"/>
        <v/>
      </c>
      <c r="S130" s="17" t="str">
        <f t="shared" si="653"/>
        <v/>
      </c>
      <c r="T130" s="15" t="str">
        <f t="shared" si="654"/>
        <v/>
      </c>
      <c r="U130" s="16" t="str">
        <f t="shared" si="655"/>
        <v/>
      </c>
      <c r="V130" s="19" t="str">
        <f t="shared" si="656"/>
        <v/>
      </c>
      <c r="W130" s="20" t="str">
        <f t="shared" si="614"/>
        <v/>
      </c>
      <c r="X130" s="16" t="str">
        <f t="shared" si="657"/>
        <v/>
      </c>
      <c r="Y130" s="18" t="str">
        <f t="shared" si="611"/>
        <v/>
      </c>
      <c r="Z130" s="25" t="str">
        <f t="shared" si="658"/>
        <v/>
      </c>
      <c r="AA130" s="16" t="str">
        <f t="shared" si="659"/>
        <v/>
      </c>
      <c r="AB130" s="16" t="str">
        <f t="shared" si="660"/>
        <v/>
      </c>
      <c r="AC130" s="19" t="str">
        <f t="shared" si="661"/>
        <v/>
      </c>
      <c r="AD130" s="20" t="str">
        <f t="shared" si="662"/>
        <v/>
      </c>
      <c r="AE130" s="16" t="str">
        <f t="shared" si="663"/>
        <v/>
      </c>
      <c r="AF130" s="21" t="str">
        <f t="shared" si="664"/>
        <v/>
      </c>
      <c r="AG130" s="15" t="str">
        <f t="shared" si="665"/>
        <v/>
      </c>
      <c r="AH130" s="21" t="str">
        <f t="shared" si="666"/>
        <v/>
      </c>
      <c r="AI130" s="20" t="str">
        <f t="shared" si="667"/>
        <v/>
      </c>
      <c r="AJ130" s="17" t="str">
        <f t="shared" si="668"/>
        <v/>
      </c>
      <c r="AK130" s="15" t="str">
        <f t="shared" si="669"/>
        <v/>
      </c>
      <c r="AL130" s="16" t="str">
        <f t="shared" si="670"/>
        <v/>
      </c>
      <c r="AM130" s="17" t="str">
        <f t="shared" si="671"/>
        <v/>
      </c>
      <c r="AN130" s="15" t="str">
        <f t="shared" si="672"/>
        <v/>
      </c>
      <c r="AO130" s="19" t="str">
        <f t="shared" si="673"/>
        <v/>
      </c>
      <c r="AP130" s="20" t="str">
        <f t="shared" si="674"/>
        <v/>
      </c>
      <c r="AQ130" s="17" t="str">
        <f t="shared" si="612"/>
        <v/>
      </c>
      <c r="AS130" s="412" t="str">
        <f t="shared" si="496"/>
        <v/>
      </c>
      <c r="AT130" s="176" t="str">
        <f t="shared" si="617"/>
        <v/>
      </c>
      <c r="AV130" s="292" t="str">
        <f t="shared" si="497"/>
        <v/>
      </c>
      <c r="AW130" s="712"/>
      <c r="AX130" s="713"/>
      <c r="AY130" s="714"/>
      <c r="AZ130" s="565" t="str">
        <f t="shared" si="498"/>
        <v/>
      </c>
      <c r="BA130" s="566" t="str">
        <f t="shared" si="499"/>
        <v/>
      </c>
      <c r="BB130" s="702" t="str">
        <f t="shared" si="474"/>
        <v/>
      </c>
      <c r="BC130" s="20"/>
      <c r="BD130" s="16" t="str">
        <f t="shared" si="475"/>
        <v/>
      </c>
      <c r="BE130" s="17" t="str">
        <f t="shared" si="476"/>
        <v/>
      </c>
      <c r="BF130" s="15" t="str">
        <f t="shared" si="500"/>
        <v/>
      </c>
      <c r="BG130" s="16" t="str">
        <f t="shared" si="501"/>
        <v/>
      </c>
      <c r="BH130" s="21" t="str">
        <f t="shared" si="502"/>
        <v/>
      </c>
      <c r="BI130" s="20" t="str">
        <f t="shared" si="503"/>
        <v/>
      </c>
      <c r="BJ130" s="16" t="str">
        <f t="shared" si="504"/>
        <v/>
      </c>
      <c r="BK130" s="19" t="str">
        <f t="shared" si="505"/>
        <v/>
      </c>
      <c r="BL130" s="467" t="str">
        <f t="shared" si="506"/>
        <v/>
      </c>
      <c r="BM130" s="16" t="str">
        <f t="shared" si="507"/>
        <v/>
      </c>
      <c r="BN130" s="17" t="str">
        <f t="shared" si="508"/>
        <v/>
      </c>
      <c r="BO130" s="15" t="str">
        <f t="shared" si="509"/>
        <v/>
      </c>
      <c r="BP130" s="16" t="str">
        <f t="shared" si="510"/>
        <v/>
      </c>
      <c r="BQ130" s="16" t="str">
        <f t="shared" si="511"/>
        <v/>
      </c>
      <c r="BR130" s="17" t="str">
        <f t="shared" si="512"/>
        <v/>
      </c>
      <c r="BS130" s="15" t="str">
        <f t="shared" si="675"/>
        <v/>
      </c>
      <c r="BT130" s="16" t="str">
        <f t="shared" si="675"/>
        <v/>
      </c>
      <c r="BU130" s="21" t="str">
        <f t="shared" si="478"/>
        <v/>
      </c>
      <c r="BV130" s="20" t="str">
        <f t="shared" si="479"/>
        <v/>
      </c>
      <c r="BW130" s="16" t="str">
        <f t="shared" si="480"/>
        <v/>
      </c>
      <c r="BX130" s="19" t="str">
        <f t="shared" si="481"/>
        <v/>
      </c>
      <c r="BY130" s="467" t="str">
        <f t="shared" si="482"/>
        <v/>
      </c>
      <c r="BZ130" s="16" t="str">
        <f t="shared" si="483"/>
        <v/>
      </c>
      <c r="CA130" s="17" t="str">
        <f t="shared" si="484"/>
        <v/>
      </c>
      <c r="CB130" s="15" t="str">
        <f t="shared" si="513"/>
        <v/>
      </c>
      <c r="CC130" s="16" t="str">
        <f t="shared" si="514"/>
        <v/>
      </c>
      <c r="CD130" s="16" t="str">
        <f t="shared" si="515"/>
        <v/>
      </c>
      <c r="CE130" s="17" t="str">
        <f t="shared" si="516"/>
        <v/>
      </c>
      <c r="CF130" s="15" t="str">
        <f t="shared" si="517"/>
        <v/>
      </c>
      <c r="CG130" s="16" t="str">
        <f t="shared" si="518"/>
        <v/>
      </c>
      <c r="CH130" s="16" t="str">
        <f t="shared" si="519"/>
        <v/>
      </c>
      <c r="CI130" s="15" t="str">
        <f t="shared" si="485"/>
        <v/>
      </c>
      <c r="CJ130" s="16" t="str">
        <f t="shared" si="486"/>
        <v/>
      </c>
      <c r="CK130" s="19" t="str">
        <f t="shared" si="487"/>
        <v/>
      </c>
      <c r="CL130" s="467" t="str">
        <f t="shared" si="488"/>
        <v/>
      </c>
      <c r="CM130" s="16" t="str">
        <f t="shared" si="489"/>
        <v/>
      </c>
      <c r="CN130" s="17" t="str">
        <f t="shared" si="490"/>
        <v/>
      </c>
      <c r="CO130" s="482" t="str">
        <f t="shared" si="613"/>
        <v/>
      </c>
      <c r="CP130" s="15" t="str">
        <f t="shared" si="520"/>
        <v/>
      </c>
      <c r="CQ130" s="16" t="str">
        <f t="shared" si="521"/>
        <v/>
      </c>
      <c r="CR130" s="16" t="str">
        <f t="shared" si="522"/>
        <v/>
      </c>
      <c r="CS130" s="19" t="str">
        <f t="shared" si="523"/>
        <v/>
      </c>
      <c r="CT130" s="20" t="str">
        <f t="shared" si="524"/>
        <v/>
      </c>
      <c r="CU130" s="17" t="str">
        <f t="shared" si="525"/>
        <v/>
      </c>
      <c r="CV130" s="15" t="str">
        <f t="shared" si="526"/>
        <v/>
      </c>
      <c r="CW130" s="16" t="str">
        <f t="shared" si="527"/>
        <v/>
      </c>
      <c r="CX130" s="19" t="str">
        <f t="shared" si="528"/>
        <v/>
      </c>
      <c r="CY130" s="20" t="str">
        <f t="shared" si="529"/>
        <v/>
      </c>
      <c r="CZ130" s="16" t="str">
        <f t="shared" si="530"/>
        <v/>
      </c>
      <c r="DA130" s="17" t="str">
        <f t="shared" si="531"/>
        <v/>
      </c>
      <c r="DB130" s="15" t="str">
        <f t="shared" si="677"/>
        <v/>
      </c>
      <c r="DC130" s="16" t="str">
        <f t="shared" si="677"/>
        <v/>
      </c>
      <c r="DD130" s="21" t="str">
        <f t="shared" si="533"/>
        <v/>
      </c>
      <c r="DE130" s="20" t="str">
        <f t="shared" si="678"/>
        <v/>
      </c>
      <c r="DF130" s="16" t="str">
        <f t="shared" si="678"/>
        <v/>
      </c>
      <c r="DG130" s="21" t="str">
        <f t="shared" si="535"/>
        <v/>
      </c>
      <c r="DH130" s="471" t="str">
        <f t="shared" si="536"/>
        <v/>
      </c>
      <c r="DI130" s="15" t="str">
        <f t="shared" si="537"/>
        <v/>
      </c>
      <c r="DJ130" s="16" t="str">
        <f t="shared" si="538"/>
        <v/>
      </c>
      <c r="DK130" s="21" t="str">
        <f t="shared" si="539"/>
        <v/>
      </c>
      <c r="DL130" s="20" t="str">
        <f t="shared" si="540"/>
        <v/>
      </c>
      <c r="DM130" s="467" t="str">
        <f t="shared" si="541"/>
        <v/>
      </c>
      <c r="DN130" s="501" t="str">
        <f t="shared" si="542"/>
        <v/>
      </c>
      <c r="DO130" s="20" t="str">
        <f t="shared" si="543"/>
        <v/>
      </c>
      <c r="DP130" s="467" t="str">
        <f t="shared" si="544"/>
        <v/>
      </c>
      <c r="DQ130" s="22" t="str">
        <f t="shared" si="545"/>
        <v/>
      </c>
      <c r="DR130" s="467" t="str">
        <f t="shared" si="546"/>
        <v/>
      </c>
      <c r="DS130" s="16" t="str">
        <f t="shared" si="547"/>
        <v/>
      </c>
      <c r="DT130" s="16" t="str">
        <f t="shared" si="548"/>
        <v/>
      </c>
      <c r="DU130" s="16" t="str">
        <f t="shared" si="549"/>
        <v/>
      </c>
      <c r="DV130" s="16" t="str">
        <f t="shared" si="550"/>
        <v/>
      </c>
      <c r="DW130" s="16" t="str">
        <f t="shared" si="551"/>
        <v/>
      </c>
      <c r="DX130" s="482" t="str">
        <f t="shared" si="552"/>
        <v/>
      </c>
      <c r="DY130" s="20" t="str">
        <f t="shared" si="553"/>
        <v/>
      </c>
      <c r="DZ130" s="16" t="str">
        <f t="shared" si="554"/>
        <v/>
      </c>
      <c r="EA130" s="21" t="str">
        <f t="shared" si="555"/>
        <v/>
      </c>
      <c r="EB130" s="17" t="str">
        <f t="shared" si="556"/>
        <v/>
      </c>
      <c r="EC130" s="467" t="str">
        <f t="shared" si="557"/>
        <v/>
      </c>
      <c r="ED130" s="16" t="str">
        <f t="shared" si="558"/>
        <v/>
      </c>
      <c r="EE130" s="15" t="str">
        <f t="shared" si="559"/>
        <v/>
      </c>
      <c r="EF130" s="16" t="str">
        <f t="shared" si="560"/>
        <v/>
      </c>
      <c r="EG130" s="21" t="str">
        <f t="shared" si="561"/>
        <v/>
      </c>
      <c r="EH130" s="20" t="str">
        <f t="shared" si="562"/>
        <v/>
      </c>
      <c r="EI130" s="16" t="str">
        <f t="shared" si="563"/>
        <v/>
      </c>
      <c r="EJ130" s="17" t="str">
        <f t="shared" si="564"/>
        <v/>
      </c>
      <c r="EK130" s="502" t="str">
        <f t="shared" si="565"/>
        <v/>
      </c>
      <c r="EL130" s="503" t="str">
        <f t="shared" si="566"/>
        <v/>
      </c>
      <c r="EM130" s="15" t="str">
        <f t="shared" si="567"/>
        <v/>
      </c>
      <c r="EN130" s="16" t="str">
        <f t="shared" si="568"/>
        <v/>
      </c>
      <c r="EO130" s="21" t="str">
        <f t="shared" si="569"/>
        <v/>
      </c>
      <c r="EP130" s="20" t="str">
        <f t="shared" si="570"/>
        <v/>
      </c>
      <c r="EQ130" s="16" t="str">
        <f t="shared" si="571"/>
        <v/>
      </c>
      <c r="ER130" s="18" t="str">
        <f t="shared" si="572"/>
        <v/>
      </c>
      <c r="ES130" s="523" t="str">
        <f t="shared" si="573"/>
        <v/>
      </c>
      <c r="ET130" s="524" t="str">
        <f t="shared" si="574"/>
        <v/>
      </c>
      <c r="EU130" s="525" t="str">
        <f t="shared" si="575"/>
        <v/>
      </c>
      <c r="EV130" s="337" t="str">
        <f t="shared" si="620"/>
        <v/>
      </c>
      <c r="EW130" s="526" t="str">
        <f t="shared" si="621"/>
        <v/>
      </c>
      <c r="EX130" s="524" t="str">
        <f t="shared" si="622"/>
        <v/>
      </c>
      <c r="EY130" s="527" t="str">
        <f t="shared" si="576"/>
        <v/>
      </c>
      <c r="EZ130" s="528" t="str">
        <f t="shared" si="577"/>
        <v/>
      </c>
      <c r="FA130" s="529" t="str">
        <f t="shared" si="623"/>
        <v/>
      </c>
      <c r="FB130" s="524" t="str">
        <f t="shared" si="624"/>
        <v/>
      </c>
      <c r="FC130" s="527" t="str">
        <f t="shared" si="625"/>
        <v/>
      </c>
      <c r="FD130" s="538" t="str">
        <f t="shared" si="626"/>
        <v/>
      </c>
      <c r="FE130" s="524" t="str">
        <f t="shared" si="627"/>
        <v/>
      </c>
      <c r="FF130" s="530" t="str">
        <f t="shared" si="578"/>
        <v/>
      </c>
      <c r="FG130" s="328" t="str">
        <f t="shared" si="628"/>
        <v/>
      </c>
      <c r="FH130" s="7" t="str">
        <f t="shared" si="629"/>
        <v/>
      </c>
      <c r="FI130" s="12" t="str">
        <f t="shared" si="630"/>
        <v/>
      </c>
      <c r="FJ130" s="547" t="str">
        <f t="shared" si="579"/>
        <v/>
      </c>
      <c r="FK130" s="6" t="str">
        <f t="shared" si="631"/>
        <v/>
      </c>
      <c r="FL130" s="7" t="str">
        <f t="shared" si="491"/>
        <v/>
      </c>
      <c r="FM130" s="10" t="str">
        <f t="shared" si="492"/>
        <v/>
      </c>
      <c r="FN130" s="11" t="str">
        <f t="shared" si="493"/>
        <v/>
      </c>
      <c r="FO130" s="12" t="str">
        <f t="shared" si="632"/>
        <v/>
      </c>
      <c r="FP130" s="545" t="str">
        <f t="shared" si="494"/>
        <v/>
      </c>
      <c r="FQ130" s="328" t="str">
        <f t="shared" si="580"/>
        <v/>
      </c>
      <c r="FR130" s="12" t="str">
        <f t="shared" si="581"/>
        <v/>
      </c>
      <c r="FS130" s="11" t="str">
        <f t="shared" si="582"/>
        <v/>
      </c>
      <c r="FT130" s="8" t="str">
        <f t="shared" si="583"/>
        <v/>
      </c>
      <c r="FU130" s="6" t="str">
        <f t="shared" si="584"/>
        <v/>
      </c>
      <c r="FV130" s="7" t="str">
        <f t="shared" si="585"/>
        <v/>
      </c>
      <c r="FW130" s="10" t="str">
        <f t="shared" si="586"/>
        <v/>
      </c>
      <c r="FX130" s="11" t="str">
        <f t="shared" si="587"/>
        <v/>
      </c>
      <c r="FY130" s="12" t="str">
        <f t="shared" si="633"/>
        <v/>
      </c>
      <c r="FZ130" s="545" t="str">
        <f t="shared" si="588"/>
        <v/>
      </c>
      <c r="GA130" s="372" t="str">
        <f t="shared" si="589"/>
        <v/>
      </c>
      <c r="GB130" s="46" t="str">
        <f t="shared" si="590"/>
        <v/>
      </c>
      <c r="GC130" s="47" t="str">
        <f t="shared" si="591"/>
        <v/>
      </c>
      <c r="GD130" s="578" t="str">
        <f t="shared" si="592"/>
        <v/>
      </c>
      <c r="GE130" s="585" t="str">
        <f t="shared" si="593"/>
        <v/>
      </c>
      <c r="GF130" s="634" t="str">
        <f t="shared" si="594"/>
        <v/>
      </c>
      <c r="GG130" s="575" t="str">
        <f t="shared" si="634"/>
        <v/>
      </c>
      <c r="GH130" s="576" t="str">
        <f t="shared" si="635"/>
        <v/>
      </c>
      <c r="GI130" s="577" t="str">
        <f t="shared" si="636"/>
        <v/>
      </c>
      <c r="GJ130" s="296" t="str">
        <f t="shared" si="595"/>
        <v/>
      </c>
      <c r="GK130" s="337" t="str">
        <f t="shared" si="637"/>
        <v/>
      </c>
      <c r="GL130" s="337" t="str">
        <f t="shared" si="596"/>
        <v/>
      </c>
      <c r="GM130" s="372" t="str">
        <f t="shared" si="597"/>
        <v/>
      </c>
      <c r="GN130" s="548" t="str">
        <f t="shared" si="598"/>
        <v/>
      </c>
      <c r="GO130" s="6" t="str">
        <f t="shared" si="599"/>
        <v/>
      </c>
      <c r="GP130" s="10" t="str">
        <f t="shared" si="600"/>
        <v/>
      </c>
      <c r="GQ130" s="372" t="str">
        <f t="shared" si="601"/>
        <v/>
      </c>
      <c r="GR130" s="697" t="str">
        <f t="shared" si="602"/>
        <v/>
      </c>
      <c r="GS130" s="637" t="str">
        <f t="shared" si="638"/>
        <v/>
      </c>
      <c r="GT130" s="638" t="str">
        <f t="shared" si="639"/>
        <v/>
      </c>
      <c r="GU130" s="639" t="str">
        <f t="shared" si="640"/>
        <v/>
      </c>
      <c r="GV130" s="638" t="str">
        <f t="shared" si="603"/>
        <v/>
      </c>
      <c r="GW130" s="640" t="str">
        <f t="shared" si="641"/>
        <v/>
      </c>
      <c r="GX130" s="641" t="str">
        <f t="shared" si="642"/>
        <v/>
      </c>
      <c r="GY130" s="639" t="str">
        <f t="shared" si="643"/>
        <v/>
      </c>
      <c r="GZ130" s="640" t="str">
        <f t="shared" si="644"/>
        <v/>
      </c>
      <c r="HA130" s="637" t="str">
        <f t="shared" si="645"/>
        <v/>
      </c>
      <c r="HB130" s="7" t="str">
        <f t="shared" si="604"/>
        <v/>
      </c>
      <c r="HC130" s="638" t="str">
        <f t="shared" si="605"/>
        <v/>
      </c>
      <c r="HD130" s="682" t="str">
        <f t="shared" si="606"/>
        <v/>
      </c>
      <c r="HE130" s="639" t="str">
        <f t="shared" si="646"/>
        <v/>
      </c>
      <c r="HF130" s="7" t="str">
        <f t="shared" si="647"/>
        <v/>
      </c>
      <c r="HG130" s="638" t="str">
        <f t="shared" si="607"/>
        <v/>
      </c>
      <c r="HH130" s="644" t="str">
        <f t="shared" si="608"/>
        <v/>
      </c>
      <c r="HI130" s="596" t="str">
        <f t="shared" si="609"/>
        <v/>
      </c>
      <c r="HK130" s="584" t="str">
        <f t="shared" si="619"/>
        <v/>
      </c>
      <c r="HL130" s="583" t="str">
        <f t="shared" si="676"/>
        <v/>
      </c>
      <c r="HM130" s="643" t="str">
        <f t="shared" si="680"/>
        <v/>
      </c>
      <c r="HN130" s="660" t="str">
        <f t="shared" si="680"/>
        <v/>
      </c>
      <c r="HO130" s="661" t="str">
        <f t="shared" si="680"/>
        <v/>
      </c>
      <c r="HP130" s="656" t="str">
        <f t="shared" si="680"/>
        <v/>
      </c>
      <c r="HQ130" s="660" t="str">
        <f t="shared" si="680"/>
        <v/>
      </c>
      <c r="HR130" s="671" t="str">
        <f t="shared" si="680"/>
        <v/>
      </c>
      <c r="HS130" s="655" t="str">
        <f t="shared" si="680"/>
        <v/>
      </c>
      <c r="HT130" s="648" t="str">
        <f t="shared" si="680"/>
        <v/>
      </c>
      <c r="HU130" s="649" t="str">
        <f t="shared" si="680"/>
        <v/>
      </c>
      <c r="HV130" s="650" t="str">
        <f t="shared" si="680"/>
        <v/>
      </c>
      <c r="HW130" s="648" t="str">
        <f t="shared" si="680"/>
        <v/>
      </c>
      <c r="HX130" s="649" t="str">
        <f t="shared" si="680"/>
        <v/>
      </c>
      <c r="HY130" s="650" t="str">
        <f t="shared" si="680"/>
        <v/>
      </c>
      <c r="HZ130" s="648" t="str">
        <f t="shared" si="680"/>
        <v/>
      </c>
      <c r="IA130" s="649" t="str">
        <f t="shared" si="680"/>
        <v/>
      </c>
      <c r="IB130" s="716"/>
    </row>
    <row r="131" spans="2:236" x14ac:dyDescent="0.25">
      <c r="AZ131" s="441">
        <f>SUM(AZ9:AZ130)</f>
        <v>12.100350383352076</v>
      </c>
      <c r="BA131" s="556">
        <f>SUM(BA9:BA130)</f>
        <v>1.0000000000000002</v>
      </c>
      <c r="BB131" s="443"/>
    </row>
    <row r="132" spans="2:236" x14ac:dyDescent="0.25">
      <c r="F132" s="35"/>
      <c r="G132" s="35"/>
      <c r="H132" s="171"/>
      <c r="M132" s="472" t="s">
        <v>114</v>
      </c>
      <c r="N132" s="474">
        <v>0</v>
      </c>
    </row>
    <row r="133" spans="2:236" x14ac:dyDescent="0.25">
      <c r="E133" s="35"/>
      <c r="F133" s="35"/>
      <c r="G133" s="35"/>
      <c r="H133" s="171"/>
      <c r="M133" s="472" t="s">
        <v>115</v>
      </c>
      <c r="N133" s="474">
        <v>0.01</v>
      </c>
    </row>
    <row r="134" spans="2:236" x14ac:dyDescent="0.25">
      <c r="E134" s="295">
        <f t="shared" ref="E134:G153" si="681">E9*-1</f>
        <v>0.93969263802333458</v>
      </c>
      <c r="F134" s="295">
        <f t="shared" si="681"/>
        <v>8.852130215629557E-2</v>
      </c>
      <c r="G134" s="295">
        <f t="shared" si="681"/>
        <v>-0.33036604714967344</v>
      </c>
      <c r="H134" s="294"/>
      <c r="I134" s="201"/>
      <c r="J134" s="194">
        <f t="shared" ref="J134:J165" si="682">J9</f>
        <v>1.101</v>
      </c>
    </row>
    <row r="135" spans="2:236" x14ac:dyDescent="0.25">
      <c r="E135" s="295">
        <f t="shared" si="681"/>
        <v>0.96592583607220739</v>
      </c>
      <c r="F135" s="295">
        <f t="shared" si="681"/>
        <v>6.6987279208207184E-2</v>
      </c>
      <c r="G135" s="295">
        <f t="shared" si="681"/>
        <v>-0.24999996726497564</v>
      </c>
      <c r="H135" s="294"/>
      <c r="I135" s="201"/>
      <c r="J135" s="194">
        <f t="shared" si="682"/>
        <v>1.1040000000000001</v>
      </c>
      <c r="M135" s="472" t="s">
        <v>197</v>
      </c>
      <c r="N135" s="473" t="s">
        <v>196</v>
      </c>
      <c r="O135" s="473" t="s">
        <v>114</v>
      </c>
      <c r="P135" s="473" t="s">
        <v>115</v>
      </c>
    </row>
    <row r="136" spans="2:236" x14ac:dyDescent="0.25">
      <c r="B136" s="172"/>
      <c r="C136" s="172"/>
      <c r="D136" s="172"/>
      <c r="E136" s="295">
        <f t="shared" si="681"/>
        <v>0.96592583607220739</v>
      </c>
      <c r="F136" s="295">
        <f t="shared" si="681"/>
        <v>5.0271535051510788E-2</v>
      </c>
      <c r="G136" s="295">
        <f t="shared" si="681"/>
        <v>-0.2538898421988795</v>
      </c>
      <c r="H136" s="294"/>
      <c r="I136" s="201"/>
      <c r="J136" s="194">
        <f t="shared" si="682"/>
        <v>1.107</v>
      </c>
      <c r="M136" s="472" t="s">
        <v>188</v>
      </c>
      <c r="N136" s="452">
        <v>0.433</v>
      </c>
      <c r="O136" s="347">
        <f>N136+$N$132</f>
        <v>0.433</v>
      </c>
      <c r="P136" s="347">
        <f>N136+$N$133</f>
        <v>0.443</v>
      </c>
    </row>
    <row r="137" spans="2:236" x14ac:dyDescent="0.25">
      <c r="E137" s="295">
        <f t="shared" si="681"/>
        <v>0.96115222939803513</v>
      </c>
      <c r="F137" s="295">
        <f t="shared" si="681"/>
        <v>-0.12713249436304336</v>
      </c>
      <c r="G137" s="295">
        <f t="shared" si="681"/>
        <v>-0.24499738937429033</v>
      </c>
      <c r="H137" s="294"/>
      <c r="I137" s="201"/>
      <c r="J137" s="194">
        <f t="shared" si="682"/>
        <v>1.1120000000000001</v>
      </c>
      <c r="M137" s="472" t="s">
        <v>189</v>
      </c>
      <c r="N137" s="452">
        <v>0.48099999999999998</v>
      </c>
      <c r="O137" s="347">
        <f t="shared" ref="O137:O143" si="683">N137+$N$132</f>
        <v>0.48099999999999998</v>
      </c>
      <c r="P137" s="347">
        <f t="shared" ref="P137:P143" si="684">N137+$N$133</f>
        <v>0.49099999999999999</v>
      </c>
      <c r="S137" s="172"/>
      <c r="AB137" s="172"/>
      <c r="AC137" s="172"/>
      <c r="AD137" s="172"/>
      <c r="AE137" s="172"/>
      <c r="AF137" s="172"/>
      <c r="AG137" s="172"/>
      <c r="AH137" s="172"/>
      <c r="AI137" s="172"/>
      <c r="AJ137" s="172"/>
    </row>
    <row r="138" spans="2:236" x14ac:dyDescent="0.25">
      <c r="E138" s="295">
        <f t="shared" si="681"/>
        <v>0.93431531721094707</v>
      </c>
      <c r="F138" s="295">
        <f t="shared" si="681"/>
        <v>-0.29514909530410416</v>
      </c>
      <c r="G138" s="295">
        <f t="shared" si="681"/>
        <v>-0.1998546961324057</v>
      </c>
      <c r="H138" s="294"/>
      <c r="I138" s="201"/>
      <c r="J138" s="194">
        <f t="shared" si="682"/>
        <v>1.1180000000000001</v>
      </c>
      <c r="M138" s="472" t="s">
        <v>190</v>
      </c>
      <c r="N138" s="452">
        <v>0.52900000000000003</v>
      </c>
      <c r="O138" s="347">
        <f t="shared" si="683"/>
        <v>0.52900000000000003</v>
      </c>
      <c r="P138" s="347">
        <f t="shared" si="684"/>
        <v>0.53900000000000003</v>
      </c>
      <c r="S138" s="172"/>
      <c r="AB138" s="172"/>
      <c r="AC138" s="172"/>
      <c r="AD138" s="172"/>
      <c r="AE138" s="172"/>
      <c r="AF138" s="172"/>
      <c r="AG138" s="172"/>
      <c r="AH138" s="172"/>
      <c r="AI138" s="172"/>
      <c r="AJ138" s="172"/>
    </row>
    <row r="139" spans="2:236" x14ac:dyDescent="0.25">
      <c r="E139" s="295">
        <f t="shared" si="681"/>
        <v>0.88476121279145259</v>
      </c>
      <c r="F139" s="295">
        <f t="shared" si="681"/>
        <v>-0.45069575733765771</v>
      </c>
      <c r="G139" s="295">
        <f t="shared" si="681"/>
        <v>-0.11862095370394438</v>
      </c>
      <c r="H139" s="294"/>
      <c r="I139" s="201"/>
      <c r="J139" s="194">
        <f t="shared" si="682"/>
        <v>1.1240000000000001</v>
      </c>
      <c r="M139" s="472" t="s">
        <v>191</v>
      </c>
      <c r="N139" s="452">
        <v>0.57699999999999996</v>
      </c>
      <c r="O139" s="347">
        <f t="shared" si="683"/>
        <v>0.57699999999999996</v>
      </c>
      <c r="P139" s="347">
        <f t="shared" si="684"/>
        <v>0.58699999999999997</v>
      </c>
      <c r="AB139" s="172"/>
      <c r="AC139" s="172"/>
      <c r="AD139" s="172"/>
      <c r="AE139" s="172"/>
      <c r="AF139" s="172"/>
      <c r="AG139" s="172"/>
      <c r="AH139" s="172"/>
      <c r="AI139" s="172"/>
      <c r="AJ139" s="172"/>
    </row>
    <row r="140" spans="2:236" x14ac:dyDescent="0.25">
      <c r="E140" s="295">
        <f t="shared" si="681"/>
        <v>0.84278140031771642</v>
      </c>
      <c r="F140" s="295">
        <f t="shared" si="681"/>
        <v>-0.53825599047153783</v>
      </c>
      <c r="G140" s="295">
        <f t="shared" si="681"/>
        <v>-1.1339743348047648E-7</v>
      </c>
      <c r="H140" s="294"/>
      <c r="I140" s="201"/>
      <c r="J140" s="194">
        <f t="shared" si="682"/>
        <v>1.1299999999999999</v>
      </c>
      <c r="M140" s="472" t="s">
        <v>192</v>
      </c>
      <c r="N140" s="452">
        <v>0.625</v>
      </c>
      <c r="O140" s="347">
        <f t="shared" si="683"/>
        <v>0.625</v>
      </c>
      <c r="P140" s="347">
        <f t="shared" si="684"/>
        <v>0.63500000000000001</v>
      </c>
      <c r="AB140" s="172"/>
      <c r="AC140" s="172"/>
      <c r="AD140" s="172"/>
      <c r="AE140" s="172"/>
      <c r="AF140" s="172"/>
      <c r="AG140" s="172"/>
      <c r="AH140" s="172"/>
      <c r="AI140" s="172"/>
      <c r="AJ140" s="172"/>
    </row>
    <row r="141" spans="2:236" x14ac:dyDescent="0.25">
      <c r="E141" s="295">
        <f t="shared" si="681"/>
        <v>0.83436064895461359</v>
      </c>
      <c r="F141" s="295">
        <f t="shared" si="681"/>
        <v>-0.44852539122902285</v>
      </c>
      <c r="G141" s="295">
        <f t="shared" si="681"/>
        <v>-0.32041735424113377</v>
      </c>
      <c r="H141" s="294"/>
      <c r="I141" s="201"/>
      <c r="J141" s="194">
        <f t="shared" si="682"/>
        <v>1.212</v>
      </c>
      <c r="M141" s="472" t="s">
        <v>193</v>
      </c>
      <c r="N141" s="452">
        <v>0.66500000000000004</v>
      </c>
      <c r="O141" s="347">
        <f t="shared" si="683"/>
        <v>0.66500000000000004</v>
      </c>
      <c r="P141" s="347">
        <f t="shared" si="684"/>
        <v>0.67500000000000004</v>
      </c>
      <c r="AB141" s="172"/>
      <c r="AC141" s="172"/>
      <c r="AD141" s="172"/>
      <c r="AE141" s="172"/>
      <c r="AF141" s="172"/>
      <c r="AG141" s="172"/>
      <c r="AH141" s="172"/>
      <c r="AI141" s="172"/>
      <c r="AJ141" s="172"/>
    </row>
    <row r="142" spans="2:236" x14ac:dyDescent="0.25">
      <c r="E142" s="295">
        <f t="shared" si="681"/>
        <v>0.76658652147053274</v>
      </c>
      <c r="F142" s="295">
        <f t="shared" si="681"/>
        <v>-0.59200780553881116</v>
      </c>
      <c r="G142" s="295">
        <f t="shared" si="681"/>
        <v>-0.24874055415398127</v>
      </c>
      <c r="H142" s="294"/>
      <c r="I142" s="201"/>
      <c r="J142" s="194">
        <f t="shared" si="682"/>
        <v>1.218</v>
      </c>
      <c r="M142" s="472" t="s">
        <v>194</v>
      </c>
      <c r="N142" s="452">
        <v>0.70799999999999996</v>
      </c>
      <c r="O142" s="347">
        <f t="shared" si="683"/>
        <v>0.70799999999999996</v>
      </c>
      <c r="P142" s="347">
        <f t="shared" si="684"/>
        <v>0.71799999999999997</v>
      </c>
      <c r="AB142" s="172"/>
      <c r="AC142" s="172"/>
      <c r="AD142" s="172"/>
      <c r="AE142" s="172"/>
      <c r="AF142" s="172"/>
      <c r="AG142" s="172"/>
      <c r="AH142" s="172"/>
      <c r="AI142" s="172"/>
      <c r="AJ142" s="172"/>
    </row>
    <row r="143" spans="2:236" x14ac:dyDescent="0.25">
      <c r="E143" s="295">
        <f t="shared" si="681"/>
        <v>-0.28325273916114929</v>
      </c>
      <c r="F143" s="295">
        <f t="shared" si="681"/>
        <v>-0.75340678371732617</v>
      </c>
      <c r="G143" s="295">
        <f t="shared" si="681"/>
        <v>-0.59341899531984998</v>
      </c>
      <c r="H143" s="294"/>
      <c r="I143" s="201"/>
      <c r="J143" s="194">
        <f t="shared" si="682"/>
        <v>1.224</v>
      </c>
      <c r="M143" s="472" t="s">
        <v>195</v>
      </c>
      <c r="N143" s="452">
        <v>0.75</v>
      </c>
      <c r="O143" s="347">
        <f t="shared" si="683"/>
        <v>0.75</v>
      </c>
      <c r="P143" s="347">
        <f t="shared" si="684"/>
        <v>0.76</v>
      </c>
      <c r="AB143" s="172"/>
      <c r="AC143" s="172"/>
      <c r="AD143" s="172"/>
      <c r="AE143" s="172"/>
      <c r="AF143" s="172"/>
      <c r="AG143" s="172"/>
      <c r="AH143" s="172"/>
      <c r="AI143" s="172"/>
      <c r="AJ143" s="172"/>
    </row>
    <row r="144" spans="2:236" x14ac:dyDescent="0.25">
      <c r="E144" s="295">
        <f t="shared" si="681"/>
        <v>-0.3599900336721219</v>
      </c>
      <c r="F144" s="295">
        <f t="shared" si="681"/>
        <v>-0.93295614883910449</v>
      </c>
      <c r="G144" s="295">
        <f t="shared" si="681"/>
        <v>-2.2679489633423987E-7</v>
      </c>
      <c r="H144" s="201"/>
      <c r="I144" s="201"/>
      <c r="J144" s="194">
        <f t="shared" si="682"/>
        <v>1.23</v>
      </c>
      <c r="AB144" s="172"/>
      <c r="AC144" s="172"/>
      <c r="AD144" s="172"/>
      <c r="AE144" s="172"/>
      <c r="AF144" s="172"/>
      <c r="AG144" s="172"/>
      <c r="AH144" s="172"/>
      <c r="AI144" s="172"/>
      <c r="AJ144" s="172"/>
    </row>
    <row r="145" spans="5:36" x14ac:dyDescent="0.25">
      <c r="E145" s="295">
        <f t="shared" si="681"/>
        <v>0.45733358446225986</v>
      </c>
      <c r="F145" s="295">
        <f t="shared" si="681"/>
        <v>-0.8525782579904051</v>
      </c>
      <c r="G145" s="295">
        <f t="shared" si="681"/>
        <v>-0.25289584125672615</v>
      </c>
      <c r="H145" s="201"/>
      <c r="I145" s="201"/>
      <c r="J145" s="194">
        <f t="shared" si="682"/>
        <v>2.1110000000000002</v>
      </c>
      <c r="AB145" s="172"/>
      <c r="AC145" s="172"/>
      <c r="AD145" s="172"/>
      <c r="AE145" s="172"/>
      <c r="AF145" s="172"/>
      <c r="AG145" s="172"/>
      <c r="AH145" s="172"/>
      <c r="AI145" s="172"/>
      <c r="AJ145" s="172"/>
    </row>
    <row r="146" spans="5:36" x14ac:dyDescent="0.25">
      <c r="E146" s="295">
        <f t="shared" si="681"/>
        <v>0.30634558908872239</v>
      </c>
      <c r="F146" s="295">
        <f t="shared" si="681"/>
        <v>-0.92949528969156847</v>
      </c>
      <c r="G146" s="295">
        <f t="shared" si="681"/>
        <v>-0.20540420270060433</v>
      </c>
      <c r="H146" s="201"/>
      <c r="I146" s="201"/>
      <c r="J146" s="194">
        <f t="shared" si="682"/>
        <v>2.117</v>
      </c>
      <c r="AB146" s="172"/>
      <c r="AC146" s="172"/>
      <c r="AD146" s="172"/>
      <c r="AE146" s="172"/>
      <c r="AF146" s="172"/>
      <c r="AG146" s="172"/>
      <c r="AH146" s="172"/>
      <c r="AI146" s="172"/>
      <c r="AJ146" s="172"/>
    </row>
    <row r="147" spans="5:36" x14ac:dyDescent="0.25">
      <c r="E147" s="295">
        <f t="shared" si="681"/>
        <v>0.14428291619969241</v>
      </c>
      <c r="F147" s="295">
        <f t="shared" si="681"/>
        <v>-0.98001765418559605</v>
      </c>
      <c r="G147" s="295">
        <f t="shared" si="681"/>
        <v>-0.13692274309797486</v>
      </c>
      <c r="H147" s="294"/>
      <c r="I147" s="201"/>
      <c r="J147" s="194">
        <f t="shared" si="682"/>
        <v>2.1230000000000002</v>
      </c>
      <c r="AB147" s="172"/>
      <c r="AC147" s="172"/>
      <c r="AD147" s="172"/>
      <c r="AE147" s="172"/>
      <c r="AF147" s="172"/>
      <c r="AG147" s="172"/>
      <c r="AH147" s="172"/>
      <c r="AI147" s="172"/>
      <c r="AJ147" s="172"/>
    </row>
    <row r="148" spans="5:36" x14ac:dyDescent="0.25">
      <c r="E148" s="295">
        <f t="shared" si="681"/>
        <v>2.5042172658557578E-2</v>
      </c>
      <c r="F148" s="295">
        <f t="shared" si="681"/>
        <v>-0.99968639562040962</v>
      </c>
      <c r="G148" s="295">
        <f t="shared" si="681"/>
        <v>-1.1339743353153852E-7</v>
      </c>
      <c r="H148" s="294"/>
      <c r="I148" s="201"/>
      <c r="J148" s="194">
        <f t="shared" si="682"/>
        <v>2.129</v>
      </c>
      <c r="AB148" s="172"/>
      <c r="AC148" s="172"/>
      <c r="AD148" s="172"/>
      <c r="AE148" s="172"/>
      <c r="AF148" s="172"/>
      <c r="AG148" s="172"/>
      <c r="AH148" s="172"/>
      <c r="AI148" s="172"/>
      <c r="AJ148" s="172"/>
    </row>
    <row r="149" spans="5:36" x14ac:dyDescent="0.25">
      <c r="E149" s="295">
        <f t="shared" si="681"/>
        <v>-0.44217708332380584</v>
      </c>
      <c r="F149" s="295">
        <f t="shared" si="681"/>
        <v>-9.5794250726952218E-2</v>
      </c>
      <c r="G149" s="295">
        <f t="shared" si="681"/>
        <v>-0.89179756027414314</v>
      </c>
      <c r="H149" s="294"/>
      <c r="I149" s="201"/>
      <c r="J149" s="194">
        <f t="shared" si="682"/>
        <v>2.2170000000000001</v>
      </c>
      <c r="AB149" s="172"/>
      <c r="AC149" s="172"/>
      <c r="AD149" s="172"/>
      <c r="AE149" s="172"/>
      <c r="AF149" s="172"/>
      <c r="AG149" s="172"/>
      <c r="AH149" s="172"/>
      <c r="AI149" s="172"/>
      <c r="AJ149" s="172"/>
    </row>
    <row r="150" spans="5:36" x14ac:dyDescent="0.25">
      <c r="E150" s="295">
        <f t="shared" si="681"/>
        <v>-0.74331137929035318</v>
      </c>
      <c r="F150" s="295">
        <f t="shared" si="681"/>
        <v>-0.17570555779419236</v>
      </c>
      <c r="G150" s="295">
        <f t="shared" si="681"/>
        <v>-0.6454577835751184</v>
      </c>
      <c r="H150" s="294"/>
      <c r="I150" s="201"/>
      <c r="J150" s="194">
        <f t="shared" si="682"/>
        <v>2.2229999999999999</v>
      </c>
      <c r="AB150" s="172"/>
      <c r="AC150" s="172"/>
      <c r="AD150" s="172"/>
      <c r="AE150" s="172"/>
      <c r="AF150" s="172"/>
      <c r="AG150" s="172"/>
      <c r="AH150" s="172"/>
      <c r="AI150" s="172"/>
      <c r="AJ150" s="172"/>
    </row>
    <row r="151" spans="5:36" x14ac:dyDescent="0.25">
      <c r="E151" s="295">
        <f t="shared" si="681"/>
        <v>-0.97475974411225386</v>
      </c>
      <c r="F151" s="295">
        <f t="shared" si="681"/>
        <v>-0.22325644729360483</v>
      </c>
      <c r="G151" s="295">
        <f t="shared" si="681"/>
        <v>-2.2679489701100133E-7</v>
      </c>
      <c r="H151" s="201"/>
      <c r="I151" s="201"/>
      <c r="J151" s="194">
        <f t="shared" si="682"/>
        <v>2.2290000000000001</v>
      </c>
      <c r="AB151" s="172"/>
      <c r="AC151" s="172"/>
      <c r="AD151" s="172"/>
      <c r="AE151" s="172"/>
      <c r="AF151" s="172"/>
      <c r="AG151" s="172"/>
      <c r="AH151" s="172"/>
      <c r="AI151" s="172"/>
      <c r="AJ151" s="172"/>
    </row>
    <row r="152" spans="5:36" x14ac:dyDescent="0.25">
      <c r="E152" s="295">
        <f t="shared" si="681"/>
        <v>-0.42495075868149662</v>
      </c>
      <c r="F152" s="295">
        <f t="shared" si="681"/>
        <v>-0.87000969481008184</v>
      </c>
      <c r="G152" s="295">
        <f t="shared" si="681"/>
        <v>-0.2499999672649757</v>
      </c>
      <c r="H152" s="201"/>
      <c r="I152" s="201"/>
      <c r="J152" s="194">
        <f t="shared" si="682"/>
        <v>3.1030000000000002</v>
      </c>
      <c r="AB152" s="172"/>
      <c r="AC152" s="172"/>
      <c r="AD152" s="172"/>
      <c r="AE152" s="172"/>
      <c r="AF152" s="172"/>
      <c r="AG152" s="172"/>
      <c r="AH152" s="172"/>
      <c r="AI152" s="172"/>
      <c r="AJ152" s="172"/>
    </row>
    <row r="153" spans="5:36" x14ac:dyDescent="0.25">
      <c r="E153" s="295">
        <f t="shared" si="681"/>
        <v>-0.42495075868149673</v>
      </c>
      <c r="F153" s="295">
        <f t="shared" si="681"/>
        <v>-0.87000969481008172</v>
      </c>
      <c r="G153" s="295">
        <f t="shared" si="681"/>
        <v>-0.2499999672649757</v>
      </c>
      <c r="H153" s="201"/>
      <c r="I153" s="201"/>
      <c r="J153" s="194">
        <f t="shared" si="682"/>
        <v>3.1059999999999999</v>
      </c>
      <c r="AB153" s="172"/>
      <c r="AC153" s="172"/>
      <c r="AD153" s="172"/>
      <c r="AE153" s="172"/>
      <c r="AF153" s="172"/>
      <c r="AG153" s="172"/>
      <c r="AH153" s="172"/>
      <c r="AI153" s="172"/>
      <c r="AJ153" s="172"/>
    </row>
    <row r="154" spans="5:36" x14ac:dyDescent="0.25">
      <c r="E154" s="295">
        <f t="shared" ref="E154:G173" si="685">E29*-1</f>
        <v>-0.54072642560476181</v>
      </c>
      <c r="F154" s="295">
        <f t="shared" si="685"/>
        <v>-0.80059624759117443</v>
      </c>
      <c r="G154" s="295">
        <f t="shared" si="685"/>
        <v>-0.25818710462691369</v>
      </c>
      <c r="H154" s="294"/>
      <c r="I154" s="201"/>
      <c r="J154" s="194">
        <f t="shared" si="682"/>
        <v>3.11</v>
      </c>
      <c r="AB154" s="172"/>
      <c r="AC154" s="172"/>
      <c r="AD154" s="172"/>
      <c r="AE154" s="172"/>
      <c r="AF154" s="172"/>
      <c r="AG154" s="172"/>
      <c r="AH154" s="172"/>
      <c r="AI154" s="172"/>
      <c r="AJ154" s="172"/>
    </row>
    <row r="155" spans="5:36" x14ac:dyDescent="0.25">
      <c r="E155" s="295">
        <f t="shared" si="685"/>
        <v>-0.67904308753029707</v>
      </c>
      <c r="F155" s="295">
        <f t="shared" si="685"/>
        <v>-0.70389054562942599</v>
      </c>
      <c r="G155" s="295">
        <f t="shared" si="685"/>
        <v>-0.20841925307137604</v>
      </c>
      <c r="H155" s="294"/>
      <c r="I155" s="201"/>
      <c r="J155" s="194">
        <f t="shared" si="682"/>
        <v>3.1160000000000001</v>
      </c>
      <c r="AB155" s="172"/>
      <c r="AC155" s="172"/>
      <c r="AD155" s="172"/>
      <c r="AE155" s="172"/>
      <c r="AF155" s="172"/>
      <c r="AG155" s="172"/>
      <c r="AH155" s="172"/>
      <c r="AI155" s="172"/>
      <c r="AJ155" s="172"/>
    </row>
    <row r="156" spans="5:36" x14ac:dyDescent="0.25">
      <c r="E156" s="295">
        <f t="shared" si="685"/>
        <v>-0.80096711722681257</v>
      </c>
      <c r="F156" s="295">
        <f t="shared" si="685"/>
        <v>-0.57866545935251423</v>
      </c>
      <c r="G156" s="295">
        <f t="shared" si="685"/>
        <v>-0.1536162858349121</v>
      </c>
      <c r="H156" s="294"/>
      <c r="I156" s="201"/>
      <c r="J156" s="194">
        <f t="shared" si="682"/>
        <v>3.1219999999999999</v>
      </c>
      <c r="AB156" s="172"/>
      <c r="AC156" s="172"/>
      <c r="AD156" s="172"/>
      <c r="AE156" s="172"/>
      <c r="AF156" s="172"/>
      <c r="AG156" s="172"/>
      <c r="AH156" s="172"/>
      <c r="AI156" s="172"/>
      <c r="AJ156" s="172"/>
    </row>
    <row r="157" spans="5:36" x14ac:dyDescent="0.25">
      <c r="E157" s="295">
        <f t="shared" si="685"/>
        <v>-0.88753434029675882</v>
      </c>
      <c r="F157" s="295">
        <f t="shared" si="685"/>
        <v>-0.46074157050778952</v>
      </c>
      <c r="G157" s="295">
        <f t="shared" si="685"/>
        <v>-1.1339743404472288E-7</v>
      </c>
      <c r="H157" s="294"/>
      <c r="I157" s="201"/>
      <c r="J157" s="194">
        <f t="shared" si="682"/>
        <v>3.1280000000000001</v>
      </c>
      <c r="AB157" s="172"/>
      <c r="AC157" s="172"/>
      <c r="AD157" s="172"/>
      <c r="AE157" s="172"/>
      <c r="AF157" s="172"/>
      <c r="AG157" s="172"/>
      <c r="AH157" s="172"/>
      <c r="AI157" s="172"/>
      <c r="AJ157" s="172"/>
    </row>
    <row r="158" spans="5:36" x14ac:dyDescent="0.25">
      <c r="E158" s="295">
        <f t="shared" si="685"/>
        <v>-0.74818930669042416</v>
      </c>
      <c r="F158" s="295">
        <f t="shared" si="685"/>
        <v>-0.57023965739964944</v>
      </c>
      <c r="G158" s="295">
        <f t="shared" si="685"/>
        <v>-0.33917472559557421</v>
      </c>
      <c r="H158" s="294"/>
      <c r="I158" s="201"/>
      <c r="J158" s="194">
        <f t="shared" si="682"/>
        <v>3.21</v>
      </c>
      <c r="AB158" s="172"/>
      <c r="AC158" s="172"/>
      <c r="AD158" s="172"/>
      <c r="AE158" s="172"/>
      <c r="AF158" s="172"/>
      <c r="AG158" s="172"/>
      <c r="AH158" s="172"/>
      <c r="AI158" s="172"/>
      <c r="AJ158" s="172"/>
    </row>
    <row r="159" spans="5:36" x14ac:dyDescent="0.25">
      <c r="E159" s="295">
        <f t="shared" si="685"/>
        <v>-0.87138991561834622</v>
      </c>
      <c r="F159" s="295">
        <f t="shared" si="685"/>
        <v>-0.41199987442480035</v>
      </c>
      <c r="G159" s="295">
        <f t="shared" si="685"/>
        <v>-0.26633760236324189</v>
      </c>
      <c r="H159" s="294"/>
      <c r="I159" s="201"/>
      <c r="J159" s="194">
        <f t="shared" si="682"/>
        <v>3.2160000000000002</v>
      </c>
      <c r="AB159" s="172"/>
      <c r="AC159" s="172"/>
      <c r="AD159" s="172"/>
      <c r="AE159" s="172"/>
      <c r="AF159" s="172"/>
      <c r="AG159" s="172"/>
      <c r="AH159" s="172"/>
      <c r="AI159" s="172"/>
      <c r="AJ159" s="172"/>
    </row>
    <row r="160" spans="5:36" x14ac:dyDescent="0.25">
      <c r="E160" s="295">
        <f t="shared" si="685"/>
        <v>-0.45431179937053406</v>
      </c>
      <c r="F160" s="295">
        <f t="shared" si="685"/>
        <v>0.5577189448613028</v>
      </c>
      <c r="G160" s="295">
        <f t="shared" si="685"/>
        <v>-0.69465845384296798</v>
      </c>
      <c r="H160" s="294"/>
      <c r="I160" s="201"/>
      <c r="J160" s="194">
        <f t="shared" si="682"/>
        <v>3.222</v>
      </c>
      <c r="AB160" s="172"/>
      <c r="AC160" s="172"/>
      <c r="AD160" s="172"/>
      <c r="AE160" s="172"/>
      <c r="AF160" s="172"/>
      <c r="AG160" s="172"/>
      <c r="AH160" s="172"/>
      <c r="AI160" s="172"/>
      <c r="AJ160" s="172"/>
    </row>
    <row r="161" spans="5:36" x14ac:dyDescent="0.25">
      <c r="E161" s="295">
        <f t="shared" si="685"/>
        <v>-0.62796823800727708</v>
      </c>
      <c r="F161" s="295">
        <f t="shared" si="685"/>
        <v>0.77823896847561203</v>
      </c>
      <c r="G161" s="295">
        <f t="shared" si="685"/>
        <v>-2.2679489709822973E-7</v>
      </c>
      <c r="H161" s="201"/>
      <c r="I161" s="201"/>
      <c r="J161" s="194">
        <f t="shared" si="682"/>
        <v>3.2280000000000002</v>
      </c>
      <c r="AB161" s="172"/>
      <c r="AC161" s="172"/>
      <c r="AD161" s="172"/>
      <c r="AE161" s="172"/>
      <c r="AF161" s="172"/>
      <c r="AG161" s="172"/>
      <c r="AH161" s="172"/>
      <c r="AI161" s="172"/>
      <c r="AJ161" s="172"/>
    </row>
    <row r="162" spans="5:36" x14ac:dyDescent="0.25">
      <c r="E162" s="295">
        <f t="shared" si="685"/>
        <v>-0.96458042631082197</v>
      </c>
      <c r="F162" s="295">
        <f t="shared" si="685"/>
        <v>3.8218014805665348E-2</v>
      </c>
      <c r="G162" s="295">
        <f t="shared" si="685"/>
        <v>-0.26100571741313866</v>
      </c>
      <c r="H162" s="201"/>
      <c r="I162" s="201"/>
      <c r="J162" s="194">
        <f t="shared" si="682"/>
        <v>4.109</v>
      </c>
      <c r="AB162" s="172"/>
      <c r="AC162" s="172"/>
      <c r="AD162" s="172"/>
      <c r="AE162" s="172"/>
      <c r="AF162" s="172"/>
      <c r="AG162" s="172"/>
      <c r="AH162" s="172"/>
      <c r="AI162" s="172"/>
      <c r="AJ162" s="172"/>
    </row>
    <row r="163" spans="5:36" x14ac:dyDescent="0.25">
      <c r="E163" s="295">
        <f t="shared" si="685"/>
        <v>-0.95591107028923383</v>
      </c>
      <c r="F163" s="295">
        <f t="shared" si="685"/>
        <v>0.20643048737301936</v>
      </c>
      <c r="G163" s="295">
        <f t="shared" si="685"/>
        <v>-0.20885516412439836</v>
      </c>
      <c r="H163" s="201"/>
      <c r="I163" s="201"/>
      <c r="J163" s="194">
        <f t="shared" si="682"/>
        <v>4.1150000000000002</v>
      </c>
      <c r="AB163" s="172"/>
      <c r="AC163" s="172"/>
      <c r="AD163" s="172"/>
      <c r="AE163" s="172"/>
      <c r="AF163" s="172"/>
      <c r="AG163" s="172"/>
      <c r="AH163" s="172"/>
      <c r="AI163" s="172"/>
      <c r="AJ163" s="172"/>
    </row>
    <row r="164" spans="5:36" x14ac:dyDescent="0.25">
      <c r="E164" s="295">
        <f t="shared" si="685"/>
        <v>-0.91004607594236597</v>
      </c>
      <c r="F164" s="295">
        <f t="shared" si="685"/>
        <v>0.37851231018471138</v>
      </c>
      <c r="G164" s="295">
        <f t="shared" si="685"/>
        <v>-0.16895138561294612</v>
      </c>
      <c r="H164" s="294"/>
      <c r="I164" s="201"/>
      <c r="J164" s="194">
        <f t="shared" si="682"/>
        <v>4.1210000000000004</v>
      </c>
      <c r="AB164" s="172"/>
      <c r="AC164" s="172"/>
      <c r="AD164" s="172"/>
      <c r="AE164" s="172"/>
      <c r="AF164" s="172"/>
      <c r="AG164" s="172"/>
      <c r="AH164" s="172"/>
      <c r="AI164" s="172"/>
      <c r="AJ164" s="172"/>
    </row>
    <row r="165" spans="5:36" x14ac:dyDescent="0.25">
      <c r="E165" s="295">
        <f t="shared" si="685"/>
        <v>-0.84278115617020621</v>
      </c>
      <c r="F165" s="295">
        <f t="shared" si="685"/>
        <v>0.53825637274852378</v>
      </c>
      <c r="G165" s="295">
        <f t="shared" si="685"/>
        <v>-1.1339743345366201E-7</v>
      </c>
      <c r="H165" s="294"/>
      <c r="I165" s="201"/>
      <c r="J165" s="194">
        <f t="shared" si="682"/>
        <v>4.1269999999999998</v>
      </c>
      <c r="AB165" s="172"/>
      <c r="AC165" s="172"/>
      <c r="AD165" s="172"/>
      <c r="AE165" s="172"/>
      <c r="AF165" s="172"/>
      <c r="AG165" s="172"/>
      <c r="AH165" s="172"/>
      <c r="AI165" s="172"/>
      <c r="AJ165" s="172"/>
    </row>
    <row r="166" spans="5:36" x14ac:dyDescent="0.25">
      <c r="E166" s="295">
        <f t="shared" si="685"/>
        <v>0.12865506397876561</v>
      </c>
      <c r="F166" s="295">
        <f t="shared" si="685"/>
        <v>0.30444639587443445</v>
      </c>
      <c r="G166" s="295">
        <f t="shared" si="685"/>
        <v>-0.94380096765774035</v>
      </c>
      <c r="H166" s="294"/>
      <c r="I166" s="201"/>
      <c r="J166" s="194">
        <f t="shared" ref="J166:J187" si="686">J41</f>
        <v>4.2149999999999999</v>
      </c>
      <c r="AB166" s="172"/>
      <c r="AC166" s="172"/>
      <c r="AD166" s="172"/>
      <c r="AE166" s="172"/>
      <c r="AF166" s="172"/>
      <c r="AG166" s="172"/>
      <c r="AH166" s="172"/>
      <c r="AI166" s="172"/>
      <c r="AJ166" s="172"/>
    </row>
    <row r="167" spans="5:36" x14ac:dyDescent="0.25">
      <c r="E167" s="295">
        <f t="shared" si="685"/>
        <v>0.24044184357329546</v>
      </c>
      <c r="F167" s="295">
        <f t="shared" si="685"/>
        <v>0.62582702540008783</v>
      </c>
      <c r="G167" s="295">
        <f t="shared" si="685"/>
        <v>-0.74197591210089353</v>
      </c>
      <c r="H167" s="294"/>
      <c r="I167" s="201"/>
      <c r="J167" s="194">
        <f t="shared" si="686"/>
        <v>4.2210000000000001</v>
      </c>
      <c r="AB167" s="172"/>
      <c r="AC167" s="172"/>
      <c r="AD167" s="172"/>
      <c r="AE167" s="172"/>
      <c r="AF167" s="172"/>
      <c r="AG167" s="172"/>
      <c r="AH167" s="172"/>
      <c r="AI167" s="172"/>
      <c r="AJ167" s="172"/>
    </row>
    <row r="168" spans="5:36" x14ac:dyDescent="0.25">
      <c r="E168" s="295">
        <f t="shared" si="685"/>
        <v>0.35999045685147152</v>
      </c>
      <c r="F168" s="295">
        <f t="shared" si="685"/>
        <v>0.93295598555120351</v>
      </c>
      <c r="G168" s="295">
        <f t="shared" si="685"/>
        <v>-2.2679489705657792E-7</v>
      </c>
      <c r="H168" s="294"/>
      <c r="I168" s="201"/>
      <c r="J168" s="194">
        <f t="shared" si="686"/>
        <v>4.2270000000000003</v>
      </c>
      <c r="AB168" s="172"/>
      <c r="AC168" s="172"/>
      <c r="AD168" s="172"/>
      <c r="AE168" s="172"/>
      <c r="AF168" s="172"/>
      <c r="AG168" s="172"/>
      <c r="AH168" s="172"/>
      <c r="AI168" s="172"/>
      <c r="AJ168" s="172"/>
    </row>
    <row r="169" spans="5:36" x14ac:dyDescent="0.25">
      <c r="E169" s="295">
        <f t="shared" si="685"/>
        <v>-0.4880334306401819</v>
      </c>
      <c r="F169" s="295">
        <f t="shared" si="685"/>
        <v>0.82307756169972091</v>
      </c>
      <c r="G169" s="295">
        <f t="shared" si="685"/>
        <v>-0.29045946017304536</v>
      </c>
      <c r="H169" s="201"/>
      <c r="I169" s="201"/>
      <c r="J169" s="194">
        <f t="shared" si="686"/>
        <v>5.1020000000000003</v>
      </c>
      <c r="AB169" s="172"/>
      <c r="AC169" s="172"/>
      <c r="AD169" s="172"/>
      <c r="AE169" s="172"/>
      <c r="AF169" s="172"/>
      <c r="AG169" s="172"/>
      <c r="AH169" s="172"/>
      <c r="AI169" s="172"/>
      <c r="AJ169" s="172"/>
    </row>
    <row r="170" spans="5:36" x14ac:dyDescent="0.25">
      <c r="E170" s="295">
        <f t="shared" si="685"/>
        <v>-0.48364153900886331</v>
      </c>
      <c r="F170" s="295">
        <f t="shared" si="685"/>
        <v>0.8388032415964124</v>
      </c>
      <c r="G170" s="295">
        <f t="shared" si="685"/>
        <v>-0.24999996726497556</v>
      </c>
      <c r="H170" s="201"/>
      <c r="I170" s="201"/>
      <c r="J170" s="194">
        <f t="shared" si="686"/>
        <v>5.1050000000000004</v>
      </c>
      <c r="AB170" s="172"/>
      <c r="AC170" s="172"/>
      <c r="AD170" s="172"/>
      <c r="AE170" s="172"/>
      <c r="AF170" s="172"/>
      <c r="AG170" s="172"/>
      <c r="AH170" s="172"/>
      <c r="AI170" s="172"/>
      <c r="AJ170" s="172"/>
    </row>
    <row r="171" spans="5:36" x14ac:dyDescent="0.25">
      <c r="E171" s="295">
        <f t="shared" si="685"/>
        <v>-0.41529835988587444</v>
      </c>
      <c r="F171" s="295">
        <f t="shared" si="685"/>
        <v>0.87133832506999065</v>
      </c>
      <c r="G171" s="295">
        <f t="shared" si="685"/>
        <v>-0.26133655607343975</v>
      </c>
      <c r="H171" s="201"/>
      <c r="I171" s="201"/>
      <c r="J171" s="194">
        <f t="shared" si="686"/>
        <v>5.1079999999999997</v>
      </c>
      <c r="AB171" s="172"/>
      <c r="AC171" s="172"/>
      <c r="AD171" s="172"/>
      <c r="AE171" s="172"/>
      <c r="AF171" s="172"/>
      <c r="AG171" s="172"/>
      <c r="AH171" s="172"/>
      <c r="AI171" s="172"/>
      <c r="AJ171" s="172"/>
    </row>
    <row r="172" spans="5:36" x14ac:dyDescent="0.25">
      <c r="E172" s="295">
        <f t="shared" si="685"/>
        <v>-0.25684651212439569</v>
      </c>
      <c r="F172" s="295">
        <f t="shared" si="685"/>
        <v>0.94039273221789854</v>
      </c>
      <c r="G172" s="295">
        <f t="shared" si="685"/>
        <v>-0.22291563067961079</v>
      </c>
      <c r="H172" s="294"/>
      <c r="I172" s="201"/>
      <c r="J172" s="194">
        <f t="shared" si="686"/>
        <v>5.1139999999999999</v>
      </c>
      <c r="AB172" s="172"/>
      <c r="AC172" s="172"/>
      <c r="AD172" s="172"/>
      <c r="AE172" s="172"/>
      <c r="AF172" s="172"/>
      <c r="AG172" s="172"/>
      <c r="AH172" s="172"/>
      <c r="AI172" s="172"/>
      <c r="AJ172" s="172"/>
    </row>
    <row r="173" spans="5:36" x14ac:dyDescent="0.25">
      <c r="E173" s="295">
        <f t="shared" si="685"/>
        <v>-8.6412929204772476E-2</v>
      </c>
      <c r="F173" s="295">
        <f t="shared" si="685"/>
        <v>0.97958502357756672</v>
      </c>
      <c r="G173" s="295">
        <f t="shared" si="685"/>
        <v>-0.18151029515922523</v>
      </c>
      <c r="H173" s="294"/>
      <c r="I173" s="201"/>
      <c r="J173" s="194">
        <f t="shared" si="686"/>
        <v>5.12</v>
      </c>
      <c r="AB173" s="172"/>
      <c r="AC173" s="172"/>
      <c r="AD173" s="172"/>
      <c r="AE173" s="172"/>
      <c r="AF173" s="172"/>
      <c r="AG173" s="172"/>
      <c r="AH173" s="172"/>
      <c r="AI173" s="172"/>
      <c r="AJ173" s="172"/>
    </row>
    <row r="174" spans="5:36" x14ac:dyDescent="0.25">
      <c r="E174" s="295">
        <f t="shared" ref="E174:G187" si="687">E49*-1</f>
        <v>9.1781355511733484E-2</v>
      </c>
      <c r="F174" s="295">
        <f t="shared" si="687"/>
        <v>0.99158836716850862</v>
      </c>
      <c r="G174" s="295">
        <f t="shared" si="687"/>
        <v>-9.126167254943178E-2</v>
      </c>
      <c r="H174" s="294"/>
      <c r="I174" s="201"/>
      <c r="J174" s="194">
        <f t="shared" si="686"/>
        <v>5.1260000000000003</v>
      </c>
      <c r="AB174" s="172"/>
      <c r="AC174" s="172"/>
      <c r="AD174" s="172"/>
      <c r="AE174" s="172"/>
      <c r="AF174" s="172"/>
      <c r="AG174" s="172"/>
      <c r="AH174" s="172"/>
      <c r="AI174" s="172"/>
      <c r="AJ174" s="172"/>
    </row>
    <row r="175" spans="5:36" x14ac:dyDescent="0.25">
      <c r="E175" s="295">
        <f t="shared" si="687"/>
        <v>0.11433052106755759</v>
      </c>
      <c r="F175" s="295">
        <f t="shared" si="687"/>
        <v>0.99344276732603376</v>
      </c>
      <c r="G175" s="295">
        <f t="shared" si="687"/>
        <v>-1.1339743362162163E-7</v>
      </c>
      <c r="H175" s="294"/>
      <c r="I175" s="201"/>
      <c r="J175" s="194">
        <f t="shared" si="686"/>
        <v>5.1319999999999997</v>
      </c>
      <c r="AB175" s="172"/>
      <c r="AC175" s="172"/>
      <c r="AD175" s="172"/>
      <c r="AE175" s="172"/>
      <c r="AF175" s="172"/>
      <c r="AG175" s="172"/>
      <c r="AH175" s="172"/>
      <c r="AI175" s="172"/>
      <c r="AJ175" s="172"/>
    </row>
    <row r="176" spans="5:36" x14ac:dyDescent="0.25">
      <c r="E176" s="295">
        <f t="shared" si="687"/>
        <v>8.1022787033921975E-2</v>
      </c>
      <c r="F176" s="295">
        <f t="shared" si="687"/>
        <v>0.95355867626698099</v>
      </c>
      <c r="G176" s="295">
        <f t="shared" si="687"/>
        <v>-0.29010542721089988</v>
      </c>
      <c r="H176" s="294"/>
      <c r="I176" s="201"/>
      <c r="J176" s="194">
        <f t="shared" si="686"/>
        <v>5.2140000000000004</v>
      </c>
      <c r="AB176" s="172"/>
      <c r="AC176" s="172"/>
      <c r="AD176" s="172"/>
      <c r="AE176" s="172"/>
      <c r="AF176" s="172"/>
      <c r="AG176" s="172"/>
      <c r="AH176" s="172"/>
      <c r="AI176" s="172"/>
      <c r="AJ176" s="172"/>
    </row>
    <row r="177" spans="5:36" x14ac:dyDescent="0.25">
      <c r="E177" s="295">
        <f t="shared" si="687"/>
        <v>0.2478951663567488</v>
      </c>
      <c r="F177" s="295">
        <f t="shared" si="687"/>
        <v>0.94320795414322234</v>
      </c>
      <c r="G177" s="295">
        <f t="shared" si="687"/>
        <v>-0.22114868694594839</v>
      </c>
      <c r="H177" s="294"/>
      <c r="I177" s="201"/>
      <c r="J177" s="194">
        <f t="shared" si="686"/>
        <v>5.22</v>
      </c>
      <c r="AB177" s="172"/>
      <c r="AC177" s="172"/>
      <c r="AD177" s="172"/>
      <c r="AE177" s="172"/>
      <c r="AF177" s="172"/>
      <c r="AG177" s="172"/>
      <c r="AH177" s="172"/>
      <c r="AI177" s="172"/>
      <c r="AJ177" s="172"/>
    </row>
    <row r="178" spans="5:36" x14ac:dyDescent="0.25">
      <c r="E178" s="295">
        <f t="shared" si="687"/>
        <v>0.87250952424857997</v>
      </c>
      <c r="F178" s="295">
        <f t="shared" si="687"/>
        <v>8.1488633393343154E-2</v>
      </c>
      <c r="G178" s="295">
        <f t="shared" si="687"/>
        <v>-0.48175380924617722</v>
      </c>
      <c r="H178" s="201"/>
      <c r="I178" s="201"/>
      <c r="J178" s="194">
        <f t="shared" si="686"/>
        <v>5.226</v>
      </c>
      <c r="AB178" s="172"/>
      <c r="AC178" s="172"/>
      <c r="AD178" s="172"/>
      <c r="AE178" s="172"/>
      <c r="AF178" s="172"/>
      <c r="AG178" s="172"/>
      <c r="AH178" s="172"/>
      <c r="AI178" s="172"/>
      <c r="AJ178" s="172"/>
    </row>
    <row r="179" spans="5:36" x14ac:dyDescent="0.25">
      <c r="E179" s="295">
        <f t="shared" si="687"/>
        <v>0.99634470089885852</v>
      </c>
      <c r="F179" s="295">
        <f t="shared" si="687"/>
        <v>8.5423866634054185E-2</v>
      </c>
      <c r="G179" s="295">
        <f t="shared" si="687"/>
        <v>-2.2679489568523886E-7</v>
      </c>
      <c r="H179" s="201"/>
      <c r="I179" s="201"/>
      <c r="J179" s="194">
        <f t="shared" si="686"/>
        <v>5.2320000000000002</v>
      </c>
      <c r="AB179" s="172"/>
      <c r="AC179" s="172"/>
      <c r="AD179" s="172"/>
      <c r="AE179" s="172"/>
      <c r="AF179" s="172"/>
      <c r="AG179" s="172"/>
      <c r="AH179" s="172"/>
      <c r="AI179" s="172"/>
      <c r="AJ179" s="172"/>
    </row>
    <row r="180" spans="5:36" x14ac:dyDescent="0.25">
      <c r="E180" s="295">
        <f t="shared" si="687"/>
        <v>0.61390791293990621</v>
      </c>
      <c r="F180" s="295">
        <f t="shared" si="687"/>
        <v>0.75358065056281198</v>
      </c>
      <c r="G180" s="295">
        <f t="shared" si="687"/>
        <v>-0.23501761109988678</v>
      </c>
      <c r="H180" s="201"/>
      <c r="I180" s="201"/>
      <c r="J180" s="194">
        <f t="shared" si="686"/>
        <v>6.1130000000000004</v>
      </c>
      <c r="AB180" s="172"/>
      <c r="AC180" s="172"/>
      <c r="AD180" s="172"/>
      <c r="AE180" s="172"/>
      <c r="AF180" s="172"/>
      <c r="AG180" s="172"/>
      <c r="AH180" s="172"/>
      <c r="AI180" s="172"/>
      <c r="AJ180" s="172"/>
    </row>
    <row r="181" spans="5:36" x14ac:dyDescent="0.25">
      <c r="E181" s="295">
        <f t="shared" si="687"/>
        <v>0.74367053331530908</v>
      </c>
      <c r="F181" s="295">
        <f t="shared" si="687"/>
        <v>0.64041723636767811</v>
      </c>
      <c r="G181" s="295">
        <f t="shared" si="687"/>
        <v>-0.1918851251184141</v>
      </c>
      <c r="H181" s="201"/>
      <c r="I181" s="201"/>
      <c r="J181" s="194">
        <f t="shared" si="686"/>
        <v>6.1189999999999998</v>
      </c>
      <c r="AB181" s="172"/>
      <c r="AC181" s="172"/>
      <c r="AD181" s="172"/>
      <c r="AE181" s="172"/>
      <c r="AF181" s="172"/>
      <c r="AG181" s="172"/>
      <c r="AH181" s="172"/>
      <c r="AI181" s="172"/>
      <c r="AJ181" s="172"/>
    </row>
    <row r="182" spans="5:36" x14ac:dyDescent="0.25">
      <c r="E182" s="295">
        <f t="shared" si="687"/>
        <v>0.85390316842633129</v>
      </c>
      <c r="F182" s="295">
        <f t="shared" si="687"/>
        <v>0.50944198785948946</v>
      </c>
      <c r="G182" s="295">
        <f t="shared" si="687"/>
        <v>-0.10638721707632172</v>
      </c>
      <c r="H182" s="201"/>
      <c r="I182" s="201"/>
      <c r="J182" s="194">
        <f t="shared" si="686"/>
        <v>6.125</v>
      </c>
      <c r="AB182" s="172"/>
      <c r="AC182" s="172"/>
      <c r="AD182" s="172"/>
      <c r="AE182" s="172"/>
      <c r="AF182" s="172"/>
      <c r="AG182" s="172"/>
      <c r="AH182" s="172"/>
      <c r="AI182" s="172"/>
      <c r="AJ182" s="172"/>
    </row>
    <row r="183" spans="5:36" x14ac:dyDescent="0.25">
      <c r="E183" s="295">
        <f t="shared" si="687"/>
        <v>0.88753413130899372</v>
      </c>
      <c r="F183" s="295">
        <f t="shared" si="687"/>
        <v>0.46074197308426018</v>
      </c>
      <c r="G183" s="295">
        <f t="shared" si="687"/>
        <v>-1.1339743381742591E-7</v>
      </c>
      <c r="H183" s="201"/>
      <c r="I183" s="201"/>
      <c r="J183" s="194">
        <f t="shared" si="686"/>
        <v>6.1310000000000002</v>
      </c>
      <c r="AB183" s="172"/>
      <c r="AC183" s="172"/>
      <c r="AD183" s="172"/>
      <c r="AE183" s="172"/>
      <c r="AF183" s="172"/>
      <c r="AG183" s="172"/>
      <c r="AH183" s="172"/>
      <c r="AI183" s="172"/>
      <c r="AJ183" s="172"/>
    </row>
    <row r="184" spans="5:36" x14ac:dyDescent="0.25">
      <c r="E184" s="295">
        <f t="shared" si="687"/>
        <v>0.35645108241790363</v>
      </c>
      <c r="F184" s="295">
        <f t="shared" si="687"/>
        <v>-0.44018015619384382</v>
      </c>
      <c r="G184" s="295">
        <f t="shared" si="687"/>
        <v>-0.82412623786424155</v>
      </c>
      <c r="H184" s="201"/>
      <c r="I184" s="201"/>
      <c r="J184" s="194">
        <f t="shared" si="686"/>
        <v>6.2190000000000003</v>
      </c>
      <c r="AB184" s="172"/>
      <c r="AC184" s="172"/>
      <c r="AD184" s="172"/>
      <c r="AE184" s="172"/>
      <c r="AF184" s="172"/>
      <c r="AG184" s="172"/>
      <c r="AH184" s="172"/>
      <c r="AI184" s="172"/>
      <c r="AJ184" s="172"/>
    </row>
    <row r="185" spans="5:36" x14ac:dyDescent="0.25">
      <c r="E185" s="295">
        <f t="shared" si="687"/>
        <v>0.53433139916927208</v>
      </c>
      <c r="F185" s="295">
        <f t="shared" si="687"/>
        <v>-0.65131855936988414</v>
      </c>
      <c r="G185" s="295">
        <f t="shared" si="687"/>
        <v>-0.53877090686315554</v>
      </c>
      <c r="H185" s="201"/>
      <c r="I185" s="201"/>
      <c r="J185" s="194">
        <f t="shared" si="686"/>
        <v>6.2249999999999996</v>
      </c>
      <c r="AB185" s="172"/>
      <c r="AC185" s="172"/>
      <c r="AD185" s="172"/>
      <c r="AE185" s="172"/>
      <c r="AF185" s="172"/>
      <c r="AG185" s="172"/>
      <c r="AH185" s="172"/>
      <c r="AI185" s="172"/>
      <c r="AJ185" s="172"/>
    </row>
    <row r="186" spans="5:36" x14ac:dyDescent="0.25">
      <c r="E186" s="295">
        <f t="shared" si="687"/>
        <v>0.62796859100846547</v>
      </c>
      <c r="F186" s="295">
        <f t="shared" si="687"/>
        <v>-0.77823868363554849</v>
      </c>
      <c r="G186" s="295">
        <f t="shared" si="687"/>
        <v>-2.2679489724587369E-7</v>
      </c>
      <c r="H186" s="201"/>
      <c r="I186" s="201"/>
      <c r="J186" s="194">
        <f t="shared" si="686"/>
        <v>6.2309999999999999</v>
      </c>
      <c r="AB186" s="172"/>
      <c r="AC186" s="172"/>
      <c r="AD186" s="172"/>
      <c r="AE186" s="172"/>
      <c r="AF186" s="172"/>
      <c r="AG186" s="172"/>
      <c r="AH186" s="172"/>
      <c r="AI186" s="172"/>
      <c r="AJ186" s="172"/>
    </row>
    <row r="187" spans="5:36" x14ac:dyDescent="0.25">
      <c r="E187" s="295">
        <f t="shared" si="687"/>
        <v>0</v>
      </c>
      <c r="F187" s="295">
        <f t="shared" si="687"/>
        <v>0</v>
      </c>
      <c r="G187" s="295">
        <f t="shared" si="687"/>
        <v>0</v>
      </c>
      <c r="H187" s="201"/>
      <c r="I187" s="201"/>
      <c r="J187" s="194">
        <f t="shared" si="686"/>
        <v>0</v>
      </c>
      <c r="AB187" s="172"/>
      <c r="AC187" s="172"/>
      <c r="AD187" s="172"/>
      <c r="AE187" s="172"/>
      <c r="AF187" s="172"/>
      <c r="AG187" s="172"/>
      <c r="AH187" s="172"/>
      <c r="AI187" s="172"/>
      <c r="AJ187" s="172"/>
    </row>
    <row r="188" spans="5:36" x14ac:dyDescent="0.25">
      <c r="E188" s="295">
        <f t="shared" ref="E188:G193" si="688">E63*-1</f>
        <v>0</v>
      </c>
      <c r="F188" s="295">
        <f t="shared" si="688"/>
        <v>0</v>
      </c>
      <c r="G188" s="295">
        <f t="shared" si="688"/>
        <v>0</v>
      </c>
      <c r="H188" s="201"/>
      <c r="I188" s="201"/>
      <c r="J188" s="194">
        <f t="shared" ref="J188:J198" si="689">J63</f>
        <v>0</v>
      </c>
      <c r="AB188" s="172"/>
      <c r="AC188" s="172"/>
      <c r="AD188" s="172"/>
      <c r="AE188" s="172"/>
      <c r="AF188" s="172"/>
      <c r="AG188" s="172"/>
      <c r="AH188" s="172"/>
      <c r="AI188" s="172"/>
      <c r="AJ188" s="172"/>
    </row>
    <row r="189" spans="5:36" x14ac:dyDescent="0.25">
      <c r="E189" s="295">
        <f t="shared" si="688"/>
        <v>0</v>
      </c>
      <c r="F189" s="295">
        <f t="shared" si="688"/>
        <v>0</v>
      </c>
      <c r="G189" s="295">
        <f t="shared" si="688"/>
        <v>0</v>
      </c>
      <c r="H189" s="201"/>
      <c r="I189" s="201"/>
      <c r="J189" s="194">
        <f t="shared" si="689"/>
        <v>0</v>
      </c>
      <c r="AB189" s="172"/>
      <c r="AC189" s="172"/>
      <c r="AD189" s="172"/>
      <c r="AE189" s="172"/>
      <c r="AF189" s="172"/>
      <c r="AG189" s="172"/>
      <c r="AH189" s="172"/>
      <c r="AI189" s="172"/>
      <c r="AJ189" s="172"/>
    </row>
    <row r="190" spans="5:36" x14ac:dyDescent="0.25">
      <c r="E190" s="295">
        <f t="shared" si="688"/>
        <v>0</v>
      </c>
      <c r="F190" s="295">
        <f t="shared" si="688"/>
        <v>0</v>
      </c>
      <c r="G190" s="295">
        <f t="shared" si="688"/>
        <v>0</v>
      </c>
      <c r="H190" s="201"/>
      <c r="I190" s="201"/>
      <c r="J190" s="194">
        <f t="shared" si="689"/>
        <v>0</v>
      </c>
      <c r="AB190" s="172"/>
      <c r="AC190" s="172"/>
      <c r="AD190" s="172"/>
      <c r="AE190" s="172"/>
      <c r="AF190" s="172"/>
      <c r="AG190" s="172"/>
      <c r="AH190" s="172"/>
      <c r="AI190" s="172"/>
      <c r="AJ190" s="172"/>
    </row>
    <row r="191" spans="5:36" x14ac:dyDescent="0.25">
      <c r="E191" s="295">
        <f t="shared" si="688"/>
        <v>0</v>
      </c>
      <c r="F191" s="295">
        <f t="shared" si="688"/>
        <v>0</v>
      </c>
      <c r="G191" s="295">
        <f t="shared" si="688"/>
        <v>0</v>
      </c>
      <c r="H191" s="201"/>
      <c r="I191" s="201"/>
      <c r="J191" s="194">
        <f t="shared" si="689"/>
        <v>0</v>
      </c>
      <c r="AB191" s="172"/>
      <c r="AC191" s="172"/>
      <c r="AD191" s="172"/>
      <c r="AE191" s="172"/>
      <c r="AF191" s="172"/>
      <c r="AG191" s="172"/>
      <c r="AH191" s="172"/>
      <c r="AI191" s="172"/>
      <c r="AJ191" s="172"/>
    </row>
    <row r="192" spans="5:36" x14ac:dyDescent="0.25">
      <c r="E192" s="295">
        <f t="shared" si="688"/>
        <v>0</v>
      </c>
      <c r="F192" s="295">
        <f t="shared" si="688"/>
        <v>0</v>
      </c>
      <c r="G192" s="295">
        <f t="shared" si="688"/>
        <v>0</v>
      </c>
      <c r="H192" s="201"/>
      <c r="I192" s="201"/>
      <c r="J192" s="194">
        <f t="shared" si="689"/>
        <v>0</v>
      </c>
      <c r="AB192" s="172"/>
      <c r="AC192" s="172"/>
      <c r="AD192" s="172"/>
      <c r="AE192" s="172"/>
      <c r="AF192" s="172"/>
      <c r="AG192" s="172"/>
      <c r="AH192" s="172"/>
      <c r="AI192" s="172"/>
      <c r="AJ192" s="172"/>
    </row>
    <row r="193" spans="5:36" x14ac:dyDescent="0.25">
      <c r="E193" s="295">
        <f t="shared" si="688"/>
        <v>0</v>
      </c>
      <c r="F193" s="295">
        <f t="shared" si="688"/>
        <v>0</v>
      </c>
      <c r="G193" s="295">
        <f t="shared" si="688"/>
        <v>0</v>
      </c>
      <c r="H193" s="201"/>
      <c r="I193" s="201"/>
      <c r="J193" s="194">
        <f t="shared" si="689"/>
        <v>0</v>
      </c>
      <c r="AB193" s="172"/>
      <c r="AC193" s="172"/>
      <c r="AD193" s="172"/>
      <c r="AE193" s="172"/>
      <c r="AF193" s="172"/>
      <c r="AG193" s="172"/>
      <c r="AH193" s="172"/>
      <c r="AI193" s="172"/>
      <c r="AJ193" s="172"/>
    </row>
    <row r="194" spans="5:36" x14ac:dyDescent="0.25">
      <c r="E194" s="295">
        <f t="shared" ref="E194:G213" si="690">E69*-1</f>
        <v>0</v>
      </c>
      <c r="F194" s="295">
        <f t="shared" si="690"/>
        <v>0</v>
      </c>
      <c r="G194" s="295">
        <f t="shared" si="690"/>
        <v>0</v>
      </c>
      <c r="H194" s="201"/>
      <c r="I194" s="201"/>
      <c r="J194" s="194">
        <f t="shared" si="689"/>
        <v>0</v>
      </c>
      <c r="AB194" s="172"/>
      <c r="AC194" s="172"/>
      <c r="AD194" s="172"/>
      <c r="AE194" s="172"/>
      <c r="AF194" s="172"/>
      <c r="AG194" s="172"/>
      <c r="AH194" s="172"/>
      <c r="AI194" s="172"/>
      <c r="AJ194" s="172"/>
    </row>
    <row r="195" spans="5:36" x14ac:dyDescent="0.25">
      <c r="E195" s="295">
        <f t="shared" si="690"/>
        <v>0</v>
      </c>
      <c r="F195" s="295">
        <f t="shared" si="690"/>
        <v>0</v>
      </c>
      <c r="G195" s="295">
        <f t="shared" si="690"/>
        <v>0</v>
      </c>
      <c r="H195" s="201"/>
      <c r="I195" s="201"/>
      <c r="J195" s="194">
        <f t="shared" si="689"/>
        <v>0</v>
      </c>
      <c r="AB195" s="172"/>
      <c r="AC195" s="172"/>
      <c r="AD195" s="172"/>
      <c r="AE195" s="172"/>
      <c r="AF195" s="172"/>
      <c r="AG195" s="172"/>
      <c r="AH195" s="172"/>
      <c r="AI195" s="172"/>
      <c r="AJ195" s="172"/>
    </row>
    <row r="196" spans="5:36" x14ac:dyDescent="0.25">
      <c r="E196" s="295">
        <f t="shared" si="690"/>
        <v>0</v>
      </c>
      <c r="F196" s="295">
        <f t="shared" si="690"/>
        <v>0</v>
      </c>
      <c r="G196" s="295">
        <f t="shared" si="690"/>
        <v>0</v>
      </c>
      <c r="H196" s="201"/>
      <c r="I196" s="201"/>
      <c r="J196" s="194">
        <f t="shared" si="689"/>
        <v>0</v>
      </c>
      <c r="AB196" s="172"/>
      <c r="AC196" s="172"/>
      <c r="AD196" s="172"/>
      <c r="AE196" s="172"/>
      <c r="AF196" s="172"/>
      <c r="AG196" s="172"/>
      <c r="AH196" s="172"/>
      <c r="AI196" s="172"/>
      <c r="AJ196" s="172"/>
    </row>
    <row r="197" spans="5:36" x14ac:dyDescent="0.25">
      <c r="E197" s="295">
        <f t="shared" si="690"/>
        <v>0</v>
      </c>
      <c r="F197" s="295">
        <f t="shared" si="690"/>
        <v>0</v>
      </c>
      <c r="G197" s="295">
        <f t="shared" si="690"/>
        <v>0</v>
      </c>
      <c r="H197" s="201"/>
      <c r="I197" s="201"/>
      <c r="J197" s="194">
        <f t="shared" si="689"/>
        <v>0</v>
      </c>
      <c r="AB197" s="172"/>
      <c r="AC197" s="172"/>
      <c r="AD197" s="172"/>
      <c r="AE197" s="172"/>
      <c r="AF197" s="172"/>
      <c r="AG197" s="172"/>
      <c r="AH197" s="172"/>
      <c r="AI197" s="172"/>
      <c r="AJ197" s="172"/>
    </row>
    <row r="198" spans="5:36" x14ac:dyDescent="0.25">
      <c r="E198" s="295">
        <f t="shared" si="690"/>
        <v>0</v>
      </c>
      <c r="F198" s="295">
        <f t="shared" si="690"/>
        <v>0</v>
      </c>
      <c r="G198" s="295">
        <f t="shared" si="690"/>
        <v>0</v>
      </c>
      <c r="H198" s="201"/>
      <c r="I198" s="201"/>
      <c r="J198" s="194">
        <f t="shared" si="689"/>
        <v>0</v>
      </c>
      <c r="AB198" s="172"/>
      <c r="AC198" s="172"/>
      <c r="AD198" s="172"/>
      <c r="AE198" s="172"/>
      <c r="AF198" s="172"/>
      <c r="AG198" s="172"/>
      <c r="AH198" s="172"/>
      <c r="AI198" s="172"/>
      <c r="AJ198" s="172"/>
    </row>
    <row r="199" spans="5:36" x14ac:dyDescent="0.25">
      <c r="E199" s="295">
        <f t="shared" si="690"/>
        <v>0</v>
      </c>
      <c r="F199" s="295">
        <f t="shared" si="690"/>
        <v>0</v>
      </c>
      <c r="G199" s="295">
        <f t="shared" si="690"/>
        <v>0</v>
      </c>
      <c r="H199" s="201"/>
      <c r="I199" s="201"/>
      <c r="J199" s="194">
        <f t="shared" ref="J199:J232" si="691">J74</f>
        <v>0</v>
      </c>
      <c r="AB199" s="172"/>
      <c r="AC199" s="172"/>
      <c r="AD199" s="172"/>
      <c r="AE199" s="172"/>
      <c r="AF199" s="172"/>
      <c r="AG199" s="172"/>
      <c r="AH199" s="172"/>
      <c r="AI199" s="172"/>
      <c r="AJ199" s="172"/>
    </row>
    <row r="200" spans="5:36" x14ac:dyDescent="0.25">
      <c r="E200" s="295">
        <f t="shared" si="690"/>
        <v>0</v>
      </c>
      <c r="F200" s="295">
        <f t="shared" si="690"/>
        <v>0</v>
      </c>
      <c r="G200" s="295">
        <f t="shared" si="690"/>
        <v>0</v>
      </c>
      <c r="H200" s="201"/>
      <c r="I200" s="201"/>
      <c r="J200" s="194">
        <f t="shared" si="691"/>
        <v>0</v>
      </c>
      <c r="AB200" s="172"/>
      <c r="AC200" s="172"/>
      <c r="AD200" s="172"/>
      <c r="AE200" s="172"/>
      <c r="AF200" s="172"/>
      <c r="AG200" s="172"/>
      <c r="AH200" s="172"/>
      <c r="AI200" s="172"/>
      <c r="AJ200" s="172"/>
    </row>
    <row r="201" spans="5:36" x14ac:dyDescent="0.25">
      <c r="E201" s="295">
        <f t="shared" si="690"/>
        <v>0</v>
      </c>
      <c r="F201" s="295">
        <f t="shared" si="690"/>
        <v>0</v>
      </c>
      <c r="G201" s="295">
        <f t="shared" si="690"/>
        <v>0</v>
      </c>
      <c r="H201" s="201"/>
      <c r="I201" s="201"/>
      <c r="J201" s="194">
        <f t="shared" si="691"/>
        <v>0</v>
      </c>
      <c r="AB201" s="172"/>
      <c r="AC201" s="172"/>
      <c r="AD201" s="172"/>
      <c r="AE201" s="172"/>
      <c r="AF201" s="172"/>
      <c r="AG201" s="172"/>
      <c r="AH201" s="172"/>
      <c r="AI201" s="172"/>
      <c r="AJ201" s="172"/>
    </row>
    <row r="202" spans="5:36" x14ac:dyDescent="0.25">
      <c r="E202" s="295">
        <f t="shared" si="690"/>
        <v>0</v>
      </c>
      <c r="F202" s="295">
        <f t="shared" si="690"/>
        <v>0</v>
      </c>
      <c r="G202" s="295">
        <f t="shared" si="690"/>
        <v>0</v>
      </c>
      <c r="H202" s="201"/>
      <c r="I202" s="201"/>
      <c r="J202" s="194">
        <f t="shared" si="691"/>
        <v>0</v>
      </c>
      <c r="AB202" s="172"/>
      <c r="AC202" s="172"/>
      <c r="AD202" s="172"/>
      <c r="AE202" s="172"/>
      <c r="AF202" s="172"/>
      <c r="AG202" s="172"/>
      <c r="AH202" s="172"/>
      <c r="AI202" s="172"/>
      <c r="AJ202" s="172"/>
    </row>
    <row r="203" spans="5:36" x14ac:dyDescent="0.25">
      <c r="E203" s="295">
        <f t="shared" si="690"/>
        <v>0</v>
      </c>
      <c r="F203" s="295">
        <f t="shared" si="690"/>
        <v>0</v>
      </c>
      <c r="G203" s="295">
        <f t="shared" si="690"/>
        <v>0</v>
      </c>
      <c r="H203" s="201"/>
      <c r="I203" s="201"/>
      <c r="J203" s="194">
        <f t="shared" si="691"/>
        <v>0</v>
      </c>
      <c r="AB203" s="172"/>
      <c r="AC203" s="172"/>
      <c r="AD203" s="172"/>
      <c r="AE203" s="172"/>
      <c r="AF203" s="172"/>
      <c r="AG203" s="172"/>
      <c r="AH203" s="172"/>
      <c r="AI203" s="172"/>
      <c r="AJ203" s="172"/>
    </row>
    <row r="204" spans="5:36" x14ac:dyDescent="0.25">
      <c r="E204" s="295">
        <f t="shared" si="690"/>
        <v>0</v>
      </c>
      <c r="F204" s="295">
        <f t="shared" si="690"/>
        <v>0</v>
      </c>
      <c r="G204" s="295">
        <f t="shared" si="690"/>
        <v>0</v>
      </c>
      <c r="H204" s="201"/>
      <c r="I204" s="201"/>
      <c r="J204" s="194">
        <f t="shared" si="691"/>
        <v>0</v>
      </c>
      <c r="AB204" s="172"/>
      <c r="AC204" s="172"/>
      <c r="AD204" s="172"/>
      <c r="AE204" s="172"/>
      <c r="AF204" s="172"/>
      <c r="AG204" s="172"/>
      <c r="AH204" s="172"/>
      <c r="AI204" s="172"/>
      <c r="AJ204" s="172"/>
    </row>
    <row r="205" spans="5:36" x14ac:dyDescent="0.25">
      <c r="E205" s="295">
        <f t="shared" si="690"/>
        <v>0</v>
      </c>
      <c r="F205" s="295">
        <f t="shared" si="690"/>
        <v>0</v>
      </c>
      <c r="G205" s="295">
        <f t="shared" si="690"/>
        <v>0</v>
      </c>
      <c r="H205" s="201"/>
      <c r="I205" s="201"/>
      <c r="J205" s="194">
        <f t="shared" si="691"/>
        <v>0</v>
      </c>
      <c r="AB205" s="172"/>
      <c r="AC205" s="172"/>
      <c r="AD205" s="172"/>
      <c r="AE205" s="172"/>
      <c r="AF205" s="172"/>
      <c r="AG205" s="172"/>
      <c r="AH205" s="172"/>
      <c r="AI205" s="172"/>
      <c r="AJ205" s="172"/>
    </row>
    <row r="206" spans="5:36" x14ac:dyDescent="0.25">
      <c r="E206" s="295">
        <f t="shared" si="690"/>
        <v>0</v>
      </c>
      <c r="F206" s="295">
        <f t="shared" si="690"/>
        <v>0</v>
      </c>
      <c r="G206" s="295">
        <f t="shared" si="690"/>
        <v>0</v>
      </c>
      <c r="H206" s="201"/>
      <c r="I206" s="201"/>
      <c r="J206" s="194">
        <f t="shared" si="691"/>
        <v>0</v>
      </c>
      <c r="AB206" s="172"/>
      <c r="AC206" s="172"/>
      <c r="AD206" s="172"/>
      <c r="AE206" s="172"/>
      <c r="AF206" s="172"/>
      <c r="AG206" s="172"/>
      <c r="AH206" s="172"/>
      <c r="AI206" s="172"/>
      <c r="AJ206" s="172"/>
    </row>
    <row r="207" spans="5:36" x14ac:dyDescent="0.25">
      <c r="E207" s="295">
        <f t="shared" si="690"/>
        <v>0</v>
      </c>
      <c r="F207" s="295">
        <f t="shared" si="690"/>
        <v>0</v>
      </c>
      <c r="G207" s="295">
        <f t="shared" si="690"/>
        <v>0</v>
      </c>
      <c r="H207" s="201"/>
      <c r="I207" s="201"/>
      <c r="J207" s="194">
        <f t="shared" si="691"/>
        <v>0</v>
      </c>
      <c r="AB207" s="172"/>
      <c r="AC207" s="172"/>
      <c r="AD207" s="172"/>
      <c r="AE207" s="172"/>
      <c r="AF207" s="172"/>
      <c r="AG207" s="172"/>
      <c r="AH207" s="172"/>
      <c r="AI207" s="172"/>
      <c r="AJ207" s="172"/>
    </row>
    <row r="208" spans="5:36" x14ac:dyDescent="0.25">
      <c r="E208" s="295">
        <f t="shared" si="690"/>
        <v>0</v>
      </c>
      <c r="F208" s="295">
        <f t="shared" si="690"/>
        <v>0</v>
      </c>
      <c r="G208" s="295">
        <f t="shared" si="690"/>
        <v>0</v>
      </c>
      <c r="H208" s="201"/>
      <c r="I208" s="201"/>
      <c r="J208" s="194">
        <f t="shared" si="691"/>
        <v>0</v>
      </c>
      <c r="AB208" s="172"/>
      <c r="AC208" s="172"/>
      <c r="AD208" s="172"/>
      <c r="AE208" s="172"/>
      <c r="AF208" s="172"/>
      <c r="AG208" s="172"/>
      <c r="AH208" s="172"/>
      <c r="AI208" s="172"/>
      <c r="AJ208" s="172"/>
    </row>
    <row r="209" spans="5:36" x14ac:dyDescent="0.25">
      <c r="E209" s="295">
        <f t="shared" si="690"/>
        <v>0</v>
      </c>
      <c r="F209" s="295">
        <f t="shared" si="690"/>
        <v>0</v>
      </c>
      <c r="G209" s="295">
        <f t="shared" si="690"/>
        <v>0</v>
      </c>
      <c r="H209" s="201"/>
      <c r="I209" s="201"/>
      <c r="J209" s="194">
        <f t="shared" si="691"/>
        <v>0</v>
      </c>
      <c r="AB209" s="172"/>
      <c r="AC209" s="172"/>
      <c r="AD209" s="172"/>
      <c r="AE209" s="172"/>
      <c r="AF209" s="172"/>
      <c r="AG209" s="172"/>
      <c r="AH209" s="172"/>
      <c r="AI209" s="172"/>
      <c r="AJ209" s="172"/>
    </row>
    <row r="210" spans="5:36" x14ac:dyDescent="0.25">
      <c r="E210" s="295">
        <f t="shared" si="690"/>
        <v>0</v>
      </c>
      <c r="F210" s="295">
        <f t="shared" si="690"/>
        <v>0</v>
      </c>
      <c r="G210" s="295">
        <f t="shared" si="690"/>
        <v>0</v>
      </c>
      <c r="H210" s="201"/>
      <c r="I210" s="201"/>
      <c r="J210" s="194">
        <f t="shared" si="691"/>
        <v>0</v>
      </c>
      <c r="AB210" s="172"/>
      <c r="AC210" s="172"/>
      <c r="AD210" s="172"/>
      <c r="AE210" s="172"/>
      <c r="AF210" s="172"/>
      <c r="AG210" s="172"/>
      <c r="AH210" s="172"/>
      <c r="AI210" s="172"/>
      <c r="AJ210" s="172"/>
    </row>
    <row r="211" spans="5:36" x14ac:dyDescent="0.25">
      <c r="E211" s="295">
        <f t="shared" si="690"/>
        <v>0</v>
      </c>
      <c r="F211" s="295">
        <f t="shared" si="690"/>
        <v>0</v>
      </c>
      <c r="G211" s="295">
        <f t="shared" si="690"/>
        <v>0</v>
      </c>
      <c r="H211" s="201"/>
      <c r="I211" s="201"/>
      <c r="J211" s="194">
        <f t="shared" si="691"/>
        <v>0</v>
      </c>
      <c r="AB211" s="172"/>
      <c r="AC211" s="172"/>
      <c r="AD211" s="172"/>
      <c r="AE211" s="172"/>
      <c r="AF211" s="172"/>
      <c r="AG211" s="172"/>
      <c r="AH211" s="172"/>
      <c r="AI211" s="172"/>
      <c r="AJ211" s="172"/>
    </row>
    <row r="212" spans="5:36" x14ac:dyDescent="0.25">
      <c r="E212" s="295">
        <f t="shared" si="690"/>
        <v>0</v>
      </c>
      <c r="F212" s="295">
        <f t="shared" si="690"/>
        <v>0</v>
      </c>
      <c r="G212" s="295">
        <f t="shared" si="690"/>
        <v>0</v>
      </c>
      <c r="H212" s="201"/>
      <c r="I212" s="201"/>
      <c r="J212" s="194">
        <f t="shared" si="691"/>
        <v>0</v>
      </c>
      <c r="AB212" s="172"/>
      <c r="AC212" s="172"/>
      <c r="AD212" s="172"/>
      <c r="AE212" s="172"/>
      <c r="AF212" s="172"/>
      <c r="AG212" s="172"/>
      <c r="AH212" s="172"/>
      <c r="AI212" s="172"/>
      <c r="AJ212" s="172"/>
    </row>
    <row r="213" spans="5:36" x14ac:dyDescent="0.25">
      <c r="E213" s="295">
        <f t="shared" si="690"/>
        <v>0</v>
      </c>
      <c r="F213" s="295">
        <f t="shared" si="690"/>
        <v>0</v>
      </c>
      <c r="G213" s="295">
        <f t="shared" si="690"/>
        <v>0</v>
      </c>
      <c r="H213" s="201"/>
      <c r="I213" s="201"/>
      <c r="J213" s="194">
        <f t="shared" si="691"/>
        <v>0</v>
      </c>
      <c r="AB213" s="172"/>
      <c r="AC213" s="172"/>
      <c r="AD213" s="172"/>
      <c r="AE213" s="172"/>
      <c r="AF213" s="172"/>
      <c r="AG213" s="172"/>
      <c r="AH213" s="172"/>
      <c r="AI213" s="172"/>
      <c r="AJ213" s="172"/>
    </row>
    <row r="214" spans="5:36" x14ac:dyDescent="0.25">
      <c r="E214" s="295">
        <f t="shared" ref="E214:G232" si="692">E89*-1</f>
        <v>0</v>
      </c>
      <c r="F214" s="295">
        <f t="shared" si="692"/>
        <v>0</v>
      </c>
      <c r="G214" s="295">
        <f t="shared" si="692"/>
        <v>0</v>
      </c>
      <c r="H214" s="201"/>
      <c r="I214" s="201"/>
      <c r="J214" s="194">
        <f t="shared" si="691"/>
        <v>0</v>
      </c>
      <c r="AB214" s="172"/>
      <c r="AC214" s="172"/>
      <c r="AD214" s="172"/>
      <c r="AE214" s="172"/>
      <c r="AF214" s="172"/>
      <c r="AG214" s="172"/>
      <c r="AH214" s="172"/>
      <c r="AI214" s="172"/>
      <c r="AJ214" s="172"/>
    </row>
    <row r="215" spans="5:36" x14ac:dyDescent="0.25">
      <c r="E215" s="295">
        <f t="shared" si="692"/>
        <v>0</v>
      </c>
      <c r="F215" s="295">
        <f t="shared" si="692"/>
        <v>0</v>
      </c>
      <c r="G215" s="295">
        <f t="shared" si="692"/>
        <v>0</v>
      </c>
      <c r="H215" s="201"/>
      <c r="I215" s="201"/>
      <c r="J215" s="194">
        <f t="shared" si="691"/>
        <v>0</v>
      </c>
      <c r="AB215" s="172"/>
      <c r="AC215" s="172"/>
      <c r="AD215" s="172"/>
      <c r="AE215" s="172"/>
      <c r="AF215" s="172"/>
      <c r="AG215" s="172"/>
      <c r="AH215" s="172"/>
      <c r="AI215" s="172"/>
      <c r="AJ215" s="172"/>
    </row>
    <row r="216" spans="5:36" x14ac:dyDescent="0.25">
      <c r="E216" s="295">
        <f t="shared" si="692"/>
        <v>0</v>
      </c>
      <c r="F216" s="295">
        <f t="shared" si="692"/>
        <v>0</v>
      </c>
      <c r="G216" s="295">
        <f t="shared" si="692"/>
        <v>0</v>
      </c>
      <c r="H216" s="201"/>
      <c r="I216" s="201"/>
      <c r="J216" s="194">
        <f t="shared" si="691"/>
        <v>0</v>
      </c>
      <c r="AB216" s="172"/>
      <c r="AC216" s="172"/>
      <c r="AD216" s="172"/>
      <c r="AE216" s="172"/>
      <c r="AF216" s="172"/>
      <c r="AG216" s="172"/>
      <c r="AH216" s="172"/>
      <c r="AI216" s="172"/>
      <c r="AJ216" s="172"/>
    </row>
    <row r="217" spans="5:36" x14ac:dyDescent="0.25">
      <c r="E217" s="295">
        <f t="shared" si="692"/>
        <v>0</v>
      </c>
      <c r="F217" s="295">
        <f t="shared" si="692"/>
        <v>0</v>
      </c>
      <c r="G217" s="295">
        <f t="shared" si="692"/>
        <v>0</v>
      </c>
      <c r="H217" s="201"/>
      <c r="I217" s="201"/>
      <c r="J217" s="194">
        <f t="shared" si="691"/>
        <v>0</v>
      </c>
      <c r="AB217" s="172"/>
      <c r="AC217" s="172"/>
      <c r="AD217" s="172"/>
      <c r="AE217" s="172"/>
      <c r="AF217" s="172"/>
      <c r="AG217" s="172"/>
      <c r="AH217" s="172"/>
      <c r="AI217" s="172"/>
      <c r="AJ217" s="172"/>
    </row>
    <row r="218" spans="5:36" x14ac:dyDescent="0.25">
      <c r="E218" s="295">
        <f t="shared" si="692"/>
        <v>0</v>
      </c>
      <c r="F218" s="295">
        <f t="shared" si="692"/>
        <v>0</v>
      </c>
      <c r="G218" s="295">
        <f t="shared" si="692"/>
        <v>0</v>
      </c>
      <c r="H218" s="201"/>
      <c r="I218" s="201"/>
      <c r="J218" s="194">
        <f t="shared" si="691"/>
        <v>0</v>
      </c>
      <c r="AB218" s="172"/>
      <c r="AC218" s="172"/>
      <c r="AD218" s="172"/>
      <c r="AE218" s="172"/>
      <c r="AF218" s="172"/>
      <c r="AG218" s="172"/>
      <c r="AH218" s="172"/>
      <c r="AI218" s="172"/>
      <c r="AJ218" s="172"/>
    </row>
    <row r="219" spans="5:36" x14ac:dyDescent="0.25">
      <c r="E219" s="295">
        <f t="shared" si="692"/>
        <v>0</v>
      </c>
      <c r="F219" s="295">
        <f t="shared" si="692"/>
        <v>0</v>
      </c>
      <c r="G219" s="295">
        <f t="shared" si="692"/>
        <v>0</v>
      </c>
      <c r="H219" s="201"/>
      <c r="I219" s="201"/>
      <c r="J219" s="194">
        <f t="shared" si="691"/>
        <v>0</v>
      </c>
      <c r="AB219" s="172"/>
      <c r="AC219" s="172"/>
      <c r="AD219" s="172"/>
      <c r="AE219" s="172"/>
      <c r="AF219" s="172"/>
      <c r="AG219" s="172"/>
      <c r="AH219" s="172"/>
      <c r="AI219" s="172"/>
      <c r="AJ219" s="172"/>
    </row>
    <row r="220" spans="5:36" x14ac:dyDescent="0.25">
      <c r="E220" s="295">
        <f t="shared" si="692"/>
        <v>0</v>
      </c>
      <c r="F220" s="295">
        <f t="shared" si="692"/>
        <v>0</v>
      </c>
      <c r="G220" s="295">
        <f t="shared" si="692"/>
        <v>0</v>
      </c>
      <c r="H220" s="201"/>
      <c r="I220" s="201"/>
      <c r="J220" s="194">
        <f t="shared" si="691"/>
        <v>0</v>
      </c>
      <c r="AB220" s="172"/>
      <c r="AC220" s="172"/>
      <c r="AD220" s="172"/>
      <c r="AE220" s="172"/>
      <c r="AF220" s="172"/>
      <c r="AG220" s="172"/>
      <c r="AH220" s="172"/>
      <c r="AI220" s="172"/>
      <c r="AJ220" s="172"/>
    </row>
    <row r="221" spans="5:36" x14ac:dyDescent="0.25">
      <c r="E221" s="295">
        <f t="shared" si="692"/>
        <v>0</v>
      </c>
      <c r="F221" s="295">
        <f t="shared" si="692"/>
        <v>0</v>
      </c>
      <c r="G221" s="295">
        <f t="shared" si="692"/>
        <v>0</v>
      </c>
      <c r="H221" s="201"/>
      <c r="I221" s="201"/>
      <c r="J221" s="194">
        <f t="shared" si="691"/>
        <v>0</v>
      </c>
      <c r="AB221" s="172"/>
      <c r="AC221" s="172"/>
      <c r="AD221" s="172"/>
      <c r="AE221" s="172"/>
      <c r="AF221" s="172"/>
      <c r="AG221" s="172"/>
      <c r="AH221" s="172"/>
      <c r="AI221" s="172"/>
      <c r="AJ221" s="172"/>
    </row>
    <row r="222" spans="5:36" x14ac:dyDescent="0.25">
      <c r="E222" s="295">
        <f t="shared" si="692"/>
        <v>0</v>
      </c>
      <c r="F222" s="295">
        <f t="shared" si="692"/>
        <v>0</v>
      </c>
      <c r="G222" s="295">
        <f t="shared" si="692"/>
        <v>0</v>
      </c>
      <c r="H222" s="201"/>
      <c r="I222" s="201"/>
      <c r="J222" s="194">
        <f t="shared" si="691"/>
        <v>0</v>
      </c>
      <c r="AB222" s="172"/>
      <c r="AC222" s="172"/>
      <c r="AD222" s="172"/>
      <c r="AE222" s="172"/>
      <c r="AF222" s="172"/>
      <c r="AG222" s="172"/>
      <c r="AH222" s="172"/>
      <c r="AI222" s="172"/>
      <c r="AJ222" s="172"/>
    </row>
    <row r="223" spans="5:36" x14ac:dyDescent="0.25">
      <c r="E223" s="295">
        <f t="shared" si="692"/>
        <v>0</v>
      </c>
      <c r="F223" s="295">
        <f t="shared" si="692"/>
        <v>0</v>
      </c>
      <c r="G223" s="295">
        <f t="shared" si="692"/>
        <v>0</v>
      </c>
      <c r="H223" s="201"/>
      <c r="I223" s="201"/>
      <c r="J223" s="194">
        <f t="shared" si="691"/>
        <v>0</v>
      </c>
      <c r="AB223" s="172"/>
      <c r="AC223" s="172"/>
      <c r="AD223" s="172"/>
      <c r="AE223" s="172"/>
      <c r="AF223" s="172"/>
      <c r="AG223" s="172"/>
      <c r="AH223" s="172"/>
      <c r="AI223" s="172"/>
      <c r="AJ223" s="172"/>
    </row>
    <row r="224" spans="5:36" x14ac:dyDescent="0.25">
      <c r="E224" s="295">
        <f t="shared" si="692"/>
        <v>0</v>
      </c>
      <c r="F224" s="295">
        <f t="shared" si="692"/>
        <v>0</v>
      </c>
      <c r="G224" s="295">
        <f t="shared" si="692"/>
        <v>0</v>
      </c>
      <c r="H224" s="201"/>
      <c r="I224" s="201"/>
      <c r="J224" s="194">
        <f t="shared" si="691"/>
        <v>0</v>
      </c>
      <c r="AB224" s="172"/>
      <c r="AC224" s="172"/>
      <c r="AD224" s="172"/>
      <c r="AE224" s="172"/>
      <c r="AF224" s="172"/>
      <c r="AG224" s="172"/>
      <c r="AH224" s="172"/>
      <c r="AI224" s="172"/>
      <c r="AJ224" s="172"/>
    </row>
    <row r="225" spans="5:36" x14ac:dyDescent="0.25">
      <c r="E225" s="295">
        <f t="shared" si="692"/>
        <v>0</v>
      </c>
      <c r="F225" s="295">
        <f t="shared" si="692"/>
        <v>0</v>
      </c>
      <c r="G225" s="295">
        <f t="shared" si="692"/>
        <v>0</v>
      </c>
      <c r="H225" s="201"/>
      <c r="I225" s="201"/>
      <c r="J225" s="194">
        <f t="shared" si="691"/>
        <v>0</v>
      </c>
      <c r="AB225" s="172"/>
      <c r="AC225" s="172"/>
      <c r="AD225" s="172"/>
      <c r="AE225" s="172"/>
      <c r="AF225" s="172"/>
      <c r="AG225" s="172"/>
      <c r="AH225" s="172"/>
      <c r="AI225" s="172"/>
      <c r="AJ225" s="172"/>
    </row>
    <row r="226" spans="5:36" x14ac:dyDescent="0.25">
      <c r="E226" s="295">
        <f t="shared" si="692"/>
        <v>0</v>
      </c>
      <c r="F226" s="295">
        <f t="shared" si="692"/>
        <v>0</v>
      </c>
      <c r="G226" s="295">
        <f t="shared" si="692"/>
        <v>0</v>
      </c>
      <c r="H226" s="201"/>
      <c r="I226" s="201"/>
      <c r="J226" s="194">
        <f t="shared" si="691"/>
        <v>0</v>
      </c>
      <c r="AB226" s="172"/>
      <c r="AC226" s="172"/>
      <c r="AD226" s="172"/>
      <c r="AE226" s="172"/>
      <c r="AF226" s="172"/>
      <c r="AG226" s="172"/>
      <c r="AH226" s="172"/>
      <c r="AI226" s="172"/>
      <c r="AJ226" s="172"/>
    </row>
    <row r="227" spans="5:36" x14ac:dyDescent="0.25">
      <c r="E227" s="295">
        <f t="shared" si="692"/>
        <v>0</v>
      </c>
      <c r="F227" s="295">
        <f t="shared" si="692"/>
        <v>0</v>
      </c>
      <c r="G227" s="295">
        <f t="shared" si="692"/>
        <v>0</v>
      </c>
      <c r="H227" s="201"/>
      <c r="I227" s="201"/>
      <c r="J227" s="194">
        <f t="shared" si="691"/>
        <v>0</v>
      </c>
      <c r="AB227" s="172"/>
      <c r="AC227" s="172"/>
      <c r="AD227" s="172"/>
      <c r="AE227" s="172"/>
      <c r="AF227" s="172"/>
      <c r="AG227" s="172"/>
      <c r="AH227" s="172"/>
      <c r="AI227" s="172"/>
      <c r="AJ227" s="172"/>
    </row>
    <row r="228" spans="5:36" x14ac:dyDescent="0.25">
      <c r="E228" s="295">
        <f t="shared" si="692"/>
        <v>0</v>
      </c>
      <c r="F228" s="295">
        <f t="shared" si="692"/>
        <v>0</v>
      </c>
      <c r="G228" s="295">
        <f t="shared" si="692"/>
        <v>0</v>
      </c>
      <c r="H228" s="201"/>
      <c r="I228" s="201"/>
      <c r="J228" s="194">
        <f t="shared" si="691"/>
        <v>0</v>
      </c>
      <c r="AB228" s="172"/>
      <c r="AC228" s="172"/>
      <c r="AD228" s="172"/>
      <c r="AE228" s="172"/>
      <c r="AF228" s="172"/>
      <c r="AG228" s="172"/>
      <c r="AH228" s="172"/>
      <c r="AI228" s="172"/>
      <c r="AJ228" s="172"/>
    </row>
    <row r="229" spans="5:36" x14ac:dyDescent="0.25">
      <c r="E229" s="295">
        <f t="shared" si="692"/>
        <v>0</v>
      </c>
      <c r="F229" s="295">
        <f t="shared" si="692"/>
        <v>0</v>
      </c>
      <c r="G229" s="295">
        <f t="shared" si="692"/>
        <v>0</v>
      </c>
      <c r="H229" s="201"/>
      <c r="I229" s="201"/>
      <c r="J229" s="194">
        <f t="shared" si="691"/>
        <v>0</v>
      </c>
      <c r="AB229" s="172"/>
      <c r="AC229" s="172"/>
      <c r="AD229" s="172"/>
      <c r="AE229" s="172"/>
      <c r="AF229" s="172"/>
      <c r="AG229" s="172"/>
      <c r="AH229" s="172"/>
      <c r="AI229" s="172"/>
      <c r="AJ229" s="172"/>
    </row>
    <row r="230" spans="5:36" x14ac:dyDescent="0.25">
      <c r="E230" s="295">
        <f t="shared" si="692"/>
        <v>0</v>
      </c>
      <c r="F230" s="295">
        <f t="shared" si="692"/>
        <v>0</v>
      </c>
      <c r="G230" s="295">
        <f t="shared" si="692"/>
        <v>0</v>
      </c>
      <c r="H230" s="201"/>
      <c r="I230" s="201"/>
      <c r="J230" s="194">
        <f t="shared" si="691"/>
        <v>0</v>
      </c>
      <c r="AB230" s="172"/>
      <c r="AC230" s="172"/>
      <c r="AD230" s="172"/>
      <c r="AE230" s="172"/>
      <c r="AF230" s="172"/>
      <c r="AG230" s="172"/>
      <c r="AH230" s="172"/>
      <c r="AI230" s="172"/>
      <c r="AJ230" s="172"/>
    </row>
    <row r="231" spans="5:36" x14ac:dyDescent="0.25">
      <c r="E231" s="295">
        <f t="shared" si="692"/>
        <v>0</v>
      </c>
      <c r="F231" s="295">
        <f t="shared" si="692"/>
        <v>0</v>
      </c>
      <c r="G231" s="295">
        <f t="shared" si="692"/>
        <v>0</v>
      </c>
      <c r="H231" s="201"/>
      <c r="I231" s="201"/>
      <c r="J231" s="194">
        <f t="shared" si="691"/>
        <v>0</v>
      </c>
      <c r="AB231" s="172"/>
      <c r="AC231" s="172"/>
      <c r="AD231" s="172"/>
      <c r="AE231" s="172"/>
      <c r="AF231" s="172"/>
      <c r="AG231" s="172"/>
      <c r="AH231" s="172"/>
      <c r="AI231" s="172"/>
      <c r="AJ231" s="172"/>
    </row>
    <row r="232" spans="5:36" x14ac:dyDescent="0.25">
      <c r="E232" s="295">
        <f t="shared" si="692"/>
        <v>0</v>
      </c>
      <c r="F232" s="295">
        <f t="shared" si="692"/>
        <v>0</v>
      </c>
      <c r="G232" s="295">
        <f t="shared" si="692"/>
        <v>0</v>
      </c>
      <c r="H232" s="201"/>
      <c r="I232" s="201"/>
      <c r="J232" s="194">
        <f t="shared" si="691"/>
        <v>0</v>
      </c>
      <c r="AB232" s="172"/>
      <c r="AC232" s="172"/>
      <c r="AD232" s="172"/>
      <c r="AE232" s="172"/>
      <c r="AF232" s="172"/>
      <c r="AG232" s="172"/>
      <c r="AH232" s="172"/>
      <c r="AI232" s="172"/>
      <c r="AJ232" s="172"/>
    </row>
    <row r="233" spans="5:36" x14ac:dyDescent="0.25">
      <c r="E233" s="35"/>
      <c r="F233" s="35"/>
      <c r="G233" s="35"/>
      <c r="AB233" s="172"/>
      <c r="AC233" s="172"/>
      <c r="AD233" s="172"/>
      <c r="AE233" s="172"/>
      <c r="AF233" s="172"/>
      <c r="AG233" s="172"/>
      <c r="AH233" s="172"/>
      <c r="AI233" s="172"/>
      <c r="AJ233" s="172"/>
    </row>
    <row r="234" spans="5:36" x14ac:dyDescent="0.25">
      <c r="E234" s="35"/>
      <c r="F234" s="35"/>
      <c r="G234" s="35"/>
      <c r="AB234" s="172"/>
      <c r="AC234" s="172"/>
      <c r="AD234" s="172"/>
      <c r="AE234" s="172"/>
      <c r="AF234" s="172"/>
      <c r="AG234" s="172"/>
      <c r="AH234" s="172"/>
      <c r="AI234" s="172"/>
      <c r="AJ234" s="172"/>
    </row>
    <row r="235" spans="5:36" x14ac:dyDescent="0.25">
      <c r="E235" s="35"/>
      <c r="F235" s="35"/>
      <c r="G235" s="35"/>
      <c r="AB235" s="172"/>
      <c r="AC235" s="172"/>
      <c r="AD235" s="172"/>
      <c r="AE235" s="172"/>
      <c r="AF235" s="172"/>
      <c r="AG235" s="172"/>
      <c r="AH235" s="172"/>
      <c r="AI235" s="172"/>
      <c r="AJ235" s="172"/>
    </row>
    <row r="236" spans="5:36" x14ac:dyDescent="0.25">
      <c r="E236" s="35"/>
      <c r="F236" s="35"/>
      <c r="G236" s="35"/>
      <c r="AB236" s="172"/>
      <c r="AC236" s="172"/>
      <c r="AD236" s="172"/>
      <c r="AE236" s="172"/>
      <c r="AF236" s="172"/>
      <c r="AG236" s="172"/>
      <c r="AH236" s="172"/>
      <c r="AI236" s="172"/>
      <c r="AJ236" s="172"/>
    </row>
    <row r="237" spans="5:36" x14ac:dyDescent="0.25">
      <c r="E237" s="35"/>
      <c r="F237" s="35"/>
      <c r="G237" s="35"/>
      <c r="AB237" s="172"/>
      <c r="AC237" s="172"/>
      <c r="AD237" s="172"/>
      <c r="AE237" s="172"/>
      <c r="AF237" s="172"/>
      <c r="AG237" s="172"/>
      <c r="AH237" s="172"/>
      <c r="AI237" s="172"/>
      <c r="AJ237" s="172"/>
    </row>
    <row r="238" spans="5:36" x14ac:dyDescent="0.25">
      <c r="E238" s="35"/>
      <c r="F238" s="35"/>
      <c r="G238" s="35"/>
      <c r="AB238" s="172"/>
      <c r="AC238" s="172"/>
      <c r="AD238" s="172"/>
      <c r="AE238" s="172"/>
      <c r="AF238" s="172"/>
      <c r="AG238" s="172"/>
      <c r="AH238" s="172"/>
      <c r="AI238" s="172"/>
      <c r="AJ238" s="172"/>
    </row>
    <row r="239" spans="5:36" x14ac:dyDescent="0.25">
      <c r="AB239" s="172"/>
      <c r="AC239" s="172"/>
      <c r="AD239" s="172"/>
      <c r="AE239" s="172"/>
      <c r="AF239" s="172"/>
      <c r="AG239" s="172"/>
      <c r="AH239" s="172"/>
      <c r="AI239" s="172"/>
      <c r="AJ239" s="172"/>
    </row>
    <row r="240" spans="5:36" x14ac:dyDescent="0.25">
      <c r="AB240" s="172"/>
      <c r="AC240" s="172"/>
      <c r="AD240" s="172"/>
      <c r="AE240" s="172"/>
      <c r="AF240" s="172"/>
      <c r="AG240" s="172"/>
      <c r="AH240" s="172"/>
      <c r="AI240" s="172"/>
      <c r="AJ240" s="172"/>
    </row>
    <row r="241" spans="28:36" x14ac:dyDescent="0.25">
      <c r="AB241" s="172"/>
      <c r="AC241" s="172"/>
      <c r="AD241" s="172"/>
      <c r="AE241" s="172"/>
      <c r="AF241" s="172"/>
      <c r="AG241" s="172"/>
      <c r="AH241" s="172"/>
      <c r="AI241" s="172"/>
      <c r="AJ241" s="172"/>
    </row>
    <row r="242" spans="28:36" x14ac:dyDescent="0.25">
      <c r="AB242" s="172"/>
      <c r="AC242" s="172"/>
      <c r="AD242" s="172"/>
      <c r="AE242" s="172"/>
      <c r="AF242" s="172"/>
      <c r="AG242" s="172"/>
      <c r="AH242" s="172"/>
      <c r="AI242" s="172"/>
      <c r="AJ242" s="172"/>
    </row>
    <row r="243" spans="28:36" x14ac:dyDescent="0.25">
      <c r="AB243" s="172"/>
      <c r="AC243" s="172"/>
      <c r="AD243" s="172"/>
      <c r="AE243" s="172"/>
      <c r="AF243" s="172"/>
      <c r="AG243" s="172"/>
      <c r="AH243" s="172"/>
      <c r="AI243" s="172"/>
      <c r="AJ243" s="172"/>
    </row>
    <row r="244" spans="28:36" x14ac:dyDescent="0.25">
      <c r="AB244" s="172"/>
      <c r="AC244" s="172"/>
      <c r="AD244" s="172"/>
      <c r="AE244" s="172"/>
      <c r="AF244" s="172"/>
      <c r="AG244" s="172"/>
      <c r="AH244" s="172"/>
      <c r="AI244" s="172"/>
      <c r="AJ244" s="172"/>
    </row>
    <row r="245" spans="28:36" x14ac:dyDescent="0.25">
      <c r="AB245" s="172"/>
      <c r="AC245" s="172"/>
      <c r="AD245" s="172"/>
      <c r="AE245" s="172"/>
      <c r="AF245" s="172"/>
      <c r="AG245" s="172"/>
      <c r="AH245" s="172"/>
      <c r="AI245" s="172"/>
      <c r="AJ245" s="172"/>
    </row>
    <row r="246" spans="28:36" x14ac:dyDescent="0.25">
      <c r="AB246" s="172"/>
      <c r="AC246" s="172"/>
      <c r="AD246" s="172"/>
      <c r="AE246" s="172"/>
      <c r="AF246" s="172"/>
      <c r="AG246" s="172"/>
      <c r="AH246" s="172"/>
      <c r="AI246" s="172"/>
      <c r="AJ246" s="172"/>
    </row>
    <row r="247" spans="28:36" x14ac:dyDescent="0.25">
      <c r="AB247" s="172"/>
      <c r="AC247" s="172"/>
      <c r="AD247" s="172"/>
      <c r="AE247" s="172"/>
      <c r="AF247" s="172"/>
      <c r="AG247" s="172"/>
      <c r="AH247" s="172"/>
      <c r="AI247" s="172"/>
      <c r="AJ247" s="172"/>
    </row>
  </sheetData>
  <mergeCells count="156">
    <mergeCell ref="ID6:IF6"/>
    <mergeCell ref="HQ2:HV2"/>
    <mergeCell ref="HA5:HD5"/>
    <mergeCell ref="HA6:HD6"/>
    <mergeCell ref="HE6:HH6"/>
    <mergeCell ref="HE5:HH5"/>
    <mergeCell ref="HA4:HH4"/>
    <mergeCell ref="HS5:HS8"/>
    <mergeCell ref="HT6:HV6"/>
    <mergeCell ref="HZ6:IA6"/>
    <mergeCell ref="GL5:GL6"/>
    <mergeCell ref="HL7:HL8"/>
    <mergeCell ref="HM7:HM8"/>
    <mergeCell ref="HK7:HK8"/>
    <mergeCell ref="GY6:GZ6"/>
    <mergeCell ref="HO6:HO8"/>
    <mergeCell ref="HN6:HN8"/>
    <mergeCell ref="HO2:HO4"/>
    <mergeCell ref="IC5:IC8"/>
    <mergeCell ref="BY6:CA6"/>
    <mergeCell ref="GE6:GE7"/>
    <mergeCell ref="ES2:FF3"/>
    <mergeCell ref="ES4:EY4"/>
    <mergeCell ref="EV5:EY5"/>
    <mergeCell ref="ES5:EU6"/>
    <mergeCell ref="EZ4:FF4"/>
    <mergeCell ref="FP6:FP7"/>
    <mergeCell ref="FU6:FW6"/>
    <mergeCell ref="FX6:FX7"/>
    <mergeCell ref="GA6:GA7"/>
    <mergeCell ref="FP4:FP5"/>
    <mergeCell ref="FA5:FC6"/>
    <mergeCell ref="FD5:FF5"/>
    <mergeCell ref="EZ5:EZ7"/>
    <mergeCell ref="FO6:FO7"/>
    <mergeCell ref="FZ6:FZ7"/>
    <mergeCell ref="FZ4:FZ5"/>
    <mergeCell ref="FY6:FY7"/>
    <mergeCell ref="FG6:FI6"/>
    <mergeCell ref="FK6:FM6"/>
    <mergeCell ref="AK6:AM6"/>
    <mergeCell ref="AW6:AX6"/>
    <mergeCell ref="AG6:AH6"/>
    <mergeCell ref="AI6:AJ6"/>
    <mergeCell ref="Z6:AC6"/>
    <mergeCell ref="AV2:AV7"/>
    <mergeCell ref="AZ6:BA6"/>
    <mergeCell ref="AW4:AY5"/>
    <mergeCell ref="AQ6:AQ7"/>
    <mergeCell ref="AS2:AT2"/>
    <mergeCell ref="AT7:AT8"/>
    <mergeCell ref="B7:D7"/>
    <mergeCell ref="E7:G7"/>
    <mergeCell ref="V6:V7"/>
    <mergeCell ref="T4:V4"/>
    <mergeCell ref="W5:Y5"/>
    <mergeCell ref="AG4:AJ4"/>
    <mergeCell ref="S6:S7"/>
    <mergeCell ref="P6:P7"/>
    <mergeCell ref="Q4:S4"/>
    <mergeCell ref="N2:Y3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N4:P4"/>
    <mergeCell ref="N6:N7"/>
    <mergeCell ref="O6:O7"/>
    <mergeCell ref="N5:P5"/>
    <mergeCell ref="Q6:R6"/>
    <mergeCell ref="Y6:Y7"/>
    <mergeCell ref="T6:T7"/>
    <mergeCell ref="U6:U7"/>
    <mergeCell ref="T5:V5"/>
    <mergeCell ref="Q5:S5"/>
    <mergeCell ref="Z2:AQ3"/>
    <mergeCell ref="AK4:AQ4"/>
    <mergeCell ref="AK5:AQ5"/>
    <mergeCell ref="AG5:AJ5"/>
    <mergeCell ref="AW2:BE3"/>
    <mergeCell ref="BB4:BB7"/>
    <mergeCell ref="BC6:BD6"/>
    <mergeCell ref="BE6:BE7"/>
    <mergeCell ref="CB6:CE6"/>
    <mergeCell ref="EM6:EO6"/>
    <mergeCell ref="DL5:DN6"/>
    <mergeCell ref="EH5:EJ6"/>
    <mergeCell ref="BC5:BE5"/>
    <mergeCell ref="BS5:CE5"/>
    <mergeCell ref="CF6:CH6"/>
    <mergeCell ref="CV5:DA5"/>
    <mergeCell ref="CL6:CN6"/>
    <mergeCell ref="BO6:BR6"/>
    <mergeCell ref="BF5:BR5"/>
    <mergeCell ref="BC4:BE4"/>
    <mergeCell ref="BF2:ER3"/>
    <mergeCell ref="DX5:DX6"/>
    <mergeCell ref="DY5:EB6"/>
    <mergeCell ref="CY6:DA6"/>
    <mergeCell ref="CV6:CX6"/>
    <mergeCell ref="EC5:ED6"/>
    <mergeCell ref="EE5:EG6"/>
    <mergeCell ref="CI5:CN5"/>
    <mergeCell ref="CO4:DA4"/>
    <mergeCell ref="CO5:CO6"/>
    <mergeCell ref="CP5:CS6"/>
    <mergeCell ref="CT5:CU6"/>
    <mergeCell ref="EW6:EY6"/>
    <mergeCell ref="FD6:FF6"/>
    <mergeCell ref="FJ6:FJ7"/>
    <mergeCell ref="AS7:AS8"/>
    <mergeCell ref="AZ4:BA5"/>
    <mergeCell ref="CF5:CH5"/>
    <mergeCell ref="EK5:EL6"/>
    <mergeCell ref="DB6:DD6"/>
    <mergeCell ref="DE6:DG6"/>
    <mergeCell ref="DB5:DH5"/>
    <mergeCell ref="DI5:DK6"/>
    <mergeCell ref="CI6:CK6"/>
    <mergeCell ref="DO5:DQ6"/>
    <mergeCell ref="DR5:DW6"/>
    <mergeCell ref="BF4:CN4"/>
    <mergeCell ref="BF6:BH6"/>
    <mergeCell ref="BI6:BK6"/>
    <mergeCell ref="BL6:BN6"/>
    <mergeCell ref="BS6:BU6"/>
    <mergeCell ref="BV6:BX6"/>
    <mergeCell ref="GF6:GF7"/>
    <mergeCell ref="HW6:HY6"/>
    <mergeCell ref="GU6:GW6"/>
    <mergeCell ref="GS6:GT6"/>
    <mergeCell ref="HI4:HI7"/>
    <mergeCell ref="EP6:ER6"/>
    <mergeCell ref="EM5:ER5"/>
    <mergeCell ref="DB4:ER4"/>
    <mergeCell ref="FN6:FN7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P6:HP8"/>
    <mergeCell ref="GK5:GK6"/>
    <mergeCell ref="GM5:GN6"/>
  </mergeCells>
  <conditionalFormatting sqref="HI9:HI40 HM9:HM40 AV9:AV40 AV54:AV130 HM54:HM130 HI54:HI130 M8:M130">
    <cfRule type="cellIs" dxfId="17" priority="134" stopIfTrue="1" operator="between">
      <formula>9</formula>
      <formula>9.99</formula>
    </cfRule>
    <cfRule type="cellIs" dxfId="16" priority="135" stopIfTrue="1" operator="between">
      <formula>8</formula>
      <formula>8.99</formula>
    </cfRule>
    <cfRule type="cellIs" dxfId="15" priority="136" stopIfTrue="1" operator="between">
      <formula>7</formula>
      <formula>7.99</formula>
    </cfRule>
    <cfRule type="cellIs" dxfId="14" priority="137" stopIfTrue="1" operator="between">
      <formula>6</formula>
      <formula>6.99</formula>
    </cfRule>
    <cfRule type="cellIs" dxfId="13" priority="138" stopIfTrue="1" operator="between">
      <formula>5</formula>
      <formula>5.99</formula>
    </cfRule>
    <cfRule type="cellIs" dxfId="12" priority="139" stopIfTrue="1" operator="between">
      <formula>4</formula>
      <formula>4.99</formula>
    </cfRule>
    <cfRule type="cellIs" dxfId="11" priority="140" stopIfTrue="1" operator="between">
      <formula>3</formula>
      <formula>3.99</formula>
    </cfRule>
    <cfRule type="cellIs" dxfId="10" priority="141" stopIfTrue="1" operator="between">
      <formula>2</formula>
      <formula>2.99</formula>
    </cfRule>
    <cfRule type="cellIs" dxfId="9" priority="142" stopIfTrue="1" operator="between">
      <formula>1</formula>
      <formula>1.99</formula>
    </cfRule>
  </conditionalFormatting>
  <conditionalFormatting sqref="HN9:HN40 HN54:HN13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3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3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3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3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3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3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3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3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3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35:IB40 IA54:IB130 IA9:IA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8" priority="20" stopIfTrue="1" operator="between">
      <formula>9</formula>
      <formula>9.99</formula>
    </cfRule>
    <cfRule type="cellIs" dxfId="7" priority="21" stopIfTrue="1" operator="between">
      <formula>8</formula>
      <formula>8.99</formula>
    </cfRule>
    <cfRule type="cellIs" dxfId="6" priority="22" stopIfTrue="1" operator="between">
      <formula>7</formula>
      <formula>7.99</formula>
    </cfRule>
    <cfRule type="cellIs" dxfId="5" priority="23" stopIfTrue="1" operator="between">
      <formula>6</formula>
      <formula>6.99</formula>
    </cfRule>
    <cfRule type="cellIs" dxfId="4" priority="24" stopIfTrue="1" operator="between">
      <formula>5</formula>
      <formula>5.99</formula>
    </cfRule>
    <cfRule type="cellIs" dxfId="3" priority="25" stopIfTrue="1" operator="between">
      <formula>4</formula>
      <formula>4.99</formula>
    </cfRule>
    <cfRule type="cellIs" dxfId="2" priority="26" stopIfTrue="1" operator="between">
      <formula>3</formula>
      <formula>3.99</formula>
    </cfRule>
    <cfRule type="cellIs" dxfId="1" priority="27" stopIfTrue="1" operator="between">
      <formula>2</formula>
      <formula>2.99</formula>
    </cfRule>
    <cfRule type="cellIs" dxfId="0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B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C9:IC3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3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F9:IF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10" fitToHeight="0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556" r:id="rId4" name="Button 68">
              <controlPr defaultSize="0" print="0" autoFill="0" autoPict="0" macro="[0]!Create_CAD_Script">
                <anchor moveWithCells="1">
                  <from>
                    <xdr:col>1</xdr:col>
                    <xdr:colOff>95250</xdr:colOff>
                    <xdr:row>0</xdr:row>
                    <xdr:rowOff>57150</xdr:rowOff>
                  </from>
                  <to>
                    <xdr:col>1</xdr:col>
                    <xdr:colOff>571500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BR110"/>
  <sheetViews>
    <sheetView zoomScale="80" zoomScaleNormal="80" workbookViewId="0">
      <selection activeCell="D41" sqref="D41"/>
    </sheetView>
  </sheetViews>
  <sheetFormatPr defaultRowHeight="15" x14ac:dyDescent="0.25"/>
  <cols>
    <col min="1" max="1" width="2.7109375" style="35" customWidth="1"/>
    <col min="2" max="3" width="8.85546875" style="35" customWidth="1"/>
    <col min="4" max="4" width="9.28515625" style="35" customWidth="1"/>
    <col min="5" max="6" width="8.85546875" style="35" customWidth="1"/>
    <col min="7" max="7" width="10" style="35" bestFit="1" customWidth="1"/>
    <col min="8" max="8" width="8.140625" style="35" customWidth="1"/>
    <col min="9" max="9" width="13.42578125" style="35" customWidth="1"/>
    <col min="10" max="10" width="5.5703125" style="35" customWidth="1"/>
    <col min="11" max="11" width="8" style="35" customWidth="1"/>
    <col min="12" max="12" width="2.7109375" style="35" customWidth="1"/>
    <col min="13" max="39" width="9.7109375" style="35" customWidth="1"/>
    <col min="40" max="42" width="10.7109375" style="35" customWidth="1"/>
    <col min="43" max="43" width="2.7109375" style="35" customWidth="1"/>
    <col min="44" max="45" width="10.7109375" style="35" customWidth="1"/>
    <col min="46" max="46" width="2.7109375" style="35" customWidth="1"/>
    <col min="47" max="50" width="9.7109375" style="35" customWidth="1"/>
    <col min="51" max="54" width="10.7109375" style="35" customWidth="1"/>
    <col min="55" max="55" width="2.7109375" style="35" customWidth="1"/>
    <col min="56" max="16384" width="9.140625" style="35"/>
  </cols>
  <sheetData>
    <row r="1" spans="2:70" ht="36.75" customHeight="1" thickBot="1" x14ac:dyDescent="0.3">
      <c r="P1" s="313"/>
      <c r="V1" s="313"/>
      <c r="W1" s="1"/>
      <c r="X1" s="314">
        <f>AX105</f>
        <v>-0.45148763103684125</v>
      </c>
      <c r="Y1" s="313">
        <f>Assy.Model!Y8</f>
        <v>-0.10330031155373964</v>
      </c>
      <c r="AK1" s="1"/>
      <c r="AL1" s="1"/>
    </row>
    <row r="2" spans="2:70" ht="15" customHeight="1" thickBot="1" x14ac:dyDescent="0.3">
      <c r="B2" s="931" t="s">
        <v>44</v>
      </c>
      <c r="C2" s="932"/>
      <c r="D2" s="932"/>
      <c r="E2" s="932"/>
      <c r="F2" s="932"/>
      <c r="G2" s="932"/>
      <c r="H2" s="932"/>
      <c r="I2" s="932"/>
      <c r="J2" s="932"/>
      <c r="K2" s="933"/>
      <c r="L2" s="62"/>
      <c r="M2" s="942" t="s">
        <v>0</v>
      </c>
      <c r="N2" s="881" t="s">
        <v>1</v>
      </c>
      <c r="O2" s="882"/>
      <c r="P2" s="882"/>
      <c r="Q2" s="882"/>
      <c r="R2" s="882"/>
      <c r="S2" s="882"/>
      <c r="T2" s="882"/>
      <c r="U2" s="882"/>
      <c r="V2" s="882"/>
      <c r="W2" s="882"/>
      <c r="X2" s="882"/>
      <c r="Y2" s="916"/>
      <c r="Z2" s="882" t="s">
        <v>2</v>
      </c>
      <c r="AA2" s="882"/>
      <c r="AB2" s="882"/>
      <c r="AC2" s="882"/>
      <c r="AD2" s="882"/>
      <c r="AE2" s="882"/>
      <c r="AF2" s="882"/>
      <c r="AG2" s="882"/>
      <c r="AH2" s="882"/>
      <c r="AI2" s="882"/>
      <c r="AJ2" s="882"/>
      <c r="AK2" s="882"/>
      <c r="AL2" s="882"/>
      <c r="AM2" s="882"/>
      <c r="AN2" s="882"/>
      <c r="AO2" s="882"/>
      <c r="AP2" s="883"/>
      <c r="AR2" s="1007" t="s">
        <v>47</v>
      </c>
      <c r="AS2" s="1008"/>
      <c r="AU2" s="1173" t="str">
        <f>M2</f>
        <v>CS-Name</v>
      </c>
      <c r="AV2" s="1165" t="s">
        <v>116</v>
      </c>
      <c r="AW2" s="1166"/>
      <c r="AX2" s="1166"/>
      <c r="AY2" s="1166"/>
      <c r="AZ2" s="1166"/>
      <c r="BA2" s="1167"/>
    </row>
    <row r="3" spans="2:70" ht="15" customHeight="1" x14ac:dyDescent="0.25">
      <c r="B3" s="934"/>
      <c r="C3" s="935"/>
      <c r="D3" s="935"/>
      <c r="E3" s="935"/>
      <c r="F3" s="935"/>
      <c r="G3" s="935"/>
      <c r="H3" s="935"/>
      <c r="I3" s="935"/>
      <c r="J3" s="935"/>
      <c r="K3" s="936"/>
      <c r="L3" s="62"/>
      <c r="M3" s="934"/>
      <c r="N3" s="917"/>
      <c r="O3" s="918"/>
      <c r="P3" s="918"/>
      <c r="Q3" s="918"/>
      <c r="R3" s="918"/>
      <c r="S3" s="918"/>
      <c r="T3" s="918"/>
      <c r="U3" s="918"/>
      <c r="V3" s="918"/>
      <c r="W3" s="918"/>
      <c r="X3" s="918"/>
      <c r="Y3" s="919"/>
      <c r="Z3" s="885"/>
      <c r="AA3" s="885"/>
      <c r="AB3" s="885"/>
      <c r="AC3" s="885"/>
      <c r="AD3" s="885"/>
      <c r="AE3" s="885"/>
      <c r="AF3" s="885"/>
      <c r="AG3" s="885"/>
      <c r="AH3" s="885"/>
      <c r="AI3" s="885"/>
      <c r="AJ3" s="885"/>
      <c r="AK3" s="885"/>
      <c r="AL3" s="885"/>
      <c r="AM3" s="885"/>
      <c r="AN3" s="885"/>
      <c r="AO3" s="885"/>
      <c r="AP3" s="886"/>
      <c r="AR3" s="130">
        <v>70</v>
      </c>
      <c r="AS3" s="131" t="s">
        <v>48</v>
      </c>
      <c r="AU3" s="1174"/>
      <c r="AV3" s="1168"/>
      <c r="AW3" s="1169"/>
      <c r="AX3" s="1169"/>
      <c r="AY3" s="1169"/>
      <c r="AZ3" s="1169"/>
      <c r="BA3" s="1170"/>
    </row>
    <row r="4" spans="2:70" ht="15" customHeight="1" x14ac:dyDescent="0.25">
      <c r="B4" s="937"/>
      <c r="C4" s="938"/>
      <c r="D4" s="938"/>
      <c r="E4" s="938"/>
      <c r="F4" s="938"/>
      <c r="G4" s="938"/>
      <c r="H4" s="938"/>
      <c r="I4" s="938"/>
      <c r="J4" s="938"/>
      <c r="K4" s="939"/>
      <c r="L4" s="62"/>
      <c r="M4" s="934"/>
      <c r="N4" s="944" t="s">
        <v>3</v>
      </c>
      <c r="O4" s="941"/>
      <c r="P4" s="941"/>
      <c r="Q4" s="940" t="s">
        <v>4</v>
      </c>
      <c r="R4" s="941"/>
      <c r="S4" s="982"/>
      <c r="T4" s="978" t="str">
        <f>N4</f>
        <v>Cartesian Coordinates</v>
      </c>
      <c r="U4" s="923"/>
      <c r="V4" s="979"/>
      <c r="W4" s="923" t="str">
        <f>Q4</f>
        <v>Polar XY; Cartesian Z</v>
      </c>
      <c r="X4" s="923"/>
      <c r="Y4" s="924"/>
      <c r="Z4" s="944" t="s">
        <v>3</v>
      </c>
      <c r="AA4" s="941"/>
      <c r="AB4" s="941"/>
      <c r="AC4" s="941"/>
      <c r="AD4" s="941"/>
      <c r="AE4" s="941"/>
      <c r="AF4" s="941"/>
      <c r="AG4" s="981" t="s">
        <v>33</v>
      </c>
      <c r="AH4" s="941"/>
      <c r="AI4" s="941"/>
      <c r="AJ4" s="982"/>
      <c r="AK4" s="965" t="s">
        <v>34</v>
      </c>
      <c r="AL4" s="966"/>
      <c r="AM4" s="966"/>
      <c r="AN4" s="966"/>
      <c r="AO4" s="966"/>
      <c r="AP4" s="967"/>
      <c r="AR4" s="132">
        <v>120</v>
      </c>
      <c r="AS4" s="133" t="s">
        <v>49</v>
      </c>
      <c r="AU4" s="1174"/>
      <c r="AV4" s="1153" t="str">
        <f>N2</f>
        <v>PDC Position</v>
      </c>
      <c r="AW4" s="1154"/>
      <c r="AX4" s="1155"/>
      <c r="AY4" s="1176" t="str">
        <f>Z2</f>
        <v>PDC Orientation</v>
      </c>
      <c r="AZ4" s="1176"/>
      <c r="BA4" s="1177"/>
    </row>
    <row r="5" spans="2:70" ht="15" customHeight="1" x14ac:dyDescent="0.25">
      <c r="B5" s="925" t="str">
        <f>CONCATENATE(B7," ; ",E7," ; ",H8)</f>
        <v>Absolute-Point ; Incremental-Vector Point ; Radius</v>
      </c>
      <c r="C5" s="926"/>
      <c r="D5" s="926"/>
      <c r="E5" s="926"/>
      <c r="F5" s="926"/>
      <c r="G5" s="926"/>
      <c r="H5" s="926"/>
      <c r="I5" s="926"/>
      <c r="J5" s="926"/>
      <c r="K5" s="927"/>
      <c r="L5" s="62"/>
      <c r="M5" s="934"/>
      <c r="N5" s="950" t="s">
        <v>5</v>
      </c>
      <c r="O5" s="951"/>
      <c r="P5" s="951"/>
      <c r="Q5" s="962" t="s">
        <v>6</v>
      </c>
      <c r="R5" s="951"/>
      <c r="S5" s="963"/>
      <c r="T5" s="960" t="str">
        <f>CONCATENATE("Relative to ",M8,"'s θ &amp; Z; Z Axis")</f>
        <v>Relative to 1.05's θ &amp; Z; Z Axis</v>
      </c>
      <c r="U5" s="912"/>
      <c r="V5" s="961"/>
      <c r="W5" s="912" t="str">
        <f>CONCATENATE("Relative to ",M8,"'s θ &amp; Z; Z Axis")</f>
        <v>Relative to 1.05's θ &amp; Z; Z Axis</v>
      </c>
      <c r="X5" s="912"/>
      <c r="Y5" s="980"/>
      <c r="Z5" s="945" t="str">
        <f>N5</f>
        <v>Relative to World_CS</v>
      </c>
      <c r="AA5" s="912"/>
      <c r="AB5" s="912"/>
      <c r="AC5" s="912"/>
      <c r="AD5" s="912"/>
      <c r="AE5" s="912"/>
      <c r="AF5" s="912"/>
      <c r="AG5" s="960" t="str">
        <f>N5</f>
        <v>Relative to World_CS</v>
      </c>
      <c r="AH5" s="912"/>
      <c r="AI5" s="912"/>
      <c r="AJ5" s="913"/>
      <c r="AK5" s="968" t="s">
        <v>7</v>
      </c>
      <c r="AL5" s="951"/>
      <c r="AM5" s="951"/>
      <c r="AN5" s="951"/>
      <c r="AO5" s="951"/>
      <c r="AP5" s="963"/>
      <c r="AR5" s="134">
        <f>((AR4*12)/60)/AR3</f>
        <v>0.34285714285714286</v>
      </c>
      <c r="AS5" s="133" t="s">
        <v>50</v>
      </c>
      <c r="AU5" s="1174"/>
      <c r="AV5" s="1156" t="str">
        <f>W4</f>
        <v>Polar XY; Cartesian Z</v>
      </c>
      <c r="AW5" s="1157"/>
      <c r="AX5" s="1158"/>
      <c r="AY5" s="1157" t="str">
        <f>AK4</f>
        <v>Polar Z Projection → XZ Plane</v>
      </c>
      <c r="AZ5" s="1157"/>
      <c r="BA5" s="1158"/>
    </row>
    <row r="6" spans="2:70" ht="15" customHeight="1" thickBot="1" x14ac:dyDescent="0.3">
      <c r="B6" s="928"/>
      <c r="C6" s="929"/>
      <c r="D6" s="929"/>
      <c r="E6" s="929"/>
      <c r="F6" s="929"/>
      <c r="G6" s="929"/>
      <c r="H6" s="929"/>
      <c r="I6" s="929"/>
      <c r="J6" s="929"/>
      <c r="K6" s="930"/>
      <c r="L6" s="62"/>
      <c r="M6" s="934"/>
      <c r="N6" s="946" t="s">
        <v>8</v>
      </c>
      <c r="O6" s="948" t="s">
        <v>9</v>
      </c>
      <c r="P6" s="985" t="s">
        <v>10</v>
      </c>
      <c r="Q6" s="952" t="s">
        <v>11</v>
      </c>
      <c r="R6" s="953"/>
      <c r="S6" s="983" t="s">
        <v>10</v>
      </c>
      <c r="T6" s="956" t="str">
        <f>N6</f>
        <v>X</v>
      </c>
      <c r="U6" s="958" t="str">
        <f>O6</f>
        <v>Y</v>
      </c>
      <c r="V6" s="976" t="str">
        <f>P6</f>
        <v>Z</v>
      </c>
      <c r="W6" s="890" t="str">
        <f>Q6</f>
        <v>Projected XY</v>
      </c>
      <c r="X6" s="891"/>
      <c r="Y6" s="954" t="str">
        <f>S6</f>
        <v>Z</v>
      </c>
      <c r="Z6" s="993" t="s">
        <v>12</v>
      </c>
      <c r="AA6" s="935"/>
      <c r="AB6" s="935"/>
      <c r="AC6" s="994"/>
      <c r="AD6" s="940" t="s">
        <v>13</v>
      </c>
      <c r="AE6" s="941"/>
      <c r="AF6" s="941"/>
      <c r="AG6" s="981" t="s">
        <v>7</v>
      </c>
      <c r="AH6" s="941"/>
      <c r="AI6" s="940" t="s">
        <v>14</v>
      </c>
      <c r="AJ6" s="982"/>
      <c r="AK6" s="978" t="str">
        <f>AD6</f>
        <v>Unit Vector</v>
      </c>
      <c r="AL6" s="923"/>
      <c r="AM6" s="987"/>
      <c r="AN6" s="63" t="s">
        <v>15</v>
      </c>
      <c r="AO6" s="64" t="s">
        <v>16</v>
      </c>
      <c r="AP6" s="2" t="s">
        <v>17</v>
      </c>
      <c r="AR6" s="135">
        <f>AR5/360</f>
        <v>9.5238095238095238E-4</v>
      </c>
      <c r="AS6" s="136" t="s">
        <v>51</v>
      </c>
      <c r="AU6" s="1174"/>
      <c r="AV6" s="1162" t="str">
        <f>W5</f>
        <v>Relative to 1.05's θ &amp; Z; Z Axis</v>
      </c>
      <c r="AW6" s="1163"/>
      <c r="AX6" s="1164"/>
      <c r="AY6" s="1163" t="str">
        <f>AK5</f>
        <v>Vector Along X Axis</v>
      </c>
      <c r="AZ6" s="1163"/>
      <c r="BA6" s="1164"/>
    </row>
    <row r="7" spans="2:70" ht="15" customHeight="1" thickBot="1" x14ac:dyDescent="0.3">
      <c r="B7" s="971" t="s">
        <v>42</v>
      </c>
      <c r="C7" s="972"/>
      <c r="D7" s="973"/>
      <c r="E7" s="974" t="s">
        <v>43</v>
      </c>
      <c r="F7" s="972"/>
      <c r="G7" s="975"/>
      <c r="H7" s="1040"/>
      <c r="I7" s="895"/>
      <c r="J7" s="1021"/>
      <c r="K7" s="312"/>
      <c r="L7" s="62"/>
      <c r="M7" s="943"/>
      <c r="N7" s="947"/>
      <c r="O7" s="949"/>
      <c r="P7" s="986"/>
      <c r="Q7" s="65" t="s">
        <v>18</v>
      </c>
      <c r="R7" s="3" t="s">
        <v>19</v>
      </c>
      <c r="S7" s="984"/>
      <c r="T7" s="957"/>
      <c r="U7" s="959"/>
      <c r="V7" s="977"/>
      <c r="W7" s="66" t="str">
        <f>Q7</f>
        <v>&lt; θ°</v>
      </c>
      <c r="X7" s="39" t="str">
        <f>R7</f>
        <v>r</v>
      </c>
      <c r="Y7" s="955"/>
      <c r="Z7" s="94" t="str">
        <f>E8</f>
        <v>Delta X</v>
      </c>
      <c r="AA7" s="39" t="str">
        <f>F8</f>
        <v>Delta Y</v>
      </c>
      <c r="AB7" s="39" t="str">
        <f>G8</f>
        <v>Delta Z</v>
      </c>
      <c r="AC7" s="4" t="s">
        <v>23</v>
      </c>
      <c r="AD7" s="38" t="str">
        <f>Z7</f>
        <v>Delta X</v>
      </c>
      <c r="AE7" s="39" t="str">
        <f>AA7</f>
        <v>Delta Y</v>
      </c>
      <c r="AF7" s="40" t="str">
        <f>AB7</f>
        <v>Delta Z</v>
      </c>
      <c r="AG7" s="67" t="s">
        <v>15</v>
      </c>
      <c r="AH7" s="68" t="s">
        <v>16</v>
      </c>
      <c r="AI7" s="60" t="s">
        <v>24</v>
      </c>
      <c r="AJ7" s="120" t="s">
        <v>25</v>
      </c>
      <c r="AK7" s="41" t="str">
        <f>Z7</f>
        <v>Delta X</v>
      </c>
      <c r="AL7" s="39" t="str">
        <f>AA7</f>
        <v>Delta Y</v>
      </c>
      <c r="AM7" s="42" t="str">
        <f>AB7</f>
        <v>Delta Z</v>
      </c>
      <c r="AN7" s="69" t="s">
        <v>26</v>
      </c>
      <c r="AO7" s="70" t="s">
        <v>27</v>
      </c>
      <c r="AP7" s="71" t="s">
        <v>28</v>
      </c>
      <c r="AR7" s="875" t="s">
        <v>64</v>
      </c>
      <c r="AS7" s="1009" t="s">
        <v>63</v>
      </c>
      <c r="AU7" s="1174"/>
      <c r="AV7" s="1159" t="str">
        <f>$W$6</f>
        <v>Projected XY</v>
      </c>
      <c r="AW7" s="1160"/>
      <c r="AX7" s="1171" t="str">
        <f>$Y$6</f>
        <v>Z</v>
      </c>
      <c r="AY7" s="315" t="str">
        <f>$AN$6</f>
        <v>&lt;X°</v>
      </c>
      <c r="AZ7" s="90" t="str">
        <f>$AO$6</f>
        <v>&lt;Y°</v>
      </c>
      <c r="BA7" s="321" t="str">
        <f>$AP$6</f>
        <v>Projection</v>
      </c>
      <c r="BB7" s="1161" t="s">
        <v>117</v>
      </c>
    </row>
    <row r="8" spans="2:70" ht="15" customHeight="1" thickTop="1" thickBot="1" x14ac:dyDescent="0.3">
      <c r="B8" s="72" t="s">
        <v>8</v>
      </c>
      <c r="C8" s="3" t="s">
        <v>9</v>
      </c>
      <c r="D8" s="68" t="s">
        <v>10</v>
      </c>
      <c r="E8" s="60" t="s">
        <v>20</v>
      </c>
      <c r="F8" s="3" t="s">
        <v>21</v>
      </c>
      <c r="G8" s="4" t="s">
        <v>22</v>
      </c>
      <c r="H8" s="298" t="s">
        <v>29</v>
      </c>
      <c r="I8" s="299" t="s">
        <v>30</v>
      </c>
      <c r="J8" s="70" t="s">
        <v>31</v>
      </c>
      <c r="K8" s="308" t="s">
        <v>32</v>
      </c>
      <c r="L8" s="62"/>
      <c r="M8" s="30">
        <f>IF(M12=0,"",M12)</f>
        <v>1.05</v>
      </c>
      <c r="N8" s="73">
        <f>IFERROR(VLOOKUP($M8,$M$9:$AP$67,2,1),"")</f>
        <v>3.2624510081648035</v>
      </c>
      <c r="O8" s="74">
        <f>IFERROR(VLOOKUP($M8,$M$9:$AP$67,3,1),"")</f>
        <v>-1.3226883782419679E-4</v>
      </c>
      <c r="P8" s="75">
        <f>IFERROR(VLOOKUP($M8,$M$9:$AP$67,4,1),"")</f>
        <v>-0.2263280878043665</v>
      </c>
      <c r="Q8" s="76">
        <f>IFERROR(VLOOKUP($M8,$M$9:$AP$67,5,1),"")</f>
        <v>359.99767706974131</v>
      </c>
      <c r="R8" s="77">
        <f>IFERROR(VLOOKUP($M8,$M$9:$AP$67,6,1),"")</f>
        <v>3.2624510108460769</v>
      </c>
      <c r="S8" s="78">
        <f>IFERROR(VLOOKUP($M8,$M$9:$AP$67,7,1),"")</f>
        <v>-0.2263280878043665</v>
      </c>
      <c r="T8" s="79">
        <f>IFERROR(VLOOKUP($M8,$M$9:$AP$67,8,1),"")</f>
        <v>3.2624510108460769</v>
      </c>
      <c r="U8" s="74">
        <f>IFERROR(VLOOKUP($M8,$M$9:$AP$67,9,1),"")</f>
        <v>0</v>
      </c>
      <c r="V8" s="80">
        <f>IFERROR(VLOOKUP($M8,$M$9:$AP$67,10,1),"")</f>
        <v>-0.10330031155373964</v>
      </c>
      <c r="W8" s="81">
        <f>IFERROR(VLOOKUP($M8,$M$9:$AP$67,11,1),"")</f>
        <v>0</v>
      </c>
      <c r="X8" s="77">
        <f>IFERROR(VLOOKUP($M8,$M$9:$AP$67,12,1),"")</f>
        <v>3.2624510108460769</v>
      </c>
      <c r="Y8" s="82">
        <f>IFERROR(VLOOKUP($M8,$M$9:$AP$67,13,1),"")</f>
        <v>-0.10330031155373964</v>
      </c>
      <c r="Z8" s="83">
        <f>IFERROR(VLOOKUP($M8,$M$9:$AP$67,14,1),"")</f>
        <v>-0.11657789518636057</v>
      </c>
      <c r="AA8" s="74">
        <f>IFERROR(VLOOKUP($M8,$M$9:$AP$67,15,1),"")</f>
        <v>-0.94199988464538942</v>
      </c>
      <c r="AB8" s="74">
        <f>IFERROR(VLOOKUP($M8,$M$9:$AP$67,16,1),"")</f>
        <v>-0.31471474695188784</v>
      </c>
      <c r="AC8" s="84">
        <f>IFERROR(VLOOKUP($M8,$M$9:$AP$67,17,1),"")</f>
        <v>0.99999978013347568</v>
      </c>
      <c r="AD8" s="85">
        <f>IFERROR(VLOOKUP($M8,$M$9:$AP$67,18,1),"")</f>
        <v>-0.11657792081794284</v>
      </c>
      <c r="AE8" s="74">
        <f>IFERROR(VLOOKUP($M8,$M$9:$AP$67,19,1),"")</f>
        <v>-0.94200009175967558</v>
      </c>
      <c r="AF8" s="75">
        <f>IFERROR(VLOOKUP($M8,$M$9:$AP$67,20,1),"")</f>
        <v>-0.31471481614714064</v>
      </c>
      <c r="AG8" s="86">
        <f>IFERROR(VLOOKUP($M8,$M$9:$AP$67,21,1),"")</f>
        <v>-71.525931879412681</v>
      </c>
      <c r="AH8" s="87">
        <f>IFERROR(VLOOKUP($M8,$M$9:$AP$67,21,1),"")</f>
        <v>-71.525931879412681</v>
      </c>
      <c r="AI8" s="76">
        <f>IFERROR(VLOOKUP($M8,$M$9:$AP$67,23,1),"")</f>
        <v>-71.65640163131377</v>
      </c>
      <c r="AJ8" s="88">
        <f>IFERROR(VLOOKUP($M8,$M$9:$AP$67,24,1),"")</f>
        <v>-7.0548117112367237</v>
      </c>
      <c r="AK8" s="79">
        <f>IFERROR(VLOOKUP($M8,$M$9:$AP$67,25,1),"")</f>
        <v>0.94200481737863262</v>
      </c>
      <c r="AL8" s="74">
        <f>IFERROR(VLOOKUP($M8,$M$9:$AP$67,26,1),"")</f>
        <v>-0.11653972941843008</v>
      </c>
      <c r="AM8" s="78">
        <f>IFERROR(VLOOKUP($M8,$M$9:$AP$67,27,1),"")</f>
        <v>-0.31471481614714064</v>
      </c>
      <c r="AN8" s="81">
        <f>IFERROR(VLOOKUP($M8,$M$9:$AP$67,28,1),"")</f>
        <v>-20.319724548480867</v>
      </c>
      <c r="AO8" s="84">
        <f>IFERROR(VLOOKUP($M8,$M$9:$AP$67,29,1),"")</f>
        <v>19.608988250138228</v>
      </c>
      <c r="AP8" s="89">
        <f>IFERROR(VLOOKUP($M8,$M$9:$AP$67,30,1),"")</f>
        <v>-7.0524887809780328</v>
      </c>
      <c r="AR8" s="876"/>
      <c r="AS8" s="1010"/>
      <c r="AU8" s="1175"/>
      <c r="AV8" s="91" t="str">
        <f>$W$7</f>
        <v>&lt; θ°</v>
      </c>
      <c r="AW8" s="92" t="str">
        <f>$X$7</f>
        <v>r</v>
      </c>
      <c r="AX8" s="1172"/>
      <c r="AY8" s="316" t="str">
        <f>$AN$7</f>
        <v>Tilt</v>
      </c>
      <c r="AZ8" s="93" t="str">
        <f>$AO$7</f>
        <v>Back Rake</v>
      </c>
      <c r="BA8" s="322" t="str">
        <f>$AP$7</f>
        <v>Side Rake</v>
      </c>
      <c r="BB8" s="1161"/>
    </row>
    <row r="9" spans="2:70" ht="15.75" thickTop="1" x14ac:dyDescent="0.25">
      <c r="B9" s="137">
        <v>1.0323191154339995</v>
      </c>
      <c r="C9" s="138">
        <v>5.3493432932005341E-2</v>
      </c>
      <c r="D9" s="139">
        <v>-0.42323245963906025</v>
      </c>
      <c r="E9" s="140">
        <v>-3.6173712699698109E-2</v>
      </c>
      <c r="F9" s="138">
        <v>0.96297238721849543</v>
      </c>
      <c r="G9" s="141">
        <v>0.26716378219779652</v>
      </c>
      <c r="H9" s="140">
        <v>0.31432900000000003</v>
      </c>
      <c r="I9" s="142" t="s">
        <v>111</v>
      </c>
      <c r="J9" s="309">
        <v>1.02</v>
      </c>
      <c r="K9" s="302" t="s">
        <v>110</v>
      </c>
      <c r="M9" s="37">
        <f>IF(J9="","",J9)</f>
        <v>1.02</v>
      </c>
      <c r="N9" s="27">
        <f>IF(M9="","",B9)</f>
        <v>1.0323191154339995</v>
      </c>
      <c r="O9" s="23">
        <f>IF(M9="","",C9)</f>
        <v>5.3493432932005341E-2</v>
      </c>
      <c r="P9" s="29">
        <f>IF(M9="","",D9)</f>
        <v>-0.42323245963906025</v>
      </c>
      <c r="Q9" s="32">
        <f>IF(M9="","",IF(DEGREES(ATAN2(N9,O9))&lt;0,DEGREES(ATAN2(N9,O9))+360,IF(DEGREES(ATAN2(N9,O9))&gt;360,DEGREES(ATAN2(N9,O9))-360,DEGREES(ATAN2(N9,O9)))))</f>
        <v>2.9663395692637895</v>
      </c>
      <c r="R9" s="23">
        <f>IF(M9="","",SQRT(N9^2+O9^2))</f>
        <v>1.0337041663151436</v>
      </c>
      <c r="S9" s="26">
        <f>IF(M9="","",P9)</f>
        <v>-0.42323245963906025</v>
      </c>
      <c r="T9" s="31">
        <f>IF(M9="","",X9*COS(RADIANS(W9)))</f>
        <v>1.032316945813027</v>
      </c>
      <c r="U9" s="23">
        <f>IF(M9="","",X9*SIN(RADIANS(W9)))</f>
        <v>5.3535285976166816E-2</v>
      </c>
      <c r="V9" s="33">
        <f>IF(M9="","",Y9)</f>
        <v>-0.30020468338843342</v>
      </c>
      <c r="W9" s="32">
        <f>IF(M9="","",IF(Q9-$Q$8&lt;0,360+Q9-$Q$8,Q9-$Q$8))</f>
        <v>2.968662499522452</v>
      </c>
      <c r="X9" s="7">
        <f>IF(M9="","",R9)</f>
        <v>1.0337041663151436</v>
      </c>
      <c r="Y9" s="9">
        <f>IF(M9="","",(S9-$S$8)+$Y$1)</f>
        <v>-0.30020468338843342</v>
      </c>
      <c r="Z9" s="27">
        <f>IF(M9="","",-E9)</f>
        <v>3.6173712699698109E-2</v>
      </c>
      <c r="AA9" s="23">
        <f>IF(M9="","",-F9)</f>
        <v>-0.96297238721849543</v>
      </c>
      <c r="AB9" s="23">
        <f>IF(M9="","",-G9)</f>
        <v>-0.26716378219779652</v>
      </c>
      <c r="AC9" s="33">
        <f>IF(M9="","",SQRT(Z9^2+AA9^2+AB9^2))</f>
        <v>1.0000004212769111</v>
      </c>
      <c r="AD9" s="32">
        <f>IF(M9="","",Z9*(1/SQRT(Z9^2+AA9^2+AB9^2)))</f>
        <v>3.6173697460554578E-2</v>
      </c>
      <c r="AE9" s="23">
        <f>IF(M9="","",AA9*(1/SQRT(Z9^2+AA9^2+AB9^2)))</f>
        <v>-0.96297198154063357</v>
      </c>
      <c r="AF9" s="29">
        <f>IF(M9="","",AB9*(1/SQRT(Z9^2+AA9^2+AB9^2)))</f>
        <v>-0.267163669647911</v>
      </c>
      <c r="AG9" s="31">
        <f>IF(M9="","",DEGREES(ATAN2(-AF9,AE9)))</f>
        <v>-74.494038511340648</v>
      </c>
      <c r="AH9" s="29">
        <f>IF(M9="","",DEGREES(ACOS(AD9)))</f>
        <v>87.926947527627618</v>
      </c>
      <c r="AI9" s="32">
        <f>IF(M9="","",DEGREES(-ACOS(-AF9)))</f>
        <v>-74.504441865798981</v>
      </c>
      <c r="AJ9" s="26">
        <f>IF(M9="","",DEGREES(ATAN2(-AE9,AD9)))</f>
        <v>2.1512839153282268</v>
      </c>
      <c r="AK9" s="31">
        <f>IF(M9="","",(COS(RADIANS((90-$Q$8)-W9))*AD9)+(-SIN(RADIANS((90-$Q$8)-W9))*AE9))</f>
        <v>0.9635536664046912</v>
      </c>
      <c r="AL9" s="23">
        <f>IF(M9="","",(SIN(RADIANS((90-$Q$8)-W9))*AD9)+(COS(RADIANS((90-$Q$8)-W9))*AE9))</f>
        <v>-1.3707865564669908E-2</v>
      </c>
      <c r="AM9" s="26">
        <f>IF(M9="","",AF9)</f>
        <v>-0.267163669647911</v>
      </c>
      <c r="AN9" s="6">
        <f>IF(M9="","",DEGREES(ATAN2(-AM9,AL9)))</f>
        <v>-2.9372059212652304</v>
      </c>
      <c r="AO9" s="10">
        <f>IF(M9="","",DEGREES(ACOS(AK9)))</f>
        <v>15.516454534302222</v>
      </c>
      <c r="AP9" s="28">
        <f>IF(M9="","",DEGREES(ATAN2(AK9,AL9)))</f>
        <v>-0.81505565393555224</v>
      </c>
      <c r="AR9" s="121">
        <f>IF(M9="","",IF(W9&lt;=LARGE($W$9:$W$18,1),W9,W9-360))</f>
        <v>2.968662499522452</v>
      </c>
      <c r="AS9" s="122">
        <f t="shared" ref="AS9:AS58" si="0">IF(M9="","",Y9+(((AR9-$AR$9)*$AR$6)*-1))</f>
        <v>-0.30020468338843342</v>
      </c>
      <c r="AU9" s="52">
        <f>M9</f>
        <v>1.02</v>
      </c>
      <c r="AV9" s="43">
        <f>IF(M9="","",Assy.Model!W9-W9)</f>
        <v>-2.0596626307657999</v>
      </c>
      <c r="AW9" s="44">
        <f>IF(M9="","",Assy.Model!X9-X9)</f>
        <v>-0.6912031333320281</v>
      </c>
      <c r="AX9" s="57">
        <f>IF(M9="","",Assy.Model!Y9-Y9)</f>
        <v>-0.20369683637855029</v>
      </c>
      <c r="AY9" s="317">
        <f>IF(M9="","",Assy.Model!AN9-AN9)</f>
        <v>17.937203755533492</v>
      </c>
      <c r="AZ9" s="45">
        <f>IF(M9="","",Assy.Model!AO9-AO9)</f>
        <v>4.4835425780554576</v>
      </c>
      <c r="BA9" s="323">
        <f>IF(M9="","",Assy.Model!AP9-AP9)</f>
        <v>6.1965744161750305</v>
      </c>
      <c r="BB9" s="290">
        <f>IF(M9="","",SQRT((Assy.Model!T9-T9)^2+(Assy.Model!U9-U9)^2+(Assy.Model!V9-V9)^2))</f>
        <v>0.72091028438136695</v>
      </c>
      <c r="BD9" s="35">
        <v>1.02</v>
      </c>
      <c r="BE9" s="35">
        <v>-1.5511053562203454</v>
      </c>
      <c r="BF9" s="35">
        <v>-3.3089805189141508E-3</v>
      </c>
      <c r="BG9" s="35">
        <v>-6.8419999999995706E-3</v>
      </c>
      <c r="BH9" s="35">
        <v>2.8271317887046896</v>
      </c>
      <c r="BI9" s="35">
        <v>-0.53892799982392603</v>
      </c>
      <c r="BJ9" s="35">
        <v>0.82601148250049405</v>
      </c>
      <c r="BK9" s="35">
        <v>2.8886064085085993E-2</v>
      </c>
      <c r="BM9" s="35">
        <v>1.028872</v>
      </c>
      <c r="BN9" s="35">
        <v>6.7831000000000002E-2</v>
      </c>
      <c r="BO9" s="35">
        <v>13.261676</v>
      </c>
      <c r="BP9" s="35">
        <v>-3.0700000000000002E-2</v>
      </c>
      <c r="BQ9" s="35">
        <v>0.96332499999999999</v>
      </c>
      <c r="BR9" s="35">
        <v>0.26657700000000001</v>
      </c>
    </row>
    <row r="10" spans="2:70" x14ac:dyDescent="0.25">
      <c r="B10" s="143">
        <v>1.7797188573560012</v>
      </c>
      <c r="C10" s="144">
        <v>5.6193344185728814E-2</v>
      </c>
      <c r="D10" s="145">
        <v>-0.228506257775655</v>
      </c>
      <c r="E10" s="146">
        <v>-2.4690881344937448E-2</v>
      </c>
      <c r="F10" s="144">
        <v>0.93907036577362124</v>
      </c>
      <c r="G10" s="147">
        <v>0.34283691917471121</v>
      </c>
      <c r="H10" s="146">
        <v>0.314272</v>
      </c>
      <c r="I10" s="148" t="s">
        <v>111</v>
      </c>
      <c r="J10" s="310">
        <v>1.03</v>
      </c>
      <c r="K10" s="303" t="s">
        <v>110</v>
      </c>
      <c r="M10" s="5">
        <f t="shared" ref="M10:M73" si="1">IF(J10="","",J10)</f>
        <v>1.03</v>
      </c>
      <c r="N10" s="24">
        <f t="shared" ref="N10:N73" si="2">IF(M10="","",B10)</f>
        <v>1.7797188573560012</v>
      </c>
      <c r="O10" s="7">
        <f t="shared" ref="O10:O73" si="3">IF(M10="","",C10)</f>
        <v>5.6193344185728814E-2</v>
      </c>
      <c r="P10" s="12">
        <f t="shared" ref="P10:P73" si="4">IF(M10="","",D10)</f>
        <v>-0.228506257775655</v>
      </c>
      <c r="Q10" s="11">
        <f>IF(M10="","",IF(DEGREES(ATAN2(N10,O10))&lt;0,DEGREES(ATAN2(N10,O10))+360,IF(DEGREES(ATAN2(N10,O10))&gt;360,DEGREES(ATAN2(N10,O10))-360,DEGREES(ATAN2(N10,O10)))))</f>
        <v>1.8084722539785136</v>
      </c>
      <c r="R10" s="7">
        <f t="shared" ref="R10:R73" si="5">IF(M10="","",SQRT(N10^2+O10^2))</f>
        <v>1.7806057685965544</v>
      </c>
      <c r="S10" s="8">
        <f t="shared" ref="S10:S73" si="6">IF(M10="","",P10)</f>
        <v>-0.228506257775655</v>
      </c>
      <c r="T10" s="6">
        <f t="shared" ref="T10:T73" si="7">IF(M10="","",X10*COS(RADIANS(W10)))</f>
        <v>1.7797165776588604</v>
      </c>
      <c r="U10" s="7">
        <f t="shared" ref="U10:U73" si="8">IF(M10="","",X10*SIN(RADIANS(W10)))</f>
        <v>5.6265498891949428E-2</v>
      </c>
      <c r="V10" s="10">
        <f t="shared" ref="V10:V73" si="9">IF(M10="","",Y10)</f>
        <v>-0.10547848152502814</v>
      </c>
      <c r="W10" s="11">
        <f t="shared" ref="W10:W73" si="10">IF(M10="","",IF(Q10-$Q$8&lt;0,360+Q10-$Q$8,Q10-$Q$8))</f>
        <v>1.810795184237179</v>
      </c>
      <c r="X10" s="7">
        <f t="shared" ref="X10:X73" si="11">IF(M10="","",R10)</f>
        <v>1.7806057685965544</v>
      </c>
      <c r="Y10" s="9">
        <f>IF(M10="","",(S10-$S$8)+$Y$1)</f>
        <v>-0.10547848152502814</v>
      </c>
      <c r="Z10" s="24">
        <f t="shared" ref="Z10:Z73" si="12">IF(M10="","",-E10)</f>
        <v>2.4690881344937448E-2</v>
      </c>
      <c r="AA10" s="7">
        <f t="shared" ref="AA10:AA73" si="13">IF(M10="","",-F10)</f>
        <v>-0.93907036577362124</v>
      </c>
      <c r="AB10" s="7">
        <f t="shared" ref="AB10:AB73" si="14">IF(M10="","",-G10)</f>
        <v>-0.34283691917471121</v>
      </c>
      <c r="AC10" s="10">
        <f t="shared" ref="AC10:AC73" si="15">IF(M10="","",SQRT(Z10^2+AA10^2+AB10^2))</f>
        <v>0.9999999723224996</v>
      </c>
      <c r="AD10" s="11">
        <f t="shared" ref="AD10:AD73" si="16">IF(M10="","",Z10*(1/SQRT(Z10^2+AA10^2+AB10^2)))</f>
        <v>2.4690882028319344E-2</v>
      </c>
      <c r="AE10" s="7">
        <f t="shared" ref="AE10:AE73" si="17">IF(M10="","",AA10*(1/SQRT(Z10^2+AA10^2+AB10^2)))</f>
        <v>-0.93907039176474238</v>
      </c>
      <c r="AF10" s="12">
        <f t="shared" ref="AF10:AF73" si="18">IF(M10="","",AB10*(1/SQRT(Z10^2+AA10^2+AB10^2)))</f>
        <v>-0.34283692866358045</v>
      </c>
      <c r="AG10" s="6">
        <f t="shared" ref="AG10:AG73" si="19">IF(M10="","",DEGREES(ATAN2(-AF10,AE10)))</f>
        <v>-69.943813401726857</v>
      </c>
      <c r="AH10" s="12">
        <f t="shared" ref="AH10:AH73" si="20">IF(M10="","",DEGREES(ACOS(AD10)))</f>
        <v>88.585172886697364</v>
      </c>
      <c r="AI10" s="11">
        <f t="shared" ref="AI10:AI73" si="21">IF(M10="","",DEGREES(-ACOS(-AF10)))</f>
        <v>-69.950190346813542</v>
      </c>
      <c r="AJ10" s="8">
        <f t="shared" ref="AJ10:AJ73" si="22">IF(M10="","",DEGREES(ATAN2(-AE10,AD10)))</f>
        <v>1.5061250810008862</v>
      </c>
      <c r="AK10" s="6">
        <f t="shared" ref="AK10:AK73" si="23">IF(M10="","",(COS(RADIANS((90-$Q$8)-W10))*AD10)+(-SIN(RADIANS((90-$Q$8)-W10))*AE10))</f>
        <v>0.93938185382766537</v>
      </c>
      <c r="AL10" s="7">
        <f t="shared" ref="AL10:AL73" si="24">IF(M10="","",(SIN(RADIANS((90-$Q$8)-W10))*AD10)+(COS(RADIANS((90-$Q$8)-W10))*AE10))</f>
        <v>-4.9571205171749476E-3</v>
      </c>
      <c r="AM10" s="8">
        <f t="shared" ref="AM10:AM73" si="25">IF(M10="","",AF10)</f>
        <v>-0.34283692866358045</v>
      </c>
      <c r="AN10" s="6">
        <f t="shared" ref="AN10:AN73" si="26">IF(M10="","",DEGREES(ATAN2(-AM10,AL10)))</f>
        <v>-0.82838886296444625</v>
      </c>
      <c r="AO10" s="10">
        <f t="shared" ref="AO10:AO73" si="27">IF(M10="","",DEGREES(ACOS(AK10)))</f>
        <v>20.051995381151183</v>
      </c>
      <c r="AP10" s="13">
        <f t="shared" ref="AP10:AP73" si="28">IF(M10="","",DEGREES(ATAN2(AK10,AL10)))</f>
        <v>-0.30234717297759323</v>
      </c>
      <c r="AR10" s="123">
        <f t="shared" ref="AR10:AR58" si="29">IF(M10="","",IF(W10&lt;=LARGE($W$9:$W$18,1),W10,W10-360))</f>
        <v>1.810795184237179</v>
      </c>
      <c r="AS10" s="124">
        <f t="shared" si="0"/>
        <v>-0.10437575074856598</v>
      </c>
      <c r="AU10" s="52">
        <f>M10</f>
        <v>1.03</v>
      </c>
      <c r="AV10" s="46">
        <f>IF(M10="","",Assy.Model!W10-W10)</f>
        <v>-0.90179531548052694</v>
      </c>
      <c r="AW10" s="47">
        <f>IF(M10="","",Assy.Model!X10-X10)</f>
        <v>-0.74090263285189684</v>
      </c>
      <c r="AX10" s="58">
        <f>IF(M10="","",Assy.Model!Y10-Y10)</f>
        <v>-0.21162247485145635</v>
      </c>
      <c r="AY10" s="318">
        <f>IF(M10="","",Assy.Model!AN10-AN10)</f>
        <v>15.828386697232711</v>
      </c>
      <c r="AZ10" s="48">
        <f>IF(M10="","",Assy.Model!AO10-AO10)</f>
        <v>-5.0519975468829283</v>
      </c>
      <c r="BA10" s="324">
        <f>IF(M10="","",Assy.Model!AP10-AP10)</f>
        <v>4.2694768180641631</v>
      </c>
      <c r="BB10" s="290">
        <f>IF(M10="","",SQRT((Assy.Model!T10-T10)^2+(Assy.Model!U10-U10)^2+(Assy.Model!V10-V10)^2))</f>
        <v>0.77083032393437623</v>
      </c>
      <c r="BD10" s="35">
        <v>1.03</v>
      </c>
      <c r="BE10" s="35">
        <v>-0.3755131413095576</v>
      </c>
      <c r="BF10" s="35">
        <v>-9.8885877632703956E-3</v>
      </c>
      <c r="BG10" s="35">
        <v>-4.9830000000001262E-3</v>
      </c>
      <c r="BH10" s="35">
        <v>0.78050674482871329</v>
      </c>
      <c r="BI10" s="35">
        <v>-2.7053905229600161E-2</v>
      </c>
      <c r="BJ10" s="35">
        <v>0.2853493144176118</v>
      </c>
      <c r="BK10" s="35">
        <v>1.6047192204908859E-2</v>
      </c>
      <c r="BM10" s="35">
        <v>1.7758780000000001</v>
      </c>
      <c r="BN10" s="35">
        <v>6.5970000000000001E-2</v>
      </c>
      <c r="BO10" s="35">
        <v>13.457917</v>
      </c>
      <c r="BP10" s="35">
        <v>-1.9519999999999999E-2</v>
      </c>
      <c r="BQ10" s="35">
        <v>0.93939300000000003</v>
      </c>
      <c r="BR10" s="35">
        <v>0.34228599999999998</v>
      </c>
    </row>
    <row r="11" spans="2:70" x14ac:dyDescent="0.25">
      <c r="B11" s="143">
        <v>2.5202727587063478</v>
      </c>
      <c r="C11" s="144">
        <v>6.7837591472982087E-2</v>
      </c>
      <c r="D11" s="145">
        <v>-6.479446930000908E-2</v>
      </c>
      <c r="E11" s="146">
        <v>-2.3725768617576193E-2</v>
      </c>
      <c r="F11" s="144">
        <v>0.94285818546823008</v>
      </c>
      <c r="G11" s="147">
        <v>0.33234695466644809</v>
      </c>
      <c r="H11" s="146">
        <v>0.31174800000000003</v>
      </c>
      <c r="I11" s="148" t="s">
        <v>111</v>
      </c>
      <c r="J11" s="310">
        <v>1.04</v>
      </c>
      <c r="K11" s="303" t="s">
        <v>110</v>
      </c>
      <c r="M11" s="5">
        <f t="shared" si="1"/>
        <v>1.04</v>
      </c>
      <c r="N11" s="24">
        <f t="shared" si="2"/>
        <v>2.5202727587063478</v>
      </c>
      <c r="O11" s="7">
        <f t="shared" si="3"/>
        <v>6.7837591472982087E-2</v>
      </c>
      <c r="P11" s="12">
        <f t="shared" si="4"/>
        <v>-6.479446930000908E-2</v>
      </c>
      <c r="Q11" s="11">
        <f t="shared" ref="Q11:Q74" si="30">IF(M11="","",IF(DEGREES(ATAN2(N11,O11))&lt;0,DEGREES(ATAN2(N11,O11))+360,IF(DEGREES(ATAN2(N11,O11))&gt;360,DEGREES(ATAN2(N11,O11))-360,DEGREES(ATAN2(N11,O11)))))</f>
        <v>1.5418447857229423</v>
      </c>
      <c r="R11" s="7">
        <f t="shared" si="5"/>
        <v>2.5211855776785175</v>
      </c>
      <c r="S11" s="8">
        <f t="shared" si="6"/>
        <v>-6.479446930000908E-2</v>
      </c>
      <c r="T11" s="6">
        <f t="shared" si="7"/>
        <v>2.5202700063104051</v>
      </c>
      <c r="U11" s="7">
        <f t="shared" si="8"/>
        <v>6.7939770284495299E-2</v>
      </c>
      <c r="V11" s="10">
        <f t="shared" si="9"/>
        <v>5.8233306950617791E-2</v>
      </c>
      <c r="W11" s="11">
        <f t="shared" si="10"/>
        <v>1.5441677159816436</v>
      </c>
      <c r="X11" s="7">
        <f t="shared" si="11"/>
        <v>2.5211855776785175</v>
      </c>
      <c r="Y11" s="9">
        <f t="shared" ref="Y11:Y74" si="31">IF(M11="","",(S11-$S$8)+$Y$1)</f>
        <v>5.8233306950617791E-2</v>
      </c>
      <c r="Z11" s="24">
        <f t="shared" si="12"/>
        <v>2.3725768617576193E-2</v>
      </c>
      <c r="AA11" s="7">
        <f t="shared" si="13"/>
        <v>-0.94285818546823008</v>
      </c>
      <c r="AB11" s="7">
        <f t="shared" si="14"/>
        <v>-0.33234695466644809</v>
      </c>
      <c r="AC11" s="10">
        <f t="shared" si="15"/>
        <v>0.99999948413836703</v>
      </c>
      <c r="AD11" s="11">
        <f t="shared" si="16"/>
        <v>2.3725780856796247E-2</v>
      </c>
      <c r="AE11" s="7">
        <f t="shared" si="17"/>
        <v>-0.94285867185284411</v>
      </c>
      <c r="AF11" s="12">
        <f t="shared" si="18"/>
        <v>-0.33234712611157924</v>
      </c>
      <c r="AG11" s="6">
        <f t="shared" si="19"/>
        <v>-70.583016416639893</v>
      </c>
      <c r="AH11" s="12">
        <f t="shared" si="20"/>
        <v>88.640485322896751</v>
      </c>
      <c r="AI11" s="11">
        <f t="shared" si="21"/>
        <v>-70.588701443625467</v>
      </c>
      <c r="AJ11" s="8">
        <f t="shared" si="22"/>
        <v>1.4414676689108257</v>
      </c>
      <c r="AK11" s="6">
        <f t="shared" si="23"/>
        <v>0.94315569106159602</v>
      </c>
      <c r="AL11" s="7">
        <f t="shared" si="24"/>
        <v>-1.65232669200353E-3</v>
      </c>
      <c r="AM11" s="8">
        <f t="shared" si="25"/>
        <v>-0.33234712611157924</v>
      </c>
      <c r="AN11" s="6">
        <f t="shared" si="26"/>
        <v>-0.28485447408149261</v>
      </c>
      <c r="AO11" s="10">
        <f t="shared" si="27"/>
        <v>19.411548076821504</v>
      </c>
      <c r="AP11" s="13">
        <f t="shared" si="28"/>
        <v>-0.10037711681214</v>
      </c>
      <c r="AR11" s="123">
        <f t="shared" si="29"/>
        <v>1.5441677159816436</v>
      </c>
      <c r="AS11" s="124">
        <f t="shared" si="0"/>
        <v>5.9589968649228088E-2</v>
      </c>
      <c r="AU11" s="52">
        <f t="shared" ref="AU11:AU74" si="32">M11</f>
        <v>1.04</v>
      </c>
      <c r="AV11" s="46">
        <f>IF(M11="","",Assy.Model!W11-W11)</f>
        <v>-0.63516784722499153</v>
      </c>
      <c r="AW11" s="47">
        <f>IF(M11="","",Assy.Model!X11-X11)</f>
        <v>-0.809680415778949</v>
      </c>
      <c r="AX11" s="58">
        <f>IF(M11="","",Assy.Model!Y11-Y11)</f>
        <v>-0.17133364806124657</v>
      </c>
      <c r="AY11" s="318">
        <f>IF(M11="","",Assy.Model!AN11-AN11)</f>
        <v>11.484852857001799</v>
      </c>
      <c r="AZ11" s="48">
        <f>IF(M11="","",Assy.Model!AO11-AO11)</f>
        <v>-4.4115502425532487</v>
      </c>
      <c r="BA11" s="324">
        <f>IF(M11="","",Assy.Model!AP11-AP11)</f>
        <v>3.0796434941571533</v>
      </c>
      <c r="BB11" s="290">
        <f>IF(M11="","",SQRT((Assy.Model!T11-T11)^2+(Assy.Model!U11-U11)^2+(Assy.Model!V11-V11)^2))</f>
        <v>0.82792987677391372</v>
      </c>
      <c r="BD11" s="35">
        <v>1.04</v>
      </c>
      <c r="BE11" s="35">
        <v>-0.12111832174966408</v>
      </c>
      <c r="BF11" s="35">
        <v>-3.9431501603237606E-3</v>
      </c>
      <c r="BG11" s="35">
        <v>-3.7909999999997529E-3</v>
      </c>
      <c r="BH11" s="35">
        <v>0.26313135284354616</v>
      </c>
      <c r="BI11" s="35">
        <v>0.62007542347638278</v>
      </c>
      <c r="BJ11" s="35">
        <v>7.7049629472329129E-2</v>
      </c>
      <c r="BK11" s="35">
        <v>7.6282840832196048E-3</v>
      </c>
      <c r="BM11" s="35">
        <v>2.5161570000000002</v>
      </c>
      <c r="BN11" s="35">
        <v>7.3079000000000005E-2</v>
      </c>
      <c r="BO11" s="35">
        <v>13.623125</v>
      </c>
      <c r="BP11" s="35">
        <v>-1.8509999999999999E-2</v>
      </c>
      <c r="BQ11" s="35">
        <v>0.94316900000000004</v>
      </c>
      <c r="BR11" s="35">
        <v>0.33179599999999998</v>
      </c>
    </row>
    <row r="12" spans="2:70" x14ac:dyDescent="0.25">
      <c r="B12" s="143">
        <v>3.2624510081648035</v>
      </c>
      <c r="C12" s="144">
        <v>-1.3226883782419679E-4</v>
      </c>
      <c r="D12" s="145">
        <v>-0.2263280878043665</v>
      </c>
      <c r="E12" s="146">
        <v>0.11657789518636057</v>
      </c>
      <c r="F12" s="144">
        <v>0.94199988464538942</v>
      </c>
      <c r="G12" s="147">
        <v>0.31471474695188784</v>
      </c>
      <c r="H12" s="146">
        <v>0.31374099999999999</v>
      </c>
      <c r="I12" s="148" t="s">
        <v>111</v>
      </c>
      <c r="J12" s="310">
        <v>1.05</v>
      </c>
      <c r="K12" s="303" t="s">
        <v>110</v>
      </c>
      <c r="M12" s="5">
        <f>IF(J12="","",J12)</f>
        <v>1.05</v>
      </c>
      <c r="N12" s="24">
        <f t="shared" si="2"/>
        <v>3.2624510081648035</v>
      </c>
      <c r="O12" s="7">
        <f t="shared" si="3"/>
        <v>-1.3226883782419679E-4</v>
      </c>
      <c r="P12" s="12">
        <f t="shared" si="4"/>
        <v>-0.2263280878043665</v>
      </c>
      <c r="Q12" s="11">
        <f t="shared" si="30"/>
        <v>359.99767706974131</v>
      </c>
      <c r="R12" s="7">
        <f t="shared" si="5"/>
        <v>3.2624510108460769</v>
      </c>
      <c r="S12" s="8">
        <f t="shared" si="6"/>
        <v>-0.2263280878043665</v>
      </c>
      <c r="T12" s="6">
        <f t="shared" si="7"/>
        <v>3.2624510108460769</v>
      </c>
      <c r="U12" s="7">
        <f t="shared" si="8"/>
        <v>0</v>
      </c>
      <c r="V12" s="10">
        <f t="shared" si="9"/>
        <v>-0.10330031155373964</v>
      </c>
      <c r="W12" s="11">
        <f t="shared" si="10"/>
        <v>0</v>
      </c>
      <c r="X12" s="7">
        <f t="shared" si="11"/>
        <v>3.2624510108460769</v>
      </c>
      <c r="Y12" s="9">
        <f t="shared" si="31"/>
        <v>-0.10330031155373964</v>
      </c>
      <c r="Z12" s="24">
        <f t="shared" si="12"/>
        <v>-0.11657789518636057</v>
      </c>
      <c r="AA12" s="7">
        <f t="shared" si="13"/>
        <v>-0.94199988464538942</v>
      </c>
      <c r="AB12" s="7">
        <f t="shared" si="14"/>
        <v>-0.31471474695188784</v>
      </c>
      <c r="AC12" s="10">
        <f t="shared" si="15"/>
        <v>0.99999978013347568</v>
      </c>
      <c r="AD12" s="11">
        <f t="shared" si="16"/>
        <v>-0.11657792081794284</v>
      </c>
      <c r="AE12" s="7">
        <f t="shared" si="17"/>
        <v>-0.94200009175967558</v>
      </c>
      <c r="AF12" s="12">
        <f t="shared" si="18"/>
        <v>-0.31471481614714064</v>
      </c>
      <c r="AG12" s="6">
        <f t="shared" si="19"/>
        <v>-71.525931879412681</v>
      </c>
      <c r="AH12" s="12">
        <f t="shared" si="20"/>
        <v>96.694645480096611</v>
      </c>
      <c r="AI12" s="11">
        <f t="shared" si="21"/>
        <v>-71.65640163131377</v>
      </c>
      <c r="AJ12" s="8">
        <f t="shared" si="22"/>
        <v>-7.0548117112367237</v>
      </c>
      <c r="AK12" s="6">
        <f t="shared" si="23"/>
        <v>0.94200481737863262</v>
      </c>
      <c r="AL12" s="7">
        <f t="shared" si="24"/>
        <v>-0.11653972941843008</v>
      </c>
      <c r="AM12" s="8">
        <f t="shared" si="25"/>
        <v>-0.31471481614714064</v>
      </c>
      <c r="AN12" s="6">
        <f t="shared" si="26"/>
        <v>-20.319724548480867</v>
      </c>
      <c r="AO12" s="10">
        <f t="shared" si="27"/>
        <v>19.608988250138228</v>
      </c>
      <c r="AP12" s="13">
        <f t="shared" si="28"/>
        <v>-7.0524887809780328</v>
      </c>
      <c r="AR12" s="123">
        <f t="shared" si="29"/>
        <v>0</v>
      </c>
      <c r="AS12" s="124">
        <f t="shared" si="0"/>
        <v>-0.10047301393514683</v>
      </c>
      <c r="AU12" s="52">
        <f t="shared" si="32"/>
        <v>1.05</v>
      </c>
      <c r="AV12" s="46">
        <f>IF(M12="","",Assy.Model!W12-W12)</f>
        <v>0</v>
      </c>
      <c r="AW12" s="47">
        <f>IF(M12="","",Assy.Model!X12-X12)</f>
        <v>-0.73274338124786675</v>
      </c>
      <c r="AX12" s="58">
        <f>IF(M12="","",Assy.Model!Y12-Y12)</f>
        <v>0</v>
      </c>
      <c r="AY12" s="318">
        <f>IF(M12="","",Assy.Model!AN12-AN12)</f>
        <v>-4.2222191096301032</v>
      </c>
      <c r="AZ12" s="48">
        <f>IF(M12="","",Assy.Model!AO12-AO12)</f>
        <v>-3.9846290014093952</v>
      </c>
      <c r="BA12" s="324">
        <f>IF(M12="","",Assy.Model!AP12-AP12)</f>
        <v>0.42666184542494356</v>
      </c>
      <c r="BB12" s="290">
        <f>IF(M12="","",SQRT((Assy.Model!T12-T12)^2+(Assy.Model!U12-U12)^2+(Assy.Model!V12-V12)^2))</f>
        <v>0.73274338124786675</v>
      </c>
      <c r="BD12" s="35">
        <v>1.05</v>
      </c>
      <c r="BE12" s="35">
        <v>0</v>
      </c>
      <c r="BF12" s="35">
        <v>-3.9294578892636878E-3</v>
      </c>
      <c r="BG12" s="35">
        <v>0</v>
      </c>
      <c r="BH12" s="35">
        <v>1.5721560617978518</v>
      </c>
      <c r="BI12" s="35">
        <v>0.40687581086354641</v>
      </c>
      <c r="BJ12" s="35">
        <v>0.36742834103238309</v>
      </c>
      <c r="BK12" s="35">
        <v>3.9294578892636878E-3</v>
      </c>
      <c r="BM12" s="35">
        <v>3.258222</v>
      </c>
      <c r="BN12" s="35">
        <v>3.88E-4</v>
      </c>
      <c r="BO12" s="35">
        <v>13.463134</v>
      </c>
      <c r="BP12" s="35">
        <v>0.121821</v>
      </c>
      <c r="BQ12" s="35">
        <v>0.94142499999999996</v>
      </c>
      <c r="BR12" s="35">
        <v>0.31444899999999998</v>
      </c>
    </row>
    <row r="13" spans="2:70" x14ac:dyDescent="0.25">
      <c r="B13" s="143">
        <v>3.8276510992674542</v>
      </c>
      <c r="C13" s="144">
        <v>-0.1491679032555534</v>
      </c>
      <c r="D13" s="145">
        <v>-0.71790646690709026</v>
      </c>
      <c r="E13" s="146">
        <v>0.29000245120073359</v>
      </c>
      <c r="F13" s="144">
        <v>0.90211440813665034</v>
      </c>
      <c r="G13" s="147">
        <v>0.31951059566597667</v>
      </c>
      <c r="H13" s="146">
        <v>0.31366899999999998</v>
      </c>
      <c r="I13" s="148" t="s">
        <v>111</v>
      </c>
      <c r="J13" s="310">
        <v>1.06</v>
      </c>
      <c r="K13" s="303" t="s">
        <v>110</v>
      </c>
      <c r="M13" s="5">
        <f t="shared" si="1"/>
        <v>1.06</v>
      </c>
      <c r="N13" s="24">
        <f t="shared" si="2"/>
        <v>3.8276510992674542</v>
      </c>
      <c r="O13" s="7">
        <f t="shared" si="3"/>
        <v>-0.1491679032555534</v>
      </c>
      <c r="P13" s="12">
        <f t="shared" si="4"/>
        <v>-0.71790646690709026</v>
      </c>
      <c r="Q13" s="11">
        <f t="shared" si="30"/>
        <v>357.76824787528693</v>
      </c>
      <c r="R13" s="7">
        <f t="shared" si="5"/>
        <v>3.8305566176581971</v>
      </c>
      <c r="S13" s="8">
        <f t="shared" si="6"/>
        <v>-0.71790646690709026</v>
      </c>
      <c r="T13" s="6">
        <f t="shared" si="7"/>
        <v>3.8276571438033447</v>
      </c>
      <c r="U13" s="7">
        <f t="shared" si="8"/>
        <v>-0.14901271951155479</v>
      </c>
      <c r="V13" s="10">
        <f t="shared" si="9"/>
        <v>-0.59487869065646337</v>
      </c>
      <c r="W13" s="11">
        <f t="shared" si="10"/>
        <v>357.77057080554567</v>
      </c>
      <c r="X13" s="7">
        <f t="shared" si="11"/>
        <v>3.8305566176581971</v>
      </c>
      <c r="Y13" s="9">
        <f t="shared" si="31"/>
        <v>-0.59487869065646337</v>
      </c>
      <c r="Z13" s="24">
        <f t="shared" si="12"/>
        <v>-0.29000245120073359</v>
      </c>
      <c r="AA13" s="7">
        <f t="shared" si="13"/>
        <v>-0.90211440813665034</v>
      </c>
      <c r="AB13" s="7">
        <f t="shared" si="14"/>
        <v>-0.31951059566597667</v>
      </c>
      <c r="AC13" s="10">
        <f t="shared" si="15"/>
        <v>0.99999942390633412</v>
      </c>
      <c r="AD13" s="11">
        <f t="shared" si="16"/>
        <v>-0.2900026182694051</v>
      </c>
      <c r="AE13" s="7">
        <f t="shared" si="17"/>
        <v>-0.90211492783934621</v>
      </c>
      <c r="AF13" s="12">
        <f t="shared" si="18"/>
        <v>-0.31951077973411307</v>
      </c>
      <c r="AG13" s="6">
        <f t="shared" si="19"/>
        <v>-70.496888803556701</v>
      </c>
      <c r="AH13" s="12">
        <f t="shared" si="20"/>
        <v>106.8581127745055</v>
      </c>
      <c r="AI13" s="11">
        <f t="shared" si="21"/>
        <v>-71.366658495689151</v>
      </c>
      <c r="AJ13" s="8">
        <f t="shared" si="22"/>
        <v>-17.821024892268714</v>
      </c>
      <c r="AK13" s="6">
        <f t="shared" si="23"/>
        <v>0.91272382232876115</v>
      </c>
      <c r="AL13" s="7">
        <f t="shared" si="24"/>
        <v>-0.2546528731180453</v>
      </c>
      <c r="AM13" s="8">
        <f t="shared" si="25"/>
        <v>-0.31951077973411307</v>
      </c>
      <c r="AN13" s="6">
        <f t="shared" si="26"/>
        <v>-38.555150462009728</v>
      </c>
      <c r="AO13" s="10">
        <f t="shared" si="27"/>
        <v>24.115480014496438</v>
      </c>
      <c r="AP13" s="13">
        <f t="shared" si="28"/>
        <v>-15.589272767555704</v>
      </c>
      <c r="AR13" s="123">
        <f>IF(M13="","",IF(W13&lt;=LARGE($W$9:$W$18,1),W13,W13-360))</f>
        <v>357.77057080554567</v>
      </c>
      <c r="AS13" s="124">
        <f>IF(M13="","",Y13+(((AR13-$AR$9)*$AR$6)*-1))</f>
        <v>-0.93278526999553313</v>
      </c>
      <c r="AU13" s="52">
        <f t="shared" si="32"/>
        <v>1.06</v>
      </c>
      <c r="AV13" s="46">
        <f>IF(M13="","",Assy.Model!W13-W13)</f>
        <v>1.2340293381722631</v>
      </c>
      <c r="AW13" s="47">
        <f>IF(M13="","",Assy.Model!X13-X13)</f>
        <v>-0.61924693234818573</v>
      </c>
      <c r="AX13" s="58">
        <f>IF(M13="","",Assy.Model!Y13-Y13)</f>
        <v>0.11417724086089093</v>
      </c>
      <c r="AY13" s="318">
        <f>IF(M13="","",Assy.Model!AN13-AN13)</f>
        <v>-14.311621021798423</v>
      </c>
      <c r="AZ13" s="48">
        <f>IF(M13="","",Assy.Model!AO13-AO13)</f>
        <v>-4.7819961969402378</v>
      </c>
      <c r="BA13" s="324">
        <f>IF(M13="","",Assy.Model!AP13-AP13)</f>
        <v>-3.7592057953837354E-2</v>
      </c>
      <c r="BB13" s="290">
        <f>IF(M13="","",SQRT((Assy.Model!T13-T13)^2+(Assy.Model!U13-U13)^2+(Assy.Model!V13-V13)^2))</f>
        <v>0.63419967016406398</v>
      </c>
      <c r="BD13" s="35">
        <v>1.06</v>
      </c>
      <c r="BE13" s="35">
        <v>7.266565873737818E-2</v>
      </c>
      <c r="BF13" s="35">
        <v>1.9770053761507533E-3</v>
      </c>
      <c r="BG13" s="35">
        <v>-5.2489999999997261E-3</v>
      </c>
      <c r="BH13" s="35">
        <v>-1.9781859791412018</v>
      </c>
      <c r="BI13" s="35">
        <v>0.90841035366787892</v>
      </c>
      <c r="BJ13" s="35">
        <v>-1.2926247474612538</v>
      </c>
      <c r="BK13" s="35">
        <v>7.4178343153353853E-3</v>
      </c>
      <c r="BM13" s="35">
        <v>3.8234750000000002</v>
      </c>
      <c r="BN13" s="35">
        <v>-0.15244199999999999</v>
      </c>
      <c r="BO13" s="35">
        <v>12.972783</v>
      </c>
      <c r="BP13" s="35">
        <v>0.294983</v>
      </c>
      <c r="BQ13" s="35">
        <v>0.90046000000000004</v>
      </c>
      <c r="BR13" s="35">
        <v>0.31961800000000001</v>
      </c>
    </row>
    <row r="14" spans="2:70" x14ac:dyDescent="0.25">
      <c r="B14" s="143">
        <v>1.228416145981589</v>
      </c>
      <c r="C14" s="144">
        <v>-2.4904339256758758</v>
      </c>
      <c r="D14" s="145">
        <v>-8.9610312811627166E-2</v>
      </c>
      <c r="E14" s="146">
        <v>0.87187049321793986</v>
      </c>
      <c r="F14" s="144">
        <v>0.41248443076354363</v>
      </c>
      <c r="G14" s="147">
        <v>0.26400398418884086</v>
      </c>
      <c r="H14" s="146">
        <v>0.31233100000000003</v>
      </c>
      <c r="I14" s="148" t="s">
        <v>111</v>
      </c>
      <c r="J14" s="310">
        <v>2.0099999999999998</v>
      </c>
      <c r="K14" s="303" t="s">
        <v>110</v>
      </c>
      <c r="M14" s="5">
        <f t="shared" si="1"/>
        <v>2.0099999999999998</v>
      </c>
      <c r="N14" s="24">
        <f t="shared" si="2"/>
        <v>1.228416145981589</v>
      </c>
      <c r="O14" s="7">
        <f t="shared" si="3"/>
        <v>-2.4904339256758758</v>
      </c>
      <c r="P14" s="12">
        <f t="shared" si="4"/>
        <v>-8.9610312811627166E-2</v>
      </c>
      <c r="Q14" s="11">
        <f t="shared" si="30"/>
        <v>296.2549972313264</v>
      </c>
      <c r="R14" s="7">
        <f t="shared" si="5"/>
        <v>2.7769168813390173</v>
      </c>
      <c r="S14" s="8">
        <f t="shared" si="6"/>
        <v>-8.9610312811627166E-2</v>
      </c>
      <c r="T14" s="6">
        <f t="shared" si="7"/>
        <v>1.2285171140899851</v>
      </c>
      <c r="U14" s="7">
        <f t="shared" si="8"/>
        <v>-2.4903841202219446</v>
      </c>
      <c r="V14" s="10">
        <f t="shared" si="9"/>
        <v>3.3417463438999706E-2</v>
      </c>
      <c r="W14" s="11">
        <f t="shared" si="10"/>
        <v>296.25732016158503</v>
      </c>
      <c r="X14" s="7">
        <f t="shared" si="11"/>
        <v>2.7769168813390173</v>
      </c>
      <c r="Y14" s="9">
        <f t="shared" si="31"/>
        <v>3.3417463438999706E-2</v>
      </c>
      <c r="Z14" s="24">
        <f t="shared" si="12"/>
        <v>-0.87187049321793986</v>
      </c>
      <c r="AA14" s="7">
        <f t="shared" si="13"/>
        <v>-0.41248443076354363</v>
      </c>
      <c r="AB14" s="7">
        <f t="shared" si="14"/>
        <v>-0.26400398418884086</v>
      </c>
      <c r="AC14" s="10">
        <f t="shared" si="15"/>
        <v>0.99999983311698615</v>
      </c>
      <c r="AD14" s="11">
        <f t="shared" si="16"/>
        <v>-0.8718706387183397</v>
      </c>
      <c r="AE14" s="7">
        <f t="shared" si="17"/>
        <v>-0.41248449960020006</v>
      </c>
      <c r="AF14" s="12">
        <f t="shared" si="18"/>
        <v>-0.26400402824662872</v>
      </c>
      <c r="AG14" s="6">
        <f t="shared" si="19"/>
        <v>-57.379382443743374</v>
      </c>
      <c r="AH14" s="12">
        <f t="shared" si="20"/>
        <v>150.67675282199352</v>
      </c>
      <c r="AI14" s="11">
        <f t="shared" si="21"/>
        <v>-74.692219600411576</v>
      </c>
      <c r="AJ14" s="8">
        <f t="shared" si="22"/>
        <v>-64.681034613132383</v>
      </c>
      <c r="AK14" s="6">
        <f t="shared" si="23"/>
        <v>0.9643928684856895</v>
      </c>
      <c r="AL14" s="7">
        <f t="shared" si="24"/>
        <v>-1.5756531455132894E-2</v>
      </c>
      <c r="AM14" s="8">
        <f t="shared" si="25"/>
        <v>-0.26400402824662872</v>
      </c>
      <c r="AN14" s="6">
        <f t="shared" si="26"/>
        <v>-3.4155278760483752</v>
      </c>
      <c r="AO14" s="10">
        <f t="shared" si="27"/>
        <v>15.335688746779187</v>
      </c>
      <c r="AP14" s="13">
        <f t="shared" si="28"/>
        <v>-0.93603184445866072</v>
      </c>
      <c r="AR14" s="123">
        <f t="shared" si="29"/>
        <v>296.25732016158503</v>
      </c>
      <c r="AS14" s="124">
        <f t="shared" si="0"/>
        <v>-0.24590506766772657</v>
      </c>
      <c r="AU14" s="52">
        <f t="shared" si="32"/>
        <v>2.0099999999999998</v>
      </c>
      <c r="AV14" s="46">
        <f>IF(M14="","",Assy.Model!W14-W14)</f>
        <v>62.186480063102408</v>
      </c>
      <c r="AW14" s="47">
        <f>IF(M14="","",Assy.Model!X14-X14)</f>
        <v>0.83079399951699973</v>
      </c>
      <c r="AX14" s="58">
        <f>IF(M14="","",Assy.Model!Y14-Y14)</f>
        <v>-1.1808209240078367</v>
      </c>
      <c r="AY14" s="318">
        <f>IF(M14="","",Assy.Model!AN14-AN14)</f>
        <v>-70.530805758964803</v>
      </c>
      <c r="AZ14" s="48">
        <f>IF(M14="","",Assy.Model!AO14-AO14)</f>
        <v>10.065288141958515</v>
      </c>
      <c r="BA14" s="324">
        <f>IF(M14="","",Assy.Model!AP14-AP14)</f>
        <v>-23.592979443113844</v>
      </c>
      <c r="BB14" s="290">
        <f>IF(M14="","",SQRT((Assy.Model!T14-T14)^2+(Assy.Model!U14-U14)^2+(Assy.Model!V14-V14)^2))</f>
        <v>3.5738195637733772</v>
      </c>
      <c r="BD14" s="35">
        <v>2.0099999999999998</v>
      </c>
      <c r="BE14" s="35">
        <v>0.23529954850255308</v>
      </c>
      <c r="BF14" s="35">
        <v>1.211908667849082E-2</v>
      </c>
      <c r="BG14" s="35">
        <v>-6.0159999999994523E-3</v>
      </c>
      <c r="BH14" s="35">
        <v>-2.0525745380706977</v>
      </c>
      <c r="BI14" s="35">
        <v>-0.39646093515386127</v>
      </c>
      <c r="BJ14" s="35">
        <v>-0.52168626939843188</v>
      </c>
      <c r="BK14" s="35">
        <v>1.7656181690290228E-2</v>
      </c>
      <c r="BM14" s="35">
        <v>1.2084010000000001</v>
      </c>
      <c r="BN14" s="35">
        <v>-2.4770889999999999</v>
      </c>
      <c r="BO14" s="35">
        <v>13.597049999999999</v>
      </c>
      <c r="BP14" s="35">
        <v>0.87389300000000003</v>
      </c>
      <c r="BQ14" s="35">
        <v>0.40717599999999998</v>
      </c>
      <c r="BR14" s="35">
        <v>0.26555299999999998</v>
      </c>
    </row>
    <row r="15" spans="2:70" x14ac:dyDescent="0.25">
      <c r="B15" s="143">
        <v>1.4278799107429934</v>
      </c>
      <c r="C15" s="144">
        <v>-3.1779650156243151</v>
      </c>
      <c r="D15" s="145">
        <v>-0.36823480318445589</v>
      </c>
      <c r="E15" s="146">
        <v>0.92085963031328733</v>
      </c>
      <c r="F15" s="144">
        <v>0.27301877620505749</v>
      </c>
      <c r="G15" s="147">
        <v>0.27834733802349992</v>
      </c>
      <c r="H15" s="146">
        <v>0.31223299999999998</v>
      </c>
      <c r="I15" s="148" t="s">
        <v>111</v>
      </c>
      <c r="J15" s="310">
        <v>2.02</v>
      </c>
      <c r="K15" s="303" t="s">
        <v>110</v>
      </c>
      <c r="M15" s="5">
        <f t="shared" si="1"/>
        <v>2.02</v>
      </c>
      <c r="N15" s="24">
        <f t="shared" si="2"/>
        <v>1.4278799107429934</v>
      </c>
      <c r="O15" s="7">
        <f t="shared" si="3"/>
        <v>-3.1779650156243151</v>
      </c>
      <c r="P15" s="12">
        <f t="shared" si="4"/>
        <v>-0.36823480318445589</v>
      </c>
      <c r="Q15" s="11">
        <f t="shared" si="30"/>
        <v>294.19468698474145</v>
      </c>
      <c r="R15" s="7">
        <f t="shared" si="5"/>
        <v>3.4840066991949761</v>
      </c>
      <c r="S15" s="8">
        <f t="shared" si="6"/>
        <v>-0.36823480318445589</v>
      </c>
      <c r="T15" s="6">
        <f t="shared" si="7"/>
        <v>1.4280087531100785</v>
      </c>
      <c r="U15" s="7">
        <f t="shared" si="8"/>
        <v>-3.1779071227895366</v>
      </c>
      <c r="V15" s="10">
        <f t="shared" si="9"/>
        <v>-0.24520702693382904</v>
      </c>
      <c r="W15" s="11">
        <f t="shared" si="10"/>
        <v>294.19700991500014</v>
      </c>
      <c r="X15" s="7">
        <f t="shared" si="11"/>
        <v>3.4840066991949761</v>
      </c>
      <c r="Y15" s="9">
        <f>IF(M15="","",(S15-$S$8)+$Y$1)</f>
        <v>-0.24520702693382904</v>
      </c>
      <c r="Z15" s="24">
        <f t="shared" si="12"/>
        <v>-0.92085963031328733</v>
      </c>
      <c r="AA15" s="7">
        <f t="shared" si="13"/>
        <v>-0.27301877620505749</v>
      </c>
      <c r="AB15" s="7">
        <f t="shared" si="14"/>
        <v>-0.27834733802349992</v>
      </c>
      <c r="AC15" s="10">
        <f t="shared" si="15"/>
        <v>0.99999947574286263</v>
      </c>
      <c r="AD15" s="11">
        <f t="shared" si="16"/>
        <v>-0.92086011308077409</v>
      </c>
      <c r="AE15" s="7">
        <f t="shared" si="17"/>
        <v>-0.27301891933717459</v>
      </c>
      <c r="AF15" s="12">
        <f t="shared" si="18"/>
        <v>-0.27834748394915504</v>
      </c>
      <c r="AG15" s="6">
        <f t="shared" si="19"/>
        <v>-44.446294230377347</v>
      </c>
      <c r="AH15" s="12">
        <f t="shared" si="20"/>
        <v>157.05215025213778</v>
      </c>
      <c r="AI15" s="11">
        <f t="shared" si="21"/>
        <v>-73.838397880796009</v>
      </c>
      <c r="AJ15" s="8">
        <f t="shared" si="22"/>
        <v>-73.4858308371562</v>
      </c>
      <c r="AK15" s="6">
        <f t="shared" si="23"/>
        <v>0.95186368458910742</v>
      </c>
      <c r="AL15" s="7">
        <f t="shared" si="24"/>
        <v>-0.12836745747900005</v>
      </c>
      <c r="AM15" s="8">
        <f t="shared" si="25"/>
        <v>-0.27834748394915504</v>
      </c>
      <c r="AN15" s="6">
        <f t="shared" si="26"/>
        <v>-24.758064895649134</v>
      </c>
      <c r="AO15" s="10">
        <f t="shared" si="27"/>
        <v>17.849733854992621</v>
      </c>
      <c r="AP15" s="13">
        <f t="shared" si="28"/>
        <v>-7.6805178218976584</v>
      </c>
      <c r="AR15" s="123">
        <f t="shared" si="29"/>
        <v>294.19700991500014</v>
      </c>
      <c r="AS15" s="124">
        <f t="shared" si="0"/>
        <v>-0.52256735780571251</v>
      </c>
      <c r="AU15" s="52">
        <f t="shared" si="32"/>
        <v>2.02</v>
      </c>
      <c r="AV15" s="46">
        <f>IF(M15="","",Assy.Model!W15-W15)</f>
        <v>64.146990324096691</v>
      </c>
      <c r="AW15" s="47">
        <f>IF(M15="","",Assy.Model!X15-X15)</f>
        <v>0.20290442052896074</v>
      </c>
      <c r="AX15" s="58">
        <f>IF(M15="","",Assy.Model!Y15-Y15)</f>
        <v>-1.6939988217110105</v>
      </c>
      <c r="AY15" s="318">
        <f>IF(M15="","",Assy.Model!AN15-AN15)</f>
        <v>-65.241922109960484</v>
      </c>
      <c r="AZ15" s="48">
        <f>IF(M15="","",Assy.Model!AO15-AO15)</f>
        <v>12.150261813543928</v>
      </c>
      <c r="BA15" s="324">
        <f>IF(M15="","",Assy.Model!AP15-AP15)</f>
        <v>-22.319477846638254</v>
      </c>
      <c r="BB15" s="290">
        <f>IF(M15="","",SQRT((Assy.Model!T15-T15)^2+(Assy.Model!U15-U15)^2+(Assy.Model!V15-V15)^2))</f>
        <v>4.1711596284229824</v>
      </c>
      <c r="BD15" s="35">
        <v>2.02</v>
      </c>
      <c r="BE15" s="35">
        <v>0.32279934182787429</v>
      </c>
      <c r="BF15" s="35">
        <v>1.0458514666027874E-2</v>
      </c>
      <c r="BG15" s="35">
        <v>-5.9630000000009398E-3</v>
      </c>
      <c r="BH15" s="35">
        <v>-2.0459685483089167</v>
      </c>
      <c r="BI15" s="35">
        <v>-0.32181974478711695</v>
      </c>
      <c r="BJ15" s="35">
        <v>-0.42866533059452028</v>
      </c>
      <c r="BK15" s="35">
        <v>2.2952660693141849E-2</v>
      </c>
      <c r="BM15" s="35">
        <v>1.404131</v>
      </c>
      <c r="BN15" s="35">
        <v>-3.166004</v>
      </c>
      <c r="BO15" s="35">
        <v>13.319197000000001</v>
      </c>
      <c r="BP15" s="35">
        <v>0.92198100000000005</v>
      </c>
      <c r="BQ15" s="35">
        <v>0.26741500000000001</v>
      </c>
      <c r="BR15" s="35">
        <v>0.28006999999999999</v>
      </c>
    </row>
    <row r="16" spans="2:70" x14ac:dyDescent="0.25">
      <c r="B16" s="143">
        <v>1.4949871833243809</v>
      </c>
      <c r="C16" s="144">
        <v>-3.6731763257722303</v>
      </c>
      <c r="D16" s="145">
        <v>-0.95957098528671181</v>
      </c>
      <c r="E16" s="146">
        <v>0.95683658397208704</v>
      </c>
      <c r="F16" s="144">
        <v>5.2234977164095954E-2</v>
      </c>
      <c r="G16" s="147">
        <v>0.28589377953410228</v>
      </c>
      <c r="H16" s="146">
        <v>0.31332500000000002</v>
      </c>
      <c r="I16" s="148" t="s">
        <v>111</v>
      </c>
      <c r="J16" s="310">
        <v>2.0299999999999998</v>
      </c>
      <c r="K16" s="303" t="s">
        <v>110</v>
      </c>
      <c r="M16" s="5">
        <f t="shared" si="1"/>
        <v>2.0299999999999998</v>
      </c>
      <c r="N16" s="24">
        <f t="shared" si="2"/>
        <v>1.4949871833243809</v>
      </c>
      <c r="O16" s="7">
        <f t="shared" si="3"/>
        <v>-3.6731763257722303</v>
      </c>
      <c r="P16" s="12">
        <f t="shared" si="4"/>
        <v>-0.95957098528671181</v>
      </c>
      <c r="Q16" s="11">
        <f t="shared" si="30"/>
        <v>292.1463822835853</v>
      </c>
      <c r="R16" s="7">
        <f t="shared" si="5"/>
        <v>3.9657547829533972</v>
      </c>
      <c r="S16" s="8">
        <f t="shared" si="6"/>
        <v>-0.95957098528671181</v>
      </c>
      <c r="T16" s="6">
        <f t="shared" si="7"/>
        <v>1.4951361028801573</v>
      </c>
      <c r="U16" s="7">
        <f t="shared" si="8"/>
        <v>-3.6731157118149822</v>
      </c>
      <c r="V16" s="10">
        <f>IF(M16="","",Y16)</f>
        <v>-0.83654320903608492</v>
      </c>
      <c r="W16" s="11">
        <f t="shared" si="10"/>
        <v>292.14870521384404</v>
      </c>
      <c r="X16" s="7">
        <f t="shared" si="11"/>
        <v>3.9657547829533972</v>
      </c>
      <c r="Y16" s="9">
        <f t="shared" si="31"/>
        <v>-0.83654320903608492</v>
      </c>
      <c r="Z16" s="24">
        <f t="shared" si="12"/>
        <v>-0.95683658397208704</v>
      </c>
      <c r="AA16" s="7">
        <f t="shared" si="13"/>
        <v>-5.2234977164095954E-2</v>
      </c>
      <c r="AB16" s="7">
        <f t="shared" si="14"/>
        <v>-0.28589377953410228</v>
      </c>
      <c r="AC16" s="10">
        <f t="shared" si="15"/>
        <v>0.99999999722150013</v>
      </c>
      <c r="AD16" s="11">
        <f t="shared" si="16"/>
        <v>-0.9568365866306574</v>
      </c>
      <c r="AE16" s="7">
        <f t="shared" si="17"/>
        <v>-5.223497730923083E-2</v>
      </c>
      <c r="AF16" s="12">
        <f t="shared" si="18"/>
        <v>-0.28589378032845808</v>
      </c>
      <c r="AG16" s="6">
        <f t="shared" si="19"/>
        <v>-10.354170031195782</v>
      </c>
      <c r="AH16" s="12">
        <f t="shared" si="20"/>
        <v>163.10453426926972</v>
      </c>
      <c r="AI16" s="11">
        <f t="shared" si="21"/>
        <v>-73.387718467636716</v>
      </c>
      <c r="AJ16" s="8">
        <f t="shared" si="22"/>
        <v>-86.875249143041842</v>
      </c>
      <c r="AK16" s="6">
        <f t="shared" si="23"/>
        <v>0.90593602375167304</v>
      </c>
      <c r="AL16" s="7">
        <f t="shared" si="24"/>
        <v>-0.31232141655434337</v>
      </c>
      <c r="AM16" s="8">
        <f t="shared" si="25"/>
        <v>-0.28589378032845808</v>
      </c>
      <c r="AN16" s="6">
        <f t="shared" si="26"/>
        <v>-47.529538067252766</v>
      </c>
      <c r="AO16" s="10">
        <f t="shared" si="27"/>
        <v>25.050353755456545</v>
      </c>
      <c r="AP16" s="13">
        <f t="shared" si="28"/>
        <v>-19.021631426627192</v>
      </c>
      <c r="AR16" s="123">
        <f t="shared" si="29"/>
        <v>292.14870521384404</v>
      </c>
      <c r="AS16" s="124">
        <f t="shared" si="0"/>
        <v>-1.1119527735259149</v>
      </c>
      <c r="AU16" s="52">
        <f t="shared" si="32"/>
        <v>2.0299999999999998</v>
      </c>
      <c r="AV16" s="46">
        <f>IF(M16="","",Assy.Model!W16-W16)</f>
        <v>49.384097452489357</v>
      </c>
      <c r="AW16" s="47">
        <f>IF(M16="","",Assy.Model!X16-X16)</f>
        <v>-1.4138470863997847</v>
      </c>
      <c r="AX16" s="58">
        <f>IF(M16="","",Assy.Model!Y16-Y16)</f>
        <v>0.76904300545547077</v>
      </c>
      <c r="AY16" s="318">
        <f>IF(M16="","",Assy.Model!AN16-AN16)</f>
        <v>22.987596750796808</v>
      </c>
      <c r="AZ16" s="48">
        <f>IF(M16="","",Assy.Model!AO16-AO16)</f>
        <v>-4.4259952328112533</v>
      </c>
      <c r="BA16" s="324">
        <f>IF(M16="","",Assy.Model!AP16-AP16)</f>
        <v>10.136786635582622</v>
      </c>
      <c r="BB16" s="290">
        <f>IF(M16="","",SQRT((Assy.Model!T16-T16)^2+(Assy.Model!U16-U16)^2+(Assy.Model!V16-V16)^2))</f>
        <v>3.1071889856644219</v>
      </c>
      <c r="BD16" s="35">
        <v>2.0299999999999998</v>
      </c>
      <c r="BE16" s="35">
        <v>0.3562629917483946</v>
      </c>
      <c r="BF16" s="35">
        <v>8.6657298397243565E-3</v>
      </c>
      <c r="BG16" s="35">
        <v>-3.7280000000008418E-3</v>
      </c>
      <c r="BH16" s="35">
        <v>-0.69991793005697645</v>
      </c>
      <c r="BI16" s="35">
        <v>4.4286504017687633E-2</v>
      </c>
      <c r="BJ16" s="35">
        <v>-0.2330845197163427</v>
      </c>
      <c r="BK16" s="35">
        <v>2.6310665201881449E-2</v>
      </c>
      <c r="BM16" s="35">
        <v>1.4693419999999999</v>
      </c>
      <c r="BN16" s="35">
        <v>-3.6619470000000001</v>
      </c>
      <c r="BO16" s="35">
        <v>12.728262000000001</v>
      </c>
      <c r="BP16" s="35">
        <v>0.95656300000000005</v>
      </c>
      <c r="BQ16" s="35">
        <v>4.6414999999999998E-2</v>
      </c>
      <c r="BR16" s="35">
        <v>0.28780699999999998</v>
      </c>
    </row>
    <row r="17" spans="2:70" x14ac:dyDescent="0.25">
      <c r="B17" s="143">
        <v>-0.41984454977672775</v>
      </c>
      <c r="C17" s="144">
        <v>-0.67556622515885578</v>
      </c>
      <c r="D17" s="145">
        <v>-0.49562303773582594</v>
      </c>
      <c r="E17" s="146">
        <v>0.80167622151665885</v>
      </c>
      <c r="F17" s="144">
        <v>-0.53903450939453312</v>
      </c>
      <c r="G17" s="147">
        <v>0.25837472431057923</v>
      </c>
      <c r="H17" s="146">
        <v>0.31347000000000003</v>
      </c>
      <c r="I17" s="148" t="s">
        <v>111</v>
      </c>
      <c r="J17" s="310">
        <v>3.01</v>
      </c>
      <c r="K17" s="303" t="s">
        <v>110</v>
      </c>
      <c r="M17" s="5">
        <f t="shared" si="1"/>
        <v>3.01</v>
      </c>
      <c r="N17" s="24">
        <f t="shared" si="2"/>
        <v>-0.41984454977672775</v>
      </c>
      <c r="O17" s="7">
        <f t="shared" si="3"/>
        <v>-0.67556622515885578</v>
      </c>
      <c r="P17" s="12">
        <f t="shared" si="4"/>
        <v>-0.49562303773582594</v>
      </c>
      <c r="Q17" s="11">
        <f t="shared" si="30"/>
        <v>238.14026378978269</v>
      </c>
      <c r="R17" s="7">
        <f t="shared" si="5"/>
        <v>0.7953987494034731</v>
      </c>
      <c r="S17" s="8">
        <f t="shared" si="6"/>
        <v>-0.49562303773582594</v>
      </c>
      <c r="T17" s="6">
        <f t="shared" si="7"/>
        <v>-0.41981716009795678</v>
      </c>
      <c r="U17" s="7">
        <f t="shared" si="8"/>
        <v>-0.67558324626939614</v>
      </c>
      <c r="V17" s="10">
        <f>IF(M17="","",Y17)</f>
        <v>-0.37259526148519906</v>
      </c>
      <c r="W17" s="11">
        <f t="shared" si="10"/>
        <v>238.14258672004138</v>
      </c>
      <c r="X17" s="7">
        <f t="shared" si="11"/>
        <v>0.7953987494034731</v>
      </c>
      <c r="Y17" s="9">
        <f t="shared" si="31"/>
        <v>-0.37259526148519906</v>
      </c>
      <c r="Z17" s="24">
        <f t="shared" si="12"/>
        <v>-0.80167622151665885</v>
      </c>
      <c r="AA17" s="7">
        <f t="shared" si="13"/>
        <v>0.53903450939453312</v>
      </c>
      <c r="AB17" s="7">
        <f>IF(M17="","",-G17)</f>
        <v>-0.25837472431057923</v>
      </c>
      <c r="AC17" s="10">
        <f t="shared" si="15"/>
        <v>1.0000002323129729</v>
      </c>
      <c r="AD17" s="11">
        <f t="shared" si="16"/>
        <v>-0.80167603527691578</v>
      </c>
      <c r="AE17" s="7">
        <f t="shared" si="17"/>
        <v>0.53903438416985283</v>
      </c>
      <c r="AF17" s="12">
        <f t="shared" si="18"/>
        <v>-0.25837466428679284</v>
      </c>
      <c r="AG17" s="6">
        <f t="shared" si="19"/>
        <v>64.390261466747077</v>
      </c>
      <c r="AH17" s="12">
        <f t="shared" si="20"/>
        <v>143.29045131299199</v>
      </c>
      <c r="AI17" s="11">
        <f t="shared" si="21"/>
        <v>-75.026357693639341</v>
      </c>
      <c r="AJ17" s="8">
        <f t="shared" si="22"/>
        <v>-123.91626705327795</v>
      </c>
      <c r="AK17" s="6">
        <f t="shared" si="23"/>
        <v>0.96542256555496442</v>
      </c>
      <c r="AL17" s="7">
        <f t="shared" si="24"/>
        <v>-3.4667027157770369E-2</v>
      </c>
      <c r="AM17" s="8">
        <f t="shared" si="25"/>
        <v>-0.25837466428679284</v>
      </c>
      <c r="AN17" s="6">
        <f t="shared" si="26"/>
        <v>-7.6419340415256034</v>
      </c>
      <c r="AO17" s="10">
        <f t="shared" si="27"/>
        <v>15.11100752900871</v>
      </c>
      <c r="AP17" s="13">
        <f t="shared" si="28"/>
        <v>-2.0565308430606413</v>
      </c>
      <c r="AR17" s="123">
        <f t="shared" si="29"/>
        <v>238.14258672004138</v>
      </c>
      <c r="AS17" s="124">
        <f t="shared" si="0"/>
        <v>-0.59657042740950283</v>
      </c>
      <c r="AU17" s="52">
        <f t="shared" si="32"/>
        <v>3.01</v>
      </c>
      <c r="AV17" s="46">
        <f>IF(M17="","",Assy.Model!W17-W17)</f>
        <v>104.91431572623924</v>
      </c>
      <c r="AW17" s="47">
        <f>IF(M17="","",Assy.Model!X17-X17)</f>
        <v>2.4589110655949304</v>
      </c>
      <c r="AX17" s="58">
        <f>IF(M17="","",Assy.Model!Y17-Y17)</f>
        <v>-8.6706123767779086E-2</v>
      </c>
      <c r="AY17" s="318">
        <f>IF(M17="","",Assy.Model!AN17-AN17)</f>
        <v>-45.224834367971603</v>
      </c>
      <c r="AZ17" s="48">
        <f>IF(M17="","",Assy.Model!AO17-AO17)</f>
        <v>9.2224755537917318</v>
      </c>
      <c r="BA17" s="324">
        <f>IF(M17="","",Assy.Model!AP17-AP17)</f>
        <v>-17.769018292228946</v>
      </c>
      <c r="BB17" s="290">
        <f>IF(M17="","",SQRT((Assy.Model!T17-T17)^2+(Assy.Model!U17-U17)^2+(Assy.Model!V17-V17)^2))</f>
        <v>3.54444953865461</v>
      </c>
      <c r="BD17" s="35">
        <v>3.01</v>
      </c>
      <c r="BE17" s="35">
        <v>0.83084490693573798</v>
      </c>
      <c r="BF17" s="35">
        <v>1.4202054939317366E-3</v>
      </c>
      <c r="BG17" s="35">
        <v>2.0070000000005361E-3</v>
      </c>
      <c r="BH17" s="35">
        <v>-1.6757882577647614</v>
      </c>
      <c r="BI17" s="35">
        <v>-5.0672557361211901E-2</v>
      </c>
      <c r="BJ17" s="35">
        <v>-0.4459098916794404</v>
      </c>
      <c r="BK17" s="35">
        <v>1.1583462987297661E-2</v>
      </c>
      <c r="BM17" s="35">
        <v>-0.42766700000000002</v>
      </c>
      <c r="BN17" s="35">
        <v>-0.65218600000000004</v>
      </c>
      <c r="BO17" s="35">
        <v>13.186726999999999</v>
      </c>
      <c r="BP17" s="35">
        <v>0.79776899999999995</v>
      </c>
      <c r="BQ17" s="35">
        <v>-0.54388899999999996</v>
      </c>
      <c r="BR17" s="35">
        <v>0.26028800000000002</v>
      </c>
    </row>
    <row r="18" spans="2:70" x14ac:dyDescent="0.25">
      <c r="B18" s="143">
        <v>-0.82594393203318972</v>
      </c>
      <c r="C18" s="144">
        <v>-1.2809363486508416</v>
      </c>
      <c r="D18" s="145">
        <v>-0.29493388024041411</v>
      </c>
      <c r="E18" s="146">
        <v>0.788212636126008</v>
      </c>
      <c r="F18" s="144">
        <v>-0.51271176154161879</v>
      </c>
      <c r="G18" s="147">
        <v>0.34036424281081518</v>
      </c>
      <c r="H18" s="146">
        <v>0.31420599999999999</v>
      </c>
      <c r="I18" s="148" t="s">
        <v>111</v>
      </c>
      <c r="J18" s="310">
        <v>3.02</v>
      </c>
      <c r="K18" s="303" t="s">
        <v>110</v>
      </c>
      <c r="M18" s="5">
        <f t="shared" si="1"/>
        <v>3.02</v>
      </c>
      <c r="N18" s="24">
        <f t="shared" si="2"/>
        <v>-0.82594393203318972</v>
      </c>
      <c r="O18" s="7">
        <f t="shared" si="3"/>
        <v>-1.2809363486508416</v>
      </c>
      <c r="P18" s="12">
        <f t="shared" si="4"/>
        <v>-0.29493388024041411</v>
      </c>
      <c r="Q18" s="11">
        <f t="shared" si="30"/>
        <v>237.18619800742454</v>
      </c>
      <c r="R18" s="7">
        <f t="shared" si="5"/>
        <v>1.524132969316456</v>
      </c>
      <c r="S18" s="8">
        <f t="shared" si="6"/>
        <v>-0.29493388024041411</v>
      </c>
      <c r="T18" s="6">
        <f t="shared" si="7"/>
        <v>-0.82589199863214136</v>
      </c>
      <c r="U18" s="7">
        <f t="shared" si="8"/>
        <v>-1.2809698336622937</v>
      </c>
      <c r="V18" s="10">
        <f t="shared" si="9"/>
        <v>-0.17190610398978726</v>
      </c>
      <c r="W18" s="11">
        <f t="shared" si="10"/>
        <v>237.18852093768322</v>
      </c>
      <c r="X18" s="7">
        <f t="shared" si="11"/>
        <v>1.524132969316456</v>
      </c>
      <c r="Y18" s="9">
        <f t="shared" si="31"/>
        <v>-0.17190610398978726</v>
      </c>
      <c r="Z18" s="24">
        <f t="shared" si="12"/>
        <v>-0.788212636126008</v>
      </c>
      <c r="AA18" s="7">
        <f t="shared" si="13"/>
        <v>0.51271176154161879</v>
      </c>
      <c r="AB18" s="7">
        <f t="shared" si="14"/>
        <v>-0.34036424281081518</v>
      </c>
      <c r="AC18" s="10">
        <f t="shared" si="15"/>
        <v>1.0000001639779865</v>
      </c>
      <c r="AD18" s="11">
        <f t="shared" si="16"/>
        <v>-0.78821250687650812</v>
      </c>
      <c r="AE18" s="7">
        <f t="shared" si="17"/>
        <v>0.51271167746819024</v>
      </c>
      <c r="AF18" s="12">
        <f t="shared" si="18"/>
        <v>-0.34036418699858112</v>
      </c>
      <c r="AG18" s="6">
        <f t="shared" si="19"/>
        <v>56.42176265650383</v>
      </c>
      <c r="AH18" s="12">
        <f t="shared" si="20"/>
        <v>142.01877986007756</v>
      </c>
      <c r="AI18" s="11">
        <f t="shared" si="21"/>
        <v>-70.100936143635607</v>
      </c>
      <c r="AJ18" s="8">
        <f t="shared" si="22"/>
        <v>-123.04295199469203</v>
      </c>
      <c r="AK18" s="6">
        <f t="shared" si="23"/>
        <v>0.94028616810871646</v>
      </c>
      <c r="AL18" s="7">
        <f t="shared" si="24"/>
        <v>-3.7606212547194318E-3</v>
      </c>
      <c r="AM18" s="8">
        <f t="shared" si="25"/>
        <v>-0.34036418699858112</v>
      </c>
      <c r="AN18" s="6">
        <f t="shared" si="26"/>
        <v>-0.63302476370401217</v>
      </c>
      <c r="AO18" s="10">
        <f t="shared" si="27"/>
        <v>19.900329737517414</v>
      </c>
      <c r="AP18" s="13">
        <f t="shared" si="28"/>
        <v>-0.22915000211653097</v>
      </c>
      <c r="AR18" s="123">
        <f t="shared" si="29"/>
        <v>237.18852093768322</v>
      </c>
      <c r="AS18" s="124">
        <f t="shared" si="0"/>
        <v>-0.39497263583565467</v>
      </c>
      <c r="AU18" s="52">
        <f t="shared" si="32"/>
        <v>3.02</v>
      </c>
      <c r="AV18" s="46">
        <f>IF(M18="","",Assy.Model!W18-W18)</f>
        <v>103.11608190598031</v>
      </c>
      <c r="AW18" s="47">
        <f>IF(M18="","",Assy.Model!X18-X18)</f>
        <v>2.1097779905589977</v>
      </c>
      <c r="AX18" s="58">
        <f>IF(M18="","",Assy.Model!Y18-Y18)</f>
        <v>-0.98049737165909689</v>
      </c>
      <c r="AY18" s="318">
        <f>IF(M18="","",Assy.Model!AN18-AN18)</f>
        <v>-52.966967497414565</v>
      </c>
      <c r="AZ18" s="48">
        <f>IF(M18="","",Assy.Model!AO18-AO18)</f>
        <v>-19.900329737517414</v>
      </c>
      <c r="BA18" s="324">
        <f>IF(M18="","",Assy.Model!AP18-AP18)</f>
        <v>-89.770833853652093</v>
      </c>
      <c r="BB18" s="290">
        <f>IF(M18="","",SQRT((Assy.Model!T18-T18)^2+(Assy.Model!U18-U18)^2+(Assy.Model!V18-V18)^2))</f>
        <v>4.3592819049730123</v>
      </c>
      <c r="BD18" s="35">
        <v>3.02</v>
      </c>
      <c r="BE18" s="35">
        <v>0.5911097486740573</v>
      </c>
      <c r="BF18" s="35">
        <v>1.1747437704566988E-2</v>
      </c>
      <c r="BG18" s="35">
        <v>1.9999999999409379E-5</v>
      </c>
      <c r="BH18" s="35">
        <v>-2.9556445958617377</v>
      </c>
      <c r="BI18" s="35">
        <v>-1.8007299296591839E-3</v>
      </c>
      <c r="BJ18" s="35">
        <v>-1.0763760973769587</v>
      </c>
      <c r="BK18" s="35">
        <v>1.9550836791613378E-2</v>
      </c>
      <c r="BM18" s="35">
        <v>-0.83794500000000005</v>
      </c>
      <c r="BN18" s="35">
        <v>-1.254899</v>
      </c>
      <c r="BO18" s="35">
        <v>13.386914000000001</v>
      </c>
      <c r="BP18" s="35">
        <v>0.784304</v>
      </c>
      <c r="BQ18" s="35">
        <v>-0.51743799999999995</v>
      </c>
      <c r="BR18" s="35">
        <v>0.34223599999999998</v>
      </c>
    </row>
    <row r="19" spans="2:70" x14ac:dyDescent="0.25">
      <c r="B19" s="143">
        <v>-1.2455592679927623</v>
      </c>
      <c r="C19" s="144">
        <v>-1.905543533005408</v>
      </c>
      <c r="D19" s="145">
        <v>-0.1010595542810561</v>
      </c>
      <c r="E19" s="146">
        <v>0.77440253418129223</v>
      </c>
      <c r="F19" s="144">
        <v>-0.5341097591688031</v>
      </c>
      <c r="G19" s="147">
        <v>0.33915786980731533</v>
      </c>
      <c r="H19" s="146">
        <v>0.31431900000000002</v>
      </c>
      <c r="I19" s="148" t="s">
        <v>111</v>
      </c>
      <c r="J19" s="310">
        <v>3.03</v>
      </c>
      <c r="K19" s="303" t="s">
        <v>110</v>
      </c>
      <c r="M19" s="5">
        <f t="shared" si="1"/>
        <v>3.03</v>
      </c>
      <c r="N19" s="24">
        <f t="shared" si="2"/>
        <v>-1.2455592679927623</v>
      </c>
      <c r="O19" s="7">
        <f t="shared" si="3"/>
        <v>-1.905543533005408</v>
      </c>
      <c r="P19" s="12">
        <f t="shared" si="4"/>
        <v>-0.1010595542810561</v>
      </c>
      <c r="Q19" s="11">
        <f t="shared" si="30"/>
        <v>236.82934648255082</v>
      </c>
      <c r="R19" s="7">
        <f t="shared" si="5"/>
        <v>2.2765135726064534</v>
      </c>
      <c r="S19" s="8">
        <f t="shared" si="6"/>
        <v>-0.1010595542810561</v>
      </c>
      <c r="T19" s="6">
        <f t="shared" si="7"/>
        <v>-1.2454820109343769</v>
      </c>
      <c r="U19" s="7">
        <f t="shared" si="8"/>
        <v>-1.9055940298763159</v>
      </c>
      <c r="V19" s="10">
        <f t="shared" si="9"/>
        <v>2.1968221969570767E-2</v>
      </c>
      <c r="W19" s="11">
        <f t="shared" si="10"/>
        <v>236.8316694128095</v>
      </c>
      <c r="X19" s="7">
        <f t="shared" si="11"/>
        <v>2.2765135726064534</v>
      </c>
      <c r="Y19" s="9">
        <f t="shared" si="31"/>
        <v>2.1968221969570767E-2</v>
      </c>
      <c r="Z19" s="24">
        <f t="shared" si="12"/>
        <v>-0.77440253418129223</v>
      </c>
      <c r="AA19" s="7">
        <f t="shared" si="13"/>
        <v>0.5341097591688031</v>
      </c>
      <c r="AB19" s="7">
        <f t="shared" si="14"/>
        <v>-0.33915786980731533</v>
      </c>
      <c r="AC19" s="10">
        <f t="shared" si="15"/>
        <v>1.000000290218958</v>
      </c>
      <c r="AD19" s="11">
        <f t="shared" si="16"/>
        <v>-0.77440230943506094</v>
      </c>
      <c r="AE19" s="7">
        <f t="shared" si="17"/>
        <v>0.53410960416007036</v>
      </c>
      <c r="AF19" s="12">
        <f t="shared" si="18"/>
        <v>-0.33915777137730035</v>
      </c>
      <c r="AG19" s="6">
        <f t="shared" si="19"/>
        <v>57.584592360677313</v>
      </c>
      <c r="AH19" s="12">
        <f t="shared" si="20"/>
        <v>140.75087527175683</v>
      </c>
      <c r="AI19" s="11">
        <f t="shared" si="21"/>
        <v>-70.174430733302401</v>
      </c>
      <c r="AJ19" s="8">
        <f t="shared" si="22"/>
        <v>-124.59424638567278</v>
      </c>
      <c r="AK19" s="6">
        <f t="shared" si="23"/>
        <v>0.94043914608545198</v>
      </c>
      <c r="AL19" s="7">
        <f t="shared" si="24"/>
        <v>-2.3371320554238573E-2</v>
      </c>
      <c r="AM19" s="8">
        <f t="shared" si="25"/>
        <v>-0.33915777137730035</v>
      </c>
      <c r="AN19" s="6">
        <f t="shared" si="26"/>
        <v>-3.9420133980129175</v>
      </c>
      <c r="AO19" s="10">
        <f t="shared" si="27"/>
        <v>19.874563498215483</v>
      </c>
      <c r="AP19" s="13">
        <f t="shared" si="28"/>
        <v>-1.4235928682235388</v>
      </c>
      <c r="AR19" s="123">
        <f t="shared" si="29"/>
        <v>236.8316694128095</v>
      </c>
      <c r="AS19" s="124">
        <f t="shared" si="0"/>
        <v>-0.20075845128117881</v>
      </c>
      <c r="AU19" s="52">
        <f t="shared" si="32"/>
        <v>3.03</v>
      </c>
      <c r="AV19" s="46">
        <f>IF(M19="","",Assy.Model!W19-W19)</f>
        <v>102.97773350235207</v>
      </c>
      <c r="AW19" s="47">
        <f>IF(M19="","",Assy.Model!X19-X19)</f>
        <v>1.4259975941672272</v>
      </c>
      <c r="AX19" s="58">
        <f>IF(M19="","",Assy.Model!Y19-Y19)</f>
        <v>-1.9740741095209278</v>
      </c>
      <c r="AY19" s="318">
        <f>IF(M19="","",Assy.Model!AN19-AN19)</f>
        <v>-86.057973607596708</v>
      </c>
      <c r="AZ19" s="48">
        <f>IF(M19="","",Assy.Model!AO19-AO19)</f>
        <v>-19.874563498215483</v>
      </c>
      <c r="BA19" s="324">
        <f>IF(M19="","",Assy.Model!AP19-AP19)</f>
        <v>-88.576394137386117</v>
      </c>
      <c r="BB19" s="290">
        <f>IF(M19="","",SQRT((Assy.Model!T19-T19)^2+(Assy.Model!U19-U19)^2+(Assy.Model!V19-V19)^2))</f>
        <v>5.1549811280565301</v>
      </c>
      <c r="BD19" s="35">
        <v>3.03</v>
      </c>
      <c r="BE19" s="35">
        <v>0.52527475437861426</v>
      </c>
      <c r="BF19" s="35">
        <v>-1.0768447830944439E-3</v>
      </c>
      <c r="BG19" s="35">
        <v>3.765000000000393E-3</v>
      </c>
      <c r="BH19" s="35">
        <v>1.4959406345713855</v>
      </c>
      <c r="BI19" s="35">
        <v>4.1038494761583166E-2</v>
      </c>
      <c r="BJ19" s="35">
        <v>0.54181036986415809</v>
      </c>
      <c r="BK19" s="35">
        <v>2.1094832203460742E-2</v>
      </c>
      <c r="BM19" s="35">
        <v>-1.2618450000000001</v>
      </c>
      <c r="BN19" s="35">
        <v>-1.876768</v>
      </c>
      <c r="BO19" s="35">
        <v>13.580268999999999</v>
      </c>
      <c r="BP19" s="35">
        <v>0.77036300000000002</v>
      </c>
      <c r="BQ19" s="35">
        <v>-0.53874999999999995</v>
      </c>
      <c r="BR19" s="35">
        <v>0.34101300000000001</v>
      </c>
    </row>
    <row r="20" spans="2:70" x14ac:dyDescent="0.25">
      <c r="B20" s="143">
        <v>-1.6982389023801883</v>
      </c>
      <c r="C20" s="144">
        <v>-2.5064098415586358</v>
      </c>
      <c r="D20" s="145">
        <v>-0.12156696207636866</v>
      </c>
      <c r="E20" s="146">
        <v>0.73586040050353096</v>
      </c>
      <c r="F20" s="144">
        <v>-0.59486507992387427</v>
      </c>
      <c r="G20" s="147">
        <v>0.3234876945525838</v>
      </c>
      <c r="H20" s="146">
        <v>0.31134400000000001</v>
      </c>
      <c r="I20" s="148" t="s">
        <v>111</v>
      </c>
      <c r="J20" s="310">
        <v>3.04</v>
      </c>
      <c r="K20" s="303" t="s">
        <v>110</v>
      </c>
      <c r="M20" s="5">
        <f t="shared" si="1"/>
        <v>3.04</v>
      </c>
      <c r="N20" s="24">
        <f t="shared" si="2"/>
        <v>-1.6982389023801883</v>
      </c>
      <c r="O20" s="7">
        <f t="shared" si="3"/>
        <v>-2.5064098415586358</v>
      </c>
      <c r="P20" s="12">
        <f t="shared" si="4"/>
        <v>-0.12156696207636866</v>
      </c>
      <c r="Q20" s="11">
        <f t="shared" si="30"/>
        <v>235.88006882449855</v>
      </c>
      <c r="R20" s="7">
        <f t="shared" si="5"/>
        <v>3.0275577060428516</v>
      </c>
      <c r="S20" s="8">
        <f t="shared" si="6"/>
        <v>-0.12156696207636866</v>
      </c>
      <c r="T20" s="6">
        <f t="shared" si="7"/>
        <v>-1.6981372841584312</v>
      </c>
      <c r="U20" s="7">
        <f t="shared" si="8"/>
        <v>-2.5064786908271293</v>
      </c>
      <c r="V20" s="10">
        <f>IF(M20="","",Y20)</f>
        <v>1.4608141742581959E-3</v>
      </c>
      <c r="W20" s="11">
        <f t="shared" si="10"/>
        <v>235.88239175475718</v>
      </c>
      <c r="X20" s="7">
        <f t="shared" si="11"/>
        <v>3.0275577060428516</v>
      </c>
      <c r="Y20" s="9">
        <f t="shared" si="31"/>
        <v>1.4608141742581959E-3</v>
      </c>
      <c r="Z20" s="24">
        <f t="shared" si="12"/>
        <v>-0.73586040050353096</v>
      </c>
      <c r="AA20" s="7">
        <f t="shared" si="13"/>
        <v>0.59486507992387427</v>
      </c>
      <c r="AB20" s="7">
        <f t="shared" si="14"/>
        <v>-0.3234876945525838</v>
      </c>
      <c r="AC20" s="10">
        <f t="shared" si="15"/>
        <v>0.99999964043443534</v>
      </c>
      <c r="AD20" s="11">
        <f t="shared" si="16"/>
        <v>-0.73586066509368653</v>
      </c>
      <c r="AE20" s="7">
        <f t="shared" si="17"/>
        <v>0.59486529381694953</v>
      </c>
      <c r="AF20" s="12">
        <f t="shared" si="18"/>
        <v>-0.32348781086766115</v>
      </c>
      <c r="AG20" s="6">
        <f t="shared" si="19"/>
        <v>61.462647625121612</v>
      </c>
      <c r="AH20" s="12">
        <f t="shared" si="20"/>
        <v>137.37999129315097</v>
      </c>
      <c r="AI20" s="11">
        <f t="shared" si="21"/>
        <v>-71.126015384744193</v>
      </c>
      <c r="AJ20" s="8">
        <f t="shared" si="22"/>
        <v>-128.95186393120099</v>
      </c>
      <c r="AK20" s="6">
        <f t="shared" si="23"/>
        <v>0.94286949211400461</v>
      </c>
      <c r="AL20" s="7">
        <f t="shared" si="24"/>
        <v>-7.9704184712771353E-2</v>
      </c>
      <c r="AM20" s="8">
        <f t="shared" si="25"/>
        <v>-0.32348781086766115</v>
      </c>
      <c r="AN20" s="6">
        <f t="shared" si="26"/>
        <v>-13.841411725332737</v>
      </c>
      <c r="AO20" s="10">
        <f t="shared" si="27"/>
        <v>19.460827287120413</v>
      </c>
      <c r="AP20" s="13">
        <f t="shared" si="28"/>
        <v>-4.8319327556995493</v>
      </c>
      <c r="AR20" s="123">
        <f t="shared" si="29"/>
        <v>235.88239175475718</v>
      </c>
      <c r="AS20" s="124">
        <f t="shared" si="0"/>
        <v>-0.22036178511644156</v>
      </c>
      <c r="AU20" s="52">
        <f t="shared" si="32"/>
        <v>3.04</v>
      </c>
      <c r="AV20" s="46">
        <f>IF(M20="","",Assy.Model!W20-W20)</f>
        <v>68.294064327596288</v>
      </c>
      <c r="AW20" s="47">
        <f>IF(M20="","",Assy.Model!X20-X20)</f>
        <v>-0.63015047546264391</v>
      </c>
      <c r="AX20" s="58">
        <f>IF(M20="","",Assy.Model!Y20-Y20)</f>
        <v>-7.9161048518164967E-2</v>
      </c>
      <c r="AY20" s="318">
        <f>IF(M20="","",Assy.Model!AN20-AN20)</f>
        <v>-4.7964140774576514</v>
      </c>
      <c r="AZ20" s="48">
        <f>IF(M20="","",Assy.Model!AO20-AO20)</f>
        <v>-3.9814029873358407</v>
      </c>
      <c r="BA20" s="324">
        <f>IF(M20="","",Assy.Model!AP20-AP20)</f>
        <v>-0.22586105601599549</v>
      </c>
      <c r="BB20" s="290">
        <f>IF(M20="","",SQRT((Assy.Model!T20-T20)^2+(Assy.Model!U20-U20)^2+(Assy.Model!V20-V20)^2))</f>
        <v>3.0904819766358611</v>
      </c>
      <c r="BD20" s="35">
        <v>3.04</v>
      </c>
      <c r="BE20" s="35">
        <v>0.46808447464951541</v>
      </c>
      <c r="BF20" s="35">
        <v>5.2359301955888782E-3</v>
      </c>
      <c r="BG20" s="35">
        <v>1.7100000000039306E-4</v>
      </c>
      <c r="BH20" s="35">
        <v>0.56322917272198048</v>
      </c>
      <c r="BI20" s="35">
        <v>0.57697219718056303</v>
      </c>
      <c r="BJ20" s="35">
        <v>5.3909513114013485E-2</v>
      </c>
      <c r="BK20" s="35">
        <v>2.5185599096820187E-2</v>
      </c>
      <c r="BM20" s="35">
        <v>-1.718226</v>
      </c>
      <c r="BN20" s="35">
        <v>-2.4748070000000002</v>
      </c>
      <c r="BO20" s="35">
        <v>13.559163</v>
      </c>
      <c r="BP20" s="35">
        <v>0.73147399999999996</v>
      </c>
      <c r="BQ20" s="35">
        <v>-0.59927200000000003</v>
      </c>
      <c r="BR20" s="35">
        <v>0.325297</v>
      </c>
    </row>
    <row r="21" spans="2:70" x14ac:dyDescent="0.25">
      <c r="B21" s="143">
        <v>-2.1809525722714702</v>
      </c>
      <c r="C21" s="144">
        <v>-2.9578723176602382</v>
      </c>
      <c r="D21" s="145">
        <v>-0.52624971019185385</v>
      </c>
      <c r="E21" s="146">
        <v>0.5960576996122271</v>
      </c>
      <c r="F21" s="144">
        <v>-0.73069283907874161</v>
      </c>
      <c r="G21" s="147">
        <v>0.33287108138591487</v>
      </c>
      <c r="H21" s="146">
        <v>0.316494</v>
      </c>
      <c r="I21" s="148" t="s">
        <v>111</v>
      </c>
      <c r="J21" s="310">
        <v>3.05</v>
      </c>
      <c r="K21" s="303" t="s">
        <v>110</v>
      </c>
      <c r="M21" s="5">
        <f t="shared" si="1"/>
        <v>3.05</v>
      </c>
      <c r="N21" s="24">
        <f t="shared" si="2"/>
        <v>-2.1809525722714702</v>
      </c>
      <c r="O21" s="7">
        <f t="shared" si="3"/>
        <v>-2.9578723176602382</v>
      </c>
      <c r="P21" s="12">
        <f t="shared" si="4"/>
        <v>-0.52624971019185385</v>
      </c>
      <c r="Q21" s="11">
        <f t="shared" si="30"/>
        <v>233.59722640568719</v>
      </c>
      <c r="R21" s="7">
        <f t="shared" si="5"/>
        <v>3.6749915333342322</v>
      </c>
      <c r="S21" s="8">
        <f t="shared" si="6"/>
        <v>-0.52624971019185385</v>
      </c>
      <c r="T21" s="6">
        <f t="shared" si="7"/>
        <v>-2.1808326501085502</v>
      </c>
      <c r="U21" s="7">
        <f t="shared" si="8"/>
        <v>-2.9579607371124466</v>
      </c>
      <c r="V21" s="10">
        <f>IF(M21="","",Y21)</f>
        <v>-0.40322193394122696</v>
      </c>
      <c r="W21" s="11">
        <f t="shared" si="10"/>
        <v>233.59954933594594</v>
      </c>
      <c r="X21" s="7">
        <f t="shared" si="11"/>
        <v>3.6749915333342322</v>
      </c>
      <c r="Y21" s="9">
        <f t="shared" si="31"/>
        <v>-0.40322193394122696</v>
      </c>
      <c r="Z21" s="24">
        <f t="shared" si="12"/>
        <v>-0.5960576996122271</v>
      </c>
      <c r="AA21" s="7">
        <f t="shared" si="13"/>
        <v>0.73069283907874161</v>
      </c>
      <c r="AB21" s="7">
        <f t="shared" si="14"/>
        <v>-0.33287108138591487</v>
      </c>
      <c r="AC21" s="10">
        <f t="shared" si="15"/>
        <v>0.99999998158549985</v>
      </c>
      <c r="AD21" s="11">
        <f t="shared" si="16"/>
        <v>-0.59605771058833201</v>
      </c>
      <c r="AE21" s="7">
        <f t="shared" si="17"/>
        <v>0.73069285253408534</v>
      </c>
      <c r="AF21" s="12">
        <f t="shared" si="18"/>
        <v>-0.3328710875155696</v>
      </c>
      <c r="AG21" s="6">
        <f t="shared" si="19"/>
        <v>65.508105521343509</v>
      </c>
      <c r="AH21" s="12">
        <f t="shared" si="20"/>
        <v>126.58807067206529</v>
      </c>
      <c r="AI21" s="11">
        <f t="shared" si="21"/>
        <v>-70.556868235349413</v>
      </c>
      <c r="AJ21" s="8">
        <f t="shared" si="22"/>
        <v>-140.79438911913701</v>
      </c>
      <c r="AK21" s="6">
        <f t="shared" si="23"/>
        <v>0.91338143984955789</v>
      </c>
      <c r="AL21" s="7">
        <f t="shared" si="24"/>
        <v>-0.23437402679168756</v>
      </c>
      <c r="AM21" s="8">
        <f t="shared" si="25"/>
        <v>-0.3328710875155696</v>
      </c>
      <c r="AN21" s="6">
        <f t="shared" si="26"/>
        <v>-35.149318014182533</v>
      </c>
      <c r="AO21" s="10">
        <f t="shared" si="27"/>
        <v>24.023094244890132</v>
      </c>
      <c r="AP21" s="13">
        <f t="shared" si="28"/>
        <v>-14.391615524824227</v>
      </c>
      <c r="AR21" s="123">
        <f t="shared" si="29"/>
        <v>233.59954933594594</v>
      </c>
      <c r="AS21" s="124">
        <f t="shared" si="0"/>
        <v>-0.62287039759496365</v>
      </c>
      <c r="AU21" s="52">
        <f t="shared" si="32"/>
        <v>3.05</v>
      </c>
      <c r="AV21" s="46">
        <f>IF(M21="","",Assy.Model!W21-W21)</f>
        <v>69.553606894153745</v>
      </c>
      <c r="AW21" s="47">
        <f>IF(M21="","",Assy.Model!X21-X21)</f>
        <v>-0.56128214238670937</v>
      </c>
      <c r="AX21" s="58">
        <f>IF(M21="","",Assy.Model!Y21-Y21)</f>
        <v>9.5207465384455903E-3</v>
      </c>
      <c r="AY21" s="318">
        <f>IF(M21="","",Assy.Model!AN21-AN21)</f>
        <v>-13.913015619544971</v>
      </c>
      <c r="AZ21" s="48">
        <f>IF(M21="","",Assy.Model!AO21-AO21)</f>
        <v>-5.7539868332634434</v>
      </c>
      <c r="BA21" s="324">
        <f>IF(M21="","",Assy.Model!AP21-AP21)</f>
        <v>0.38878616176887171</v>
      </c>
      <c r="BB21" s="290">
        <f>IF(M21="","",SQRT((Assy.Model!T21-T21)^2+(Assy.Model!U21-U21)^2+(Assy.Model!V21-V21)^2))</f>
        <v>3.8995069347109825</v>
      </c>
      <c r="BD21" s="35">
        <v>3.05</v>
      </c>
      <c r="BE21" s="35">
        <v>0.48003272569195587</v>
      </c>
      <c r="BF21" s="35">
        <v>6.1529233771757674E-3</v>
      </c>
      <c r="BG21" s="35">
        <v>1.169200000000048E-2</v>
      </c>
      <c r="BH21" s="35">
        <v>0.8575849388586434</v>
      </c>
      <c r="BI21" s="35">
        <v>1.1931445972167118</v>
      </c>
      <c r="BJ21" s="35">
        <v>-0.45599047769194456</v>
      </c>
      <c r="BK21" s="35">
        <v>3.3417023583752772E-2</v>
      </c>
      <c r="BM21" s="35">
        <v>-2.2029290000000001</v>
      </c>
      <c r="BN21" s="35">
        <v>-2.923467</v>
      </c>
      <c r="BO21" s="35">
        <v>13.153741999999999</v>
      </c>
      <c r="BP21" s="35">
        <v>0.59080699999999997</v>
      </c>
      <c r="BQ21" s="35">
        <v>-0.73421899999999996</v>
      </c>
      <c r="BR21" s="35">
        <v>0.33446900000000002</v>
      </c>
    </row>
    <row r="22" spans="2:70" x14ac:dyDescent="0.25">
      <c r="B22" s="143">
        <v>-2.5354723932526304</v>
      </c>
      <c r="C22" s="144">
        <v>-3.2006189302116717</v>
      </c>
      <c r="D22" s="145">
        <v>-1.1552259474284361</v>
      </c>
      <c r="E22" s="146">
        <v>0.42376283419023819</v>
      </c>
      <c r="F22" s="144">
        <v>-0.86746700640905994</v>
      </c>
      <c r="G22" s="147">
        <v>0.26062371948032781</v>
      </c>
      <c r="H22" s="146">
        <v>0.31582900000000003</v>
      </c>
      <c r="I22" s="148" t="s">
        <v>111</v>
      </c>
      <c r="J22" s="310">
        <v>3.06</v>
      </c>
      <c r="K22" s="303" t="s">
        <v>110</v>
      </c>
      <c r="M22" s="5">
        <f t="shared" si="1"/>
        <v>3.06</v>
      </c>
      <c r="N22" s="24">
        <f t="shared" si="2"/>
        <v>-2.5354723932526304</v>
      </c>
      <c r="O22" s="7">
        <f t="shared" si="3"/>
        <v>-3.2006189302116717</v>
      </c>
      <c r="P22" s="12">
        <f t="shared" si="4"/>
        <v>-1.1552259474284361</v>
      </c>
      <c r="Q22" s="11">
        <f t="shared" si="30"/>
        <v>231.61437188374373</v>
      </c>
      <c r="R22" s="7">
        <f t="shared" si="5"/>
        <v>4.0832072924816742</v>
      </c>
      <c r="S22" s="8">
        <f t="shared" si="6"/>
        <v>-1.1552259474284361</v>
      </c>
      <c r="T22" s="6">
        <f t="shared" si="7"/>
        <v>-2.535342629175529</v>
      </c>
      <c r="U22" s="7">
        <f t="shared" si="8"/>
        <v>-3.2007217226839391</v>
      </c>
      <c r="V22" s="10">
        <f t="shared" si="9"/>
        <v>-1.0321981711778092</v>
      </c>
      <c r="W22" s="11">
        <f t="shared" si="10"/>
        <v>231.61669481400241</v>
      </c>
      <c r="X22" s="7">
        <f t="shared" si="11"/>
        <v>4.0832072924816742</v>
      </c>
      <c r="Y22" s="9">
        <f t="shared" si="31"/>
        <v>-1.0321981711778092</v>
      </c>
      <c r="Z22" s="24">
        <f t="shared" si="12"/>
        <v>-0.42376283419023819</v>
      </c>
      <c r="AA22" s="7">
        <f t="shared" si="13"/>
        <v>0.86746700640905994</v>
      </c>
      <c r="AB22" s="7">
        <f t="shared" si="14"/>
        <v>-0.26062371948032781</v>
      </c>
      <c r="AC22" s="10">
        <f t="shared" si="15"/>
        <v>0.99999933500227878</v>
      </c>
      <c r="AD22" s="11">
        <f t="shared" si="16"/>
        <v>-0.42376311599174465</v>
      </c>
      <c r="AE22" s="7">
        <f t="shared" si="17"/>
        <v>0.86746758327302598</v>
      </c>
      <c r="AF22" s="12">
        <f t="shared" si="18"/>
        <v>-0.26062389279462261</v>
      </c>
      <c r="AG22" s="6">
        <f t="shared" si="19"/>
        <v>73.277512948917916</v>
      </c>
      <c r="AH22" s="12">
        <f t="shared" si="20"/>
        <v>115.07239777233539</v>
      </c>
      <c r="AI22" s="11">
        <f t="shared" si="21"/>
        <v>-74.892915053248842</v>
      </c>
      <c r="AJ22" s="8">
        <f t="shared" si="22"/>
        <v>-153.96421350884088</v>
      </c>
      <c r="AK22" s="6">
        <f t="shared" si="23"/>
        <v>0.87082141701356097</v>
      </c>
      <c r="AL22" s="7">
        <f t="shared" si="24"/>
        <v>-0.4168275976648747</v>
      </c>
      <c r="AM22" s="8">
        <f t="shared" si="25"/>
        <v>-0.26062389279462261</v>
      </c>
      <c r="AN22" s="6">
        <f t="shared" si="26"/>
        <v>-57.984076718042999</v>
      </c>
      <c r="AO22" s="10">
        <f t="shared" si="27"/>
        <v>29.445765803096734</v>
      </c>
      <c r="AP22" s="13">
        <f t="shared" si="28"/>
        <v>-25.578585392584607</v>
      </c>
      <c r="AR22" s="123">
        <f>IF(M22="","",IF(W22&lt;=LARGE($W$9:$W$18,1),W22,W22-360))</f>
        <v>231.61669481400241</v>
      </c>
      <c r="AS22" s="124">
        <f t="shared" si="0"/>
        <v>-1.2499582019535045</v>
      </c>
      <c r="AU22" s="52">
        <f t="shared" si="32"/>
        <v>3.06</v>
      </c>
      <c r="AV22" s="46">
        <f>IF(M22="","",Assy.Model!W22-W22)</f>
        <v>70.870161512299035</v>
      </c>
      <c r="AW22" s="47">
        <f>IF(M22="","",Assy.Model!X22-X22)</f>
        <v>-0.5165965355836315</v>
      </c>
      <c r="AX22" s="58">
        <f>IF(M22="","",Assy.Model!Y22-Y22)</f>
        <v>8.895084895701233E-3</v>
      </c>
      <c r="AY22" s="318">
        <f>IF(M22="","",Assy.Model!AN22-AN22)</f>
        <v>-12.683138856236596</v>
      </c>
      <c r="AZ22" s="48">
        <f>IF(M22="","",Assy.Model!AO22-AO22)</f>
        <v>-5.014839256220796</v>
      </c>
      <c r="BA22" s="324">
        <f>IF(M22="","",Assy.Model!AP22-AP22)</f>
        <v>2.3759240283540137</v>
      </c>
      <c r="BB22" s="290">
        <f>IF(M22="","",SQRT((Assy.Model!T22-T22)^2+(Assy.Model!U22-U22)^2+(Assy.Model!V22-V22)^2))</f>
        <v>4.4551492051972295</v>
      </c>
      <c r="BD22" s="35">
        <v>3.06</v>
      </c>
      <c r="BE22" s="35">
        <v>0.59006256190224349</v>
      </c>
      <c r="BF22" s="35">
        <v>7.7401035985866784E-3</v>
      </c>
      <c r="BG22" s="35">
        <v>1.4657000000000364E-2</v>
      </c>
      <c r="BH22" s="35">
        <v>3.2899059353658728</v>
      </c>
      <c r="BI22" s="35">
        <v>0.89752612812704058</v>
      </c>
      <c r="BJ22" s="35">
        <v>5.2406183810020934E-2</v>
      </c>
      <c r="BK22" s="35">
        <v>4.5098314667599906E-2</v>
      </c>
      <c r="BM22" s="35">
        <v>-2.5576829999999999</v>
      </c>
      <c r="BN22" s="35">
        <v>-3.1643379999999999</v>
      </c>
      <c r="BO22" s="35">
        <v>12.524177</v>
      </c>
      <c r="BP22" s="35">
        <v>0.41780800000000001</v>
      </c>
      <c r="BQ22" s="35">
        <v>-0.86995400000000001</v>
      </c>
      <c r="BR22" s="35">
        <v>0.26194499999999998</v>
      </c>
    </row>
    <row r="23" spans="2:70" x14ac:dyDescent="0.25">
      <c r="B23" s="143">
        <v>-2.5246127743602864</v>
      </c>
      <c r="C23" s="144">
        <v>0.15136809371405607</v>
      </c>
      <c r="D23" s="145">
        <v>-7.9161663053168976E-2</v>
      </c>
      <c r="E23" s="146">
        <v>-8.3288860482001473E-2</v>
      </c>
      <c r="F23" s="144">
        <v>-0.93650517579727244</v>
      </c>
      <c r="G23" s="147">
        <v>0.34061906929226599</v>
      </c>
      <c r="H23" s="146">
        <v>0.31278499999999998</v>
      </c>
      <c r="I23" s="148" t="s">
        <v>111</v>
      </c>
      <c r="J23" s="310">
        <v>4.01</v>
      </c>
      <c r="K23" s="303" t="s">
        <v>110</v>
      </c>
      <c r="M23" s="5">
        <f t="shared" si="1"/>
        <v>4.01</v>
      </c>
      <c r="N23" s="24">
        <f t="shared" si="2"/>
        <v>-2.5246127743602864</v>
      </c>
      <c r="O23" s="7">
        <f t="shared" si="3"/>
        <v>0.15136809371405607</v>
      </c>
      <c r="P23" s="12">
        <f t="shared" si="4"/>
        <v>-7.9161663053168976E-2</v>
      </c>
      <c r="Q23" s="11">
        <f t="shared" si="30"/>
        <v>176.56882711176149</v>
      </c>
      <c r="R23" s="7">
        <f t="shared" si="5"/>
        <v>2.5291464884932564</v>
      </c>
      <c r="S23" s="8">
        <f t="shared" si="6"/>
        <v>-7.9161663053168976E-2</v>
      </c>
      <c r="T23" s="6">
        <f t="shared" si="7"/>
        <v>-2.5246189091689306</v>
      </c>
      <c r="U23" s="7">
        <f t="shared" si="8"/>
        <v>0.15126573876608168</v>
      </c>
      <c r="V23" s="10">
        <f t="shared" si="9"/>
        <v>4.3866113197457868E-2</v>
      </c>
      <c r="W23" s="11">
        <f t="shared" si="10"/>
        <v>176.57115004202018</v>
      </c>
      <c r="X23" s="7">
        <f t="shared" si="11"/>
        <v>2.5291464884932564</v>
      </c>
      <c r="Y23" s="9">
        <f t="shared" si="31"/>
        <v>4.3866113197457868E-2</v>
      </c>
      <c r="Z23" s="24">
        <f t="shared" si="12"/>
        <v>8.3288860482001473E-2</v>
      </c>
      <c r="AA23" s="7">
        <f t="shared" si="13"/>
        <v>0.93650517579727244</v>
      </c>
      <c r="AB23" s="7">
        <f t="shared" si="14"/>
        <v>-0.34061906929226599</v>
      </c>
      <c r="AC23" s="10">
        <f t="shared" si="15"/>
        <v>1.0000001644704866</v>
      </c>
      <c r="AD23" s="11">
        <f t="shared" si="16"/>
        <v>8.3288846783444323E-2</v>
      </c>
      <c r="AE23" s="7">
        <f t="shared" si="17"/>
        <v>0.93650502176983585</v>
      </c>
      <c r="AF23" s="12">
        <f t="shared" si="18"/>
        <v>-0.34061901327049116</v>
      </c>
      <c r="AG23" s="6">
        <f t="shared" si="19"/>
        <v>70.013017481600301</v>
      </c>
      <c r="AH23" s="12">
        <f t="shared" si="20"/>
        <v>85.222365936262847</v>
      </c>
      <c r="AI23" s="11">
        <f t="shared" si="21"/>
        <v>-70.085407818325692</v>
      </c>
      <c r="AJ23" s="8">
        <f t="shared" si="22"/>
        <v>174.91772398833004</v>
      </c>
      <c r="AK23" s="6">
        <f t="shared" si="23"/>
        <v>0.93981104929750103</v>
      </c>
      <c r="AL23" s="7">
        <f t="shared" si="24"/>
        <v>-2.7090208876393573E-2</v>
      </c>
      <c r="AM23" s="8">
        <f t="shared" si="25"/>
        <v>-0.34061901327049116</v>
      </c>
      <c r="AN23" s="6">
        <f t="shared" si="26"/>
        <v>-4.5472926663809394</v>
      </c>
      <c r="AO23" s="10">
        <f t="shared" si="27"/>
        <v>19.980151213635303</v>
      </c>
      <c r="AP23" s="13">
        <f t="shared" si="28"/>
        <v>-1.651103123431459</v>
      </c>
      <c r="AR23" s="123">
        <f t="shared" si="29"/>
        <v>176.57115004202018</v>
      </c>
      <c r="AS23" s="124">
        <f t="shared" si="0"/>
        <v>-0.12146958922396853</v>
      </c>
      <c r="AU23" s="52">
        <f t="shared" si="32"/>
        <v>4.01</v>
      </c>
      <c r="AV23" s="46">
        <f>IF(M23="","",Assy.Model!W23-W23)</f>
        <v>125.7728063049135</v>
      </c>
      <c r="AW23" s="47">
        <f>IF(M23="","",Assy.Model!X23-X23)</f>
        <v>1.1577646312306813</v>
      </c>
      <c r="AX23" s="58">
        <f>IF(M23="","",Assy.Model!Y23-Y23)</f>
        <v>-1.8594715890635731</v>
      </c>
      <c r="AY23" s="318">
        <f>IF(M23="","",Assy.Model!AN23-AN23)</f>
        <v>-85.452694339228671</v>
      </c>
      <c r="AZ23" s="48">
        <f>IF(M23="","",Assy.Model!AO23-AO23)</f>
        <v>10.019844454901286</v>
      </c>
      <c r="BA23" s="324">
        <f>IF(M23="","",Assy.Model!AP23-AP23)</f>
        <v>-28.348892545104487</v>
      </c>
      <c r="BB23" s="290">
        <f>IF(M23="","",SQRT((Assy.Model!T23-T23)^2+(Assy.Model!U23-U23)^2+(Assy.Model!V23-V23)^2))</f>
        <v>5.8608450207978073</v>
      </c>
      <c r="BD23" s="35">
        <v>4.01</v>
      </c>
      <c r="BE23" s="35">
        <v>0.79692200492891629</v>
      </c>
      <c r="BF23" s="35">
        <v>-2.1809266245386816E-2</v>
      </c>
      <c r="BG23" s="35">
        <v>8.580000000003446E-4</v>
      </c>
      <c r="BH23" s="35">
        <v>2.1135969830228678</v>
      </c>
      <c r="BI23" s="35">
        <v>3.4227407093961659E-2</v>
      </c>
      <c r="BJ23" s="35">
        <v>0.76635926279875255</v>
      </c>
      <c r="BK23" s="35">
        <v>4.1339138909117439E-2</v>
      </c>
      <c r="BM23" s="35">
        <v>-2.5280689999999999</v>
      </c>
      <c r="BN23" s="35">
        <v>0.18810199999999999</v>
      </c>
      <c r="BO23" s="35">
        <v>13.598476</v>
      </c>
      <c r="BP23" s="35">
        <v>-8.9826000000000003E-2</v>
      </c>
      <c r="BQ23" s="35">
        <v>-0.93578099999999997</v>
      </c>
      <c r="BR23" s="35">
        <v>0.34094799999999997</v>
      </c>
    </row>
    <row r="24" spans="2:70" x14ac:dyDescent="0.25">
      <c r="B24" s="143">
        <v>-3.2511366430671989</v>
      </c>
      <c r="C24" s="144">
        <v>0.28627944113821002</v>
      </c>
      <c r="D24" s="145">
        <v>-0.23940187266467719</v>
      </c>
      <c r="E24" s="146">
        <v>-0.20220298280024696</v>
      </c>
      <c r="F24" s="144">
        <v>-0.92225336748040487</v>
      </c>
      <c r="G24" s="147">
        <v>0.32948794100351592</v>
      </c>
      <c r="H24" s="146">
        <v>0.31278299999999998</v>
      </c>
      <c r="I24" s="148" t="s">
        <v>111</v>
      </c>
      <c r="J24" s="310">
        <v>4.0199999999999996</v>
      </c>
      <c r="K24" s="303" t="s">
        <v>110</v>
      </c>
      <c r="M24" s="5">
        <f t="shared" si="1"/>
        <v>4.0199999999999996</v>
      </c>
      <c r="N24" s="24">
        <f t="shared" si="2"/>
        <v>-3.2511366430671989</v>
      </c>
      <c r="O24" s="7">
        <f t="shared" si="3"/>
        <v>0.28627944113821002</v>
      </c>
      <c r="P24" s="12">
        <f t="shared" si="4"/>
        <v>-0.23940187266467719</v>
      </c>
      <c r="Q24" s="11">
        <f t="shared" si="30"/>
        <v>174.96778881809928</v>
      </c>
      <c r="R24" s="7">
        <f t="shared" si="5"/>
        <v>3.2637164996844716</v>
      </c>
      <c r="S24" s="8">
        <f t="shared" si="6"/>
        <v>-0.23940187266467719</v>
      </c>
      <c r="T24" s="6">
        <f t="shared" si="7"/>
        <v>-3.2511482469599962</v>
      </c>
      <c r="U24" s="7">
        <f t="shared" si="8"/>
        <v>0.28614763078104205</v>
      </c>
      <c r="V24" s="10">
        <f t="shared" si="9"/>
        <v>-0.11637409641405033</v>
      </c>
      <c r="W24" s="11">
        <f t="shared" si="10"/>
        <v>174.97011174835797</v>
      </c>
      <c r="X24" s="7">
        <f t="shared" si="11"/>
        <v>3.2637164996844716</v>
      </c>
      <c r="Y24" s="9">
        <f t="shared" si="31"/>
        <v>-0.11637409641405033</v>
      </c>
      <c r="Z24" s="24">
        <f t="shared" si="12"/>
        <v>0.20220298280024696</v>
      </c>
      <c r="AA24" s="7">
        <f t="shared" si="13"/>
        <v>0.92225336748040487</v>
      </c>
      <c r="AB24" s="7">
        <f t="shared" si="14"/>
        <v>-0.32948794100351592</v>
      </c>
      <c r="AC24" s="10">
        <f t="shared" si="15"/>
        <v>0.99999981167448226</v>
      </c>
      <c r="AD24" s="11">
        <f t="shared" si="16"/>
        <v>0.20220302088023553</v>
      </c>
      <c r="AE24" s="7">
        <f t="shared" si="17"/>
        <v>0.92225354116428049</v>
      </c>
      <c r="AF24" s="12">
        <f t="shared" si="18"/>
        <v>-0.32948800305451464</v>
      </c>
      <c r="AG24" s="6">
        <f t="shared" si="19"/>
        <v>70.340019614710314</v>
      </c>
      <c r="AH24" s="12">
        <f t="shared" si="20"/>
        <v>78.334184656638641</v>
      </c>
      <c r="AI24" s="11">
        <f t="shared" si="21"/>
        <v>-70.762297683811596</v>
      </c>
      <c r="AJ24" s="8">
        <f t="shared" si="22"/>
        <v>167.63363924053701</v>
      </c>
      <c r="AK24" s="6">
        <f t="shared" si="23"/>
        <v>0.93643514992408161</v>
      </c>
      <c r="AL24" s="7">
        <f t="shared" si="24"/>
        <v>-0.12052744844976565</v>
      </c>
      <c r="AM24" s="8">
        <f t="shared" si="25"/>
        <v>-0.32948800305451464</v>
      </c>
      <c r="AN24" s="6">
        <f t="shared" si="26"/>
        <v>-20.092632689668243</v>
      </c>
      <c r="AO24" s="10">
        <f t="shared" si="27"/>
        <v>20.538745850228263</v>
      </c>
      <c r="AP24" s="13">
        <f t="shared" si="28"/>
        <v>-7.3341495775622718</v>
      </c>
      <c r="AR24" s="123">
        <f t="shared" si="29"/>
        <v>174.97011174835797</v>
      </c>
      <c r="AS24" s="124">
        <f t="shared" si="0"/>
        <v>-0.28018500046056038</v>
      </c>
      <c r="AU24" s="52">
        <f t="shared" si="32"/>
        <v>4.0199999999999996</v>
      </c>
      <c r="AV24" s="46">
        <f>IF(M24="","",Assy.Model!W24-W24)</f>
        <v>108.16264737232939</v>
      </c>
      <c r="AW24" s="47">
        <f>IF(M24="","",Assy.Model!X24-X24)</f>
        <v>-0.11850701373266181</v>
      </c>
      <c r="AX24" s="58">
        <f>IF(M24="","",Assy.Model!Y24-Y24)</f>
        <v>-0.26382705027260805</v>
      </c>
      <c r="AY24" s="318">
        <f>IF(M24="","",Assy.Model!AN24-AN24)</f>
        <v>-6.8073634264528451</v>
      </c>
      <c r="AZ24" s="48">
        <f>IF(M24="","",Assy.Model!AO24-AO24)</f>
        <v>-20.538745850228263</v>
      </c>
      <c r="BA24" s="324">
        <f>IF(M24="","",Assy.Model!AP24-AP24)</f>
        <v>-82.665821701404923</v>
      </c>
      <c r="BB24" s="290">
        <f>IF(M24="","",SQRT((Assy.Model!T24-T24)^2+(Assy.Model!U24-U24)^2+(Assy.Model!V24-V24)^2))</f>
        <v>5.1974376189785927</v>
      </c>
      <c r="BD24" s="35">
        <v>4.0199999999999996</v>
      </c>
      <c r="BE24" s="35">
        <v>0.75368587932609898</v>
      </c>
      <c r="BF24" s="35">
        <v>-1.5581425336384847E-2</v>
      </c>
      <c r="BG24" s="35">
        <v>6.4439999999997832E-3</v>
      </c>
      <c r="BH24" s="35">
        <v>-0.32836645120404739</v>
      </c>
      <c r="BI24" s="35">
        <v>-0.32011400761336972</v>
      </c>
      <c r="BJ24" s="35">
        <v>6.6915986819999773E-3</v>
      </c>
      <c r="BK24" s="35">
        <v>4.610362285364647E-2</v>
      </c>
      <c r="BM24" s="35">
        <v>-3.2534100000000001</v>
      </c>
      <c r="BN24" s="35">
        <v>0.32745999999999997</v>
      </c>
      <c r="BO24" s="35">
        <v>13.43669</v>
      </c>
      <c r="BP24" s="35">
        <v>-0.20862600000000001</v>
      </c>
      <c r="BQ24" s="35">
        <v>-0.92079299999999997</v>
      </c>
      <c r="BR24" s="35">
        <v>0.32956800000000003</v>
      </c>
    </row>
    <row r="25" spans="2:70" x14ac:dyDescent="0.25">
      <c r="B25" s="143">
        <v>-3.8103863763466723</v>
      </c>
      <c r="C25" s="144">
        <v>0.48913573794392273</v>
      </c>
      <c r="D25" s="145">
        <v>-0.73733308616219517</v>
      </c>
      <c r="E25" s="146">
        <v>-0.40503302744356529</v>
      </c>
      <c r="F25" s="144">
        <v>-0.85967975495613325</v>
      </c>
      <c r="G25" s="147">
        <v>0.31128681558084464</v>
      </c>
      <c r="H25" s="146">
        <v>0.31350499999999998</v>
      </c>
      <c r="I25" s="148" t="s">
        <v>111</v>
      </c>
      <c r="J25" s="310">
        <v>4.03</v>
      </c>
      <c r="K25" s="303" t="s">
        <v>110</v>
      </c>
      <c r="M25" s="5">
        <f t="shared" si="1"/>
        <v>4.03</v>
      </c>
      <c r="N25" s="24">
        <f t="shared" si="2"/>
        <v>-3.8103863763466723</v>
      </c>
      <c r="O25" s="7">
        <f t="shared" si="3"/>
        <v>0.48913573794392273</v>
      </c>
      <c r="P25" s="12">
        <f t="shared" si="4"/>
        <v>-0.73733308616219517</v>
      </c>
      <c r="Q25" s="11">
        <f t="shared" si="30"/>
        <v>172.6849996389997</v>
      </c>
      <c r="R25" s="7">
        <f t="shared" si="5"/>
        <v>3.841653043571513</v>
      </c>
      <c r="S25" s="8">
        <f t="shared" si="6"/>
        <v>-0.73733308616219517</v>
      </c>
      <c r="T25" s="6">
        <f t="shared" si="7"/>
        <v>-3.8104062041383218</v>
      </c>
      <c r="U25" s="7">
        <f t="shared" si="8"/>
        <v>0.48898125388040992</v>
      </c>
      <c r="V25" s="10">
        <f t="shared" si="9"/>
        <v>-0.61430530991156829</v>
      </c>
      <c r="W25" s="11">
        <f t="shared" si="10"/>
        <v>172.68732256925836</v>
      </c>
      <c r="X25" s="7">
        <f t="shared" si="11"/>
        <v>3.841653043571513</v>
      </c>
      <c r="Y25" s="9">
        <f t="shared" si="31"/>
        <v>-0.61430530991156829</v>
      </c>
      <c r="Z25" s="24">
        <f t="shared" si="12"/>
        <v>0.40503302744356529</v>
      </c>
      <c r="AA25" s="7">
        <f t="shared" si="13"/>
        <v>0.85967975495613325</v>
      </c>
      <c r="AB25" s="7">
        <f t="shared" si="14"/>
        <v>-0.31128681558084464</v>
      </c>
      <c r="AC25" s="10">
        <f t="shared" si="15"/>
        <v>1.0000002579779668</v>
      </c>
      <c r="AD25" s="11">
        <f t="shared" si="16"/>
        <v>0.40503292295399534</v>
      </c>
      <c r="AE25" s="7">
        <f t="shared" si="17"/>
        <v>0.85967953317775514</v>
      </c>
      <c r="AF25" s="12">
        <f t="shared" si="18"/>
        <v>-0.31128673527572559</v>
      </c>
      <c r="AG25" s="6">
        <f t="shared" si="19"/>
        <v>70.094868367574492</v>
      </c>
      <c r="AH25" s="12">
        <f t="shared" si="20"/>
        <v>66.106809721343168</v>
      </c>
      <c r="AI25" s="11">
        <f t="shared" si="21"/>
        <v>-71.863207752454983</v>
      </c>
      <c r="AJ25" s="8">
        <f t="shared" si="22"/>
        <v>154.77280843322686</v>
      </c>
      <c r="AK25" s="6">
        <f t="shared" si="23"/>
        <v>0.9042532523123743</v>
      </c>
      <c r="AL25" s="7">
        <f t="shared" si="24"/>
        <v>-0.29227833331239861</v>
      </c>
      <c r="AM25" s="8">
        <f t="shared" si="25"/>
        <v>-0.31128673527572559</v>
      </c>
      <c r="AN25" s="6">
        <f t="shared" si="26"/>
        <v>-43.196149170924379</v>
      </c>
      <c r="AO25" s="10">
        <f t="shared" si="27"/>
        <v>25.27710425280582</v>
      </c>
      <c r="AP25" s="13">
        <f t="shared" si="28"/>
        <v>-17.912191205772803</v>
      </c>
      <c r="AR25" s="123">
        <f t="shared" si="29"/>
        <v>172.68732256925836</v>
      </c>
      <c r="AS25" s="124">
        <f t="shared" si="0"/>
        <v>-0.77594212902560245</v>
      </c>
      <c r="AU25" s="52">
        <f t="shared" si="32"/>
        <v>4.03</v>
      </c>
      <c r="AV25" s="46">
        <f>IF(M25="","",Assy.Model!W25-W25)</f>
        <v>111.52123639610272</v>
      </c>
      <c r="AW25" s="47">
        <f>IF(M25="","",Assy.Model!X25-X25)</f>
        <v>-0.24714220252681596</v>
      </c>
      <c r="AX25" s="58">
        <f>IF(M25="","",Assy.Model!Y25-Y25)</f>
        <v>-0.41189778511696629</v>
      </c>
      <c r="AY25" s="318">
        <f>IF(M25="","",Assy.Model!AN25-AN25)</f>
        <v>-6.6038436388462713</v>
      </c>
      <c r="AZ25" s="48">
        <f>IF(M25="","",Assy.Model!AO25-AO25)</f>
        <v>-25.27710425280582</v>
      </c>
      <c r="BA25" s="324">
        <f>IF(M25="","",Assy.Model!AP25-AP25)</f>
        <v>-72.087791781318941</v>
      </c>
      <c r="BB25" s="290">
        <f>IF(M25="","",SQRT((Assy.Model!T25-T25)^2+(Assy.Model!U25-U25)^2+(Assy.Model!V25-V25)^2))</f>
        <v>6.1627851105795033</v>
      </c>
      <c r="BD25" s="35">
        <v>4.03</v>
      </c>
      <c r="BE25" s="35">
        <v>0.75970599772105629</v>
      </c>
      <c r="BF25" s="35">
        <v>-1.9078305207269164E-2</v>
      </c>
      <c r="BG25" s="35">
        <v>1.0017000000000276E-2</v>
      </c>
      <c r="BH25" s="35">
        <v>1.8468362336209552</v>
      </c>
      <c r="BI25" s="35">
        <v>0.11002945958379584</v>
      </c>
      <c r="BJ25" s="35">
        <v>0.50566559768185115</v>
      </c>
      <c r="BK25" s="35">
        <v>5.5263115261610068E-2</v>
      </c>
      <c r="BM25" s="35">
        <v>-3.8103720000000001</v>
      </c>
      <c r="BN25" s="35">
        <v>0.53353300000000004</v>
      </c>
      <c r="BO25" s="35">
        <v>12.937517</v>
      </c>
      <c r="BP25" s="35">
        <v>-0.411024</v>
      </c>
      <c r="BQ25" s="35">
        <v>-0.85696399999999995</v>
      </c>
      <c r="BR25" s="35">
        <v>0.31092199999999998</v>
      </c>
    </row>
    <row r="26" spans="2:70" x14ac:dyDescent="0.25">
      <c r="B26" s="143">
        <v>-0.30429523771551131</v>
      </c>
      <c r="C26" s="144">
        <v>0.45495930083930974</v>
      </c>
      <c r="D26" s="145">
        <v>-0.55760064148710564</v>
      </c>
      <c r="E26" s="146">
        <v>-0.82202983805670571</v>
      </c>
      <c r="F26" s="144">
        <v>-0.48477243350782306</v>
      </c>
      <c r="G26" s="147">
        <v>0.2987666211365812</v>
      </c>
      <c r="H26" s="146">
        <v>0.31269000000000002</v>
      </c>
      <c r="I26" s="148" t="s">
        <v>111</v>
      </c>
      <c r="J26" s="310">
        <v>5.01</v>
      </c>
      <c r="K26" s="303" t="s">
        <v>110</v>
      </c>
      <c r="M26" s="5">
        <f t="shared" si="1"/>
        <v>5.01</v>
      </c>
      <c r="N26" s="24">
        <f t="shared" si="2"/>
        <v>-0.30429523771551131</v>
      </c>
      <c r="O26" s="7">
        <f t="shared" si="3"/>
        <v>0.45495930083930974</v>
      </c>
      <c r="P26" s="12">
        <f t="shared" si="4"/>
        <v>-0.55760064148710564</v>
      </c>
      <c r="Q26" s="11">
        <f t="shared" si="30"/>
        <v>123.77621171671424</v>
      </c>
      <c r="R26" s="7">
        <f t="shared" si="5"/>
        <v>0.54734226688291954</v>
      </c>
      <c r="S26" s="8">
        <f t="shared" si="6"/>
        <v>-0.55760064148710564</v>
      </c>
      <c r="T26" s="6">
        <f t="shared" si="7"/>
        <v>-0.30431368278085641</v>
      </c>
      <c r="U26" s="7">
        <f t="shared" si="8"/>
        <v>0.45494696349012526</v>
      </c>
      <c r="V26" s="10">
        <f t="shared" si="9"/>
        <v>-0.43457286523647876</v>
      </c>
      <c r="W26" s="11">
        <f t="shared" si="10"/>
        <v>123.7785346469729</v>
      </c>
      <c r="X26" s="7">
        <f t="shared" si="11"/>
        <v>0.54734226688291954</v>
      </c>
      <c r="Y26" s="9">
        <f t="shared" si="31"/>
        <v>-0.43457286523647876</v>
      </c>
      <c r="Z26" s="24">
        <f t="shared" si="12"/>
        <v>0.82202983805670571</v>
      </c>
      <c r="AA26" s="7">
        <f t="shared" si="13"/>
        <v>0.48477243350782306</v>
      </c>
      <c r="AB26" s="7">
        <f t="shared" si="14"/>
        <v>-0.2987666211365812</v>
      </c>
      <c r="AC26" s="10">
        <f t="shared" si="15"/>
        <v>0.99999943042483774</v>
      </c>
      <c r="AD26" s="11">
        <f t="shared" si="16"/>
        <v>0.82203030626475082</v>
      </c>
      <c r="AE26" s="7">
        <f t="shared" si="17"/>
        <v>0.48477270962231783</v>
      </c>
      <c r="AF26" s="12">
        <f t="shared" si="18"/>
        <v>-0.29876679130672484</v>
      </c>
      <c r="AG26" s="6">
        <f t="shared" si="19"/>
        <v>58.354354468732808</v>
      </c>
      <c r="AH26" s="12">
        <f t="shared" si="20"/>
        <v>34.711445312921406</v>
      </c>
      <c r="AI26" s="11">
        <f t="shared" si="21"/>
        <v>-72.616451193116234</v>
      </c>
      <c r="AJ26" s="8">
        <f t="shared" si="22"/>
        <v>120.52896151570597</v>
      </c>
      <c r="AK26" s="6">
        <f t="shared" si="23"/>
        <v>0.9527938766530597</v>
      </c>
      <c r="AL26" s="7">
        <f t="shared" si="24"/>
        <v>-5.4057682383897188E-2</v>
      </c>
      <c r="AM26" s="8">
        <f t="shared" si="25"/>
        <v>-0.29876679130672484</v>
      </c>
      <c r="AN26" s="6">
        <f t="shared" si="26"/>
        <v>-10.255913680061079</v>
      </c>
      <c r="AO26" s="10">
        <f t="shared" si="27"/>
        <v>17.67503271451336</v>
      </c>
      <c r="AP26" s="13">
        <f t="shared" si="28"/>
        <v>-3.2472502010082414</v>
      </c>
      <c r="AR26" s="123">
        <f t="shared" si="29"/>
        <v>123.7785346469729</v>
      </c>
      <c r="AS26" s="124">
        <f t="shared" si="0"/>
        <v>-0.54962988632928866</v>
      </c>
      <c r="AU26" s="52">
        <f t="shared" si="32"/>
        <v>5.01</v>
      </c>
      <c r="AV26" s="46">
        <f>IF(M26="","",Assy.Model!W26-W26)</f>
        <v>160.03082437602552</v>
      </c>
      <c r="AW26" s="47">
        <f>IF(M26="","",Assy.Model!X26-X26)</f>
        <v>3.1551688998907599</v>
      </c>
      <c r="AX26" s="58">
        <f>IF(M26="","",Assy.Model!Y26-Y26)</f>
        <v>-1.3939326495361537</v>
      </c>
      <c r="AY26" s="318">
        <f>IF(M26="","",Assy.Model!AN26-AN26)</f>
        <v>-79.744073325548513</v>
      </c>
      <c r="AZ26" s="48">
        <f>IF(M26="","",Assy.Model!AO26-AO26)</f>
        <v>-17.67503271451336</v>
      </c>
      <c r="BA26" s="324">
        <f>IF(M26="","",Assy.Model!AP26-AP26)</f>
        <v>-86.752736804601369</v>
      </c>
      <c r="BB26" s="290">
        <f>IF(M26="","",SQRT((Assy.Model!T26-T26)^2+(Assy.Model!U26-U26)^2+(Assy.Model!V26-V26)^2))</f>
        <v>4.4452915459649782</v>
      </c>
      <c r="BD26" s="35">
        <v>5.01</v>
      </c>
      <c r="BE26" s="35">
        <v>0.69411097829157598</v>
      </c>
      <c r="BF26" s="35">
        <v>-3.163239738312762E-2</v>
      </c>
      <c r="BG26" s="35">
        <v>-1.7480000000004159E-3</v>
      </c>
      <c r="BH26" s="35">
        <v>0.90910434160258813</v>
      </c>
      <c r="BI26" s="35">
        <v>0.16634933743215186</v>
      </c>
      <c r="BJ26" s="35">
        <v>0.26161336303999416</v>
      </c>
      <c r="BK26" s="35">
        <v>3.2375159044956928E-2</v>
      </c>
      <c r="BM26" s="35">
        <v>-0.30493399999999998</v>
      </c>
      <c r="BN26" s="35">
        <v>0.47756199999999999</v>
      </c>
      <c r="BO26" s="35">
        <v>13.124382000000001</v>
      </c>
      <c r="BP26" s="35">
        <v>-0.82564499999999996</v>
      </c>
      <c r="BQ26" s="35">
        <v>-0.47946699999999998</v>
      </c>
      <c r="BR26" s="35">
        <v>0.29735600000000001</v>
      </c>
    </row>
    <row r="27" spans="2:70" x14ac:dyDescent="0.25">
      <c r="B27" s="143">
        <v>-0.68502546489534133</v>
      </c>
      <c r="C27" s="144">
        <v>1.0864516789449283</v>
      </c>
      <c r="D27" s="145">
        <v>-0.36019533499534628</v>
      </c>
      <c r="E27" s="146">
        <v>-0.81919657005178059</v>
      </c>
      <c r="F27" s="144">
        <v>-0.48764548357560372</v>
      </c>
      <c r="G27" s="147">
        <v>0.30185834860197874</v>
      </c>
      <c r="H27" s="146">
        <v>0.31424800000000003</v>
      </c>
      <c r="I27" s="148" t="s">
        <v>111</v>
      </c>
      <c r="J27" s="310">
        <v>5.0199999999999996</v>
      </c>
      <c r="K27" s="303" t="s">
        <v>110</v>
      </c>
      <c r="M27" s="5">
        <f t="shared" si="1"/>
        <v>5.0199999999999996</v>
      </c>
      <c r="N27" s="24">
        <f t="shared" si="2"/>
        <v>-0.68502546489534133</v>
      </c>
      <c r="O27" s="7">
        <f t="shared" si="3"/>
        <v>1.0864516789449283</v>
      </c>
      <c r="P27" s="12">
        <f t="shared" si="4"/>
        <v>-0.36019533499534628</v>
      </c>
      <c r="Q27" s="11">
        <f t="shared" si="30"/>
        <v>122.23209849858897</v>
      </c>
      <c r="R27" s="7">
        <f t="shared" si="5"/>
        <v>1.2843820063506541</v>
      </c>
      <c r="S27" s="8">
        <f t="shared" si="6"/>
        <v>-0.36019533499534628</v>
      </c>
      <c r="T27" s="6">
        <f t="shared" si="7"/>
        <v>-0.68506951210515665</v>
      </c>
      <c r="U27" s="7">
        <f t="shared" si="8"/>
        <v>1.0864239052144122</v>
      </c>
      <c r="V27" s="10">
        <f t="shared" si="9"/>
        <v>-0.23716755874471943</v>
      </c>
      <c r="W27" s="11">
        <f t="shared" si="10"/>
        <v>122.23442142884767</v>
      </c>
      <c r="X27" s="7">
        <f t="shared" si="11"/>
        <v>1.2843820063506541</v>
      </c>
      <c r="Y27" s="9">
        <f t="shared" si="31"/>
        <v>-0.23716755874471943</v>
      </c>
      <c r="Z27" s="24">
        <f t="shared" si="12"/>
        <v>0.81919657005178059</v>
      </c>
      <c r="AA27" s="7">
        <f t="shared" si="13"/>
        <v>0.48764548357560372</v>
      </c>
      <c r="AB27" s="7">
        <f t="shared" si="14"/>
        <v>-0.30185834860197874</v>
      </c>
      <c r="AC27" s="10">
        <f t="shared" si="15"/>
        <v>0.99999980032848002</v>
      </c>
      <c r="AD27" s="11">
        <f t="shared" si="16"/>
        <v>0.8191967336220376</v>
      </c>
      <c r="AE27" s="7">
        <f t="shared" si="17"/>
        <v>0.48764558094453814</v>
      </c>
      <c r="AF27" s="12">
        <f t="shared" si="18"/>
        <v>-0.3018584088745061</v>
      </c>
      <c r="AG27" s="6">
        <f t="shared" si="19"/>
        <v>58.242000234423507</v>
      </c>
      <c r="AH27" s="12">
        <f t="shared" si="20"/>
        <v>34.99553563834661</v>
      </c>
      <c r="AI27" s="11">
        <f t="shared" si="21"/>
        <v>-72.430742286306725</v>
      </c>
      <c r="AJ27" s="8">
        <f t="shared" si="22"/>
        <v>120.76419019861406</v>
      </c>
      <c r="AK27" s="6">
        <f t="shared" si="23"/>
        <v>0.95303990663846738</v>
      </c>
      <c r="AL27" s="7">
        <f t="shared" si="24"/>
        <v>-2.4422066789955343E-2</v>
      </c>
      <c r="AM27" s="8">
        <f t="shared" si="25"/>
        <v>-0.3018584088745061</v>
      </c>
      <c r="AN27" s="6">
        <f t="shared" si="26"/>
        <v>-4.6254804929687152</v>
      </c>
      <c r="AO27" s="10">
        <f t="shared" si="27"/>
        <v>17.628545171425632</v>
      </c>
      <c r="AP27" s="13">
        <f t="shared" si="28"/>
        <v>-1.4679082999748945</v>
      </c>
      <c r="AR27" s="123">
        <f t="shared" si="29"/>
        <v>122.23442142884767</v>
      </c>
      <c r="AS27" s="124">
        <f t="shared" si="0"/>
        <v>-0.35075399582026723</v>
      </c>
      <c r="AU27" s="52">
        <f t="shared" si="32"/>
        <v>5.0199999999999996</v>
      </c>
      <c r="AV27" s="46">
        <f>IF(M27="","",Assy.Model!W27-W27)</f>
        <v>118.67454378820128</v>
      </c>
      <c r="AW27" s="47">
        <f>IF(M27="","",Assy.Model!X27-X27)</f>
        <v>-0.47707957152651059</v>
      </c>
      <c r="AX27" s="58">
        <f>IF(M27="","",Assy.Model!Y27-Y27)</f>
        <v>-0.14223358552913171</v>
      </c>
      <c r="AY27" s="318">
        <f>IF(M27="","",Assy.Model!AN27-AN27)</f>
        <v>19.625478327236966</v>
      </c>
      <c r="AZ27" s="48">
        <f>IF(M27="","",Assy.Model!AO27-AO27)</f>
        <v>-2.6285473371574284</v>
      </c>
      <c r="BA27" s="324">
        <f>IF(M27="","",Assy.Model!AP27-AP27)</f>
        <v>5.4350379450614605</v>
      </c>
      <c r="BB27" s="290">
        <f>IF(M27="","",SQRT((Assy.Model!T27-T27)^2+(Assy.Model!U27-U27)^2+(Assy.Model!V27-V27)^2))</f>
        <v>1.8211725060529191</v>
      </c>
      <c r="BD27" s="35">
        <v>5.0199999999999996</v>
      </c>
      <c r="BE27" s="35">
        <v>0.46773535069802108</v>
      </c>
      <c r="BF27" s="35">
        <v>-2.9873990353323387E-2</v>
      </c>
      <c r="BG27" s="35">
        <v>1.5600000000076664E-4</v>
      </c>
      <c r="BH27" s="35">
        <v>0.80357128880786366</v>
      </c>
      <c r="BI27" s="35">
        <v>6.141949973255123E-4</v>
      </c>
      <c r="BJ27" s="35">
        <v>0.25317387783983414</v>
      </c>
      <c r="BK27" s="35">
        <v>3.1673760885158483E-2</v>
      </c>
      <c r="BM27" s="35">
        <v>-0.68211200000000005</v>
      </c>
      <c r="BN27" s="35">
        <v>1.1115269999999999</v>
      </c>
      <c r="BO27" s="35">
        <v>13.320677999999999</v>
      </c>
      <c r="BP27" s="35">
        <v>-0.82283600000000001</v>
      </c>
      <c r="BQ27" s="35">
        <v>-0.48235600000000001</v>
      </c>
      <c r="BR27" s="35">
        <v>0.30045500000000003</v>
      </c>
    </row>
    <row r="28" spans="2:70" x14ac:dyDescent="0.25">
      <c r="B28" s="143">
        <v>-1.0637553750020183</v>
      </c>
      <c r="C28" s="144">
        <v>1.7171563935163523</v>
      </c>
      <c r="D28" s="145">
        <v>-0.18087854689962182</v>
      </c>
      <c r="E28" s="146">
        <v>-0.79983353157066228</v>
      </c>
      <c r="F28" s="144">
        <v>-0.49636815962736652</v>
      </c>
      <c r="G28" s="147">
        <v>0.33746948955919503</v>
      </c>
      <c r="H28" s="146">
        <v>0.32053300000000001</v>
      </c>
      <c r="I28" s="148" t="s">
        <v>111</v>
      </c>
      <c r="J28" s="310">
        <v>5.03</v>
      </c>
      <c r="K28" s="303" t="s">
        <v>110</v>
      </c>
      <c r="M28" s="5">
        <f t="shared" si="1"/>
        <v>5.03</v>
      </c>
      <c r="N28" s="24">
        <f t="shared" si="2"/>
        <v>-1.0637553750020183</v>
      </c>
      <c r="O28" s="7">
        <f t="shared" si="3"/>
        <v>1.7171563935163523</v>
      </c>
      <c r="P28" s="12">
        <f t="shared" si="4"/>
        <v>-0.18087854689962182</v>
      </c>
      <c r="Q28" s="11">
        <f t="shared" si="30"/>
        <v>121.77765997369882</v>
      </c>
      <c r="R28" s="7">
        <f t="shared" si="5"/>
        <v>2.0199508849572978</v>
      </c>
      <c r="S28" s="8">
        <f t="shared" si="6"/>
        <v>-0.18087854689962182</v>
      </c>
      <c r="T28" s="6">
        <f t="shared" si="7"/>
        <v>-1.063824992423877</v>
      </c>
      <c r="U28" s="7">
        <f t="shared" si="8"/>
        <v>1.7171132645035705</v>
      </c>
      <c r="V28" s="10">
        <f t="shared" si="9"/>
        <v>-5.7850770648994965E-2</v>
      </c>
      <c r="W28" s="11">
        <f t="shared" si="10"/>
        <v>121.77998290395749</v>
      </c>
      <c r="X28" s="7">
        <f t="shared" si="11"/>
        <v>2.0199508849572978</v>
      </c>
      <c r="Y28" s="9">
        <f t="shared" si="31"/>
        <v>-5.7850770648994965E-2</v>
      </c>
      <c r="Z28" s="24">
        <f t="shared" si="12"/>
        <v>0.79983353157066228</v>
      </c>
      <c r="AA28" s="7">
        <f t="shared" si="13"/>
        <v>0.49636815962736652</v>
      </c>
      <c r="AB28" s="7">
        <f t="shared" si="14"/>
        <v>-0.33746948955919503</v>
      </c>
      <c r="AC28" s="10">
        <f t="shared" si="15"/>
        <v>1.0000003422499415</v>
      </c>
      <c r="AD28" s="11">
        <f t="shared" si="16"/>
        <v>0.79983325782777659</v>
      </c>
      <c r="AE28" s="7">
        <f t="shared" si="17"/>
        <v>0.49636798974545104</v>
      </c>
      <c r="AF28" s="12">
        <f t="shared" si="18"/>
        <v>-0.33746937406032151</v>
      </c>
      <c r="AG28" s="6">
        <f t="shared" si="19"/>
        <v>55.789101856742583</v>
      </c>
      <c r="AH28" s="12">
        <f t="shared" si="20"/>
        <v>36.885817401715293</v>
      </c>
      <c r="AI28" s="11">
        <f t="shared" si="21"/>
        <v>-70.27723054335506</v>
      </c>
      <c r="AJ28" s="8">
        <f t="shared" si="22"/>
        <v>121.82329703976069</v>
      </c>
      <c r="AK28" s="6">
        <f t="shared" si="23"/>
        <v>0.94133620953701913</v>
      </c>
      <c r="AL28" s="7">
        <f t="shared" si="24"/>
        <v>7.4979051216905734E-4</v>
      </c>
      <c r="AM28" s="8">
        <f t="shared" si="25"/>
        <v>-0.33746937406032151</v>
      </c>
      <c r="AN28" s="6">
        <f t="shared" si="26"/>
        <v>0.12729973289270205</v>
      </c>
      <c r="AO28" s="10">
        <f t="shared" si="27"/>
        <v>19.72282015487318</v>
      </c>
      <c r="AP28" s="13">
        <f t="shared" si="28"/>
        <v>4.5637066061902543E-2</v>
      </c>
      <c r="AR28" s="123">
        <f t="shared" si="29"/>
        <v>121.77998290395749</v>
      </c>
      <c r="AS28" s="124">
        <f t="shared" si="0"/>
        <v>-0.17100440912940928</v>
      </c>
      <c r="AU28" s="52">
        <f t="shared" si="32"/>
        <v>5.03</v>
      </c>
      <c r="AV28" s="46">
        <f>IF(M28="","",Assy.Model!W28-W28)</f>
        <v>119.12898231309146</v>
      </c>
      <c r="AW28" s="47">
        <f>IF(M28="","",Assy.Model!X28-X28)</f>
        <v>-0.53804641553341792</v>
      </c>
      <c r="AX28" s="58">
        <f>IF(M28="","",Assy.Model!Y28-Y28)</f>
        <v>-0.11684975624779415</v>
      </c>
      <c r="AY28" s="318">
        <f>IF(M28="","",Assy.Model!AN28-AN28)</f>
        <v>14.872698101375516</v>
      </c>
      <c r="AZ28" s="48">
        <f>IF(M28="","",Assy.Model!AO28-AO28)</f>
        <v>-4.7228223206049496</v>
      </c>
      <c r="BA28" s="324">
        <f>IF(M28="","",Assy.Model!AP28-AP28)</f>
        <v>3.9214925790246546</v>
      </c>
      <c r="BB28" s="290">
        <f>IF(M28="","",SQRT((Assy.Model!T28-T28)^2+(Assy.Model!U28-U28)^2+(Assy.Model!V28-V28)^2))</f>
        <v>3.0338275479545662</v>
      </c>
      <c r="BD28" s="35">
        <v>5.03</v>
      </c>
      <c r="BE28" s="35">
        <v>0.45602153949479884</v>
      </c>
      <c r="BF28" s="35">
        <v>-2.3923855413045203E-2</v>
      </c>
      <c r="BG28" s="35">
        <v>1.1444000000000731E-2</v>
      </c>
      <c r="BH28" s="35">
        <v>-2.1822500193284533</v>
      </c>
      <c r="BI28" s="35">
        <v>0.36660554891416197</v>
      </c>
      <c r="BJ28" s="35">
        <v>-0.79008128960346391</v>
      </c>
      <c r="BK28" s="35">
        <v>3.1046004802229445E-2</v>
      </c>
      <c r="BM28" s="35">
        <v>-1.057258</v>
      </c>
      <c r="BN28" s="35">
        <v>1.7446820000000001</v>
      </c>
      <c r="BO28" s="35">
        <v>13.498889999999999</v>
      </c>
      <c r="BP28" s="35">
        <v>-0.80359999999999998</v>
      </c>
      <c r="BQ28" s="35">
        <v>-0.49118000000000001</v>
      </c>
      <c r="BR28" s="35">
        <v>0.33611000000000002</v>
      </c>
    </row>
    <row r="29" spans="2:70" x14ac:dyDescent="0.25">
      <c r="B29" s="143">
        <v>-1.4352104730550002</v>
      </c>
      <c r="C29" s="144">
        <v>2.379262425520341</v>
      </c>
      <c r="D29" s="145">
        <v>-7.1767954364421682E-2</v>
      </c>
      <c r="E29" s="146">
        <v>-0.82309567631134617</v>
      </c>
      <c r="F29" s="144">
        <v>-0.45469610911623587</v>
      </c>
      <c r="G29" s="147">
        <v>0.34024189109238689</v>
      </c>
      <c r="H29" s="146">
        <v>0.31305699999999997</v>
      </c>
      <c r="I29" s="148" t="s">
        <v>111</v>
      </c>
      <c r="J29" s="310">
        <v>5.04</v>
      </c>
      <c r="K29" s="303" t="s">
        <v>110</v>
      </c>
      <c r="M29" s="5">
        <f t="shared" si="1"/>
        <v>5.04</v>
      </c>
      <c r="N29" s="24">
        <f t="shared" si="2"/>
        <v>-1.4352104730550002</v>
      </c>
      <c r="O29" s="7">
        <f t="shared" si="3"/>
        <v>2.379262425520341</v>
      </c>
      <c r="P29" s="12">
        <f t="shared" si="4"/>
        <v>-7.1767954364421682E-2</v>
      </c>
      <c r="Q29" s="11">
        <f t="shared" si="30"/>
        <v>121.09907511303904</v>
      </c>
      <c r="R29" s="7">
        <f t="shared" si="5"/>
        <v>2.7786181442327935</v>
      </c>
      <c r="S29" s="8">
        <f t="shared" si="6"/>
        <v>-7.1767954364421682E-2</v>
      </c>
      <c r="T29" s="6">
        <f t="shared" si="7"/>
        <v>-1.4353069337916253</v>
      </c>
      <c r="U29" s="7">
        <f t="shared" si="8"/>
        <v>2.3792042361406001</v>
      </c>
      <c r="V29" s="10">
        <f t="shared" si="9"/>
        <v>5.1259821886205176E-2</v>
      </c>
      <c r="W29" s="11">
        <f t="shared" si="10"/>
        <v>121.10139804329771</v>
      </c>
      <c r="X29" s="7">
        <f t="shared" si="11"/>
        <v>2.7786181442327935</v>
      </c>
      <c r="Y29" s="9">
        <f t="shared" si="31"/>
        <v>5.1259821886205176E-2</v>
      </c>
      <c r="Z29" s="24">
        <f t="shared" si="12"/>
        <v>0.82309567631134617</v>
      </c>
      <c r="AA29" s="7">
        <f t="shared" si="13"/>
        <v>0.45469610911623587</v>
      </c>
      <c r="AB29" s="7">
        <f t="shared" si="14"/>
        <v>-0.34024189109238689</v>
      </c>
      <c r="AC29" s="10">
        <f t="shared" si="15"/>
        <v>0.99999979423097873</v>
      </c>
      <c r="AD29" s="11">
        <f t="shared" si="16"/>
        <v>0.82309584567897276</v>
      </c>
      <c r="AE29" s="7">
        <f t="shared" si="17"/>
        <v>0.45469620267862842</v>
      </c>
      <c r="AF29" s="12">
        <f t="shared" si="18"/>
        <v>-0.34024196110364219</v>
      </c>
      <c r="AG29" s="6">
        <f t="shared" si="19"/>
        <v>53.19307324302833</v>
      </c>
      <c r="AH29" s="12">
        <f t="shared" si="20"/>
        <v>34.604088569323558</v>
      </c>
      <c r="AI29" s="11">
        <f t="shared" si="21"/>
        <v>-70.108383671241114</v>
      </c>
      <c r="AJ29" s="8">
        <f t="shared" si="22"/>
        <v>118.91722362829552</v>
      </c>
      <c r="AK29" s="6">
        <f t="shared" si="23"/>
        <v>0.93965620133438166</v>
      </c>
      <c r="AL29" s="7">
        <f t="shared" si="24"/>
        <v>-3.5799877069451091E-2</v>
      </c>
      <c r="AM29" s="8">
        <f t="shared" si="25"/>
        <v>-0.34024196110364219</v>
      </c>
      <c r="AN29" s="6">
        <f t="shared" si="26"/>
        <v>-6.0064966437804612</v>
      </c>
      <c r="AO29" s="10">
        <f t="shared" si="27"/>
        <v>20.006100154503397</v>
      </c>
      <c r="AP29" s="13">
        <f t="shared" si="28"/>
        <v>-2.1818514847434916</v>
      </c>
      <c r="AR29" s="123">
        <f t="shared" si="29"/>
        <v>121.10139804329771</v>
      </c>
      <c r="AS29" s="124">
        <f t="shared" si="0"/>
        <v>-6.1247545298342684E-2</v>
      </c>
      <c r="AU29" s="52">
        <f t="shared" si="32"/>
        <v>5.04</v>
      </c>
      <c r="AV29" s="46">
        <f>IF(M29="","",Assy.Model!W29-W29)</f>
        <v>119.24256725532712</v>
      </c>
      <c r="AW29" s="47">
        <f>IF(M29="","",Assy.Model!X29-X29)</f>
        <v>-0.51531131809940556</v>
      </c>
      <c r="AX29" s="58">
        <f>IF(M29="","",Assy.Model!Y29-Y29)</f>
        <v>-0.11576001641879184</v>
      </c>
      <c r="AY29" s="318">
        <f>IF(M29="","",Assy.Model!AN29-AN29)</f>
        <v>-6.755332344402821</v>
      </c>
      <c r="AZ29" s="48">
        <f>IF(M29="","",Assy.Model!AO29-AO29)</f>
        <v>-4.6553851368724342</v>
      </c>
      <c r="BA29" s="324">
        <f>IF(M29="","",Assy.Model!AP29-AP29)</f>
        <v>-1.2883884946926401</v>
      </c>
      <c r="BB29" s="290">
        <f>IF(M29="","",SQRT((Assy.Model!T29-T29)^2+(Assy.Model!U29-U29)^2+(Assy.Model!V29-V29)^2))</f>
        <v>4.3590136209466595</v>
      </c>
      <c r="BD29" s="35">
        <v>5.04</v>
      </c>
      <c r="BE29" s="35">
        <v>0.63849607128109653</v>
      </c>
      <c r="BF29" s="35">
        <v>-3.0626756810506972E-2</v>
      </c>
      <c r="BG29" s="35">
        <v>4.1399999999996995E-3</v>
      </c>
      <c r="BH29" s="35">
        <v>0.38508600222679856</v>
      </c>
      <c r="BI29" s="35">
        <v>0.12660261419462771</v>
      </c>
      <c r="BJ29" s="35">
        <v>0.1253052735141571</v>
      </c>
      <c r="BK29" s="35">
        <v>4.3787655605416226E-2</v>
      </c>
      <c r="BM29" s="35">
        <v>-1.4247909999999999</v>
      </c>
      <c r="BN29" s="35">
        <v>2.409154</v>
      </c>
      <c r="BO29" s="35">
        <v>13.606894</v>
      </c>
      <c r="BP29" s="35">
        <v>-0.82660699999999998</v>
      </c>
      <c r="BQ29" s="35">
        <v>-0.44936199999999998</v>
      </c>
      <c r="BR29" s="35">
        <v>0.33881299999999998</v>
      </c>
    </row>
    <row r="30" spans="2:70" x14ac:dyDescent="0.25">
      <c r="B30" s="143">
        <v>-1.6961443853096292</v>
      </c>
      <c r="C30" s="144">
        <v>3.0393066197340382</v>
      </c>
      <c r="D30" s="145">
        <v>-0.35165859148235901</v>
      </c>
      <c r="E30" s="146">
        <v>-0.88992873206193401</v>
      </c>
      <c r="F30" s="144">
        <v>-0.30580950223620557</v>
      </c>
      <c r="G30" s="147">
        <v>0.33838879131360539</v>
      </c>
      <c r="H30" s="146">
        <v>0.31429699999999999</v>
      </c>
      <c r="I30" s="148" t="s">
        <v>111</v>
      </c>
      <c r="J30" s="310">
        <v>5.05</v>
      </c>
      <c r="K30" s="303" t="s">
        <v>110</v>
      </c>
      <c r="M30" s="5">
        <f t="shared" si="1"/>
        <v>5.05</v>
      </c>
      <c r="N30" s="24">
        <f t="shared" si="2"/>
        <v>-1.6961443853096292</v>
      </c>
      <c r="O30" s="7">
        <f t="shared" si="3"/>
        <v>3.0393066197340382</v>
      </c>
      <c r="P30" s="12">
        <f t="shared" si="4"/>
        <v>-0.35165859148235901</v>
      </c>
      <c r="Q30" s="11">
        <f t="shared" si="30"/>
        <v>119.16455456357343</v>
      </c>
      <c r="R30" s="7">
        <f t="shared" si="5"/>
        <v>3.4805589356562443</v>
      </c>
      <c r="S30" s="8">
        <f t="shared" si="6"/>
        <v>-0.35165859148235901</v>
      </c>
      <c r="T30" s="6">
        <f t="shared" si="7"/>
        <v>-1.6962676058592183</v>
      </c>
      <c r="U30" s="7">
        <f t="shared" si="8"/>
        <v>3.039237850825296</v>
      </c>
      <c r="V30" s="10">
        <f t="shared" si="9"/>
        <v>-0.22863081523173215</v>
      </c>
      <c r="W30" s="11">
        <f t="shared" si="10"/>
        <v>119.16687749383215</v>
      </c>
      <c r="X30" s="7">
        <f t="shared" si="11"/>
        <v>3.4805589356562443</v>
      </c>
      <c r="Y30" s="9">
        <f t="shared" si="31"/>
        <v>-0.22863081523173215</v>
      </c>
      <c r="Z30" s="24">
        <f t="shared" si="12"/>
        <v>0.88992873206193401</v>
      </c>
      <c r="AA30" s="7">
        <f t="shared" si="13"/>
        <v>0.30580950223620557</v>
      </c>
      <c r="AB30" s="7">
        <f t="shared" si="14"/>
        <v>-0.33838879131360539</v>
      </c>
      <c r="AC30" s="10">
        <f t="shared" si="15"/>
        <v>0.99999978694697744</v>
      </c>
      <c r="AD30" s="11">
        <f t="shared" si="16"/>
        <v>0.88992892166398052</v>
      </c>
      <c r="AE30" s="7">
        <f t="shared" si="17"/>
        <v>0.30580956738985821</v>
      </c>
      <c r="AF30" s="12">
        <f t="shared" si="18"/>
        <v>-0.33838886340837548</v>
      </c>
      <c r="AG30" s="6">
        <f t="shared" si="19"/>
        <v>42.104825033055775</v>
      </c>
      <c r="AH30" s="12">
        <f t="shared" si="20"/>
        <v>27.135683428268898</v>
      </c>
      <c r="AI30" s="11">
        <f t="shared" si="21"/>
        <v>-70.221254710748283</v>
      </c>
      <c r="AJ30" s="8">
        <f t="shared" si="22"/>
        <v>108.96444823369326</v>
      </c>
      <c r="AK30" s="6">
        <f t="shared" si="23"/>
        <v>0.92613402128776612</v>
      </c>
      <c r="AL30" s="7">
        <f t="shared" si="24"/>
        <v>-0.16663958633691717</v>
      </c>
      <c r="AM30" s="8">
        <f t="shared" si="25"/>
        <v>-0.33838886340837548</v>
      </c>
      <c r="AN30" s="6">
        <f t="shared" si="26"/>
        <v>-26.217939341182841</v>
      </c>
      <c r="AO30" s="10">
        <f t="shared" si="27"/>
        <v>22.16001830437088</v>
      </c>
      <c r="AP30" s="13">
        <f t="shared" si="28"/>
        <v>-10.200106329880214</v>
      </c>
      <c r="AR30" s="123">
        <f t="shared" si="29"/>
        <v>119.16687749383215</v>
      </c>
      <c r="AS30" s="124">
        <f t="shared" si="0"/>
        <v>-0.33929578189297949</v>
      </c>
      <c r="AU30" s="52">
        <f t="shared" si="32"/>
        <v>5.05</v>
      </c>
      <c r="AV30" s="46">
        <f>IF(M30="","",Assy.Model!W30-W30)</f>
        <v>120.14498795380945</v>
      </c>
      <c r="AW30" s="47">
        <f>IF(M30="","",Assy.Model!X30-X30)</f>
        <v>-0.47164986078647386</v>
      </c>
      <c r="AX30" s="58">
        <f>IF(M30="","",Assy.Model!Y30-Y30)</f>
        <v>-8.6870136319137786E-2</v>
      </c>
      <c r="AY30" s="318">
        <f>IF(M30="","",Assy.Model!AN30-AN30)</f>
        <v>-18.940938833261995</v>
      </c>
      <c r="AZ30" s="48">
        <f>IF(M30="","",Assy.Model!AO30-AO30)</f>
        <v>-4.9682939078567649</v>
      </c>
      <c r="BA30" s="324">
        <f>IF(M30="","",Assy.Model!AP30-AP30)</f>
        <v>-2.1734247377612324</v>
      </c>
      <c r="BB30" s="290">
        <f>IF(M30="","",SQRT((Assy.Model!T30-T30)^2+(Assy.Model!U30-U30)^2+(Assy.Model!V30-V30)^2))</f>
        <v>5.6297357086055539</v>
      </c>
      <c r="BD30" s="35">
        <v>5.05</v>
      </c>
      <c r="BE30" s="35">
        <v>0.54102032352540164</v>
      </c>
      <c r="BF30" s="35">
        <v>-2.6754769580207061E-2</v>
      </c>
      <c r="BG30" s="35">
        <v>6.7109999999991898E-3</v>
      </c>
      <c r="BH30" s="35">
        <v>0.44030384383168908</v>
      </c>
      <c r="BI30" s="35">
        <v>0.60661337514999047</v>
      </c>
      <c r="BJ30" s="35">
        <v>-0.14279394748201923</v>
      </c>
      <c r="BK30" s="35">
        <v>4.2955399464171269E-2</v>
      </c>
      <c r="BM30" s="35">
        <v>-1.68103</v>
      </c>
      <c r="BN30" s="35">
        <v>3.070662</v>
      </c>
      <c r="BO30" s="35">
        <v>13.326123000000001</v>
      </c>
      <c r="BP30" s="35">
        <v>-0.89250499999999999</v>
      </c>
      <c r="BQ30" s="35">
        <v>-0.300062</v>
      </c>
      <c r="BR30" s="35">
        <v>0.33674500000000002</v>
      </c>
    </row>
    <row r="31" spans="2:70" x14ac:dyDescent="0.25">
      <c r="B31" s="143">
        <v>-1.8087044018654093</v>
      </c>
      <c r="C31" s="144">
        <v>3.5244695462130791</v>
      </c>
      <c r="D31" s="145">
        <v>-0.94277612726374349</v>
      </c>
      <c r="E31" s="146">
        <v>-0.95478373589565391</v>
      </c>
      <c r="F31" s="144">
        <v>-0.14294091711415433</v>
      </c>
      <c r="G31" s="147">
        <v>0.26068395612254835</v>
      </c>
      <c r="H31" s="146">
        <v>0.31415700000000002</v>
      </c>
      <c r="I31" s="148" t="s">
        <v>111</v>
      </c>
      <c r="J31" s="310">
        <v>5.0599999999999996</v>
      </c>
      <c r="K31" s="303" t="s">
        <v>110</v>
      </c>
      <c r="M31" s="5">
        <f t="shared" si="1"/>
        <v>5.0599999999999996</v>
      </c>
      <c r="N31" s="24">
        <f t="shared" si="2"/>
        <v>-1.8087044018654093</v>
      </c>
      <c r="O31" s="7">
        <f t="shared" si="3"/>
        <v>3.5244695462130791</v>
      </c>
      <c r="P31" s="12">
        <f t="shared" si="4"/>
        <v>-0.94277612726374349</v>
      </c>
      <c r="Q31" s="11">
        <f t="shared" si="30"/>
        <v>117.16620788496286</v>
      </c>
      <c r="R31" s="7">
        <f t="shared" si="5"/>
        <v>3.9614766433125332</v>
      </c>
      <c r="S31" s="8">
        <f t="shared" si="6"/>
        <v>-0.94277612726374349</v>
      </c>
      <c r="T31" s="6">
        <f t="shared" si="7"/>
        <v>-1.8088472921769128</v>
      </c>
      <c r="U31" s="7">
        <f t="shared" si="8"/>
        <v>3.5243962134094668</v>
      </c>
      <c r="V31" s="10">
        <f t="shared" si="9"/>
        <v>-0.81974835101311661</v>
      </c>
      <c r="W31" s="11">
        <f t="shared" si="10"/>
        <v>117.16853081522157</v>
      </c>
      <c r="X31" s="7">
        <f t="shared" si="11"/>
        <v>3.9614766433125332</v>
      </c>
      <c r="Y31" s="9">
        <f t="shared" si="31"/>
        <v>-0.81974835101311661</v>
      </c>
      <c r="Z31" s="24">
        <f t="shared" si="12"/>
        <v>0.95478373589565391</v>
      </c>
      <c r="AA31" s="7">
        <f t="shared" si="13"/>
        <v>0.14294091711415433</v>
      </c>
      <c r="AB31" s="7">
        <f t="shared" si="14"/>
        <v>-0.26068395612254835</v>
      </c>
      <c r="AC31" s="10">
        <f t="shared" si="15"/>
        <v>1.0000001065479942</v>
      </c>
      <c r="AD31" s="11">
        <f t="shared" si="16"/>
        <v>0.95478363416537271</v>
      </c>
      <c r="AE31" s="7">
        <f t="shared" si="17"/>
        <v>0.14294090188408792</v>
      </c>
      <c r="AF31" s="12">
        <f t="shared" si="18"/>
        <v>-0.26068392834719867</v>
      </c>
      <c r="AG31" s="6">
        <f t="shared" si="19"/>
        <v>28.737294277812222</v>
      </c>
      <c r="AH31" s="12">
        <f t="shared" si="20"/>
        <v>17.295599859898754</v>
      </c>
      <c r="AI31" s="11">
        <f t="shared" si="21"/>
        <v>-74.889352106618617</v>
      </c>
      <c r="AJ31" s="8">
        <f t="shared" si="22"/>
        <v>98.514529093322324</v>
      </c>
      <c r="AK31" s="6">
        <f t="shared" si="23"/>
        <v>0.91472044556921195</v>
      </c>
      <c r="AL31" s="7">
        <f t="shared" si="24"/>
        <v>-0.30875620796857695</v>
      </c>
      <c r="AM31" s="8">
        <f t="shared" si="25"/>
        <v>-0.26068392834719867</v>
      </c>
      <c r="AN31" s="6">
        <f t="shared" si="26"/>
        <v>-49.825482449139308</v>
      </c>
      <c r="AO31" s="10">
        <f t="shared" si="27"/>
        <v>23.833942234467688</v>
      </c>
      <c r="AP31" s="13">
        <f t="shared" si="28"/>
        <v>-18.651678791640574</v>
      </c>
      <c r="AR31" s="123">
        <f t="shared" si="29"/>
        <v>117.16853081522157</v>
      </c>
      <c r="AS31" s="124">
        <f t="shared" si="0"/>
        <v>-0.92851013036140151</v>
      </c>
      <c r="AU31" s="52">
        <f t="shared" si="32"/>
        <v>5.0599999999999996</v>
      </c>
      <c r="AV31" s="46">
        <f>IF(M31="","",Assy.Model!W31-W31)</f>
        <v>121.38703474161622</v>
      </c>
      <c r="AW31" s="47">
        <f>IF(M31="","",Assy.Model!X31-X31)</f>
        <v>-0.44646604204055951</v>
      </c>
      <c r="AX31" s="58">
        <f>IF(M31="","",Assy.Model!Y31-Y31)</f>
        <v>-8.3454373046299102E-2</v>
      </c>
      <c r="AY31" s="318">
        <f>IF(M31="","",Assy.Model!AN31-AN31)</f>
        <v>-17.459436452969676</v>
      </c>
      <c r="AZ31" s="48">
        <f>IF(M31="","",Assy.Model!AO31-AO31)</f>
        <v>-0.39221027760185478</v>
      </c>
      <c r="BA31" s="324">
        <f>IF(M31="","",Assy.Model!AP31-AP31)</f>
        <v>-3.1483399470395597</v>
      </c>
      <c r="BB31" s="290">
        <f>IF(M31="","",SQRT((Assy.Model!T31-T31)^2+(Assy.Model!U31-U31)^2+(Assy.Model!V31-V31)^2))</f>
        <v>6.5237962246310914</v>
      </c>
      <c r="BD31" s="35">
        <v>5.0599999999999996</v>
      </c>
      <c r="BE31" s="35">
        <v>0.5085524246748605</v>
      </c>
      <c r="BF31" s="35">
        <v>-2.652284194491239E-2</v>
      </c>
      <c r="BG31" s="35">
        <v>1.0013999999999745E-2</v>
      </c>
      <c r="BH31" s="35">
        <v>1.8046952480915976</v>
      </c>
      <c r="BI31" s="35">
        <v>1.512975534645129</v>
      </c>
      <c r="BJ31" s="35">
        <v>-0.75138527404824984</v>
      </c>
      <c r="BK31" s="35">
        <v>4.5210356845744329E-2</v>
      </c>
      <c r="BM31" s="35">
        <v>-1.7893600000000001</v>
      </c>
      <c r="BN31" s="35">
        <v>3.5561959999999999</v>
      </c>
      <c r="BO31" s="35">
        <v>12.73452</v>
      </c>
      <c r="BP31" s="35">
        <v>-0.95618400000000003</v>
      </c>
      <c r="BQ31" s="35">
        <v>-0.13683400000000001</v>
      </c>
      <c r="BR31" s="35">
        <v>0.258822</v>
      </c>
    </row>
    <row r="32" spans="2:70" x14ac:dyDescent="0.25">
      <c r="B32" s="143">
        <v>1.2401912853111827</v>
      </c>
      <c r="C32" s="144">
        <v>1.8990047565876551</v>
      </c>
      <c r="D32" s="145">
        <v>-0.11882186943509951</v>
      </c>
      <c r="E32" s="146">
        <v>-0.78906385236411647</v>
      </c>
      <c r="F32" s="144">
        <v>0.51860749390011995</v>
      </c>
      <c r="G32" s="147">
        <v>0.32927909773463726</v>
      </c>
      <c r="H32" s="146">
        <v>0.31339800000000001</v>
      </c>
      <c r="I32" s="148" t="s">
        <v>111</v>
      </c>
      <c r="J32" s="310">
        <v>6.01</v>
      </c>
      <c r="K32" s="303" t="s">
        <v>110</v>
      </c>
      <c r="M32" s="5">
        <f t="shared" si="1"/>
        <v>6.01</v>
      </c>
      <c r="N32" s="24">
        <f t="shared" si="2"/>
        <v>1.2401912853111827</v>
      </c>
      <c r="O32" s="7">
        <f t="shared" si="3"/>
        <v>1.8990047565876551</v>
      </c>
      <c r="P32" s="12">
        <f t="shared" si="4"/>
        <v>-0.11882186943509951</v>
      </c>
      <c r="Q32" s="11">
        <f t="shared" si="30"/>
        <v>56.852477225367764</v>
      </c>
      <c r="R32" s="7">
        <f t="shared" si="5"/>
        <v>2.2681035006596022</v>
      </c>
      <c r="S32" s="8">
        <f t="shared" si="6"/>
        <v>-0.11882186943509951</v>
      </c>
      <c r="T32" s="6">
        <f t="shared" si="7"/>
        <v>1.2401142933573925</v>
      </c>
      <c r="U32" s="7">
        <f t="shared" si="8"/>
        <v>1.8990550358309883</v>
      </c>
      <c r="V32" s="10">
        <f t="shared" si="9"/>
        <v>4.2059068155273494E-3</v>
      </c>
      <c r="W32" s="11">
        <f t="shared" si="10"/>
        <v>56.854800155626435</v>
      </c>
      <c r="X32" s="7">
        <f t="shared" si="11"/>
        <v>2.2681035006596022</v>
      </c>
      <c r="Y32" s="9">
        <f t="shared" si="31"/>
        <v>4.2059068155273494E-3</v>
      </c>
      <c r="Z32" s="24">
        <f t="shared" si="12"/>
        <v>0.78906385236411647</v>
      </c>
      <c r="AA32" s="7">
        <f t="shared" si="13"/>
        <v>-0.51860749390011995</v>
      </c>
      <c r="AB32" s="7">
        <f t="shared" si="14"/>
        <v>-0.32927909773463726</v>
      </c>
      <c r="AC32" s="10">
        <f t="shared" si="15"/>
        <v>1.0000001100209939</v>
      </c>
      <c r="AD32" s="11">
        <f t="shared" si="16"/>
        <v>0.7890637655505367</v>
      </c>
      <c r="AE32" s="7">
        <f t="shared" si="17"/>
        <v>-0.51860743684241428</v>
      </c>
      <c r="AF32" s="12">
        <f t="shared" si="18"/>
        <v>-0.32927906150702763</v>
      </c>
      <c r="AG32" s="6">
        <f t="shared" si="19"/>
        <v>-57.587339182694514</v>
      </c>
      <c r="AH32" s="12">
        <f t="shared" si="20"/>
        <v>37.901895185643284</v>
      </c>
      <c r="AI32" s="11">
        <f t="shared" si="21"/>
        <v>-70.774976689196635</v>
      </c>
      <c r="AJ32" s="8">
        <f t="shared" si="22"/>
        <v>56.685321499211902</v>
      </c>
      <c r="AK32" s="6">
        <f t="shared" si="23"/>
        <v>0.94422863289887426</v>
      </c>
      <c r="AL32" s="7">
        <f t="shared" si="24"/>
        <v>-2.7547172221450977E-3</v>
      </c>
      <c r="AM32" s="8">
        <f t="shared" si="25"/>
        <v>-0.32927906150702763</v>
      </c>
      <c r="AN32" s="6">
        <f t="shared" si="26"/>
        <v>-0.47931984451099641</v>
      </c>
      <c r="AO32" s="10">
        <f t="shared" si="27"/>
        <v>19.22572250349657</v>
      </c>
      <c r="AP32" s="13">
        <f t="shared" si="28"/>
        <v>-0.16715572615585264</v>
      </c>
      <c r="AR32" s="123">
        <f t="shared" si="29"/>
        <v>56.854800155626435</v>
      </c>
      <c r="AS32" s="124">
        <f t="shared" si="0"/>
        <v>-4.7114224285524066E-2</v>
      </c>
      <c r="AU32" s="52">
        <f t="shared" si="32"/>
        <v>6.01</v>
      </c>
      <c r="AV32" s="46">
        <f>IF(M32="","",Assy.Model!W32-W32)</f>
        <v>181.48916543176261</v>
      </c>
      <c r="AW32" s="47">
        <f>IF(M32="","",Assy.Model!X32-X32)</f>
        <v>1.4188076190643351</v>
      </c>
      <c r="AX32" s="58">
        <f>IF(M32="","",Assy.Model!Y32-Y32)</f>
        <v>-1.7136110623814769</v>
      </c>
      <c r="AY32" s="318">
        <f>IF(M32="","",Assy.Model!AN32-AN32)</f>
        <v>-89.520667161098544</v>
      </c>
      <c r="AZ32" s="48">
        <f>IF(M32="","",Assy.Model!AO32-AO32)</f>
        <v>10.77427316503994</v>
      </c>
      <c r="BA32" s="324">
        <f>IF(M32="","",Assy.Model!AP32-AP32)</f>
        <v>-29.832839942380037</v>
      </c>
      <c r="BB32" s="290">
        <f>IF(M32="","",SQRT((Assy.Model!T32-T32)^2+(Assy.Model!U32-U32)^2+(Assy.Model!V32-V32)^2))</f>
        <v>6.1962095986543595</v>
      </c>
      <c r="BD32" s="35">
        <v>6.01</v>
      </c>
      <c r="BE32" s="35">
        <v>-0.26612725515317948</v>
      </c>
      <c r="BF32" s="35">
        <v>-2.2756101889563229E-2</v>
      </c>
      <c r="BG32" s="35">
        <v>-1.490999999999354E-3</v>
      </c>
      <c r="BH32" s="35">
        <v>0.14422215862382015</v>
      </c>
      <c r="BI32" s="35">
        <v>0.88791337395200998</v>
      </c>
      <c r="BJ32" s="35">
        <v>2.551886792122493E-2</v>
      </c>
      <c r="BK32" s="35">
        <v>2.5127851390537543E-2</v>
      </c>
      <c r="BM32" s="35">
        <v>1.247649</v>
      </c>
      <c r="BN32" s="35">
        <v>1.912174</v>
      </c>
      <c r="BO32" s="35">
        <v>13.565524999999999</v>
      </c>
      <c r="BP32" s="35">
        <v>-0.78647500000000004</v>
      </c>
      <c r="BQ32" s="35">
        <v>0.52370399999999995</v>
      </c>
      <c r="BR32" s="35">
        <v>0.327401</v>
      </c>
    </row>
    <row r="33" spans="2:70" x14ac:dyDescent="0.25">
      <c r="B33" s="143">
        <v>1.7128718790857858</v>
      </c>
      <c r="C33" s="144">
        <v>2.5019469288903657</v>
      </c>
      <c r="D33" s="145">
        <v>-0.151381060054288</v>
      </c>
      <c r="E33" s="146">
        <v>-0.73083951628285682</v>
      </c>
      <c r="F33" s="144">
        <v>0.59725400252305327</v>
      </c>
      <c r="G33" s="147">
        <v>0.33039582792558481</v>
      </c>
      <c r="H33" s="146">
        <v>0.31188500000000002</v>
      </c>
      <c r="I33" s="148" t="s">
        <v>111</v>
      </c>
      <c r="J33" s="310">
        <v>6.02</v>
      </c>
      <c r="K33" s="303" t="s">
        <v>110</v>
      </c>
      <c r="M33" s="5">
        <f t="shared" si="1"/>
        <v>6.02</v>
      </c>
      <c r="N33" s="24">
        <f t="shared" si="2"/>
        <v>1.7128718790857858</v>
      </c>
      <c r="O33" s="7">
        <f t="shared" si="3"/>
        <v>2.5019469288903657</v>
      </c>
      <c r="P33" s="12">
        <f t="shared" si="4"/>
        <v>-0.151381060054288</v>
      </c>
      <c r="Q33" s="11">
        <f t="shared" si="30"/>
        <v>55.60385015065421</v>
      </c>
      <c r="R33" s="7">
        <f t="shared" si="5"/>
        <v>3.0321062826271121</v>
      </c>
      <c r="S33" s="8">
        <f t="shared" si="6"/>
        <v>-0.151381060054288</v>
      </c>
      <c r="T33" s="6">
        <f t="shared" si="7"/>
        <v>1.7127704417908907</v>
      </c>
      <c r="U33" s="7">
        <f t="shared" si="8"/>
        <v>2.5020163714241042</v>
      </c>
      <c r="V33" s="10">
        <f t="shared" si="9"/>
        <v>-2.8353283803661145E-2</v>
      </c>
      <c r="W33" s="11">
        <f t="shared" si="10"/>
        <v>55.606173080912924</v>
      </c>
      <c r="X33" s="7">
        <f t="shared" si="11"/>
        <v>3.0321062826271121</v>
      </c>
      <c r="Y33" s="9">
        <f t="shared" si="31"/>
        <v>-2.8353283803661145E-2</v>
      </c>
      <c r="Z33" s="24">
        <f t="shared" si="12"/>
        <v>0.73083951628285682</v>
      </c>
      <c r="AA33" s="7">
        <f t="shared" si="13"/>
        <v>-0.59725400252305327</v>
      </c>
      <c r="AB33" s="7">
        <f t="shared" si="14"/>
        <v>-0.33039582792558481</v>
      </c>
      <c r="AC33" s="10">
        <f t="shared" si="15"/>
        <v>1.0000000726004974</v>
      </c>
      <c r="AD33" s="11">
        <f t="shared" si="16"/>
        <v>0.7308394632235482</v>
      </c>
      <c r="AE33" s="7">
        <f t="shared" si="17"/>
        <v>-0.59725395916211876</v>
      </c>
      <c r="AF33" s="12">
        <f t="shared" si="18"/>
        <v>-0.33039580393868506</v>
      </c>
      <c r="AG33" s="6">
        <f t="shared" si="19"/>
        <v>-61.049005031799759</v>
      </c>
      <c r="AH33" s="12">
        <f t="shared" si="20"/>
        <v>43.043184546954784</v>
      </c>
      <c r="AI33" s="11">
        <f t="shared" si="21"/>
        <v>-70.707199067560452</v>
      </c>
      <c r="AJ33" s="8">
        <f t="shared" si="22"/>
        <v>50.743744374076591</v>
      </c>
      <c r="AK33" s="6">
        <f t="shared" si="23"/>
        <v>0.94044891440112011</v>
      </c>
      <c r="AL33" s="7">
        <f t="shared" si="24"/>
        <v>-7.996531836655546E-2</v>
      </c>
      <c r="AM33" s="8">
        <f t="shared" si="25"/>
        <v>-0.33039580393868506</v>
      </c>
      <c r="AN33" s="6">
        <f t="shared" si="26"/>
        <v>-13.605596398407769</v>
      </c>
      <c r="AO33" s="10">
        <f t="shared" si="27"/>
        <v>19.872917121907665</v>
      </c>
      <c r="AP33" s="13">
        <f t="shared" si="28"/>
        <v>-4.8601057765776359</v>
      </c>
      <c r="AR33" s="123">
        <f t="shared" si="29"/>
        <v>55.606173080912924</v>
      </c>
      <c r="AS33" s="124">
        <f t="shared" si="0"/>
        <v>-7.8484246262128271E-2</v>
      </c>
      <c r="AU33" s="52">
        <f t="shared" si="32"/>
        <v>6.02</v>
      </c>
      <c r="AV33" s="46">
        <f>IF(M33="","",Assy.Model!W33-W33)</f>
        <v>167.30009473540395</v>
      </c>
      <c r="AW33" s="47">
        <f>IF(M33="","",Assy.Model!X33-X33)</f>
        <v>-0.7569994209048172</v>
      </c>
      <c r="AX33" s="58">
        <f>IF(M33="","",Assy.Model!Y33-Y33)</f>
        <v>3.7532096098373754E-3</v>
      </c>
      <c r="AY33" s="318">
        <f>IF(M33="","",Assy.Model!AN33-AN33)</f>
        <v>0.84376917973065879</v>
      </c>
      <c r="AZ33" s="48">
        <f>IF(M33="","",Assy.Model!AO33-AO33)</f>
        <v>0.47779717144901923</v>
      </c>
      <c r="BA33" s="324">
        <f>IF(M33="","",Assy.Model!AP33-AP33)</f>
        <v>0.17602303042752432</v>
      </c>
      <c r="BB33" s="290">
        <f>IF(M33="","",SQRT((Assy.Model!T33-T33)^2+(Assy.Model!U33-U33)^2+(Assy.Model!V33-V33)^2))</f>
        <v>5.2753186756996238</v>
      </c>
      <c r="BD33" s="35">
        <v>6.02</v>
      </c>
      <c r="BE33" s="35">
        <v>0.15928168844101265</v>
      </c>
      <c r="BF33" s="35">
        <v>-2.8849762098341891E-2</v>
      </c>
      <c r="BG33" s="35">
        <v>-2.3700000000001498E-3</v>
      </c>
      <c r="BH33" s="35">
        <v>1.9876293029606984</v>
      </c>
      <c r="BI33" s="35">
        <v>0.24625219060317605</v>
      </c>
      <c r="BJ33" s="35">
        <v>0.63274346146980331</v>
      </c>
      <c r="BK33" s="35">
        <v>3.0149502769439548E-2</v>
      </c>
      <c r="BM33" s="35">
        <v>1.724151</v>
      </c>
      <c r="BN33" s="35">
        <v>2.5121349999999998</v>
      </c>
      <c r="BO33" s="35">
        <v>13.533604</v>
      </c>
      <c r="BP33" s="35">
        <v>-0.72776300000000005</v>
      </c>
      <c r="BQ33" s="35">
        <v>0.60198600000000002</v>
      </c>
      <c r="BR33" s="35">
        <v>0.328594</v>
      </c>
    </row>
    <row r="34" spans="2:70" x14ac:dyDescent="0.25">
      <c r="B34" s="143">
        <v>2.1922588021011702</v>
      </c>
      <c r="C34" s="144">
        <v>2.9590162870528975</v>
      </c>
      <c r="D34" s="145">
        <v>-0.53828031747504557</v>
      </c>
      <c r="E34" s="146">
        <v>-0.58025021397979926</v>
      </c>
      <c r="F34" s="144">
        <v>0.73823169611993056</v>
      </c>
      <c r="G34" s="147">
        <v>0.34398134525041862</v>
      </c>
      <c r="H34" s="146">
        <v>0.31112499999999998</v>
      </c>
      <c r="I34" s="148" t="s">
        <v>111</v>
      </c>
      <c r="J34" s="310">
        <v>6.03</v>
      </c>
      <c r="K34" s="303" t="s">
        <v>110</v>
      </c>
      <c r="M34" s="5">
        <f t="shared" si="1"/>
        <v>6.03</v>
      </c>
      <c r="N34" s="24">
        <f t="shared" si="2"/>
        <v>2.1922588021011702</v>
      </c>
      <c r="O34" s="7">
        <f t="shared" si="3"/>
        <v>2.9590162870528975</v>
      </c>
      <c r="P34" s="12">
        <f t="shared" si="4"/>
        <v>-0.53828031747504557</v>
      </c>
      <c r="Q34" s="11">
        <f t="shared" si="30"/>
        <v>53.466207752444447</v>
      </c>
      <c r="R34" s="7">
        <f t="shared" si="5"/>
        <v>3.6826316734686313</v>
      </c>
      <c r="S34" s="8">
        <f t="shared" si="6"/>
        <v>-0.53828031747504557</v>
      </c>
      <c r="T34" s="6">
        <f t="shared" si="7"/>
        <v>2.192138833549262</v>
      </c>
      <c r="U34" s="7">
        <f t="shared" si="8"/>
        <v>2.9591051648901656</v>
      </c>
      <c r="V34" s="10">
        <f t="shared" si="9"/>
        <v>-0.41525254122441868</v>
      </c>
      <c r="W34" s="11">
        <f t="shared" si="10"/>
        <v>53.468530682703147</v>
      </c>
      <c r="X34" s="7">
        <f t="shared" si="11"/>
        <v>3.6826316734686313</v>
      </c>
      <c r="Y34" s="9">
        <f t="shared" si="31"/>
        <v>-0.41525254122441868</v>
      </c>
      <c r="Z34" s="24">
        <f t="shared" si="12"/>
        <v>0.58025021397979926</v>
      </c>
      <c r="AA34" s="7">
        <f t="shared" si="13"/>
        <v>-0.73823169611993056</v>
      </c>
      <c r="AB34" s="7">
        <f t="shared" si="14"/>
        <v>-0.34398134525041862</v>
      </c>
      <c r="AC34" s="10">
        <f t="shared" si="15"/>
        <v>0.99999975692997045</v>
      </c>
      <c r="AD34" s="11">
        <f t="shared" si="16"/>
        <v>0.5802503550212702</v>
      </c>
      <c r="AE34" s="7">
        <f t="shared" si="17"/>
        <v>-0.73823187556197445</v>
      </c>
      <c r="AF34" s="12">
        <f t="shared" si="18"/>
        <v>-0.34398142886199473</v>
      </c>
      <c r="AG34" s="6">
        <f t="shared" si="19"/>
        <v>-65.016688755340283</v>
      </c>
      <c r="AH34" s="12">
        <f t="shared" si="20"/>
        <v>54.531846796223505</v>
      </c>
      <c r="AI34" s="11">
        <f t="shared" si="21"/>
        <v>-69.88036919915217</v>
      </c>
      <c r="AJ34" s="8">
        <f t="shared" si="22"/>
        <v>38.167351671660683</v>
      </c>
      <c r="AK34" s="6">
        <f t="shared" si="23"/>
        <v>0.90570164871444048</v>
      </c>
      <c r="AL34" s="7">
        <f t="shared" si="24"/>
        <v>-0.24775249769478563</v>
      </c>
      <c r="AM34" s="8">
        <f t="shared" si="25"/>
        <v>-0.34398142886199473</v>
      </c>
      <c r="AN34" s="6">
        <f t="shared" si="26"/>
        <v>-35.76330584684834</v>
      </c>
      <c r="AO34" s="10">
        <f t="shared" si="27"/>
        <v>25.082050249989479</v>
      </c>
      <c r="AP34" s="13">
        <f t="shared" si="28"/>
        <v>-15.298856080783759</v>
      </c>
      <c r="AR34" s="123">
        <f>IF(M34="","",IF(W34&lt;=LARGE($W$9:$W$18,1),W34,W34-360))</f>
        <v>53.468530682703147</v>
      </c>
      <c r="AS34" s="124">
        <f t="shared" si="0"/>
        <v>-0.46334765377982889</v>
      </c>
      <c r="AU34" s="52">
        <f t="shared" si="32"/>
        <v>6.03</v>
      </c>
      <c r="AV34" s="46">
        <f>IF(M34="","",Assy.Model!W34-W34)</f>
        <v>168.87783721445328</v>
      </c>
      <c r="AW34" s="47">
        <f>IF(M34="","",Assy.Model!X34-X34)</f>
        <v>-0.63572248399051601</v>
      </c>
      <c r="AX34" s="58">
        <f>IF(M34="","",Assy.Model!Y34-Y34)</f>
        <v>0.12575166808978533</v>
      </c>
      <c r="AY34" s="318">
        <f>IF(M34="","",Assy.Model!AN34-AN34)</f>
        <v>-9.3955692418161121</v>
      </c>
      <c r="AZ34" s="48">
        <f>IF(M34="","",Assy.Model!AO34-AO34)</f>
        <v>-2.8903265843606043</v>
      </c>
      <c r="BA34" s="324">
        <f>IF(M34="","",Assy.Model!AP34-AP34)</f>
        <v>-0.83336631062247868</v>
      </c>
      <c r="BB34" s="290">
        <f>IF(M34="","",SQRT((Assy.Model!T34-T34)^2+(Assy.Model!U34-U34)^2+(Assy.Model!V34-V34)^2))</f>
        <v>6.6993316181240434</v>
      </c>
      <c r="BD34" s="35">
        <v>6.03</v>
      </c>
      <c r="BE34" s="35">
        <v>0.1358753008150444</v>
      </c>
      <c r="BF34" s="35">
        <v>-3.0425136984101542E-2</v>
      </c>
      <c r="BG34" s="35">
        <v>-2.0009999999999195E-3</v>
      </c>
      <c r="BH34" s="35">
        <v>2.5139114364847401</v>
      </c>
      <c r="BI34" s="35">
        <v>4.0511877496683724E-2</v>
      </c>
      <c r="BJ34" s="35">
        <v>0.87485246543714901</v>
      </c>
      <c r="BK34" s="35">
        <v>3.1716420265463049E-2</v>
      </c>
      <c r="BM34" s="35">
        <v>2.207166</v>
      </c>
      <c r="BN34" s="35">
        <v>2.9659909999999998</v>
      </c>
      <c r="BO34" s="35">
        <v>13.147435</v>
      </c>
      <c r="BP34" s="35">
        <v>-0.57632399999999995</v>
      </c>
      <c r="BQ34" s="35">
        <v>0.74202800000000002</v>
      </c>
      <c r="BR34" s="35">
        <v>0.34240999999999999</v>
      </c>
    </row>
    <row r="35" spans="2:70" x14ac:dyDescent="0.25">
      <c r="B35" s="143"/>
      <c r="C35" s="144"/>
      <c r="D35" s="145"/>
      <c r="E35" s="146"/>
      <c r="F35" s="144"/>
      <c r="G35" s="147"/>
      <c r="H35" s="146"/>
      <c r="I35" s="148"/>
      <c r="J35" s="310"/>
      <c r="K35" s="303"/>
      <c r="M35" s="5" t="str">
        <f t="shared" si="1"/>
        <v/>
      </c>
      <c r="N35" s="24" t="str">
        <f t="shared" si="2"/>
        <v/>
      </c>
      <c r="O35" s="7" t="str">
        <f t="shared" si="3"/>
        <v/>
      </c>
      <c r="P35" s="12" t="str">
        <f t="shared" si="4"/>
        <v/>
      </c>
      <c r="Q35" s="11" t="str">
        <f t="shared" si="30"/>
        <v/>
      </c>
      <c r="R35" s="7" t="str">
        <f t="shared" si="5"/>
        <v/>
      </c>
      <c r="S35" s="8" t="str">
        <f t="shared" si="6"/>
        <v/>
      </c>
      <c r="T35" s="6" t="str">
        <f t="shared" si="7"/>
        <v/>
      </c>
      <c r="U35" s="7" t="str">
        <f t="shared" si="8"/>
        <v/>
      </c>
      <c r="V35" s="10" t="str">
        <f t="shared" si="9"/>
        <v/>
      </c>
      <c r="W35" s="11" t="str">
        <f t="shared" si="10"/>
        <v/>
      </c>
      <c r="X35" s="7" t="str">
        <f t="shared" si="11"/>
        <v/>
      </c>
      <c r="Y35" s="9" t="str">
        <f t="shared" si="31"/>
        <v/>
      </c>
      <c r="Z35" s="24" t="str">
        <f t="shared" si="12"/>
        <v/>
      </c>
      <c r="AA35" s="7" t="str">
        <f t="shared" si="13"/>
        <v/>
      </c>
      <c r="AB35" s="7" t="str">
        <f t="shared" si="14"/>
        <v/>
      </c>
      <c r="AC35" s="10" t="str">
        <f t="shared" si="15"/>
        <v/>
      </c>
      <c r="AD35" s="11" t="str">
        <f t="shared" si="16"/>
        <v/>
      </c>
      <c r="AE35" s="7" t="str">
        <f t="shared" si="17"/>
        <v/>
      </c>
      <c r="AF35" s="12" t="str">
        <f t="shared" si="18"/>
        <v/>
      </c>
      <c r="AG35" s="6" t="str">
        <f t="shared" si="19"/>
        <v/>
      </c>
      <c r="AH35" s="12" t="str">
        <f t="shared" si="20"/>
        <v/>
      </c>
      <c r="AI35" s="11" t="str">
        <f t="shared" si="21"/>
        <v/>
      </c>
      <c r="AJ35" s="8" t="str">
        <f t="shared" si="22"/>
        <v/>
      </c>
      <c r="AK35" s="6" t="str">
        <f t="shared" si="23"/>
        <v/>
      </c>
      <c r="AL35" s="7" t="str">
        <f t="shared" si="24"/>
        <v/>
      </c>
      <c r="AM35" s="8" t="str">
        <f t="shared" si="25"/>
        <v/>
      </c>
      <c r="AN35" s="6" t="str">
        <f t="shared" si="26"/>
        <v/>
      </c>
      <c r="AO35" s="10" t="str">
        <f t="shared" si="27"/>
        <v/>
      </c>
      <c r="AP35" s="13" t="str">
        <f t="shared" si="28"/>
        <v/>
      </c>
      <c r="AR35" s="123" t="str">
        <f t="shared" si="29"/>
        <v/>
      </c>
      <c r="AS35" s="124" t="str">
        <f t="shared" si="0"/>
        <v/>
      </c>
      <c r="AU35" s="52" t="str">
        <f t="shared" si="32"/>
        <v/>
      </c>
      <c r="AV35" s="46" t="str">
        <f>IF(M35="","",Assy.Model!W60-W35)</f>
        <v/>
      </c>
      <c r="AW35" s="47" t="str">
        <f>IF(M35="","",Assy.Model!X60-X35)</f>
        <v/>
      </c>
      <c r="AX35" s="58" t="str">
        <f>IF(M35="","",Assy.Model!Y60-Y35)</f>
        <v/>
      </c>
      <c r="AY35" s="318" t="str">
        <f>IF(M35="","",Assy.Model!AN60-AN35)</f>
        <v/>
      </c>
      <c r="AZ35" s="48" t="str">
        <f>IF(M35="","",Assy.Model!AO60-AO35)</f>
        <v/>
      </c>
      <c r="BA35" s="324" t="str">
        <f>IF(M35="","",Assy.Model!AP60-AP35)</f>
        <v/>
      </c>
      <c r="BB35" s="290" t="str">
        <f>IF(M35="","",SQRT((Assy.Model!T35-T35)^2+(Assy.Model!U35-U35)^2+(Assy.Model!V35-V35)^2))</f>
        <v/>
      </c>
    </row>
    <row r="36" spans="2:70" x14ac:dyDescent="0.25">
      <c r="B36" s="143"/>
      <c r="C36" s="144"/>
      <c r="D36" s="145"/>
      <c r="E36" s="146"/>
      <c r="F36" s="144"/>
      <c r="G36" s="147"/>
      <c r="H36" s="146"/>
      <c r="I36" s="148"/>
      <c r="J36" s="310"/>
      <c r="K36" s="303"/>
      <c r="M36" s="5" t="str">
        <f t="shared" si="1"/>
        <v/>
      </c>
      <c r="N36" s="24" t="str">
        <f t="shared" si="2"/>
        <v/>
      </c>
      <c r="O36" s="7" t="str">
        <f t="shared" si="3"/>
        <v/>
      </c>
      <c r="P36" s="12" t="str">
        <f t="shared" si="4"/>
        <v/>
      </c>
      <c r="Q36" s="11" t="str">
        <f t="shared" si="30"/>
        <v/>
      </c>
      <c r="R36" s="7" t="str">
        <f t="shared" si="5"/>
        <v/>
      </c>
      <c r="S36" s="8" t="str">
        <f t="shared" si="6"/>
        <v/>
      </c>
      <c r="T36" s="6" t="str">
        <f t="shared" si="7"/>
        <v/>
      </c>
      <c r="U36" s="7" t="str">
        <f t="shared" si="8"/>
        <v/>
      </c>
      <c r="V36" s="10" t="str">
        <f t="shared" si="9"/>
        <v/>
      </c>
      <c r="W36" s="11" t="str">
        <f t="shared" si="10"/>
        <v/>
      </c>
      <c r="X36" s="7" t="str">
        <f t="shared" si="11"/>
        <v/>
      </c>
      <c r="Y36" s="9" t="str">
        <f t="shared" si="31"/>
        <v/>
      </c>
      <c r="Z36" s="24" t="str">
        <f t="shared" si="12"/>
        <v/>
      </c>
      <c r="AA36" s="7" t="str">
        <f t="shared" si="13"/>
        <v/>
      </c>
      <c r="AB36" s="7" t="str">
        <f t="shared" si="14"/>
        <v/>
      </c>
      <c r="AC36" s="10" t="str">
        <f t="shared" si="15"/>
        <v/>
      </c>
      <c r="AD36" s="11" t="str">
        <f t="shared" si="16"/>
        <v/>
      </c>
      <c r="AE36" s="7" t="str">
        <f t="shared" si="17"/>
        <v/>
      </c>
      <c r="AF36" s="12" t="str">
        <f t="shared" si="18"/>
        <v/>
      </c>
      <c r="AG36" s="6" t="str">
        <f t="shared" si="19"/>
        <v/>
      </c>
      <c r="AH36" s="12" t="str">
        <f t="shared" si="20"/>
        <v/>
      </c>
      <c r="AI36" s="11" t="str">
        <f t="shared" si="21"/>
        <v/>
      </c>
      <c r="AJ36" s="8" t="str">
        <f t="shared" si="22"/>
        <v/>
      </c>
      <c r="AK36" s="6" t="str">
        <f t="shared" si="23"/>
        <v/>
      </c>
      <c r="AL36" s="7" t="str">
        <f t="shared" si="24"/>
        <v/>
      </c>
      <c r="AM36" s="8" t="str">
        <f t="shared" si="25"/>
        <v/>
      </c>
      <c r="AN36" s="6" t="str">
        <f t="shared" si="26"/>
        <v/>
      </c>
      <c r="AO36" s="10" t="str">
        <f t="shared" si="27"/>
        <v/>
      </c>
      <c r="AP36" s="13" t="str">
        <f t="shared" si="28"/>
        <v/>
      </c>
      <c r="AR36" s="123" t="str">
        <f t="shared" si="29"/>
        <v/>
      </c>
      <c r="AS36" s="124" t="str">
        <f t="shared" si="0"/>
        <v/>
      </c>
      <c r="AU36" s="52" t="str">
        <f t="shared" si="32"/>
        <v/>
      </c>
      <c r="AV36" s="46" t="str">
        <f>IF(M36="","",Assy.Model!W61-W36)</f>
        <v/>
      </c>
      <c r="AW36" s="47" t="str">
        <f>IF(M36="","",Assy.Model!X61-X36)</f>
        <v/>
      </c>
      <c r="AX36" s="58" t="str">
        <f>IF(M36="","",Assy.Model!Y61-Y36)</f>
        <v/>
      </c>
      <c r="AY36" s="318" t="str">
        <f>IF(M36="","",Assy.Model!AN61-AN36)</f>
        <v/>
      </c>
      <c r="AZ36" s="48" t="str">
        <f>IF(M36="","",Assy.Model!AO61-AO36)</f>
        <v/>
      </c>
      <c r="BA36" s="324" t="str">
        <f>IF(M36="","",Assy.Model!AP61-AP36)</f>
        <v/>
      </c>
      <c r="BB36" s="290" t="str">
        <f>IF(M36="","",SQRT((Assy.Model!T36-T36)^2+(Assy.Model!U36-U36)^2+(Assy.Model!V36-V36)^2))</f>
        <v/>
      </c>
    </row>
    <row r="37" spans="2:70" x14ac:dyDescent="0.25">
      <c r="B37" s="143"/>
      <c r="C37" s="144"/>
      <c r="D37" s="145"/>
      <c r="E37" s="146"/>
      <c r="F37" s="144"/>
      <c r="G37" s="147"/>
      <c r="H37" s="146"/>
      <c r="I37" s="148"/>
      <c r="J37" s="310"/>
      <c r="K37" s="303"/>
      <c r="M37" s="5" t="str">
        <f t="shared" si="1"/>
        <v/>
      </c>
      <c r="N37" s="24" t="str">
        <f t="shared" si="2"/>
        <v/>
      </c>
      <c r="O37" s="7" t="str">
        <f t="shared" si="3"/>
        <v/>
      </c>
      <c r="P37" s="12" t="str">
        <f t="shared" si="4"/>
        <v/>
      </c>
      <c r="Q37" s="11" t="str">
        <f t="shared" si="30"/>
        <v/>
      </c>
      <c r="R37" s="7" t="str">
        <f t="shared" si="5"/>
        <v/>
      </c>
      <c r="S37" s="8" t="str">
        <f t="shared" si="6"/>
        <v/>
      </c>
      <c r="T37" s="6" t="str">
        <f t="shared" si="7"/>
        <v/>
      </c>
      <c r="U37" s="7" t="str">
        <f t="shared" si="8"/>
        <v/>
      </c>
      <c r="V37" s="10" t="str">
        <f t="shared" si="9"/>
        <v/>
      </c>
      <c r="W37" s="11" t="str">
        <f t="shared" si="10"/>
        <v/>
      </c>
      <c r="X37" s="7" t="str">
        <f t="shared" si="11"/>
        <v/>
      </c>
      <c r="Y37" s="9" t="str">
        <f t="shared" si="31"/>
        <v/>
      </c>
      <c r="Z37" s="24" t="str">
        <f t="shared" si="12"/>
        <v/>
      </c>
      <c r="AA37" s="7" t="str">
        <f t="shared" si="13"/>
        <v/>
      </c>
      <c r="AB37" s="7" t="str">
        <f t="shared" si="14"/>
        <v/>
      </c>
      <c r="AC37" s="10" t="str">
        <f t="shared" si="15"/>
        <v/>
      </c>
      <c r="AD37" s="11" t="str">
        <f t="shared" si="16"/>
        <v/>
      </c>
      <c r="AE37" s="7" t="str">
        <f t="shared" si="17"/>
        <v/>
      </c>
      <c r="AF37" s="12" t="str">
        <f t="shared" si="18"/>
        <v/>
      </c>
      <c r="AG37" s="6" t="str">
        <f t="shared" si="19"/>
        <v/>
      </c>
      <c r="AH37" s="12" t="str">
        <f t="shared" si="20"/>
        <v/>
      </c>
      <c r="AI37" s="11" t="str">
        <f t="shared" si="21"/>
        <v/>
      </c>
      <c r="AJ37" s="8" t="str">
        <f t="shared" si="22"/>
        <v/>
      </c>
      <c r="AK37" s="6" t="str">
        <f t="shared" si="23"/>
        <v/>
      </c>
      <c r="AL37" s="7" t="str">
        <f t="shared" si="24"/>
        <v/>
      </c>
      <c r="AM37" s="8" t="str">
        <f t="shared" si="25"/>
        <v/>
      </c>
      <c r="AN37" s="6" t="str">
        <f t="shared" si="26"/>
        <v/>
      </c>
      <c r="AO37" s="10" t="str">
        <f t="shared" si="27"/>
        <v/>
      </c>
      <c r="AP37" s="13" t="str">
        <f t="shared" si="28"/>
        <v/>
      </c>
      <c r="AR37" s="123" t="str">
        <f t="shared" si="29"/>
        <v/>
      </c>
      <c r="AS37" s="124" t="str">
        <f t="shared" si="0"/>
        <v/>
      </c>
      <c r="AU37" s="52" t="str">
        <f t="shared" si="32"/>
        <v/>
      </c>
      <c r="AV37" s="46" t="str">
        <f>IF(M37="","",Assy.Model!W62-W37)</f>
        <v/>
      </c>
      <c r="AW37" s="47" t="str">
        <f>IF(M37="","",Assy.Model!X62-X37)</f>
        <v/>
      </c>
      <c r="AX37" s="58" t="str">
        <f>IF(M37="","",Assy.Model!Y62-Y37)</f>
        <v/>
      </c>
      <c r="AY37" s="318" t="str">
        <f>IF(M37="","",Assy.Model!AN62-AN37)</f>
        <v/>
      </c>
      <c r="AZ37" s="48" t="str">
        <f>IF(M37="","",Assy.Model!AO62-AO37)</f>
        <v/>
      </c>
      <c r="BA37" s="324" t="str">
        <f>IF(M37="","",Assy.Model!AP62-AP37)</f>
        <v/>
      </c>
      <c r="BB37" s="290" t="str">
        <f>IF(M37="","",SQRT((Assy.Model!T37-T37)^2+(Assy.Model!U37-U37)^2+(Assy.Model!V37-V37)^2))</f>
        <v/>
      </c>
    </row>
    <row r="38" spans="2:70" x14ac:dyDescent="0.25">
      <c r="B38" s="143"/>
      <c r="C38" s="144"/>
      <c r="D38" s="145"/>
      <c r="E38" s="146"/>
      <c r="F38" s="144"/>
      <c r="G38" s="147"/>
      <c r="H38" s="146"/>
      <c r="I38" s="148"/>
      <c r="J38" s="310"/>
      <c r="K38" s="303"/>
      <c r="M38" s="5" t="str">
        <f t="shared" si="1"/>
        <v/>
      </c>
      <c r="N38" s="24" t="str">
        <f t="shared" si="2"/>
        <v/>
      </c>
      <c r="O38" s="7" t="str">
        <f t="shared" si="3"/>
        <v/>
      </c>
      <c r="P38" s="12" t="str">
        <f t="shared" si="4"/>
        <v/>
      </c>
      <c r="Q38" s="11" t="str">
        <f t="shared" si="30"/>
        <v/>
      </c>
      <c r="R38" s="7" t="str">
        <f t="shared" si="5"/>
        <v/>
      </c>
      <c r="S38" s="8" t="str">
        <f t="shared" si="6"/>
        <v/>
      </c>
      <c r="T38" s="6" t="str">
        <f t="shared" si="7"/>
        <v/>
      </c>
      <c r="U38" s="7" t="str">
        <f t="shared" si="8"/>
        <v/>
      </c>
      <c r="V38" s="10" t="str">
        <f t="shared" si="9"/>
        <v/>
      </c>
      <c r="W38" s="11" t="str">
        <f t="shared" si="10"/>
        <v/>
      </c>
      <c r="X38" s="7" t="str">
        <f t="shared" si="11"/>
        <v/>
      </c>
      <c r="Y38" s="9" t="str">
        <f t="shared" si="31"/>
        <v/>
      </c>
      <c r="Z38" s="24" t="str">
        <f t="shared" si="12"/>
        <v/>
      </c>
      <c r="AA38" s="7" t="str">
        <f t="shared" si="13"/>
        <v/>
      </c>
      <c r="AB38" s="7" t="str">
        <f t="shared" si="14"/>
        <v/>
      </c>
      <c r="AC38" s="10" t="str">
        <f t="shared" si="15"/>
        <v/>
      </c>
      <c r="AD38" s="11" t="str">
        <f t="shared" si="16"/>
        <v/>
      </c>
      <c r="AE38" s="7" t="str">
        <f t="shared" si="17"/>
        <v/>
      </c>
      <c r="AF38" s="12" t="str">
        <f t="shared" si="18"/>
        <v/>
      </c>
      <c r="AG38" s="6" t="str">
        <f t="shared" si="19"/>
        <v/>
      </c>
      <c r="AH38" s="12" t="str">
        <f t="shared" si="20"/>
        <v/>
      </c>
      <c r="AI38" s="11" t="str">
        <f t="shared" si="21"/>
        <v/>
      </c>
      <c r="AJ38" s="8" t="str">
        <f t="shared" si="22"/>
        <v/>
      </c>
      <c r="AK38" s="6" t="str">
        <f t="shared" si="23"/>
        <v/>
      </c>
      <c r="AL38" s="7" t="str">
        <f t="shared" si="24"/>
        <v/>
      </c>
      <c r="AM38" s="8" t="str">
        <f t="shared" si="25"/>
        <v/>
      </c>
      <c r="AN38" s="6" t="str">
        <f t="shared" si="26"/>
        <v/>
      </c>
      <c r="AO38" s="10" t="str">
        <f t="shared" si="27"/>
        <v/>
      </c>
      <c r="AP38" s="13" t="str">
        <f t="shared" si="28"/>
        <v/>
      </c>
      <c r="AR38" s="123" t="str">
        <f t="shared" si="29"/>
        <v/>
      </c>
      <c r="AS38" s="124" t="str">
        <f t="shared" si="0"/>
        <v/>
      </c>
      <c r="AU38" s="52" t="str">
        <f t="shared" si="32"/>
        <v/>
      </c>
      <c r="AV38" s="46" t="str">
        <f>IF(M38="","",Assy.Model!W63-W38)</f>
        <v/>
      </c>
      <c r="AW38" s="47" t="str">
        <f>IF(M38="","",Assy.Model!X63-X38)</f>
        <v/>
      </c>
      <c r="AX38" s="58" t="str">
        <f>IF(M38="","",Assy.Model!Y63-Y38)</f>
        <v/>
      </c>
      <c r="AY38" s="318" t="str">
        <f>IF(M38="","",Assy.Model!AN63-AN38)</f>
        <v/>
      </c>
      <c r="AZ38" s="48" t="str">
        <f>IF(M38="","",Assy.Model!AO63-AO38)</f>
        <v/>
      </c>
      <c r="BA38" s="324" t="str">
        <f>IF(M38="","",Assy.Model!AP63-AP38)</f>
        <v/>
      </c>
      <c r="BB38" s="290" t="str">
        <f>IF(M38="","",SQRT((Assy.Model!T38-T38)^2+(Assy.Model!U38-U38)^2+(Assy.Model!V38-V38)^2))</f>
        <v/>
      </c>
    </row>
    <row r="39" spans="2:70" x14ac:dyDescent="0.25">
      <c r="B39" s="143"/>
      <c r="C39" s="144"/>
      <c r="D39" s="145"/>
      <c r="E39" s="146"/>
      <c r="F39" s="144"/>
      <c r="G39" s="147"/>
      <c r="H39" s="146"/>
      <c r="I39" s="148"/>
      <c r="J39" s="310"/>
      <c r="K39" s="303"/>
      <c r="M39" s="5" t="str">
        <f t="shared" si="1"/>
        <v/>
      </c>
      <c r="N39" s="24" t="str">
        <f t="shared" si="2"/>
        <v/>
      </c>
      <c r="O39" s="7" t="str">
        <f t="shared" si="3"/>
        <v/>
      </c>
      <c r="P39" s="12" t="str">
        <f t="shared" si="4"/>
        <v/>
      </c>
      <c r="Q39" s="11" t="str">
        <f t="shared" si="30"/>
        <v/>
      </c>
      <c r="R39" s="7" t="str">
        <f t="shared" si="5"/>
        <v/>
      </c>
      <c r="S39" s="8" t="str">
        <f t="shared" si="6"/>
        <v/>
      </c>
      <c r="T39" s="6" t="str">
        <f t="shared" si="7"/>
        <v/>
      </c>
      <c r="U39" s="7" t="str">
        <f t="shared" si="8"/>
        <v/>
      </c>
      <c r="V39" s="10" t="str">
        <f t="shared" si="9"/>
        <v/>
      </c>
      <c r="W39" s="11" t="str">
        <f t="shared" si="10"/>
        <v/>
      </c>
      <c r="X39" s="7" t="str">
        <f t="shared" si="11"/>
        <v/>
      </c>
      <c r="Y39" s="9" t="str">
        <f t="shared" si="31"/>
        <v/>
      </c>
      <c r="Z39" s="24" t="str">
        <f t="shared" si="12"/>
        <v/>
      </c>
      <c r="AA39" s="7" t="str">
        <f t="shared" si="13"/>
        <v/>
      </c>
      <c r="AB39" s="7" t="str">
        <f t="shared" si="14"/>
        <v/>
      </c>
      <c r="AC39" s="10" t="str">
        <f t="shared" si="15"/>
        <v/>
      </c>
      <c r="AD39" s="11" t="str">
        <f t="shared" si="16"/>
        <v/>
      </c>
      <c r="AE39" s="7" t="str">
        <f t="shared" si="17"/>
        <v/>
      </c>
      <c r="AF39" s="12" t="str">
        <f t="shared" si="18"/>
        <v/>
      </c>
      <c r="AG39" s="6" t="str">
        <f t="shared" si="19"/>
        <v/>
      </c>
      <c r="AH39" s="12" t="str">
        <f t="shared" si="20"/>
        <v/>
      </c>
      <c r="AI39" s="11" t="str">
        <f t="shared" si="21"/>
        <v/>
      </c>
      <c r="AJ39" s="8" t="str">
        <f t="shared" si="22"/>
        <v/>
      </c>
      <c r="AK39" s="6" t="str">
        <f t="shared" si="23"/>
        <v/>
      </c>
      <c r="AL39" s="7" t="str">
        <f t="shared" si="24"/>
        <v/>
      </c>
      <c r="AM39" s="8" t="str">
        <f t="shared" si="25"/>
        <v/>
      </c>
      <c r="AN39" s="6" t="str">
        <f t="shared" si="26"/>
        <v/>
      </c>
      <c r="AO39" s="10" t="str">
        <f t="shared" si="27"/>
        <v/>
      </c>
      <c r="AP39" s="13" t="str">
        <f t="shared" si="28"/>
        <v/>
      </c>
      <c r="AR39" s="123" t="str">
        <f t="shared" si="29"/>
        <v/>
      </c>
      <c r="AS39" s="124" t="str">
        <f t="shared" si="0"/>
        <v/>
      </c>
      <c r="AU39" s="52" t="str">
        <f t="shared" si="32"/>
        <v/>
      </c>
      <c r="AV39" s="46" t="str">
        <f>IF(M39="","",Assy.Model!W64-W39)</f>
        <v/>
      </c>
      <c r="AW39" s="47" t="str">
        <f>IF(M39="","",Assy.Model!X64-X39)</f>
        <v/>
      </c>
      <c r="AX39" s="58" t="str">
        <f>IF(M39="","",Assy.Model!Y64-Y39)</f>
        <v/>
      </c>
      <c r="AY39" s="318" t="str">
        <f>IF(M39="","",Assy.Model!AN64-AN39)</f>
        <v/>
      </c>
      <c r="AZ39" s="48" t="str">
        <f>IF(M39="","",Assy.Model!AO64-AO39)</f>
        <v/>
      </c>
      <c r="BA39" s="324" t="str">
        <f>IF(M39="","",Assy.Model!AP64-AP39)</f>
        <v/>
      </c>
      <c r="BB39" s="290" t="str">
        <f>IF(M39="","",SQRT((Assy.Model!T39-T39)^2+(Assy.Model!U39-U39)^2+(Assy.Model!V39-V39)^2))</f>
        <v/>
      </c>
    </row>
    <row r="40" spans="2:70" x14ac:dyDescent="0.25">
      <c r="B40" s="143"/>
      <c r="C40" s="144"/>
      <c r="D40" s="145"/>
      <c r="E40" s="146"/>
      <c r="F40" s="144"/>
      <c r="G40" s="147"/>
      <c r="H40" s="146"/>
      <c r="I40" s="148"/>
      <c r="J40" s="310"/>
      <c r="K40" s="303"/>
      <c r="M40" s="5" t="str">
        <f t="shared" si="1"/>
        <v/>
      </c>
      <c r="N40" s="24" t="str">
        <f t="shared" si="2"/>
        <v/>
      </c>
      <c r="O40" s="7" t="str">
        <f t="shared" si="3"/>
        <v/>
      </c>
      <c r="P40" s="12" t="str">
        <f t="shared" si="4"/>
        <v/>
      </c>
      <c r="Q40" s="11" t="str">
        <f t="shared" si="30"/>
        <v/>
      </c>
      <c r="R40" s="7" t="str">
        <f t="shared" si="5"/>
        <v/>
      </c>
      <c r="S40" s="8" t="str">
        <f t="shared" si="6"/>
        <v/>
      </c>
      <c r="T40" s="6" t="str">
        <f t="shared" si="7"/>
        <v/>
      </c>
      <c r="U40" s="7" t="str">
        <f t="shared" si="8"/>
        <v/>
      </c>
      <c r="V40" s="10" t="str">
        <f t="shared" si="9"/>
        <v/>
      </c>
      <c r="W40" s="11" t="str">
        <f t="shared" si="10"/>
        <v/>
      </c>
      <c r="X40" s="7" t="str">
        <f t="shared" si="11"/>
        <v/>
      </c>
      <c r="Y40" s="9" t="str">
        <f t="shared" si="31"/>
        <v/>
      </c>
      <c r="Z40" s="24" t="str">
        <f t="shared" si="12"/>
        <v/>
      </c>
      <c r="AA40" s="7" t="str">
        <f t="shared" si="13"/>
        <v/>
      </c>
      <c r="AB40" s="7" t="str">
        <f t="shared" si="14"/>
        <v/>
      </c>
      <c r="AC40" s="10" t="str">
        <f t="shared" si="15"/>
        <v/>
      </c>
      <c r="AD40" s="11" t="str">
        <f t="shared" si="16"/>
        <v/>
      </c>
      <c r="AE40" s="7" t="str">
        <f t="shared" si="17"/>
        <v/>
      </c>
      <c r="AF40" s="12" t="str">
        <f t="shared" si="18"/>
        <v/>
      </c>
      <c r="AG40" s="6" t="str">
        <f t="shared" si="19"/>
        <v/>
      </c>
      <c r="AH40" s="12" t="str">
        <f t="shared" si="20"/>
        <v/>
      </c>
      <c r="AI40" s="11" t="str">
        <f t="shared" si="21"/>
        <v/>
      </c>
      <c r="AJ40" s="8" t="str">
        <f t="shared" si="22"/>
        <v/>
      </c>
      <c r="AK40" s="6" t="str">
        <f t="shared" si="23"/>
        <v/>
      </c>
      <c r="AL40" s="7" t="str">
        <f t="shared" si="24"/>
        <v/>
      </c>
      <c r="AM40" s="8" t="str">
        <f t="shared" si="25"/>
        <v/>
      </c>
      <c r="AN40" s="6" t="str">
        <f t="shared" si="26"/>
        <v/>
      </c>
      <c r="AO40" s="10" t="str">
        <f t="shared" si="27"/>
        <v/>
      </c>
      <c r="AP40" s="13" t="str">
        <f t="shared" si="28"/>
        <v/>
      </c>
      <c r="AR40" s="123" t="str">
        <f t="shared" si="29"/>
        <v/>
      </c>
      <c r="AS40" s="124" t="str">
        <f t="shared" si="0"/>
        <v/>
      </c>
      <c r="AU40" s="52" t="str">
        <f t="shared" si="32"/>
        <v/>
      </c>
      <c r="AV40" s="46" t="str">
        <f>IF(M40="","",Assy.Model!W65-W40)</f>
        <v/>
      </c>
      <c r="AW40" s="47" t="str">
        <f>IF(M40="","",Assy.Model!X65-X40)</f>
        <v/>
      </c>
      <c r="AX40" s="58" t="str">
        <f>IF(M40="","",Assy.Model!Y65-Y40)</f>
        <v/>
      </c>
      <c r="AY40" s="318" t="str">
        <f>IF(M40="","",Assy.Model!AN65-AN40)</f>
        <v/>
      </c>
      <c r="AZ40" s="48" t="str">
        <f>IF(M40="","",Assy.Model!AO65-AO40)</f>
        <v/>
      </c>
      <c r="BA40" s="324" t="str">
        <f>IF(M40="","",Assy.Model!AP65-AP40)</f>
        <v/>
      </c>
      <c r="BB40" s="290" t="str">
        <f>IF(M40="","",SQRT((Assy.Model!T40-T40)^2+(Assy.Model!U40-U40)^2+(Assy.Model!V40-V40)^2))</f>
        <v/>
      </c>
    </row>
    <row r="41" spans="2:70" x14ac:dyDescent="0.25">
      <c r="B41" s="143"/>
      <c r="C41" s="144"/>
      <c r="D41" s="145"/>
      <c r="E41" s="146"/>
      <c r="F41" s="144"/>
      <c r="G41" s="147"/>
      <c r="H41" s="146"/>
      <c r="I41" s="148"/>
      <c r="J41" s="310"/>
      <c r="K41" s="303"/>
      <c r="M41" s="5" t="str">
        <f t="shared" si="1"/>
        <v/>
      </c>
      <c r="N41" s="24" t="str">
        <f t="shared" si="2"/>
        <v/>
      </c>
      <c r="O41" s="7" t="str">
        <f t="shared" si="3"/>
        <v/>
      </c>
      <c r="P41" s="12" t="str">
        <f t="shared" si="4"/>
        <v/>
      </c>
      <c r="Q41" s="11" t="str">
        <f t="shared" si="30"/>
        <v/>
      </c>
      <c r="R41" s="7" t="str">
        <f t="shared" si="5"/>
        <v/>
      </c>
      <c r="S41" s="8" t="str">
        <f t="shared" si="6"/>
        <v/>
      </c>
      <c r="T41" s="6" t="str">
        <f t="shared" si="7"/>
        <v/>
      </c>
      <c r="U41" s="7" t="str">
        <f t="shared" si="8"/>
        <v/>
      </c>
      <c r="V41" s="10" t="str">
        <f t="shared" si="9"/>
        <v/>
      </c>
      <c r="W41" s="11" t="str">
        <f t="shared" si="10"/>
        <v/>
      </c>
      <c r="X41" s="7" t="str">
        <f t="shared" si="11"/>
        <v/>
      </c>
      <c r="Y41" s="9" t="str">
        <f t="shared" si="31"/>
        <v/>
      </c>
      <c r="Z41" s="24" t="str">
        <f t="shared" si="12"/>
        <v/>
      </c>
      <c r="AA41" s="7" t="str">
        <f t="shared" si="13"/>
        <v/>
      </c>
      <c r="AB41" s="7" t="str">
        <f t="shared" si="14"/>
        <v/>
      </c>
      <c r="AC41" s="10" t="str">
        <f t="shared" si="15"/>
        <v/>
      </c>
      <c r="AD41" s="11" t="str">
        <f t="shared" si="16"/>
        <v/>
      </c>
      <c r="AE41" s="7" t="str">
        <f t="shared" si="17"/>
        <v/>
      </c>
      <c r="AF41" s="12" t="str">
        <f t="shared" si="18"/>
        <v/>
      </c>
      <c r="AG41" s="6" t="str">
        <f t="shared" si="19"/>
        <v/>
      </c>
      <c r="AH41" s="12" t="str">
        <f t="shared" si="20"/>
        <v/>
      </c>
      <c r="AI41" s="11" t="str">
        <f t="shared" si="21"/>
        <v/>
      </c>
      <c r="AJ41" s="8" t="str">
        <f t="shared" si="22"/>
        <v/>
      </c>
      <c r="AK41" s="6" t="str">
        <f t="shared" si="23"/>
        <v/>
      </c>
      <c r="AL41" s="7" t="str">
        <f t="shared" si="24"/>
        <v/>
      </c>
      <c r="AM41" s="8" t="str">
        <f t="shared" si="25"/>
        <v/>
      </c>
      <c r="AN41" s="6" t="str">
        <f t="shared" si="26"/>
        <v/>
      </c>
      <c r="AO41" s="10" t="str">
        <f t="shared" si="27"/>
        <v/>
      </c>
      <c r="AP41" s="13" t="str">
        <f t="shared" si="28"/>
        <v/>
      </c>
      <c r="AR41" s="123" t="str">
        <f>IF(M41="","",IF(W41&lt;=LARGE($W$9:$W$18,1),W41,W41-360))</f>
        <v/>
      </c>
      <c r="AS41" s="124" t="str">
        <f t="shared" si="0"/>
        <v/>
      </c>
      <c r="AU41" s="52" t="str">
        <f t="shared" si="32"/>
        <v/>
      </c>
      <c r="AV41" s="46" t="str">
        <f>IF(M41="","",Assy.Model!W66-W41)</f>
        <v/>
      </c>
      <c r="AW41" s="47" t="str">
        <f>IF(M41="","",Assy.Model!X66-X41)</f>
        <v/>
      </c>
      <c r="AX41" s="58" t="str">
        <f>IF(M41="","",Assy.Model!Y66-Y41)</f>
        <v/>
      </c>
      <c r="AY41" s="318" t="str">
        <f>IF(M41="","",Assy.Model!AN66-AN41)</f>
        <v/>
      </c>
      <c r="AZ41" s="48" t="str">
        <f>IF(M41="","",Assy.Model!AO66-AO41)</f>
        <v/>
      </c>
      <c r="BA41" s="324" t="str">
        <f>IF(M41="","",Assy.Model!AP66-AP41)</f>
        <v/>
      </c>
      <c r="BB41" s="290" t="str">
        <f>IF(M41="","",SQRT((Assy.Model!T41-T41)^2+(Assy.Model!U41-U41)^2+(Assy.Model!V41-V41)^2))</f>
        <v/>
      </c>
    </row>
    <row r="42" spans="2:70" x14ac:dyDescent="0.25">
      <c r="B42" s="143"/>
      <c r="C42" s="144"/>
      <c r="D42" s="145"/>
      <c r="E42" s="146"/>
      <c r="F42" s="144"/>
      <c r="G42" s="147"/>
      <c r="H42" s="146"/>
      <c r="I42" s="148"/>
      <c r="J42" s="310"/>
      <c r="K42" s="303"/>
      <c r="M42" s="5" t="str">
        <f t="shared" si="1"/>
        <v/>
      </c>
      <c r="N42" s="24" t="str">
        <f t="shared" si="2"/>
        <v/>
      </c>
      <c r="O42" s="7" t="str">
        <f t="shared" si="3"/>
        <v/>
      </c>
      <c r="P42" s="12" t="str">
        <f t="shared" si="4"/>
        <v/>
      </c>
      <c r="Q42" s="11" t="str">
        <f t="shared" si="30"/>
        <v/>
      </c>
      <c r="R42" s="7" t="str">
        <f t="shared" si="5"/>
        <v/>
      </c>
      <c r="S42" s="8" t="str">
        <f t="shared" si="6"/>
        <v/>
      </c>
      <c r="T42" s="6" t="str">
        <f t="shared" si="7"/>
        <v/>
      </c>
      <c r="U42" s="7" t="str">
        <f t="shared" si="8"/>
        <v/>
      </c>
      <c r="V42" s="10" t="str">
        <f t="shared" si="9"/>
        <v/>
      </c>
      <c r="W42" s="11" t="str">
        <f t="shared" si="10"/>
        <v/>
      </c>
      <c r="X42" s="7" t="str">
        <f t="shared" si="11"/>
        <v/>
      </c>
      <c r="Y42" s="9" t="str">
        <f t="shared" si="31"/>
        <v/>
      </c>
      <c r="Z42" s="24" t="str">
        <f t="shared" si="12"/>
        <v/>
      </c>
      <c r="AA42" s="7" t="str">
        <f t="shared" si="13"/>
        <v/>
      </c>
      <c r="AB42" s="7" t="str">
        <f t="shared" si="14"/>
        <v/>
      </c>
      <c r="AC42" s="10" t="str">
        <f t="shared" si="15"/>
        <v/>
      </c>
      <c r="AD42" s="11" t="str">
        <f t="shared" si="16"/>
        <v/>
      </c>
      <c r="AE42" s="7" t="str">
        <f t="shared" si="17"/>
        <v/>
      </c>
      <c r="AF42" s="12" t="str">
        <f t="shared" si="18"/>
        <v/>
      </c>
      <c r="AG42" s="6" t="str">
        <f t="shared" si="19"/>
        <v/>
      </c>
      <c r="AH42" s="12" t="str">
        <f t="shared" si="20"/>
        <v/>
      </c>
      <c r="AI42" s="11" t="str">
        <f t="shared" si="21"/>
        <v/>
      </c>
      <c r="AJ42" s="8" t="str">
        <f t="shared" si="22"/>
        <v/>
      </c>
      <c r="AK42" s="6" t="str">
        <f t="shared" si="23"/>
        <v/>
      </c>
      <c r="AL42" s="7" t="str">
        <f t="shared" si="24"/>
        <v/>
      </c>
      <c r="AM42" s="8" t="str">
        <f t="shared" si="25"/>
        <v/>
      </c>
      <c r="AN42" s="6" t="str">
        <f t="shared" si="26"/>
        <v/>
      </c>
      <c r="AO42" s="10" t="str">
        <f t="shared" si="27"/>
        <v/>
      </c>
      <c r="AP42" s="13" t="str">
        <f t="shared" si="28"/>
        <v/>
      </c>
      <c r="AR42" s="123" t="str">
        <f t="shared" si="29"/>
        <v/>
      </c>
      <c r="AS42" s="124" t="str">
        <f t="shared" si="0"/>
        <v/>
      </c>
      <c r="AU42" s="52" t="str">
        <f t="shared" si="32"/>
        <v/>
      </c>
      <c r="AV42" s="46" t="str">
        <f>IF(M42="","",Assy.Model!W69-W42)</f>
        <v/>
      </c>
      <c r="AW42" s="47" t="str">
        <f>IF(M42="","",Assy.Model!X69-X42)</f>
        <v/>
      </c>
      <c r="AX42" s="58" t="str">
        <f>IF(M42="","",Assy.Model!Y69-Y42)</f>
        <v/>
      </c>
      <c r="AY42" s="318" t="str">
        <f>IF(M42="","",Assy.Model!AN69-AN42)</f>
        <v/>
      </c>
      <c r="AZ42" s="48" t="str">
        <f>IF(M42="","",Assy.Model!AO69-AO42)</f>
        <v/>
      </c>
      <c r="BA42" s="324" t="str">
        <f>IF(M42="","",Assy.Model!AP69-AP42)</f>
        <v/>
      </c>
      <c r="BB42" s="290" t="str">
        <f>IF(M42="","",SQRT((Assy.Model!T42-T42)^2+(Assy.Model!U42-U42)^2+(Assy.Model!V42-V42)^2))</f>
        <v/>
      </c>
    </row>
    <row r="43" spans="2:70" x14ac:dyDescent="0.25">
      <c r="B43" s="143"/>
      <c r="C43" s="144"/>
      <c r="D43" s="145"/>
      <c r="E43" s="146"/>
      <c r="F43" s="144"/>
      <c r="G43" s="147"/>
      <c r="H43" s="146"/>
      <c r="I43" s="148"/>
      <c r="J43" s="310"/>
      <c r="K43" s="303"/>
      <c r="M43" s="5" t="str">
        <f t="shared" si="1"/>
        <v/>
      </c>
      <c r="N43" s="24" t="str">
        <f t="shared" si="2"/>
        <v/>
      </c>
      <c r="O43" s="7" t="str">
        <f t="shared" si="3"/>
        <v/>
      </c>
      <c r="P43" s="12" t="str">
        <f t="shared" si="4"/>
        <v/>
      </c>
      <c r="Q43" s="11" t="str">
        <f t="shared" si="30"/>
        <v/>
      </c>
      <c r="R43" s="7" t="str">
        <f t="shared" si="5"/>
        <v/>
      </c>
      <c r="S43" s="8" t="str">
        <f t="shared" si="6"/>
        <v/>
      </c>
      <c r="T43" s="6" t="str">
        <f t="shared" si="7"/>
        <v/>
      </c>
      <c r="U43" s="7" t="str">
        <f t="shared" si="8"/>
        <v/>
      </c>
      <c r="V43" s="10" t="str">
        <f t="shared" si="9"/>
        <v/>
      </c>
      <c r="W43" s="11" t="str">
        <f t="shared" si="10"/>
        <v/>
      </c>
      <c r="X43" s="7" t="str">
        <f t="shared" si="11"/>
        <v/>
      </c>
      <c r="Y43" s="9" t="str">
        <f t="shared" si="31"/>
        <v/>
      </c>
      <c r="Z43" s="24" t="str">
        <f t="shared" si="12"/>
        <v/>
      </c>
      <c r="AA43" s="7" t="str">
        <f t="shared" si="13"/>
        <v/>
      </c>
      <c r="AB43" s="7" t="str">
        <f t="shared" si="14"/>
        <v/>
      </c>
      <c r="AC43" s="10" t="str">
        <f t="shared" si="15"/>
        <v/>
      </c>
      <c r="AD43" s="11" t="str">
        <f t="shared" si="16"/>
        <v/>
      </c>
      <c r="AE43" s="7" t="str">
        <f t="shared" si="17"/>
        <v/>
      </c>
      <c r="AF43" s="12" t="str">
        <f t="shared" si="18"/>
        <v/>
      </c>
      <c r="AG43" s="6" t="str">
        <f t="shared" si="19"/>
        <v/>
      </c>
      <c r="AH43" s="12" t="str">
        <f t="shared" si="20"/>
        <v/>
      </c>
      <c r="AI43" s="11" t="str">
        <f t="shared" si="21"/>
        <v/>
      </c>
      <c r="AJ43" s="8" t="str">
        <f t="shared" si="22"/>
        <v/>
      </c>
      <c r="AK43" s="6" t="str">
        <f t="shared" si="23"/>
        <v/>
      </c>
      <c r="AL43" s="7" t="str">
        <f t="shared" si="24"/>
        <v/>
      </c>
      <c r="AM43" s="8" t="str">
        <f t="shared" si="25"/>
        <v/>
      </c>
      <c r="AN43" s="6" t="str">
        <f t="shared" si="26"/>
        <v/>
      </c>
      <c r="AO43" s="10" t="str">
        <f t="shared" si="27"/>
        <v/>
      </c>
      <c r="AP43" s="13" t="str">
        <f t="shared" si="28"/>
        <v/>
      </c>
      <c r="AR43" s="123" t="str">
        <f t="shared" si="29"/>
        <v/>
      </c>
      <c r="AS43" s="124" t="str">
        <f t="shared" si="0"/>
        <v/>
      </c>
      <c r="AU43" s="52" t="str">
        <f t="shared" si="32"/>
        <v/>
      </c>
      <c r="AV43" s="46" t="str">
        <f>IF(M43="","",Assy.Model!W70-W43)</f>
        <v/>
      </c>
      <c r="AW43" s="47" t="str">
        <f>IF(M43="","",Assy.Model!X70-X43)</f>
        <v/>
      </c>
      <c r="AX43" s="58" t="str">
        <f>IF(M43="","",Assy.Model!Y70-Y43)</f>
        <v/>
      </c>
      <c r="AY43" s="318" t="str">
        <f>IF(M43="","",Assy.Model!AN70-AN43)</f>
        <v/>
      </c>
      <c r="AZ43" s="48" t="str">
        <f>IF(M43="","",Assy.Model!AO70-AO43)</f>
        <v/>
      </c>
      <c r="BA43" s="324" t="str">
        <f>IF(M43="","",Assy.Model!AP70-AP43)</f>
        <v/>
      </c>
      <c r="BB43" s="290" t="str">
        <f>IF(M43="","",SQRT((Assy.Model!T43-T43)^2+(Assy.Model!U43-U43)^2+(Assy.Model!V43-V43)^2))</f>
        <v/>
      </c>
    </row>
    <row r="44" spans="2:70" x14ac:dyDescent="0.25">
      <c r="B44" s="143"/>
      <c r="C44" s="144"/>
      <c r="D44" s="145"/>
      <c r="E44" s="146"/>
      <c r="F44" s="144"/>
      <c r="G44" s="147"/>
      <c r="H44" s="146"/>
      <c r="I44" s="148"/>
      <c r="J44" s="310"/>
      <c r="K44" s="303"/>
      <c r="M44" s="5" t="str">
        <f t="shared" si="1"/>
        <v/>
      </c>
      <c r="N44" s="24" t="str">
        <f t="shared" si="2"/>
        <v/>
      </c>
      <c r="O44" s="7" t="str">
        <f t="shared" si="3"/>
        <v/>
      </c>
      <c r="P44" s="12" t="str">
        <f t="shared" si="4"/>
        <v/>
      </c>
      <c r="Q44" s="11" t="str">
        <f t="shared" si="30"/>
        <v/>
      </c>
      <c r="R44" s="7" t="str">
        <f t="shared" si="5"/>
        <v/>
      </c>
      <c r="S44" s="8" t="str">
        <f t="shared" si="6"/>
        <v/>
      </c>
      <c r="T44" s="6" t="str">
        <f t="shared" si="7"/>
        <v/>
      </c>
      <c r="U44" s="7" t="str">
        <f t="shared" si="8"/>
        <v/>
      </c>
      <c r="V44" s="10" t="str">
        <f t="shared" si="9"/>
        <v/>
      </c>
      <c r="W44" s="11" t="str">
        <f t="shared" si="10"/>
        <v/>
      </c>
      <c r="X44" s="7" t="str">
        <f t="shared" si="11"/>
        <v/>
      </c>
      <c r="Y44" s="9" t="str">
        <f t="shared" si="31"/>
        <v/>
      </c>
      <c r="Z44" s="24" t="str">
        <f t="shared" si="12"/>
        <v/>
      </c>
      <c r="AA44" s="7" t="str">
        <f t="shared" si="13"/>
        <v/>
      </c>
      <c r="AB44" s="7" t="str">
        <f t="shared" si="14"/>
        <v/>
      </c>
      <c r="AC44" s="10" t="str">
        <f t="shared" si="15"/>
        <v/>
      </c>
      <c r="AD44" s="11" t="str">
        <f t="shared" si="16"/>
        <v/>
      </c>
      <c r="AE44" s="7" t="str">
        <f t="shared" si="17"/>
        <v/>
      </c>
      <c r="AF44" s="12" t="str">
        <f t="shared" si="18"/>
        <v/>
      </c>
      <c r="AG44" s="6" t="str">
        <f t="shared" si="19"/>
        <v/>
      </c>
      <c r="AH44" s="12" t="str">
        <f t="shared" si="20"/>
        <v/>
      </c>
      <c r="AI44" s="11" t="str">
        <f t="shared" si="21"/>
        <v/>
      </c>
      <c r="AJ44" s="8" t="str">
        <f t="shared" si="22"/>
        <v/>
      </c>
      <c r="AK44" s="6" t="str">
        <f t="shared" si="23"/>
        <v/>
      </c>
      <c r="AL44" s="7" t="str">
        <f t="shared" si="24"/>
        <v/>
      </c>
      <c r="AM44" s="8" t="str">
        <f t="shared" si="25"/>
        <v/>
      </c>
      <c r="AN44" s="6" t="str">
        <f t="shared" si="26"/>
        <v/>
      </c>
      <c r="AO44" s="10" t="str">
        <f t="shared" si="27"/>
        <v/>
      </c>
      <c r="AP44" s="13" t="str">
        <f t="shared" si="28"/>
        <v/>
      </c>
      <c r="AR44" s="123" t="str">
        <f t="shared" si="29"/>
        <v/>
      </c>
      <c r="AS44" s="124" t="str">
        <f t="shared" si="0"/>
        <v/>
      </c>
      <c r="AU44" s="52" t="str">
        <f t="shared" si="32"/>
        <v/>
      </c>
      <c r="AV44" s="46" t="str">
        <f>IF(M44="","",Assy.Model!W71-W44)</f>
        <v/>
      </c>
      <c r="AW44" s="47" t="str">
        <f>IF(M44="","",Assy.Model!X71-X44)</f>
        <v/>
      </c>
      <c r="AX44" s="58" t="str">
        <f>IF(M44="","",Assy.Model!Y71-Y44)</f>
        <v/>
      </c>
      <c r="AY44" s="318" t="str">
        <f>IF(M44="","",Assy.Model!AN71-AN44)</f>
        <v/>
      </c>
      <c r="AZ44" s="48" t="str">
        <f>IF(M44="","",Assy.Model!AO71-AO44)</f>
        <v/>
      </c>
      <c r="BA44" s="324" t="str">
        <f>IF(M44="","",Assy.Model!AP71-AP44)</f>
        <v/>
      </c>
      <c r="BB44" s="290" t="str">
        <f>IF(M44="","",SQRT((Assy.Model!T44-T44)^2+(Assy.Model!U44-U44)^2+(Assy.Model!V44-V44)^2))</f>
        <v/>
      </c>
    </row>
    <row r="45" spans="2:70" x14ac:dyDescent="0.25">
      <c r="B45" s="143"/>
      <c r="C45" s="144"/>
      <c r="D45" s="145"/>
      <c r="E45" s="146"/>
      <c r="F45" s="144"/>
      <c r="G45" s="147"/>
      <c r="H45" s="146"/>
      <c r="I45" s="148"/>
      <c r="J45" s="310"/>
      <c r="K45" s="303"/>
      <c r="M45" s="5" t="str">
        <f t="shared" si="1"/>
        <v/>
      </c>
      <c r="N45" s="24" t="str">
        <f t="shared" si="2"/>
        <v/>
      </c>
      <c r="O45" s="7" t="str">
        <f t="shared" si="3"/>
        <v/>
      </c>
      <c r="P45" s="12" t="str">
        <f t="shared" si="4"/>
        <v/>
      </c>
      <c r="Q45" s="11" t="str">
        <f t="shared" si="30"/>
        <v/>
      </c>
      <c r="R45" s="7" t="str">
        <f t="shared" si="5"/>
        <v/>
      </c>
      <c r="S45" s="8" t="str">
        <f t="shared" si="6"/>
        <v/>
      </c>
      <c r="T45" s="6" t="str">
        <f t="shared" si="7"/>
        <v/>
      </c>
      <c r="U45" s="7" t="str">
        <f t="shared" si="8"/>
        <v/>
      </c>
      <c r="V45" s="10" t="str">
        <f t="shared" si="9"/>
        <v/>
      </c>
      <c r="W45" s="11" t="str">
        <f t="shared" si="10"/>
        <v/>
      </c>
      <c r="X45" s="7" t="str">
        <f t="shared" si="11"/>
        <v/>
      </c>
      <c r="Y45" s="9" t="str">
        <f t="shared" si="31"/>
        <v/>
      </c>
      <c r="Z45" s="24" t="str">
        <f t="shared" si="12"/>
        <v/>
      </c>
      <c r="AA45" s="7" t="str">
        <f t="shared" si="13"/>
        <v/>
      </c>
      <c r="AB45" s="7" t="str">
        <f t="shared" si="14"/>
        <v/>
      </c>
      <c r="AC45" s="10" t="str">
        <f t="shared" si="15"/>
        <v/>
      </c>
      <c r="AD45" s="11" t="str">
        <f t="shared" si="16"/>
        <v/>
      </c>
      <c r="AE45" s="7" t="str">
        <f t="shared" si="17"/>
        <v/>
      </c>
      <c r="AF45" s="12" t="str">
        <f t="shared" si="18"/>
        <v/>
      </c>
      <c r="AG45" s="6" t="str">
        <f t="shared" si="19"/>
        <v/>
      </c>
      <c r="AH45" s="12" t="str">
        <f t="shared" si="20"/>
        <v/>
      </c>
      <c r="AI45" s="11" t="str">
        <f t="shared" si="21"/>
        <v/>
      </c>
      <c r="AJ45" s="8" t="str">
        <f t="shared" si="22"/>
        <v/>
      </c>
      <c r="AK45" s="6" t="str">
        <f t="shared" si="23"/>
        <v/>
      </c>
      <c r="AL45" s="7" t="str">
        <f t="shared" si="24"/>
        <v/>
      </c>
      <c r="AM45" s="8" t="str">
        <f t="shared" si="25"/>
        <v/>
      </c>
      <c r="AN45" s="6" t="str">
        <f t="shared" si="26"/>
        <v/>
      </c>
      <c r="AO45" s="10" t="str">
        <f t="shared" si="27"/>
        <v/>
      </c>
      <c r="AP45" s="13" t="str">
        <f t="shared" si="28"/>
        <v/>
      </c>
      <c r="AR45" s="123" t="str">
        <f t="shared" si="29"/>
        <v/>
      </c>
      <c r="AS45" s="124" t="str">
        <f t="shared" si="0"/>
        <v/>
      </c>
      <c r="AU45" s="52" t="str">
        <f t="shared" si="32"/>
        <v/>
      </c>
      <c r="AV45" s="46" t="str">
        <f>IF(M45="","",Assy.Model!W72-W45)</f>
        <v/>
      </c>
      <c r="AW45" s="47" t="str">
        <f>IF(M45="","",Assy.Model!X72-X45)</f>
        <v/>
      </c>
      <c r="AX45" s="58" t="str">
        <f>IF(M45="","",Assy.Model!Y72-Y45)</f>
        <v/>
      </c>
      <c r="AY45" s="318" t="str">
        <f>IF(M45="","",Assy.Model!AN72-AN45)</f>
        <v/>
      </c>
      <c r="AZ45" s="48" t="str">
        <f>IF(M45="","",Assy.Model!AO72-AO45)</f>
        <v/>
      </c>
      <c r="BA45" s="324" t="str">
        <f>IF(M45="","",Assy.Model!AP72-AP45)</f>
        <v/>
      </c>
      <c r="BB45" s="290" t="str">
        <f>IF(M45="","",SQRT((Assy.Model!T45-T45)^2+(Assy.Model!U45-U45)^2+(Assy.Model!V45-V45)^2))</f>
        <v/>
      </c>
    </row>
    <row r="46" spans="2:70" x14ac:dyDescent="0.25">
      <c r="B46" s="143"/>
      <c r="C46" s="144"/>
      <c r="D46" s="145"/>
      <c r="E46" s="146"/>
      <c r="F46" s="144"/>
      <c r="G46" s="147"/>
      <c r="H46" s="146"/>
      <c r="I46" s="148"/>
      <c r="J46" s="310"/>
      <c r="K46" s="303"/>
      <c r="M46" s="5" t="str">
        <f t="shared" si="1"/>
        <v/>
      </c>
      <c r="N46" s="24" t="str">
        <f t="shared" si="2"/>
        <v/>
      </c>
      <c r="O46" s="7" t="str">
        <f t="shared" si="3"/>
        <v/>
      </c>
      <c r="P46" s="12" t="str">
        <f t="shared" si="4"/>
        <v/>
      </c>
      <c r="Q46" s="11" t="str">
        <f t="shared" si="30"/>
        <v/>
      </c>
      <c r="R46" s="7" t="str">
        <f t="shared" si="5"/>
        <v/>
      </c>
      <c r="S46" s="8" t="str">
        <f t="shared" si="6"/>
        <v/>
      </c>
      <c r="T46" s="6" t="str">
        <f t="shared" si="7"/>
        <v/>
      </c>
      <c r="U46" s="7" t="str">
        <f t="shared" si="8"/>
        <v/>
      </c>
      <c r="V46" s="10" t="str">
        <f t="shared" si="9"/>
        <v/>
      </c>
      <c r="W46" s="11" t="str">
        <f t="shared" si="10"/>
        <v/>
      </c>
      <c r="X46" s="7" t="str">
        <f t="shared" si="11"/>
        <v/>
      </c>
      <c r="Y46" s="9" t="str">
        <f t="shared" si="31"/>
        <v/>
      </c>
      <c r="Z46" s="24" t="str">
        <f t="shared" si="12"/>
        <v/>
      </c>
      <c r="AA46" s="7" t="str">
        <f t="shared" si="13"/>
        <v/>
      </c>
      <c r="AB46" s="7" t="str">
        <f t="shared" si="14"/>
        <v/>
      </c>
      <c r="AC46" s="10" t="str">
        <f t="shared" si="15"/>
        <v/>
      </c>
      <c r="AD46" s="11" t="str">
        <f t="shared" si="16"/>
        <v/>
      </c>
      <c r="AE46" s="7" t="str">
        <f t="shared" si="17"/>
        <v/>
      </c>
      <c r="AF46" s="12" t="str">
        <f t="shared" si="18"/>
        <v/>
      </c>
      <c r="AG46" s="6" t="str">
        <f t="shared" si="19"/>
        <v/>
      </c>
      <c r="AH46" s="12" t="str">
        <f t="shared" si="20"/>
        <v/>
      </c>
      <c r="AI46" s="11" t="str">
        <f t="shared" si="21"/>
        <v/>
      </c>
      <c r="AJ46" s="8" t="str">
        <f t="shared" si="22"/>
        <v/>
      </c>
      <c r="AK46" s="6" t="str">
        <f t="shared" si="23"/>
        <v/>
      </c>
      <c r="AL46" s="7" t="str">
        <f t="shared" si="24"/>
        <v/>
      </c>
      <c r="AM46" s="8" t="str">
        <f t="shared" si="25"/>
        <v/>
      </c>
      <c r="AN46" s="6" t="str">
        <f t="shared" si="26"/>
        <v/>
      </c>
      <c r="AO46" s="10" t="str">
        <f t="shared" si="27"/>
        <v/>
      </c>
      <c r="AP46" s="13" t="str">
        <f t="shared" si="28"/>
        <v/>
      </c>
      <c r="AR46" s="123" t="str">
        <f t="shared" si="29"/>
        <v/>
      </c>
      <c r="AS46" s="124" t="str">
        <f t="shared" si="0"/>
        <v/>
      </c>
      <c r="AU46" s="52" t="str">
        <f t="shared" si="32"/>
        <v/>
      </c>
      <c r="AV46" s="46" t="str">
        <f>IF(M46="","",Assy.Model!W76-W46)</f>
        <v/>
      </c>
      <c r="AW46" s="47" t="str">
        <f>IF(M46="","",Assy.Model!X76-X46)</f>
        <v/>
      </c>
      <c r="AX46" s="58" t="str">
        <f>IF(M46="","",Assy.Model!Y76-Y46)</f>
        <v/>
      </c>
      <c r="AY46" s="318" t="str">
        <f>IF(M46="","",Assy.Model!AN76-AN46)</f>
        <v/>
      </c>
      <c r="AZ46" s="48" t="str">
        <f>IF(M46="","",Assy.Model!AO76-AO46)</f>
        <v/>
      </c>
      <c r="BA46" s="324" t="str">
        <f>IF(M46="","",Assy.Model!AP76-AP46)</f>
        <v/>
      </c>
      <c r="BB46" s="290" t="str">
        <f>IF(M46="","",SQRT((Assy.Model!T46-T46)^2+(Assy.Model!U46-U46)^2+(Assy.Model!V46-V46)^2))</f>
        <v/>
      </c>
    </row>
    <row r="47" spans="2:70" x14ac:dyDescent="0.25">
      <c r="B47" s="143"/>
      <c r="C47" s="144"/>
      <c r="D47" s="145"/>
      <c r="E47" s="146"/>
      <c r="F47" s="144"/>
      <c r="G47" s="147"/>
      <c r="H47" s="146"/>
      <c r="I47" s="148"/>
      <c r="J47" s="310"/>
      <c r="K47" s="303"/>
      <c r="M47" s="5" t="str">
        <f t="shared" si="1"/>
        <v/>
      </c>
      <c r="N47" s="24" t="str">
        <f t="shared" si="2"/>
        <v/>
      </c>
      <c r="O47" s="7" t="str">
        <f t="shared" si="3"/>
        <v/>
      </c>
      <c r="P47" s="12" t="str">
        <f t="shared" si="4"/>
        <v/>
      </c>
      <c r="Q47" s="11" t="str">
        <f t="shared" si="30"/>
        <v/>
      </c>
      <c r="R47" s="7" t="str">
        <f t="shared" si="5"/>
        <v/>
      </c>
      <c r="S47" s="8" t="str">
        <f t="shared" si="6"/>
        <v/>
      </c>
      <c r="T47" s="6" t="str">
        <f t="shared" si="7"/>
        <v/>
      </c>
      <c r="U47" s="7" t="str">
        <f t="shared" si="8"/>
        <v/>
      </c>
      <c r="V47" s="10" t="str">
        <f t="shared" si="9"/>
        <v/>
      </c>
      <c r="W47" s="11" t="str">
        <f t="shared" si="10"/>
        <v/>
      </c>
      <c r="X47" s="7" t="str">
        <f t="shared" si="11"/>
        <v/>
      </c>
      <c r="Y47" s="9" t="str">
        <f t="shared" si="31"/>
        <v/>
      </c>
      <c r="Z47" s="24" t="str">
        <f t="shared" si="12"/>
        <v/>
      </c>
      <c r="AA47" s="7" t="str">
        <f t="shared" si="13"/>
        <v/>
      </c>
      <c r="AB47" s="7" t="str">
        <f t="shared" si="14"/>
        <v/>
      </c>
      <c r="AC47" s="10" t="str">
        <f t="shared" si="15"/>
        <v/>
      </c>
      <c r="AD47" s="11" t="str">
        <f t="shared" si="16"/>
        <v/>
      </c>
      <c r="AE47" s="7" t="str">
        <f t="shared" si="17"/>
        <v/>
      </c>
      <c r="AF47" s="12" t="str">
        <f t="shared" si="18"/>
        <v/>
      </c>
      <c r="AG47" s="6" t="str">
        <f t="shared" si="19"/>
        <v/>
      </c>
      <c r="AH47" s="12" t="str">
        <f t="shared" si="20"/>
        <v/>
      </c>
      <c r="AI47" s="11" t="str">
        <f t="shared" si="21"/>
        <v/>
      </c>
      <c r="AJ47" s="8" t="str">
        <f t="shared" si="22"/>
        <v/>
      </c>
      <c r="AK47" s="6" t="str">
        <f t="shared" si="23"/>
        <v/>
      </c>
      <c r="AL47" s="7" t="str">
        <f t="shared" si="24"/>
        <v/>
      </c>
      <c r="AM47" s="8" t="str">
        <f t="shared" si="25"/>
        <v/>
      </c>
      <c r="AN47" s="6" t="str">
        <f t="shared" si="26"/>
        <v/>
      </c>
      <c r="AO47" s="10" t="str">
        <f t="shared" si="27"/>
        <v/>
      </c>
      <c r="AP47" s="13" t="str">
        <f t="shared" si="28"/>
        <v/>
      </c>
      <c r="AR47" s="123" t="str">
        <f t="shared" si="29"/>
        <v/>
      </c>
      <c r="AS47" s="124" t="str">
        <f t="shared" si="0"/>
        <v/>
      </c>
      <c r="AU47" s="52" t="str">
        <f t="shared" si="32"/>
        <v/>
      </c>
      <c r="AV47" s="46" t="str">
        <f>IF(M47="","",Assy.Model!W77-W47)</f>
        <v/>
      </c>
      <c r="AW47" s="47" t="str">
        <f>IF(M47="","",Assy.Model!X77-X47)</f>
        <v/>
      </c>
      <c r="AX47" s="58" t="str">
        <f>IF(M47="","",Assy.Model!Y77-Y47)</f>
        <v/>
      </c>
      <c r="AY47" s="318" t="str">
        <f>IF(M47="","",Assy.Model!AN77-AN47)</f>
        <v/>
      </c>
      <c r="AZ47" s="48" t="str">
        <f>IF(M47="","",Assy.Model!AO77-AO47)</f>
        <v/>
      </c>
      <c r="BA47" s="324" t="str">
        <f>IF(M47="","",Assy.Model!AP77-AP47)</f>
        <v/>
      </c>
      <c r="BB47" s="290" t="str">
        <f>IF(M47="","",SQRT((Assy.Model!T47-T47)^2+(Assy.Model!U47-U47)^2+(Assy.Model!V47-V47)^2))</f>
        <v/>
      </c>
    </row>
    <row r="48" spans="2:70" x14ac:dyDescent="0.25">
      <c r="B48" s="143"/>
      <c r="C48" s="144"/>
      <c r="D48" s="145"/>
      <c r="E48" s="146"/>
      <c r="F48" s="144"/>
      <c r="G48" s="147"/>
      <c r="H48" s="146"/>
      <c r="I48" s="148"/>
      <c r="J48" s="310"/>
      <c r="K48" s="303"/>
      <c r="M48" s="5" t="str">
        <f t="shared" si="1"/>
        <v/>
      </c>
      <c r="N48" s="24" t="str">
        <f t="shared" si="2"/>
        <v/>
      </c>
      <c r="O48" s="7" t="str">
        <f t="shared" si="3"/>
        <v/>
      </c>
      <c r="P48" s="12" t="str">
        <f t="shared" si="4"/>
        <v/>
      </c>
      <c r="Q48" s="11" t="str">
        <f t="shared" si="30"/>
        <v/>
      </c>
      <c r="R48" s="7" t="str">
        <f t="shared" si="5"/>
        <v/>
      </c>
      <c r="S48" s="8" t="str">
        <f t="shared" si="6"/>
        <v/>
      </c>
      <c r="T48" s="6" t="str">
        <f t="shared" si="7"/>
        <v/>
      </c>
      <c r="U48" s="7" t="str">
        <f t="shared" si="8"/>
        <v/>
      </c>
      <c r="V48" s="10" t="str">
        <f t="shared" si="9"/>
        <v/>
      </c>
      <c r="W48" s="11" t="str">
        <f t="shared" si="10"/>
        <v/>
      </c>
      <c r="X48" s="7" t="str">
        <f t="shared" si="11"/>
        <v/>
      </c>
      <c r="Y48" s="9" t="str">
        <f t="shared" si="31"/>
        <v/>
      </c>
      <c r="Z48" s="24" t="str">
        <f t="shared" si="12"/>
        <v/>
      </c>
      <c r="AA48" s="7" t="str">
        <f t="shared" si="13"/>
        <v/>
      </c>
      <c r="AB48" s="7" t="str">
        <f t="shared" si="14"/>
        <v/>
      </c>
      <c r="AC48" s="10" t="str">
        <f t="shared" si="15"/>
        <v/>
      </c>
      <c r="AD48" s="11" t="str">
        <f t="shared" si="16"/>
        <v/>
      </c>
      <c r="AE48" s="7" t="str">
        <f t="shared" si="17"/>
        <v/>
      </c>
      <c r="AF48" s="12" t="str">
        <f t="shared" si="18"/>
        <v/>
      </c>
      <c r="AG48" s="6" t="str">
        <f t="shared" si="19"/>
        <v/>
      </c>
      <c r="AH48" s="12" t="str">
        <f t="shared" si="20"/>
        <v/>
      </c>
      <c r="AI48" s="11" t="str">
        <f t="shared" si="21"/>
        <v/>
      </c>
      <c r="AJ48" s="8" t="str">
        <f t="shared" si="22"/>
        <v/>
      </c>
      <c r="AK48" s="6" t="str">
        <f t="shared" si="23"/>
        <v/>
      </c>
      <c r="AL48" s="7" t="str">
        <f t="shared" si="24"/>
        <v/>
      </c>
      <c r="AM48" s="8" t="str">
        <f t="shared" si="25"/>
        <v/>
      </c>
      <c r="AN48" s="6" t="str">
        <f t="shared" si="26"/>
        <v/>
      </c>
      <c r="AO48" s="10" t="str">
        <f t="shared" si="27"/>
        <v/>
      </c>
      <c r="AP48" s="13" t="str">
        <f t="shared" si="28"/>
        <v/>
      </c>
      <c r="AR48" s="123" t="str">
        <f t="shared" si="29"/>
        <v/>
      </c>
      <c r="AS48" s="124" t="str">
        <f t="shared" si="0"/>
        <v/>
      </c>
      <c r="AU48" s="52" t="str">
        <f t="shared" si="32"/>
        <v/>
      </c>
      <c r="AV48" s="46" t="str">
        <f>IF(M48="","",Assy.Model!#REF!-W48)</f>
        <v/>
      </c>
      <c r="AW48" s="47" t="str">
        <f>IF(M48="","",Assy.Model!#REF!-X48)</f>
        <v/>
      </c>
      <c r="AX48" s="58" t="str">
        <f>IF(M48="","",Assy.Model!#REF!-Y48)</f>
        <v/>
      </c>
      <c r="AY48" s="318" t="str">
        <f>IF(M48="","",Assy.Model!#REF!-AN48)</f>
        <v/>
      </c>
      <c r="AZ48" s="48" t="str">
        <f>IF(M48="","",Assy.Model!#REF!-AO48)</f>
        <v/>
      </c>
      <c r="BA48" s="324" t="str">
        <f>IF(M48="","",Assy.Model!#REF!-AP48)</f>
        <v/>
      </c>
      <c r="BB48" s="290" t="str">
        <f>IF(M48="","",SQRT((Assy.Model!T48-T48)^2+(Assy.Model!U48-U48)^2+(Assy.Model!V48-V48)^2))</f>
        <v/>
      </c>
    </row>
    <row r="49" spans="2:54" x14ac:dyDescent="0.25">
      <c r="B49" s="143"/>
      <c r="C49" s="144"/>
      <c r="D49" s="145"/>
      <c r="E49" s="146"/>
      <c r="F49" s="144"/>
      <c r="G49" s="147"/>
      <c r="H49" s="146"/>
      <c r="I49" s="148"/>
      <c r="J49" s="310"/>
      <c r="K49" s="303"/>
      <c r="M49" s="5" t="str">
        <f t="shared" si="1"/>
        <v/>
      </c>
      <c r="N49" s="24" t="str">
        <f t="shared" si="2"/>
        <v/>
      </c>
      <c r="O49" s="7" t="str">
        <f t="shared" si="3"/>
        <v/>
      </c>
      <c r="P49" s="12" t="str">
        <f t="shared" si="4"/>
        <v/>
      </c>
      <c r="Q49" s="11" t="str">
        <f t="shared" si="30"/>
        <v/>
      </c>
      <c r="R49" s="7" t="str">
        <f t="shared" si="5"/>
        <v/>
      </c>
      <c r="S49" s="8" t="str">
        <f t="shared" si="6"/>
        <v/>
      </c>
      <c r="T49" s="6" t="str">
        <f t="shared" si="7"/>
        <v/>
      </c>
      <c r="U49" s="7" t="str">
        <f t="shared" si="8"/>
        <v/>
      </c>
      <c r="V49" s="10" t="str">
        <f t="shared" si="9"/>
        <v/>
      </c>
      <c r="W49" s="11" t="str">
        <f t="shared" si="10"/>
        <v/>
      </c>
      <c r="X49" s="7" t="str">
        <f t="shared" si="11"/>
        <v/>
      </c>
      <c r="Y49" s="9" t="str">
        <f t="shared" si="31"/>
        <v/>
      </c>
      <c r="Z49" s="24" t="str">
        <f t="shared" si="12"/>
        <v/>
      </c>
      <c r="AA49" s="7" t="str">
        <f t="shared" si="13"/>
        <v/>
      </c>
      <c r="AB49" s="7" t="str">
        <f t="shared" si="14"/>
        <v/>
      </c>
      <c r="AC49" s="10" t="str">
        <f t="shared" si="15"/>
        <v/>
      </c>
      <c r="AD49" s="11" t="str">
        <f t="shared" si="16"/>
        <v/>
      </c>
      <c r="AE49" s="7" t="str">
        <f t="shared" si="17"/>
        <v/>
      </c>
      <c r="AF49" s="12" t="str">
        <f t="shared" si="18"/>
        <v/>
      </c>
      <c r="AG49" s="6" t="str">
        <f t="shared" si="19"/>
        <v/>
      </c>
      <c r="AH49" s="12" t="str">
        <f t="shared" si="20"/>
        <v/>
      </c>
      <c r="AI49" s="11" t="str">
        <f t="shared" si="21"/>
        <v/>
      </c>
      <c r="AJ49" s="8" t="str">
        <f t="shared" si="22"/>
        <v/>
      </c>
      <c r="AK49" s="6" t="str">
        <f t="shared" si="23"/>
        <v/>
      </c>
      <c r="AL49" s="7" t="str">
        <f t="shared" si="24"/>
        <v/>
      </c>
      <c r="AM49" s="8" t="str">
        <f t="shared" si="25"/>
        <v/>
      </c>
      <c r="AN49" s="6" t="str">
        <f t="shared" si="26"/>
        <v/>
      </c>
      <c r="AO49" s="10" t="str">
        <f t="shared" si="27"/>
        <v/>
      </c>
      <c r="AP49" s="13" t="str">
        <f t="shared" si="28"/>
        <v/>
      </c>
      <c r="AR49" s="123" t="str">
        <f t="shared" si="29"/>
        <v/>
      </c>
      <c r="AS49" s="124" t="str">
        <f t="shared" si="0"/>
        <v/>
      </c>
      <c r="AU49" s="52" t="str">
        <f t="shared" si="32"/>
        <v/>
      </c>
      <c r="AV49" s="46" t="str">
        <f>IF(M49="","",Assy.Model!W80-W49)</f>
        <v/>
      </c>
      <c r="AW49" s="47" t="str">
        <f>IF(M49="","",Assy.Model!X80-X49)</f>
        <v/>
      </c>
      <c r="AX49" s="58" t="str">
        <f>IF(M49="","",Assy.Model!Y80-Y49)</f>
        <v/>
      </c>
      <c r="AY49" s="318" t="str">
        <f>IF(M49="","",Assy.Model!AN80-AN49)</f>
        <v/>
      </c>
      <c r="AZ49" s="48" t="str">
        <f>IF(M49="","",Assy.Model!AO80-AO49)</f>
        <v/>
      </c>
      <c r="BA49" s="324" t="str">
        <f>IF(M49="","",Assy.Model!AP80-AP49)</f>
        <v/>
      </c>
      <c r="BB49" s="290" t="str">
        <f>IF(M49="","",SQRT((Assy.Model!T49-T49)^2+(Assy.Model!U49-U49)^2+(Assy.Model!V49-V49)^2))</f>
        <v/>
      </c>
    </row>
    <row r="50" spans="2:54" x14ac:dyDescent="0.25">
      <c r="B50" s="143"/>
      <c r="C50" s="144"/>
      <c r="D50" s="145"/>
      <c r="E50" s="146"/>
      <c r="F50" s="144"/>
      <c r="G50" s="147"/>
      <c r="H50" s="146"/>
      <c r="I50" s="148"/>
      <c r="J50" s="310"/>
      <c r="K50" s="303"/>
      <c r="M50" s="5" t="str">
        <f t="shared" si="1"/>
        <v/>
      </c>
      <c r="N50" s="24" t="str">
        <f t="shared" si="2"/>
        <v/>
      </c>
      <c r="O50" s="7" t="str">
        <f t="shared" si="3"/>
        <v/>
      </c>
      <c r="P50" s="12" t="str">
        <f t="shared" si="4"/>
        <v/>
      </c>
      <c r="Q50" s="11" t="str">
        <f t="shared" si="30"/>
        <v/>
      </c>
      <c r="R50" s="7" t="str">
        <f t="shared" si="5"/>
        <v/>
      </c>
      <c r="S50" s="8" t="str">
        <f t="shared" si="6"/>
        <v/>
      </c>
      <c r="T50" s="6" t="str">
        <f t="shared" si="7"/>
        <v/>
      </c>
      <c r="U50" s="7" t="str">
        <f t="shared" si="8"/>
        <v/>
      </c>
      <c r="V50" s="10" t="str">
        <f t="shared" si="9"/>
        <v/>
      </c>
      <c r="W50" s="11" t="str">
        <f t="shared" si="10"/>
        <v/>
      </c>
      <c r="X50" s="7" t="str">
        <f t="shared" si="11"/>
        <v/>
      </c>
      <c r="Y50" s="9" t="str">
        <f t="shared" si="31"/>
        <v/>
      </c>
      <c r="Z50" s="24" t="str">
        <f t="shared" si="12"/>
        <v/>
      </c>
      <c r="AA50" s="7" t="str">
        <f t="shared" si="13"/>
        <v/>
      </c>
      <c r="AB50" s="7" t="str">
        <f t="shared" si="14"/>
        <v/>
      </c>
      <c r="AC50" s="10" t="str">
        <f t="shared" si="15"/>
        <v/>
      </c>
      <c r="AD50" s="11" t="str">
        <f t="shared" si="16"/>
        <v/>
      </c>
      <c r="AE50" s="7" t="str">
        <f t="shared" si="17"/>
        <v/>
      </c>
      <c r="AF50" s="12" t="str">
        <f t="shared" si="18"/>
        <v/>
      </c>
      <c r="AG50" s="6" t="str">
        <f t="shared" si="19"/>
        <v/>
      </c>
      <c r="AH50" s="12" t="str">
        <f t="shared" si="20"/>
        <v/>
      </c>
      <c r="AI50" s="11" t="str">
        <f t="shared" si="21"/>
        <v/>
      </c>
      <c r="AJ50" s="8" t="str">
        <f t="shared" si="22"/>
        <v/>
      </c>
      <c r="AK50" s="6" t="str">
        <f t="shared" si="23"/>
        <v/>
      </c>
      <c r="AL50" s="7" t="str">
        <f t="shared" si="24"/>
        <v/>
      </c>
      <c r="AM50" s="8" t="str">
        <f t="shared" si="25"/>
        <v/>
      </c>
      <c r="AN50" s="6" t="str">
        <f t="shared" si="26"/>
        <v/>
      </c>
      <c r="AO50" s="10" t="str">
        <f t="shared" si="27"/>
        <v/>
      </c>
      <c r="AP50" s="13" t="str">
        <f t="shared" si="28"/>
        <v/>
      </c>
      <c r="AR50" s="123" t="str">
        <f t="shared" si="29"/>
        <v/>
      </c>
      <c r="AS50" s="124" t="str">
        <f t="shared" si="0"/>
        <v/>
      </c>
      <c r="AU50" s="52" t="str">
        <f t="shared" si="32"/>
        <v/>
      </c>
      <c r="AV50" s="46" t="str">
        <f>IF(M50="","",Assy.Model!W81-W50)</f>
        <v/>
      </c>
      <c r="AW50" s="47" t="str">
        <f>IF(M50="","",Assy.Model!X81-X50)</f>
        <v/>
      </c>
      <c r="AX50" s="58" t="str">
        <f>IF(M50="","",Assy.Model!Y81-Y50)</f>
        <v/>
      </c>
      <c r="AY50" s="318" t="str">
        <f>IF(M50="","",Assy.Model!AN81-AN50)</f>
        <v/>
      </c>
      <c r="AZ50" s="48" t="str">
        <f>IF(M50="","",Assy.Model!AO81-AO50)</f>
        <v/>
      </c>
      <c r="BA50" s="324" t="str">
        <f>IF(M50="","",Assy.Model!AP81-AP50)</f>
        <v/>
      </c>
      <c r="BB50" s="290" t="str">
        <f>IF(M50="","",SQRT((Assy.Model!T50-T50)^2+(Assy.Model!U50-U50)^2+(Assy.Model!V50-V50)^2))</f>
        <v/>
      </c>
    </row>
    <row r="51" spans="2:54" x14ac:dyDescent="0.25">
      <c r="B51" s="143"/>
      <c r="C51" s="144"/>
      <c r="D51" s="145"/>
      <c r="E51" s="146"/>
      <c r="F51" s="144"/>
      <c r="G51" s="147"/>
      <c r="H51" s="146"/>
      <c r="I51" s="148"/>
      <c r="J51" s="310"/>
      <c r="K51" s="303"/>
      <c r="M51" s="5" t="str">
        <f t="shared" si="1"/>
        <v/>
      </c>
      <c r="N51" s="24" t="str">
        <f t="shared" si="2"/>
        <v/>
      </c>
      <c r="O51" s="7" t="str">
        <f t="shared" si="3"/>
        <v/>
      </c>
      <c r="P51" s="12" t="str">
        <f t="shared" si="4"/>
        <v/>
      </c>
      <c r="Q51" s="11" t="str">
        <f t="shared" si="30"/>
        <v/>
      </c>
      <c r="R51" s="7" t="str">
        <f t="shared" si="5"/>
        <v/>
      </c>
      <c r="S51" s="8" t="str">
        <f t="shared" si="6"/>
        <v/>
      </c>
      <c r="T51" s="6" t="str">
        <f t="shared" si="7"/>
        <v/>
      </c>
      <c r="U51" s="7" t="str">
        <f t="shared" si="8"/>
        <v/>
      </c>
      <c r="V51" s="10" t="str">
        <f t="shared" si="9"/>
        <v/>
      </c>
      <c r="W51" s="11" t="str">
        <f t="shared" si="10"/>
        <v/>
      </c>
      <c r="X51" s="7" t="str">
        <f t="shared" si="11"/>
        <v/>
      </c>
      <c r="Y51" s="9" t="str">
        <f t="shared" si="31"/>
        <v/>
      </c>
      <c r="Z51" s="24" t="str">
        <f t="shared" si="12"/>
        <v/>
      </c>
      <c r="AA51" s="7" t="str">
        <f t="shared" si="13"/>
        <v/>
      </c>
      <c r="AB51" s="7" t="str">
        <f t="shared" si="14"/>
        <v/>
      </c>
      <c r="AC51" s="10" t="str">
        <f t="shared" si="15"/>
        <v/>
      </c>
      <c r="AD51" s="11" t="str">
        <f t="shared" si="16"/>
        <v/>
      </c>
      <c r="AE51" s="7" t="str">
        <f t="shared" si="17"/>
        <v/>
      </c>
      <c r="AF51" s="12" t="str">
        <f t="shared" si="18"/>
        <v/>
      </c>
      <c r="AG51" s="6" t="str">
        <f t="shared" si="19"/>
        <v/>
      </c>
      <c r="AH51" s="12" t="str">
        <f t="shared" si="20"/>
        <v/>
      </c>
      <c r="AI51" s="11" t="str">
        <f t="shared" si="21"/>
        <v/>
      </c>
      <c r="AJ51" s="8" t="str">
        <f t="shared" si="22"/>
        <v/>
      </c>
      <c r="AK51" s="6" t="str">
        <f t="shared" si="23"/>
        <v/>
      </c>
      <c r="AL51" s="7" t="str">
        <f t="shared" si="24"/>
        <v/>
      </c>
      <c r="AM51" s="8" t="str">
        <f t="shared" si="25"/>
        <v/>
      </c>
      <c r="AN51" s="6" t="str">
        <f t="shared" si="26"/>
        <v/>
      </c>
      <c r="AO51" s="10" t="str">
        <f t="shared" si="27"/>
        <v/>
      </c>
      <c r="AP51" s="13" t="str">
        <f t="shared" si="28"/>
        <v/>
      </c>
      <c r="AR51" s="123" t="str">
        <f t="shared" si="29"/>
        <v/>
      </c>
      <c r="AS51" s="124" t="str">
        <f t="shared" si="0"/>
        <v/>
      </c>
      <c r="AU51" s="52" t="str">
        <f t="shared" si="32"/>
        <v/>
      </c>
      <c r="AV51" s="46" t="str">
        <f>IF(M51="","",Assy.Model!W82-W51)</f>
        <v/>
      </c>
      <c r="AW51" s="47" t="str">
        <f>IF(M51="","",Assy.Model!X82-X51)</f>
        <v/>
      </c>
      <c r="AX51" s="58" t="str">
        <f>IF(M51="","",Assy.Model!Y82-Y51)</f>
        <v/>
      </c>
      <c r="AY51" s="318" t="str">
        <f>IF(M51="","",Assy.Model!AN82-AN51)</f>
        <v/>
      </c>
      <c r="AZ51" s="48" t="str">
        <f>IF(M51="","",Assy.Model!AO82-AO51)</f>
        <v/>
      </c>
      <c r="BA51" s="324" t="str">
        <f>IF(M51="","",Assy.Model!AP82-AP51)</f>
        <v/>
      </c>
      <c r="BB51" s="290" t="str">
        <f>IF(M51="","",SQRT((Assy.Model!T51-T51)^2+(Assy.Model!U51-U51)^2+(Assy.Model!V51-V51)^2))</f>
        <v/>
      </c>
    </row>
    <row r="52" spans="2:54" x14ac:dyDescent="0.25">
      <c r="B52" s="143"/>
      <c r="C52" s="144"/>
      <c r="D52" s="145"/>
      <c r="E52" s="146"/>
      <c r="F52" s="144"/>
      <c r="G52" s="147"/>
      <c r="H52" s="146"/>
      <c r="I52" s="148"/>
      <c r="J52" s="310"/>
      <c r="K52" s="303"/>
      <c r="M52" s="5" t="str">
        <f t="shared" si="1"/>
        <v/>
      </c>
      <c r="N52" s="24" t="str">
        <f t="shared" si="2"/>
        <v/>
      </c>
      <c r="O52" s="7" t="str">
        <f t="shared" si="3"/>
        <v/>
      </c>
      <c r="P52" s="12" t="str">
        <f t="shared" si="4"/>
        <v/>
      </c>
      <c r="Q52" s="11" t="str">
        <f t="shared" si="30"/>
        <v/>
      </c>
      <c r="R52" s="7" t="str">
        <f t="shared" si="5"/>
        <v/>
      </c>
      <c r="S52" s="8" t="str">
        <f t="shared" si="6"/>
        <v/>
      </c>
      <c r="T52" s="6" t="str">
        <f t="shared" si="7"/>
        <v/>
      </c>
      <c r="U52" s="7" t="str">
        <f t="shared" si="8"/>
        <v/>
      </c>
      <c r="V52" s="10" t="str">
        <f t="shared" si="9"/>
        <v/>
      </c>
      <c r="W52" s="11" t="str">
        <f t="shared" si="10"/>
        <v/>
      </c>
      <c r="X52" s="7" t="str">
        <f t="shared" si="11"/>
        <v/>
      </c>
      <c r="Y52" s="9" t="str">
        <f t="shared" si="31"/>
        <v/>
      </c>
      <c r="Z52" s="24" t="str">
        <f t="shared" si="12"/>
        <v/>
      </c>
      <c r="AA52" s="7" t="str">
        <f t="shared" si="13"/>
        <v/>
      </c>
      <c r="AB52" s="7" t="str">
        <f t="shared" si="14"/>
        <v/>
      </c>
      <c r="AC52" s="10" t="str">
        <f t="shared" si="15"/>
        <v/>
      </c>
      <c r="AD52" s="11" t="str">
        <f t="shared" si="16"/>
        <v/>
      </c>
      <c r="AE52" s="7" t="str">
        <f t="shared" si="17"/>
        <v/>
      </c>
      <c r="AF52" s="12" t="str">
        <f t="shared" si="18"/>
        <v/>
      </c>
      <c r="AG52" s="6" t="str">
        <f t="shared" si="19"/>
        <v/>
      </c>
      <c r="AH52" s="12" t="str">
        <f t="shared" si="20"/>
        <v/>
      </c>
      <c r="AI52" s="11" t="str">
        <f t="shared" si="21"/>
        <v/>
      </c>
      <c r="AJ52" s="8" t="str">
        <f t="shared" si="22"/>
        <v/>
      </c>
      <c r="AK52" s="6" t="str">
        <f t="shared" si="23"/>
        <v/>
      </c>
      <c r="AL52" s="7" t="str">
        <f t="shared" si="24"/>
        <v/>
      </c>
      <c r="AM52" s="8" t="str">
        <f t="shared" si="25"/>
        <v/>
      </c>
      <c r="AN52" s="6" t="str">
        <f t="shared" si="26"/>
        <v/>
      </c>
      <c r="AO52" s="10" t="str">
        <f t="shared" si="27"/>
        <v/>
      </c>
      <c r="AP52" s="13" t="str">
        <f t="shared" si="28"/>
        <v/>
      </c>
      <c r="AR52" s="123" t="str">
        <f t="shared" si="29"/>
        <v/>
      </c>
      <c r="AS52" s="124" t="str">
        <f t="shared" si="0"/>
        <v/>
      </c>
      <c r="AU52" s="52" t="str">
        <f t="shared" si="32"/>
        <v/>
      </c>
      <c r="AV52" s="46" t="str">
        <f>IF(M52="","",Assy.Model!W83-W52)</f>
        <v/>
      </c>
      <c r="AW52" s="47" t="str">
        <f>IF(M52="","",Assy.Model!X83-X52)</f>
        <v/>
      </c>
      <c r="AX52" s="58" t="str">
        <f>IF(M52="","",Assy.Model!Y83-Y52)</f>
        <v/>
      </c>
      <c r="AY52" s="318" t="str">
        <f>IF(M52="","",Assy.Model!AN83-AN52)</f>
        <v/>
      </c>
      <c r="AZ52" s="48" t="str">
        <f>IF(M52="","",Assy.Model!AO83-AO52)</f>
        <v/>
      </c>
      <c r="BA52" s="324" t="str">
        <f>IF(M52="","",Assy.Model!AP83-AP52)</f>
        <v/>
      </c>
      <c r="BB52" s="290" t="str">
        <f>IF(M52="","",SQRT((Assy.Model!T52-T52)^2+(Assy.Model!U52-U52)^2+(Assy.Model!V52-V52)^2))</f>
        <v/>
      </c>
    </row>
    <row r="53" spans="2:54" x14ac:dyDescent="0.25">
      <c r="B53" s="143"/>
      <c r="C53" s="144"/>
      <c r="D53" s="145"/>
      <c r="E53" s="146"/>
      <c r="F53" s="144"/>
      <c r="G53" s="147"/>
      <c r="H53" s="146"/>
      <c r="I53" s="148"/>
      <c r="J53" s="310"/>
      <c r="K53" s="303"/>
      <c r="M53" s="5" t="str">
        <f t="shared" si="1"/>
        <v/>
      </c>
      <c r="N53" s="24" t="str">
        <f t="shared" si="2"/>
        <v/>
      </c>
      <c r="O53" s="7" t="str">
        <f t="shared" si="3"/>
        <v/>
      </c>
      <c r="P53" s="12" t="str">
        <f t="shared" si="4"/>
        <v/>
      </c>
      <c r="Q53" s="11" t="str">
        <f t="shared" si="30"/>
        <v/>
      </c>
      <c r="R53" s="7" t="str">
        <f t="shared" si="5"/>
        <v/>
      </c>
      <c r="S53" s="8" t="str">
        <f t="shared" si="6"/>
        <v/>
      </c>
      <c r="T53" s="6" t="str">
        <f t="shared" si="7"/>
        <v/>
      </c>
      <c r="U53" s="7" t="str">
        <f t="shared" si="8"/>
        <v/>
      </c>
      <c r="V53" s="10" t="str">
        <f t="shared" si="9"/>
        <v/>
      </c>
      <c r="W53" s="11" t="str">
        <f t="shared" si="10"/>
        <v/>
      </c>
      <c r="X53" s="7" t="str">
        <f t="shared" si="11"/>
        <v/>
      </c>
      <c r="Y53" s="9" t="str">
        <f t="shared" si="31"/>
        <v/>
      </c>
      <c r="Z53" s="24" t="str">
        <f t="shared" si="12"/>
        <v/>
      </c>
      <c r="AA53" s="7" t="str">
        <f t="shared" si="13"/>
        <v/>
      </c>
      <c r="AB53" s="7" t="str">
        <f t="shared" si="14"/>
        <v/>
      </c>
      <c r="AC53" s="10" t="str">
        <f t="shared" si="15"/>
        <v/>
      </c>
      <c r="AD53" s="11" t="str">
        <f t="shared" si="16"/>
        <v/>
      </c>
      <c r="AE53" s="7" t="str">
        <f t="shared" si="17"/>
        <v/>
      </c>
      <c r="AF53" s="12" t="str">
        <f t="shared" si="18"/>
        <v/>
      </c>
      <c r="AG53" s="6" t="str">
        <f t="shared" si="19"/>
        <v/>
      </c>
      <c r="AH53" s="12" t="str">
        <f t="shared" si="20"/>
        <v/>
      </c>
      <c r="AI53" s="11" t="str">
        <f t="shared" si="21"/>
        <v/>
      </c>
      <c r="AJ53" s="8" t="str">
        <f t="shared" si="22"/>
        <v/>
      </c>
      <c r="AK53" s="6" t="str">
        <f t="shared" si="23"/>
        <v/>
      </c>
      <c r="AL53" s="7" t="str">
        <f t="shared" si="24"/>
        <v/>
      </c>
      <c r="AM53" s="8" t="str">
        <f t="shared" si="25"/>
        <v/>
      </c>
      <c r="AN53" s="6" t="str">
        <f t="shared" si="26"/>
        <v/>
      </c>
      <c r="AO53" s="10" t="str">
        <f t="shared" si="27"/>
        <v/>
      </c>
      <c r="AP53" s="13" t="str">
        <f t="shared" si="28"/>
        <v/>
      </c>
      <c r="AR53" s="123" t="str">
        <f t="shared" si="29"/>
        <v/>
      </c>
      <c r="AS53" s="124" t="str">
        <f t="shared" si="0"/>
        <v/>
      </c>
      <c r="AU53" s="52" t="str">
        <f t="shared" si="32"/>
        <v/>
      </c>
      <c r="AV53" s="46" t="str">
        <f>IF(M53="","",Assy.Model!W84-W53)</f>
        <v/>
      </c>
      <c r="AW53" s="47" t="str">
        <f>IF(M53="","",Assy.Model!X84-X53)</f>
        <v/>
      </c>
      <c r="AX53" s="58" t="str">
        <f>IF(M53="","",Assy.Model!Y84-Y53)</f>
        <v/>
      </c>
      <c r="AY53" s="318" t="str">
        <f>IF(M53="","",Assy.Model!AN84-AN53)</f>
        <v/>
      </c>
      <c r="AZ53" s="48" t="str">
        <f>IF(M53="","",Assy.Model!AO84-AO53)</f>
        <v/>
      </c>
      <c r="BA53" s="324" t="str">
        <f>IF(M53="","",Assy.Model!AP84-AP53)</f>
        <v/>
      </c>
      <c r="BB53" s="290" t="str">
        <f>IF(M53="","",SQRT((Assy.Model!T53-T53)^2+(Assy.Model!U53-U53)^2+(Assy.Model!V53-V53)^2))</f>
        <v/>
      </c>
    </row>
    <row r="54" spans="2:54" x14ac:dyDescent="0.25">
      <c r="B54" s="143"/>
      <c r="C54" s="144"/>
      <c r="D54" s="145"/>
      <c r="E54" s="146"/>
      <c r="F54" s="144"/>
      <c r="G54" s="147"/>
      <c r="H54" s="146"/>
      <c r="I54" s="148"/>
      <c r="J54" s="310"/>
      <c r="K54" s="303"/>
      <c r="M54" s="5" t="str">
        <f t="shared" si="1"/>
        <v/>
      </c>
      <c r="N54" s="24" t="str">
        <f t="shared" si="2"/>
        <v/>
      </c>
      <c r="O54" s="7" t="str">
        <f t="shared" si="3"/>
        <v/>
      </c>
      <c r="P54" s="12" t="str">
        <f t="shared" si="4"/>
        <v/>
      </c>
      <c r="Q54" s="11" t="str">
        <f t="shared" si="30"/>
        <v/>
      </c>
      <c r="R54" s="7" t="str">
        <f t="shared" si="5"/>
        <v/>
      </c>
      <c r="S54" s="8" t="str">
        <f t="shared" si="6"/>
        <v/>
      </c>
      <c r="T54" s="6" t="str">
        <f t="shared" si="7"/>
        <v/>
      </c>
      <c r="U54" s="7" t="str">
        <f t="shared" si="8"/>
        <v/>
      </c>
      <c r="V54" s="10" t="str">
        <f t="shared" si="9"/>
        <v/>
      </c>
      <c r="W54" s="11" t="str">
        <f t="shared" si="10"/>
        <v/>
      </c>
      <c r="X54" s="7" t="str">
        <f t="shared" si="11"/>
        <v/>
      </c>
      <c r="Y54" s="9" t="str">
        <f t="shared" si="31"/>
        <v/>
      </c>
      <c r="Z54" s="24" t="str">
        <f t="shared" si="12"/>
        <v/>
      </c>
      <c r="AA54" s="7" t="str">
        <f t="shared" si="13"/>
        <v/>
      </c>
      <c r="AB54" s="7" t="str">
        <f t="shared" si="14"/>
        <v/>
      </c>
      <c r="AC54" s="10" t="str">
        <f t="shared" si="15"/>
        <v/>
      </c>
      <c r="AD54" s="11" t="str">
        <f t="shared" si="16"/>
        <v/>
      </c>
      <c r="AE54" s="7" t="str">
        <f t="shared" si="17"/>
        <v/>
      </c>
      <c r="AF54" s="12" t="str">
        <f t="shared" si="18"/>
        <v/>
      </c>
      <c r="AG54" s="6" t="str">
        <f t="shared" si="19"/>
        <v/>
      </c>
      <c r="AH54" s="12" t="str">
        <f t="shared" si="20"/>
        <v/>
      </c>
      <c r="AI54" s="11" t="str">
        <f t="shared" si="21"/>
        <v/>
      </c>
      <c r="AJ54" s="8" t="str">
        <f t="shared" si="22"/>
        <v/>
      </c>
      <c r="AK54" s="6" t="str">
        <f t="shared" si="23"/>
        <v/>
      </c>
      <c r="AL54" s="7" t="str">
        <f t="shared" si="24"/>
        <v/>
      </c>
      <c r="AM54" s="8" t="str">
        <f t="shared" si="25"/>
        <v/>
      </c>
      <c r="AN54" s="6" t="str">
        <f t="shared" si="26"/>
        <v/>
      </c>
      <c r="AO54" s="10" t="str">
        <f t="shared" si="27"/>
        <v/>
      </c>
      <c r="AP54" s="13" t="str">
        <f t="shared" si="28"/>
        <v/>
      </c>
      <c r="AR54" s="123" t="str">
        <f t="shared" si="29"/>
        <v/>
      </c>
      <c r="AS54" s="124" t="str">
        <f t="shared" si="0"/>
        <v/>
      </c>
      <c r="AU54" s="52" t="str">
        <f t="shared" si="32"/>
        <v/>
      </c>
      <c r="AV54" s="46" t="str">
        <f>IF(M54="","",Assy.Model!W85-W54)</f>
        <v/>
      </c>
      <c r="AW54" s="47" t="str">
        <f>IF(M54="","",Assy.Model!X85-X54)</f>
        <v/>
      </c>
      <c r="AX54" s="58" t="str">
        <f>IF(M54="","",Assy.Model!Y85-Y54)</f>
        <v/>
      </c>
      <c r="AY54" s="318" t="str">
        <f>IF(M54="","",Assy.Model!AN85-AN54)</f>
        <v/>
      </c>
      <c r="AZ54" s="48" t="str">
        <f>IF(M54="","",Assy.Model!AO85-AO54)</f>
        <v/>
      </c>
      <c r="BA54" s="324" t="str">
        <f>IF(M54="","",Assy.Model!AP85-AP54)</f>
        <v/>
      </c>
      <c r="BB54" s="290" t="str">
        <f>IF(M54="","",SQRT((Assy.Model!T54-T54)^2+(Assy.Model!U54-U54)^2+(Assy.Model!V54-V54)^2))</f>
        <v/>
      </c>
    </row>
    <row r="55" spans="2:54" x14ac:dyDescent="0.25">
      <c r="B55" s="143"/>
      <c r="C55" s="144"/>
      <c r="D55" s="145"/>
      <c r="E55" s="146"/>
      <c r="F55" s="144"/>
      <c r="G55" s="147"/>
      <c r="H55" s="146"/>
      <c r="I55" s="148"/>
      <c r="J55" s="310"/>
      <c r="K55" s="303"/>
      <c r="M55" s="5" t="str">
        <f t="shared" si="1"/>
        <v/>
      </c>
      <c r="N55" s="24" t="str">
        <f t="shared" si="2"/>
        <v/>
      </c>
      <c r="O55" s="7" t="str">
        <f t="shared" si="3"/>
        <v/>
      </c>
      <c r="P55" s="12" t="str">
        <f t="shared" si="4"/>
        <v/>
      </c>
      <c r="Q55" s="11" t="str">
        <f t="shared" si="30"/>
        <v/>
      </c>
      <c r="R55" s="7" t="str">
        <f t="shared" si="5"/>
        <v/>
      </c>
      <c r="S55" s="8" t="str">
        <f t="shared" si="6"/>
        <v/>
      </c>
      <c r="T55" s="6" t="str">
        <f t="shared" si="7"/>
        <v/>
      </c>
      <c r="U55" s="7" t="str">
        <f t="shared" si="8"/>
        <v/>
      </c>
      <c r="V55" s="10" t="str">
        <f t="shared" si="9"/>
        <v/>
      </c>
      <c r="W55" s="11" t="str">
        <f t="shared" si="10"/>
        <v/>
      </c>
      <c r="X55" s="7" t="str">
        <f t="shared" si="11"/>
        <v/>
      </c>
      <c r="Y55" s="9" t="str">
        <f t="shared" si="31"/>
        <v/>
      </c>
      <c r="Z55" s="24" t="str">
        <f t="shared" si="12"/>
        <v/>
      </c>
      <c r="AA55" s="7" t="str">
        <f t="shared" si="13"/>
        <v/>
      </c>
      <c r="AB55" s="7" t="str">
        <f t="shared" si="14"/>
        <v/>
      </c>
      <c r="AC55" s="10" t="str">
        <f t="shared" si="15"/>
        <v/>
      </c>
      <c r="AD55" s="11" t="str">
        <f t="shared" si="16"/>
        <v/>
      </c>
      <c r="AE55" s="7" t="str">
        <f t="shared" si="17"/>
        <v/>
      </c>
      <c r="AF55" s="12" t="str">
        <f t="shared" si="18"/>
        <v/>
      </c>
      <c r="AG55" s="6" t="str">
        <f t="shared" si="19"/>
        <v/>
      </c>
      <c r="AH55" s="12" t="str">
        <f t="shared" si="20"/>
        <v/>
      </c>
      <c r="AI55" s="11" t="str">
        <f t="shared" si="21"/>
        <v/>
      </c>
      <c r="AJ55" s="8" t="str">
        <f t="shared" si="22"/>
        <v/>
      </c>
      <c r="AK55" s="6" t="str">
        <f t="shared" si="23"/>
        <v/>
      </c>
      <c r="AL55" s="7" t="str">
        <f t="shared" si="24"/>
        <v/>
      </c>
      <c r="AM55" s="8" t="str">
        <f t="shared" si="25"/>
        <v/>
      </c>
      <c r="AN55" s="6" t="str">
        <f t="shared" si="26"/>
        <v/>
      </c>
      <c r="AO55" s="10" t="str">
        <f t="shared" si="27"/>
        <v/>
      </c>
      <c r="AP55" s="13" t="str">
        <f t="shared" si="28"/>
        <v/>
      </c>
      <c r="AR55" s="123" t="str">
        <f t="shared" si="29"/>
        <v/>
      </c>
      <c r="AS55" s="124" t="str">
        <f t="shared" si="0"/>
        <v/>
      </c>
      <c r="AU55" s="52" t="str">
        <f t="shared" si="32"/>
        <v/>
      </c>
      <c r="AV55" s="46" t="str">
        <f>IF(M55="","",Assy.Model!W86-W55)</f>
        <v/>
      </c>
      <c r="AW55" s="47" t="str">
        <f>IF(M55="","",Assy.Model!X86-X55)</f>
        <v/>
      </c>
      <c r="AX55" s="58" t="str">
        <f>IF(M55="","",Assy.Model!Y86-Y55)</f>
        <v/>
      </c>
      <c r="AY55" s="318" t="str">
        <f>IF(M55="","",Assy.Model!AN86-AN55)</f>
        <v/>
      </c>
      <c r="AZ55" s="48" t="str">
        <f>IF(M55="","",Assy.Model!AO86-AO55)</f>
        <v/>
      </c>
      <c r="BA55" s="324" t="str">
        <f>IF(M55="","",Assy.Model!AP86-AP55)</f>
        <v/>
      </c>
      <c r="BB55" s="290" t="str">
        <f>IF(M55="","",SQRT((Assy.Model!T55-T55)^2+(Assy.Model!U55-U55)^2+(Assy.Model!V55-V55)^2))</f>
        <v/>
      </c>
    </row>
    <row r="56" spans="2:54" x14ac:dyDescent="0.25">
      <c r="B56" s="143"/>
      <c r="C56" s="144"/>
      <c r="D56" s="145"/>
      <c r="E56" s="146"/>
      <c r="F56" s="144"/>
      <c r="G56" s="147"/>
      <c r="H56" s="146"/>
      <c r="I56" s="148"/>
      <c r="J56" s="310"/>
      <c r="K56" s="303"/>
      <c r="M56" s="5" t="str">
        <f t="shared" si="1"/>
        <v/>
      </c>
      <c r="N56" s="24" t="str">
        <f t="shared" si="2"/>
        <v/>
      </c>
      <c r="O56" s="7" t="str">
        <f t="shared" si="3"/>
        <v/>
      </c>
      <c r="P56" s="12" t="str">
        <f t="shared" si="4"/>
        <v/>
      </c>
      <c r="Q56" s="11" t="str">
        <f t="shared" si="30"/>
        <v/>
      </c>
      <c r="R56" s="7" t="str">
        <f t="shared" si="5"/>
        <v/>
      </c>
      <c r="S56" s="8" t="str">
        <f t="shared" si="6"/>
        <v/>
      </c>
      <c r="T56" s="6" t="str">
        <f t="shared" si="7"/>
        <v/>
      </c>
      <c r="U56" s="7" t="str">
        <f t="shared" si="8"/>
        <v/>
      </c>
      <c r="V56" s="10" t="str">
        <f t="shared" si="9"/>
        <v/>
      </c>
      <c r="W56" s="11" t="str">
        <f t="shared" si="10"/>
        <v/>
      </c>
      <c r="X56" s="7" t="str">
        <f t="shared" si="11"/>
        <v/>
      </c>
      <c r="Y56" s="9" t="str">
        <f t="shared" si="31"/>
        <v/>
      </c>
      <c r="Z56" s="24" t="str">
        <f t="shared" si="12"/>
        <v/>
      </c>
      <c r="AA56" s="7" t="str">
        <f t="shared" si="13"/>
        <v/>
      </c>
      <c r="AB56" s="7" t="str">
        <f t="shared" si="14"/>
        <v/>
      </c>
      <c r="AC56" s="10" t="str">
        <f t="shared" si="15"/>
        <v/>
      </c>
      <c r="AD56" s="11" t="str">
        <f t="shared" si="16"/>
        <v/>
      </c>
      <c r="AE56" s="7" t="str">
        <f t="shared" si="17"/>
        <v/>
      </c>
      <c r="AF56" s="12" t="str">
        <f t="shared" si="18"/>
        <v/>
      </c>
      <c r="AG56" s="6" t="str">
        <f t="shared" si="19"/>
        <v/>
      </c>
      <c r="AH56" s="12" t="str">
        <f t="shared" si="20"/>
        <v/>
      </c>
      <c r="AI56" s="11" t="str">
        <f t="shared" si="21"/>
        <v/>
      </c>
      <c r="AJ56" s="8" t="str">
        <f t="shared" si="22"/>
        <v/>
      </c>
      <c r="AK56" s="6" t="str">
        <f t="shared" si="23"/>
        <v/>
      </c>
      <c r="AL56" s="7" t="str">
        <f t="shared" si="24"/>
        <v/>
      </c>
      <c r="AM56" s="8" t="str">
        <f t="shared" si="25"/>
        <v/>
      </c>
      <c r="AN56" s="6" t="str">
        <f t="shared" si="26"/>
        <v/>
      </c>
      <c r="AO56" s="10" t="str">
        <f t="shared" si="27"/>
        <v/>
      </c>
      <c r="AP56" s="13" t="str">
        <f t="shared" si="28"/>
        <v/>
      </c>
      <c r="AR56" s="123" t="str">
        <f t="shared" si="29"/>
        <v/>
      </c>
      <c r="AS56" s="124" t="str">
        <f t="shared" si="0"/>
        <v/>
      </c>
      <c r="AU56" s="52" t="str">
        <f t="shared" si="32"/>
        <v/>
      </c>
      <c r="AV56" s="46" t="str">
        <f>IF(M56="","",Assy.Model!W87-W56)</f>
        <v/>
      </c>
      <c r="AW56" s="47" t="str">
        <f>IF(M56="","",Assy.Model!X87-X56)</f>
        <v/>
      </c>
      <c r="AX56" s="58" t="str">
        <f>IF(M56="","",Assy.Model!Y87-Y56)</f>
        <v/>
      </c>
      <c r="AY56" s="318" t="str">
        <f>IF(M56="","",Assy.Model!AN87-AN56)</f>
        <v/>
      </c>
      <c r="AZ56" s="48" t="str">
        <f>IF(M56="","",Assy.Model!AO87-AO56)</f>
        <v/>
      </c>
      <c r="BA56" s="324" t="str">
        <f>IF(M56="","",Assy.Model!AP87-AP56)</f>
        <v/>
      </c>
      <c r="BB56" s="290" t="str">
        <f>IF(M56="","",SQRT((Assy.Model!T56-T56)^2+(Assy.Model!U56-U56)^2+(Assy.Model!V56-V56)^2))</f>
        <v/>
      </c>
    </row>
    <row r="57" spans="2:54" x14ac:dyDescent="0.25">
      <c r="B57" s="143"/>
      <c r="C57" s="144"/>
      <c r="D57" s="145"/>
      <c r="E57" s="146"/>
      <c r="F57" s="144"/>
      <c r="G57" s="147"/>
      <c r="H57" s="146"/>
      <c r="I57" s="148"/>
      <c r="J57" s="310"/>
      <c r="K57" s="303"/>
      <c r="M57" s="5" t="str">
        <f t="shared" si="1"/>
        <v/>
      </c>
      <c r="N57" s="24" t="str">
        <f t="shared" si="2"/>
        <v/>
      </c>
      <c r="O57" s="7" t="str">
        <f t="shared" si="3"/>
        <v/>
      </c>
      <c r="P57" s="12" t="str">
        <f t="shared" si="4"/>
        <v/>
      </c>
      <c r="Q57" s="11" t="str">
        <f t="shared" si="30"/>
        <v/>
      </c>
      <c r="R57" s="7" t="str">
        <f t="shared" si="5"/>
        <v/>
      </c>
      <c r="S57" s="8" t="str">
        <f t="shared" si="6"/>
        <v/>
      </c>
      <c r="T57" s="6" t="str">
        <f t="shared" si="7"/>
        <v/>
      </c>
      <c r="U57" s="7" t="str">
        <f t="shared" si="8"/>
        <v/>
      </c>
      <c r="V57" s="10" t="str">
        <f t="shared" si="9"/>
        <v/>
      </c>
      <c r="W57" s="11" t="str">
        <f t="shared" si="10"/>
        <v/>
      </c>
      <c r="X57" s="7" t="str">
        <f t="shared" si="11"/>
        <v/>
      </c>
      <c r="Y57" s="9" t="str">
        <f t="shared" si="31"/>
        <v/>
      </c>
      <c r="Z57" s="24" t="str">
        <f t="shared" si="12"/>
        <v/>
      </c>
      <c r="AA57" s="7" t="str">
        <f t="shared" si="13"/>
        <v/>
      </c>
      <c r="AB57" s="7" t="str">
        <f t="shared" si="14"/>
        <v/>
      </c>
      <c r="AC57" s="10" t="str">
        <f t="shared" si="15"/>
        <v/>
      </c>
      <c r="AD57" s="11" t="str">
        <f t="shared" si="16"/>
        <v/>
      </c>
      <c r="AE57" s="7" t="str">
        <f t="shared" si="17"/>
        <v/>
      </c>
      <c r="AF57" s="12" t="str">
        <f t="shared" si="18"/>
        <v/>
      </c>
      <c r="AG57" s="6" t="str">
        <f t="shared" si="19"/>
        <v/>
      </c>
      <c r="AH57" s="12" t="str">
        <f t="shared" si="20"/>
        <v/>
      </c>
      <c r="AI57" s="11" t="str">
        <f t="shared" si="21"/>
        <v/>
      </c>
      <c r="AJ57" s="8" t="str">
        <f t="shared" si="22"/>
        <v/>
      </c>
      <c r="AK57" s="6" t="str">
        <f t="shared" si="23"/>
        <v/>
      </c>
      <c r="AL57" s="7" t="str">
        <f t="shared" si="24"/>
        <v/>
      </c>
      <c r="AM57" s="8" t="str">
        <f t="shared" si="25"/>
        <v/>
      </c>
      <c r="AN57" s="6" t="str">
        <f t="shared" si="26"/>
        <v/>
      </c>
      <c r="AO57" s="10" t="str">
        <f t="shared" si="27"/>
        <v/>
      </c>
      <c r="AP57" s="13" t="str">
        <f t="shared" si="28"/>
        <v/>
      </c>
      <c r="AR57" s="123" t="str">
        <f t="shared" si="29"/>
        <v/>
      </c>
      <c r="AS57" s="124" t="str">
        <f t="shared" si="0"/>
        <v/>
      </c>
      <c r="AU57" s="52" t="str">
        <f t="shared" si="32"/>
        <v/>
      </c>
      <c r="AV57" s="46" t="str">
        <f>IF(M57="","",Assy.Model!W88-W57)</f>
        <v/>
      </c>
      <c r="AW57" s="47" t="str">
        <f>IF(M57="","",Assy.Model!X88-X57)</f>
        <v/>
      </c>
      <c r="AX57" s="58" t="str">
        <f>IF(M57="","",Assy.Model!Y88-Y57)</f>
        <v/>
      </c>
      <c r="AY57" s="318" t="str">
        <f>IF(M57="","",Assy.Model!AN88-AN57)</f>
        <v/>
      </c>
      <c r="AZ57" s="48" t="str">
        <f>IF(M57="","",Assy.Model!AO88-AO57)</f>
        <v/>
      </c>
      <c r="BA57" s="324" t="str">
        <f>IF(M57="","",Assy.Model!AP88-AP57)</f>
        <v/>
      </c>
      <c r="BB57" s="290" t="str">
        <f>IF(M57="","",SQRT((Assy.Model!T57-T57)^2+(Assy.Model!U57-U57)^2+(Assy.Model!V57-V57)^2))</f>
        <v/>
      </c>
    </row>
    <row r="58" spans="2:54" x14ac:dyDescent="0.25">
      <c r="B58" s="143"/>
      <c r="C58" s="144"/>
      <c r="D58" s="145"/>
      <c r="E58" s="146"/>
      <c r="F58" s="144"/>
      <c r="G58" s="147"/>
      <c r="H58" s="146"/>
      <c r="I58" s="148"/>
      <c r="J58" s="310"/>
      <c r="K58" s="303"/>
      <c r="M58" s="5" t="str">
        <f t="shared" si="1"/>
        <v/>
      </c>
      <c r="N58" s="24" t="str">
        <f t="shared" si="2"/>
        <v/>
      </c>
      <c r="O58" s="7" t="str">
        <f t="shared" si="3"/>
        <v/>
      </c>
      <c r="P58" s="12" t="str">
        <f t="shared" si="4"/>
        <v/>
      </c>
      <c r="Q58" s="11" t="str">
        <f t="shared" si="30"/>
        <v/>
      </c>
      <c r="R58" s="7" t="str">
        <f t="shared" si="5"/>
        <v/>
      </c>
      <c r="S58" s="8" t="str">
        <f t="shared" si="6"/>
        <v/>
      </c>
      <c r="T58" s="6" t="str">
        <f t="shared" si="7"/>
        <v/>
      </c>
      <c r="U58" s="7" t="str">
        <f t="shared" si="8"/>
        <v/>
      </c>
      <c r="V58" s="10" t="str">
        <f t="shared" si="9"/>
        <v/>
      </c>
      <c r="W58" s="11" t="str">
        <f t="shared" si="10"/>
        <v/>
      </c>
      <c r="X58" s="7" t="str">
        <f t="shared" si="11"/>
        <v/>
      </c>
      <c r="Y58" s="9" t="str">
        <f t="shared" si="31"/>
        <v/>
      </c>
      <c r="Z58" s="24" t="str">
        <f t="shared" si="12"/>
        <v/>
      </c>
      <c r="AA58" s="7" t="str">
        <f t="shared" si="13"/>
        <v/>
      </c>
      <c r="AB58" s="7" t="str">
        <f t="shared" si="14"/>
        <v/>
      </c>
      <c r="AC58" s="10" t="str">
        <f t="shared" si="15"/>
        <v/>
      </c>
      <c r="AD58" s="11" t="str">
        <f t="shared" si="16"/>
        <v/>
      </c>
      <c r="AE58" s="7" t="str">
        <f t="shared" si="17"/>
        <v/>
      </c>
      <c r="AF58" s="12" t="str">
        <f t="shared" si="18"/>
        <v/>
      </c>
      <c r="AG58" s="6" t="str">
        <f t="shared" si="19"/>
        <v/>
      </c>
      <c r="AH58" s="12" t="str">
        <f t="shared" si="20"/>
        <v/>
      </c>
      <c r="AI58" s="11" t="str">
        <f t="shared" si="21"/>
        <v/>
      </c>
      <c r="AJ58" s="8" t="str">
        <f t="shared" si="22"/>
        <v/>
      </c>
      <c r="AK58" s="6" t="str">
        <f t="shared" si="23"/>
        <v/>
      </c>
      <c r="AL58" s="7" t="str">
        <f t="shared" si="24"/>
        <v/>
      </c>
      <c r="AM58" s="8" t="str">
        <f t="shared" si="25"/>
        <v/>
      </c>
      <c r="AN58" s="6" t="str">
        <f t="shared" si="26"/>
        <v/>
      </c>
      <c r="AO58" s="10" t="str">
        <f t="shared" si="27"/>
        <v/>
      </c>
      <c r="AP58" s="13" t="str">
        <f t="shared" si="28"/>
        <v/>
      </c>
      <c r="AR58" s="123" t="str">
        <f t="shared" si="29"/>
        <v/>
      </c>
      <c r="AS58" s="124" t="str">
        <f t="shared" si="0"/>
        <v/>
      </c>
      <c r="AU58" s="52" t="str">
        <f t="shared" si="32"/>
        <v/>
      </c>
      <c r="AV58" s="46" t="str">
        <f>IF(M58="","",Assy.Model!W89-W58)</f>
        <v/>
      </c>
      <c r="AW58" s="47" t="str">
        <f>IF(M58="","",Assy.Model!X89-X58)</f>
        <v/>
      </c>
      <c r="AX58" s="58" t="str">
        <f>IF(M58="","",Assy.Model!Y89-Y58)</f>
        <v/>
      </c>
      <c r="AY58" s="318" t="str">
        <f>IF(M58="","",Assy.Model!AN89-AN58)</f>
        <v/>
      </c>
      <c r="AZ58" s="48" t="str">
        <f>IF(M58="","",Assy.Model!AO89-AO58)</f>
        <v/>
      </c>
      <c r="BA58" s="324" t="str">
        <f>IF(M58="","",Assy.Model!AP89-AP58)</f>
        <v/>
      </c>
      <c r="BB58" s="290" t="str">
        <f>IF(M58="","",SQRT((Assy.Model!T58-T58)^2+(Assy.Model!U58-U58)^2+(Assy.Model!V58-V58)^2))</f>
        <v/>
      </c>
    </row>
    <row r="59" spans="2:54" ht="15" customHeight="1" x14ac:dyDescent="0.25">
      <c r="B59" s="143"/>
      <c r="C59" s="144"/>
      <c r="D59" s="145"/>
      <c r="E59" s="146"/>
      <c r="F59" s="144"/>
      <c r="G59" s="147"/>
      <c r="H59" s="146"/>
      <c r="I59" s="148"/>
      <c r="J59" s="310"/>
      <c r="K59" s="303"/>
      <c r="M59" s="5" t="str">
        <f t="shared" si="1"/>
        <v/>
      </c>
      <c r="N59" s="24" t="str">
        <f t="shared" si="2"/>
        <v/>
      </c>
      <c r="O59" s="7" t="str">
        <f t="shared" si="3"/>
        <v/>
      </c>
      <c r="P59" s="12" t="str">
        <f t="shared" si="4"/>
        <v/>
      </c>
      <c r="Q59" s="11" t="str">
        <f t="shared" si="30"/>
        <v/>
      </c>
      <c r="R59" s="7" t="str">
        <f t="shared" si="5"/>
        <v/>
      </c>
      <c r="S59" s="8" t="str">
        <f t="shared" si="6"/>
        <v/>
      </c>
      <c r="T59" s="6" t="str">
        <f t="shared" si="7"/>
        <v/>
      </c>
      <c r="U59" s="7" t="str">
        <f t="shared" si="8"/>
        <v/>
      </c>
      <c r="V59" s="10" t="str">
        <f t="shared" si="9"/>
        <v/>
      </c>
      <c r="W59" s="11" t="str">
        <f t="shared" si="10"/>
        <v/>
      </c>
      <c r="X59" s="7" t="str">
        <f t="shared" si="11"/>
        <v/>
      </c>
      <c r="Y59" s="9" t="str">
        <f t="shared" si="31"/>
        <v/>
      </c>
      <c r="Z59" s="24" t="str">
        <f t="shared" si="12"/>
        <v/>
      </c>
      <c r="AA59" s="7" t="str">
        <f t="shared" si="13"/>
        <v/>
      </c>
      <c r="AB59" s="7" t="str">
        <f t="shared" si="14"/>
        <v/>
      </c>
      <c r="AC59" s="10" t="str">
        <f t="shared" si="15"/>
        <v/>
      </c>
      <c r="AD59" s="11" t="str">
        <f t="shared" si="16"/>
        <v/>
      </c>
      <c r="AE59" s="7" t="str">
        <f t="shared" si="17"/>
        <v/>
      </c>
      <c r="AF59" s="12" t="str">
        <f t="shared" si="18"/>
        <v/>
      </c>
      <c r="AG59" s="6" t="str">
        <f t="shared" si="19"/>
        <v/>
      </c>
      <c r="AH59" s="12" t="str">
        <f t="shared" si="20"/>
        <v/>
      </c>
      <c r="AI59" s="11" t="str">
        <f t="shared" si="21"/>
        <v/>
      </c>
      <c r="AJ59" s="8" t="str">
        <f t="shared" si="22"/>
        <v/>
      </c>
      <c r="AK59" s="6" t="str">
        <f t="shared" si="23"/>
        <v/>
      </c>
      <c r="AL59" s="7" t="str">
        <f t="shared" si="24"/>
        <v/>
      </c>
      <c r="AM59" s="8" t="str">
        <f t="shared" si="25"/>
        <v/>
      </c>
      <c r="AN59" s="6" t="str">
        <f t="shared" si="26"/>
        <v/>
      </c>
      <c r="AO59" s="10" t="str">
        <f t="shared" si="27"/>
        <v/>
      </c>
      <c r="AP59" s="13" t="str">
        <f t="shared" si="28"/>
        <v/>
      </c>
      <c r="AR59" s="123" t="str">
        <f>IF(M59="","",IF(W59&lt;=LARGE($W$9:$W$18,1),W59,W59-360))</f>
        <v/>
      </c>
      <c r="AS59" s="124" t="str">
        <f>IF(M59="","",Y59+(((AR59-$AR$9)*$AR$6)*-1))</f>
        <v/>
      </c>
      <c r="AU59" s="52" t="str">
        <f t="shared" si="32"/>
        <v/>
      </c>
      <c r="AV59" s="46" t="str">
        <f>IF(M59="","",Assy.Model!W90-W59)</f>
        <v/>
      </c>
      <c r="AW59" s="47" t="str">
        <f>IF(M59="","",Assy.Model!X90-X59)</f>
        <v/>
      </c>
      <c r="AX59" s="58" t="str">
        <f>IF(M59="","",Assy.Model!Y90-Y59)</f>
        <v/>
      </c>
      <c r="AY59" s="318" t="str">
        <f>IF(M59="","",Assy.Model!AN90-AN59)</f>
        <v/>
      </c>
      <c r="AZ59" s="48" t="str">
        <f>IF(M59="","",Assy.Model!AO90-AO59)</f>
        <v/>
      </c>
      <c r="BA59" s="324" t="str">
        <f>IF(M59="","",Assy.Model!AP90-AP59)</f>
        <v/>
      </c>
      <c r="BB59" s="290" t="str">
        <f>IF(M59="","",SQRT((Assy.Model!T59-T59)^2+(Assy.Model!U59-U59)^2+(Assy.Model!V59-V59)^2))</f>
        <v/>
      </c>
    </row>
    <row r="60" spans="2:54" ht="15" customHeight="1" x14ac:dyDescent="0.25">
      <c r="B60" s="143"/>
      <c r="C60" s="144"/>
      <c r="D60" s="145"/>
      <c r="E60" s="146"/>
      <c r="F60" s="144"/>
      <c r="G60" s="147"/>
      <c r="H60" s="146"/>
      <c r="I60" s="148"/>
      <c r="J60" s="310"/>
      <c r="K60" s="303"/>
      <c r="M60" s="5" t="str">
        <f t="shared" si="1"/>
        <v/>
      </c>
      <c r="N60" s="24" t="str">
        <f t="shared" si="2"/>
        <v/>
      </c>
      <c r="O60" s="7" t="str">
        <f t="shared" si="3"/>
        <v/>
      </c>
      <c r="P60" s="12" t="str">
        <f t="shared" si="4"/>
        <v/>
      </c>
      <c r="Q60" s="11" t="str">
        <f t="shared" si="30"/>
        <v/>
      </c>
      <c r="R60" s="7" t="str">
        <f t="shared" si="5"/>
        <v/>
      </c>
      <c r="S60" s="8" t="str">
        <f t="shared" si="6"/>
        <v/>
      </c>
      <c r="T60" s="6" t="str">
        <f t="shared" si="7"/>
        <v/>
      </c>
      <c r="U60" s="7" t="str">
        <f t="shared" si="8"/>
        <v/>
      </c>
      <c r="V60" s="10" t="str">
        <f t="shared" si="9"/>
        <v/>
      </c>
      <c r="W60" s="11" t="str">
        <f t="shared" si="10"/>
        <v/>
      </c>
      <c r="X60" s="7" t="str">
        <f t="shared" si="11"/>
        <v/>
      </c>
      <c r="Y60" s="9" t="str">
        <f t="shared" si="31"/>
        <v/>
      </c>
      <c r="Z60" s="24" t="str">
        <f t="shared" si="12"/>
        <v/>
      </c>
      <c r="AA60" s="7" t="str">
        <f t="shared" si="13"/>
        <v/>
      </c>
      <c r="AB60" s="7" t="str">
        <f t="shared" si="14"/>
        <v/>
      </c>
      <c r="AC60" s="10" t="str">
        <f t="shared" si="15"/>
        <v/>
      </c>
      <c r="AD60" s="11" t="str">
        <f t="shared" si="16"/>
        <v/>
      </c>
      <c r="AE60" s="7" t="str">
        <f t="shared" si="17"/>
        <v/>
      </c>
      <c r="AF60" s="12" t="str">
        <f t="shared" si="18"/>
        <v/>
      </c>
      <c r="AG60" s="6" t="str">
        <f t="shared" si="19"/>
        <v/>
      </c>
      <c r="AH60" s="12" t="str">
        <f t="shared" si="20"/>
        <v/>
      </c>
      <c r="AI60" s="11" t="str">
        <f t="shared" si="21"/>
        <v/>
      </c>
      <c r="AJ60" s="8" t="str">
        <f t="shared" si="22"/>
        <v/>
      </c>
      <c r="AK60" s="6" t="str">
        <f t="shared" si="23"/>
        <v/>
      </c>
      <c r="AL60" s="7" t="str">
        <f t="shared" si="24"/>
        <v/>
      </c>
      <c r="AM60" s="8" t="str">
        <f t="shared" si="25"/>
        <v/>
      </c>
      <c r="AN60" s="6" t="str">
        <f t="shared" si="26"/>
        <v/>
      </c>
      <c r="AO60" s="10" t="str">
        <f t="shared" si="27"/>
        <v/>
      </c>
      <c r="AP60" s="13" t="str">
        <f t="shared" si="28"/>
        <v/>
      </c>
      <c r="AR60" s="125" t="str">
        <f t="shared" ref="AR60:AR98" si="33">IF(M60="","",IF(W60&lt;=LARGE($W$9:$W$18,1),W60,W60-360))</f>
        <v/>
      </c>
      <c r="AS60" s="126" t="str">
        <f t="shared" ref="AS60:AS98" si="34">IF(M60="","",Y60+(((AR60-$AR$9)*$AR$6)*-1))</f>
        <v/>
      </c>
      <c r="AU60" s="52" t="str">
        <f t="shared" si="32"/>
        <v/>
      </c>
      <c r="AV60" s="46" t="str">
        <f>IF(M60="","",Assy.Model!W91-W60)</f>
        <v/>
      </c>
      <c r="AW60" s="47" t="str">
        <f>IF(M60="","",Assy.Model!X91-X60)</f>
        <v/>
      </c>
      <c r="AX60" s="58" t="str">
        <f>IF(M60="","",Assy.Model!Y91-Y60)</f>
        <v/>
      </c>
      <c r="AY60" s="318" t="str">
        <f>IF(M60="","",Assy.Model!AN91-AN60)</f>
        <v/>
      </c>
      <c r="AZ60" s="48" t="str">
        <f>IF(M60="","",Assy.Model!AO91-AO60)</f>
        <v/>
      </c>
      <c r="BA60" s="324" t="str">
        <f>IF(M60="","",Assy.Model!AP91-AP60)</f>
        <v/>
      </c>
      <c r="BB60" s="290" t="str">
        <f>IF(M60="","",SQRT((Assy.Model!T60-T60)^2+(Assy.Model!U60-U60)^2+(Assy.Model!V60-V60)^2))</f>
        <v/>
      </c>
    </row>
    <row r="61" spans="2:54" ht="15" customHeight="1" x14ac:dyDescent="0.25">
      <c r="B61" s="143"/>
      <c r="C61" s="144"/>
      <c r="D61" s="145"/>
      <c r="E61" s="146"/>
      <c r="F61" s="144"/>
      <c r="G61" s="147"/>
      <c r="H61" s="146"/>
      <c r="I61" s="148"/>
      <c r="J61" s="310"/>
      <c r="K61" s="303"/>
      <c r="M61" s="5" t="str">
        <f t="shared" si="1"/>
        <v/>
      </c>
      <c r="N61" s="24" t="str">
        <f t="shared" si="2"/>
        <v/>
      </c>
      <c r="O61" s="7" t="str">
        <f t="shared" si="3"/>
        <v/>
      </c>
      <c r="P61" s="12" t="str">
        <f t="shared" si="4"/>
        <v/>
      </c>
      <c r="Q61" s="11" t="str">
        <f t="shared" si="30"/>
        <v/>
      </c>
      <c r="R61" s="7" t="str">
        <f t="shared" si="5"/>
        <v/>
      </c>
      <c r="S61" s="8" t="str">
        <f t="shared" si="6"/>
        <v/>
      </c>
      <c r="T61" s="6" t="str">
        <f t="shared" si="7"/>
        <v/>
      </c>
      <c r="U61" s="7" t="str">
        <f t="shared" si="8"/>
        <v/>
      </c>
      <c r="V61" s="10" t="str">
        <f t="shared" si="9"/>
        <v/>
      </c>
      <c r="W61" s="11" t="str">
        <f t="shared" si="10"/>
        <v/>
      </c>
      <c r="X61" s="7" t="str">
        <f t="shared" si="11"/>
        <v/>
      </c>
      <c r="Y61" s="9" t="str">
        <f t="shared" si="31"/>
        <v/>
      </c>
      <c r="Z61" s="24" t="str">
        <f t="shared" si="12"/>
        <v/>
      </c>
      <c r="AA61" s="7" t="str">
        <f t="shared" si="13"/>
        <v/>
      </c>
      <c r="AB61" s="7" t="str">
        <f t="shared" si="14"/>
        <v/>
      </c>
      <c r="AC61" s="10" t="str">
        <f t="shared" si="15"/>
        <v/>
      </c>
      <c r="AD61" s="11" t="str">
        <f t="shared" si="16"/>
        <v/>
      </c>
      <c r="AE61" s="7" t="str">
        <f t="shared" si="17"/>
        <v/>
      </c>
      <c r="AF61" s="12" t="str">
        <f t="shared" si="18"/>
        <v/>
      </c>
      <c r="AG61" s="6" t="str">
        <f t="shared" si="19"/>
        <v/>
      </c>
      <c r="AH61" s="12" t="str">
        <f t="shared" si="20"/>
        <v/>
      </c>
      <c r="AI61" s="11" t="str">
        <f t="shared" si="21"/>
        <v/>
      </c>
      <c r="AJ61" s="8" t="str">
        <f t="shared" si="22"/>
        <v/>
      </c>
      <c r="AK61" s="6" t="str">
        <f t="shared" si="23"/>
        <v/>
      </c>
      <c r="AL61" s="7" t="str">
        <f t="shared" si="24"/>
        <v/>
      </c>
      <c r="AM61" s="8" t="str">
        <f t="shared" si="25"/>
        <v/>
      </c>
      <c r="AN61" s="6" t="str">
        <f t="shared" si="26"/>
        <v/>
      </c>
      <c r="AO61" s="10" t="str">
        <f t="shared" si="27"/>
        <v/>
      </c>
      <c r="AP61" s="13" t="str">
        <f t="shared" si="28"/>
        <v/>
      </c>
      <c r="AR61" s="125" t="str">
        <f t="shared" si="33"/>
        <v/>
      </c>
      <c r="AS61" s="126" t="str">
        <f t="shared" si="34"/>
        <v/>
      </c>
      <c r="AU61" s="52" t="str">
        <f t="shared" si="32"/>
        <v/>
      </c>
      <c r="AV61" s="46" t="str">
        <f>IF(M61="","",Assy.Model!W92-W61)</f>
        <v/>
      </c>
      <c r="AW61" s="47" t="str">
        <f>IF(M61="","",Assy.Model!X92-X61)</f>
        <v/>
      </c>
      <c r="AX61" s="58" t="str">
        <f>IF(M61="","",Assy.Model!Y92-Y61)</f>
        <v/>
      </c>
      <c r="AY61" s="318" t="str">
        <f>IF(M61="","",Assy.Model!AN92-AN61)</f>
        <v/>
      </c>
      <c r="AZ61" s="48" t="str">
        <f>IF(M61="","",Assy.Model!AO92-AO61)</f>
        <v/>
      </c>
      <c r="BA61" s="324" t="str">
        <f>IF(M61="","",Assy.Model!AP92-AP61)</f>
        <v/>
      </c>
      <c r="BB61" s="290" t="str">
        <f>IF(M61="","",SQRT((Assy.Model!T61-T61)^2+(Assy.Model!U61-U61)^2+(Assy.Model!V61-V61)^2))</f>
        <v/>
      </c>
    </row>
    <row r="62" spans="2:54" ht="15" customHeight="1" x14ac:dyDescent="0.25">
      <c r="B62" s="143"/>
      <c r="C62" s="144"/>
      <c r="D62" s="145"/>
      <c r="E62" s="146"/>
      <c r="F62" s="144"/>
      <c r="G62" s="147"/>
      <c r="H62" s="146"/>
      <c r="I62" s="148"/>
      <c r="J62" s="310"/>
      <c r="K62" s="303"/>
      <c r="M62" s="5" t="str">
        <f t="shared" si="1"/>
        <v/>
      </c>
      <c r="N62" s="24" t="str">
        <f t="shared" si="2"/>
        <v/>
      </c>
      <c r="O62" s="7" t="str">
        <f t="shared" si="3"/>
        <v/>
      </c>
      <c r="P62" s="12" t="str">
        <f t="shared" si="4"/>
        <v/>
      </c>
      <c r="Q62" s="11" t="str">
        <f t="shared" si="30"/>
        <v/>
      </c>
      <c r="R62" s="7" t="str">
        <f t="shared" si="5"/>
        <v/>
      </c>
      <c r="S62" s="8" t="str">
        <f t="shared" si="6"/>
        <v/>
      </c>
      <c r="T62" s="6" t="str">
        <f t="shared" si="7"/>
        <v/>
      </c>
      <c r="U62" s="7" t="str">
        <f t="shared" si="8"/>
        <v/>
      </c>
      <c r="V62" s="10" t="str">
        <f t="shared" si="9"/>
        <v/>
      </c>
      <c r="W62" s="11" t="str">
        <f t="shared" si="10"/>
        <v/>
      </c>
      <c r="X62" s="7" t="str">
        <f t="shared" si="11"/>
        <v/>
      </c>
      <c r="Y62" s="9" t="str">
        <f t="shared" si="31"/>
        <v/>
      </c>
      <c r="Z62" s="24" t="str">
        <f t="shared" si="12"/>
        <v/>
      </c>
      <c r="AA62" s="7" t="str">
        <f t="shared" si="13"/>
        <v/>
      </c>
      <c r="AB62" s="7" t="str">
        <f t="shared" si="14"/>
        <v/>
      </c>
      <c r="AC62" s="10" t="str">
        <f t="shared" si="15"/>
        <v/>
      </c>
      <c r="AD62" s="11" t="str">
        <f t="shared" si="16"/>
        <v/>
      </c>
      <c r="AE62" s="7" t="str">
        <f t="shared" si="17"/>
        <v/>
      </c>
      <c r="AF62" s="12" t="str">
        <f t="shared" si="18"/>
        <v/>
      </c>
      <c r="AG62" s="6" t="str">
        <f t="shared" si="19"/>
        <v/>
      </c>
      <c r="AH62" s="12" t="str">
        <f t="shared" si="20"/>
        <v/>
      </c>
      <c r="AI62" s="11" t="str">
        <f t="shared" si="21"/>
        <v/>
      </c>
      <c r="AJ62" s="8" t="str">
        <f t="shared" si="22"/>
        <v/>
      </c>
      <c r="AK62" s="6" t="str">
        <f t="shared" si="23"/>
        <v/>
      </c>
      <c r="AL62" s="7" t="str">
        <f t="shared" si="24"/>
        <v/>
      </c>
      <c r="AM62" s="8" t="str">
        <f t="shared" si="25"/>
        <v/>
      </c>
      <c r="AN62" s="6" t="str">
        <f t="shared" si="26"/>
        <v/>
      </c>
      <c r="AO62" s="10" t="str">
        <f t="shared" si="27"/>
        <v/>
      </c>
      <c r="AP62" s="13" t="str">
        <f t="shared" si="28"/>
        <v/>
      </c>
      <c r="AR62" s="125" t="str">
        <f t="shared" si="33"/>
        <v/>
      </c>
      <c r="AS62" s="126" t="str">
        <f t="shared" si="34"/>
        <v/>
      </c>
      <c r="AU62" s="52" t="str">
        <f t="shared" si="32"/>
        <v/>
      </c>
      <c r="AV62" s="46" t="str">
        <f>IF(M62="","",Assy.Model!W93-W62)</f>
        <v/>
      </c>
      <c r="AW62" s="47" t="str">
        <f>IF(M62="","",Assy.Model!X93-X62)</f>
        <v/>
      </c>
      <c r="AX62" s="58" t="str">
        <f>IF(M62="","",Assy.Model!Y93-Y62)</f>
        <v/>
      </c>
      <c r="AY62" s="318" t="str">
        <f>IF(M62="","",Assy.Model!AN93-AN62)</f>
        <v/>
      </c>
      <c r="AZ62" s="48" t="str">
        <f>IF(M62="","",Assy.Model!AO93-AO62)</f>
        <v/>
      </c>
      <c r="BA62" s="324" t="str">
        <f>IF(M62="","",Assy.Model!AP93-AP62)</f>
        <v/>
      </c>
      <c r="BB62" s="290" t="str">
        <f>IF(M62="","",SQRT((Assy.Model!T62-T62)^2+(Assy.Model!U62-U62)^2+(Assy.Model!V62-V62)^2))</f>
        <v/>
      </c>
    </row>
    <row r="63" spans="2:54" ht="15" customHeight="1" x14ac:dyDescent="0.25">
      <c r="B63" s="143"/>
      <c r="C63" s="144"/>
      <c r="D63" s="145"/>
      <c r="E63" s="146"/>
      <c r="F63" s="144"/>
      <c r="G63" s="147"/>
      <c r="H63" s="146"/>
      <c r="I63" s="148"/>
      <c r="J63" s="310"/>
      <c r="K63" s="303"/>
      <c r="M63" s="5" t="str">
        <f t="shared" si="1"/>
        <v/>
      </c>
      <c r="N63" s="24" t="str">
        <f t="shared" si="2"/>
        <v/>
      </c>
      <c r="O63" s="7" t="str">
        <f t="shared" si="3"/>
        <v/>
      </c>
      <c r="P63" s="12" t="str">
        <f t="shared" si="4"/>
        <v/>
      </c>
      <c r="Q63" s="11" t="str">
        <f t="shared" si="30"/>
        <v/>
      </c>
      <c r="R63" s="7" t="str">
        <f t="shared" si="5"/>
        <v/>
      </c>
      <c r="S63" s="8" t="str">
        <f t="shared" si="6"/>
        <v/>
      </c>
      <c r="T63" s="6" t="str">
        <f t="shared" si="7"/>
        <v/>
      </c>
      <c r="U63" s="7" t="str">
        <f t="shared" si="8"/>
        <v/>
      </c>
      <c r="V63" s="10" t="str">
        <f t="shared" si="9"/>
        <v/>
      </c>
      <c r="W63" s="11" t="str">
        <f t="shared" si="10"/>
        <v/>
      </c>
      <c r="X63" s="7" t="str">
        <f t="shared" si="11"/>
        <v/>
      </c>
      <c r="Y63" s="9" t="str">
        <f t="shared" si="31"/>
        <v/>
      </c>
      <c r="Z63" s="24" t="str">
        <f t="shared" si="12"/>
        <v/>
      </c>
      <c r="AA63" s="7" t="str">
        <f t="shared" si="13"/>
        <v/>
      </c>
      <c r="AB63" s="7" t="str">
        <f t="shared" si="14"/>
        <v/>
      </c>
      <c r="AC63" s="10" t="str">
        <f t="shared" si="15"/>
        <v/>
      </c>
      <c r="AD63" s="11" t="str">
        <f t="shared" si="16"/>
        <v/>
      </c>
      <c r="AE63" s="7" t="str">
        <f t="shared" si="17"/>
        <v/>
      </c>
      <c r="AF63" s="12" t="str">
        <f t="shared" si="18"/>
        <v/>
      </c>
      <c r="AG63" s="6" t="str">
        <f t="shared" si="19"/>
        <v/>
      </c>
      <c r="AH63" s="12" t="str">
        <f t="shared" si="20"/>
        <v/>
      </c>
      <c r="AI63" s="11" t="str">
        <f t="shared" si="21"/>
        <v/>
      </c>
      <c r="AJ63" s="8" t="str">
        <f t="shared" si="22"/>
        <v/>
      </c>
      <c r="AK63" s="6" t="str">
        <f t="shared" si="23"/>
        <v/>
      </c>
      <c r="AL63" s="7" t="str">
        <f t="shared" si="24"/>
        <v/>
      </c>
      <c r="AM63" s="8" t="str">
        <f t="shared" si="25"/>
        <v/>
      </c>
      <c r="AN63" s="6" t="str">
        <f t="shared" si="26"/>
        <v/>
      </c>
      <c r="AO63" s="10" t="str">
        <f t="shared" si="27"/>
        <v/>
      </c>
      <c r="AP63" s="13" t="str">
        <f t="shared" si="28"/>
        <v/>
      </c>
      <c r="AR63" s="125" t="str">
        <f t="shared" si="33"/>
        <v/>
      </c>
      <c r="AS63" s="126" t="str">
        <f t="shared" si="34"/>
        <v/>
      </c>
      <c r="AU63" s="52" t="str">
        <f t="shared" si="32"/>
        <v/>
      </c>
      <c r="AV63" s="46" t="str">
        <f>IF(M63="","",Assy.Model!W94-W63)</f>
        <v/>
      </c>
      <c r="AW63" s="47" t="str">
        <f>IF(M63="","",Assy.Model!X94-X63)</f>
        <v/>
      </c>
      <c r="AX63" s="58" t="str">
        <f>IF(M63="","",Assy.Model!Y94-Y63)</f>
        <v/>
      </c>
      <c r="AY63" s="318" t="str">
        <f>IF(M63="","",Assy.Model!AN94-AN63)</f>
        <v/>
      </c>
      <c r="AZ63" s="48" t="str">
        <f>IF(M63="","",Assy.Model!AO94-AO63)</f>
        <v/>
      </c>
      <c r="BA63" s="324" t="str">
        <f>IF(M63="","",Assy.Model!AP94-AP63)</f>
        <v/>
      </c>
      <c r="BB63" s="290" t="str">
        <f>IF(M63="","",SQRT((Assy.Model!T63-T63)^2+(Assy.Model!U63-U63)^2+(Assy.Model!V63-V63)^2))</f>
        <v/>
      </c>
    </row>
    <row r="64" spans="2:54" ht="15" customHeight="1" x14ac:dyDescent="0.25">
      <c r="B64" s="143"/>
      <c r="C64" s="144"/>
      <c r="D64" s="145"/>
      <c r="E64" s="146"/>
      <c r="F64" s="144"/>
      <c r="G64" s="147"/>
      <c r="H64" s="146"/>
      <c r="I64" s="148"/>
      <c r="J64" s="310"/>
      <c r="K64" s="303"/>
      <c r="M64" s="5" t="str">
        <f t="shared" si="1"/>
        <v/>
      </c>
      <c r="N64" s="24" t="str">
        <f t="shared" si="2"/>
        <v/>
      </c>
      <c r="O64" s="7" t="str">
        <f t="shared" si="3"/>
        <v/>
      </c>
      <c r="P64" s="12" t="str">
        <f t="shared" si="4"/>
        <v/>
      </c>
      <c r="Q64" s="11" t="str">
        <f t="shared" si="30"/>
        <v/>
      </c>
      <c r="R64" s="7" t="str">
        <f t="shared" si="5"/>
        <v/>
      </c>
      <c r="S64" s="8" t="str">
        <f t="shared" si="6"/>
        <v/>
      </c>
      <c r="T64" s="6" t="str">
        <f t="shared" si="7"/>
        <v/>
      </c>
      <c r="U64" s="7" t="str">
        <f t="shared" si="8"/>
        <v/>
      </c>
      <c r="V64" s="10" t="str">
        <f t="shared" si="9"/>
        <v/>
      </c>
      <c r="W64" s="11" t="str">
        <f t="shared" si="10"/>
        <v/>
      </c>
      <c r="X64" s="7" t="str">
        <f t="shared" si="11"/>
        <v/>
      </c>
      <c r="Y64" s="9" t="str">
        <f t="shared" si="31"/>
        <v/>
      </c>
      <c r="Z64" s="24" t="str">
        <f t="shared" si="12"/>
        <v/>
      </c>
      <c r="AA64" s="7" t="str">
        <f t="shared" si="13"/>
        <v/>
      </c>
      <c r="AB64" s="7" t="str">
        <f t="shared" si="14"/>
        <v/>
      </c>
      <c r="AC64" s="10" t="str">
        <f t="shared" si="15"/>
        <v/>
      </c>
      <c r="AD64" s="11" t="str">
        <f t="shared" si="16"/>
        <v/>
      </c>
      <c r="AE64" s="7" t="str">
        <f t="shared" si="17"/>
        <v/>
      </c>
      <c r="AF64" s="12" t="str">
        <f t="shared" si="18"/>
        <v/>
      </c>
      <c r="AG64" s="6" t="str">
        <f t="shared" si="19"/>
        <v/>
      </c>
      <c r="AH64" s="12" t="str">
        <f t="shared" si="20"/>
        <v/>
      </c>
      <c r="AI64" s="11" t="str">
        <f t="shared" si="21"/>
        <v/>
      </c>
      <c r="AJ64" s="8" t="str">
        <f t="shared" si="22"/>
        <v/>
      </c>
      <c r="AK64" s="6" t="str">
        <f t="shared" si="23"/>
        <v/>
      </c>
      <c r="AL64" s="7" t="str">
        <f t="shared" si="24"/>
        <v/>
      </c>
      <c r="AM64" s="8" t="str">
        <f t="shared" si="25"/>
        <v/>
      </c>
      <c r="AN64" s="6" t="str">
        <f t="shared" si="26"/>
        <v/>
      </c>
      <c r="AO64" s="10" t="str">
        <f t="shared" si="27"/>
        <v/>
      </c>
      <c r="AP64" s="13" t="str">
        <f t="shared" si="28"/>
        <v/>
      </c>
      <c r="AR64" s="125" t="str">
        <f t="shared" si="33"/>
        <v/>
      </c>
      <c r="AS64" s="126" t="str">
        <f t="shared" si="34"/>
        <v/>
      </c>
      <c r="AU64" s="52" t="str">
        <f t="shared" si="32"/>
        <v/>
      </c>
      <c r="AV64" s="46" t="str">
        <f>IF(M64="","",Assy.Model!W95-W64)</f>
        <v/>
      </c>
      <c r="AW64" s="47" t="str">
        <f>IF(M64="","",Assy.Model!X95-X64)</f>
        <v/>
      </c>
      <c r="AX64" s="58" t="str">
        <f>IF(M64="","",Assy.Model!Y95-Y64)</f>
        <v/>
      </c>
      <c r="AY64" s="318" t="str">
        <f>IF(M64="","",Assy.Model!AN95-AN64)</f>
        <v/>
      </c>
      <c r="AZ64" s="48" t="str">
        <f>IF(M64="","",Assy.Model!AO95-AO64)</f>
        <v/>
      </c>
      <c r="BA64" s="324" t="str">
        <f>IF(M64="","",Assy.Model!AP95-AP64)</f>
        <v/>
      </c>
      <c r="BB64" s="290" t="str">
        <f>IF(M64="","",SQRT((Assy.Model!T64-T64)^2+(Assy.Model!U64-U64)^2+(Assy.Model!V64-V64)^2))</f>
        <v/>
      </c>
    </row>
    <row r="65" spans="2:54" ht="15" customHeight="1" x14ac:dyDescent="0.25">
      <c r="B65" s="143"/>
      <c r="C65" s="144"/>
      <c r="D65" s="145"/>
      <c r="E65" s="146"/>
      <c r="F65" s="144"/>
      <c r="G65" s="147"/>
      <c r="H65" s="146"/>
      <c r="I65" s="148"/>
      <c r="J65" s="310"/>
      <c r="K65" s="303"/>
      <c r="M65" s="5" t="str">
        <f t="shared" si="1"/>
        <v/>
      </c>
      <c r="N65" s="24" t="str">
        <f t="shared" si="2"/>
        <v/>
      </c>
      <c r="O65" s="7" t="str">
        <f t="shared" si="3"/>
        <v/>
      </c>
      <c r="P65" s="12" t="str">
        <f t="shared" si="4"/>
        <v/>
      </c>
      <c r="Q65" s="11" t="str">
        <f t="shared" si="30"/>
        <v/>
      </c>
      <c r="R65" s="7" t="str">
        <f t="shared" si="5"/>
        <v/>
      </c>
      <c r="S65" s="8" t="str">
        <f t="shared" si="6"/>
        <v/>
      </c>
      <c r="T65" s="6" t="str">
        <f t="shared" si="7"/>
        <v/>
      </c>
      <c r="U65" s="7" t="str">
        <f t="shared" si="8"/>
        <v/>
      </c>
      <c r="V65" s="10" t="str">
        <f t="shared" si="9"/>
        <v/>
      </c>
      <c r="W65" s="11" t="str">
        <f t="shared" si="10"/>
        <v/>
      </c>
      <c r="X65" s="7" t="str">
        <f t="shared" si="11"/>
        <v/>
      </c>
      <c r="Y65" s="9" t="str">
        <f t="shared" si="31"/>
        <v/>
      </c>
      <c r="Z65" s="24" t="str">
        <f t="shared" si="12"/>
        <v/>
      </c>
      <c r="AA65" s="7" t="str">
        <f t="shared" si="13"/>
        <v/>
      </c>
      <c r="AB65" s="7" t="str">
        <f t="shared" si="14"/>
        <v/>
      </c>
      <c r="AC65" s="10" t="str">
        <f t="shared" si="15"/>
        <v/>
      </c>
      <c r="AD65" s="11" t="str">
        <f t="shared" si="16"/>
        <v/>
      </c>
      <c r="AE65" s="7" t="str">
        <f t="shared" si="17"/>
        <v/>
      </c>
      <c r="AF65" s="12" t="str">
        <f t="shared" si="18"/>
        <v/>
      </c>
      <c r="AG65" s="6" t="str">
        <f t="shared" si="19"/>
        <v/>
      </c>
      <c r="AH65" s="12" t="str">
        <f t="shared" si="20"/>
        <v/>
      </c>
      <c r="AI65" s="11" t="str">
        <f t="shared" si="21"/>
        <v/>
      </c>
      <c r="AJ65" s="8" t="str">
        <f t="shared" si="22"/>
        <v/>
      </c>
      <c r="AK65" s="6" t="str">
        <f t="shared" si="23"/>
        <v/>
      </c>
      <c r="AL65" s="7" t="str">
        <f t="shared" si="24"/>
        <v/>
      </c>
      <c r="AM65" s="8" t="str">
        <f t="shared" si="25"/>
        <v/>
      </c>
      <c r="AN65" s="6" t="str">
        <f t="shared" si="26"/>
        <v/>
      </c>
      <c r="AO65" s="10" t="str">
        <f t="shared" si="27"/>
        <v/>
      </c>
      <c r="AP65" s="13" t="str">
        <f t="shared" si="28"/>
        <v/>
      </c>
      <c r="AR65" s="125" t="str">
        <f t="shared" si="33"/>
        <v/>
      </c>
      <c r="AS65" s="126" t="str">
        <f t="shared" si="34"/>
        <v/>
      </c>
      <c r="AU65" s="52" t="str">
        <f t="shared" si="32"/>
        <v/>
      </c>
      <c r="AV65" s="46" t="str">
        <f>IF(M65="","",Assy.Model!W96-W65)</f>
        <v/>
      </c>
      <c r="AW65" s="47" t="str">
        <f>IF(M65="","",Assy.Model!X96-X65)</f>
        <v/>
      </c>
      <c r="AX65" s="58" t="str">
        <f>IF(M65="","",Assy.Model!Y96-Y65)</f>
        <v/>
      </c>
      <c r="AY65" s="318" t="str">
        <f>IF(M65="","",Assy.Model!AN96-AN65)</f>
        <v/>
      </c>
      <c r="AZ65" s="48" t="str">
        <f>IF(M65="","",Assy.Model!AO96-AO65)</f>
        <v/>
      </c>
      <c r="BA65" s="324" t="str">
        <f>IF(M65="","",Assy.Model!AP96-AP65)</f>
        <v/>
      </c>
      <c r="BB65" s="290" t="str">
        <f>IF(M65="","",SQRT((Assy.Model!T65-T65)^2+(Assy.Model!U65-U65)^2+(Assy.Model!V65-V65)^2))</f>
        <v/>
      </c>
    </row>
    <row r="66" spans="2:54" ht="15" customHeight="1" x14ac:dyDescent="0.25">
      <c r="B66" s="143"/>
      <c r="C66" s="144"/>
      <c r="D66" s="145"/>
      <c r="E66" s="146"/>
      <c r="F66" s="144"/>
      <c r="G66" s="147"/>
      <c r="H66" s="146"/>
      <c r="I66" s="148"/>
      <c r="J66" s="310"/>
      <c r="K66" s="303"/>
      <c r="M66" s="5" t="str">
        <f t="shared" si="1"/>
        <v/>
      </c>
      <c r="N66" s="24" t="str">
        <f t="shared" si="2"/>
        <v/>
      </c>
      <c r="O66" s="7" t="str">
        <f t="shared" si="3"/>
        <v/>
      </c>
      <c r="P66" s="12" t="str">
        <f t="shared" si="4"/>
        <v/>
      </c>
      <c r="Q66" s="11" t="str">
        <f t="shared" si="30"/>
        <v/>
      </c>
      <c r="R66" s="7" t="str">
        <f t="shared" si="5"/>
        <v/>
      </c>
      <c r="S66" s="8" t="str">
        <f t="shared" si="6"/>
        <v/>
      </c>
      <c r="T66" s="6" t="str">
        <f t="shared" si="7"/>
        <v/>
      </c>
      <c r="U66" s="7" t="str">
        <f t="shared" si="8"/>
        <v/>
      </c>
      <c r="V66" s="10" t="str">
        <f t="shared" si="9"/>
        <v/>
      </c>
      <c r="W66" s="11" t="str">
        <f t="shared" si="10"/>
        <v/>
      </c>
      <c r="X66" s="7" t="str">
        <f t="shared" si="11"/>
        <v/>
      </c>
      <c r="Y66" s="9" t="str">
        <f t="shared" si="31"/>
        <v/>
      </c>
      <c r="Z66" s="24" t="str">
        <f t="shared" si="12"/>
        <v/>
      </c>
      <c r="AA66" s="7" t="str">
        <f t="shared" si="13"/>
        <v/>
      </c>
      <c r="AB66" s="7" t="str">
        <f t="shared" si="14"/>
        <v/>
      </c>
      <c r="AC66" s="10" t="str">
        <f t="shared" si="15"/>
        <v/>
      </c>
      <c r="AD66" s="11" t="str">
        <f t="shared" si="16"/>
        <v/>
      </c>
      <c r="AE66" s="7" t="str">
        <f t="shared" si="17"/>
        <v/>
      </c>
      <c r="AF66" s="12" t="str">
        <f t="shared" si="18"/>
        <v/>
      </c>
      <c r="AG66" s="6" t="str">
        <f t="shared" si="19"/>
        <v/>
      </c>
      <c r="AH66" s="12" t="str">
        <f t="shared" si="20"/>
        <v/>
      </c>
      <c r="AI66" s="11" t="str">
        <f t="shared" si="21"/>
        <v/>
      </c>
      <c r="AJ66" s="8" t="str">
        <f t="shared" si="22"/>
        <v/>
      </c>
      <c r="AK66" s="6" t="str">
        <f t="shared" si="23"/>
        <v/>
      </c>
      <c r="AL66" s="7" t="str">
        <f t="shared" si="24"/>
        <v/>
      </c>
      <c r="AM66" s="8" t="str">
        <f t="shared" si="25"/>
        <v/>
      </c>
      <c r="AN66" s="6" t="str">
        <f t="shared" si="26"/>
        <v/>
      </c>
      <c r="AO66" s="10" t="str">
        <f t="shared" si="27"/>
        <v/>
      </c>
      <c r="AP66" s="13" t="str">
        <f t="shared" si="28"/>
        <v/>
      </c>
      <c r="AR66" s="125" t="str">
        <f t="shared" si="33"/>
        <v/>
      </c>
      <c r="AS66" s="126" t="str">
        <f t="shared" si="34"/>
        <v/>
      </c>
      <c r="AU66" s="52" t="str">
        <f t="shared" si="32"/>
        <v/>
      </c>
      <c r="AV66" s="46" t="str">
        <f>IF(M66="","",Assy.Model!W97-W66)</f>
        <v/>
      </c>
      <c r="AW66" s="47" t="str">
        <f>IF(M66="","",Assy.Model!X97-X66)</f>
        <v/>
      </c>
      <c r="AX66" s="58" t="str">
        <f>IF(M66="","",Assy.Model!Y97-Y66)</f>
        <v/>
      </c>
      <c r="AY66" s="318" t="str">
        <f>IF(M66="","",Assy.Model!AN97-AN66)</f>
        <v/>
      </c>
      <c r="AZ66" s="48" t="str">
        <f>IF(M66="","",Assy.Model!AO97-AO66)</f>
        <v/>
      </c>
      <c r="BA66" s="324" t="str">
        <f>IF(M66="","",Assy.Model!AP97-AP66)</f>
        <v/>
      </c>
      <c r="BB66" s="290" t="str">
        <f>IF(M66="","",SQRT((Assy.Model!T66-T66)^2+(Assy.Model!U66-U66)^2+(Assy.Model!V66-V66)^2))</f>
        <v/>
      </c>
    </row>
    <row r="67" spans="2:54" ht="15" customHeight="1" x14ac:dyDescent="0.25">
      <c r="B67" s="143"/>
      <c r="C67" s="144"/>
      <c r="D67" s="145"/>
      <c r="E67" s="146"/>
      <c r="F67" s="144"/>
      <c r="G67" s="147"/>
      <c r="H67" s="146"/>
      <c r="I67" s="148"/>
      <c r="J67" s="310"/>
      <c r="K67" s="303"/>
      <c r="M67" s="5" t="str">
        <f t="shared" si="1"/>
        <v/>
      </c>
      <c r="N67" s="24" t="str">
        <f t="shared" si="2"/>
        <v/>
      </c>
      <c r="O67" s="7" t="str">
        <f t="shared" si="3"/>
        <v/>
      </c>
      <c r="P67" s="12" t="str">
        <f t="shared" si="4"/>
        <v/>
      </c>
      <c r="Q67" s="11" t="str">
        <f t="shared" si="30"/>
        <v/>
      </c>
      <c r="R67" s="7" t="str">
        <f t="shared" si="5"/>
        <v/>
      </c>
      <c r="S67" s="8" t="str">
        <f t="shared" si="6"/>
        <v/>
      </c>
      <c r="T67" s="6" t="str">
        <f t="shared" si="7"/>
        <v/>
      </c>
      <c r="U67" s="7" t="str">
        <f t="shared" si="8"/>
        <v/>
      </c>
      <c r="V67" s="10" t="str">
        <f t="shared" si="9"/>
        <v/>
      </c>
      <c r="W67" s="11" t="str">
        <f t="shared" si="10"/>
        <v/>
      </c>
      <c r="X67" s="7" t="str">
        <f t="shared" si="11"/>
        <v/>
      </c>
      <c r="Y67" s="9" t="str">
        <f t="shared" si="31"/>
        <v/>
      </c>
      <c r="Z67" s="24" t="str">
        <f t="shared" si="12"/>
        <v/>
      </c>
      <c r="AA67" s="7" t="str">
        <f t="shared" si="13"/>
        <v/>
      </c>
      <c r="AB67" s="7" t="str">
        <f t="shared" si="14"/>
        <v/>
      </c>
      <c r="AC67" s="10" t="str">
        <f t="shared" si="15"/>
        <v/>
      </c>
      <c r="AD67" s="11" t="str">
        <f t="shared" si="16"/>
        <v/>
      </c>
      <c r="AE67" s="7" t="str">
        <f t="shared" si="17"/>
        <v/>
      </c>
      <c r="AF67" s="12" t="str">
        <f t="shared" si="18"/>
        <v/>
      </c>
      <c r="AG67" s="6" t="str">
        <f t="shared" si="19"/>
        <v/>
      </c>
      <c r="AH67" s="12" t="str">
        <f t="shared" si="20"/>
        <v/>
      </c>
      <c r="AI67" s="11" t="str">
        <f t="shared" si="21"/>
        <v/>
      </c>
      <c r="AJ67" s="8" t="str">
        <f t="shared" si="22"/>
        <v/>
      </c>
      <c r="AK67" s="6" t="str">
        <f t="shared" si="23"/>
        <v/>
      </c>
      <c r="AL67" s="7" t="str">
        <f t="shared" si="24"/>
        <v/>
      </c>
      <c r="AM67" s="8" t="str">
        <f t="shared" si="25"/>
        <v/>
      </c>
      <c r="AN67" s="6" t="str">
        <f t="shared" si="26"/>
        <v/>
      </c>
      <c r="AO67" s="10" t="str">
        <f t="shared" si="27"/>
        <v/>
      </c>
      <c r="AP67" s="13" t="str">
        <f t="shared" si="28"/>
        <v/>
      </c>
      <c r="AR67" s="125" t="str">
        <f t="shared" si="33"/>
        <v/>
      </c>
      <c r="AS67" s="126" t="str">
        <f t="shared" si="34"/>
        <v/>
      </c>
      <c r="AU67" s="52" t="str">
        <f t="shared" si="32"/>
        <v/>
      </c>
      <c r="AV67" s="46" t="str">
        <f>IF(M67="","",Assy.Model!W98-W67)</f>
        <v/>
      </c>
      <c r="AW67" s="47" t="str">
        <f>IF(M67="","",Assy.Model!X98-X67)</f>
        <v/>
      </c>
      <c r="AX67" s="58" t="str">
        <f>IF(M67="","",Assy.Model!Y98-Y67)</f>
        <v/>
      </c>
      <c r="AY67" s="318" t="str">
        <f>IF(M67="","",Assy.Model!AN98-AN67)</f>
        <v/>
      </c>
      <c r="AZ67" s="48" t="str">
        <f>IF(M67="","",Assy.Model!AO98-AO67)</f>
        <v/>
      </c>
      <c r="BA67" s="324" t="str">
        <f>IF(M67="","",Assy.Model!AP98-AP67)</f>
        <v/>
      </c>
      <c r="BB67" s="290" t="str">
        <f>IF(M67="","",SQRT((Assy.Model!T67-T67)^2+(Assy.Model!U67-U67)^2+(Assy.Model!V67-V67)^2))</f>
        <v/>
      </c>
    </row>
    <row r="68" spans="2:54" ht="15" customHeight="1" x14ac:dyDescent="0.25">
      <c r="B68" s="143"/>
      <c r="C68" s="144"/>
      <c r="D68" s="145"/>
      <c r="E68" s="146"/>
      <c r="F68" s="144"/>
      <c r="G68" s="147"/>
      <c r="H68" s="146"/>
      <c r="I68" s="148"/>
      <c r="J68" s="310"/>
      <c r="K68" s="303"/>
      <c r="M68" s="5" t="str">
        <f t="shared" si="1"/>
        <v/>
      </c>
      <c r="N68" s="24" t="str">
        <f t="shared" si="2"/>
        <v/>
      </c>
      <c r="O68" s="7" t="str">
        <f t="shared" si="3"/>
        <v/>
      </c>
      <c r="P68" s="12" t="str">
        <f t="shared" si="4"/>
        <v/>
      </c>
      <c r="Q68" s="11" t="str">
        <f t="shared" si="30"/>
        <v/>
      </c>
      <c r="R68" s="7" t="str">
        <f t="shared" si="5"/>
        <v/>
      </c>
      <c r="S68" s="8" t="str">
        <f t="shared" si="6"/>
        <v/>
      </c>
      <c r="T68" s="6" t="str">
        <f t="shared" si="7"/>
        <v/>
      </c>
      <c r="U68" s="7" t="str">
        <f t="shared" si="8"/>
        <v/>
      </c>
      <c r="V68" s="10" t="str">
        <f t="shared" si="9"/>
        <v/>
      </c>
      <c r="W68" s="11" t="str">
        <f t="shared" si="10"/>
        <v/>
      </c>
      <c r="X68" s="7" t="str">
        <f t="shared" si="11"/>
        <v/>
      </c>
      <c r="Y68" s="9" t="str">
        <f t="shared" si="31"/>
        <v/>
      </c>
      <c r="Z68" s="24" t="str">
        <f t="shared" si="12"/>
        <v/>
      </c>
      <c r="AA68" s="7" t="str">
        <f t="shared" si="13"/>
        <v/>
      </c>
      <c r="AB68" s="7" t="str">
        <f t="shared" si="14"/>
        <v/>
      </c>
      <c r="AC68" s="10" t="str">
        <f t="shared" si="15"/>
        <v/>
      </c>
      <c r="AD68" s="11" t="str">
        <f t="shared" si="16"/>
        <v/>
      </c>
      <c r="AE68" s="7" t="str">
        <f t="shared" si="17"/>
        <v/>
      </c>
      <c r="AF68" s="12" t="str">
        <f t="shared" si="18"/>
        <v/>
      </c>
      <c r="AG68" s="6" t="str">
        <f t="shared" si="19"/>
        <v/>
      </c>
      <c r="AH68" s="12" t="str">
        <f t="shared" si="20"/>
        <v/>
      </c>
      <c r="AI68" s="11" t="str">
        <f t="shared" si="21"/>
        <v/>
      </c>
      <c r="AJ68" s="8" t="str">
        <f t="shared" si="22"/>
        <v/>
      </c>
      <c r="AK68" s="6" t="str">
        <f t="shared" si="23"/>
        <v/>
      </c>
      <c r="AL68" s="7" t="str">
        <f t="shared" si="24"/>
        <v/>
      </c>
      <c r="AM68" s="8" t="str">
        <f t="shared" si="25"/>
        <v/>
      </c>
      <c r="AN68" s="6" t="str">
        <f t="shared" si="26"/>
        <v/>
      </c>
      <c r="AO68" s="10" t="str">
        <f t="shared" si="27"/>
        <v/>
      </c>
      <c r="AP68" s="13" t="str">
        <f t="shared" si="28"/>
        <v/>
      </c>
      <c r="AR68" s="125" t="str">
        <f t="shared" si="33"/>
        <v/>
      </c>
      <c r="AS68" s="126" t="str">
        <f t="shared" si="34"/>
        <v/>
      </c>
      <c r="AU68" s="52" t="str">
        <f t="shared" si="32"/>
        <v/>
      </c>
      <c r="AV68" s="46" t="str">
        <f>IF(M68="","",Assy.Model!W99-W68)</f>
        <v/>
      </c>
      <c r="AW68" s="47" t="str">
        <f>IF(M68="","",Assy.Model!X99-X68)</f>
        <v/>
      </c>
      <c r="AX68" s="58" t="str">
        <f>IF(M68="","",Assy.Model!Y99-Y68)</f>
        <v/>
      </c>
      <c r="AY68" s="318" t="str">
        <f>IF(M68="","",Assy.Model!AN99-AN68)</f>
        <v/>
      </c>
      <c r="AZ68" s="48" t="str">
        <f>IF(M68="","",Assy.Model!AO99-AO68)</f>
        <v/>
      </c>
      <c r="BA68" s="324" t="str">
        <f>IF(M68="","",Assy.Model!AP99-AP68)</f>
        <v/>
      </c>
      <c r="BB68" s="290" t="str">
        <f>IF(M68="","",SQRT((Assy.Model!T68-T68)^2+(Assy.Model!U68-U68)^2+(Assy.Model!V68-V68)^2))</f>
        <v/>
      </c>
    </row>
    <row r="69" spans="2:54" ht="15" customHeight="1" x14ac:dyDescent="0.25">
      <c r="B69" s="143"/>
      <c r="C69" s="144"/>
      <c r="D69" s="145"/>
      <c r="E69" s="146"/>
      <c r="F69" s="144"/>
      <c r="G69" s="147"/>
      <c r="H69" s="146"/>
      <c r="I69" s="148"/>
      <c r="J69" s="310"/>
      <c r="K69" s="303"/>
      <c r="M69" s="5" t="str">
        <f t="shared" si="1"/>
        <v/>
      </c>
      <c r="N69" s="24" t="str">
        <f t="shared" si="2"/>
        <v/>
      </c>
      <c r="O69" s="7" t="str">
        <f t="shared" si="3"/>
        <v/>
      </c>
      <c r="P69" s="12" t="str">
        <f t="shared" si="4"/>
        <v/>
      </c>
      <c r="Q69" s="11" t="str">
        <f t="shared" si="30"/>
        <v/>
      </c>
      <c r="R69" s="7" t="str">
        <f t="shared" si="5"/>
        <v/>
      </c>
      <c r="S69" s="8" t="str">
        <f t="shared" si="6"/>
        <v/>
      </c>
      <c r="T69" s="6" t="str">
        <f t="shared" si="7"/>
        <v/>
      </c>
      <c r="U69" s="7" t="str">
        <f t="shared" si="8"/>
        <v/>
      </c>
      <c r="V69" s="10" t="str">
        <f t="shared" si="9"/>
        <v/>
      </c>
      <c r="W69" s="11" t="str">
        <f t="shared" si="10"/>
        <v/>
      </c>
      <c r="X69" s="7" t="str">
        <f t="shared" si="11"/>
        <v/>
      </c>
      <c r="Y69" s="9" t="str">
        <f t="shared" si="31"/>
        <v/>
      </c>
      <c r="Z69" s="24" t="str">
        <f t="shared" si="12"/>
        <v/>
      </c>
      <c r="AA69" s="7" t="str">
        <f t="shared" si="13"/>
        <v/>
      </c>
      <c r="AB69" s="7" t="str">
        <f t="shared" si="14"/>
        <v/>
      </c>
      <c r="AC69" s="10" t="str">
        <f t="shared" si="15"/>
        <v/>
      </c>
      <c r="AD69" s="11" t="str">
        <f t="shared" si="16"/>
        <v/>
      </c>
      <c r="AE69" s="7" t="str">
        <f t="shared" si="17"/>
        <v/>
      </c>
      <c r="AF69" s="12" t="str">
        <f t="shared" si="18"/>
        <v/>
      </c>
      <c r="AG69" s="6" t="str">
        <f t="shared" si="19"/>
        <v/>
      </c>
      <c r="AH69" s="12" t="str">
        <f t="shared" si="20"/>
        <v/>
      </c>
      <c r="AI69" s="11" t="str">
        <f t="shared" si="21"/>
        <v/>
      </c>
      <c r="AJ69" s="8" t="str">
        <f t="shared" si="22"/>
        <v/>
      </c>
      <c r="AK69" s="6" t="str">
        <f t="shared" si="23"/>
        <v/>
      </c>
      <c r="AL69" s="7" t="str">
        <f t="shared" si="24"/>
        <v/>
      </c>
      <c r="AM69" s="8" t="str">
        <f t="shared" si="25"/>
        <v/>
      </c>
      <c r="AN69" s="6" t="str">
        <f t="shared" si="26"/>
        <v/>
      </c>
      <c r="AO69" s="10" t="str">
        <f t="shared" si="27"/>
        <v/>
      </c>
      <c r="AP69" s="13" t="str">
        <f t="shared" si="28"/>
        <v/>
      </c>
      <c r="AR69" s="125" t="str">
        <f t="shared" si="33"/>
        <v/>
      </c>
      <c r="AS69" s="126" t="str">
        <f t="shared" si="34"/>
        <v/>
      </c>
      <c r="AU69" s="52" t="str">
        <f t="shared" si="32"/>
        <v/>
      </c>
      <c r="AV69" s="46" t="str">
        <f>IF(M69="","",Assy.Model!W100-W69)</f>
        <v/>
      </c>
      <c r="AW69" s="47" t="str">
        <f>IF(M69="","",Assy.Model!X100-X69)</f>
        <v/>
      </c>
      <c r="AX69" s="58" t="str">
        <f>IF(M69="","",Assy.Model!Y100-Y69)</f>
        <v/>
      </c>
      <c r="AY69" s="318" t="str">
        <f>IF(M69="","",Assy.Model!AN100-AN69)</f>
        <v/>
      </c>
      <c r="AZ69" s="48" t="str">
        <f>IF(M69="","",Assy.Model!AO100-AO69)</f>
        <v/>
      </c>
      <c r="BA69" s="324" t="str">
        <f>IF(M69="","",Assy.Model!AP100-AP69)</f>
        <v/>
      </c>
      <c r="BB69" s="290" t="str">
        <f>IF(M69="","",SQRT((Assy.Model!T69-T69)^2+(Assy.Model!U69-U69)^2+(Assy.Model!V69-V69)^2))</f>
        <v/>
      </c>
    </row>
    <row r="70" spans="2:54" ht="15" customHeight="1" x14ac:dyDescent="0.25">
      <c r="B70" s="143"/>
      <c r="C70" s="144"/>
      <c r="D70" s="145"/>
      <c r="E70" s="146"/>
      <c r="F70" s="144"/>
      <c r="G70" s="147"/>
      <c r="H70" s="146"/>
      <c r="I70" s="148"/>
      <c r="J70" s="310"/>
      <c r="K70" s="303"/>
      <c r="M70" s="5" t="str">
        <f t="shared" si="1"/>
        <v/>
      </c>
      <c r="N70" s="24" t="str">
        <f t="shared" si="2"/>
        <v/>
      </c>
      <c r="O70" s="7" t="str">
        <f t="shared" si="3"/>
        <v/>
      </c>
      <c r="P70" s="12" t="str">
        <f t="shared" si="4"/>
        <v/>
      </c>
      <c r="Q70" s="11" t="str">
        <f t="shared" si="30"/>
        <v/>
      </c>
      <c r="R70" s="7" t="str">
        <f t="shared" si="5"/>
        <v/>
      </c>
      <c r="S70" s="8" t="str">
        <f t="shared" si="6"/>
        <v/>
      </c>
      <c r="T70" s="6" t="str">
        <f t="shared" si="7"/>
        <v/>
      </c>
      <c r="U70" s="7" t="str">
        <f t="shared" si="8"/>
        <v/>
      </c>
      <c r="V70" s="10" t="str">
        <f t="shared" si="9"/>
        <v/>
      </c>
      <c r="W70" s="11" t="str">
        <f t="shared" si="10"/>
        <v/>
      </c>
      <c r="X70" s="7" t="str">
        <f t="shared" si="11"/>
        <v/>
      </c>
      <c r="Y70" s="9" t="str">
        <f t="shared" si="31"/>
        <v/>
      </c>
      <c r="Z70" s="24" t="str">
        <f t="shared" si="12"/>
        <v/>
      </c>
      <c r="AA70" s="7" t="str">
        <f t="shared" si="13"/>
        <v/>
      </c>
      <c r="AB70" s="7" t="str">
        <f t="shared" si="14"/>
        <v/>
      </c>
      <c r="AC70" s="10" t="str">
        <f t="shared" si="15"/>
        <v/>
      </c>
      <c r="AD70" s="11" t="str">
        <f t="shared" si="16"/>
        <v/>
      </c>
      <c r="AE70" s="7" t="str">
        <f t="shared" si="17"/>
        <v/>
      </c>
      <c r="AF70" s="12" t="str">
        <f t="shared" si="18"/>
        <v/>
      </c>
      <c r="AG70" s="6" t="str">
        <f t="shared" si="19"/>
        <v/>
      </c>
      <c r="AH70" s="12" t="str">
        <f t="shared" si="20"/>
        <v/>
      </c>
      <c r="AI70" s="11" t="str">
        <f t="shared" si="21"/>
        <v/>
      </c>
      <c r="AJ70" s="8" t="str">
        <f t="shared" si="22"/>
        <v/>
      </c>
      <c r="AK70" s="6" t="str">
        <f t="shared" si="23"/>
        <v/>
      </c>
      <c r="AL70" s="7" t="str">
        <f t="shared" si="24"/>
        <v/>
      </c>
      <c r="AM70" s="8" t="str">
        <f t="shared" si="25"/>
        <v/>
      </c>
      <c r="AN70" s="6" t="str">
        <f t="shared" si="26"/>
        <v/>
      </c>
      <c r="AO70" s="10" t="str">
        <f t="shared" si="27"/>
        <v/>
      </c>
      <c r="AP70" s="13" t="str">
        <f t="shared" si="28"/>
        <v/>
      </c>
      <c r="AR70" s="125" t="str">
        <f t="shared" si="33"/>
        <v/>
      </c>
      <c r="AS70" s="126" t="str">
        <f t="shared" si="34"/>
        <v/>
      </c>
      <c r="AU70" s="52" t="str">
        <f t="shared" si="32"/>
        <v/>
      </c>
      <c r="AV70" s="46" t="str">
        <f>IF(M70="","",Assy.Model!W101-W70)</f>
        <v/>
      </c>
      <c r="AW70" s="47" t="str">
        <f>IF(M70="","",Assy.Model!X101-X70)</f>
        <v/>
      </c>
      <c r="AX70" s="58" t="str">
        <f>IF(M70="","",Assy.Model!Y101-Y70)</f>
        <v/>
      </c>
      <c r="AY70" s="318" t="str">
        <f>IF(M70="","",Assy.Model!AN101-AN70)</f>
        <v/>
      </c>
      <c r="AZ70" s="48" t="str">
        <f>IF(M70="","",Assy.Model!AO101-AO70)</f>
        <v/>
      </c>
      <c r="BA70" s="324" t="str">
        <f>IF(M70="","",Assy.Model!AP101-AP70)</f>
        <v/>
      </c>
      <c r="BB70" s="290" t="str">
        <f>IF(M70="","",SQRT((Assy.Model!T70-T70)^2+(Assy.Model!U70-U70)^2+(Assy.Model!V70-V70)^2))</f>
        <v/>
      </c>
    </row>
    <row r="71" spans="2:54" ht="15" customHeight="1" x14ac:dyDescent="0.25">
      <c r="B71" s="143"/>
      <c r="C71" s="144"/>
      <c r="D71" s="145"/>
      <c r="E71" s="146"/>
      <c r="F71" s="144"/>
      <c r="G71" s="147"/>
      <c r="H71" s="146"/>
      <c r="I71" s="148"/>
      <c r="J71" s="310"/>
      <c r="K71" s="303"/>
      <c r="M71" s="5" t="str">
        <f t="shared" si="1"/>
        <v/>
      </c>
      <c r="N71" s="24" t="str">
        <f t="shared" si="2"/>
        <v/>
      </c>
      <c r="O71" s="7" t="str">
        <f t="shared" si="3"/>
        <v/>
      </c>
      <c r="P71" s="12" t="str">
        <f t="shared" si="4"/>
        <v/>
      </c>
      <c r="Q71" s="11" t="str">
        <f t="shared" si="30"/>
        <v/>
      </c>
      <c r="R71" s="7" t="str">
        <f t="shared" si="5"/>
        <v/>
      </c>
      <c r="S71" s="8" t="str">
        <f t="shared" si="6"/>
        <v/>
      </c>
      <c r="T71" s="6" t="str">
        <f t="shared" si="7"/>
        <v/>
      </c>
      <c r="U71" s="7" t="str">
        <f t="shared" si="8"/>
        <v/>
      </c>
      <c r="V71" s="10" t="str">
        <f t="shared" si="9"/>
        <v/>
      </c>
      <c r="W71" s="11" t="str">
        <f t="shared" si="10"/>
        <v/>
      </c>
      <c r="X71" s="7" t="str">
        <f t="shared" si="11"/>
        <v/>
      </c>
      <c r="Y71" s="9" t="str">
        <f t="shared" si="31"/>
        <v/>
      </c>
      <c r="Z71" s="24" t="str">
        <f t="shared" si="12"/>
        <v/>
      </c>
      <c r="AA71" s="7" t="str">
        <f t="shared" si="13"/>
        <v/>
      </c>
      <c r="AB71" s="7" t="str">
        <f t="shared" si="14"/>
        <v/>
      </c>
      <c r="AC71" s="10" t="str">
        <f t="shared" si="15"/>
        <v/>
      </c>
      <c r="AD71" s="11" t="str">
        <f t="shared" si="16"/>
        <v/>
      </c>
      <c r="AE71" s="7" t="str">
        <f t="shared" si="17"/>
        <v/>
      </c>
      <c r="AF71" s="12" t="str">
        <f t="shared" si="18"/>
        <v/>
      </c>
      <c r="AG71" s="6" t="str">
        <f t="shared" si="19"/>
        <v/>
      </c>
      <c r="AH71" s="12" t="str">
        <f t="shared" si="20"/>
        <v/>
      </c>
      <c r="AI71" s="11" t="str">
        <f t="shared" si="21"/>
        <v/>
      </c>
      <c r="AJ71" s="8" t="str">
        <f t="shared" si="22"/>
        <v/>
      </c>
      <c r="AK71" s="6" t="str">
        <f t="shared" si="23"/>
        <v/>
      </c>
      <c r="AL71" s="7" t="str">
        <f t="shared" si="24"/>
        <v/>
      </c>
      <c r="AM71" s="8" t="str">
        <f t="shared" si="25"/>
        <v/>
      </c>
      <c r="AN71" s="6" t="str">
        <f t="shared" si="26"/>
        <v/>
      </c>
      <c r="AO71" s="10" t="str">
        <f t="shared" si="27"/>
        <v/>
      </c>
      <c r="AP71" s="13" t="str">
        <f t="shared" si="28"/>
        <v/>
      </c>
      <c r="AR71" s="125" t="str">
        <f t="shared" si="33"/>
        <v/>
      </c>
      <c r="AS71" s="126" t="str">
        <f t="shared" si="34"/>
        <v/>
      </c>
      <c r="AU71" s="52" t="str">
        <f t="shared" si="32"/>
        <v/>
      </c>
      <c r="AV71" s="46" t="str">
        <f>IF(M71="","",Assy.Model!W102-W71)</f>
        <v/>
      </c>
      <c r="AW71" s="47" t="str">
        <f>IF(M71="","",Assy.Model!X102-X71)</f>
        <v/>
      </c>
      <c r="AX71" s="58" t="str">
        <f>IF(M71="","",Assy.Model!Y102-Y71)</f>
        <v/>
      </c>
      <c r="AY71" s="318" t="str">
        <f>IF(M71="","",Assy.Model!AN102-AN71)</f>
        <v/>
      </c>
      <c r="AZ71" s="48" t="str">
        <f>IF(M71="","",Assy.Model!AO102-AO71)</f>
        <v/>
      </c>
      <c r="BA71" s="324" t="str">
        <f>IF(M71="","",Assy.Model!AP102-AP71)</f>
        <v/>
      </c>
      <c r="BB71" s="290" t="str">
        <f>IF(M71="","",SQRT((Assy.Model!T71-T71)^2+(Assy.Model!U71-U71)^2+(Assy.Model!V71-V71)^2))</f>
        <v/>
      </c>
    </row>
    <row r="72" spans="2:54" ht="15" customHeight="1" x14ac:dyDescent="0.25">
      <c r="B72" s="143"/>
      <c r="C72" s="144"/>
      <c r="D72" s="145"/>
      <c r="E72" s="146"/>
      <c r="F72" s="144"/>
      <c r="G72" s="147"/>
      <c r="H72" s="146"/>
      <c r="I72" s="148"/>
      <c r="J72" s="310"/>
      <c r="K72" s="303"/>
      <c r="M72" s="5" t="str">
        <f t="shared" si="1"/>
        <v/>
      </c>
      <c r="N72" s="24" t="str">
        <f t="shared" si="2"/>
        <v/>
      </c>
      <c r="O72" s="7" t="str">
        <f t="shared" si="3"/>
        <v/>
      </c>
      <c r="P72" s="12" t="str">
        <f t="shared" si="4"/>
        <v/>
      </c>
      <c r="Q72" s="11" t="str">
        <f t="shared" si="30"/>
        <v/>
      </c>
      <c r="R72" s="7" t="str">
        <f t="shared" si="5"/>
        <v/>
      </c>
      <c r="S72" s="8" t="str">
        <f t="shared" si="6"/>
        <v/>
      </c>
      <c r="T72" s="6" t="str">
        <f t="shared" si="7"/>
        <v/>
      </c>
      <c r="U72" s="7" t="str">
        <f t="shared" si="8"/>
        <v/>
      </c>
      <c r="V72" s="10" t="str">
        <f t="shared" si="9"/>
        <v/>
      </c>
      <c r="W72" s="11" t="str">
        <f t="shared" si="10"/>
        <v/>
      </c>
      <c r="X72" s="7" t="str">
        <f t="shared" si="11"/>
        <v/>
      </c>
      <c r="Y72" s="9" t="str">
        <f t="shared" si="31"/>
        <v/>
      </c>
      <c r="Z72" s="24" t="str">
        <f t="shared" si="12"/>
        <v/>
      </c>
      <c r="AA72" s="7" t="str">
        <f t="shared" si="13"/>
        <v/>
      </c>
      <c r="AB72" s="7" t="str">
        <f t="shared" si="14"/>
        <v/>
      </c>
      <c r="AC72" s="10" t="str">
        <f t="shared" si="15"/>
        <v/>
      </c>
      <c r="AD72" s="11" t="str">
        <f t="shared" si="16"/>
        <v/>
      </c>
      <c r="AE72" s="7" t="str">
        <f t="shared" si="17"/>
        <v/>
      </c>
      <c r="AF72" s="12" t="str">
        <f t="shared" si="18"/>
        <v/>
      </c>
      <c r="AG72" s="6" t="str">
        <f t="shared" si="19"/>
        <v/>
      </c>
      <c r="AH72" s="12" t="str">
        <f t="shared" si="20"/>
        <v/>
      </c>
      <c r="AI72" s="11" t="str">
        <f t="shared" si="21"/>
        <v/>
      </c>
      <c r="AJ72" s="8" t="str">
        <f t="shared" si="22"/>
        <v/>
      </c>
      <c r="AK72" s="6" t="str">
        <f t="shared" si="23"/>
        <v/>
      </c>
      <c r="AL72" s="7" t="str">
        <f t="shared" si="24"/>
        <v/>
      </c>
      <c r="AM72" s="8" t="str">
        <f t="shared" si="25"/>
        <v/>
      </c>
      <c r="AN72" s="6" t="str">
        <f t="shared" si="26"/>
        <v/>
      </c>
      <c r="AO72" s="10" t="str">
        <f t="shared" si="27"/>
        <v/>
      </c>
      <c r="AP72" s="13" t="str">
        <f t="shared" si="28"/>
        <v/>
      </c>
      <c r="AR72" s="125" t="str">
        <f t="shared" si="33"/>
        <v/>
      </c>
      <c r="AS72" s="126" t="str">
        <f t="shared" si="34"/>
        <v/>
      </c>
      <c r="AU72" s="52" t="str">
        <f t="shared" si="32"/>
        <v/>
      </c>
      <c r="AV72" s="46" t="str">
        <f>IF(M72="","",Assy.Model!W103-W72)</f>
        <v/>
      </c>
      <c r="AW72" s="47" t="str">
        <f>IF(M72="","",Assy.Model!X103-X72)</f>
        <v/>
      </c>
      <c r="AX72" s="58" t="str">
        <f>IF(M72="","",Assy.Model!Y103-Y72)</f>
        <v/>
      </c>
      <c r="AY72" s="318" t="str">
        <f>IF(M72="","",Assy.Model!AN103-AN72)</f>
        <v/>
      </c>
      <c r="AZ72" s="48" t="str">
        <f>IF(M72="","",Assy.Model!AO103-AO72)</f>
        <v/>
      </c>
      <c r="BA72" s="324" t="str">
        <f>IF(M72="","",Assy.Model!AP103-AP72)</f>
        <v/>
      </c>
      <c r="BB72" s="290" t="str">
        <f>IF(M72="","",SQRT((Assy.Model!T72-T72)^2+(Assy.Model!U72-U72)^2+(Assy.Model!V72-V72)^2))</f>
        <v/>
      </c>
    </row>
    <row r="73" spans="2:54" ht="15" customHeight="1" x14ac:dyDescent="0.25">
      <c r="B73" s="143"/>
      <c r="C73" s="144"/>
      <c r="D73" s="145"/>
      <c r="E73" s="146"/>
      <c r="F73" s="144"/>
      <c r="G73" s="147"/>
      <c r="H73" s="146"/>
      <c r="I73" s="148"/>
      <c r="J73" s="310"/>
      <c r="K73" s="303"/>
      <c r="M73" s="5" t="str">
        <f t="shared" si="1"/>
        <v/>
      </c>
      <c r="N73" s="24" t="str">
        <f t="shared" si="2"/>
        <v/>
      </c>
      <c r="O73" s="7" t="str">
        <f t="shared" si="3"/>
        <v/>
      </c>
      <c r="P73" s="12" t="str">
        <f t="shared" si="4"/>
        <v/>
      </c>
      <c r="Q73" s="11" t="str">
        <f t="shared" si="30"/>
        <v/>
      </c>
      <c r="R73" s="7" t="str">
        <f t="shared" si="5"/>
        <v/>
      </c>
      <c r="S73" s="8" t="str">
        <f t="shared" si="6"/>
        <v/>
      </c>
      <c r="T73" s="6" t="str">
        <f t="shared" si="7"/>
        <v/>
      </c>
      <c r="U73" s="7" t="str">
        <f t="shared" si="8"/>
        <v/>
      </c>
      <c r="V73" s="10" t="str">
        <f t="shared" si="9"/>
        <v/>
      </c>
      <c r="W73" s="11" t="str">
        <f t="shared" si="10"/>
        <v/>
      </c>
      <c r="X73" s="7" t="str">
        <f t="shared" si="11"/>
        <v/>
      </c>
      <c r="Y73" s="9" t="str">
        <f t="shared" si="31"/>
        <v/>
      </c>
      <c r="Z73" s="24" t="str">
        <f t="shared" si="12"/>
        <v/>
      </c>
      <c r="AA73" s="7" t="str">
        <f t="shared" si="13"/>
        <v/>
      </c>
      <c r="AB73" s="7" t="str">
        <f t="shared" si="14"/>
        <v/>
      </c>
      <c r="AC73" s="10" t="str">
        <f t="shared" si="15"/>
        <v/>
      </c>
      <c r="AD73" s="11" t="str">
        <f t="shared" si="16"/>
        <v/>
      </c>
      <c r="AE73" s="7" t="str">
        <f t="shared" si="17"/>
        <v/>
      </c>
      <c r="AF73" s="12" t="str">
        <f t="shared" si="18"/>
        <v/>
      </c>
      <c r="AG73" s="6" t="str">
        <f t="shared" si="19"/>
        <v/>
      </c>
      <c r="AH73" s="12" t="str">
        <f t="shared" si="20"/>
        <v/>
      </c>
      <c r="AI73" s="11" t="str">
        <f t="shared" si="21"/>
        <v/>
      </c>
      <c r="AJ73" s="8" t="str">
        <f t="shared" si="22"/>
        <v/>
      </c>
      <c r="AK73" s="6" t="str">
        <f t="shared" si="23"/>
        <v/>
      </c>
      <c r="AL73" s="7" t="str">
        <f t="shared" si="24"/>
        <v/>
      </c>
      <c r="AM73" s="8" t="str">
        <f t="shared" si="25"/>
        <v/>
      </c>
      <c r="AN73" s="6" t="str">
        <f t="shared" si="26"/>
        <v/>
      </c>
      <c r="AO73" s="10" t="str">
        <f t="shared" si="27"/>
        <v/>
      </c>
      <c r="AP73" s="13" t="str">
        <f t="shared" si="28"/>
        <v/>
      </c>
      <c r="AR73" s="125" t="str">
        <f t="shared" si="33"/>
        <v/>
      </c>
      <c r="AS73" s="126" t="str">
        <f t="shared" si="34"/>
        <v/>
      </c>
      <c r="AU73" s="52" t="str">
        <f t="shared" si="32"/>
        <v/>
      </c>
      <c r="AV73" s="46" t="str">
        <f>IF(M73="","",Assy.Model!W104-W73)</f>
        <v/>
      </c>
      <c r="AW73" s="47" t="str">
        <f>IF(M73="","",Assy.Model!X104-X73)</f>
        <v/>
      </c>
      <c r="AX73" s="58" t="str">
        <f>IF(M73="","",Assy.Model!Y104-Y73)</f>
        <v/>
      </c>
      <c r="AY73" s="318" t="str">
        <f>IF(M73="","",Assy.Model!AN104-AN73)</f>
        <v/>
      </c>
      <c r="AZ73" s="48" t="str">
        <f>IF(M73="","",Assy.Model!AO104-AO73)</f>
        <v/>
      </c>
      <c r="BA73" s="324" t="str">
        <f>IF(M73="","",Assy.Model!AP104-AP73)</f>
        <v/>
      </c>
      <c r="BB73" s="290" t="str">
        <f>IF(M73="","",SQRT((Assy.Model!T73-T73)^2+(Assy.Model!U73-U73)^2+(Assy.Model!V73-V73)^2))</f>
        <v/>
      </c>
    </row>
    <row r="74" spans="2:54" ht="15" customHeight="1" x14ac:dyDescent="0.25">
      <c r="B74" s="143"/>
      <c r="C74" s="144"/>
      <c r="D74" s="145"/>
      <c r="E74" s="146"/>
      <c r="F74" s="144"/>
      <c r="G74" s="147"/>
      <c r="H74" s="146"/>
      <c r="I74" s="148"/>
      <c r="J74" s="310"/>
      <c r="K74" s="303"/>
      <c r="M74" s="5" t="str">
        <f t="shared" ref="M74:M98" si="35">IF(J74="","",J74)</f>
        <v/>
      </c>
      <c r="N74" s="24" t="str">
        <f t="shared" ref="N74:N98" si="36">IF(M74="","",B74)</f>
        <v/>
      </c>
      <c r="O74" s="7" t="str">
        <f t="shared" ref="O74:O98" si="37">IF(M74="","",C74)</f>
        <v/>
      </c>
      <c r="P74" s="12" t="str">
        <f t="shared" ref="P74:P98" si="38">IF(M74="","",D74)</f>
        <v/>
      </c>
      <c r="Q74" s="11" t="str">
        <f t="shared" si="30"/>
        <v/>
      </c>
      <c r="R74" s="7" t="str">
        <f t="shared" ref="R74:R98" si="39">IF(M74="","",SQRT(N74^2+O74^2))</f>
        <v/>
      </c>
      <c r="S74" s="8" t="str">
        <f t="shared" ref="S74:S98" si="40">IF(M74="","",P74)</f>
        <v/>
      </c>
      <c r="T74" s="6" t="str">
        <f t="shared" ref="T74:T98" si="41">IF(M74="","",X74*COS(RADIANS(W74)))</f>
        <v/>
      </c>
      <c r="U74" s="7" t="str">
        <f t="shared" ref="U74:U98" si="42">IF(M74="","",X74*SIN(RADIANS(W74)))</f>
        <v/>
      </c>
      <c r="V74" s="10" t="str">
        <f t="shared" ref="V74:V98" si="43">IF(M74="","",Y74)</f>
        <v/>
      </c>
      <c r="W74" s="11" t="str">
        <f t="shared" ref="W74:W98" si="44">IF(M74="","",IF(Q74-$Q$8&lt;0,360+Q74-$Q$8,Q74-$Q$8))</f>
        <v/>
      </c>
      <c r="X74" s="7" t="str">
        <f t="shared" ref="X74:X98" si="45">IF(M74="","",R74)</f>
        <v/>
      </c>
      <c r="Y74" s="9" t="str">
        <f t="shared" si="31"/>
        <v/>
      </c>
      <c r="Z74" s="24" t="str">
        <f t="shared" ref="Z74:Z98" si="46">IF(M74="","",-E74)</f>
        <v/>
      </c>
      <c r="AA74" s="7" t="str">
        <f t="shared" ref="AA74:AA98" si="47">IF(M74="","",-F74)</f>
        <v/>
      </c>
      <c r="AB74" s="7" t="str">
        <f t="shared" ref="AB74:AB98" si="48">IF(M74="","",-G74)</f>
        <v/>
      </c>
      <c r="AC74" s="10" t="str">
        <f t="shared" ref="AC74:AC98" si="49">IF(M74="","",SQRT(Z74^2+AA74^2+AB74^2))</f>
        <v/>
      </c>
      <c r="AD74" s="11" t="str">
        <f t="shared" ref="AD74:AD98" si="50">IF(M74="","",Z74*(1/SQRT(Z74^2+AA74^2+AB74^2)))</f>
        <v/>
      </c>
      <c r="AE74" s="7" t="str">
        <f t="shared" ref="AE74:AE98" si="51">IF(M74="","",AA74*(1/SQRT(Z74^2+AA74^2+AB74^2)))</f>
        <v/>
      </c>
      <c r="AF74" s="12" t="str">
        <f t="shared" ref="AF74:AF98" si="52">IF(M74="","",AB74*(1/SQRT(Z74^2+AA74^2+AB74^2)))</f>
        <v/>
      </c>
      <c r="AG74" s="6" t="str">
        <f t="shared" ref="AG74:AG98" si="53">IF(M74="","",DEGREES(ATAN2(-AF74,AE74)))</f>
        <v/>
      </c>
      <c r="AH74" s="12" t="str">
        <f t="shared" ref="AH74:AH98" si="54">IF(M74="","",DEGREES(ACOS(AD74)))</f>
        <v/>
      </c>
      <c r="AI74" s="11" t="str">
        <f t="shared" ref="AI74:AI98" si="55">IF(M74="","",DEGREES(-ACOS(-AF74)))</f>
        <v/>
      </c>
      <c r="AJ74" s="8" t="str">
        <f t="shared" ref="AJ74:AJ98" si="56">IF(M74="","",DEGREES(ATAN2(-AE74,AD74)))</f>
        <v/>
      </c>
      <c r="AK74" s="6" t="str">
        <f t="shared" ref="AK74:AK98" si="57">IF(M74="","",(COS(RADIANS((90-$Q$8)-W74))*AD74)+(-SIN(RADIANS((90-$Q$8)-W74))*AE74))</f>
        <v/>
      </c>
      <c r="AL74" s="7" t="str">
        <f t="shared" ref="AL74:AL98" si="58">IF(M74="","",(SIN(RADIANS((90-$Q$8)-W74))*AD74)+(COS(RADIANS((90-$Q$8)-W74))*AE74))</f>
        <v/>
      </c>
      <c r="AM74" s="8" t="str">
        <f t="shared" ref="AM74:AM98" si="59">IF(M74="","",AF74)</f>
        <v/>
      </c>
      <c r="AN74" s="6" t="str">
        <f t="shared" ref="AN74:AN98" si="60">IF(M74="","",DEGREES(ATAN2(-AM74,AL74)))</f>
        <v/>
      </c>
      <c r="AO74" s="10" t="str">
        <f t="shared" ref="AO74:AO98" si="61">IF(M74="","",DEGREES(ACOS(AK74)))</f>
        <v/>
      </c>
      <c r="AP74" s="13" t="str">
        <f t="shared" ref="AP74:AP98" si="62">IF(M74="","",DEGREES(ATAN2(AK74,AL74)))</f>
        <v/>
      </c>
      <c r="AR74" s="125" t="str">
        <f t="shared" si="33"/>
        <v/>
      </c>
      <c r="AS74" s="126" t="str">
        <f t="shared" si="34"/>
        <v/>
      </c>
      <c r="AU74" s="52" t="str">
        <f t="shared" si="32"/>
        <v/>
      </c>
      <c r="AV74" s="46" t="str">
        <f>IF(M74="","",Assy.Model!W105-W74)</f>
        <v/>
      </c>
      <c r="AW74" s="47" t="str">
        <f>IF(M74="","",Assy.Model!X105-X74)</f>
        <v/>
      </c>
      <c r="AX74" s="58" t="str">
        <f>IF(M74="","",Assy.Model!Y105-Y74)</f>
        <v/>
      </c>
      <c r="AY74" s="318" t="str">
        <f>IF(M74="","",Assy.Model!AN105-AN74)</f>
        <v/>
      </c>
      <c r="AZ74" s="48" t="str">
        <f>IF(M74="","",Assy.Model!AO105-AO74)</f>
        <v/>
      </c>
      <c r="BA74" s="324" t="str">
        <f>IF(M74="","",Assy.Model!AP105-AP74)</f>
        <v/>
      </c>
      <c r="BB74" s="290" t="str">
        <f>IF(M74="","",SQRT((Assy.Model!T74-T74)^2+(Assy.Model!U74-U74)^2+(Assy.Model!V74-V74)^2))</f>
        <v/>
      </c>
    </row>
    <row r="75" spans="2:54" ht="15" customHeight="1" x14ac:dyDescent="0.25">
      <c r="B75" s="143"/>
      <c r="C75" s="144"/>
      <c r="D75" s="145"/>
      <c r="E75" s="146"/>
      <c r="F75" s="144"/>
      <c r="G75" s="147"/>
      <c r="H75" s="146"/>
      <c r="I75" s="148"/>
      <c r="J75" s="310"/>
      <c r="K75" s="303"/>
      <c r="M75" s="5" t="str">
        <f t="shared" si="35"/>
        <v/>
      </c>
      <c r="N75" s="24" t="str">
        <f t="shared" si="36"/>
        <v/>
      </c>
      <c r="O75" s="7" t="str">
        <f t="shared" si="37"/>
        <v/>
      </c>
      <c r="P75" s="12" t="str">
        <f t="shared" si="38"/>
        <v/>
      </c>
      <c r="Q75" s="11" t="str">
        <f t="shared" ref="Q75:Q98" si="63">IF(M75="","",IF(DEGREES(ATAN2(N75,O75))&lt;0,DEGREES(ATAN2(N75,O75))+360,IF(DEGREES(ATAN2(N75,O75))&gt;360,DEGREES(ATAN2(N75,O75))-360,DEGREES(ATAN2(N75,O75)))))</f>
        <v/>
      </c>
      <c r="R75" s="7" t="str">
        <f t="shared" si="39"/>
        <v/>
      </c>
      <c r="S75" s="8" t="str">
        <f t="shared" si="40"/>
        <v/>
      </c>
      <c r="T75" s="6" t="str">
        <f t="shared" si="41"/>
        <v/>
      </c>
      <c r="U75" s="7" t="str">
        <f t="shared" si="42"/>
        <v/>
      </c>
      <c r="V75" s="10" t="str">
        <f t="shared" si="43"/>
        <v/>
      </c>
      <c r="W75" s="11" t="str">
        <f t="shared" si="44"/>
        <v/>
      </c>
      <c r="X75" s="7" t="str">
        <f t="shared" si="45"/>
        <v/>
      </c>
      <c r="Y75" s="9" t="str">
        <f t="shared" ref="Y75:Y98" si="64">IF(M75="","",(S75-$S$8)+$Y$1)</f>
        <v/>
      </c>
      <c r="Z75" s="24" t="str">
        <f t="shared" si="46"/>
        <v/>
      </c>
      <c r="AA75" s="7" t="str">
        <f t="shared" si="47"/>
        <v/>
      </c>
      <c r="AB75" s="7" t="str">
        <f t="shared" si="48"/>
        <v/>
      </c>
      <c r="AC75" s="10" t="str">
        <f t="shared" si="49"/>
        <v/>
      </c>
      <c r="AD75" s="11" t="str">
        <f t="shared" si="50"/>
        <v/>
      </c>
      <c r="AE75" s="7" t="str">
        <f t="shared" si="51"/>
        <v/>
      </c>
      <c r="AF75" s="12" t="str">
        <f t="shared" si="52"/>
        <v/>
      </c>
      <c r="AG75" s="6" t="str">
        <f t="shared" si="53"/>
        <v/>
      </c>
      <c r="AH75" s="12" t="str">
        <f t="shared" si="54"/>
        <v/>
      </c>
      <c r="AI75" s="11" t="str">
        <f t="shared" si="55"/>
        <v/>
      </c>
      <c r="AJ75" s="8" t="str">
        <f t="shared" si="56"/>
        <v/>
      </c>
      <c r="AK75" s="6" t="str">
        <f t="shared" si="57"/>
        <v/>
      </c>
      <c r="AL75" s="7" t="str">
        <f t="shared" si="58"/>
        <v/>
      </c>
      <c r="AM75" s="8" t="str">
        <f t="shared" si="59"/>
        <v/>
      </c>
      <c r="AN75" s="6" t="str">
        <f t="shared" si="60"/>
        <v/>
      </c>
      <c r="AO75" s="10" t="str">
        <f t="shared" si="61"/>
        <v/>
      </c>
      <c r="AP75" s="13" t="str">
        <f t="shared" si="62"/>
        <v/>
      </c>
      <c r="AR75" s="125" t="str">
        <f t="shared" si="33"/>
        <v/>
      </c>
      <c r="AS75" s="126" t="str">
        <f t="shared" si="34"/>
        <v/>
      </c>
      <c r="AU75" s="52" t="str">
        <f t="shared" ref="AU75:AU98" si="65">M75</f>
        <v/>
      </c>
      <c r="AV75" s="46" t="str">
        <f>IF(M75="","",Assy.Model!W106-W75)</f>
        <v/>
      </c>
      <c r="AW75" s="47" t="str">
        <f>IF(M75="","",Assy.Model!X106-X75)</f>
        <v/>
      </c>
      <c r="AX75" s="58" t="str">
        <f>IF(M75="","",Assy.Model!Y106-Y75)</f>
        <v/>
      </c>
      <c r="AY75" s="318" t="str">
        <f>IF(M75="","",Assy.Model!AN106-AN75)</f>
        <v/>
      </c>
      <c r="AZ75" s="48" t="str">
        <f>IF(M75="","",Assy.Model!AO106-AO75)</f>
        <v/>
      </c>
      <c r="BA75" s="324" t="str">
        <f>IF(M75="","",Assy.Model!AP106-AP75)</f>
        <v/>
      </c>
      <c r="BB75" s="290" t="str">
        <f>IF(M75="","",SQRT((Assy.Model!T75-T75)^2+(Assy.Model!U75-U75)^2+(Assy.Model!V75-V75)^2))</f>
        <v/>
      </c>
    </row>
    <row r="76" spans="2:54" ht="15" customHeight="1" x14ac:dyDescent="0.25">
      <c r="B76" s="143"/>
      <c r="C76" s="144"/>
      <c r="D76" s="145"/>
      <c r="E76" s="146"/>
      <c r="F76" s="144"/>
      <c r="G76" s="147"/>
      <c r="H76" s="146"/>
      <c r="I76" s="148"/>
      <c r="J76" s="310"/>
      <c r="K76" s="303"/>
      <c r="M76" s="5" t="str">
        <f t="shared" si="35"/>
        <v/>
      </c>
      <c r="N76" s="24" t="str">
        <f t="shared" si="36"/>
        <v/>
      </c>
      <c r="O76" s="7" t="str">
        <f t="shared" si="37"/>
        <v/>
      </c>
      <c r="P76" s="12" t="str">
        <f t="shared" si="38"/>
        <v/>
      </c>
      <c r="Q76" s="11" t="str">
        <f t="shared" si="63"/>
        <v/>
      </c>
      <c r="R76" s="7" t="str">
        <f t="shared" si="39"/>
        <v/>
      </c>
      <c r="S76" s="8" t="str">
        <f t="shared" si="40"/>
        <v/>
      </c>
      <c r="T76" s="6" t="str">
        <f t="shared" si="41"/>
        <v/>
      </c>
      <c r="U76" s="7" t="str">
        <f t="shared" si="42"/>
        <v/>
      </c>
      <c r="V76" s="10" t="str">
        <f t="shared" si="43"/>
        <v/>
      </c>
      <c r="W76" s="11" t="str">
        <f t="shared" si="44"/>
        <v/>
      </c>
      <c r="X76" s="7" t="str">
        <f t="shared" si="45"/>
        <v/>
      </c>
      <c r="Y76" s="9" t="str">
        <f t="shared" si="64"/>
        <v/>
      </c>
      <c r="Z76" s="24" t="str">
        <f t="shared" si="46"/>
        <v/>
      </c>
      <c r="AA76" s="7" t="str">
        <f t="shared" si="47"/>
        <v/>
      </c>
      <c r="AB76" s="7" t="str">
        <f t="shared" si="48"/>
        <v/>
      </c>
      <c r="AC76" s="10" t="str">
        <f t="shared" si="49"/>
        <v/>
      </c>
      <c r="AD76" s="11" t="str">
        <f t="shared" si="50"/>
        <v/>
      </c>
      <c r="AE76" s="7" t="str">
        <f t="shared" si="51"/>
        <v/>
      </c>
      <c r="AF76" s="12" t="str">
        <f t="shared" si="52"/>
        <v/>
      </c>
      <c r="AG76" s="6" t="str">
        <f t="shared" si="53"/>
        <v/>
      </c>
      <c r="AH76" s="12" t="str">
        <f t="shared" si="54"/>
        <v/>
      </c>
      <c r="AI76" s="11" t="str">
        <f t="shared" si="55"/>
        <v/>
      </c>
      <c r="AJ76" s="8" t="str">
        <f t="shared" si="56"/>
        <v/>
      </c>
      <c r="AK76" s="6" t="str">
        <f t="shared" si="57"/>
        <v/>
      </c>
      <c r="AL76" s="7" t="str">
        <f t="shared" si="58"/>
        <v/>
      </c>
      <c r="AM76" s="8" t="str">
        <f t="shared" si="59"/>
        <v/>
      </c>
      <c r="AN76" s="6" t="str">
        <f t="shared" si="60"/>
        <v/>
      </c>
      <c r="AO76" s="10" t="str">
        <f t="shared" si="61"/>
        <v/>
      </c>
      <c r="AP76" s="13" t="str">
        <f t="shared" si="62"/>
        <v/>
      </c>
      <c r="AR76" s="127" t="str">
        <f t="shared" si="33"/>
        <v/>
      </c>
      <c r="AS76" s="126" t="str">
        <f t="shared" si="34"/>
        <v/>
      </c>
      <c r="AU76" s="52" t="str">
        <f t="shared" si="65"/>
        <v/>
      </c>
      <c r="AV76" s="46" t="str">
        <f>IF(M76="","",Assy.Model!W107-W76)</f>
        <v/>
      </c>
      <c r="AW76" s="47" t="str">
        <f>IF(M76="","",Assy.Model!X107-X76)</f>
        <v/>
      </c>
      <c r="AX76" s="58" t="str">
        <f>IF(M76="","",Assy.Model!Y107-Y76)</f>
        <v/>
      </c>
      <c r="AY76" s="318" t="str">
        <f>IF(M76="","",Assy.Model!AN107-AN76)</f>
        <v/>
      </c>
      <c r="AZ76" s="48" t="str">
        <f>IF(M76="","",Assy.Model!AO107-AO76)</f>
        <v/>
      </c>
      <c r="BA76" s="324" t="str">
        <f>IF(M76="","",Assy.Model!AP107-AP76)</f>
        <v/>
      </c>
      <c r="BB76" s="290" t="str">
        <f>IF(M76="","",SQRT((Assy.Model!T76-T76)^2+(Assy.Model!U76-U76)^2+(Assy.Model!V76-V76)^2))</f>
        <v/>
      </c>
    </row>
    <row r="77" spans="2:54" ht="15" customHeight="1" x14ac:dyDescent="0.25">
      <c r="B77" s="143"/>
      <c r="C77" s="144"/>
      <c r="D77" s="145"/>
      <c r="E77" s="146"/>
      <c r="F77" s="144"/>
      <c r="G77" s="147"/>
      <c r="H77" s="146"/>
      <c r="I77" s="148"/>
      <c r="J77" s="310"/>
      <c r="K77" s="303"/>
      <c r="M77" s="5" t="str">
        <f t="shared" si="35"/>
        <v/>
      </c>
      <c r="N77" s="24" t="str">
        <f t="shared" si="36"/>
        <v/>
      </c>
      <c r="O77" s="7" t="str">
        <f t="shared" si="37"/>
        <v/>
      </c>
      <c r="P77" s="12" t="str">
        <f t="shared" si="38"/>
        <v/>
      </c>
      <c r="Q77" s="11" t="str">
        <f t="shared" si="63"/>
        <v/>
      </c>
      <c r="R77" s="7" t="str">
        <f t="shared" si="39"/>
        <v/>
      </c>
      <c r="S77" s="8" t="str">
        <f t="shared" si="40"/>
        <v/>
      </c>
      <c r="T77" s="6" t="str">
        <f t="shared" si="41"/>
        <v/>
      </c>
      <c r="U77" s="7" t="str">
        <f t="shared" si="42"/>
        <v/>
      </c>
      <c r="V77" s="10" t="str">
        <f t="shared" si="43"/>
        <v/>
      </c>
      <c r="W77" s="11" t="str">
        <f t="shared" si="44"/>
        <v/>
      </c>
      <c r="X77" s="7" t="str">
        <f t="shared" si="45"/>
        <v/>
      </c>
      <c r="Y77" s="9" t="str">
        <f t="shared" si="64"/>
        <v/>
      </c>
      <c r="Z77" s="24" t="str">
        <f t="shared" si="46"/>
        <v/>
      </c>
      <c r="AA77" s="7" t="str">
        <f t="shared" si="47"/>
        <v/>
      </c>
      <c r="AB77" s="7" t="str">
        <f t="shared" si="48"/>
        <v/>
      </c>
      <c r="AC77" s="10" t="str">
        <f t="shared" si="49"/>
        <v/>
      </c>
      <c r="AD77" s="11" t="str">
        <f t="shared" si="50"/>
        <v/>
      </c>
      <c r="AE77" s="7" t="str">
        <f t="shared" si="51"/>
        <v/>
      </c>
      <c r="AF77" s="12" t="str">
        <f t="shared" si="52"/>
        <v/>
      </c>
      <c r="AG77" s="6" t="str">
        <f t="shared" si="53"/>
        <v/>
      </c>
      <c r="AH77" s="12" t="str">
        <f t="shared" si="54"/>
        <v/>
      </c>
      <c r="AI77" s="11" t="str">
        <f t="shared" si="55"/>
        <v/>
      </c>
      <c r="AJ77" s="8" t="str">
        <f t="shared" si="56"/>
        <v/>
      </c>
      <c r="AK77" s="6" t="str">
        <f t="shared" si="57"/>
        <v/>
      </c>
      <c r="AL77" s="7" t="str">
        <f t="shared" si="58"/>
        <v/>
      </c>
      <c r="AM77" s="8" t="str">
        <f t="shared" si="59"/>
        <v/>
      </c>
      <c r="AN77" s="6" t="str">
        <f t="shared" si="60"/>
        <v/>
      </c>
      <c r="AO77" s="10" t="str">
        <f t="shared" si="61"/>
        <v/>
      </c>
      <c r="AP77" s="13" t="str">
        <f t="shared" si="62"/>
        <v/>
      </c>
      <c r="AR77" s="127" t="str">
        <f t="shared" si="33"/>
        <v/>
      </c>
      <c r="AS77" s="126" t="str">
        <f t="shared" si="34"/>
        <v/>
      </c>
      <c r="AU77" s="52" t="str">
        <f t="shared" si="65"/>
        <v/>
      </c>
      <c r="AV77" s="46" t="str">
        <f>IF(M77="","",Assy.Model!W108-W77)</f>
        <v/>
      </c>
      <c r="AW77" s="47" t="str">
        <f>IF(M77="","",Assy.Model!X108-X77)</f>
        <v/>
      </c>
      <c r="AX77" s="58" t="str">
        <f>IF(M77="","",Assy.Model!Y108-Y77)</f>
        <v/>
      </c>
      <c r="AY77" s="318" t="str">
        <f>IF(M77="","",Assy.Model!AN108-AN77)</f>
        <v/>
      </c>
      <c r="AZ77" s="48" t="str">
        <f>IF(M77="","",Assy.Model!AO108-AO77)</f>
        <v/>
      </c>
      <c r="BA77" s="324" t="str">
        <f>IF(M77="","",Assy.Model!AP108-AP77)</f>
        <v/>
      </c>
      <c r="BB77" s="290" t="str">
        <f>IF(M77="","",SQRT((Assy.Model!T77-T77)^2+(Assy.Model!U77-U77)^2+(Assy.Model!V77-V77)^2))</f>
        <v/>
      </c>
    </row>
    <row r="78" spans="2:54" ht="15" customHeight="1" x14ac:dyDescent="0.25">
      <c r="B78" s="143"/>
      <c r="C78" s="144"/>
      <c r="D78" s="145"/>
      <c r="E78" s="146"/>
      <c r="F78" s="144"/>
      <c r="G78" s="147"/>
      <c r="H78" s="146"/>
      <c r="I78" s="148"/>
      <c r="J78" s="310"/>
      <c r="K78" s="303"/>
      <c r="M78" s="5" t="str">
        <f t="shared" si="35"/>
        <v/>
      </c>
      <c r="N78" s="24" t="str">
        <f t="shared" si="36"/>
        <v/>
      </c>
      <c r="O78" s="7" t="str">
        <f t="shared" si="37"/>
        <v/>
      </c>
      <c r="P78" s="12" t="str">
        <f t="shared" si="38"/>
        <v/>
      </c>
      <c r="Q78" s="11" t="str">
        <f t="shared" si="63"/>
        <v/>
      </c>
      <c r="R78" s="7" t="str">
        <f t="shared" si="39"/>
        <v/>
      </c>
      <c r="S78" s="8" t="str">
        <f t="shared" si="40"/>
        <v/>
      </c>
      <c r="T78" s="6" t="str">
        <f t="shared" si="41"/>
        <v/>
      </c>
      <c r="U78" s="7" t="str">
        <f t="shared" si="42"/>
        <v/>
      </c>
      <c r="V78" s="10" t="str">
        <f t="shared" si="43"/>
        <v/>
      </c>
      <c r="W78" s="11" t="str">
        <f t="shared" si="44"/>
        <v/>
      </c>
      <c r="X78" s="7" t="str">
        <f t="shared" si="45"/>
        <v/>
      </c>
      <c r="Y78" s="9" t="str">
        <f t="shared" si="64"/>
        <v/>
      </c>
      <c r="Z78" s="24" t="str">
        <f t="shared" si="46"/>
        <v/>
      </c>
      <c r="AA78" s="7" t="str">
        <f t="shared" si="47"/>
        <v/>
      </c>
      <c r="AB78" s="7" t="str">
        <f t="shared" si="48"/>
        <v/>
      </c>
      <c r="AC78" s="10" t="str">
        <f t="shared" si="49"/>
        <v/>
      </c>
      <c r="AD78" s="11" t="str">
        <f t="shared" si="50"/>
        <v/>
      </c>
      <c r="AE78" s="7" t="str">
        <f t="shared" si="51"/>
        <v/>
      </c>
      <c r="AF78" s="12" t="str">
        <f t="shared" si="52"/>
        <v/>
      </c>
      <c r="AG78" s="6" t="str">
        <f t="shared" si="53"/>
        <v/>
      </c>
      <c r="AH78" s="12" t="str">
        <f t="shared" si="54"/>
        <v/>
      </c>
      <c r="AI78" s="11" t="str">
        <f t="shared" si="55"/>
        <v/>
      </c>
      <c r="AJ78" s="8" t="str">
        <f t="shared" si="56"/>
        <v/>
      </c>
      <c r="AK78" s="6" t="str">
        <f t="shared" si="57"/>
        <v/>
      </c>
      <c r="AL78" s="7" t="str">
        <f t="shared" si="58"/>
        <v/>
      </c>
      <c r="AM78" s="8" t="str">
        <f t="shared" si="59"/>
        <v/>
      </c>
      <c r="AN78" s="6" t="str">
        <f t="shared" si="60"/>
        <v/>
      </c>
      <c r="AO78" s="10" t="str">
        <f t="shared" si="61"/>
        <v/>
      </c>
      <c r="AP78" s="13" t="str">
        <f t="shared" si="62"/>
        <v/>
      </c>
      <c r="AR78" s="127" t="str">
        <f t="shared" si="33"/>
        <v/>
      </c>
      <c r="AS78" s="126" t="str">
        <f t="shared" si="34"/>
        <v/>
      </c>
      <c r="AU78" s="52" t="str">
        <f t="shared" si="65"/>
        <v/>
      </c>
      <c r="AV78" s="46" t="str">
        <f>IF(M78="","",Assy.Model!W109-W78)</f>
        <v/>
      </c>
      <c r="AW78" s="47" t="str">
        <f>IF(M78="","",Assy.Model!X109-X78)</f>
        <v/>
      </c>
      <c r="AX78" s="58" t="str">
        <f>IF(M78="","",Assy.Model!Y109-Y78)</f>
        <v/>
      </c>
      <c r="AY78" s="318" t="str">
        <f>IF(M78="","",Assy.Model!AN109-AN78)</f>
        <v/>
      </c>
      <c r="AZ78" s="48" t="str">
        <f>IF(M78="","",Assy.Model!AO109-AO78)</f>
        <v/>
      </c>
      <c r="BA78" s="324" t="str">
        <f>IF(M78="","",Assy.Model!AP109-AP78)</f>
        <v/>
      </c>
      <c r="BB78" s="290" t="str">
        <f>IF(M78="","",SQRT((Assy.Model!T78-T78)^2+(Assy.Model!U78-U78)^2+(Assy.Model!V78-V78)^2))</f>
        <v/>
      </c>
    </row>
    <row r="79" spans="2:54" ht="15" customHeight="1" x14ac:dyDescent="0.25">
      <c r="B79" s="143"/>
      <c r="C79" s="144"/>
      <c r="D79" s="145"/>
      <c r="E79" s="146"/>
      <c r="F79" s="144"/>
      <c r="G79" s="147"/>
      <c r="H79" s="146"/>
      <c r="I79" s="148"/>
      <c r="J79" s="310"/>
      <c r="K79" s="303"/>
      <c r="M79" s="5" t="str">
        <f t="shared" si="35"/>
        <v/>
      </c>
      <c r="N79" s="24" t="str">
        <f t="shared" si="36"/>
        <v/>
      </c>
      <c r="O79" s="7" t="str">
        <f t="shared" si="37"/>
        <v/>
      </c>
      <c r="P79" s="12" t="str">
        <f t="shared" si="38"/>
        <v/>
      </c>
      <c r="Q79" s="11" t="str">
        <f t="shared" si="63"/>
        <v/>
      </c>
      <c r="R79" s="7" t="str">
        <f t="shared" si="39"/>
        <v/>
      </c>
      <c r="S79" s="8" t="str">
        <f t="shared" si="40"/>
        <v/>
      </c>
      <c r="T79" s="6" t="str">
        <f t="shared" si="41"/>
        <v/>
      </c>
      <c r="U79" s="7" t="str">
        <f t="shared" si="42"/>
        <v/>
      </c>
      <c r="V79" s="10" t="str">
        <f t="shared" si="43"/>
        <v/>
      </c>
      <c r="W79" s="11" t="str">
        <f t="shared" si="44"/>
        <v/>
      </c>
      <c r="X79" s="7" t="str">
        <f t="shared" si="45"/>
        <v/>
      </c>
      <c r="Y79" s="9" t="str">
        <f t="shared" si="64"/>
        <v/>
      </c>
      <c r="Z79" s="24" t="str">
        <f t="shared" si="46"/>
        <v/>
      </c>
      <c r="AA79" s="7" t="str">
        <f t="shared" si="47"/>
        <v/>
      </c>
      <c r="AB79" s="7" t="str">
        <f t="shared" si="48"/>
        <v/>
      </c>
      <c r="AC79" s="10" t="str">
        <f t="shared" si="49"/>
        <v/>
      </c>
      <c r="AD79" s="11" t="str">
        <f t="shared" si="50"/>
        <v/>
      </c>
      <c r="AE79" s="7" t="str">
        <f t="shared" si="51"/>
        <v/>
      </c>
      <c r="AF79" s="12" t="str">
        <f t="shared" si="52"/>
        <v/>
      </c>
      <c r="AG79" s="6" t="str">
        <f t="shared" si="53"/>
        <v/>
      </c>
      <c r="AH79" s="12" t="str">
        <f t="shared" si="54"/>
        <v/>
      </c>
      <c r="AI79" s="11" t="str">
        <f t="shared" si="55"/>
        <v/>
      </c>
      <c r="AJ79" s="8" t="str">
        <f t="shared" si="56"/>
        <v/>
      </c>
      <c r="AK79" s="6" t="str">
        <f t="shared" si="57"/>
        <v/>
      </c>
      <c r="AL79" s="7" t="str">
        <f t="shared" si="58"/>
        <v/>
      </c>
      <c r="AM79" s="8" t="str">
        <f t="shared" si="59"/>
        <v/>
      </c>
      <c r="AN79" s="6" t="str">
        <f t="shared" si="60"/>
        <v/>
      </c>
      <c r="AO79" s="10" t="str">
        <f t="shared" si="61"/>
        <v/>
      </c>
      <c r="AP79" s="13" t="str">
        <f t="shared" si="62"/>
        <v/>
      </c>
      <c r="AR79" s="127" t="str">
        <f t="shared" si="33"/>
        <v/>
      </c>
      <c r="AS79" s="126" t="str">
        <f t="shared" si="34"/>
        <v/>
      </c>
      <c r="AU79" s="52" t="str">
        <f t="shared" si="65"/>
        <v/>
      </c>
      <c r="AV79" s="46" t="str">
        <f>IF(M79="","",Assy.Model!W110-W79)</f>
        <v/>
      </c>
      <c r="AW79" s="47" t="str">
        <f>IF(M79="","",Assy.Model!X110-X79)</f>
        <v/>
      </c>
      <c r="AX79" s="58" t="str">
        <f>IF(M79="","",Assy.Model!Y110-Y79)</f>
        <v/>
      </c>
      <c r="AY79" s="318" t="str">
        <f>IF(M79="","",Assy.Model!AN110-AN79)</f>
        <v/>
      </c>
      <c r="AZ79" s="48" t="str">
        <f>IF(M79="","",Assy.Model!AO110-AO79)</f>
        <v/>
      </c>
      <c r="BA79" s="324" t="str">
        <f>IF(M79="","",Assy.Model!AP110-AP79)</f>
        <v/>
      </c>
      <c r="BB79" s="290" t="str">
        <f>IF(M79="","",SQRT((Assy.Model!T79-T79)^2+(Assy.Model!U79-U79)^2+(Assy.Model!V79-V79)^2))</f>
        <v/>
      </c>
    </row>
    <row r="80" spans="2:54" ht="15" customHeight="1" x14ac:dyDescent="0.25">
      <c r="B80" s="143"/>
      <c r="C80" s="144"/>
      <c r="D80" s="145"/>
      <c r="E80" s="146"/>
      <c r="F80" s="144"/>
      <c r="G80" s="147"/>
      <c r="H80" s="146"/>
      <c r="I80" s="148"/>
      <c r="J80" s="310"/>
      <c r="K80" s="303"/>
      <c r="M80" s="5" t="str">
        <f t="shared" si="35"/>
        <v/>
      </c>
      <c r="N80" s="24" t="str">
        <f t="shared" si="36"/>
        <v/>
      </c>
      <c r="O80" s="7" t="str">
        <f t="shared" si="37"/>
        <v/>
      </c>
      <c r="P80" s="12" t="str">
        <f t="shared" si="38"/>
        <v/>
      </c>
      <c r="Q80" s="11" t="str">
        <f t="shared" si="63"/>
        <v/>
      </c>
      <c r="R80" s="7" t="str">
        <f t="shared" si="39"/>
        <v/>
      </c>
      <c r="S80" s="8" t="str">
        <f t="shared" si="40"/>
        <v/>
      </c>
      <c r="T80" s="6" t="str">
        <f t="shared" si="41"/>
        <v/>
      </c>
      <c r="U80" s="7" t="str">
        <f t="shared" si="42"/>
        <v/>
      </c>
      <c r="V80" s="10" t="str">
        <f t="shared" si="43"/>
        <v/>
      </c>
      <c r="W80" s="11" t="str">
        <f t="shared" si="44"/>
        <v/>
      </c>
      <c r="X80" s="7" t="str">
        <f t="shared" si="45"/>
        <v/>
      </c>
      <c r="Y80" s="9" t="str">
        <f t="shared" si="64"/>
        <v/>
      </c>
      <c r="Z80" s="24" t="str">
        <f t="shared" si="46"/>
        <v/>
      </c>
      <c r="AA80" s="7" t="str">
        <f t="shared" si="47"/>
        <v/>
      </c>
      <c r="AB80" s="7" t="str">
        <f t="shared" si="48"/>
        <v/>
      </c>
      <c r="AC80" s="10" t="str">
        <f t="shared" si="49"/>
        <v/>
      </c>
      <c r="AD80" s="11" t="str">
        <f t="shared" si="50"/>
        <v/>
      </c>
      <c r="AE80" s="7" t="str">
        <f t="shared" si="51"/>
        <v/>
      </c>
      <c r="AF80" s="12" t="str">
        <f t="shared" si="52"/>
        <v/>
      </c>
      <c r="AG80" s="6" t="str">
        <f t="shared" si="53"/>
        <v/>
      </c>
      <c r="AH80" s="12" t="str">
        <f t="shared" si="54"/>
        <v/>
      </c>
      <c r="AI80" s="11" t="str">
        <f t="shared" si="55"/>
        <v/>
      </c>
      <c r="AJ80" s="8" t="str">
        <f t="shared" si="56"/>
        <v/>
      </c>
      <c r="AK80" s="6" t="str">
        <f t="shared" si="57"/>
        <v/>
      </c>
      <c r="AL80" s="7" t="str">
        <f t="shared" si="58"/>
        <v/>
      </c>
      <c r="AM80" s="8" t="str">
        <f t="shared" si="59"/>
        <v/>
      </c>
      <c r="AN80" s="6" t="str">
        <f t="shared" si="60"/>
        <v/>
      </c>
      <c r="AO80" s="10" t="str">
        <f t="shared" si="61"/>
        <v/>
      </c>
      <c r="AP80" s="13" t="str">
        <f t="shared" si="62"/>
        <v/>
      </c>
      <c r="AR80" s="127" t="str">
        <f t="shared" si="33"/>
        <v/>
      </c>
      <c r="AS80" s="126" t="str">
        <f t="shared" si="34"/>
        <v/>
      </c>
      <c r="AU80" s="52" t="str">
        <f t="shared" si="65"/>
        <v/>
      </c>
      <c r="AV80" s="46" t="str">
        <f>IF(M80="","",Assy.Model!W111-W80)</f>
        <v/>
      </c>
      <c r="AW80" s="47" t="str">
        <f>IF(M80="","",Assy.Model!X111-X80)</f>
        <v/>
      </c>
      <c r="AX80" s="58" t="str">
        <f>IF(M80="","",Assy.Model!Y111-Y80)</f>
        <v/>
      </c>
      <c r="AY80" s="318" t="str">
        <f>IF(M80="","",Assy.Model!AN111-AN80)</f>
        <v/>
      </c>
      <c r="AZ80" s="48" t="str">
        <f>IF(M80="","",Assy.Model!AO111-AO80)</f>
        <v/>
      </c>
      <c r="BA80" s="324" t="str">
        <f>IF(M80="","",Assy.Model!AP111-AP80)</f>
        <v/>
      </c>
      <c r="BB80" s="290" t="str">
        <f>IF(M80="","",SQRT((Assy.Model!T80-T80)^2+(Assy.Model!U80-U80)^2+(Assy.Model!V80-V80)^2))</f>
        <v/>
      </c>
    </row>
    <row r="81" spans="2:54" ht="15" customHeight="1" x14ac:dyDescent="0.25">
      <c r="B81" s="143"/>
      <c r="C81" s="144"/>
      <c r="D81" s="145"/>
      <c r="E81" s="146"/>
      <c r="F81" s="144"/>
      <c r="G81" s="147"/>
      <c r="H81" s="146"/>
      <c r="I81" s="148"/>
      <c r="J81" s="310"/>
      <c r="K81" s="303"/>
      <c r="M81" s="5" t="str">
        <f t="shared" si="35"/>
        <v/>
      </c>
      <c r="N81" s="24" t="str">
        <f t="shared" si="36"/>
        <v/>
      </c>
      <c r="O81" s="7" t="str">
        <f t="shared" si="37"/>
        <v/>
      </c>
      <c r="P81" s="12" t="str">
        <f t="shared" si="38"/>
        <v/>
      </c>
      <c r="Q81" s="11" t="str">
        <f t="shared" si="63"/>
        <v/>
      </c>
      <c r="R81" s="7" t="str">
        <f t="shared" si="39"/>
        <v/>
      </c>
      <c r="S81" s="8" t="str">
        <f t="shared" si="40"/>
        <v/>
      </c>
      <c r="T81" s="6" t="str">
        <f t="shared" si="41"/>
        <v/>
      </c>
      <c r="U81" s="7" t="str">
        <f t="shared" si="42"/>
        <v/>
      </c>
      <c r="V81" s="10" t="str">
        <f t="shared" si="43"/>
        <v/>
      </c>
      <c r="W81" s="11" t="str">
        <f t="shared" si="44"/>
        <v/>
      </c>
      <c r="X81" s="7" t="str">
        <f t="shared" si="45"/>
        <v/>
      </c>
      <c r="Y81" s="9" t="str">
        <f t="shared" si="64"/>
        <v/>
      </c>
      <c r="Z81" s="24" t="str">
        <f t="shared" si="46"/>
        <v/>
      </c>
      <c r="AA81" s="7" t="str">
        <f t="shared" si="47"/>
        <v/>
      </c>
      <c r="AB81" s="7" t="str">
        <f t="shared" si="48"/>
        <v/>
      </c>
      <c r="AC81" s="10" t="str">
        <f t="shared" si="49"/>
        <v/>
      </c>
      <c r="AD81" s="11" t="str">
        <f t="shared" si="50"/>
        <v/>
      </c>
      <c r="AE81" s="7" t="str">
        <f t="shared" si="51"/>
        <v/>
      </c>
      <c r="AF81" s="12" t="str">
        <f t="shared" si="52"/>
        <v/>
      </c>
      <c r="AG81" s="6" t="str">
        <f t="shared" si="53"/>
        <v/>
      </c>
      <c r="AH81" s="12" t="str">
        <f t="shared" si="54"/>
        <v/>
      </c>
      <c r="AI81" s="11" t="str">
        <f t="shared" si="55"/>
        <v/>
      </c>
      <c r="AJ81" s="8" t="str">
        <f t="shared" si="56"/>
        <v/>
      </c>
      <c r="AK81" s="6" t="str">
        <f t="shared" si="57"/>
        <v/>
      </c>
      <c r="AL81" s="7" t="str">
        <f t="shared" si="58"/>
        <v/>
      </c>
      <c r="AM81" s="8" t="str">
        <f t="shared" si="59"/>
        <v/>
      </c>
      <c r="AN81" s="6" t="str">
        <f t="shared" si="60"/>
        <v/>
      </c>
      <c r="AO81" s="10" t="str">
        <f t="shared" si="61"/>
        <v/>
      </c>
      <c r="AP81" s="13" t="str">
        <f t="shared" si="62"/>
        <v/>
      </c>
      <c r="AR81" s="127" t="str">
        <f t="shared" si="33"/>
        <v/>
      </c>
      <c r="AS81" s="126" t="str">
        <f t="shared" si="34"/>
        <v/>
      </c>
      <c r="AU81" s="52" t="str">
        <f t="shared" si="65"/>
        <v/>
      </c>
      <c r="AV81" s="46" t="str">
        <f>IF(M81="","",Assy.Model!W112-W81)</f>
        <v/>
      </c>
      <c r="AW81" s="47" t="str">
        <f>IF(M81="","",Assy.Model!X112-X81)</f>
        <v/>
      </c>
      <c r="AX81" s="58" t="str">
        <f>IF(M81="","",Assy.Model!Y112-Y81)</f>
        <v/>
      </c>
      <c r="AY81" s="318" t="str">
        <f>IF(M81="","",Assy.Model!AN112-AN81)</f>
        <v/>
      </c>
      <c r="AZ81" s="48" t="str">
        <f>IF(M81="","",Assy.Model!AO112-AO81)</f>
        <v/>
      </c>
      <c r="BA81" s="324" t="str">
        <f>IF(M81="","",Assy.Model!AP112-AP81)</f>
        <v/>
      </c>
      <c r="BB81" s="290" t="str">
        <f>IF(M81="","",SQRT((Assy.Model!T81-T81)^2+(Assy.Model!U81-U81)^2+(Assy.Model!V81-V81)^2))</f>
        <v/>
      </c>
    </row>
    <row r="82" spans="2:54" ht="15" customHeight="1" x14ac:dyDescent="0.25">
      <c r="B82" s="143"/>
      <c r="C82" s="144"/>
      <c r="D82" s="145"/>
      <c r="E82" s="146"/>
      <c r="F82" s="144"/>
      <c r="G82" s="147"/>
      <c r="H82" s="146"/>
      <c r="I82" s="148"/>
      <c r="J82" s="310"/>
      <c r="K82" s="303"/>
      <c r="M82" s="5" t="str">
        <f t="shared" si="35"/>
        <v/>
      </c>
      <c r="N82" s="24" t="str">
        <f t="shared" si="36"/>
        <v/>
      </c>
      <c r="O82" s="7" t="str">
        <f t="shared" si="37"/>
        <v/>
      </c>
      <c r="P82" s="12" t="str">
        <f t="shared" si="38"/>
        <v/>
      </c>
      <c r="Q82" s="11" t="str">
        <f t="shared" si="63"/>
        <v/>
      </c>
      <c r="R82" s="7" t="str">
        <f t="shared" si="39"/>
        <v/>
      </c>
      <c r="S82" s="8" t="str">
        <f t="shared" si="40"/>
        <v/>
      </c>
      <c r="T82" s="6" t="str">
        <f t="shared" si="41"/>
        <v/>
      </c>
      <c r="U82" s="7" t="str">
        <f t="shared" si="42"/>
        <v/>
      </c>
      <c r="V82" s="10" t="str">
        <f t="shared" si="43"/>
        <v/>
      </c>
      <c r="W82" s="11" t="str">
        <f t="shared" si="44"/>
        <v/>
      </c>
      <c r="X82" s="7" t="str">
        <f t="shared" si="45"/>
        <v/>
      </c>
      <c r="Y82" s="9" t="str">
        <f t="shared" si="64"/>
        <v/>
      </c>
      <c r="Z82" s="24" t="str">
        <f t="shared" si="46"/>
        <v/>
      </c>
      <c r="AA82" s="7" t="str">
        <f t="shared" si="47"/>
        <v/>
      </c>
      <c r="AB82" s="7" t="str">
        <f t="shared" si="48"/>
        <v/>
      </c>
      <c r="AC82" s="10" t="str">
        <f t="shared" si="49"/>
        <v/>
      </c>
      <c r="AD82" s="11" t="str">
        <f t="shared" si="50"/>
        <v/>
      </c>
      <c r="AE82" s="7" t="str">
        <f t="shared" si="51"/>
        <v/>
      </c>
      <c r="AF82" s="12" t="str">
        <f t="shared" si="52"/>
        <v/>
      </c>
      <c r="AG82" s="6" t="str">
        <f t="shared" si="53"/>
        <v/>
      </c>
      <c r="AH82" s="12" t="str">
        <f t="shared" si="54"/>
        <v/>
      </c>
      <c r="AI82" s="11" t="str">
        <f t="shared" si="55"/>
        <v/>
      </c>
      <c r="AJ82" s="8" t="str">
        <f t="shared" si="56"/>
        <v/>
      </c>
      <c r="AK82" s="6" t="str">
        <f t="shared" si="57"/>
        <v/>
      </c>
      <c r="AL82" s="7" t="str">
        <f t="shared" si="58"/>
        <v/>
      </c>
      <c r="AM82" s="8" t="str">
        <f t="shared" si="59"/>
        <v/>
      </c>
      <c r="AN82" s="6" t="str">
        <f t="shared" si="60"/>
        <v/>
      </c>
      <c r="AO82" s="10" t="str">
        <f t="shared" si="61"/>
        <v/>
      </c>
      <c r="AP82" s="13" t="str">
        <f t="shared" si="62"/>
        <v/>
      </c>
      <c r="AR82" s="127" t="str">
        <f t="shared" si="33"/>
        <v/>
      </c>
      <c r="AS82" s="126" t="str">
        <f t="shared" si="34"/>
        <v/>
      </c>
      <c r="AU82" s="52" t="str">
        <f t="shared" si="65"/>
        <v/>
      </c>
      <c r="AV82" s="46" t="str">
        <f>IF(M82="","",Assy.Model!W113-W82)</f>
        <v/>
      </c>
      <c r="AW82" s="47" t="str">
        <f>IF(M82="","",Assy.Model!X113-X82)</f>
        <v/>
      </c>
      <c r="AX82" s="58" t="str">
        <f>IF(M82="","",Assy.Model!Y113-Y82)</f>
        <v/>
      </c>
      <c r="AY82" s="318" t="str">
        <f>IF(M82="","",Assy.Model!AN113-AN82)</f>
        <v/>
      </c>
      <c r="AZ82" s="48" t="str">
        <f>IF(M82="","",Assy.Model!AO113-AO82)</f>
        <v/>
      </c>
      <c r="BA82" s="324" t="str">
        <f>IF(M82="","",Assy.Model!AP113-AP82)</f>
        <v/>
      </c>
      <c r="BB82" s="290" t="str">
        <f>IF(M82="","",SQRT((Assy.Model!T82-T82)^2+(Assy.Model!U82-U82)^2+(Assy.Model!V82-V82)^2))</f>
        <v/>
      </c>
    </row>
    <row r="83" spans="2:54" ht="15" customHeight="1" x14ac:dyDescent="0.25">
      <c r="B83" s="143"/>
      <c r="C83" s="144"/>
      <c r="D83" s="145"/>
      <c r="E83" s="146"/>
      <c r="F83" s="144"/>
      <c r="G83" s="147"/>
      <c r="H83" s="146"/>
      <c r="I83" s="148"/>
      <c r="J83" s="310"/>
      <c r="K83" s="303"/>
      <c r="M83" s="5" t="str">
        <f t="shared" si="35"/>
        <v/>
      </c>
      <c r="N83" s="24" t="str">
        <f t="shared" si="36"/>
        <v/>
      </c>
      <c r="O83" s="7" t="str">
        <f t="shared" si="37"/>
        <v/>
      </c>
      <c r="P83" s="12" t="str">
        <f t="shared" si="38"/>
        <v/>
      </c>
      <c r="Q83" s="11" t="str">
        <f t="shared" si="63"/>
        <v/>
      </c>
      <c r="R83" s="7" t="str">
        <f t="shared" si="39"/>
        <v/>
      </c>
      <c r="S83" s="8" t="str">
        <f t="shared" si="40"/>
        <v/>
      </c>
      <c r="T83" s="6" t="str">
        <f t="shared" si="41"/>
        <v/>
      </c>
      <c r="U83" s="7" t="str">
        <f t="shared" si="42"/>
        <v/>
      </c>
      <c r="V83" s="10" t="str">
        <f t="shared" si="43"/>
        <v/>
      </c>
      <c r="W83" s="11" t="str">
        <f t="shared" si="44"/>
        <v/>
      </c>
      <c r="X83" s="7" t="str">
        <f t="shared" si="45"/>
        <v/>
      </c>
      <c r="Y83" s="9" t="str">
        <f t="shared" si="64"/>
        <v/>
      </c>
      <c r="Z83" s="24" t="str">
        <f t="shared" si="46"/>
        <v/>
      </c>
      <c r="AA83" s="7" t="str">
        <f t="shared" si="47"/>
        <v/>
      </c>
      <c r="AB83" s="7" t="str">
        <f t="shared" si="48"/>
        <v/>
      </c>
      <c r="AC83" s="10" t="str">
        <f t="shared" si="49"/>
        <v/>
      </c>
      <c r="AD83" s="11" t="str">
        <f t="shared" si="50"/>
        <v/>
      </c>
      <c r="AE83" s="7" t="str">
        <f t="shared" si="51"/>
        <v/>
      </c>
      <c r="AF83" s="12" t="str">
        <f t="shared" si="52"/>
        <v/>
      </c>
      <c r="AG83" s="6" t="str">
        <f t="shared" si="53"/>
        <v/>
      </c>
      <c r="AH83" s="12" t="str">
        <f t="shared" si="54"/>
        <v/>
      </c>
      <c r="AI83" s="11" t="str">
        <f t="shared" si="55"/>
        <v/>
      </c>
      <c r="AJ83" s="8" t="str">
        <f t="shared" si="56"/>
        <v/>
      </c>
      <c r="AK83" s="6" t="str">
        <f t="shared" si="57"/>
        <v/>
      </c>
      <c r="AL83" s="7" t="str">
        <f t="shared" si="58"/>
        <v/>
      </c>
      <c r="AM83" s="8" t="str">
        <f t="shared" si="59"/>
        <v/>
      </c>
      <c r="AN83" s="6" t="str">
        <f t="shared" si="60"/>
        <v/>
      </c>
      <c r="AO83" s="10" t="str">
        <f t="shared" si="61"/>
        <v/>
      </c>
      <c r="AP83" s="13" t="str">
        <f t="shared" si="62"/>
        <v/>
      </c>
      <c r="AR83" s="127" t="str">
        <f t="shared" si="33"/>
        <v/>
      </c>
      <c r="AS83" s="126" t="str">
        <f t="shared" si="34"/>
        <v/>
      </c>
      <c r="AU83" s="52" t="str">
        <f t="shared" si="65"/>
        <v/>
      </c>
      <c r="AV83" s="46" t="str">
        <f>IF(M83="","",Assy.Model!W114-W83)</f>
        <v/>
      </c>
      <c r="AW83" s="47" t="str">
        <f>IF(M83="","",Assy.Model!X114-X83)</f>
        <v/>
      </c>
      <c r="AX83" s="58" t="str">
        <f>IF(M83="","",Assy.Model!Y114-Y83)</f>
        <v/>
      </c>
      <c r="AY83" s="318" t="str">
        <f>IF(M83="","",Assy.Model!AN114-AN83)</f>
        <v/>
      </c>
      <c r="AZ83" s="48" t="str">
        <f>IF(M83="","",Assy.Model!AO114-AO83)</f>
        <v/>
      </c>
      <c r="BA83" s="324" t="str">
        <f>IF(M83="","",Assy.Model!AP114-AP83)</f>
        <v/>
      </c>
      <c r="BB83" s="290" t="str">
        <f>IF(M83="","",SQRT((Assy.Model!T83-T83)^2+(Assy.Model!U83-U83)^2+(Assy.Model!V83-V83)^2))</f>
        <v/>
      </c>
    </row>
    <row r="84" spans="2:54" ht="15" customHeight="1" x14ac:dyDescent="0.25">
      <c r="B84" s="143"/>
      <c r="C84" s="144"/>
      <c r="D84" s="145"/>
      <c r="E84" s="146"/>
      <c r="F84" s="144"/>
      <c r="G84" s="147"/>
      <c r="H84" s="146"/>
      <c r="I84" s="148"/>
      <c r="J84" s="310"/>
      <c r="K84" s="303"/>
      <c r="M84" s="5" t="str">
        <f t="shared" si="35"/>
        <v/>
      </c>
      <c r="N84" s="24" t="str">
        <f t="shared" si="36"/>
        <v/>
      </c>
      <c r="O84" s="7" t="str">
        <f t="shared" si="37"/>
        <v/>
      </c>
      <c r="P84" s="12" t="str">
        <f t="shared" si="38"/>
        <v/>
      </c>
      <c r="Q84" s="11" t="str">
        <f t="shared" si="63"/>
        <v/>
      </c>
      <c r="R84" s="7" t="str">
        <f t="shared" si="39"/>
        <v/>
      </c>
      <c r="S84" s="8" t="str">
        <f t="shared" si="40"/>
        <v/>
      </c>
      <c r="T84" s="6" t="str">
        <f t="shared" si="41"/>
        <v/>
      </c>
      <c r="U84" s="7" t="str">
        <f t="shared" si="42"/>
        <v/>
      </c>
      <c r="V84" s="10" t="str">
        <f t="shared" si="43"/>
        <v/>
      </c>
      <c r="W84" s="11" t="str">
        <f t="shared" si="44"/>
        <v/>
      </c>
      <c r="X84" s="7" t="str">
        <f t="shared" si="45"/>
        <v/>
      </c>
      <c r="Y84" s="9" t="str">
        <f t="shared" si="64"/>
        <v/>
      </c>
      <c r="Z84" s="24" t="str">
        <f t="shared" si="46"/>
        <v/>
      </c>
      <c r="AA84" s="7" t="str">
        <f t="shared" si="47"/>
        <v/>
      </c>
      <c r="AB84" s="7" t="str">
        <f t="shared" si="48"/>
        <v/>
      </c>
      <c r="AC84" s="10" t="str">
        <f t="shared" si="49"/>
        <v/>
      </c>
      <c r="AD84" s="11" t="str">
        <f t="shared" si="50"/>
        <v/>
      </c>
      <c r="AE84" s="7" t="str">
        <f t="shared" si="51"/>
        <v/>
      </c>
      <c r="AF84" s="12" t="str">
        <f t="shared" si="52"/>
        <v/>
      </c>
      <c r="AG84" s="6" t="str">
        <f t="shared" si="53"/>
        <v/>
      </c>
      <c r="AH84" s="12" t="str">
        <f t="shared" si="54"/>
        <v/>
      </c>
      <c r="AI84" s="11" t="str">
        <f t="shared" si="55"/>
        <v/>
      </c>
      <c r="AJ84" s="8" t="str">
        <f t="shared" si="56"/>
        <v/>
      </c>
      <c r="AK84" s="6" t="str">
        <f t="shared" si="57"/>
        <v/>
      </c>
      <c r="AL84" s="7" t="str">
        <f t="shared" si="58"/>
        <v/>
      </c>
      <c r="AM84" s="8" t="str">
        <f t="shared" si="59"/>
        <v/>
      </c>
      <c r="AN84" s="6" t="str">
        <f t="shared" si="60"/>
        <v/>
      </c>
      <c r="AO84" s="10" t="str">
        <f t="shared" si="61"/>
        <v/>
      </c>
      <c r="AP84" s="13" t="str">
        <f t="shared" si="62"/>
        <v/>
      </c>
      <c r="AR84" s="127" t="str">
        <f t="shared" si="33"/>
        <v/>
      </c>
      <c r="AS84" s="126" t="str">
        <f t="shared" si="34"/>
        <v/>
      </c>
      <c r="AU84" s="52" t="str">
        <f t="shared" si="65"/>
        <v/>
      </c>
      <c r="AV84" s="46" t="str">
        <f>IF(M84="","",Assy.Model!W115-W84)</f>
        <v/>
      </c>
      <c r="AW84" s="47" t="str">
        <f>IF(M84="","",Assy.Model!X115-X84)</f>
        <v/>
      </c>
      <c r="AX84" s="58" t="str">
        <f>IF(M84="","",Assy.Model!Y115-Y84)</f>
        <v/>
      </c>
      <c r="AY84" s="318" t="str">
        <f>IF(M84="","",Assy.Model!AN115-AN84)</f>
        <v/>
      </c>
      <c r="AZ84" s="48" t="str">
        <f>IF(M84="","",Assy.Model!AO115-AO84)</f>
        <v/>
      </c>
      <c r="BA84" s="324" t="str">
        <f>IF(M84="","",Assy.Model!AP115-AP84)</f>
        <v/>
      </c>
      <c r="BB84" s="290" t="str">
        <f>IF(M84="","",SQRT((Assy.Model!T84-T84)^2+(Assy.Model!U84-U84)^2+(Assy.Model!V84-V84)^2))</f>
        <v/>
      </c>
    </row>
    <row r="85" spans="2:54" ht="15" customHeight="1" x14ac:dyDescent="0.25">
      <c r="B85" s="143"/>
      <c r="C85" s="144"/>
      <c r="D85" s="145"/>
      <c r="E85" s="146"/>
      <c r="F85" s="144"/>
      <c r="G85" s="147"/>
      <c r="H85" s="146"/>
      <c r="I85" s="148"/>
      <c r="J85" s="310"/>
      <c r="K85" s="303"/>
      <c r="M85" s="5" t="str">
        <f t="shared" si="35"/>
        <v/>
      </c>
      <c r="N85" s="24" t="str">
        <f t="shared" si="36"/>
        <v/>
      </c>
      <c r="O85" s="7" t="str">
        <f t="shared" si="37"/>
        <v/>
      </c>
      <c r="P85" s="12" t="str">
        <f t="shared" si="38"/>
        <v/>
      </c>
      <c r="Q85" s="11" t="str">
        <f t="shared" si="63"/>
        <v/>
      </c>
      <c r="R85" s="7" t="str">
        <f t="shared" si="39"/>
        <v/>
      </c>
      <c r="S85" s="8" t="str">
        <f t="shared" si="40"/>
        <v/>
      </c>
      <c r="T85" s="6" t="str">
        <f t="shared" si="41"/>
        <v/>
      </c>
      <c r="U85" s="7" t="str">
        <f t="shared" si="42"/>
        <v/>
      </c>
      <c r="V85" s="10" t="str">
        <f t="shared" si="43"/>
        <v/>
      </c>
      <c r="W85" s="11" t="str">
        <f t="shared" si="44"/>
        <v/>
      </c>
      <c r="X85" s="7" t="str">
        <f t="shared" si="45"/>
        <v/>
      </c>
      <c r="Y85" s="9" t="str">
        <f t="shared" si="64"/>
        <v/>
      </c>
      <c r="Z85" s="24" t="str">
        <f t="shared" si="46"/>
        <v/>
      </c>
      <c r="AA85" s="7" t="str">
        <f t="shared" si="47"/>
        <v/>
      </c>
      <c r="AB85" s="7" t="str">
        <f t="shared" si="48"/>
        <v/>
      </c>
      <c r="AC85" s="10" t="str">
        <f t="shared" si="49"/>
        <v/>
      </c>
      <c r="AD85" s="11" t="str">
        <f t="shared" si="50"/>
        <v/>
      </c>
      <c r="AE85" s="7" t="str">
        <f t="shared" si="51"/>
        <v/>
      </c>
      <c r="AF85" s="12" t="str">
        <f t="shared" si="52"/>
        <v/>
      </c>
      <c r="AG85" s="6" t="str">
        <f t="shared" si="53"/>
        <v/>
      </c>
      <c r="AH85" s="12" t="str">
        <f t="shared" si="54"/>
        <v/>
      </c>
      <c r="AI85" s="11" t="str">
        <f t="shared" si="55"/>
        <v/>
      </c>
      <c r="AJ85" s="8" t="str">
        <f t="shared" si="56"/>
        <v/>
      </c>
      <c r="AK85" s="6" t="str">
        <f t="shared" si="57"/>
        <v/>
      </c>
      <c r="AL85" s="7" t="str">
        <f t="shared" si="58"/>
        <v/>
      </c>
      <c r="AM85" s="8" t="str">
        <f t="shared" si="59"/>
        <v/>
      </c>
      <c r="AN85" s="6" t="str">
        <f t="shared" si="60"/>
        <v/>
      </c>
      <c r="AO85" s="10" t="str">
        <f t="shared" si="61"/>
        <v/>
      </c>
      <c r="AP85" s="13" t="str">
        <f t="shared" si="62"/>
        <v/>
      </c>
      <c r="AR85" s="127" t="str">
        <f t="shared" si="33"/>
        <v/>
      </c>
      <c r="AS85" s="126" t="str">
        <f t="shared" si="34"/>
        <v/>
      </c>
      <c r="AU85" s="52" t="str">
        <f t="shared" si="65"/>
        <v/>
      </c>
      <c r="AV85" s="46" t="str">
        <f>IF(M85="","",Assy.Model!W116-W85)</f>
        <v/>
      </c>
      <c r="AW85" s="47" t="str">
        <f>IF(M85="","",Assy.Model!X116-X85)</f>
        <v/>
      </c>
      <c r="AX85" s="58" t="str">
        <f>IF(M85="","",Assy.Model!Y116-Y85)</f>
        <v/>
      </c>
      <c r="AY85" s="318" t="str">
        <f>IF(M85="","",Assy.Model!AN116-AN85)</f>
        <v/>
      </c>
      <c r="AZ85" s="48" t="str">
        <f>IF(M85="","",Assy.Model!AO116-AO85)</f>
        <v/>
      </c>
      <c r="BA85" s="324" t="str">
        <f>IF(M85="","",Assy.Model!AP116-AP85)</f>
        <v/>
      </c>
      <c r="BB85" s="290" t="str">
        <f>IF(M85="","",SQRT((Assy.Model!T85-T85)^2+(Assy.Model!U85-U85)^2+(Assy.Model!V85-V85)^2))</f>
        <v/>
      </c>
    </row>
    <row r="86" spans="2:54" ht="15" customHeight="1" x14ac:dyDescent="0.25">
      <c r="B86" s="143"/>
      <c r="C86" s="144"/>
      <c r="D86" s="145"/>
      <c r="E86" s="146"/>
      <c r="F86" s="144"/>
      <c r="G86" s="147"/>
      <c r="H86" s="146"/>
      <c r="I86" s="148"/>
      <c r="J86" s="310"/>
      <c r="K86" s="303"/>
      <c r="M86" s="5" t="str">
        <f t="shared" si="35"/>
        <v/>
      </c>
      <c r="N86" s="24" t="str">
        <f t="shared" si="36"/>
        <v/>
      </c>
      <c r="O86" s="7" t="str">
        <f t="shared" si="37"/>
        <v/>
      </c>
      <c r="P86" s="12" t="str">
        <f t="shared" si="38"/>
        <v/>
      </c>
      <c r="Q86" s="11" t="str">
        <f t="shared" si="63"/>
        <v/>
      </c>
      <c r="R86" s="7" t="str">
        <f t="shared" si="39"/>
        <v/>
      </c>
      <c r="S86" s="8" t="str">
        <f t="shared" si="40"/>
        <v/>
      </c>
      <c r="T86" s="6" t="str">
        <f t="shared" si="41"/>
        <v/>
      </c>
      <c r="U86" s="7" t="str">
        <f t="shared" si="42"/>
        <v/>
      </c>
      <c r="V86" s="10" t="str">
        <f t="shared" si="43"/>
        <v/>
      </c>
      <c r="W86" s="11" t="str">
        <f t="shared" si="44"/>
        <v/>
      </c>
      <c r="X86" s="7" t="str">
        <f t="shared" si="45"/>
        <v/>
      </c>
      <c r="Y86" s="9" t="str">
        <f t="shared" si="64"/>
        <v/>
      </c>
      <c r="Z86" s="24" t="str">
        <f t="shared" si="46"/>
        <v/>
      </c>
      <c r="AA86" s="7" t="str">
        <f t="shared" si="47"/>
        <v/>
      </c>
      <c r="AB86" s="7" t="str">
        <f t="shared" si="48"/>
        <v/>
      </c>
      <c r="AC86" s="10" t="str">
        <f t="shared" si="49"/>
        <v/>
      </c>
      <c r="AD86" s="11" t="str">
        <f t="shared" si="50"/>
        <v/>
      </c>
      <c r="AE86" s="7" t="str">
        <f t="shared" si="51"/>
        <v/>
      </c>
      <c r="AF86" s="12" t="str">
        <f t="shared" si="52"/>
        <v/>
      </c>
      <c r="AG86" s="6" t="str">
        <f t="shared" si="53"/>
        <v/>
      </c>
      <c r="AH86" s="12" t="str">
        <f t="shared" si="54"/>
        <v/>
      </c>
      <c r="AI86" s="11" t="str">
        <f t="shared" si="55"/>
        <v/>
      </c>
      <c r="AJ86" s="8" t="str">
        <f t="shared" si="56"/>
        <v/>
      </c>
      <c r="AK86" s="6" t="str">
        <f t="shared" si="57"/>
        <v/>
      </c>
      <c r="AL86" s="7" t="str">
        <f t="shared" si="58"/>
        <v/>
      </c>
      <c r="AM86" s="8" t="str">
        <f t="shared" si="59"/>
        <v/>
      </c>
      <c r="AN86" s="6" t="str">
        <f t="shared" si="60"/>
        <v/>
      </c>
      <c r="AO86" s="10" t="str">
        <f t="shared" si="61"/>
        <v/>
      </c>
      <c r="AP86" s="13" t="str">
        <f t="shared" si="62"/>
        <v/>
      </c>
      <c r="AR86" s="127" t="str">
        <f t="shared" si="33"/>
        <v/>
      </c>
      <c r="AS86" s="126" t="str">
        <f t="shared" si="34"/>
        <v/>
      </c>
      <c r="AU86" s="52" t="str">
        <f t="shared" si="65"/>
        <v/>
      </c>
      <c r="AV86" s="46" t="str">
        <f>IF(M86="","",Assy.Model!W117-W86)</f>
        <v/>
      </c>
      <c r="AW86" s="47" t="str">
        <f>IF(M86="","",Assy.Model!X117-X86)</f>
        <v/>
      </c>
      <c r="AX86" s="58" t="str">
        <f>IF(M86="","",Assy.Model!Y117-Y86)</f>
        <v/>
      </c>
      <c r="AY86" s="318" t="str">
        <f>IF(M86="","",Assy.Model!AN117-AN86)</f>
        <v/>
      </c>
      <c r="AZ86" s="48" t="str">
        <f>IF(M86="","",Assy.Model!AO117-AO86)</f>
        <v/>
      </c>
      <c r="BA86" s="324" t="str">
        <f>IF(M86="","",Assy.Model!AP117-AP86)</f>
        <v/>
      </c>
      <c r="BB86" s="290" t="str">
        <f>IF(M86="","",SQRT((Assy.Model!T86-T86)^2+(Assy.Model!U86-U86)^2+(Assy.Model!V86-V86)^2))</f>
        <v/>
      </c>
    </row>
    <row r="87" spans="2:54" ht="15" customHeight="1" x14ac:dyDescent="0.25">
      <c r="B87" s="143"/>
      <c r="C87" s="144"/>
      <c r="D87" s="145"/>
      <c r="E87" s="146"/>
      <c r="F87" s="144"/>
      <c r="G87" s="147"/>
      <c r="H87" s="146"/>
      <c r="I87" s="148"/>
      <c r="J87" s="310"/>
      <c r="K87" s="303"/>
      <c r="M87" s="5" t="str">
        <f t="shared" si="35"/>
        <v/>
      </c>
      <c r="N87" s="24" t="str">
        <f t="shared" si="36"/>
        <v/>
      </c>
      <c r="O87" s="7" t="str">
        <f t="shared" si="37"/>
        <v/>
      </c>
      <c r="P87" s="12" t="str">
        <f t="shared" si="38"/>
        <v/>
      </c>
      <c r="Q87" s="11" t="str">
        <f t="shared" si="63"/>
        <v/>
      </c>
      <c r="R87" s="7" t="str">
        <f t="shared" si="39"/>
        <v/>
      </c>
      <c r="S87" s="8" t="str">
        <f t="shared" si="40"/>
        <v/>
      </c>
      <c r="T87" s="6" t="str">
        <f t="shared" si="41"/>
        <v/>
      </c>
      <c r="U87" s="7" t="str">
        <f t="shared" si="42"/>
        <v/>
      </c>
      <c r="V87" s="10" t="str">
        <f t="shared" si="43"/>
        <v/>
      </c>
      <c r="W87" s="11" t="str">
        <f t="shared" si="44"/>
        <v/>
      </c>
      <c r="X87" s="7" t="str">
        <f t="shared" si="45"/>
        <v/>
      </c>
      <c r="Y87" s="9" t="str">
        <f t="shared" si="64"/>
        <v/>
      </c>
      <c r="Z87" s="24" t="str">
        <f t="shared" si="46"/>
        <v/>
      </c>
      <c r="AA87" s="7" t="str">
        <f t="shared" si="47"/>
        <v/>
      </c>
      <c r="AB87" s="7" t="str">
        <f t="shared" si="48"/>
        <v/>
      </c>
      <c r="AC87" s="10" t="str">
        <f t="shared" si="49"/>
        <v/>
      </c>
      <c r="AD87" s="11" t="str">
        <f t="shared" si="50"/>
        <v/>
      </c>
      <c r="AE87" s="7" t="str">
        <f t="shared" si="51"/>
        <v/>
      </c>
      <c r="AF87" s="12" t="str">
        <f t="shared" si="52"/>
        <v/>
      </c>
      <c r="AG87" s="6" t="str">
        <f t="shared" si="53"/>
        <v/>
      </c>
      <c r="AH87" s="12" t="str">
        <f t="shared" si="54"/>
        <v/>
      </c>
      <c r="AI87" s="11" t="str">
        <f t="shared" si="55"/>
        <v/>
      </c>
      <c r="AJ87" s="8" t="str">
        <f t="shared" si="56"/>
        <v/>
      </c>
      <c r="AK87" s="6" t="str">
        <f t="shared" si="57"/>
        <v/>
      </c>
      <c r="AL87" s="7" t="str">
        <f t="shared" si="58"/>
        <v/>
      </c>
      <c r="AM87" s="8" t="str">
        <f t="shared" si="59"/>
        <v/>
      </c>
      <c r="AN87" s="6" t="str">
        <f t="shared" si="60"/>
        <v/>
      </c>
      <c r="AO87" s="10" t="str">
        <f t="shared" si="61"/>
        <v/>
      </c>
      <c r="AP87" s="13" t="str">
        <f t="shared" si="62"/>
        <v/>
      </c>
      <c r="AR87" s="127" t="str">
        <f t="shared" si="33"/>
        <v/>
      </c>
      <c r="AS87" s="126" t="str">
        <f t="shared" si="34"/>
        <v/>
      </c>
      <c r="AU87" s="52" t="str">
        <f t="shared" si="65"/>
        <v/>
      </c>
      <c r="AV87" s="46" t="str">
        <f>IF(M87="","",Assy.Model!W118-W87)</f>
        <v/>
      </c>
      <c r="AW87" s="47" t="str">
        <f>IF(M87="","",Assy.Model!X118-X87)</f>
        <v/>
      </c>
      <c r="AX87" s="58" t="str">
        <f>IF(M87="","",Assy.Model!Y118-Y87)</f>
        <v/>
      </c>
      <c r="AY87" s="318" t="str">
        <f>IF(M87="","",Assy.Model!AN118-AN87)</f>
        <v/>
      </c>
      <c r="AZ87" s="48" t="str">
        <f>IF(M87="","",Assy.Model!AO118-AO87)</f>
        <v/>
      </c>
      <c r="BA87" s="324" t="str">
        <f>IF(M87="","",Assy.Model!AP118-AP87)</f>
        <v/>
      </c>
      <c r="BB87" s="290" t="str">
        <f>IF(M87="","",SQRT((Assy.Model!T87-T87)^2+(Assy.Model!U87-U87)^2+(Assy.Model!V87-V87)^2))</f>
        <v/>
      </c>
    </row>
    <row r="88" spans="2:54" ht="15" customHeight="1" x14ac:dyDescent="0.25">
      <c r="B88" s="143"/>
      <c r="C88" s="144"/>
      <c r="D88" s="145"/>
      <c r="E88" s="146"/>
      <c r="F88" s="144"/>
      <c r="G88" s="147"/>
      <c r="H88" s="146"/>
      <c r="I88" s="148"/>
      <c r="J88" s="310"/>
      <c r="K88" s="303"/>
      <c r="M88" s="5" t="str">
        <f t="shared" si="35"/>
        <v/>
      </c>
      <c r="N88" s="24" t="str">
        <f t="shared" si="36"/>
        <v/>
      </c>
      <c r="O88" s="7" t="str">
        <f t="shared" si="37"/>
        <v/>
      </c>
      <c r="P88" s="12" t="str">
        <f t="shared" si="38"/>
        <v/>
      </c>
      <c r="Q88" s="11" t="str">
        <f t="shared" si="63"/>
        <v/>
      </c>
      <c r="R88" s="7" t="str">
        <f t="shared" si="39"/>
        <v/>
      </c>
      <c r="S88" s="8" t="str">
        <f t="shared" si="40"/>
        <v/>
      </c>
      <c r="T88" s="6" t="str">
        <f t="shared" si="41"/>
        <v/>
      </c>
      <c r="U88" s="7" t="str">
        <f t="shared" si="42"/>
        <v/>
      </c>
      <c r="V88" s="10" t="str">
        <f t="shared" si="43"/>
        <v/>
      </c>
      <c r="W88" s="11" t="str">
        <f t="shared" si="44"/>
        <v/>
      </c>
      <c r="X88" s="7" t="str">
        <f t="shared" si="45"/>
        <v/>
      </c>
      <c r="Y88" s="9" t="str">
        <f t="shared" si="64"/>
        <v/>
      </c>
      <c r="Z88" s="24" t="str">
        <f t="shared" si="46"/>
        <v/>
      </c>
      <c r="AA88" s="7" t="str">
        <f t="shared" si="47"/>
        <v/>
      </c>
      <c r="AB88" s="7" t="str">
        <f t="shared" si="48"/>
        <v/>
      </c>
      <c r="AC88" s="10" t="str">
        <f t="shared" si="49"/>
        <v/>
      </c>
      <c r="AD88" s="11" t="str">
        <f t="shared" si="50"/>
        <v/>
      </c>
      <c r="AE88" s="7" t="str">
        <f t="shared" si="51"/>
        <v/>
      </c>
      <c r="AF88" s="12" t="str">
        <f t="shared" si="52"/>
        <v/>
      </c>
      <c r="AG88" s="6" t="str">
        <f t="shared" si="53"/>
        <v/>
      </c>
      <c r="AH88" s="12" t="str">
        <f t="shared" si="54"/>
        <v/>
      </c>
      <c r="AI88" s="11" t="str">
        <f t="shared" si="55"/>
        <v/>
      </c>
      <c r="AJ88" s="8" t="str">
        <f t="shared" si="56"/>
        <v/>
      </c>
      <c r="AK88" s="6" t="str">
        <f t="shared" si="57"/>
        <v/>
      </c>
      <c r="AL88" s="7" t="str">
        <f t="shared" si="58"/>
        <v/>
      </c>
      <c r="AM88" s="8" t="str">
        <f t="shared" si="59"/>
        <v/>
      </c>
      <c r="AN88" s="6" t="str">
        <f t="shared" si="60"/>
        <v/>
      </c>
      <c r="AO88" s="10" t="str">
        <f t="shared" si="61"/>
        <v/>
      </c>
      <c r="AP88" s="13" t="str">
        <f t="shared" si="62"/>
        <v/>
      </c>
      <c r="AR88" s="127" t="str">
        <f t="shared" si="33"/>
        <v/>
      </c>
      <c r="AS88" s="126" t="str">
        <f t="shared" si="34"/>
        <v/>
      </c>
      <c r="AU88" s="52" t="str">
        <f t="shared" si="65"/>
        <v/>
      </c>
      <c r="AV88" s="46" t="str">
        <f>IF(M88="","",Assy.Model!W119-W88)</f>
        <v/>
      </c>
      <c r="AW88" s="47" t="str">
        <f>IF(M88="","",Assy.Model!X119-X88)</f>
        <v/>
      </c>
      <c r="AX88" s="58" t="str">
        <f>IF(M88="","",Assy.Model!Y119-Y88)</f>
        <v/>
      </c>
      <c r="AY88" s="318" t="str">
        <f>IF(M88="","",Assy.Model!AN119-AN88)</f>
        <v/>
      </c>
      <c r="AZ88" s="48" t="str">
        <f>IF(M88="","",Assy.Model!AO119-AO88)</f>
        <v/>
      </c>
      <c r="BA88" s="324" t="str">
        <f>IF(M88="","",Assy.Model!AP119-AP88)</f>
        <v/>
      </c>
      <c r="BB88" s="290" t="str">
        <f>IF(M88="","",SQRT((Assy.Model!T88-T88)^2+(Assy.Model!U88-U88)^2+(Assy.Model!V88-V88)^2))</f>
        <v/>
      </c>
    </row>
    <row r="89" spans="2:54" ht="15" customHeight="1" x14ac:dyDescent="0.25">
      <c r="B89" s="143"/>
      <c r="C89" s="144"/>
      <c r="D89" s="145"/>
      <c r="E89" s="146"/>
      <c r="F89" s="144"/>
      <c r="G89" s="147"/>
      <c r="H89" s="146"/>
      <c r="I89" s="148"/>
      <c r="J89" s="310"/>
      <c r="K89" s="303"/>
      <c r="M89" s="5" t="str">
        <f t="shared" si="35"/>
        <v/>
      </c>
      <c r="N89" s="24" t="str">
        <f t="shared" si="36"/>
        <v/>
      </c>
      <c r="O89" s="7" t="str">
        <f t="shared" si="37"/>
        <v/>
      </c>
      <c r="P89" s="12" t="str">
        <f t="shared" si="38"/>
        <v/>
      </c>
      <c r="Q89" s="11" t="str">
        <f t="shared" si="63"/>
        <v/>
      </c>
      <c r="R89" s="7" t="str">
        <f t="shared" si="39"/>
        <v/>
      </c>
      <c r="S89" s="8" t="str">
        <f t="shared" si="40"/>
        <v/>
      </c>
      <c r="T89" s="6" t="str">
        <f t="shared" si="41"/>
        <v/>
      </c>
      <c r="U89" s="7" t="str">
        <f t="shared" si="42"/>
        <v/>
      </c>
      <c r="V89" s="10" t="str">
        <f t="shared" si="43"/>
        <v/>
      </c>
      <c r="W89" s="11" t="str">
        <f t="shared" si="44"/>
        <v/>
      </c>
      <c r="X89" s="7" t="str">
        <f t="shared" si="45"/>
        <v/>
      </c>
      <c r="Y89" s="9" t="str">
        <f t="shared" si="64"/>
        <v/>
      </c>
      <c r="Z89" s="24" t="str">
        <f t="shared" si="46"/>
        <v/>
      </c>
      <c r="AA89" s="7" t="str">
        <f t="shared" si="47"/>
        <v/>
      </c>
      <c r="AB89" s="7" t="str">
        <f t="shared" si="48"/>
        <v/>
      </c>
      <c r="AC89" s="10" t="str">
        <f t="shared" si="49"/>
        <v/>
      </c>
      <c r="AD89" s="11" t="str">
        <f t="shared" si="50"/>
        <v/>
      </c>
      <c r="AE89" s="7" t="str">
        <f t="shared" si="51"/>
        <v/>
      </c>
      <c r="AF89" s="12" t="str">
        <f t="shared" si="52"/>
        <v/>
      </c>
      <c r="AG89" s="6" t="str">
        <f t="shared" si="53"/>
        <v/>
      </c>
      <c r="AH89" s="12" t="str">
        <f t="shared" si="54"/>
        <v/>
      </c>
      <c r="AI89" s="11" t="str">
        <f t="shared" si="55"/>
        <v/>
      </c>
      <c r="AJ89" s="8" t="str">
        <f t="shared" si="56"/>
        <v/>
      </c>
      <c r="AK89" s="6" t="str">
        <f t="shared" si="57"/>
        <v/>
      </c>
      <c r="AL89" s="7" t="str">
        <f t="shared" si="58"/>
        <v/>
      </c>
      <c r="AM89" s="8" t="str">
        <f t="shared" si="59"/>
        <v/>
      </c>
      <c r="AN89" s="6" t="str">
        <f t="shared" si="60"/>
        <v/>
      </c>
      <c r="AO89" s="10" t="str">
        <f t="shared" si="61"/>
        <v/>
      </c>
      <c r="AP89" s="13" t="str">
        <f t="shared" si="62"/>
        <v/>
      </c>
      <c r="AR89" s="127" t="str">
        <f t="shared" si="33"/>
        <v/>
      </c>
      <c r="AS89" s="126" t="str">
        <f t="shared" si="34"/>
        <v/>
      </c>
      <c r="AU89" s="52" t="str">
        <f t="shared" si="65"/>
        <v/>
      </c>
      <c r="AV89" s="46" t="str">
        <f>IF(M89="","",Assy.Model!W120-W89)</f>
        <v/>
      </c>
      <c r="AW89" s="47" t="str">
        <f>IF(M89="","",Assy.Model!X120-X89)</f>
        <v/>
      </c>
      <c r="AX89" s="58" t="str">
        <f>IF(M89="","",Assy.Model!Y120-Y89)</f>
        <v/>
      </c>
      <c r="AY89" s="318" t="str">
        <f>IF(M89="","",Assy.Model!AN120-AN89)</f>
        <v/>
      </c>
      <c r="AZ89" s="48" t="str">
        <f>IF(M89="","",Assy.Model!AO120-AO89)</f>
        <v/>
      </c>
      <c r="BA89" s="324" t="str">
        <f>IF(M89="","",Assy.Model!AP120-AP89)</f>
        <v/>
      </c>
      <c r="BB89" s="290" t="str">
        <f>IF(M89="","",SQRT((Assy.Model!T89-T89)^2+(Assy.Model!U89-U89)^2+(Assy.Model!V89-V89)^2))</f>
        <v/>
      </c>
    </row>
    <row r="90" spans="2:54" ht="15" customHeight="1" x14ac:dyDescent="0.25">
      <c r="B90" s="143"/>
      <c r="C90" s="144"/>
      <c r="D90" s="145"/>
      <c r="E90" s="146"/>
      <c r="F90" s="144"/>
      <c r="G90" s="147"/>
      <c r="H90" s="146"/>
      <c r="I90" s="148"/>
      <c r="J90" s="310"/>
      <c r="K90" s="303"/>
      <c r="M90" s="5" t="str">
        <f t="shared" si="35"/>
        <v/>
      </c>
      <c r="N90" s="24" t="str">
        <f t="shared" si="36"/>
        <v/>
      </c>
      <c r="O90" s="7" t="str">
        <f t="shared" si="37"/>
        <v/>
      </c>
      <c r="P90" s="12" t="str">
        <f t="shared" si="38"/>
        <v/>
      </c>
      <c r="Q90" s="11" t="str">
        <f t="shared" si="63"/>
        <v/>
      </c>
      <c r="R90" s="7" t="str">
        <f t="shared" si="39"/>
        <v/>
      </c>
      <c r="S90" s="8" t="str">
        <f t="shared" si="40"/>
        <v/>
      </c>
      <c r="T90" s="6" t="str">
        <f t="shared" si="41"/>
        <v/>
      </c>
      <c r="U90" s="7" t="str">
        <f t="shared" si="42"/>
        <v/>
      </c>
      <c r="V90" s="10" t="str">
        <f t="shared" si="43"/>
        <v/>
      </c>
      <c r="W90" s="11" t="str">
        <f t="shared" si="44"/>
        <v/>
      </c>
      <c r="X90" s="7" t="str">
        <f t="shared" si="45"/>
        <v/>
      </c>
      <c r="Y90" s="9" t="str">
        <f t="shared" si="64"/>
        <v/>
      </c>
      <c r="Z90" s="24" t="str">
        <f t="shared" si="46"/>
        <v/>
      </c>
      <c r="AA90" s="7" t="str">
        <f t="shared" si="47"/>
        <v/>
      </c>
      <c r="AB90" s="7" t="str">
        <f t="shared" si="48"/>
        <v/>
      </c>
      <c r="AC90" s="10" t="str">
        <f t="shared" si="49"/>
        <v/>
      </c>
      <c r="AD90" s="11" t="str">
        <f t="shared" si="50"/>
        <v/>
      </c>
      <c r="AE90" s="7" t="str">
        <f t="shared" si="51"/>
        <v/>
      </c>
      <c r="AF90" s="12" t="str">
        <f t="shared" si="52"/>
        <v/>
      </c>
      <c r="AG90" s="6" t="str">
        <f t="shared" si="53"/>
        <v/>
      </c>
      <c r="AH90" s="12" t="str">
        <f t="shared" si="54"/>
        <v/>
      </c>
      <c r="AI90" s="11" t="str">
        <f t="shared" si="55"/>
        <v/>
      </c>
      <c r="AJ90" s="8" t="str">
        <f t="shared" si="56"/>
        <v/>
      </c>
      <c r="AK90" s="6" t="str">
        <f t="shared" si="57"/>
        <v/>
      </c>
      <c r="AL90" s="7" t="str">
        <f t="shared" si="58"/>
        <v/>
      </c>
      <c r="AM90" s="8" t="str">
        <f t="shared" si="59"/>
        <v/>
      </c>
      <c r="AN90" s="6" t="str">
        <f t="shared" si="60"/>
        <v/>
      </c>
      <c r="AO90" s="10" t="str">
        <f t="shared" si="61"/>
        <v/>
      </c>
      <c r="AP90" s="13" t="str">
        <f t="shared" si="62"/>
        <v/>
      </c>
      <c r="AR90" s="127" t="str">
        <f t="shared" si="33"/>
        <v/>
      </c>
      <c r="AS90" s="126" t="str">
        <f t="shared" si="34"/>
        <v/>
      </c>
      <c r="AU90" s="52" t="str">
        <f t="shared" si="65"/>
        <v/>
      </c>
      <c r="AV90" s="46" t="str">
        <f>IF(M90="","",Assy.Model!W121-W90)</f>
        <v/>
      </c>
      <c r="AW90" s="47" t="str">
        <f>IF(M90="","",Assy.Model!X121-X90)</f>
        <v/>
      </c>
      <c r="AX90" s="58" t="str">
        <f>IF(M90="","",Assy.Model!Y121-Y90)</f>
        <v/>
      </c>
      <c r="AY90" s="318" t="str">
        <f>IF(M90="","",Assy.Model!AN121-AN90)</f>
        <v/>
      </c>
      <c r="AZ90" s="48" t="str">
        <f>IF(M90="","",Assy.Model!AO121-AO90)</f>
        <v/>
      </c>
      <c r="BA90" s="324" t="str">
        <f>IF(M90="","",Assy.Model!AP121-AP90)</f>
        <v/>
      </c>
      <c r="BB90" s="290" t="str">
        <f>IF(M90="","",SQRT((Assy.Model!T90-T90)^2+(Assy.Model!U90-U90)^2+(Assy.Model!V90-V90)^2))</f>
        <v/>
      </c>
    </row>
    <row r="91" spans="2:54" ht="15" customHeight="1" x14ac:dyDescent="0.25">
      <c r="B91" s="143"/>
      <c r="C91" s="144"/>
      <c r="D91" s="145"/>
      <c r="E91" s="146"/>
      <c r="F91" s="144"/>
      <c r="G91" s="147"/>
      <c r="H91" s="146"/>
      <c r="I91" s="148"/>
      <c r="J91" s="310"/>
      <c r="K91" s="303"/>
      <c r="M91" s="5" t="str">
        <f t="shared" si="35"/>
        <v/>
      </c>
      <c r="N91" s="24" t="str">
        <f t="shared" si="36"/>
        <v/>
      </c>
      <c r="O91" s="7" t="str">
        <f t="shared" si="37"/>
        <v/>
      </c>
      <c r="P91" s="12" t="str">
        <f t="shared" si="38"/>
        <v/>
      </c>
      <c r="Q91" s="11" t="str">
        <f t="shared" si="63"/>
        <v/>
      </c>
      <c r="R91" s="7" t="str">
        <f t="shared" si="39"/>
        <v/>
      </c>
      <c r="S91" s="8" t="str">
        <f t="shared" si="40"/>
        <v/>
      </c>
      <c r="T91" s="6" t="str">
        <f t="shared" si="41"/>
        <v/>
      </c>
      <c r="U91" s="7" t="str">
        <f t="shared" si="42"/>
        <v/>
      </c>
      <c r="V91" s="10" t="str">
        <f t="shared" si="43"/>
        <v/>
      </c>
      <c r="W91" s="11" t="str">
        <f t="shared" si="44"/>
        <v/>
      </c>
      <c r="X91" s="7" t="str">
        <f t="shared" si="45"/>
        <v/>
      </c>
      <c r="Y91" s="9" t="str">
        <f t="shared" si="64"/>
        <v/>
      </c>
      <c r="Z91" s="24" t="str">
        <f t="shared" si="46"/>
        <v/>
      </c>
      <c r="AA91" s="7" t="str">
        <f t="shared" si="47"/>
        <v/>
      </c>
      <c r="AB91" s="7" t="str">
        <f t="shared" si="48"/>
        <v/>
      </c>
      <c r="AC91" s="10" t="str">
        <f t="shared" si="49"/>
        <v/>
      </c>
      <c r="AD91" s="11" t="str">
        <f t="shared" si="50"/>
        <v/>
      </c>
      <c r="AE91" s="7" t="str">
        <f t="shared" si="51"/>
        <v/>
      </c>
      <c r="AF91" s="12" t="str">
        <f t="shared" si="52"/>
        <v/>
      </c>
      <c r="AG91" s="6" t="str">
        <f t="shared" si="53"/>
        <v/>
      </c>
      <c r="AH91" s="12" t="str">
        <f t="shared" si="54"/>
        <v/>
      </c>
      <c r="AI91" s="11" t="str">
        <f t="shared" si="55"/>
        <v/>
      </c>
      <c r="AJ91" s="8" t="str">
        <f t="shared" si="56"/>
        <v/>
      </c>
      <c r="AK91" s="6" t="str">
        <f t="shared" si="57"/>
        <v/>
      </c>
      <c r="AL91" s="7" t="str">
        <f t="shared" si="58"/>
        <v/>
      </c>
      <c r="AM91" s="8" t="str">
        <f t="shared" si="59"/>
        <v/>
      </c>
      <c r="AN91" s="6" t="str">
        <f t="shared" si="60"/>
        <v/>
      </c>
      <c r="AO91" s="10" t="str">
        <f t="shared" si="61"/>
        <v/>
      </c>
      <c r="AP91" s="13" t="str">
        <f t="shared" si="62"/>
        <v/>
      </c>
      <c r="AR91" s="127" t="str">
        <f t="shared" si="33"/>
        <v/>
      </c>
      <c r="AS91" s="126" t="str">
        <f t="shared" si="34"/>
        <v/>
      </c>
      <c r="AU91" s="52" t="str">
        <f t="shared" si="65"/>
        <v/>
      </c>
      <c r="AV91" s="46" t="str">
        <f>IF(M91="","",Assy.Model!W122-W91)</f>
        <v/>
      </c>
      <c r="AW91" s="47" t="str">
        <f>IF(M91="","",Assy.Model!X122-X91)</f>
        <v/>
      </c>
      <c r="AX91" s="58" t="str">
        <f>IF(M91="","",Assy.Model!Y122-Y91)</f>
        <v/>
      </c>
      <c r="AY91" s="318" t="str">
        <f>IF(M91="","",Assy.Model!AN122-AN91)</f>
        <v/>
      </c>
      <c r="AZ91" s="48" t="str">
        <f>IF(M91="","",Assy.Model!AO122-AO91)</f>
        <v/>
      </c>
      <c r="BA91" s="324" t="str">
        <f>IF(M91="","",Assy.Model!AP122-AP91)</f>
        <v/>
      </c>
      <c r="BB91" s="290" t="str">
        <f>IF(M91="","",SQRT((Assy.Model!T91-T91)^2+(Assy.Model!U91-U91)^2+(Assy.Model!V91-V91)^2))</f>
        <v/>
      </c>
    </row>
    <row r="92" spans="2:54" ht="15" customHeight="1" x14ac:dyDescent="0.25">
      <c r="B92" s="143"/>
      <c r="C92" s="144"/>
      <c r="D92" s="145"/>
      <c r="E92" s="146"/>
      <c r="F92" s="144"/>
      <c r="G92" s="147"/>
      <c r="H92" s="146"/>
      <c r="I92" s="148"/>
      <c r="J92" s="310"/>
      <c r="K92" s="303"/>
      <c r="M92" s="5" t="str">
        <f t="shared" si="35"/>
        <v/>
      </c>
      <c r="N92" s="24" t="str">
        <f t="shared" si="36"/>
        <v/>
      </c>
      <c r="O92" s="7" t="str">
        <f t="shared" si="37"/>
        <v/>
      </c>
      <c r="P92" s="12" t="str">
        <f t="shared" si="38"/>
        <v/>
      </c>
      <c r="Q92" s="11" t="str">
        <f t="shared" si="63"/>
        <v/>
      </c>
      <c r="R92" s="7" t="str">
        <f t="shared" si="39"/>
        <v/>
      </c>
      <c r="S92" s="8" t="str">
        <f t="shared" si="40"/>
        <v/>
      </c>
      <c r="T92" s="6" t="str">
        <f t="shared" si="41"/>
        <v/>
      </c>
      <c r="U92" s="7" t="str">
        <f t="shared" si="42"/>
        <v/>
      </c>
      <c r="V92" s="10" t="str">
        <f t="shared" si="43"/>
        <v/>
      </c>
      <c r="W92" s="11" t="str">
        <f t="shared" si="44"/>
        <v/>
      </c>
      <c r="X92" s="7" t="str">
        <f t="shared" si="45"/>
        <v/>
      </c>
      <c r="Y92" s="9" t="str">
        <f t="shared" si="64"/>
        <v/>
      </c>
      <c r="Z92" s="24" t="str">
        <f t="shared" si="46"/>
        <v/>
      </c>
      <c r="AA92" s="7" t="str">
        <f t="shared" si="47"/>
        <v/>
      </c>
      <c r="AB92" s="7" t="str">
        <f t="shared" si="48"/>
        <v/>
      </c>
      <c r="AC92" s="10" t="str">
        <f t="shared" si="49"/>
        <v/>
      </c>
      <c r="AD92" s="11" t="str">
        <f t="shared" si="50"/>
        <v/>
      </c>
      <c r="AE92" s="7" t="str">
        <f t="shared" si="51"/>
        <v/>
      </c>
      <c r="AF92" s="12" t="str">
        <f t="shared" si="52"/>
        <v/>
      </c>
      <c r="AG92" s="6" t="str">
        <f t="shared" si="53"/>
        <v/>
      </c>
      <c r="AH92" s="12" t="str">
        <f t="shared" si="54"/>
        <v/>
      </c>
      <c r="AI92" s="11" t="str">
        <f t="shared" si="55"/>
        <v/>
      </c>
      <c r="AJ92" s="8" t="str">
        <f t="shared" si="56"/>
        <v/>
      </c>
      <c r="AK92" s="6" t="str">
        <f t="shared" si="57"/>
        <v/>
      </c>
      <c r="AL92" s="7" t="str">
        <f t="shared" si="58"/>
        <v/>
      </c>
      <c r="AM92" s="8" t="str">
        <f t="shared" si="59"/>
        <v/>
      </c>
      <c r="AN92" s="6" t="str">
        <f t="shared" si="60"/>
        <v/>
      </c>
      <c r="AO92" s="10" t="str">
        <f t="shared" si="61"/>
        <v/>
      </c>
      <c r="AP92" s="13" t="str">
        <f t="shared" si="62"/>
        <v/>
      </c>
      <c r="AR92" s="127" t="str">
        <f t="shared" si="33"/>
        <v/>
      </c>
      <c r="AS92" s="126" t="str">
        <f t="shared" si="34"/>
        <v/>
      </c>
      <c r="AU92" s="52" t="str">
        <f t="shared" si="65"/>
        <v/>
      </c>
      <c r="AV92" s="46" t="str">
        <f>IF(M92="","",Assy.Model!W123-W92)</f>
        <v/>
      </c>
      <c r="AW92" s="47" t="str">
        <f>IF(M92="","",Assy.Model!X123-X92)</f>
        <v/>
      </c>
      <c r="AX92" s="58" t="str">
        <f>IF(M92="","",Assy.Model!Y123-Y92)</f>
        <v/>
      </c>
      <c r="AY92" s="318" t="str">
        <f>IF(M92="","",Assy.Model!AN123-AN92)</f>
        <v/>
      </c>
      <c r="AZ92" s="48" t="str">
        <f>IF(M92="","",Assy.Model!AO123-AO92)</f>
        <v/>
      </c>
      <c r="BA92" s="324" t="str">
        <f>IF(M92="","",Assy.Model!AP123-AP92)</f>
        <v/>
      </c>
      <c r="BB92" s="290" t="str">
        <f>IF(M92="","",SQRT((Assy.Model!T92-T92)^2+(Assy.Model!U92-U92)^2+(Assy.Model!V92-V92)^2))</f>
        <v/>
      </c>
    </row>
    <row r="93" spans="2:54" ht="15" customHeight="1" x14ac:dyDescent="0.25">
      <c r="B93" s="143"/>
      <c r="C93" s="144"/>
      <c r="D93" s="145"/>
      <c r="E93" s="146"/>
      <c r="F93" s="144"/>
      <c r="G93" s="147"/>
      <c r="H93" s="146"/>
      <c r="I93" s="148"/>
      <c r="J93" s="310"/>
      <c r="K93" s="303"/>
      <c r="M93" s="5" t="str">
        <f t="shared" si="35"/>
        <v/>
      </c>
      <c r="N93" s="24" t="str">
        <f t="shared" si="36"/>
        <v/>
      </c>
      <c r="O93" s="7" t="str">
        <f t="shared" si="37"/>
        <v/>
      </c>
      <c r="P93" s="12" t="str">
        <f t="shared" si="38"/>
        <v/>
      </c>
      <c r="Q93" s="11" t="str">
        <f t="shared" si="63"/>
        <v/>
      </c>
      <c r="R93" s="7" t="str">
        <f t="shared" si="39"/>
        <v/>
      </c>
      <c r="S93" s="8" t="str">
        <f t="shared" si="40"/>
        <v/>
      </c>
      <c r="T93" s="6" t="str">
        <f t="shared" si="41"/>
        <v/>
      </c>
      <c r="U93" s="7" t="str">
        <f t="shared" si="42"/>
        <v/>
      </c>
      <c r="V93" s="10" t="str">
        <f t="shared" si="43"/>
        <v/>
      </c>
      <c r="W93" s="11" t="str">
        <f t="shared" si="44"/>
        <v/>
      </c>
      <c r="X93" s="7" t="str">
        <f t="shared" si="45"/>
        <v/>
      </c>
      <c r="Y93" s="9" t="str">
        <f t="shared" si="64"/>
        <v/>
      </c>
      <c r="Z93" s="24" t="str">
        <f t="shared" si="46"/>
        <v/>
      </c>
      <c r="AA93" s="7" t="str">
        <f t="shared" si="47"/>
        <v/>
      </c>
      <c r="AB93" s="7" t="str">
        <f t="shared" si="48"/>
        <v/>
      </c>
      <c r="AC93" s="10" t="str">
        <f t="shared" si="49"/>
        <v/>
      </c>
      <c r="AD93" s="11" t="str">
        <f t="shared" si="50"/>
        <v/>
      </c>
      <c r="AE93" s="7" t="str">
        <f t="shared" si="51"/>
        <v/>
      </c>
      <c r="AF93" s="12" t="str">
        <f t="shared" si="52"/>
        <v/>
      </c>
      <c r="AG93" s="6" t="str">
        <f t="shared" si="53"/>
        <v/>
      </c>
      <c r="AH93" s="12" t="str">
        <f t="shared" si="54"/>
        <v/>
      </c>
      <c r="AI93" s="11" t="str">
        <f t="shared" si="55"/>
        <v/>
      </c>
      <c r="AJ93" s="8" t="str">
        <f t="shared" si="56"/>
        <v/>
      </c>
      <c r="AK93" s="6" t="str">
        <f t="shared" si="57"/>
        <v/>
      </c>
      <c r="AL93" s="7" t="str">
        <f t="shared" si="58"/>
        <v/>
      </c>
      <c r="AM93" s="8" t="str">
        <f t="shared" si="59"/>
        <v/>
      </c>
      <c r="AN93" s="6" t="str">
        <f t="shared" si="60"/>
        <v/>
      </c>
      <c r="AO93" s="10" t="str">
        <f t="shared" si="61"/>
        <v/>
      </c>
      <c r="AP93" s="13" t="str">
        <f t="shared" si="62"/>
        <v/>
      </c>
      <c r="AR93" s="127" t="str">
        <f t="shared" si="33"/>
        <v/>
      </c>
      <c r="AS93" s="126" t="str">
        <f t="shared" si="34"/>
        <v/>
      </c>
      <c r="AU93" s="52" t="str">
        <f t="shared" si="65"/>
        <v/>
      </c>
      <c r="AV93" s="46" t="str">
        <f>IF(M93="","",Assy.Model!W124-W93)</f>
        <v/>
      </c>
      <c r="AW93" s="47" t="str">
        <f>IF(M93="","",Assy.Model!X124-X93)</f>
        <v/>
      </c>
      <c r="AX93" s="58" t="str">
        <f>IF(M93="","",Assy.Model!Y124-Y93)</f>
        <v/>
      </c>
      <c r="AY93" s="318" t="str">
        <f>IF(M93="","",Assy.Model!AN124-AN93)</f>
        <v/>
      </c>
      <c r="AZ93" s="48" t="str">
        <f>IF(M93="","",Assy.Model!AO124-AO93)</f>
        <v/>
      </c>
      <c r="BA93" s="324" t="str">
        <f>IF(M93="","",Assy.Model!AP124-AP93)</f>
        <v/>
      </c>
      <c r="BB93" s="290" t="str">
        <f>IF(M93="","",SQRT((Assy.Model!T93-T93)^2+(Assy.Model!U93-U93)^2+(Assy.Model!V93-V93)^2))</f>
        <v/>
      </c>
    </row>
    <row r="94" spans="2:54" ht="15" customHeight="1" x14ac:dyDescent="0.25">
      <c r="B94" s="143"/>
      <c r="C94" s="144"/>
      <c r="D94" s="145"/>
      <c r="E94" s="146"/>
      <c r="F94" s="144"/>
      <c r="G94" s="147"/>
      <c r="H94" s="146"/>
      <c r="I94" s="148"/>
      <c r="J94" s="310"/>
      <c r="K94" s="303"/>
      <c r="M94" s="5" t="str">
        <f t="shared" si="35"/>
        <v/>
      </c>
      <c r="N94" s="24" t="str">
        <f t="shared" si="36"/>
        <v/>
      </c>
      <c r="O94" s="7" t="str">
        <f t="shared" si="37"/>
        <v/>
      </c>
      <c r="P94" s="12" t="str">
        <f t="shared" si="38"/>
        <v/>
      </c>
      <c r="Q94" s="11" t="str">
        <f t="shared" si="63"/>
        <v/>
      </c>
      <c r="R94" s="7" t="str">
        <f t="shared" si="39"/>
        <v/>
      </c>
      <c r="S94" s="8" t="str">
        <f t="shared" si="40"/>
        <v/>
      </c>
      <c r="T94" s="6" t="str">
        <f t="shared" si="41"/>
        <v/>
      </c>
      <c r="U94" s="7" t="str">
        <f t="shared" si="42"/>
        <v/>
      </c>
      <c r="V94" s="10" t="str">
        <f t="shared" si="43"/>
        <v/>
      </c>
      <c r="W94" s="11" t="str">
        <f t="shared" si="44"/>
        <v/>
      </c>
      <c r="X94" s="7" t="str">
        <f t="shared" si="45"/>
        <v/>
      </c>
      <c r="Y94" s="9" t="str">
        <f t="shared" si="64"/>
        <v/>
      </c>
      <c r="Z94" s="24" t="str">
        <f t="shared" si="46"/>
        <v/>
      </c>
      <c r="AA94" s="7" t="str">
        <f t="shared" si="47"/>
        <v/>
      </c>
      <c r="AB94" s="7" t="str">
        <f t="shared" si="48"/>
        <v/>
      </c>
      <c r="AC94" s="10" t="str">
        <f t="shared" si="49"/>
        <v/>
      </c>
      <c r="AD94" s="11" t="str">
        <f t="shared" si="50"/>
        <v/>
      </c>
      <c r="AE94" s="7" t="str">
        <f t="shared" si="51"/>
        <v/>
      </c>
      <c r="AF94" s="12" t="str">
        <f t="shared" si="52"/>
        <v/>
      </c>
      <c r="AG94" s="6" t="str">
        <f t="shared" si="53"/>
        <v/>
      </c>
      <c r="AH94" s="12" t="str">
        <f t="shared" si="54"/>
        <v/>
      </c>
      <c r="AI94" s="11" t="str">
        <f t="shared" si="55"/>
        <v/>
      </c>
      <c r="AJ94" s="8" t="str">
        <f t="shared" si="56"/>
        <v/>
      </c>
      <c r="AK94" s="6" t="str">
        <f t="shared" si="57"/>
        <v/>
      </c>
      <c r="AL94" s="7" t="str">
        <f t="shared" si="58"/>
        <v/>
      </c>
      <c r="AM94" s="8" t="str">
        <f t="shared" si="59"/>
        <v/>
      </c>
      <c r="AN94" s="6" t="str">
        <f t="shared" si="60"/>
        <v/>
      </c>
      <c r="AO94" s="10" t="str">
        <f t="shared" si="61"/>
        <v/>
      </c>
      <c r="AP94" s="13" t="str">
        <f t="shared" si="62"/>
        <v/>
      </c>
      <c r="AR94" s="127" t="str">
        <f t="shared" si="33"/>
        <v/>
      </c>
      <c r="AS94" s="126" t="str">
        <f t="shared" si="34"/>
        <v/>
      </c>
      <c r="AU94" s="52" t="str">
        <f t="shared" si="65"/>
        <v/>
      </c>
      <c r="AV94" s="46" t="str">
        <f>IF(M94="","",Assy.Model!W125-W94)</f>
        <v/>
      </c>
      <c r="AW94" s="47" t="str">
        <f>IF(M94="","",Assy.Model!X125-X94)</f>
        <v/>
      </c>
      <c r="AX94" s="58" t="str">
        <f>IF(M94="","",Assy.Model!Y125-Y94)</f>
        <v/>
      </c>
      <c r="AY94" s="318" t="str">
        <f>IF(M94="","",Assy.Model!AN125-AN94)</f>
        <v/>
      </c>
      <c r="AZ94" s="48" t="str">
        <f>IF(M94="","",Assy.Model!AO125-AO94)</f>
        <v/>
      </c>
      <c r="BA94" s="324" t="str">
        <f>IF(M94="","",Assy.Model!AP125-AP94)</f>
        <v/>
      </c>
      <c r="BB94" s="290" t="str">
        <f>IF(M94="","",SQRT((Assy.Model!T94-T94)^2+(Assy.Model!U94-U94)^2+(Assy.Model!V94-V94)^2))</f>
        <v/>
      </c>
    </row>
    <row r="95" spans="2:54" ht="15" customHeight="1" x14ac:dyDescent="0.25">
      <c r="B95" s="143"/>
      <c r="C95" s="144"/>
      <c r="D95" s="145"/>
      <c r="E95" s="146"/>
      <c r="F95" s="144"/>
      <c r="G95" s="147"/>
      <c r="H95" s="146"/>
      <c r="I95" s="148"/>
      <c r="J95" s="310"/>
      <c r="K95" s="303"/>
      <c r="M95" s="5" t="str">
        <f t="shared" si="35"/>
        <v/>
      </c>
      <c r="N95" s="24" t="str">
        <f t="shared" si="36"/>
        <v/>
      </c>
      <c r="O95" s="7" t="str">
        <f t="shared" si="37"/>
        <v/>
      </c>
      <c r="P95" s="12" t="str">
        <f t="shared" si="38"/>
        <v/>
      </c>
      <c r="Q95" s="11" t="str">
        <f t="shared" si="63"/>
        <v/>
      </c>
      <c r="R95" s="7" t="str">
        <f t="shared" si="39"/>
        <v/>
      </c>
      <c r="S95" s="8" t="str">
        <f t="shared" si="40"/>
        <v/>
      </c>
      <c r="T95" s="6" t="str">
        <f t="shared" si="41"/>
        <v/>
      </c>
      <c r="U95" s="7" t="str">
        <f t="shared" si="42"/>
        <v/>
      </c>
      <c r="V95" s="10" t="str">
        <f t="shared" si="43"/>
        <v/>
      </c>
      <c r="W95" s="11" t="str">
        <f t="shared" si="44"/>
        <v/>
      </c>
      <c r="X95" s="7" t="str">
        <f t="shared" si="45"/>
        <v/>
      </c>
      <c r="Y95" s="9" t="str">
        <f t="shared" si="64"/>
        <v/>
      </c>
      <c r="Z95" s="24" t="str">
        <f t="shared" si="46"/>
        <v/>
      </c>
      <c r="AA95" s="7" t="str">
        <f t="shared" si="47"/>
        <v/>
      </c>
      <c r="AB95" s="7" t="str">
        <f t="shared" si="48"/>
        <v/>
      </c>
      <c r="AC95" s="10" t="str">
        <f t="shared" si="49"/>
        <v/>
      </c>
      <c r="AD95" s="11" t="str">
        <f t="shared" si="50"/>
        <v/>
      </c>
      <c r="AE95" s="7" t="str">
        <f t="shared" si="51"/>
        <v/>
      </c>
      <c r="AF95" s="12" t="str">
        <f t="shared" si="52"/>
        <v/>
      </c>
      <c r="AG95" s="6" t="str">
        <f t="shared" si="53"/>
        <v/>
      </c>
      <c r="AH95" s="12" t="str">
        <f t="shared" si="54"/>
        <v/>
      </c>
      <c r="AI95" s="11" t="str">
        <f t="shared" si="55"/>
        <v/>
      </c>
      <c r="AJ95" s="8" t="str">
        <f t="shared" si="56"/>
        <v/>
      </c>
      <c r="AK95" s="6" t="str">
        <f t="shared" si="57"/>
        <v/>
      </c>
      <c r="AL95" s="7" t="str">
        <f t="shared" si="58"/>
        <v/>
      </c>
      <c r="AM95" s="8" t="str">
        <f t="shared" si="59"/>
        <v/>
      </c>
      <c r="AN95" s="6" t="str">
        <f t="shared" si="60"/>
        <v/>
      </c>
      <c r="AO95" s="10" t="str">
        <f t="shared" si="61"/>
        <v/>
      </c>
      <c r="AP95" s="13" t="str">
        <f t="shared" si="62"/>
        <v/>
      </c>
      <c r="AR95" s="127" t="str">
        <f t="shared" si="33"/>
        <v/>
      </c>
      <c r="AS95" s="126" t="str">
        <f t="shared" si="34"/>
        <v/>
      </c>
      <c r="AU95" s="52" t="str">
        <f t="shared" si="65"/>
        <v/>
      </c>
      <c r="AV95" s="46" t="str">
        <f>IF(M95="","",Assy.Model!W126-W95)</f>
        <v/>
      </c>
      <c r="AW95" s="47" t="str">
        <f>IF(M95="","",Assy.Model!X126-X95)</f>
        <v/>
      </c>
      <c r="AX95" s="58" t="str">
        <f>IF(M95="","",Assy.Model!Y126-Y95)</f>
        <v/>
      </c>
      <c r="AY95" s="318" t="str">
        <f>IF(M95="","",Assy.Model!AN126-AN95)</f>
        <v/>
      </c>
      <c r="AZ95" s="48" t="str">
        <f>IF(M95="","",Assy.Model!AO126-AO95)</f>
        <v/>
      </c>
      <c r="BA95" s="324" t="str">
        <f>IF(M95="","",Assy.Model!AP126-AP95)</f>
        <v/>
      </c>
      <c r="BB95" s="290" t="str">
        <f>IF(M95="","",SQRT((Assy.Model!T95-T95)^2+(Assy.Model!U95-U95)^2+(Assy.Model!V95-V95)^2))</f>
        <v/>
      </c>
    </row>
    <row r="96" spans="2:54" ht="15" customHeight="1" x14ac:dyDescent="0.25">
      <c r="B96" s="143"/>
      <c r="C96" s="144"/>
      <c r="D96" s="145"/>
      <c r="E96" s="146"/>
      <c r="F96" s="144"/>
      <c r="G96" s="147"/>
      <c r="H96" s="146"/>
      <c r="I96" s="148"/>
      <c r="J96" s="310"/>
      <c r="K96" s="303"/>
      <c r="M96" s="5" t="str">
        <f t="shared" si="35"/>
        <v/>
      </c>
      <c r="N96" s="24" t="str">
        <f t="shared" si="36"/>
        <v/>
      </c>
      <c r="O96" s="7" t="str">
        <f t="shared" si="37"/>
        <v/>
      </c>
      <c r="P96" s="12" t="str">
        <f t="shared" si="38"/>
        <v/>
      </c>
      <c r="Q96" s="11" t="str">
        <f t="shared" si="63"/>
        <v/>
      </c>
      <c r="R96" s="7" t="str">
        <f t="shared" si="39"/>
        <v/>
      </c>
      <c r="S96" s="8" t="str">
        <f t="shared" si="40"/>
        <v/>
      </c>
      <c r="T96" s="6" t="str">
        <f t="shared" si="41"/>
        <v/>
      </c>
      <c r="U96" s="7" t="str">
        <f t="shared" si="42"/>
        <v/>
      </c>
      <c r="V96" s="10" t="str">
        <f t="shared" si="43"/>
        <v/>
      </c>
      <c r="W96" s="11" t="str">
        <f t="shared" si="44"/>
        <v/>
      </c>
      <c r="X96" s="7" t="str">
        <f t="shared" si="45"/>
        <v/>
      </c>
      <c r="Y96" s="9" t="str">
        <f t="shared" si="64"/>
        <v/>
      </c>
      <c r="Z96" s="24" t="str">
        <f t="shared" si="46"/>
        <v/>
      </c>
      <c r="AA96" s="7" t="str">
        <f t="shared" si="47"/>
        <v/>
      </c>
      <c r="AB96" s="7" t="str">
        <f t="shared" si="48"/>
        <v/>
      </c>
      <c r="AC96" s="10" t="str">
        <f t="shared" si="49"/>
        <v/>
      </c>
      <c r="AD96" s="11" t="str">
        <f t="shared" si="50"/>
        <v/>
      </c>
      <c r="AE96" s="7" t="str">
        <f t="shared" si="51"/>
        <v/>
      </c>
      <c r="AF96" s="12" t="str">
        <f t="shared" si="52"/>
        <v/>
      </c>
      <c r="AG96" s="6" t="str">
        <f t="shared" si="53"/>
        <v/>
      </c>
      <c r="AH96" s="12" t="str">
        <f t="shared" si="54"/>
        <v/>
      </c>
      <c r="AI96" s="11" t="str">
        <f t="shared" si="55"/>
        <v/>
      </c>
      <c r="AJ96" s="8" t="str">
        <f t="shared" si="56"/>
        <v/>
      </c>
      <c r="AK96" s="6" t="str">
        <f t="shared" si="57"/>
        <v/>
      </c>
      <c r="AL96" s="7" t="str">
        <f t="shared" si="58"/>
        <v/>
      </c>
      <c r="AM96" s="8" t="str">
        <f t="shared" si="59"/>
        <v/>
      </c>
      <c r="AN96" s="6" t="str">
        <f t="shared" si="60"/>
        <v/>
      </c>
      <c r="AO96" s="10" t="str">
        <f t="shared" si="61"/>
        <v/>
      </c>
      <c r="AP96" s="13" t="str">
        <f t="shared" si="62"/>
        <v/>
      </c>
      <c r="AR96" s="127" t="str">
        <f t="shared" si="33"/>
        <v/>
      </c>
      <c r="AS96" s="126" t="str">
        <f t="shared" si="34"/>
        <v/>
      </c>
      <c r="AU96" s="52" t="str">
        <f t="shared" si="65"/>
        <v/>
      </c>
      <c r="AV96" s="46" t="str">
        <f>IF(M96="","",Assy.Model!W127-W96)</f>
        <v/>
      </c>
      <c r="AW96" s="47" t="str">
        <f>IF(M96="","",Assy.Model!X127-X96)</f>
        <v/>
      </c>
      <c r="AX96" s="58" t="str">
        <f>IF(M96="","",Assy.Model!Y127-Y96)</f>
        <v/>
      </c>
      <c r="AY96" s="318" t="str">
        <f>IF(M96="","",Assy.Model!AN127-AN96)</f>
        <v/>
      </c>
      <c r="AZ96" s="48" t="str">
        <f>IF(M96="","",Assy.Model!AO127-AO96)</f>
        <v/>
      </c>
      <c r="BA96" s="324" t="str">
        <f>IF(M96="","",Assy.Model!AP127-AP96)</f>
        <v/>
      </c>
      <c r="BB96" s="290" t="str">
        <f>IF(M96="","",SQRT((Assy.Model!T96-T96)^2+(Assy.Model!U96-U96)^2+(Assy.Model!V96-V96)^2))</f>
        <v/>
      </c>
    </row>
    <row r="97" spans="2:54" ht="15" customHeight="1" x14ac:dyDescent="0.25">
      <c r="B97" s="143"/>
      <c r="C97" s="144"/>
      <c r="D97" s="145"/>
      <c r="E97" s="146"/>
      <c r="F97" s="144"/>
      <c r="G97" s="147"/>
      <c r="H97" s="146"/>
      <c r="I97" s="148"/>
      <c r="J97" s="310"/>
      <c r="K97" s="303"/>
      <c r="M97" s="5" t="str">
        <f t="shared" si="35"/>
        <v/>
      </c>
      <c r="N97" s="24" t="str">
        <f t="shared" si="36"/>
        <v/>
      </c>
      <c r="O97" s="7" t="str">
        <f t="shared" si="37"/>
        <v/>
      </c>
      <c r="P97" s="12" t="str">
        <f t="shared" si="38"/>
        <v/>
      </c>
      <c r="Q97" s="11" t="str">
        <f t="shared" si="63"/>
        <v/>
      </c>
      <c r="R97" s="7" t="str">
        <f t="shared" si="39"/>
        <v/>
      </c>
      <c r="S97" s="8" t="str">
        <f t="shared" si="40"/>
        <v/>
      </c>
      <c r="T97" s="6" t="str">
        <f t="shared" si="41"/>
        <v/>
      </c>
      <c r="U97" s="7" t="str">
        <f t="shared" si="42"/>
        <v/>
      </c>
      <c r="V97" s="10" t="str">
        <f t="shared" si="43"/>
        <v/>
      </c>
      <c r="W97" s="11" t="str">
        <f t="shared" si="44"/>
        <v/>
      </c>
      <c r="X97" s="7" t="str">
        <f t="shared" si="45"/>
        <v/>
      </c>
      <c r="Y97" s="9" t="str">
        <f t="shared" si="64"/>
        <v/>
      </c>
      <c r="Z97" s="24" t="str">
        <f t="shared" si="46"/>
        <v/>
      </c>
      <c r="AA97" s="7" t="str">
        <f t="shared" si="47"/>
        <v/>
      </c>
      <c r="AB97" s="7" t="str">
        <f t="shared" si="48"/>
        <v/>
      </c>
      <c r="AC97" s="10" t="str">
        <f t="shared" si="49"/>
        <v/>
      </c>
      <c r="AD97" s="11" t="str">
        <f t="shared" si="50"/>
        <v/>
      </c>
      <c r="AE97" s="7" t="str">
        <f t="shared" si="51"/>
        <v/>
      </c>
      <c r="AF97" s="12" t="str">
        <f t="shared" si="52"/>
        <v/>
      </c>
      <c r="AG97" s="6" t="str">
        <f t="shared" si="53"/>
        <v/>
      </c>
      <c r="AH97" s="12" t="str">
        <f t="shared" si="54"/>
        <v/>
      </c>
      <c r="AI97" s="11" t="str">
        <f t="shared" si="55"/>
        <v/>
      </c>
      <c r="AJ97" s="8" t="str">
        <f t="shared" si="56"/>
        <v/>
      </c>
      <c r="AK97" s="6" t="str">
        <f t="shared" si="57"/>
        <v/>
      </c>
      <c r="AL97" s="7" t="str">
        <f t="shared" si="58"/>
        <v/>
      </c>
      <c r="AM97" s="8" t="str">
        <f t="shared" si="59"/>
        <v/>
      </c>
      <c r="AN97" s="6" t="str">
        <f t="shared" si="60"/>
        <v/>
      </c>
      <c r="AO97" s="10" t="str">
        <f t="shared" si="61"/>
        <v/>
      </c>
      <c r="AP97" s="13" t="str">
        <f t="shared" si="62"/>
        <v/>
      </c>
      <c r="AR97" s="127" t="str">
        <f t="shared" si="33"/>
        <v/>
      </c>
      <c r="AS97" s="126" t="str">
        <f t="shared" si="34"/>
        <v/>
      </c>
      <c r="AU97" s="52" t="str">
        <f t="shared" si="65"/>
        <v/>
      </c>
      <c r="AV97" s="46" t="str">
        <f>IF(M97="","",Assy.Model!W128-W97)</f>
        <v/>
      </c>
      <c r="AW97" s="47" t="str">
        <f>IF(M97="","",Assy.Model!X128-X97)</f>
        <v/>
      </c>
      <c r="AX97" s="58" t="str">
        <f>IF(M97="","",Assy.Model!Y128-Y97)</f>
        <v/>
      </c>
      <c r="AY97" s="318" t="str">
        <f>IF(M97="","",Assy.Model!AN128-AN97)</f>
        <v/>
      </c>
      <c r="AZ97" s="48" t="str">
        <f>IF(M97="","",Assy.Model!AO128-AO97)</f>
        <v/>
      </c>
      <c r="BA97" s="324" t="str">
        <f>IF(M97="","",Assy.Model!AP128-AP97)</f>
        <v/>
      </c>
      <c r="BB97" s="290" t="str">
        <f>IF(M97="","",SQRT((Assy.Model!T97-T97)^2+(Assy.Model!U97-U97)^2+(Assy.Model!V97-V97)^2))</f>
        <v/>
      </c>
    </row>
    <row r="98" spans="2:54" ht="15" customHeight="1" thickBot="1" x14ac:dyDescent="0.3">
      <c r="B98" s="149"/>
      <c r="C98" s="150"/>
      <c r="D98" s="151"/>
      <c r="E98" s="152"/>
      <c r="F98" s="150"/>
      <c r="G98" s="153"/>
      <c r="H98" s="152"/>
      <c r="I98" s="154"/>
      <c r="J98" s="311"/>
      <c r="K98" s="304"/>
      <c r="M98" s="14" t="str">
        <f t="shared" si="35"/>
        <v/>
      </c>
      <c r="N98" s="25" t="str">
        <f t="shared" si="36"/>
        <v/>
      </c>
      <c r="O98" s="16" t="str">
        <f t="shared" si="37"/>
        <v/>
      </c>
      <c r="P98" s="21" t="str">
        <f t="shared" si="38"/>
        <v/>
      </c>
      <c r="Q98" s="20" t="str">
        <f t="shared" si="63"/>
        <v/>
      </c>
      <c r="R98" s="16" t="str">
        <f t="shared" si="39"/>
        <v/>
      </c>
      <c r="S98" s="17" t="str">
        <f t="shared" si="40"/>
        <v/>
      </c>
      <c r="T98" s="15" t="str">
        <f t="shared" si="41"/>
        <v/>
      </c>
      <c r="U98" s="16" t="str">
        <f t="shared" si="42"/>
        <v/>
      </c>
      <c r="V98" s="19" t="str">
        <f t="shared" si="43"/>
        <v/>
      </c>
      <c r="W98" s="20" t="str">
        <f t="shared" si="44"/>
        <v/>
      </c>
      <c r="X98" s="16" t="str">
        <f t="shared" si="45"/>
        <v/>
      </c>
      <c r="Y98" s="18" t="str">
        <f t="shared" si="64"/>
        <v/>
      </c>
      <c r="Z98" s="25" t="str">
        <f t="shared" si="46"/>
        <v/>
      </c>
      <c r="AA98" s="16" t="str">
        <f t="shared" si="47"/>
        <v/>
      </c>
      <c r="AB98" s="16" t="str">
        <f t="shared" si="48"/>
        <v/>
      </c>
      <c r="AC98" s="19" t="str">
        <f t="shared" si="49"/>
        <v/>
      </c>
      <c r="AD98" s="20" t="str">
        <f t="shared" si="50"/>
        <v/>
      </c>
      <c r="AE98" s="16" t="str">
        <f t="shared" si="51"/>
        <v/>
      </c>
      <c r="AF98" s="21" t="str">
        <f t="shared" si="52"/>
        <v/>
      </c>
      <c r="AG98" s="15" t="str">
        <f t="shared" si="53"/>
        <v/>
      </c>
      <c r="AH98" s="21" t="str">
        <f t="shared" si="54"/>
        <v/>
      </c>
      <c r="AI98" s="20" t="str">
        <f t="shared" si="55"/>
        <v/>
      </c>
      <c r="AJ98" s="17" t="str">
        <f t="shared" si="56"/>
        <v/>
      </c>
      <c r="AK98" s="15" t="str">
        <f t="shared" si="57"/>
        <v/>
      </c>
      <c r="AL98" s="16" t="str">
        <f t="shared" si="58"/>
        <v/>
      </c>
      <c r="AM98" s="17" t="str">
        <f t="shared" si="59"/>
        <v/>
      </c>
      <c r="AN98" s="15" t="str">
        <f t="shared" si="60"/>
        <v/>
      </c>
      <c r="AO98" s="19" t="str">
        <f t="shared" si="61"/>
        <v/>
      </c>
      <c r="AP98" s="22" t="str">
        <f t="shared" si="62"/>
        <v/>
      </c>
      <c r="AR98" s="128" t="str">
        <f t="shared" si="33"/>
        <v/>
      </c>
      <c r="AS98" s="129" t="str">
        <f t="shared" si="34"/>
        <v/>
      </c>
      <c r="AU98" s="56" t="str">
        <f t="shared" si="65"/>
        <v/>
      </c>
      <c r="AV98" s="49" t="str">
        <f>IF(M98="","",Assy.Model!W129-W98)</f>
        <v/>
      </c>
      <c r="AW98" s="50" t="str">
        <f>IF(M98="","",Assy.Model!X129-X98)</f>
        <v/>
      </c>
      <c r="AX98" s="59" t="str">
        <f>IF(M98="","",Assy.Model!Y129-Y98)</f>
        <v/>
      </c>
      <c r="AY98" s="319" t="str">
        <f>IF(M98="","",Assy.Model!AN129-AN98)</f>
        <v/>
      </c>
      <c r="AZ98" s="51" t="str">
        <f>IF(M98="","",Assy.Model!AO129-AO98)</f>
        <v/>
      </c>
      <c r="BA98" s="325" t="str">
        <f>IF(M98="","",Assy.Model!AP129-AP98)</f>
        <v/>
      </c>
      <c r="BB98" s="290" t="str">
        <f>IF(M98="","",SQRT((Assy.Model!T98-T98)^2+(Assy.Model!U98-U98)^2+(Assy.Model!V98-V98)^2))</f>
        <v/>
      </c>
    </row>
    <row r="99" spans="2:54" x14ac:dyDescent="0.25">
      <c r="BA99" s="327"/>
    </row>
    <row r="100" spans="2:54" x14ac:dyDescent="0.25">
      <c r="AU100" s="53"/>
      <c r="AV100" s="1151" t="str">
        <f>$W$6</f>
        <v>Projected XY</v>
      </c>
      <c r="AW100" s="1152"/>
      <c r="AX100" s="402" t="str">
        <f>$Y$6</f>
        <v>Z</v>
      </c>
      <c r="AY100" s="315" t="str">
        <f>$AN$6</f>
        <v>&lt;X°</v>
      </c>
      <c r="AZ100" s="90" t="str">
        <f>$AO$6</f>
        <v>&lt;Y°</v>
      </c>
      <c r="BA100" s="396" t="str">
        <f>$AP$6</f>
        <v>Projection</v>
      </c>
      <c r="BB100" s="342"/>
    </row>
    <row r="101" spans="2:54" x14ac:dyDescent="0.25">
      <c r="O101" s="53"/>
      <c r="P101" s="290"/>
      <c r="Q101" s="290"/>
      <c r="AU101" s="342"/>
      <c r="AV101" s="397" t="str">
        <f>$W$7</f>
        <v>&lt; θ°</v>
      </c>
      <c r="AW101" s="398" t="str">
        <f>$X$7</f>
        <v>r</v>
      </c>
      <c r="AX101" s="403"/>
      <c r="AY101" s="399" t="str">
        <f>$AN$7</f>
        <v>Tilt</v>
      </c>
      <c r="AZ101" s="400" t="str">
        <f>$AO$7</f>
        <v>Back Rake</v>
      </c>
      <c r="BA101" s="401" t="str">
        <f>$AP$7</f>
        <v>Side Rake</v>
      </c>
      <c r="BB101" s="342"/>
    </row>
    <row r="102" spans="2:54" x14ac:dyDescent="0.25">
      <c r="O102" s="53"/>
      <c r="P102" s="290"/>
      <c r="Q102" s="290"/>
      <c r="AU102" s="53" t="s">
        <v>114</v>
      </c>
      <c r="AV102" s="294">
        <f t="shared" ref="AV102:BB102" si="66">MIN(AV9:AV98)</f>
        <v>-2.0596626307657999</v>
      </c>
      <c r="AW102" s="290">
        <f t="shared" si="66"/>
        <v>-1.4138470863997847</v>
      </c>
      <c r="AX102" s="290">
        <f t="shared" si="66"/>
        <v>-1.9740741095209278</v>
      </c>
      <c r="AY102" s="294">
        <f t="shared" si="66"/>
        <v>-89.520667161098544</v>
      </c>
      <c r="AZ102" s="294">
        <f t="shared" si="66"/>
        <v>-25.27710425280582</v>
      </c>
      <c r="BA102" s="404">
        <f t="shared" si="66"/>
        <v>-89.770833853652093</v>
      </c>
      <c r="BB102" s="326">
        <f t="shared" si="66"/>
        <v>0.63419967016406398</v>
      </c>
    </row>
    <row r="103" spans="2:54" x14ac:dyDescent="0.25">
      <c r="O103" s="53"/>
      <c r="P103" s="201"/>
      <c r="Q103" s="201"/>
      <c r="AU103" s="53" t="s">
        <v>115</v>
      </c>
      <c r="AV103" s="294">
        <f t="shared" ref="AV103:BB103" si="67">MAX(AV9:AV98)</f>
        <v>181.48916543176261</v>
      </c>
      <c r="AW103" s="290">
        <f t="shared" si="67"/>
        <v>3.1551688998907599</v>
      </c>
      <c r="AX103" s="290">
        <f t="shared" si="67"/>
        <v>0.76904300545547077</v>
      </c>
      <c r="AY103" s="294">
        <f t="shared" si="67"/>
        <v>22.987596750796808</v>
      </c>
      <c r="AZ103" s="294">
        <f t="shared" si="67"/>
        <v>12.150261813543928</v>
      </c>
      <c r="BA103" s="404">
        <f t="shared" si="67"/>
        <v>10.136786635582622</v>
      </c>
      <c r="BB103" s="326">
        <f t="shared" si="67"/>
        <v>6.6993316181240434</v>
      </c>
    </row>
    <row r="104" spans="2:54" x14ac:dyDescent="0.25">
      <c r="O104" s="53"/>
      <c r="P104" s="290"/>
      <c r="Q104" s="290"/>
      <c r="AU104" s="53" t="s">
        <v>113</v>
      </c>
      <c r="AV104" s="294">
        <f t="shared" ref="AV104:BB104" si="68">AV103-AV102</f>
        <v>183.5488280625284</v>
      </c>
      <c r="AW104" s="290">
        <f t="shared" si="68"/>
        <v>4.5690159862905446</v>
      </c>
      <c r="AX104" s="290">
        <f t="shared" si="68"/>
        <v>2.7431171149763984</v>
      </c>
      <c r="AY104" s="294">
        <f t="shared" si="68"/>
        <v>112.50826391189536</v>
      </c>
      <c r="AZ104" s="294">
        <f t="shared" si="68"/>
        <v>37.427366066349748</v>
      </c>
      <c r="BA104" s="404">
        <f t="shared" si="68"/>
        <v>99.907620489234716</v>
      </c>
      <c r="BB104" s="326">
        <f t="shared" si="68"/>
        <v>6.0651319479599799</v>
      </c>
    </row>
    <row r="105" spans="2:54" x14ac:dyDescent="0.25">
      <c r="O105" s="53"/>
      <c r="P105" s="201"/>
      <c r="Q105" s="201"/>
      <c r="AU105" s="53" t="s">
        <v>112</v>
      </c>
      <c r="AV105" s="294">
        <f t="shared" ref="AV105:BB105" si="69">AVERAGE(AV9:AV98)</f>
        <v>89.031294736001797</v>
      </c>
      <c r="AW105" s="290">
        <f t="shared" si="69"/>
        <v>7.0674967539231456E-2</v>
      </c>
      <c r="AX105" s="290">
        <f t="shared" si="69"/>
        <v>-0.45148763103684125</v>
      </c>
      <c r="AY105" s="294">
        <f t="shared" si="69"/>
        <v>-22.578801735434368</v>
      </c>
      <c r="AZ105" s="294">
        <f t="shared" si="69"/>
        <v>-3.9898567706312167</v>
      </c>
      <c r="BA105" s="404">
        <f t="shared" si="69"/>
        <v>-19.731436615302865</v>
      </c>
      <c r="BB105" s="411">
        <f t="shared" si="69"/>
        <v>3.8556691230607805</v>
      </c>
    </row>
    <row r="106" spans="2:54" x14ac:dyDescent="0.25">
      <c r="O106" s="53"/>
      <c r="P106" s="201"/>
      <c r="Q106" s="201"/>
    </row>
    <row r="107" spans="2:54" x14ac:dyDescent="0.25">
      <c r="O107" s="53"/>
      <c r="P107" s="290"/>
      <c r="Q107" s="290"/>
    </row>
    <row r="110" spans="2:54" x14ac:dyDescent="0.25">
      <c r="P110" s="1"/>
    </row>
  </sheetData>
  <mergeCells count="52">
    <mergeCell ref="AV2:BA3"/>
    <mergeCell ref="AX7:AX8"/>
    <mergeCell ref="AY5:BA5"/>
    <mergeCell ref="W4:Y4"/>
    <mergeCell ref="AR2:AS2"/>
    <mergeCell ref="Z6:AC6"/>
    <mergeCell ref="Z5:AF5"/>
    <mergeCell ref="AU2:AU8"/>
    <mergeCell ref="AG4:AJ4"/>
    <mergeCell ref="W6:X6"/>
    <mergeCell ref="AY4:BA4"/>
    <mergeCell ref="AG5:AJ5"/>
    <mergeCell ref="Y6:Y7"/>
    <mergeCell ref="N2:Y3"/>
    <mergeCell ref="Z2:AP3"/>
    <mergeCell ref="T6:T7"/>
    <mergeCell ref="O6:O7"/>
    <mergeCell ref="P6:P7"/>
    <mergeCell ref="BB7:BB8"/>
    <mergeCell ref="AD6:AF6"/>
    <mergeCell ref="AG6:AH6"/>
    <mergeCell ref="AI6:AJ6"/>
    <mergeCell ref="AK6:AM6"/>
    <mergeCell ref="AR7:AR8"/>
    <mergeCell ref="AS7:AS8"/>
    <mergeCell ref="AV6:AX6"/>
    <mergeCell ref="AY6:BA6"/>
    <mergeCell ref="Q6:R6"/>
    <mergeCell ref="S6:S7"/>
    <mergeCell ref="H7:J7"/>
    <mergeCell ref="B2:K4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V100:AW100"/>
    <mergeCell ref="V6:V7"/>
    <mergeCell ref="AV4:AX4"/>
    <mergeCell ref="AV5:AX5"/>
    <mergeCell ref="AV7:AW7"/>
    <mergeCell ref="W5:Y5"/>
    <mergeCell ref="Z4:AF4"/>
    <mergeCell ref="AK5:AP5"/>
    <mergeCell ref="AK4:AP4"/>
  </mergeCells>
  <pageMargins left="0.7" right="0.7" top="0.75" bottom="0.75" header="0.3" footer="0.3"/>
  <pageSetup paperSize="17" scale="46" fitToWidth="3" orientation="landscape" r:id="rId1"/>
  <colBreaks count="2" manualBreakCount="2">
    <brk id="12" max="1048575" man="1"/>
    <brk id="4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BO38"/>
  <sheetViews>
    <sheetView zoomScale="80" zoomScaleNormal="80" workbookViewId="0"/>
  </sheetViews>
  <sheetFormatPr defaultRowHeight="15" x14ac:dyDescent="0.25"/>
  <cols>
    <col min="1" max="1" width="2.7109375" customWidth="1"/>
    <col min="2" max="7" width="9.7109375" customWidth="1"/>
    <col min="8" max="10" width="9.7109375" style="342" customWidth="1"/>
    <col min="11" max="15" width="9.7109375" customWidth="1"/>
    <col min="16" max="16" width="9.7109375" style="35" customWidth="1"/>
    <col min="17" max="18" width="9.7109375" customWidth="1"/>
    <col min="19" max="19" width="2.7109375" customWidth="1"/>
    <col min="20" max="22" width="9.7109375" customWidth="1"/>
    <col min="23" max="28" width="9.7109375" style="342" customWidth="1"/>
    <col min="29" max="33" width="9.7109375" customWidth="1"/>
    <col min="34" max="34" width="2.7109375" customWidth="1"/>
    <col min="35" max="37" width="9.7109375" customWidth="1"/>
    <col min="38" max="40" width="9.7109375" style="342" customWidth="1"/>
    <col min="41" max="48" width="9.7109375" customWidth="1"/>
    <col min="49" max="49" width="2.7109375" customWidth="1"/>
    <col min="50" max="52" width="9.7109375" customWidth="1"/>
    <col min="53" max="55" width="9.7109375" style="342" customWidth="1"/>
    <col min="56" max="62" width="9.7109375" customWidth="1"/>
    <col min="63" max="65" width="9.7109375" style="342" customWidth="1"/>
    <col min="66" max="66" width="9.7109375" customWidth="1"/>
    <col min="67" max="67" width="2.7109375" customWidth="1"/>
  </cols>
  <sheetData>
    <row r="1" spans="2:67" s="342" customFormat="1" x14ac:dyDescent="0.25"/>
    <row r="3" spans="2:67" ht="15.75" thickBot="1" x14ac:dyDescent="0.3">
      <c r="B3" s="1200" t="s">
        <v>121</v>
      </c>
      <c r="C3" s="1201"/>
      <c r="D3" s="1201"/>
      <c r="E3" s="1201"/>
      <c r="F3" s="1201"/>
      <c r="G3" s="1201"/>
      <c r="H3" s="1201"/>
      <c r="I3" s="1201"/>
      <c r="J3" s="1202"/>
      <c r="O3" s="1222" t="s">
        <v>127</v>
      </c>
      <c r="P3" s="1223"/>
      <c r="Q3" s="1223"/>
      <c r="R3" s="1224"/>
      <c r="S3" s="363"/>
      <c r="T3" s="1226" t="s">
        <v>129</v>
      </c>
      <c r="U3" s="1223"/>
      <c r="V3" s="1223"/>
      <c r="W3" s="1223"/>
      <c r="X3" s="1227"/>
      <c r="Y3" s="366">
        <v>2.5044229275307567E-7</v>
      </c>
      <c r="Z3" s="349"/>
      <c r="AA3" s="346"/>
      <c r="AB3" s="346"/>
      <c r="AC3" s="346"/>
      <c r="AD3" s="1211" t="str">
        <f>$O$3</f>
        <v xml:space="preserve">Position shift by average </v>
      </c>
      <c r="AE3" s="1212"/>
      <c r="AF3" s="1212"/>
      <c r="AG3" s="1213"/>
      <c r="AH3" s="320"/>
      <c r="AI3" s="1228" t="s">
        <v>130</v>
      </c>
      <c r="AJ3" s="878"/>
      <c r="AK3" s="878"/>
      <c r="AL3" s="878"/>
      <c r="AM3" s="1229"/>
      <c r="AN3" s="366">
        <v>5.8608053496045648E-7</v>
      </c>
      <c r="AO3" s="349"/>
      <c r="AP3" s="346"/>
      <c r="AQ3" s="346"/>
      <c r="AR3" s="346"/>
      <c r="AS3" s="1211" t="str">
        <f>$O$3</f>
        <v xml:space="preserve">Position shift by average </v>
      </c>
      <c r="AT3" s="1212"/>
      <c r="AU3" s="1212"/>
      <c r="AV3" s="1213"/>
      <c r="AW3" s="320"/>
      <c r="AX3" s="1228" t="s">
        <v>131</v>
      </c>
      <c r="AY3" s="878"/>
      <c r="AZ3" s="878"/>
      <c r="BA3" s="878"/>
      <c r="BB3" s="1229"/>
      <c r="BC3" s="366">
        <v>-2.3220294249067276E-3</v>
      </c>
      <c r="BD3" s="349"/>
      <c r="BE3" s="346"/>
      <c r="BF3" s="346"/>
      <c r="BG3" s="346"/>
      <c r="BH3" s="1211" t="str">
        <f>$O$3</f>
        <v xml:space="preserve">Position shift by average </v>
      </c>
      <c r="BI3" s="1212"/>
      <c r="BJ3" s="1212"/>
      <c r="BK3" s="1212"/>
      <c r="BL3" s="1212"/>
      <c r="BM3" s="1212"/>
      <c r="BN3" s="1213"/>
      <c r="BO3" s="327"/>
    </row>
    <row r="4" spans="2:67" ht="15" customHeight="1" x14ac:dyDescent="0.25">
      <c r="B4" s="1208" t="s">
        <v>119</v>
      </c>
      <c r="C4" s="1195"/>
      <c r="D4" s="1196"/>
      <c r="E4" s="1194" t="s">
        <v>120</v>
      </c>
      <c r="F4" s="1195"/>
      <c r="G4" s="1195"/>
      <c r="H4" s="1195"/>
      <c r="I4" s="1195"/>
      <c r="J4" s="1196"/>
      <c r="K4" s="343"/>
      <c r="L4" s="343"/>
      <c r="M4" s="343"/>
      <c r="N4" s="343"/>
      <c r="O4" s="1181" t="str">
        <f>$E$4</f>
        <v>Point Cloud #2</v>
      </c>
      <c r="P4" s="1182"/>
      <c r="Q4" s="1203"/>
      <c r="R4" s="1214" t="str">
        <f>$K$6</f>
        <v>Postion Deviation</v>
      </c>
      <c r="S4" s="364"/>
      <c r="T4" s="1230" t="str">
        <f>$E$4</f>
        <v>Point Cloud #2</v>
      </c>
      <c r="U4" s="1182"/>
      <c r="V4" s="1182"/>
      <c r="W4" s="1182"/>
      <c r="X4" s="1182"/>
      <c r="Y4" s="1183"/>
      <c r="Z4" s="350"/>
      <c r="AA4" s="216"/>
      <c r="AB4" s="216"/>
      <c r="AC4" s="343"/>
      <c r="AD4" s="1181" t="str">
        <f>$E$4</f>
        <v>Point Cloud #2</v>
      </c>
      <c r="AE4" s="1182"/>
      <c r="AF4" s="1182"/>
      <c r="AG4" s="1219" t="str">
        <f>$K$6</f>
        <v>Postion Deviation</v>
      </c>
      <c r="AH4" s="320"/>
      <c r="AI4" s="1230" t="str">
        <f>$E$4</f>
        <v>Point Cloud #2</v>
      </c>
      <c r="AJ4" s="1182"/>
      <c r="AK4" s="1182"/>
      <c r="AL4" s="1182"/>
      <c r="AM4" s="1182"/>
      <c r="AN4" s="1183"/>
      <c r="AO4" s="350"/>
      <c r="AP4" s="216"/>
      <c r="AQ4" s="216"/>
      <c r="AR4" s="343"/>
      <c r="AS4" s="1181" t="str">
        <f>$E$4</f>
        <v>Point Cloud #2</v>
      </c>
      <c r="AT4" s="1182"/>
      <c r="AU4" s="1182"/>
      <c r="AV4" s="1219" t="str">
        <f>$K$6</f>
        <v>Postion Deviation</v>
      </c>
      <c r="AW4" s="320"/>
      <c r="AX4" s="1230" t="str">
        <f>$E$4</f>
        <v>Point Cloud #2</v>
      </c>
      <c r="AY4" s="1182"/>
      <c r="AZ4" s="1182"/>
      <c r="BA4" s="1182"/>
      <c r="BB4" s="1182"/>
      <c r="BC4" s="1183"/>
      <c r="BD4" s="350"/>
      <c r="BE4" s="216"/>
      <c r="BF4" s="216"/>
      <c r="BG4" s="343"/>
      <c r="BH4" s="1181" t="str">
        <f>$E$4</f>
        <v>Point Cloud #2</v>
      </c>
      <c r="BI4" s="1182"/>
      <c r="BJ4" s="1182"/>
      <c r="BK4" s="1182"/>
      <c r="BL4" s="1182"/>
      <c r="BM4" s="1183"/>
      <c r="BN4" s="1214" t="str">
        <f>$K$6</f>
        <v>Postion Deviation</v>
      </c>
      <c r="BO4" s="327"/>
    </row>
    <row r="5" spans="2:67" x14ac:dyDescent="0.25">
      <c r="B5" s="1205" t="s">
        <v>118</v>
      </c>
      <c r="C5" s="1206"/>
      <c r="D5" s="1207"/>
      <c r="E5" s="1197" t="s">
        <v>132</v>
      </c>
      <c r="F5" s="1198"/>
      <c r="G5" s="1198"/>
      <c r="H5" s="1198"/>
      <c r="I5" s="1198"/>
      <c r="J5" s="1199"/>
      <c r="K5" s="354"/>
      <c r="L5" s="354"/>
      <c r="M5" s="354"/>
      <c r="N5" s="354"/>
      <c r="O5" s="1187" t="str">
        <f>$E$5</f>
        <v>To Be Aligned</v>
      </c>
      <c r="P5" s="1185"/>
      <c r="Q5" s="1204"/>
      <c r="R5" s="1215"/>
      <c r="S5" s="320"/>
      <c r="T5" s="1184" t="str">
        <f>$E$5</f>
        <v>To Be Aligned</v>
      </c>
      <c r="U5" s="1185"/>
      <c r="V5" s="1185"/>
      <c r="W5" s="1185"/>
      <c r="X5" s="1185"/>
      <c r="Y5" s="1186"/>
      <c r="Z5" s="351"/>
      <c r="AA5" s="352"/>
      <c r="AB5" s="352"/>
      <c r="AC5" s="353"/>
      <c r="AD5" s="1187" t="str">
        <f>$E$5</f>
        <v>To Be Aligned</v>
      </c>
      <c r="AE5" s="1185"/>
      <c r="AF5" s="1185"/>
      <c r="AG5" s="1220"/>
      <c r="AH5" s="320"/>
      <c r="AI5" s="1184" t="str">
        <f>$E$5</f>
        <v>To Be Aligned</v>
      </c>
      <c r="AJ5" s="1185"/>
      <c r="AK5" s="1185"/>
      <c r="AL5" s="1185"/>
      <c r="AM5" s="1185"/>
      <c r="AN5" s="1186"/>
      <c r="AO5" s="351"/>
      <c r="AP5" s="352"/>
      <c r="AQ5" s="352"/>
      <c r="AR5" s="353"/>
      <c r="AS5" s="1187" t="str">
        <f>$E$5</f>
        <v>To Be Aligned</v>
      </c>
      <c r="AT5" s="1185"/>
      <c r="AU5" s="1185"/>
      <c r="AV5" s="1220"/>
      <c r="AW5" s="320"/>
      <c r="AX5" s="1184" t="str">
        <f>$E$5</f>
        <v>To Be Aligned</v>
      </c>
      <c r="AY5" s="1185"/>
      <c r="AZ5" s="1185"/>
      <c r="BA5" s="1185"/>
      <c r="BB5" s="1185"/>
      <c r="BC5" s="1186"/>
      <c r="BD5" s="351"/>
      <c r="BE5" s="352"/>
      <c r="BF5" s="352"/>
      <c r="BG5" s="353"/>
      <c r="BH5" s="1187" t="str">
        <f>$E$5</f>
        <v>To Be Aligned</v>
      </c>
      <c r="BI5" s="1185"/>
      <c r="BJ5" s="1185"/>
      <c r="BK5" s="1185"/>
      <c r="BL5" s="1185"/>
      <c r="BM5" s="1186"/>
      <c r="BN5" s="1215"/>
      <c r="BO5" s="327"/>
    </row>
    <row r="6" spans="2:67" ht="15" customHeight="1" x14ac:dyDescent="0.25">
      <c r="B6" s="1191" t="s">
        <v>122</v>
      </c>
      <c r="C6" s="1192"/>
      <c r="D6" s="1193"/>
      <c r="E6" s="1209" t="str">
        <f>$B$6</f>
        <v>Absolute-Points</v>
      </c>
      <c r="F6" s="1189"/>
      <c r="G6" s="1210"/>
      <c r="H6" s="1191" t="s">
        <v>43</v>
      </c>
      <c r="I6" s="1192"/>
      <c r="J6" s="1193"/>
      <c r="K6" s="1218" t="s">
        <v>128</v>
      </c>
      <c r="L6" s="1218"/>
      <c r="M6" s="1218"/>
      <c r="N6" s="1218"/>
      <c r="O6" s="1178" t="str">
        <f>$B$6</f>
        <v>Absolute-Points</v>
      </c>
      <c r="P6" s="1179"/>
      <c r="Q6" s="1225"/>
      <c r="R6" s="1216"/>
      <c r="S6" s="320"/>
      <c r="T6" s="1231" t="str">
        <f>$B$6</f>
        <v>Absolute-Points</v>
      </c>
      <c r="U6" s="1179"/>
      <c r="V6" s="1180"/>
      <c r="W6" s="1188" t="str">
        <f>$H$6</f>
        <v>Incremental-Vector Point</v>
      </c>
      <c r="X6" s="1189"/>
      <c r="Y6" s="1190"/>
      <c r="Z6" s="1217" t="str">
        <f>$K$6</f>
        <v>Postion Deviation</v>
      </c>
      <c r="AA6" s="1217"/>
      <c r="AB6" s="1217"/>
      <c r="AC6" s="1217"/>
      <c r="AD6" s="1178" t="str">
        <f>$B$6</f>
        <v>Absolute-Points</v>
      </c>
      <c r="AE6" s="1179"/>
      <c r="AF6" s="1180"/>
      <c r="AG6" s="1221"/>
      <c r="AH6" s="320"/>
      <c r="AI6" s="1231" t="str">
        <f>$B$6</f>
        <v>Absolute-Points</v>
      </c>
      <c r="AJ6" s="1179"/>
      <c r="AK6" s="1180"/>
      <c r="AL6" s="1188" t="str">
        <f>$H$6</f>
        <v>Incremental-Vector Point</v>
      </c>
      <c r="AM6" s="1189"/>
      <c r="AN6" s="1190"/>
      <c r="AO6" s="1217" t="str">
        <f>$K$6</f>
        <v>Postion Deviation</v>
      </c>
      <c r="AP6" s="1217"/>
      <c r="AQ6" s="1217"/>
      <c r="AR6" s="1217"/>
      <c r="AS6" s="1178" t="str">
        <f>$B$6</f>
        <v>Absolute-Points</v>
      </c>
      <c r="AT6" s="1179"/>
      <c r="AU6" s="1180"/>
      <c r="AV6" s="1221"/>
      <c r="AW6" s="320"/>
      <c r="AX6" s="1231" t="str">
        <f>$B$6</f>
        <v>Absolute-Points</v>
      </c>
      <c r="AY6" s="1179"/>
      <c r="AZ6" s="1180"/>
      <c r="BA6" s="1188" t="str">
        <f>$H$6</f>
        <v>Incremental-Vector Point</v>
      </c>
      <c r="BB6" s="1189"/>
      <c r="BC6" s="1190"/>
      <c r="BD6" s="1217" t="str">
        <f>$K$6</f>
        <v>Postion Deviation</v>
      </c>
      <c r="BE6" s="1217"/>
      <c r="BF6" s="1217"/>
      <c r="BG6" s="1217"/>
      <c r="BH6" s="1178" t="str">
        <f>$B$6</f>
        <v>Absolute-Points</v>
      </c>
      <c r="BI6" s="1179"/>
      <c r="BJ6" s="1180"/>
      <c r="BK6" s="1188" t="str">
        <f>$H$6</f>
        <v>Incremental-Vector Point</v>
      </c>
      <c r="BL6" s="1189"/>
      <c r="BM6" s="1190"/>
      <c r="BN6" s="1216"/>
      <c r="BO6" s="327"/>
    </row>
    <row r="7" spans="2:67" ht="18.75" thickBot="1" x14ac:dyDescent="0.3">
      <c r="B7" s="60" t="s">
        <v>8</v>
      </c>
      <c r="C7" s="3" t="s">
        <v>9</v>
      </c>
      <c r="D7" s="365" t="s">
        <v>10</v>
      </c>
      <c r="E7" s="41" t="str">
        <f>$B$7</f>
        <v>X</v>
      </c>
      <c r="F7" s="39" t="str">
        <f>$C$7</f>
        <v>Y</v>
      </c>
      <c r="G7" s="40" t="str">
        <f>$D$7</f>
        <v>Z</v>
      </c>
      <c r="H7" s="60" t="s">
        <v>20</v>
      </c>
      <c r="I7" s="3" t="s">
        <v>21</v>
      </c>
      <c r="J7" s="365" t="s">
        <v>22</v>
      </c>
      <c r="K7" s="370" t="s">
        <v>124</v>
      </c>
      <c r="L7" s="329" t="s">
        <v>125</v>
      </c>
      <c r="M7" s="330" t="s">
        <v>126</v>
      </c>
      <c r="N7" s="395" t="s">
        <v>123</v>
      </c>
      <c r="O7" s="41" t="str">
        <f>$B$7</f>
        <v>X</v>
      </c>
      <c r="P7" s="39" t="str">
        <f>$C$7</f>
        <v>Y</v>
      </c>
      <c r="Q7" s="410" t="str">
        <f>$D$7</f>
        <v>Z</v>
      </c>
      <c r="R7" s="374" t="str">
        <f>$N$7</f>
        <v>Delta XYZ</v>
      </c>
      <c r="S7" s="320"/>
      <c r="T7" s="38" t="str">
        <f>$B$7</f>
        <v>X</v>
      </c>
      <c r="U7" s="39" t="str">
        <f>$C$7</f>
        <v>Y</v>
      </c>
      <c r="V7" s="40" t="str">
        <f>$D$7</f>
        <v>Z</v>
      </c>
      <c r="W7" s="38" t="str">
        <f>$H$7</f>
        <v>Delta X</v>
      </c>
      <c r="X7" s="39" t="str">
        <f>$I$7</f>
        <v>Delta Y</v>
      </c>
      <c r="Y7" s="42" t="str">
        <f>$J$7</f>
        <v>Delta Z</v>
      </c>
      <c r="Z7" s="389" t="str">
        <f>$K$7</f>
        <v>X2-X1</v>
      </c>
      <c r="AA7" s="355" t="str">
        <f>$L$7</f>
        <v>Y2-Y1</v>
      </c>
      <c r="AB7" s="356" t="str">
        <f>$M$7</f>
        <v>Z2-Z1</v>
      </c>
      <c r="AC7" s="394" t="str">
        <f>$N$7</f>
        <v>Delta XYZ</v>
      </c>
      <c r="AD7" s="41" t="str">
        <f>$B$7</f>
        <v>X</v>
      </c>
      <c r="AE7" s="39" t="str">
        <f>$C$7</f>
        <v>Y</v>
      </c>
      <c r="AF7" s="40" t="str">
        <f>$D$7</f>
        <v>Z</v>
      </c>
      <c r="AG7" s="348" t="str">
        <f>$N$7</f>
        <v>Delta XYZ</v>
      </c>
      <c r="AH7" s="320"/>
      <c r="AI7" s="38" t="str">
        <f>$B$7</f>
        <v>X</v>
      </c>
      <c r="AJ7" s="39" t="str">
        <f>$C$7</f>
        <v>Y</v>
      </c>
      <c r="AK7" s="40" t="str">
        <f>$D$7</f>
        <v>Z</v>
      </c>
      <c r="AL7" s="38" t="str">
        <f>$H$7</f>
        <v>Delta X</v>
      </c>
      <c r="AM7" s="39" t="str">
        <f>$I$7</f>
        <v>Delta Y</v>
      </c>
      <c r="AN7" s="42" t="str">
        <f>$J$7</f>
        <v>Delta Z</v>
      </c>
      <c r="AO7" s="389" t="str">
        <f>$K$7</f>
        <v>X2-X1</v>
      </c>
      <c r="AP7" s="355" t="str">
        <f>$L$7</f>
        <v>Y2-Y1</v>
      </c>
      <c r="AQ7" s="356" t="str">
        <f>$M$7</f>
        <v>Z2-Z1</v>
      </c>
      <c r="AR7" s="394" t="str">
        <f>$N$7</f>
        <v>Delta XYZ</v>
      </c>
      <c r="AS7" s="41" t="str">
        <f>$B$7</f>
        <v>X</v>
      </c>
      <c r="AT7" s="39" t="str">
        <f>$C$7</f>
        <v>Y</v>
      </c>
      <c r="AU7" s="40" t="str">
        <f>$D$7</f>
        <v>Z</v>
      </c>
      <c r="AV7" s="348" t="str">
        <f>$N$7</f>
        <v>Delta XYZ</v>
      </c>
      <c r="AW7" s="320"/>
      <c r="AX7" s="38" t="str">
        <f>$B$7</f>
        <v>X</v>
      </c>
      <c r="AY7" s="39" t="str">
        <f>$C$7</f>
        <v>Y</v>
      </c>
      <c r="AZ7" s="40" t="str">
        <f>$D$7</f>
        <v>Z</v>
      </c>
      <c r="BA7" s="38" t="str">
        <f>$H$7</f>
        <v>Delta X</v>
      </c>
      <c r="BB7" s="39" t="str">
        <f>$I$7</f>
        <v>Delta Y</v>
      </c>
      <c r="BC7" s="42" t="str">
        <f>$J$7</f>
        <v>Delta Z</v>
      </c>
      <c r="BD7" s="389" t="str">
        <f>$K$7</f>
        <v>X2-X1</v>
      </c>
      <c r="BE7" s="355" t="str">
        <f>$L$7</f>
        <v>Y2-Y1</v>
      </c>
      <c r="BF7" s="356" t="str">
        <f>$M$7</f>
        <v>Z2-Z1</v>
      </c>
      <c r="BG7" s="394" t="str">
        <f>$N$7</f>
        <v>Delta XYZ</v>
      </c>
      <c r="BH7" s="41" t="str">
        <f>$B$7</f>
        <v>X</v>
      </c>
      <c r="BI7" s="39" t="str">
        <f>$C$7</f>
        <v>Y</v>
      </c>
      <c r="BJ7" s="40" t="str">
        <f>$D$7</f>
        <v>Z</v>
      </c>
      <c r="BK7" s="38" t="str">
        <f>$H$7</f>
        <v>Delta X</v>
      </c>
      <c r="BL7" s="39" t="str">
        <f>$I$7</f>
        <v>Delta Y</v>
      </c>
      <c r="BM7" s="42" t="str">
        <f>$J$7</f>
        <v>Delta Z</v>
      </c>
      <c r="BN7" s="374" t="str">
        <f>$N$7</f>
        <v>Delta XYZ</v>
      </c>
      <c r="BO7" s="327"/>
    </row>
    <row r="8" spans="2:67" ht="15.75" thickTop="1" x14ac:dyDescent="0.25">
      <c r="B8" s="407">
        <v>1.0270293291166768</v>
      </c>
      <c r="C8" s="332">
        <v>3.9705505086186192E-2</v>
      </c>
      <c r="D8" s="333">
        <v>-0.42920000000000014</v>
      </c>
      <c r="E8" s="331">
        <v>1.032316945813027</v>
      </c>
      <c r="F8" s="332">
        <v>5.3535285976166816E-2</v>
      </c>
      <c r="G8" s="379">
        <v>-0.41780437183469377</v>
      </c>
      <c r="H8" s="382">
        <v>-3.6173712699698109E-2</v>
      </c>
      <c r="I8" s="367">
        <v>0.96297238721849543</v>
      </c>
      <c r="J8" s="383">
        <v>0.26716378219779652</v>
      </c>
      <c r="K8" s="31">
        <f>E8-$B8</f>
        <v>5.2876166963502502E-3</v>
      </c>
      <c r="L8" s="23">
        <f>F8-$C8</f>
        <v>1.3829780889980624E-2</v>
      </c>
      <c r="M8" s="33">
        <f>G8-$D8</f>
        <v>1.1395628165306371E-2</v>
      </c>
      <c r="N8" s="391">
        <f>SQRT((E8-$B8)^2+(F8-$C8)^2+(G8-$D8)^2)</f>
        <v>1.8683738145090747E-2</v>
      </c>
      <c r="O8" s="31">
        <f t="shared" ref="O8:O33" si="0">E8-K$37</f>
        <v>1.0323148375612605</v>
      </c>
      <c r="P8" s="23">
        <f t="shared" ref="P8:P33" si="1">F8-L$37</f>
        <v>5.3541158812131631E-2</v>
      </c>
      <c r="Q8" s="33">
        <f t="shared" ref="Q8:Q33" si="2">G8-M$37</f>
        <v>-0.42323245963906025</v>
      </c>
      <c r="R8" s="375">
        <f t="shared" ref="R8:R14" si="3">SQRT((O8-$B8)^2+(P8-$C8)^2+(Q8-$D8)^2)</f>
        <v>1.5967888135300815E-2</v>
      </c>
      <c r="S8" s="320"/>
      <c r="T8" s="32">
        <f>O8</f>
        <v>1.0323148375612605</v>
      </c>
      <c r="U8" s="23">
        <f t="shared" ref="U8:U33" si="4">P8*COS(RADIANS($Y$3))-Q8*SIN(RADIANS($Y$3))</f>
        <v>5.3541160662098741E-2</v>
      </c>
      <c r="V8" s="29">
        <f t="shared" ref="V8:V33" si="5">P8*SIN(RADIANS($Y$3))+Q8*COS(RADIANS($Y$3))</f>
        <v>-0.42323245940502957</v>
      </c>
      <c r="W8" s="391">
        <f>H8</f>
        <v>-3.6173712699698109E-2</v>
      </c>
      <c r="X8" s="371">
        <f>I8*COS(RADIANS($Y$3))-J8*SIN(RADIANS($Y$3))</f>
        <v>0.96297238605071112</v>
      </c>
      <c r="Y8" s="28">
        <f>I8*SIN(RADIANS($Y$3))+J8*COS(RADIANS($Y$3))</f>
        <v>0.26716378640698984</v>
      </c>
      <c r="Z8" s="390">
        <f>T8-$B8</f>
        <v>5.285508444583753E-3</v>
      </c>
      <c r="AA8" s="23">
        <f>U8-$C8</f>
        <v>1.3835655575912549E-2</v>
      </c>
      <c r="AB8" s="33">
        <f>V8-$D8</f>
        <v>5.9675405949705662E-3</v>
      </c>
      <c r="AC8" s="391">
        <f>SQRT((T8-$B8)^2+(U8-$C8)^2+(V8-$D8)^2)</f>
        <v>1.5967889825699196E-2</v>
      </c>
      <c r="AD8" s="31">
        <f>T8-Z$37</f>
        <v>1.0323148375612605</v>
      </c>
      <c r="AE8" s="23">
        <f t="shared" ref="AE8:AE33" si="6">U8-AA$37</f>
        <v>5.3541158963763817E-2</v>
      </c>
      <c r="AF8" s="29">
        <f t="shared" ref="AF8:AF33" si="7">V8-AB$37</f>
        <v>-0.42323245917774527</v>
      </c>
      <c r="AG8" s="338">
        <f t="shared" ref="AG8:AG14" si="8">SQRT((AD8-$B8)^2+(AE8-$C8)^2+(AF8-$D8)^2)</f>
        <v>1.5967888439088408E-2</v>
      </c>
      <c r="AH8" s="320"/>
      <c r="AI8" s="32">
        <f t="shared" ref="AI8:AI33" si="9">AF8*SIN(RADIANS($AN$3))+AD8*COS(RADIANS($AN$3))</f>
        <v>1.0323148332320009</v>
      </c>
      <c r="AJ8" s="23">
        <f>AE8</f>
        <v>5.3541158963763817E-2</v>
      </c>
      <c r="AK8" s="29">
        <f t="shared" ref="AK8:AK33" si="10">AF8*COS(RADIANS($AN$3))-AD8*SIN(RADIANS($AN$3))</f>
        <v>-0.42323246973732986</v>
      </c>
      <c r="AL8" s="391">
        <f>Y8*SIN(RADIANS($AN$3))+W8*COS(RADIANS($AN$3))</f>
        <v>-3.6173709966870381E-2</v>
      </c>
      <c r="AM8" s="371">
        <f>X8</f>
        <v>0.96297238605071112</v>
      </c>
      <c r="AN8" s="28">
        <f t="shared" ref="AN8:AN33" si="11">Y8*COS(RADIANS($AN$3))-W8*SIN(RADIANS($AN$3))</f>
        <v>0.26716378677701202</v>
      </c>
      <c r="AO8" s="390">
        <f>AI8-$B8</f>
        <v>5.2855041153241356E-3</v>
      </c>
      <c r="AP8" s="23">
        <f>AJ8-$C8</f>
        <v>1.3835653877577625E-2</v>
      </c>
      <c r="AQ8" s="33">
        <f>AK8-$D8</f>
        <v>5.9675302626702731E-3</v>
      </c>
      <c r="AR8" s="391">
        <f>SQRT((AI8-$B8)^2+(AJ8-$C8)^2+(AK8-$D8)^2)</f>
        <v>1.5967883059727194E-2</v>
      </c>
      <c r="AS8" s="31">
        <f t="shared" ref="AS8:AS33" si="12">AI8-AO$37</f>
        <v>1.0323148372064137</v>
      </c>
      <c r="AT8" s="23">
        <f t="shared" ref="AT8:AT33" si="13">AJ8-AP$37</f>
        <v>5.3541158963763782E-2</v>
      </c>
      <c r="AU8" s="29">
        <f t="shared" ref="AU8:AU33" si="14">AK8-AQ$37</f>
        <v>-0.42323247121907037</v>
      </c>
      <c r="AV8" s="338">
        <f t="shared" ref="AV8:AV14" si="15">SQRT((AS8-$B8)^2+(AT8-$C8)^2+(AU8-$D8)^2)</f>
        <v>1.5967883821534631E-2</v>
      </c>
      <c r="AW8" s="320"/>
      <c r="AX8" s="32">
        <f t="shared" ref="AX8:AX33" si="16">AS8*COS(RADIANS($BC$3))-AT8*SIN(RADIANS($BC$3))</f>
        <v>1.0323170062243514</v>
      </c>
      <c r="AY8" s="23">
        <f t="shared" ref="AY8:AY33" si="17">AS8*SIN(RADIANS($BC$3))+AT8*COS(RADIANS($BC$3))</f>
        <v>5.3499322235705943E-2</v>
      </c>
      <c r="AZ8" s="29">
        <f>AU8</f>
        <v>-0.42323247121907037</v>
      </c>
      <c r="BA8" s="391">
        <f>AL8*COS(RADIANS($BC$3))-AM8*SIN(RADIANS($BC$3))</f>
        <v>-3.6134683498669114E-2</v>
      </c>
      <c r="BB8" s="371">
        <f>AL8*SIN(RADIANS($BC$3))+AM8*COS(RADIANS($BC$3))</f>
        <v>0.96297385127396795</v>
      </c>
      <c r="BC8" s="28">
        <f>AN8</f>
        <v>0.26716378677701202</v>
      </c>
      <c r="BD8" s="390">
        <f>AX8-$B8</f>
        <v>5.2876771076746376E-3</v>
      </c>
      <c r="BE8" s="23">
        <f>AY8-$C8</f>
        <v>1.3793817149519751E-2</v>
      </c>
      <c r="BF8" s="33">
        <f>AZ8-$D8</f>
        <v>5.967528780929765E-3</v>
      </c>
      <c r="BG8" s="391">
        <f>SQRT((AX8-$B8)^2+(AY8-$C8)^2+(AZ8-$D8)^2)</f>
        <v>1.5932367071488051E-2</v>
      </c>
      <c r="BH8" s="31">
        <f t="shared" ref="BH8:BH33" si="18">AX8-BD$37</f>
        <v>1.0323191134205723</v>
      </c>
      <c r="BI8" s="23">
        <f t="shared" ref="BI8:BI33" si="19">AY8-BE$37</f>
        <v>5.3493451591810445E-2</v>
      </c>
      <c r="BJ8" s="29">
        <f t="shared" ref="BJ8:BJ33" si="20">AZ8-BF$37</f>
        <v>-0.42323247121907037</v>
      </c>
      <c r="BK8" s="32">
        <f>BA8</f>
        <v>-3.6134683498669114E-2</v>
      </c>
      <c r="BL8" s="23">
        <f t="shared" ref="BL8:BL33" si="21">BB8</f>
        <v>0.96297385127396795</v>
      </c>
      <c r="BM8" s="26">
        <f t="shared" ref="BM8:BM33" si="22">BC8</f>
        <v>0.26716378677701202</v>
      </c>
      <c r="BN8" s="375">
        <f t="shared" ref="BN8:BN14" si="23">SQRT((BH8-$B8)^2+(BI8-$C8)^2+(BJ8-$D8)^2)</f>
        <v>1.5927984385191999E-2</v>
      </c>
      <c r="BO8" s="327"/>
    </row>
    <row r="9" spans="2:67" x14ac:dyDescent="0.25">
      <c r="B9" s="408">
        <v>1.7663946755887092</v>
      </c>
      <c r="C9" s="335">
        <v>5.3817005229381036E-2</v>
      </c>
      <c r="D9" s="336">
        <v>-0.23110000000000017</v>
      </c>
      <c r="E9" s="334">
        <v>1.7797165776588604</v>
      </c>
      <c r="F9" s="335">
        <v>5.6265498891949428E-2</v>
      </c>
      <c r="G9" s="380">
        <v>-0.22307816997128851</v>
      </c>
      <c r="H9" s="384">
        <v>-2.4690881344937448E-2</v>
      </c>
      <c r="I9" s="368">
        <v>0.93907036577362124</v>
      </c>
      <c r="J9" s="385">
        <v>0.34283691917471121</v>
      </c>
      <c r="K9" s="6">
        <f t="shared" ref="K9:K32" si="24">E9-$B9</f>
        <v>1.3321902070151159E-2</v>
      </c>
      <c r="L9" s="7">
        <f t="shared" ref="L9:L32" si="25">F9-$C9</f>
        <v>2.448493662568392E-3</v>
      </c>
      <c r="M9" s="10">
        <f t="shared" ref="M9:M32" si="26">G9-$D9</f>
        <v>8.0218300287116517E-3</v>
      </c>
      <c r="N9" s="392">
        <f t="shared" ref="N9:N33" si="27">SQRT((E9-$B9)^2+(F9-$C9)^2+(G9-$D9)^2)</f>
        <v>1.5742234688629037E-2</v>
      </c>
      <c r="O9" s="6">
        <f t="shared" si="0"/>
        <v>1.7797144694070939</v>
      </c>
      <c r="P9" s="7">
        <f t="shared" si="1"/>
        <v>5.6271371727914243E-2</v>
      </c>
      <c r="Q9" s="10">
        <f t="shared" si="2"/>
        <v>-0.22850625777565503</v>
      </c>
      <c r="R9" s="376">
        <f t="shared" si="3"/>
        <v>1.3790153044826996E-2</v>
      </c>
      <c r="S9" s="320"/>
      <c r="T9" s="11">
        <f t="shared" ref="T9:T33" si="28">O9</f>
        <v>1.7797144694070939</v>
      </c>
      <c r="U9" s="7">
        <f t="shared" si="4"/>
        <v>5.6271372726724826E-2</v>
      </c>
      <c r="V9" s="12">
        <f t="shared" si="5"/>
        <v>-0.22850625752969048</v>
      </c>
      <c r="W9" s="392">
        <f>H9</f>
        <v>-2.4690881344937448E-2</v>
      </c>
      <c r="X9" s="372">
        <f>I9*COS(RADIANS($Y$3))-J9*SIN(RADIANS($Y$3))</f>
        <v>0.93907036427506652</v>
      </c>
      <c r="Y9" s="13">
        <f t="shared" ref="Y9:Y33" si="29">I9*SIN(RADIANS($Y$3))+J9*COS(RADIANS($Y$3))</f>
        <v>0.34283692327942777</v>
      </c>
      <c r="Z9" s="328">
        <f t="shared" ref="Z9:Z32" si="30">T9-$B9</f>
        <v>1.3319793818384662E-2</v>
      </c>
      <c r="AA9" s="7">
        <f t="shared" ref="AA9:AA32" si="31">U9-$C9</f>
        <v>2.4543674973437901E-3</v>
      </c>
      <c r="AB9" s="10">
        <f t="shared" ref="AB9:AB32" si="32">V9-$D9</f>
        <v>2.5937424703096901E-3</v>
      </c>
      <c r="AC9" s="392">
        <f t="shared" ref="AC9:AC33" si="33">SQRT((T9-$B9)^2+(U9-$C9)^2+(V9-$D9)^2)</f>
        <v>1.3790153268857604E-2</v>
      </c>
      <c r="AD9" s="6">
        <f t="shared" ref="AD9:AD33" si="34">T9-Z$37</f>
        <v>1.7797144694070939</v>
      </c>
      <c r="AE9" s="7">
        <f t="shared" si="6"/>
        <v>5.6271371028389902E-2</v>
      </c>
      <c r="AF9" s="12">
        <f t="shared" si="7"/>
        <v>-0.22850625730240617</v>
      </c>
      <c r="AG9" s="337">
        <f t="shared" si="8"/>
        <v>1.3790153009337672E-2</v>
      </c>
      <c r="AH9" s="320"/>
      <c r="AI9" s="11">
        <f t="shared" si="9"/>
        <v>1.7797144670696954</v>
      </c>
      <c r="AJ9" s="7">
        <f t="shared" ref="AJ9:AJ33" si="35">AE9</f>
        <v>5.6271371028389902E-2</v>
      </c>
      <c r="AK9" s="12">
        <f t="shared" si="10"/>
        <v>-0.22850627550716779</v>
      </c>
      <c r="AL9" s="392">
        <f t="shared" ref="AL9:AL33" si="36">Y9*SIN(RADIANS($AN$3))+W9*COS(RADIANS($AN$3))</f>
        <v>-2.4690877838046556E-2</v>
      </c>
      <c r="AM9" s="372">
        <f t="shared" ref="AM9:AM33" si="37">X9</f>
        <v>0.93907036427506652</v>
      </c>
      <c r="AN9" s="13">
        <f t="shared" si="11"/>
        <v>0.34283692353199169</v>
      </c>
      <c r="AO9" s="328">
        <f t="shared" ref="AO9:AO32" si="38">AI9-$B9</f>
        <v>1.3319791480986165E-2</v>
      </c>
      <c r="AP9" s="7">
        <f t="shared" ref="AP9:AP32" si="39">AJ9-$C9</f>
        <v>2.454365799008866E-3</v>
      </c>
      <c r="AQ9" s="10">
        <f t="shared" ref="AQ9:AQ32" si="40">AK9-$D9</f>
        <v>2.5937244928323777E-3</v>
      </c>
      <c r="AR9" s="392">
        <f t="shared" ref="AR9:AR33" si="41">SQRT((AI9-$B9)^2+(AJ9-$C9)^2+(AK9-$D9)^2)</f>
        <v>1.3790147327603669E-2</v>
      </c>
      <c r="AS9" s="6">
        <f t="shared" si="12"/>
        <v>1.7797144710441082</v>
      </c>
      <c r="AT9" s="7">
        <f t="shared" si="13"/>
        <v>5.6271371028389867E-2</v>
      </c>
      <c r="AU9" s="12">
        <f t="shared" si="14"/>
        <v>-0.22850627698890832</v>
      </c>
      <c r="AV9" s="337">
        <f t="shared" si="15"/>
        <v>1.3790150887763284E-2</v>
      </c>
      <c r="AW9" s="320"/>
      <c r="AX9" s="11">
        <f t="shared" si="16"/>
        <v>1.7797167500957303</v>
      </c>
      <c r="AY9" s="7">
        <f t="shared" si="17"/>
        <v>5.6199244389195942E-2</v>
      </c>
      <c r="AZ9" s="12">
        <f t="shared" ref="AZ9:AZ33" si="42">AU9</f>
        <v>-0.22850627698890832</v>
      </c>
      <c r="BA9" s="392">
        <f t="shared" ref="BA9:BA33" si="43">AL9*COS(RADIANS($BC$3))-AM9*SIN(RADIANS($BC$3))</f>
        <v>-2.4652820057916736E-2</v>
      </c>
      <c r="BB9" s="372">
        <f t="shared" ref="BB9:BB33" si="44">AL9*SIN(RADIANS($BC$3))+AM9*COS(RADIANS($BC$3))</f>
        <v>0.93907136415253956</v>
      </c>
      <c r="BC9" s="13">
        <f t="shared" ref="BC9:BC33" si="45">AN9</f>
        <v>0.34283692353199169</v>
      </c>
      <c r="BD9" s="328">
        <f t="shared" ref="BD9:BD32" si="46">AX9-$B9</f>
        <v>1.3322074507021053E-2</v>
      </c>
      <c r="BE9" s="7">
        <f t="shared" ref="BE9:BE32" si="47">AY9-$C9</f>
        <v>2.3822391598149056E-3</v>
      </c>
      <c r="BF9" s="10">
        <f t="shared" ref="BF9:BF32" si="48">AZ9-$D9</f>
        <v>2.5937230110918419E-3</v>
      </c>
      <c r="BG9" s="392">
        <f t="shared" ref="BG9:BG33" si="49">SQRT((AX9-$B9)^2+(AY9-$C9)^2+(AZ9-$D9)^2)</f>
        <v>1.3779699983796571E-2</v>
      </c>
      <c r="BH9" s="6">
        <f t="shared" si="18"/>
        <v>1.7797188572919511</v>
      </c>
      <c r="BI9" s="7">
        <f t="shared" si="19"/>
        <v>5.6193373745300444E-2</v>
      </c>
      <c r="BJ9" s="12">
        <f t="shared" si="20"/>
        <v>-0.22850627698890832</v>
      </c>
      <c r="BK9" s="11">
        <f t="shared" ref="BK9:BK33" si="50">BA9</f>
        <v>-2.4652820057916736E-2</v>
      </c>
      <c r="BL9" s="7">
        <f t="shared" si="21"/>
        <v>0.93907136415253956</v>
      </c>
      <c r="BM9" s="8">
        <f t="shared" si="22"/>
        <v>0.34283692353199169</v>
      </c>
      <c r="BN9" s="376">
        <f t="shared" si="23"/>
        <v>1.3780723654537396E-2</v>
      </c>
      <c r="BO9" s="327"/>
    </row>
    <row r="10" spans="2:67" x14ac:dyDescent="0.25">
      <c r="B10" s="408">
        <v>2.5123721780266854</v>
      </c>
      <c r="C10" s="335">
        <v>6.7354577256841686E-2</v>
      </c>
      <c r="D10" s="336">
        <v>-6.4699999999999994E-2</v>
      </c>
      <c r="E10" s="334">
        <v>2.5202700063104051</v>
      </c>
      <c r="F10" s="335">
        <v>6.7939770284495299E-2</v>
      </c>
      <c r="G10" s="380">
        <v>-5.9366381495642578E-2</v>
      </c>
      <c r="H10" s="384">
        <v>-2.3725768617576193E-2</v>
      </c>
      <c r="I10" s="368">
        <v>0.94285818546823008</v>
      </c>
      <c r="J10" s="385">
        <v>0.33234695466644809</v>
      </c>
      <c r="K10" s="6">
        <f t="shared" si="24"/>
        <v>7.8978282837196545E-3</v>
      </c>
      <c r="L10" s="7">
        <f t="shared" si="25"/>
        <v>5.8519302765361325E-4</v>
      </c>
      <c r="M10" s="10">
        <f t="shared" si="26"/>
        <v>5.3336185043574152E-3</v>
      </c>
      <c r="N10" s="392">
        <f t="shared" si="27"/>
        <v>9.5480693770395482E-3</v>
      </c>
      <c r="O10" s="6">
        <f t="shared" si="0"/>
        <v>2.5202678980586386</v>
      </c>
      <c r="P10" s="7">
        <f t="shared" si="1"/>
        <v>6.7945643120460114E-2</v>
      </c>
      <c r="Q10" s="10">
        <f t="shared" si="2"/>
        <v>-6.479446930000908E-2</v>
      </c>
      <c r="R10" s="376">
        <f t="shared" si="3"/>
        <v>7.9183759778609641E-3</v>
      </c>
      <c r="S10" s="320"/>
      <c r="T10" s="11">
        <f t="shared" si="28"/>
        <v>2.5202678980586386</v>
      </c>
      <c r="U10" s="7">
        <f t="shared" si="4"/>
        <v>6.7945643403679493E-2</v>
      </c>
      <c r="V10" s="12">
        <f t="shared" si="5"/>
        <v>-6.4794469003015775E-2</v>
      </c>
      <c r="W10" s="392">
        <f t="shared" ref="W10:W33" si="51">H10</f>
        <v>-2.3725768617576193E-2</v>
      </c>
      <c r="X10" s="372">
        <f t="shared" ref="X10:X33" si="52">I10*COS(RADIANS($Y$3))-J10*SIN(RADIANS($Y$3))</f>
        <v>0.94285818401552735</v>
      </c>
      <c r="Y10" s="13">
        <f t="shared" si="29"/>
        <v>0.33234695878772136</v>
      </c>
      <c r="Z10" s="328">
        <f t="shared" si="30"/>
        <v>7.8957200319531573E-3</v>
      </c>
      <c r="AA10" s="7">
        <f t="shared" si="31"/>
        <v>5.91066146837807E-4</v>
      </c>
      <c r="AB10" s="10">
        <f t="shared" si="32"/>
        <v>-9.4469003015781872E-5</v>
      </c>
      <c r="AC10" s="392">
        <f t="shared" si="33"/>
        <v>7.9183759954585924E-3</v>
      </c>
      <c r="AD10" s="6">
        <f t="shared" si="34"/>
        <v>2.5202678980586386</v>
      </c>
      <c r="AE10" s="7">
        <f t="shared" si="6"/>
        <v>6.7945641705344562E-2</v>
      </c>
      <c r="AF10" s="12">
        <f t="shared" si="7"/>
        <v>-6.4794468775731473E-2</v>
      </c>
      <c r="AG10" s="337">
        <f t="shared" si="8"/>
        <v>7.9183758659752048E-3</v>
      </c>
      <c r="AH10" s="320"/>
      <c r="AI10" s="11">
        <f t="shared" si="9"/>
        <v>2.5202678973958537</v>
      </c>
      <c r="AJ10" s="7">
        <f t="shared" si="35"/>
        <v>6.7945641705344562E-2</v>
      </c>
      <c r="AK10" s="12">
        <f t="shared" si="10"/>
        <v>-6.4794494555640056E-2</v>
      </c>
      <c r="AL10" s="392">
        <f t="shared" si="36"/>
        <v>-2.3725765217987513E-2</v>
      </c>
      <c r="AM10" s="372">
        <f t="shared" si="37"/>
        <v>0.94285818401552735</v>
      </c>
      <c r="AN10" s="13">
        <f t="shared" si="11"/>
        <v>0.33234695903041306</v>
      </c>
      <c r="AO10" s="328">
        <f t="shared" si="38"/>
        <v>7.8957193691682193E-3</v>
      </c>
      <c r="AP10" s="7">
        <f t="shared" si="39"/>
        <v>5.9106444850287598E-4</v>
      </c>
      <c r="AQ10" s="10">
        <f t="shared" si="40"/>
        <v>-9.4494555640062261E-5</v>
      </c>
      <c r="AR10" s="392">
        <f t="shared" si="41"/>
        <v>7.9183755126912125E-3</v>
      </c>
      <c r="AS10" s="6">
        <f t="shared" si="12"/>
        <v>2.5202679013702665</v>
      </c>
      <c r="AT10" s="7">
        <f t="shared" si="13"/>
        <v>6.7945641705344534E-2</v>
      </c>
      <c r="AU10" s="12">
        <f t="shared" si="14"/>
        <v>-6.4794496037380578E-2</v>
      </c>
      <c r="AV10" s="337">
        <f t="shared" si="15"/>
        <v>7.9183794934149752E-3</v>
      </c>
      <c r="AW10" s="320"/>
      <c r="AX10" s="11">
        <f t="shared" si="16"/>
        <v>2.5202706529375845</v>
      </c>
      <c r="AY10" s="7">
        <f t="shared" si="17"/>
        <v>6.784350260416161E-2</v>
      </c>
      <c r="AZ10" s="12">
        <f>AU10</f>
        <v>-6.4794496037380578E-2</v>
      </c>
      <c r="BA10" s="392">
        <f t="shared" si="43"/>
        <v>-2.3687553929456991E-2</v>
      </c>
      <c r="BB10" s="372">
        <f t="shared" si="44"/>
        <v>0.94285914477671384</v>
      </c>
      <c r="BC10" s="13">
        <f t="shared" si="45"/>
        <v>0.33234695903041306</v>
      </c>
      <c r="BD10" s="328">
        <f t="shared" si="46"/>
        <v>7.8984749108990115E-3</v>
      </c>
      <c r="BE10" s="7">
        <f t="shared" si="47"/>
        <v>4.8892534731992399E-4</v>
      </c>
      <c r="BF10" s="10">
        <f t="shared" si="48"/>
        <v>-9.4496037380584208E-5</v>
      </c>
      <c r="BG10" s="392">
        <f t="shared" si="49"/>
        <v>7.9141571512343425E-3</v>
      </c>
      <c r="BH10" s="6">
        <f t="shared" si="18"/>
        <v>2.5202727601338051</v>
      </c>
      <c r="BI10" s="7">
        <f t="shared" si="19"/>
        <v>6.7837631960266112E-2</v>
      </c>
      <c r="BJ10" s="12">
        <f t="shared" si="20"/>
        <v>-6.4794496037380578E-2</v>
      </c>
      <c r="BK10" s="11">
        <f t="shared" si="50"/>
        <v>-2.3687553929456991E-2</v>
      </c>
      <c r="BL10" s="7">
        <f t="shared" si="21"/>
        <v>0.94285914477671384</v>
      </c>
      <c r="BM10" s="8">
        <f t="shared" si="22"/>
        <v>0.33234695903041306</v>
      </c>
      <c r="BN10" s="376">
        <f t="shared" si="23"/>
        <v>7.915899758013616E-3</v>
      </c>
      <c r="BO10" s="327"/>
    </row>
    <row r="11" spans="2:67" x14ac:dyDescent="0.25">
      <c r="B11" s="408">
        <v>3.2542925652129067</v>
      </c>
      <c r="C11" s="335">
        <v>0</v>
      </c>
      <c r="D11" s="336">
        <v>-0.22090000000000001</v>
      </c>
      <c r="E11" s="334">
        <v>3.2624510108460769</v>
      </c>
      <c r="F11" s="335">
        <v>0</v>
      </c>
      <c r="G11" s="380">
        <v>-0.22090000000000001</v>
      </c>
      <c r="H11" s="384">
        <v>0.11657789518636057</v>
      </c>
      <c r="I11" s="368">
        <v>0.94199988464538942</v>
      </c>
      <c r="J11" s="385">
        <v>0.31471474695188784</v>
      </c>
      <c r="K11" s="6">
        <f t="shared" si="24"/>
        <v>8.1584456331702526E-3</v>
      </c>
      <c r="L11" s="7">
        <f t="shared" si="25"/>
        <v>0</v>
      </c>
      <c r="M11" s="10">
        <f t="shared" si="26"/>
        <v>0</v>
      </c>
      <c r="N11" s="392">
        <f t="shared" si="27"/>
        <v>8.1584456331702526E-3</v>
      </c>
      <c r="O11" s="6">
        <f t="shared" si="0"/>
        <v>3.2624489025943104</v>
      </c>
      <c r="P11" s="7">
        <f t="shared" si="1"/>
        <v>5.8728359648141811E-6</v>
      </c>
      <c r="Q11" s="10">
        <f t="shared" si="2"/>
        <v>-0.22632808780436653</v>
      </c>
      <c r="R11" s="376">
        <f t="shared" si="3"/>
        <v>9.7974492181076931E-3</v>
      </c>
      <c r="S11" s="320"/>
      <c r="T11" s="11">
        <f>O11</f>
        <v>3.2624489025943104</v>
      </c>
      <c r="U11" s="7">
        <f t="shared" si="4"/>
        <v>5.8738252545263699E-6</v>
      </c>
      <c r="V11" s="12">
        <f t="shared" si="5"/>
        <v>-0.22632808780434086</v>
      </c>
      <c r="W11" s="392">
        <f t="shared" si="51"/>
        <v>0.11657789518636057</v>
      </c>
      <c r="X11" s="372">
        <f t="shared" si="52"/>
        <v>0.94199988326975781</v>
      </c>
      <c r="Y11" s="13">
        <f t="shared" si="29"/>
        <v>0.31471475106940944</v>
      </c>
      <c r="Z11" s="328">
        <f t="shared" si="30"/>
        <v>8.1563373814037554E-3</v>
      </c>
      <c r="AA11" s="7">
        <f t="shared" si="31"/>
        <v>5.8738252545263699E-6</v>
      </c>
      <c r="AB11" s="10">
        <f t="shared" si="32"/>
        <v>-5.428087804340842E-3</v>
      </c>
      <c r="AC11" s="392">
        <f t="shared" si="33"/>
        <v>9.7974492186865235E-3</v>
      </c>
      <c r="AD11" s="6">
        <f t="shared" si="34"/>
        <v>3.2624489025943104</v>
      </c>
      <c r="AE11" s="7">
        <f t="shared" si="6"/>
        <v>5.8721269196006861E-6</v>
      </c>
      <c r="AF11" s="12">
        <f t="shared" si="7"/>
        <v>-0.22632808757705655</v>
      </c>
      <c r="AG11" s="337">
        <f t="shared" si="8"/>
        <v>9.7974490917459925E-3</v>
      </c>
      <c r="AH11" s="320"/>
      <c r="AI11" s="11">
        <f t="shared" si="9"/>
        <v>3.2624489002791925</v>
      </c>
      <c r="AJ11" s="7">
        <f t="shared" si="35"/>
        <v>5.8721269196006861E-6</v>
      </c>
      <c r="AK11" s="12">
        <f t="shared" si="10"/>
        <v>-0.22632812094876062</v>
      </c>
      <c r="AL11" s="392">
        <f t="shared" si="36"/>
        <v>0.11657789840558877</v>
      </c>
      <c r="AM11" s="372">
        <f t="shared" si="37"/>
        <v>0.94199988326975781</v>
      </c>
      <c r="AN11" s="13">
        <f t="shared" si="11"/>
        <v>0.31471474987693004</v>
      </c>
      <c r="AO11" s="328">
        <f t="shared" si="38"/>
        <v>8.1563350662858802E-3</v>
      </c>
      <c r="AP11" s="7">
        <f t="shared" si="39"/>
        <v>5.8721269196006861E-6</v>
      </c>
      <c r="AQ11" s="10">
        <f t="shared" si="40"/>
        <v>-5.4281209487606064E-3</v>
      </c>
      <c r="AR11" s="392">
        <f t="shared" si="41"/>
        <v>9.7974656534112435E-3</v>
      </c>
      <c r="AS11" s="6">
        <f t="shared" si="12"/>
        <v>3.2624489042536053</v>
      </c>
      <c r="AT11" s="7">
        <f t="shared" si="13"/>
        <v>5.872126919568127E-6</v>
      </c>
      <c r="AU11" s="12">
        <f t="shared" si="14"/>
        <v>-0.22632812243050116</v>
      </c>
      <c r="AV11" s="337">
        <f t="shared" si="15"/>
        <v>9.7974697830210036E-3</v>
      </c>
      <c r="AW11" s="320"/>
      <c r="AX11" s="11">
        <f t="shared" si="16"/>
        <v>3.2624489018123928</v>
      </c>
      <c r="AY11" s="7">
        <f t="shared" si="17"/>
        <v>-1.2634533160029457E-4</v>
      </c>
      <c r="AZ11" s="12">
        <f t="shared" si="42"/>
        <v>-0.22632812243050116</v>
      </c>
      <c r="BA11" s="392">
        <f t="shared" si="43"/>
        <v>0.11661607479449418</v>
      </c>
      <c r="BB11" s="372">
        <f t="shared" si="44"/>
        <v>0.9419951579368262</v>
      </c>
      <c r="BC11" s="13">
        <f t="shared" si="45"/>
        <v>0.31471474987693004</v>
      </c>
      <c r="BD11" s="328">
        <f t="shared" si="46"/>
        <v>8.1563365994861137E-3</v>
      </c>
      <c r="BE11" s="7">
        <f t="shared" si="47"/>
        <v>-1.2634533160029457E-4</v>
      </c>
      <c r="BF11" s="10">
        <f t="shared" si="48"/>
        <v>-5.4281224305011422E-3</v>
      </c>
      <c r="BG11" s="392">
        <f t="shared" si="49"/>
        <v>9.7982806138344255E-3</v>
      </c>
      <c r="BH11" s="6">
        <f t="shared" si="18"/>
        <v>3.2624510090086134</v>
      </c>
      <c r="BI11" s="7">
        <f t="shared" si="19"/>
        <v>-1.3221597549578889E-4</v>
      </c>
      <c r="BJ11" s="12">
        <f t="shared" si="20"/>
        <v>-0.22632812243050116</v>
      </c>
      <c r="BK11" s="11">
        <f t="shared" si="50"/>
        <v>0.11661607479449418</v>
      </c>
      <c r="BL11" s="7">
        <f t="shared" si="21"/>
        <v>0.9419951579368262</v>
      </c>
      <c r="BM11" s="8">
        <f t="shared" si="22"/>
        <v>0.31471474987693004</v>
      </c>
      <c r="BN11" s="376">
        <f t="shared" si="23"/>
        <v>9.8001122112143027E-3</v>
      </c>
      <c r="BO11" s="327"/>
    </row>
    <row r="12" spans="2:67" x14ac:dyDescent="0.25">
      <c r="B12" s="408">
        <v>3.8256231824643887</v>
      </c>
      <c r="C12" s="335">
        <v>-0.14812456174126409</v>
      </c>
      <c r="D12" s="336">
        <v>-0.71650000000000014</v>
      </c>
      <c r="E12" s="334">
        <v>3.8276571438033447</v>
      </c>
      <c r="F12" s="335">
        <v>-0.14901271951155479</v>
      </c>
      <c r="G12" s="380">
        <v>-0.71247837910272371</v>
      </c>
      <c r="H12" s="384">
        <v>0.29000245120073359</v>
      </c>
      <c r="I12" s="368">
        <v>0.90211440813665034</v>
      </c>
      <c r="J12" s="385">
        <v>0.31951059566597667</v>
      </c>
      <c r="K12" s="6">
        <f t="shared" si="24"/>
        <v>2.0339613389559474E-3</v>
      </c>
      <c r="L12" s="7">
        <f t="shared" si="25"/>
        <v>-8.8815777029069287E-4</v>
      </c>
      <c r="M12" s="10">
        <f t="shared" si="26"/>
        <v>4.0216208972764234E-3</v>
      </c>
      <c r="N12" s="392">
        <f t="shared" si="27"/>
        <v>4.59339281955132E-3</v>
      </c>
      <c r="O12" s="6">
        <f t="shared" si="0"/>
        <v>3.8276550355515782</v>
      </c>
      <c r="P12" s="7">
        <f t="shared" si="1"/>
        <v>-0.14900684667558997</v>
      </c>
      <c r="Q12" s="10">
        <f t="shared" si="2"/>
        <v>-0.71790646690709026</v>
      </c>
      <c r="R12" s="376">
        <f t="shared" si="3"/>
        <v>2.6239288927101981E-3</v>
      </c>
      <c r="S12" s="320"/>
      <c r="T12" s="11">
        <f t="shared" si="28"/>
        <v>3.8276550355515782</v>
      </c>
      <c r="U12" s="7">
        <f t="shared" si="4"/>
        <v>-0.14900684353759022</v>
      </c>
      <c r="V12" s="12">
        <f t="shared" si="5"/>
        <v>-0.71790646755840548</v>
      </c>
      <c r="W12" s="392">
        <f t="shared" si="51"/>
        <v>0.29000245120073359</v>
      </c>
      <c r="X12" s="372">
        <f t="shared" si="52"/>
        <v>0.90211440674005594</v>
      </c>
      <c r="Y12" s="13">
        <f t="shared" si="29"/>
        <v>0.31951059960915718</v>
      </c>
      <c r="Z12" s="328">
        <f t="shared" si="30"/>
        <v>2.0318530871894502E-3</v>
      </c>
      <c r="AA12" s="7">
        <f t="shared" si="31"/>
        <v>-8.8228179632612869E-4</v>
      </c>
      <c r="AB12" s="10">
        <f t="shared" si="32"/>
        <v>-1.4064675584053443E-3</v>
      </c>
      <c r="AC12" s="392">
        <f t="shared" si="33"/>
        <v>2.6239281866881287E-3</v>
      </c>
      <c r="AD12" s="6">
        <f t="shared" si="34"/>
        <v>3.8276550355515782</v>
      </c>
      <c r="AE12" s="7">
        <f t="shared" si="6"/>
        <v>-0.14900684523592514</v>
      </c>
      <c r="AF12" s="12">
        <f t="shared" si="7"/>
        <v>-0.71790646733112118</v>
      </c>
      <c r="AG12" s="337">
        <f t="shared" si="8"/>
        <v>2.623928635916639E-3</v>
      </c>
      <c r="AH12" s="320"/>
      <c r="AI12" s="11">
        <f t="shared" si="9"/>
        <v>3.8276550282080879</v>
      </c>
      <c r="AJ12" s="7">
        <f t="shared" si="35"/>
        <v>-0.14900684523592514</v>
      </c>
      <c r="AK12" s="12">
        <f t="shared" si="10"/>
        <v>-0.71790650648433862</v>
      </c>
      <c r="AL12" s="392">
        <f t="shared" si="36"/>
        <v>0.29000245446901868</v>
      </c>
      <c r="AM12" s="372">
        <f t="shared" si="37"/>
        <v>0.90211440674005594</v>
      </c>
      <c r="AN12" s="13">
        <f t="shared" si="11"/>
        <v>0.31951059664271197</v>
      </c>
      <c r="AO12" s="328">
        <f t="shared" si="38"/>
        <v>2.0318457436991899E-3</v>
      </c>
      <c r="AP12" s="7">
        <f t="shared" si="39"/>
        <v>-8.8228349466104583E-4</v>
      </c>
      <c r="AQ12" s="10">
        <f t="shared" si="40"/>
        <v>-1.4065064843384878E-3</v>
      </c>
      <c r="AR12" s="392">
        <f t="shared" si="41"/>
        <v>2.623943936448726E-3</v>
      </c>
      <c r="AS12" s="6">
        <f t="shared" si="12"/>
        <v>3.8276550321825007</v>
      </c>
      <c r="AT12" s="7">
        <f t="shared" si="13"/>
        <v>-0.14900684523592517</v>
      </c>
      <c r="AU12" s="12">
        <f t="shared" si="14"/>
        <v>-0.71790650796607913</v>
      </c>
      <c r="AV12" s="337">
        <f t="shared" si="15"/>
        <v>2.623947808281788E-3</v>
      </c>
      <c r="AW12" s="320"/>
      <c r="AX12" s="11">
        <f t="shared" si="16"/>
        <v>3.8276489902299735</v>
      </c>
      <c r="AY12" s="7">
        <f t="shared" si="17"/>
        <v>-0.14916196871404297</v>
      </c>
      <c r="AZ12" s="12">
        <f t="shared" si="42"/>
        <v>-0.71790650796607913</v>
      </c>
      <c r="BA12" s="392">
        <f t="shared" si="43"/>
        <v>0.29003901427445233</v>
      </c>
      <c r="BB12" s="372">
        <f t="shared" si="44"/>
        <v>0.90210265305270132</v>
      </c>
      <c r="BC12" s="13">
        <f t="shared" si="45"/>
        <v>0.31951059664271197</v>
      </c>
      <c r="BD12" s="328">
        <f t="shared" si="46"/>
        <v>2.0258077655848084E-3</v>
      </c>
      <c r="BE12" s="7">
        <f t="shared" si="47"/>
        <v>-1.0374069727788759E-3</v>
      </c>
      <c r="BF12" s="10">
        <f t="shared" si="48"/>
        <v>-1.4065079660789959E-3</v>
      </c>
      <c r="BG12" s="392">
        <f t="shared" si="49"/>
        <v>2.6755139672439798E-3</v>
      </c>
      <c r="BH12" s="6">
        <f t="shared" si="18"/>
        <v>3.8276510974261941</v>
      </c>
      <c r="BI12" s="7">
        <f t="shared" si="19"/>
        <v>-0.14916783935793845</v>
      </c>
      <c r="BJ12" s="12">
        <f t="shared" si="20"/>
        <v>-0.71790650796607913</v>
      </c>
      <c r="BK12" s="11">
        <f t="shared" si="50"/>
        <v>0.29003901427445233</v>
      </c>
      <c r="BL12" s="7">
        <f t="shared" si="21"/>
        <v>0.90210265305270132</v>
      </c>
      <c r="BM12" s="8">
        <f t="shared" si="22"/>
        <v>0.31951059664271197</v>
      </c>
      <c r="BN12" s="376">
        <f t="shared" si="23"/>
        <v>2.6793902172717837E-3</v>
      </c>
      <c r="BO12" s="327"/>
    </row>
    <row r="13" spans="2:67" x14ac:dyDescent="0.25">
      <c r="B13" s="408">
        <v>1.223626092321328</v>
      </c>
      <c r="C13" s="335">
        <v>-2.4831214806028612</v>
      </c>
      <c r="D13" s="336">
        <v>-9.3000000000000208E-2</v>
      </c>
      <c r="E13" s="334">
        <v>1.2285171140899851</v>
      </c>
      <c r="F13" s="335">
        <v>-2.4903841202219446</v>
      </c>
      <c r="G13" s="380">
        <v>-8.4182225007260664E-2</v>
      </c>
      <c r="H13" s="384">
        <v>0.87187049321793986</v>
      </c>
      <c r="I13" s="368">
        <v>0.41248443076354363</v>
      </c>
      <c r="J13" s="385">
        <v>0.26400398418884086</v>
      </c>
      <c r="K13" s="6">
        <f t="shared" si="24"/>
        <v>4.8910217686570778E-3</v>
      </c>
      <c r="L13" s="7">
        <f t="shared" si="25"/>
        <v>-7.2626396190833553E-3</v>
      </c>
      <c r="M13" s="10">
        <f t="shared" si="26"/>
        <v>8.8177749927395438E-3</v>
      </c>
      <c r="N13" s="392">
        <f t="shared" si="27"/>
        <v>1.2426632045761212E-2</v>
      </c>
      <c r="O13" s="6">
        <f t="shared" si="0"/>
        <v>1.2285150058382186</v>
      </c>
      <c r="P13" s="7">
        <f t="shared" si="1"/>
        <v>-2.4903782473859799</v>
      </c>
      <c r="Q13" s="10">
        <f t="shared" si="2"/>
        <v>-8.9610312811627166E-2</v>
      </c>
      <c r="R13" s="376">
        <f t="shared" si="3"/>
        <v>9.3836090474417565E-3</v>
      </c>
      <c r="S13" s="320"/>
      <c r="T13" s="11">
        <f t="shared" si="28"/>
        <v>1.2285150058382186</v>
      </c>
      <c r="U13" s="7">
        <f t="shared" si="4"/>
        <v>-2.4903782469942892</v>
      </c>
      <c r="V13" s="12">
        <f t="shared" si="5"/>
        <v>-8.9610323697176558E-2</v>
      </c>
      <c r="W13" s="392">
        <f t="shared" si="51"/>
        <v>0.87187049321793986</v>
      </c>
      <c r="X13" s="372">
        <f t="shared" si="52"/>
        <v>0.41248442960957099</v>
      </c>
      <c r="Y13" s="13">
        <f t="shared" si="29"/>
        <v>0.26400398599182789</v>
      </c>
      <c r="Z13" s="328">
        <f t="shared" si="30"/>
        <v>4.8889135168905806E-3</v>
      </c>
      <c r="AA13" s="7">
        <f t="shared" si="31"/>
        <v>-7.2567663914280267E-3</v>
      </c>
      <c r="AB13" s="10">
        <f t="shared" si="32"/>
        <v>3.3896763028236493E-3</v>
      </c>
      <c r="AC13" s="392">
        <f t="shared" si="33"/>
        <v>9.3836048122946311E-3</v>
      </c>
      <c r="AD13" s="6">
        <f t="shared" si="34"/>
        <v>1.2285150058382186</v>
      </c>
      <c r="AE13" s="7">
        <f t="shared" si="6"/>
        <v>-2.490378248692624</v>
      </c>
      <c r="AF13" s="12">
        <f t="shared" si="7"/>
        <v>-8.9610323469892256E-2</v>
      </c>
      <c r="AG13" s="337">
        <f t="shared" si="8"/>
        <v>9.3836062077966714E-3</v>
      </c>
      <c r="AH13" s="320"/>
      <c r="AI13" s="11">
        <f t="shared" si="9"/>
        <v>1.2285150049215914</v>
      </c>
      <c r="AJ13" s="7">
        <f t="shared" si="35"/>
        <v>-2.490378248692624</v>
      </c>
      <c r="AK13" s="12">
        <f t="shared" si="10"/>
        <v>-8.9610336036415272E-2</v>
      </c>
      <c r="AL13" s="392">
        <f t="shared" si="36"/>
        <v>0.8718704959184459</v>
      </c>
      <c r="AM13" s="372">
        <f t="shared" si="37"/>
        <v>0.41248442960957099</v>
      </c>
      <c r="AN13" s="13">
        <f t="shared" si="11"/>
        <v>0.26400397707343409</v>
      </c>
      <c r="AO13" s="328">
        <f t="shared" si="38"/>
        <v>4.8889126002633621E-3</v>
      </c>
      <c r="AP13" s="7">
        <f t="shared" si="39"/>
        <v>-7.2567680897628328E-3</v>
      </c>
      <c r="AQ13" s="10">
        <f t="shared" si="40"/>
        <v>3.3896639635849352E-3</v>
      </c>
      <c r="AR13" s="392">
        <f t="shared" si="41"/>
        <v>9.3836011907817308E-3</v>
      </c>
      <c r="AS13" s="6">
        <f t="shared" si="12"/>
        <v>1.2285150088960042</v>
      </c>
      <c r="AT13" s="7">
        <f t="shared" si="13"/>
        <v>-2.490378248692624</v>
      </c>
      <c r="AU13" s="12">
        <f t="shared" si="14"/>
        <v>-8.9610337518155794E-2</v>
      </c>
      <c r="AV13" s="337">
        <f t="shared" si="15"/>
        <v>9.3836027262223232E-3</v>
      </c>
      <c r="AW13" s="320"/>
      <c r="AX13" s="11">
        <f t="shared" si="16"/>
        <v>1.2284140801814483</v>
      </c>
      <c r="AY13" s="7">
        <f t="shared" si="17"/>
        <v>-2.4904280347474521</v>
      </c>
      <c r="AZ13" s="12">
        <f t="shared" si="42"/>
        <v>-8.9610337518155794E-2</v>
      </c>
      <c r="BA13" s="392">
        <f t="shared" si="43"/>
        <v>0.87188721198317276</v>
      </c>
      <c r="BB13" s="372">
        <f t="shared" si="44"/>
        <v>0.4124490949239919</v>
      </c>
      <c r="BC13" s="13">
        <f t="shared" si="45"/>
        <v>0.26400397707343409</v>
      </c>
      <c r="BD13" s="328">
        <f t="shared" si="46"/>
        <v>4.7879878601202464E-3</v>
      </c>
      <c r="BE13" s="7">
        <f t="shared" si="47"/>
        <v>-7.3065541445909155E-3</v>
      </c>
      <c r="BF13" s="10">
        <f t="shared" si="48"/>
        <v>3.3896624818444132E-3</v>
      </c>
      <c r="BG13" s="392">
        <f t="shared" si="49"/>
        <v>9.3701853213968601E-3</v>
      </c>
      <c r="BH13" s="6">
        <f t="shared" si="18"/>
        <v>1.2284161873776691</v>
      </c>
      <c r="BI13" s="7">
        <f t="shared" si="19"/>
        <v>-2.4904339053913476</v>
      </c>
      <c r="BJ13" s="12">
        <f t="shared" si="20"/>
        <v>-8.9610337518155794E-2</v>
      </c>
      <c r="BK13" s="11">
        <f t="shared" si="50"/>
        <v>0.87188721198317276</v>
      </c>
      <c r="BL13" s="7">
        <f t="shared" si="21"/>
        <v>0.4124490949239919</v>
      </c>
      <c r="BM13" s="8">
        <f t="shared" si="22"/>
        <v>0.26400397707343409</v>
      </c>
      <c r="BN13" s="376">
        <f t="shared" si="23"/>
        <v>9.3758401584539061E-3</v>
      </c>
      <c r="BO13" s="327"/>
    </row>
    <row r="14" spans="2:67" x14ac:dyDescent="0.25">
      <c r="B14" s="408">
        <v>1.4258622709500088</v>
      </c>
      <c r="C14" s="335">
        <v>-3.167749275870968</v>
      </c>
      <c r="D14" s="336">
        <v>-0.37080000000000024</v>
      </c>
      <c r="E14" s="334">
        <v>1.4280087531100785</v>
      </c>
      <c r="F14" s="335">
        <v>-3.1779071227895366</v>
      </c>
      <c r="G14" s="380">
        <v>-0.36280671538008941</v>
      </c>
      <c r="H14" s="384">
        <v>0.92085963031328733</v>
      </c>
      <c r="I14" s="368">
        <v>0.27301877620505749</v>
      </c>
      <c r="J14" s="385">
        <v>0.27834733802349992</v>
      </c>
      <c r="K14" s="6">
        <f t="shared" si="24"/>
        <v>2.1464821600696293E-3</v>
      </c>
      <c r="L14" s="7">
        <f t="shared" si="25"/>
        <v>-1.015784691856858E-2</v>
      </c>
      <c r="M14" s="10">
        <f t="shared" si="26"/>
        <v>7.9932846199108343E-3</v>
      </c>
      <c r="N14" s="392">
        <f t="shared" si="27"/>
        <v>1.3102741648199948E-2</v>
      </c>
      <c r="O14" s="6">
        <f t="shared" si="0"/>
        <v>1.428006644858312</v>
      </c>
      <c r="P14" s="7">
        <f t="shared" si="1"/>
        <v>-3.1779012499535719</v>
      </c>
      <c r="Q14" s="10">
        <f t="shared" si="2"/>
        <v>-0.36823480318445589</v>
      </c>
      <c r="R14" s="376">
        <f t="shared" si="3"/>
        <v>1.0688365260176696E-2</v>
      </c>
      <c r="S14" s="320"/>
      <c r="T14" s="11">
        <f t="shared" si="28"/>
        <v>1.428006644858312</v>
      </c>
      <c r="U14" s="7">
        <f t="shared" si="4"/>
        <v>-3.1779012483440021</v>
      </c>
      <c r="V14" s="12">
        <f t="shared" si="5"/>
        <v>-0.36823481707519762</v>
      </c>
      <c r="W14" s="392">
        <f t="shared" si="51"/>
        <v>0.92085963031328733</v>
      </c>
      <c r="X14" s="372">
        <f t="shared" si="52"/>
        <v>0.27301877498838945</v>
      </c>
      <c r="Y14" s="13">
        <f t="shared" si="29"/>
        <v>0.2783473392168766</v>
      </c>
      <c r="Z14" s="328">
        <f t="shared" si="30"/>
        <v>2.1443739083031321E-3</v>
      </c>
      <c r="AA14" s="7">
        <f t="shared" si="31"/>
        <v>-1.0151972473034121E-2</v>
      </c>
      <c r="AB14" s="10">
        <f t="shared" si="32"/>
        <v>2.5651829248026226E-3</v>
      </c>
      <c r="AC14" s="392">
        <f t="shared" si="33"/>
        <v>1.0688360397626603E-2</v>
      </c>
      <c r="AD14" s="6">
        <f t="shared" si="34"/>
        <v>1.428006644858312</v>
      </c>
      <c r="AE14" s="7">
        <f t="shared" si="6"/>
        <v>-3.1779012500423369</v>
      </c>
      <c r="AF14" s="12">
        <f t="shared" si="7"/>
        <v>-0.36823481684791332</v>
      </c>
      <c r="AG14" s="337">
        <f t="shared" si="8"/>
        <v>1.0688362065279398E-2</v>
      </c>
      <c r="AH14" s="320"/>
      <c r="AI14" s="11">
        <f t="shared" si="9"/>
        <v>1.4280066410916252</v>
      </c>
      <c r="AJ14" s="7">
        <f t="shared" si="35"/>
        <v>-3.1779012500423369</v>
      </c>
      <c r="AK14" s="12">
        <f t="shared" si="10"/>
        <v>-0.36823483145504327</v>
      </c>
      <c r="AL14" s="392">
        <f t="shared" si="36"/>
        <v>0.920859633160512</v>
      </c>
      <c r="AM14" s="372">
        <f t="shared" si="37"/>
        <v>0.27301877498838945</v>
      </c>
      <c r="AN14" s="13">
        <f t="shared" si="11"/>
        <v>0.2783473297973712</v>
      </c>
      <c r="AO14" s="328">
        <f t="shared" si="38"/>
        <v>2.1443701416163918E-3</v>
      </c>
      <c r="AP14" s="7">
        <f t="shared" si="39"/>
        <v>-1.0151974171368927E-2</v>
      </c>
      <c r="AQ14" s="10">
        <f t="shared" si="40"/>
        <v>2.565168544956975E-3</v>
      </c>
      <c r="AR14" s="392">
        <f t="shared" si="41"/>
        <v>1.0688357803911431E-2</v>
      </c>
      <c r="AS14" s="6">
        <f t="shared" si="12"/>
        <v>1.428006645066038</v>
      </c>
      <c r="AT14" s="7">
        <f t="shared" si="13"/>
        <v>-3.1779012500423369</v>
      </c>
      <c r="AU14" s="12">
        <f t="shared" si="14"/>
        <v>-0.36823483293678377</v>
      </c>
      <c r="AV14" s="337">
        <f t="shared" si="15"/>
        <v>1.0688358245673111E-2</v>
      </c>
      <c r="AW14" s="320"/>
      <c r="AX14" s="11">
        <f t="shared" si="16"/>
        <v>1.4278778529025657</v>
      </c>
      <c r="AY14" s="7">
        <f t="shared" si="17"/>
        <v>-3.1779591203418223</v>
      </c>
      <c r="AZ14" s="12">
        <f t="shared" si="42"/>
        <v>-0.36823483293678377</v>
      </c>
      <c r="BA14" s="392">
        <f t="shared" si="43"/>
        <v>0.92087069705222502</v>
      </c>
      <c r="BB14" s="372">
        <f t="shared" si="44"/>
        <v>0.2729814550316978</v>
      </c>
      <c r="BC14" s="13">
        <f t="shared" si="45"/>
        <v>0.2783473297973712</v>
      </c>
      <c r="BD14" s="328">
        <f t="shared" si="46"/>
        <v>2.0155819525569107E-3</v>
      </c>
      <c r="BE14" s="7">
        <f t="shared" si="47"/>
        <v>-1.0209844470854268E-2</v>
      </c>
      <c r="BF14" s="10">
        <f t="shared" si="48"/>
        <v>2.5651670632164669E-3</v>
      </c>
      <c r="BG14" s="392">
        <f t="shared" si="49"/>
        <v>1.0718375659992384E-2</v>
      </c>
      <c r="BH14" s="6">
        <f t="shared" si="18"/>
        <v>1.4278799600987866</v>
      </c>
      <c r="BI14" s="7">
        <f t="shared" si="19"/>
        <v>-3.1779649909857177</v>
      </c>
      <c r="BJ14" s="12">
        <f t="shared" si="20"/>
        <v>-0.36823483293678377</v>
      </c>
      <c r="BK14" s="11">
        <f t="shared" si="50"/>
        <v>0.92087069705222502</v>
      </c>
      <c r="BL14" s="7">
        <f t="shared" si="21"/>
        <v>0.2729814550316978</v>
      </c>
      <c r="BM14" s="8">
        <f t="shared" si="22"/>
        <v>0.2783473297973712</v>
      </c>
      <c r="BN14" s="376">
        <f t="shared" si="23"/>
        <v>1.0724364170850972E-2</v>
      </c>
      <c r="BO14" s="327"/>
    </row>
    <row r="15" spans="2:67" x14ac:dyDescent="0.25">
      <c r="B15" s="408">
        <v>1.4949243043325666</v>
      </c>
      <c r="C15" s="335">
        <v>-3.6609402485631555</v>
      </c>
      <c r="D15" s="336">
        <v>-0.95950000000000013</v>
      </c>
      <c r="E15" s="334">
        <v>1.4951361028801573</v>
      </c>
      <c r="F15" s="335">
        <v>-3.6731157118149822</v>
      </c>
      <c r="G15" s="380">
        <v>-0.95414289748234526</v>
      </c>
      <c r="H15" s="384">
        <v>0.95683658397208704</v>
      </c>
      <c r="I15" s="368">
        <v>5.2234977164095954E-2</v>
      </c>
      <c r="J15" s="385">
        <v>0.28589377953410228</v>
      </c>
      <c r="K15" s="6">
        <f t="shared" si="24"/>
        <v>2.1179854759068029E-4</v>
      </c>
      <c r="L15" s="7">
        <f t="shared" si="25"/>
        <v>-1.2175463251826724E-2</v>
      </c>
      <c r="M15" s="10">
        <f t="shared" si="26"/>
        <v>5.3571025176548659E-3</v>
      </c>
      <c r="N15" s="392">
        <f t="shared" si="27"/>
        <v>1.3303582653030296E-2</v>
      </c>
      <c r="O15" s="6">
        <f t="shared" si="0"/>
        <v>1.4951339946283908</v>
      </c>
      <c r="P15" s="7">
        <f t="shared" si="1"/>
        <v>-3.6731098389790175</v>
      </c>
      <c r="Q15" s="10">
        <f t="shared" si="2"/>
        <v>-0.95957098528671181</v>
      </c>
      <c r="R15" s="376">
        <f>SQRT((O15-$B15)^2+(P15-$C15)^2+(Q15-$D15)^2)</f>
        <v>1.217160383108711E-2</v>
      </c>
      <c r="S15" s="320"/>
      <c r="T15" s="11">
        <f t="shared" si="28"/>
        <v>1.4951339946283908</v>
      </c>
      <c r="U15" s="7">
        <f t="shared" si="4"/>
        <v>-3.6731098347846918</v>
      </c>
      <c r="V15" s="12">
        <f t="shared" si="5"/>
        <v>-0.95957100134203133</v>
      </c>
      <c r="W15" s="392">
        <f t="shared" si="51"/>
        <v>0.95683658397208704</v>
      </c>
      <c r="X15" s="372">
        <f t="shared" si="52"/>
        <v>5.2234975914442067E-2</v>
      </c>
      <c r="Y15" s="13">
        <f t="shared" si="29"/>
        <v>0.28589377976242358</v>
      </c>
      <c r="Z15" s="328">
        <f t="shared" si="30"/>
        <v>2.0969029582418308E-4</v>
      </c>
      <c r="AA15" s="7">
        <f t="shared" si="31"/>
        <v>-1.2169586221536299E-2</v>
      </c>
      <c r="AB15" s="10">
        <f t="shared" si="32"/>
        <v>-7.1001342031196124E-5</v>
      </c>
      <c r="AC15" s="392">
        <f t="shared" si="33"/>
        <v>1.2171599731101051E-2</v>
      </c>
      <c r="AD15" s="6">
        <f t="shared" si="34"/>
        <v>1.4951339946283908</v>
      </c>
      <c r="AE15" s="7">
        <f t="shared" si="6"/>
        <v>-3.6731098364830266</v>
      </c>
      <c r="AF15" s="12">
        <f t="shared" si="7"/>
        <v>-0.95957100111474702</v>
      </c>
      <c r="AG15" s="337">
        <f>SQRT((AD15-$B15)^2+(AE15-$C15)^2+(AF15-$D15)^2)</f>
        <v>1.2171601427829078E-2</v>
      </c>
      <c r="AH15" s="320"/>
      <c r="AI15" s="11">
        <f t="shared" si="9"/>
        <v>1.4951339848129055</v>
      </c>
      <c r="AJ15" s="7">
        <f t="shared" si="35"/>
        <v>-3.6731098364830266</v>
      </c>
      <c r="AK15" s="12">
        <f t="shared" si="10"/>
        <v>-0.95957101640852505</v>
      </c>
      <c r="AL15" s="392">
        <f t="shared" si="36"/>
        <v>0.95683658689650453</v>
      </c>
      <c r="AM15" s="372">
        <f t="shared" si="37"/>
        <v>5.2234975914442067E-2</v>
      </c>
      <c r="AN15" s="13">
        <f t="shared" si="11"/>
        <v>0.28589376997490867</v>
      </c>
      <c r="AO15" s="328">
        <f t="shared" si="38"/>
        <v>2.0968048033886966E-4</v>
      </c>
      <c r="AP15" s="7">
        <f t="shared" si="39"/>
        <v>-1.2169587919871105E-2</v>
      </c>
      <c r="AQ15" s="10">
        <f t="shared" si="40"/>
        <v>-7.101640852491542E-5</v>
      </c>
      <c r="AR15" s="392">
        <f t="shared" si="41"/>
        <v>1.2171601347956957E-2</v>
      </c>
      <c r="AS15" s="6">
        <f t="shared" si="12"/>
        <v>1.4951339887873183</v>
      </c>
      <c r="AT15" s="7">
        <f t="shared" si="13"/>
        <v>-3.6731098364830266</v>
      </c>
      <c r="AU15" s="12">
        <f t="shared" si="14"/>
        <v>-0.95957101789026555</v>
      </c>
      <c r="AV15" s="337">
        <f>SQRT((AS15-$B15)^2+(AT15-$C15)^2+(AU15-$D15)^2)</f>
        <v>1.2171601425070367E-2</v>
      </c>
      <c r="AW15" s="320"/>
      <c r="AX15" s="11">
        <f t="shared" si="16"/>
        <v>1.4949851272212276</v>
      </c>
      <c r="AY15" s="7">
        <f t="shared" si="17"/>
        <v>-3.6731704268496412</v>
      </c>
      <c r="AZ15" s="12">
        <f t="shared" si="42"/>
        <v>-0.95957101789026555</v>
      </c>
      <c r="BA15" s="392">
        <f t="shared" si="43"/>
        <v>0.95683870304066942</v>
      </c>
      <c r="BB15" s="372">
        <f t="shared" si="44"/>
        <v>5.2196198098943943E-2</v>
      </c>
      <c r="BC15" s="13">
        <f t="shared" si="45"/>
        <v>0.28589376997490867</v>
      </c>
      <c r="BD15" s="328">
        <f t="shared" si="46"/>
        <v>6.0822888660938546E-5</v>
      </c>
      <c r="BE15" s="7">
        <f t="shared" si="47"/>
        <v>-1.223017828648576E-2</v>
      </c>
      <c r="BF15" s="10">
        <f t="shared" si="48"/>
        <v>-7.1017890265423489E-5</v>
      </c>
      <c r="BG15" s="392">
        <f t="shared" si="49"/>
        <v>1.2230535715321327E-2</v>
      </c>
      <c r="BH15" s="6">
        <f t="shared" si="18"/>
        <v>1.4949872344174484</v>
      </c>
      <c r="BI15" s="7">
        <f t="shared" si="19"/>
        <v>-3.6731762974935367</v>
      </c>
      <c r="BJ15" s="12">
        <f t="shared" si="20"/>
        <v>-0.95957101789026555</v>
      </c>
      <c r="BK15" s="11">
        <f t="shared" si="50"/>
        <v>0.95683870304066942</v>
      </c>
      <c r="BL15" s="7">
        <f t="shared" si="21"/>
        <v>5.2196198098943943E-2</v>
      </c>
      <c r="BM15" s="8">
        <f t="shared" si="22"/>
        <v>0.28589376997490867</v>
      </c>
      <c r="BN15" s="376">
        <f>SQRT((BH15-$B15)^2+(BI15-$C15)^2+(BJ15-$D15)^2)</f>
        <v>1.2236416843300341E-2</v>
      </c>
      <c r="BO15" s="327"/>
    </row>
    <row r="16" spans="2:67" x14ac:dyDescent="0.25">
      <c r="B16" s="408">
        <v>-0.41900504821483464</v>
      </c>
      <c r="C16" s="335">
        <v>-0.6594677153125178</v>
      </c>
      <c r="D16" s="336">
        <v>-0.49530000000000018</v>
      </c>
      <c r="E16" s="334">
        <v>-0.41981716009795678</v>
      </c>
      <c r="F16" s="335">
        <v>-0.67558324626939614</v>
      </c>
      <c r="G16" s="380">
        <v>-0.4901949499314594</v>
      </c>
      <c r="H16" s="384">
        <v>0.80167622151665885</v>
      </c>
      <c r="I16" s="368">
        <v>-0.53903450939453312</v>
      </c>
      <c r="J16" s="385">
        <v>0.25837472431057923</v>
      </c>
      <c r="K16" s="6">
        <f t="shared" si="24"/>
        <v>-8.1211188312213523E-4</v>
      </c>
      <c r="L16" s="7">
        <f t="shared" si="25"/>
        <v>-1.6115530956878343E-2</v>
      </c>
      <c r="M16" s="10">
        <f t="shared" si="26"/>
        <v>5.105050068540784E-3</v>
      </c>
      <c r="N16" s="392">
        <f t="shared" si="27"/>
        <v>1.6924284325640498E-2</v>
      </c>
      <c r="O16" s="6">
        <f t="shared" si="0"/>
        <v>-0.41981926834972322</v>
      </c>
      <c r="P16" s="7">
        <f t="shared" si="1"/>
        <v>-0.67557737343343138</v>
      </c>
      <c r="Q16" s="10">
        <f t="shared" si="2"/>
        <v>-0.49562303773582589</v>
      </c>
      <c r="R16" s="376">
        <f t="shared" ref="R16:R33" si="53">SQRT((O16-$B16)^2+(P16-$C16)^2+(Q16-$D16)^2)</f>
        <v>1.6133455692428151E-2</v>
      </c>
      <c r="S16" s="320"/>
      <c r="T16" s="11">
        <f t="shared" si="28"/>
        <v>-0.41981926834972322</v>
      </c>
      <c r="U16" s="7">
        <f t="shared" si="4"/>
        <v>-0.67557737126704198</v>
      </c>
      <c r="V16" s="12">
        <f t="shared" si="5"/>
        <v>-0.49562304068880336</v>
      </c>
      <c r="W16" s="392">
        <f t="shared" si="51"/>
        <v>0.80167622151665885</v>
      </c>
      <c r="X16" s="372">
        <f t="shared" si="52"/>
        <v>-0.53903451052390006</v>
      </c>
      <c r="Y16" s="13">
        <f t="shared" si="29"/>
        <v>0.25837472195443645</v>
      </c>
      <c r="Z16" s="328">
        <f t="shared" si="30"/>
        <v>-8.1422013488857692E-4</v>
      </c>
      <c r="AA16" s="7">
        <f t="shared" si="31"/>
        <v>-1.6109655954524182E-2</v>
      </c>
      <c r="AB16" s="10">
        <f t="shared" si="32"/>
        <v>-3.2304068880317782E-4</v>
      </c>
      <c r="AC16" s="392">
        <f t="shared" si="33"/>
        <v>1.6133453588361574E-2</v>
      </c>
      <c r="AD16" s="6">
        <f t="shared" si="34"/>
        <v>-0.41981926834972316</v>
      </c>
      <c r="AE16" s="7">
        <f t="shared" si="6"/>
        <v>-0.6755773729653769</v>
      </c>
      <c r="AF16" s="12">
        <f t="shared" si="7"/>
        <v>-0.49562304046151906</v>
      </c>
      <c r="AG16" s="337">
        <f t="shared" ref="AG16:AG33" si="54">SQRT((AD16-$B16)^2+(AE16-$C16)^2+(AF16-$D16)^2)</f>
        <v>1.6133455279640441E-2</v>
      </c>
      <c r="AH16" s="320"/>
      <c r="AI16" s="11">
        <f t="shared" si="9"/>
        <v>-0.41981927341946862</v>
      </c>
      <c r="AJ16" s="7">
        <f t="shared" si="35"/>
        <v>-0.6755773729653769</v>
      </c>
      <c r="AK16" s="12">
        <f t="shared" si="10"/>
        <v>-0.49562303616717307</v>
      </c>
      <c r="AL16" s="392">
        <f t="shared" si="36"/>
        <v>0.80167622415958295</v>
      </c>
      <c r="AM16" s="372">
        <f t="shared" si="37"/>
        <v>-0.53903451052390006</v>
      </c>
      <c r="AN16" s="13">
        <f t="shared" si="11"/>
        <v>0.25837471375406229</v>
      </c>
      <c r="AO16" s="328">
        <f t="shared" si="38"/>
        <v>-8.1422520463397818E-4</v>
      </c>
      <c r="AP16" s="7">
        <f t="shared" si="39"/>
        <v>-1.61096576528591E-2</v>
      </c>
      <c r="AQ16" s="10">
        <f t="shared" si="40"/>
        <v>-3.2303616717288541E-4</v>
      </c>
      <c r="AR16" s="392">
        <f t="shared" si="41"/>
        <v>1.6133455449514986E-2</v>
      </c>
      <c r="AS16" s="6">
        <f t="shared" si="12"/>
        <v>-0.41981926944505571</v>
      </c>
      <c r="AT16" s="7">
        <f t="shared" si="13"/>
        <v>-0.6755773729653769</v>
      </c>
      <c r="AU16" s="12">
        <f t="shared" si="14"/>
        <v>-0.49562303764891358</v>
      </c>
      <c r="AV16" s="337">
        <f t="shared" ref="AV16:AV33" si="55">SQRT((AS16-$B16)^2+(AT16-$C16)^2+(AU16-$D16)^2)</f>
        <v>1.6133455278602906E-2</v>
      </c>
      <c r="AW16" s="320"/>
      <c r="AX16" s="11">
        <f t="shared" si="16"/>
        <v>-0.41984664826419699</v>
      </c>
      <c r="AY16" s="7">
        <f t="shared" si="17"/>
        <v>-0.67556035837036799</v>
      </c>
      <c r="AZ16" s="12">
        <f t="shared" si="42"/>
        <v>-0.49562303764891358</v>
      </c>
      <c r="BA16" s="392">
        <f t="shared" si="43"/>
        <v>0.80165437801793604</v>
      </c>
      <c r="BB16" s="372">
        <f t="shared" si="44"/>
        <v>-0.53906699966069394</v>
      </c>
      <c r="BC16" s="13">
        <f t="shared" si="45"/>
        <v>0.25837471375406229</v>
      </c>
      <c r="BD16" s="328">
        <f t="shared" si="46"/>
        <v>-8.4160004936234545E-4</v>
      </c>
      <c r="BE16" s="7">
        <f t="shared" si="47"/>
        <v>-1.6092643057850187E-2</v>
      </c>
      <c r="BF16" s="10">
        <f t="shared" si="48"/>
        <v>-3.2303764891339348E-4</v>
      </c>
      <c r="BG16" s="392">
        <f t="shared" si="49"/>
        <v>1.6117872209230225E-2</v>
      </c>
      <c r="BH16" s="6">
        <f t="shared" si="18"/>
        <v>-0.4198445410679762</v>
      </c>
      <c r="BI16" s="7">
        <f t="shared" si="19"/>
        <v>-0.67556622901426344</v>
      </c>
      <c r="BJ16" s="12">
        <f t="shared" si="20"/>
        <v>-0.49562303764891358</v>
      </c>
      <c r="BK16" s="11">
        <f t="shared" si="50"/>
        <v>0.80165437801793604</v>
      </c>
      <c r="BL16" s="7">
        <f t="shared" si="21"/>
        <v>-0.53906699966069394</v>
      </c>
      <c r="BM16" s="8">
        <f t="shared" si="22"/>
        <v>0.25837471375406229</v>
      </c>
      <c r="BN16" s="376">
        <f t="shared" ref="BN16:BN33" si="56">SQRT((BH16-$B16)^2+(BI16-$C16)^2+(BJ16-$D16)^2)</f>
        <v>1.6123623816573725E-2</v>
      </c>
      <c r="BO16" s="327"/>
    </row>
    <row r="17" spans="2:67" x14ac:dyDescent="0.25">
      <c r="B17" s="408">
        <v>-0.8315281246154369</v>
      </c>
      <c r="C17" s="335">
        <v>-1.2732143743152231</v>
      </c>
      <c r="D17" s="336">
        <v>-0.29709999999999986</v>
      </c>
      <c r="E17" s="334">
        <v>-0.82589199863214136</v>
      </c>
      <c r="F17" s="335">
        <v>-1.2809698336622937</v>
      </c>
      <c r="G17" s="380">
        <v>-0.28950579243604763</v>
      </c>
      <c r="H17" s="384">
        <v>0.788212636126008</v>
      </c>
      <c r="I17" s="368">
        <v>-0.51271176154161879</v>
      </c>
      <c r="J17" s="385">
        <v>0.34036424281081518</v>
      </c>
      <c r="K17" s="6">
        <f t="shared" si="24"/>
        <v>5.6361259832955479E-3</v>
      </c>
      <c r="L17" s="7">
        <f t="shared" si="25"/>
        <v>-7.7554593470705591E-3</v>
      </c>
      <c r="M17" s="10">
        <f t="shared" si="26"/>
        <v>7.5942075639522377E-3</v>
      </c>
      <c r="N17" s="392">
        <f t="shared" si="27"/>
        <v>1.2230496895385433E-2</v>
      </c>
      <c r="O17" s="6">
        <f t="shared" si="0"/>
        <v>-0.82589410688390785</v>
      </c>
      <c r="P17" s="7">
        <f t="shared" si="1"/>
        <v>-1.2809639608263288</v>
      </c>
      <c r="Q17" s="10">
        <f t="shared" si="2"/>
        <v>-0.29493388024041411</v>
      </c>
      <c r="R17" s="376">
        <f t="shared" si="53"/>
        <v>9.8229487276053126E-3</v>
      </c>
      <c r="S17" s="320"/>
      <c r="T17" s="11">
        <f t="shared" si="28"/>
        <v>-0.82589410688390785</v>
      </c>
      <c r="U17" s="7">
        <f t="shared" si="4"/>
        <v>-1.2809639595371602</v>
      </c>
      <c r="V17" s="12">
        <f t="shared" si="5"/>
        <v>-0.29493388583956215</v>
      </c>
      <c r="W17" s="392">
        <f t="shared" si="51"/>
        <v>0.788212636126008</v>
      </c>
      <c r="X17" s="372">
        <f t="shared" si="52"/>
        <v>-0.51271176302936539</v>
      </c>
      <c r="Y17" s="13">
        <f t="shared" si="29"/>
        <v>0.34036424056973025</v>
      </c>
      <c r="Z17" s="328">
        <f t="shared" si="30"/>
        <v>5.6340177315290507E-3</v>
      </c>
      <c r="AA17" s="7">
        <f t="shared" si="31"/>
        <v>-7.7495852219371386E-3</v>
      </c>
      <c r="AB17" s="10">
        <f t="shared" si="32"/>
        <v>2.1661141604377154E-3</v>
      </c>
      <c r="AC17" s="392">
        <f t="shared" si="33"/>
        <v>9.8229464758441513E-3</v>
      </c>
      <c r="AD17" s="6">
        <f t="shared" si="34"/>
        <v>-0.82589410688390785</v>
      </c>
      <c r="AE17" s="7">
        <f t="shared" si="6"/>
        <v>-1.2809639612354953</v>
      </c>
      <c r="AF17" s="12">
        <f t="shared" si="7"/>
        <v>-0.29493388561227785</v>
      </c>
      <c r="AG17" s="337">
        <f t="shared" si="54"/>
        <v>9.8229478658258956E-3</v>
      </c>
      <c r="AH17" s="320"/>
      <c r="AI17" s="11">
        <f t="shared" si="9"/>
        <v>-0.82589410990079692</v>
      </c>
      <c r="AJ17" s="7">
        <f t="shared" si="35"/>
        <v>-1.2809639612354953</v>
      </c>
      <c r="AK17" s="12">
        <f t="shared" si="10"/>
        <v>-0.29493387716417813</v>
      </c>
      <c r="AL17" s="392">
        <f t="shared" si="36"/>
        <v>0.78821263960760579</v>
      </c>
      <c r="AM17" s="372">
        <f t="shared" si="37"/>
        <v>-0.51271176302936539</v>
      </c>
      <c r="AN17" s="13">
        <f t="shared" si="11"/>
        <v>0.34036423250707559</v>
      </c>
      <c r="AO17" s="328">
        <f t="shared" si="38"/>
        <v>5.6340147146399788E-3</v>
      </c>
      <c r="AP17" s="7">
        <f t="shared" si="39"/>
        <v>-7.7495869202721668E-3</v>
      </c>
      <c r="AQ17" s="10">
        <f t="shared" si="40"/>
        <v>2.1661228358217377E-3</v>
      </c>
      <c r="AR17" s="392">
        <f t="shared" si="41"/>
        <v>9.8229479984117633E-3</v>
      </c>
      <c r="AS17" s="6">
        <f t="shared" si="12"/>
        <v>-0.82589410592638401</v>
      </c>
      <c r="AT17" s="7">
        <f t="shared" si="13"/>
        <v>-1.2809639612354953</v>
      </c>
      <c r="AU17" s="12">
        <f t="shared" si="14"/>
        <v>-0.29493387864591863</v>
      </c>
      <c r="AV17" s="337">
        <f t="shared" si="55"/>
        <v>9.8229499512141136E-3</v>
      </c>
      <c r="AW17" s="320"/>
      <c r="AX17" s="11">
        <f t="shared" si="16"/>
        <v>-0.8259460189498965</v>
      </c>
      <c r="AY17" s="7">
        <f t="shared" si="17"/>
        <v>-1.2809304891245621</v>
      </c>
      <c r="AZ17" s="12">
        <f t="shared" si="42"/>
        <v>-0.29493387864591863</v>
      </c>
      <c r="BA17" s="392">
        <f t="shared" si="43"/>
        <v>0.78819186026055055</v>
      </c>
      <c r="BB17" s="372">
        <f t="shared" si="44"/>
        <v>-0.51274370654829349</v>
      </c>
      <c r="BC17" s="13">
        <f t="shared" si="45"/>
        <v>0.34036423250707559</v>
      </c>
      <c r="BD17" s="328">
        <f t="shared" si="46"/>
        <v>5.5821056655404044E-3</v>
      </c>
      <c r="BE17" s="7">
        <f t="shared" si="47"/>
        <v>-7.7161148093389809E-3</v>
      </c>
      <c r="BF17" s="10">
        <f t="shared" si="48"/>
        <v>2.1661213540812296E-3</v>
      </c>
      <c r="BG17" s="392">
        <f t="shared" si="49"/>
        <v>9.7668015815191682E-3</v>
      </c>
      <c r="BH17" s="6">
        <f t="shared" si="18"/>
        <v>-0.82594391175367565</v>
      </c>
      <c r="BI17" s="7">
        <f t="shared" si="19"/>
        <v>-1.2809363597684575</v>
      </c>
      <c r="BJ17" s="12">
        <f t="shared" si="20"/>
        <v>-0.29493387864591863</v>
      </c>
      <c r="BK17" s="11">
        <f t="shared" si="50"/>
        <v>0.78819186026055055</v>
      </c>
      <c r="BL17" s="7">
        <f t="shared" si="21"/>
        <v>-0.51274370654829349</v>
      </c>
      <c r="BM17" s="8">
        <f t="shared" si="22"/>
        <v>0.34036423250707559</v>
      </c>
      <c r="BN17" s="376">
        <f t="shared" si="56"/>
        <v>9.7726441839468773E-3</v>
      </c>
      <c r="BO17" s="327"/>
    </row>
    <row r="18" spans="2:67" x14ac:dyDescent="0.25">
      <c r="B18" s="408">
        <v>-1.2442185531768535</v>
      </c>
      <c r="C18" s="335">
        <v>-1.8872100177637698</v>
      </c>
      <c r="D18" s="336">
        <v>-0.1000000000000003</v>
      </c>
      <c r="E18" s="334">
        <v>-1.2454820109343769</v>
      </c>
      <c r="F18" s="335">
        <v>-1.9055940298763159</v>
      </c>
      <c r="G18" s="380">
        <v>-9.5631466476689603E-2</v>
      </c>
      <c r="H18" s="384">
        <v>0.77440253418129223</v>
      </c>
      <c r="I18" s="368">
        <v>-0.5341097591688031</v>
      </c>
      <c r="J18" s="385">
        <v>0.33915786980731533</v>
      </c>
      <c r="K18" s="6">
        <f t="shared" si="24"/>
        <v>-1.2634577575234562E-3</v>
      </c>
      <c r="L18" s="7">
        <f t="shared" si="25"/>
        <v>-1.8384012112546033E-2</v>
      </c>
      <c r="M18" s="10">
        <f t="shared" si="26"/>
        <v>4.3685335233106942E-3</v>
      </c>
      <c r="N18" s="392">
        <f t="shared" si="27"/>
        <v>1.8938117963609127E-2</v>
      </c>
      <c r="O18" s="6">
        <f t="shared" si="0"/>
        <v>-1.2454841191861434</v>
      </c>
      <c r="P18" s="7">
        <f t="shared" si="1"/>
        <v>-1.905588157040351</v>
      </c>
      <c r="Q18" s="10">
        <f t="shared" si="2"/>
        <v>-0.1010595542810561</v>
      </c>
      <c r="R18" s="376">
        <f t="shared" si="53"/>
        <v>1.8452108710599689E-2</v>
      </c>
      <c r="S18" s="320"/>
      <c r="T18" s="11">
        <f t="shared" si="28"/>
        <v>-1.2454841191861434</v>
      </c>
      <c r="U18" s="7">
        <f t="shared" si="4"/>
        <v>-1.9055881565986155</v>
      </c>
      <c r="V18" s="12">
        <f t="shared" si="5"/>
        <v>-0.1010595626104631</v>
      </c>
      <c r="W18" s="392">
        <f t="shared" si="51"/>
        <v>0.77440253418129223</v>
      </c>
      <c r="X18" s="372">
        <f t="shared" si="52"/>
        <v>-0.53410976065127658</v>
      </c>
      <c r="Y18" s="13">
        <f t="shared" si="29"/>
        <v>0.33915786747269883</v>
      </c>
      <c r="Z18" s="328">
        <f t="shared" si="30"/>
        <v>-1.2655660092899534E-3</v>
      </c>
      <c r="AA18" s="7">
        <f t="shared" si="31"/>
        <v>-1.8378138834845625E-2</v>
      </c>
      <c r="AB18" s="10">
        <f t="shared" si="32"/>
        <v>-1.0595626104628053E-3</v>
      </c>
      <c r="AC18" s="392">
        <f t="shared" si="33"/>
        <v>1.8452108748926822E-2</v>
      </c>
      <c r="AD18" s="6">
        <f t="shared" si="34"/>
        <v>-1.2454841191861434</v>
      </c>
      <c r="AE18" s="7">
        <f t="shared" si="6"/>
        <v>-1.9055881582969505</v>
      </c>
      <c r="AF18" s="12">
        <f t="shared" si="7"/>
        <v>-0.1010595623831788</v>
      </c>
      <c r="AG18" s="337">
        <f t="shared" si="54"/>
        <v>1.8452110427402461E-2</v>
      </c>
      <c r="AH18" s="320"/>
      <c r="AI18" s="11">
        <f t="shared" si="9"/>
        <v>-1.2454841202198852</v>
      </c>
      <c r="AJ18" s="7">
        <f t="shared" si="35"/>
        <v>-1.9055881582969505</v>
      </c>
      <c r="AK18" s="12">
        <f t="shared" si="10"/>
        <v>-0.10105954964307813</v>
      </c>
      <c r="AL18" s="392">
        <f t="shared" si="36"/>
        <v>0.77440253765054989</v>
      </c>
      <c r="AM18" s="372">
        <f t="shared" si="37"/>
        <v>-0.53410976065127658</v>
      </c>
      <c r="AN18" s="13">
        <f t="shared" si="11"/>
        <v>0.33915785955130817</v>
      </c>
      <c r="AO18" s="328">
        <f t="shared" si="38"/>
        <v>-1.2655670430317123E-3</v>
      </c>
      <c r="AP18" s="7">
        <f t="shared" si="39"/>
        <v>-1.8378140533180654E-2</v>
      </c>
      <c r="AQ18" s="10">
        <f t="shared" si="40"/>
        <v>-1.0595496430778339E-3</v>
      </c>
      <c r="AR18" s="392">
        <f t="shared" si="41"/>
        <v>1.8452109766741907E-2</v>
      </c>
      <c r="AS18" s="6">
        <f t="shared" si="12"/>
        <v>-1.2454841162454724</v>
      </c>
      <c r="AT18" s="7">
        <f t="shared" si="13"/>
        <v>-1.9055881582969505</v>
      </c>
      <c r="AU18" s="12">
        <f t="shared" si="14"/>
        <v>-0.10105955112481865</v>
      </c>
      <c r="AV18" s="337">
        <f t="shared" si="55"/>
        <v>1.8452109579234936E-2</v>
      </c>
      <c r="AW18" s="320"/>
      <c r="AX18" s="11">
        <f t="shared" si="16"/>
        <v>-1.2455613431059593</v>
      </c>
      <c r="AY18" s="7">
        <f t="shared" si="17"/>
        <v>-1.9055376809240505</v>
      </c>
      <c r="AZ18" s="12">
        <f t="shared" si="42"/>
        <v>-0.10105955112481865</v>
      </c>
      <c r="BA18" s="392">
        <f t="shared" si="43"/>
        <v>0.77438089111692832</v>
      </c>
      <c r="BB18" s="372">
        <f t="shared" si="44"/>
        <v>-0.53414114446981842</v>
      </c>
      <c r="BC18" s="13">
        <f t="shared" si="45"/>
        <v>0.33915785955130817</v>
      </c>
      <c r="BD18" s="328">
        <f t="shared" si="46"/>
        <v>-1.3427899291058587E-3</v>
      </c>
      <c r="BE18" s="7">
        <f t="shared" si="47"/>
        <v>-1.8327663160280672E-2</v>
      </c>
      <c r="BF18" s="10">
        <f t="shared" si="48"/>
        <v>-1.0595511248183559E-3</v>
      </c>
      <c r="BG18" s="392">
        <f t="shared" si="49"/>
        <v>1.8407307524364373E-2</v>
      </c>
      <c r="BH18" s="6">
        <f t="shared" si="18"/>
        <v>-1.2455592359097385</v>
      </c>
      <c r="BI18" s="7">
        <f t="shared" si="19"/>
        <v>-1.905543551567946</v>
      </c>
      <c r="BJ18" s="12">
        <f t="shared" si="20"/>
        <v>-0.10105955112481865</v>
      </c>
      <c r="BK18" s="11">
        <f t="shared" si="50"/>
        <v>0.77438089111692832</v>
      </c>
      <c r="BL18" s="7">
        <f t="shared" si="21"/>
        <v>-0.53414114446981842</v>
      </c>
      <c r="BM18" s="8">
        <f t="shared" si="22"/>
        <v>0.33915785955130817</v>
      </c>
      <c r="BN18" s="376">
        <f t="shared" si="56"/>
        <v>1.8412999226775324E-2</v>
      </c>
      <c r="BO18" s="327"/>
    </row>
    <row r="19" spans="2:67" x14ac:dyDescent="0.25">
      <c r="B19" s="408">
        <v>-1.7011983968060724</v>
      </c>
      <c r="C19" s="335">
        <v>-2.4928841401403279</v>
      </c>
      <c r="D19" s="336">
        <v>-0.12469999999999992</v>
      </c>
      <c r="E19" s="334">
        <v>-1.6981372841584312</v>
      </c>
      <c r="F19" s="335">
        <v>-2.5064786908271293</v>
      </c>
      <c r="G19" s="380">
        <v>-0.11613887427200217</v>
      </c>
      <c r="H19" s="384">
        <v>0.73586040050353096</v>
      </c>
      <c r="I19" s="368">
        <v>-0.59486507992387427</v>
      </c>
      <c r="J19" s="385">
        <v>0.3234876945525838</v>
      </c>
      <c r="K19" s="6">
        <f t="shared" si="24"/>
        <v>3.0611126476411954E-3</v>
      </c>
      <c r="L19" s="7">
        <f t="shared" si="25"/>
        <v>-1.3594550686801377E-2</v>
      </c>
      <c r="M19" s="10">
        <f t="shared" si="26"/>
        <v>8.5611257279977482E-3</v>
      </c>
      <c r="N19" s="392">
        <f t="shared" si="27"/>
        <v>1.635466577916362E-2</v>
      </c>
      <c r="O19" s="6">
        <f t="shared" si="0"/>
        <v>-1.6981393924101977</v>
      </c>
      <c r="P19" s="7">
        <f t="shared" si="1"/>
        <v>-2.5064728179911646</v>
      </c>
      <c r="Q19" s="10">
        <f t="shared" si="2"/>
        <v>-0.12156696207636868</v>
      </c>
      <c r="R19" s="376">
        <f t="shared" si="53"/>
        <v>1.4276750339580537E-2</v>
      </c>
      <c r="S19" s="320"/>
      <c r="T19" s="11">
        <f t="shared" si="28"/>
        <v>-1.6981393924101977</v>
      </c>
      <c r="U19" s="7">
        <f t="shared" si="4"/>
        <v>-2.5064728174597901</v>
      </c>
      <c r="V19" s="12">
        <f t="shared" si="5"/>
        <v>-0.12156697303226813</v>
      </c>
      <c r="W19" s="392">
        <f t="shared" si="51"/>
        <v>0.73586040050353096</v>
      </c>
      <c r="X19" s="372">
        <f t="shared" si="52"/>
        <v>-0.59486508133785276</v>
      </c>
      <c r="Y19" s="13">
        <f t="shared" si="29"/>
        <v>0.32348769195240318</v>
      </c>
      <c r="Z19" s="328">
        <f t="shared" si="30"/>
        <v>3.0590043958746982E-3</v>
      </c>
      <c r="AA19" s="7">
        <f t="shared" si="31"/>
        <v>-1.3588677319462228E-2</v>
      </c>
      <c r="AB19" s="10">
        <f t="shared" si="32"/>
        <v>3.1330269677317946E-3</v>
      </c>
      <c r="AC19" s="392">
        <f t="shared" si="33"/>
        <v>1.4276747429543699E-2</v>
      </c>
      <c r="AD19" s="6">
        <f t="shared" si="34"/>
        <v>-1.6981393924101977</v>
      </c>
      <c r="AE19" s="7">
        <f t="shared" si="6"/>
        <v>-2.5064728191581249</v>
      </c>
      <c r="AF19" s="12">
        <f t="shared" si="7"/>
        <v>-0.12156697280498382</v>
      </c>
      <c r="AG19" s="337">
        <f t="shared" si="54"/>
        <v>1.4276749095904451E-2</v>
      </c>
      <c r="AH19" s="320"/>
      <c r="AI19" s="11">
        <f t="shared" si="9"/>
        <v>-1.6981393936537106</v>
      </c>
      <c r="AJ19" s="7">
        <f t="shared" si="35"/>
        <v>-2.5064728191581249</v>
      </c>
      <c r="AK19" s="12">
        <f t="shared" si="10"/>
        <v>-0.12156695543465651</v>
      </c>
      <c r="AL19" s="392">
        <f t="shared" si="36"/>
        <v>0.73586040381249784</v>
      </c>
      <c r="AM19" s="372">
        <f t="shared" si="37"/>
        <v>-0.59486508133785276</v>
      </c>
      <c r="AN19" s="13">
        <f t="shared" si="11"/>
        <v>0.32348768442526138</v>
      </c>
      <c r="AO19" s="328">
        <f t="shared" si="38"/>
        <v>3.0590031523618499E-3</v>
      </c>
      <c r="AP19" s="7">
        <f t="shared" si="39"/>
        <v>-1.3588679017797034E-2</v>
      </c>
      <c r="AQ19" s="10">
        <f t="shared" si="40"/>
        <v>3.1330445653434125E-3</v>
      </c>
      <c r="AR19" s="392">
        <f t="shared" si="41"/>
        <v>1.42767526413854E-2</v>
      </c>
      <c r="AS19" s="6">
        <f t="shared" si="12"/>
        <v>-1.6981393896792978</v>
      </c>
      <c r="AT19" s="7">
        <f t="shared" si="13"/>
        <v>-2.5064728191581249</v>
      </c>
      <c r="AU19" s="12">
        <f t="shared" si="14"/>
        <v>-0.12156695691639703</v>
      </c>
      <c r="AV19" s="337">
        <f t="shared" si="55"/>
        <v>1.4276753167792998E-2</v>
      </c>
      <c r="AW19" s="320"/>
      <c r="AX19" s="11">
        <f t="shared" si="16"/>
        <v>-1.6982409682560267</v>
      </c>
      <c r="AY19" s="7">
        <f t="shared" si="17"/>
        <v>-2.5064039965048912</v>
      </c>
      <c r="AZ19" s="12">
        <f t="shared" si="42"/>
        <v>-0.12156695691639703</v>
      </c>
      <c r="BA19" s="392">
        <f t="shared" si="43"/>
        <v>0.73583629507607506</v>
      </c>
      <c r="BB19" s="372">
        <f t="shared" si="44"/>
        <v>-0.59489490310717741</v>
      </c>
      <c r="BC19" s="13">
        <f t="shared" si="45"/>
        <v>0.32348768442526138</v>
      </c>
      <c r="BD19" s="328">
        <f t="shared" si="46"/>
        <v>2.9574285500457709E-3</v>
      </c>
      <c r="BE19" s="7">
        <f t="shared" si="47"/>
        <v>-1.3519856364563321E-2</v>
      </c>
      <c r="BF19" s="10">
        <f t="shared" si="48"/>
        <v>3.1330430836028905E-3</v>
      </c>
      <c r="BG19" s="392">
        <f t="shared" si="49"/>
        <v>1.4189744843046371E-2</v>
      </c>
      <c r="BH19" s="6">
        <f t="shared" si="18"/>
        <v>-1.6982388610598058</v>
      </c>
      <c r="BI19" s="7">
        <f t="shared" si="19"/>
        <v>-2.5064098671487867</v>
      </c>
      <c r="BJ19" s="12">
        <f t="shared" si="20"/>
        <v>-0.12156695691639703</v>
      </c>
      <c r="BK19" s="11">
        <f t="shared" si="50"/>
        <v>0.73583629507607506</v>
      </c>
      <c r="BL19" s="7">
        <f t="shared" si="21"/>
        <v>-0.59489490310717741</v>
      </c>
      <c r="BM19" s="8">
        <f t="shared" si="22"/>
        <v>0.32348768442526138</v>
      </c>
      <c r="BN19" s="376">
        <f t="shared" si="56"/>
        <v>1.4195777608306388E-2</v>
      </c>
      <c r="BO19" s="327"/>
    </row>
    <row r="20" spans="2:67" x14ac:dyDescent="0.25">
      <c r="B20" s="408">
        <v>-2.1823711732534585</v>
      </c>
      <c r="C20" s="335">
        <v>-2.9465056334647874</v>
      </c>
      <c r="D20" s="336">
        <v>-0.51860000000000028</v>
      </c>
      <c r="E20" s="334">
        <v>-2.1808326501085502</v>
      </c>
      <c r="F20" s="335">
        <v>-2.9579607371124466</v>
      </c>
      <c r="G20" s="380">
        <v>-0.5208216223874873</v>
      </c>
      <c r="H20" s="384">
        <v>0.5960576996122271</v>
      </c>
      <c r="I20" s="368">
        <v>-0.73069283907874161</v>
      </c>
      <c r="J20" s="385">
        <v>0.33287108138591487</v>
      </c>
      <c r="K20" s="6">
        <f t="shared" si="24"/>
        <v>1.5385231449083214E-3</v>
      </c>
      <c r="L20" s="7">
        <f t="shared" si="25"/>
        <v>-1.1455103647659115E-2</v>
      </c>
      <c r="M20" s="10">
        <f t="shared" si="26"/>
        <v>-2.2216223874870211E-3</v>
      </c>
      <c r="N20" s="392">
        <f t="shared" si="27"/>
        <v>1.1769539459070406E-2</v>
      </c>
      <c r="O20" s="6">
        <f t="shared" si="0"/>
        <v>-2.1808347583603167</v>
      </c>
      <c r="P20" s="7">
        <f t="shared" si="1"/>
        <v>-2.9579548642764819</v>
      </c>
      <c r="Q20" s="10">
        <f t="shared" si="2"/>
        <v>-0.52624971019185385</v>
      </c>
      <c r="R20" s="376">
        <f t="shared" si="53"/>
        <v>1.385509014487709E-2</v>
      </c>
      <c r="S20" s="320"/>
      <c r="T20" s="11">
        <f t="shared" si="28"/>
        <v>-2.1808347583603167</v>
      </c>
      <c r="U20" s="7">
        <f t="shared" si="4"/>
        <v>-2.9579548619762219</v>
      </c>
      <c r="V20" s="12">
        <f t="shared" si="5"/>
        <v>-0.52624972312120055</v>
      </c>
      <c r="W20" s="392">
        <f t="shared" si="51"/>
        <v>0.5960576996122271</v>
      </c>
      <c r="X20" s="372">
        <f t="shared" si="52"/>
        <v>-0.73069284053373529</v>
      </c>
      <c r="Y20" s="13">
        <f t="shared" si="29"/>
        <v>0.33287107819202533</v>
      </c>
      <c r="Z20" s="328">
        <f t="shared" si="30"/>
        <v>1.5364148931418242E-3</v>
      </c>
      <c r="AA20" s="7">
        <f t="shared" si="31"/>
        <v>-1.1449228511434484E-2</v>
      </c>
      <c r="AB20" s="10">
        <f t="shared" si="32"/>
        <v>-7.6497231212002692E-3</v>
      </c>
      <c r="AC20" s="392">
        <f t="shared" si="33"/>
        <v>1.3855095382635888E-2</v>
      </c>
      <c r="AD20" s="6">
        <f t="shared" si="34"/>
        <v>-2.1808347583603167</v>
      </c>
      <c r="AE20" s="7">
        <f t="shared" si="6"/>
        <v>-2.9579548636745567</v>
      </c>
      <c r="AF20" s="12">
        <f t="shared" si="7"/>
        <v>-0.52624972289391625</v>
      </c>
      <c r="AG20" s="337">
        <f t="shared" si="54"/>
        <v>1.3855096660574542E-2</v>
      </c>
      <c r="AH20" s="320"/>
      <c r="AI20" s="11">
        <f t="shared" si="9"/>
        <v>-2.1808347637433436</v>
      </c>
      <c r="AJ20" s="7">
        <f t="shared" si="35"/>
        <v>-2.9579548636745567</v>
      </c>
      <c r="AK20" s="12">
        <f t="shared" si="10"/>
        <v>-0.52624970058608112</v>
      </c>
      <c r="AL20" s="392">
        <f t="shared" si="36"/>
        <v>0.59605770301717698</v>
      </c>
      <c r="AM20" s="372">
        <f t="shared" si="37"/>
        <v>-0.73069284053373529</v>
      </c>
      <c r="AN20" s="13">
        <f t="shared" si="11"/>
        <v>0.33287107209493022</v>
      </c>
      <c r="AO20" s="328">
        <f t="shared" si="38"/>
        <v>1.5364095101149111E-3</v>
      </c>
      <c r="AP20" s="7">
        <f t="shared" si="39"/>
        <v>-1.144923020976929E-2</v>
      </c>
      <c r="AQ20" s="10">
        <f t="shared" si="40"/>
        <v>-7.649700586080832E-3</v>
      </c>
      <c r="AR20" s="392">
        <f t="shared" si="41"/>
        <v>1.3855083746977161E-2</v>
      </c>
      <c r="AS20" s="6">
        <f t="shared" si="12"/>
        <v>-2.1808347597689308</v>
      </c>
      <c r="AT20" s="7">
        <f t="shared" si="13"/>
        <v>-2.9579548636745567</v>
      </c>
      <c r="AU20" s="12">
        <f t="shared" si="14"/>
        <v>-0.52624970206782162</v>
      </c>
      <c r="AV20" s="337">
        <f t="shared" si="55"/>
        <v>1.3855085005807882E-2</v>
      </c>
      <c r="AW20" s="320"/>
      <c r="AX20" s="11">
        <f t="shared" si="16"/>
        <v>-2.1809546351886167</v>
      </c>
      <c r="AY20" s="7">
        <f t="shared" si="17"/>
        <v>-2.9578664784269191</v>
      </c>
      <c r="AZ20" s="12">
        <f t="shared" si="42"/>
        <v>-0.52624970206782162</v>
      </c>
      <c r="BA20" s="392">
        <f t="shared" si="43"/>
        <v>0.59602808969598209</v>
      </c>
      <c r="BB20" s="372">
        <f t="shared" si="44"/>
        <v>-0.73071699639924237</v>
      </c>
      <c r="BC20" s="13">
        <f t="shared" si="45"/>
        <v>0.33287107209493022</v>
      </c>
      <c r="BD20" s="328">
        <f t="shared" si="46"/>
        <v>1.4165380648418768E-3</v>
      </c>
      <c r="BE20" s="7">
        <f t="shared" si="47"/>
        <v>-1.1360844962131633E-2</v>
      </c>
      <c r="BF20" s="10">
        <f t="shared" si="48"/>
        <v>-7.6497020678213401E-3</v>
      </c>
      <c r="BG20" s="392">
        <f t="shared" si="49"/>
        <v>1.3769289018288772E-2</v>
      </c>
      <c r="BH20" s="6">
        <f t="shared" si="18"/>
        <v>-2.180952527992396</v>
      </c>
      <c r="BI20" s="7">
        <f t="shared" si="19"/>
        <v>-2.9578723490708145</v>
      </c>
      <c r="BJ20" s="12">
        <f t="shared" si="20"/>
        <v>-0.52624970206782162</v>
      </c>
      <c r="BK20" s="11">
        <f t="shared" si="50"/>
        <v>0.59602808969598209</v>
      </c>
      <c r="BL20" s="7">
        <f t="shared" si="21"/>
        <v>-0.73071699639924237</v>
      </c>
      <c r="BM20" s="8">
        <f t="shared" si="22"/>
        <v>0.33287107209493022</v>
      </c>
      <c r="BN20" s="376">
        <f>SQRT((BH20-$B20)^2+(BI20-$C20)^2+(BJ20-$D20)^2)</f>
        <v>1.3774350067116232E-2</v>
      </c>
      <c r="BO20" s="327"/>
    </row>
    <row r="21" spans="2:67" x14ac:dyDescent="0.25">
      <c r="B21" s="408">
        <v>-2.5301438395802545</v>
      </c>
      <c r="C21" s="335">
        <v>-3.1962782351567092</v>
      </c>
      <c r="D21" s="336">
        <v>-1.1452</v>
      </c>
      <c r="E21" s="334">
        <v>-2.535342629175529</v>
      </c>
      <c r="F21" s="335">
        <v>-3.2007217226839391</v>
      </c>
      <c r="G21" s="380">
        <v>-1.1497978596240697</v>
      </c>
      <c r="H21" s="384">
        <v>0.42376283419023819</v>
      </c>
      <c r="I21" s="368">
        <v>-0.86746700640905994</v>
      </c>
      <c r="J21" s="385">
        <v>0.26062371948032781</v>
      </c>
      <c r="K21" s="6">
        <f t="shared" si="24"/>
        <v>-5.1987895952745333E-3</v>
      </c>
      <c r="L21" s="7">
        <f t="shared" si="25"/>
        <v>-4.4434875272298946E-3</v>
      </c>
      <c r="M21" s="10">
        <f t="shared" si="26"/>
        <v>-4.5978596240696668E-3</v>
      </c>
      <c r="N21" s="392">
        <f t="shared" si="27"/>
        <v>8.240892414249348E-3</v>
      </c>
      <c r="O21" s="6">
        <f t="shared" si="0"/>
        <v>-2.5353447374272955</v>
      </c>
      <c r="P21" s="7">
        <f t="shared" si="1"/>
        <v>-3.2007158498479744</v>
      </c>
      <c r="Q21" s="10">
        <f t="shared" si="2"/>
        <v>-1.1552259474284361</v>
      </c>
      <c r="R21" s="376">
        <f t="shared" si="53"/>
        <v>1.2135130176526891E-2</v>
      </c>
      <c r="S21" s="320"/>
      <c r="T21" s="11">
        <f t="shared" si="28"/>
        <v>-2.5353447374272955</v>
      </c>
      <c r="U21" s="7">
        <f t="shared" si="4"/>
        <v>-3.2007158447984327</v>
      </c>
      <c r="V21" s="12">
        <f t="shared" si="5"/>
        <v>-1.1552259614189013</v>
      </c>
      <c r="W21" s="392">
        <f t="shared" si="51"/>
        <v>0.42376283419023819</v>
      </c>
      <c r="X21" s="372">
        <f t="shared" si="52"/>
        <v>-0.86746700754825734</v>
      </c>
      <c r="Y21" s="13">
        <f t="shared" si="29"/>
        <v>0.26062371568859255</v>
      </c>
      <c r="Z21" s="328">
        <f t="shared" si="30"/>
        <v>-5.2008978470410305E-3</v>
      </c>
      <c r="AA21" s="7">
        <f t="shared" si="31"/>
        <v>-4.4376096417235722E-3</v>
      </c>
      <c r="AB21" s="10">
        <f t="shared" si="32"/>
        <v>-1.002596141890133E-2</v>
      </c>
      <c r="AC21" s="392">
        <f t="shared" si="33"/>
        <v>1.2135139888809357E-2</v>
      </c>
      <c r="AD21" s="6">
        <f t="shared" si="34"/>
        <v>-2.5353447374272955</v>
      </c>
      <c r="AE21" s="7">
        <f t="shared" si="6"/>
        <v>-3.2007158464967675</v>
      </c>
      <c r="AF21" s="12">
        <f t="shared" si="7"/>
        <v>-1.1552259611916171</v>
      </c>
      <c r="AG21" s="337">
        <f t="shared" si="54"/>
        <v>1.2135140322080486E-2</v>
      </c>
      <c r="AH21" s="320"/>
      <c r="AI21" s="11">
        <f t="shared" si="9"/>
        <v>-2.5353447492441421</v>
      </c>
      <c r="AJ21" s="7">
        <f t="shared" si="35"/>
        <v>-3.2007158464967675</v>
      </c>
      <c r="AK21" s="12">
        <f t="shared" si="10"/>
        <v>-1.155225935257487</v>
      </c>
      <c r="AL21" s="392">
        <f t="shared" si="36"/>
        <v>0.42376283685616728</v>
      </c>
      <c r="AM21" s="372">
        <f t="shared" si="37"/>
        <v>-0.86746700754825734</v>
      </c>
      <c r="AN21" s="13">
        <f t="shared" si="11"/>
        <v>0.26062371135390766</v>
      </c>
      <c r="AO21" s="328">
        <f t="shared" si="38"/>
        <v>-5.2009096638876429E-3</v>
      </c>
      <c r="AP21" s="7">
        <f t="shared" si="39"/>
        <v>-4.4376113400583783E-3</v>
      </c>
      <c r="AQ21" s="10">
        <f t="shared" si="40"/>
        <v>-1.0025935257486962E-2</v>
      </c>
      <c r="AR21" s="392">
        <f t="shared" si="41"/>
        <v>1.2135123960003652E-2</v>
      </c>
      <c r="AS21" s="6">
        <f t="shared" si="12"/>
        <v>-2.5353447452697293</v>
      </c>
      <c r="AT21" s="7">
        <f t="shared" si="13"/>
        <v>-3.2007158464967675</v>
      </c>
      <c r="AU21" s="12">
        <f t="shared" si="14"/>
        <v>-1.1552259367392275</v>
      </c>
      <c r="AV21" s="337">
        <f t="shared" si="55"/>
        <v>1.2135123480839314E-2</v>
      </c>
      <c r="AW21" s="320"/>
      <c r="AX21" s="11">
        <f t="shared" si="16"/>
        <v>-2.5354744587869047</v>
      </c>
      <c r="AY21" s="7">
        <f t="shared" si="17"/>
        <v>-3.2006130938027484</v>
      </c>
      <c r="AZ21" s="12">
        <f t="shared" si="42"/>
        <v>-1.1552259367392275</v>
      </c>
      <c r="BA21" s="392">
        <f t="shared" si="43"/>
        <v>0.42372768062175814</v>
      </c>
      <c r="BB21" s="372">
        <f t="shared" si="44"/>
        <v>-0.86748418069727384</v>
      </c>
      <c r="BC21" s="13">
        <f t="shared" si="45"/>
        <v>0.26062371135390766</v>
      </c>
      <c r="BD21" s="328">
        <f t="shared" si="46"/>
        <v>-5.3306192066502334E-3</v>
      </c>
      <c r="BE21" s="7">
        <f t="shared" si="47"/>
        <v>-4.3348586460392191E-3</v>
      </c>
      <c r="BF21" s="10">
        <f t="shared" si="48"/>
        <v>-1.002593673922747E-2</v>
      </c>
      <c r="BG21" s="392">
        <f t="shared" si="49"/>
        <v>1.215425473266216E-2</v>
      </c>
      <c r="BH21" s="6">
        <f t="shared" si="18"/>
        <v>-2.5354723515906841</v>
      </c>
      <c r="BI21" s="7">
        <f t="shared" si="19"/>
        <v>-3.2006189644466438</v>
      </c>
      <c r="BJ21" s="12">
        <f t="shared" si="20"/>
        <v>-1.1552259367392275</v>
      </c>
      <c r="BK21" s="11">
        <f t="shared" si="50"/>
        <v>0.42372768062175814</v>
      </c>
      <c r="BL21" s="7">
        <f t="shared" si="21"/>
        <v>-0.86748418069727384</v>
      </c>
      <c r="BM21" s="8">
        <f t="shared" si="22"/>
        <v>0.26062371135390766</v>
      </c>
      <c r="BN21" s="376">
        <f t="shared" si="56"/>
        <v>1.215542588775813E-2</v>
      </c>
      <c r="BO21" s="327"/>
    </row>
    <row r="22" spans="2:67" x14ac:dyDescent="0.25">
      <c r="B22" s="408">
        <v>-2.5086530552866324</v>
      </c>
      <c r="C22" s="335">
        <v>0.15190538729705266</v>
      </c>
      <c r="D22" s="336">
        <v>-8.4700000000000039E-2</v>
      </c>
      <c r="E22" s="334">
        <v>-2.5246189091689306</v>
      </c>
      <c r="F22" s="335">
        <v>0.15126573876608168</v>
      </c>
      <c r="G22" s="380">
        <v>-7.3733575248802502E-2</v>
      </c>
      <c r="H22" s="384">
        <v>-8.3288860482001473E-2</v>
      </c>
      <c r="I22" s="368">
        <v>-0.93650517579727244</v>
      </c>
      <c r="J22" s="385">
        <v>0.34061906929226599</v>
      </c>
      <c r="K22" s="6">
        <f t="shared" si="24"/>
        <v>-1.5965853882298209E-2</v>
      </c>
      <c r="L22" s="7">
        <f t="shared" si="25"/>
        <v>-6.3964853097098207E-4</v>
      </c>
      <c r="M22" s="10">
        <f t="shared" si="26"/>
        <v>1.0966424751197537E-2</v>
      </c>
      <c r="N22" s="392">
        <f t="shared" si="27"/>
        <v>1.937988937681916E-2</v>
      </c>
      <c r="O22" s="6">
        <f t="shared" si="0"/>
        <v>-2.5246210174206971</v>
      </c>
      <c r="P22" s="7">
        <f t="shared" si="1"/>
        <v>0.1512716116020465</v>
      </c>
      <c r="Q22" s="10">
        <f t="shared" si="2"/>
        <v>-7.9161663053169004E-2</v>
      </c>
      <c r="R22" s="376">
        <f t="shared" si="53"/>
        <v>1.6913032326674557E-2</v>
      </c>
      <c r="S22" s="320"/>
      <c r="T22" s="11">
        <f t="shared" si="28"/>
        <v>-2.5246210174206971</v>
      </c>
      <c r="U22" s="7">
        <f t="shared" si="4"/>
        <v>0.15127161194806549</v>
      </c>
      <c r="V22" s="12">
        <f t="shared" si="5"/>
        <v>-7.9161662391954352E-2</v>
      </c>
      <c r="W22" s="392">
        <f t="shared" si="51"/>
        <v>-8.3288860482001473E-2</v>
      </c>
      <c r="X22" s="372">
        <f t="shared" si="52"/>
        <v>-0.93650517728613292</v>
      </c>
      <c r="Y22" s="13">
        <f t="shared" si="29"/>
        <v>0.34061906519876195</v>
      </c>
      <c r="Z22" s="328">
        <f t="shared" si="30"/>
        <v>-1.5967962134064706E-2</v>
      </c>
      <c r="AA22" s="7">
        <f t="shared" si="31"/>
        <v>-6.3377534898717558E-4</v>
      </c>
      <c r="AB22" s="10">
        <f t="shared" si="32"/>
        <v>5.5383376080456875E-3</v>
      </c>
      <c r="AC22" s="392">
        <f t="shared" si="33"/>
        <v>1.6913032530229501E-2</v>
      </c>
      <c r="AD22" s="6">
        <f t="shared" si="34"/>
        <v>-2.5246210174206971</v>
      </c>
      <c r="AE22" s="7">
        <f t="shared" si="6"/>
        <v>0.15127161024973057</v>
      </c>
      <c r="AF22" s="12">
        <f t="shared" si="7"/>
        <v>-7.9161662164670049E-2</v>
      </c>
      <c r="AG22" s="337">
        <f t="shared" si="54"/>
        <v>1.6913032668297079E-2</v>
      </c>
      <c r="AH22" s="320"/>
      <c r="AI22" s="11">
        <f t="shared" si="9"/>
        <v>-2.5246210182304445</v>
      </c>
      <c r="AJ22" s="7">
        <f t="shared" si="35"/>
        <v>0.15127161024973057</v>
      </c>
      <c r="AK22" s="12">
        <f t="shared" si="10"/>
        <v>-7.9161636340233252E-2</v>
      </c>
      <c r="AL22" s="392">
        <f t="shared" si="36"/>
        <v>-8.3288856997797131E-2</v>
      </c>
      <c r="AM22" s="372">
        <f t="shared" si="37"/>
        <v>-0.93650517728613292</v>
      </c>
      <c r="AN22" s="13">
        <f t="shared" si="11"/>
        <v>0.34061906605072662</v>
      </c>
      <c r="AO22" s="328">
        <f t="shared" si="38"/>
        <v>-1.5967962943812086E-2</v>
      </c>
      <c r="AP22" s="7">
        <f t="shared" si="39"/>
        <v>-6.3377704732209272E-4</v>
      </c>
      <c r="AQ22" s="10">
        <f t="shared" si="40"/>
        <v>5.5383636597667874E-3</v>
      </c>
      <c r="AR22" s="392">
        <f t="shared" si="41"/>
        <v>1.691304188927863E-2</v>
      </c>
      <c r="AS22" s="6">
        <f t="shared" si="12"/>
        <v>-2.5246210142560317</v>
      </c>
      <c r="AT22" s="7">
        <f t="shared" si="13"/>
        <v>0.15127161024973054</v>
      </c>
      <c r="AU22" s="12">
        <f t="shared" si="14"/>
        <v>-7.9161637821973774E-2</v>
      </c>
      <c r="AV22" s="337">
        <f t="shared" si="55"/>
        <v>1.6913037651738478E-2</v>
      </c>
      <c r="AW22" s="320"/>
      <c r="AX22" s="11">
        <f t="shared" si="16"/>
        <v>-2.524614881589319</v>
      </c>
      <c r="AY22" s="7">
        <f t="shared" si="17"/>
        <v>0.15137392558974941</v>
      </c>
      <c r="AZ22" s="12">
        <f t="shared" si="42"/>
        <v>-7.9161637821973774E-2</v>
      </c>
      <c r="BA22" s="392">
        <f t="shared" si="43"/>
        <v>-8.3326810729767817E-2</v>
      </c>
      <c r="BB22" s="372">
        <f t="shared" si="44"/>
        <v>-0.93650180106465164</v>
      </c>
      <c r="BC22" s="13">
        <f t="shared" si="45"/>
        <v>0.34061906605072662</v>
      </c>
      <c r="BD22" s="328">
        <f t="shared" si="46"/>
        <v>-1.596182630268661E-2</v>
      </c>
      <c r="BE22" s="7">
        <f t="shared" si="47"/>
        <v>-5.3146170730325459E-4</v>
      </c>
      <c r="BF22" s="10">
        <f t="shared" si="48"/>
        <v>5.5383621780262654E-3</v>
      </c>
      <c r="BG22" s="392">
        <f t="shared" si="49"/>
        <v>1.6903721663540833E-2</v>
      </c>
      <c r="BH22" s="6">
        <f t="shared" si="18"/>
        <v>-2.5246127743930984</v>
      </c>
      <c r="BI22" s="7">
        <f t="shared" si="19"/>
        <v>0.15136805494585392</v>
      </c>
      <c r="BJ22" s="12">
        <f t="shared" si="20"/>
        <v>-7.9161637821973774E-2</v>
      </c>
      <c r="BK22" s="11">
        <f t="shared" si="50"/>
        <v>-8.3326810729767817E-2</v>
      </c>
      <c r="BL22" s="7">
        <f t="shared" si="21"/>
        <v>-0.93650180106465164</v>
      </c>
      <c r="BM22" s="8">
        <f t="shared" si="22"/>
        <v>0.34061906605072662</v>
      </c>
      <c r="BN22" s="376">
        <f t="shared" si="56"/>
        <v>1.6901917513345403E-2</v>
      </c>
      <c r="BO22" s="327"/>
    </row>
    <row r="23" spans="2:67" x14ac:dyDescent="0.25">
      <c r="B23" s="408">
        <v>-3.241879873199446</v>
      </c>
      <c r="C23" s="335">
        <v>0.28366628245737568</v>
      </c>
      <c r="D23" s="336">
        <v>-0.24089999999999992</v>
      </c>
      <c r="E23" s="334">
        <v>-3.2511482469599962</v>
      </c>
      <c r="F23" s="335">
        <v>0.28614763078104205</v>
      </c>
      <c r="G23" s="380">
        <v>-0.2339737848603107</v>
      </c>
      <c r="H23" s="384">
        <v>-0.20220298280024696</v>
      </c>
      <c r="I23" s="368">
        <v>-0.92225336748040487</v>
      </c>
      <c r="J23" s="385">
        <v>0.32948794100351592</v>
      </c>
      <c r="K23" s="6">
        <f t="shared" si="24"/>
        <v>-9.2683737605501193E-3</v>
      </c>
      <c r="L23" s="7">
        <f t="shared" si="25"/>
        <v>2.4813483236663658E-3</v>
      </c>
      <c r="M23" s="10">
        <f t="shared" si="26"/>
        <v>6.926215139689218E-3</v>
      </c>
      <c r="N23" s="392">
        <f t="shared" si="27"/>
        <v>1.1833524319908924E-2</v>
      </c>
      <c r="O23" s="6">
        <f t="shared" si="0"/>
        <v>-3.2511503552117627</v>
      </c>
      <c r="P23" s="7">
        <f t="shared" si="1"/>
        <v>0.28615350361700687</v>
      </c>
      <c r="Q23" s="10">
        <f t="shared" si="2"/>
        <v>-0.23940187266467722</v>
      </c>
      <c r="R23" s="376">
        <f t="shared" si="53"/>
        <v>9.7145504965718363E-3</v>
      </c>
      <c r="S23" s="320"/>
      <c r="T23" s="11">
        <f t="shared" si="28"/>
        <v>-3.2511503552117627</v>
      </c>
      <c r="U23" s="7">
        <f t="shared" si="4"/>
        <v>0.28615350466344264</v>
      </c>
      <c r="V23" s="12">
        <f t="shared" si="5"/>
        <v>-0.23940187141388805</v>
      </c>
      <c r="W23" s="392">
        <f t="shared" si="51"/>
        <v>-0.20220298280024696</v>
      </c>
      <c r="X23" s="372">
        <f t="shared" si="52"/>
        <v>-0.92225336892061072</v>
      </c>
      <c r="Y23" s="13">
        <f t="shared" si="29"/>
        <v>0.32948793697230716</v>
      </c>
      <c r="Z23" s="328">
        <f t="shared" si="30"/>
        <v>-9.2704820123166165E-3</v>
      </c>
      <c r="AA23" s="7">
        <f t="shared" si="31"/>
        <v>2.4872222060669524E-3</v>
      </c>
      <c r="AB23" s="10">
        <f t="shared" si="32"/>
        <v>1.4981285861118687E-3</v>
      </c>
      <c r="AC23" s="392">
        <f t="shared" si="33"/>
        <v>9.7145509573816156E-3</v>
      </c>
      <c r="AD23" s="6">
        <f t="shared" si="34"/>
        <v>-3.2511503552117627</v>
      </c>
      <c r="AE23" s="7">
        <f t="shared" si="6"/>
        <v>0.28615350296510772</v>
      </c>
      <c r="AF23" s="12">
        <f t="shared" si="7"/>
        <v>-0.23940187118660375</v>
      </c>
      <c r="AG23" s="337">
        <f t="shared" si="54"/>
        <v>9.7145505576066958E-3</v>
      </c>
      <c r="AH23" s="320"/>
      <c r="AI23" s="11">
        <f t="shared" si="9"/>
        <v>-3.2511503576606127</v>
      </c>
      <c r="AJ23" s="7">
        <f t="shared" si="35"/>
        <v>0.28615350296510772</v>
      </c>
      <c r="AK23" s="12">
        <f t="shared" si="10"/>
        <v>-0.23940183793047293</v>
      </c>
      <c r="AL23" s="392">
        <f t="shared" si="36"/>
        <v>-0.20220297942990331</v>
      </c>
      <c r="AM23" s="372">
        <f t="shared" si="37"/>
        <v>-0.92225336892061072</v>
      </c>
      <c r="AN23" s="13">
        <f t="shared" si="11"/>
        <v>0.32948793904064855</v>
      </c>
      <c r="AO23" s="328">
        <f t="shared" si="38"/>
        <v>-9.2704844611666282E-3</v>
      </c>
      <c r="AP23" s="7">
        <f t="shared" si="39"/>
        <v>2.4872205077320353E-3</v>
      </c>
      <c r="AQ23" s="10">
        <f t="shared" si="40"/>
        <v>1.4981620695269926E-3</v>
      </c>
      <c r="AR23" s="392">
        <f t="shared" si="41"/>
        <v>9.7145580231621509E-3</v>
      </c>
      <c r="AS23" s="6">
        <f t="shared" si="12"/>
        <v>-3.2511503536861999</v>
      </c>
      <c r="AT23" s="7">
        <f t="shared" si="13"/>
        <v>0.28615350296510766</v>
      </c>
      <c r="AU23" s="12">
        <f t="shared" si="14"/>
        <v>-0.23940183941221346</v>
      </c>
      <c r="AV23" s="337">
        <f t="shared" si="55"/>
        <v>9.714554001917057E-3</v>
      </c>
      <c r="AW23" s="320"/>
      <c r="AX23" s="11">
        <f t="shared" si="16"/>
        <v>-3.2511387540564511</v>
      </c>
      <c r="AY23" s="7">
        <f t="shared" si="17"/>
        <v>0.28628526229160439</v>
      </c>
      <c r="AZ23" s="12">
        <f t="shared" si="42"/>
        <v>-0.23940183941221346</v>
      </c>
      <c r="BA23" s="392">
        <f t="shared" si="43"/>
        <v>-0.20224035548034383</v>
      </c>
      <c r="BB23" s="372">
        <f t="shared" si="44"/>
        <v>-0.92224517347120349</v>
      </c>
      <c r="BC23" s="13">
        <f t="shared" si="45"/>
        <v>0.32948793904064855</v>
      </c>
      <c r="BD23" s="328">
        <f t="shared" si="46"/>
        <v>-9.2588808570051029E-3</v>
      </c>
      <c r="BE23" s="7">
        <f t="shared" si="47"/>
        <v>2.6189798342287074E-3</v>
      </c>
      <c r="BF23" s="10">
        <f t="shared" si="48"/>
        <v>1.4981605877864568E-3</v>
      </c>
      <c r="BG23" s="392">
        <f t="shared" si="49"/>
        <v>9.7380909444874687E-3</v>
      </c>
      <c r="BH23" s="6">
        <f t="shared" si="18"/>
        <v>-3.2511366468602305</v>
      </c>
      <c r="BI23" s="7">
        <f t="shared" si="19"/>
        <v>0.28627939164770888</v>
      </c>
      <c r="BJ23" s="12">
        <f t="shared" si="20"/>
        <v>-0.23940183941221346</v>
      </c>
      <c r="BK23" s="11">
        <f t="shared" si="50"/>
        <v>-0.20224035548034383</v>
      </c>
      <c r="BL23" s="7">
        <f t="shared" si="21"/>
        <v>-0.92224517347120349</v>
      </c>
      <c r="BM23" s="8">
        <f t="shared" si="22"/>
        <v>0.32948793904064855</v>
      </c>
      <c r="BN23" s="376">
        <f t="shared" si="56"/>
        <v>9.7345099206068795E-3</v>
      </c>
      <c r="BO23" s="327"/>
    </row>
    <row r="24" spans="2:67" x14ac:dyDescent="0.25">
      <c r="B24" s="408">
        <v>-3.7981264987651273</v>
      </c>
      <c r="C24" s="335">
        <v>0.48102192982221365</v>
      </c>
      <c r="D24" s="336">
        <v>-0.73650000000000015</v>
      </c>
      <c r="E24" s="334">
        <v>-3.8104062041383218</v>
      </c>
      <c r="F24" s="335">
        <v>0.48898125388040992</v>
      </c>
      <c r="G24" s="380">
        <v>-0.73190499835782863</v>
      </c>
      <c r="H24" s="384">
        <v>-0.40503302744356529</v>
      </c>
      <c r="I24" s="368">
        <v>-0.85967975495613325</v>
      </c>
      <c r="J24" s="385">
        <v>0.31128681558084464</v>
      </c>
      <c r="K24" s="6">
        <f t="shared" si="24"/>
        <v>-1.2279705373194449E-2</v>
      </c>
      <c r="L24" s="7">
        <f t="shared" si="25"/>
        <v>7.959324058196271E-3</v>
      </c>
      <c r="M24" s="10">
        <f t="shared" si="26"/>
        <v>4.5950016421715256E-3</v>
      </c>
      <c r="N24" s="392">
        <f t="shared" si="27"/>
        <v>1.5338058664883298E-2</v>
      </c>
      <c r="O24" s="6">
        <f t="shared" si="0"/>
        <v>-3.8104083123900883</v>
      </c>
      <c r="P24" s="7">
        <f t="shared" si="1"/>
        <v>0.48898712671637473</v>
      </c>
      <c r="Q24" s="10">
        <f t="shared" si="2"/>
        <v>-0.73733308616219517</v>
      </c>
      <c r="R24" s="376">
        <f t="shared" si="53"/>
        <v>1.4662241985271917E-2</v>
      </c>
      <c r="S24" s="320"/>
      <c r="T24" s="11">
        <f t="shared" si="28"/>
        <v>-3.8104083123900883</v>
      </c>
      <c r="U24" s="7">
        <f t="shared" si="4"/>
        <v>0.48898712993928906</v>
      </c>
      <c r="V24" s="12">
        <f t="shared" si="5"/>
        <v>-0.73733308402481157</v>
      </c>
      <c r="W24" s="392">
        <f t="shared" si="51"/>
        <v>-0.40503302744356529</v>
      </c>
      <c r="X24" s="372">
        <f t="shared" si="52"/>
        <v>-0.85967975631678117</v>
      </c>
      <c r="Y24" s="13">
        <f t="shared" si="29"/>
        <v>0.31128681182314782</v>
      </c>
      <c r="Z24" s="328">
        <f t="shared" si="30"/>
        <v>-1.2281813624960947E-2</v>
      </c>
      <c r="AA24" s="7">
        <f t="shared" si="31"/>
        <v>7.9652001170754105E-3</v>
      </c>
      <c r="AB24" s="10">
        <f t="shared" si="32"/>
        <v>-8.3308402481141464E-4</v>
      </c>
      <c r="AC24" s="392">
        <f t="shared" si="33"/>
        <v>1.4662243614663156E-2</v>
      </c>
      <c r="AD24" s="6">
        <f t="shared" si="34"/>
        <v>-3.8104083123900883</v>
      </c>
      <c r="AE24" s="7">
        <f t="shared" si="6"/>
        <v>0.48898712824095414</v>
      </c>
      <c r="AF24" s="12">
        <f t="shared" si="7"/>
        <v>-0.73733308379752727</v>
      </c>
      <c r="AG24" s="337">
        <f t="shared" si="54"/>
        <v>1.4662242679136251E-2</v>
      </c>
      <c r="AH24" s="320"/>
      <c r="AI24" s="11">
        <f t="shared" si="9"/>
        <v>-3.8104083199322942</v>
      </c>
      <c r="AJ24" s="7">
        <f t="shared" si="35"/>
        <v>0.48898712824095414</v>
      </c>
      <c r="AK24" s="12">
        <f t="shared" si="10"/>
        <v>-0.73733304482072726</v>
      </c>
      <c r="AL24" s="392">
        <f t="shared" si="36"/>
        <v>-0.40503302425940158</v>
      </c>
      <c r="AM24" s="372">
        <f t="shared" si="37"/>
        <v>-0.85967975631678117</v>
      </c>
      <c r="AN24" s="13">
        <f t="shared" si="11"/>
        <v>0.31128681596624486</v>
      </c>
      <c r="AO24" s="328">
        <f t="shared" si="38"/>
        <v>-1.2281821167166918E-2</v>
      </c>
      <c r="AP24" s="7">
        <f t="shared" si="39"/>
        <v>7.9651984187404934E-3</v>
      </c>
      <c r="AQ24" s="10">
        <f t="shared" si="40"/>
        <v>-8.330448207271024E-4</v>
      </c>
      <c r="AR24" s="392">
        <f t="shared" si="41"/>
        <v>1.466224678231531E-2</v>
      </c>
      <c r="AS24" s="6">
        <f t="shared" si="12"/>
        <v>-3.8104083159578814</v>
      </c>
      <c r="AT24" s="7">
        <f t="shared" si="13"/>
        <v>0.48898712824095408</v>
      </c>
      <c r="AU24" s="12">
        <f t="shared" si="14"/>
        <v>-0.73733304630246777</v>
      </c>
      <c r="AV24" s="337">
        <f t="shared" si="55"/>
        <v>1.4662243537337347E-2</v>
      </c>
      <c r="AW24" s="320"/>
      <c r="AX24" s="11">
        <f t="shared" si="16"/>
        <v>-3.8103884956186036</v>
      </c>
      <c r="AY24" s="7">
        <f t="shared" si="17"/>
        <v>0.48914155248119062</v>
      </c>
      <c r="AZ24" s="12">
        <f t="shared" si="42"/>
        <v>-0.73733304630246777</v>
      </c>
      <c r="BA24" s="392">
        <f t="shared" si="43"/>
        <v>-0.40506786421879759</v>
      </c>
      <c r="BB24" s="372">
        <f t="shared" si="44"/>
        <v>-0.85966334081361118</v>
      </c>
      <c r="BC24" s="13">
        <f t="shared" si="45"/>
        <v>0.31128681596624486</v>
      </c>
      <c r="BD24" s="328">
        <f t="shared" si="46"/>
        <v>-1.2261996853476287E-2</v>
      </c>
      <c r="BE24" s="7">
        <f t="shared" si="47"/>
        <v>8.1196226589769771E-3</v>
      </c>
      <c r="BF24" s="10">
        <f t="shared" si="48"/>
        <v>-8.3304630246761047E-4</v>
      </c>
      <c r="BG24" s="392">
        <f t="shared" si="49"/>
        <v>1.473020044333714E-2</v>
      </c>
      <c r="BH24" s="6">
        <f t="shared" si="18"/>
        <v>-3.810386388422383</v>
      </c>
      <c r="BI24" s="7">
        <f t="shared" si="19"/>
        <v>0.48913568183729511</v>
      </c>
      <c r="BJ24" s="12">
        <f t="shared" si="20"/>
        <v>-0.73733304630246777</v>
      </c>
      <c r="BK24" s="11">
        <f t="shared" si="50"/>
        <v>-0.40506786421879759</v>
      </c>
      <c r="BL24" s="7">
        <f t="shared" si="21"/>
        <v>-0.85966334081361118</v>
      </c>
      <c r="BM24" s="8">
        <f t="shared" si="22"/>
        <v>0.31128681596624486</v>
      </c>
      <c r="BN24" s="376">
        <f t="shared" si="56"/>
        <v>1.472521077310535E-2</v>
      </c>
      <c r="BO24" s="327"/>
    </row>
    <row r="25" spans="2:67" x14ac:dyDescent="0.25">
      <c r="B25" s="408">
        <v>-0.29329830985450628</v>
      </c>
      <c r="C25" s="335">
        <v>0.44741509553123321</v>
      </c>
      <c r="D25" s="336">
        <v>-0.5613999999999999</v>
      </c>
      <c r="E25" s="334">
        <v>-0.30431368278085641</v>
      </c>
      <c r="F25" s="335">
        <v>0.45494696349012526</v>
      </c>
      <c r="G25" s="380">
        <v>-0.5521725536827391</v>
      </c>
      <c r="H25" s="384">
        <v>-0.82202983805670571</v>
      </c>
      <c r="I25" s="368">
        <v>-0.48477243350782306</v>
      </c>
      <c r="J25" s="385">
        <v>0.2987666211365812</v>
      </c>
      <c r="K25" s="6">
        <f t="shared" si="24"/>
        <v>-1.1015372926350131E-2</v>
      </c>
      <c r="L25" s="7">
        <f t="shared" si="25"/>
        <v>7.5318679588920467E-3</v>
      </c>
      <c r="M25" s="10">
        <f t="shared" si="26"/>
        <v>9.2274463172608012E-3</v>
      </c>
      <c r="N25" s="392">
        <f t="shared" si="27"/>
        <v>1.6223847915789954E-2</v>
      </c>
      <c r="O25" s="6">
        <f t="shared" si="0"/>
        <v>-0.30431579103262285</v>
      </c>
      <c r="P25" s="7">
        <f t="shared" si="1"/>
        <v>0.45495283632609007</v>
      </c>
      <c r="Q25" s="10">
        <f t="shared" si="2"/>
        <v>-0.55760064148710564</v>
      </c>
      <c r="R25" s="376">
        <f t="shared" si="53"/>
        <v>1.3879393103090077E-2</v>
      </c>
      <c r="S25" s="320"/>
      <c r="T25" s="11">
        <f t="shared" si="28"/>
        <v>-0.30431579103262285</v>
      </c>
      <c r="U25" s="7">
        <f t="shared" si="4"/>
        <v>0.45495283876338621</v>
      </c>
      <c r="V25" s="12">
        <f t="shared" si="5"/>
        <v>-0.55760063949848737</v>
      </c>
      <c r="W25" s="392">
        <f t="shared" si="51"/>
        <v>-0.82202983805670571</v>
      </c>
      <c r="X25" s="372">
        <f t="shared" si="52"/>
        <v>-0.48477243481374471</v>
      </c>
      <c r="Y25" s="13">
        <f t="shared" si="29"/>
        <v>0.29876661901762025</v>
      </c>
      <c r="Z25" s="328">
        <f t="shared" si="30"/>
        <v>-1.1017481178116573E-2</v>
      </c>
      <c r="AA25" s="7">
        <f t="shared" si="31"/>
        <v>7.5377432321530047E-3</v>
      </c>
      <c r="AB25" s="10">
        <f t="shared" si="32"/>
        <v>3.7993605015125276E-3</v>
      </c>
      <c r="AC25" s="392">
        <f t="shared" si="33"/>
        <v>1.3879394971124458E-2</v>
      </c>
      <c r="AD25" s="6">
        <f t="shared" si="34"/>
        <v>-0.3043157910326228</v>
      </c>
      <c r="AE25" s="7">
        <f t="shared" si="6"/>
        <v>0.4549528370650513</v>
      </c>
      <c r="AF25" s="12">
        <f t="shared" si="7"/>
        <v>-0.55760063927120307</v>
      </c>
      <c r="AG25" s="337">
        <f t="shared" si="54"/>
        <v>1.387939411099496E-2</v>
      </c>
      <c r="AH25" s="320"/>
      <c r="AI25" s="11">
        <f t="shared" si="9"/>
        <v>-0.30431579673633924</v>
      </c>
      <c r="AJ25" s="7">
        <f t="shared" si="35"/>
        <v>0.4549528370650513</v>
      </c>
      <c r="AK25" s="12">
        <f t="shared" si="10"/>
        <v>-0.55760063615834621</v>
      </c>
      <c r="AL25" s="392">
        <f t="shared" si="36"/>
        <v>-0.82202983500061155</v>
      </c>
      <c r="AM25" s="372">
        <f t="shared" si="37"/>
        <v>-0.48477243481374471</v>
      </c>
      <c r="AN25" s="13">
        <f t="shared" si="11"/>
        <v>0.29876662742619225</v>
      </c>
      <c r="AO25" s="328">
        <f t="shared" si="38"/>
        <v>-1.1017486881832961E-2</v>
      </c>
      <c r="AP25" s="7">
        <f t="shared" si="39"/>
        <v>7.5377415338180875E-3</v>
      </c>
      <c r="AQ25" s="10">
        <f t="shared" si="40"/>
        <v>3.7993638416536912E-3</v>
      </c>
      <c r="AR25" s="392">
        <f t="shared" si="41"/>
        <v>1.387939949072989E-2</v>
      </c>
      <c r="AS25" s="6">
        <f t="shared" si="12"/>
        <v>-0.30431579276192633</v>
      </c>
      <c r="AT25" s="7">
        <f t="shared" si="13"/>
        <v>0.45495283706505124</v>
      </c>
      <c r="AU25" s="12">
        <f t="shared" si="14"/>
        <v>-0.55760063764008672</v>
      </c>
      <c r="AV25" s="337">
        <f t="shared" si="55"/>
        <v>1.3879395930222017E-2</v>
      </c>
      <c r="AW25" s="320"/>
      <c r="AX25" s="11">
        <f t="shared" si="16"/>
        <v>-0.30429735461164509</v>
      </c>
      <c r="AY25" s="7">
        <f t="shared" si="17"/>
        <v>0.45496516971545581</v>
      </c>
      <c r="AZ25" s="12">
        <f t="shared" si="42"/>
        <v>-0.55760063764008672</v>
      </c>
      <c r="BA25" s="392">
        <f t="shared" si="43"/>
        <v>-0.82204948072650463</v>
      </c>
      <c r="BB25" s="372">
        <f t="shared" si="44"/>
        <v>-0.48473911996419594</v>
      </c>
      <c r="BC25" s="13">
        <f t="shared" si="45"/>
        <v>0.29876662742619225</v>
      </c>
      <c r="BD25" s="328">
        <f t="shared" si="46"/>
        <v>-1.0999044757138809E-2</v>
      </c>
      <c r="BE25" s="7">
        <f t="shared" si="47"/>
        <v>7.5500741842225993E-3</v>
      </c>
      <c r="BF25" s="10">
        <f t="shared" si="48"/>
        <v>3.7993623599131832E-3</v>
      </c>
      <c r="BG25" s="392">
        <f t="shared" si="49"/>
        <v>1.387147288858441E-2</v>
      </c>
      <c r="BH25" s="6">
        <f t="shared" si="18"/>
        <v>-0.3042952474154243</v>
      </c>
      <c r="BI25" s="7">
        <f t="shared" si="19"/>
        <v>0.4549592990715603</v>
      </c>
      <c r="BJ25" s="12">
        <f t="shared" si="20"/>
        <v>-0.55760063764008672</v>
      </c>
      <c r="BK25" s="11">
        <f t="shared" si="50"/>
        <v>-0.82204948072650463</v>
      </c>
      <c r="BL25" s="7">
        <f t="shared" si="21"/>
        <v>-0.48473911996419594</v>
      </c>
      <c r="BM25" s="8">
        <f t="shared" si="22"/>
        <v>0.29876662742619225</v>
      </c>
      <c r="BN25" s="376">
        <f t="shared" si="56"/>
        <v>1.3866607267768796E-2</v>
      </c>
      <c r="BO25" s="327"/>
    </row>
    <row r="26" spans="2:67" x14ac:dyDescent="0.25">
      <c r="B26" s="408">
        <v>-0.67520190070003716</v>
      </c>
      <c r="C26" s="335">
        <v>1.080668518182299</v>
      </c>
      <c r="D26" s="336">
        <v>-0.36320000000000024</v>
      </c>
      <c r="E26" s="334">
        <v>-0.68506951210515665</v>
      </c>
      <c r="F26" s="335">
        <v>1.0864239052144122</v>
      </c>
      <c r="G26" s="380">
        <v>-0.3547672471909798</v>
      </c>
      <c r="H26" s="384">
        <v>-0.81919657005178059</v>
      </c>
      <c r="I26" s="368">
        <v>-0.48764548357560372</v>
      </c>
      <c r="J26" s="385">
        <v>0.30185834860197874</v>
      </c>
      <c r="K26" s="6">
        <f t="shared" si="24"/>
        <v>-9.8676114051194919E-3</v>
      </c>
      <c r="L26" s="7">
        <f t="shared" si="25"/>
        <v>5.7553870321132017E-3</v>
      </c>
      <c r="M26" s="10">
        <f t="shared" si="26"/>
        <v>8.4327528090204495E-3</v>
      </c>
      <c r="N26" s="392">
        <f t="shared" si="27"/>
        <v>1.419878708446265E-2</v>
      </c>
      <c r="O26" s="6">
        <f t="shared" si="0"/>
        <v>-0.68507162035692315</v>
      </c>
      <c r="P26" s="7">
        <f t="shared" si="1"/>
        <v>1.0864297780503771</v>
      </c>
      <c r="Q26" s="10">
        <f t="shared" si="2"/>
        <v>-0.36019533499534628</v>
      </c>
      <c r="R26" s="376">
        <f t="shared" si="53"/>
        <v>1.1816577049350662E-2</v>
      </c>
      <c r="S26" s="320"/>
      <c r="T26" s="11">
        <f t="shared" si="28"/>
        <v>-0.68507162035692315</v>
      </c>
      <c r="U26" s="7">
        <f t="shared" si="4"/>
        <v>1.0864297796248064</v>
      </c>
      <c r="V26" s="12">
        <f t="shared" si="5"/>
        <v>-0.36019533024651545</v>
      </c>
      <c r="W26" s="392">
        <f t="shared" si="51"/>
        <v>-0.81919657005178059</v>
      </c>
      <c r="X26" s="372">
        <f t="shared" si="52"/>
        <v>-0.48764548489503939</v>
      </c>
      <c r="Y26" s="13">
        <f t="shared" si="29"/>
        <v>0.30185834647045956</v>
      </c>
      <c r="Z26" s="328">
        <f t="shared" si="30"/>
        <v>-9.8697196568859891E-3</v>
      </c>
      <c r="AA26" s="7">
        <f t="shared" si="31"/>
        <v>5.7612614425073261E-3</v>
      </c>
      <c r="AB26" s="10">
        <f t="shared" si="32"/>
        <v>3.0046697534847899E-3</v>
      </c>
      <c r="AC26" s="392">
        <f t="shared" si="33"/>
        <v>1.1816579024487147E-2</v>
      </c>
      <c r="AD26" s="6">
        <f t="shared" si="34"/>
        <v>-0.68507162035692315</v>
      </c>
      <c r="AE26" s="7">
        <f t="shared" si="6"/>
        <v>1.0864297779264713</v>
      </c>
      <c r="AF26" s="12">
        <f t="shared" si="7"/>
        <v>-0.36019533001923115</v>
      </c>
      <c r="AG26" s="337">
        <f t="shared" si="54"/>
        <v>1.18165782542442E-2</v>
      </c>
      <c r="AH26" s="320"/>
      <c r="AI26" s="11">
        <f t="shared" si="9"/>
        <v>-0.68507162404137378</v>
      </c>
      <c r="AJ26" s="7">
        <f t="shared" si="35"/>
        <v>1.0864297779264713</v>
      </c>
      <c r="AK26" s="12">
        <f t="shared" si="10"/>
        <v>-0.36019532301160956</v>
      </c>
      <c r="AL26" s="392">
        <f t="shared" si="36"/>
        <v>-0.81919656696406096</v>
      </c>
      <c r="AM26" s="372">
        <f t="shared" si="37"/>
        <v>-0.48764548489503939</v>
      </c>
      <c r="AN26" s="13">
        <f t="shared" si="11"/>
        <v>0.30185835485004997</v>
      </c>
      <c r="AO26" s="328">
        <f t="shared" si="38"/>
        <v>-9.8697233413366225E-3</v>
      </c>
      <c r="AP26" s="7">
        <f t="shared" si="39"/>
        <v>5.7612597441722979E-3</v>
      </c>
      <c r="AQ26" s="10">
        <f t="shared" si="40"/>
        <v>3.0046769883906865E-3</v>
      </c>
      <c r="AR26" s="392">
        <f t="shared" si="41"/>
        <v>1.1816583113527774E-2</v>
      </c>
      <c r="AS26" s="6">
        <f t="shared" si="12"/>
        <v>-0.68507162006696087</v>
      </c>
      <c r="AT26" s="7">
        <f t="shared" si="13"/>
        <v>1.0864297779264713</v>
      </c>
      <c r="AU26" s="12">
        <f t="shared" si="14"/>
        <v>-0.36019532449335007</v>
      </c>
      <c r="AV26" s="337">
        <f t="shared" si="55"/>
        <v>1.1816579417154222E-2</v>
      </c>
      <c r="AW26" s="320"/>
      <c r="AX26" s="11">
        <f t="shared" si="16"/>
        <v>-0.68502758970089328</v>
      </c>
      <c r="AY26" s="7">
        <f t="shared" si="17"/>
        <v>1.0864575409720882</v>
      </c>
      <c r="AZ26" s="12">
        <f t="shared" si="42"/>
        <v>-0.36019532449335007</v>
      </c>
      <c r="BA26" s="392">
        <f t="shared" si="43"/>
        <v>-0.81921632912855025</v>
      </c>
      <c r="BB26" s="372">
        <f t="shared" si="44"/>
        <v>-0.48761228486715141</v>
      </c>
      <c r="BC26" s="13">
        <f t="shared" si="45"/>
        <v>0.30185835485004997</v>
      </c>
      <c r="BD26" s="328">
        <f t="shared" si="46"/>
        <v>-9.8256890008561193E-3</v>
      </c>
      <c r="BE26" s="7">
        <f t="shared" si="47"/>
        <v>5.789022789789211E-3</v>
      </c>
      <c r="BF26" s="10">
        <f t="shared" si="48"/>
        <v>3.0046755066501785E-3</v>
      </c>
      <c r="BG26" s="392">
        <f t="shared" si="49"/>
        <v>1.1793431396438752E-2</v>
      </c>
      <c r="BH26" s="6">
        <f t="shared" si="18"/>
        <v>-0.68502548250467243</v>
      </c>
      <c r="BI26" s="7">
        <f t="shared" si="19"/>
        <v>1.0864516703281928</v>
      </c>
      <c r="BJ26" s="12">
        <f t="shared" si="20"/>
        <v>-0.36019532449335007</v>
      </c>
      <c r="BK26" s="11">
        <f t="shared" si="50"/>
        <v>-0.81921632912855025</v>
      </c>
      <c r="BL26" s="7">
        <f t="shared" si="21"/>
        <v>-0.48761228486715141</v>
      </c>
      <c r="BM26" s="8">
        <f t="shared" si="22"/>
        <v>0.30185835485004997</v>
      </c>
      <c r="BN26" s="376">
        <f t="shared" si="56"/>
        <v>1.1788794811819412E-2</v>
      </c>
      <c r="BO26" s="327"/>
    </row>
    <row r="27" spans="2:67" x14ac:dyDescent="0.25">
      <c r="B27" s="408">
        <v>-1.0583449352481085</v>
      </c>
      <c r="C27" s="335">
        <v>1.715977124355154</v>
      </c>
      <c r="D27" s="336">
        <v>-0.17370000000000005</v>
      </c>
      <c r="E27" s="334">
        <v>-1.063824992423877</v>
      </c>
      <c r="F27" s="335">
        <v>1.7171132645035705</v>
      </c>
      <c r="G27" s="380">
        <v>-0.17545045909525533</v>
      </c>
      <c r="H27" s="384">
        <v>-0.79983353157066228</v>
      </c>
      <c r="I27" s="368">
        <v>-0.49636815962736652</v>
      </c>
      <c r="J27" s="385">
        <v>0.33746948955919503</v>
      </c>
      <c r="K27" s="6">
        <f t="shared" si="24"/>
        <v>-5.4800571757684935E-3</v>
      </c>
      <c r="L27" s="7">
        <f t="shared" si="25"/>
        <v>1.1361401484164535E-3</v>
      </c>
      <c r="M27" s="10">
        <f t="shared" si="26"/>
        <v>-1.7504590952552856E-3</v>
      </c>
      <c r="N27" s="392">
        <f t="shared" si="27"/>
        <v>5.863953285173534E-3</v>
      </c>
      <c r="O27" s="6">
        <f t="shared" si="0"/>
        <v>-1.0638271006756435</v>
      </c>
      <c r="P27" s="7">
        <f t="shared" si="1"/>
        <v>1.7171191373395354</v>
      </c>
      <c r="Q27" s="10">
        <f t="shared" si="2"/>
        <v>-0.18087854689962185</v>
      </c>
      <c r="R27" s="376">
        <f t="shared" si="53"/>
        <v>9.1043872403048197E-3</v>
      </c>
      <c r="S27" s="320"/>
      <c r="T27" s="11">
        <f t="shared" si="28"/>
        <v>-1.0638271006756435</v>
      </c>
      <c r="U27" s="7">
        <f t="shared" si="4"/>
        <v>1.7171191381301631</v>
      </c>
      <c r="V27" s="12">
        <f t="shared" si="5"/>
        <v>-0.18087853939402096</v>
      </c>
      <c r="W27" s="392">
        <f t="shared" si="51"/>
        <v>-0.79983353157066228</v>
      </c>
      <c r="X27" s="372">
        <f t="shared" si="52"/>
        <v>-0.49636816110246001</v>
      </c>
      <c r="Y27" s="13">
        <f t="shared" si="29"/>
        <v>0.33746948738954868</v>
      </c>
      <c r="Z27" s="328">
        <f t="shared" si="30"/>
        <v>-5.4821654275349907E-3</v>
      </c>
      <c r="AA27" s="7">
        <f t="shared" si="31"/>
        <v>1.1420137750091097E-3</v>
      </c>
      <c r="AB27" s="10">
        <f t="shared" si="32"/>
        <v>-7.1785393940209108E-3</v>
      </c>
      <c r="AC27" s="392">
        <f t="shared" si="33"/>
        <v>9.1043814215288985E-3</v>
      </c>
      <c r="AD27" s="6">
        <f t="shared" si="34"/>
        <v>-1.0638271006756435</v>
      </c>
      <c r="AE27" s="7">
        <f t="shared" si="6"/>
        <v>1.7171191364318281</v>
      </c>
      <c r="AF27" s="12">
        <f t="shared" si="7"/>
        <v>-0.18087853916673666</v>
      </c>
      <c r="AG27" s="337">
        <f t="shared" si="54"/>
        <v>9.1043810292902871E-3</v>
      </c>
      <c r="AH27" s="320"/>
      <c r="AI27" s="11">
        <f t="shared" si="9"/>
        <v>-1.0638271025258563</v>
      </c>
      <c r="AJ27" s="7">
        <f t="shared" si="35"/>
        <v>1.7171191364318281</v>
      </c>
      <c r="AK27" s="12">
        <f t="shared" si="10"/>
        <v>-0.18087852828481199</v>
      </c>
      <c r="AL27" s="392">
        <f t="shared" si="36"/>
        <v>-0.79983352811867503</v>
      </c>
      <c r="AM27" s="372">
        <f t="shared" si="37"/>
        <v>-0.49636816110246001</v>
      </c>
      <c r="AN27" s="13">
        <f t="shared" si="11"/>
        <v>0.33746949557107386</v>
      </c>
      <c r="AO27" s="328">
        <f t="shared" si="38"/>
        <v>-5.4821672777478625E-3</v>
      </c>
      <c r="AP27" s="7">
        <f t="shared" si="39"/>
        <v>1.1420120766740816E-3</v>
      </c>
      <c r="AQ27" s="10">
        <f t="shared" si="40"/>
        <v>-7.1785282848119414E-3</v>
      </c>
      <c r="AR27" s="392">
        <f t="shared" si="41"/>
        <v>9.1043735633114225E-3</v>
      </c>
      <c r="AS27" s="6">
        <f t="shared" si="12"/>
        <v>-1.0638270985514435</v>
      </c>
      <c r="AT27" s="7">
        <f t="shared" si="13"/>
        <v>1.7171191364318281</v>
      </c>
      <c r="AU27" s="12">
        <f t="shared" si="14"/>
        <v>-0.18087852976655253</v>
      </c>
      <c r="AV27" s="337">
        <f t="shared" si="55"/>
        <v>9.1043723384417342E-3</v>
      </c>
      <c r="AW27" s="320"/>
      <c r="AX27" s="11">
        <f t="shared" si="16"/>
        <v>-1.0637575078896289</v>
      </c>
      <c r="AY27" s="7">
        <f t="shared" si="17"/>
        <v>1.71716224880505</v>
      </c>
      <c r="AZ27" s="12">
        <f t="shared" si="42"/>
        <v>-0.18087852976655253</v>
      </c>
      <c r="BA27" s="392">
        <f t="shared" si="43"/>
        <v>-0.79985364380347712</v>
      </c>
      <c r="BB27" s="372">
        <f t="shared" si="44"/>
        <v>-0.4963357457944223</v>
      </c>
      <c r="BC27" s="13">
        <f t="shared" si="45"/>
        <v>0.33746949557107386</v>
      </c>
      <c r="BD27" s="328">
        <f t="shared" si="46"/>
        <v>-5.4125726415203967E-3</v>
      </c>
      <c r="BE27" s="7">
        <f t="shared" si="47"/>
        <v>1.1851244498959357E-3</v>
      </c>
      <c r="BF27" s="10">
        <f t="shared" si="48"/>
        <v>-7.1785297665524772E-3</v>
      </c>
      <c r="BG27" s="392">
        <f t="shared" si="49"/>
        <v>9.0681724824110063E-3</v>
      </c>
      <c r="BH27" s="6">
        <f t="shared" si="18"/>
        <v>-1.063755400693408</v>
      </c>
      <c r="BI27" s="7">
        <f t="shared" si="19"/>
        <v>1.7171563781611545</v>
      </c>
      <c r="BJ27" s="12">
        <f t="shared" si="20"/>
        <v>-0.18087852976655253</v>
      </c>
      <c r="BK27" s="11">
        <f t="shared" si="50"/>
        <v>-0.79985364380347712</v>
      </c>
      <c r="BL27" s="7">
        <f t="shared" si="21"/>
        <v>-0.4963357457944223</v>
      </c>
      <c r="BM27" s="8">
        <f t="shared" si="22"/>
        <v>0.33746949557107386</v>
      </c>
      <c r="BN27" s="376">
        <f>SQRT((BH27-$B27)^2+(BI27-$C27)^2+(BJ27-$D27)^2)</f>
        <v>9.0661494297759639E-3</v>
      </c>
      <c r="BO27" s="327"/>
    </row>
    <row r="28" spans="2:67" x14ac:dyDescent="0.25">
      <c r="B28" s="408">
        <v>-1.435384117843874</v>
      </c>
      <c r="C28" s="335">
        <v>2.3671117531282793</v>
      </c>
      <c r="D28" s="336">
        <v>-7.2999999999999982E-2</v>
      </c>
      <c r="E28" s="334">
        <v>-1.4353069337916253</v>
      </c>
      <c r="F28" s="335">
        <v>2.3792042361406001</v>
      </c>
      <c r="G28" s="380">
        <v>-6.6339866560055194E-2</v>
      </c>
      <c r="H28" s="384">
        <v>-0.82309567631134617</v>
      </c>
      <c r="I28" s="368">
        <v>-0.45469610911623587</v>
      </c>
      <c r="J28" s="385">
        <v>0.34024189109238689</v>
      </c>
      <c r="K28" s="6">
        <f t="shared" si="24"/>
        <v>7.7184052248657764E-5</v>
      </c>
      <c r="L28" s="7">
        <f t="shared" si="25"/>
        <v>1.2092483012320798E-2</v>
      </c>
      <c r="M28" s="10">
        <f t="shared" si="26"/>
        <v>6.6601334399447876E-3</v>
      </c>
      <c r="N28" s="392">
        <f t="shared" si="27"/>
        <v>1.3805487322766241E-2</v>
      </c>
      <c r="O28" s="6">
        <f t="shared" si="0"/>
        <v>-1.4353090420433918</v>
      </c>
      <c r="P28" s="7">
        <f t="shared" si="1"/>
        <v>2.3792101089765647</v>
      </c>
      <c r="Q28" s="10">
        <f t="shared" si="2"/>
        <v>-7.1767954364421696E-2</v>
      </c>
      <c r="R28" s="376">
        <f t="shared" si="53"/>
        <v>1.2161158951995824E-2</v>
      </c>
      <c r="S28" s="320"/>
      <c r="T28" s="11">
        <f t="shared" si="28"/>
        <v>-1.4353090420433918</v>
      </c>
      <c r="U28" s="7">
        <f t="shared" si="4"/>
        <v>2.3792101092902653</v>
      </c>
      <c r="V28" s="12">
        <f t="shared" si="5"/>
        <v>-7.1767943964792968E-2</v>
      </c>
      <c r="W28" s="392">
        <f t="shared" si="51"/>
        <v>-0.82309567631134617</v>
      </c>
      <c r="X28" s="372">
        <f t="shared" si="52"/>
        <v>-0.45469611060344767</v>
      </c>
      <c r="Y28" s="13">
        <f t="shared" si="29"/>
        <v>0.34024188910489084</v>
      </c>
      <c r="Z28" s="328">
        <f t="shared" si="30"/>
        <v>7.507580048216056E-5</v>
      </c>
      <c r="AA28" s="7">
        <f t="shared" si="31"/>
        <v>1.2098356161986068E-2</v>
      </c>
      <c r="AB28" s="10">
        <f t="shared" si="32"/>
        <v>1.2320560352070131E-3</v>
      </c>
      <c r="AC28" s="392">
        <f t="shared" si="33"/>
        <v>1.2161160317666004E-2</v>
      </c>
      <c r="AD28" s="6">
        <f t="shared" si="34"/>
        <v>-1.4353090420433918</v>
      </c>
      <c r="AE28" s="7">
        <f t="shared" si="6"/>
        <v>2.3792101075919305</v>
      </c>
      <c r="AF28" s="12">
        <f t="shared" si="7"/>
        <v>-7.1767943737508666E-2</v>
      </c>
      <c r="AG28" s="337">
        <f t="shared" si="54"/>
        <v>1.2161158651128292E-2</v>
      </c>
      <c r="AH28" s="320"/>
      <c r="AI28" s="11">
        <f t="shared" si="9"/>
        <v>-1.4353090427775086</v>
      </c>
      <c r="AJ28" s="7">
        <f t="shared" si="35"/>
        <v>2.3792101075919305</v>
      </c>
      <c r="AK28" s="12">
        <f t="shared" si="10"/>
        <v>-7.1767929055682217E-2</v>
      </c>
      <c r="AL28" s="392">
        <f t="shared" si="36"/>
        <v>-0.82309567283099994</v>
      </c>
      <c r="AM28" s="372">
        <f t="shared" si="37"/>
        <v>-0.45469611060344767</v>
      </c>
      <c r="AN28" s="13">
        <f t="shared" si="11"/>
        <v>0.34024189752436534</v>
      </c>
      <c r="AO28" s="328">
        <f t="shared" si="38"/>
        <v>7.5075066365393184E-5</v>
      </c>
      <c r="AP28" s="7">
        <f t="shared" si="39"/>
        <v>1.2098354463651262E-2</v>
      </c>
      <c r="AQ28" s="10">
        <f t="shared" si="40"/>
        <v>1.2320709443177646E-3</v>
      </c>
      <c r="AR28" s="392">
        <f t="shared" si="41"/>
        <v>1.2161160134032125E-2</v>
      </c>
      <c r="AS28" s="6">
        <f t="shared" si="12"/>
        <v>-1.4353090388030958</v>
      </c>
      <c r="AT28" s="7">
        <f t="shared" si="13"/>
        <v>2.3792101075919305</v>
      </c>
      <c r="AU28" s="12">
        <f t="shared" si="14"/>
        <v>-7.1767930537422739E-2</v>
      </c>
      <c r="AV28" s="337">
        <f t="shared" si="55"/>
        <v>1.216116000845026E-2</v>
      </c>
      <c r="AW28" s="320"/>
      <c r="AX28" s="11">
        <f t="shared" si="16"/>
        <v>-1.435212615236505</v>
      </c>
      <c r="AY28" s="7">
        <f t="shared" si="17"/>
        <v>2.3792682744918578</v>
      </c>
      <c r="AZ28" s="12">
        <f t="shared" si="42"/>
        <v>-7.1767930537422739E-2</v>
      </c>
      <c r="BA28" s="392">
        <f t="shared" si="43"/>
        <v>-0.82311409965105853</v>
      </c>
      <c r="BB28" s="372">
        <f t="shared" si="44"/>
        <v>-0.45466275258332578</v>
      </c>
      <c r="BC28" s="13">
        <f t="shared" si="45"/>
        <v>0.34024189752436534</v>
      </c>
      <c r="BD28" s="328">
        <f t="shared" si="46"/>
        <v>1.7150260736897849E-4</v>
      </c>
      <c r="BE28" s="7">
        <f t="shared" si="47"/>
        <v>1.2156521363578587E-2</v>
      </c>
      <c r="BF28" s="10">
        <f t="shared" si="48"/>
        <v>1.2320694625772427E-3</v>
      </c>
      <c r="BG28" s="392">
        <f t="shared" si="49"/>
        <v>1.2220000817025027E-2</v>
      </c>
      <c r="BH28" s="6">
        <f t="shared" si="18"/>
        <v>-1.4352105080402842</v>
      </c>
      <c r="BI28" s="7">
        <f t="shared" si="19"/>
        <v>2.3792624038479624</v>
      </c>
      <c r="BJ28" s="12">
        <f t="shared" si="20"/>
        <v>-7.1767930537422739E-2</v>
      </c>
      <c r="BK28" s="11">
        <f t="shared" si="50"/>
        <v>-0.82311409965105853</v>
      </c>
      <c r="BL28" s="7">
        <f t="shared" si="21"/>
        <v>-0.45466275258332578</v>
      </c>
      <c r="BM28" s="8">
        <f t="shared" si="22"/>
        <v>0.34024189752436534</v>
      </c>
      <c r="BN28" s="376">
        <f t="shared" si="56"/>
        <v>1.2214190453577104E-2</v>
      </c>
      <c r="BO28" s="327"/>
    </row>
    <row r="29" spans="2:67" x14ac:dyDescent="0.25">
      <c r="B29" s="408">
        <v>-1.6965199707583869</v>
      </c>
      <c r="C29" s="335">
        <v>3.0315082885817772</v>
      </c>
      <c r="D29" s="336">
        <v>-0.35120000000000012</v>
      </c>
      <c r="E29" s="334">
        <v>-1.6962676058592183</v>
      </c>
      <c r="F29" s="335">
        <v>3.039237850825296</v>
      </c>
      <c r="G29" s="380">
        <v>-0.34623050367799252</v>
      </c>
      <c r="H29" s="384">
        <v>-0.88992873206193401</v>
      </c>
      <c r="I29" s="368">
        <v>-0.30580950223620557</v>
      </c>
      <c r="J29" s="385">
        <v>0.33838879131360539</v>
      </c>
      <c r="K29" s="6">
        <f t="shared" si="24"/>
        <v>2.5236489916857785E-4</v>
      </c>
      <c r="L29" s="7">
        <f t="shared" si="25"/>
        <v>7.7295622435187283E-3</v>
      </c>
      <c r="M29" s="10">
        <f t="shared" si="26"/>
        <v>4.9694963220076049E-3</v>
      </c>
      <c r="N29" s="392">
        <f t="shared" si="27"/>
        <v>9.1926989623945451E-3</v>
      </c>
      <c r="O29" s="6">
        <f t="shared" si="0"/>
        <v>-1.6962697141109848</v>
      </c>
      <c r="P29" s="7">
        <f t="shared" si="1"/>
        <v>3.0392437236612606</v>
      </c>
      <c r="Q29" s="10">
        <f t="shared" si="2"/>
        <v>-0.35165859148235901</v>
      </c>
      <c r="R29" s="376">
        <f t="shared" si="53"/>
        <v>7.7530568427016614E-3</v>
      </c>
      <c r="S29" s="320"/>
      <c r="T29" s="11">
        <f t="shared" si="28"/>
        <v>-1.6962697141109848</v>
      </c>
      <c r="U29" s="7">
        <f t="shared" si="4"/>
        <v>3.0392437251983755</v>
      </c>
      <c r="V29" s="12">
        <f t="shared" si="5"/>
        <v>-0.35165857819769525</v>
      </c>
      <c r="W29" s="392">
        <f t="shared" si="51"/>
        <v>-0.88992873206193401</v>
      </c>
      <c r="X29" s="372">
        <f t="shared" si="52"/>
        <v>-0.3058095037153174</v>
      </c>
      <c r="Y29" s="13">
        <f t="shared" si="29"/>
        <v>0.33838878997689903</v>
      </c>
      <c r="Z29" s="328">
        <f t="shared" si="30"/>
        <v>2.5025664740208065E-4</v>
      </c>
      <c r="AA29" s="7">
        <f t="shared" si="31"/>
        <v>7.7354366165982569E-3</v>
      </c>
      <c r="AB29" s="10">
        <f t="shared" si="32"/>
        <v>-4.5857819769512531E-4</v>
      </c>
      <c r="AC29" s="392">
        <f t="shared" si="33"/>
        <v>7.7530575905496359E-3</v>
      </c>
      <c r="AD29" s="6">
        <f t="shared" si="34"/>
        <v>-1.6962697141109848</v>
      </c>
      <c r="AE29" s="7">
        <f t="shared" si="6"/>
        <v>3.0392437235000407</v>
      </c>
      <c r="AF29" s="12">
        <f t="shared" si="7"/>
        <v>-0.35165857797041095</v>
      </c>
      <c r="AG29" s="337">
        <f t="shared" si="54"/>
        <v>7.7530558826313456E-3</v>
      </c>
      <c r="AH29" s="320"/>
      <c r="AI29" s="11">
        <f t="shared" si="9"/>
        <v>-1.6962697177081127</v>
      </c>
      <c r="AJ29" s="7">
        <f t="shared" si="35"/>
        <v>3.0392437235000407</v>
      </c>
      <c r="AK29" s="12">
        <f t="shared" si="10"/>
        <v>-0.35165856061920864</v>
      </c>
      <c r="AL29" s="392">
        <f t="shared" si="36"/>
        <v>-0.88992872860054328</v>
      </c>
      <c r="AM29" s="372">
        <f t="shared" si="37"/>
        <v>-0.3058095037153174</v>
      </c>
      <c r="AN29" s="13">
        <f t="shared" si="11"/>
        <v>0.33838879908001118</v>
      </c>
      <c r="AO29" s="328">
        <f t="shared" si="38"/>
        <v>2.5025305027415179E-4</v>
      </c>
      <c r="AP29" s="7">
        <f t="shared" si="39"/>
        <v>7.7354349182634508E-3</v>
      </c>
      <c r="AQ29" s="10">
        <f t="shared" si="40"/>
        <v>-4.5856061920851454E-4</v>
      </c>
      <c r="AR29" s="392">
        <f t="shared" si="41"/>
        <v>7.7530547402523799E-3</v>
      </c>
      <c r="AS29" s="6">
        <f t="shared" si="12"/>
        <v>-1.6962697137336999</v>
      </c>
      <c r="AT29" s="7">
        <f t="shared" si="13"/>
        <v>3.0392437235000407</v>
      </c>
      <c r="AU29" s="12">
        <f t="shared" si="14"/>
        <v>-0.35165856210094915</v>
      </c>
      <c r="AV29" s="337">
        <f t="shared" si="55"/>
        <v>7.7530549561783341E-3</v>
      </c>
      <c r="AW29" s="320"/>
      <c r="AX29" s="11">
        <f t="shared" si="16"/>
        <v>-1.6961465407316532</v>
      </c>
      <c r="AY29" s="7">
        <f t="shared" si="17"/>
        <v>3.0393124658265473</v>
      </c>
      <c r="AZ29" s="12">
        <f t="shared" si="42"/>
        <v>-0.35165856210094915</v>
      </c>
      <c r="BA29" s="392">
        <f t="shared" si="43"/>
        <v>-0.88994112142944803</v>
      </c>
      <c r="BB29" s="372">
        <f t="shared" si="44"/>
        <v>-0.30577343727028466</v>
      </c>
      <c r="BC29" s="13">
        <f t="shared" si="45"/>
        <v>0.33838879908001118</v>
      </c>
      <c r="BD29" s="328">
        <f t="shared" si="46"/>
        <v>3.7343002673373427E-4</v>
      </c>
      <c r="BE29" s="7">
        <f t="shared" si="47"/>
        <v>7.8041772447701163E-3</v>
      </c>
      <c r="BF29" s="10">
        <f t="shared" si="48"/>
        <v>-4.5856210094902261E-4</v>
      </c>
      <c r="BG29" s="392">
        <f t="shared" si="49"/>
        <v>7.8265517089635851E-3</v>
      </c>
      <c r="BH29" s="6">
        <f t="shared" si="18"/>
        <v>-1.6961444335354323</v>
      </c>
      <c r="BI29" s="7">
        <f t="shared" si="19"/>
        <v>3.0393065951826519</v>
      </c>
      <c r="BJ29" s="12">
        <f t="shared" si="20"/>
        <v>-0.35165856210094915</v>
      </c>
      <c r="BK29" s="11">
        <f t="shared" si="50"/>
        <v>-0.88994112142944803</v>
      </c>
      <c r="BL29" s="7">
        <f t="shared" si="21"/>
        <v>-0.30577343727028466</v>
      </c>
      <c r="BM29" s="8">
        <f t="shared" si="22"/>
        <v>0.33838879908001118</v>
      </c>
      <c r="BN29" s="376">
        <f t="shared" si="56"/>
        <v>7.820798760196845E-3</v>
      </c>
      <c r="BO29" s="327"/>
    </row>
    <row r="30" spans="2:67" x14ac:dyDescent="0.25">
      <c r="B30" s="408">
        <v>-1.8083036277949525</v>
      </c>
      <c r="C30" s="335">
        <v>3.5168033679093251</v>
      </c>
      <c r="D30" s="336">
        <v>-0.93950000000000056</v>
      </c>
      <c r="E30" s="334">
        <v>-1.8088472921769128</v>
      </c>
      <c r="F30" s="335">
        <v>3.5243962134094668</v>
      </c>
      <c r="G30" s="380">
        <v>-0.93734803945937695</v>
      </c>
      <c r="H30" s="384">
        <v>-0.95478373589565391</v>
      </c>
      <c r="I30" s="368">
        <v>-0.14294091711415433</v>
      </c>
      <c r="J30" s="385">
        <v>0.26068395612254835</v>
      </c>
      <c r="K30" s="6">
        <f t="shared" si="24"/>
        <v>-5.4366438196029598E-4</v>
      </c>
      <c r="L30" s="7">
        <f t="shared" si="25"/>
        <v>7.5928455001417205E-3</v>
      </c>
      <c r="M30" s="10">
        <f t="shared" si="26"/>
        <v>2.1519605406236098E-3</v>
      </c>
      <c r="N30" s="392">
        <f t="shared" si="27"/>
        <v>7.9106136245954833E-3</v>
      </c>
      <c r="O30" s="6">
        <f t="shared" si="0"/>
        <v>-1.8088494004286793</v>
      </c>
      <c r="P30" s="7">
        <f t="shared" si="1"/>
        <v>3.5244020862454315</v>
      </c>
      <c r="Q30" s="10">
        <f t="shared" si="2"/>
        <v>-0.94277612726374349</v>
      </c>
      <c r="R30" s="376">
        <f t="shared" si="53"/>
        <v>8.2928522214883327E-3</v>
      </c>
      <c r="S30" s="320"/>
      <c r="T30" s="11">
        <f t="shared" si="28"/>
        <v>-1.8088494004286793</v>
      </c>
      <c r="U30" s="7">
        <f t="shared" si="4"/>
        <v>3.5244020903663462</v>
      </c>
      <c r="V30" s="12">
        <f t="shared" si="5"/>
        <v>-0.9427761118584318</v>
      </c>
      <c r="W30" s="392">
        <f t="shared" si="51"/>
        <v>-0.95478373589565391</v>
      </c>
      <c r="X30" s="372">
        <f t="shared" si="52"/>
        <v>-0.14294091825361499</v>
      </c>
      <c r="Y30" s="13">
        <f t="shared" si="29"/>
        <v>0.26068395549774753</v>
      </c>
      <c r="Z30" s="328">
        <f t="shared" si="30"/>
        <v>-5.4577263372679319E-4</v>
      </c>
      <c r="AA30" s="7">
        <f t="shared" si="31"/>
        <v>7.5987224570210898E-3</v>
      </c>
      <c r="AB30" s="10">
        <f t="shared" si="32"/>
        <v>-3.276111858431241E-3</v>
      </c>
      <c r="AC30" s="392">
        <f t="shared" si="33"/>
        <v>8.2928499115512457E-3</v>
      </c>
      <c r="AD30" s="6">
        <f t="shared" si="34"/>
        <v>-1.8088494004286793</v>
      </c>
      <c r="AE30" s="7">
        <f t="shared" si="6"/>
        <v>3.5244020886680114</v>
      </c>
      <c r="AF30" s="12">
        <f t="shared" si="7"/>
        <v>-0.9427761116311475</v>
      </c>
      <c r="AG30" s="337">
        <f t="shared" si="54"/>
        <v>8.2928482655810834E-3</v>
      </c>
      <c r="AH30" s="320"/>
      <c r="AI30" s="11">
        <f t="shared" si="9"/>
        <v>-1.8088494100723691</v>
      </c>
      <c r="AJ30" s="7">
        <f t="shared" si="35"/>
        <v>3.5244020886680114</v>
      </c>
      <c r="AK30" s="12">
        <f t="shared" si="10"/>
        <v>-0.94277609312836363</v>
      </c>
      <c r="AL30" s="392">
        <f t="shared" si="36"/>
        <v>-0.95478373322910859</v>
      </c>
      <c r="AM30" s="372">
        <f t="shared" si="37"/>
        <v>-0.14294091825361499</v>
      </c>
      <c r="AN30" s="13">
        <f t="shared" si="11"/>
        <v>0.2606839652642638</v>
      </c>
      <c r="AO30" s="328">
        <f t="shared" si="38"/>
        <v>-5.4578227741663987E-4</v>
      </c>
      <c r="AP30" s="7">
        <f t="shared" si="39"/>
        <v>7.5987207586862837E-3</v>
      </c>
      <c r="AQ30" s="10">
        <f t="shared" si="40"/>
        <v>-3.2760931283630779E-3</v>
      </c>
      <c r="AR30" s="392">
        <f t="shared" si="41"/>
        <v>8.2928415907057903E-3</v>
      </c>
      <c r="AS30" s="6">
        <f t="shared" si="12"/>
        <v>-1.8088494060979563</v>
      </c>
      <c r="AT30" s="7">
        <f t="shared" si="13"/>
        <v>3.5244020886680114</v>
      </c>
      <c r="AU30" s="12">
        <f t="shared" si="14"/>
        <v>-0.94277609461010414</v>
      </c>
      <c r="AV30" s="337">
        <f t="shared" si="55"/>
        <v>8.2928419144988746E-3</v>
      </c>
      <c r="AW30" s="320"/>
      <c r="AX30" s="11">
        <f t="shared" si="16"/>
        <v>-1.8087065709618728</v>
      </c>
      <c r="AY30" s="7">
        <f t="shared" si="17"/>
        <v>3.5244753931199058</v>
      </c>
      <c r="AZ30" s="12">
        <f t="shared" si="42"/>
        <v>-0.94277609461010414</v>
      </c>
      <c r="BA30" s="392">
        <f t="shared" si="43"/>
        <v>-0.95478952542001627</v>
      </c>
      <c r="BB30" s="372">
        <f t="shared" si="44"/>
        <v>-0.14290222355974849</v>
      </c>
      <c r="BC30" s="13">
        <f t="shared" si="45"/>
        <v>0.2606839652642638</v>
      </c>
      <c r="BD30" s="328">
        <f t="shared" si="46"/>
        <v>-4.0294316692035537E-4</v>
      </c>
      <c r="BE30" s="7">
        <f t="shared" si="47"/>
        <v>7.6720252105806352E-3</v>
      </c>
      <c r="BF30" s="10">
        <f t="shared" si="48"/>
        <v>-3.2760946101035859E-3</v>
      </c>
      <c r="BG30" s="392">
        <f t="shared" si="49"/>
        <v>8.3519536589891606E-3</v>
      </c>
      <c r="BH30" s="6">
        <f t="shared" si="18"/>
        <v>-1.808704463765652</v>
      </c>
      <c r="BI30" s="7">
        <f t="shared" si="19"/>
        <v>3.5244695224760103</v>
      </c>
      <c r="BJ30" s="12">
        <f t="shared" si="20"/>
        <v>-0.94277609461010414</v>
      </c>
      <c r="BK30" s="11">
        <f t="shared" si="50"/>
        <v>-0.95478952542001627</v>
      </c>
      <c r="BL30" s="7">
        <f t="shared" si="21"/>
        <v>-0.14290222355974849</v>
      </c>
      <c r="BM30" s="8">
        <f t="shared" si="22"/>
        <v>0.2606839652642638</v>
      </c>
      <c r="BN30" s="376">
        <f t="shared" si="56"/>
        <v>8.3464598010212932E-3</v>
      </c>
      <c r="BO30" s="327"/>
    </row>
    <row r="31" spans="2:67" x14ac:dyDescent="0.25">
      <c r="B31" s="408">
        <v>1.2442185531768517</v>
      </c>
      <c r="C31" s="335">
        <v>1.887210017763771</v>
      </c>
      <c r="D31" s="336">
        <v>-0.12000000000000036</v>
      </c>
      <c r="E31" s="334">
        <v>1.2401142933573925</v>
      </c>
      <c r="F31" s="335">
        <v>1.8990550358309883</v>
      </c>
      <c r="G31" s="380">
        <v>-0.11339378163073302</v>
      </c>
      <c r="H31" s="384">
        <v>-0.78906385236411647</v>
      </c>
      <c r="I31" s="368">
        <v>0.51860749390011995</v>
      </c>
      <c r="J31" s="385">
        <v>0.32927909773463726</v>
      </c>
      <c r="K31" s="6">
        <f t="shared" si="24"/>
        <v>-4.1042598194591662E-3</v>
      </c>
      <c r="L31" s="7">
        <f t="shared" si="25"/>
        <v>1.1845018067217383E-2</v>
      </c>
      <c r="M31" s="10">
        <f t="shared" si="26"/>
        <v>6.606218369267336E-3</v>
      </c>
      <c r="N31" s="392">
        <f t="shared" si="27"/>
        <v>1.4170092548066804E-2</v>
      </c>
      <c r="O31" s="6">
        <f t="shared" si="0"/>
        <v>1.240112185105626</v>
      </c>
      <c r="P31" s="7">
        <f t="shared" si="1"/>
        <v>1.8990609086669532</v>
      </c>
      <c r="Q31" s="10">
        <f t="shared" si="2"/>
        <v>-0.11882186943509952</v>
      </c>
      <c r="R31" s="376">
        <f t="shared" si="53"/>
        <v>1.2597375344231951E-2</v>
      </c>
      <c r="S31" s="320"/>
      <c r="T31" s="11">
        <f t="shared" si="28"/>
        <v>1.240112185105626</v>
      </c>
      <c r="U31" s="7">
        <f t="shared" si="4"/>
        <v>1.8990609091863286</v>
      </c>
      <c r="V31" s="12">
        <f t="shared" si="5"/>
        <v>-0.1188218611342234</v>
      </c>
      <c r="W31" s="392">
        <f t="shared" si="51"/>
        <v>-0.78906385236411647</v>
      </c>
      <c r="X31" s="372">
        <f t="shared" si="52"/>
        <v>0.51860749246082705</v>
      </c>
      <c r="Y31" s="13">
        <f t="shared" si="29"/>
        <v>0.32927910000149269</v>
      </c>
      <c r="Z31" s="328">
        <f t="shared" si="30"/>
        <v>-4.1063680712256634E-3</v>
      </c>
      <c r="AA31" s="7">
        <f t="shared" si="31"/>
        <v>1.1850891422557686E-2</v>
      </c>
      <c r="AB31" s="10">
        <f t="shared" si="32"/>
        <v>1.1781388657769593E-3</v>
      </c>
      <c r="AC31" s="392">
        <f t="shared" si="33"/>
        <v>1.2597376609147126E-2</v>
      </c>
      <c r="AD31" s="6">
        <f t="shared" si="34"/>
        <v>1.240112185105626</v>
      </c>
      <c r="AE31" s="7">
        <f t="shared" si="6"/>
        <v>1.8990609074879936</v>
      </c>
      <c r="AF31" s="12">
        <f t="shared" si="7"/>
        <v>-0.11882186090693909</v>
      </c>
      <c r="AG31" s="337">
        <f t="shared" si="54"/>
        <v>1.2597375032706892E-2</v>
      </c>
      <c r="AH31" s="320"/>
      <c r="AI31" s="11">
        <f t="shared" si="9"/>
        <v>1.2401121838901932</v>
      </c>
      <c r="AJ31" s="7">
        <f t="shared" si="35"/>
        <v>1.8990609074879936</v>
      </c>
      <c r="AK31" s="12">
        <f t="shared" si="10"/>
        <v>-0.11882187359209007</v>
      </c>
      <c r="AL31" s="392">
        <f t="shared" si="36"/>
        <v>-0.78906384899590898</v>
      </c>
      <c r="AM31" s="372">
        <f t="shared" si="37"/>
        <v>0.51860749246082705</v>
      </c>
      <c r="AN31" s="13">
        <f t="shared" si="11"/>
        <v>0.32927910807285449</v>
      </c>
      <c r="AO31" s="328">
        <f t="shared" si="38"/>
        <v>-4.1063692866585288E-3</v>
      </c>
      <c r="AP31" s="7">
        <f t="shared" si="39"/>
        <v>1.1850889724222657E-2</v>
      </c>
      <c r="AQ31" s="10">
        <f t="shared" si="40"/>
        <v>1.1781264079102904E-3</v>
      </c>
      <c r="AR31" s="392">
        <f t="shared" si="41"/>
        <v>1.2597374242560003E-2</v>
      </c>
      <c r="AS31" s="6">
        <f t="shared" si="12"/>
        <v>1.240112187864606</v>
      </c>
      <c r="AT31" s="7">
        <f t="shared" si="13"/>
        <v>1.8990609074879936</v>
      </c>
      <c r="AU31" s="12">
        <f t="shared" si="14"/>
        <v>-0.11882187507383059</v>
      </c>
      <c r="AV31" s="337">
        <f t="shared" si="55"/>
        <v>1.2597372808445563E-2</v>
      </c>
      <c r="AW31" s="320"/>
      <c r="AX31" s="11">
        <f t="shared" si="16"/>
        <v>1.2401891501992273</v>
      </c>
      <c r="AY31" s="7">
        <f t="shared" si="17"/>
        <v>1.899010647828911</v>
      </c>
      <c r="AZ31" s="12">
        <f t="shared" si="42"/>
        <v>-0.11882187507383059</v>
      </c>
      <c r="BA31" s="392">
        <f t="shared" si="43"/>
        <v>-0.78904283071158143</v>
      </c>
      <c r="BB31" s="372">
        <f t="shared" si="44"/>
        <v>0.51863947047192638</v>
      </c>
      <c r="BC31" s="13">
        <f t="shared" si="45"/>
        <v>0.32927910807285449</v>
      </c>
      <c r="BD31" s="328">
        <f t="shared" si="46"/>
        <v>-4.0294029776244411E-3</v>
      </c>
      <c r="BE31" s="7">
        <f t="shared" si="47"/>
        <v>1.1800630065140094E-2</v>
      </c>
      <c r="BF31" s="10">
        <f t="shared" si="48"/>
        <v>1.1781249261697685E-3</v>
      </c>
      <c r="BG31" s="392">
        <f t="shared" si="49"/>
        <v>1.2525132200182141E-2</v>
      </c>
      <c r="BH31" s="6">
        <f t="shared" si="18"/>
        <v>1.2401912573954481</v>
      </c>
      <c r="BI31" s="7">
        <f t="shared" si="19"/>
        <v>1.8990047771850156</v>
      </c>
      <c r="BJ31" s="12">
        <f t="shared" si="20"/>
        <v>-0.11882187507383059</v>
      </c>
      <c r="BK31" s="11">
        <f t="shared" si="50"/>
        <v>-0.78904283071158143</v>
      </c>
      <c r="BL31" s="7">
        <f t="shared" si="21"/>
        <v>0.51863947047192638</v>
      </c>
      <c r="BM31" s="8">
        <f t="shared" si="22"/>
        <v>0.32927910807285449</v>
      </c>
      <c r="BN31" s="376">
        <f t="shared" si="56"/>
        <v>1.2518923254721745E-2</v>
      </c>
      <c r="BO31" s="327"/>
    </row>
    <row r="32" spans="2:67" x14ac:dyDescent="0.25">
      <c r="B32" s="408">
        <v>1.7011983968060709</v>
      </c>
      <c r="C32" s="335">
        <v>2.4928841401403288</v>
      </c>
      <c r="D32" s="336">
        <v>-0.15279999999999991</v>
      </c>
      <c r="E32" s="334">
        <v>1.7127704417908907</v>
      </c>
      <c r="F32" s="335">
        <v>2.5020163714241042</v>
      </c>
      <c r="G32" s="380">
        <v>-0.14595297224992151</v>
      </c>
      <c r="H32" s="384">
        <v>-0.73083951628285682</v>
      </c>
      <c r="I32" s="368">
        <v>0.59725400252305327</v>
      </c>
      <c r="J32" s="385">
        <v>0.33039582792558481</v>
      </c>
      <c r="K32" s="6">
        <f t="shared" si="24"/>
        <v>1.1572044984819785E-2</v>
      </c>
      <c r="L32" s="7">
        <f t="shared" si="25"/>
        <v>9.1322312837753827E-3</v>
      </c>
      <c r="M32" s="10">
        <f t="shared" si="26"/>
        <v>6.8470277500783938E-3</v>
      </c>
      <c r="N32" s="392">
        <f t="shared" si="27"/>
        <v>1.6253973740639614E-2</v>
      </c>
      <c r="O32" s="6">
        <f t="shared" si="0"/>
        <v>1.7127683335391242</v>
      </c>
      <c r="P32" s="7">
        <f t="shared" si="1"/>
        <v>2.5020222442600688</v>
      </c>
      <c r="Q32" s="10">
        <f t="shared" si="2"/>
        <v>-0.15138106005428803</v>
      </c>
      <c r="R32" s="376">
        <f t="shared" si="53"/>
        <v>1.4811541900815132E-2</v>
      </c>
      <c r="S32" s="320"/>
      <c r="T32" s="11">
        <f t="shared" si="28"/>
        <v>1.7127683335391242</v>
      </c>
      <c r="U32" s="7">
        <f t="shared" si="4"/>
        <v>2.5020222449217617</v>
      </c>
      <c r="V32" s="12">
        <f t="shared" si="5"/>
        <v>-0.15138104911784223</v>
      </c>
      <c r="W32" s="392">
        <f t="shared" si="51"/>
        <v>-0.73083951628285682</v>
      </c>
      <c r="X32" s="372">
        <f t="shared" si="52"/>
        <v>0.59725400107887905</v>
      </c>
      <c r="Y32" s="13">
        <f t="shared" si="29"/>
        <v>0.33039583053620747</v>
      </c>
      <c r="Z32" s="328">
        <f t="shared" si="30"/>
        <v>1.1569936733053288E-2</v>
      </c>
      <c r="AA32" s="7">
        <f t="shared" si="31"/>
        <v>9.1381047814329541E-3</v>
      </c>
      <c r="AB32" s="10">
        <f t="shared" si="32"/>
        <v>1.4189508821576824E-3</v>
      </c>
      <c r="AC32" s="392">
        <f t="shared" si="33"/>
        <v>1.481154335676332E-2</v>
      </c>
      <c r="AD32" s="6">
        <f t="shared" si="34"/>
        <v>1.7127683335391242</v>
      </c>
      <c r="AE32" s="7">
        <f t="shared" si="6"/>
        <v>2.5020222432234269</v>
      </c>
      <c r="AF32" s="12">
        <f t="shared" si="7"/>
        <v>-0.15138104889055792</v>
      </c>
      <c r="AG32" s="337">
        <f t="shared" si="54"/>
        <v>1.4811542330735523E-2</v>
      </c>
      <c r="AH32" s="320"/>
      <c r="AI32" s="11">
        <f t="shared" si="9"/>
        <v>1.7127683319906422</v>
      </c>
      <c r="AJ32" s="7">
        <f t="shared" si="35"/>
        <v>2.5020222432234269</v>
      </c>
      <c r="AK32" s="12">
        <f t="shared" si="10"/>
        <v>-0.15138106641052518</v>
      </c>
      <c r="AL32" s="392">
        <f t="shared" si="36"/>
        <v>-0.73083951290322624</v>
      </c>
      <c r="AM32" s="372">
        <f t="shared" si="37"/>
        <v>0.59725400107887905</v>
      </c>
      <c r="AN32" s="13">
        <f t="shared" si="11"/>
        <v>0.33039583801199046</v>
      </c>
      <c r="AO32" s="328">
        <f t="shared" si="38"/>
        <v>1.1569935184571278E-2</v>
      </c>
      <c r="AP32" s="7">
        <f t="shared" si="39"/>
        <v>9.138103083098148E-3</v>
      </c>
      <c r="AQ32" s="10">
        <f t="shared" si="40"/>
        <v>1.4189335894747301E-3</v>
      </c>
      <c r="AR32" s="392">
        <f t="shared" si="41"/>
        <v>1.4811539442740175E-2</v>
      </c>
      <c r="AS32" s="6">
        <f t="shared" si="12"/>
        <v>1.712768335965055</v>
      </c>
      <c r="AT32" s="7">
        <f t="shared" si="13"/>
        <v>2.5020222432234269</v>
      </c>
      <c r="AU32" s="12">
        <f t="shared" si="14"/>
        <v>-0.15138106789226571</v>
      </c>
      <c r="AV32" s="337">
        <f t="shared" si="55"/>
        <v>1.4811542405376965E-2</v>
      </c>
      <c r="AW32" s="320"/>
      <c r="AX32" s="11">
        <f t="shared" si="16"/>
        <v>1.7128697341610175</v>
      </c>
      <c r="AY32" s="7">
        <f t="shared" si="17"/>
        <v>2.5019528277056819</v>
      </c>
      <c r="AZ32" s="12">
        <f t="shared" si="42"/>
        <v>-0.15138106789226571</v>
      </c>
      <c r="BA32" s="392">
        <f t="shared" si="43"/>
        <v>-0.73081530735503597</v>
      </c>
      <c r="BB32" s="372">
        <f t="shared" si="44"/>
        <v>0.59728361936430086</v>
      </c>
      <c r="BC32" s="13">
        <f t="shared" si="45"/>
        <v>0.33039583801199046</v>
      </c>
      <c r="BD32" s="328">
        <f t="shared" si="46"/>
        <v>1.1671337354946631E-2</v>
      </c>
      <c r="BE32" s="7">
        <f t="shared" si="47"/>
        <v>9.0686875653531729E-3</v>
      </c>
      <c r="BF32" s="10">
        <f t="shared" si="48"/>
        <v>1.4189321077341943E-3</v>
      </c>
      <c r="BG32" s="392">
        <f t="shared" si="49"/>
        <v>1.4848386381601297E-2</v>
      </c>
      <c r="BH32" s="6">
        <f t="shared" si="18"/>
        <v>1.7128718413572384</v>
      </c>
      <c r="BI32" s="7">
        <f t="shared" si="19"/>
        <v>2.5019469570617865</v>
      </c>
      <c r="BJ32" s="12">
        <f t="shared" si="20"/>
        <v>-0.15138106789226571</v>
      </c>
      <c r="BK32" s="11">
        <f t="shared" si="50"/>
        <v>-0.73081530735503597</v>
      </c>
      <c r="BL32" s="7">
        <f t="shared" si="21"/>
        <v>0.59728361936430086</v>
      </c>
      <c r="BM32" s="8">
        <f t="shared" si="22"/>
        <v>0.33039583801199046</v>
      </c>
      <c r="BN32" s="376">
        <f t="shared" si="56"/>
        <v>1.4846458384658645E-2</v>
      </c>
      <c r="BO32" s="327"/>
    </row>
    <row r="33" spans="2:67" x14ac:dyDescent="0.25">
      <c r="B33" s="409">
        <v>2.1823711732534607</v>
      </c>
      <c r="C33" s="361">
        <v>2.9465056334647861</v>
      </c>
      <c r="D33" s="362">
        <v>-0.5386000000000003</v>
      </c>
      <c r="E33" s="360">
        <v>2.192138833549262</v>
      </c>
      <c r="F33" s="361">
        <v>2.9591051648901656</v>
      </c>
      <c r="G33" s="381">
        <v>-0.53285222967067902</v>
      </c>
      <c r="H33" s="386">
        <v>-0.58025021397979926</v>
      </c>
      <c r="I33" s="369">
        <v>0.73823169611993056</v>
      </c>
      <c r="J33" s="387">
        <v>0.34398134525041862</v>
      </c>
      <c r="K33" s="357">
        <f>E33-$B33</f>
        <v>9.7676602958012282E-3</v>
      </c>
      <c r="L33" s="340">
        <f>F33-$C33</f>
        <v>1.2599531425379507E-2</v>
      </c>
      <c r="M33" s="359">
        <f>G33-$D33</f>
        <v>5.7477703293212778E-3</v>
      </c>
      <c r="N33" s="393">
        <f t="shared" si="27"/>
        <v>1.6946747285302967E-2</v>
      </c>
      <c r="O33" s="357">
        <f t="shared" si="0"/>
        <v>2.1921367252974955</v>
      </c>
      <c r="P33" s="340">
        <f t="shared" si="1"/>
        <v>2.9591110377261303</v>
      </c>
      <c r="Q33" s="359">
        <f t="shared" si="2"/>
        <v>-0.53828031747504557</v>
      </c>
      <c r="R33" s="377">
        <f t="shared" si="53"/>
        <v>1.5948806232236497E-2</v>
      </c>
      <c r="S33" s="320"/>
      <c r="T33" s="341">
        <f t="shared" si="28"/>
        <v>2.1921367252974955</v>
      </c>
      <c r="U33" s="340">
        <f t="shared" si="4"/>
        <v>2.9591110400789766</v>
      </c>
      <c r="V33" s="388">
        <f t="shared" si="5"/>
        <v>-0.53828030454064513</v>
      </c>
      <c r="W33" s="393">
        <f t="shared" si="51"/>
        <v>-0.58025021397979926</v>
      </c>
      <c r="X33" s="373">
        <f t="shared" si="52"/>
        <v>0.7382316946163735</v>
      </c>
      <c r="Y33" s="378">
        <f t="shared" si="29"/>
        <v>0.34398134847726081</v>
      </c>
      <c r="Z33" s="358">
        <f>T33-$B33</f>
        <v>9.765552044034731E-3</v>
      </c>
      <c r="AA33" s="340">
        <f>U33-$C33</f>
        <v>1.2605406614190517E-2</v>
      </c>
      <c r="AB33" s="359">
        <f>V33-$D33</f>
        <v>3.1969545935517374E-4</v>
      </c>
      <c r="AC33" s="393">
        <f t="shared" si="33"/>
        <v>1.5948808351113924E-2</v>
      </c>
      <c r="AD33" s="357">
        <f t="shared" si="34"/>
        <v>2.1921367252974955</v>
      </c>
      <c r="AE33" s="340">
        <f t="shared" si="6"/>
        <v>2.9591110383806418</v>
      </c>
      <c r="AF33" s="388">
        <f t="shared" si="7"/>
        <v>-0.53828030431336082</v>
      </c>
      <c r="AG33" s="345">
        <f t="shared" si="54"/>
        <v>1.5948807013362664E-2</v>
      </c>
      <c r="AH33" s="320"/>
      <c r="AI33" s="341">
        <f t="shared" si="9"/>
        <v>2.1921367197914075</v>
      </c>
      <c r="AJ33" s="340">
        <f t="shared" si="35"/>
        <v>2.9591110383806418</v>
      </c>
      <c r="AK33" s="388">
        <f t="shared" si="10"/>
        <v>-0.53828032673680415</v>
      </c>
      <c r="AL33" s="393">
        <f t="shared" si="36"/>
        <v>-0.58025021046120195</v>
      </c>
      <c r="AM33" s="373">
        <f t="shared" si="37"/>
        <v>0.7382316946163735</v>
      </c>
      <c r="AN33" s="378">
        <f t="shared" si="11"/>
        <v>0.34398135441266059</v>
      </c>
      <c r="AO33" s="358">
        <f>AI33-$B33</f>
        <v>9.765546537946701E-3</v>
      </c>
      <c r="AP33" s="340">
        <f>AJ33-$C33</f>
        <v>1.2605404915855711E-2</v>
      </c>
      <c r="AQ33" s="359">
        <f>AK33-$D33</f>
        <v>3.1967326319615186E-4</v>
      </c>
      <c r="AR33" s="393">
        <f t="shared" si="41"/>
        <v>1.5948803192487034E-2</v>
      </c>
      <c r="AS33" s="357">
        <f t="shared" si="12"/>
        <v>2.1921367237658202</v>
      </c>
      <c r="AT33" s="340">
        <f t="shared" si="13"/>
        <v>2.9591110383806418</v>
      </c>
      <c r="AU33" s="388">
        <f t="shared" si="14"/>
        <v>-0.53828032821854466</v>
      </c>
      <c r="AV33" s="345">
        <f t="shared" si="55"/>
        <v>1.59488055963443E-2</v>
      </c>
      <c r="AW33" s="320"/>
      <c r="AX33" s="341">
        <f t="shared" si="16"/>
        <v>2.1922566460325852</v>
      </c>
      <c r="AY33" s="340">
        <f t="shared" si="17"/>
        <v>2.9590221950966957</v>
      </c>
      <c r="AZ33" s="388">
        <f t="shared" si="42"/>
        <v>-0.53828032821854466</v>
      </c>
      <c r="BA33" s="393">
        <f t="shared" si="43"/>
        <v>-0.58022029162540589</v>
      </c>
      <c r="BB33" s="373">
        <f t="shared" si="44"/>
        <v>0.73825520984450943</v>
      </c>
      <c r="BC33" s="378">
        <f t="shared" si="45"/>
        <v>0.34398135441266059</v>
      </c>
      <c r="BD33" s="358">
        <f>AX33-$B33</f>
        <v>9.8854727791244379E-3</v>
      </c>
      <c r="BE33" s="340">
        <f>AY33-$C33</f>
        <v>1.2516561631909617E-2</v>
      </c>
      <c r="BF33" s="359">
        <f>AZ33-$D33</f>
        <v>3.1967178145564379E-4</v>
      </c>
      <c r="BG33" s="393">
        <f t="shared" si="49"/>
        <v>1.5952713787944082E-2</v>
      </c>
      <c r="BH33" s="357">
        <f t="shared" si="18"/>
        <v>2.1922587532288058</v>
      </c>
      <c r="BI33" s="340">
        <f t="shared" si="19"/>
        <v>2.9590163244528003</v>
      </c>
      <c r="BJ33" s="388">
        <f t="shared" si="20"/>
        <v>-0.53828032821854466</v>
      </c>
      <c r="BK33" s="341">
        <f t="shared" si="50"/>
        <v>-0.58022029162540589</v>
      </c>
      <c r="BL33" s="340">
        <f t="shared" si="21"/>
        <v>0.73825520984450943</v>
      </c>
      <c r="BM33" s="339">
        <f t="shared" si="22"/>
        <v>0.34398135441266059</v>
      </c>
      <c r="BN33" s="377">
        <f t="shared" si="56"/>
        <v>1.5949414309443542E-2</v>
      </c>
      <c r="BO33" s="327"/>
    </row>
    <row r="34" spans="2:67" x14ac:dyDescent="0.25">
      <c r="G34" s="53" t="s">
        <v>114</v>
      </c>
      <c r="H34" s="53"/>
      <c r="I34" s="53"/>
      <c r="J34" s="53"/>
      <c r="K34" s="290">
        <f>MIN(K8:K33)</f>
        <v>-1.5965853882298209E-2</v>
      </c>
      <c r="L34" s="290">
        <f>MIN(L8:L33)</f>
        <v>-1.8384012112546033E-2</v>
      </c>
      <c r="M34" s="290">
        <f>MIN(M8:M33)</f>
        <v>-4.5978596240696668E-3</v>
      </c>
      <c r="N34" s="290">
        <f>MIN(N8:N33)</f>
        <v>4.59339281955132E-3</v>
      </c>
      <c r="R34" s="347">
        <f>MIN(R8:R33)</f>
        <v>2.6239288927101981E-3</v>
      </c>
      <c r="S34" s="320"/>
      <c r="Z34" s="347">
        <f>MIN(Z8:Z33)</f>
        <v>-1.5967962134064706E-2</v>
      </c>
      <c r="AA34" s="347">
        <f>MIN(AA8:AA33)</f>
        <v>-1.8378138834845625E-2</v>
      </c>
      <c r="AB34" s="347">
        <f>MIN(AB8:AB33)</f>
        <v>-1.002596141890133E-2</v>
      </c>
      <c r="AC34" s="347">
        <f>MIN(AC8:AC33)</f>
        <v>2.6239281866881287E-3</v>
      </c>
      <c r="AD34" s="342"/>
      <c r="AE34" s="342"/>
      <c r="AF34" s="342"/>
      <c r="AG34" s="347">
        <f>MIN(AG8:AG33)</f>
        <v>2.623928635916639E-3</v>
      </c>
      <c r="AH34" s="320"/>
      <c r="AI34" s="342"/>
      <c r="AJ34" s="342"/>
      <c r="AK34" s="342"/>
      <c r="AO34" s="347">
        <f>MIN(AO8:AO33)</f>
        <v>-1.5967962943812086E-2</v>
      </c>
      <c r="AP34" s="347">
        <f>MIN(AP8:AP33)</f>
        <v>-1.8378140533180654E-2</v>
      </c>
      <c r="AQ34" s="347">
        <f>MIN(AQ8:AQ33)</f>
        <v>-1.0025935257486962E-2</v>
      </c>
      <c r="AR34" s="347">
        <f>MIN(AR8:AR33)</f>
        <v>2.623943936448726E-3</v>
      </c>
      <c r="AS34" s="342"/>
      <c r="AT34" s="342"/>
      <c r="AU34" s="342"/>
      <c r="AV34" s="347">
        <f>MIN(AV8:AV33)</f>
        <v>2.623947808281788E-3</v>
      </c>
      <c r="AW34" s="320"/>
      <c r="AX34" s="342"/>
      <c r="AY34" s="342"/>
      <c r="AZ34" s="342"/>
      <c r="BD34" s="347">
        <f>MIN(BD8:BD33)</f>
        <v>-1.596182630268661E-2</v>
      </c>
      <c r="BE34" s="347">
        <f>MIN(BE8:BE33)</f>
        <v>-1.8327663160280672E-2</v>
      </c>
      <c r="BF34" s="347">
        <f>MIN(BF8:BF33)</f>
        <v>-1.002593673922747E-2</v>
      </c>
      <c r="BG34" s="347">
        <f>MIN(BG8:BG33)</f>
        <v>2.6755139672439798E-3</v>
      </c>
      <c r="BH34" s="342"/>
      <c r="BI34" s="342"/>
      <c r="BJ34" s="342"/>
      <c r="BN34" s="347">
        <f>MIN(BN8:BN33)</f>
        <v>2.6793902172717837E-3</v>
      </c>
      <c r="BO34" s="327"/>
    </row>
    <row r="35" spans="2:67" x14ac:dyDescent="0.25">
      <c r="G35" s="53" t="s">
        <v>115</v>
      </c>
      <c r="H35" s="53"/>
      <c r="I35" s="53"/>
      <c r="J35" s="53"/>
      <c r="K35" s="290">
        <f>MAX(K8:K33)</f>
        <v>1.3321902070151159E-2</v>
      </c>
      <c r="L35" s="290">
        <f>MAX(L8:L33)</f>
        <v>1.3829780889980624E-2</v>
      </c>
      <c r="M35" s="290">
        <f>MAX(M8:M33)</f>
        <v>1.1395628165306371E-2</v>
      </c>
      <c r="N35" s="290">
        <f>MAX(N8:N33)</f>
        <v>1.937988937681916E-2</v>
      </c>
      <c r="R35" s="347">
        <f>MAX(R8:R33)</f>
        <v>1.8452108710599689E-2</v>
      </c>
      <c r="S35" s="320"/>
      <c r="Z35" s="347">
        <f>MAX(Z8:Z33)</f>
        <v>1.3319793818384662E-2</v>
      </c>
      <c r="AA35" s="347">
        <f>MAX(AA8:AA33)</f>
        <v>1.3835655575912549E-2</v>
      </c>
      <c r="AB35" s="347">
        <f>MAX(AB8:AB33)</f>
        <v>5.9675405949705662E-3</v>
      </c>
      <c r="AC35" s="347">
        <f>MAX(AC8:AC33)</f>
        <v>1.8452108748926822E-2</v>
      </c>
      <c r="AD35" s="342"/>
      <c r="AE35" s="342"/>
      <c r="AF35" s="342"/>
      <c r="AG35" s="347">
        <f>MAX(AG8:AG33)</f>
        <v>1.8452110427402461E-2</v>
      </c>
      <c r="AH35" s="320"/>
      <c r="AI35" s="342"/>
      <c r="AJ35" s="342"/>
      <c r="AK35" s="342"/>
      <c r="AO35" s="347">
        <f>MAX(AO8:AO33)</f>
        <v>1.3319791480986165E-2</v>
      </c>
      <c r="AP35" s="347">
        <f>MAX(AP8:AP33)</f>
        <v>1.3835653877577625E-2</v>
      </c>
      <c r="AQ35" s="347">
        <f>MAX(AQ8:AQ33)</f>
        <v>5.9675302626702731E-3</v>
      </c>
      <c r="AR35" s="347">
        <f>MAX(AR8:AR33)</f>
        <v>1.8452109766741907E-2</v>
      </c>
      <c r="AS35" s="342"/>
      <c r="AT35" s="342"/>
      <c r="AU35" s="342"/>
      <c r="AV35" s="347">
        <f>MAX(AV8:AV33)</f>
        <v>1.8452109579234936E-2</v>
      </c>
      <c r="AW35" s="320"/>
      <c r="AX35" s="342"/>
      <c r="AY35" s="342"/>
      <c r="AZ35" s="342"/>
      <c r="BD35" s="347">
        <f>MAX(BD8:BD33)</f>
        <v>1.3322074507021053E-2</v>
      </c>
      <c r="BE35" s="347">
        <f>MAX(BE8:BE33)</f>
        <v>1.3793817149519751E-2</v>
      </c>
      <c r="BF35" s="347">
        <f>MAX(BF8:BF33)</f>
        <v>5.967528780929765E-3</v>
      </c>
      <c r="BG35" s="347">
        <f>MAX(BG8:BG33)</f>
        <v>1.8407307524364373E-2</v>
      </c>
      <c r="BH35" s="342"/>
      <c r="BI35" s="342"/>
      <c r="BJ35" s="342"/>
      <c r="BN35" s="347">
        <f>MAX(BN8:BN33)</f>
        <v>1.8412999226775324E-2</v>
      </c>
      <c r="BO35" s="327"/>
    </row>
    <row r="36" spans="2:67" x14ac:dyDescent="0.25">
      <c r="G36" s="53" t="s">
        <v>113</v>
      </c>
      <c r="H36" s="53"/>
      <c r="I36" s="53"/>
      <c r="J36" s="53"/>
      <c r="K36" s="290">
        <f>K35-K34</f>
        <v>2.9287755952449368E-2</v>
      </c>
      <c r="L36" s="290">
        <f>L35-L34</f>
        <v>3.2213793002526657E-2</v>
      </c>
      <c r="M36" s="290">
        <f>M35-M34</f>
        <v>1.5993487789376037E-2</v>
      </c>
      <c r="N36" s="290">
        <f>N35-N34</f>
        <v>1.4786496557267839E-2</v>
      </c>
      <c r="R36" s="347">
        <f>R35-R34</f>
        <v>1.582817981788949E-2</v>
      </c>
      <c r="S36" s="320"/>
      <c r="Z36" s="347">
        <f>Z35-Z34</f>
        <v>2.9287755952449368E-2</v>
      </c>
      <c r="AA36" s="347">
        <f>AA35-AA34</f>
        <v>3.2213794410758174E-2</v>
      </c>
      <c r="AB36" s="347">
        <f>AB35-AB34</f>
        <v>1.5993502013871896E-2</v>
      </c>
      <c r="AC36" s="347">
        <f>AC35-AC34</f>
        <v>1.5828180562238694E-2</v>
      </c>
      <c r="AD36" s="342"/>
      <c r="AE36" s="342"/>
      <c r="AF36" s="342"/>
      <c r="AG36" s="347">
        <f>AG35-AG34</f>
        <v>1.5828181791485822E-2</v>
      </c>
      <c r="AH36" s="320"/>
      <c r="AI36" s="342"/>
      <c r="AJ36" s="342"/>
      <c r="AK36" s="342"/>
      <c r="AO36" s="347">
        <f>AO35-AO34</f>
        <v>2.9287754424798251E-2</v>
      </c>
      <c r="AP36" s="347">
        <f>AP35-AP34</f>
        <v>3.2213794410758279E-2</v>
      </c>
      <c r="AQ36" s="347">
        <f>AQ35-AQ34</f>
        <v>1.5993465520157235E-2</v>
      </c>
      <c r="AR36" s="347">
        <f>AR35-AR34</f>
        <v>1.582816583029318E-2</v>
      </c>
      <c r="AS36" s="342"/>
      <c r="AT36" s="342"/>
      <c r="AU36" s="342"/>
      <c r="AV36" s="347">
        <f>AV35-AV34</f>
        <v>1.5828161770953149E-2</v>
      </c>
      <c r="AW36" s="320"/>
      <c r="AX36" s="342"/>
      <c r="AY36" s="342"/>
      <c r="AZ36" s="342"/>
      <c r="BD36" s="347">
        <f>BD35-BD34</f>
        <v>2.9283900809707664E-2</v>
      </c>
      <c r="BE36" s="347">
        <f>BE35-BE34</f>
        <v>3.2121480309800422E-2</v>
      </c>
      <c r="BF36" s="347">
        <f>BF35-BF34</f>
        <v>1.5993465520157235E-2</v>
      </c>
      <c r="BG36" s="347">
        <f>BG35-BG34</f>
        <v>1.5731793557120392E-2</v>
      </c>
      <c r="BH36" s="342"/>
      <c r="BI36" s="342"/>
      <c r="BJ36" s="342"/>
      <c r="BN36" s="347">
        <f>BN35-BN34</f>
        <v>1.5733609009503539E-2</v>
      </c>
      <c r="BO36" s="327"/>
    </row>
    <row r="37" spans="2:67" x14ac:dyDescent="0.25">
      <c r="G37" s="247" t="s">
        <v>112</v>
      </c>
      <c r="H37" s="247"/>
      <c r="I37" s="247"/>
      <c r="J37" s="247"/>
      <c r="K37" s="290">
        <f>AVERAGE(K8:K33)</f>
        <v>2.1082517664416933E-6</v>
      </c>
      <c r="L37" s="290">
        <f>AVERAGE(L8:L33)</f>
        <v>-5.8728359648141811E-6</v>
      </c>
      <c r="M37" s="290">
        <f>AVERAGE(M8:M33)</f>
        <v>5.4280878043665055E-3</v>
      </c>
      <c r="N37" s="406">
        <f>AVERAGE(N8:N33)</f>
        <v>1.3120557999169001E-2</v>
      </c>
      <c r="R37" s="405">
        <f>AVERAGE(R8:R33)</f>
        <v>1.2102762726687045E-2</v>
      </c>
      <c r="S37" s="320"/>
      <c r="Z37" s="347">
        <f>AVERAGE(Z8:Z33)</f>
        <v>-5.1241062675007228E-17</v>
      </c>
      <c r="AA37" s="347">
        <f>AVERAGE(AA8:AA33)</f>
        <v>1.6983349256841724E-9</v>
      </c>
      <c r="AB37" s="347">
        <f>AVERAGE(AB8:AB33)</f>
        <v>-2.2728429608461689E-10</v>
      </c>
      <c r="AC37" s="405">
        <f>AVERAGE(AC8:AC33)</f>
        <v>1.2102762754105378E-2</v>
      </c>
      <c r="AD37" s="342"/>
      <c r="AE37" s="342"/>
      <c r="AF37" s="342"/>
      <c r="AG37" s="405">
        <f>AVERAGE(AG8:AG33)</f>
        <v>1.2102762725773562E-2</v>
      </c>
      <c r="AH37" s="320"/>
      <c r="AI37" s="342"/>
      <c r="AJ37" s="342"/>
      <c r="AK37" s="342"/>
      <c r="AO37" s="347">
        <f>AVERAGE(AO8:AO33)</f>
        <v>-3.9744128885402024E-9</v>
      </c>
      <c r="AP37" s="347">
        <f>AVERAGE(AP8:AP33)</f>
        <v>3.2559425241410842E-17</v>
      </c>
      <c r="AQ37" s="347">
        <f>AVERAGE(AQ8:AQ33)</f>
        <v>1.4817405224807003E-9</v>
      </c>
      <c r="AR37" s="405">
        <f>AVERAGE(AR8:AR33)</f>
        <v>1.2102762523102686E-2</v>
      </c>
      <c r="AS37" s="342"/>
      <c r="AT37" s="342"/>
      <c r="AU37" s="342"/>
      <c r="AV37" s="405">
        <f>AVERAGE(AV8:AV33)</f>
        <v>1.2102762739253035E-2</v>
      </c>
      <c r="AW37" s="320"/>
      <c r="AX37" s="342"/>
      <c r="AY37" s="342"/>
      <c r="AZ37" s="342"/>
      <c r="BD37" s="347">
        <f>AVERAGE(BD8:BD33)</f>
        <v>-2.1071962208078883E-6</v>
      </c>
      <c r="BE37" s="347">
        <f>AVERAGE(BE8:BE33)</f>
        <v>5.8706438954943156E-6</v>
      </c>
      <c r="BF37" s="347">
        <f>AVERAGE(BF8:BF33)</f>
        <v>5.3376106953132529E-18</v>
      </c>
      <c r="BG37" s="405">
        <f>AVERAGE(BG8:BG33)</f>
        <v>1.210208514488169E-2</v>
      </c>
      <c r="BH37" s="342"/>
      <c r="BI37" s="342"/>
      <c r="BJ37" s="342"/>
      <c r="BN37" s="405">
        <f>AVERAGE(BN8:BN33)</f>
        <v>1.2102114879590462E-2</v>
      </c>
      <c r="BO37" s="327"/>
    </row>
    <row r="38" spans="2:67" x14ac:dyDescent="0.25">
      <c r="N38" s="344"/>
      <c r="AI38" s="342"/>
      <c r="AJ38" s="342"/>
      <c r="AK38" s="342"/>
      <c r="AO38" s="342"/>
      <c r="AP38" s="342"/>
      <c r="AQ38" s="342"/>
      <c r="AR38" s="342"/>
      <c r="AS38" s="342"/>
      <c r="AT38" s="342"/>
      <c r="AU38" s="342"/>
      <c r="AV38" s="342"/>
      <c r="AX38" s="342"/>
      <c r="AY38" s="342"/>
      <c r="AZ38" s="342"/>
      <c r="BD38" s="342"/>
      <c r="BE38" s="342"/>
      <c r="BF38" s="342"/>
      <c r="BG38" s="342"/>
      <c r="BH38" s="342"/>
      <c r="BI38" s="342"/>
      <c r="BJ38" s="342"/>
      <c r="BN38" s="342"/>
    </row>
  </sheetData>
  <mergeCells count="48">
    <mergeCell ref="R4:R6"/>
    <mergeCell ref="AX6:AZ6"/>
    <mergeCell ref="T6:V6"/>
    <mergeCell ref="Z6:AC6"/>
    <mergeCell ref="AS3:AV3"/>
    <mergeCell ref="AV4:AV6"/>
    <mergeCell ref="AI6:AK6"/>
    <mergeCell ref="T4:Y4"/>
    <mergeCell ref="T5:Y5"/>
    <mergeCell ref="W6:Y6"/>
    <mergeCell ref="AS4:AU4"/>
    <mergeCell ref="AI5:AN5"/>
    <mergeCell ref="AS5:AU5"/>
    <mergeCell ref="AL6:AN6"/>
    <mergeCell ref="AX4:BC4"/>
    <mergeCell ref="AO6:AR6"/>
    <mergeCell ref="BH3:BN3"/>
    <mergeCell ref="BN4:BN6"/>
    <mergeCell ref="BD6:BG6"/>
    <mergeCell ref="BH6:BJ6"/>
    <mergeCell ref="K6:N6"/>
    <mergeCell ref="AD3:AG3"/>
    <mergeCell ref="AG4:AG6"/>
    <mergeCell ref="AD6:AF6"/>
    <mergeCell ref="O3:R3"/>
    <mergeCell ref="O6:Q6"/>
    <mergeCell ref="T3:X3"/>
    <mergeCell ref="AD4:AF4"/>
    <mergeCell ref="AD5:AF5"/>
    <mergeCell ref="AI3:AM3"/>
    <mergeCell ref="AX3:BB3"/>
    <mergeCell ref="AI4:AN4"/>
    <mergeCell ref="H6:J6"/>
    <mergeCell ref="E4:J4"/>
    <mergeCell ref="E5:J5"/>
    <mergeCell ref="B3:J3"/>
    <mergeCell ref="O4:Q4"/>
    <mergeCell ref="O5:Q5"/>
    <mergeCell ref="B6:D6"/>
    <mergeCell ref="B5:D5"/>
    <mergeCell ref="B4:D4"/>
    <mergeCell ref="E6:G6"/>
    <mergeCell ref="AS6:AU6"/>
    <mergeCell ref="BH4:BM4"/>
    <mergeCell ref="AX5:BC5"/>
    <mergeCell ref="BH5:BM5"/>
    <mergeCell ref="BA6:BC6"/>
    <mergeCell ref="BK6:B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Volumetric Analysis</vt:lpstr>
      <vt:lpstr>Settings</vt:lpstr>
      <vt:lpstr>Settings (2)</vt:lpstr>
      <vt:lpstr>Assy.Model</vt:lpstr>
      <vt:lpstr>SN#.Run#</vt:lpstr>
      <vt:lpstr>Point Cloud Alignment</vt:lpstr>
      <vt:lpstr>Check</vt:lpstr>
      <vt:lpstr>'SN#.Run#'!PolyWorks_to_Text_1</vt:lpstr>
      <vt:lpstr>Assy.Model!Print_Area</vt:lpstr>
      <vt:lpstr>Settings!Print_Area</vt:lpstr>
      <vt:lpstr>'Settings (2)'!Print_Area</vt:lpstr>
      <vt:lpstr>'SN#.Run#'!Print_Area</vt:lpstr>
      <vt:lpstr>'Volumetric Analysis'!Print_Area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2022-08-22T18:44:35Z</cp:lastPrinted>
  <dcterms:created xsi:type="dcterms:W3CDTF">2012-04-19T16:28:10Z</dcterms:created>
  <dcterms:modified xsi:type="dcterms:W3CDTF">2022-08-22T18:44:41Z</dcterms:modified>
</cp:coreProperties>
</file>