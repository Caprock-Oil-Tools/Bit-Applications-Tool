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7182\"/>
    </mc:Choice>
  </mc:AlternateContent>
  <xr:revisionPtr revIDLastSave="0" documentId="13_ncr:1_{F443BF68-000F-47AA-940A-9BAFED0CC405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externalReferences>
    <externalReference r:id="rId7"/>
  </externalReference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24" i="1" l="1"/>
  <c r="M219" i="1"/>
  <c r="M223" i="1" s="1"/>
  <c r="M218" i="1"/>
  <c r="M222" i="1" s="1"/>
  <c r="M217" i="1"/>
  <c r="M221" i="1" s="1"/>
  <c r="M216" i="1"/>
  <c r="M220" i="1" s="1"/>
  <c r="M215" i="1"/>
  <c r="M214" i="1"/>
  <c r="M208" i="1"/>
  <c r="M213" i="1" s="1"/>
  <c r="M207" i="1"/>
  <c r="M212" i="1" s="1"/>
  <c r="M206" i="1"/>
  <c r="M211" i="1" s="1"/>
  <c r="M205" i="1"/>
  <c r="M210" i="1" s="1"/>
  <c r="M204" i="1"/>
  <c r="M209" i="1" s="1"/>
  <c r="M203" i="1"/>
  <c r="M202" i="1"/>
  <c r="M201" i="1"/>
  <c r="M195" i="1"/>
  <c r="M200" i="1" s="1"/>
  <c r="M194" i="1"/>
  <c r="M199" i="1" s="1"/>
  <c r="M193" i="1"/>
  <c r="M198" i="1" s="1"/>
  <c r="M192" i="1"/>
  <c r="M197" i="1" s="1"/>
  <c r="M191" i="1"/>
  <c r="M196" i="1" s="1"/>
  <c r="M190" i="1"/>
  <c r="M189" i="1"/>
  <c r="M188" i="1"/>
  <c r="M183" i="1"/>
  <c r="M187" i="1" s="1"/>
  <c r="M182" i="1"/>
  <c r="M186" i="1" s="1"/>
  <c r="M181" i="1"/>
  <c r="M185" i="1" s="1"/>
  <c r="M180" i="1"/>
  <c r="M184" i="1" s="1"/>
  <c r="M179" i="1"/>
  <c r="M178" i="1"/>
  <c r="M171" i="1"/>
  <c r="M177" i="1" s="1"/>
  <c r="M170" i="1"/>
  <c r="M176" i="1" s="1"/>
  <c r="M169" i="1"/>
  <c r="M175" i="1" s="1"/>
  <c r="M168" i="1"/>
  <c r="M174" i="1" s="1"/>
  <c r="M167" i="1"/>
  <c r="M173" i="1" s="1"/>
  <c r="M166" i="1"/>
  <c r="M172" i="1" s="1"/>
  <c r="M165" i="1"/>
  <c r="M164" i="1"/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V169" i="1"/>
  <c r="G14" i="1" s="1"/>
  <c r="T175" i="1"/>
  <c r="E20" i="1" s="1"/>
  <c r="U180" i="1"/>
  <c r="F25" i="1" s="1"/>
  <c r="T191" i="1"/>
  <c r="E36" i="1" s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V185" i="1"/>
  <c r="G30" i="1" s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X164" i="1"/>
  <c r="I9" i="1" s="1"/>
  <c r="V164" i="1"/>
  <c r="G9" i="1" s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80" i="1"/>
  <c r="D80" i="1"/>
  <c r="D82" i="1"/>
  <c r="D78" i="1"/>
  <c r="B78" i="1"/>
  <c r="C77" i="1"/>
  <c r="C79" i="1"/>
  <c r="B83" i="1"/>
  <c r="B79" i="1"/>
  <c r="B76" i="1"/>
  <c r="C74" i="1"/>
  <c r="C83" i="1"/>
  <c r="B71" i="1"/>
  <c r="C73" i="1"/>
  <c r="D76" i="1"/>
  <c r="B74" i="1"/>
  <c r="B75" i="1"/>
  <c r="C71" i="1"/>
  <c r="B77" i="1"/>
  <c r="D73" i="1"/>
  <c r="C75" i="1"/>
  <c r="C72" i="1"/>
  <c r="D72" i="1"/>
  <c r="C70" i="1"/>
  <c r="B70" i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K210" i="1" l="1"/>
  <c r="K178" i="1"/>
  <c r="Z178" i="1" s="1"/>
  <c r="K201" i="1"/>
  <c r="K185" i="1"/>
  <c r="Z184" i="1" s="1"/>
  <c r="K224" i="1"/>
  <c r="Z224" i="1" s="1"/>
  <c r="K184" i="1"/>
  <c r="K175" i="1"/>
  <c r="Z175" i="1" s="1"/>
  <c r="K214" i="1"/>
  <c r="K198" i="1"/>
  <c r="K174" i="1"/>
  <c r="Z174" i="1" s="1"/>
  <c r="K221" i="1"/>
  <c r="Z221" i="1" s="1"/>
  <c r="K197" i="1"/>
  <c r="K173" i="1"/>
  <c r="Z173" i="1" s="1"/>
  <c r="K211" i="1"/>
  <c r="K220" i="1"/>
  <c r="K212" i="1"/>
  <c r="K188" i="1"/>
  <c r="AV15" i="4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W224" i="1" l="1"/>
  <c r="H69" i="1" s="1"/>
  <c r="K69" i="1"/>
  <c r="A69" i="1" s="1"/>
  <c r="W221" i="1"/>
  <c r="H66" i="1" s="1"/>
  <c r="K66" i="1"/>
  <c r="A66" i="1" s="1"/>
  <c r="Z220" i="1"/>
  <c r="W220" i="1" s="1"/>
  <c r="H65" i="1" s="1"/>
  <c r="Z211" i="1"/>
  <c r="W211" i="1" s="1"/>
  <c r="H56" i="1" s="1"/>
  <c r="W175" i="1"/>
  <c r="H20" i="1" s="1"/>
  <c r="K20" i="1"/>
  <c r="A20" i="1" s="1"/>
  <c r="W173" i="1"/>
  <c r="H18" i="1" s="1"/>
  <c r="K18" i="1"/>
  <c r="A18" i="1" s="1"/>
  <c r="W184" i="1"/>
  <c r="H29" i="1" s="1"/>
  <c r="K29" i="1"/>
  <c r="A29" i="1" s="1"/>
  <c r="W174" i="1"/>
  <c r="H19" i="1" s="1"/>
  <c r="K19" i="1"/>
  <c r="A19" i="1" s="1"/>
  <c r="W178" i="1"/>
  <c r="H23" i="1" s="1"/>
  <c r="K23" i="1"/>
  <c r="A23" i="1" s="1"/>
  <c r="AI19" i="4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C69" i="1" l="1"/>
  <c r="B69" i="1"/>
  <c r="D69" i="1"/>
  <c r="D66" i="1"/>
  <c r="B66" i="1"/>
  <c r="C66" i="1"/>
  <c r="K65" i="1"/>
  <c r="A65" i="1" s="1"/>
  <c r="B65" i="1" s="1"/>
  <c r="K56" i="1"/>
  <c r="A56" i="1" s="1"/>
  <c r="B56" i="1" s="1"/>
  <c r="B29" i="1"/>
  <c r="D29" i="1"/>
  <c r="C29" i="1"/>
  <c r="D18" i="1"/>
  <c r="C18" i="1"/>
  <c r="B18" i="1"/>
  <c r="C20" i="1"/>
  <c r="D20" i="1"/>
  <c r="B20" i="1"/>
  <c r="B23" i="1"/>
  <c r="C23" i="1"/>
  <c r="D23" i="1"/>
  <c r="K218" i="1"/>
  <c r="K202" i="1"/>
  <c r="K194" i="1"/>
  <c r="K186" i="1"/>
  <c r="Z185" i="1" s="1"/>
  <c r="K170" i="1"/>
  <c r="Z170" i="1" s="1"/>
  <c r="K217" i="1"/>
  <c r="K209" i="1"/>
  <c r="Z209" i="1" s="1"/>
  <c r="K193" i="1"/>
  <c r="K177" i="1"/>
  <c r="Z177" i="1" s="1"/>
  <c r="K169" i="1"/>
  <c r="Z169" i="1" s="1"/>
  <c r="K216" i="1"/>
  <c r="K208" i="1"/>
  <c r="Z208" i="1" s="1"/>
  <c r="K200" i="1"/>
  <c r="Z198" i="1" s="1"/>
  <c r="K192" i="1"/>
  <c r="Z191" i="1" s="1"/>
  <c r="K176" i="1"/>
  <c r="Z176" i="1" s="1"/>
  <c r="K168" i="1"/>
  <c r="Z168" i="1" s="1"/>
  <c r="K215" i="1"/>
  <c r="Z212" i="1" s="1"/>
  <c r="K199" i="1"/>
  <c r="K183" i="1"/>
  <c r="Z183" i="1" s="1"/>
  <c r="K167" i="1"/>
  <c r="Z167" i="1" s="1"/>
  <c r="K223" i="1"/>
  <c r="Z223" i="1" s="1"/>
  <c r="K207" i="1"/>
  <c r="Z207" i="1" s="1"/>
  <c r="K191" i="1"/>
  <c r="K222" i="1"/>
  <c r="Z222" i="1" s="1"/>
  <c r="K206" i="1"/>
  <c r="K190" i="1"/>
  <c r="Z189" i="1" s="1"/>
  <c r="K182" i="1"/>
  <c r="Z181" i="1" s="1"/>
  <c r="K166" i="1"/>
  <c r="Z166" i="1" s="1"/>
  <c r="K213" i="1"/>
  <c r="Z210" i="1" s="1"/>
  <c r="K205" i="1"/>
  <c r="K189" i="1"/>
  <c r="Z188" i="1" s="1"/>
  <c r="K181" i="1"/>
  <c r="Z180" i="1" s="1"/>
  <c r="K165" i="1"/>
  <c r="Z165" i="1" s="1"/>
  <c r="K179" i="1"/>
  <c r="K204" i="1"/>
  <c r="Z202" i="1" s="1"/>
  <c r="K196" i="1"/>
  <c r="K180" i="1"/>
  <c r="K172" i="1"/>
  <c r="Z172" i="1" s="1"/>
  <c r="K164" i="1"/>
  <c r="Z164" i="1" s="1"/>
  <c r="K219" i="1"/>
  <c r="Z216" i="1" s="1"/>
  <c r="K203" i="1"/>
  <c r="Z201" i="1" s="1"/>
  <c r="K195" i="1"/>
  <c r="Z195" i="1" s="1"/>
  <c r="K187" i="1"/>
  <c r="K171" i="1"/>
  <c r="Z171" i="1" s="1"/>
  <c r="D19" i="1"/>
  <c r="B19" i="1"/>
  <c r="C19" i="1"/>
  <c r="AS6" i="1"/>
  <c r="AS5" i="7"/>
  <c r="AS6" i="7" s="1"/>
  <c r="C1" i="7"/>
  <c r="D65" i="1" l="1"/>
  <c r="W223" i="1"/>
  <c r="H68" i="1" s="1"/>
  <c r="K68" i="1"/>
  <c r="A68" i="1" s="1"/>
  <c r="W222" i="1"/>
  <c r="H67" i="1" s="1"/>
  <c r="K67" i="1"/>
  <c r="A67" i="1" s="1"/>
  <c r="C65" i="1"/>
  <c r="Z219" i="1"/>
  <c r="K64" i="1" s="1"/>
  <c r="A64" i="1" s="1"/>
  <c r="Z218" i="1"/>
  <c r="W218" i="1" s="1"/>
  <c r="H63" i="1" s="1"/>
  <c r="Z214" i="1"/>
  <c r="W214" i="1" s="1"/>
  <c r="H59" i="1" s="1"/>
  <c r="Z217" i="1"/>
  <c r="Z215" i="1"/>
  <c r="W215" i="1" s="1"/>
  <c r="H60" i="1" s="1"/>
  <c r="Z213" i="1"/>
  <c r="K58" i="1" s="1"/>
  <c r="A58" i="1" s="1"/>
  <c r="D56" i="1"/>
  <c r="C56" i="1"/>
  <c r="K54" i="1"/>
  <c r="A54" i="1" s="1"/>
  <c r="W209" i="1"/>
  <c r="H54" i="1" s="1"/>
  <c r="K53" i="1"/>
  <c r="A53" i="1" s="1"/>
  <c r="W208" i="1"/>
  <c r="H53" i="1" s="1"/>
  <c r="W207" i="1"/>
  <c r="H52" i="1" s="1"/>
  <c r="K52" i="1"/>
  <c r="A52" i="1" s="1"/>
  <c r="Z206" i="1"/>
  <c r="K51" i="1" s="1"/>
  <c r="A51" i="1" s="1"/>
  <c r="Z205" i="1"/>
  <c r="W205" i="1" s="1"/>
  <c r="H50" i="1" s="1"/>
  <c r="Z204" i="1"/>
  <c r="K49" i="1" s="1"/>
  <c r="A49" i="1" s="1"/>
  <c r="Z203" i="1"/>
  <c r="W203" i="1" s="1"/>
  <c r="H48" i="1" s="1"/>
  <c r="Z200" i="1"/>
  <c r="K45" i="1" s="1"/>
  <c r="A45" i="1" s="1"/>
  <c r="Z197" i="1"/>
  <c r="W197" i="1" s="1"/>
  <c r="H42" i="1" s="1"/>
  <c r="Z199" i="1"/>
  <c r="Z194" i="1"/>
  <c r="K39" i="1" s="1"/>
  <c r="A39" i="1" s="1"/>
  <c r="Z196" i="1"/>
  <c r="K40" i="1"/>
  <c r="A40" i="1" s="1"/>
  <c r="W195" i="1"/>
  <c r="H40" i="1" s="1"/>
  <c r="Z193" i="1"/>
  <c r="W193" i="1" s="1"/>
  <c r="H38" i="1" s="1"/>
  <c r="Z192" i="1"/>
  <c r="K37" i="1" s="1"/>
  <c r="A37" i="1" s="1"/>
  <c r="Z190" i="1"/>
  <c r="W190" i="1" s="1"/>
  <c r="H35" i="1" s="1"/>
  <c r="Z186" i="1"/>
  <c r="K31" i="1" s="1"/>
  <c r="A31" i="1" s="1"/>
  <c r="Z187" i="1"/>
  <c r="K28" i="1"/>
  <c r="A28" i="1" s="1"/>
  <c r="W183" i="1"/>
  <c r="H28" i="1" s="1"/>
  <c r="Z182" i="1"/>
  <c r="W182" i="1" s="1"/>
  <c r="H27" i="1" s="1"/>
  <c r="Z179" i="1"/>
  <c r="K24" i="1" s="1"/>
  <c r="A24" i="1" s="1"/>
  <c r="K15" i="1"/>
  <c r="A15" i="1" s="1"/>
  <c r="W170" i="1"/>
  <c r="H15" i="1" s="1"/>
  <c r="K47" i="1"/>
  <c r="A47" i="1" s="1"/>
  <c r="W202" i="1"/>
  <c r="H47" i="1" s="1"/>
  <c r="W181" i="1"/>
  <c r="H26" i="1" s="1"/>
  <c r="K26" i="1"/>
  <c r="A26" i="1" s="1"/>
  <c r="W185" i="1"/>
  <c r="H30" i="1" s="1"/>
  <c r="K30" i="1"/>
  <c r="A30" i="1" s="1"/>
  <c r="W189" i="1"/>
  <c r="H34" i="1" s="1"/>
  <c r="K34" i="1"/>
  <c r="A34" i="1" s="1"/>
  <c r="W169" i="1"/>
  <c r="H14" i="1" s="1"/>
  <c r="K14" i="1"/>
  <c r="A14" i="1" s="1"/>
  <c r="K55" i="1"/>
  <c r="A55" i="1" s="1"/>
  <c r="W210" i="1"/>
  <c r="H55" i="1" s="1"/>
  <c r="K16" i="1"/>
  <c r="A16" i="1" s="1"/>
  <c r="W171" i="1"/>
  <c r="H16" i="1" s="1"/>
  <c r="W212" i="1"/>
  <c r="H57" i="1" s="1"/>
  <c r="K57" i="1"/>
  <c r="A57" i="1" s="1"/>
  <c r="W177" i="1"/>
  <c r="H22" i="1" s="1"/>
  <c r="K22" i="1"/>
  <c r="A22" i="1" s="1"/>
  <c r="W198" i="1"/>
  <c r="H43" i="1" s="1"/>
  <c r="K43" i="1"/>
  <c r="A43" i="1" s="1"/>
  <c r="W167" i="1"/>
  <c r="H12" i="1" s="1"/>
  <c r="K12" i="1"/>
  <c r="A12" i="1" s="1"/>
  <c r="W165" i="1"/>
  <c r="H10" i="1" s="1"/>
  <c r="K10" i="1"/>
  <c r="A10" i="1" s="1"/>
  <c r="K61" i="1"/>
  <c r="A61" i="1" s="1"/>
  <c r="W216" i="1"/>
  <c r="H61" i="1" s="1"/>
  <c r="K25" i="1"/>
  <c r="A25" i="1" s="1"/>
  <c r="W180" i="1"/>
  <c r="H25" i="1" s="1"/>
  <c r="W168" i="1"/>
  <c r="H13" i="1" s="1"/>
  <c r="K13" i="1"/>
  <c r="A13" i="1" s="1"/>
  <c r="W201" i="1"/>
  <c r="H46" i="1" s="1"/>
  <c r="K46" i="1"/>
  <c r="A46" i="1" s="1"/>
  <c r="W164" i="1"/>
  <c r="H9" i="1" s="1"/>
  <c r="K9" i="1"/>
  <c r="A9" i="1" s="1"/>
  <c r="K33" i="1"/>
  <c r="A33" i="1" s="1"/>
  <c r="W188" i="1"/>
  <c r="H33" i="1" s="1"/>
  <c r="W176" i="1"/>
  <c r="H21" i="1" s="1"/>
  <c r="K21" i="1"/>
  <c r="A21" i="1" s="1"/>
  <c r="W166" i="1"/>
  <c r="H11" i="1" s="1"/>
  <c r="K11" i="1"/>
  <c r="A11" i="1" s="1"/>
  <c r="W172" i="1"/>
  <c r="H17" i="1" s="1"/>
  <c r="K17" i="1"/>
  <c r="A17" i="1" s="1"/>
  <c r="W191" i="1"/>
  <c r="H36" i="1" s="1"/>
  <c r="K36" i="1"/>
  <c r="A36" i="1" s="1"/>
  <c r="C1" i="1"/>
  <c r="W219" i="1" l="1"/>
  <c r="H64" i="1" s="1"/>
  <c r="D68" i="1"/>
  <c r="C68" i="1"/>
  <c r="B68" i="1"/>
  <c r="K63" i="1"/>
  <c r="A63" i="1" s="1"/>
  <c r="C63" i="1" s="1"/>
  <c r="D67" i="1"/>
  <c r="B67" i="1"/>
  <c r="C67" i="1"/>
  <c r="K59" i="1"/>
  <c r="A59" i="1" s="1"/>
  <c r="C59" i="1" s="1"/>
  <c r="W204" i="1"/>
  <c r="H49" i="1" s="1"/>
  <c r="K60" i="1"/>
  <c r="A60" i="1" s="1"/>
  <c r="D60" i="1" s="1"/>
  <c r="W217" i="1"/>
  <c r="H62" i="1" s="1"/>
  <c r="K62" i="1"/>
  <c r="A62" i="1" s="1"/>
  <c r="W213" i="1"/>
  <c r="H58" i="1" s="1"/>
  <c r="C54" i="1"/>
  <c r="B54" i="1"/>
  <c r="D54" i="1"/>
  <c r="B53" i="1"/>
  <c r="D53" i="1"/>
  <c r="C53" i="1"/>
  <c r="K50" i="1"/>
  <c r="A50" i="1" s="1"/>
  <c r="D50" i="1" s="1"/>
  <c r="D52" i="1"/>
  <c r="C52" i="1"/>
  <c r="B52" i="1"/>
  <c r="W206" i="1"/>
  <c r="H51" i="1" s="1"/>
  <c r="W200" i="1"/>
  <c r="H45" i="1" s="1"/>
  <c r="K48" i="1"/>
  <c r="A48" i="1" s="1"/>
  <c r="C48" i="1" s="1"/>
  <c r="K42" i="1"/>
  <c r="A42" i="1" s="1"/>
  <c r="D42" i="1" s="1"/>
  <c r="W194" i="1"/>
  <c r="H39" i="1" s="1"/>
  <c r="W199" i="1"/>
  <c r="H44" i="1" s="1"/>
  <c r="K44" i="1"/>
  <c r="A44" i="1" s="1"/>
  <c r="K41" i="1"/>
  <c r="A41" i="1" s="1"/>
  <c r="W196" i="1"/>
  <c r="H41" i="1" s="1"/>
  <c r="C40" i="1"/>
  <c r="D40" i="1"/>
  <c r="B40" i="1"/>
  <c r="K38" i="1"/>
  <c r="A38" i="1" s="1"/>
  <c r="C38" i="1" s="1"/>
  <c r="K35" i="1"/>
  <c r="A35" i="1" s="1"/>
  <c r="D35" i="1" s="1"/>
  <c r="W192" i="1"/>
  <c r="H37" i="1" s="1"/>
  <c r="W186" i="1"/>
  <c r="H31" i="1" s="1"/>
  <c r="W187" i="1"/>
  <c r="H32" i="1" s="1"/>
  <c r="K32" i="1"/>
  <c r="A32" i="1" s="1"/>
  <c r="W179" i="1"/>
  <c r="H24" i="1" s="1"/>
  <c r="K27" i="1"/>
  <c r="A27" i="1" s="1"/>
  <c r="B27" i="1" s="1"/>
  <c r="B28" i="1"/>
  <c r="C28" i="1"/>
  <c r="D28" i="1"/>
  <c r="D36" i="1"/>
  <c r="C36" i="1"/>
  <c r="B36" i="1"/>
  <c r="C37" i="1"/>
  <c r="B37" i="1"/>
  <c r="D37" i="1"/>
  <c r="B47" i="1"/>
  <c r="D47" i="1"/>
  <c r="C47" i="1"/>
  <c r="B11" i="1"/>
  <c r="C11" i="1"/>
  <c r="D11" i="1"/>
  <c r="C13" i="1"/>
  <c r="B13" i="1"/>
  <c r="D13" i="1"/>
  <c r="B10" i="1"/>
  <c r="C10" i="1"/>
  <c r="D10" i="1"/>
  <c r="B22" i="1"/>
  <c r="D22" i="1"/>
  <c r="C22" i="1"/>
  <c r="B45" i="1"/>
  <c r="C45" i="1"/>
  <c r="D45" i="1"/>
  <c r="C61" i="1"/>
  <c r="D61" i="1"/>
  <c r="B61" i="1"/>
  <c r="D33" i="1"/>
  <c r="B33" i="1"/>
  <c r="C33" i="1"/>
  <c r="B58" i="1"/>
  <c r="C58" i="1"/>
  <c r="D58" i="1"/>
  <c r="B31" i="1"/>
  <c r="D31" i="1"/>
  <c r="C31" i="1"/>
  <c r="B39" i="1"/>
  <c r="D39" i="1"/>
  <c r="C39" i="1"/>
  <c r="B55" i="1"/>
  <c r="C55" i="1"/>
  <c r="D55" i="1"/>
  <c r="B9" i="1"/>
  <c r="D9" i="1"/>
  <c r="C9" i="1"/>
  <c r="D63" i="1"/>
  <c r="D12" i="1"/>
  <c r="C12" i="1"/>
  <c r="B12" i="1"/>
  <c r="B57" i="1"/>
  <c r="C57" i="1"/>
  <c r="D57" i="1"/>
  <c r="B14" i="1"/>
  <c r="C14" i="1"/>
  <c r="D14" i="1"/>
  <c r="D30" i="1"/>
  <c r="C30" i="1"/>
  <c r="B30" i="1"/>
  <c r="B51" i="1"/>
  <c r="C51" i="1"/>
  <c r="D51" i="1"/>
  <c r="B64" i="1"/>
  <c r="C64" i="1"/>
  <c r="D64" i="1"/>
  <c r="C34" i="1"/>
  <c r="B34" i="1"/>
  <c r="D34" i="1"/>
  <c r="D17" i="1"/>
  <c r="B17" i="1"/>
  <c r="C17" i="1"/>
  <c r="B21" i="1"/>
  <c r="C21" i="1"/>
  <c r="D21" i="1"/>
  <c r="C46" i="1"/>
  <c r="B46" i="1"/>
  <c r="D46" i="1"/>
  <c r="C43" i="1"/>
  <c r="D43" i="1"/>
  <c r="B43" i="1"/>
  <c r="D26" i="1"/>
  <c r="B26" i="1"/>
  <c r="C26" i="1"/>
  <c r="D49" i="1"/>
  <c r="B49" i="1"/>
  <c r="C49" i="1"/>
  <c r="D25" i="1"/>
  <c r="C25" i="1"/>
  <c r="B25" i="1"/>
  <c r="D16" i="1"/>
  <c r="B16" i="1"/>
  <c r="C16" i="1"/>
  <c r="B24" i="1"/>
  <c r="C24" i="1"/>
  <c r="D24" i="1"/>
  <c r="B15" i="1"/>
  <c r="D15" i="1"/>
  <c r="C15" i="1"/>
  <c r="AO36" i="4"/>
  <c r="AQ36" i="4" s="1"/>
  <c r="AO35" i="4"/>
  <c r="AO32" i="4"/>
  <c r="AO30" i="4"/>
  <c r="AO28" i="4"/>
  <c r="D59" i="1" l="1"/>
  <c r="B63" i="1"/>
  <c r="B59" i="1"/>
  <c r="B60" i="1"/>
  <c r="C60" i="1"/>
  <c r="D62" i="1"/>
  <c r="B62" i="1"/>
  <c r="C62" i="1"/>
  <c r="B50" i="1"/>
  <c r="B48" i="1"/>
  <c r="D48" i="1"/>
  <c r="C42" i="1"/>
  <c r="B42" i="1"/>
  <c r="C50" i="1"/>
  <c r="D44" i="1"/>
  <c r="C44" i="1"/>
  <c r="B44" i="1"/>
  <c r="D38" i="1"/>
  <c r="B38" i="1"/>
  <c r="D41" i="1"/>
  <c r="B41" i="1"/>
  <c r="C41" i="1"/>
  <c r="B35" i="1"/>
  <c r="C35" i="1"/>
  <c r="C32" i="1"/>
  <c r="B32" i="1"/>
  <c r="D32" i="1"/>
  <c r="D27" i="1"/>
  <c r="C27" i="1"/>
  <c r="AQ28" i="4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l="1"/>
  <c r="V36" i="1" s="1"/>
  <c r="Y15" i="1"/>
  <c r="V15" i="1" s="1"/>
  <c r="G317" i="1"/>
  <c r="Y52" i="1"/>
  <c r="V52" i="1" s="1"/>
  <c r="DD40" i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G356" i="1"/>
  <c r="Y22" i="1"/>
  <c r="IX22" i="1" s="1"/>
  <c r="G324" i="1"/>
  <c r="Y16" i="1"/>
  <c r="V16" i="1" s="1"/>
  <c r="G318" i="1"/>
  <c r="Y49" i="1"/>
  <c r="V49" i="1" s="1"/>
  <c r="G351" i="1"/>
  <c r="Y29" i="1"/>
  <c r="IS35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IS30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G347" i="1"/>
  <c r="Y37" i="1"/>
  <c r="V37" i="1" s="1"/>
  <c r="G339" i="1"/>
  <c r="Y30" i="1"/>
  <c r="V30" i="1" s="1"/>
  <c r="G332" i="1"/>
  <c r="Y27" i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EH54" i="1"/>
  <c r="BP54" i="1"/>
  <c r="GW99" i="1"/>
  <c r="BP99" i="1"/>
  <c r="CR101" i="1"/>
  <c r="BP101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91" i="1"/>
  <c r="IS87" i="1"/>
  <c r="IX68" i="1"/>
  <c r="IX27" i="1"/>
  <c r="IX82" i="1"/>
  <c r="V102" i="1"/>
  <c r="IS37" i="1"/>
  <c r="IS106" i="1"/>
  <c r="IX61" i="1"/>
  <c r="IX95" i="1"/>
  <c r="IS75" i="1"/>
  <c r="IS110" i="1"/>
  <c r="IX38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AC25" i="1"/>
  <c r="AC86" i="1"/>
  <c r="Q90" i="1"/>
  <c r="Q96" i="1"/>
  <c r="IS60" i="1"/>
  <c r="Y16" i="4"/>
  <c r="Y15" i="4"/>
  <c r="X14" i="4"/>
  <c r="X15" i="4"/>
  <c r="V15" i="4"/>
  <c r="IS24" i="1"/>
  <c r="IS81" i="1"/>
  <c r="IX67" i="1"/>
  <c r="IS40" i="1"/>
  <c r="V93" i="1"/>
  <c r="IX93" i="1"/>
  <c r="IS16" i="1"/>
  <c r="IS21" i="1"/>
  <c r="IS45" i="1"/>
  <c r="IX29" i="1"/>
  <c r="IX118" i="1"/>
  <c r="IX80" i="1"/>
  <c r="IS101" i="1"/>
  <c r="IS80" i="1"/>
  <c r="IX66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X54" i="1"/>
  <c r="IS63" i="1"/>
  <c r="IS100" i="1"/>
  <c r="IX79" i="1"/>
  <c r="AQ97" i="1"/>
  <c r="IW97" i="1"/>
  <c r="IG97" i="1" s="1"/>
  <c r="AQ82" i="1"/>
  <c r="IX44" i="1"/>
  <c r="IX117" i="1"/>
  <c r="IS118" i="1"/>
  <c r="IX102" i="1"/>
  <c r="IS27" i="1"/>
  <c r="IS66" i="1"/>
  <c r="IS44" i="1"/>
  <c r="IS26" i="1"/>
  <c r="IS43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Q17" i="1"/>
  <c r="E319" i="1" s="1"/>
  <c r="CQ122" i="1"/>
  <c r="BG70" i="1"/>
  <c r="DB70" i="1"/>
  <c r="DC102" i="1"/>
  <c r="GM70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 s="1"/>
  <c r="BI70" i="1"/>
  <c r="CV102" i="1"/>
  <c r="AZ70" i="1"/>
  <c r="DR102" i="1"/>
  <c r="GJ70" i="1"/>
  <c r="DD70" i="1"/>
  <c r="DI70" i="1"/>
  <c r="BE78" i="1"/>
  <c r="BW102" i="1"/>
  <c r="BJ70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FX54" i="1"/>
  <c r="AF46" i="1"/>
  <c r="AI46" i="1" s="1"/>
  <c r="DV54" i="1"/>
  <c r="Q108" i="1"/>
  <c r="BM86" i="1"/>
  <c r="GJ86" i="1"/>
  <c r="AZ54" i="1"/>
  <c r="BQ54" i="1"/>
  <c r="V68" i="1"/>
  <c r="V101" i="1"/>
  <c r="AD46" i="1"/>
  <c r="AH46" i="1" s="1"/>
  <c r="DK86" i="1"/>
  <c r="GU86" i="1"/>
  <c r="BT86" i="1"/>
  <c r="DE86" i="1"/>
  <c r="FV54" i="1"/>
  <c r="BZ86" i="1"/>
  <c r="CI86" i="1"/>
  <c r="AJ102" i="1"/>
  <c r="Q100" i="1"/>
  <c r="AC46" i="1"/>
  <c r="EY86" i="1"/>
  <c r="DD86" i="1"/>
  <c r="DB86" i="1"/>
  <c r="DJ86" i="1"/>
  <c r="AC32" i="1"/>
  <c r="FE54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BN83" i="1"/>
  <c r="BP83" i="1" s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13" i="1"/>
  <c r="R49" i="1"/>
  <c r="AD43" i="1"/>
  <c r="V38" i="1"/>
  <c r="V59" i="1"/>
  <c r="V29" i="1"/>
  <c r="V60" i="1"/>
  <c r="Q12" i="1"/>
  <c r="E314" i="1" s="1"/>
  <c r="V54" i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ES70" i="1"/>
  <c r="DK70" i="1"/>
  <c r="CD70" i="1"/>
  <c r="BD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BP70" i="1" s="1"/>
  <c r="CF70" i="1" s="1"/>
  <c r="CL70" i="1" s="1"/>
  <c r="FK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BQ70" i="1" s="1"/>
  <c r="ET70" i="1"/>
  <c r="BK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EF81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T59" i="1"/>
  <c r="BL59" i="1"/>
  <c r="EU59" i="1"/>
  <c r="GW59" i="1"/>
  <c r="BZ59" i="1"/>
  <c r="DH59" i="1"/>
  <c r="GM59" i="1"/>
  <c r="DG59" i="1"/>
  <c r="DI59" i="1"/>
  <c r="AZ59" i="1"/>
  <c r="GJ59" i="1"/>
  <c r="DF59" i="1"/>
  <c r="EY59" i="1"/>
  <c r="DB59" i="1"/>
  <c r="GL59" i="1"/>
  <c r="GV59" i="1"/>
  <c r="BW59" i="1"/>
  <c r="ES59" i="1"/>
  <c r="CO59" i="1"/>
  <c r="BY59" i="1"/>
  <c r="FK59" i="1"/>
  <c r="GX59" i="1"/>
  <c r="CI59" i="1"/>
  <c r="BM59" i="1"/>
  <c r="BS59" i="1"/>
  <c r="BJ59" i="1"/>
  <c r="BO59" i="1" s="1"/>
  <c r="BV59" i="1"/>
  <c r="HI59" i="1"/>
  <c r="BD59" i="1"/>
  <c r="BN59" i="1"/>
  <c r="BP59" i="1" s="1"/>
  <c r="CF59" i="1" s="1"/>
  <c r="CL59" i="1" s="1"/>
  <c r="CD59" i="1"/>
  <c r="BH59" i="1"/>
  <c r="DC59" i="1"/>
  <c r="BG59" i="1"/>
  <c r="BF59" i="1"/>
  <c r="BQ59" i="1"/>
  <c r="DT59" i="1"/>
  <c r="DE59" i="1"/>
  <c r="DJ59" i="1"/>
  <c r="GK59" i="1"/>
  <c r="GU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BI59" i="1"/>
  <c r="EA123" i="1"/>
  <c r="HC123" i="1"/>
  <c r="BY123" i="1"/>
  <c r="BI123" i="1"/>
  <c r="DC123" i="1"/>
  <c r="EU64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BK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E327" i="1" s="1"/>
  <c r="Q20" i="1"/>
  <c r="E322" i="1" s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51" i="1" l="1"/>
  <c r="IX45" i="1"/>
  <c r="IS23" i="1"/>
  <c r="EU35" i="1"/>
  <c r="IX41" i="1"/>
  <c r="IS33" i="1"/>
  <c r="IS59" i="1"/>
  <c r="V22" i="1"/>
  <c r="IX42" i="1"/>
  <c r="V21" i="1"/>
  <c r="V41" i="1"/>
  <c r="V26" i="1"/>
  <c r="V23" i="1"/>
  <c r="V45" i="1"/>
  <c r="V14" i="1"/>
  <c r="IS55" i="1"/>
  <c r="IS52" i="1"/>
  <c r="IS39" i="1"/>
  <c r="IX39" i="1"/>
  <c r="IX40" i="1"/>
  <c r="IX43" i="1"/>
  <c r="IS42" i="1"/>
  <c r="IS17" i="1"/>
  <c r="IX30" i="1"/>
  <c r="IS29" i="1"/>
  <c r="IX28" i="1"/>
  <c r="IS32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H59" i="1"/>
  <c r="CF69" i="1"/>
  <c r="CL69" i="1" s="1"/>
  <c r="CF74" i="1"/>
  <c r="CL74" i="1" s="1"/>
  <c r="CH58" i="1"/>
  <c r="CF86" i="1"/>
  <c r="CL86" i="1" s="1"/>
  <c r="BO83" i="1"/>
  <c r="CH83" i="1" s="1"/>
  <c r="BR69" i="1"/>
  <c r="CJ69" i="1" s="1"/>
  <c r="BQ85" i="1"/>
  <c r="CG85" i="1" s="1"/>
  <c r="BQ84" i="1"/>
  <c r="CG84" i="1" s="1"/>
  <c r="BQ86" i="1"/>
  <c r="CG86" i="1" s="1"/>
  <c r="BO85" i="1"/>
  <c r="CH85" i="1" s="1"/>
  <c r="BQ87" i="1"/>
  <c r="CG87" i="1" s="1"/>
  <c r="BO68" i="1"/>
  <c r="CH68" i="1" s="1"/>
  <c r="BO70" i="1"/>
  <c r="CH70" i="1" s="1"/>
  <c r="BR58" i="1"/>
  <c r="CJ58" i="1" s="1"/>
  <c r="BR59" i="1"/>
  <c r="CJ59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BR83" i="1"/>
  <c r="CJ83" i="1" s="1"/>
  <c r="CG59" i="1"/>
  <c r="CJ85" i="1"/>
  <c r="BR84" i="1"/>
  <c r="CJ84" i="1" s="1"/>
  <c r="BR86" i="1"/>
  <c r="CJ86" i="1" s="1"/>
  <c r="CM86" i="1" s="1"/>
  <c r="CM58" i="1"/>
  <c r="BQ58" i="1"/>
  <c r="CG58" i="1" s="1"/>
  <c r="BR72" i="1"/>
  <c r="CJ72" i="1" s="1"/>
  <c r="BQ67" i="1"/>
  <c r="CG67" i="1" s="1"/>
  <c r="BQ71" i="1"/>
  <c r="CG71" i="1" s="1"/>
  <c r="BQ83" i="1"/>
  <c r="CG83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CM59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71" i="1"/>
  <c r="IS19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W30" i="1"/>
  <c r="IG30" i="1" s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W39" i="1"/>
  <c r="IG39" i="1" s="1"/>
  <c r="AQ67" i="1"/>
  <c r="IR81" i="1"/>
  <c r="IW67" i="1"/>
  <c r="IG67" i="1" s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IW27" i="1"/>
  <c r="IG27" i="1" s="1"/>
  <c r="IR27" i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IW45" i="1"/>
  <c r="IG45" i="1" s="1"/>
  <c r="AQ88" i="1"/>
  <c r="IR97" i="1"/>
  <c r="IR45" i="1"/>
  <c r="AQ77" i="1"/>
  <c r="IW77" i="1"/>
  <c r="IG77" i="1" s="1"/>
  <c r="AQ115" i="1"/>
  <c r="IW115" i="1"/>
  <c r="IG115" i="1" s="1"/>
  <c r="AQ78" i="1"/>
  <c r="IW78" i="1"/>
  <c r="IG78" i="1" s="1"/>
  <c r="IR41" i="1"/>
  <c r="IR63" i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IR40" i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6" i="1" l="1"/>
  <c r="IR44" i="1"/>
  <c r="IW54" i="1"/>
  <c r="IG54" i="1" s="1"/>
  <c r="IR52" i="1"/>
  <c r="IW53" i="1"/>
  <c r="IG53" i="1" s="1"/>
  <c r="IR55" i="1"/>
  <c r="IR54" i="1"/>
  <c r="IR42" i="1"/>
  <c r="IW40" i="1"/>
  <c r="IG40" i="1" s="1"/>
  <c r="IR43" i="1"/>
  <c r="IR39" i="1"/>
  <c r="IW28" i="1"/>
  <c r="IG28" i="1" s="1"/>
  <c r="IR30" i="1"/>
  <c r="IW29" i="1"/>
  <c r="IG29" i="1" s="1"/>
  <c r="IR28" i="1"/>
  <c r="IR29" i="1"/>
  <c r="IR17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68" i="1"/>
  <c r="CM69" i="1"/>
  <c r="CG70" i="1"/>
  <c r="CM70" i="1" s="1"/>
  <c r="CJ87" i="1"/>
  <c r="CF84" i="1"/>
  <c r="CL84" i="1" s="1"/>
  <c r="CF68" i="1"/>
  <c r="CL68" i="1" s="1"/>
  <c r="CF67" i="1"/>
  <c r="CL67" i="1" s="1"/>
  <c r="CF83" i="1"/>
  <c r="CL83" i="1" s="1"/>
  <c r="CM83" i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J22" i="1" l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CM53" i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CV53" i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FS35" i="1" l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EP41" i="1" l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F41" i="1" l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D41" i="1" l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BU58" i="1" l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BU59" i="1" l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N58" i="1" l="1"/>
  <c r="CB59" i="1"/>
  <c r="CC59" i="1"/>
  <c r="CK59" i="1" s="1"/>
  <c r="CR59" i="1" s="1"/>
  <c r="CE59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Q58" i="1" l="1"/>
  <c r="CP58" i="1"/>
  <c r="CN59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P59" i="1" l="1"/>
  <c r="CQ59" i="1"/>
  <c r="CS58" i="1"/>
  <c r="CU58" i="1" s="1"/>
  <c r="CT58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Y58" i="1" l="1"/>
  <c r="CZ58" i="1"/>
  <c r="DA58" i="1"/>
  <c r="CV58" i="1"/>
  <c r="CW58" i="1"/>
  <c r="CX58" i="1"/>
  <c r="CU59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V59" i="1" l="1"/>
  <c r="CW59" i="1"/>
  <c r="CX59" i="1"/>
  <c r="CY59" i="1"/>
  <c r="DO59" i="1" s="1"/>
  <c r="CZ59" i="1"/>
  <c r="DP59" i="1" s="1"/>
  <c r="DA59" i="1"/>
  <c r="DQ59" i="1" s="1"/>
  <c r="DN58" i="1"/>
  <c r="DM58" i="1"/>
  <c r="DL58" i="1"/>
  <c r="DQ58" i="1"/>
  <c r="DP58" i="1"/>
  <c r="DO58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W58" i="1" l="1"/>
  <c r="DX58" i="1" s="1"/>
  <c r="EA58" i="1" s="1"/>
  <c r="DV58" i="1"/>
  <c r="DR58" i="1"/>
  <c r="DS59" i="1"/>
  <c r="DU59" i="1"/>
  <c r="DY59" i="1" s="1"/>
  <c r="DN59" i="1"/>
  <c r="DS58" i="1"/>
  <c r="DU58" i="1"/>
  <c r="DY58" i="1" s="1"/>
  <c r="DM59" i="1"/>
  <c r="DL59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Z58" i="1" l="1"/>
  <c r="DV59" i="1"/>
  <c r="DW59" i="1"/>
  <c r="DX59" i="1" s="1"/>
  <c r="EA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DZ59" i="1" l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EK58" i="1" l="1"/>
  <c r="EF58" i="1"/>
  <c r="EE58" i="1"/>
  <c r="EG58" i="1"/>
  <c r="EL58" i="1"/>
  <c r="EI58" i="1"/>
  <c r="EH58" i="1"/>
  <c r="EJ58" i="1"/>
  <c r="EB59" i="1"/>
  <c r="EC59" i="1"/>
  <c r="ED59" i="1"/>
  <c r="HQ17" i="1"/>
  <c r="HQ47" i="1"/>
  <c r="HQ15" i="1"/>
  <c r="HQ19" i="1"/>
  <c r="HQ18" i="1"/>
  <c r="HQ25" i="1"/>
  <c r="HQ23" i="1"/>
  <c r="HQ24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EL59" i="1" l="1"/>
  <c r="EH59" i="1"/>
  <c r="EJ59" i="1"/>
  <c r="EI59" i="1"/>
  <c r="EK59" i="1"/>
  <c r="EG59" i="1"/>
  <c r="EE59" i="1"/>
  <c r="EF59" i="1"/>
  <c r="EN58" i="1"/>
  <c r="EO58" i="1"/>
  <c r="ER58" i="1" s="1"/>
  <c r="EM58" i="1"/>
  <c r="HR17" i="1"/>
  <c r="HR47" i="1"/>
  <c r="BU67" i="1"/>
  <c r="BX67" i="1"/>
  <c r="CA67" i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42" i="1"/>
  <c r="HQ11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EN59" i="1" l="1"/>
  <c r="EM59" i="1"/>
  <c r="EO59" i="1"/>
  <c r="ER59" i="1" s="1"/>
  <c r="EP58" i="1"/>
  <c r="EQ58" i="1"/>
  <c r="EZ58" i="1" s="1"/>
  <c r="FC58" i="1" s="1"/>
  <c r="HM17" i="1"/>
  <c r="HM47" i="1"/>
  <c r="CC67" i="1"/>
  <c r="CK67" i="1" s="1"/>
  <c r="CR67" i="1" s="1"/>
  <c r="CE67" i="1"/>
  <c r="CB67" i="1"/>
  <c r="CA68" i="1"/>
  <c r="BU68" i="1"/>
  <c r="BX68" i="1"/>
  <c r="HM15" i="1"/>
  <c r="HR29" i="1"/>
  <c r="HM19" i="1"/>
  <c r="HM18" i="1"/>
  <c r="HR30" i="1"/>
  <c r="HM23" i="1"/>
  <c r="HM25" i="1"/>
  <c r="HM24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FF58" i="1" l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F59" i="1" l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17" i="1"/>
  <c r="IA47" i="1"/>
  <c r="HY17" i="1"/>
  <c r="HY47" i="1"/>
  <c r="CN68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S67" i="1" l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17" i="1"/>
  <c r="IC47" i="1"/>
  <c r="IB17" i="1"/>
  <c r="IB47" i="1"/>
  <c r="CB70" i="1"/>
  <c r="CE70" i="1"/>
  <c r="CC70" i="1"/>
  <c r="CK70" i="1" s="1"/>
  <c r="IE17" i="1"/>
  <c r="IE47" i="1"/>
  <c r="CN69" i="1"/>
  <c r="BX71" i="1"/>
  <c r="CA71" i="1"/>
  <c r="BU71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GP58" i="1" l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FX59" i="1"/>
  <c r="FZ59" i="1" s="1"/>
  <c r="DM67" i="1"/>
  <c r="CS69" i="1"/>
  <c r="CU69" i="1" s="1"/>
  <c r="CT69" i="1"/>
  <c r="FJ59" i="1"/>
  <c r="GQ59" i="1" s="1"/>
  <c r="HQ46" i="1" s="1"/>
  <c r="FM59" i="1"/>
  <c r="FN59" i="1" s="1"/>
  <c r="FW59" i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Y69" i="1" l="1"/>
  <c r="CZ69" i="1"/>
  <c r="DA69" i="1"/>
  <c r="FQ59" i="1"/>
  <c r="FS59" i="1" s="1"/>
  <c r="FP59" i="1"/>
  <c r="FR59" i="1"/>
  <c r="FT59" i="1" s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HQ22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CY70" i="1" l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R22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Y71" i="1" l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M22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28" i="1" s="1"/>
  <c r="GS56" i="1"/>
  <c r="HY28" i="1" s="1"/>
  <c r="GS55" i="1"/>
  <c r="GY55" i="1"/>
  <c r="GE57" i="1"/>
  <c r="GF57" i="1" s="1"/>
  <c r="GG57" i="1"/>
  <c r="GH57" i="1"/>
  <c r="GI57" i="1"/>
  <c r="AS78" i="1"/>
  <c r="AT78" i="1" s="1"/>
  <c r="DY70" i="1" l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IA22" i="1"/>
  <c r="HY2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DW71" i="1" l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C22" i="1"/>
  <c r="IB22" i="1"/>
  <c r="IE22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EL71" i="1" l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EL72" i="1" l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EK73" i="1" l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HQ13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GP68" i="1" l="1"/>
  <c r="HR13" i="1" s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HQ16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Y72" i="1" l="1"/>
  <c r="HE72" i="1" s="1"/>
  <c r="FF72" i="1"/>
  <c r="FI72" i="1" s="1"/>
  <c r="GA69" i="1"/>
  <c r="GP69" i="1"/>
  <c r="HR16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HM13" i="1" s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EW71" i="1" l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HM16" i="1" s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GR67" i="1" l="1"/>
  <c r="GT67" i="1"/>
  <c r="HA67" i="1"/>
  <c r="GR68" i="1"/>
  <c r="IB13" i="1" s="1"/>
  <c r="GT68" i="1"/>
  <c r="IC13" i="1" s="1"/>
  <c r="HY13" i="1"/>
  <c r="HA68" i="1"/>
  <c r="GZ68" i="1"/>
  <c r="IE13" i="1" s="1"/>
  <c r="IA13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GA70" i="1" l="1"/>
  <c r="GP70" i="1"/>
  <c r="HR21" i="1" s="1"/>
  <c r="GD70" i="1"/>
  <c r="GZ69" i="1"/>
  <c r="IE16" i="1" s="1"/>
  <c r="IA16" i="1"/>
  <c r="CY83" i="1"/>
  <c r="CZ83" i="1"/>
  <c r="DA83" i="1"/>
  <c r="GT69" i="1"/>
  <c r="IC16" i="1" s="1"/>
  <c r="GR69" i="1"/>
  <c r="IB16" i="1" s="1"/>
  <c r="HY16" i="1"/>
  <c r="HA69" i="1"/>
  <c r="HC68" i="1"/>
  <c r="HD68" i="1"/>
  <c r="FR70" i="1"/>
  <c r="FP70" i="1"/>
  <c r="FQ70" i="1"/>
  <c r="FS70" i="1" s="1"/>
  <c r="FX71" i="1"/>
  <c r="FZ71" i="1" s="1"/>
  <c r="CN86" i="1"/>
  <c r="CR86" i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V84" i="1" l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P74" i="1" l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Y87" i="1" l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L87" i="1" l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R74" i="1" l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C73" i="1" l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FF84" i="1" l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<sst xmlns="http://schemas.openxmlformats.org/spreadsheetml/2006/main" count="886" uniqueCount="425">
  <si>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</si>
  <si>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</si>
  <si>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</si>
  <si>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</si>
  <si>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</si>
  <si>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</si>
  <si>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</si>
  <si>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</si>
  <si>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</si>
  <si>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</si>
  <si>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</si>
  <si>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</si>
  <si>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</si>
  <si>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</si>
  <si>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</si>
  <si>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</si>
  <si>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</si>
  <si>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</si>
  <si>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</si>
  <si>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</si>
  <si>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</si>
  <si>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</si>
  <si>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</si>
  <si>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</si>
  <si>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</si>
  <si>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</si>
  <si>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</si>
  <si>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</si>
  <si>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</si>
  <si>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</si>
  <si>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</si>
  <si>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</si>
  <si>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</si>
  <si>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</si>
  <si>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</si>
  <si>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</si>
  <si>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</si>
  <si>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</si>
  <si>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</si>
  <si>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</si>
  <si>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</si>
  <si>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</si>
  <si>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</si>
  <si>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</si>
  <si>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</si>
  <si>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</si>
  <si>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</si>
  <si>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</si>
  <si>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</si>
  <si>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</si>
  <si>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</si>
  <si>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</si>
  <si>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</si>
  <si>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</si>
  <si>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</si>
  <si>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</si>
  <si>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</si>
  <si>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</si>
  <si>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</si>
  <si>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</si>
  <si>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</si>
  <si>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</si>
  <si>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</si>
  <si>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</si>
  <si>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</si>
  <si>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</si>
  <si>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</si>
  <si>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</si>
  <si>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</si>
  <si>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</si>
  <si>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</si>
  <si>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</si>
  <si>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</si>
  <si>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</si>
  <si>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</si>
  <si>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</si>
  <si>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</si>
  <si>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</si>
  <si>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</si>
  <si>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</si>
  <si>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</si>
  <si>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</si>
  <si>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</si>
  <si>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</si>
  <si>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</si>
  <si>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</si>
  <si>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</si>
  <si>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</si>
  <si>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</si>
  <si>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</si>
  <si>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</si>
  <si>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</si>
  <si>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</si>
  <si>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</si>
  <si>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</si>
  <si>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</si>
  <si>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</si>
  <si>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</si>
  <si>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</si>
  <si>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</si>
  <si>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</si>
  <si>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</si>
  <si>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</si>
  <si>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</si>
  <si>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</si>
  <si>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</si>
  <si>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</si>
  <si>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</si>
  <si>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</si>
  <si>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</si>
  <si>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</si>
  <si>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</si>
  <si>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</si>
  <si>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</si>
  <si>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</si>
  <si>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</si>
  <si>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</si>
  <si>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</si>
  <si>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</si>
  <si>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</si>
  <si>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</si>
  <si>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</si>
  <si>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</si>
  <si>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</si>
  <si>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</si>
  <si>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</si>
  <si>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</si>
  <si>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</si>
  <si>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</si>
  <si>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</si>
  <si>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</si>
  <si>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</si>
  <si>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</si>
  <si>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</si>
  <si>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</si>
  <si>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</si>
  <si>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</si>
  <si>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</si>
  <si>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</si>
  <si>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</si>
  <si>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</si>
  <si>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</si>
  <si>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</si>
  <si>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</si>
  <si>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</si>
  <si>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</si>
  <si>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</si>
  <si>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</si>
  <si>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</si>
  <si>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</si>
  <si>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</si>
  <si>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</si>
  <si>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</si>
  <si>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</si>
  <si>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</si>
  <si>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</si>
  <si>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</si>
  <si>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</si>
  <si>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</si>
  <si>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</si>
  <si>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</si>
  <si>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</si>
  <si>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</si>
  <si>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</si>
  <si>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</si>
  <si>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</si>
  <si>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</si>
  <si>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</si>
  <si>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</si>
  <si>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</si>
  <si>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</si>
  <si>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</si>
  <si>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</si>
  <si>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</si>
  <si>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</si>
  <si>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</si>
  <si>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</si>
  <si>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</si>
  <si>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</si>
  <si>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</si>
  <si>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</si>
  <si>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</si>
  <si>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</si>
  <si>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</si>
  <si>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</si>
  <si>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</si>
  <si>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</si>
  <si>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</si>
  <si>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</si>
  <si>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</si>
  <si>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</si>
  <si>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</si>
  <si>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</si>
  <si>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</si>
  <si>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</si>
  <si>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</si>
  <si>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</si>
  <si>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</si>
  <si>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</si>
  <si>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</si>
  <si>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</si>
  <si>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</si>
  <si>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</si>
  <si>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</si>
  <si>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</si>
  <si>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</si>
  <si>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</si>
  <si>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</si>
  <si>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</si>
  <si>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</si>
  <si>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</si>
  <si>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</si>
  <si>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</si>
  <si>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</si>
  <si>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</si>
  <si>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</si>
  <si>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</si>
  <si>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</si>
  <si>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</si>
  <si>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</si>
  <si>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</si>
  <si>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</si>
  <si>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</si>
  <si>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</si>
  <si>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</si>
  <si>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</si>
  <si>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</si>
  <si>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</si>
  <si>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</si>
  <si>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</si>
  <si>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</si>
  <si>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</si>
  <si>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</si>
  <si>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</si>
  <si>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</si>
  <si>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</si>
  <si>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</si>
  <si>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</si>
  <si>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</si>
  <si>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</si>
  <si>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</si>
  <si>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</si>
  <si>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</si>
  <si>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</si>
  <si>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</si>
  <si>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</si>
  <si>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</si>
  <si>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</si>
  <si>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</si>
  <si>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</si>
  <si>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</si>
  <si>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</si>
  <si>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</si>
  <si>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</si>
  <si>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</si>
  <si>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</si>
  <si>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</si>
  <si>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</si>
  <si>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</si>
  <si>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</si>
  <si>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</si>
  <si>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</si>
  <si>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</si>
  <si>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</si>
  <si>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</si>
  <si>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</si>
  <si>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</si>
  <si>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</si>
  <si>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</si>
  <si>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</si>
  <si>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</si>
  <si>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</si>
  <si>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</si>
  <si>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</si>
  <si>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</si>
  <si>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</si>
  <si>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</si>
  <si>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</si>
  <si>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</si>
  <si>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</si>
  <si>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</si>
  <si>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</si>
  <si>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</si>
  <si>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</si>
  <si>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</si>
  <si>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</si>
  <si>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</si>
  <si>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</si>
  <si>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</si>
  <si>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</si>
  <si>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</si>
  <si>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</si>
  <si>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</si>
  <si>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</si>
  <si>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</si>
  <si>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</si>
  <si>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</si>
  <si>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</si>
  <si>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</si>
  <si>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</si>
  <si>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</si>
  <si>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</si>
  <si>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</si>
  <si>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</si>
  <si>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</si>
  <si>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</si>
  <si>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</si>
  <si>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</si>
  <si>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</si>
  <si>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</si>
  <si>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</si>
  <si>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</si>
  <si>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</si>
  <si>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</si>
  <si>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</si>
  <si>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</si>
  <si>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</si>
  <si>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</si>
  <si>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</si>
  <si>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</si>
  <si>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</si>
  <si>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</si>
  <si>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</si>
  <si>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</si>
  <si>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</si>
  <si>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</si>
  <si>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</si>
  <si>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</si>
  <si>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</si>
  <si>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</si>
  <si>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</si>
  <si>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</si>
  <si>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</si>
  <si>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</si>
  <si>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</si>
  <si>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</si>
  <si>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</si>
  <si>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</si>
  <si>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</si>
  <si>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</si>
  <si>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</si>
  <si>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</si>
  <si>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</si>
  <si>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</si>
  <si>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</si>
  <si>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</si>
  <si>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</si>
  <si>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</si>
  <si>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</si>
  <si>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</si>
  <si>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</si>
  <si>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</si>
  <si>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</si>
  <si>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</si>
  <si>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</si>
  <si>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</si>
  <si>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</si>
  <si>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</si>
  <si>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</si>
  <si>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</si>
  <si>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</si>
  <si>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</si>
  <si>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</si>
  <si>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</si>
  <si>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</si>
  <si>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</si>
  <si>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</si>
  <si>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</si>
  <si>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</si>
  <si>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</si>
  <si>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</si>
  <si>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</si>
  <si>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</si>
  <si>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</si>
  <si>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</si>
  <si>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</si>
  <si>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</si>
  <si>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</si>
  <si>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</si>
  <si>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</si>
  <si>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</si>
  <si>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</si>
  <si>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</si>
  <si>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</si>
  <si>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</si>
  <si>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</si>
  <si>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</si>
  <si>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</si>
  <si>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</si>
  <si>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</si>
  <si>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</si>
  <si>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</si>
  <si>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</si>
  <si>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</si>
  <si>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</si>
  <si>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</si>
  <si>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</si>
  <si>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</si>
  <si>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</si>
  <si>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</si>
  <si>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</si>
  <si>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</si>
  <si>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</si>
  <si>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</si>
  <si>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</si>
  <si>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</si>
  <si>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</si>
  <si>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</si>
  <si>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</si>
  <si>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</si>
  <si>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</si>
  <si>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</si>
  <si>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</si>
  <si>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</si>
  <si>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</si>
  <si>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</si>
  <si>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</si>
  <si>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</si>
  <si>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</si>
  <si>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1313.par</t>
  </si>
  <si>
    <t>pattern</t>
  </si>
  <si>
    <t>32193r1.par</t>
  </si>
  <si>
    <t>perp</t>
  </si>
  <si>
    <t>14513.par</t>
  </si>
  <si>
    <t>7182r00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</si>
</sst>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76" fontId="0" fillId="62" borderId="202" xfId="0" applyNumberFormat="1" applyFill="1" applyBorder="1" applyAlignment="1">
      <alignment horizontal="center"/>
    </xf>
    <xf numFmtId="176" fontId="0" fillId="62" borderId="54" xfId="0" applyNumberFormat="1" applyFill="1" applyBorder="1" applyAlignment="1">
      <alignment horizontal="center"/>
    </xf>
    <xf numFmtId="176" fontId="0" fillId="62" borderId="359" xfId="0" applyNumberFormat="1" applyFill="1" applyBorder="1" applyAlignment="1">
      <alignment horizontal="center"/>
    </xf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Engineering\01_Designs\7182\7182r00%20CS%20Placement%20V6.xls" TargetMode="External"/><Relationship Id="rId1" Type="http://schemas.openxmlformats.org/officeDocument/2006/relationships/externalLinkPath" Target="7182r00%20CS%20Placement%20V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"/>
      <sheetName val="Sheet2"/>
      <sheetName val="Sheet1"/>
      <sheetName val="Area per cutter"/>
      <sheetName val="Tilt"/>
      <sheetName val="Cutters"/>
    </sheetNames>
    <sheetDataSet>
      <sheetData sheetId="0">
        <row r="204">
          <cell r="AA204">
            <v>1.101</v>
          </cell>
          <cell r="AG204">
            <v>-10</v>
          </cell>
        </row>
        <row r="205">
          <cell r="AA205">
            <v>4.1020000000000003</v>
          </cell>
          <cell r="AG205">
            <v>-10</v>
          </cell>
        </row>
        <row r="206">
          <cell r="AA206">
            <v>3.1030000000000002</v>
          </cell>
          <cell r="AG206">
            <v>-10</v>
          </cell>
        </row>
        <row r="207">
          <cell r="AA207">
            <v>1.1040000000000001</v>
          </cell>
          <cell r="AG207">
            <v>-10</v>
          </cell>
        </row>
        <row r="208">
          <cell r="AA208">
            <v>4.1050000000000004</v>
          </cell>
          <cell r="AG208">
            <v>-10</v>
          </cell>
        </row>
        <row r="209">
          <cell r="AA209">
            <v>3.1059999999999999</v>
          </cell>
          <cell r="AG209">
            <v>-10</v>
          </cell>
        </row>
        <row r="210">
          <cell r="AA210">
            <v>1.107</v>
          </cell>
          <cell r="AG210">
            <v>-20</v>
          </cell>
        </row>
        <row r="211">
          <cell r="AA211">
            <v>4.1079999999999997</v>
          </cell>
          <cell r="AG211">
            <v>-11.439999999999998</v>
          </cell>
        </row>
        <row r="212">
          <cell r="AA212">
            <v>3.109</v>
          </cell>
          <cell r="AG212">
            <v>-2.6899999999999977</v>
          </cell>
        </row>
        <row r="213">
          <cell r="AA213">
            <v>2.11</v>
          </cell>
          <cell r="AG213">
            <v>2.5600000000000023</v>
          </cell>
        </row>
        <row r="214">
          <cell r="AA214">
            <v>1.111</v>
          </cell>
          <cell r="AG214">
            <v>7.8199999999999932</v>
          </cell>
        </row>
        <row r="215">
          <cell r="AA215">
            <v>5.1120000000000001</v>
          </cell>
          <cell r="AG215">
            <v>13.079999999999998</v>
          </cell>
        </row>
        <row r="216">
          <cell r="AA216">
            <v>4.1130000000000004</v>
          </cell>
          <cell r="AG216">
            <v>18.340000000000003</v>
          </cell>
        </row>
        <row r="217">
          <cell r="AA217">
            <v>3.1139999999999999</v>
          </cell>
          <cell r="AG217">
            <v>23.620000000000005</v>
          </cell>
        </row>
        <row r="218">
          <cell r="AA218">
            <v>2.1150000000000002</v>
          </cell>
          <cell r="AG218">
            <v>28.92</v>
          </cell>
        </row>
        <row r="219">
          <cell r="AA219">
            <v>1.1160000000000001</v>
          </cell>
          <cell r="AG219">
            <v>34.230000000000004</v>
          </cell>
        </row>
        <row r="220">
          <cell r="AA220">
            <v>5.117</v>
          </cell>
          <cell r="AG220">
            <v>39.569999999999993</v>
          </cell>
        </row>
        <row r="221">
          <cell r="AA221">
            <v>4.1180000000000003</v>
          </cell>
          <cell r="AG221">
            <v>44.919999999999987</v>
          </cell>
        </row>
        <row r="222">
          <cell r="AA222">
            <v>3.1190000000000002</v>
          </cell>
          <cell r="AG222">
            <v>50.300000000000011</v>
          </cell>
        </row>
        <row r="223">
          <cell r="AA223">
            <v>2.12</v>
          </cell>
          <cell r="AG223">
            <v>55.699999999999989</v>
          </cell>
        </row>
        <row r="224">
          <cell r="AA224">
            <v>1.121</v>
          </cell>
          <cell r="AG224">
            <v>61.129999999999995</v>
          </cell>
        </row>
        <row r="225">
          <cell r="AA225">
            <v>5.1219999999999999</v>
          </cell>
          <cell r="AG225">
            <v>66.569999999999993</v>
          </cell>
        </row>
        <row r="226">
          <cell r="AA226">
            <v>4.1230000000000002</v>
          </cell>
          <cell r="AG226">
            <v>72.03</v>
          </cell>
        </row>
        <row r="227">
          <cell r="AA227">
            <v>3.1240000000000001</v>
          </cell>
          <cell r="AG227">
            <v>77.509999999999991</v>
          </cell>
        </row>
        <row r="228">
          <cell r="AA228">
            <v>2.125</v>
          </cell>
          <cell r="AG228">
            <v>82.990000000000009</v>
          </cell>
        </row>
        <row r="229">
          <cell r="AA229">
            <v>1.1259999999999999</v>
          </cell>
          <cell r="AG229">
            <v>85</v>
          </cell>
        </row>
        <row r="230">
          <cell r="AA230">
            <v>5.1269999999999998</v>
          </cell>
          <cell r="AG230">
            <v>85</v>
          </cell>
        </row>
        <row r="231">
          <cell r="AA231">
            <v>4.1280000000000001</v>
          </cell>
          <cell r="AG231">
            <v>85</v>
          </cell>
        </row>
        <row r="232">
          <cell r="AA232">
            <v>3.129</v>
          </cell>
          <cell r="AG232">
            <v>85</v>
          </cell>
        </row>
        <row r="233">
          <cell r="AA233">
            <v>2.13</v>
          </cell>
          <cell r="AG233">
            <v>85</v>
          </cell>
        </row>
        <row r="234">
          <cell r="AA234">
            <v>1.131</v>
          </cell>
          <cell r="AG234">
            <v>85</v>
          </cell>
        </row>
        <row r="235">
          <cell r="AA235">
            <v>5.1319999999999997</v>
          </cell>
          <cell r="AG235">
            <v>85</v>
          </cell>
        </row>
        <row r="236">
          <cell r="AA236">
            <v>4.399</v>
          </cell>
          <cell r="AG236">
            <v>-90</v>
          </cell>
        </row>
        <row r="237">
          <cell r="AA237">
            <v>3.399</v>
          </cell>
          <cell r="AG237">
            <v>-90</v>
          </cell>
        </row>
        <row r="238">
          <cell r="AA238">
            <v>2.399</v>
          </cell>
          <cell r="AG238">
            <v>-90</v>
          </cell>
        </row>
        <row r="239">
          <cell r="AA239">
            <v>1.399</v>
          </cell>
          <cell r="AG239">
            <v>-90</v>
          </cell>
        </row>
        <row r="240">
          <cell r="AA240">
            <v>5.399</v>
          </cell>
          <cell r="AG240">
            <v>-90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W9" zoomScaleNormal="100" workbookViewId="0">
      <selection activeCell="W20" sqref="A20:XFD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22" t="s">
        <v>77</v>
      </c>
      <c r="D1" s="1022"/>
      <c r="E1" s="1022"/>
      <c r="F1" s="1022"/>
      <c r="G1" s="1022"/>
      <c r="H1" s="1022"/>
      <c r="I1" s="1022"/>
      <c r="J1" s="1022"/>
      <c r="K1" s="1022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9" t="s">
        <v>80</v>
      </c>
      <c r="B6" s="100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8" t="s">
        <v>370</v>
      </c>
      <c r="AQ7" s="1008"/>
      <c r="AR7" s="1008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4">
        <v>9</v>
      </c>
      <c r="D9" s="984"/>
      <c r="E9" s="984"/>
      <c r="F9" s="984"/>
      <c r="G9" s="984"/>
      <c r="H9" s="984"/>
      <c r="I9" s="984"/>
      <c r="J9" s="984"/>
      <c r="K9" s="1015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3"/>
      <c r="C10" s="1004"/>
      <c r="D10" s="1004"/>
      <c r="E10" s="1004"/>
      <c r="F10" s="1004"/>
      <c r="G10" s="1004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20"/>
      <c r="B11" s="1010" t="s">
        <v>33</v>
      </c>
      <c r="C11" s="1019" t="s">
        <v>34</v>
      </c>
      <c r="D11" s="1019"/>
      <c r="E11" s="1016" t="s">
        <v>39</v>
      </c>
      <c r="F11" s="1010" t="s">
        <v>35</v>
      </c>
      <c r="G11" s="1010" t="s">
        <v>36</v>
      </c>
      <c r="H11" s="1010" t="s">
        <v>43</v>
      </c>
      <c r="I11" s="1017" t="s">
        <v>67</v>
      </c>
      <c r="J11" s="1019" t="s">
        <v>56</v>
      </c>
      <c r="K11" s="1019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3" t="s">
        <v>338</v>
      </c>
      <c r="AN11" s="984"/>
      <c r="AO11" s="984"/>
      <c r="AP11" s="984"/>
      <c r="AQ11" s="984"/>
      <c r="AR11" s="985"/>
      <c r="AS11" s="994" t="s">
        <v>345</v>
      </c>
      <c r="AT11" s="995"/>
      <c r="AU11" s="995"/>
      <c r="AV11" s="996"/>
      <c r="BC11" s="419"/>
    </row>
    <row r="12" spans="1:55" ht="15.75" thickBot="1" x14ac:dyDescent="0.3">
      <c r="A12" s="1021"/>
      <c r="B12" s="1011"/>
      <c r="C12" s="48" t="s">
        <v>8</v>
      </c>
      <c r="D12" s="49" t="s">
        <v>10</v>
      </c>
      <c r="E12" s="1011"/>
      <c r="F12" s="1011"/>
      <c r="G12" s="1011"/>
      <c r="H12" s="1011"/>
      <c r="I12" s="1018"/>
      <c r="J12" s="52" t="s">
        <v>8</v>
      </c>
      <c r="K12" s="53" t="s">
        <v>10</v>
      </c>
      <c r="M12" s="31"/>
      <c r="N12" s="31"/>
      <c r="O12" s="1031" t="s">
        <v>46</v>
      </c>
      <c r="P12" s="1032"/>
      <c r="Q12" s="1012" t="s">
        <v>45</v>
      </c>
      <c r="R12" s="1013"/>
      <c r="S12" s="1013"/>
      <c r="T12" s="1013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1014"/>
      <c r="AF12" s="1025" t="s">
        <v>56</v>
      </c>
      <c r="AG12" s="1026"/>
      <c r="AH12" s="31"/>
      <c r="AK12" s="989" t="s">
        <v>346</v>
      </c>
      <c r="AL12" s="1005"/>
      <c r="AM12" s="986" t="s">
        <v>343</v>
      </c>
      <c r="AN12" s="987"/>
      <c r="AO12" s="988"/>
      <c r="AP12" s="989" t="s">
        <v>371</v>
      </c>
      <c r="AQ12" s="988"/>
      <c r="AR12" s="743" t="s">
        <v>369</v>
      </c>
      <c r="AS12" s="991" t="s">
        <v>343</v>
      </c>
      <c r="AT12" s="988"/>
      <c r="AU12" s="992" t="s">
        <v>344</v>
      </c>
      <c r="AV12" s="993"/>
      <c r="AW12" s="997" t="s">
        <v>342</v>
      </c>
      <c r="AX12" s="998"/>
      <c r="AZ12" s="989" t="s">
        <v>60</v>
      </c>
      <c r="BA12" s="988"/>
      <c r="BC12" s="990" t="s">
        <v>374</v>
      </c>
    </row>
    <row r="13" spans="1:55" ht="15.75" thickBot="1" x14ac:dyDescent="0.3">
      <c r="A13" s="63" t="s">
        <v>57</v>
      </c>
      <c r="B13" s="999" t="s">
        <v>97</v>
      </c>
      <c r="C13" s="1001" t="str">
        <f>SUBSTITUTE(ADDRESS(1,COLUMN(Assy.Model!X9),4),"1","")</f>
        <v>X</v>
      </c>
      <c r="D13" s="97" t="str">
        <f>SUBSTITUTE(ADDRESS(1,COLUMN(Assy.Model!Y9),4),"1","")</f>
        <v>Y</v>
      </c>
      <c r="E13" s="1006" t="str">
        <f>SUBSTITUTE(ADDRESS(1,COLUMN(Assy.Model!H9),4),"1","")</f>
        <v>H</v>
      </c>
      <c r="F13" s="1006" t="str">
        <f>SUBSTITUTE(ADDRESS(1,COLUMN(Assy.Model!AN9),4),"1","")</f>
        <v>AN</v>
      </c>
      <c r="G13" s="1006" t="str">
        <f>SUBSTITUTE(ADDRESS(1,COLUMN(Assy.Model!AO9),4),"1","")</f>
        <v>AO</v>
      </c>
      <c r="H13" s="1006" t="str">
        <f>SUBSTITUTE(ADDRESS(1,COLUMN(Assy.Model!AO9),4),"1","")</f>
        <v>AO</v>
      </c>
      <c r="I13" s="1006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3"/>
      <c r="P13" s="103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90"/>
    </row>
    <row r="14" spans="1:55" x14ac:dyDescent="0.25">
      <c r="A14" s="61" t="s">
        <v>58</v>
      </c>
      <c r="B14" s="1000"/>
      <c r="C14" s="1002"/>
      <c r="D14" s="98" t="str">
        <f>SUBSTITUTE(ADDRESS(1,COLUMN(Assy.Model!AT9),4),"1","")</f>
        <v>AT</v>
      </c>
      <c r="E14" s="1007"/>
      <c r="F14" s="1007"/>
      <c r="G14" s="1007"/>
      <c r="H14" s="1007"/>
      <c r="I14" s="1007"/>
      <c r="J14" s="87">
        <v>0</v>
      </c>
      <c r="K14" s="88">
        <v>0</v>
      </c>
      <c r="L14" s="31"/>
      <c r="M14" s="185">
        <v>6.25E-2</v>
      </c>
      <c r="N14" s="31">
        <v>32</v>
      </c>
      <c r="O14" s="1029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9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9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9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9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9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30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4" t="s">
        <v>64</v>
      </c>
      <c r="C21" s="984"/>
      <c r="D21" s="984"/>
      <c r="E21" s="984"/>
      <c r="F21" s="1015"/>
      <c r="G21" s="31"/>
      <c r="H21" s="31"/>
      <c r="I21" s="31"/>
      <c r="AI21" s="783">
        <f t="shared" si="13"/>
        <v>573000.52</v>
      </c>
      <c r="AJ21" s="780" t="b">
        <f>TRUE</f>
        <v>1</v>
      </c>
      <c r="AK21" s="683">
        <v>14513</v>
      </c>
      <c r="AL21" s="750">
        <f t="shared" si="18"/>
        <v>14513</v>
      </c>
      <c r="AM21" s="689">
        <v>0.56999999999999995</v>
      </c>
      <c r="AN21" s="5">
        <f t="shared" si="7"/>
        <v>0.52</v>
      </c>
      <c r="AO21" s="691"/>
      <c r="AP21" s="9">
        <f t="shared" si="16"/>
        <v>0.57299999999999995</v>
      </c>
      <c r="AQ21" s="8">
        <f t="shared" si="8"/>
        <v>0.52</v>
      </c>
      <c r="AR21" s="177">
        <f t="shared" si="19"/>
        <v>0.28499999999999998</v>
      </c>
      <c r="AS21" s="4">
        <f t="shared" si="14"/>
        <v>0.56899999999999995</v>
      </c>
      <c r="AT21" s="8">
        <f t="shared" si="14"/>
        <v>0.57099999999999995</v>
      </c>
      <c r="AU21" s="173">
        <f t="shared" si="15"/>
        <v>0.57399999999999995</v>
      </c>
      <c r="AV21" s="6">
        <f t="shared" si="17"/>
        <v>0.57699999999999996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14513</v>
      </c>
    </row>
    <row r="22" spans="2:55" x14ac:dyDescent="0.25">
      <c r="B22" s="1020"/>
      <c r="C22" s="1014" t="s">
        <v>63</v>
      </c>
      <c r="D22" s="1015"/>
      <c r="E22" s="1017" t="s">
        <v>60</v>
      </c>
      <c r="F22" s="1017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5"/>
      <c r="C23" s="56" t="s">
        <v>8</v>
      </c>
      <c r="D23" s="56" t="s">
        <v>9</v>
      </c>
      <c r="E23" s="1018"/>
      <c r="F23" s="1018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7">
        <v>0</v>
      </c>
      <c r="E24" s="1027">
        <v>2</v>
      </c>
      <c r="F24" s="1027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1028"/>
      <c r="E25" s="1028"/>
      <c r="F25" s="1028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23" t="s">
        <v>302</v>
      </c>
      <c r="C27" s="1023"/>
      <c r="D27" s="1023"/>
      <c r="E27" s="1023"/>
      <c r="F27" s="1023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4" t="s">
        <v>424</v>
      </c>
      <c r="C28" s="1024"/>
      <c r="D28" s="1024"/>
      <c r="E28" s="1024"/>
      <c r="F28" s="1024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4" t="s">
        <v>95</v>
      </c>
      <c r="D3" s="984"/>
      <c r="E3" s="984"/>
      <c r="F3" s="984"/>
      <c r="G3" s="984"/>
      <c r="H3" s="984"/>
      <c r="I3" s="984"/>
      <c r="J3" s="984"/>
      <c r="K3" s="985"/>
      <c r="L3" s="1041"/>
      <c r="M3" s="984"/>
      <c r="N3" s="984"/>
      <c r="O3" s="984"/>
      <c r="P3" s="984"/>
      <c r="Q3" s="984"/>
      <c r="R3" s="1015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3" t="s">
        <v>86</v>
      </c>
      <c r="C4" s="1080" t="s">
        <v>82</v>
      </c>
      <c r="D4" s="984" t="s">
        <v>83</v>
      </c>
      <c r="E4" s="984"/>
      <c r="F4" s="984"/>
      <c r="G4" s="984"/>
      <c r="H4" s="984"/>
      <c r="I4" s="984"/>
      <c r="J4" s="984"/>
      <c r="K4" s="984"/>
      <c r="L4" s="146" t="s">
        <v>91</v>
      </c>
      <c r="M4" s="1014" t="s">
        <v>94</v>
      </c>
      <c r="N4" s="984"/>
      <c r="O4" s="984"/>
      <c r="P4" s="985"/>
      <c r="Q4" s="984" t="s">
        <v>52</v>
      </c>
      <c r="R4" s="1015"/>
      <c r="S4" s="103"/>
      <c r="T4" s="1014">
        <v>350</v>
      </c>
      <c r="U4" s="984"/>
      <c r="V4" s="984" t="s">
        <v>76</v>
      </c>
      <c r="W4" s="984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4"/>
      <c r="C5" s="1081"/>
      <c r="D5" s="1069" t="s">
        <v>85</v>
      </c>
      <c r="E5" s="1083" t="s">
        <v>89</v>
      </c>
      <c r="F5" s="1019" t="s">
        <v>34</v>
      </c>
      <c r="G5" s="1019"/>
      <c r="H5" s="1016" t="s">
        <v>39</v>
      </c>
      <c r="I5" s="1010" t="s">
        <v>35</v>
      </c>
      <c r="J5" s="1010" t="s">
        <v>36</v>
      </c>
      <c r="K5" s="1053" t="s">
        <v>67</v>
      </c>
      <c r="L5" s="147" t="s">
        <v>92</v>
      </c>
      <c r="M5" s="1017" t="s">
        <v>90</v>
      </c>
      <c r="N5" s="1017" t="s">
        <v>47</v>
      </c>
      <c r="O5" s="1036" t="s">
        <v>84</v>
      </c>
      <c r="P5" s="1037"/>
      <c r="Q5" s="1038" t="s">
        <v>84</v>
      </c>
      <c r="R5" s="1039"/>
      <c r="S5" s="103"/>
      <c r="T5" s="1031" t="s">
        <v>46</v>
      </c>
      <c r="U5" s="1042"/>
      <c r="V5" s="998" t="s">
        <v>45</v>
      </c>
      <c r="W5" s="1026"/>
      <c r="X5" s="1026"/>
      <c r="Y5" s="1026"/>
      <c r="Z5" s="1026"/>
      <c r="AA5" s="1026"/>
      <c r="AB5" s="1026"/>
      <c r="AC5" s="1026"/>
      <c r="AD5" s="1026"/>
      <c r="AE5" s="1026"/>
      <c r="AF5" s="1026"/>
      <c r="AG5" s="1026"/>
      <c r="AH5" s="1026"/>
      <c r="AI5" s="1026"/>
      <c r="AJ5" s="1026"/>
      <c r="AK5" s="31"/>
      <c r="AL5" s="31"/>
    </row>
    <row r="6" spans="2:38" ht="15" customHeight="1" thickBot="1" x14ac:dyDescent="0.3">
      <c r="B6" s="1065"/>
      <c r="C6" s="1082"/>
      <c r="D6" s="1070"/>
      <c r="E6" s="1084"/>
      <c r="F6" s="104" t="s">
        <v>8</v>
      </c>
      <c r="G6" s="105" t="s">
        <v>10</v>
      </c>
      <c r="H6" s="1054"/>
      <c r="I6" s="1054"/>
      <c r="J6" s="1054"/>
      <c r="K6" s="1043"/>
      <c r="L6" s="148" t="s">
        <v>93</v>
      </c>
      <c r="M6" s="1040"/>
      <c r="N6" s="1040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3"/>
      <c r="U6" s="1044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71">
        <f>ROW(Assy.Model!B9)</f>
        <v>9</v>
      </c>
      <c r="D7" s="1060" t="str">
        <f>SUBSTITUTE(ADDRESS(1,COLUMN(Assy.Model!B9),4),"1","")</f>
        <v>B</v>
      </c>
      <c r="E7" s="1074" t="str">
        <f>SUBSTITUTE(ADDRESS(1,COLUMN(Assy.Model!M9),4),"1","")</f>
        <v>M</v>
      </c>
      <c r="F7" s="1077" t="str">
        <f>SUBSTITUTE(ADDRESS(1,COLUMN(Assy.Model!X9),4),"1","")</f>
        <v>X</v>
      </c>
      <c r="G7" s="1066" t="str">
        <f>SUBSTITUTE(ADDRESS(1,COLUMN(Assy.Model!AT9),4),"1","")</f>
        <v>AT</v>
      </c>
      <c r="H7" s="1045" t="str">
        <f>SUBSTITUTE(ADDRESS(1,COLUMN(Assy.Model!H9),4),"1","")</f>
        <v>H</v>
      </c>
      <c r="I7" s="1045" t="str">
        <f>SUBSTITUTE(ADDRESS(1,COLUMN(Assy.Model!AN9),4),"1","")</f>
        <v>AN</v>
      </c>
      <c r="J7" s="1045" t="str">
        <f>SUBSTITUTE(ADDRESS(1,COLUMN(Assy.Model!AO9),4),"1","")</f>
        <v>AO</v>
      </c>
      <c r="K7" s="1048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7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5" t="s">
        <v>81</v>
      </c>
      <c r="C8" s="1072"/>
      <c r="D8" s="1061"/>
      <c r="E8" s="1075"/>
      <c r="F8" s="1078"/>
      <c r="G8" s="1067"/>
      <c r="H8" s="1046"/>
      <c r="I8" s="1046"/>
      <c r="J8" s="1046"/>
      <c r="K8" s="1049"/>
      <c r="L8" s="149" t="s">
        <v>93</v>
      </c>
      <c r="M8" s="1051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8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5"/>
      <c r="C9" s="1072"/>
      <c r="D9" s="1061"/>
      <c r="E9" s="1075"/>
      <c r="F9" s="1078"/>
      <c r="G9" s="1067"/>
      <c r="H9" s="1046"/>
      <c r="I9" s="1046"/>
      <c r="J9" s="1046"/>
      <c r="K9" s="1049"/>
      <c r="L9" s="149" t="s">
        <v>92</v>
      </c>
      <c r="M9" s="1051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8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5"/>
      <c r="C10" s="1072"/>
      <c r="D10" s="1061"/>
      <c r="E10" s="1075"/>
      <c r="F10" s="1078"/>
      <c r="G10" s="1067"/>
      <c r="H10" s="1046"/>
      <c r="I10" s="1046"/>
      <c r="J10" s="1046"/>
      <c r="K10" s="1049"/>
      <c r="L10" s="149" t="s">
        <v>92</v>
      </c>
      <c r="M10" s="1051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8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5"/>
      <c r="C11" s="1072"/>
      <c r="D11" s="1061"/>
      <c r="E11" s="1075"/>
      <c r="F11" s="1078"/>
      <c r="G11" s="1067"/>
      <c r="H11" s="1046"/>
      <c r="I11" s="1046"/>
      <c r="J11" s="1046"/>
      <c r="K11" s="1049"/>
      <c r="L11" s="149" t="s">
        <v>92</v>
      </c>
      <c r="M11" s="1051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8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5"/>
      <c r="C12" s="1072"/>
      <c r="D12" s="1061"/>
      <c r="E12" s="1075"/>
      <c r="F12" s="1078"/>
      <c r="G12" s="1067"/>
      <c r="H12" s="1046"/>
      <c r="I12" s="1046"/>
      <c r="J12" s="1046"/>
      <c r="K12" s="1049"/>
      <c r="L12" s="149" t="s">
        <v>92</v>
      </c>
      <c r="M12" s="1051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8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5"/>
      <c r="C13" s="1072"/>
      <c r="D13" s="1061"/>
      <c r="E13" s="1075"/>
      <c r="F13" s="1078"/>
      <c r="G13" s="1067"/>
      <c r="H13" s="1046"/>
      <c r="I13" s="1046"/>
      <c r="J13" s="1046"/>
      <c r="K13" s="1049"/>
      <c r="L13" s="149" t="s">
        <v>92</v>
      </c>
      <c r="M13" s="1051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8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6"/>
      <c r="C14" s="1073"/>
      <c r="D14" s="1062"/>
      <c r="E14" s="1076"/>
      <c r="F14" s="1079"/>
      <c r="G14" s="1068"/>
      <c r="H14" s="1047"/>
      <c r="I14" s="1047"/>
      <c r="J14" s="1047"/>
      <c r="K14" s="1050"/>
      <c r="L14" s="150" t="s">
        <v>93</v>
      </c>
      <c r="M14" s="1052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9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71" t="str">
        <f>CONCATENATE(Settings!$C$19," ",Settings!$B$28)</f>
        <v>7.875 7182r00</v>
      </c>
      <c r="D1" s="1271"/>
      <c r="E1" s="1271"/>
      <c r="F1" s="1271"/>
      <c r="G1" s="1271"/>
      <c r="H1" s="1271"/>
      <c r="I1" s="1271"/>
      <c r="J1" s="1271"/>
      <c r="K1" s="1271"/>
      <c r="L1" s="709"/>
      <c r="M1" s="141">
        <f>LARGE(M9:M150,1)</f>
        <v>5.2320000000000002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-1.2173056972778795</v>
      </c>
      <c r="W1" s="162">
        <f>360-W14</f>
        <v>1.2173056972778795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79" t="s">
        <v>306</v>
      </c>
      <c r="C2" s="1280"/>
      <c r="D2" s="1280"/>
      <c r="E2" s="1280"/>
      <c r="F2" s="1280"/>
      <c r="G2" s="1280"/>
      <c r="H2" s="1280"/>
      <c r="I2" s="1280"/>
      <c r="J2" s="1280"/>
      <c r="K2" s="1281"/>
      <c r="L2" s="1155" t="str" cm="1">
        <f t="array" ref="L2">IF(OR($K$9:$K$150="Undefined"),"Undefined Element","")</f>
        <v/>
      </c>
      <c r="M2" s="1290" t="s">
        <v>0</v>
      </c>
      <c r="N2" s="1249" t="s">
        <v>1</v>
      </c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324"/>
      <c r="Z2" s="1249" t="s">
        <v>2</v>
      </c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  <c r="AL2" s="1250"/>
      <c r="AM2" s="1250"/>
      <c r="AN2" s="1250"/>
      <c r="AO2" s="1250"/>
      <c r="AP2" s="1250"/>
      <c r="AQ2" s="1251"/>
      <c r="AS2" s="1330" t="s">
        <v>44</v>
      </c>
      <c r="AT2" s="1331"/>
      <c r="AV2" s="1322" t="s">
        <v>0</v>
      </c>
      <c r="AW2" s="1249" t="s">
        <v>109</v>
      </c>
      <c r="AX2" s="1250"/>
      <c r="AY2" s="1250"/>
      <c r="AZ2" s="1250"/>
      <c r="BA2" s="1250"/>
      <c r="BB2" s="1250"/>
      <c r="BC2" s="1250"/>
      <c r="BD2" s="1250"/>
      <c r="BE2" s="1251"/>
      <c r="BF2" s="1352" t="s">
        <v>115</v>
      </c>
      <c r="BG2" s="1250"/>
      <c r="BH2" s="1250"/>
      <c r="BI2" s="1250"/>
      <c r="BJ2" s="1250"/>
      <c r="BK2" s="1250"/>
      <c r="BL2" s="1250"/>
      <c r="BM2" s="1250"/>
      <c r="BN2" s="1250"/>
      <c r="BO2" s="1250"/>
      <c r="BP2" s="1250"/>
      <c r="BQ2" s="1250"/>
      <c r="BR2" s="1250"/>
      <c r="BS2" s="1250"/>
      <c r="BT2" s="1250"/>
      <c r="BU2" s="1250"/>
      <c r="BV2" s="1250"/>
      <c r="BW2" s="1250"/>
      <c r="BX2" s="1250"/>
      <c r="BY2" s="1250"/>
      <c r="BZ2" s="1250"/>
      <c r="CA2" s="1250"/>
      <c r="CB2" s="1250"/>
      <c r="CC2" s="1250"/>
      <c r="CD2" s="1250"/>
      <c r="CE2" s="1250"/>
      <c r="CF2" s="1250"/>
      <c r="CG2" s="1250"/>
      <c r="CH2" s="1250"/>
      <c r="CI2" s="1250"/>
      <c r="CJ2" s="1250"/>
      <c r="CK2" s="1250"/>
      <c r="CL2" s="1250"/>
      <c r="CM2" s="1250"/>
      <c r="CN2" s="1250"/>
      <c r="CO2" s="1250"/>
      <c r="CP2" s="1250"/>
      <c r="CQ2" s="1250"/>
      <c r="CR2" s="1250"/>
      <c r="CS2" s="1250"/>
      <c r="CT2" s="1250"/>
      <c r="CU2" s="1250"/>
      <c r="CV2" s="1250"/>
      <c r="CW2" s="1250"/>
      <c r="CX2" s="1250"/>
      <c r="CY2" s="1250"/>
      <c r="CZ2" s="1250"/>
      <c r="DA2" s="1250"/>
      <c r="DB2" s="1250"/>
      <c r="DC2" s="1250"/>
      <c r="DD2" s="1250"/>
      <c r="DE2" s="1250"/>
      <c r="DF2" s="1250"/>
      <c r="DG2" s="1250"/>
      <c r="DH2" s="1250"/>
      <c r="DI2" s="1250"/>
      <c r="DJ2" s="1250"/>
      <c r="DK2" s="1250"/>
      <c r="DL2" s="1250"/>
      <c r="DM2" s="1250"/>
      <c r="DN2" s="1250"/>
      <c r="DO2" s="1250"/>
      <c r="DP2" s="1250"/>
      <c r="DQ2" s="1250"/>
      <c r="DR2" s="1250"/>
      <c r="DS2" s="1250"/>
      <c r="DT2" s="1250"/>
      <c r="DU2" s="1250"/>
      <c r="DV2" s="1250"/>
      <c r="DW2" s="1250"/>
      <c r="DX2" s="1250"/>
      <c r="DY2" s="1250"/>
      <c r="DZ2" s="1250"/>
      <c r="EA2" s="1250"/>
      <c r="EB2" s="1250"/>
      <c r="EC2" s="1250"/>
      <c r="ED2" s="1250"/>
      <c r="EE2" s="1250"/>
      <c r="EF2" s="1250"/>
      <c r="EG2" s="1250"/>
      <c r="EH2" s="1250"/>
      <c r="EI2" s="1250"/>
      <c r="EJ2" s="1250"/>
      <c r="EK2" s="1250"/>
      <c r="EL2" s="1250"/>
      <c r="EM2" s="1250"/>
      <c r="EN2" s="1250"/>
      <c r="EO2" s="1250"/>
      <c r="EP2" s="1250"/>
      <c r="EQ2" s="1250"/>
      <c r="ER2" s="1324"/>
      <c r="ES2" s="1130" t="s">
        <v>196</v>
      </c>
      <c r="ET2" s="1131"/>
      <c r="EU2" s="1131"/>
      <c r="EV2" s="1131"/>
      <c r="EW2" s="1131"/>
      <c r="EX2" s="1131"/>
      <c r="EY2" s="1131"/>
      <c r="EZ2" s="1131"/>
      <c r="FA2" s="1131"/>
      <c r="FB2" s="1131"/>
      <c r="FC2" s="1131"/>
      <c r="FD2" s="1131"/>
      <c r="FE2" s="1131"/>
      <c r="FF2" s="113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0.42360000000000003</v>
      </c>
      <c r="GM2" s="322">
        <f>SUM(GM9:GM150)</f>
        <v>3.3685446776381727</v>
      </c>
      <c r="GR2" s="309" t="e">
        <f>SUM(GR9:GR150)</f>
        <v>#VALUE!</v>
      </c>
      <c r="GS2" s="309" t="e">
        <f>SUM(GS9:GS150)</f>
        <v>#VALUE!</v>
      </c>
      <c r="GT2" s="309"/>
      <c r="GU2" s="309">
        <f>SUM(GU9:GU150)</f>
        <v>8281.0056658605063</v>
      </c>
      <c r="GV2" s="309"/>
      <c r="GW2" s="369">
        <v>29500</v>
      </c>
      <c r="GX2" s="309">
        <f>SUM(GX9:GX150)</f>
        <v>1316.6864799999998</v>
      </c>
      <c r="GY2" s="309" t="e">
        <f>SUM(GY9:GY150)</f>
        <v>#VALUE!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096" t="str">
        <f>IFERROR(CONCATENATE("Sum of Lateral Forces = ",ROUND(HE3,0)," lbs @ ",ROUND(HF3,1),"° Relative to Blade 1"),"")</f>
        <v/>
      </c>
      <c r="HX2" s="1096"/>
      <c r="HY2" s="1096"/>
      <c r="HZ2" s="1096"/>
      <c r="IA2" s="1096"/>
      <c r="IB2" s="1096"/>
      <c r="IC2" s="1096"/>
      <c r="ID2" s="1096"/>
      <c r="IE2" s="1096"/>
      <c r="IF2" s="846"/>
      <c r="IN2" s="31"/>
      <c r="IO2" s="323"/>
      <c r="JC2" s="82"/>
      <c r="JD2" s="82"/>
      <c r="JE2" s="82"/>
    </row>
    <row r="3" spans="1:285" ht="15" customHeight="1" x14ac:dyDescent="0.25">
      <c r="B3" s="1282"/>
      <c r="C3" s="1283"/>
      <c r="D3" s="1283"/>
      <c r="E3" s="1283"/>
      <c r="F3" s="1283"/>
      <c r="G3" s="1283"/>
      <c r="H3" s="1283"/>
      <c r="I3" s="1283"/>
      <c r="J3" s="1283"/>
      <c r="K3" s="1284"/>
      <c r="L3" s="1155"/>
      <c r="M3" s="1282"/>
      <c r="N3" s="1325"/>
      <c r="O3" s="1326"/>
      <c r="P3" s="1326"/>
      <c r="Q3" s="1326"/>
      <c r="R3" s="1326"/>
      <c r="S3" s="1326"/>
      <c r="T3" s="1326"/>
      <c r="U3" s="1326"/>
      <c r="V3" s="1326"/>
      <c r="W3" s="1326"/>
      <c r="X3" s="1326"/>
      <c r="Y3" s="1327"/>
      <c r="Z3" s="1325"/>
      <c r="AA3" s="1326"/>
      <c r="AB3" s="1326"/>
      <c r="AC3" s="1326"/>
      <c r="AD3" s="1326"/>
      <c r="AE3" s="1326"/>
      <c r="AF3" s="1326"/>
      <c r="AG3" s="1326"/>
      <c r="AH3" s="1326"/>
      <c r="AI3" s="1326"/>
      <c r="AJ3" s="1326"/>
      <c r="AK3" s="1326"/>
      <c r="AL3" s="1326"/>
      <c r="AM3" s="1326"/>
      <c r="AN3" s="1326"/>
      <c r="AO3" s="1326"/>
      <c r="AP3" s="1326"/>
      <c r="AQ3" s="1346"/>
      <c r="AS3" s="415">
        <v>100</v>
      </c>
      <c r="AT3" s="412" t="s">
        <v>45</v>
      </c>
      <c r="AV3" s="1323"/>
      <c r="AW3" s="1133"/>
      <c r="AX3" s="1134"/>
      <c r="AY3" s="1134"/>
      <c r="AZ3" s="1134"/>
      <c r="BA3" s="1134"/>
      <c r="BB3" s="1134"/>
      <c r="BC3" s="1134"/>
      <c r="BD3" s="1134"/>
      <c r="BE3" s="1252"/>
      <c r="BF3" s="1353"/>
      <c r="BG3" s="1134"/>
      <c r="BH3" s="1134"/>
      <c r="BI3" s="1134"/>
      <c r="BJ3" s="1134"/>
      <c r="BK3" s="1134"/>
      <c r="BL3" s="1134"/>
      <c r="BM3" s="1134"/>
      <c r="BN3" s="1134"/>
      <c r="BO3" s="1134"/>
      <c r="BP3" s="1134"/>
      <c r="BQ3" s="1134"/>
      <c r="BR3" s="1134"/>
      <c r="BS3" s="1134"/>
      <c r="BT3" s="1134"/>
      <c r="BU3" s="1134"/>
      <c r="BV3" s="1134"/>
      <c r="BW3" s="1134"/>
      <c r="BX3" s="1134"/>
      <c r="BY3" s="1134"/>
      <c r="BZ3" s="1134"/>
      <c r="CA3" s="1134"/>
      <c r="CB3" s="1134"/>
      <c r="CC3" s="1134"/>
      <c r="CD3" s="1134"/>
      <c r="CE3" s="1134"/>
      <c r="CF3" s="1134"/>
      <c r="CG3" s="1134"/>
      <c r="CH3" s="1134"/>
      <c r="CI3" s="1134"/>
      <c r="CJ3" s="1134"/>
      <c r="CK3" s="1134"/>
      <c r="CL3" s="1134"/>
      <c r="CM3" s="1134"/>
      <c r="CN3" s="1134"/>
      <c r="CO3" s="1134"/>
      <c r="CP3" s="1134"/>
      <c r="CQ3" s="1134"/>
      <c r="CR3" s="1134"/>
      <c r="CS3" s="1134"/>
      <c r="CT3" s="1134"/>
      <c r="CU3" s="1134"/>
      <c r="CV3" s="1134"/>
      <c r="CW3" s="1134"/>
      <c r="CX3" s="1134"/>
      <c r="CY3" s="1134"/>
      <c r="CZ3" s="1134"/>
      <c r="DA3" s="1134"/>
      <c r="DB3" s="1134"/>
      <c r="DC3" s="1134"/>
      <c r="DD3" s="1134"/>
      <c r="DE3" s="1134"/>
      <c r="DF3" s="1134"/>
      <c r="DG3" s="1134"/>
      <c r="DH3" s="1134"/>
      <c r="DI3" s="1134"/>
      <c r="DJ3" s="1134"/>
      <c r="DK3" s="1134"/>
      <c r="DL3" s="1134"/>
      <c r="DM3" s="1134"/>
      <c r="DN3" s="1134"/>
      <c r="DO3" s="1134"/>
      <c r="DP3" s="1134"/>
      <c r="DQ3" s="1134"/>
      <c r="DR3" s="1134"/>
      <c r="DS3" s="1134"/>
      <c r="DT3" s="1134"/>
      <c r="DU3" s="1134"/>
      <c r="DV3" s="1134"/>
      <c r="DW3" s="1134"/>
      <c r="DX3" s="1134"/>
      <c r="DY3" s="1134"/>
      <c r="DZ3" s="1134"/>
      <c r="EA3" s="1134"/>
      <c r="EB3" s="1134"/>
      <c r="EC3" s="1134"/>
      <c r="ED3" s="1134"/>
      <c r="EE3" s="1134"/>
      <c r="EF3" s="1134"/>
      <c r="EG3" s="1134"/>
      <c r="EH3" s="1134"/>
      <c r="EI3" s="1134"/>
      <c r="EJ3" s="1134"/>
      <c r="EK3" s="1134"/>
      <c r="EL3" s="1134"/>
      <c r="EM3" s="1134"/>
      <c r="EN3" s="1134"/>
      <c r="EO3" s="1134"/>
      <c r="EP3" s="1134"/>
      <c r="EQ3" s="1134"/>
      <c r="ER3" s="1135"/>
      <c r="ES3" s="1133"/>
      <c r="ET3" s="1134"/>
      <c r="EU3" s="1134"/>
      <c r="EV3" s="1134"/>
      <c r="EW3" s="1134"/>
      <c r="EX3" s="1134"/>
      <c r="EY3" s="1134"/>
      <c r="EZ3" s="1134"/>
      <c r="FA3" s="1134"/>
      <c r="FB3" s="1134"/>
      <c r="FC3" s="1134"/>
      <c r="FD3" s="1134"/>
      <c r="FE3" s="1134"/>
      <c r="FF3" s="113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#VALUE!</v>
      </c>
      <c r="HF3" s="162" t="str">
        <f>IFERROR(IF((DEGREES(ATAN2(HG3,HH3)))&lt;0,(360+(DEGREES(ATAN2(HG3,HH3)))),(DEGREES(ATAN2(HG3,HH3)))),"")</f>
        <v/>
      </c>
      <c r="HG3" s="309" t="e">
        <f>HC8+HG8</f>
        <v>#VALUE!</v>
      </c>
      <c r="HH3" s="309" t="e">
        <f>HD8+HH8</f>
        <v>#VALUE!</v>
      </c>
      <c r="HI3" s="103"/>
      <c r="HJ3" s="31"/>
      <c r="HX3" s="968">
        <f>($HX$6*$AS$3)/5252.113112</f>
        <v>25.069652003336365</v>
      </c>
      <c r="HZ3" s="968">
        <f>($HZ$6*$AS$3)/5252.113112</f>
        <v>157.66997947816679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85"/>
      <c r="C4" s="1286"/>
      <c r="D4" s="1286"/>
      <c r="E4" s="1286"/>
      <c r="F4" s="1286"/>
      <c r="G4" s="1286"/>
      <c r="H4" s="1286"/>
      <c r="I4" s="1286"/>
      <c r="J4" s="1286"/>
      <c r="K4" s="1287"/>
      <c r="L4" s="1155"/>
      <c r="M4" s="1282"/>
      <c r="N4" s="1292" t="s">
        <v>3</v>
      </c>
      <c r="O4" s="1289"/>
      <c r="P4" s="1289"/>
      <c r="Q4" s="1288" t="s">
        <v>4</v>
      </c>
      <c r="R4" s="1289"/>
      <c r="S4" s="1307"/>
      <c r="T4" s="1301" t="str">
        <f>N4</f>
        <v>Cartesian Coordinates</v>
      </c>
      <c r="U4" s="1256"/>
      <c r="V4" s="1302"/>
      <c r="W4" s="1256" t="str">
        <f>$Q$4</f>
        <v>Polar XY; Cartesian Z</v>
      </c>
      <c r="X4" s="1256"/>
      <c r="Y4" s="1272"/>
      <c r="Z4" s="1292" t="s">
        <v>3</v>
      </c>
      <c r="AA4" s="1289"/>
      <c r="AB4" s="1289"/>
      <c r="AC4" s="1289"/>
      <c r="AD4" s="1289"/>
      <c r="AE4" s="1289"/>
      <c r="AF4" s="1289"/>
      <c r="AG4" s="1319" t="s">
        <v>31</v>
      </c>
      <c r="AH4" s="1289"/>
      <c r="AI4" s="1289"/>
      <c r="AJ4" s="1307"/>
      <c r="AK4" s="1347" t="s">
        <v>32</v>
      </c>
      <c r="AL4" s="1348"/>
      <c r="AM4" s="1348"/>
      <c r="AN4" s="1348"/>
      <c r="AO4" s="1348"/>
      <c r="AP4" s="1348"/>
      <c r="AQ4" s="1349"/>
      <c r="AS4" s="416">
        <v>125</v>
      </c>
      <c r="AT4" s="413" t="s">
        <v>46</v>
      </c>
      <c r="AV4" s="1323"/>
      <c r="AW4" s="1223" t="s">
        <v>112</v>
      </c>
      <c r="AX4" s="1193"/>
      <c r="AY4" s="1032"/>
      <c r="AZ4" s="1247"/>
      <c r="BA4" s="1248"/>
      <c r="BB4" s="1253" t="s">
        <v>113</v>
      </c>
      <c r="BC4" s="1256" t="str">
        <f>$Q$4</f>
        <v>Polar XY; Cartesian Z</v>
      </c>
      <c r="BD4" s="1256"/>
      <c r="BE4" s="1257"/>
      <c r="BF4" s="1268" t="s">
        <v>129</v>
      </c>
      <c r="BG4" s="1269"/>
      <c r="BH4" s="1269"/>
      <c r="BI4" s="1269"/>
      <c r="BJ4" s="1269"/>
      <c r="BK4" s="1269"/>
      <c r="BL4" s="1269"/>
      <c r="BM4" s="1269"/>
      <c r="BN4" s="1269"/>
      <c r="BO4" s="1269"/>
      <c r="BP4" s="1269"/>
      <c r="BQ4" s="1269"/>
      <c r="BR4" s="1269"/>
      <c r="BS4" s="1269"/>
      <c r="BT4" s="1269"/>
      <c r="BU4" s="1269"/>
      <c r="BV4" s="1269"/>
      <c r="BW4" s="1269"/>
      <c r="BX4" s="1269"/>
      <c r="BY4" s="1269"/>
      <c r="BZ4" s="1269"/>
      <c r="CA4" s="1269"/>
      <c r="CB4" s="1269"/>
      <c r="CC4" s="1269"/>
      <c r="CD4" s="1269"/>
      <c r="CE4" s="1269"/>
      <c r="CF4" s="1269"/>
      <c r="CG4" s="1269"/>
      <c r="CH4" s="1269"/>
      <c r="CI4" s="1269"/>
      <c r="CJ4" s="1269"/>
      <c r="CK4" s="1269"/>
      <c r="CL4" s="1269"/>
      <c r="CM4" s="1269"/>
      <c r="CN4" s="1270"/>
      <c r="CO4" s="1241" t="s">
        <v>192</v>
      </c>
      <c r="CP4" s="1242"/>
      <c r="CQ4" s="1242"/>
      <c r="CR4" s="1242"/>
      <c r="CS4" s="1242"/>
      <c r="CT4" s="1242"/>
      <c r="CU4" s="1242"/>
      <c r="CV4" s="1242"/>
      <c r="CW4" s="1242"/>
      <c r="CX4" s="1242"/>
      <c r="CY4" s="1242"/>
      <c r="CZ4" s="1242"/>
      <c r="DA4" s="1243"/>
      <c r="DB4" s="1127" t="s">
        <v>389</v>
      </c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U4" s="1128"/>
      <c r="DV4" s="1128"/>
      <c r="DW4" s="1128"/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9"/>
      <c r="ES4" s="1217" t="s">
        <v>195</v>
      </c>
      <c r="ET4" s="1218"/>
      <c r="EU4" s="1218"/>
      <c r="EV4" s="1218"/>
      <c r="EW4" s="1218"/>
      <c r="EX4" s="1218"/>
      <c r="EY4" s="1219"/>
      <c r="EZ4" s="1227" t="s">
        <v>200</v>
      </c>
      <c r="FA4" s="1228"/>
      <c r="FB4" s="1228"/>
      <c r="FC4" s="1228"/>
      <c r="FD4" s="1228"/>
      <c r="FE4" s="1228"/>
      <c r="FF4" s="1229"/>
      <c r="FG4" s="325"/>
      <c r="FP4" s="1143" t="s">
        <v>228</v>
      </c>
      <c r="FZ4" s="1143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2" t="s">
        <v>235</v>
      </c>
      <c r="GK4" s="1013"/>
      <c r="GL4" s="1013"/>
      <c r="GM4" s="1013"/>
      <c r="GN4" s="1245"/>
      <c r="GO4" s="1185" t="s">
        <v>228</v>
      </c>
      <c r="GP4" s="1189" t="s">
        <v>227</v>
      </c>
      <c r="GR4" s="1161" t="s">
        <v>257</v>
      </c>
      <c r="GS4" s="1041" t="s">
        <v>255</v>
      </c>
      <c r="GT4" s="984"/>
      <c r="GU4" s="984"/>
      <c r="GV4" s="984"/>
      <c r="GW4" s="984"/>
      <c r="GX4" s="984"/>
      <c r="GY4" s="984"/>
      <c r="GZ4" s="984"/>
      <c r="HA4" s="1176" t="str">
        <f>IFERROR(CONCATENATE("Lateral Forces = ",ROUND(HE3,0)," lbs @ ",ROUND(HF3,1),"° Relative to Blade 1"),"")</f>
        <v/>
      </c>
      <c r="HB4" s="1177"/>
      <c r="HC4" s="1177"/>
      <c r="HD4" s="1177"/>
      <c r="HE4" s="1177"/>
      <c r="HF4" s="1177"/>
      <c r="HG4" s="1177"/>
      <c r="HH4" s="1178"/>
      <c r="HI4" s="1179" t="s">
        <v>0</v>
      </c>
      <c r="HV4" s="847"/>
      <c r="HW4" s="1097" t="str">
        <f>CONCATENATE("Yeield Strength of Rock = ",IF(HW6&gt;1000,(ROUNDDOWN(HW6,-3)/1000),""), IF(HW6&gt;1000,",",""),RIGHT(HW6,3)," psi (Tangential Force)")</f>
        <v>Yeield Strength of Rock = 29,500 psi (Tangential Force)</v>
      </c>
      <c r="HX4" s="1097"/>
      <c r="HY4" s="1097"/>
      <c r="HZ4" s="1097"/>
      <c r="IA4" s="1097"/>
      <c r="IB4" s="1097"/>
      <c r="IC4" s="1097"/>
      <c r="ID4" s="1097"/>
      <c r="IE4" s="1097"/>
      <c r="IF4" s="844"/>
      <c r="IG4" s="1009" t="s">
        <v>372</v>
      </c>
      <c r="IH4" s="1009"/>
      <c r="II4" s="710" cm="1">
        <f t="array" ref="II4">MAX(MOD(IF($II$9:$II$150="",0,($II$9:$II$150*1000)),100))</f>
        <v>32</v>
      </c>
      <c r="IN4" s="31"/>
      <c r="IO4" s="710"/>
    </row>
    <row r="5" spans="1:285" ht="15" customHeight="1" thickBot="1" x14ac:dyDescent="0.3">
      <c r="A5" s="139">
        <v>0.02</v>
      </c>
      <c r="B5" s="1273" t="str">
        <f>CONCATENATE(B7," ; ",E7," ; ",H7)</f>
        <v>Absolute-Point ; Incremental-Vector Point ; Pocket Info.</v>
      </c>
      <c r="C5" s="1274"/>
      <c r="D5" s="1274"/>
      <c r="E5" s="1274"/>
      <c r="F5" s="1274"/>
      <c r="G5" s="1274"/>
      <c r="H5" s="1274"/>
      <c r="I5" s="1274"/>
      <c r="J5" s="1274"/>
      <c r="K5" s="1275"/>
      <c r="L5" s="813" t="str" cm="1">
        <f t="array" ref="L5">IF(OR(IF(LEFT($K$9:$K$150,4)="&lt;&gt;CS",TRUE,FALSE)),"Wrong CS","")</f>
        <v/>
      </c>
      <c r="M5" s="1282"/>
      <c r="N5" s="1312" t="s">
        <v>5</v>
      </c>
      <c r="O5" s="1313"/>
      <c r="P5" s="1313"/>
      <c r="Q5" s="1365" t="s">
        <v>6</v>
      </c>
      <c r="R5" s="1313"/>
      <c r="S5" s="1351"/>
      <c r="T5" s="1318" t="str">
        <f>CONCATENATE("Relative to ",M8,"'s θ about Z Axis")</f>
        <v>Relative to 1.111's θ about Z Axis</v>
      </c>
      <c r="U5" s="1263"/>
      <c r="V5" s="1342"/>
      <c r="W5" s="1263" t="str">
        <f>CONCATENATE("Relative to ",M8,"'s θ about Z Axis")</f>
        <v>Relative to 1.111's θ about Z Axis</v>
      </c>
      <c r="X5" s="1263"/>
      <c r="Y5" s="1303"/>
      <c r="Z5" s="1293" t="str">
        <f>N5</f>
        <v>Relative to World_CS</v>
      </c>
      <c r="AA5" s="1263"/>
      <c r="AB5" s="1263"/>
      <c r="AC5" s="1263"/>
      <c r="AD5" s="1263"/>
      <c r="AE5" s="1263"/>
      <c r="AF5" s="1263"/>
      <c r="AG5" s="1318" t="str">
        <f>N5</f>
        <v>Relative to World_CS</v>
      </c>
      <c r="AH5" s="1263"/>
      <c r="AI5" s="1263"/>
      <c r="AJ5" s="1264"/>
      <c r="AK5" s="1350" t="s">
        <v>7</v>
      </c>
      <c r="AL5" s="1313"/>
      <c r="AM5" s="1313"/>
      <c r="AN5" s="1313"/>
      <c r="AO5" s="1313"/>
      <c r="AP5" s="1313"/>
      <c r="AQ5" s="1351"/>
      <c r="AS5" s="167">
        <f>(((AS4*12)/60)/AS3)</f>
        <v>0.25</v>
      </c>
      <c r="AT5" s="413" t="s">
        <v>47</v>
      </c>
      <c r="AV5" s="1323"/>
      <c r="AW5" s="1101"/>
      <c r="AX5" s="1102"/>
      <c r="AY5" s="1267"/>
      <c r="AZ5" s="1200"/>
      <c r="BA5" s="1022"/>
      <c r="BB5" s="1254"/>
      <c r="BC5" s="1262" t="str">
        <f>$W$5</f>
        <v>Relative to 1.111's θ about Z Axis</v>
      </c>
      <c r="BD5" s="1263"/>
      <c r="BE5" s="1264"/>
      <c r="BF5" s="1041" t="s">
        <v>128</v>
      </c>
      <c r="BG5" s="984"/>
      <c r="BH5" s="984"/>
      <c r="BI5" s="984"/>
      <c r="BJ5" s="984"/>
      <c r="BK5" s="984"/>
      <c r="BL5" s="984"/>
      <c r="BM5" s="984"/>
      <c r="BN5" s="984"/>
      <c r="BO5" s="984"/>
      <c r="BP5" s="984"/>
      <c r="BQ5" s="984"/>
      <c r="BR5" s="985"/>
      <c r="BS5" s="1041" t="s">
        <v>130</v>
      </c>
      <c r="BT5" s="984"/>
      <c r="BU5" s="984"/>
      <c r="BV5" s="984"/>
      <c r="BW5" s="984"/>
      <c r="BX5" s="984"/>
      <c r="BY5" s="984"/>
      <c r="BZ5" s="984"/>
      <c r="CA5" s="984"/>
      <c r="CB5" s="984"/>
      <c r="CC5" s="984"/>
      <c r="CD5" s="984"/>
      <c r="CE5" s="985"/>
      <c r="CF5" s="1041" t="s">
        <v>138</v>
      </c>
      <c r="CG5" s="984"/>
      <c r="CH5" s="985"/>
      <c r="CI5" s="1041" t="s">
        <v>139</v>
      </c>
      <c r="CJ5" s="984"/>
      <c r="CK5" s="984"/>
      <c r="CL5" s="984"/>
      <c r="CM5" s="984"/>
      <c r="CN5" s="985"/>
      <c r="CO5" s="1166" t="s">
        <v>266</v>
      </c>
      <c r="CP5" s="1166" t="s">
        <v>149</v>
      </c>
      <c r="CQ5" s="1193"/>
      <c r="CR5" s="1193"/>
      <c r="CS5" s="1042"/>
      <c r="CT5" s="1193" t="s">
        <v>150</v>
      </c>
      <c r="CU5" s="1032"/>
      <c r="CV5" s="1041" t="s">
        <v>161</v>
      </c>
      <c r="CW5" s="984"/>
      <c r="CX5" s="984"/>
      <c r="CY5" s="984"/>
      <c r="CZ5" s="984"/>
      <c r="DA5" s="985"/>
      <c r="DB5" s="1041" t="s">
        <v>162</v>
      </c>
      <c r="DC5" s="984"/>
      <c r="DD5" s="984"/>
      <c r="DE5" s="984"/>
      <c r="DF5" s="984"/>
      <c r="DG5" s="984"/>
      <c r="DH5" s="985"/>
      <c r="DI5" s="1110" t="s">
        <v>172</v>
      </c>
      <c r="DJ5" s="1110"/>
      <c r="DK5" s="1381"/>
      <c r="DL5" s="1109" t="s">
        <v>173</v>
      </c>
      <c r="DM5" s="1110"/>
      <c r="DN5" s="1111"/>
      <c r="DO5" s="1383" t="s">
        <v>174</v>
      </c>
      <c r="DP5" s="1384"/>
      <c r="DQ5" s="1384"/>
      <c r="DR5" s="1165" t="s">
        <v>186</v>
      </c>
      <c r="DS5" s="1165"/>
      <c r="DT5" s="1165"/>
      <c r="DU5" s="1165"/>
      <c r="DV5" s="1165"/>
      <c r="DW5" s="1165"/>
      <c r="DX5" s="1166" t="s">
        <v>189</v>
      </c>
      <c r="DY5" s="1063" t="s">
        <v>149</v>
      </c>
      <c r="DZ5" s="1165"/>
      <c r="EA5" s="1165"/>
      <c r="EB5" s="1165"/>
      <c r="EC5" s="1165" t="s">
        <v>150</v>
      </c>
      <c r="ED5" s="1165"/>
      <c r="EE5" s="1161" t="s">
        <v>193</v>
      </c>
      <c r="EF5" s="1161"/>
      <c r="EG5" s="1162"/>
      <c r="EH5" s="1115" t="s">
        <v>194</v>
      </c>
      <c r="EI5" s="1116"/>
      <c r="EJ5" s="1117"/>
      <c r="EK5" s="1165" t="s">
        <v>187</v>
      </c>
      <c r="EL5" s="1166"/>
      <c r="EM5" s="1041" t="s">
        <v>188</v>
      </c>
      <c r="EN5" s="984"/>
      <c r="EO5" s="984"/>
      <c r="EP5" s="984"/>
      <c r="EQ5" s="984"/>
      <c r="ER5" s="1375"/>
      <c r="ES5" s="1223" t="s">
        <v>201</v>
      </c>
      <c r="ET5" s="1193"/>
      <c r="EU5" s="1042"/>
      <c r="EV5" s="1220" t="s">
        <v>221</v>
      </c>
      <c r="EW5" s="1221"/>
      <c r="EX5" s="1221"/>
      <c r="EY5" s="1222"/>
      <c r="EZ5" s="1145" t="s">
        <v>199</v>
      </c>
      <c r="FA5" s="1036" t="s">
        <v>201</v>
      </c>
      <c r="FB5" s="1138"/>
      <c r="FC5" s="1037"/>
      <c r="FD5" s="1239" t="s">
        <v>221</v>
      </c>
      <c r="FE5" s="1206"/>
      <c r="FF5" s="1207"/>
      <c r="FJ5" s="31" t="s">
        <v>390</v>
      </c>
      <c r="FP5" s="1144"/>
      <c r="FQ5" s="31"/>
      <c r="FR5" s="31"/>
      <c r="FS5" s="31"/>
      <c r="FT5" s="31"/>
      <c r="FZ5" s="1144"/>
      <c r="GJ5" s="1159" t="s">
        <v>262</v>
      </c>
      <c r="GK5" s="1121" t="s">
        <v>260</v>
      </c>
      <c r="GL5" s="1123" t="s">
        <v>110</v>
      </c>
      <c r="GM5" s="1123" t="s">
        <v>111</v>
      </c>
      <c r="GN5" s="1124"/>
      <c r="GO5" s="1186"/>
      <c r="GP5" s="1190"/>
      <c r="GQ5" s="31"/>
      <c r="GR5" s="1155"/>
      <c r="GS5" s="1200" t="s">
        <v>244</v>
      </c>
      <c r="GT5" s="1201"/>
      <c r="GU5" s="1196" t="s">
        <v>245</v>
      </c>
      <c r="GV5" s="1197"/>
      <c r="GW5" s="1198"/>
      <c r="GX5" s="1199"/>
      <c r="GY5" s="1184" t="s">
        <v>107</v>
      </c>
      <c r="GZ5" s="1024"/>
      <c r="HA5" s="1173" t="s">
        <v>244</v>
      </c>
      <c r="HB5" s="1174"/>
      <c r="HC5" s="1174"/>
      <c r="HD5" s="1175"/>
      <c r="HE5" s="1182" t="s">
        <v>245</v>
      </c>
      <c r="HF5" s="1174"/>
      <c r="HG5" s="1174"/>
      <c r="HH5" s="1183"/>
      <c r="HI5" s="1180"/>
      <c r="HM5" s="895"/>
      <c r="HS5" s="895"/>
      <c r="HT5" s="895"/>
      <c r="HU5" s="895"/>
      <c r="HV5" s="896"/>
      <c r="HW5" s="1099" t="s">
        <v>245</v>
      </c>
      <c r="HX5" s="1100"/>
      <c r="HY5" s="1098" t="s">
        <v>388</v>
      </c>
      <c r="HZ5" s="1099"/>
      <c r="IA5" s="1099"/>
      <c r="IB5" s="1100"/>
      <c r="IC5" s="1098" t="s">
        <v>254</v>
      </c>
      <c r="ID5" s="1099"/>
      <c r="IE5" s="1100"/>
      <c r="IF5" s="844"/>
    </row>
    <row r="6" spans="1:285" ht="15" customHeight="1" thickBot="1" x14ac:dyDescent="0.4">
      <c r="B6" s="1276"/>
      <c r="C6" s="1277"/>
      <c r="D6" s="1277"/>
      <c r="E6" s="1277"/>
      <c r="F6" s="1277"/>
      <c r="G6" s="1277"/>
      <c r="H6" s="1277"/>
      <c r="I6" s="1277"/>
      <c r="J6" s="1277"/>
      <c r="K6" s="1278"/>
      <c r="L6" s="1155" t="str" cm="1">
        <f t="array" ref="L6">IF(OR($K$9:$K$150="Inactive"),"Inactive Element","")</f>
        <v/>
      </c>
      <c r="M6" s="1282"/>
      <c r="N6" s="1308" t="s">
        <v>8</v>
      </c>
      <c r="O6" s="1310" t="s">
        <v>9</v>
      </c>
      <c r="P6" s="1363" t="s">
        <v>10</v>
      </c>
      <c r="Q6" s="1314" t="s">
        <v>11</v>
      </c>
      <c r="R6" s="1315"/>
      <c r="S6" s="1304" t="s">
        <v>10</v>
      </c>
      <c r="T6" s="1338" t="str">
        <f>N6</f>
        <v>X</v>
      </c>
      <c r="U6" s="1340" t="str">
        <f>O6</f>
        <v>Y</v>
      </c>
      <c r="V6" s="1299" t="str">
        <f>P6</f>
        <v>Z</v>
      </c>
      <c r="W6" s="1258" t="str">
        <f>$Q$6</f>
        <v>Projected XY</v>
      </c>
      <c r="X6" s="1259"/>
      <c r="Y6" s="1336" t="str">
        <f>$S$6</f>
        <v>Z</v>
      </c>
      <c r="Z6" s="1320" t="s">
        <v>12</v>
      </c>
      <c r="AA6" s="1283"/>
      <c r="AB6" s="1283"/>
      <c r="AC6" s="1321"/>
      <c r="AD6" s="1288" t="s">
        <v>13</v>
      </c>
      <c r="AE6" s="1289"/>
      <c r="AF6" s="1289"/>
      <c r="AG6" s="1319" t="s">
        <v>7</v>
      </c>
      <c r="AH6" s="1289"/>
      <c r="AI6" s="1288" t="s">
        <v>14</v>
      </c>
      <c r="AJ6" s="1307"/>
      <c r="AK6" s="1343" t="str">
        <f>AD6</f>
        <v>Unit Vector</v>
      </c>
      <c r="AL6" s="1344"/>
      <c r="AM6" s="1345"/>
      <c r="AN6" s="34" t="s">
        <v>15</v>
      </c>
      <c r="AO6" s="35" t="s">
        <v>16</v>
      </c>
      <c r="AP6" s="680" t="s">
        <v>17</v>
      </c>
      <c r="AQ6" s="1328" t="s">
        <v>108</v>
      </c>
      <c r="AS6" s="168">
        <f>(AS5/360)</f>
        <v>6.9444444444444447E-4</v>
      </c>
      <c r="AT6" s="414" t="s">
        <v>48</v>
      </c>
      <c r="AV6" s="1323"/>
      <c r="AW6" s="1316" t="s">
        <v>105</v>
      </c>
      <c r="AX6" s="1317"/>
      <c r="AY6" s="188" t="s">
        <v>110</v>
      </c>
      <c r="AZ6" s="1265" t="s">
        <v>111</v>
      </c>
      <c r="BA6" s="1266"/>
      <c r="BB6" s="1255"/>
      <c r="BC6" s="1258" t="str">
        <f>$Q$6</f>
        <v>Projected XY</v>
      </c>
      <c r="BD6" s="1259"/>
      <c r="BE6" s="1260" t="str">
        <f>$S$6</f>
        <v>Z</v>
      </c>
      <c r="BF6" s="991" t="s">
        <v>125</v>
      </c>
      <c r="BG6" s="987"/>
      <c r="BH6" s="1158"/>
      <c r="BI6" s="989" t="s">
        <v>126</v>
      </c>
      <c r="BJ6" s="987"/>
      <c r="BK6" s="988"/>
      <c r="BL6" s="992" t="s">
        <v>127</v>
      </c>
      <c r="BM6" s="987"/>
      <c r="BN6" s="993"/>
      <c r="BO6" s="991" t="s">
        <v>135</v>
      </c>
      <c r="BP6" s="987"/>
      <c r="BQ6" s="987"/>
      <c r="BR6" s="993"/>
      <c r="BS6" s="991" t="s">
        <v>125</v>
      </c>
      <c r="BT6" s="987"/>
      <c r="BU6" s="1158"/>
      <c r="BV6" s="989" t="s">
        <v>126</v>
      </c>
      <c r="BW6" s="987"/>
      <c r="BX6" s="988"/>
      <c r="BY6" s="992" t="s">
        <v>127</v>
      </c>
      <c r="BZ6" s="987"/>
      <c r="CA6" s="993"/>
      <c r="CB6" s="991" t="s">
        <v>135</v>
      </c>
      <c r="CC6" s="987"/>
      <c r="CD6" s="987"/>
      <c r="CE6" s="993"/>
      <c r="CF6" s="997" t="s">
        <v>136</v>
      </c>
      <c r="CG6" s="1246"/>
      <c r="CH6" s="1246"/>
      <c r="CI6" s="1378" t="s">
        <v>137</v>
      </c>
      <c r="CJ6" s="1246"/>
      <c r="CK6" s="998"/>
      <c r="CL6" s="1376" t="s">
        <v>140</v>
      </c>
      <c r="CM6" s="1246"/>
      <c r="CN6" s="1377"/>
      <c r="CO6" s="1168"/>
      <c r="CP6" s="1168"/>
      <c r="CQ6" s="1225"/>
      <c r="CR6" s="1225"/>
      <c r="CS6" s="1226"/>
      <c r="CT6" s="1225"/>
      <c r="CU6" s="1244"/>
      <c r="CV6" s="1306" t="s">
        <v>147</v>
      </c>
      <c r="CW6" s="987"/>
      <c r="CX6" s="988"/>
      <c r="CY6" s="1210" t="s">
        <v>148</v>
      </c>
      <c r="CZ6" s="1203"/>
      <c r="DA6" s="1211"/>
      <c r="DB6" s="1379" t="s">
        <v>175</v>
      </c>
      <c r="DC6" s="1215"/>
      <c r="DD6" s="1216"/>
      <c r="DE6" s="1380" t="s">
        <v>176</v>
      </c>
      <c r="DF6" s="1215"/>
      <c r="DG6" s="1216"/>
      <c r="DH6" s="242" t="s">
        <v>29</v>
      </c>
      <c r="DI6" s="1113"/>
      <c r="DJ6" s="1113"/>
      <c r="DK6" s="1382"/>
      <c r="DL6" s="1112"/>
      <c r="DM6" s="1113"/>
      <c r="DN6" s="1114"/>
      <c r="DO6" s="1385"/>
      <c r="DP6" s="1386"/>
      <c r="DQ6" s="1386"/>
      <c r="DR6" s="1167"/>
      <c r="DS6" s="1167"/>
      <c r="DT6" s="1167"/>
      <c r="DU6" s="1167"/>
      <c r="DV6" s="1167"/>
      <c r="DW6" s="1167"/>
      <c r="DX6" s="1168"/>
      <c r="DY6" s="1169"/>
      <c r="DZ6" s="1167"/>
      <c r="EA6" s="1167"/>
      <c r="EB6" s="1167"/>
      <c r="EC6" s="1167"/>
      <c r="ED6" s="1167"/>
      <c r="EE6" s="1163"/>
      <c r="EF6" s="1163"/>
      <c r="EG6" s="1164"/>
      <c r="EH6" s="1118"/>
      <c r="EI6" s="1119"/>
      <c r="EJ6" s="1120"/>
      <c r="EK6" s="1167"/>
      <c r="EL6" s="1168"/>
      <c r="EM6" s="1106" t="s">
        <v>198</v>
      </c>
      <c r="EN6" s="1107"/>
      <c r="EO6" s="1108"/>
      <c r="EP6" s="1212" t="s">
        <v>197</v>
      </c>
      <c r="EQ6" s="1107"/>
      <c r="ER6" s="1213"/>
      <c r="ES6" s="1224"/>
      <c r="ET6" s="1225"/>
      <c r="EU6" s="1226"/>
      <c r="EV6" s="263" t="s">
        <v>220</v>
      </c>
      <c r="EW6" s="1212" t="s">
        <v>201</v>
      </c>
      <c r="EX6" s="1107"/>
      <c r="EY6" s="1230"/>
      <c r="EZ6" s="1146"/>
      <c r="FA6" s="1236"/>
      <c r="FB6" s="1237"/>
      <c r="FC6" s="1238"/>
      <c r="FD6" s="1106" t="s">
        <v>201</v>
      </c>
      <c r="FE6" s="1107"/>
      <c r="FF6" s="1213"/>
      <c r="FG6" s="1233" t="s">
        <v>223</v>
      </c>
      <c r="FH6" s="1234"/>
      <c r="FI6" s="1235"/>
      <c r="FJ6" s="1231" t="s">
        <v>202</v>
      </c>
      <c r="FK6" s="1166" t="s">
        <v>213</v>
      </c>
      <c r="FL6" s="1193"/>
      <c r="FM6" s="1042"/>
      <c r="FN6" s="1139" t="s">
        <v>203</v>
      </c>
      <c r="FO6" s="1148" t="s">
        <v>226</v>
      </c>
      <c r="FP6" s="113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8" t="s">
        <v>217</v>
      </c>
      <c r="FV6" s="1138"/>
      <c r="FW6" s="1039"/>
      <c r="FX6" s="1139" t="s">
        <v>218</v>
      </c>
      <c r="FY6" s="1148" t="s">
        <v>226</v>
      </c>
      <c r="FZ6" s="1136" t="s">
        <v>224</v>
      </c>
      <c r="GA6" s="1141" t="s">
        <v>237</v>
      </c>
      <c r="GB6" s="318" t="s">
        <v>206</v>
      </c>
      <c r="GC6" s="319" t="s">
        <v>238</v>
      </c>
      <c r="GD6" s="320" t="s">
        <v>225</v>
      </c>
      <c r="GE6" s="1156"/>
      <c r="GF6" s="1162" t="s">
        <v>256</v>
      </c>
      <c r="GG6" s="318" t="s">
        <v>206</v>
      </c>
      <c r="GH6" s="319" t="s">
        <v>238</v>
      </c>
      <c r="GI6" s="320" t="s">
        <v>225</v>
      </c>
      <c r="GJ6" s="1160"/>
      <c r="GK6" s="1122"/>
      <c r="GL6" s="1125"/>
      <c r="GM6" s="1125"/>
      <c r="GN6" s="1126"/>
      <c r="GO6" s="1187" t="s">
        <v>236</v>
      </c>
      <c r="GP6" s="1191" t="s">
        <v>224</v>
      </c>
      <c r="GQ6" s="1193" t="s">
        <v>202</v>
      </c>
      <c r="GR6" s="1155"/>
      <c r="GS6" s="1204" t="s">
        <v>248</v>
      </c>
      <c r="GT6" s="1205"/>
      <c r="GU6" s="1202" t="s">
        <v>247</v>
      </c>
      <c r="GV6" s="1203"/>
      <c r="GW6" s="1203"/>
      <c r="GX6" s="340" t="s">
        <v>106</v>
      </c>
      <c r="GY6" s="989" t="s">
        <v>246</v>
      </c>
      <c r="GZ6" s="1158"/>
      <c r="HA6" s="1214" t="s">
        <v>248</v>
      </c>
      <c r="HB6" s="1215"/>
      <c r="HC6" s="1215"/>
      <c r="HD6" s="1216"/>
      <c r="HE6" s="989" t="s">
        <v>247</v>
      </c>
      <c r="HF6" s="987"/>
      <c r="HG6" s="987"/>
      <c r="HH6" s="993"/>
      <c r="HI6" s="1180"/>
      <c r="HM6" s="901" t="s">
        <v>392</v>
      </c>
      <c r="HN6" s="1208" t="s">
        <v>393</v>
      </c>
      <c r="HO6" s="1208"/>
      <c r="HP6" s="1208"/>
      <c r="HQ6" s="1208"/>
      <c r="HR6" s="1209"/>
      <c r="HS6" s="1101" t="s">
        <v>105</v>
      </c>
      <c r="HT6" s="1102"/>
      <c r="HU6" s="1102"/>
      <c r="HV6" s="1103"/>
      <c r="HW6" s="877">
        <f>AVERAGE(HW$9:HW$150)</f>
        <v>29500</v>
      </c>
      <c r="HX6" s="878">
        <f t="shared" ref="HX6:IE6" si="0">SUM(HX$9:HX$150)</f>
        <v>1316.6864799999998</v>
      </c>
      <c r="HY6" s="879" t="e">
        <f t="shared" si="0"/>
        <v>#VALUE!</v>
      </c>
      <c r="HZ6" s="880">
        <f t="shared" si="0"/>
        <v>8281.0056658605063</v>
      </c>
      <c r="IA6" s="881" t="e">
        <f t="shared" si="0"/>
        <v>#VALUE!</v>
      </c>
      <c r="IB6" s="882" t="e">
        <f t="shared" si="0"/>
        <v>#VALUE!</v>
      </c>
      <c r="IC6" s="889" t="e">
        <f t="shared" si="0"/>
        <v>#VALUE!</v>
      </c>
      <c r="ID6" s="890">
        <f t="shared" si="0"/>
        <v>12496.2</v>
      </c>
      <c r="IE6" s="890" t="e">
        <f t="shared" si="0"/>
        <v>#VALUE!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94" t="s">
        <v>40</v>
      </c>
      <c r="C7" s="1295"/>
      <c r="D7" s="1296"/>
      <c r="E7" s="1297" t="s">
        <v>41</v>
      </c>
      <c r="F7" s="1295"/>
      <c r="G7" s="1298"/>
      <c r="H7" s="1092" t="s">
        <v>98</v>
      </c>
      <c r="I7" s="1090"/>
      <c r="J7" s="1093"/>
      <c r="K7" s="169"/>
      <c r="L7" s="1155"/>
      <c r="M7" s="1291"/>
      <c r="N7" s="1309"/>
      <c r="O7" s="1311"/>
      <c r="P7" s="1364"/>
      <c r="Q7" s="36" t="s">
        <v>18</v>
      </c>
      <c r="R7" s="2" t="s">
        <v>19</v>
      </c>
      <c r="S7" s="1305"/>
      <c r="T7" s="1339"/>
      <c r="U7" s="1341"/>
      <c r="V7" s="1300"/>
      <c r="W7" s="37" t="str">
        <f>$Q$7</f>
        <v>&lt; θ°</v>
      </c>
      <c r="X7" s="27" t="str">
        <f>$R$7</f>
        <v>r</v>
      </c>
      <c r="Y7" s="133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29"/>
      <c r="AS7" s="1334" t="s">
        <v>54</v>
      </c>
      <c r="AT7" s="1332" t="s">
        <v>53</v>
      </c>
      <c r="AV7" s="132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55"/>
      <c r="BC7" s="37" t="str">
        <f>$Q$7</f>
        <v>&lt; θ°</v>
      </c>
      <c r="BD7" s="27" t="str">
        <f>$R$7</f>
        <v>r</v>
      </c>
      <c r="BE7" s="126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47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32"/>
      <c r="FK7" s="358" t="s">
        <v>210</v>
      </c>
      <c r="FL7" s="361" t="s">
        <v>211</v>
      </c>
      <c r="FM7" s="893" t="s">
        <v>212</v>
      </c>
      <c r="FN7" s="1140"/>
      <c r="FO7" s="1149"/>
      <c r="FP7" s="113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0"/>
      <c r="FY7" s="1149"/>
      <c r="FZ7" s="1137"/>
      <c r="GA7" s="1142"/>
      <c r="GB7" s="212" t="s">
        <v>231</v>
      </c>
      <c r="GC7" s="127" t="s">
        <v>232</v>
      </c>
      <c r="GD7" s="213" t="s">
        <v>233</v>
      </c>
      <c r="GE7" s="1157"/>
      <c r="GF7" s="1240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88"/>
      <c r="GP7" s="1192"/>
      <c r="GQ7" s="1194"/>
      <c r="GR7" s="119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1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87" t="s">
        <v>394</v>
      </c>
      <c r="HP7" s="1388"/>
      <c r="HQ7" s="1206" t="s">
        <v>390</v>
      </c>
      <c r="HR7" s="1207"/>
      <c r="HS7" s="883" t="s">
        <v>29</v>
      </c>
      <c r="HT7" s="884" t="s">
        <v>110</v>
      </c>
      <c r="HU7" s="1104" t="s">
        <v>391</v>
      </c>
      <c r="HV7" s="1105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995" t="s">
        <v>33</v>
      </c>
      <c r="IJ7" s="1170" t="s">
        <v>376</v>
      </c>
      <c r="IK7" s="991" t="s">
        <v>324</v>
      </c>
      <c r="IL7" s="992"/>
      <c r="IM7" s="992"/>
      <c r="IN7" s="987"/>
      <c r="IO7" s="987"/>
      <c r="IP7" s="987"/>
      <c r="IQ7" s="988"/>
      <c r="IR7" s="989" t="s">
        <v>320</v>
      </c>
      <c r="IS7" s="987"/>
      <c r="IT7" s="987"/>
      <c r="IU7" s="987"/>
      <c r="IV7" s="987"/>
      <c r="IW7" s="989" t="s">
        <v>319</v>
      </c>
      <c r="IX7" s="987"/>
      <c r="IY7" s="987"/>
      <c r="IZ7" s="987"/>
      <c r="JA7" s="988"/>
      <c r="JC7" s="725"/>
      <c r="JD7" s="1366" t="s">
        <v>355</v>
      </c>
      <c r="JE7" s="1366"/>
      <c r="JF7" s="1366"/>
      <c r="JG7" s="1367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5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89.384324588669486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-0.14318161297137599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35"/>
      <c r="AT8" s="133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#VALUE!</v>
      </c>
      <c r="HB8" s="360" t="str">
        <f>IFERROR(IF((DEGREES(ATAN2(HC8,HD8)))&lt;0,(360+(DEGREES(ATAN2(HC8,HD8)))),(DEGREES(ATAN2(HC8,HD8)))),"")</f>
        <v/>
      </c>
      <c r="HC8" s="360" t="e">
        <f>SUM(HC9:HC150)</f>
        <v>#VALUE!</v>
      </c>
      <c r="HD8" s="364" t="e">
        <f>SUM(HD9:HD150)</f>
        <v>#VALUE!</v>
      </c>
      <c r="HE8" s="366" t="e">
        <f>SQRT(HG8^2+HH8^2)</f>
        <v>#VALUE!</v>
      </c>
      <c r="HF8" s="360" t="str">
        <f>IFERROR(IF((DEGREES(ATAN2(HG8,HH8)))&lt;0,(360+(DEGREES(ATAN2(HG8,HH8)))),(DEGREES(ATAN2(HG8,HH8)))),"")</f>
        <v/>
      </c>
      <c r="HG8" s="360" t="e">
        <f>SUM(HG9:HG150)</f>
        <v>#VALUE!</v>
      </c>
      <c r="HH8" s="367" t="e">
        <f>SUM(HH9:HH150)</f>
        <v>#VALUE!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172"/>
      <c r="IJ8" s="117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1.8543677506690167E-2</v>
      </c>
      <c r="C9" s="641">
        <f t="shared" ref="C9:C40" si="3">IFERROR(R164+($A9*-F9),"")</f>
        <v>0.31734365689594946</v>
      </c>
      <c r="D9" s="642">
        <f t="shared" ref="D9:D40" si="4">IFERROR(S164+($A9*-G9),"")</f>
        <v>-0.71062133881658018</v>
      </c>
      <c r="E9" s="643">
        <f t="shared" ref="E9:E40" si="5">T164</f>
        <v>-0.9271838753345083</v>
      </c>
      <c r="F9" s="641">
        <f t="shared" ref="F9:F40" si="6">U164</f>
        <v>-5.2135146613611329E-2</v>
      </c>
      <c r="G9" s="644">
        <f t="shared" ref="G9:G40" si="7">V164</f>
        <v>0.37096089794917791</v>
      </c>
      <c r="H9" s="643">
        <f t="shared" ref="H9:H40" si="8">W164</f>
        <v>0.28499999999999998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14513</v>
      </c>
      <c r="M9" s="163">
        <f t="shared" ref="M9:M40" si="12">IF(J9="","",VALUE(J9))</f>
        <v>1.101</v>
      </c>
      <c r="N9" s="566">
        <f t="shared" ref="N9:N40" si="13">IF(M9="","",B9)</f>
        <v>1.8543677506690167E-2</v>
      </c>
      <c r="O9" s="567">
        <f t="shared" ref="O9:O40" si="14">IF(M9="","",C9)</f>
        <v>0.31734365689594946</v>
      </c>
      <c r="P9" s="568">
        <f t="shared" ref="P9:P40" si="15">IF(M9="","",D9)</f>
        <v>-0.71062133881658018</v>
      </c>
      <c r="Q9" s="526">
        <f>IF(M9="","",IF(DEGREES(ATAN2(N9,O9))&lt;0,DEGREES(ATAN2(N9,O9))+360,IF(DEGREES(ATAN2(N9,O9))&gt;360,DEGREES(ATAN2(N9,O9))-360,DEGREES(ATAN2(N9,O9)))))</f>
        <v>86.655777989133966</v>
      </c>
      <c r="R9" s="567">
        <f>IF(M9="","",SQRT(N9^2+O9^2))</f>
        <v>0.31788498635130003</v>
      </c>
      <c r="S9" s="569">
        <f>IF(M9="","",P9)</f>
        <v>-0.71062133881658018</v>
      </c>
      <c r="T9" s="570">
        <f>IF(M9="","",X9*COS(RADIANS(W9)))</f>
        <v>0.31752459411351297</v>
      </c>
      <c r="U9" s="567">
        <f>IF(M9="","",X9*SIN(RADIANS(W9)))</f>
        <v>-1.5132636274458367E-2</v>
      </c>
      <c r="V9" s="571">
        <f>IF(M9="","",Y9)</f>
        <v>-0.71062133881658018</v>
      </c>
      <c r="W9" s="526">
        <f t="shared" ref="W9:W13" si="16">IF(M9="","",IF(Q9-$Q$8&lt;0,360+Q9-$Q$8,Q9-$Q$8))</f>
        <v>357.27145340046451</v>
      </c>
      <c r="X9" s="572">
        <f>IF(M9="","",R9)</f>
        <v>0.31788498635130003</v>
      </c>
      <c r="Y9" s="573">
        <f t="shared" ref="Y9:Y15" si="17">IF(M9="","",S9)</f>
        <v>-0.71062133881658018</v>
      </c>
      <c r="Z9" s="566">
        <f t="shared" ref="Z9:Z40" si="18">IF(M9="","",-E9)</f>
        <v>0.9271838753345083</v>
      </c>
      <c r="AA9" s="567">
        <f t="shared" ref="AA9:AA40" si="19">IF(M9="","",-F9)</f>
        <v>5.2135146613611329E-2</v>
      </c>
      <c r="AB9" s="567">
        <f t="shared" ref="AB9:AB40" si="20">IF(M9="","",-G9)</f>
        <v>-0.37096089794917791</v>
      </c>
      <c r="AC9" s="571">
        <f>IF(M9="","",SQRT(Z9^2+AA9^2+AB9^2))</f>
        <v>1</v>
      </c>
      <c r="AD9" s="574">
        <f>IF(M9="","",Z9*(1/SQRT(Z9^2+AA9^2+AB9^2)))</f>
        <v>0.9271838753345083</v>
      </c>
      <c r="AE9" s="567">
        <f>IF(M9="","",AA9*(1/SQRT(Z9^2+AA9^2+AB9^2)))</f>
        <v>5.2135146613611329E-2</v>
      </c>
      <c r="AF9" s="568">
        <f>IF(M9="","",AB9*(1/SQRT(Z9^2+AA9^2+AB9^2)))</f>
        <v>-0.37096089794917791</v>
      </c>
      <c r="AG9" s="542">
        <f>IF(M9="","",DEGREES(ATAN2(-AF9,AE9)))</f>
        <v>7.9999988449430752</v>
      </c>
      <c r="AH9" s="543">
        <f>IF(M9="","",DEGREES(ACOS(AD9)))</f>
        <v>21.999996823593442</v>
      </c>
      <c r="AI9" s="526">
        <f>IF(M9="","",DEGREES(-ACOS(-AF9)))</f>
        <v>-68.225109445794786</v>
      </c>
      <c r="AJ9" s="544">
        <f>IF(M9="","",DEGREES(ATAN2(-AE9,AD9)))</f>
        <v>93.21832778790359</v>
      </c>
      <c r="AK9" s="570">
        <f>IF(M9="","",(COS(RADIANS((90-$Q$8)-W9))*AD9)+(-SIN(RADIANS((90-$Q$8)-W9))*AE9))</f>
        <v>0.92256368453950044</v>
      </c>
      <c r="AL9" s="567">
        <f>IF(M9="","",(SIN(RADIANS((90-$Q$8)-W9))*AD9)+(COS(RADIANS((90-$Q$8)-W9))*AE9))</f>
        <v>0.10613321893564195</v>
      </c>
      <c r="AM9" s="569">
        <f>IF(M9="","",AF9)</f>
        <v>-0.37096089794917791</v>
      </c>
      <c r="AN9" s="524">
        <f>IF(M9="","",DEGREES(ATAN2(-AM9,AL9)))</f>
        <v>15.966012167147152</v>
      </c>
      <c r="AO9" s="525">
        <f>IF(ROUND(IF(M9="",0,DEGREES(ACOS(AK9))),4)=90,0,IF(M9="","",DEGREES(ACOS(AK9))))</f>
        <v>22.696199576154587</v>
      </c>
      <c r="AP9" s="722">
        <f>IF(M9="","",DEGREES(ATAN2(AK9,AL9)))</f>
        <v>6.5625497987695915</v>
      </c>
      <c r="AQ9" s="527">
        <f t="shared" ref="AQ9:AQ40" si="21">IF(M9="","",DEGREES(ATAN(($AS$5*SIN(RADIANS(90)))/(($X9*2*PI())-($AS$5*COS(RADIANS(90)))))))</f>
        <v>7.1344419025855412</v>
      </c>
      <c r="AS9" s="931">
        <f>IF(M9="","",W9)</f>
        <v>357.27145340046451</v>
      </c>
      <c r="AT9" s="927">
        <f t="shared" ref="AT9:AT40" si="22">IF(M9="","",Y9+(((AS9-$AS$9)*$AS$6)*-1))</f>
        <v>-0.71062133881658018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2.9481016580625054E-2</v>
      </c>
      <c r="BB9" s="290">
        <f>IF(ISNUMBER($AV9),$AX9-($AT9+$AS$5),"")</f>
        <v>0.25562133881658022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1.8543677506690167E-2</v>
      </c>
      <c r="BG9" s="5">
        <f t="shared" ref="BG9:BG40" si="27">IF(ISNUMBER($AV9),O9,"")</f>
        <v>0.31734365689594946</v>
      </c>
      <c r="BH9" s="10">
        <f t="shared" ref="BH9:BH40" si="28">IF(ISNUMBER($AV9),P9,"")</f>
        <v>-0.71062133881658018</v>
      </c>
      <c r="BI9" s="9">
        <f>IF(ISNUMBER($AV9),BF9+0,"")</f>
        <v>1.8543677506690167E-2</v>
      </c>
      <c r="BJ9" s="5">
        <f t="shared" ref="BJ9:BJ40" si="29">IF(ISNUMBER($AV9),BG9+COS(RADIANS($AG9)),"")</f>
        <v>1.3076117284431863</v>
      </c>
      <c r="BK9" s="8">
        <f t="shared" ref="BK9:BK40" si="30">IF(ISNUMBER($AV9),BH9+SIN(RADIANS($AG9)),"")</f>
        <v>-0.57144825781986985</v>
      </c>
      <c r="BL9" s="173">
        <f t="shared" ref="BL9:BL40" si="31">IF(ISNUMBER($AV9),BF9+SIN(RADIANS($AH9)),"")</f>
        <v>0.39315021952068507</v>
      </c>
      <c r="BM9" s="5">
        <f t="shared" ref="BM9:BM40" si="32">IF(ISNUMBER($AV9),BG9-SIN(RADIANS($AG9))*COS(RADIANS($AH9)),"")</f>
        <v>0.18830462031517617</v>
      </c>
      <c r="BN9" s="6">
        <f t="shared" ref="BN9:BN40" si="33">IF(ISNUMBER($AV9),BH9+COS(RADIANS($AG9))*COS(RADIANS($AH9)),"")</f>
        <v>0.20753924938061685</v>
      </c>
      <c r="BO9" s="4">
        <f>IF(ISNUMBER($AV9),BJ9*BN9-BM9*BK9-BG9*(BN9-BK9)+BH9*(BM9-BJ9),"")</f>
        <v>0.92718387533450841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5.2135146613611294E-2</v>
      </c>
      <c r="BQ9" s="5">
        <f>IF(ISNUMBER($AV9),BF9*(BJ9-BM9)-BG9*(BI9-BL9)+(BI9*BM9-BL9*BJ9),"")</f>
        <v>-0.37096089794917775</v>
      </c>
      <c r="BR9" s="6">
        <f>IF(ISNUMBER($AV9),-(BF9*(BJ9*BN9-BM9*BK9)-BG9*(BI9*BN9-BL9*BK9)+BH9*(BI9*BM9-BL9*BJ9)),"")</f>
        <v>-0.29735088680202171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-5.2135146613611294E-2</v>
      </c>
      <c r="CG9" s="5">
        <f>IF(ISNUMBER($AV9),(BQ9*CB9)-(BO9*CD9),"")</f>
        <v>0.92718387533450841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2.4659694387735893</v>
      </c>
      <c r="CK9" s="8">
        <f>IF(ISNUMBER($AV9),(CC9*BR9-BP9*CE9)/(-CC9*BQ9+BP9*CD9),"")</f>
        <v>-0.45499999999999996</v>
      </c>
      <c r="CL9" s="173">
        <f>IF(ISNUMBER($AV9),CI9+CF9,"")</f>
        <v>-5.2135146613611294E-2</v>
      </c>
      <c r="CM9" s="5">
        <f>IF(ISNUMBER($AV9),CJ9+CG9,"")</f>
        <v>3.3931533141080976</v>
      </c>
      <c r="CN9" s="181">
        <f>IF(ISNUMBER($AV9),CK9+CH9,"")</f>
        <v>-0.45499999999999996</v>
      </c>
      <c r="CO9" s="228" t="str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Radius</v>
      </c>
      <c r="CP9" s="23">
        <f>IF(ISNUMBER($AV9),(CL9-CI9)^2+(CM9-CJ9)^2+(CN9-CK9)^2,"")</f>
        <v>0.86238801219273975</v>
      </c>
      <c r="CQ9" s="20">
        <f>IF(ISNUMBER($AV9),2*((CL9-CI9)*(CI9-BF9)+(CM9-CJ9)*(CJ9-BG9)+(CN9-CK9)*(CK9-BH9)),"")</f>
        <v>3.9862759128610299</v>
      </c>
      <c r="CR9" s="20" t="e">
        <f>IF(ISNUMBER($AV9),BF9^2+BG9^2+BH9^2+CI9^2+CJ9^2+CK9^2-2*(BF9*CI9+BG9*CJ9+BH9*CK9)-CO9^2,"")</f>
        <v>#VALUE!</v>
      </c>
      <c r="CS9" s="25" t="e">
        <f>IF(ISNUMBER($AV9),CQ9^2-(4*CP9*CR9),"")</f>
        <v>#VALUE!</v>
      </c>
      <c r="CT9" s="24" t="e">
        <f>IF(ISNUMBER($AV9),(-CQ9+SQRT(CS9))/(CP9*2),"")</f>
        <v>#VALUE!</v>
      </c>
      <c r="CU9" s="22" t="e">
        <f>IF(ISNUMBER($AV9),(-CQ9-SQRT(CS9))/(CP9*2),"")</f>
        <v>#VALUE!</v>
      </c>
      <c r="CV9" s="23" t="e">
        <f t="shared" ref="CV9:CX10" si="36">IF(ISNUMBER($AV9),CI9+($CT9*(CL9-CI9)),"")</f>
        <v>#VALUE!</v>
      </c>
      <c r="CW9" s="20" t="e">
        <f t="shared" si="36"/>
        <v>#VALUE!</v>
      </c>
      <c r="CX9" s="25" t="e">
        <f t="shared" si="36"/>
        <v>#VALUE!</v>
      </c>
      <c r="CY9" s="24" t="e">
        <f t="shared" ref="CY9:DA10" si="37">IF(ISNUMBER($AV9),CI9+($CU9*(CL9-CI9)),"")</f>
        <v>#VALUE!</v>
      </c>
      <c r="CZ9" s="20" t="e">
        <f t="shared" si="37"/>
        <v>#VALUE!</v>
      </c>
      <c r="DA9" s="22" t="e">
        <f t="shared" si="37"/>
        <v>#VALUE!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 t="e">
        <f t="shared" ref="DL9:DN9" si="39">IF(ISNUMBER($AV9),CV9-DB9,"")</f>
        <v>#VALUE!</v>
      </c>
      <c r="DM9" s="173" t="e">
        <f t="shared" si="39"/>
        <v>#VALUE!</v>
      </c>
      <c r="DN9" s="178" t="e">
        <f t="shared" si="39"/>
        <v>#VALUE!</v>
      </c>
      <c r="DO9" s="9" t="e">
        <f t="shared" ref="DO9:DQ10" si="40">IF(ISNUMBER($AV9),CY9-CV9,"")</f>
        <v>#VALUE!</v>
      </c>
      <c r="DP9" s="173" t="e">
        <f t="shared" si="40"/>
        <v>#VALUE!</v>
      </c>
      <c r="DQ9" s="11" t="e">
        <f t="shared" si="40"/>
        <v>#VALUE!</v>
      </c>
      <c r="DR9" s="173" t="e">
        <f>IF(ISNUMBER($AV9),SUMPRODUCT(DI9:DK9,DL9:DN9),"")</f>
        <v>#VALUE!</v>
      </c>
      <c r="DS9" s="5" t="e">
        <f>IF(ISNUMBER($AV9),SUMPRODUCT(DO9:DQ9,DI9:DK9),"")</f>
        <v>#VALUE!</v>
      </c>
      <c r="DT9" s="5">
        <f>IF(ISNUMBER($AV9),SUMPRODUCT(DI9:DK9,DI9:DK9),"")</f>
        <v>400</v>
      </c>
      <c r="DU9" s="5" t="e">
        <f>IF(ISNUMBER($AV9),SUMPRODUCT(DO9:DQ9,DO9:DQ9),"")</f>
        <v>#VALUE!</v>
      </c>
      <c r="DV9" s="5" t="e">
        <f>IF(ISNUMBER($AV9),SUMPRODUCT(DL9:DN9,DO9:DQ9),"")</f>
        <v>#VALUE!</v>
      </c>
      <c r="DW9" s="5" t="e">
        <f>IF(ISNUMBER($AV9),SUMPRODUCT(DL9:DN9,DL9:DN9),"")</f>
        <v>#VALUE!</v>
      </c>
      <c r="DX9" s="167" t="e">
        <f>IF(ISNUMBER($AV9),DW9-DH9*DH9,"")</f>
        <v>#VALUE!</v>
      </c>
      <c r="DY9" s="9" t="e">
        <f>IF(ISNUMBER($AV9),DT9*DU9-DS9*DS9,"")</f>
        <v>#VALUE!</v>
      </c>
      <c r="DZ9" s="5" t="e">
        <f>IF(ISNUMBER($AV9),DT9*DV9-DS9*DR9,"")</f>
        <v>#VALUE!</v>
      </c>
      <c r="EA9" s="10" t="e">
        <f>IF(ISNUMBER($AV9),DT9*DX9-DR9*DR9,"")</f>
        <v>#VALUE!</v>
      </c>
      <c r="EB9" s="6" t="e">
        <f>IF(ISNUMBER($AV9),DZ9*DZ9-DY9*EA9,"")</f>
        <v>#VALUE!</v>
      </c>
      <c r="EC9" s="173" t="e">
        <f>IF(ISNUMBER($AV9),(-DZ9+SQRT(DZ9^2-DY9*EA9))/DY9,"")</f>
        <v>#VALUE!</v>
      </c>
      <c r="ED9" s="5" t="e">
        <f>IF(ISNUMBER($AV9),(-DZ9-SQRT(DZ9^2-DY9*EA9))/DY9,"")</f>
        <v>#VALUE!</v>
      </c>
      <c r="EE9" s="4" t="e">
        <f t="shared" ref="EE9:EG10" si="41">IF(ISNUMBER($AV9),CV9+DO9*$EC9,"")</f>
        <v>#VALUE!</v>
      </c>
      <c r="EF9" s="5" t="e">
        <f t="shared" si="41"/>
        <v>#VALUE!</v>
      </c>
      <c r="EG9" s="10" t="e">
        <f t="shared" si="41"/>
        <v>#VALUE!</v>
      </c>
      <c r="EH9" s="9" t="e">
        <f t="shared" ref="EH9:EJ10" si="42">IF(ISNUMBER($AV9),CV9+DO9*$ED9,"")</f>
        <v>#VALUE!</v>
      </c>
      <c r="EI9" s="5" t="e">
        <f t="shared" si="42"/>
        <v>#VALUE!</v>
      </c>
      <c r="EJ9" s="6" t="e">
        <f t="shared" si="42"/>
        <v>#VALUE!</v>
      </c>
      <c r="EK9" s="236" t="e">
        <f>IF(ISNUMBER($AV9),IF(OR($EC9&lt;0,$EC9&gt;1),FALSE,TRUE),"")</f>
        <v>#VALUE!</v>
      </c>
      <c r="EL9" s="238" t="e">
        <f>IF(ISNUMBER($AV9),IF(OR($ED9&lt;0,$ED9&gt;1),FALSE,TRUE),"")</f>
        <v>#VALUE!</v>
      </c>
      <c r="EM9" s="4" t="e">
        <f t="shared" ref="EM9:EO10" si="43">IF(ISNUMBER($AV9),IF($EK9=TRUE,EE9,IF($EL9=TRUE,EH9,"")),"")</f>
        <v>#VALUE!</v>
      </c>
      <c r="EN9" s="5" t="e">
        <f t="shared" si="43"/>
        <v>#VALUE!</v>
      </c>
      <c r="EO9" s="10" t="e">
        <f t="shared" si="43"/>
        <v>#VALUE!</v>
      </c>
      <c r="EP9" s="9" t="e">
        <f>IF(ISNUMBER($AV9),IF(DEGREES(ATAN2(EM9,EN9))&lt;0,DEGREES(ATAN2(EM9,EN9))+360,IF(DEGREES(ATAN2(EM9,EN9))&gt;360,DEGREES(ATAN2(EM9,EN9))-360,DEGREES(ATAN2(EM9,EN9)))),"")</f>
        <v>#VALUE!</v>
      </c>
      <c r="EQ9" s="5" t="e">
        <f>IF(ISNUMBER($AV9),SQRT(EM9^2+EN9^2),"")</f>
        <v>#VALUE!</v>
      </c>
      <c r="ER9" s="7" t="e">
        <f>IF(ISNUMBER($AV9),EO9,"")</f>
        <v>#VALUE!</v>
      </c>
      <c r="ES9" s="274">
        <f>IF(ISNUMBER($AV9),AD9,"")</f>
        <v>0.9271838753345083</v>
      </c>
      <c r="ET9" s="267">
        <f t="shared" ref="ET9:ET40" si="44">IF(ISNUMBER($AV9),AE9,"")</f>
        <v>5.2135146613611329E-2</v>
      </c>
      <c r="EU9" s="273">
        <f t="shared" ref="EU9:EU40" si="45">IF(ISNUMBER($AV9),AF9,"")</f>
        <v>-0.37096089794917791</v>
      </c>
      <c r="EV9" s="174" t="e">
        <f t="shared" ref="EV9:EV14" si="46">IF(ISNUMBER($AV9),IF(($EV$1-EP9)&lt;0,(360+($EV$1-EP9)),($EV$1-EP9)),"")</f>
        <v>#VALUE!</v>
      </c>
      <c r="EW9" s="9" t="e">
        <f>IF(ISNUMBER($AV9),(COS(RADIANS($EV9))*ES9)+(-SIN(RADIANS($EV9))*ET9),"")</f>
        <v>#VALUE!</v>
      </c>
      <c r="EX9" s="5" t="e">
        <f t="shared" ref="EX9:EX40" si="47">IF(ISNUMBER($AV9),(SIN(RADIANS($EV9))*ES9)+(COS(RADIANS($EV9))*ET9),"")</f>
        <v>#VALUE!</v>
      </c>
      <c r="EY9" s="6">
        <f>IF(ISNUMBER($AV9),EU9,"")</f>
        <v>-0.37096089794917791</v>
      </c>
      <c r="EZ9" s="51" t="e">
        <f>IF(ISNUMBER($AV9),DEGREES(ATAN($AS$5/($EQ9*2*PI()))),"")</f>
        <v>#VALUE!</v>
      </c>
      <c r="FA9" s="266" t="e">
        <f>IF(ISNUMBER($AV9),SIN(RADIANS($EP9))*COS(RADIANS($EZ9)),"")</f>
        <v>#VALUE!</v>
      </c>
      <c r="FB9" s="267" t="e">
        <f>IF(ISNUMBER($AV9),-1*COS(RADIANS($EP9))*COS(RADIANS($EZ9)),"")</f>
        <v>#VALUE!</v>
      </c>
      <c r="FC9" s="268" t="e">
        <f t="shared" ref="FC9:FC53" si="48">IF(ISNUMBER($AV9),-1*SIN(RADIANS($EZ9)),"")</f>
        <v>#VALUE!</v>
      </c>
      <c r="FD9" s="4" t="e">
        <f>IF(ISNUMBER($AV9),(COS(RADIANS($EV9))*FA9)+(-SIN(RADIANS($EV9))*FB9),"")</f>
        <v>#VALUE!</v>
      </c>
      <c r="FE9" s="5" t="e">
        <f t="shared" ref="FE9:FE40" si="49">IF(ISNUMBER($AV9),(SIN(RADIANS($EV9))*FA9)+(COS(RADIANS($EV9))*FB9),"")</f>
        <v>#VALUE!</v>
      </c>
      <c r="FF9" s="7" t="e">
        <f>IF(ISNUMBER($AV9),FC9,"")</f>
        <v>#VALUE!</v>
      </c>
      <c r="FG9" s="173" t="e">
        <f>IF(ISNUMBER($AV9),EW9-FD9,"")</f>
        <v>#VALUE!</v>
      </c>
      <c r="FH9" s="5" t="e">
        <f t="shared" ref="FH9:FH40" si="50">IF(ISNUMBER($AV9),EX9-FE9,"")</f>
        <v>#VALUE!</v>
      </c>
      <c r="FI9" s="10" t="e">
        <f t="shared" ref="FI9:FI40" si="51">IF(ISNUMBER($AV9),EY9-FF9,"")</f>
        <v>#VALUE!</v>
      </c>
      <c r="FJ9" s="279" t="e">
        <f>IF(ISNUMBER($AV9),DEGREES(ACOS((2-SQRT((FG9)^2+(FH9)^2+(FI9)^2)^2)/2)),"")</f>
        <v>#VALUE!</v>
      </c>
      <c r="FK9" s="23">
        <f t="shared" ref="FK9:FK40" si="52">IF(ISNUMBER($AV9),SQRT(ES9^2+ET9^2),"")</f>
        <v>0.92864848688442914</v>
      </c>
      <c r="FL9" s="20" t="e">
        <f>IF(ISNUMBER($AV9),SQRT(FA9^2+FB9^2),"")</f>
        <v>#VALUE!</v>
      </c>
      <c r="FM9" s="25" t="e">
        <f>IF(ISNUMBER($AV9),SQRT(FG9^2+FH9^2),"")</f>
        <v>#VALUE!</v>
      </c>
      <c r="FN9" s="24" t="e">
        <f>IF(ISNUMBER($AV9),DEGREES(ACOS((FK9^2+FL9^2-FM9^2)/(2*FK9*FL9))),"")</f>
        <v>#VALUE!</v>
      </c>
      <c r="FO9" s="10" t="e">
        <f t="shared" ref="FO9:FO40" si="53">IF(ISNUMBER($AV9),IF(SQRT((EM9+(ES9/SQRT(ES9^2+(ET9/SQRT(ES9^2+ET9^2))^2)))^2+(EN9+ET9)^2)&gt;SQRT((EM9+(FA9/SQRT(FA9^2+FB9^2)))^2+(EN9+(FB9/SQRT(FA9^2+FB9^2)))^2),-1,1),"")</f>
        <v>#VALUE!</v>
      </c>
      <c r="FP9" s="276" t="e">
        <f t="shared" ref="FP9:FP40" si="54">IF(ISNUMBER($AV9),FN9*FO9,"")</f>
        <v>#VALUE!</v>
      </c>
      <c r="FQ9" s="173" t="e">
        <f>IF(ISNUMBER($AV9),SIN(RADIANS(FN9)),"")</f>
        <v>#VALUE!</v>
      </c>
      <c r="FR9" s="10" t="e">
        <f>IF(ISNUMBER($AV9),COS(RADIANS(FN9)),"")</f>
        <v>#VALUE!</v>
      </c>
      <c r="FS9" s="9" t="e">
        <f>IF(ISNUMBER($AV9),FQ9/(FQ9+FR9),"")</f>
        <v>#VALUE!</v>
      </c>
      <c r="FT9" s="6" t="e">
        <f>IF(ISNUMBER($AV9),FR9/(FQ9+FR9),"")</f>
        <v>#VALUE!</v>
      </c>
      <c r="FU9" s="4" t="e">
        <f>IF(ISNUMBER($AV9),SQRT(EW9^2+EY9^2),"")</f>
        <v>#VALUE!</v>
      </c>
      <c r="FV9" s="5" t="e">
        <f>IF(ISNUMBER($AV9),SQRT(FD9^2+FF9^2),"")</f>
        <v>#VALUE!</v>
      </c>
      <c r="FW9" s="8" t="e">
        <f>IF(ISNUMBER($AV9),SQRT(FG9^2+FI9^2),"")</f>
        <v>#VALUE!</v>
      </c>
      <c r="FX9" s="9" t="e">
        <f>IF(ISNUMBER($AV9),DEGREES(ACOS((FU9^2+FV9^2-FW9^2)/(2*FU9*FV9))),"")</f>
        <v>#VALUE!</v>
      </c>
      <c r="FY9" s="10" t="e">
        <f t="shared" ref="FY9:FY40" si="55">IF(ISNUMBER($AV9),IF(EU9&lt;FC9,1,-1),"")</f>
        <v>#VALUE!</v>
      </c>
      <c r="FZ9" s="277" t="e">
        <f>IF(ISNUMBER($AV9),FX9*FY9,"")</f>
        <v>#VALUE!</v>
      </c>
      <c r="GA9" s="177" t="e">
        <f>IF(ISNUMBER($AV9),DEGREES(FZ9*SIN(RADIANS(FU9))),"")</f>
        <v>#VALUE!</v>
      </c>
      <c r="GB9" s="4" t="e">
        <f>IF(ISNUMBER($AV9),COS(RADIANS(FP9+90))*COS(RADIANS(FZ9)),"")</f>
        <v>#VALUE!</v>
      </c>
      <c r="GC9" s="5" t="e">
        <f>IF(ISNUMBER($AV9),SIN(RADIANS(FP9+90))*COS(RADIANS(FZ9)),"")</f>
        <v>#VALUE!</v>
      </c>
      <c r="GD9" s="10" t="e">
        <f>IF(ISNUMBER($AV9),-SIN(RADIANS(FZ9)),"")</f>
        <v>#VALUE!</v>
      </c>
      <c r="GE9" s="311" t="e">
        <f>IF(ISNUMBER($AV9),SUM(ABS(GB9),ABS(GC9),ABS(GD9)),"")</f>
        <v>#VALUE!</v>
      </c>
      <c r="GF9" s="341" t="e">
        <f>IF(ISNUMBER($AV9),1/GE9,"")</f>
        <v>#VALUE!</v>
      </c>
      <c r="GG9" s="303" t="e">
        <f t="shared" ref="GG9:GG40" si="56">IF(ISNUMBER($AV9),ABS(GB9)/(ABS($GB9)+ABS($GC9)+ABS($GD9)),"")</f>
        <v>#VALUE!</v>
      </c>
      <c r="GH9" s="304" t="e">
        <f t="shared" ref="GH9:GH40" si="57">IF(ISNUMBER($AV9),ABS(GC9)/(ABS($GB9)+ABS($GC9)+ABS($GD9)),"")</f>
        <v>#VALUE!</v>
      </c>
      <c r="GI9" s="305" t="e">
        <f t="shared" ref="GI9:GI40" si="58">IF(ISNUMBER($AV9),ABS(GD9)/(ABS($GB9)+ABS($GC9)+ABS($GD9)),"")</f>
        <v>#VALUE!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2.9481016580625054E-2</v>
      </c>
      <c r="GO9" s="4" t="e">
        <f>IF(ISNUMBER($AV9),FP9,"")</f>
        <v>#VALUE!</v>
      </c>
      <c r="GP9" s="8" t="e">
        <f>IF(ISNUMBER($AV9),FZ9,"")</f>
        <v>#VALUE!</v>
      </c>
      <c r="GQ9" s="177" t="e">
        <f>IF(ISNUMBER($AV9),FJ9,"")</f>
        <v>#VALUE!</v>
      </c>
      <c r="GR9" s="371" t="e">
        <f>IF(ISNUMBER($AV9),GS9+GU9+GY9,"")</f>
        <v>#VALUE!</v>
      </c>
      <c r="GS9" s="342" t="e">
        <f t="shared" ref="GS9:GS40" si="61">IF(ISNUMBER($AV9),GU9/GH9*GG9,"")</f>
        <v>#VALUE!</v>
      </c>
      <c r="GT9" s="343" t="e">
        <f t="shared" ref="GT9:GT40" si="62">IF(ISNUMBER($AV9),GS9/$GK9,"")</f>
        <v>#VALUE!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 t="e">
        <f t="shared" ref="GY9:GY40" si="66">IF(ISNUMBER($AV9),GU9/GH9*GI9,"")</f>
        <v>#VALUE!</v>
      </c>
      <c r="GZ9" s="345" t="e">
        <f t="shared" ref="GZ9:GZ40" si="67">IF(ISNUMBER($AV9),GY9/$GK9,"")</f>
        <v>#VALUE!</v>
      </c>
      <c r="HA9" s="342" t="e">
        <f t="shared" ref="HA9:HA53" si="68">IF(ISNUMBER($AV9),$FO9*$GS9,"")</f>
        <v>#VALUE!</v>
      </c>
      <c r="HB9" s="191" t="e">
        <f>IF(ISNUMBER($AV9),$EV9,"")</f>
        <v>#VALUE!</v>
      </c>
      <c r="HC9" s="362" t="e">
        <f>IF(ISNUMBER($AV9),HA9*COS(RADIANS(HB9)),"")</f>
        <v>#VALUE!</v>
      </c>
      <c r="HD9" s="365" t="e">
        <f>IF(ISNUMBER($AV9),HA9*SIN(RADIANS(HB9)),"")</f>
        <v>#VALUE!</v>
      </c>
      <c r="HE9" s="344" t="e">
        <f t="shared" ref="HE9:HE53" si="69">IF(ISNUMBER($AV9),$FY9*$GV9,"")</f>
        <v>#VALUE!</v>
      </c>
      <c r="HF9" s="5" t="e">
        <f t="shared" ref="HF9:HF53" si="70">IF(ISNUMBER($AV9),IF(($HB9+90)&lt;0,(360+($HB9+90)),($HB9+90)),"")</f>
        <v>#VALUE!</v>
      </c>
      <c r="HG9" s="362" t="e">
        <f>IF(ISNUMBER($AV9),HE9*COS(RADIANS(HF9)),"")</f>
        <v>#VALUE!</v>
      </c>
      <c r="HH9" s="368" t="e">
        <f>IF(ISNUMBER($AV9),HE9*SIN(RADIANS(HF9)),"")</f>
        <v>#VALUE!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 t="e">
        <f>IF(ISNUMBER($HL9),INDEX(GO$9:GO$150,MATCH($HL9,$AV$9:$AV$150,0)),"")</f>
        <v>#VALUE!</v>
      </c>
      <c r="HN9" s="904">
        <f t="shared" ref="HN9:HN40" si="73">IF(ISNUMBER($HL9),INDEX(AO$9:AO$150,MATCH($HL9,$AV$9:$AV$150,0)),"")</f>
        <v>22.696199576154587</v>
      </c>
      <c r="HO9" s="905"/>
      <c r="HP9" s="906"/>
      <c r="HQ9" s="907" t="e">
        <f t="shared" ref="HQ9:HQ40" si="74">IF(ISNUMBER($HL9),INDEX(GQ$9:GQ$150,MATCH($HL9,$AV$9:$AV$150,0)),"")</f>
        <v>#VALUE!</v>
      </c>
      <c r="HR9" s="908" t="e">
        <f t="shared" ref="HR9:HR40" si="75">IF(ISNUMBER($HL9),INDEX(GP$9:GP$150,MATCH($HL9,$AV$9:$AV$150,0)),"")</f>
        <v>#VALUE!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2.9481016580625054E-2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 t="e">
        <f t="shared" ref="HY9:HY40" si="81">IF(ISNUMBER($HL9),INDEX(GS$9:GS$150,MATCH($HL9,$AV$9:$AV$150,0)),"")</f>
        <v>#VALUE!</v>
      </c>
      <c r="HZ9" s="862">
        <f t="shared" ref="HZ9:HZ40" si="82">IF(ISNUMBER($HL9),INDEX(GU$9:GU$150,MATCH($HL9,$AV$9:$AV$150,0)),"")</f>
        <v>244.13246533948367</v>
      </c>
      <c r="IA9" s="863" t="e">
        <f t="shared" ref="IA9:IA40" si="83">IF(ISNUMBER($HL9),INDEX(GY$9:GY$150,MATCH($HL9,$AV$9:$AV$150,0)),"")</f>
        <v>#VALUE!</v>
      </c>
      <c r="IB9" s="864" t="e">
        <f t="shared" ref="IB9:IB40" si="84">IF(ISNUMBER($HL9),INDEX(GR$9:GR$150,MATCH($HL9,$AV$9:$AV$150,0)),"")</f>
        <v>#VALUE!</v>
      </c>
      <c r="IC9" s="840" t="e">
        <f t="shared" ref="IC9:IC40" si="85">IF(ISNUMBER($HL9),INDEX(GT$9:GT$150,MATCH($HL9,$AV$9:$AV$150,0)),"")</f>
        <v>#VALUE!</v>
      </c>
      <c r="ID9" s="350">
        <f t="shared" ref="ID9:ID40" si="86">IF(ISNUMBER($HL9),INDEX(GV$9:GV$150,MATCH($HL9,$AV$9:$AV$150,0)),"")</f>
        <v>2274.4500000000003</v>
      </c>
      <c r="IE9" s="842" t="e">
        <f t="shared" ref="IE9:IE40" si="87">IF(ISNUMBER($HL9),INDEX(GZ$9:GZ$150,MATCH($HL9,$AV$9:$AV$150,0)),"")</f>
        <v>#VALUE!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14513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14513</v>
      </c>
      <c r="JD9" s="727" cm="1">
        <f t="array" ref="JD9">IF($JC9="","",COUNT(IF(IF($IK$9:$IK$150="",$IL$9:$IL$150,"")=$JC9,$II$9:$II$150,"")))</f>
        <v>32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1.922523436330421E-2</v>
      </c>
      <c r="C10" s="572">
        <f t="shared" si="3"/>
        <v>0.98448343511814407</v>
      </c>
      <c r="D10" s="576">
        <f t="shared" si="4"/>
        <v>-0.46569315587826976</v>
      </c>
      <c r="E10" s="580">
        <f t="shared" si="5"/>
        <v>-0.96126171816521055</v>
      </c>
      <c r="F10" s="572">
        <f t="shared" si="6"/>
        <v>-2.4023368259670556E-2</v>
      </c>
      <c r="G10" s="579">
        <f t="shared" si="7"/>
        <v>0.27458839554418146</v>
      </c>
      <c r="H10" s="580">
        <f t="shared" si="8"/>
        <v>0.28499999999999998</v>
      </c>
      <c r="I10" s="572">
        <f t="shared" si="9"/>
        <v>0.52</v>
      </c>
      <c r="J10" s="483">
        <f t="shared" si="10"/>
        <v>1.1040000000000001</v>
      </c>
      <c r="K10" s="806">
        <f t="shared" si="11"/>
        <v>14513</v>
      </c>
      <c r="M10" s="164">
        <f t="shared" si="12"/>
        <v>1.1040000000000001</v>
      </c>
      <c r="N10" s="575">
        <f t="shared" si="13"/>
        <v>1.922523436330421E-2</v>
      </c>
      <c r="O10" s="572">
        <f t="shared" si="14"/>
        <v>0.98448343511814407</v>
      </c>
      <c r="P10" s="576">
        <f t="shared" si="15"/>
        <v>-0.46569315587826976</v>
      </c>
      <c r="Q10" s="528">
        <f>IF(M10="","",IF(DEGREES(ATAN2(N10,O10))&lt;0,DEGREES(ATAN2(N10,O10))+360,IF(DEGREES(ATAN2(N10,O10))&gt;360,DEGREES(ATAN2(N10,O10))-360,DEGREES(ATAN2(N10,O10)))))</f>
        <v>88.881256140147784</v>
      </c>
      <c r="R10" s="572">
        <f t="shared" ref="R10:R105" si="101">IF(M10="","",SQRT(N10^2+O10^2))</f>
        <v>0.98467113477462354</v>
      </c>
      <c r="S10" s="577">
        <f t="shared" ref="S10:S105" si="102">IF(M10="","",P10)</f>
        <v>-0.46569315587826976</v>
      </c>
      <c r="T10" s="578">
        <f t="shared" ref="T10:T105" si="103">IF(M10="","",X10*COS(RADIANS(W10)))</f>
        <v>0.98463317992137711</v>
      </c>
      <c r="U10" s="572">
        <f t="shared" ref="U10:U105" si="104">IF(M10="","",X10*SIN(RADIANS(W10)))</f>
        <v>-8.6454991910175881E-3</v>
      </c>
      <c r="V10" s="579">
        <f>IF(M10="","",Y10)</f>
        <v>-0.46569315587826976</v>
      </c>
      <c r="W10" s="528">
        <f t="shared" si="16"/>
        <v>359.49693155147833</v>
      </c>
      <c r="X10" s="572">
        <f t="shared" ref="X10:X105" si="105">IF(M10="","",R10)</f>
        <v>0.98467113477462354</v>
      </c>
      <c r="Y10" s="573">
        <f t="shared" si="17"/>
        <v>-0.46569315587826976</v>
      </c>
      <c r="Z10" s="575">
        <f>IF(M10="","",-E10)</f>
        <v>0.96126171816521055</v>
      </c>
      <c r="AA10" s="572">
        <f t="shared" si="19"/>
        <v>2.4023368259670556E-2</v>
      </c>
      <c r="AB10" s="572">
        <f t="shared" si="20"/>
        <v>-0.27458839554418146</v>
      </c>
      <c r="AC10" s="579">
        <f t="shared" ref="AC10:AC105" si="106">IF(M10="","",SQRT(Z10^2+AA10^2+AB10^2))</f>
        <v>1</v>
      </c>
      <c r="AD10" s="580">
        <f>IF(M10="","",Z10*(1/SQRT(Z10^2+AA10^2+AB10^2)))</f>
        <v>0.96126171816521055</v>
      </c>
      <c r="AE10" s="572">
        <f t="shared" ref="AE10:AE105" si="107">IF(M10="","",AA10*(1/SQRT(Z10^2+AA10^2+AB10^2)))</f>
        <v>2.4023368259670556E-2</v>
      </c>
      <c r="AF10" s="576">
        <f t="shared" ref="AF10:AF105" si="108">IF(M10="","",AB10*(1/SQRT(Z10^2+AA10^2+AB10^2)))</f>
        <v>-0.27458839554418146</v>
      </c>
      <c r="AG10" s="545">
        <f t="shared" ref="AG10:AG105" si="109">IF(M10="","",DEGREES(ATAN2(-AF10,AE10)))</f>
        <v>4.9999992780894233</v>
      </c>
      <c r="AH10" s="546">
        <f t="shared" ref="AH10:AH105" si="110">IF(M10="","",DEGREES(ACOS(AD10)))</f>
        <v>15.999995379772596</v>
      </c>
      <c r="AI10" s="528">
        <f t="shared" ref="AI10:AI105" si="111">IF(M10="","",DEGREES(-ACOS(-AF10)))</f>
        <v>-74.062513266307988</v>
      </c>
      <c r="AJ10" s="529">
        <f t="shared" ref="AJ10:AJ105" si="112">IF(M10="","",DEGREES(ATAN2(-AE10,AD10)))</f>
        <v>91.431609237654541</v>
      </c>
      <c r="AK10" s="578">
        <f>IF(M10="","",(COS(RADIANS((90-$Q$8)-W10))*AD10)+(-SIN(RADIANS((90-$Q$8)-W10))*AE10))</f>
        <v>0.96060943604116755</v>
      </c>
      <c r="AL10" s="572">
        <f t="shared" ref="AL10:AL105" si="113">IF(M10="","",(SIN(RADIANS((90-$Q$8)-W10))*AD10)+(COS(RADIANS((90-$Q$8)-W10))*AE10))</f>
        <v>4.2786965551935521E-2</v>
      </c>
      <c r="AM10" s="577">
        <f t="shared" ref="AM10:AM105" si="114">IF(M10="","",AF10)</f>
        <v>-0.27458839554418146</v>
      </c>
      <c r="AN10" s="524">
        <f t="shared" ref="AN10:AN105" si="115">IF(M10="","",DEGREES(ATAN2(-AM10,AL10)))</f>
        <v>8.8567301349358249</v>
      </c>
      <c r="AO10" s="525">
        <f t="shared" ref="AO10:AO54" si="116">IF(ROUND(IF(M10="",0,DEGREES(ACOS(AK10))),4)=90,0,IF(M10="","",DEGREES(ACOS(AK10))))</f>
        <v>16.135028242540422</v>
      </c>
      <c r="AP10" s="528">
        <f t="shared" ref="AP10:AP105" si="117">IF(M10="","",DEGREES(ATAN2(AK10,AL10)))</f>
        <v>2.5503530975067514</v>
      </c>
      <c r="AQ10" s="529">
        <f t="shared" si="21"/>
        <v>2.3139573940177569</v>
      </c>
      <c r="AS10" s="932">
        <f>IF($M10="","",IF(AND($W10&lt;($AS$9+180),$W10&gt;($AS$9-180)),$W10,IF($W10&gt;($AS$9+180),$W10-360,IF($W10&lt;($AS$9-180),$W10+360,"Error"))))</f>
        <v>359.49693155147833</v>
      </c>
      <c r="AT10" s="928">
        <f t="shared" si="22"/>
        <v>-0.46723862681647382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9.9645170253624127E-2</v>
      </c>
      <c r="BB10" s="291">
        <f>IF(ISNUMBER($AV10),$AX10-($AT10+$AS$5),"")</f>
        <v>0.25633862681647385</v>
      </c>
      <c r="BC10" s="9"/>
      <c r="BD10" s="5">
        <f>IF(ISNUMBER(AV10),AW10,"")</f>
        <v>0.93310000000000004</v>
      </c>
      <c r="BE10" s="6">
        <f t="shared" si="25"/>
        <v>-0.20935452906179591</v>
      </c>
      <c r="BF10" s="4">
        <f t="shared" si="26"/>
        <v>1.922523436330421E-2</v>
      </c>
      <c r="BG10" s="5">
        <f t="shared" si="27"/>
        <v>0.98448343511814407</v>
      </c>
      <c r="BH10" s="10">
        <f t="shared" si="28"/>
        <v>-0.46569315587826976</v>
      </c>
      <c r="BI10" s="9">
        <f>IF(ISNUMBER($AV10),BF10+0,"")</f>
        <v>1.922523436330421E-2</v>
      </c>
      <c r="BJ10" s="5">
        <f t="shared" si="29"/>
        <v>1.9806781343080271</v>
      </c>
      <c r="BK10" s="8">
        <f t="shared" si="30"/>
        <v>-0.37853742568238236</v>
      </c>
      <c r="BL10" s="173">
        <f t="shared" si="31"/>
        <v>0.29486251266590841</v>
      </c>
      <c r="BM10" s="5">
        <f t="shared" si="32"/>
        <v>0.90070396816210185</v>
      </c>
      <c r="BN10" s="6">
        <f t="shared" si="33"/>
        <v>0.49191067229207242</v>
      </c>
      <c r="BO10" s="4">
        <f>IF(ISNUMBER($AV10),BJ10*BN10-BM10*BK10-BG10*(BN10-BK10)+BH10*(BM10-BJ10),"")</f>
        <v>0.96126171816521044</v>
      </c>
      <c r="BP10" s="5">
        <f t="shared" si="34"/>
        <v>2.4023368259670497E-2</v>
      </c>
      <c r="BQ10" s="5">
        <f>IF(ISNUMBER($AV10),BF10*(BJ10-BM10)-BG10*(BI10-BL10)+(BI10*BM10-BL10*BJ10),"")</f>
        <v>-0.27458839554418091</v>
      </c>
      <c r="BR10" s="6">
        <f>IF(ISNUMBER($AV10),-(BF10*(BJ10*BN10-BM10*BK10)-BG10*(BI10*BN10-BL10*BK10)+BH10*(BI10*BM10-BL10*BJ10)),"")</f>
        <v>-0.17000502641210746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-0.20935452906179591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-0.20935452906179591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-0.20935452906179591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-0.20935452906179591</v>
      </c>
      <c r="CF10" s="4">
        <f>IF(ISNUMBER($AV10),(BP10*CD10)-(BQ10*CC10),"")</f>
        <v>-2.4023368259670497E-2</v>
      </c>
      <c r="CG10" s="5">
        <f>IF(ISNUMBER($AV10),(BQ10*CB10)-(BO10*CD10),"")</f>
        <v>0.96126171816521044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4.683718825807345</v>
      </c>
      <c r="CK10" s="8">
        <f t="shared" ref="CK10:CK73" si="128">IF(ISNUMBER($AV10),(CC10*BR10-BP10*CE10)/(-CC10*BQ10+BP10*CD10),"")</f>
        <v>-0.20935452906179589</v>
      </c>
      <c r="CL10" s="173">
        <f t="shared" ref="CL10:CL73" si="129">IF(ISNUMBER($AV10),CI10+CF10,"")</f>
        <v>-2.4023368259670497E-2</v>
      </c>
      <c r="CM10" s="5">
        <f t="shared" ref="CM10:CM73" si="130">IF(ISNUMBER($AV10),CJ10+CG10,"")</f>
        <v>5.6449805439725553</v>
      </c>
      <c r="CN10" s="6">
        <f t="shared" ref="CN10:CN73" si="131">IF(ISNUMBER($AV10),CK10+CH10,"")</f>
        <v>-0.20935452906179589</v>
      </c>
      <c r="CO10" s="167" t="str">
        <f t="shared" si="35"/>
        <v>Radius</v>
      </c>
      <c r="CP10" s="4">
        <f>IF(ISNUMBER($AV10),(CL10-CI10)^2+(CM10-CJ10)^2+(CN10-CK10)^2,"")</f>
        <v>0.924601213032472</v>
      </c>
      <c r="CQ10" s="5">
        <f>IF(ISNUMBER($AV10),2*((CL10-CI10)*(CI10-BF10)+(CM10-CJ10)*(CJ10-BG10)+(CN10-CK10)*(CK10-BH10)),"")</f>
        <v>7.1127904448728847</v>
      </c>
      <c r="CR10" s="5" t="e">
        <f>IF(ISNUMBER($AV10),BF10^2+BG10^2+BH10^2+CI10^2+CJ10^2+CK10^2-2*(BF10*CI10+BG10*CJ10+BH10*CK10)-CO10^2,"")</f>
        <v>#VALUE!</v>
      </c>
      <c r="CS10" s="8" t="e">
        <f>IF(ISNUMBER($AV10),CQ10^2-(4*CP10*CR10),"")</f>
        <v>#VALUE!</v>
      </c>
      <c r="CT10" s="9" t="e">
        <f>IF(ISNUMBER($AV10),(-CQ10+SQRT(CS10))/(CP10*2),"")</f>
        <v>#VALUE!</v>
      </c>
      <c r="CU10" s="6" t="e">
        <f>IF(ISNUMBER($AV10),(-CQ10-SQRT(CS10))/(CP10*2),"")</f>
        <v>#VALUE!</v>
      </c>
      <c r="CV10" s="4" t="e">
        <f t="shared" si="36"/>
        <v>#VALUE!</v>
      </c>
      <c r="CW10" s="5" t="e">
        <f t="shared" si="36"/>
        <v>#VALUE!</v>
      </c>
      <c r="CX10" s="8" t="e">
        <f t="shared" si="36"/>
        <v>#VALUE!</v>
      </c>
      <c r="CY10" s="9" t="e">
        <f t="shared" si="37"/>
        <v>#VALUE!</v>
      </c>
      <c r="CZ10" s="5" t="e">
        <f t="shared" si="37"/>
        <v>#VALUE!</v>
      </c>
      <c r="DA10" s="6" t="e">
        <f t="shared" si="37"/>
        <v>#VALUE!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 t="e">
        <f>IF(ISNUMBER($AV10),CV10-DB10,"")</f>
        <v>#VALUE!</v>
      </c>
      <c r="DM10" s="173" t="e">
        <f>IF(ISNUMBER($AV10),CW10-DC10,"")</f>
        <v>#VALUE!</v>
      </c>
      <c r="DN10" s="178" t="e">
        <f>IF(ISNUMBER($AV10),CX10-DD10,"")</f>
        <v>#VALUE!</v>
      </c>
      <c r="DO10" s="9" t="e">
        <f t="shared" si="40"/>
        <v>#VALUE!</v>
      </c>
      <c r="DP10" s="173" t="e">
        <f t="shared" si="40"/>
        <v>#VALUE!</v>
      </c>
      <c r="DQ10" s="11" t="e">
        <f t="shared" si="40"/>
        <v>#VALUE!</v>
      </c>
      <c r="DR10" s="173" t="e">
        <f>IF(ISNUMBER($AV10),SUMPRODUCT(DI10:DK10,DL10:DN10),"")</f>
        <v>#VALUE!</v>
      </c>
      <c r="DS10" s="5" t="e">
        <f>IF(ISNUMBER($AV10),SUMPRODUCT(DO10:DQ10,DI10:DK10),"")</f>
        <v>#VALUE!</v>
      </c>
      <c r="DT10" s="5">
        <f>IF(ISNUMBER($AV10),SUMPRODUCT(DI10:DK10,DI10:DK10),"")</f>
        <v>400</v>
      </c>
      <c r="DU10" s="5" t="e">
        <f>IF(ISNUMBER($AV10),SUMPRODUCT(DO10:DQ10,DO10:DQ10),"")</f>
        <v>#VALUE!</v>
      </c>
      <c r="DV10" s="5" t="e">
        <f>IF(ISNUMBER($AV10),SUMPRODUCT(DL10:DN10,DO10:DQ10),"")</f>
        <v>#VALUE!</v>
      </c>
      <c r="DW10" s="5" t="e">
        <f>IF(ISNUMBER($AV10),SUMPRODUCT(DL10:DN10,DL10:DN10),"")</f>
        <v>#VALUE!</v>
      </c>
      <c r="DX10" s="167" t="e">
        <f>IF(ISNUMBER($AV10),DW10-DH10*DH10,"")</f>
        <v>#VALUE!</v>
      </c>
      <c r="DY10" s="9" t="e">
        <f>IF(ISNUMBER($AV10),DT10*DU10-DS10*DS10,"")</f>
        <v>#VALUE!</v>
      </c>
      <c r="DZ10" s="5" t="e">
        <f>IF(ISNUMBER($AV10),DT10*DV10-DS10*DR10,"")</f>
        <v>#VALUE!</v>
      </c>
      <c r="EA10" s="10" t="e">
        <f>IF(ISNUMBER($AV10),DT10*DX10-DR10*DR10,"")</f>
        <v>#VALUE!</v>
      </c>
      <c r="EB10" s="6" t="e">
        <f>IF(ISNUMBER($AV10),DZ10*DZ10-DY10*EA10,"")</f>
        <v>#VALUE!</v>
      </c>
      <c r="EC10" s="173" t="e">
        <f>IF(ISNUMBER($AV10),(-DZ10+SQRT(DZ10^2-DY10*EA10))/DY10,"")</f>
        <v>#VALUE!</v>
      </c>
      <c r="ED10" s="5" t="e">
        <f>IF(ISNUMBER($AV10),(-DZ10-SQRT(DZ10^2-DY10*EA10))/DY10,"")</f>
        <v>#VALUE!</v>
      </c>
      <c r="EE10" s="4" t="e">
        <f t="shared" si="41"/>
        <v>#VALUE!</v>
      </c>
      <c r="EF10" s="5" t="e">
        <f>IF(ISNUMBER($AV10),CW10+DP10*$EC10,"")</f>
        <v>#VALUE!</v>
      </c>
      <c r="EG10" s="10" t="e">
        <f>IF(ISNUMBER($AV10),CX10+DQ10*$EC10,"")</f>
        <v>#VALUE!</v>
      </c>
      <c r="EH10" s="9" t="e">
        <f>IF(ISNUMBER($AV10),CV10+DO10*$ED10,"")</f>
        <v>#VALUE!</v>
      </c>
      <c r="EI10" s="5" t="e">
        <f>IF(ISNUMBER($AV10),CW10+DP10*$ED10,"")</f>
        <v>#VALUE!</v>
      </c>
      <c r="EJ10" s="6" t="e">
        <f t="shared" si="42"/>
        <v>#VALUE!</v>
      </c>
      <c r="EK10" s="236" t="e">
        <f>IF(ISNUMBER($AV10),IF(OR($EC10&lt;0,$EC10&gt;1),FALSE,TRUE),"")</f>
        <v>#VALUE!</v>
      </c>
      <c r="EL10" s="238" t="e">
        <f>IF(ISNUMBER($AV10),IF(OR($ED10&lt;0,$ED10&gt;1),FALSE,TRUE),"")</f>
        <v>#VALUE!</v>
      </c>
      <c r="EM10" s="4" t="e">
        <f t="shared" si="43"/>
        <v>#VALUE!</v>
      </c>
      <c r="EN10" s="5" t="e">
        <f t="shared" si="43"/>
        <v>#VALUE!</v>
      </c>
      <c r="EO10" s="10" t="e">
        <f t="shared" si="43"/>
        <v>#VALUE!</v>
      </c>
      <c r="EP10" s="9" t="e">
        <f>IF(ISNUMBER($AV10),IF(DEGREES(ATAN2(EM10,EN10))&lt;0,DEGREES(ATAN2(EM10,EN10))+360,IF(DEGREES(ATAN2(EM10,EN10))&gt;360,DEGREES(ATAN2(EM10,EN10))-360,DEGREES(ATAN2(EM10,EN10)))),"")</f>
        <v>#VALUE!</v>
      </c>
      <c r="EQ10" s="5" t="e">
        <f>IF(ISNUMBER($AV10),SQRT(EM10^2+EN10^2),"")</f>
        <v>#VALUE!</v>
      </c>
      <c r="ER10" s="7" t="e">
        <f>IF(ISNUMBER($AV10),EO10,"")</f>
        <v>#VALUE!</v>
      </c>
      <c r="ES10" s="21">
        <f t="shared" ref="ES10:ES40" si="132">IF(ISNUMBER($AV10),AD10,"")</f>
        <v>0.96126171816521055</v>
      </c>
      <c r="ET10" s="5">
        <f t="shared" si="44"/>
        <v>2.4023368259670556E-2</v>
      </c>
      <c r="EU10" s="10">
        <f t="shared" si="45"/>
        <v>-0.27458839554418146</v>
      </c>
      <c r="EV10" s="174" t="e">
        <f t="shared" si="46"/>
        <v>#VALUE!</v>
      </c>
      <c r="EW10" s="9" t="e">
        <f t="shared" ref="EW10:EW40" si="133">IF(ISNUMBER($AV10),(COS(RADIANS($EV10))*ES10)+(-SIN(RADIANS($EV10))*ET10),"")</f>
        <v>#VALUE!</v>
      </c>
      <c r="EX10" s="5" t="e">
        <f t="shared" si="47"/>
        <v>#VALUE!</v>
      </c>
      <c r="EY10" s="6">
        <f>IF(ISNUMBER($AV10),EU10,"")</f>
        <v>-0.27458839554418146</v>
      </c>
      <c r="EZ10" s="51" t="e">
        <f>IF(ISNUMBER($AV10),DEGREES(ATAN($AS$5/($EQ10*2*PI()))),"")</f>
        <v>#VALUE!</v>
      </c>
      <c r="FA10" s="266" t="e">
        <f t="shared" ref="FA10:FA53" si="134">IF(ISNUMBER($AV10),SIN(RADIANS($EP10))*COS(RADIANS($EZ10)),"")</f>
        <v>#VALUE!</v>
      </c>
      <c r="FB10" s="267" t="e">
        <f t="shared" ref="FB10:FB53" si="135">IF(ISNUMBER($AV10),-1*COS(RADIANS($EP10))*COS(RADIANS($EZ10)),"")</f>
        <v>#VALUE!</v>
      </c>
      <c r="FC10" s="269" t="e">
        <f t="shared" si="48"/>
        <v>#VALUE!</v>
      </c>
      <c r="FD10" s="4" t="e">
        <f t="shared" ref="FD10:FD40" si="136">IF(ISNUMBER($AV10),(COS(RADIANS($EV10))*FA10)+(-SIN(RADIANS($EV10))*FB10),"")</f>
        <v>#VALUE!</v>
      </c>
      <c r="FE10" s="5" t="e">
        <f t="shared" si="49"/>
        <v>#VALUE!</v>
      </c>
      <c r="FF10" s="7" t="e">
        <f>IF(ISNUMBER($AV10),FC10,"")</f>
        <v>#VALUE!</v>
      </c>
      <c r="FG10" s="173" t="e">
        <f>IF(ISNUMBER($AV10),EW10-FD10,"")</f>
        <v>#VALUE!</v>
      </c>
      <c r="FH10" s="5" t="e">
        <f t="shared" si="50"/>
        <v>#VALUE!</v>
      </c>
      <c r="FI10" s="10" t="e">
        <f t="shared" si="51"/>
        <v>#VALUE!</v>
      </c>
      <c r="FJ10" s="279" t="e">
        <f>IF(ISNUMBER($AV10),DEGREES(ACOS((2-SQRT((FG10)^2+(FH10)^2+(FI10)^2)^2)/2)),"")</f>
        <v>#VALUE!</v>
      </c>
      <c r="FK10" s="4">
        <f t="shared" si="52"/>
        <v>0.96156186126139198</v>
      </c>
      <c r="FL10" s="5" t="e">
        <f>IF(ISNUMBER($AV10),SQRT(FA10^2+FB10^2),"")</f>
        <v>#VALUE!</v>
      </c>
      <c r="FM10" s="8" t="e">
        <f>IF(ISNUMBER($AV10),SQRT(FG10^2+FH10^2),"")</f>
        <v>#VALUE!</v>
      </c>
      <c r="FN10" s="9" t="e">
        <f>IF(ISNUMBER($AV10),DEGREES(ACOS((FK10^2+FL10^2-FM10^2)/(2*FK10*FL10))),"")</f>
        <v>#VALUE!</v>
      </c>
      <c r="FO10" s="10" t="e">
        <f t="shared" si="53"/>
        <v>#VALUE!</v>
      </c>
      <c r="FP10" s="277" t="e">
        <f t="shared" si="54"/>
        <v>#VALUE!</v>
      </c>
      <c r="FQ10" s="173" t="e">
        <f>IF(ISNUMBER($AV10),SIN(RADIANS(FN10)),"")</f>
        <v>#VALUE!</v>
      </c>
      <c r="FR10" s="10" t="e">
        <f>IF(ISNUMBER($AV10),COS(RADIANS(FN10)),"")</f>
        <v>#VALUE!</v>
      </c>
      <c r="FS10" s="9" t="e">
        <f>IF(ISNUMBER($AV10),FQ10/(FQ10+FR10),"")</f>
        <v>#VALUE!</v>
      </c>
      <c r="FT10" s="6" t="e">
        <f>IF(ISNUMBER($AV10),FR10/(FQ10+FR10),"")</f>
        <v>#VALUE!</v>
      </c>
      <c r="FU10" s="4" t="e">
        <f>IF(ISNUMBER($AV10),SQRT(EW10^2+EY10^2),"")</f>
        <v>#VALUE!</v>
      </c>
      <c r="FV10" s="5" t="e">
        <f>IF(ISNUMBER($AV10),SQRT(FD10^2+FF10^2),"")</f>
        <v>#VALUE!</v>
      </c>
      <c r="FW10" s="8" t="e">
        <f>IF(ISNUMBER($AV10),SQRT(FG10^2+FI10^2),"")</f>
        <v>#VALUE!</v>
      </c>
      <c r="FX10" s="9" t="e">
        <f>IF(ISNUMBER($AV10),DEGREES(ACOS((FU10^2+FV10^2-FW10^2)/(2*FU10*FV10))),"")</f>
        <v>#VALUE!</v>
      </c>
      <c r="FY10" s="10" t="e">
        <f t="shared" si="55"/>
        <v>#VALUE!</v>
      </c>
      <c r="FZ10" s="277" t="e">
        <f>IF(ISNUMBER($AV10),FX10*FY10,"")</f>
        <v>#VALUE!</v>
      </c>
      <c r="GA10" s="177" t="e">
        <f>IF(ISNUMBER($AV10),DEGREES(FZ10*SIN(RADIANS(FU10))),"")</f>
        <v>#VALUE!</v>
      </c>
      <c r="GB10" s="4" t="e">
        <f>IF(ISNUMBER($AV10),COS(RADIANS(FP10+90))*COS(RADIANS(FZ10)),"")</f>
        <v>#VALUE!</v>
      </c>
      <c r="GC10" s="5" t="e">
        <f>IF(ISNUMBER($AV10),SIN(RADIANS(FP10+90))*COS(RADIANS(FZ10)),"")</f>
        <v>#VALUE!</v>
      </c>
      <c r="GD10" s="10" t="e">
        <f>IF(ISNUMBER($AV10),-SIN(RADIANS(FZ10)),"")</f>
        <v>#VALUE!</v>
      </c>
      <c r="GE10" s="311" t="e">
        <f>IF(ISNUMBER($AV10),SUM(ABS(GB10),ABS(GC10),ABS(GD10)),"")</f>
        <v>#VALUE!</v>
      </c>
      <c r="GF10" s="341" t="e">
        <f>IF(ISNUMBER($AV10),1/GE10,"")</f>
        <v>#VALUE!</v>
      </c>
      <c r="GG10" s="285" t="e">
        <f t="shared" si="56"/>
        <v>#VALUE!</v>
      </c>
      <c r="GH10" s="286" t="e">
        <f t="shared" si="57"/>
        <v>#VALUE!</v>
      </c>
      <c r="GI10" s="281" t="e">
        <f t="shared" si="58"/>
        <v>#VALUE!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9.9645170253624127E-2</v>
      </c>
      <c r="GO10" s="4" t="e">
        <f>IF(ISNUMBER($AV10),FP10,"")</f>
        <v>#VALUE!</v>
      </c>
      <c r="GP10" s="8" t="e">
        <f>IF(ISNUMBER($AV10),FZ10,"")</f>
        <v>#VALUE!</v>
      </c>
      <c r="GQ10" s="177" t="e">
        <f>IF(ISNUMBER($AV10),FJ10,"")</f>
        <v>#VALUE!</v>
      </c>
      <c r="GR10" s="371" t="e">
        <f>IF(ISNUMBER($AV10),GS10+GU10+GY10,"")</f>
        <v>#VALUE!</v>
      </c>
      <c r="GS10" s="342" t="e">
        <f t="shared" si="61"/>
        <v>#VALUE!</v>
      </c>
      <c r="GT10" s="343" t="e">
        <f t="shared" si="62"/>
        <v>#VALUE!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 t="e">
        <f t="shared" si="66"/>
        <v>#VALUE!</v>
      </c>
      <c r="GZ10" s="345" t="e">
        <f t="shared" si="67"/>
        <v>#VALUE!</v>
      </c>
      <c r="HA10" s="342" t="e">
        <f t="shared" si="68"/>
        <v>#VALUE!</v>
      </c>
      <c r="HB10" s="5" t="e">
        <f>IF(ISNUMBER($AV10),$EV10,"")</f>
        <v>#VALUE!</v>
      </c>
      <c r="HC10" s="343" t="e">
        <f>IF(ISNUMBER($AV10),HA10*COS(RADIANS(HB10)),"")</f>
        <v>#VALUE!</v>
      </c>
      <c r="HD10" s="345" t="e">
        <f>IF(ISNUMBER($AV10),HA10*SIN(RADIANS(HB10)),"")</f>
        <v>#VALUE!</v>
      </c>
      <c r="HE10" s="344" t="e">
        <f t="shared" si="69"/>
        <v>#VALUE!</v>
      </c>
      <c r="HF10" s="5" t="e">
        <f t="shared" si="70"/>
        <v>#VALUE!</v>
      </c>
      <c r="HG10" s="343" t="e">
        <f>IF(ISNUMBER($AV10),HE10*COS(RADIANS(HF10)),"")</f>
        <v>#VALUE!</v>
      </c>
      <c r="HH10" s="349" t="e">
        <f>IF(ISNUMBER($AV10),HE10*SIN(RADIANS(HF10)),"")</f>
        <v>#VALUE!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3.1030000000000002</v>
      </c>
      <c r="HM10" s="909" t="e">
        <f t="shared" ref="HM10:HM40" si="138">IF(ISNUMBER($HL10),INDEX(GO$9:GO$150,MATCH($HL10,$AV$9:$AV$150,0)),"")</f>
        <v>#VALUE!</v>
      </c>
      <c r="HN10" s="910">
        <f t="shared" si="73"/>
        <v>17.208039886648105</v>
      </c>
      <c r="HO10" s="911"/>
      <c r="HP10" s="912"/>
      <c r="HQ10" s="910" t="e">
        <f t="shared" si="74"/>
        <v>#VALUE!</v>
      </c>
      <c r="HR10" s="913" t="e">
        <f t="shared" si="75"/>
        <v>#VALUE!</v>
      </c>
      <c r="HS10" s="865">
        <f>IFERROR(SMALL($GJ$9:$GJ$150,($HK9+1)),"")</f>
        <v>0.69930000000000003</v>
      </c>
      <c r="HT10" s="875">
        <f t="shared" si="76"/>
        <v>6.0400000000000002E-2</v>
      </c>
      <c r="HU10" s="876">
        <f t="shared" si="77"/>
        <v>0.26581665411209499</v>
      </c>
      <c r="HV10" s="872">
        <f t="shared" si="78"/>
        <v>7.8911423047673554E-2</v>
      </c>
      <c r="HW10" s="866">
        <f t="shared" si="79"/>
        <v>29500</v>
      </c>
      <c r="HX10" s="867">
        <f t="shared" si="80"/>
        <v>103.834395</v>
      </c>
      <c r="HY10" s="866" t="e">
        <f t="shared" si="81"/>
        <v>#VALUE!</v>
      </c>
      <c r="HZ10" s="868">
        <f t="shared" si="82"/>
        <v>653.46594135890018</v>
      </c>
      <c r="IA10" s="869" t="e">
        <f t="shared" si="83"/>
        <v>#VALUE!</v>
      </c>
      <c r="IB10" s="870" t="e">
        <f t="shared" si="84"/>
        <v>#VALUE!</v>
      </c>
      <c r="IC10" s="841" t="e">
        <f t="shared" si="85"/>
        <v>#VALUE!</v>
      </c>
      <c r="ID10" s="351">
        <f t="shared" si="86"/>
        <v>1781.8</v>
      </c>
      <c r="IE10" s="843" t="e">
        <f t="shared" si="87"/>
        <v>#VALUE!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14513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1.9318516721444148E-2</v>
      </c>
      <c r="C11" s="572">
        <f t="shared" si="3"/>
        <v>1.6519856348804907</v>
      </c>
      <c r="D11" s="576">
        <f t="shared" si="4"/>
        <v>-0.22227388163737269</v>
      </c>
      <c r="E11" s="580">
        <f t="shared" si="5"/>
        <v>-0.96592583607220739</v>
      </c>
      <c r="F11" s="572">
        <f t="shared" si="6"/>
        <v>-9.0326518332543848E-3</v>
      </c>
      <c r="G11" s="579">
        <f t="shared" si="7"/>
        <v>0.2586613430898913</v>
      </c>
      <c r="H11" s="580">
        <f t="shared" si="8"/>
        <v>0.28499999999999998</v>
      </c>
      <c r="I11" s="572">
        <f t="shared" si="9"/>
        <v>0.52</v>
      </c>
      <c r="J11" s="483">
        <f t="shared" si="10"/>
        <v>1.107</v>
      </c>
      <c r="K11" s="806">
        <f t="shared" si="11"/>
        <v>14513</v>
      </c>
      <c r="L11" s="720" t="s">
        <v>323</v>
      </c>
      <c r="M11" s="164">
        <f t="shared" si="12"/>
        <v>1.107</v>
      </c>
      <c r="N11" s="575">
        <f t="shared" si="13"/>
        <v>1.9318516721444148E-2</v>
      </c>
      <c r="O11" s="572">
        <f t="shared" si="14"/>
        <v>1.6519856348804907</v>
      </c>
      <c r="P11" s="576">
        <f t="shared" si="15"/>
        <v>-0.22227388163737269</v>
      </c>
      <c r="Q11" s="528">
        <f t="shared" ref="Q11:Q73" si="140">IF(M11="","",IF(DEGREES(ATAN2(N11,O11))&lt;0,DEGREES(ATAN2(N11,O11))+360,IF(DEGREES(ATAN2(N11,O11))&gt;360,DEGREES(ATAN2(N11,O11))-360,DEGREES(ATAN2(N11,O11)))))</f>
        <v>89.330006871931516</v>
      </c>
      <c r="R11" s="572">
        <f t="shared" si="101"/>
        <v>1.652098587536414</v>
      </c>
      <c r="S11" s="577">
        <f t="shared" si="102"/>
        <v>-0.22227388163737269</v>
      </c>
      <c r="T11" s="578">
        <f t="shared" si="103"/>
        <v>1.6520978451266435</v>
      </c>
      <c r="U11" s="572">
        <f t="shared" si="104"/>
        <v>-1.5662272233940876E-3</v>
      </c>
      <c r="V11" s="579">
        <f t="shared" ref="V11:V105" si="141">IF(M11="","",Y11)</f>
        <v>-0.22227388163737269</v>
      </c>
      <c r="W11" s="528">
        <f t="shared" si="16"/>
        <v>359.94568228326204</v>
      </c>
      <c r="X11" s="572">
        <f>IF(M11="","",R11)</f>
        <v>1.652098587536414</v>
      </c>
      <c r="Y11" s="573">
        <f t="shared" si="17"/>
        <v>-0.22227388163737269</v>
      </c>
      <c r="Z11" s="575">
        <f t="shared" si="18"/>
        <v>0.96592583607220739</v>
      </c>
      <c r="AA11" s="572">
        <f t="shared" si="19"/>
        <v>9.0326518332543848E-3</v>
      </c>
      <c r="AB11" s="572">
        <f t="shared" si="20"/>
        <v>-0.2586613430898913</v>
      </c>
      <c r="AC11" s="579">
        <f t="shared" si="106"/>
        <v>1</v>
      </c>
      <c r="AD11" s="580">
        <f t="shared" ref="AD11:AD105" si="142">IF(M11="","",Z11*(1/SQRT(Z11^2+AA11^2+AB11^2)))</f>
        <v>0.96592583607220739</v>
      </c>
      <c r="AE11" s="572">
        <f t="shared" si="107"/>
        <v>9.0326518332543848E-3</v>
      </c>
      <c r="AF11" s="576">
        <f t="shared" si="108"/>
        <v>-0.2586613430898913</v>
      </c>
      <c r="AG11" s="545">
        <f>IF(M11="","",DEGREES(ATAN2(-AF11,AE11)))</f>
        <v>1.9999997112357619</v>
      </c>
      <c r="AH11" s="546">
        <f t="shared" si="110"/>
        <v>14.999997834268255</v>
      </c>
      <c r="AI11" s="528">
        <f t="shared" si="111"/>
        <v>-75.009354198745726</v>
      </c>
      <c r="AJ11" s="529">
        <f t="shared" si="112"/>
        <v>90.535773786997353</v>
      </c>
      <c r="AK11" s="578">
        <f>IF(M11="","",(COS(RADIANS((90-$Q$8)-W11))*AD11)+(-SIN(RADIANS((90-$Q$8)-W11))*AE11))</f>
        <v>0.96575417481286818</v>
      </c>
      <c r="AL11" s="572">
        <f t="shared" si="113"/>
        <v>2.0326913746307403E-2</v>
      </c>
      <c r="AM11" s="577">
        <f t="shared" si="114"/>
        <v>-0.2586613430898913</v>
      </c>
      <c r="AN11" s="524">
        <f>IF(M11="","",DEGREES(ATAN2(-AM11,AL11)))</f>
        <v>4.493356957443849</v>
      </c>
      <c r="AO11" s="525">
        <f>IF(ROUND(IF(M11="",0,DEGREES(ACOS(AK11))),4)=90,0,IF(M11="","",DEGREES(ACOS(AK11))))</f>
        <v>15.037952247761927</v>
      </c>
      <c r="AP11" s="528">
        <f t="shared" si="117"/>
        <v>1.2057669150658405</v>
      </c>
      <c r="AQ11" s="529">
        <f>IF(M11="","",DEGREES(ATAN(($AS$5*SIN(RADIANS(90)))/(($X11*2*PI())-($AS$5*COS(RADIANS(90)))))))</f>
        <v>1.3796307524619971</v>
      </c>
      <c r="AS11" s="932">
        <f t="shared" ref="AS11:AS42" si="143">IF(G11="","",IF(AND(W11&lt;(AS10+180),W11&gt;(AS10-180)),W11,IF(W11&gt;(AS10+180),W11-360,IF(W11&lt;(AS10-180),W11+360,"Error"))))</f>
        <v>359.94568228326204</v>
      </c>
      <c r="AT11" s="928">
        <f t="shared" si="22"/>
        <v>-0.2241309850282043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0.18951254301964743</v>
      </c>
      <c r="BB11" s="291">
        <f t="shared" ref="BB11:BB73" si="145">IF(ISNUMBER($AV11),$AX11-($AT11+$AS$5),"")</f>
        <v>0.19993098502820431</v>
      </c>
      <c r="BC11" s="9"/>
      <c r="BD11" s="5">
        <f t="shared" ref="BD11:BD73" si="146">IF(ISNUMBER(AV11),AW11,"")</f>
        <v>1.6409</v>
      </c>
      <c r="BE11" s="6">
        <f t="shared" si="25"/>
        <v>-2.2342896609168383E-2</v>
      </c>
      <c r="BF11" s="4">
        <f t="shared" si="26"/>
        <v>1.9318516721444148E-2</v>
      </c>
      <c r="BG11" s="5">
        <f t="shared" si="27"/>
        <v>1.6519856348804907</v>
      </c>
      <c r="BH11" s="10">
        <f t="shared" si="28"/>
        <v>-0.22227388163737269</v>
      </c>
      <c r="BI11" s="9">
        <f t="shared" ref="BI11:BI74" si="147">IF(ISNUMBER($AV11),BF11+0,"")</f>
        <v>1.9318516721444148E-2</v>
      </c>
      <c r="BJ11" s="5">
        <f t="shared" si="29"/>
        <v>2.6513764620754756</v>
      </c>
      <c r="BK11" s="8">
        <f t="shared" si="30"/>
        <v>-0.18737438997168826</v>
      </c>
      <c r="BL11" s="173">
        <f t="shared" si="31"/>
        <v>0.27813752531278985</v>
      </c>
      <c r="BM11" s="5">
        <f t="shared" si="32"/>
        <v>1.6182753142148194</v>
      </c>
      <c r="BN11" s="6">
        <f t="shared" si="33"/>
        <v>0.74306353868383823</v>
      </c>
      <c r="BO11" s="4">
        <f t="shared" ref="BO11:BO74" si="148">IF(ISNUMBER($AV11),BJ11*BN11-BM11*BK11-BG11*(BN11-BK11)+BH11*(BM11-BJ11),"")</f>
        <v>0.96592583607220694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9.0326518332543709E-3</v>
      </c>
      <c r="BQ11" s="5">
        <f t="shared" ref="BQ11:BQ74" si="149">IF(ISNUMBER($AV11),BF11*(BJ11-BM11)-BG11*(BI11-BL11)+(BI11*BM11-BL11*BJ11),"")</f>
        <v>-0.25866134308989092</v>
      </c>
      <c r="BR11" s="6">
        <f t="shared" ref="BR11:BR74" si="150">IF(ISNUMBER($AV11),-(BF11*(BJ11*BN11-BM11*BK11)-BG11*(BI11*BN11-BL11*BK11)+BH11*(BI11*BM11-BL11*BJ11)),"")</f>
        <v>-9.1075726247375283E-2</v>
      </c>
      <c r="BS11" s="4">
        <f t="shared" si="118"/>
        <v>0</v>
      </c>
      <c r="BT11" s="5">
        <f t="shared" si="118"/>
        <v>0</v>
      </c>
      <c r="BU11" s="10">
        <f t="shared" si="119"/>
        <v>-2.2342896609168383E-2</v>
      </c>
      <c r="BV11" s="9">
        <f t="shared" si="120"/>
        <v>0</v>
      </c>
      <c r="BW11" s="5">
        <f t="shared" si="121"/>
        <v>1</v>
      </c>
      <c r="BX11" s="8">
        <f t="shared" si="122"/>
        <v>-2.2342896609168383E-2</v>
      </c>
      <c r="BY11" s="173">
        <f t="shared" si="123"/>
        <v>1</v>
      </c>
      <c r="BZ11" s="5">
        <f t="shared" si="124"/>
        <v>0</v>
      </c>
      <c r="CA11" s="6">
        <f t="shared" si="125"/>
        <v>-2.2342896609168383E-2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-2.2342896609168383E-2</v>
      </c>
      <c r="CF11" s="4">
        <f t="shared" ref="CF11:CF74" si="155">IF(ISNUMBER($AV11),(BP11*CD11)-(BQ11*CC11),"")</f>
        <v>-9.0326518332543709E-3</v>
      </c>
      <c r="CG11" s="5">
        <f t="shared" ref="CG11:CG74" si="156">IF(ISNUMBER($AV11),(BQ11*CB11)-(BO11*CD11),"")</f>
        <v>0.96592583607220694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9.4431274642850678</v>
      </c>
      <c r="CK11" s="8">
        <f t="shared" si="128"/>
        <v>-2.2342896609168383E-2</v>
      </c>
      <c r="CL11" s="173">
        <f t="shared" si="129"/>
        <v>-9.0326518332543709E-3</v>
      </c>
      <c r="CM11" s="5">
        <f t="shared" si="130"/>
        <v>10.409053300357275</v>
      </c>
      <c r="CN11" s="6">
        <f t="shared" si="131"/>
        <v>-2.2342896609168383E-2</v>
      </c>
      <c r="CO11" s="167" t="str">
        <f t="shared" si="35"/>
        <v>Radius</v>
      </c>
      <c r="CP11" s="4">
        <f>IF(ISNUMBER($AV11),(CL11-CI11)^2+(CM11-CJ11)^2+(CN11-CK11)^2,"")</f>
        <v>0.93309430959093365</v>
      </c>
      <c r="CQ11" s="5">
        <f>IF(ISNUMBER($AV11),2*((CL11-CI11)*(CI11-BF11)+(CM11-CJ11)*(CJ11-BG11)+(CN11-CK11)*(CK11-BH11)),"")</f>
        <v>15.051679365920485</v>
      </c>
      <c r="CR11" s="5" t="e">
        <f t="shared" ref="CR11:CR74" si="158">IF(ISNUMBER($AV11),BF11^2+BG11^2+BH11^2+CI11^2+CJ11^2+CK11^2-2*(BF11*CI11+BG11*CJ11+BH11*CK11)-CO11^2,"")</f>
        <v>#VALUE!</v>
      </c>
      <c r="CS11" s="8" t="e">
        <f t="shared" ref="CS11:CS74" si="159">IF(ISNUMBER($AV11),CQ11^2-(4*CP11*CR11),"")</f>
        <v>#VALUE!</v>
      </c>
      <c r="CT11" s="9" t="e">
        <f t="shared" ref="CT11:CT74" si="160">IF(ISNUMBER($AV11),(-CQ11+SQRT(CS11))/(CP11*2),"")</f>
        <v>#VALUE!</v>
      </c>
      <c r="CU11" s="6" t="e">
        <f t="shared" ref="CU11:CU74" si="161">IF(ISNUMBER($AV11),(-CQ11-SQRT(CS11))/(CP11*2),"")</f>
        <v>#VALUE!</v>
      </c>
      <c r="CV11" s="4" t="e">
        <f>IF(ISNUMBER($AV11),CI11+($CT11*(CL11-CI11)),"")</f>
        <v>#VALUE!</v>
      </c>
      <c r="CW11" s="5" t="e">
        <f t="shared" ref="CW11:CW74" si="162">IF(ISNUMBER($AV11),CJ11+($CT11*(CM11-CJ11)),"")</f>
        <v>#VALUE!</v>
      </c>
      <c r="CX11" s="8" t="e">
        <f t="shared" ref="CX11:CX74" si="163">IF(ISNUMBER($AV11),CK11+($CT11*(CN11-CK11)),"")</f>
        <v>#VALUE!</v>
      </c>
      <c r="CY11" s="9" t="e">
        <f t="shared" ref="CY11:CY74" si="164">IF(ISNUMBER($AV11),CI11+($CU11*(CL11-CI11)),"")</f>
        <v>#VALUE!</v>
      </c>
      <c r="CZ11" s="5" t="e">
        <f t="shared" ref="CZ11:CZ74" si="165">IF(ISNUMBER($AV11),CJ11+($CU11*(CM11-CJ11)),"")</f>
        <v>#VALUE!</v>
      </c>
      <c r="DA11" s="6" t="e">
        <f t="shared" ref="DA11:DA74" si="166">IF(ISNUMBER($AV11),CK11+($CU11*(CN11-CK11)),"")</f>
        <v>#VALUE!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 t="e">
        <f t="shared" ref="DL11:DL74" si="175">IF(ISNUMBER($AV11),CV11-DB11,"")</f>
        <v>#VALUE!</v>
      </c>
      <c r="DM11" s="173" t="e">
        <f t="shared" ref="DM11:DM74" si="176">IF(ISNUMBER($AV11),CW11-DC11,"")</f>
        <v>#VALUE!</v>
      </c>
      <c r="DN11" s="178" t="e">
        <f t="shared" ref="DN11:DN74" si="177">IF(ISNUMBER($AV11),CX11-DD11,"")</f>
        <v>#VALUE!</v>
      </c>
      <c r="DO11" s="9" t="e">
        <f t="shared" ref="DO11:DO74" si="178">IF(ISNUMBER($AV11),CY11-CV11,"")</f>
        <v>#VALUE!</v>
      </c>
      <c r="DP11" s="173" t="e">
        <f t="shared" ref="DP11:DP74" si="179">IF(ISNUMBER($AV11),CZ11-CW11,"")</f>
        <v>#VALUE!</v>
      </c>
      <c r="DQ11" s="11" t="e">
        <f t="shared" ref="DQ11:DQ74" si="180">IF(ISNUMBER($AV11),DA11-CX11,"")</f>
        <v>#VALUE!</v>
      </c>
      <c r="DR11" s="173" t="e">
        <f t="shared" ref="DR11:DR74" si="181">IF(ISNUMBER($AV11),SUMPRODUCT(DI11:DK11,DL11:DN11),"")</f>
        <v>#VALUE!</v>
      </c>
      <c r="DS11" s="5" t="e">
        <f t="shared" ref="DS11:DS74" si="182">IF(ISNUMBER($AV11),SUMPRODUCT(DO11:DQ11,DI11:DK11),"")</f>
        <v>#VALUE!</v>
      </c>
      <c r="DT11" s="5">
        <f t="shared" ref="DT11:DT74" si="183">IF(ISNUMBER($AV11),SUMPRODUCT(DI11:DK11,DI11:DK11),"")</f>
        <v>400</v>
      </c>
      <c r="DU11" s="5" t="e">
        <f t="shared" ref="DU11:DU74" si="184">IF(ISNUMBER($AV11),SUMPRODUCT(DO11:DQ11,DO11:DQ11),"")</f>
        <v>#VALUE!</v>
      </c>
      <c r="DV11" s="5" t="e">
        <f t="shared" ref="DV11:DV74" si="185">IF(ISNUMBER($AV11),SUMPRODUCT(DL11:DN11,DO11:DQ11),"")</f>
        <v>#VALUE!</v>
      </c>
      <c r="DW11" s="5" t="e">
        <f t="shared" ref="DW11:DW74" si="186">IF(ISNUMBER($AV11),SUMPRODUCT(DL11:DN11,DL11:DN11),"")</f>
        <v>#VALUE!</v>
      </c>
      <c r="DX11" s="167" t="e">
        <f t="shared" ref="DX11:DX74" si="187">IF(ISNUMBER($AV11),DW11-DH11*DH11,"")</f>
        <v>#VALUE!</v>
      </c>
      <c r="DY11" s="9" t="e">
        <f t="shared" ref="DY11:DY74" si="188">IF(ISNUMBER($AV11),DT11*DU11-DS11*DS11,"")</f>
        <v>#VALUE!</v>
      </c>
      <c r="DZ11" s="5" t="e">
        <f t="shared" ref="DZ11:DZ74" si="189">IF(ISNUMBER($AV11),DT11*DV11-DS11*DR11,"")</f>
        <v>#VALUE!</v>
      </c>
      <c r="EA11" s="10" t="e">
        <f t="shared" ref="EA11:EA74" si="190">IF(ISNUMBER($AV11),DT11*DX11-DR11*DR11,"")</f>
        <v>#VALUE!</v>
      </c>
      <c r="EB11" s="6" t="e">
        <f t="shared" ref="EB11:EB74" si="191">IF(ISNUMBER($AV11),DZ11*DZ11-DY11*EA11,"")</f>
        <v>#VALUE!</v>
      </c>
      <c r="EC11" s="173" t="e">
        <f t="shared" ref="EC11:EC74" si="192">IF(ISNUMBER($AV11),(-DZ11+SQRT(DZ11^2-DY11*EA11))/DY11,"")</f>
        <v>#VALUE!</v>
      </c>
      <c r="ED11" s="5" t="e">
        <f t="shared" ref="ED11:ED74" si="193">IF(ISNUMBER($AV11),(-DZ11-SQRT(DZ11^2-DY11*EA11))/DY11,"")</f>
        <v>#VALUE!</v>
      </c>
      <c r="EE11" s="4" t="e">
        <f t="shared" ref="EE11:EE74" si="194">IF(ISNUMBER($AV11),CV11+DO11*$EC11,"")</f>
        <v>#VALUE!</v>
      </c>
      <c r="EF11" s="5" t="e">
        <f t="shared" ref="EF11:EF74" si="195">IF(ISNUMBER($AV11),CW11+DP11*$EC11,"")</f>
        <v>#VALUE!</v>
      </c>
      <c r="EG11" s="10" t="e">
        <f t="shared" ref="EG11:EG74" si="196">IF(ISNUMBER($AV11),CX11+DQ11*$EC11,"")</f>
        <v>#VALUE!</v>
      </c>
      <c r="EH11" s="9" t="e">
        <f t="shared" ref="EH11:EH74" si="197">IF(ISNUMBER($AV11),CV11+DO11*$ED11,"")</f>
        <v>#VALUE!</v>
      </c>
      <c r="EI11" s="5" t="e">
        <f t="shared" ref="EI11:EI74" si="198">IF(ISNUMBER($AV11),CW11+DP11*$ED11,"")</f>
        <v>#VALUE!</v>
      </c>
      <c r="EJ11" s="6" t="e">
        <f t="shared" ref="EJ11:EJ74" si="199">IF(ISNUMBER($AV11),CX11+DQ11*$ED11,"")</f>
        <v>#VALUE!</v>
      </c>
      <c r="EK11" s="236" t="e">
        <f t="shared" ref="EK11:EK74" si="200">IF(ISNUMBER($AV11),IF(OR($EC11&lt;0,$EC11&gt;1),FALSE,TRUE),"")</f>
        <v>#VALUE!</v>
      </c>
      <c r="EL11" s="238" t="e">
        <f t="shared" ref="EL11:EL74" si="201">IF(ISNUMBER($AV11),IF(OR($ED11&lt;0,$ED11&gt;1),FALSE,TRUE),"")</f>
        <v>#VALUE!</v>
      </c>
      <c r="EM11" s="4" t="e">
        <f t="shared" ref="EM11:EM74" si="202">IF(ISNUMBER($AV11),IF($EK11=TRUE,EE11,IF($EL11=TRUE,EH11,"")),"")</f>
        <v>#VALUE!</v>
      </c>
      <c r="EN11" s="5" t="e">
        <f t="shared" ref="EN11:EN74" si="203">IF(ISNUMBER($AV11),IF($EK11=TRUE,EF11,IF($EL11=TRUE,EI11,"")),"")</f>
        <v>#VALUE!</v>
      </c>
      <c r="EO11" s="10" t="e">
        <f t="shared" ref="EO11:EO74" si="204">IF(ISNUMBER($AV11),IF($EK11=TRUE,EG11,IF($EL11=TRUE,EJ11,"")),"")</f>
        <v>#VALUE!</v>
      </c>
      <c r="EP11" s="9" t="e">
        <f t="shared" ref="EP11:EP74" si="205">IF(ISNUMBER($AV11),IF(DEGREES(ATAN2(EM11,EN11))&lt;0,DEGREES(ATAN2(EM11,EN11))+360,IF(DEGREES(ATAN2(EM11,EN11))&gt;360,DEGREES(ATAN2(EM11,EN11))-360,DEGREES(ATAN2(EM11,EN11)))),"")</f>
        <v>#VALUE!</v>
      </c>
      <c r="EQ11" s="5" t="e">
        <f t="shared" ref="EQ11:EQ74" si="206">IF(ISNUMBER($AV11),SQRT(EM11^2+EN11^2),"")</f>
        <v>#VALUE!</v>
      </c>
      <c r="ER11" s="7" t="e">
        <f t="shared" ref="ER11:ER74" si="207">IF(ISNUMBER($AV11),EO11,"")</f>
        <v>#VALUE!</v>
      </c>
      <c r="ES11" s="21">
        <f t="shared" si="132"/>
        <v>0.96592583607220739</v>
      </c>
      <c r="ET11" s="5">
        <f t="shared" si="44"/>
        <v>9.0326518332543848E-3</v>
      </c>
      <c r="EU11" s="10">
        <f t="shared" si="45"/>
        <v>-0.2586613430898913</v>
      </c>
      <c r="EV11" s="174" t="e">
        <f t="shared" si="46"/>
        <v>#VALUE!</v>
      </c>
      <c r="EW11" s="9" t="e">
        <f t="shared" si="133"/>
        <v>#VALUE!</v>
      </c>
      <c r="EX11" s="5" t="e">
        <f t="shared" si="47"/>
        <v>#VALUE!</v>
      </c>
      <c r="EY11" s="6">
        <f t="shared" ref="EY11:EY74" si="208">IF(ISNUMBER($AV11),EU11,"")</f>
        <v>-0.2586613430898913</v>
      </c>
      <c r="EZ11" s="51" t="e">
        <f t="shared" ref="EZ11:EZ74" si="209">IF(ISNUMBER($AV11),DEGREES(ATAN($AS$5/($EQ11*2*PI()))),"")</f>
        <v>#VALUE!</v>
      </c>
      <c r="FA11" s="266" t="e">
        <f t="shared" si="134"/>
        <v>#VALUE!</v>
      </c>
      <c r="FB11" s="267" t="e">
        <f t="shared" si="135"/>
        <v>#VALUE!</v>
      </c>
      <c r="FC11" s="269" t="e">
        <f t="shared" si="48"/>
        <v>#VALUE!</v>
      </c>
      <c r="FD11" s="4" t="e">
        <f t="shared" si="136"/>
        <v>#VALUE!</v>
      </c>
      <c r="FE11" s="5" t="e">
        <f t="shared" si="49"/>
        <v>#VALUE!</v>
      </c>
      <c r="FF11" s="7" t="e">
        <f t="shared" ref="FF11:FF74" si="210">IF(ISNUMBER($AV11),FC11,"")</f>
        <v>#VALUE!</v>
      </c>
      <c r="FG11" s="173" t="e">
        <f t="shared" ref="FG11:FG40" si="211">IF(ISNUMBER($AV11),EW11-FD11,"")</f>
        <v>#VALUE!</v>
      </c>
      <c r="FH11" s="5" t="e">
        <f t="shared" si="50"/>
        <v>#VALUE!</v>
      </c>
      <c r="FI11" s="10" t="e">
        <f t="shared" si="51"/>
        <v>#VALUE!</v>
      </c>
      <c r="FJ11" s="279" t="e">
        <f t="shared" ref="FJ11:FJ74" si="212">IF(ISNUMBER($AV11),DEGREES(ACOS((2-SQRT((FG11)^2+(FH11)^2+(FI11)^2)^2)/2)),"")</f>
        <v>#VALUE!</v>
      </c>
      <c r="FK11" s="4">
        <f t="shared" si="52"/>
        <v>0.96596806861869589</v>
      </c>
      <c r="FL11" s="5" t="e">
        <f t="shared" ref="FL11:FL73" si="213">IF(ISNUMBER($AV11),SQRT(FA11^2+FB11^2),"")</f>
        <v>#VALUE!</v>
      </c>
      <c r="FM11" s="8" t="e">
        <f t="shared" ref="FM11:FM73" si="214">IF(ISNUMBER($AV11),SQRT(FG11^2+FH11^2),"")</f>
        <v>#VALUE!</v>
      </c>
      <c r="FN11" s="9" t="e">
        <f t="shared" ref="FN11:FN73" si="215">IF(ISNUMBER($AV11),DEGREES(ACOS((FK11^2+FL11^2-FM11^2)/(2*FK11*FL11))),"")</f>
        <v>#VALUE!</v>
      </c>
      <c r="FO11" s="10" t="e">
        <f t="shared" si="53"/>
        <v>#VALUE!</v>
      </c>
      <c r="FP11" s="277" t="e">
        <f t="shared" si="54"/>
        <v>#VALUE!</v>
      </c>
      <c r="FQ11" s="173" t="e">
        <f>IF(ISNUMBER($AV11),SIN(RADIANS(FN11)),"")</f>
        <v>#VALUE!</v>
      </c>
      <c r="FR11" s="10" t="e">
        <f t="shared" ref="FR11:FR74" si="216">IF(ISNUMBER($AV11),COS(RADIANS(FN11)),"")</f>
        <v>#VALUE!</v>
      </c>
      <c r="FS11" s="9" t="e">
        <f t="shared" ref="FS11:FS74" si="217">IF(ISNUMBER($AV11),FQ11/(FQ11+FR11),"")</f>
        <v>#VALUE!</v>
      </c>
      <c r="FT11" s="6" t="e">
        <f t="shared" ref="FT11:FT74" si="218">IF(ISNUMBER($AV11),FR11/(FQ11+FR11),"")</f>
        <v>#VALUE!</v>
      </c>
      <c r="FU11" s="4" t="e">
        <f t="shared" ref="FU11:FU74" si="219">IF(ISNUMBER($AV11),SQRT(EW11^2+EY11^2),"")</f>
        <v>#VALUE!</v>
      </c>
      <c r="FV11" s="5" t="e">
        <f t="shared" ref="FV11:FV74" si="220">IF(ISNUMBER($AV11),SQRT(FD11^2+FF11^2),"")</f>
        <v>#VALUE!</v>
      </c>
      <c r="FW11" s="8" t="e">
        <f>IF(ISNUMBER($AV11),SQRT(FG11^2+FI11^2),"")</f>
        <v>#VALUE!</v>
      </c>
      <c r="FX11" s="9" t="e">
        <f>IF(ISNUMBER($AV11),DEGREES(ACOS((FU11^2+FV11^2-FW11^2)/(2*FU11*FV11))),"")</f>
        <v>#VALUE!</v>
      </c>
      <c r="FY11" s="10" t="e">
        <f t="shared" si="55"/>
        <v>#VALUE!</v>
      </c>
      <c r="FZ11" s="277" t="e">
        <f>IF(ISNUMBER($AV11),FX11*FY11,"")</f>
        <v>#VALUE!</v>
      </c>
      <c r="GA11" s="177" t="e">
        <f t="shared" ref="GA11:GA74" si="221">IF(ISNUMBER($AV11),DEGREES(FZ11*SIN(RADIANS(FU11))),"")</f>
        <v>#VALUE!</v>
      </c>
      <c r="GB11" s="4" t="e">
        <f t="shared" ref="GB11:GB74" si="222">IF(ISNUMBER($AV11),COS(RADIANS(FP11+90))*COS(RADIANS(FZ11)),"")</f>
        <v>#VALUE!</v>
      </c>
      <c r="GC11" s="5" t="e">
        <f t="shared" ref="GC11:GC74" si="223">IF(ISNUMBER($AV11),SIN(RADIANS(FP11+90))*COS(RADIANS(FZ11)),"")</f>
        <v>#VALUE!</v>
      </c>
      <c r="GD11" s="10" t="e">
        <f t="shared" ref="GD11:GD74" si="224">IF(ISNUMBER($AV11),-SIN(RADIANS(FZ11)),"")</f>
        <v>#VALUE!</v>
      </c>
      <c r="GE11" s="311" t="e">
        <f t="shared" ref="GE11:GE74" si="225">IF(ISNUMBER($AV11),SUM(ABS(GB11),ABS(GC11),ABS(GD11)),"")</f>
        <v>#VALUE!</v>
      </c>
      <c r="GF11" s="341" t="e">
        <f>IF(ISNUMBER($AV11),1/GE11,"")</f>
        <v>#VALUE!</v>
      </c>
      <c r="GG11" s="285" t="e">
        <f t="shared" si="56"/>
        <v>#VALUE!</v>
      </c>
      <c r="GH11" s="286" t="e">
        <f t="shared" si="57"/>
        <v>#VALUE!</v>
      </c>
      <c r="GI11" s="281" t="e">
        <f t="shared" si="58"/>
        <v>#VALUE!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0.18951254301964743</v>
      </c>
      <c r="GO11" s="4" t="e">
        <f t="shared" ref="GO11:GO74" si="229">IF(ISNUMBER($AV11),FP11,"")</f>
        <v>#VALUE!</v>
      </c>
      <c r="GP11" s="8" t="e">
        <f>IF(ISNUMBER($AV11),FZ11,"")</f>
        <v>#VALUE!</v>
      </c>
      <c r="GQ11" s="177" t="e">
        <f t="shared" ref="GQ11:GQ74" si="230">IF(ISNUMBER($AV11),FJ11,"")</f>
        <v>#VALUE!</v>
      </c>
      <c r="GR11" s="371" t="e">
        <f>IF(ISNUMBER($AV11),GS11+GU11+GY11,"")</f>
        <v>#VALUE!</v>
      </c>
      <c r="GS11" s="342" t="e">
        <f>IF(ISNUMBER($AV11),GU11/GH11*GG11,"")</f>
        <v>#VALUE!</v>
      </c>
      <c r="GT11" s="343" t="e">
        <f t="shared" si="62"/>
        <v>#VALUE!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 t="e">
        <f t="shared" si="66"/>
        <v>#VALUE!</v>
      </c>
      <c r="GZ11" s="345" t="e">
        <f t="shared" si="67"/>
        <v>#VALUE!</v>
      </c>
      <c r="HA11" s="342" t="e">
        <f t="shared" si="68"/>
        <v>#VALUE!</v>
      </c>
      <c r="HB11" s="5" t="e">
        <f t="shared" ref="HB11:HB74" si="231">IF(ISNUMBER($AV11),$EV11,"")</f>
        <v>#VALUE!</v>
      </c>
      <c r="HC11" s="343" t="e">
        <f t="shared" ref="HC11:HC74" si="232">IF(ISNUMBER($AV11),HA11*COS(RADIANS(HB11)),"")</f>
        <v>#VALUE!</v>
      </c>
      <c r="HD11" s="345" t="e">
        <f t="shared" ref="HD11:HD74" si="233">IF(ISNUMBER($AV11),HA11*SIN(RADIANS(HB11)),"")</f>
        <v>#VALUE!</v>
      </c>
      <c r="HE11" s="344" t="e">
        <f t="shared" si="69"/>
        <v>#VALUE!</v>
      </c>
      <c r="HF11" s="5" t="e">
        <f t="shared" si="70"/>
        <v>#VALUE!</v>
      </c>
      <c r="HG11" s="343" t="e">
        <f t="shared" ref="HG11:HG74" si="234">IF(ISNUMBER($AV11),HE11*COS(RADIANS(HF11)),"")</f>
        <v>#VALUE!</v>
      </c>
      <c r="HH11" s="349" t="e">
        <f t="shared" ref="HH11:HH74" si="235">IF(ISNUMBER($AV11),HE11*SIN(RADIANS(HF11)),"")</f>
        <v>#VALUE!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1.1040000000000001</v>
      </c>
      <c r="HM11" s="909" t="e">
        <f>IF(ISNUMBER($HL11),INDEX(GO$9:GO$150,MATCH($HL11,$AV$9:$AV$150,0)),"")</f>
        <v>#VALUE!</v>
      </c>
      <c r="HN11" s="910">
        <f t="shared" si="73"/>
        <v>16.135028242540422</v>
      </c>
      <c r="HO11" s="911"/>
      <c r="HP11" s="912"/>
      <c r="HQ11" s="910" t="e">
        <f t="shared" si="74"/>
        <v>#VALUE!</v>
      </c>
      <c r="HR11" s="913" t="e">
        <f t="shared" si="75"/>
        <v>#VALUE!</v>
      </c>
      <c r="HS11" s="865">
        <f>IFERROR(SMALL($GJ$9:$GJ$150,($HK10+1)),"")</f>
        <v>0.93310000000000004</v>
      </c>
      <c r="HT11" s="875">
        <f t="shared" si="76"/>
        <v>5.7200000000000001E-2</v>
      </c>
      <c r="HU11" s="876">
        <f t="shared" si="77"/>
        <v>0.3356592079101951</v>
      </c>
      <c r="HV11" s="872">
        <f t="shared" si="78"/>
        <v>9.9645170253624127E-2</v>
      </c>
      <c r="HW11" s="866">
        <f t="shared" si="79"/>
        <v>29500</v>
      </c>
      <c r="HX11" s="867">
        <f t="shared" si="80"/>
        <v>131.20941166666668</v>
      </c>
      <c r="HY11" s="866" t="e">
        <f t="shared" si="81"/>
        <v>#VALUE!</v>
      </c>
      <c r="HZ11" s="868">
        <f t="shared" si="82"/>
        <v>825.16221944589643</v>
      </c>
      <c r="IA11" s="869" t="e">
        <f t="shared" si="83"/>
        <v>#VALUE!</v>
      </c>
      <c r="IB11" s="870" t="e">
        <f t="shared" si="84"/>
        <v>#VALUE!</v>
      </c>
      <c r="IC11" s="841" t="e">
        <f t="shared" si="85"/>
        <v>#VALUE!</v>
      </c>
      <c r="ID11" s="351">
        <f t="shared" si="86"/>
        <v>1687.4</v>
      </c>
      <c r="IE11" s="843" t="e">
        <f t="shared" si="87"/>
        <v>#VALUE!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14513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2.5760723353519574E-2</v>
      </c>
      <c r="C12" s="572">
        <f t="shared" si="3"/>
        <v>2.3972435615872771</v>
      </c>
      <c r="D12" s="576">
        <f t="shared" si="4"/>
        <v>-0.14318161297137599</v>
      </c>
      <c r="E12" s="580">
        <f t="shared" si="5"/>
        <v>-0.95735560873545766</v>
      </c>
      <c r="F12" s="572">
        <f t="shared" si="6"/>
        <v>5.2727639446278521E-2</v>
      </c>
      <c r="G12" s="579">
        <f t="shared" si="7"/>
        <v>0.28405991350626131</v>
      </c>
      <c r="H12" s="580">
        <f t="shared" si="8"/>
        <v>0.28499999999999998</v>
      </c>
      <c r="I12" s="572">
        <f t="shared" si="9"/>
        <v>0.52</v>
      </c>
      <c r="J12" s="483">
        <f t="shared" si="10"/>
        <v>1.111</v>
      </c>
      <c r="K12" s="806">
        <f t="shared" si="11"/>
        <v>14513</v>
      </c>
      <c r="L12" s="716" t="s">
        <v>357</v>
      </c>
      <c r="M12" s="164">
        <f t="shared" si="12"/>
        <v>1.111</v>
      </c>
      <c r="N12" s="575">
        <f t="shared" si="13"/>
        <v>2.5760723353519574E-2</v>
      </c>
      <c r="O12" s="572">
        <f t="shared" si="14"/>
        <v>2.3972435615872771</v>
      </c>
      <c r="P12" s="576">
        <f t="shared" si="15"/>
        <v>-0.14318161297137599</v>
      </c>
      <c r="Q12" s="528">
        <f>IF(M12="","",IF(DEGREES(ATAN2(N12,O12))&lt;0,DEGREES(ATAN2(N12,O12))+360,IF(DEGREES(ATAN2(N12,O12))&gt;360,DEGREES(ATAN2(N12,O12))-360,DEGREES(ATAN2(N12,O12)))))</f>
        <v>89.384324588669486</v>
      </c>
      <c r="R12" s="572">
        <f t="shared" si="101"/>
        <v>2.3973819696575993</v>
      </c>
      <c r="S12" s="577">
        <f t="shared" si="102"/>
        <v>-0.14318161297137599</v>
      </c>
      <c r="T12" s="578">
        <f>IF(M12="","",X12*COS(RADIANS(W12)))</f>
        <v>2.3973819696575993</v>
      </c>
      <c r="U12" s="572">
        <f t="shared" si="104"/>
        <v>0</v>
      </c>
      <c r="V12" s="579">
        <f t="shared" si="141"/>
        <v>-0.14318161297137599</v>
      </c>
      <c r="W12" s="528">
        <f>IF(M12="","",IF(Q12-$Q$8&lt;0,360+Q12-$Q$8,Q12-$Q$8))</f>
        <v>0</v>
      </c>
      <c r="X12" s="572">
        <f t="shared" si="105"/>
        <v>2.3973819696575993</v>
      </c>
      <c r="Y12" s="573">
        <f t="shared" si="17"/>
        <v>-0.14318161297137599</v>
      </c>
      <c r="Z12" s="575">
        <f t="shared" si="18"/>
        <v>0.95735560873545766</v>
      </c>
      <c r="AA12" s="572">
        <f t="shared" si="19"/>
        <v>-5.2727639446278521E-2</v>
      </c>
      <c r="AB12" s="572">
        <f t="shared" si="20"/>
        <v>-0.28405991350626131</v>
      </c>
      <c r="AC12" s="579">
        <f t="shared" si="106"/>
        <v>1</v>
      </c>
      <c r="AD12" s="580">
        <f t="shared" si="142"/>
        <v>0.95735560873545766</v>
      </c>
      <c r="AE12" s="572">
        <f t="shared" si="107"/>
        <v>-5.2727639446278521E-2</v>
      </c>
      <c r="AF12" s="576">
        <f t="shared" si="108"/>
        <v>-0.28405991350626131</v>
      </c>
      <c r="AG12" s="545">
        <f t="shared" si="109"/>
        <v>-10.515647622111944</v>
      </c>
      <c r="AH12" s="546">
        <f t="shared" si="110"/>
        <v>16.792840068639673</v>
      </c>
      <c r="AI12" s="528">
        <f t="shared" si="111"/>
        <v>-73.497336702864573</v>
      </c>
      <c r="AJ12" s="529">
        <f t="shared" si="112"/>
        <v>86.847543362711065</v>
      </c>
      <c r="AK12" s="578">
        <f t="shared" ref="AK12:AK105" si="238">IF(M12="","",(COS(RADIANS((90-$Q$8)-W12))*AD12)+(-SIN(RADIANS((90-$Q$8)-W12))*AE12))</f>
        <v>0.95786691498784338</v>
      </c>
      <c r="AL12" s="572">
        <f>IF(M12="","",(SIN(RADIANS((90-$Q$8)-W12))*AD12)+(COS(RADIANS((90-$Q$8)-W12))*AE12))</f>
        <v>-4.2437468238422926E-2</v>
      </c>
      <c r="AM12" s="577">
        <f t="shared" si="114"/>
        <v>-0.28405991350626131</v>
      </c>
      <c r="AN12" s="524">
        <f>IF(M12="","",DEGREES(ATAN2(-AM12,AL12)))</f>
        <v>-8.4969280152892388</v>
      </c>
      <c r="AO12" s="525">
        <f t="shared" si="116"/>
        <v>16.691140944800519</v>
      </c>
      <c r="AP12" s="528">
        <f t="shared" si="117"/>
        <v>-2.5367812259584279</v>
      </c>
      <c r="AQ12" s="529">
        <f t="shared" si="21"/>
        <v>0.95083611081920372</v>
      </c>
      <c r="AS12" s="932">
        <f t="shared" si="143"/>
        <v>360</v>
      </c>
      <c r="AT12" s="928">
        <f>IF(M12="","",Y12+(((AS12-$AS$9)*$AS$6)*-1))</f>
        <v>-0.14507643699883119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0.50500556657283369</v>
      </c>
      <c r="BA12" s="296">
        <f t="shared" si="24"/>
        <v>0.14991802540879884</v>
      </c>
      <c r="BB12" s="291">
        <f t="shared" si="145"/>
        <v>0.21427643699883117</v>
      </c>
      <c r="BC12" s="9"/>
      <c r="BD12" s="5">
        <f t="shared" si="146"/>
        <v>2.3776000000000002</v>
      </c>
      <c r="BE12" s="6">
        <f t="shared" si="25"/>
        <v>7.1094824027455178E-2</v>
      </c>
      <c r="BF12" s="4">
        <f t="shared" si="26"/>
        <v>2.5760723353519574E-2</v>
      </c>
      <c r="BG12" s="5">
        <f t="shared" si="27"/>
        <v>2.3972435615872771</v>
      </c>
      <c r="BH12" s="10">
        <f t="shared" si="28"/>
        <v>-0.14318161297137599</v>
      </c>
      <c r="BI12" s="9">
        <f t="shared" si="147"/>
        <v>2.5760723353519574E-2</v>
      </c>
      <c r="BJ12" s="5">
        <f t="shared" si="29"/>
        <v>3.3804486635014905</v>
      </c>
      <c r="BK12" s="8">
        <f t="shared" si="30"/>
        <v>-0.32568566106308761</v>
      </c>
      <c r="BL12" s="173">
        <f t="shared" si="31"/>
        <v>0.31467288720745162</v>
      </c>
      <c r="BM12" s="5">
        <f t="shared" si="32"/>
        <v>2.571964835644803</v>
      </c>
      <c r="BN12" s="6">
        <f t="shared" si="33"/>
        <v>0.7980953058835133</v>
      </c>
      <c r="BO12" s="4">
        <f t="shared" si="148"/>
        <v>0.957355608735458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-5.2727639446278479E-2</v>
      </c>
      <c r="BQ12" s="5">
        <f t="shared" si="149"/>
        <v>-0.28405991350626114</v>
      </c>
      <c r="BR12" s="6">
        <f t="shared" si="150"/>
        <v>6.1066664596375941E-2</v>
      </c>
      <c r="BS12" s="4">
        <f t="shared" si="118"/>
        <v>0</v>
      </c>
      <c r="BT12" s="5">
        <f t="shared" si="118"/>
        <v>0</v>
      </c>
      <c r="BU12" s="10">
        <f t="shared" si="119"/>
        <v>7.1094824027455178E-2</v>
      </c>
      <c r="BV12" s="9">
        <f t="shared" si="120"/>
        <v>0</v>
      </c>
      <c r="BW12" s="5">
        <f t="shared" si="121"/>
        <v>1</v>
      </c>
      <c r="BX12" s="8">
        <f t="shared" si="122"/>
        <v>7.1094824027455178E-2</v>
      </c>
      <c r="BY12" s="173">
        <f t="shared" si="123"/>
        <v>1</v>
      </c>
      <c r="BZ12" s="5">
        <f t="shared" si="124"/>
        <v>0</v>
      </c>
      <c r="CA12" s="6">
        <f t="shared" si="125"/>
        <v>7.1094824027455178E-2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7.1094824027455178E-2</v>
      </c>
      <c r="CF12" s="4">
        <f t="shared" si="155"/>
        <v>5.2727639446278479E-2</v>
      </c>
      <c r="CG12" s="5">
        <f t="shared" si="156"/>
        <v>0.957355608735458</v>
      </c>
      <c r="CH12" s="5">
        <f t="shared" si="157"/>
        <v>0</v>
      </c>
      <c r="CI12" s="4">
        <f t="shared" si="126"/>
        <v>0</v>
      </c>
      <c r="CJ12" s="5">
        <f t="shared" si="127"/>
        <v>0.77514327327389732</v>
      </c>
      <c r="CK12" s="8">
        <f t="shared" si="128"/>
        <v>7.1094824027455178E-2</v>
      </c>
      <c r="CL12" s="173">
        <f t="shared" si="129"/>
        <v>5.2727639446278479E-2</v>
      </c>
      <c r="CM12" s="5">
        <f t="shared" si="130"/>
        <v>1.7324988820093554</v>
      </c>
      <c r="CN12" s="6">
        <f t="shared" si="131"/>
        <v>7.1094824027455178E-2</v>
      </c>
      <c r="CO12" s="167" t="str">
        <f t="shared" si="35"/>
        <v>Radius</v>
      </c>
      <c r="CP12" s="4">
        <f t="shared" ref="CP12:CP74" si="240">IF(ISNUMBER($AV12),(CL12-CI12)^2+(CM12-CJ12)^2+(CN12-CK12)^2,"")</f>
        <v>0.91930996553881628</v>
      </c>
      <c r="CQ12" s="5">
        <f t="shared" ref="CQ12:CQ74" si="241">IF(ISNUMBER($AV12),2*((CL12-CI12)*(CI12-BF12)+(CM12-CJ12)*(CJ12-BG12)+(CN12-CK12)*(CK12-BH12)),"")</f>
        <v>-3.1085702221621556</v>
      </c>
      <c r="CR12" s="5" t="e">
        <f t="shared" si="158"/>
        <v>#VALUE!</v>
      </c>
      <c r="CS12" s="8" t="e">
        <f t="shared" si="159"/>
        <v>#VALUE!</v>
      </c>
      <c r="CT12" s="9" t="e">
        <f t="shared" si="160"/>
        <v>#VALUE!</v>
      </c>
      <c r="CU12" s="6" t="e">
        <f t="shared" si="161"/>
        <v>#VALUE!</v>
      </c>
      <c r="CV12" s="4" t="e">
        <f t="shared" ref="CV12:CV74" si="242">IF(ISNUMBER($AV12),CI12+($CT12*(CL12-CI12)),"")</f>
        <v>#VALUE!</v>
      </c>
      <c r="CW12" s="5" t="e">
        <f t="shared" si="162"/>
        <v>#VALUE!</v>
      </c>
      <c r="CX12" s="8" t="e">
        <f t="shared" si="163"/>
        <v>#VALUE!</v>
      </c>
      <c r="CY12" s="9" t="e">
        <f t="shared" si="164"/>
        <v>#VALUE!</v>
      </c>
      <c r="CZ12" s="5" t="e">
        <f t="shared" si="165"/>
        <v>#VALUE!</v>
      </c>
      <c r="DA12" s="6" t="e">
        <f t="shared" si="166"/>
        <v>#VALUE!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 t="e">
        <f t="shared" si="175"/>
        <v>#VALUE!</v>
      </c>
      <c r="DM12" s="173" t="e">
        <f t="shared" si="176"/>
        <v>#VALUE!</v>
      </c>
      <c r="DN12" s="178" t="e">
        <f t="shared" si="177"/>
        <v>#VALUE!</v>
      </c>
      <c r="DO12" s="9" t="e">
        <f t="shared" si="178"/>
        <v>#VALUE!</v>
      </c>
      <c r="DP12" s="173" t="e">
        <f t="shared" si="179"/>
        <v>#VALUE!</v>
      </c>
      <c r="DQ12" s="11" t="e">
        <f t="shared" si="180"/>
        <v>#VALUE!</v>
      </c>
      <c r="DR12" s="173" t="e">
        <f t="shared" si="181"/>
        <v>#VALUE!</v>
      </c>
      <c r="DS12" s="5" t="e">
        <f t="shared" si="182"/>
        <v>#VALUE!</v>
      </c>
      <c r="DT12" s="5">
        <f t="shared" si="183"/>
        <v>400</v>
      </c>
      <c r="DU12" s="5" t="e">
        <f t="shared" si="184"/>
        <v>#VALUE!</v>
      </c>
      <c r="DV12" s="5" t="e">
        <f t="shared" si="185"/>
        <v>#VALUE!</v>
      </c>
      <c r="DW12" s="5" t="e">
        <f t="shared" si="186"/>
        <v>#VALUE!</v>
      </c>
      <c r="DX12" s="167" t="e">
        <f t="shared" si="187"/>
        <v>#VALUE!</v>
      </c>
      <c r="DY12" s="9" t="e">
        <f t="shared" si="188"/>
        <v>#VALUE!</v>
      </c>
      <c r="DZ12" s="5" t="e">
        <f t="shared" si="189"/>
        <v>#VALUE!</v>
      </c>
      <c r="EA12" s="10" t="e">
        <f t="shared" si="190"/>
        <v>#VALUE!</v>
      </c>
      <c r="EB12" s="6" t="e">
        <f t="shared" si="191"/>
        <v>#VALUE!</v>
      </c>
      <c r="EC12" s="173" t="e">
        <f t="shared" si="192"/>
        <v>#VALUE!</v>
      </c>
      <c r="ED12" s="5" t="e">
        <f t="shared" si="193"/>
        <v>#VALUE!</v>
      </c>
      <c r="EE12" s="4" t="e">
        <f t="shared" si="194"/>
        <v>#VALUE!</v>
      </c>
      <c r="EF12" s="5" t="e">
        <f t="shared" si="195"/>
        <v>#VALUE!</v>
      </c>
      <c r="EG12" s="10" t="e">
        <f t="shared" si="196"/>
        <v>#VALUE!</v>
      </c>
      <c r="EH12" s="9" t="e">
        <f t="shared" si="197"/>
        <v>#VALUE!</v>
      </c>
      <c r="EI12" s="5" t="e">
        <f t="shared" si="198"/>
        <v>#VALUE!</v>
      </c>
      <c r="EJ12" s="6" t="e">
        <f t="shared" si="199"/>
        <v>#VALUE!</v>
      </c>
      <c r="EK12" s="236" t="e">
        <f t="shared" si="200"/>
        <v>#VALUE!</v>
      </c>
      <c r="EL12" s="238" t="e">
        <f t="shared" si="201"/>
        <v>#VALUE!</v>
      </c>
      <c r="EM12" s="4" t="e">
        <f t="shared" si="202"/>
        <v>#VALUE!</v>
      </c>
      <c r="EN12" s="5" t="e">
        <f t="shared" si="203"/>
        <v>#VALUE!</v>
      </c>
      <c r="EO12" s="10" t="e">
        <f t="shared" si="204"/>
        <v>#VALUE!</v>
      </c>
      <c r="EP12" s="9" t="e">
        <f t="shared" si="205"/>
        <v>#VALUE!</v>
      </c>
      <c r="EQ12" s="5" t="e">
        <f t="shared" si="206"/>
        <v>#VALUE!</v>
      </c>
      <c r="ER12" s="7" t="e">
        <f t="shared" si="207"/>
        <v>#VALUE!</v>
      </c>
      <c r="ES12" s="21">
        <f t="shared" si="132"/>
        <v>0.95735560873545766</v>
      </c>
      <c r="ET12" s="5">
        <f t="shared" si="44"/>
        <v>-5.2727639446278521E-2</v>
      </c>
      <c r="EU12" s="10">
        <f t="shared" si="45"/>
        <v>-0.28405991350626131</v>
      </c>
      <c r="EV12" s="174" t="e">
        <f t="shared" si="46"/>
        <v>#VALUE!</v>
      </c>
      <c r="EW12" s="9" t="e">
        <f t="shared" si="133"/>
        <v>#VALUE!</v>
      </c>
      <c r="EX12" s="5" t="e">
        <f t="shared" si="47"/>
        <v>#VALUE!</v>
      </c>
      <c r="EY12" s="6">
        <f t="shared" si="208"/>
        <v>-0.28405991350626131</v>
      </c>
      <c r="EZ12" s="51" t="e">
        <f t="shared" si="209"/>
        <v>#VALUE!</v>
      </c>
      <c r="FA12" s="266" t="e">
        <f t="shared" si="134"/>
        <v>#VALUE!</v>
      </c>
      <c r="FB12" s="267" t="e">
        <f t="shared" si="135"/>
        <v>#VALUE!</v>
      </c>
      <c r="FC12" s="269" t="e">
        <f t="shared" si="48"/>
        <v>#VALUE!</v>
      </c>
      <c r="FD12" s="4" t="e">
        <f t="shared" si="136"/>
        <v>#VALUE!</v>
      </c>
      <c r="FE12" s="5" t="e">
        <f t="shared" si="49"/>
        <v>#VALUE!</v>
      </c>
      <c r="FF12" s="7" t="e">
        <f t="shared" si="210"/>
        <v>#VALUE!</v>
      </c>
      <c r="FG12" s="173" t="e">
        <f t="shared" si="211"/>
        <v>#VALUE!</v>
      </c>
      <c r="FH12" s="5" t="e">
        <f t="shared" si="50"/>
        <v>#VALUE!</v>
      </c>
      <c r="FI12" s="10" t="e">
        <f t="shared" si="51"/>
        <v>#VALUE!</v>
      </c>
      <c r="FJ12" s="279" t="e">
        <f t="shared" si="212"/>
        <v>#VALUE!</v>
      </c>
      <c r="FK12" s="4">
        <f t="shared" si="52"/>
        <v>0.9588065318607375</v>
      </c>
      <c r="FL12" s="5" t="e">
        <f t="shared" si="213"/>
        <v>#VALUE!</v>
      </c>
      <c r="FM12" s="8" t="e">
        <f t="shared" si="214"/>
        <v>#VALUE!</v>
      </c>
      <c r="FN12" s="9" t="e">
        <f t="shared" si="215"/>
        <v>#VALUE!</v>
      </c>
      <c r="FO12" s="10" t="e">
        <f t="shared" si="53"/>
        <v>#VALUE!</v>
      </c>
      <c r="FP12" s="277" t="e">
        <f t="shared" si="54"/>
        <v>#VALUE!</v>
      </c>
      <c r="FQ12" s="173" t="e">
        <f t="shared" ref="FQ12:FQ74" si="243">IF(ISNUMBER($AV12),SIN(RADIANS(FN12)),"")</f>
        <v>#VALUE!</v>
      </c>
      <c r="FR12" s="10" t="e">
        <f t="shared" si="216"/>
        <v>#VALUE!</v>
      </c>
      <c r="FS12" s="9" t="e">
        <f t="shared" si="217"/>
        <v>#VALUE!</v>
      </c>
      <c r="FT12" s="6" t="e">
        <f t="shared" si="218"/>
        <v>#VALUE!</v>
      </c>
      <c r="FU12" s="4" t="e">
        <f t="shared" si="219"/>
        <v>#VALUE!</v>
      </c>
      <c r="FV12" s="5" t="e">
        <f t="shared" si="220"/>
        <v>#VALUE!</v>
      </c>
      <c r="FW12" s="8" t="e">
        <f t="shared" ref="FW12:FW74" si="244">IF(ISNUMBER($AV12),SQRT(FG12^2+FI12^2),"")</f>
        <v>#VALUE!</v>
      </c>
      <c r="FX12" s="9" t="e">
        <f t="shared" ref="FX12:FX74" si="245">IF(ISNUMBER($AV12),DEGREES(ACOS((FU12^2+FV12^2-FW12^2)/(2*FU12*FV12))),"")</f>
        <v>#VALUE!</v>
      </c>
      <c r="FY12" s="10" t="e">
        <f t="shared" si="55"/>
        <v>#VALUE!</v>
      </c>
      <c r="FZ12" s="277" t="e">
        <f t="shared" ref="FZ12:FZ74" si="246">IF(ISNUMBER($AV12),FX12*FY12,"")</f>
        <v>#VALUE!</v>
      </c>
      <c r="GA12" s="177" t="e">
        <f t="shared" si="221"/>
        <v>#VALUE!</v>
      </c>
      <c r="GB12" s="4" t="e">
        <f t="shared" si="222"/>
        <v>#VALUE!</v>
      </c>
      <c r="GC12" s="5" t="e">
        <f t="shared" si="223"/>
        <v>#VALUE!</v>
      </c>
      <c r="GD12" s="10" t="e">
        <f t="shared" si="224"/>
        <v>#VALUE!</v>
      </c>
      <c r="GE12" s="311" t="e">
        <f t="shared" si="225"/>
        <v>#VALUE!</v>
      </c>
      <c r="GF12" s="341" t="e">
        <f t="shared" ref="GF12:GF74" si="247">IF(ISNUMBER($AV12),1/GE12,"")</f>
        <v>#VALUE!</v>
      </c>
      <c r="GG12" s="285" t="e">
        <f t="shared" si="56"/>
        <v>#VALUE!</v>
      </c>
      <c r="GH12" s="286" t="e">
        <f t="shared" si="57"/>
        <v>#VALUE!</v>
      </c>
      <c r="GI12" s="281" t="e">
        <f t="shared" si="58"/>
        <v>#VALUE!</v>
      </c>
      <c r="GJ12" s="167">
        <f t="shared" si="226"/>
        <v>2.3776000000000002</v>
      </c>
      <c r="GK12" s="174">
        <f t="shared" si="59"/>
        <v>1.2450827578225683</v>
      </c>
      <c r="GL12" s="174">
        <f t="shared" si="227"/>
        <v>3.3799999999999997E-2</v>
      </c>
      <c r="GM12" s="177">
        <f t="shared" ref="GM12:GM74" si="248">IF(ISNUMBER($AV12),AZ12,"")</f>
        <v>0.50500556657283369</v>
      </c>
      <c r="GN12" s="280">
        <f t="shared" si="228"/>
        <v>0.14991802540879884</v>
      </c>
      <c r="GO12" s="4" t="e">
        <f t="shared" si="229"/>
        <v>#VALUE!</v>
      </c>
      <c r="GP12" s="8" t="e">
        <f t="shared" ref="GP12:GP74" si="249">IF(ISNUMBER($AV12),FZ12,"")</f>
        <v>#VALUE!</v>
      </c>
      <c r="GQ12" s="177" t="e">
        <f t="shared" si="230"/>
        <v>#VALUE!</v>
      </c>
      <c r="GR12" s="371" t="e">
        <f t="shared" ref="GR12:GR74" si="250">IF(ISNUMBER($AV12),GS12+GU12+GY12,"")</f>
        <v>#VALUE!</v>
      </c>
      <c r="GS12" s="342" t="e">
        <f t="shared" si="61"/>
        <v>#VALUE!</v>
      </c>
      <c r="GT12" s="343" t="e">
        <f t="shared" si="62"/>
        <v>#VALUE!</v>
      </c>
      <c r="GU12" s="344">
        <f>IF(ISNUMBER($AV12),$GV12*$GK12,"")</f>
        <v>1241.4720178248826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 t="e">
        <f t="shared" si="66"/>
        <v>#VALUE!</v>
      </c>
      <c r="GZ12" s="345" t="e">
        <f t="shared" si="67"/>
        <v>#VALUE!</v>
      </c>
      <c r="HA12" s="342" t="e">
        <f t="shared" si="68"/>
        <v>#VALUE!</v>
      </c>
      <c r="HB12" s="5" t="e">
        <f t="shared" si="231"/>
        <v>#VALUE!</v>
      </c>
      <c r="HC12" s="343" t="e">
        <f t="shared" si="232"/>
        <v>#VALUE!</v>
      </c>
      <c r="HD12" s="345" t="e">
        <f t="shared" si="233"/>
        <v>#VALUE!</v>
      </c>
      <c r="HE12" s="344" t="e">
        <f t="shared" si="69"/>
        <v>#VALUE!</v>
      </c>
      <c r="HF12" s="5" t="e">
        <f t="shared" si="70"/>
        <v>#VALUE!</v>
      </c>
      <c r="HG12" s="343" t="e">
        <f t="shared" si="234"/>
        <v>#VALUE!</v>
      </c>
      <c r="HH12" s="349" t="e">
        <f t="shared" si="235"/>
        <v>#VALUE!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3.1059999999999999</v>
      </c>
      <c r="HM12" s="909" t="e">
        <f t="shared" si="138"/>
        <v>#VALUE!</v>
      </c>
      <c r="HN12" s="910">
        <f t="shared" si="73"/>
        <v>15.059926167155163</v>
      </c>
      <c r="HO12" s="911"/>
      <c r="HP12" s="912"/>
      <c r="HQ12" s="910" t="e">
        <f t="shared" si="74"/>
        <v>#VALUE!</v>
      </c>
      <c r="HR12" s="913" t="e">
        <f t="shared" si="75"/>
        <v>#VALUE!</v>
      </c>
      <c r="HS12" s="865">
        <f>IFERROR(SMALL($GJ$9:$GJ$150,($HK11+1)),"")</f>
        <v>1.3966000000000001</v>
      </c>
      <c r="HT12" s="875">
        <f t="shared" si="76"/>
        <v>6.0299999999999999E-2</v>
      </c>
      <c r="HU12" s="876">
        <f t="shared" si="77"/>
        <v>0.52935302264942963</v>
      </c>
      <c r="HV12" s="872">
        <f t="shared" si="78"/>
        <v>0.15714591115964688</v>
      </c>
      <c r="HW12" s="866">
        <f t="shared" si="79"/>
        <v>29500</v>
      </c>
      <c r="HX12" s="867">
        <f t="shared" si="80"/>
        <v>207.0284925</v>
      </c>
      <c r="HY12" s="866" t="e">
        <f t="shared" si="81"/>
        <v>#VALUE!</v>
      </c>
      <c r="HZ12" s="868">
        <f t="shared" si="82"/>
        <v>1301.3261806798475</v>
      </c>
      <c r="IA12" s="869" t="e">
        <f t="shared" si="83"/>
        <v>#VALUE!</v>
      </c>
      <c r="IB12" s="870" t="e">
        <f t="shared" si="84"/>
        <v>#VALUE!</v>
      </c>
      <c r="IC12" s="841" t="e">
        <f t="shared" si="85"/>
        <v>#VALUE!</v>
      </c>
      <c r="ID12" s="351">
        <f t="shared" si="86"/>
        <v>1778.85</v>
      </c>
      <c r="IE12" s="843" t="e">
        <f t="shared" si="87"/>
        <v>#VALUE!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14513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6.4379127242852621E-2</v>
      </c>
      <c r="C13" s="572">
        <f t="shared" si="3"/>
        <v>3.0427413395764522</v>
      </c>
      <c r="D13" s="576">
        <f t="shared" si="4"/>
        <v>-0.41521947098958667</v>
      </c>
      <c r="E13" s="580">
        <f t="shared" si="5"/>
        <v>-0.92925343501045909</v>
      </c>
      <c r="F13" s="572">
        <f t="shared" si="6"/>
        <v>0.22118825522545482</v>
      </c>
      <c r="G13" s="579">
        <f t="shared" si="7"/>
        <v>0.29591182685317224</v>
      </c>
      <c r="H13" s="580">
        <f t="shared" si="8"/>
        <v>0.28499999999999998</v>
      </c>
      <c r="I13" s="572">
        <f t="shared" si="9"/>
        <v>0.52</v>
      </c>
      <c r="J13" s="483">
        <f t="shared" si="10"/>
        <v>1.1160000000000001</v>
      </c>
      <c r="K13" s="806">
        <f t="shared" si="11"/>
        <v>14513</v>
      </c>
      <c r="L13" s="717">
        <f>IF($L12=$JJ$22,$JJ$29,IF($L12=$JK$22,$JK$29,""))</f>
        <v>320</v>
      </c>
      <c r="M13" s="164">
        <f t="shared" si="12"/>
        <v>1.1160000000000001</v>
      </c>
      <c r="N13" s="575">
        <f t="shared" si="13"/>
        <v>6.4379127242852621E-2</v>
      </c>
      <c r="O13" s="572">
        <f t="shared" si="14"/>
        <v>3.0427413395764522</v>
      </c>
      <c r="P13" s="576">
        <f t="shared" si="15"/>
        <v>-0.41521947098958667</v>
      </c>
      <c r="Q13" s="528">
        <f t="shared" si="140"/>
        <v>88.787901572860747</v>
      </c>
      <c r="R13" s="572">
        <f t="shared" si="101"/>
        <v>3.0434223386825652</v>
      </c>
      <c r="S13" s="577">
        <f t="shared" si="102"/>
        <v>-0.41521947098958667</v>
      </c>
      <c r="T13" s="578">
        <f>IF(M13="","",X13*COS(RADIANS(W13)))</f>
        <v>3.0432574496269176</v>
      </c>
      <c r="U13" s="572">
        <f t="shared" si="104"/>
        <v>-3.1680070743685382E-2</v>
      </c>
      <c r="V13" s="579">
        <f t="shared" si="141"/>
        <v>-0.41521947098958667</v>
      </c>
      <c r="W13" s="528">
        <f t="shared" si="16"/>
        <v>359.40357698419126</v>
      </c>
      <c r="X13" s="572">
        <f t="shared" si="105"/>
        <v>3.0434223386825652</v>
      </c>
      <c r="Y13" s="573">
        <f t="shared" si="17"/>
        <v>-0.41521947098958667</v>
      </c>
      <c r="Z13" s="575">
        <f t="shared" si="18"/>
        <v>0.92925343501045909</v>
      </c>
      <c r="AA13" s="572">
        <f t="shared" si="19"/>
        <v>-0.22118825522545482</v>
      </c>
      <c r="AB13" s="572">
        <f t="shared" si="20"/>
        <v>-0.29591182685317224</v>
      </c>
      <c r="AC13" s="579">
        <f t="shared" si="106"/>
        <v>1</v>
      </c>
      <c r="AD13" s="580">
        <f>IF(M13="","",Z13*(1/SQRT(Z13^2+AA13^2+AB13^2)))</f>
        <v>0.92925343501045909</v>
      </c>
      <c r="AE13" s="572">
        <f t="shared" si="107"/>
        <v>-0.22118825522545482</v>
      </c>
      <c r="AF13" s="576">
        <f t="shared" si="108"/>
        <v>-0.29591182685317224</v>
      </c>
      <c r="AG13" s="545">
        <f>IF(M13="","",DEGREES(ATAN2(-AF13,AE13)))</f>
        <v>-36.77738947910143</v>
      </c>
      <c r="AH13" s="546">
        <f t="shared" si="110"/>
        <v>21.681263355077245</v>
      </c>
      <c r="AI13" s="528">
        <f t="shared" si="111"/>
        <v>-72.787777450860744</v>
      </c>
      <c r="AJ13" s="529">
        <f t="shared" si="112"/>
        <v>76.611152833594133</v>
      </c>
      <c r="AK13" s="578">
        <f t="shared" si="238"/>
        <v>0.93372441687066321</v>
      </c>
      <c r="AL13" s="572">
        <f t="shared" si="113"/>
        <v>-0.2014817710562383</v>
      </c>
      <c r="AM13" s="577">
        <f t="shared" si="114"/>
        <v>-0.29591182685317224</v>
      </c>
      <c r="AN13" s="524">
        <f t="shared" si="115"/>
        <v>-34.250341265000479</v>
      </c>
      <c r="AO13" s="525">
        <f t="shared" si="116"/>
        <v>20.976966793059624</v>
      </c>
      <c r="AP13" s="528">
        <f t="shared" si="117"/>
        <v>-12.176748739266607</v>
      </c>
      <c r="AQ13" s="529">
        <f t="shared" si="21"/>
        <v>0.74902412714453059</v>
      </c>
      <c r="AS13" s="932">
        <f t="shared" si="143"/>
        <v>359.40357698419126</v>
      </c>
      <c r="AT13" s="928">
        <f t="shared" si="22"/>
        <v>-0.41670011236717469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>
        <f t="shared" si="137"/>
        <v>5</v>
      </c>
      <c r="HL13" s="348">
        <f t="shared" si="72"/>
        <v>1.107</v>
      </c>
      <c r="HM13" s="909" t="e">
        <f t="shared" si="138"/>
        <v>#VALUE!</v>
      </c>
      <c r="HN13" s="910">
        <f t="shared" si="73"/>
        <v>15.037952247761927</v>
      </c>
      <c r="HO13" s="911"/>
      <c r="HP13" s="912"/>
      <c r="HQ13" s="910" t="e">
        <f t="shared" si="74"/>
        <v>#VALUE!</v>
      </c>
      <c r="HR13" s="913" t="e">
        <f t="shared" si="75"/>
        <v>#VALUE!</v>
      </c>
      <c r="HS13" s="865">
        <f t="shared" ref="HS13:HS41" si="251">IFERROR(SMALL($GJ$9:$GJ$150,($HK12+1)),"")</f>
        <v>1.6409</v>
      </c>
      <c r="HT13" s="875">
        <f t="shared" si="76"/>
        <v>6.1899999999999997E-2</v>
      </c>
      <c r="HU13" s="876">
        <f t="shared" si="77"/>
        <v>0.63838146813450858</v>
      </c>
      <c r="HV13" s="872">
        <f t="shared" si="78"/>
        <v>0.18951254301964743</v>
      </c>
      <c r="HW13" s="866">
        <f t="shared" si="79"/>
        <v>29500</v>
      </c>
      <c r="HX13" s="867">
        <f t="shared" si="80"/>
        <v>249.69712041666668</v>
      </c>
      <c r="HY13" s="866" t="e">
        <f t="shared" si="81"/>
        <v>#VALUE!</v>
      </c>
      <c r="HZ13" s="868">
        <f>IF(ISNUMBER($HL13),INDEX(GU$9:GU$150,MATCH($HL13,$AV$9:$AV$150,0)),"")</f>
        <v>1569.3544424973336</v>
      </c>
      <c r="IA13" s="869" t="e">
        <f t="shared" si="83"/>
        <v>#VALUE!</v>
      </c>
      <c r="IB13" s="870" t="e">
        <f t="shared" si="84"/>
        <v>#VALUE!</v>
      </c>
      <c r="IC13" s="841" t="e">
        <f t="shared" si="85"/>
        <v>#VALUE!</v>
      </c>
      <c r="ID13" s="351">
        <f t="shared" si="86"/>
        <v>1826.05</v>
      </c>
      <c r="IE13" s="843" t="e">
        <f t="shared" si="87"/>
        <v>#VALUE!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1.1160000000000001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14513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0.11169150365146155</v>
      </c>
      <c r="C14" s="572">
        <f t="shared" si="3"/>
        <v>3.4900896655099722</v>
      </c>
      <c r="D14" s="576">
        <f t="shared" si="4"/>
        <v>-0.95412187079342281</v>
      </c>
      <c r="E14" s="580">
        <f t="shared" si="5"/>
        <v>-0.89156415895671615</v>
      </c>
      <c r="F14" s="572">
        <f t="shared" si="6"/>
        <v>0.39809397676203168</v>
      </c>
      <c r="G14" s="579">
        <f t="shared" si="7"/>
        <v>0.21595030939916349</v>
      </c>
      <c r="H14" s="580">
        <f t="shared" si="8"/>
        <v>0.28499999999999998</v>
      </c>
      <c r="I14" s="572">
        <f t="shared" si="9"/>
        <v>0.52</v>
      </c>
      <c r="J14" s="483">
        <f t="shared" si="10"/>
        <v>1.121</v>
      </c>
      <c r="K14" s="806">
        <f t="shared" si="11"/>
        <v>14513</v>
      </c>
      <c r="L14" s="719" t="s">
        <v>358</v>
      </c>
      <c r="M14" s="164">
        <f t="shared" si="12"/>
        <v>1.121</v>
      </c>
      <c r="N14" s="575">
        <f t="shared" si="13"/>
        <v>0.11169150365146155</v>
      </c>
      <c r="O14" s="572">
        <f t="shared" si="14"/>
        <v>3.4900896655099722</v>
      </c>
      <c r="P14" s="576">
        <f t="shared" si="15"/>
        <v>-0.95412187079342281</v>
      </c>
      <c r="Q14" s="528">
        <f t="shared" si="140"/>
        <v>88.167018891391606</v>
      </c>
      <c r="R14" s="572">
        <f t="shared" si="101"/>
        <v>3.4918764103684188</v>
      </c>
      <c r="S14" s="577">
        <f>IF(M14="","",P14)</f>
        <v>-0.95412187079342281</v>
      </c>
      <c r="T14" s="578">
        <f t="shared" si="103"/>
        <v>3.4910883371363348</v>
      </c>
      <c r="U14" s="572">
        <f t="shared" si="104"/>
        <v>-7.4182798532387365E-2</v>
      </c>
      <c r="V14" s="579">
        <f t="shared" si="141"/>
        <v>-0.95412187079342281</v>
      </c>
      <c r="W14" s="528">
        <f>IF(M14="","",IF(Q14-$Q$8&lt;0,360+Q14-$Q$8,Q14-$Q$8))</f>
        <v>358.78269430272212</v>
      </c>
      <c r="X14" s="572">
        <f t="shared" si="105"/>
        <v>3.4918764103684188</v>
      </c>
      <c r="Y14" s="573">
        <f t="shared" si="17"/>
        <v>-0.95412187079342281</v>
      </c>
      <c r="Z14" s="575">
        <f t="shared" si="18"/>
        <v>0.89156415895671615</v>
      </c>
      <c r="AA14" s="572">
        <f t="shared" si="19"/>
        <v>-0.39809397676203168</v>
      </c>
      <c r="AB14" s="572">
        <f t="shared" si="20"/>
        <v>-0.21595030939916349</v>
      </c>
      <c r="AC14" s="579">
        <f t="shared" si="106"/>
        <v>1</v>
      </c>
      <c r="AD14" s="580">
        <f>IF(M14="","",Z14*(1/SQRT(Z14^2+AA14^2+AB14^2)))</f>
        <v>0.89156415895671615</v>
      </c>
      <c r="AE14" s="572">
        <f t="shared" si="107"/>
        <v>-0.39809397676203168</v>
      </c>
      <c r="AF14" s="576">
        <f t="shared" si="108"/>
        <v>-0.21595030939916349</v>
      </c>
      <c r="AG14" s="545">
        <f t="shared" si="109"/>
        <v>-61.521911704323571</v>
      </c>
      <c r="AH14" s="546">
        <f t="shared" si="110"/>
        <v>26.929538766790827</v>
      </c>
      <c r="AI14" s="528">
        <f t="shared" si="111"/>
        <v>-77.528714169300386</v>
      </c>
      <c r="AJ14" s="529">
        <f t="shared" si="112"/>
        <v>65.938671298054302</v>
      </c>
      <c r="AK14" s="578">
        <f>IF(M14="","",(COS(RADIANS((90-$Q$8)-W14))*AD14)+(-SIN(RADIANS((90-$Q$8)-W14))*AE14))</f>
        <v>0.9038414311576608</v>
      </c>
      <c r="AL14" s="572">
        <f t="shared" si="113"/>
        <v>-0.36937261835885615</v>
      </c>
      <c r="AM14" s="577">
        <f t="shared" si="114"/>
        <v>-0.21595030939916349</v>
      </c>
      <c r="AN14" s="524">
        <f t="shared" si="115"/>
        <v>-59.687700782164377</v>
      </c>
      <c r="AO14" s="525">
        <f t="shared" si="116"/>
        <v>25.332307439651714</v>
      </c>
      <c r="AP14" s="528">
        <f>IF(M14="","",DEGREES(ATAN2(AK14,AL14)))</f>
        <v>-22.228347593337279</v>
      </c>
      <c r="AQ14" s="529">
        <f t="shared" si="21"/>
        <v>0.65283753103444275</v>
      </c>
      <c r="AS14" s="932">
        <f t="shared" si="143"/>
        <v>358.78269430272212</v>
      </c>
      <c r="AT14" s="928">
        <f>IF(M14="","",Y14+(((AS14-$AS$9)*$AS$6)*-1))</f>
        <v>-0.95517134364221279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>
        <f t="shared" si="137"/>
        <v>6</v>
      </c>
      <c r="HL14" s="348">
        <f t="shared" si="72"/>
        <v>3.109</v>
      </c>
      <c r="HM14" s="909" t="e">
        <f t="shared" si="138"/>
        <v>#VALUE!</v>
      </c>
      <c r="HN14" s="910">
        <f t="shared" si="73"/>
        <v>15.008916364285374</v>
      </c>
      <c r="HO14" s="911"/>
      <c r="HP14" s="912"/>
      <c r="HQ14" s="910" t="e">
        <f t="shared" si="74"/>
        <v>#VALUE!</v>
      </c>
      <c r="HR14" s="913" t="e">
        <f t="shared" si="75"/>
        <v>#VALUE!</v>
      </c>
      <c r="HS14" s="865">
        <f t="shared" si="251"/>
        <v>2.1025999999999998</v>
      </c>
      <c r="HT14" s="875">
        <f t="shared" si="76"/>
        <v>3.61E-2</v>
      </c>
      <c r="HU14" s="876">
        <f t="shared" si="77"/>
        <v>0.47700340295684407</v>
      </c>
      <c r="HV14" s="872">
        <f t="shared" si="78"/>
        <v>0.14160518817618625</v>
      </c>
      <c r="HW14" s="866">
        <f t="shared" si="79"/>
        <v>29500</v>
      </c>
      <c r="HX14" s="867">
        <f t="shared" si="80"/>
        <v>186.59698916666667</v>
      </c>
      <c r="HY14" s="866" t="e">
        <f t="shared" si="81"/>
        <v>#VALUE!</v>
      </c>
      <c r="HZ14" s="868">
        <f t="shared" si="82"/>
        <v>1172.6333656022416</v>
      </c>
      <c r="IA14" s="869" t="e">
        <f t="shared" si="83"/>
        <v>#VALUE!</v>
      </c>
      <c r="IB14" s="870" t="e">
        <f t="shared" si="84"/>
        <v>#VALUE!</v>
      </c>
      <c r="IC14" s="841" t="e">
        <f t="shared" si="85"/>
        <v>#VALUE!</v>
      </c>
      <c r="ID14" s="351">
        <f t="shared" si="86"/>
        <v>1064.95</v>
      </c>
      <c r="IE14" s="843" t="e">
        <f t="shared" si="87"/>
        <v>#VALUE!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14513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0.13348662408130532</v>
      </c>
      <c r="C15" s="572">
        <f t="shared" si="3"/>
        <v>3.6575550445465121</v>
      </c>
      <c r="D15" s="576">
        <f t="shared" si="4"/>
        <v>-1.6347764873044179</v>
      </c>
      <c r="E15" s="580">
        <f t="shared" si="5"/>
        <v>-0.84977833799452052</v>
      </c>
      <c r="F15" s="572">
        <f t="shared" si="6"/>
        <v>0.52533583220684221</v>
      </c>
      <c r="G15" s="579">
        <f t="shared" si="7"/>
        <v>4.3577972357775017E-2</v>
      </c>
      <c r="H15" s="580">
        <f t="shared" si="8"/>
        <v>0.28499999999999998</v>
      </c>
      <c r="I15" s="572">
        <f t="shared" si="9"/>
        <v>0.52</v>
      </c>
      <c r="J15" s="483">
        <f t="shared" si="10"/>
        <v>1.1259999999999999</v>
      </c>
      <c r="K15" s="806">
        <f t="shared" si="11"/>
        <v>14513</v>
      </c>
      <c r="L15" s="814">
        <f>IF($L14=$JJ$22,$JJ$29,IF($L14=$JK$22,$JK$29,""))</f>
        <v>340</v>
      </c>
      <c r="M15" s="164">
        <f t="shared" si="12"/>
        <v>1.1259999999999999</v>
      </c>
      <c r="N15" s="575">
        <f t="shared" si="13"/>
        <v>0.13348662408130532</v>
      </c>
      <c r="O15" s="572">
        <f t="shared" si="14"/>
        <v>3.6575550445465121</v>
      </c>
      <c r="P15" s="576">
        <f t="shared" si="15"/>
        <v>-1.6347764873044179</v>
      </c>
      <c r="Q15" s="528">
        <f t="shared" si="140"/>
        <v>87.909853147389143</v>
      </c>
      <c r="R15" s="572">
        <f t="shared" si="101"/>
        <v>3.6599901069123484</v>
      </c>
      <c r="S15" s="577">
        <f t="shared" si="102"/>
        <v>-1.6347764873044179</v>
      </c>
      <c r="T15" s="578">
        <f t="shared" si="103"/>
        <v>3.6587782442266867</v>
      </c>
      <c r="U15" s="572">
        <f t="shared" si="104"/>
        <v>-9.4177185505548003E-2</v>
      </c>
      <c r="V15" s="579">
        <f t="shared" si="141"/>
        <v>-1.6347764873044179</v>
      </c>
      <c r="W15" s="528">
        <f t="shared" ref="W15:W78" si="253">IF(M15="","",IF(Q15-$Q$8&lt;0,360+Q15-$Q$8,Q15-$Q$8))</f>
        <v>358.52552855871966</v>
      </c>
      <c r="X15" s="572">
        <f>IF(M15="","",R15)</f>
        <v>3.6599901069123484</v>
      </c>
      <c r="Y15" s="573">
        <f t="shared" si="17"/>
        <v>-1.6347764873044179</v>
      </c>
      <c r="Z15" s="575">
        <f t="shared" si="18"/>
        <v>0.84977833799452052</v>
      </c>
      <c r="AA15" s="572">
        <f t="shared" si="19"/>
        <v>-0.52533583220684221</v>
      </c>
      <c r="AB15" s="572">
        <f t="shared" si="20"/>
        <v>-4.3577972357775017E-2</v>
      </c>
      <c r="AC15" s="579">
        <f t="shared" si="106"/>
        <v>1</v>
      </c>
      <c r="AD15" s="580">
        <f t="shared" si="142"/>
        <v>0.84977833799452052</v>
      </c>
      <c r="AE15" s="572">
        <f t="shared" si="107"/>
        <v>-0.52533583220684221</v>
      </c>
      <c r="AF15" s="576">
        <f t="shared" si="108"/>
        <v>-4.3577972357775017E-2</v>
      </c>
      <c r="AG15" s="545">
        <f t="shared" si="109"/>
        <v>-85.258023046088596</v>
      </c>
      <c r="AH15" s="546">
        <f t="shared" si="110"/>
        <v>31.812431616310889</v>
      </c>
      <c r="AI15" s="528">
        <f t="shared" si="111"/>
        <v>-87.502375163624492</v>
      </c>
      <c r="AJ15" s="529">
        <f t="shared" si="112"/>
        <v>58.275503643578766</v>
      </c>
      <c r="AK15" s="578">
        <f t="shared" si="238"/>
        <v>0.86837293566065898</v>
      </c>
      <c r="AL15" s="572">
        <f t="shared" si="113"/>
        <v>-0.49399332479019803</v>
      </c>
      <c r="AM15" s="577">
        <f t="shared" si="114"/>
        <v>-4.3577972357775017E-2</v>
      </c>
      <c r="AN15" s="524">
        <f>IF(M15="","",DEGREES(ATAN2(-AM15,AL15)))</f>
        <v>-84.958662296739845</v>
      </c>
      <c r="AO15" s="525">
        <f t="shared" si="116"/>
        <v>29.729888873627353</v>
      </c>
      <c r="AP15" s="528">
        <f t="shared" si="117"/>
        <v>-29.634349503810355</v>
      </c>
      <c r="AQ15" s="529">
        <f t="shared" si="21"/>
        <v>0.62285327618174791</v>
      </c>
      <c r="AS15" s="932">
        <f t="shared" si="143"/>
        <v>358.52552855871966</v>
      </c>
      <c r="AT15" s="928">
        <f t="shared" si="22"/>
        <v>-1.6356473728309839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>
        <f t="shared" si="137"/>
        <v>7</v>
      </c>
      <c r="HL15" s="348">
        <f t="shared" si="72"/>
        <v>2.11</v>
      </c>
      <c r="HM15" s="909" t="e">
        <f t="shared" si="138"/>
        <v>#VALUE!</v>
      </c>
      <c r="HN15" s="910">
        <f t="shared" si="73"/>
        <v>15.847059512467744</v>
      </c>
      <c r="HO15" s="911"/>
      <c r="HP15" s="912"/>
      <c r="HQ15" s="910" t="e">
        <f t="shared" si="74"/>
        <v>#VALUE!</v>
      </c>
      <c r="HR15" s="913" t="e">
        <f t="shared" si="75"/>
        <v>#VALUE!</v>
      </c>
      <c r="HS15" s="865">
        <f t="shared" si="251"/>
        <v>2.2400000000000002</v>
      </c>
      <c r="HT15" s="875">
        <f t="shared" si="76"/>
        <v>3.6799999999999999E-2</v>
      </c>
      <c r="HU15" s="876">
        <f t="shared" si="77"/>
        <v>0.51801723380823927</v>
      </c>
      <c r="HV15" s="872">
        <f t="shared" si="78"/>
        <v>0.15378072235379783</v>
      </c>
      <c r="HW15" s="866">
        <f t="shared" si="79"/>
        <v>29500</v>
      </c>
      <c r="HX15" s="867">
        <f t="shared" si="80"/>
        <v>202.64533333333333</v>
      </c>
      <c r="HY15" s="866" t="e">
        <f t="shared" si="81"/>
        <v>#VALUE!</v>
      </c>
      <c r="HZ15" s="868">
        <f t="shared" si="82"/>
        <v>1273.4590331119214</v>
      </c>
      <c r="IA15" s="869" t="e">
        <f t="shared" si="83"/>
        <v>#VALUE!</v>
      </c>
      <c r="IB15" s="870" t="e">
        <f t="shared" si="84"/>
        <v>#VALUE!</v>
      </c>
      <c r="IC15" s="841" t="e">
        <f t="shared" si="85"/>
        <v>#VALUE!</v>
      </c>
      <c r="ID15" s="351">
        <f t="shared" si="86"/>
        <v>1085.5999999999999</v>
      </c>
      <c r="IE15" s="843" t="e">
        <f t="shared" si="87"/>
        <v>#VALUE!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1.1259999999999999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14513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32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0.13990729264538485</v>
      </c>
      <c r="C16" s="572">
        <f t="shared" si="3"/>
        <v>3.7028475757633164</v>
      </c>
      <c r="D16" s="576">
        <f t="shared" si="4"/>
        <v>-2.3766787248815664</v>
      </c>
      <c r="E16" s="580">
        <f t="shared" si="5"/>
        <v>-0.84907157025068114</v>
      </c>
      <c r="F16" s="572">
        <f t="shared" si="6"/>
        <v>0.52647737740308242</v>
      </c>
      <c r="G16" s="579">
        <f t="shared" si="7"/>
        <v>4.3577972357774872E-2</v>
      </c>
      <c r="H16" s="580">
        <f t="shared" si="8"/>
        <v>0.28499999999999998</v>
      </c>
      <c r="I16" s="572">
        <f t="shared" si="9"/>
        <v>0.52</v>
      </c>
      <c r="J16" s="483">
        <f t="shared" si="10"/>
        <v>1.131</v>
      </c>
      <c r="K16" s="806">
        <f t="shared" si="11"/>
        <v>14513</v>
      </c>
      <c r="L16" s="309"/>
      <c r="M16" s="164">
        <f t="shared" si="12"/>
        <v>1.131</v>
      </c>
      <c r="N16" s="575">
        <f t="shared" si="13"/>
        <v>0.13990729264538485</v>
      </c>
      <c r="O16" s="572">
        <f t="shared" si="14"/>
        <v>3.7028475757633164</v>
      </c>
      <c r="P16" s="576">
        <f t="shared" si="15"/>
        <v>-2.3766787248815664</v>
      </c>
      <c r="Q16" s="528">
        <f>IF(M16="","",IF(DEGREES(ATAN2(N16,O16))&lt;0,DEGREES(ATAN2(N16,O16))+360,IF(DEGREES(ATAN2(N16,O16))&gt;360,DEGREES(ATAN2(N16,O16))-360,DEGREES(ATAN2(N16,O16)))))</f>
        <v>87.836182592878842</v>
      </c>
      <c r="R16" s="572">
        <f t="shared" si="101"/>
        <v>3.7054897408941279</v>
      </c>
      <c r="S16" s="577">
        <f t="shared" si="102"/>
        <v>-2.3766787248815664</v>
      </c>
      <c r="T16" s="578">
        <f t="shared" si="103"/>
        <v>3.7041371529406075</v>
      </c>
      <c r="U16" s="572">
        <f t="shared" si="104"/>
        <v>-0.10011079900131285</v>
      </c>
      <c r="V16" s="579">
        <f t="shared" si="141"/>
        <v>-2.3766787248815664</v>
      </c>
      <c r="W16" s="528">
        <f>IF(M16="","",IF(Q16-$Q$8&lt;0,360+Q16-$Q$8,Q16-$Q$8))</f>
        <v>358.45185800420938</v>
      </c>
      <c r="X16" s="572">
        <f t="shared" si="105"/>
        <v>3.7054897408941279</v>
      </c>
      <c r="Y16" s="573">
        <f t="shared" ref="Y16:Y75" si="255">IF(M16="","",S16)</f>
        <v>-2.3766787248815664</v>
      </c>
      <c r="Z16" s="575">
        <f t="shared" si="18"/>
        <v>0.84907157025068114</v>
      </c>
      <c r="AA16" s="572">
        <f t="shared" si="19"/>
        <v>-0.52647737740308242</v>
      </c>
      <c r="AB16" s="572">
        <f t="shared" si="20"/>
        <v>-4.3577972357774872E-2</v>
      </c>
      <c r="AC16" s="579">
        <f t="shared" si="106"/>
        <v>1</v>
      </c>
      <c r="AD16" s="580">
        <f t="shared" si="142"/>
        <v>0.84907157025068114</v>
      </c>
      <c r="AE16" s="572">
        <f t="shared" si="107"/>
        <v>-0.52647737740308242</v>
      </c>
      <c r="AF16" s="576">
        <f t="shared" si="108"/>
        <v>-4.3577972357774872E-2</v>
      </c>
      <c r="AG16" s="545">
        <f t="shared" si="109"/>
        <v>-85.268258197016692</v>
      </c>
      <c r="AH16" s="546">
        <f t="shared" si="110"/>
        <v>31.889168609660853</v>
      </c>
      <c r="AI16" s="528">
        <f t="shared" si="111"/>
        <v>-87.502375163624507</v>
      </c>
      <c r="AJ16" s="529">
        <f t="shared" si="112"/>
        <v>58.198503654696189</v>
      </c>
      <c r="AK16" s="578">
        <f t="shared" si="238"/>
        <v>0.86834422844398007</v>
      </c>
      <c r="AL16" s="572">
        <f t="shared" si="113"/>
        <v>-0.49404378475314725</v>
      </c>
      <c r="AM16" s="577">
        <f t="shared" si="114"/>
        <v>-4.3577972357774872E-2</v>
      </c>
      <c r="AN16" s="524">
        <f t="shared" si="115"/>
        <v>-84.959174548900108</v>
      </c>
      <c r="AO16" s="525">
        <f t="shared" si="116"/>
        <v>29.733205429583027</v>
      </c>
      <c r="AP16" s="528">
        <f t="shared" si="117"/>
        <v>-29.637678938182646</v>
      </c>
      <c r="AQ16" s="529">
        <f t="shared" si="21"/>
        <v>0.61520586480471806</v>
      </c>
      <c r="AS16" s="932">
        <f t="shared" si="143"/>
        <v>358.45185800420938</v>
      </c>
      <c r="AT16" s="928">
        <f t="shared" si="22"/>
        <v>-2.3774984503008336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>
        <f t="shared" si="137"/>
        <v>8</v>
      </c>
      <c r="HL16" s="348">
        <f t="shared" si="72"/>
        <v>1.111</v>
      </c>
      <c r="HM16" s="909" t="e">
        <f t="shared" si="138"/>
        <v>#VALUE!</v>
      </c>
      <c r="HN16" s="910">
        <f t="shared" si="73"/>
        <v>16.691140944800519</v>
      </c>
      <c r="HO16" s="911"/>
      <c r="HP16" s="912"/>
      <c r="HQ16" s="910" t="e">
        <f t="shared" si="74"/>
        <v>#VALUE!</v>
      </c>
      <c r="HR16" s="913" t="e">
        <f t="shared" si="75"/>
        <v>#VALUE!</v>
      </c>
      <c r="HS16" s="865">
        <f t="shared" si="251"/>
        <v>2.3776000000000002</v>
      </c>
      <c r="HT16" s="875">
        <f t="shared" si="76"/>
        <v>3.3799999999999997E-2</v>
      </c>
      <c r="HU16" s="876">
        <f t="shared" si="77"/>
        <v>0.50500556657283369</v>
      </c>
      <c r="HV16" s="872">
        <f t="shared" si="78"/>
        <v>0.14991802540879884</v>
      </c>
      <c r="HW16" s="866">
        <f t="shared" si="79"/>
        <v>29500</v>
      </c>
      <c r="HX16" s="867">
        <f t="shared" si="80"/>
        <v>197.55874666666668</v>
      </c>
      <c r="HY16" s="866" t="e">
        <f t="shared" si="81"/>
        <v>#VALUE!</v>
      </c>
      <c r="HZ16" s="868">
        <f t="shared" si="82"/>
        <v>1241.4720178248826</v>
      </c>
      <c r="IA16" s="869" t="e">
        <f t="shared" si="83"/>
        <v>#VALUE!</v>
      </c>
      <c r="IB16" s="870" t="e">
        <f t="shared" si="84"/>
        <v>#VALUE!</v>
      </c>
      <c r="IC16" s="841" t="e">
        <f t="shared" si="85"/>
        <v>#VALUE!</v>
      </c>
      <c r="ID16" s="351">
        <f t="shared" si="86"/>
        <v>997.09999999999991</v>
      </c>
      <c r="IE16" s="843" t="e">
        <f t="shared" si="87"/>
        <v>#VALUE!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14513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0.96280553363514043</v>
      </c>
      <c r="C17" s="572">
        <f t="shared" si="3"/>
        <v>1.3428260959421279</v>
      </c>
      <c r="D17" s="576">
        <f t="shared" si="4"/>
        <v>-0.26167966260033992</v>
      </c>
      <c r="E17" s="580">
        <f t="shared" si="5"/>
        <v>-6.0908474887898363E-2</v>
      </c>
      <c r="F17" s="572">
        <f t="shared" si="6"/>
        <v>-8.4949126990061699E-2</v>
      </c>
      <c r="G17" s="579">
        <f t="shared" si="7"/>
        <v>0.99452189694870807</v>
      </c>
      <c r="H17" s="580">
        <f t="shared" si="8"/>
        <v>0.255</v>
      </c>
      <c r="I17" s="572">
        <f t="shared" si="9"/>
        <v>0.41499999999999992</v>
      </c>
      <c r="J17" s="483">
        <f t="shared" si="10"/>
        <v>1.2070000000000001</v>
      </c>
      <c r="K17" s="806" t="str">
        <f t="shared" si="11"/>
        <v>CPS-32193r1</v>
      </c>
      <c r="M17" s="164">
        <f t="shared" si="12"/>
        <v>1.2070000000000001</v>
      </c>
      <c r="N17" s="575">
        <f t="shared" si="13"/>
        <v>0.96280553363514043</v>
      </c>
      <c r="O17" s="572">
        <f t="shared" si="14"/>
        <v>1.3428260959421279</v>
      </c>
      <c r="P17" s="576">
        <f t="shared" si="15"/>
        <v>-0.26167966260033992</v>
      </c>
      <c r="Q17" s="528">
        <f>IF(M17="","",IF(DEGREES(ATAN2(N17,O17))&lt;0,DEGREES(ATAN2(N17,O17))+360,IF(DEGREES(ATAN2(N17,O17))&gt;360,DEGREES(ATAN2(N17,O17))-360,DEGREES(ATAN2(N17,O17)))))</f>
        <v>54.35949870099666</v>
      </c>
      <c r="R17" s="572">
        <f>IF(M17="","",SQRT(N17^2+O17^2))</f>
        <v>1.6523245503053037</v>
      </c>
      <c r="S17" s="577">
        <f>IF(M17="","",P17)</f>
        <v>-0.26167966260033992</v>
      </c>
      <c r="T17" s="578">
        <f>IF(M17="","",X17*COS(RADIANS(W17)))</f>
        <v>1.3530942590208765</v>
      </c>
      <c r="U17" s="572">
        <f>IF(M17="","",X17*SIN(RADIANS(W17)))</f>
        <v>-0.9483208031812701</v>
      </c>
      <c r="V17" s="579">
        <f>IF(M17="","",Y17)</f>
        <v>-0.26167966260033992</v>
      </c>
      <c r="W17" s="528">
        <f t="shared" si="253"/>
        <v>324.97517411232718</v>
      </c>
      <c r="X17" s="572">
        <f>IF(M17="","",R17)</f>
        <v>1.6523245503053037</v>
      </c>
      <c r="Y17" s="573">
        <f t="shared" si="255"/>
        <v>-0.26167966260033992</v>
      </c>
      <c r="Z17" s="575">
        <f t="shared" si="18"/>
        <v>6.0908474887898363E-2</v>
      </c>
      <c r="AA17" s="572">
        <f t="shared" si="19"/>
        <v>8.4949126990061699E-2</v>
      </c>
      <c r="AB17" s="572">
        <f t="shared" si="20"/>
        <v>-0.99452189694870807</v>
      </c>
      <c r="AC17" s="579">
        <f>IF(M17="","",SQRT(Z17^2+AA17^2+AB17^2))</f>
        <v>1</v>
      </c>
      <c r="AD17" s="580">
        <f>IF(M17="","",Z17*(1/SQRT(Z17^2+AA17^2+AB17^2)))</f>
        <v>6.0908474887898363E-2</v>
      </c>
      <c r="AE17" s="572">
        <f>IF(M17="","",AA17*(1/SQRT(Z17^2+AA17^2+AB17^2)))</f>
        <v>8.4949126990061699E-2</v>
      </c>
      <c r="AF17" s="576">
        <f>IF(M17="","",AB17*(1/SQRT(Z17^2+AA17^2+AB17^2)))</f>
        <v>-0.99452189694870807</v>
      </c>
      <c r="AG17" s="545">
        <f>IF(M17="","",DEGREES(ATAN2(-AF17,AE17)))</f>
        <v>4.8821859055750014</v>
      </c>
      <c r="AH17" s="546">
        <f>IF(M17="","",DEGREES(ACOS(AD17)))</f>
        <v>86.508040075078384</v>
      </c>
      <c r="AI17" s="528">
        <f>IF(M17="","",DEGREES(-ACOS(-AF17)))</f>
        <v>-5.9999991337072789</v>
      </c>
      <c r="AJ17" s="529">
        <f>IF(M17="","",DEGREES(ATAN2(-AE17,AD17)))</f>
        <v>144.35949870099665</v>
      </c>
      <c r="AK17" s="578">
        <f>IF(M17="","",(COS(RADIANS((90-$Q$8)-W17))*AD17)+(-SIN(RADIANS((90-$Q$8)-W17))*AE17))</f>
        <v>2.7755575615628914E-17</v>
      </c>
      <c r="AL17" s="572">
        <f>IF(M17="","",(SIN(RADIANS((90-$Q$8)-W17))*AD17)+(COS(RADIANS((90-$Q$8)-W17))*AE17))</f>
        <v>0.10452844823082075</v>
      </c>
      <c r="AM17" s="577">
        <f>IF(M17="","",AF17)</f>
        <v>-0.99452189694870807</v>
      </c>
      <c r="AN17" s="524">
        <f>IF(M17="","",DEGREES(ATAN2(-AM17,AL17)))</f>
        <v>5.9999991337073064</v>
      </c>
      <c r="AO17" s="525">
        <f t="shared" si="116"/>
        <v>0</v>
      </c>
      <c r="AP17" s="528">
        <f>IF(M17="","",DEGREES(ATAN2(AK17,AL17)))</f>
        <v>89.999999999999986</v>
      </c>
      <c r="AQ17" s="529">
        <f t="shared" si="21"/>
        <v>1.3794421546935032</v>
      </c>
      <c r="AS17" s="932">
        <f t="shared" si="143"/>
        <v>324.97517411232718</v>
      </c>
      <c r="AT17" s="928">
        <f t="shared" si="22"/>
        <v>-0.23925169087246678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 t="str">
        <f t="shared" si="137"/>
        <v/>
      </c>
      <c r="HL17" s="348" t="str">
        <f t="shared" si="72"/>
        <v/>
      </c>
      <c r="HM17" s="909" t="str">
        <f t="shared" si="138"/>
        <v/>
      </c>
      <c r="HN17" s="910" t="str">
        <f t="shared" si="73"/>
        <v/>
      </c>
      <c r="HO17" s="911"/>
      <c r="HP17" s="912"/>
      <c r="HQ17" s="910" t="str">
        <f t="shared" si="74"/>
        <v/>
      </c>
      <c r="HR17" s="913" t="str">
        <f t="shared" si="75"/>
        <v/>
      </c>
      <c r="HS17" s="865" t="str">
        <f t="shared" si="251"/>
        <v/>
      </c>
      <c r="HT17" s="875" t="str">
        <f t="shared" si="76"/>
        <v/>
      </c>
      <c r="HU17" s="876" t="str">
        <f t="shared" si="77"/>
        <v/>
      </c>
      <c r="HV17" s="872" t="str">
        <f t="shared" si="78"/>
        <v/>
      </c>
      <c r="HW17" s="866" t="str">
        <f t="shared" si="79"/>
        <v/>
      </c>
      <c r="HX17" s="867" t="str">
        <f t="shared" si="80"/>
        <v/>
      </c>
      <c r="HY17" s="866" t="str">
        <f t="shared" si="81"/>
        <v/>
      </c>
      <c r="HZ17" s="868" t="str">
        <f t="shared" si="82"/>
        <v/>
      </c>
      <c r="IA17" s="869" t="str">
        <f t="shared" si="83"/>
        <v/>
      </c>
      <c r="IB17" s="870" t="str">
        <f t="shared" si="84"/>
        <v/>
      </c>
      <c r="IC17" s="841" t="str">
        <f t="shared" si="85"/>
        <v/>
      </c>
      <c r="ID17" s="351" t="str">
        <f t="shared" si="86"/>
        <v/>
      </c>
      <c r="IE17" s="843" t="str">
        <f t="shared" si="87"/>
        <v/>
      </c>
      <c r="IF17" s="844"/>
      <c r="IG17" s="790" t="str">
        <f>IFERROR(IF($IW17="","",IF($IW17&lt;(((Settings!$C$19/2)*-1)*$IG$8),"Taper","Nose")),"")</f>
        <v>Nose</v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1.2070000000000001</v>
      </c>
      <c r="IJ17" s="674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1.107</v>
      </c>
      <c r="IK17" s="677" cm="1">
        <f t="array" ref="IK17">IFERROR(ROUND(VALUE(IF($IJ17&lt;1,$IJ17+LARGE((IF($M$9:$M$150="",0,$M$9:$M$150)-MOD(IF($M$9:$M$150="",0,$M$9:$M$150),1)),1),$IJ17)),4),"")</f>
        <v>1.107</v>
      </c>
      <c r="IL17" s="482">
        <f t="shared" si="88"/>
        <v>14513</v>
      </c>
      <c r="IM17" s="482" t="str">
        <f t="shared" si="237"/>
        <v>CPS-32193r1</v>
      </c>
      <c r="IN17" s="670">
        <f t="shared" si="90"/>
        <v>34.970508170934863</v>
      </c>
      <c r="IO17" s="702">
        <v>4.6356916399802599E-2</v>
      </c>
      <c r="IP17" s="5">
        <f t="shared" si="91"/>
        <v>0.6</v>
      </c>
      <c r="IQ17" s="714">
        <v>300</v>
      </c>
      <c r="IR17" s="9">
        <f t="shared" si="139"/>
        <v>-1.652098587536414</v>
      </c>
      <c r="IS17" s="5">
        <f t="shared" si="92"/>
        <v>-0.22227388163737269</v>
      </c>
      <c r="IT17" s="5">
        <f t="shared" si="93"/>
        <v>0.28499999999999998</v>
      </c>
      <c r="IU17" s="5">
        <f t="shared" si="94"/>
        <v>0.27523993982166739</v>
      </c>
      <c r="IV17" s="670">
        <f t="shared" si="95"/>
        <v>-4.493356957443849</v>
      </c>
      <c r="IW17" s="9">
        <f t="shared" si="96"/>
        <v>-1.6523245503053037</v>
      </c>
      <c r="IX17" s="5">
        <f t="shared" si="97"/>
        <v>-0.26167966260033992</v>
      </c>
      <c r="IY17" s="5">
        <f t="shared" si="98"/>
        <v>0.255</v>
      </c>
      <c r="IZ17" s="5">
        <f t="shared" si="99"/>
        <v>0.255</v>
      </c>
      <c r="JA17" s="705">
        <f t="shared" si="100"/>
        <v>-5.9999991337073064</v>
      </c>
    </row>
    <row r="18" spans="1:271" ht="15" customHeight="1" x14ac:dyDescent="0.25">
      <c r="A18" s="75">
        <f t="shared" si="1"/>
        <v>0.02</v>
      </c>
      <c r="B18" s="578">
        <f t="shared" si="2"/>
        <v>0.85619255831880203</v>
      </c>
      <c r="C18" s="572">
        <f t="shared" si="3"/>
        <v>2.2406213046454653</v>
      </c>
      <c r="D18" s="576">
        <f t="shared" si="4"/>
        <v>-0.15297596777915587</v>
      </c>
      <c r="E18" s="580">
        <f t="shared" si="5"/>
        <v>-0.84755820531285486</v>
      </c>
      <c r="F18" s="572">
        <f t="shared" si="6"/>
        <v>0.38509920984434209</v>
      </c>
      <c r="G18" s="579">
        <f t="shared" si="7"/>
        <v>0.36516254898896205</v>
      </c>
      <c r="H18" s="580">
        <f t="shared" si="8"/>
        <v>0.26450000000000001</v>
      </c>
      <c r="I18" s="572">
        <f t="shared" si="9"/>
        <v>0.52</v>
      </c>
      <c r="J18" s="483">
        <f t="shared" si="10"/>
        <v>1.2110000000000001</v>
      </c>
      <c r="K18" s="806">
        <f t="shared" si="11"/>
        <v>1313</v>
      </c>
      <c r="L18" s="720" t="s">
        <v>322</v>
      </c>
      <c r="M18" s="164">
        <f t="shared" si="12"/>
        <v>1.2110000000000001</v>
      </c>
      <c r="N18" s="575">
        <f t="shared" si="13"/>
        <v>0.85619255831880203</v>
      </c>
      <c r="O18" s="572">
        <f t="shared" si="14"/>
        <v>2.2406213046454653</v>
      </c>
      <c r="P18" s="576">
        <f t="shared" si="15"/>
        <v>-0.15297596777915587</v>
      </c>
      <c r="Q18" s="528">
        <f t="shared" si="140"/>
        <v>69.087001805552049</v>
      </c>
      <c r="R18" s="572">
        <f>IF(M18="","",SQRT(N18^2+O18^2))</f>
        <v>2.3986349300699432</v>
      </c>
      <c r="S18" s="577">
        <f>IF(M18="","",P18)</f>
        <v>-0.15297596777915587</v>
      </c>
      <c r="T18" s="578">
        <f>IF(M18="","",X18*COS(RADIANS(W18)))</f>
        <v>2.2496920409054031</v>
      </c>
      <c r="U18" s="572">
        <f>IF(M18="","",X18*SIN(RADIANS(W18)))</f>
        <v>-0.832066853587212</v>
      </c>
      <c r="V18" s="579">
        <f>IF(M18="","",Y18)</f>
        <v>-0.15297596777915587</v>
      </c>
      <c r="W18" s="528">
        <f t="shared" si="253"/>
        <v>339.70267721688259</v>
      </c>
      <c r="X18" s="572">
        <f>IF(M18="","",R18)</f>
        <v>2.3986349300699432</v>
      </c>
      <c r="Y18" s="573">
        <f t="shared" si="255"/>
        <v>-0.15297596777915587</v>
      </c>
      <c r="Z18" s="575">
        <f t="shared" si="18"/>
        <v>0.84755820531285486</v>
      </c>
      <c r="AA18" s="572">
        <f t="shared" si="19"/>
        <v>-0.38509920984434209</v>
      </c>
      <c r="AB18" s="572">
        <f t="shared" si="20"/>
        <v>-0.36516254898896205</v>
      </c>
      <c r="AC18" s="579">
        <f>IF(M18="","",SQRT(Z18^2+AA18^2+AB18^2))</f>
        <v>1</v>
      </c>
      <c r="AD18" s="580">
        <f>IF(M18="","",Z18*(1/SQRT(Z18^2+AA18^2+AB18^2)))</f>
        <v>0.84755820531285486</v>
      </c>
      <c r="AE18" s="572">
        <f>IF(M18="","",AA18*(1/SQRT(Z18^2+AA18^2+AB18^2)))</f>
        <v>-0.38509920984434209</v>
      </c>
      <c r="AF18" s="576">
        <f>IF(M18="","",AB18*(1/SQRT(Z18^2+AA18^2+AB18^2)))</f>
        <v>-0.36516254898896205</v>
      </c>
      <c r="AG18" s="545">
        <f>IF(M18="","",DEGREES(ATAN2(-AF18,AE18)))</f>
        <v>-46.522159114174556</v>
      </c>
      <c r="AH18" s="546">
        <f>IF(M18="","",DEGREES(ACOS(AD18)))</f>
        <v>32.052928721770591</v>
      </c>
      <c r="AI18" s="528">
        <f>IF(M18="","",DEGREES(-ACOS(-AF18)))</f>
        <v>-68.582413413617388</v>
      </c>
      <c r="AJ18" s="529">
        <f>IF(M18="","",DEGREES(ATAN2(-AE18,AD18)))</f>
        <v>65.564702863070238</v>
      </c>
      <c r="AK18" s="578">
        <f>IF(M18="","",(COS(RADIANS((90-$Q$8)-W18))*AD18)+(-SIN(RADIANS((90-$Q$8)-W18))*AE18))</f>
        <v>0.9291851884143304</v>
      </c>
      <c r="AL18" s="572">
        <f>IF(M18="","",(SIN(RADIANS((90-$Q$8)-W18))*AD18)+(COS(RADIANS((90-$Q$8)-W18))*AE18))</f>
        <v>-5.7194391747001527E-2</v>
      </c>
      <c r="AM18" s="577">
        <f>IF(M18="","",AF18)</f>
        <v>-0.36516254898896205</v>
      </c>
      <c r="AN18" s="524">
        <f>IF(M18="","",DEGREES(ATAN2(-AM18,AL18)))</f>
        <v>-8.9017554788769413</v>
      </c>
      <c r="AO18" s="525">
        <f t="shared" si="116"/>
        <v>21.691845055181382</v>
      </c>
      <c r="AP18" s="528">
        <f>IF(M18="","",DEGREES(ATAN2(AK18,AL18)))</f>
        <v>-3.5222989424818079</v>
      </c>
      <c r="AQ18" s="529">
        <f t="shared" si="21"/>
        <v>0.95033951942918493</v>
      </c>
      <c r="AS18" s="932">
        <f t="shared" si="143"/>
        <v>339.70267721688259</v>
      </c>
      <c r="AT18" s="928">
        <f t="shared" si="22"/>
        <v>-0.14077542876277954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 t="str">
        <f t="shared" si="137"/>
        <v/>
      </c>
      <c r="HL18" s="348" t="str">
        <f t="shared" si="72"/>
        <v/>
      </c>
      <c r="HM18" s="909" t="str">
        <f t="shared" si="138"/>
        <v/>
      </c>
      <c r="HN18" s="910" t="str">
        <f t="shared" si="73"/>
        <v/>
      </c>
      <c r="HO18" s="911"/>
      <c r="HP18" s="912"/>
      <c r="HQ18" s="910" t="str">
        <f t="shared" si="74"/>
        <v/>
      </c>
      <c r="HR18" s="913" t="str">
        <f t="shared" si="75"/>
        <v/>
      </c>
      <c r="HS18" s="865" t="str">
        <f t="shared" si="251"/>
        <v/>
      </c>
      <c r="HT18" s="875" t="str">
        <f t="shared" si="76"/>
        <v/>
      </c>
      <c r="HU18" s="876" t="str">
        <f t="shared" si="77"/>
        <v/>
      </c>
      <c r="HV18" s="872" t="str">
        <f t="shared" si="78"/>
        <v/>
      </c>
      <c r="HW18" s="866" t="str">
        <f t="shared" si="79"/>
        <v/>
      </c>
      <c r="HX18" s="867" t="str">
        <f t="shared" si="80"/>
        <v/>
      </c>
      <c r="HY18" s="866" t="str">
        <f t="shared" si="81"/>
        <v/>
      </c>
      <c r="HZ18" s="868" t="str">
        <f t="shared" si="82"/>
        <v/>
      </c>
      <c r="IA18" s="869" t="str">
        <f t="shared" si="83"/>
        <v/>
      </c>
      <c r="IB18" s="870" t="str">
        <f t="shared" si="84"/>
        <v/>
      </c>
      <c r="IC18" s="841" t="str">
        <f t="shared" si="85"/>
        <v/>
      </c>
      <c r="ID18" s="351" t="str">
        <f t="shared" si="86"/>
        <v/>
      </c>
      <c r="IE18" s="843" t="str">
        <f t="shared" si="87"/>
        <v/>
      </c>
      <c r="IF18" s="844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1.111</v>
      </c>
      <c r="IK18" s="677" cm="1">
        <f t="array" ref="IK18">IFERROR(ROUND(VALUE(IF($IJ18&lt;1,$IJ18+LARGE((IF($M$9:$M$150="",0,$M$9:$M$150)-MOD(IF($M$9:$M$150="",0,$M$9:$M$150),1)),1),$IJ18)),4),"")</f>
        <v>1.111</v>
      </c>
      <c r="IL18" s="482">
        <f t="shared" si="88"/>
        <v>14513</v>
      </c>
      <c r="IM18" s="482">
        <f t="shared" si="237"/>
        <v>1313</v>
      </c>
      <c r="IN18" s="670">
        <f t="shared" si="90"/>
        <v>20.297322783117409</v>
      </c>
      <c r="IO18" s="702">
        <v>2.5523585261875599E-2</v>
      </c>
      <c r="IP18" s="5">
        <f t="shared" si="91"/>
        <v>0.64</v>
      </c>
      <c r="IQ18" s="714">
        <v>320</v>
      </c>
      <c r="IR18" s="9">
        <f t="shared" si="139"/>
        <v>-2.3973819696575993</v>
      </c>
      <c r="IS18" s="5">
        <f t="shared" si="92"/>
        <v>-0.14318161297137599</v>
      </c>
      <c r="IT18" s="5">
        <f t="shared" si="93"/>
        <v>0.28499999999999998</v>
      </c>
      <c r="IU18" s="5">
        <f t="shared" si="94"/>
        <v>0.27299207077153531</v>
      </c>
      <c r="IV18" s="670">
        <f t="shared" si="95"/>
        <v>8.4969280152892388</v>
      </c>
      <c r="IW18" s="9">
        <f t="shared" si="96"/>
        <v>-2.3986349300699432</v>
      </c>
      <c r="IX18" s="5">
        <f t="shared" si="97"/>
        <v>-0.15297596777915587</v>
      </c>
      <c r="IY18" s="5">
        <f t="shared" si="98"/>
        <v>0.26450000000000001</v>
      </c>
      <c r="IZ18" s="5">
        <f t="shared" si="99"/>
        <v>0.24576948233559043</v>
      </c>
      <c r="JA18" s="705">
        <f t="shared" si="100"/>
        <v>8.9017554788769413</v>
      </c>
    </row>
    <row r="19" spans="1:271" ht="15" customHeight="1" thickBot="1" x14ac:dyDescent="0.3">
      <c r="A19" s="75">
        <f t="shared" si="1"/>
        <v>0.02</v>
      </c>
      <c r="B19" s="578">
        <f t="shared" si="2"/>
        <v>0.94560640619226577</v>
      </c>
      <c r="C19" s="572">
        <f t="shared" si="3"/>
        <v>2.8978454489693353</v>
      </c>
      <c r="D19" s="576">
        <f t="shared" si="4"/>
        <v>-0.42241504197369856</v>
      </c>
      <c r="E19" s="580">
        <f t="shared" si="5"/>
        <v>-0.77771534922550978</v>
      </c>
      <c r="F19" s="572">
        <f t="shared" si="6"/>
        <v>0.51437228605314833</v>
      </c>
      <c r="G19" s="579">
        <f t="shared" si="7"/>
        <v>0.36135852960668002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1.216</v>
      </c>
      <c r="K19" s="806">
        <f t="shared" si="11"/>
        <v>1313</v>
      </c>
      <c r="L19" s="718" t="s">
        <v>357</v>
      </c>
      <c r="M19" s="164">
        <f t="shared" si="12"/>
        <v>1.216</v>
      </c>
      <c r="N19" s="575">
        <f t="shared" si="13"/>
        <v>0.94560640619226577</v>
      </c>
      <c r="O19" s="572">
        <f t="shared" si="14"/>
        <v>2.8978454489693353</v>
      </c>
      <c r="P19" s="576">
        <f t="shared" si="15"/>
        <v>-0.42241504197369856</v>
      </c>
      <c r="Q19" s="528">
        <f t="shared" si="140"/>
        <v>71.927790770717266</v>
      </c>
      <c r="R19" s="572">
        <f>IF(M19="","",SQRT(N19^2+O19^2))</f>
        <v>3.0482256677523303</v>
      </c>
      <c r="S19" s="577">
        <f>IF(M19="","",P19)</f>
        <v>-0.42241504197369856</v>
      </c>
      <c r="T19" s="578">
        <f>IF(M19="","",X19*COS(RADIANS(W19)))</f>
        <v>2.9078390253529824</v>
      </c>
      <c r="U19" s="572">
        <f>IF(M19="","",X19*SIN(RADIANS(W19)))</f>
        <v>-0.91441343175740697</v>
      </c>
      <c r="V19" s="579">
        <f>IF(M19="","",Y19)</f>
        <v>-0.42241504197369856</v>
      </c>
      <c r="W19" s="528">
        <f t="shared" si="253"/>
        <v>342.54346618204778</v>
      </c>
      <c r="X19" s="572">
        <f>IF(M19="","",R19)</f>
        <v>3.0482256677523303</v>
      </c>
      <c r="Y19" s="573">
        <f t="shared" si="255"/>
        <v>-0.42241504197369856</v>
      </c>
      <c r="Z19" s="575">
        <f t="shared" si="18"/>
        <v>0.77771534922550978</v>
      </c>
      <c r="AA19" s="572">
        <f t="shared" si="19"/>
        <v>-0.51437228605314833</v>
      </c>
      <c r="AB19" s="572">
        <f t="shared" si="20"/>
        <v>-0.36135852960668002</v>
      </c>
      <c r="AC19" s="579">
        <f>IF(M19="","",SQRT(Z19^2+AA19^2+AB19^2))</f>
        <v>1</v>
      </c>
      <c r="AD19" s="580">
        <f>IF(M19="","",Z19*(1/SQRT(Z19^2+AA19^2+AB19^2)))</f>
        <v>0.77771534922550978</v>
      </c>
      <c r="AE19" s="572">
        <f>IF(M19="","",AA19*(1/SQRT(Z19^2+AA19^2+AB19^2)))</f>
        <v>-0.51437228605314833</v>
      </c>
      <c r="AF19" s="576">
        <f>IF(M19="","",AB19*(1/SQRT(Z19^2+AA19^2+AB19^2)))</f>
        <v>-0.36135852960668002</v>
      </c>
      <c r="AG19" s="545">
        <f>IF(M19="","",DEGREES(ATAN2(-AF19,AE19)))</f>
        <v>-54.911063927465733</v>
      </c>
      <c r="AH19" s="546">
        <f>IF(M19="","",DEGREES(ACOS(AD19)))</f>
        <v>38.948131720541646</v>
      </c>
      <c r="AI19" s="528">
        <f>IF(M19="","",DEGREES(-ACOS(-AF19)))</f>
        <v>-68.816348561677728</v>
      </c>
      <c r="AJ19" s="529">
        <f>IF(M19="","",DEGREES(ATAN2(-AE19,AD19)))</f>
        <v>56.519792937375925</v>
      </c>
      <c r="AK19" s="578">
        <f>IF(M19="","",(COS(RADIANS((90-$Q$8)-W19))*AD19)+(-SIN(RADIANS((90-$Q$8)-W19))*AE19))</f>
        <v>0.89891396270106871</v>
      </c>
      <c r="AL19" s="572">
        <f>IF(M19="","",(SIN(RADIANS((90-$Q$8)-W19))*AD19)+(COS(RADIANS((90-$Q$8)-W19))*AE19))</f>
        <v>-0.24773716059880901</v>
      </c>
      <c r="AM19" s="577">
        <f>IF(M19="","",AF19)</f>
        <v>-0.36135852960668002</v>
      </c>
      <c r="AN19" s="524">
        <f>IF(M19="","",DEGREES(ATAN2(-AM19,AL19)))</f>
        <v>-34.433429937894488</v>
      </c>
      <c r="AO19" s="525">
        <f t="shared" si="116"/>
        <v>25.984322344903283</v>
      </c>
      <c r="AP19" s="528">
        <f>IF(M19="","",DEGREES(ATAN2(AK19,AL19)))</f>
        <v>-15.407997833341328</v>
      </c>
      <c r="AQ19" s="529">
        <f t="shared" si="21"/>
        <v>0.74784396503589634</v>
      </c>
      <c r="AS19" s="932">
        <f t="shared" si="143"/>
        <v>342.54346618204778</v>
      </c>
      <c r="AT19" s="928">
        <f t="shared" si="22"/>
        <v>-0.4121872730720203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 t="str">
        <f t="shared" si="137"/>
        <v/>
      </c>
      <c r="HL19" s="348" t="str">
        <f t="shared" si="72"/>
        <v/>
      </c>
      <c r="HM19" s="909" t="str">
        <f t="shared" si="138"/>
        <v/>
      </c>
      <c r="HN19" s="910" t="str">
        <f t="shared" si="73"/>
        <v/>
      </c>
      <c r="HO19" s="911"/>
      <c r="HP19" s="912"/>
      <c r="HQ19" s="910" t="str">
        <f t="shared" si="74"/>
        <v/>
      </c>
      <c r="HR19" s="913" t="str">
        <f t="shared" si="75"/>
        <v/>
      </c>
      <c r="HS19" s="865" t="str">
        <f t="shared" si="251"/>
        <v/>
      </c>
      <c r="HT19" s="875" t="str">
        <f t="shared" si="76"/>
        <v/>
      </c>
      <c r="HU19" s="876" t="str">
        <f t="shared" si="77"/>
        <v/>
      </c>
      <c r="HV19" s="872" t="str">
        <f t="shared" si="78"/>
        <v/>
      </c>
      <c r="HW19" s="866" t="str">
        <f t="shared" si="79"/>
        <v/>
      </c>
      <c r="HX19" s="867" t="str">
        <f t="shared" si="80"/>
        <v/>
      </c>
      <c r="HY19" s="866" t="str">
        <f t="shared" si="81"/>
        <v/>
      </c>
      <c r="HZ19" s="868" t="str">
        <f t="shared" si="82"/>
        <v/>
      </c>
      <c r="IA19" s="869" t="str">
        <f t="shared" si="83"/>
        <v/>
      </c>
      <c r="IB19" s="870" t="str">
        <f t="shared" si="84"/>
        <v/>
      </c>
      <c r="IC19" s="841" t="str">
        <f t="shared" si="85"/>
        <v/>
      </c>
      <c r="ID19" s="351" t="str">
        <f t="shared" si="86"/>
        <v/>
      </c>
      <c r="IE19" s="843" t="str">
        <f t="shared" si="87"/>
        <v/>
      </c>
      <c r="IF19" s="844"/>
      <c r="IG19" s="790" t="str">
        <f>IFERROR(IF($IW19="","",IF($IW19&lt;(((Settings!$C$19/2)*-1)*$IG$8),"Taper","Nose")),"")</f>
        <v>Taper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1.216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1.1160000000000001</v>
      </c>
      <c r="IK19" s="677" cm="1">
        <f t="array" ref="IK19">IFERROR(ROUND(VALUE(IF($IJ19&lt;1,$IJ19+LARGE((IF($M$9:$M$150="",0,$M$9:$M$150)-MOD(IF($M$9:$M$150="",0,$M$9:$M$150),1)),1),$IJ19)),4),"")</f>
        <v>1.1160000000000001</v>
      </c>
      <c r="IL19" s="482">
        <f t="shared" si="88"/>
        <v>14513</v>
      </c>
      <c r="IM19" s="482">
        <f t="shared" si="237"/>
        <v>1313</v>
      </c>
      <c r="IN19" s="670">
        <f t="shared" si="90"/>
        <v>16.860110802143481</v>
      </c>
      <c r="IO19" s="702">
        <v>1.8019301604240499E-2</v>
      </c>
      <c r="IP19" s="5">
        <f t="shared" si="91"/>
        <v>0.68</v>
      </c>
      <c r="IQ19" s="714">
        <v>340</v>
      </c>
      <c r="IR19" s="9">
        <f t="shared" si="139"/>
        <v>-3.0434223386825652</v>
      </c>
      <c r="IS19" s="5">
        <f t="shared" si="92"/>
        <v>-0.41521947098958667</v>
      </c>
      <c r="IT19" s="5">
        <f t="shared" si="93"/>
        <v>0.28499999999999998</v>
      </c>
      <c r="IU19" s="5">
        <f t="shared" si="94"/>
        <v>0.26611145880813897</v>
      </c>
      <c r="IV19" s="670">
        <f t="shared" si="95"/>
        <v>34.250341265000479</v>
      </c>
      <c r="IW19" s="9">
        <f t="shared" si="96"/>
        <v>-3.0482256677523303</v>
      </c>
      <c r="IX19" s="5">
        <f t="shared" si="97"/>
        <v>-0.42241504197369856</v>
      </c>
      <c r="IY19" s="5">
        <f t="shared" si="98"/>
        <v>0.26450000000000001</v>
      </c>
      <c r="IZ19" s="5">
        <f t="shared" si="99"/>
        <v>0.23776274313443269</v>
      </c>
      <c r="JA19" s="705">
        <f t="shared" si="100"/>
        <v>34.433429937894488</v>
      </c>
      <c r="JD19" s="1368" t="s">
        <v>356</v>
      </c>
      <c r="JE19" s="1369"/>
      <c r="JF19" s="1369"/>
      <c r="JG19" s="1369"/>
      <c r="JH19" s="1369"/>
      <c r="JI19" s="1369"/>
      <c r="JJ19" s="1369"/>
      <c r="JK19" s="1370"/>
    </row>
    <row r="20" spans="1:271" ht="15" customHeight="1" x14ac:dyDescent="0.25">
      <c r="A20" s="75">
        <f t="shared" si="1"/>
        <v>0.02</v>
      </c>
      <c r="B20" s="578">
        <f t="shared" si="2"/>
        <v>1.043408575136217</v>
      </c>
      <c r="C20" s="572">
        <f t="shared" si="3"/>
        <v>3.3408243505479267</v>
      </c>
      <c r="D20" s="576">
        <f t="shared" si="4"/>
        <v>-0.9623832530956522</v>
      </c>
      <c r="E20" s="580">
        <f t="shared" si="5"/>
        <v>-0.69364809719992349</v>
      </c>
      <c r="F20" s="572">
        <f t="shared" si="6"/>
        <v>0.67388165730261751</v>
      </c>
      <c r="G20" s="579">
        <f t="shared" si="7"/>
        <v>0.25443236665566576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1.2210000000000001</v>
      </c>
      <c r="K20" s="806">
        <f t="shared" si="11"/>
        <v>1313</v>
      </c>
      <c r="L20" s="717">
        <f>IF($L19=$JJ$22,$JJ$30,IF($L19=$JK$22,$JK$30,""))</f>
        <v>300</v>
      </c>
      <c r="M20" s="164">
        <f t="shared" si="12"/>
        <v>1.2210000000000001</v>
      </c>
      <c r="N20" s="575">
        <f t="shared" si="13"/>
        <v>1.043408575136217</v>
      </c>
      <c r="O20" s="572">
        <f t="shared" si="14"/>
        <v>3.3408243505479267</v>
      </c>
      <c r="P20" s="576">
        <f t="shared" si="15"/>
        <v>-0.9623832530956522</v>
      </c>
      <c r="Q20" s="528">
        <f t="shared" si="140"/>
        <v>72.655335379328989</v>
      </c>
      <c r="R20" s="572">
        <f>IF(M20="","",SQRT(N20^2+O20^2))</f>
        <v>3.4999726850193795</v>
      </c>
      <c r="S20" s="577">
        <f>IF(M20="","",P20)</f>
        <v>-0.9623832530956522</v>
      </c>
      <c r="T20" s="578">
        <f>IF(M20="","",X20*COS(RADIANS(W20)))</f>
        <v>3.3518432715757274</v>
      </c>
      <c r="U20" s="572">
        <f>IF(M20="","",X20*SIN(RADIANS(W20)))</f>
        <v>-1.0074499881752403</v>
      </c>
      <c r="V20" s="579">
        <f>IF(M20="","",Y20)</f>
        <v>-0.9623832530956522</v>
      </c>
      <c r="W20" s="528">
        <f t="shared" si="253"/>
        <v>343.27101079065955</v>
      </c>
      <c r="X20" s="572">
        <f>IF(M20="","",R20)</f>
        <v>3.4999726850193795</v>
      </c>
      <c r="Y20" s="573">
        <f t="shared" si="255"/>
        <v>-0.9623832530956522</v>
      </c>
      <c r="Z20" s="575">
        <f t="shared" si="18"/>
        <v>0.69364809719992349</v>
      </c>
      <c r="AA20" s="572">
        <f t="shared" si="19"/>
        <v>-0.67388165730261751</v>
      </c>
      <c r="AB20" s="572">
        <f t="shared" si="20"/>
        <v>-0.25443236665566576</v>
      </c>
      <c r="AC20" s="579">
        <f>IF(M20="","",SQRT(Z20^2+AA20^2+AB20^2))</f>
        <v>1</v>
      </c>
      <c r="AD20" s="580">
        <f>IF(M20="","",Z20*(1/SQRT(Z20^2+AA20^2+AB20^2)))</f>
        <v>0.69364809719992349</v>
      </c>
      <c r="AE20" s="572">
        <f>IF(M20="","",AA20*(1/SQRT(Z20^2+AA20^2+AB20^2)))</f>
        <v>-0.67388165730261751</v>
      </c>
      <c r="AF20" s="576">
        <f>IF(M20="","",AB20*(1/SQRT(Z20^2+AA20^2+AB20^2)))</f>
        <v>-0.25443236665566576</v>
      </c>
      <c r="AG20" s="545">
        <f>IF(M20="","",DEGREES(ATAN2(-AF20,AE20)))</f>
        <v>-69.315349759950749</v>
      </c>
      <c r="AH20" s="546">
        <f>IF(M20="","",DEGREES(ACOS(AD20)))</f>
        <v>46.08041430897832</v>
      </c>
      <c r="AI20" s="528">
        <f>IF(M20="","",DEGREES(-ACOS(-AF20)))</f>
        <v>-75.260047178180159</v>
      </c>
      <c r="AJ20" s="529">
        <f>IF(M20="","",DEGREES(ATAN2(-AE20,AD20)))</f>
        <v>45.828102436549152</v>
      </c>
      <c r="AK20" s="578">
        <f>IF(M20="","",(COS(RADIANS((90-$Q$8)-W20))*AD20)+(-SIN(RADIANS((90-$Q$8)-W20))*AE20))</f>
        <v>0.86300397903721648</v>
      </c>
      <c r="AL20" s="572">
        <f>IF(M20="","",(SIN(RADIANS((90-$Q$8)-W20))*AD20)+(COS(RADIANS((90-$Q$8)-W20))*AE20))</f>
        <v>-0.43644965684936504</v>
      </c>
      <c r="AM20" s="577">
        <f>IF(M20="","",AF20)</f>
        <v>-0.25443236665566576</v>
      </c>
      <c r="AN20" s="524">
        <f>IF(M20="","",DEGREES(ATAN2(-AM20,AL20)))</f>
        <v>-59.759556997406193</v>
      </c>
      <c r="AO20" s="525">
        <f t="shared" si="116"/>
        <v>30.344438639895046</v>
      </c>
      <c r="AP20" s="528">
        <f>IF(M20="","",DEGREES(ATAN2(AK20,AL20)))</f>
        <v>-26.827232942779883</v>
      </c>
      <c r="AQ20" s="529">
        <f t="shared" si="21"/>
        <v>0.65132749179824079</v>
      </c>
      <c r="AS20" s="932">
        <f t="shared" si="143"/>
        <v>343.27101079065955</v>
      </c>
      <c r="AT20" s="928">
        <f t="shared" si="22"/>
        <v>-0.9526607235055099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1.2210000000000001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1.121</v>
      </c>
      <c r="IK20" s="677" cm="1">
        <f t="array" ref="IK20">IFERROR(ROUND(VALUE(IF($IJ20&lt;1,$IJ20+LARGE((IF($M$9:$M$150="",0,$M$9:$M$150)-MOD(IF($M$9:$M$150="",0,$M$9:$M$150),1)),1),$IJ20)),4),"")</f>
        <v>1.121</v>
      </c>
      <c r="IL20" s="482">
        <f t="shared" si="88"/>
        <v>14513</v>
      </c>
      <c r="IM20" s="482">
        <f t="shared" si="237"/>
        <v>1313</v>
      </c>
      <c r="IN20" s="670">
        <f t="shared" si="90"/>
        <v>15.511683512062575</v>
      </c>
      <c r="IO20" s="702">
        <v>1.22529132070239E-2</v>
      </c>
      <c r="IP20" s="5">
        <f t="shared" si="91"/>
        <v>0.68</v>
      </c>
      <c r="IQ20" s="714">
        <v>340</v>
      </c>
      <c r="IR20" s="9">
        <f t="shared" si="139"/>
        <v>-3.4918764103684188</v>
      </c>
      <c r="IS20" s="5">
        <f t="shared" si="92"/>
        <v>-0.95412187079342281</v>
      </c>
      <c r="IT20" s="5">
        <f t="shared" si="93"/>
        <v>0.28499999999999998</v>
      </c>
      <c r="IU20" s="5">
        <f t="shared" si="94"/>
        <v>0.25759480787993333</v>
      </c>
      <c r="IV20" s="670">
        <f t="shared" si="95"/>
        <v>59.687700782164377</v>
      </c>
      <c r="IW20" s="9">
        <f t="shared" si="96"/>
        <v>-3.4999726850193795</v>
      </c>
      <c r="IX20" s="5">
        <f t="shared" si="97"/>
        <v>-0.9623832530956522</v>
      </c>
      <c r="IY20" s="5">
        <f t="shared" si="98"/>
        <v>0.26450000000000001</v>
      </c>
      <c r="IZ20" s="5">
        <f t="shared" si="99"/>
        <v>0.22826455245534377</v>
      </c>
      <c r="JA20" s="705">
        <f t="shared" si="100"/>
        <v>59.759556997406193</v>
      </c>
      <c r="JC20" s="31"/>
      <c r="JD20" s="1371" t="s">
        <v>360</v>
      </c>
      <c r="JE20" s="1372"/>
      <c r="JF20" s="1372"/>
      <c r="JG20" s="1372"/>
      <c r="JH20" s="1150" t="s">
        <v>361</v>
      </c>
      <c r="JI20" s="1151"/>
      <c r="JJ20" s="1151"/>
      <c r="JK20" s="1152"/>
    </row>
    <row r="21" spans="1:271" ht="15" customHeight="1" x14ac:dyDescent="0.25">
      <c r="A21" s="75">
        <f t="shared" si="1"/>
        <v>0</v>
      </c>
      <c r="B21" s="578">
        <f t="shared" si="2"/>
        <v>1.3197935943097177</v>
      </c>
      <c r="C21" s="572">
        <f t="shared" si="3"/>
        <v>3.3728901387525387</v>
      </c>
      <c r="D21" s="576">
        <f t="shared" si="4"/>
        <v>-1.6543970204076659</v>
      </c>
      <c r="E21" s="580">
        <f t="shared" si="5"/>
        <v>0.36300482529304384</v>
      </c>
      <c r="F21" s="572">
        <f t="shared" si="6"/>
        <v>0.9277021807268877</v>
      </c>
      <c r="G21" s="579">
        <f t="shared" si="7"/>
        <v>8.715595612775881E-2</v>
      </c>
      <c r="H21" s="580">
        <f t="shared" si="8"/>
        <v>0.255</v>
      </c>
      <c r="I21" s="572">
        <f t="shared" si="9"/>
        <v>0.41499999999999992</v>
      </c>
      <c r="J21" s="483">
        <f t="shared" si="10"/>
        <v>1.226</v>
      </c>
      <c r="K21" s="806" t="str">
        <f t="shared" si="11"/>
        <v>CPS-32193r1</v>
      </c>
      <c r="L21" s="719" t="s">
        <v>358</v>
      </c>
      <c r="M21" s="164">
        <f t="shared" si="12"/>
        <v>1.226</v>
      </c>
      <c r="N21" s="575">
        <f t="shared" si="13"/>
        <v>1.3197935943097177</v>
      </c>
      <c r="O21" s="572">
        <f t="shared" si="14"/>
        <v>3.3728901387525387</v>
      </c>
      <c r="P21" s="576">
        <f t="shared" si="15"/>
        <v>-1.6543970204076659</v>
      </c>
      <c r="Q21" s="528">
        <f t="shared" si="140"/>
        <v>68.62986360175546</v>
      </c>
      <c r="R21" s="572">
        <f>IF(M21="","",SQRT(N21^2+O21^2))</f>
        <v>3.6219115146114604</v>
      </c>
      <c r="S21" s="577">
        <f>IF(M21="","",P21)</f>
        <v>-1.6543970204076659</v>
      </c>
      <c r="T21" s="578">
        <f>IF(M21="","",X21*COS(RADIANS(W21)))</f>
        <v>3.386877064021705</v>
      </c>
      <c r="U21" s="572">
        <f>IF(M21="","",X21*SIN(RADIANS(W21)))</f>
        <v>-1.283474492492469</v>
      </c>
      <c r="V21" s="579">
        <f>IF(M21="","",Y21)</f>
        <v>-1.6543970204076659</v>
      </c>
      <c r="W21" s="528">
        <f t="shared" si="253"/>
        <v>339.24553901308599</v>
      </c>
      <c r="X21" s="572">
        <f>IF(M21="","",R21)</f>
        <v>3.6219115146114604</v>
      </c>
      <c r="Y21" s="573">
        <f t="shared" si="255"/>
        <v>-1.6543970204076659</v>
      </c>
      <c r="Z21" s="575">
        <f t="shared" si="18"/>
        <v>-0.36300482529304384</v>
      </c>
      <c r="AA21" s="572">
        <f t="shared" si="19"/>
        <v>-0.9277021807268877</v>
      </c>
      <c r="AB21" s="572">
        <f t="shared" si="20"/>
        <v>-8.715595612775881E-2</v>
      </c>
      <c r="AC21" s="579">
        <f>IF(M21="","",SQRT(Z21^2+AA21^2+AB21^2))</f>
        <v>1</v>
      </c>
      <c r="AD21" s="580">
        <f>IF(M21="","",Z21*(1/SQRT(Z21^2+AA21^2+AB21^2)))</f>
        <v>-0.36300482529304384</v>
      </c>
      <c r="AE21" s="572">
        <f>IF(M21="","",AA21*(1/SQRT(Z21^2+AA21^2+AB21^2)))</f>
        <v>-0.9277021807268877</v>
      </c>
      <c r="AF21" s="576">
        <f>IF(M21="","",AB21*(1/SQRT(Z21^2+AA21^2+AB21^2)))</f>
        <v>-8.715595612775881E-2</v>
      </c>
      <c r="AG21" s="545">
        <f>IF(M21="","",DEGREES(ATAN2(-AF21,AE21)))</f>
        <v>-84.632917706147509</v>
      </c>
      <c r="AH21" s="546">
        <f>IF(M21="","",DEGREES(ACOS(AD21)))</f>
        <v>111.28484771691588</v>
      </c>
      <c r="AI21" s="528">
        <f>IF(M21="","",DEGREES(-ACOS(-AF21)))</f>
        <v>-84.999987727520192</v>
      </c>
      <c r="AJ21" s="529">
        <f>IF(M21="","",DEGREES(ATAN2(-AE21,AD21)))</f>
        <v>-21.370136398244441</v>
      </c>
      <c r="AK21" s="578">
        <f>IF(M21="","",(COS(RADIANS((90-$Q$8)-W21))*AD21)+(-SIN(RADIANS((90-$Q$8)-W21))*AE21))</f>
        <v>2.1649348980190553E-15</v>
      </c>
      <c r="AL21" s="572">
        <f>IF(M21="","",(SIN(RADIANS((90-$Q$8)-W21))*AD21)+(COS(RADIANS((90-$Q$8)-W21))*AE21))</f>
        <v>-0.99619467942338269</v>
      </c>
      <c r="AM21" s="577">
        <f>IF(M21="","",AF21)</f>
        <v>-8.715595612775881E-2</v>
      </c>
      <c r="AN21" s="524">
        <f>IF(M21="","",DEGREES(ATAN2(-AM21,AL21)))</f>
        <v>-84.999987727520192</v>
      </c>
      <c r="AO21" s="525">
        <f>IF(ROUND(IF(M21="",0,DEGREES(ACOS(AK21))),4)=90,0,IF(M21="","",DEGREES(ACOS(AK21))))</f>
        <v>0</v>
      </c>
      <c r="AP21" s="528">
        <f>IF(M21="","",DEGREES(ATAN2(AK21,AL21)))</f>
        <v>-89.999999999999872</v>
      </c>
      <c r="AQ21" s="529">
        <f t="shared" si="21"/>
        <v>0.62940105566562388</v>
      </c>
      <c r="AS21" s="932">
        <f t="shared" si="143"/>
        <v>339.24553901308599</v>
      </c>
      <c r="AT21" s="928">
        <f t="shared" si="22"/>
        <v>-1.6418790243053196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1.226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1.1259999999999999</v>
      </c>
      <c r="IK21" s="677" cm="1">
        <f t="array" ref="IK21">IFERROR(ROUND(VALUE(IF($IJ21&lt;1,$IJ21+LARGE((IF($M$9:$M$150="",0,$M$9:$M$150)-MOD(IF($M$9:$M$150="",0,$M$9:$M$150),1)),1),$IJ21)),4),"")</f>
        <v>1.1259999999999999</v>
      </c>
      <c r="IL21" s="482">
        <f t="shared" si="88"/>
        <v>14513</v>
      </c>
      <c r="IM21" s="482" t="str">
        <f t="shared" si="237"/>
        <v>CPS-32193r1</v>
      </c>
      <c r="IN21" s="670">
        <f t="shared" si="90"/>
        <v>19.279989545633669</v>
      </c>
      <c r="IO21" s="702">
        <v>2.7716463024996599E-2</v>
      </c>
      <c r="IP21" s="5">
        <f t="shared" si="91"/>
        <v>1.1399999999999999</v>
      </c>
      <c r="IQ21" s="714">
        <v>570</v>
      </c>
      <c r="IR21" s="9">
        <f t="shared" si="139"/>
        <v>-3.6599901069123484</v>
      </c>
      <c r="IS21" s="5">
        <f t="shared" si="92"/>
        <v>-1.6347764873044179</v>
      </c>
      <c r="IT21" s="5">
        <f t="shared" si="93"/>
        <v>0.28499999999999998</v>
      </c>
      <c r="IU21" s="5">
        <f t="shared" si="94"/>
        <v>0.24748628666328779</v>
      </c>
      <c r="IV21" s="670">
        <f t="shared" si="95"/>
        <v>84.958662296739845</v>
      </c>
      <c r="IW21" s="9">
        <f t="shared" si="96"/>
        <v>-3.6219115146114604</v>
      </c>
      <c r="IX21" s="5">
        <f t="shared" si="97"/>
        <v>-1.6543970204076659</v>
      </c>
      <c r="IY21" s="5">
        <f t="shared" si="98"/>
        <v>0.255</v>
      </c>
      <c r="IZ21" s="5">
        <f t="shared" si="99"/>
        <v>0.255</v>
      </c>
      <c r="JA21" s="705">
        <f t="shared" si="100"/>
        <v>84.999987727520192</v>
      </c>
      <c r="JC21" s="708"/>
      <c r="JD21" s="1224"/>
      <c r="JE21" s="1225"/>
      <c r="JF21" s="1225"/>
      <c r="JG21" s="1225"/>
      <c r="JH21" s="1153" t="s">
        <v>349</v>
      </c>
      <c r="JI21" s="1154"/>
      <c r="JJ21" s="1373" t="s">
        <v>362</v>
      </c>
      <c r="JK21" s="1374"/>
    </row>
    <row r="22" spans="1:271" ht="15" customHeight="1" thickBot="1" x14ac:dyDescent="0.3">
      <c r="A22" s="75">
        <f t="shared" si="1"/>
        <v>0</v>
      </c>
      <c r="B22" s="578">
        <f t="shared" si="2"/>
        <v>1.3641978571575273</v>
      </c>
      <c r="C22" s="572">
        <f t="shared" si="3"/>
        <v>3.40424329779434</v>
      </c>
      <c r="D22" s="576">
        <f t="shared" si="4"/>
        <v>-2.3966247129821943</v>
      </c>
      <c r="E22" s="580">
        <f t="shared" si="5"/>
        <v>0.37056288630683681</v>
      </c>
      <c r="F22" s="572">
        <f t="shared" si="6"/>
        <v>0.92470913621711481</v>
      </c>
      <c r="G22" s="579">
        <f t="shared" si="7"/>
        <v>8.7155956127759102E-2</v>
      </c>
      <c r="H22" s="580">
        <f t="shared" si="8"/>
        <v>0.255</v>
      </c>
      <c r="I22" s="572">
        <f t="shared" si="9"/>
        <v>0.41499999999999992</v>
      </c>
      <c r="J22" s="483">
        <f t="shared" si="10"/>
        <v>1.2310000000000001</v>
      </c>
      <c r="K22" s="806" t="str">
        <f t="shared" si="11"/>
        <v>CPS-32193r1</v>
      </c>
      <c r="L22" s="814">
        <f>IF($L21=$JJ$22,$JJ$30,IF($L21=$JK$22,$JK$30,""))</f>
        <v>530</v>
      </c>
      <c r="M22" s="164">
        <f t="shared" si="12"/>
        <v>1.2310000000000001</v>
      </c>
      <c r="N22" s="575">
        <f t="shared" si="13"/>
        <v>1.3641978571575273</v>
      </c>
      <c r="O22" s="572">
        <f t="shared" si="14"/>
        <v>3.40424329779434</v>
      </c>
      <c r="P22" s="576">
        <f t="shared" si="15"/>
        <v>-2.3966247129821943</v>
      </c>
      <c r="Q22" s="528">
        <f t="shared" si="140"/>
        <v>68.162318850291456</v>
      </c>
      <c r="R22" s="572">
        <f t="shared" si="101"/>
        <v>3.6674116518398741</v>
      </c>
      <c r="S22" s="577">
        <f t="shared" si="102"/>
        <v>-2.3966247129821943</v>
      </c>
      <c r="T22" s="578">
        <f t="shared" si="103"/>
        <v>3.4187055525750822</v>
      </c>
      <c r="U22" s="572">
        <f t="shared" si="104"/>
        <v>-1.3275392908848971</v>
      </c>
      <c r="V22" s="579">
        <f t="shared" si="141"/>
        <v>-2.3966247129821943</v>
      </c>
      <c r="W22" s="528">
        <f t="shared" si="253"/>
        <v>338.77799426162198</v>
      </c>
      <c r="X22" s="572">
        <f t="shared" si="105"/>
        <v>3.6674116518398741</v>
      </c>
      <c r="Y22" s="573">
        <f t="shared" si="255"/>
        <v>-2.3966247129821943</v>
      </c>
      <c r="Z22" s="575">
        <f t="shared" si="18"/>
        <v>-0.37056288630683681</v>
      </c>
      <c r="AA22" s="572">
        <f t="shared" si="19"/>
        <v>-0.92470913621711481</v>
      </c>
      <c r="AB22" s="572">
        <f t="shared" si="20"/>
        <v>-8.7155956127759102E-2</v>
      </c>
      <c r="AC22" s="579">
        <f t="shared" si="106"/>
        <v>1</v>
      </c>
      <c r="AD22" s="580">
        <f t="shared" si="142"/>
        <v>-0.37056288630683681</v>
      </c>
      <c r="AE22" s="572">
        <f t="shared" si="107"/>
        <v>-0.92470913621711481</v>
      </c>
      <c r="AF22" s="576">
        <f t="shared" si="108"/>
        <v>-8.7155956127759102E-2</v>
      </c>
      <c r="AG22" s="545">
        <f t="shared" si="109"/>
        <v>-84.615647780773173</v>
      </c>
      <c r="AH22" s="546">
        <f t="shared" si="110"/>
        <v>111.75033612212098</v>
      </c>
      <c r="AI22" s="528">
        <f t="shared" si="111"/>
        <v>-84.999987727520178</v>
      </c>
      <c r="AJ22" s="529">
        <f t="shared" si="112"/>
        <v>-21.83768114970853</v>
      </c>
      <c r="AK22" s="578">
        <f t="shared" si="238"/>
        <v>3.8857805861880479E-16</v>
      </c>
      <c r="AL22" s="572">
        <f t="shared" si="113"/>
        <v>-0.99619467942338269</v>
      </c>
      <c r="AM22" s="577">
        <f t="shared" si="114"/>
        <v>-8.7155956127759102E-2</v>
      </c>
      <c r="AN22" s="524">
        <f t="shared" si="115"/>
        <v>-84.999987727520178</v>
      </c>
      <c r="AO22" s="525">
        <f t="shared" si="116"/>
        <v>0</v>
      </c>
      <c r="AP22" s="528">
        <f t="shared" si="117"/>
        <v>-89.999999999999986</v>
      </c>
      <c r="AQ22" s="529">
        <f t="shared" si="21"/>
        <v>0.62159294029767143</v>
      </c>
      <c r="AS22" s="932">
        <f t="shared" si="143"/>
        <v>338.77799426162198</v>
      </c>
      <c r="AT22" s="928">
        <f t="shared" si="22"/>
        <v>-2.3837820330246648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>Gage</v>
      </c>
      <c r="II22" s="788">
        <f t="shared" si="236"/>
        <v>1.2310000000000001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1.131</v>
      </c>
      <c r="IK22" s="677" cm="1">
        <f t="array" ref="IK22">IFERROR(ROUND(VALUE(IF($IJ22&lt;1,$IJ22+LARGE((IF($M$9:$M$150="",0,$M$9:$M$150)-MOD(IF($M$9:$M$150="",0,$M$9:$M$150),1)),1),$IJ22)),4),"")</f>
        <v>1.131</v>
      </c>
      <c r="IL22" s="482">
        <f t="shared" si="88"/>
        <v>14513</v>
      </c>
      <c r="IM22" s="482" t="str">
        <f t="shared" si="237"/>
        <v>CPS-32193r1</v>
      </c>
      <c r="IN22" s="670">
        <f t="shared" si="90"/>
        <v>19.6738637425874</v>
      </c>
      <c r="IO22" s="702">
        <v>2.7461721191357799E-2</v>
      </c>
      <c r="IP22" s="5">
        <f t="shared" si="91"/>
        <v>1.1399999999999999</v>
      </c>
      <c r="IQ22" s="714">
        <v>570</v>
      </c>
      <c r="IR22" s="9">
        <f t="shared" si="139"/>
        <v>-3.7054897408941279</v>
      </c>
      <c r="IS22" s="5">
        <f t="shared" si="92"/>
        <v>-2.3766787248815664</v>
      </c>
      <c r="IT22" s="5">
        <f t="shared" si="93"/>
        <v>0.28499999999999998</v>
      </c>
      <c r="IU22" s="5">
        <f t="shared" si="94"/>
        <v>0.24747810510653429</v>
      </c>
      <c r="IV22" s="670">
        <f t="shared" si="95"/>
        <v>84.959174548900108</v>
      </c>
      <c r="IW22" s="9">
        <f t="shared" si="96"/>
        <v>-3.6674116518398741</v>
      </c>
      <c r="IX22" s="5">
        <f t="shared" si="97"/>
        <v>-2.3966247129821943</v>
      </c>
      <c r="IY22" s="5">
        <f t="shared" si="98"/>
        <v>0.255</v>
      </c>
      <c r="IZ22" s="5">
        <f t="shared" si="99"/>
        <v>0.255</v>
      </c>
      <c r="JA22" s="705">
        <f t="shared" si="100"/>
        <v>84.999987727520178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0.02</v>
      </c>
      <c r="B23" s="578">
        <f t="shared" si="2"/>
        <v>2.1852121482457023</v>
      </c>
      <c r="C23" s="572">
        <f t="shared" si="3"/>
        <v>0.56275506832336397</v>
      </c>
      <c r="D23" s="576">
        <f t="shared" si="4"/>
        <v>-0.12885280381004161</v>
      </c>
      <c r="E23" s="580">
        <f t="shared" si="5"/>
        <v>-0.22475678274241087</v>
      </c>
      <c r="F23" s="572">
        <f t="shared" si="6"/>
        <v>0.93550086145792444</v>
      </c>
      <c r="G23" s="579">
        <f t="shared" si="7"/>
        <v>0.27262158172595602</v>
      </c>
      <c r="H23" s="580">
        <f t="shared" si="8"/>
        <v>0.28499999999999998</v>
      </c>
      <c r="I23" s="572">
        <f t="shared" si="9"/>
        <v>0.52</v>
      </c>
      <c r="J23" s="483">
        <f t="shared" si="10"/>
        <v>2.11</v>
      </c>
      <c r="K23" s="806">
        <f t="shared" si="11"/>
        <v>14513</v>
      </c>
      <c r="M23" s="164">
        <f t="shared" si="12"/>
        <v>2.11</v>
      </c>
      <c r="N23" s="575">
        <f t="shared" si="13"/>
        <v>2.1852121482457023</v>
      </c>
      <c r="O23" s="572">
        <f t="shared" si="14"/>
        <v>0.56275506832336397</v>
      </c>
      <c r="P23" s="576">
        <f t="shared" si="15"/>
        <v>-0.12885280381004161</v>
      </c>
      <c r="Q23" s="528">
        <f t="shared" si="140"/>
        <v>14.441512767698512</v>
      </c>
      <c r="R23" s="572">
        <f t="shared" si="101"/>
        <v>2.2565117770054361</v>
      </c>
      <c r="S23" s="577">
        <f t="shared" si="102"/>
        <v>-0.12885280381004161</v>
      </c>
      <c r="T23" s="578">
        <f t="shared" si="103"/>
        <v>0.58620346181598171</v>
      </c>
      <c r="U23" s="572">
        <f t="shared" si="104"/>
        <v>-2.1790389856813461</v>
      </c>
      <c r="V23" s="579">
        <f t="shared" si="141"/>
        <v>-0.12885280381004161</v>
      </c>
      <c r="W23" s="528">
        <f t="shared" si="253"/>
        <v>285.05718817902903</v>
      </c>
      <c r="X23" s="572">
        <f t="shared" si="105"/>
        <v>2.2565117770054361</v>
      </c>
      <c r="Y23" s="573">
        <f t="shared" si="255"/>
        <v>-0.12885280381004161</v>
      </c>
      <c r="Z23" s="575">
        <f t="shared" si="18"/>
        <v>0.22475678274241087</v>
      </c>
      <c r="AA23" s="572">
        <f t="shared" si="19"/>
        <v>-0.93550086145792444</v>
      </c>
      <c r="AB23" s="572">
        <f t="shared" si="20"/>
        <v>-0.27262158172595602</v>
      </c>
      <c r="AC23" s="579">
        <f t="shared" si="106"/>
        <v>1</v>
      </c>
      <c r="AD23" s="580">
        <f t="shared" si="142"/>
        <v>0.22475678274241087</v>
      </c>
      <c r="AE23" s="572">
        <f t="shared" si="107"/>
        <v>-0.93550086145792444</v>
      </c>
      <c r="AF23" s="576">
        <f t="shared" si="108"/>
        <v>-0.27262158172595602</v>
      </c>
      <c r="AG23" s="545">
        <f t="shared" si="109"/>
        <v>-73.752938471709101</v>
      </c>
      <c r="AH23" s="546">
        <f t="shared" si="110"/>
        <v>77.011423469528367</v>
      </c>
      <c r="AI23" s="528">
        <f t="shared" si="111"/>
        <v>-74.179674024922349</v>
      </c>
      <c r="AJ23" s="529">
        <f t="shared" si="112"/>
        <v>13.509432718401275</v>
      </c>
      <c r="AK23" s="578">
        <f t="shared" si="238"/>
        <v>0.96199403340197653</v>
      </c>
      <c r="AL23" s="572">
        <f t="shared" si="113"/>
        <v>-1.5650970456644986E-2</v>
      </c>
      <c r="AM23" s="577">
        <f t="shared" si="114"/>
        <v>-0.27262158172595602</v>
      </c>
      <c r="AN23" s="524">
        <f t="shared" si="115"/>
        <v>-3.2856948997619564</v>
      </c>
      <c r="AO23" s="525">
        <f t="shared" si="116"/>
        <v>15.847059512467744</v>
      </c>
      <c r="AP23" s="528">
        <f t="shared" si="117"/>
        <v>-0.93208004929722876</v>
      </c>
      <c r="AQ23" s="529">
        <f t="shared" si="21"/>
        <v>1.0101832528999557</v>
      </c>
      <c r="AS23" s="932">
        <f t="shared" si="143"/>
        <v>285.05718817902903</v>
      </c>
      <c r="AT23" s="928">
        <f t="shared" si="22"/>
        <v>-7.8704008517378077E-2</v>
      </c>
      <c r="AU23" s="418"/>
      <c r="AV23" s="164">
        <f t="shared" si="23"/>
        <v>2.11</v>
      </c>
      <c r="AW23" s="829">
        <f>IFERROR(INDEX(MassProp!C$9:C$150,MATCH($M23,MassProp!$B$9:$B$150,0)),"")</f>
        <v>2.2400000000000002</v>
      </c>
      <c r="AX23" s="830">
        <f>IFERROR(INDEX(MassProp!D$9:D$150,MATCH($M23,MassProp!$B$9:$B$150,0)),"")</f>
        <v>0.36080000000000001</v>
      </c>
      <c r="AY23" s="831">
        <f>IFERROR(INDEX(MassProp!E$9:E$150,MATCH($M23,MassProp!$B$9:$B$150,0)),"")</f>
        <v>3.6799999999999999E-2</v>
      </c>
      <c r="AZ23" s="297">
        <f t="shared" si="144"/>
        <v>0.51801723380823927</v>
      </c>
      <c r="BA23" s="296">
        <f t="shared" si="24"/>
        <v>0.15378072235379783</v>
      </c>
      <c r="BB23" s="190">
        <f t="shared" si="145"/>
        <v>0.18950400851737809</v>
      </c>
      <c r="BC23" s="9"/>
      <c r="BD23" s="5">
        <f t="shared" si="146"/>
        <v>2.2400000000000002</v>
      </c>
      <c r="BE23" s="6">
        <f t="shared" si="25"/>
        <v>6.0651204707336481E-2</v>
      </c>
      <c r="BF23" s="4">
        <f t="shared" si="26"/>
        <v>2.1852121482457023</v>
      </c>
      <c r="BG23" s="5">
        <f t="shared" si="27"/>
        <v>0.56275506832336397</v>
      </c>
      <c r="BH23" s="10">
        <f t="shared" si="28"/>
        <v>-0.12885280381004161</v>
      </c>
      <c r="BI23" s="9">
        <f t="shared" si="147"/>
        <v>2.1852121482457023</v>
      </c>
      <c r="BJ23" s="5">
        <f t="shared" si="29"/>
        <v>0.84253484486348595</v>
      </c>
      <c r="BK23" s="8">
        <f t="shared" si="30"/>
        <v>-1.0889170082459529</v>
      </c>
      <c r="BL23" s="173">
        <f t="shared" si="31"/>
        <v>3.1596270437657168</v>
      </c>
      <c r="BM23" s="5">
        <f t="shared" si="32"/>
        <v>0.7785360101385318</v>
      </c>
      <c r="BN23" s="6">
        <f t="shared" si="33"/>
        <v>-6.5970401358493094E-2</v>
      </c>
      <c r="BO23" s="4">
        <f t="shared" si="148"/>
        <v>0.22475678274241112</v>
      </c>
      <c r="BP23" s="5">
        <f t="shared" si="239"/>
        <v>-0.93550086145792455</v>
      </c>
      <c r="BQ23" s="5">
        <f t="shared" si="149"/>
        <v>-0.27262158172595607</v>
      </c>
      <c r="BR23" s="6">
        <f t="shared" si="150"/>
        <v>1.8854397246555188E-4</v>
      </c>
      <c r="BS23" s="4">
        <f t="shared" si="118"/>
        <v>0</v>
      </c>
      <c r="BT23" s="5">
        <f t="shared" si="118"/>
        <v>0</v>
      </c>
      <c r="BU23" s="10">
        <f t="shared" si="119"/>
        <v>6.0651204707336481E-2</v>
      </c>
      <c r="BV23" s="9">
        <f t="shared" si="120"/>
        <v>0</v>
      </c>
      <c r="BW23" s="5">
        <f t="shared" si="121"/>
        <v>1</v>
      </c>
      <c r="BX23" s="8">
        <f t="shared" si="122"/>
        <v>6.0651204707336481E-2</v>
      </c>
      <c r="BY23" s="173">
        <f t="shared" si="123"/>
        <v>1</v>
      </c>
      <c r="BZ23" s="5">
        <f t="shared" si="124"/>
        <v>0</v>
      </c>
      <c r="CA23" s="6">
        <f t="shared" si="125"/>
        <v>6.0651204707336481E-2</v>
      </c>
      <c r="CB23" s="4">
        <f t="shared" si="151"/>
        <v>0</v>
      </c>
      <c r="CC23" s="5">
        <f t="shared" si="152"/>
        <v>0</v>
      </c>
      <c r="CD23" s="5">
        <f t="shared" si="153"/>
        <v>-1</v>
      </c>
      <c r="CE23" s="6">
        <f t="shared" si="154"/>
        <v>6.0651204707336481E-2</v>
      </c>
      <c r="CF23" s="4">
        <f t="shared" si="155"/>
        <v>0.93550086145792455</v>
      </c>
      <c r="CG23" s="5">
        <f t="shared" si="156"/>
        <v>0.22475678274241112</v>
      </c>
      <c r="CH23" s="5">
        <f t="shared" si="157"/>
        <v>0</v>
      </c>
      <c r="CI23" s="4">
        <f t="shared" si="126"/>
        <v>0</v>
      </c>
      <c r="CJ23" s="5">
        <f t="shared" si="127"/>
        <v>-1.7473295922954601E-2</v>
      </c>
      <c r="CK23" s="8">
        <f t="shared" si="128"/>
        <v>6.0651204707336481E-2</v>
      </c>
      <c r="CL23" s="173">
        <f t="shared" si="129"/>
        <v>0.93550086145792455</v>
      </c>
      <c r="CM23" s="5">
        <f t="shared" si="130"/>
        <v>0.20728348681945652</v>
      </c>
      <c r="CN23" s="6">
        <f t="shared" si="131"/>
        <v>6.0651204707336481E-2</v>
      </c>
      <c r="CO23" s="167" t="str">
        <f t="shared" si="35"/>
        <v>Radius</v>
      </c>
      <c r="CP23" s="4">
        <f t="shared" si="240"/>
        <v>0.92567747317723836</v>
      </c>
      <c r="CQ23" s="5">
        <f t="shared" si="241"/>
        <v>-4.3493562151121417</v>
      </c>
      <c r="CR23" s="5" t="e">
        <f>IF(ISNUMBER($AV23),BF23^2+BG23^2+BH23^2+CI23^2+CJ23^2+CK23^2-2*(BF23*CI23+BG23*CJ23+BH23*CK23)-CO23^2,"")</f>
        <v>#VALUE!</v>
      </c>
      <c r="CS23" s="8" t="e">
        <f>IF(ISNUMBER($AV23),CQ23^2-(4*CP23*CR23),"")</f>
        <v>#VALUE!</v>
      </c>
      <c r="CT23" s="9" t="e">
        <f t="shared" si="160"/>
        <v>#VALUE!</v>
      </c>
      <c r="CU23" s="6" t="e">
        <f t="shared" si="161"/>
        <v>#VALUE!</v>
      </c>
      <c r="CV23" s="4" t="e">
        <f t="shared" si="242"/>
        <v>#VALUE!</v>
      </c>
      <c r="CW23" s="5" t="e">
        <f t="shared" si="162"/>
        <v>#VALUE!</v>
      </c>
      <c r="CX23" s="8" t="e">
        <f t="shared" si="163"/>
        <v>#VALUE!</v>
      </c>
      <c r="CY23" s="9" t="e">
        <f t="shared" si="164"/>
        <v>#VALUE!</v>
      </c>
      <c r="CZ23" s="5" t="e">
        <f t="shared" si="165"/>
        <v>#VALUE!</v>
      </c>
      <c r="DA23" s="6" t="e">
        <f t="shared" si="166"/>
        <v>#VALUE!</v>
      </c>
      <c r="DB23" s="4">
        <f t="shared" si="167"/>
        <v>0</v>
      </c>
      <c r="DC23" s="5">
        <f t="shared" si="167"/>
        <v>0</v>
      </c>
      <c r="DD23" s="10">
        <f t="shared" si="168"/>
        <v>-10</v>
      </c>
      <c r="DE23" s="9">
        <f t="shared" si="169"/>
        <v>0</v>
      </c>
      <c r="DF23" s="5">
        <f t="shared" si="169"/>
        <v>0</v>
      </c>
      <c r="DG23" s="10">
        <f t="shared" si="170"/>
        <v>10</v>
      </c>
      <c r="DH23" s="70">
        <f t="shared" si="171"/>
        <v>2.2400000000000002</v>
      </c>
      <c r="DI23" s="4">
        <f t="shared" si="172"/>
        <v>0</v>
      </c>
      <c r="DJ23" s="5">
        <f t="shared" si="173"/>
        <v>0</v>
      </c>
      <c r="DK23" s="10">
        <f t="shared" si="174"/>
        <v>20</v>
      </c>
      <c r="DL23" s="9" t="e">
        <f t="shared" si="175"/>
        <v>#VALUE!</v>
      </c>
      <c r="DM23" s="173" t="e">
        <f t="shared" si="176"/>
        <v>#VALUE!</v>
      </c>
      <c r="DN23" s="178" t="e">
        <f t="shared" si="177"/>
        <v>#VALUE!</v>
      </c>
      <c r="DO23" s="9" t="e">
        <f t="shared" si="178"/>
        <v>#VALUE!</v>
      </c>
      <c r="DP23" s="173" t="e">
        <f t="shared" si="179"/>
        <v>#VALUE!</v>
      </c>
      <c r="DQ23" s="11" t="e">
        <f t="shared" si="180"/>
        <v>#VALUE!</v>
      </c>
      <c r="DR23" s="173" t="e">
        <f t="shared" si="181"/>
        <v>#VALUE!</v>
      </c>
      <c r="DS23" s="5" t="e">
        <f t="shared" si="182"/>
        <v>#VALUE!</v>
      </c>
      <c r="DT23" s="5">
        <f t="shared" si="183"/>
        <v>400</v>
      </c>
      <c r="DU23" s="5" t="e">
        <f t="shared" si="184"/>
        <v>#VALUE!</v>
      </c>
      <c r="DV23" s="5" t="e">
        <f t="shared" si="185"/>
        <v>#VALUE!</v>
      </c>
      <c r="DW23" s="5" t="e">
        <f t="shared" si="186"/>
        <v>#VALUE!</v>
      </c>
      <c r="DX23" s="167" t="e">
        <f t="shared" si="187"/>
        <v>#VALUE!</v>
      </c>
      <c r="DY23" s="9" t="e">
        <f t="shared" si="188"/>
        <v>#VALUE!</v>
      </c>
      <c r="DZ23" s="5" t="e">
        <f t="shared" si="189"/>
        <v>#VALUE!</v>
      </c>
      <c r="EA23" s="10" t="e">
        <f t="shared" si="190"/>
        <v>#VALUE!</v>
      </c>
      <c r="EB23" s="6" t="e">
        <f t="shared" si="191"/>
        <v>#VALUE!</v>
      </c>
      <c r="EC23" s="173" t="e">
        <f t="shared" si="192"/>
        <v>#VALUE!</v>
      </c>
      <c r="ED23" s="5" t="e">
        <f t="shared" si="193"/>
        <v>#VALUE!</v>
      </c>
      <c r="EE23" s="4" t="e">
        <f t="shared" si="194"/>
        <v>#VALUE!</v>
      </c>
      <c r="EF23" s="5" t="e">
        <f t="shared" si="195"/>
        <v>#VALUE!</v>
      </c>
      <c r="EG23" s="10" t="e">
        <f t="shared" si="196"/>
        <v>#VALUE!</v>
      </c>
      <c r="EH23" s="9" t="e">
        <f t="shared" si="197"/>
        <v>#VALUE!</v>
      </c>
      <c r="EI23" s="5" t="e">
        <f t="shared" si="198"/>
        <v>#VALUE!</v>
      </c>
      <c r="EJ23" s="6" t="e">
        <f t="shared" si="199"/>
        <v>#VALUE!</v>
      </c>
      <c r="EK23" s="236" t="e">
        <f t="shared" si="200"/>
        <v>#VALUE!</v>
      </c>
      <c r="EL23" s="238" t="e">
        <f t="shared" si="201"/>
        <v>#VALUE!</v>
      </c>
      <c r="EM23" s="4" t="e">
        <f t="shared" si="202"/>
        <v>#VALUE!</v>
      </c>
      <c r="EN23" s="5" t="e">
        <f t="shared" si="203"/>
        <v>#VALUE!</v>
      </c>
      <c r="EO23" s="10" t="e">
        <f t="shared" si="204"/>
        <v>#VALUE!</v>
      </c>
      <c r="EP23" s="9" t="e">
        <f t="shared" si="205"/>
        <v>#VALUE!</v>
      </c>
      <c r="EQ23" s="5" t="e">
        <f t="shared" si="206"/>
        <v>#VALUE!</v>
      </c>
      <c r="ER23" s="7" t="e">
        <f t="shared" si="207"/>
        <v>#VALUE!</v>
      </c>
      <c r="ES23" s="21">
        <f t="shared" si="132"/>
        <v>0.22475678274241087</v>
      </c>
      <c r="ET23" s="5">
        <f t="shared" si="44"/>
        <v>-0.93550086145792444</v>
      </c>
      <c r="EU23" s="10">
        <f t="shared" si="45"/>
        <v>-0.27262158172595602</v>
      </c>
      <c r="EV23" s="174" t="e">
        <f t="shared" si="254"/>
        <v>#VALUE!</v>
      </c>
      <c r="EW23" s="9" t="e">
        <f t="shared" si="133"/>
        <v>#VALUE!</v>
      </c>
      <c r="EX23" s="5" t="e">
        <f t="shared" si="47"/>
        <v>#VALUE!</v>
      </c>
      <c r="EY23" s="6">
        <f t="shared" si="208"/>
        <v>-0.27262158172595602</v>
      </c>
      <c r="EZ23" s="51" t="e">
        <f t="shared" si="209"/>
        <v>#VALUE!</v>
      </c>
      <c r="FA23" s="266" t="e">
        <f t="shared" si="134"/>
        <v>#VALUE!</v>
      </c>
      <c r="FB23" s="267" t="e">
        <f t="shared" si="135"/>
        <v>#VALUE!</v>
      </c>
      <c r="FC23" s="269" t="e">
        <f t="shared" si="48"/>
        <v>#VALUE!</v>
      </c>
      <c r="FD23" s="4" t="e">
        <f t="shared" si="136"/>
        <v>#VALUE!</v>
      </c>
      <c r="FE23" s="5" t="e">
        <f t="shared" si="49"/>
        <v>#VALUE!</v>
      </c>
      <c r="FF23" s="7" t="e">
        <f t="shared" si="210"/>
        <v>#VALUE!</v>
      </c>
      <c r="FG23" s="173" t="e">
        <f t="shared" si="211"/>
        <v>#VALUE!</v>
      </c>
      <c r="FH23" s="5" t="e">
        <f t="shared" si="50"/>
        <v>#VALUE!</v>
      </c>
      <c r="FI23" s="10" t="e">
        <f t="shared" si="51"/>
        <v>#VALUE!</v>
      </c>
      <c r="FJ23" s="279" t="e">
        <f t="shared" si="212"/>
        <v>#VALUE!</v>
      </c>
      <c r="FK23" s="4">
        <f t="shared" si="52"/>
        <v>0.96212134015270545</v>
      </c>
      <c r="FL23" s="5" t="e">
        <f t="shared" si="213"/>
        <v>#VALUE!</v>
      </c>
      <c r="FM23" s="8" t="e">
        <f t="shared" si="214"/>
        <v>#VALUE!</v>
      </c>
      <c r="FN23" s="9" t="e">
        <f t="shared" si="215"/>
        <v>#VALUE!</v>
      </c>
      <c r="FO23" s="10" t="e">
        <f t="shared" si="53"/>
        <v>#VALUE!</v>
      </c>
      <c r="FP23" s="277" t="e">
        <f t="shared" si="54"/>
        <v>#VALUE!</v>
      </c>
      <c r="FQ23" s="173" t="e">
        <f t="shared" si="243"/>
        <v>#VALUE!</v>
      </c>
      <c r="FR23" s="10" t="e">
        <f t="shared" si="216"/>
        <v>#VALUE!</v>
      </c>
      <c r="FS23" s="9" t="e">
        <f t="shared" si="217"/>
        <v>#VALUE!</v>
      </c>
      <c r="FT23" s="6" t="e">
        <f t="shared" si="218"/>
        <v>#VALUE!</v>
      </c>
      <c r="FU23" s="4" t="e">
        <f t="shared" si="219"/>
        <v>#VALUE!</v>
      </c>
      <c r="FV23" s="5" t="e">
        <f t="shared" si="220"/>
        <v>#VALUE!</v>
      </c>
      <c r="FW23" s="8" t="e">
        <f t="shared" si="244"/>
        <v>#VALUE!</v>
      </c>
      <c r="FX23" s="9" t="e">
        <f t="shared" si="245"/>
        <v>#VALUE!</v>
      </c>
      <c r="FY23" s="10" t="e">
        <f t="shared" si="55"/>
        <v>#VALUE!</v>
      </c>
      <c r="FZ23" s="277" t="e">
        <f t="shared" si="246"/>
        <v>#VALUE!</v>
      </c>
      <c r="GA23" s="177" t="e">
        <f t="shared" si="221"/>
        <v>#VALUE!</v>
      </c>
      <c r="GB23" s="4" t="e">
        <f t="shared" si="222"/>
        <v>#VALUE!</v>
      </c>
      <c r="GC23" s="5" t="e">
        <f t="shared" si="223"/>
        <v>#VALUE!</v>
      </c>
      <c r="GD23" s="10" t="e">
        <f t="shared" si="224"/>
        <v>#VALUE!</v>
      </c>
      <c r="GE23" s="311" t="e">
        <f t="shared" si="225"/>
        <v>#VALUE!</v>
      </c>
      <c r="GF23" s="341" t="e">
        <f t="shared" si="247"/>
        <v>#VALUE!</v>
      </c>
      <c r="GG23" s="285" t="e">
        <f t="shared" si="56"/>
        <v>#VALUE!</v>
      </c>
      <c r="GH23" s="286" t="e">
        <f t="shared" si="57"/>
        <v>#VALUE!</v>
      </c>
      <c r="GI23" s="281" t="e">
        <f t="shared" si="58"/>
        <v>#VALUE!</v>
      </c>
      <c r="GJ23" s="167">
        <f t="shared" si="226"/>
        <v>2.2400000000000002</v>
      </c>
      <c r="GK23" s="174">
        <f t="shared" si="59"/>
        <v>1.1730462722106867</v>
      </c>
      <c r="GL23" s="174">
        <f t="shared" si="227"/>
        <v>3.6799999999999999E-2</v>
      </c>
      <c r="GM23" s="177">
        <f t="shared" si="248"/>
        <v>0.51801723380823927</v>
      </c>
      <c r="GN23" s="280">
        <f t="shared" si="228"/>
        <v>0.15378072235379783</v>
      </c>
      <c r="GO23" s="4" t="e">
        <f t="shared" si="229"/>
        <v>#VALUE!</v>
      </c>
      <c r="GP23" s="8" t="e">
        <f t="shared" si="249"/>
        <v>#VALUE!</v>
      </c>
      <c r="GQ23" s="177" t="e">
        <f t="shared" si="230"/>
        <v>#VALUE!</v>
      </c>
      <c r="GR23" s="371" t="e">
        <f t="shared" si="250"/>
        <v>#VALUE!</v>
      </c>
      <c r="GS23" s="342" t="e">
        <f t="shared" si="61"/>
        <v>#VALUE!</v>
      </c>
      <c r="GT23" s="343" t="e">
        <f t="shared" si="62"/>
        <v>#VALUE!</v>
      </c>
      <c r="GU23" s="344">
        <f t="shared" si="63"/>
        <v>1273.4590331119214</v>
      </c>
      <c r="GV23" s="343">
        <f t="shared" si="252"/>
        <v>1085.5999999999999</v>
      </c>
      <c r="GW23" s="345">
        <f t="shared" si="64"/>
        <v>29500</v>
      </c>
      <c r="GX23" s="346">
        <f t="shared" si="65"/>
        <v>202.64533333333333</v>
      </c>
      <c r="GY23" s="344" t="e">
        <f t="shared" si="66"/>
        <v>#VALUE!</v>
      </c>
      <c r="GZ23" s="345" t="e">
        <f t="shared" si="67"/>
        <v>#VALUE!</v>
      </c>
      <c r="HA23" s="342" t="e">
        <f t="shared" si="68"/>
        <v>#VALUE!</v>
      </c>
      <c r="HB23" s="5" t="e">
        <f t="shared" si="231"/>
        <v>#VALUE!</v>
      </c>
      <c r="HC23" s="343" t="e">
        <f t="shared" si="232"/>
        <v>#VALUE!</v>
      </c>
      <c r="HD23" s="345" t="e">
        <f t="shared" si="233"/>
        <v>#VALUE!</v>
      </c>
      <c r="HE23" s="344" t="e">
        <f t="shared" si="69"/>
        <v>#VALUE!</v>
      </c>
      <c r="HF23" s="5" t="e">
        <f t="shared" si="70"/>
        <v>#VALUE!</v>
      </c>
      <c r="HG23" s="343" t="e">
        <f t="shared" si="234"/>
        <v>#VALUE!</v>
      </c>
      <c r="HH23" s="349" t="e">
        <f t="shared" si="235"/>
        <v>#VALUE!</v>
      </c>
      <c r="HI23" s="317">
        <f t="shared" si="71"/>
        <v>2.11</v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2.11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88"/>
        <v>14513</v>
      </c>
      <c r="IM23" s="482" t="str">
        <f t="shared" si="237"/>
        <v/>
      </c>
      <c r="IN23" s="670" t="str">
        <f t="shared" si="90"/>
        <v/>
      </c>
      <c r="IO23" s="702"/>
      <c r="IP23" s="5" t="str">
        <f t="shared" si="91"/>
        <v/>
      </c>
      <c r="IQ23" s="714"/>
      <c r="IR23" s="9" t="str">
        <f t="shared" si="139"/>
        <v/>
      </c>
      <c r="IS23" s="5" t="str">
        <f t="shared" si="92"/>
        <v/>
      </c>
      <c r="IT23" s="5" t="str">
        <f t="shared" si="93"/>
        <v/>
      </c>
      <c r="IU23" s="5" t="str">
        <f t="shared" si="94"/>
        <v/>
      </c>
      <c r="IV23" s="670" t="str">
        <f t="shared" si="95"/>
        <v/>
      </c>
      <c r="IW23" s="9" t="str">
        <f t="shared" si="96"/>
        <v/>
      </c>
      <c r="IX23" s="5" t="str">
        <f t="shared" si="97"/>
        <v/>
      </c>
      <c r="IY23" s="5" t="str">
        <f t="shared" si="98"/>
        <v/>
      </c>
      <c r="IZ23" s="5" t="str">
        <f t="shared" si="99"/>
        <v/>
      </c>
      <c r="JA23" s="705" t="str">
        <f t="shared" si="100"/>
        <v/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12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4</v>
      </c>
      <c r="JI23" s="742">
        <v>8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320</v>
      </c>
      <c r="JK23" s="742">
        <v>340</v>
      </c>
    </row>
    <row r="24" spans="1:271" ht="15" customHeight="1" x14ac:dyDescent="0.25">
      <c r="A24" s="75">
        <f t="shared" si="1"/>
        <v>0.02</v>
      </c>
      <c r="B24" s="578">
        <f t="shared" si="2"/>
        <v>2.8401714301141592</v>
      </c>
      <c r="C24" s="572">
        <f t="shared" si="3"/>
        <v>0.70432664362294062</v>
      </c>
      <c r="D24" s="576">
        <f t="shared" si="4"/>
        <v>-0.3359084283493507</v>
      </c>
      <c r="E24" s="580">
        <f t="shared" si="5"/>
        <v>-6.3536355612163004E-2</v>
      </c>
      <c r="F24" s="572">
        <f t="shared" si="6"/>
        <v>0.9517037313889406</v>
      </c>
      <c r="G24" s="579">
        <f t="shared" si="7"/>
        <v>0.30037166839749069</v>
      </c>
      <c r="H24" s="580">
        <f t="shared" si="8"/>
        <v>0.28499999999999998</v>
      </c>
      <c r="I24" s="572">
        <f t="shared" si="9"/>
        <v>0.52</v>
      </c>
      <c r="J24" s="483">
        <f t="shared" si="10"/>
        <v>2.1150000000000002</v>
      </c>
      <c r="K24" s="806">
        <f t="shared" si="11"/>
        <v>14513</v>
      </c>
      <c r="L24" s="82"/>
      <c r="M24" s="164">
        <f t="shared" si="12"/>
        <v>2.1150000000000002</v>
      </c>
      <c r="N24" s="575">
        <f t="shared" si="13"/>
        <v>2.8401714301141592</v>
      </c>
      <c r="O24" s="572">
        <f t="shared" si="14"/>
        <v>0.70432664362294062</v>
      </c>
      <c r="P24" s="576">
        <f t="shared" si="15"/>
        <v>-0.3359084283493507</v>
      </c>
      <c r="Q24" s="528">
        <f t="shared" si="140"/>
        <v>13.927660225868369</v>
      </c>
      <c r="R24" s="572">
        <f t="shared" si="101"/>
        <v>2.9262005695703541</v>
      </c>
      <c r="S24" s="577">
        <f t="shared" si="102"/>
        <v>-0.3359084283493507</v>
      </c>
      <c r="T24" s="578">
        <f t="shared" si="103"/>
        <v>0.73480463458178413</v>
      </c>
      <c r="U24" s="572">
        <f t="shared" si="104"/>
        <v>-2.8324392177681403</v>
      </c>
      <c r="V24" s="579">
        <f t="shared" si="141"/>
        <v>-0.3359084283493507</v>
      </c>
      <c r="W24" s="528">
        <f t="shared" si="253"/>
        <v>284.54333563719888</v>
      </c>
      <c r="X24" s="572">
        <f t="shared" si="105"/>
        <v>2.9262005695703541</v>
      </c>
      <c r="Y24" s="573">
        <f t="shared" si="255"/>
        <v>-0.3359084283493507</v>
      </c>
      <c r="Z24" s="575">
        <f t="shared" si="18"/>
        <v>6.3536355612163004E-2</v>
      </c>
      <c r="AA24" s="572">
        <f t="shared" si="19"/>
        <v>-0.9517037313889406</v>
      </c>
      <c r="AB24" s="572">
        <f t="shared" si="20"/>
        <v>-0.30037166839749069</v>
      </c>
      <c r="AC24" s="579">
        <f t="shared" si="106"/>
        <v>1</v>
      </c>
      <c r="AD24" s="580">
        <f t="shared" si="142"/>
        <v>6.3536355612163004E-2</v>
      </c>
      <c r="AE24" s="572">
        <f t="shared" si="107"/>
        <v>-0.9517037313889406</v>
      </c>
      <c r="AF24" s="576">
        <f t="shared" si="108"/>
        <v>-0.30037166839749069</v>
      </c>
      <c r="AG24" s="545">
        <f t="shared" si="109"/>
        <v>-72.48353888102406</v>
      </c>
      <c r="AH24" s="546">
        <f t="shared" si="110"/>
        <v>86.357181238583593</v>
      </c>
      <c r="AI24" s="528">
        <f t="shared" si="111"/>
        <v>-72.520072250304921</v>
      </c>
      <c r="AJ24" s="529">
        <f t="shared" si="112"/>
        <v>3.8194355765100481</v>
      </c>
      <c r="AK24" s="578">
        <f>IF(M24="","",(COS(RADIANS((90-$Q$8)-W24))*AD24)+(-SIN(RADIANS((90-$Q$8)-W24))*AE24))</f>
        <v>0.93901700535985555</v>
      </c>
      <c r="AL24" s="572">
        <f t="shared" si="113"/>
        <v>-0.16740347806756287</v>
      </c>
      <c r="AM24" s="577">
        <f t="shared" si="114"/>
        <v>-0.30037166839749069</v>
      </c>
      <c r="AN24" s="524">
        <f t="shared" si="115"/>
        <v>-29.131847697982931</v>
      </c>
      <c r="AO24" s="525">
        <f t="shared" si="116"/>
        <v>20.112874810640083</v>
      </c>
      <c r="AP24" s="528">
        <f t="shared" si="117"/>
        <v>-10.108224649358286</v>
      </c>
      <c r="AQ24" s="529">
        <f t="shared" si="21"/>
        <v>0.77902593968360689</v>
      </c>
      <c r="AS24" s="932">
        <f t="shared" si="143"/>
        <v>284.54333563719888</v>
      </c>
      <c r="AT24" s="928">
        <f t="shared" si="22"/>
        <v>-0.28540279101374955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2.1150000000000002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14513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 t="str">
        <v>CPS-32193r1</v>
      </c>
      <c r="JD24" s="797" cm="1">
        <f t="array" ref="JD24">IF($JC24="","",COUNT(IF(IF($IK$9:$IK$150&lt;&gt;"",$IM$9:$IM$150,"")=$JC24,$II$9:$II$150,"")))</f>
        <v>12</v>
      </c>
      <c r="JE24" s="5"/>
      <c r="JF24" s="5"/>
      <c r="JG24" s="10"/>
      <c r="JH24" s="236">
        <v>3</v>
      </c>
      <c r="JI24" s="744">
        <v>4</v>
      </c>
      <c r="JJ24" s="728">
        <v>300</v>
      </c>
      <c r="JK24" s="744">
        <v>530</v>
      </c>
    </row>
    <row r="25" spans="1:271" ht="15" customHeight="1" x14ac:dyDescent="0.25">
      <c r="A25" s="75">
        <f t="shared" si="1"/>
        <v>0.02</v>
      </c>
      <c r="B25" s="578">
        <f t="shared" si="2"/>
        <v>3.3315190409345656</v>
      </c>
      <c r="C25" s="572">
        <f t="shared" si="3"/>
        <v>0.78568525979357062</v>
      </c>
      <c r="D25" s="576">
        <f t="shared" si="4"/>
        <v>-0.8306971353252588</v>
      </c>
      <c r="E25" s="580">
        <f t="shared" si="5"/>
        <v>0.11959264369709149</v>
      </c>
      <c r="F25" s="572">
        <f t="shared" si="6"/>
        <v>0.96344489317614601</v>
      </c>
      <c r="G25" s="579">
        <f t="shared" si="7"/>
        <v>0.23973222016730517</v>
      </c>
      <c r="H25" s="580">
        <f t="shared" si="8"/>
        <v>0.28499999999999998</v>
      </c>
      <c r="I25" s="572">
        <f t="shared" si="9"/>
        <v>0.52</v>
      </c>
      <c r="J25" s="483">
        <f t="shared" si="10"/>
        <v>2.12</v>
      </c>
      <c r="K25" s="806">
        <f t="shared" si="11"/>
        <v>14513</v>
      </c>
      <c r="L25" s="82"/>
      <c r="M25" s="164">
        <f t="shared" si="12"/>
        <v>2.12</v>
      </c>
      <c r="N25" s="575">
        <f t="shared" si="13"/>
        <v>3.3315190409345656</v>
      </c>
      <c r="O25" s="572">
        <f t="shared" si="14"/>
        <v>0.78568525979357062</v>
      </c>
      <c r="P25" s="576">
        <f t="shared" si="15"/>
        <v>-0.8306971353252588</v>
      </c>
      <c r="Q25" s="528">
        <f t="shared" si="140"/>
        <v>13.269823365407717</v>
      </c>
      <c r="R25" s="572">
        <f>IF(M25="","",SQRT(N25^2+O25^2))</f>
        <v>3.4229111071668892</v>
      </c>
      <c r="S25" s="577">
        <f>IF(M25="","",P25)</f>
        <v>-0.8306971353252588</v>
      </c>
      <c r="T25" s="578">
        <f>IF(M25="","",X25*COS(RADIANS(W25)))</f>
        <v>0.82143825880025367</v>
      </c>
      <c r="U25" s="572">
        <f>IF(M25="","",X25*SIN(RADIANS(W25)))</f>
        <v>-3.322884234297919</v>
      </c>
      <c r="V25" s="579">
        <f>IF(M25="","",Y25)</f>
        <v>-0.8306971353252588</v>
      </c>
      <c r="W25" s="528">
        <f t="shared" si="253"/>
        <v>283.88549877673825</v>
      </c>
      <c r="X25" s="572">
        <f>IF(M25="","",R25)</f>
        <v>3.4229111071668892</v>
      </c>
      <c r="Y25" s="573">
        <f t="shared" si="255"/>
        <v>-0.8306971353252588</v>
      </c>
      <c r="Z25" s="575">
        <f t="shared" si="18"/>
        <v>-0.11959264369709149</v>
      </c>
      <c r="AA25" s="572">
        <f t="shared" si="19"/>
        <v>-0.96344489317614601</v>
      </c>
      <c r="AB25" s="572">
        <f t="shared" si="20"/>
        <v>-0.23973222016730517</v>
      </c>
      <c r="AC25" s="579">
        <f>IF(M25="","",SQRT(Z25^2+AA25^2+AB25^2))</f>
        <v>1</v>
      </c>
      <c r="AD25" s="580">
        <f>IF(M25="","",Z25*(1/SQRT(Z25^2+AA25^2+AB25^2)))</f>
        <v>-0.11959264369709149</v>
      </c>
      <c r="AE25" s="572">
        <f>IF(M25="","",AA25*(1/SQRT(Z25^2+AA25^2+AB25^2)))</f>
        <v>-0.96344489317614601</v>
      </c>
      <c r="AF25" s="576">
        <f>IF(M25="","",AB25*(1/SQRT(Z25^2+AA25^2+AB25^2)))</f>
        <v>-0.23973222016730517</v>
      </c>
      <c r="AG25" s="545">
        <f>IF(M25="","",DEGREES(ATAN2(-AF25,AE25)))</f>
        <v>-76.026965914382728</v>
      </c>
      <c r="AH25" s="546">
        <f>IF(M25="","",DEGREES(ACOS(AD25)))</f>
        <v>96.86859348125013</v>
      </c>
      <c r="AI25" s="528">
        <f>IF(M25="","",DEGREES(-ACOS(-AF25)))</f>
        <v>-76.129263675086619</v>
      </c>
      <c r="AJ25" s="529">
        <f>IF(M25="","",DEGREES(ATAN2(-AE25,AD25)))</f>
        <v>-7.0759440769418385</v>
      </c>
      <c r="AK25" s="578">
        <f>IF(M25="","",(COS(RADIANS((90-$Q$8)-W25))*AD25)+(-SIN(RADIANS((90-$Q$8)-W25))*AE25))</f>
        <v>0.91026986434183066</v>
      </c>
      <c r="AL25" s="572">
        <f>IF(M25="","",(SIN(RADIANS((90-$Q$8)-W25))*AD25)+(COS(RADIANS((90-$Q$8)-W25))*AE25))</f>
        <v>-0.33754590307802607</v>
      </c>
      <c r="AM25" s="577">
        <f>IF(M25="","",AF25)</f>
        <v>-0.23973222016730517</v>
      </c>
      <c r="AN25" s="524">
        <f>IF(M25="","",DEGREES(ATAN2(-AM25,AL25)))</f>
        <v>-54.616826931126944</v>
      </c>
      <c r="AO25" s="525">
        <f>IF(ROUND(IF(M25="",0,DEGREES(ACOS(AK25))),4)=90,0,IF(M25="","",DEGREES(ACOS(AK25))))</f>
        <v>24.457328545074276</v>
      </c>
      <c r="AP25" s="528">
        <f>IF(M25="","",DEGREES(ATAN2(AK25,AL25)))</f>
        <v>-20.345767442349572</v>
      </c>
      <c r="AQ25" s="529">
        <f t="shared" si="21"/>
        <v>0.66598982205318868</v>
      </c>
      <c r="AS25" s="932">
        <f t="shared" si="143"/>
        <v>283.88549877673825</v>
      </c>
      <c r="AT25" s="928">
        <f t="shared" si="22"/>
        <v>-0.77973466683656001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2.12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14513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0.02</v>
      </c>
      <c r="B26" s="578">
        <f t="shared" si="2"/>
        <v>3.5583037819199812</v>
      </c>
      <c r="C26" s="572">
        <f t="shared" si="3"/>
        <v>0.81644698437573082</v>
      </c>
      <c r="D26" s="576">
        <f t="shared" si="4"/>
        <v>-1.4937944615156415</v>
      </c>
      <c r="E26" s="580">
        <f t="shared" si="5"/>
        <v>0.26710898925748988</v>
      </c>
      <c r="F26" s="572">
        <f t="shared" si="6"/>
        <v>0.95995461592126352</v>
      </c>
      <c r="G26" s="579">
        <f t="shared" si="7"/>
        <v>8.4498066423448759E-2</v>
      </c>
      <c r="H26" s="580">
        <f t="shared" si="8"/>
        <v>0.28499999999999998</v>
      </c>
      <c r="I26" s="572">
        <f t="shared" si="9"/>
        <v>0.52</v>
      </c>
      <c r="J26" s="483">
        <f t="shared" si="10"/>
        <v>2.125</v>
      </c>
      <c r="K26" s="806">
        <f t="shared" si="11"/>
        <v>14513</v>
      </c>
      <c r="L26" s="162"/>
      <c r="M26" s="164">
        <f t="shared" si="12"/>
        <v>2.125</v>
      </c>
      <c r="N26" s="575">
        <f t="shared" si="13"/>
        <v>3.5583037819199812</v>
      </c>
      <c r="O26" s="572">
        <f t="shared" si="14"/>
        <v>0.81644698437573082</v>
      </c>
      <c r="P26" s="576">
        <f t="shared" si="15"/>
        <v>-1.4937944615156415</v>
      </c>
      <c r="Q26" s="528">
        <f t="shared" si="140"/>
        <v>12.922742505096435</v>
      </c>
      <c r="R26" s="572">
        <f>IF(M26="","",SQRT(N26^2+O26^2))</f>
        <v>3.6507686153359904</v>
      </c>
      <c r="S26" s="577">
        <f>IF(M26="","",P26)</f>
        <v>-1.4937944615156415</v>
      </c>
      <c r="T26" s="578">
        <f>IF(M26="","",X26*COS(RADIANS(W26)))</f>
        <v>0.85463509025160433</v>
      </c>
      <c r="U26" s="572">
        <f>IF(M26="","",X26*SIN(RADIANS(W26)))</f>
        <v>-3.5493253366284834</v>
      </c>
      <c r="V26" s="579">
        <f>IF(M26="","",Y26)</f>
        <v>-1.4937944615156415</v>
      </c>
      <c r="W26" s="528">
        <f t="shared" si="253"/>
        <v>283.53841791642697</v>
      </c>
      <c r="X26" s="572">
        <f>IF(M26="","",R26)</f>
        <v>3.6507686153359904</v>
      </c>
      <c r="Y26" s="573">
        <f t="shared" si="255"/>
        <v>-1.4937944615156415</v>
      </c>
      <c r="Z26" s="575">
        <f t="shared" si="18"/>
        <v>-0.26710898925748988</v>
      </c>
      <c r="AA26" s="572">
        <f t="shared" si="19"/>
        <v>-0.95995461592126352</v>
      </c>
      <c r="AB26" s="572">
        <f t="shared" si="20"/>
        <v>-8.4498066423448759E-2</v>
      </c>
      <c r="AC26" s="579">
        <f>IF(M26="","",SQRT(Z26^2+AA26^2+AB26^2))</f>
        <v>1</v>
      </c>
      <c r="AD26" s="580">
        <f>IF(M26="","",Z26*(1/SQRT(Z26^2+AA26^2+AB26^2)))</f>
        <v>-0.26710898925748988</v>
      </c>
      <c r="AE26" s="572">
        <f>IF(M26="","",AA26*(1/SQRT(Z26^2+AA26^2+AB26^2)))</f>
        <v>-0.95995461592126352</v>
      </c>
      <c r="AF26" s="576">
        <f>IF(M26="","",AB26*(1/SQRT(Z26^2+AA26^2+AB26^2)))</f>
        <v>-8.4498066423448759E-2</v>
      </c>
      <c r="AG26" s="545">
        <f>IF(M26="","",DEGREES(ATAN2(-AF26,AE26)))</f>
        <v>-84.969619854104209</v>
      </c>
      <c r="AH26" s="546">
        <f>IF(M26="","",DEGREES(ACOS(AD26)))</f>
        <v>105.49230702938601</v>
      </c>
      <c r="AI26" s="528">
        <f>IF(M26="","",DEGREES(-ACOS(-AF26)))</f>
        <v>-85.15283764405649</v>
      </c>
      <c r="AJ26" s="529">
        <f>IF(M26="","",DEGREES(ATAN2(-AE26,AD26)))</f>
        <v>-15.549315741471696</v>
      </c>
      <c r="AK26" s="578">
        <f>IF(M26="","",(COS(RADIANS((90-$Q$8)-W26))*AD26)+(-SIN(RADIANS((90-$Q$8)-W26))*AE26))</f>
        <v>0.87590591145447116</v>
      </c>
      <c r="AL26" s="572">
        <f>IF(M26="","",(SIN(RADIANS((90-$Q$8)-W26))*AD26)+(COS(RADIANS((90-$Q$8)-W26))*AE26))</f>
        <v>-0.47502516885930418</v>
      </c>
      <c r="AM26" s="577">
        <f>IF(M26="","",AF26)</f>
        <v>-8.4498066423448759E-2</v>
      </c>
      <c r="AN26" s="524">
        <f>IF(M26="","",DEGREES(ATAN2(-AM26,AL26)))</f>
        <v>-79.91365573728622</v>
      </c>
      <c r="AO26" s="525">
        <f t="shared" si="116"/>
        <v>28.847628083391658</v>
      </c>
      <c r="AP26" s="528">
        <f>IF(M26="","",DEGREES(ATAN2(AK26,AL26)))</f>
        <v>-28.472058246568107</v>
      </c>
      <c r="AQ26" s="529">
        <f t="shared" si="21"/>
        <v>0.62442641943903632</v>
      </c>
      <c r="AS26" s="932">
        <f t="shared" si="143"/>
        <v>283.53841791642697</v>
      </c>
      <c r="AT26" s="928">
        <f t="shared" si="22"/>
        <v>-1.4425909646517265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2.125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14513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3.6128873673546993</v>
      </c>
      <c r="C27" s="572">
        <f t="shared" si="3"/>
        <v>0.82322481174977802</v>
      </c>
      <c r="D27" s="576">
        <f t="shared" si="4"/>
        <v>-2.2345782963066738</v>
      </c>
      <c r="E27" s="580">
        <f t="shared" si="5"/>
        <v>0.28878288962736104</v>
      </c>
      <c r="F27" s="572">
        <f t="shared" si="6"/>
        <v>0.95640232276153347</v>
      </c>
      <c r="G27" s="579">
        <f t="shared" si="7"/>
        <v>4.3577972357775233E-2</v>
      </c>
      <c r="H27" s="580">
        <f t="shared" si="8"/>
        <v>0.28499999999999998</v>
      </c>
      <c r="I27" s="572">
        <f t="shared" si="9"/>
        <v>0.52</v>
      </c>
      <c r="J27" s="483">
        <f t="shared" si="10"/>
        <v>2.13</v>
      </c>
      <c r="K27" s="806">
        <f t="shared" si="11"/>
        <v>14513</v>
      </c>
      <c r="L27" s="309"/>
      <c r="M27" s="164">
        <f t="shared" si="12"/>
        <v>2.13</v>
      </c>
      <c r="N27" s="575">
        <f t="shared" si="13"/>
        <v>3.6128873673546993</v>
      </c>
      <c r="O27" s="572">
        <f t="shared" si="14"/>
        <v>0.82322481174977802</v>
      </c>
      <c r="P27" s="576">
        <f t="shared" si="15"/>
        <v>-2.2345782963066738</v>
      </c>
      <c r="Q27" s="528">
        <f t="shared" si="140"/>
        <v>12.836141443975944</v>
      </c>
      <c r="R27" s="572">
        <f t="shared" si="101"/>
        <v>3.7054897408941274</v>
      </c>
      <c r="S27" s="577">
        <f t="shared" si="102"/>
        <v>-2.2345782963066738</v>
      </c>
      <c r="T27" s="578">
        <f t="shared" si="103"/>
        <v>0.86199904639269909</v>
      </c>
      <c r="U27" s="572">
        <f t="shared" si="104"/>
        <v>-3.6038329406188776</v>
      </c>
      <c r="V27" s="579">
        <f t="shared" si="141"/>
        <v>-2.2345782963066738</v>
      </c>
      <c r="W27" s="528">
        <f t="shared" si="253"/>
        <v>283.45181685530645</v>
      </c>
      <c r="X27" s="572">
        <f t="shared" si="105"/>
        <v>3.7054897408941274</v>
      </c>
      <c r="Y27" s="573">
        <f t="shared" si="255"/>
        <v>-2.2345782963066738</v>
      </c>
      <c r="Z27" s="575">
        <f t="shared" si="18"/>
        <v>-0.28878288962736104</v>
      </c>
      <c r="AA27" s="572">
        <f t="shared" si="19"/>
        <v>-0.95640232276153347</v>
      </c>
      <c r="AB27" s="572">
        <f t="shared" si="20"/>
        <v>-4.3577972357775233E-2</v>
      </c>
      <c r="AC27" s="579">
        <f t="shared" si="106"/>
        <v>1</v>
      </c>
      <c r="AD27" s="580">
        <f t="shared" si="142"/>
        <v>-0.28878288962736104</v>
      </c>
      <c r="AE27" s="572">
        <f t="shared" si="107"/>
        <v>-0.95640232276153347</v>
      </c>
      <c r="AF27" s="576">
        <f t="shared" si="108"/>
        <v>-4.3577972357775233E-2</v>
      </c>
      <c r="AG27" s="545">
        <f t="shared" si="109"/>
        <v>-87.391152159093465</v>
      </c>
      <c r="AH27" s="546">
        <f t="shared" si="110"/>
        <v>106.78510342759715</v>
      </c>
      <c r="AI27" s="528">
        <f t="shared" si="111"/>
        <v>-87.502375163624478</v>
      </c>
      <c r="AJ27" s="529">
        <f t="shared" si="112"/>
        <v>-16.801537494206691</v>
      </c>
      <c r="AK27" s="578">
        <f t="shared" si="238"/>
        <v>0.8683442284439804</v>
      </c>
      <c r="AL27" s="572">
        <f t="shared" si="113"/>
        <v>-0.49404378475314648</v>
      </c>
      <c r="AM27" s="577">
        <f t="shared" si="114"/>
        <v>-4.3577972357775233E-2</v>
      </c>
      <c r="AN27" s="524">
        <f t="shared" si="115"/>
        <v>-84.959174548900066</v>
      </c>
      <c r="AO27" s="525">
        <f t="shared" si="116"/>
        <v>29.733205429582988</v>
      </c>
      <c r="AP27" s="528">
        <f t="shared" si="117"/>
        <v>-29.637678938182603</v>
      </c>
      <c r="AQ27" s="529">
        <f t="shared" si="21"/>
        <v>0.61520586480471806</v>
      </c>
      <c r="AS27" s="932">
        <f t="shared" si="143"/>
        <v>283.45181685530645</v>
      </c>
      <c r="AT27" s="928">
        <f t="shared" si="22"/>
        <v>-2.1833146598169808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2.13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14513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2.9250623475972981</v>
      </c>
      <c r="C28" s="572">
        <f t="shared" si="3"/>
        <v>-0.1747851566833519</v>
      </c>
      <c r="D28" s="576">
        <f t="shared" si="4"/>
        <v>-0.34330306325781984</v>
      </c>
      <c r="E28" s="580">
        <f t="shared" si="5"/>
        <v>0.26168555525081205</v>
      </c>
      <c r="F28" s="572">
        <f t="shared" si="6"/>
        <v>0.89140570613724091</v>
      </c>
      <c r="G28" s="579">
        <f t="shared" si="7"/>
        <v>0.37002234694548009</v>
      </c>
      <c r="H28" s="580">
        <f t="shared" si="8"/>
        <v>0.26450000000000001</v>
      </c>
      <c r="I28" s="572">
        <f t="shared" si="9"/>
        <v>0.52</v>
      </c>
      <c r="J28" s="483">
        <f t="shared" si="10"/>
        <v>2.2149999999999999</v>
      </c>
      <c r="K28" s="806">
        <f t="shared" si="11"/>
        <v>1313</v>
      </c>
      <c r="L28" s="309"/>
      <c r="M28" s="164">
        <f t="shared" si="12"/>
        <v>2.2149999999999999</v>
      </c>
      <c r="N28" s="575">
        <f t="shared" si="13"/>
        <v>2.9250623475972981</v>
      </c>
      <c r="O28" s="572">
        <f t="shared" si="14"/>
        <v>-0.1747851566833519</v>
      </c>
      <c r="P28" s="576">
        <f t="shared" si="15"/>
        <v>-0.34330306325781984</v>
      </c>
      <c r="Q28" s="528">
        <f t="shared" si="140"/>
        <v>356.58039489588327</v>
      </c>
      <c r="R28" s="572">
        <f t="shared" si="101"/>
        <v>2.9302797798722637</v>
      </c>
      <c r="S28" s="577">
        <f t="shared" si="102"/>
        <v>-0.34330306325781984</v>
      </c>
      <c r="T28" s="578">
        <f t="shared" si="103"/>
        <v>-0.14334422880514863</v>
      </c>
      <c r="U28" s="572">
        <f t="shared" si="104"/>
        <v>-2.9267716037293545</v>
      </c>
      <c r="V28" s="579">
        <f t="shared" si="141"/>
        <v>-0.34330306325781984</v>
      </c>
      <c r="W28" s="528">
        <f t="shared" si="253"/>
        <v>267.1960703072138</v>
      </c>
      <c r="X28" s="572">
        <f t="shared" si="105"/>
        <v>2.9302797798722637</v>
      </c>
      <c r="Y28" s="573">
        <f t="shared" si="255"/>
        <v>-0.34330306325781984</v>
      </c>
      <c r="Z28" s="575">
        <f t="shared" si="18"/>
        <v>-0.26168555525081205</v>
      </c>
      <c r="AA28" s="572">
        <f t="shared" si="19"/>
        <v>-0.89140570613724091</v>
      </c>
      <c r="AB28" s="572">
        <f t="shared" si="20"/>
        <v>-0.37002234694548009</v>
      </c>
      <c r="AC28" s="579">
        <f t="shared" si="106"/>
        <v>1</v>
      </c>
      <c r="AD28" s="580">
        <f t="shared" si="142"/>
        <v>-0.26168555525081205</v>
      </c>
      <c r="AE28" s="572">
        <f t="shared" si="107"/>
        <v>-0.89140570613724091</v>
      </c>
      <c r="AF28" s="576">
        <f t="shared" si="108"/>
        <v>-0.37002234694548009</v>
      </c>
      <c r="AG28" s="545">
        <f t="shared" si="109"/>
        <v>-67.456671216404573</v>
      </c>
      <c r="AH28" s="546">
        <f t="shared" si="110"/>
        <v>105.17010056227824</v>
      </c>
      <c r="AI28" s="528">
        <f t="shared" si="111"/>
        <v>-68.283004516487168</v>
      </c>
      <c r="AJ28" s="529">
        <f t="shared" si="112"/>
        <v>-16.360394993946365</v>
      </c>
      <c r="AK28" s="578">
        <f t="shared" si="238"/>
        <v>0.90542754192139452</v>
      </c>
      <c r="AL28" s="572">
        <f t="shared" si="113"/>
        <v>-0.20804910259633511</v>
      </c>
      <c r="AM28" s="577">
        <f t="shared" si="114"/>
        <v>-0.37002234694548009</v>
      </c>
      <c r="AN28" s="524">
        <f t="shared" si="115"/>
        <v>-29.347346360517605</v>
      </c>
      <c r="AO28" s="525">
        <f t="shared" si="116"/>
        <v>25.119072540244474</v>
      </c>
      <c r="AP28" s="528">
        <f t="shared" si="117"/>
        <v>-12.940789889829615</v>
      </c>
      <c r="AQ28" s="529">
        <f t="shared" si="21"/>
        <v>0.77794159959952125</v>
      </c>
      <c r="AS28" s="932">
        <f t="shared" si="143"/>
        <v>267.1960703072138</v>
      </c>
      <c r="AT28" s="928">
        <f t="shared" si="22"/>
        <v>-0.28075071388750683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>Nose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2.2149999999999999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2.1150000000000002</v>
      </c>
      <c r="IK28" s="677" cm="1">
        <f t="array" ref="IK28">IFERROR(ROUND(VALUE(IF($IJ28&lt;1,$IJ28+LARGE((IF($M$9:$M$150="",0,$M$9:$M$150)-MOD(IF($M$9:$M$150="",0,$M$9:$M$150),1)),1),$IJ28)),4),"")</f>
        <v>2.1150000000000002</v>
      </c>
      <c r="IL28" s="482">
        <f t="shared" si="88"/>
        <v>14513</v>
      </c>
      <c r="IM28" s="482">
        <f t="shared" si="237"/>
        <v>1313</v>
      </c>
      <c r="IN28" s="670">
        <f t="shared" si="90"/>
        <v>17.347265329985078</v>
      </c>
      <c r="IO28" s="702">
        <v>1.93194311047949E-2</v>
      </c>
      <c r="IP28" s="5">
        <f t="shared" si="91"/>
        <v>0.66</v>
      </c>
      <c r="IQ28" s="714">
        <v>330</v>
      </c>
      <c r="IR28" s="9">
        <f t="shared" si="139"/>
        <v>-2.9262005695703541</v>
      </c>
      <c r="IS28" s="5">
        <f t="shared" si="92"/>
        <v>-0.3359084283493507</v>
      </c>
      <c r="IT28" s="5">
        <f t="shared" si="93"/>
        <v>0.28499999999999998</v>
      </c>
      <c r="IU28" s="5">
        <f t="shared" si="94"/>
        <v>0.26761984652755882</v>
      </c>
      <c r="IV28" s="670">
        <f t="shared" si="95"/>
        <v>29.131847697982931</v>
      </c>
      <c r="IW28" s="9">
        <f t="shared" si="96"/>
        <v>-2.9302797798722637</v>
      </c>
      <c r="IX28" s="5">
        <f t="shared" si="97"/>
        <v>-0.34330306325781984</v>
      </c>
      <c r="IY28" s="5">
        <f t="shared" si="98"/>
        <v>0.26450000000000001</v>
      </c>
      <c r="IZ28" s="5">
        <f t="shared" si="99"/>
        <v>0.23948558483820889</v>
      </c>
      <c r="JA28" s="705">
        <f t="shared" si="100"/>
        <v>29.347346360517605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3.4274507691018208</v>
      </c>
      <c r="C29" s="572">
        <f t="shared" si="3"/>
        <v>-0.14272151255402271</v>
      </c>
      <c r="D29" s="576">
        <f t="shared" si="4"/>
        <v>-0.83849262114678336</v>
      </c>
      <c r="E29" s="580">
        <f t="shared" si="5"/>
        <v>0.43739965709072204</v>
      </c>
      <c r="F29" s="572">
        <f t="shared" si="6"/>
        <v>0.85316600969161194</v>
      </c>
      <c r="G29" s="579">
        <f t="shared" si="7"/>
        <v>0.28423458600918233</v>
      </c>
      <c r="H29" s="580">
        <f t="shared" si="8"/>
        <v>0.26450000000000001</v>
      </c>
      <c r="I29" s="572">
        <f t="shared" si="9"/>
        <v>0.52</v>
      </c>
      <c r="J29" s="483">
        <f t="shared" si="10"/>
        <v>2.2200000000000002</v>
      </c>
      <c r="K29" s="806">
        <f t="shared" si="11"/>
        <v>1313</v>
      </c>
      <c r="L29" s="82"/>
      <c r="M29" s="164">
        <f t="shared" si="12"/>
        <v>2.2200000000000002</v>
      </c>
      <c r="N29" s="575">
        <f t="shared" si="13"/>
        <v>3.4274507691018208</v>
      </c>
      <c r="O29" s="572">
        <f t="shared" si="14"/>
        <v>-0.14272151255402271</v>
      </c>
      <c r="P29" s="576">
        <f t="shared" si="15"/>
        <v>-0.83849262114678336</v>
      </c>
      <c r="Q29" s="528">
        <f t="shared" si="140"/>
        <v>357.61554011659149</v>
      </c>
      <c r="R29" s="572">
        <f>IF(M29="","",SQRT(N29^2+O29^2))</f>
        <v>3.4304209952660867</v>
      </c>
      <c r="S29" s="577">
        <f>IF(M29="","",P29)</f>
        <v>-0.83849262114678336</v>
      </c>
      <c r="T29" s="578">
        <f>IF(M29="","",X29*COS(RADIANS(W29)))</f>
        <v>-0.10588409323681834</v>
      </c>
      <c r="U29" s="572">
        <f>IF(M29="","",X29*SIN(RADIANS(W29)))</f>
        <v>-3.4287864855604213</v>
      </c>
      <c r="V29" s="579">
        <f>IF(M29="","",Y29)</f>
        <v>-0.83849262114678336</v>
      </c>
      <c r="W29" s="528">
        <f t="shared" si="253"/>
        <v>268.23121552792202</v>
      </c>
      <c r="X29" s="572">
        <f>IF(M29="","",R29)</f>
        <v>3.4304209952660867</v>
      </c>
      <c r="Y29" s="573">
        <f t="shared" si="255"/>
        <v>-0.83849262114678336</v>
      </c>
      <c r="Z29" s="575">
        <f t="shared" si="18"/>
        <v>-0.43739965709072204</v>
      </c>
      <c r="AA29" s="572">
        <f t="shared" si="19"/>
        <v>-0.85316600969161194</v>
      </c>
      <c r="AB29" s="572">
        <f t="shared" si="20"/>
        <v>-0.28423458600918233</v>
      </c>
      <c r="AC29" s="579">
        <f>IF(M29="","",SQRT(Z29^2+AA29^2+AB29^2))</f>
        <v>1</v>
      </c>
      <c r="AD29" s="580">
        <f>IF(M29="","",Z29*(1/SQRT(Z29^2+AA29^2+AB29^2)))</f>
        <v>-0.43739965709072204</v>
      </c>
      <c r="AE29" s="572">
        <f>IF(M29="","",AA29*(1/SQRT(Z29^2+AA29^2+AB29^2)))</f>
        <v>-0.85316600969161194</v>
      </c>
      <c r="AF29" s="576">
        <f>IF(M29="","",AB29*(1/SQRT(Z29^2+AA29^2+AB29^2)))</f>
        <v>-0.28423458600918233</v>
      </c>
      <c r="AG29" s="545">
        <f>IF(M29="","",DEGREES(ATAN2(-AF29,AE29)))</f>
        <v>-71.574364664939012</v>
      </c>
      <c r="AH29" s="546">
        <f>IF(M29="","",DEGREES(ACOS(AD29)))</f>
        <v>115.93808636550661</v>
      </c>
      <c r="AI29" s="528">
        <f>IF(M29="","",DEGREES(-ACOS(-AF29)))</f>
        <v>-73.48689844756484</v>
      </c>
      <c r="AJ29" s="529">
        <f>IF(M29="","",DEGREES(ATAN2(-AE29,AD29)))</f>
        <v>-27.143227534165081</v>
      </c>
      <c r="AK29" s="578">
        <f>IF(M29="","",(COS(RADIANS((90-$Q$8)-W29))*AD29)+(-SIN(RADIANS((90-$Q$8)-W29))*AE29))</f>
        <v>0.87062516258532385</v>
      </c>
      <c r="AL29" s="572">
        <f>IF(M29="","",(SIN(RADIANS((90-$Q$8)-W29))*AD29)+(COS(RADIANS((90-$Q$8)-W29))*AE29))</f>
        <v>-0.40152525000237194</v>
      </c>
      <c r="AM29" s="577">
        <f>IF(M29="","",AF29)</f>
        <v>-0.28423458600918233</v>
      </c>
      <c r="AN29" s="524">
        <f>IF(M29="","",DEGREES(ATAN2(-AM29,AL29)))</f>
        <v>-54.705811379517804</v>
      </c>
      <c r="AO29" s="525">
        <f t="shared" si="116"/>
        <v>29.468631118943247</v>
      </c>
      <c r="AP29" s="528">
        <f>IF(M29="","",DEGREES(ATAN2(AK29,AL29)))</f>
        <v>-24.758767650756589</v>
      </c>
      <c r="AQ29" s="529">
        <f t="shared" si="21"/>
        <v>0.66453196599677933</v>
      </c>
      <c r="AS29" s="932">
        <f t="shared" si="143"/>
        <v>268.23121552792202</v>
      </c>
      <c r="AT29" s="928">
        <f t="shared" si="22"/>
        <v>-0.77665912262418435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2.2200000000000002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</v>
      </c>
      <c r="IK29" s="677" cm="1">
        <f t="array" ref="IK29">IFERROR(ROUND(VALUE(IF($IJ29&lt;1,$IJ29+LARGE((IF($M$9:$M$150="",0,$M$9:$M$150)-MOD(IF($M$9:$M$150="",0,$M$9:$M$150),1)),1),$IJ29)),4),"")</f>
        <v>2.12</v>
      </c>
      <c r="IL29" s="482">
        <f t="shared" si="88"/>
        <v>14513</v>
      </c>
      <c r="IM29" s="482">
        <f t="shared" si="237"/>
        <v>1313</v>
      </c>
      <c r="IN29" s="670">
        <f t="shared" si="90"/>
        <v>15.654283248816228</v>
      </c>
      <c r="IO29" s="702">
        <v>1.3325825966331899E-2</v>
      </c>
      <c r="IP29" s="5">
        <f t="shared" si="91"/>
        <v>0.68</v>
      </c>
      <c r="IQ29" s="714">
        <v>340</v>
      </c>
      <c r="IR29" s="9">
        <f t="shared" si="139"/>
        <v>-3.4229111071668892</v>
      </c>
      <c r="IS29" s="5">
        <f t="shared" si="92"/>
        <v>-0.8306971353252588</v>
      </c>
      <c r="IT29" s="5">
        <f t="shared" si="93"/>
        <v>0.28499999999999998</v>
      </c>
      <c r="IU29" s="5">
        <f t="shared" si="94"/>
        <v>0.25942691133742174</v>
      </c>
      <c r="IV29" s="670">
        <f t="shared" si="95"/>
        <v>54.616826931126944</v>
      </c>
      <c r="IW29" s="9">
        <f t="shared" si="96"/>
        <v>-3.4304209952660867</v>
      </c>
      <c r="IX29" s="5">
        <f t="shared" si="97"/>
        <v>-0.83849262114678336</v>
      </c>
      <c r="IY29" s="5">
        <f t="shared" si="98"/>
        <v>0.26450000000000001</v>
      </c>
      <c r="IZ29" s="5">
        <f t="shared" si="99"/>
        <v>0.23028035550381817</v>
      </c>
      <c r="JA29" s="705">
        <f t="shared" si="100"/>
        <v>54.705811379517804</v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12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320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340</v>
      </c>
    </row>
    <row r="30" spans="1:271" ht="15" customHeight="1" x14ac:dyDescent="0.25">
      <c r="A30" s="75">
        <f t="shared" si="1"/>
        <v>0</v>
      </c>
      <c r="B30" s="578">
        <f t="shared" si="2"/>
        <v>3.5935770788112866</v>
      </c>
      <c r="C30" s="572">
        <f t="shared" si="3"/>
        <v>-0.39532447927614006</v>
      </c>
      <c r="D30" s="576">
        <f t="shared" si="4"/>
        <v>-1.5162778929536205</v>
      </c>
      <c r="E30" s="580">
        <f t="shared" si="5"/>
        <v>0.98657309008179672</v>
      </c>
      <c r="F30" s="572">
        <f t="shared" si="6"/>
        <v>-0.10853155075038955</v>
      </c>
      <c r="G30" s="579">
        <f t="shared" si="7"/>
        <v>0.12204278109814883</v>
      </c>
      <c r="H30" s="580">
        <f t="shared" si="8"/>
        <v>0.255</v>
      </c>
      <c r="I30" s="572">
        <f t="shared" si="9"/>
        <v>0.41499999999999992</v>
      </c>
      <c r="J30" s="483">
        <f t="shared" si="10"/>
        <v>2.2250000000000001</v>
      </c>
      <c r="K30" s="806" t="str">
        <f t="shared" si="11"/>
        <v>CPS-32193r1</v>
      </c>
      <c r="L30" s="82"/>
      <c r="M30" s="164">
        <f t="shared" si="12"/>
        <v>2.2250000000000001</v>
      </c>
      <c r="N30" s="575">
        <f t="shared" si="13"/>
        <v>3.5935770788112866</v>
      </c>
      <c r="O30" s="572">
        <f t="shared" si="14"/>
        <v>-0.39532447927614006</v>
      </c>
      <c r="P30" s="576">
        <f t="shared" si="15"/>
        <v>-1.5162778929536205</v>
      </c>
      <c r="Q30" s="528">
        <f t="shared" si="140"/>
        <v>353.7222131482132</v>
      </c>
      <c r="R30" s="572">
        <f>IF(M30="","",SQRT(N30^2+O30^2))</f>
        <v>3.6152562378443953</v>
      </c>
      <c r="S30" s="577">
        <f>IF(M30="","",P30)</f>
        <v>-1.5162778929536205</v>
      </c>
      <c r="T30" s="578">
        <f>IF(M30="","",X30*COS(RADIANS(W30)))</f>
        <v>-0.35668739004819094</v>
      </c>
      <c r="U30" s="572">
        <f>IF(M30="","",X30*SIN(RADIANS(W30)))</f>
        <v>-3.5976175131680441</v>
      </c>
      <c r="V30" s="579">
        <f>IF(M30="","",Y30)</f>
        <v>-1.5162778929536205</v>
      </c>
      <c r="W30" s="528">
        <f t="shared" si="253"/>
        <v>264.33788855954373</v>
      </c>
      <c r="X30" s="572">
        <f>IF(M30="","",R30)</f>
        <v>3.6152562378443953</v>
      </c>
      <c r="Y30" s="573">
        <f t="shared" si="255"/>
        <v>-1.5162778929536205</v>
      </c>
      <c r="Z30" s="575">
        <f t="shared" si="18"/>
        <v>-0.98657309008179672</v>
      </c>
      <c r="AA30" s="572">
        <f t="shared" si="19"/>
        <v>0.10853155075038955</v>
      </c>
      <c r="AB30" s="572">
        <f t="shared" si="20"/>
        <v>-0.12204278109814883</v>
      </c>
      <c r="AC30" s="579">
        <f>IF(M30="","",SQRT(Z30^2+AA30^2+AB30^2))</f>
        <v>1</v>
      </c>
      <c r="AD30" s="580">
        <f>IF(M30="","",Z30*(1/SQRT(Z30^2+AA30^2+AB30^2)))</f>
        <v>-0.98657309008179672</v>
      </c>
      <c r="AE30" s="572">
        <f>IF(M30="","",AA30*(1/SQRT(Z30^2+AA30^2+AB30^2)))</f>
        <v>0.10853155075038955</v>
      </c>
      <c r="AF30" s="576">
        <f>IF(M30="","",AB30*(1/SQRT(Z30^2+AA30^2+AB30^2)))</f>
        <v>-0.12204278109814883</v>
      </c>
      <c r="AG30" s="545">
        <f>IF(M30="","",DEGREES(ATAN2(-AF30,AE30)))</f>
        <v>41.64640800339938</v>
      </c>
      <c r="AH30" s="546">
        <f>IF(M30="","",DEGREES(ACOS(AD30)))</f>
        <v>170.60032572042843</v>
      </c>
      <c r="AI30" s="528">
        <f>IF(M30="","",DEGREES(-ACOS(-AF30)))</f>
        <v>-82.989988017728251</v>
      </c>
      <c r="AJ30" s="529">
        <f>IF(M30="","",DEGREES(ATAN2(-AE30,AD30)))</f>
        <v>-96.2777868517869</v>
      </c>
      <c r="AK30" s="578">
        <f>IF(M30="","",(COS(RADIANS((90-$Q$8)-W30))*AD30)+(-SIN(RADIANS((90-$Q$8)-W30))*AE30))</f>
        <v>-1.3877787807814457E-15</v>
      </c>
      <c r="AL30" s="572">
        <f>IF(M30="","",(SIN(RADIANS((90-$Q$8)-W30))*AD30)+(COS(RADIANS((90-$Q$8)-W30))*AE30))</f>
        <v>-0.99252484078829462</v>
      </c>
      <c r="AM30" s="577">
        <f>IF(M30="","",AF30)</f>
        <v>-0.12204278109814883</v>
      </c>
      <c r="AN30" s="524">
        <f>IF(M30="","",DEGREES(ATAN2(-AM30,AL30)))</f>
        <v>-82.989988017728265</v>
      </c>
      <c r="AO30" s="525">
        <f>IF(ROUND(IF(M30="",0,DEGREES(ACOS(AK30))),4)=90,0,IF(M30="","",DEGREES(ACOS(AK30))))</f>
        <v>0</v>
      </c>
      <c r="AP30" s="528">
        <f>IF(M30="","",DEGREES(ATAN2(AK30,AL30)))</f>
        <v>-90.000000000000071</v>
      </c>
      <c r="AQ30" s="529">
        <f t="shared" si="21"/>
        <v>0.63055961816809025</v>
      </c>
      <c r="AS30" s="932">
        <f t="shared" si="143"/>
        <v>264.33788855954373</v>
      </c>
      <c r="AT30" s="928">
        <f t="shared" si="22"/>
        <v>-1.4517406951474254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2.2250000000000001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2.125</v>
      </c>
      <c r="IK30" s="677" cm="1">
        <f t="array" ref="IK30">IFERROR(ROUND(VALUE(IF($IJ30&lt;1,$IJ30+LARGE((IF($M$9:$M$150="",0,$M$9:$M$150)-MOD(IF($M$9:$M$150="",0,$M$9:$M$150),1)),1),$IJ30)),4),"")</f>
        <v>2.125</v>
      </c>
      <c r="IL30" s="482">
        <f t="shared" si="88"/>
        <v>14513</v>
      </c>
      <c r="IM30" s="482" t="str">
        <f t="shared" si="237"/>
        <v>CPS-32193r1</v>
      </c>
      <c r="IN30" s="670">
        <f t="shared" si="90"/>
        <v>19.200529356883237</v>
      </c>
      <c r="IO30" s="702">
        <v>2.8134091345417899E-2</v>
      </c>
      <c r="IP30" s="5">
        <f t="shared" si="91"/>
        <v>1.1000000000000001</v>
      </c>
      <c r="IQ30" s="714">
        <v>550</v>
      </c>
      <c r="IR30" s="9">
        <f t="shared" si="139"/>
        <v>-3.6507686153359904</v>
      </c>
      <c r="IS30" s="5">
        <f t="shared" si="92"/>
        <v>-1.4937944615156415</v>
      </c>
      <c r="IT30" s="5">
        <f t="shared" si="93"/>
        <v>0.28499999999999998</v>
      </c>
      <c r="IU30" s="5">
        <f t="shared" si="94"/>
        <v>0.24963318476452426</v>
      </c>
      <c r="IV30" s="670">
        <f t="shared" si="95"/>
        <v>79.91365573728622</v>
      </c>
      <c r="IW30" s="9">
        <f t="shared" si="96"/>
        <v>-3.6152562378443953</v>
      </c>
      <c r="IX30" s="5">
        <f t="shared" si="97"/>
        <v>-1.5162778929536205</v>
      </c>
      <c r="IY30" s="5">
        <f t="shared" si="98"/>
        <v>0.255</v>
      </c>
      <c r="IZ30" s="5">
        <f t="shared" si="99"/>
        <v>0.255</v>
      </c>
      <c r="JA30" s="705">
        <f t="shared" si="100"/>
        <v>82.989988017728265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12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300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530</v>
      </c>
    </row>
    <row r="31" spans="1:271" ht="15" customHeight="1" x14ac:dyDescent="0.25">
      <c r="A31" s="75">
        <f t="shared" si="1"/>
        <v>0</v>
      </c>
      <c r="B31" s="578">
        <f t="shared" si="2"/>
        <v>3.6422937812984353</v>
      </c>
      <c r="C31" s="572">
        <f t="shared" si="3"/>
        <v>-0.42849064723237962</v>
      </c>
      <c r="D31" s="576">
        <f t="shared" si="4"/>
        <v>-2.2544175252978862</v>
      </c>
      <c r="E31" s="580">
        <f t="shared" si="5"/>
        <v>0.98937180504567968</v>
      </c>
      <c r="F31" s="572">
        <f t="shared" si="6"/>
        <v>-0.11639274329660677</v>
      </c>
      <c r="G31" s="579">
        <f t="shared" si="7"/>
        <v>8.7155956127759171E-2</v>
      </c>
      <c r="H31" s="580">
        <f t="shared" si="8"/>
        <v>0.255</v>
      </c>
      <c r="I31" s="572">
        <f t="shared" si="9"/>
        <v>0.41499999999999992</v>
      </c>
      <c r="J31" s="483">
        <f t="shared" si="10"/>
        <v>2.23</v>
      </c>
      <c r="K31" s="806" t="str">
        <f t="shared" si="11"/>
        <v>CPS-32193r1</v>
      </c>
      <c r="L31" s="309"/>
      <c r="M31" s="164">
        <f t="shared" si="12"/>
        <v>2.23</v>
      </c>
      <c r="N31" s="575">
        <f t="shared" si="13"/>
        <v>3.6422937812984353</v>
      </c>
      <c r="O31" s="572">
        <f t="shared" si="14"/>
        <v>-0.42849064723237962</v>
      </c>
      <c r="P31" s="576">
        <f t="shared" si="15"/>
        <v>-2.2544175252978862</v>
      </c>
      <c r="Q31" s="528">
        <f t="shared" si="140"/>
        <v>353.29038822780814</v>
      </c>
      <c r="R31" s="572">
        <f>IF(M31="","",SQRT(N31^2+O31^2))</f>
        <v>3.6674116518398745</v>
      </c>
      <c r="S31" s="577">
        <f>IF(M31="","",P31)</f>
        <v>-2.2544175252978862</v>
      </c>
      <c r="T31" s="578">
        <f>IF(M31="","",X31*COS(RADIANS(W31)))</f>
        <v>-0.38932816489782018</v>
      </c>
      <c r="U31" s="572">
        <f>IF(M31="","",X31*SIN(RADIANS(W31)))</f>
        <v>-3.6466877853839055</v>
      </c>
      <c r="V31" s="579">
        <f>IF(M31="","",Y31)</f>
        <v>-2.2544175252978862</v>
      </c>
      <c r="W31" s="528">
        <f t="shared" si="253"/>
        <v>263.90606363913867</v>
      </c>
      <c r="X31" s="572">
        <f>IF(M31="","",R31)</f>
        <v>3.6674116518398745</v>
      </c>
      <c r="Y31" s="573">
        <f t="shared" si="255"/>
        <v>-2.2544175252978862</v>
      </c>
      <c r="Z31" s="575">
        <f t="shared" si="18"/>
        <v>-0.98937180504567968</v>
      </c>
      <c r="AA31" s="572">
        <f t="shared" si="19"/>
        <v>0.11639274329660677</v>
      </c>
      <c r="AB31" s="572">
        <f t="shared" si="20"/>
        <v>-8.7155956127759171E-2</v>
      </c>
      <c r="AC31" s="579">
        <f>IF(M31="","",SQRT(Z31^2+AA31^2+AB31^2))</f>
        <v>1</v>
      </c>
      <c r="AD31" s="580">
        <f>IF(M31="","",Z31*(1/SQRT(Z31^2+AA31^2+AB31^2)))</f>
        <v>-0.98937180504567968</v>
      </c>
      <c r="AE31" s="572">
        <f>IF(M31="","",AA31*(1/SQRT(Z31^2+AA31^2+AB31^2)))</f>
        <v>0.11639274329660677</v>
      </c>
      <c r="AF31" s="576">
        <f>IF(M31="","",AB31*(1/SQRT(Z31^2+AA31^2+AB31^2)))</f>
        <v>-8.7155956127759171E-2</v>
      </c>
      <c r="AG31" s="545">
        <f>IF(M31="","",DEGREES(ATAN2(-AF31,AE31)))</f>
        <v>53.173793392887951</v>
      </c>
      <c r="AH31" s="546">
        <f>IF(M31="","",DEGREES(ACOS(AD31)))</f>
        <v>171.6391046957971</v>
      </c>
      <c r="AI31" s="528">
        <f>IF(M31="","",DEGREES(-ACOS(-AF31)))</f>
        <v>-84.999987727520178</v>
      </c>
      <c r="AJ31" s="529">
        <f>IF(M31="","",DEGREES(ATAN2(-AE31,AD31)))</f>
        <v>-96.70961177219192</v>
      </c>
      <c r="AK31" s="578">
        <f>IF(M31="","",(COS(RADIANS((90-$Q$8)-W31))*AD31)+(-SIN(RADIANS((90-$Q$8)-W31))*AE31))</f>
        <v>-8.7430063189231078E-16</v>
      </c>
      <c r="AL31" s="572">
        <f>IF(M31="","",(SIN(RADIANS((90-$Q$8)-W31))*AD31)+(COS(RADIANS((90-$Q$8)-W31))*AE31))</f>
        <v>-0.99619467942338269</v>
      </c>
      <c r="AM31" s="577">
        <f>IF(M31="","",AF31)</f>
        <v>-8.7155956127759171E-2</v>
      </c>
      <c r="AN31" s="524">
        <f>IF(M31="","",DEGREES(ATAN2(-AM31,AL31)))</f>
        <v>-84.999987727520178</v>
      </c>
      <c r="AO31" s="525">
        <f t="shared" si="116"/>
        <v>0</v>
      </c>
      <c r="AP31" s="528">
        <f>IF(M31="","",DEGREES(ATAN2(AK31,AL31)))</f>
        <v>-90.000000000000057</v>
      </c>
      <c r="AQ31" s="529">
        <f t="shared" si="21"/>
        <v>0.62159294029767143</v>
      </c>
      <c r="AS31" s="932">
        <f t="shared" si="143"/>
        <v>263.90606363913867</v>
      </c>
      <c r="AT31" s="928">
        <f t="shared" si="22"/>
        <v>-2.189580449074743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>Gage</v>
      </c>
      <c r="II31" s="788">
        <f t="shared" si="236"/>
        <v>2.23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2.13</v>
      </c>
      <c r="IK31" s="677" cm="1">
        <f t="array" ref="IK31">IFERROR(ROUND(VALUE(IF($IJ31&lt;1,$IJ31+LARGE((IF($M$9:$M$150="",0,$M$9:$M$150)-MOD(IF($M$9:$M$150="",0,$M$9:$M$150),1)),1),$IJ31)),4),"")</f>
        <v>2.13</v>
      </c>
      <c r="IL31" s="482">
        <f t="shared" si="88"/>
        <v>14513</v>
      </c>
      <c r="IM31" s="482" t="str">
        <f t="shared" si="237"/>
        <v>CPS-32193r1</v>
      </c>
      <c r="IN31" s="670">
        <f t="shared" si="90"/>
        <v>19.545753216167782</v>
      </c>
      <c r="IO31" s="702">
        <v>2.75441487380307E-2</v>
      </c>
      <c r="IP31" s="5">
        <f t="shared" si="91"/>
        <v>1.1399999999999999</v>
      </c>
      <c r="IQ31" s="714">
        <v>570</v>
      </c>
      <c r="IR31" s="9">
        <f t="shared" si="139"/>
        <v>-3.7054897408941274</v>
      </c>
      <c r="IS31" s="5">
        <f t="shared" si="92"/>
        <v>-2.2345782963066738</v>
      </c>
      <c r="IT31" s="5">
        <f t="shared" si="93"/>
        <v>0.28499999999999998</v>
      </c>
      <c r="IU31" s="5">
        <f t="shared" si="94"/>
        <v>0.2474781051065344</v>
      </c>
      <c r="IV31" s="670">
        <f t="shared" si="95"/>
        <v>84.959174548900066</v>
      </c>
      <c r="IW31" s="9">
        <f t="shared" si="96"/>
        <v>-3.6674116518398745</v>
      </c>
      <c r="IX31" s="5">
        <f t="shared" si="97"/>
        <v>-2.2544175252978862</v>
      </c>
      <c r="IY31" s="5">
        <f t="shared" si="98"/>
        <v>0.255</v>
      </c>
      <c r="IZ31" s="5">
        <f t="shared" si="99"/>
        <v>0.255</v>
      </c>
      <c r="JA31" s="705">
        <f t="shared" si="100"/>
        <v>84.999987727520178</v>
      </c>
    </row>
    <row r="32" spans="1:271" ht="15" customHeight="1" x14ac:dyDescent="0.25">
      <c r="A32" s="75">
        <f t="shared" si="1"/>
        <v>0.02</v>
      </c>
      <c r="B32" s="578">
        <f t="shared" si="2"/>
        <v>0.42140547472348583</v>
      </c>
      <c r="C32" s="572">
        <f t="shared" si="3"/>
        <v>-0.63517543822307931</v>
      </c>
      <c r="D32" s="576">
        <f t="shared" si="4"/>
        <v>-0.54701703269716762</v>
      </c>
      <c r="E32" s="580">
        <f t="shared" si="5"/>
        <v>0.765830157679247</v>
      </c>
      <c r="F32" s="572">
        <f t="shared" si="6"/>
        <v>0.57354769993204602</v>
      </c>
      <c r="G32" s="579">
        <f t="shared" si="7"/>
        <v>0.29077002165223187</v>
      </c>
      <c r="H32" s="580">
        <f t="shared" si="8"/>
        <v>0.28499999999999998</v>
      </c>
      <c r="I32" s="572">
        <f t="shared" si="9"/>
        <v>0.52</v>
      </c>
      <c r="J32" s="483">
        <f t="shared" si="10"/>
        <v>3.1030000000000002</v>
      </c>
      <c r="K32" s="806">
        <f t="shared" si="11"/>
        <v>14513</v>
      </c>
      <c r="L32" s="309"/>
      <c r="M32" s="164">
        <f t="shared" si="12"/>
        <v>3.1030000000000002</v>
      </c>
      <c r="N32" s="575">
        <f t="shared" si="13"/>
        <v>0.42140547472348583</v>
      </c>
      <c r="O32" s="572">
        <f t="shared" si="14"/>
        <v>-0.63517543822307931</v>
      </c>
      <c r="P32" s="576">
        <f t="shared" si="15"/>
        <v>-0.54701703269716762</v>
      </c>
      <c r="Q32" s="528">
        <f t="shared" si="140"/>
        <v>303.56218014988724</v>
      </c>
      <c r="R32" s="572">
        <f t="shared" si="101"/>
        <v>0.76225350864971908</v>
      </c>
      <c r="S32" s="577">
        <f t="shared" si="102"/>
        <v>-0.54701703269716762</v>
      </c>
      <c r="T32" s="578">
        <f t="shared" si="103"/>
        <v>-0.63061061567947196</v>
      </c>
      <c r="U32" s="572">
        <f t="shared" si="104"/>
        <v>-0.42820633208905812</v>
      </c>
      <c r="V32" s="579">
        <f t="shared" si="141"/>
        <v>-0.54701703269716762</v>
      </c>
      <c r="W32" s="528">
        <f t="shared" si="253"/>
        <v>214.17785556121777</v>
      </c>
      <c r="X32" s="572">
        <f t="shared" si="105"/>
        <v>0.76225350864971908</v>
      </c>
      <c r="Y32" s="573">
        <f t="shared" si="255"/>
        <v>-0.54701703269716762</v>
      </c>
      <c r="Z32" s="575">
        <f t="shared" si="18"/>
        <v>-0.765830157679247</v>
      </c>
      <c r="AA32" s="572">
        <f t="shared" si="19"/>
        <v>-0.57354769993204602</v>
      </c>
      <c r="AB32" s="572">
        <f t="shared" si="20"/>
        <v>-0.29077002165223187</v>
      </c>
      <c r="AC32" s="579">
        <f t="shared" si="106"/>
        <v>1</v>
      </c>
      <c r="AD32" s="580">
        <f t="shared" si="142"/>
        <v>-0.765830157679247</v>
      </c>
      <c r="AE32" s="572">
        <f t="shared" si="107"/>
        <v>-0.57354769993204602</v>
      </c>
      <c r="AF32" s="576">
        <f t="shared" si="108"/>
        <v>-0.29077002165223187</v>
      </c>
      <c r="AG32" s="545">
        <f t="shared" si="109"/>
        <v>-63.116474770519552</v>
      </c>
      <c r="AH32" s="546">
        <f t="shared" si="110"/>
        <v>139.98090315774309</v>
      </c>
      <c r="AI32" s="528">
        <f t="shared" si="111"/>
        <v>-73.095938286051293</v>
      </c>
      <c r="AJ32" s="529">
        <f t="shared" si="112"/>
        <v>-53.16962132526006</v>
      </c>
      <c r="AK32" s="578">
        <f t="shared" si="238"/>
        <v>0.95523685822664306</v>
      </c>
      <c r="AL32" s="572">
        <f t="shared" si="113"/>
        <v>5.454666986767287E-2</v>
      </c>
      <c r="AM32" s="577">
        <f t="shared" si="114"/>
        <v>-0.29077002165223187</v>
      </c>
      <c r="AN32" s="524">
        <f t="shared" si="115"/>
        <v>10.624850163126316</v>
      </c>
      <c r="AO32" s="525">
        <f t="shared" si="116"/>
        <v>17.208039886648105</v>
      </c>
      <c r="AP32" s="528">
        <f t="shared" si="117"/>
        <v>3.2681985248527052</v>
      </c>
      <c r="AQ32" s="529">
        <f t="shared" si="21"/>
        <v>2.9880603339972867</v>
      </c>
      <c r="AS32" s="932">
        <f t="shared" si="143"/>
        <v>214.17785556121777</v>
      </c>
      <c r="AT32" s="928">
        <f t="shared" si="22"/>
        <v>-0.44764647864213514</v>
      </c>
      <c r="AU32" s="418"/>
      <c r="AV32" s="164">
        <f t="shared" si="23"/>
        <v>3.1030000000000002</v>
      </c>
      <c r="AW32" s="829">
        <f>IFERROR(INDEX(MassProp!C$9:C$150,MATCH($M32,MassProp!$B$9:$B$150,0)),"")</f>
        <v>0.69930000000000003</v>
      </c>
      <c r="AX32" s="830">
        <f>IFERROR(INDEX(MassProp!D$9:D$150,MATCH($M32,MassProp!$B$9:$B$150,0)),"")</f>
        <v>5.91E-2</v>
      </c>
      <c r="AY32" s="831">
        <f>IFERROR(INDEX(MassProp!E$9:E$150,MATCH($M32,MassProp!$B$9:$B$150,0)),"")</f>
        <v>6.0400000000000002E-2</v>
      </c>
      <c r="AZ32" s="297">
        <f t="shared" si="144"/>
        <v>0.26581665411209499</v>
      </c>
      <c r="BA32" s="296">
        <f t="shared" si="24"/>
        <v>7.8911423047673554E-2</v>
      </c>
      <c r="BB32" s="190">
        <f t="shared" si="145"/>
        <v>0.25674647864213512</v>
      </c>
      <c r="BC32" s="9"/>
      <c r="BD32" s="5">
        <f t="shared" si="146"/>
        <v>0.69930000000000003</v>
      </c>
      <c r="BE32" s="6">
        <f t="shared" si="25"/>
        <v>-0.29027055405503249</v>
      </c>
      <c r="BF32" s="4">
        <f t="shared" si="26"/>
        <v>0.42140547472348583</v>
      </c>
      <c r="BG32" s="5">
        <f t="shared" si="27"/>
        <v>-0.63517543822307931</v>
      </c>
      <c r="BH32" s="10">
        <f t="shared" si="28"/>
        <v>-0.54701703269716762</v>
      </c>
      <c r="BI32" s="9">
        <f t="shared" si="147"/>
        <v>0.42140547472348583</v>
      </c>
      <c r="BJ32" s="5">
        <f t="shared" si="29"/>
        <v>-0.18299717417123684</v>
      </c>
      <c r="BK32" s="8">
        <f t="shared" si="30"/>
        <v>-1.4389446180532111</v>
      </c>
      <c r="BL32" s="173">
        <f t="shared" si="31"/>
        <v>1.0644483734394112</v>
      </c>
      <c r="BM32" s="5">
        <f t="shared" si="32"/>
        <v>-1.3182404815547679</v>
      </c>
      <c r="BN32" s="6">
        <f t="shared" si="33"/>
        <v>-0.89330878395511826</v>
      </c>
      <c r="BO32" s="4">
        <f t="shared" si="148"/>
        <v>-0.76583015767924667</v>
      </c>
      <c r="BP32" s="5">
        <f t="shared" si="239"/>
        <v>-0.57354769993204613</v>
      </c>
      <c r="BQ32" s="5">
        <f t="shared" si="149"/>
        <v>-0.29077002165223187</v>
      </c>
      <c r="BR32" s="6">
        <f t="shared" si="150"/>
        <v>-0.20063454493328667</v>
      </c>
      <c r="BS32" s="4">
        <f t="shared" si="118"/>
        <v>0</v>
      </c>
      <c r="BT32" s="5">
        <f t="shared" si="118"/>
        <v>0</v>
      </c>
      <c r="BU32" s="10">
        <f t="shared" si="119"/>
        <v>-0.29027055405503249</v>
      </c>
      <c r="BV32" s="9">
        <f t="shared" si="120"/>
        <v>0</v>
      </c>
      <c r="BW32" s="5">
        <f t="shared" si="121"/>
        <v>1</v>
      </c>
      <c r="BX32" s="8">
        <f t="shared" si="122"/>
        <v>-0.29027055405503249</v>
      </c>
      <c r="BY32" s="173">
        <f t="shared" si="123"/>
        <v>1</v>
      </c>
      <c r="BZ32" s="5">
        <f t="shared" si="124"/>
        <v>0</v>
      </c>
      <c r="CA32" s="6">
        <f t="shared" si="125"/>
        <v>-0.29027055405503249</v>
      </c>
      <c r="CB32" s="4">
        <f t="shared" si="151"/>
        <v>0</v>
      </c>
      <c r="CC32" s="5">
        <f t="shared" si="152"/>
        <v>0</v>
      </c>
      <c r="CD32" s="5">
        <f t="shared" si="153"/>
        <v>-1</v>
      </c>
      <c r="CE32" s="6">
        <f t="shared" si="154"/>
        <v>-0.29027055405503249</v>
      </c>
      <c r="CF32" s="4">
        <f t="shared" si="155"/>
        <v>0.57354769993204613</v>
      </c>
      <c r="CG32" s="5">
        <f t="shared" si="156"/>
        <v>-0.76583015767924667</v>
      </c>
      <c r="CH32" s="5">
        <f t="shared" si="157"/>
        <v>0</v>
      </c>
      <c r="CI32" s="4">
        <f t="shared" si="126"/>
        <v>0</v>
      </c>
      <c r="CJ32" s="5">
        <f t="shared" si="127"/>
        <v>-0.2026554542184909</v>
      </c>
      <c r="CK32" s="8">
        <f t="shared" si="128"/>
        <v>-0.29027055405503249</v>
      </c>
      <c r="CL32" s="173">
        <f t="shared" si="129"/>
        <v>0.57354769993204613</v>
      </c>
      <c r="CM32" s="5">
        <f t="shared" si="130"/>
        <v>-0.96848561189773763</v>
      </c>
      <c r="CN32" s="6">
        <f t="shared" si="131"/>
        <v>-0.29027055405503249</v>
      </c>
      <c r="CO32" s="167" t="str">
        <f t="shared" si="35"/>
        <v>Radius</v>
      </c>
      <c r="CP32" s="4">
        <f t="shared" si="240"/>
        <v>0.91545279450836037</v>
      </c>
      <c r="CQ32" s="5">
        <f t="shared" si="241"/>
        <v>-1.145865976632173</v>
      </c>
      <c r="CR32" s="5" t="e">
        <f t="shared" si="158"/>
        <v>#VALUE!</v>
      </c>
      <c r="CS32" s="8" t="e">
        <f t="shared" si="159"/>
        <v>#VALUE!</v>
      </c>
      <c r="CT32" s="9" t="e">
        <f t="shared" si="160"/>
        <v>#VALUE!</v>
      </c>
      <c r="CU32" s="6" t="e">
        <f t="shared" si="161"/>
        <v>#VALUE!</v>
      </c>
      <c r="CV32" s="4" t="e">
        <f t="shared" si="242"/>
        <v>#VALUE!</v>
      </c>
      <c r="CW32" s="5" t="e">
        <f t="shared" si="162"/>
        <v>#VALUE!</v>
      </c>
      <c r="CX32" s="8" t="e">
        <f t="shared" si="163"/>
        <v>#VALUE!</v>
      </c>
      <c r="CY32" s="9" t="e">
        <f t="shared" si="164"/>
        <v>#VALUE!</v>
      </c>
      <c r="CZ32" s="5" t="e">
        <f t="shared" si="165"/>
        <v>#VALUE!</v>
      </c>
      <c r="DA32" s="6" t="e">
        <f t="shared" si="166"/>
        <v>#VALUE!</v>
      </c>
      <c r="DB32" s="4">
        <f t="shared" si="167"/>
        <v>0</v>
      </c>
      <c r="DC32" s="5">
        <f t="shared" si="167"/>
        <v>0</v>
      </c>
      <c r="DD32" s="10">
        <f t="shared" si="168"/>
        <v>-10</v>
      </c>
      <c r="DE32" s="9">
        <f t="shared" si="169"/>
        <v>0</v>
      </c>
      <c r="DF32" s="5">
        <f t="shared" si="169"/>
        <v>0</v>
      </c>
      <c r="DG32" s="10">
        <f t="shared" si="170"/>
        <v>10</v>
      </c>
      <c r="DH32" s="70">
        <f t="shared" si="171"/>
        <v>0.69930000000000003</v>
      </c>
      <c r="DI32" s="4">
        <f t="shared" si="172"/>
        <v>0</v>
      </c>
      <c r="DJ32" s="5">
        <f t="shared" si="173"/>
        <v>0</v>
      </c>
      <c r="DK32" s="10">
        <f t="shared" si="174"/>
        <v>20</v>
      </c>
      <c r="DL32" s="9" t="e">
        <f t="shared" si="175"/>
        <v>#VALUE!</v>
      </c>
      <c r="DM32" s="173" t="e">
        <f t="shared" si="176"/>
        <v>#VALUE!</v>
      </c>
      <c r="DN32" s="178" t="e">
        <f t="shared" si="177"/>
        <v>#VALUE!</v>
      </c>
      <c r="DO32" s="9" t="e">
        <f t="shared" si="178"/>
        <v>#VALUE!</v>
      </c>
      <c r="DP32" s="173" t="e">
        <f t="shared" si="179"/>
        <v>#VALUE!</v>
      </c>
      <c r="DQ32" s="11" t="e">
        <f t="shared" si="180"/>
        <v>#VALUE!</v>
      </c>
      <c r="DR32" s="173" t="e">
        <f t="shared" si="181"/>
        <v>#VALUE!</v>
      </c>
      <c r="DS32" s="5" t="e">
        <f t="shared" si="182"/>
        <v>#VALUE!</v>
      </c>
      <c r="DT32" s="5">
        <f t="shared" si="183"/>
        <v>400</v>
      </c>
      <c r="DU32" s="5" t="e">
        <f t="shared" si="184"/>
        <v>#VALUE!</v>
      </c>
      <c r="DV32" s="5" t="e">
        <f t="shared" si="185"/>
        <v>#VALUE!</v>
      </c>
      <c r="DW32" s="5" t="e">
        <f t="shared" si="186"/>
        <v>#VALUE!</v>
      </c>
      <c r="DX32" s="167" t="e">
        <f t="shared" si="187"/>
        <v>#VALUE!</v>
      </c>
      <c r="DY32" s="9" t="e">
        <f t="shared" si="188"/>
        <v>#VALUE!</v>
      </c>
      <c r="DZ32" s="5" t="e">
        <f t="shared" si="189"/>
        <v>#VALUE!</v>
      </c>
      <c r="EA32" s="10" t="e">
        <f t="shared" si="190"/>
        <v>#VALUE!</v>
      </c>
      <c r="EB32" s="6" t="e">
        <f t="shared" si="191"/>
        <v>#VALUE!</v>
      </c>
      <c r="EC32" s="173" t="e">
        <f t="shared" si="192"/>
        <v>#VALUE!</v>
      </c>
      <c r="ED32" s="5" t="e">
        <f t="shared" si="193"/>
        <v>#VALUE!</v>
      </c>
      <c r="EE32" s="4" t="e">
        <f t="shared" si="194"/>
        <v>#VALUE!</v>
      </c>
      <c r="EF32" s="5" t="e">
        <f t="shared" si="195"/>
        <v>#VALUE!</v>
      </c>
      <c r="EG32" s="10" t="e">
        <f t="shared" si="196"/>
        <v>#VALUE!</v>
      </c>
      <c r="EH32" s="9" t="e">
        <f t="shared" si="197"/>
        <v>#VALUE!</v>
      </c>
      <c r="EI32" s="5" t="e">
        <f t="shared" si="198"/>
        <v>#VALUE!</v>
      </c>
      <c r="EJ32" s="6" t="e">
        <f t="shared" si="199"/>
        <v>#VALUE!</v>
      </c>
      <c r="EK32" s="236" t="e">
        <f t="shared" si="200"/>
        <v>#VALUE!</v>
      </c>
      <c r="EL32" s="238" t="e">
        <f t="shared" si="201"/>
        <v>#VALUE!</v>
      </c>
      <c r="EM32" s="4" t="e">
        <f t="shared" si="202"/>
        <v>#VALUE!</v>
      </c>
      <c r="EN32" s="5" t="e">
        <f t="shared" si="203"/>
        <v>#VALUE!</v>
      </c>
      <c r="EO32" s="10" t="e">
        <f t="shared" si="204"/>
        <v>#VALUE!</v>
      </c>
      <c r="EP32" s="9" t="e">
        <f t="shared" si="205"/>
        <v>#VALUE!</v>
      </c>
      <c r="EQ32" s="5" t="e">
        <f t="shared" si="206"/>
        <v>#VALUE!</v>
      </c>
      <c r="ER32" s="7" t="e">
        <f t="shared" si="207"/>
        <v>#VALUE!</v>
      </c>
      <c r="ES32" s="21">
        <f t="shared" si="132"/>
        <v>-0.765830157679247</v>
      </c>
      <c r="ET32" s="5">
        <f t="shared" si="44"/>
        <v>-0.57354769993204602</v>
      </c>
      <c r="EU32" s="10">
        <f t="shared" si="45"/>
        <v>-0.29077002165223187</v>
      </c>
      <c r="EV32" s="174" t="e">
        <f t="shared" si="254"/>
        <v>#VALUE!</v>
      </c>
      <c r="EW32" s="9" t="e">
        <f t="shared" si="133"/>
        <v>#VALUE!</v>
      </c>
      <c r="EX32" s="5" t="e">
        <f t="shared" si="47"/>
        <v>#VALUE!</v>
      </c>
      <c r="EY32" s="6">
        <f t="shared" si="208"/>
        <v>-0.29077002165223187</v>
      </c>
      <c r="EZ32" s="51" t="e">
        <f t="shared" si="209"/>
        <v>#VALUE!</v>
      </c>
      <c r="FA32" s="266" t="e">
        <f t="shared" si="134"/>
        <v>#VALUE!</v>
      </c>
      <c r="FB32" s="267" t="e">
        <f t="shared" si="135"/>
        <v>#VALUE!</v>
      </c>
      <c r="FC32" s="269" t="e">
        <f t="shared" si="48"/>
        <v>#VALUE!</v>
      </c>
      <c r="FD32" s="4" t="e">
        <f t="shared" si="136"/>
        <v>#VALUE!</v>
      </c>
      <c r="FE32" s="5" t="e">
        <f t="shared" si="49"/>
        <v>#VALUE!</v>
      </c>
      <c r="FF32" s="7" t="e">
        <f t="shared" si="210"/>
        <v>#VALUE!</v>
      </c>
      <c r="FG32" s="173" t="e">
        <f t="shared" si="211"/>
        <v>#VALUE!</v>
      </c>
      <c r="FH32" s="5" t="e">
        <f t="shared" si="50"/>
        <v>#VALUE!</v>
      </c>
      <c r="FI32" s="10" t="e">
        <f t="shared" si="51"/>
        <v>#VALUE!</v>
      </c>
      <c r="FJ32" s="279" t="e">
        <f t="shared" si="212"/>
        <v>#VALUE!</v>
      </c>
      <c r="FK32" s="4">
        <f t="shared" si="52"/>
        <v>0.95679297369303495</v>
      </c>
      <c r="FL32" s="5" t="e">
        <f t="shared" si="213"/>
        <v>#VALUE!</v>
      </c>
      <c r="FM32" s="8" t="e">
        <f t="shared" si="214"/>
        <v>#VALUE!</v>
      </c>
      <c r="FN32" s="9" t="e">
        <f t="shared" si="215"/>
        <v>#VALUE!</v>
      </c>
      <c r="FO32" s="10" t="e">
        <f t="shared" si="53"/>
        <v>#VALUE!</v>
      </c>
      <c r="FP32" s="277" t="e">
        <f t="shared" si="54"/>
        <v>#VALUE!</v>
      </c>
      <c r="FQ32" s="173" t="e">
        <f t="shared" si="243"/>
        <v>#VALUE!</v>
      </c>
      <c r="FR32" s="10" t="e">
        <f t="shared" si="216"/>
        <v>#VALUE!</v>
      </c>
      <c r="FS32" s="9" t="e">
        <f t="shared" si="217"/>
        <v>#VALUE!</v>
      </c>
      <c r="FT32" s="6" t="e">
        <f t="shared" si="218"/>
        <v>#VALUE!</v>
      </c>
      <c r="FU32" s="4" t="e">
        <f t="shared" si="219"/>
        <v>#VALUE!</v>
      </c>
      <c r="FV32" s="5" t="e">
        <f t="shared" si="220"/>
        <v>#VALUE!</v>
      </c>
      <c r="FW32" s="8" t="e">
        <f t="shared" si="244"/>
        <v>#VALUE!</v>
      </c>
      <c r="FX32" s="9" t="e">
        <f t="shared" si="245"/>
        <v>#VALUE!</v>
      </c>
      <c r="FY32" s="10" t="e">
        <f t="shared" si="55"/>
        <v>#VALUE!</v>
      </c>
      <c r="FZ32" s="277" t="e">
        <f t="shared" si="246"/>
        <v>#VALUE!</v>
      </c>
      <c r="GA32" s="177" t="e">
        <f t="shared" si="221"/>
        <v>#VALUE!</v>
      </c>
      <c r="GB32" s="4" t="e">
        <f t="shared" si="222"/>
        <v>#VALUE!</v>
      </c>
      <c r="GC32" s="5" t="e">
        <f t="shared" si="223"/>
        <v>#VALUE!</v>
      </c>
      <c r="GD32" s="10" t="e">
        <f t="shared" si="224"/>
        <v>#VALUE!</v>
      </c>
      <c r="GE32" s="311" t="e">
        <f t="shared" si="225"/>
        <v>#VALUE!</v>
      </c>
      <c r="GF32" s="341" t="e">
        <f t="shared" si="247"/>
        <v>#VALUE!</v>
      </c>
      <c r="GG32" s="285" t="e">
        <f t="shared" si="56"/>
        <v>#VALUE!</v>
      </c>
      <c r="GH32" s="286" t="e">
        <f t="shared" si="57"/>
        <v>#VALUE!</v>
      </c>
      <c r="GI32" s="281" t="e">
        <f t="shared" si="58"/>
        <v>#VALUE!</v>
      </c>
      <c r="GJ32" s="167">
        <f t="shared" si="226"/>
        <v>0.69930000000000003</v>
      </c>
      <c r="GK32" s="174">
        <f t="shared" si="59"/>
        <v>0.36674483183236067</v>
      </c>
      <c r="GL32" s="174">
        <f t="shared" si="227"/>
        <v>6.0400000000000002E-2</v>
      </c>
      <c r="GM32" s="177">
        <f t="shared" si="248"/>
        <v>0.26581665411209499</v>
      </c>
      <c r="GN32" s="280">
        <f t="shared" si="228"/>
        <v>7.8911423047673554E-2</v>
      </c>
      <c r="GO32" s="4" t="e">
        <f t="shared" si="229"/>
        <v>#VALUE!</v>
      </c>
      <c r="GP32" s="8" t="e">
        <f t="shared" si="249"/>
        <v>#VALUE!</v>
      </c>
      <c r="GQ32" s="177" t="e">
        <f t="shared" si="230"/>
        <v>#VALUE!</v>
      </c>
      <c r="GR32" s="371" t="e">
        <f t="shared" si="250"/>
        <v>#VALUE!</v>
      </c>
      <c r="GS32" s="342" t="e">
        <f t="shared" si="61"/>
        <v>#VALUE!</v>
      </c>
      <c r="GT32" s="343" t="e">
        <f t="shared" si="62"/>
        <v>#VALUE!</v>
      </c>
      <c r="GU32" s="344">
        <f t="shared" si="63"/>
        <v>653.46594135890018</v>
      </c>
      <c r="GV32" s="343">
        <f t="shared" si="252"/>
        <v>1781.8</v>
      </c>
      <c r="GW32" s="345">
        <f t="shared" si="64"/>
        <v>29500</v>
      </c>
      <c r="GX32" s="346">
        <f t="shared" si="65"/>
        <v>103.834395</v>
      </c>
      <c r="GY32" s="344" t="e">
        <f t="shared" si="66"/>
        <v>#VALUE!</v>
      </c>
      <c r="GZ32" s="345" t="e">
        <f t="shared" si="67"/>
        <v>#VALUE!</v>
      </c>
      <c r="HA32" s="342" t="e">
        <f t="shared" si="68"/>
        <v>#VALUE!</v>
      </c>
      <c r="HB32" s="5" t="e">
        <f t="shared" si="231"/>
        <v>#VALUE!</v>
      </c>
      <c r="HC32" s="343" t="e">
        <f t="shared" si="232"/>
        <v>#VALUE!</v>
      </c>
      <c r="HD32" s="363" t="e">
        <f t="shared" si="233"/>
        <v>#VALUE!</v>
      </c>
      <c r="HE32" s="344" t="e">
        <f t="shared" si="69"/>
        <v>#VALUE!</v>
      </c>
      <c r="HF32" s="5" t="e">
        <f t="shared" si="70"/>
        <v>#VALUE!</v>
      </c>
      <c r="HG32" s="343" t="e">
        <f t="shared" si="234"/>
        <v>#VALUE!</v>
      </c>
      <c r="HH32" s="349" t="e">
        <f t="shared" si="235"/>
        <v>#VALUE!</v>
      </c>
      <c r="HI32" s="317">
        <f t="shared" si="71"/>
        <v>3.1030000000000002</v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3.1030000000000002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14513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0.02</v>
      </c>
      <c r="B33" s="578">
        <f t="shared" si="2"/>
        <v>0.80408786037614033</v>
      </c>
      <c r="C33" s="572">
        <f t="shared" si="3"/>
        <v>-1.1820386313670248</v>
      </c>
      <c r="D33" s="576">
        <f t="shared" si="4"/>
        <v>-0.30327018519706395</v>
      </c>
      <c r="E33" s="580">
        <f t="shared" si="5"/>
        <v>0.78347102781168243</v>
      </c>
      <c r="F33" s="572">
        <f t="shared" si="6"/>
        <v>0.56512772979284343</v>
      </c>
      <c r="G33" s="579">
        <f t="shared" si="7"/>
        <v>0.25846430623761774</v>
      </c>
      <c r="H33" s="580">
        <f t="shared" si="8"/>
        <v>0.28499999999999998</v>
      </c>
      <c r="I33" s="572">
        <f t="shared" si="9"/>
        <v>0.52</v>
      </c>
      <c r="J33" s="483">
        <f t="shared" si="10"/>
        <v>3.1059999999999999</v>
      </c>
      <c r="K33" s="806">
        <f t="shared" si="11"/>
        <v>14513</v>
      </c>
      <c r="L33" s="309"/>
      <c r="M33" s="164">
        <f t="shared" si="12"/>
        <v>3.1059999999999999</v>
      </c>
      <c r="N33" s="575">
        <f t="shared" si="13"/>
        <v>0.80408786037614033</v>
      </c>
      <c r="O33" s="572">
        <f t="shared" si="14"/>
        <v>-1.1820386313670248</v>
      </c>
      <c r="P33" s="576">
        <f t="shared" si="15"/>
        <v>-0.30327018519706395</v>
      </c>
      <c r="Q33" s="528">
        <f t="shared" si="140"/>
        <v>304.22569733735156</v>
      </c>
      <c r="R33" s="572">
        <f t="shared" si="101"/>
        <v>1.429605754482091</v>
      </c>
      <c r="S33" s="577">
        <f t="shared" si="102"/>
        <v>-0.30327018519706395</v>
      </c>
      <c r="T33" s="578">
        <f t="shared" si="103"/>
        <v>-1.1733301781988097</v>
      </c>
      <c r="U33" s="572">
        <f t="shared" si="104"/>
        <v>-0.81674286417223041</v>
      </c>
      <c r="V33" s="579">
        <f t="shared" si="141"/>
        <v>-0.30327018519706395</v>
      </c>
      <c r="W33" s="528">
        <f t="shared" si="253"/>
        <v>214.84137274868209</v>
      </c>
      <c r="X33" s="572">
        <f t="shared" si="105"/>
        <v>1.429605754482091</v>
      </c>
      <c r="Y33" s="573">
        <f t="shared" si="255"/>
        <v>-0.30327018519706395</v>
      </c>
      <c r="Z33" s="575">
        <f t="shared" si="18"/>
        <v>-0.78347102781168243</v>
      </c>
      <c r="AA33" s="572">
        <f t="shared" si="19"/>
        <v>-0.56512772979284343</v>
      </c>
      <c r="AB33" s="572">
        <f t="shared" si="20"/>
        <v>-0.25846430623761774</v>
      </c>
      <c r="AC33" s="579">
        <f t="shared" si="106"/>
        <v>1</v>
      </c>
      <c r="AD33" s="580">
        <f t="shared" si="142"/>
        <v>-0.78347102781168243</v>
      </c>
      <c r="AE33" s="572">
        <f t="shared" si="107"/>
        <v>-0.56512772979284343</v>
      </c>
      <c r="AF33" s="576">
        <f t="shared" si="108"/>
        <v>-0.25846430623761774</v>
      </c>
      <c r="AG33" s="545">
        <f t="shared" si="109"/>
        <v>-65.422749367637749</v>
      </c>
      <c r="AH33" s="546">
        <f t="shared" si="110"/>
        <v>141.57948733710549</v>
      </c>
      <c r="AI33" s="528">
        <f t="shared" si="111"/>
        <v>-75.021040994812253</v>
      </c>
      <c r="AJ33" s="529">
        <f t="shared" si="112"/>
        <v>-54.196603614107445</v>
      </c>
      <c r="AK33" s="578">
        <f t="shared" si="238"/>
        <v>0.96565459686381283</v>
      </c>
      <c r="AL33" s="572">
        <f t="shared" si="113"/>
        <v>2.6597029099025948E-2</v>
      </c>
      <c r="AM33" s="577">
        <f t="shared" si="114"/>
        <v>-0.25846430623761774</v>
      </c>
      <c r="AN33" s="524">
        <f t="shared" si="115"/>
        <v>5.8752888559582477</v>
      </c>
      <c r="AO33" s="525">
        <f t="shared" si="116"/>
        <v>15.059926167155163</v>
      </c>
      <c r="AP33" s="528">
        <f t="shared" si="117"/>
        <v>1.5776990485409821</v>
      </c>
      <c r="AQ33" s="529">
        <f t="shared" si="21"/>
        <v>1.5942425098526354</v>
      </c>
      <c r="AS33" s="932">
        <f t="shared" si="143"/>
        <v>214.84137274868209</v>
      </c>
      <c r="AT33" s="928">
        <f t="shared" si="22"/>
        <v>-0.20436040696665947</v>
      </c>
      <c r="AU33" s="418"/>
      <c r="AV33" s="164">
        <f t="shared" si="23"/>
        <v>3.1059999999999999</v>
      </c>
      <c r="AW33" s="829">
        <f>IFERROR(INDEX(MassProp!C$9:C$150,MATCH($M33,MassProp!$B$9:$B$150,0)),"")</f>
        <v>1.3966000000000001</v>
      </c>
      <c r="AX33" s="830">
        <f>IFERROR(INDEX(MassProp!D$9:D$150,MATCH($M33,MassProp!$B$9:$B$150,0)),"")</f>
        <v>0.24829999999999999</v>
      </c>
      <c r="AY33" s="831">
        <f>IFERROR(INDEX(MassProp!E$9:E$150,MATCH($M33,MassProp!$B$9:$B$150,0)),"")</f>
        <v>6.0299999999999999E-2</v>
      </c>
      <c r="AZ33" s="297">
        <f t="shared" si="144"/>
        <v>0.52935302264942963</v>
      </c>
      <c r="BA33" s="296">
        <f t="shared" si="24"/>
        <v>0.15714591115964688</v>
      </c>
      <c r="BB33" s="190">
        <f t="shared" si="145"/>
        <v>0.20266040696665946</v>
      </c>
      <c r="BC33" s="9"/>
      <c r="BD33" s="5">
        <f t="shared" si="146"/>
        <v>1.3966000000000001</v>
      </c>
      <c r="BE33" s="6">
        <f t="shared" si="25"/>
        <v>-0.10060977823040448</v>
      </c>
      <c r="BF33" s="4">
        <f t="shared" si="26"/>
        <v>0.80408786037614033</v>
      </c>
      <c r="BG33" s="5">
        <f t="shared" si="27"/>
        <v>-1.1820386313670248</v>
      </c>
      <c r="BH33" s="10">
        <f t="shared" si="28"/>
        <v>-0.30327018519706395</v>
      </c>
      <c r="BI33" s="9">
        <f t="shared" si="147"/>
        <v>0.80408786037614033</v>
      </c>
      <c r="BJ33" s="5">
        <f t="shared" si="29"/>
        <v>-0.76611888535138228</v>
      </c>
      <c r="BK33" s="8">
        <f t="shared" si="30"/>
        <v>-1.2126715074273999</v>
      </c>
      <c r="BL33" s="173">
        <f t="shared" si="31"/>
        <v>1.4255161736832394</v>
      </c>
      <c r="BM33" s="5">
        <f t="shared" si="32"/>
        <v>-1.894528219988129</v>
      </c>
      <c r="BN33" s="6">
        <f t="shared" si="33"/>
        <v>-0.62913125609511322</v>
      </c>
      <c r="BO33" s="4">
        <f t="shared" si="148"/>
        <v>-0.78347102781168243</v>
      </c>
      <c r="BP33" s="5">
        <f t="shared" si="239"/>
        <v>-0.5651277297928432</v>
      </c>
      <c r="BQ33" s="5">
        <f t="shared" si="149"/>
        <v>-0.25846430623761762</v>
      </c>
      <c r="BR33" s="6">
        <f t="shared" si="150"/>
        <v>-0.11640778387160777</v>
      </c>
      <c r="BS33" s="4">
        <f t="shared" si="118"/>
        <v>0</v>
      </c>
      <c r="BT33" s="5">
        <f t="shared" si="118"/>
        <v>0</v>
      </c>
      <c r="BU33" s="10">
        <f t="shared" si="119"/>
        <v>-0.10060977823040448</v>
      </c>
      <c r="BV33" s="9">
        <f t="shared" si="120"/>
        <v>0</v>
      </c>
      <c r="BW33" s="5">
        <f t="shared" si="121"/>
        <v>1</v>
      </c>
      <c r="BX33" s="8">
        <f t="shared" si="122"/>
        <v>-0.10060977823040448</v>
      </c>
      <c r="BY33" s="173">
        <f t="shared" si="123"/>
        <v>1</v>
      </c>
      <c r="BZ33" s="5">
        <f t="shared" si="124"/>
        <v>0</v>
      </c>
      <c r="CA33" s="6">
        <f t="shared" si="125"/>
        <v>-0.10060977823040448</v>
      </c>
      <c r="CB33" s="4">
        <f t="shared" si="151"/>
        <v>0</v>
      </c>
      <c r="CC33" s="5">
        <f t="shared" si="152"/>
        <v>0</v>
      </c>
      <c r="CD33" s="5">
        <f t="shared" si="153"/>
        <v>-1</v>
      </c>
      <c r="CE33" s="6">
        <f t="shared" si="154"/>
        <v>-0.10060977823040448</v>
      </c>
      <c r="CF33" s="4">
        <f t="shared" si="155"/>
        <v>0.5651277297928432</v>
      </c>
      <c r="CG33" s="5">
        <f t="shared" si="156"/>
        <v>-0.78347102781168243</v>
      </c>
      <c r="CH33" s="5">
        <f t="shared" si="157"/>
        <v>0</v>
      </c>
      <c r="CI33" s="4">
        <f t="shared" si="126"/>
        <v>0</v>
      </c>
      <c r="CJ33" s="5">
        <f t="shared" si="127"/>
        <v>-0.1599704678687501</v>
      </c>
      <c r="CK33" s="8">
        <f t="shared" si="128"/>
        <v>-0.10060977823040448</v>
      </c>
      <c r="CL33" s="173">
        <f t="shared" si="129"/>
        <v>0.5651277297928432</v>
      </c>
      <c r="CM33" s="5">
        <f t="shared" si="130"/>
        <v>-0.94344149568043256</v>
      </c>
      <c r="CN33" s="6">
        <f t="shared" si="131"/>
        <v>-0.10060977823040448</v>
      </c>
      <c r="CO33" s="167" t="str">
        <f t="shared" si="35"/>
        <v>Radius</v>
      </c>
      <c r="CP33" s="4">
        <f t="shared" si="240"/>
        <v>0.9331962024011069</v>
      </c>
      <c r="CQ33" s="5">
        <f t="shared" si="241"/>
        <v>-2.5103462832758896</v>
      </c>
      <c r="CR33" s="5" t="e">
        <f t="shared" si="158"/>
        <v>#VALUE!</v>
      </c>
      <c r="CS33" s="8" t="e">
        <f t="shared" si="159"/>
        <v>#VALUE!</v>
      </c>
      <c r="CT33" s="9" t="e">
        <f t="shared" si="160"/>
        <v>#VALUE!</v>
      </c>
      <c r="CU33" s="6" t="e">
        <f t="shared" si="161"/>
        <v>#VALUE!</v>
      </c>
      <c r="CV33" s="4" t="e">
        <f t="shared" si="242"/>
        <v>#VALUE!</v>
      </c>
      <c r="CW33" s="5" t="e">
        <f t="shared" si="162"/>
        <v>#VALUE!</v>
      </c>
      <c r="CX33" s="8" t="e">
        <f t="shared" si="163"/>
        <v>#VALUE!</v>
      </c>
      <c r="CY33" s="9" t="e">
        <f t="shared" si="164"/>
        <v>#VALUE!</v>
      </c>
      <c r="CZ33" s="5" t="e">
        <f t="shared" si="165"/>
        <v>#VALUE!</v>
      </c>
      <c r="DA33" s="6" t="e">
        <f t="shared" si="166"/>
        <v>#VALUE!</v>
      </c>
      <c r="DB33" s="4">
        <f t="shared" si="167"/>
        <v>0</v>
      </c>
      <c r="DC33" s="5">
        <f t="shared" si="167"/>
        <v>0</v>
      </c>
      <c r="DD33" s="10">
        <f t="shared" si="168"/>
        <v>-10</v>
      </c>
      <c r="DE33" s="9">
        <f t="shared" si="169"/>
        <v>0</v>
      </c>
      <c r="DF33" s="5">
        <f t="shared" si="169"/>
        <v>0</v>
      </c>
      <c r="DG33" s="10">
        <f t="shared" si="170"/>
        <v>10</v>
      </c>
      <c r="DH33" s="70">
        <f t="shared" si="171"/>
        <v>1.3966000000000001</v>
      </c>
      <c r="DI33" s="4">
        <f t="shared" si="172"/>
        <v>0</v>
      </c>
      <c r="DJ33" s="5">
        <f t="shared" si="173"/>
        <v>0</v>
      </c>
      <c r="DK33" s="10">
        <f t="shared" si="174"/>
        <v>20</v>
      </c>
      <c r="DL33" s="9" t="e">
        <f t="shared" si="175"/>
        <v>#VALUE!</v>
      </c>
      <c r="DM33" s="173" t="e">
        <f t="shared" si="176"/>
        <v>#VALUE!</v>
      </c>
      <c r="DN33" s="178" t="e">
        <f t="shared" si="177"/>
        <v>#VALUE!</v>
      </c>
      <c r="DO33" s="9" t="e">
        <f t="shared" si="178"/>
        <v>#VALUE!</v>
      </c>
      <c r="DP33" s="173" t="e">
        <f t="shared" si="179"/>
        <v>#VALUE!</v>
      </c>
      <c r="DQ33" s="11" t="e">
        <f t="shared" si="180"/>
        <v>#VALUE!</v>
      </c>
      <c r="DR33" s="173" t="e">
        <f t="shared" si="181"/>
        <v>#VALUE!</v>
      </c>
      <c r="DS33" s="5" t="e">
        <f t="shared" si="182"/>
        <v>#VALUE!</v>
      </c>
      <c r="DT33" s="5">
        <f t="shared" si="183"/>
        <v>400</v>
      </c>
      <c r="DU33" s="5" t="e">
        <f t="shared" si="184"/>
        <v>#VALUE!</v>
      </c>
      <c r="DV33" s="5" t="e">
        <f t="shared" si="185"/>
        <v>#VALUE!</v>
      </c>
      <c r="DW33" s="5" t="e">
        <f t="shared" si="186"/>
        <v>#VALUE!</v>
      </c>
      <c r="DX33" s="167" t="e">
        <f t="shared" si="187"/>
        <v>#VALUE!</v>
      </c>
      <c r="DY33" s="9" t="e">
        <f t="shared" si="188"/>
        <v>#VALUE!</v>
      </c>
      <c r="DZ33" s="5" t="e">
        <f t="shared" si="189"/>
        <v>#VALUE!</v>
      </c>
      <c r="EA33" s="10" t="e">
        <f t="shared" si="190"/>
        <v>#VALUE!</v>
      </c>
      <c r="EB33" s="6" t="e">
        <f t="shared" si="191"/>
        <v>#VALUE!</v>
      </c>
      <c r="EC33" s="173" t="e">
        <f t="shared" si="192"/>
        <v>#VALUE!</v>
      </c>
      <c r="ED33" s="5" t="e">
        <f t="shared" si="193"/>
        <v>#VALUE!</v>
      </c>
      <c r="EE33" s="4" t="e">
        <f t="shared" si="194"/>
        <v>#VALUE!</v>
      </c>
      <c r="EF33" s="5" t="e">
        <f t="shared" si="195"/>
        <v>#VALUE!</v>
      </c>
      <c r="EG33" s="10" t="e">
        <f t="shared" si="196"/>
        <v>#VALUE!</v>
      </c>
      <c r="EH33" s="9" t="e">
        <f t="shared" si="197"/>
        <v>#VALUE!</v>
      </c>
      <c r="EI33" s="5" t="e">
        <f t="shared" si="198"/>
        <v>#VALUE!</v>
      </c>
      <c r="EJ33" s="6" t="e">
        <f t="shared" si="199"/>
        <v>#VALUE!</v>
      </c>
      <c r="EK33" s="236" t="e">
        <f t="shared" si="200"/>
        <v>#VALUE!</v>
      </c>
      <c r="EL33" s="238" t="e">
        <f t="shared" si="201"/>
        <v>#VALUE!</v>
      </c>
      <c r="EM33" s="272" t="e">
        <f t="shared" si="202"/>
        <v>#VALUE!</v>
      </c>
      <c r="EN33" s="267" t="e">
        <f t="shared" si="203"/>
        <v>#VALUE!</v>
      </c>
      <c r="EO33" s="273" t="e">
        <f t="shared" si="204"/>
        <v>#VALUE!</v>
      </c>
      <c r="EP33" s="9" t="e">
        <f t="shared" si="205"/>
        <v>#VALUE!</v>
      </c>
      <c r="EQ33" s="5" t="e">
        <f t="shared" si="206"/>
        <v>#VALUE!</v>
      </c>
      <c r="ER33" s="7" t="e">
        <f t="shared" si="207"/>
        <v>#VALUE!</v>
      </c>
      <c r="ES33" s="274">
        <f t="shared" si="132"/>
        <v>-0.78347102781168243</v>
      </c>
      <c r="ET33" s="267">
        <f t="shared" si="44"/>
        <v>-0.56512772979284343</v>
      </c>
      <c r="EU33" s="273">
        <f t="shared" si="45"/>
        <v>-0.25846430623761774</v>
      </c>
      <c r="EV33" s="174" t="e">
        <f t="shared" si="254"/>
        <v>#VALUE!</v>
      </c>
      <c r="EW33" s="9" t="e">
        <f t="shared" si="133"/>
        <v>#VALUE!</v>
      </c>
      <c r="EX33" s="5" t="e">
        <f t="shared" si="47"/>
        <v>#VALUE!</v>
      </c>
      <c r="EY33" s="6">
        <f t="shared" si="208"/>
        <v>-0.25846430623761774</v>
      </c>
      <c r="EZ33" s="51" t="e">
        <f t="shared" si="209"/>
        <v>#VALUE!</v>
      </c>
      <c r="FA33" s="266" t="e">
        <f t="shared" si="134"/>
        <v>#VALUE!</v>
      </c>
      <c r="FB33" s="267" t="e">
        <f t="shared" si="135"/>
        <v>#VALUE!</v>
      </c>
      <c r="FC33" s="269" t="e">
        <f t="shared" si="48"/>
        <v>#VALUE!</v>
      </c>
      <c r="FD33" s="4" t="e">
        <f t="shared" si="136"/>
        <v>#VALUE!</v>
      </c>
      <c r="FE33" s="5" t="e">
        <f t="shared" si="49"/>
        <v>#VALUE!</v>
      </c>
      <c r="FF33" s="7" t="e">
        <f t="shared" si="210"/>
        <v>#VALUE!</v>
      </c>
      <c r="FG33" s="173" t="e">
        <f t="shared" si="211"/>
        <v>#VALUE!</v>
      </c>
      <c r="FH33" s="5" t="e">
        <f t="shared" si="50"/>
        <v>#VALUE!</v>
      </c>
      <c r="FI33" s="10" t="e">
        <f t="shared" si="51"/>
        <v>#VALUE!</v>
      </c>
      <c r="FJ33" s="279" t="e">
        <f t="shared" si="212"/>
        <v>#VALUE!</v>
      </c>
      <c r="FK33" s="4">
        <f t="shared" si="52"/>
        <v>0.96602080847210903</v>
      </c>
      <c r="FL33" s="5" t="e">
        <f t="shared" si="213"/>
        <v>#VALUE!</v>
      </c>
      <c r="FM33" s="8" t="e">
        <f t="shared" si="214"/>
        <v>#VALUE!</v>
      </c>
      <c r="FN33" s="9" t="e">
        <f t="shared" si="215"/>
        <v>#VALUE!</v>
      </c>
      <c r="FO33" s="10" t="e">
        <f t="shared" si="53"/>
        <v>#VALUE!</v>
      </c>
      <c r="FP33" s="277" t="e">
        <f t="shared" si="54"/>
        <v>#VALUE!</v>
      </c>
      <c r="FQ33" s="173" t="e">
        <f t="shared" si="243"/>
        <v>#VALUE!</v>
      </c>
      <c r="FR33" s="10" t="e">
        <f t="shared" si="216"/>
        <v>#VALUE!</v>
      </c>
      <c r="FS33" s="9" t="e">
        <f t="shared" si="217"/>
        <v>#VALUE!</v>
      </c>
      <c r="FT33" s="6" t="e">
        <f t="shared" si="218"/>
        <v>#VALUE!</v>
      </c>
      <c r="FU33" s="4" t="e">
        <f t="shared" si="219"/>
        <v>#VALUE!</v>
      </c>
      <c r="FV33" s="5" t="e">
        <f t="shared" si="220"/>
        <v>#VALUE!</v>
      </c>
      <c r="FW33" s="8" t="e">
        <f t="shared" si="244"/>
        <v>#VALUE!</v>
      </c>
      <c r="FX33" s="9" t="e">
        <f t="shared" si="245"/>
        <v>#VALUE!</v>
      </c>
      <c r="FY33" s="10" t="e">
        <f t="shared" si="55"/>
        <v>#VALUE!</v>
      </c>
      <c r="FZ33" s="277" t="e">
        <f t="shared" si="246"/>
        <v>#VALUE!</v>
      </c>
      <c r="GA33" s="177" t="e">
        <f t="shared" si="221"/>
        <v>#VALUE!</v>
      </c>
      <c r="GB33" s="4" t="e">
        <f t="shared" si="222"/>
        <v>#VALUE!</v>
      </c>
      <c r="GC33" s="5" t="e">
        <f t="shared" si="223"/>
        <v>#VALUE!</v>
      </c>
      <c r="GD33" s="10" t="e">
        <f t="shared" si="224"/>
        <v>#VALUE!</v>
      </c>
      <c r="GE33" s="311" t="e">
        <f t="shared" si="225"/>
        <v>#VALUE!</v>
      </c>
      <c r="GF33" s="341" t="e">
        <f t="shared" si="247"/>
        <v>#VALUE!</v>
      </c>
      <c r="GG33" s="285" t="e">
        <f t="shared" si="56"/>
        <v>#VALUE!</v>
      </c>
      <c r="GH33" s="286" t="e">
        <f t="shared" si="57"/>
        <v>#VALUE!</v>
      </c>
      <c r="GI33" s="281" t="e">
        <f t="shared" si="58"/>
        <v>#VALUE!</v>
      </c>
      <c r="GJ33" s="167">
        <f t="shared" si="226"/>
        <v>1.3966000000000001</v>
      </c>
      <c r="GK33" s="174">
        <f t="shared" si="59"/>
        <v>0.73155475766919509</v>
      </c>
      <c r="GL33" s="174">
        <f t="shared" si="227"/>
        <v>6.0299999999999999E-2</v>
      </c>
      <c r="GM33" s="177">
        <f t="shared" si="248"/>
        <v>0.52935302264942963</v>
      </c>
      <c r="GN33" s="280">
        <f t="shared" si="228"/>
        <v>0.15714591115964688</v>
      </c>
      <c r="GO33" s="4" t="e">
        <f t="shared" si="229"/>
        <v>#VALUE!</v>
      </c>
      <c r="GP33" s="8" t="e">
        <f t="shared" si="249"/>
        <v>#VALUE!</v>
      </c>
      <c r="GQ33" s="177" t="e">
        <f t="shared" si="230"/>
        <v>#VALUE!</v>
      </c>
      <c r="GR33" s="371" t="e">
        <f t="shared" si="250"/>
        <v>#VALUE!</v>
      </c>
      <c r="GS33" s="342" t="e">
        <f t="shared" si="61"/>
        <v>#VALUE!</v>
      </c>
      <c r="GT33" s="343" t="e">
        <f t="shared" si="62"/>
        <v>#VALUE!</v>
      </c>
      <c r="GU33" s="344">
        <f t="shared" si="63"/>
        <v>1301.3261806798475</v>
      </c>
      <c r="GV33" s="343">
        <f t="shared" si="252"/>
        <v>1778.85</v>
      </c>
      <c r="GW33" s="345">
        <f t="shared" si="64"/>
        <v>29500</v>
      </c>
      <c r="GX33" s="346">
        <f t="shared" si="65"/>
        <v>207.0284925</v>
      </c>
      <c r="GY33" s="344" t="e">
        <f t="shared" si="66"/>
        <v>#VALUE!</v>
      </c>
      <c r="GZ33" s="345" t="e">
        <f t="shared" si="67"/>
        <v>#VALUE!</v>
      </c>
      <c r="HA33" s="342" t="e">
        <f t="shared" si="68"/>
        <v>#VALUE!</v>
      </c>
      <c r="HB33" s="5" t="e">
        <f t="shared" si="231"/>
        <v>#VALUE!</v>
      </c>
      <c r="HC33" s="343" t="e">
        <f t="shared" si="232"/>
        <v>#VALUE!</v>
      </c>
      <c r="HD33" s="363" t="e">
        <f t="shared" si="233"/>
        <v>#VALUE!</v>
      </c>
      <c r="HE33" s="344" t="e">
        <f t="shared" si="69"/>
        <v>#VALUE!</v>
      </c>
      <c r="HF33" s="5" t="e">
        <f t="shared" si="70"/>
        <v>#VALUE!</v>
      </c>
      <c r="HG33" s="343" t="e">
        <f t="shared" si="234"/>
        <v>#VALUE!</v>
      </c>
      <c r="HH33" s="349" t="e">
        <f t="shared" si="235"/>
        <v>#VALUE!</v>
      </c>
      <c r="HI33" s="317">
        <f t="shared" si="71"/>
        <v>3.1059999999999999</v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3.1059999999999999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8"/>
        <v>14513</v>
      </c>
      <c r="IM33" s="482" t="str">
        <f t="shared" si="237"/>
        <v/>
      </c>
      <c r="IN33" s="670" t="str">
        <f t="shared" si="90"/>
        <v/>
      </c>
      <c r="IO33" s="702"/>
      <c r="IP33" s="5" t="str">
        <f t="shared" si="91"/>
        <v/>
      </c>
      <c r="IQ33" s="714"/>
      <c r="IR33" s="9" t="str">
        <f t="shared" si="139"/>
        <v/>
      </c>
      <c r="IS33" s="5" t="str">
        <f t="shared" si="92"/>
        <v/>
      </c>
      <c r="IT33" s="5" t="str">
        <f t="shared" si="93"/>
        <v/>
      </c>
      <c r="IU33" s="5" t="str">
        <f t="shared" si="94"/>
        <v/>
      </c>
      <c r="IV33" s="670" t="str">
        <f t="shared" si="95"/>
        <v/>
      </c>
      <c r="IW33" s="9" t="str">
        <f t="shared" si="96"/>
        <v/>
      </c>
      <c r="IX33" s="5" t="str">
        <f t="shared" si="97"/>
        <v/>
      </c>
      <c r="IY33" s="5" t="str">
        <f t="shared" si="98"/>
        <v/>
      </c>
      <c r="IZ33" s="5" t="str">
        <f t="shared" si="99"/>
        <v/>
      </c>
      <c r="JA33" s="705" t="str">
        <f t="shared" si="100"/>
        <v/>
      </c>
    </row>
    <row r="34" spans="1:269" ht="15" customHeight="1" x14ac:dyDescent="0.25">
      <c r="A34" s="75">
        <f t="shared" si="1"/>
        <v>0.02</v>
      </c>
      <c r="B34" s="578">
        <f t="shared" si="2"/>
        <v>1.1967208893098942</v>
      </c>
      <c r="C34" s="572">
        <f t="shared" si="3"/>
        <v>-1.7437426231213331</v>
      </c>
      <c r="D34" s="576">
        <f t="shared" si="4"/>
        <v>-0.12857675234734939</v>
      </c>
      <c r="E34" s="580">
        <f t="shared" si="5"/>
        <v>0.79138544148438517</v>
      </c>
      <c r="F34" s="572">
        <f t="shared" si="6"/>
        <v>0.55382470493682168</v>
      </c>
      <c r="G34" s="579">
        <f t="shared" si="7"/>
        <v>0.2588190085913461</v>
      </c>
      <c r="H34" s="580">
        <f t="shared" si="8"/>
        <v>0.28499999999999998</v>
      </c>
      <c r="I34" s="572">
        <f t="shared" si="9"/>
        <v>0.52</v>
      </c>
      <c r="J34" s="483">
        <f t="shared" si="10"/>
        <v>3.109</v>
      </c>
      <c r="K34" s="806">
        <f t="shared" si="11"/>
        <v>14513</v>
      </c>
      <c r="L34" s="309"/>
      <c r="M34" s="164">
        <f t="shared" si="12"/>
        <v>3.109</v>
      </c>
      <c r="N34" s="575">
        <f t="shared" si="13"/>
        <v>1.1967208893098942</v>
      </c>
      <c r="O34" s="572">
        <f t="shared" si="14"/>
        <v>-1.7437426231213331</v>
      </c>
      <c r="P34" s="576">
        <f t="shared" si="15"/>
        <v>-0.12857675234734939</v>
      </c>
      <c r="Q34" s="528">
        <f t="shared" si="140"/>
        <v>304.46159306162485</v>
      </c>
      <c r="R34" s="572">
        <f>IF(M34="","",SQRT(N34^2+O34^2))</f>
        <v>2.1148946126463919</v>
      </c>
      <c r="S34" s="577">
        <f>IF(M34="","",P34)</f>
        <v>-0.12857675234734939</v>
      </c>
      <c r="T34" s="578">
        <f>IF(M34="","",X34*COS(RADIANS(W34)))</f>
        <v>-1.7307827593175138</v>
      </c>
      <c r="U34" s="572">
        <f>IF(M34="","",X34*SIN(RADIANS(W34)))</f>
        <v>-1.2153889347241835</v>
      </c>
      <c r="V34" s="579">
        <f>IF(M34="","",Y34)</f>
        <v>-0.12857675234734939</v>
      </c>
      <c r="W34" s="528">
        <f t="shared" si="253"/>
        <v>215.07726847295538</v>
      </c>
      <c r="X34" s="572">
        <f>IF(M34="","",R34)</f>
        <v>2.1148946126463919</v>
      </c>
      <c r="Y34" s="573">
        <f t="shared" si="255"/>
        <v>-0.12857675234734939</v>
      </c>
      <c r="Z34" s="575">
        <f t="shared" si="18"/>
        <v>-0.79138544148438517</v>
      </c>
      <c r="AA34" s="572">
        <f t="shared" si="19"/>
        <v>-0.55382470493682168</v>
      </c>
      <c r="AB34" s="572">
        <f t="shared" si="20"/>
        <v>-0.2588190085913461</v>
      </c>
      <c r="AC34" s="579">
        <f>IF(M34="","",SQRT(Z34^2+AA34^2+AB34^2))</f>
        <v>1</v>
      </c>
      <c r="AD34" s="580">
        <f>IF(M34="","",Z34*(1/SQRT(Z34^2+AA34^2+AB34^2)))</f>
        <v>-0.79138544148438517</v>
      </c>
      <c r="AE34" s="572">
        <f>IF(M34="","",AA34*(1/SQRT(Z34^2+AA34^2+AB34^2)))</f>
        <v>-0.55382470493682168</v>
      </c>
      <c r="AF34" s="576">
        <f>IF(M34="","",AB34*(1/SQRT(Z34^2+AA34^2+AB34^2)))</f>
        <v>-0.2588190085913461</v>
      </c>
      <c r="AG34" s="545">
        <f>IF(M34="","",DEGREES(ATAN2(-AF34,AE34)))</f>
        <v>-64.951895710138643</v>
      </c>
      <c r="AH34" s="546">
        <f>IF(M34="","",DEGREES(ACOS(AD34)))</f>
        <v>142.31517228779884</v>
      </c>
      <c r="AI34" s="528">
        <f>IF(M34="","",DEGREES(-ACOS(-AF34)))</f>
        <v>-75.000002165731715</v>
      </c>
      <c r="AJ34" s="529">
        <f>IF(M34="","",DEGREES(ATAN2(-AE34,AD34)))</f>
        <v>-55.015031039989125</v>
      </c>
      <c r="AK34" s="578">
        <f>IF(M34="","",(COS(RADIANS((90-$Q$8)-W34))*AD34)+(-SIN(RADIANS((90-$Q$8)-W34))*AE34))</f>
        <v>0.96588553719548575</v>
      </c>
      <c r="AL34" s="572">
        <f>IF(M34="","",(SIN(RADIANS((90-$Q$8)-W34))*AD34)+(COS(RADIANS((90-$Q$8)-W34))*AE34))</f>
        <v>8.823254976514372E-3</v>
      </c>
      <c r="AM34" s="577">
        <f>IF(M34="","",AF34)</f>
        <v>-0.2588190085913461</v>
      </c>
      <c r="AN34" s="524">
        <f>IF(M34="","",DEGREES(ATAN2(-AM34,AL34)))</f>
        <v>1.9524824454106047</v>
      </c>
      <c r="AO34" s="525">
        <f t="shared" si="116"/>
        <v>15.008916364285374</v>
      </c>
      <c r="AP34" s="528">
        <f>IF(M34="","",DEGREES(ATAN2(AK34,AL34)))</f>
        <v>0.52337589838602561</v>
      </c>
      <c r="AQ34" s="529">
        <f t="shared" si="21"/>
        <v>1.0778114924134921</v>
      </c>
      <c r="AS34" s="932">
        <f t="shared" si="143"/>
        <v>215.07726847295538</v>
      </c>
      <c r="AT34" s="928">
        <f t="shared" si="22"/>
        <v>-2.9830790592134712E-2</v>
      </c>
      <c r="AU34" s="418"/>
      <c r="AV34" s="164">
        <f t="shared" si="23"/>
        <v>3.109</v>
      </c>
      <c r="AW34" s="829">
        <f>IFERROR(INDEX(MassProp!C$9:C$150,MATCH($M34,MassProp!$B$9:$B$150,0)),"")</f>
        <v>2.1025999999999998</v>
      </c>
      <c r="AX34" s="830">
        <f>IFERROR(INDEX(MassProp!D$9:D$150,MATCH($M34,MassProp!$B$9:$B$150,0)),"")</f>
        <v>0.4032</v>
      </c>
      <c r="AY34" s="831">
        <f>IFERROR(INDEX(MassProp!E$9:E$150,MATCH($M34,MassProp!$B$9:$B$150,0)),"")</f>
        <v>3.61E-2</v>
      </c>
      <c r="AZ34" s="297">
        <f t="shared" si="144"/>
        <v>0.47700340295684407</v>
      </c>
      <c r="BA34" s="296">
        <f t="shared" si="24"/>
        <v>0.14160518817618625</v>
      </c>
      <c r="BB34" s="190">
        <f t="shared" si="145"/>
        <v>0.18303079059213473</v>
      </c>
      <c r="BC34" s="9"/>
      <c r="BD34" s="5">
        <f t="shared" si="146"/>
        <v>2.1025999999999998</v>
      </c>
      <c r="BE34" s="6">
        <f t="shared" si="25"/>
        <v>5.4454038244785341E-2</v>
      </c>
      <c r="BF34" s="4">
        <f t="shared" si="26"/>
        <v>1.1967208893098942</v>
      </c>
      <c r="BG34" s="5">
        <f t="shared" si="27"/>
        <v>-1.7437426231213331</v>
      </c>
      <c r="BH34" s="10">
        <f t="shared" si="28"/>
        <v>-0.12857675234734939</v>
      </c>
      <c r="BI34" s="9">
        <f t="shared" si="147"/>
        <v>1.1967208893098942</v>
      </c>
      <c r="BJ34" s="5">
        <f t="shared" si="29"/>
        <v>-1.3203635941211287</v>
      </c>
      <c r="BK34" s="8">
        <f t="shared" si="30"/>
        <v>-1.0345293989039142</v>
      </c>
      <c r="BL34" s="173">
        <f t="shared" si="31"/>
        <v>1.8080383870200161</v>
      </c>
      <c r="BM34" s="5">
        <f t="shared" si="32"/>
        <v>-2.4607003582804472</v>
      </c>
      <c r="BN34" s="6">
        <f t="shared" si="33"/>
        <v>-0.46363275212790639</v>
      </c>
      <c r="BO34" s="4">
        <f t="shared" si="148"/>
        <v>-0.79138544148438517</v>
      </c>
      <c r="BP34" s="5">
        <f t="shared" si="239"/>
        <v>-0.5538247049368219</v>
      </c>
      <c r="BQ34" s="5">
        <f t="shared" si="149"/>
        <v>-0.25881900859134599</v>
      </c>
      <c r="BR34" s="6">
        <f t="shared" si="150"/>
        <v>-5.1938361986271275E-2</v>
      </c>
      <c r="BS34" s="4">
        <f t="shared" si="118"/>
        <v>0</v>
      </c>
      <c r="BT34" s="5">
        <f t="shared" si="118"/>
        <v>0</v>
      </c>
      <c r="BU34" s="10">
        <f t="shared" si="119"/>
        <v>5.4454038244785341E-2</v>
      </c>
      <c r="BV34" s="9">
        <f t="shared" si="120"/>
        <v>0</v>
      </c>
      <c r="BW34" s="5">
        <f t="shared" si="121"/>
        <v>1</v>
      </c>
      <c r="BX34" s="8">
        <f t="shared" si="122"/>
        <v>5.4454038244785341E-2</v>
      </c>
      <c r="BY34" s="173">
        <f t="shared" si="123"/>
        <v>1</v>
      </c>
      <c r="BZ34" s="5">
        <f t="shared" si="124"/>
        <v>0</v>
      </c>
      <c r="CA34" s="6">
        <f t="shared" si="125"/>
        <v>5.4454038244785341E-2</v>
      </c>
      <c r="CB34" s="4">
        <f t="shared" si="151"/>
        <v>0</v>
      </c>
      <c r="CC34" s="5">
        <f t="shared" si="152"/>
        <v>0</v>
      </c>
      <c r="CD34" s="5">
        <f t="shared" si="153"/>
        <v>-1</v>
      </c>
      <c r="CE34" s="6">
        <f t="shared" si="154"/>
        <v>5.4454038244785341E-2</v>
      </c>
      <c r="CF34" s="4">
        <f t="shared" si="155"/>
        <v>0.5538247049368219</v>
      </c>
      <c r="CG34" s="5">
        <f t="shared" si="156"/>
        <v>-0.79138544148438517</v>
      </c>
      <c r="CH34" s="5">
        <f t="shared" si="157"/>
        <v>0</v>
      </c>
      <c r="CI34" s="4">
        <f t="shared" si="126"/>
        <v>0</v>
      </c>
      <c r="CJ34" s="5">
        <f t="shared" si="127"/>
        <v>-0.11922924634811033</v>
      </c>
      <c r="CK34" s="8">
        <f t="shared" si="128"/>
        <v>5.4454038244785341E-2</v>
      </c>
      <c r="CL34" s="173">
        <f t="shared" si="129"/>
        <v>0.5538247049368219</v>
      </c>
      <c r="CM34" s="5">
        <f t="shared" si="130"/>
        <v>-0.91061468783249544</v>
      </c>
      <c r="CN34" s="6">
        <f t="shared" si="131"/>
        <v>5.4454038244785341E-2</v>
      </c>
      <c r="CO34" s="167" t="str">
        <f t="shared" si="35"/>
        <v>Radius</v>
      </c>
      <c r="CP34" s="4">
        <f t="shared" si="240"/>
        <v>0.93301272079179287</v>
      </c>
      <c r="CQ34" s="5">
        <f t="shared" si="241"/>
        <v>-3.8967796585774988</v>
      </c>
      <c r="CR34" s="5" t="e">
        <f t="shared" si="158"/>
        <v>#VALUE!</v>
      </c>
      <c r="CS34" s="8" t="e">
        <f t="shared" si="159"/>
        <v>#VALUE!</v>
      </c>
      <c r="CT34" s="9" t="e">
        <f t="shared" si="160"/>
        <v>#VALUE!</v>
      </c>
      <c r="CU34" s="6" t="e">
        <f t="shared" si="161"/>
        <v>#VALUE!</v>
      </c>
      <c r="CV34" s="4" t="e">
        <f t="shared" si="242"/>
        <v>#VALUE!</v>
      </c>
      <c r="CW34" s="5" t="e">
        <f t="shared" si="162"/>
        <v>#VALUE!</v>
      </c>
      <c r="CX34" s="8" t="e">
        <f t="shared" si="163"/>
        <v>#VALUE!</v>
      </c>
      <c r="CY34" s="9" t="e">
        <f t="shared" si="164"/>
        <v>#VALUE!</v>
      </c>
      <c r="CZ34" s="5" t="e">
        <f t="shared" si="165"/>
        <v>#VALUE!</v>
      </c>
      <c r="DA34" s="6" t="e">
        <f t="shared" si="166"/>
        <v>#VALUE!</v>
      </c>
      <c r="DB34" s="4">
        <f t="shared" si="167"/>
        <v>0</v>
      </c>
      <c r="DC34" s="5">
        <f t="shared" si="167"/>
        <v>0</v>
      </c>
      <c r="DD34" s="10">
        <f t="shared" si="168"/>
        <v>-10</v>
      </c>
      <c r="DE34" s="9">
        <f t="shared" si="169"/>
        <v>0</v>
      </c>
      <c r="DF34" s="5">
        <f t="shared" si="169"/>
        <v>0</v>
      </c>
      <c r="DG34" s="10">
        <f t="shared" si="170"/>
        <v>10</v>
      </c>
      <c r="DH34" s="70">
        <f t="shared" si="171"/>
        <v>2.1025999999999998</v>
      </c>
      <c r="DI34" s="4">
        <f t="shared" si="172"/>
        <v>0</v>
      </c>
      <c r="DJ34" s="5">
        <f t="shared" si="173"/>
        <v>0</v>
      </c>
      <c r="DK34" s="10">
        <f t="shared" si="174"/>
        <v>20</v>
      </c>
      <c r="DL34" s="9" t="e">
        <f t="shared" si="175"/>
        <v>#VALUE!</v>
      </c>
      <c r="DM34" s="173" t="e">
        <f t="shared" si="176"/>
        <v>#VALUE!</v>
      </c>
      <c r="DN34" s="178" t="e">
        <f t="shared" si="177"/>
        <v>#VALUE!</v>
      </c>
      <c r="DO34" s="9" t="e">
        <f t="shared" si="178"/>
        <v>#VALUE!</v>
      </c>
      <c r="DP34" s="173" t="e">
        <f t="shared" si="179"/>
        <v>#VALUE!</v>
      </c>
      <c r="DQ34" s="11" t="e">
        <f t="shared" si="180"/>
        <v>#VALUE!</v>
      </c>
      <c r="DR34" s="173" t="e">
        <f t="shared" si="181"/>
        <v>#VALUE!</v>
      </c>
      <c r="DS34" s="5" t="e">
        <f t="shared" si="182"/>
        <v>#VALUE!</v>
      </c>
      <c r="DT34" s="5">
        <f t="shared" si="183"/>
        <v>400</v>
      </c>
      <c r="DU34" s="5" t="e">
        <f t="shared" si="184"/>
        <v>#VALUE!</v>
      </c>
      <c r="DV34" s="5" t="e">
        <f t="shared" si="185"/>
        <v>#VALUE!</v>
      </c>
      <c r="DW34" s="5" t="e">
        <f t="shared" si="186"/>
        <v>#VALUE!</v>
      </c>
      <c r="DX34" s="167" t="e">
        <f t="shared" si="187"/>
        <v>#VALUE!</v>
      </c>
      <c r="DY34" s="9" t="e">
        <f t="shared" si="188"/>
        <v>#VALUE!</v>
      </c>
      <c r="DZ34" s="5" t="e">
        <f t="shared" si="189"/>
        <v>#VALUE!</v>
      </c>
      <c r="EA34" s="10" t="e">
        <f t="shared" si="190"/>
        <v>#VALUE!</v>
      </c>
      <c r="EB34" s="6" t="e">
        <f t="shared" si="191"/>
        <v>#VALUE!</v>
      </c>
      <c r="EC34" s="173" t="e">
        <f t="shared" si="192"/>
        <v>#VALUE!</v>
      </c>
      <c r="ED34" s="5" t="e">
        <f t="shared" si="193"/>
        <v>#VALUE!</v>
      </c>
      <c r="EE34" s="4" t="e">
        <f t="shared" si="194"/>
        <v>#VALUE!</v>
      </c>
      <c r="EF34" s="5" t="e">
        <f t="shared" si="195"/>
        <v>#VALUE!</v>
      </c>
      <c r="EG34" s="10" t="e">
        <f t="shared" si="196"/>
        <v>#VALUE!</v>
      </c>
      <c r="EH34" s="9" t="e">
        <f t="shared" si="197"/>
        <v>#VALUE!</v>
      </c>
      <c r="EI34" s="5" t="e">
        <f t="shared" si="198"/>
        <v>#VALUE!</v>
      </c>
      <c r="EJ34" s="6" t="e">
        <f t="shared" si="199"/>
        <v>#VALUE!</v>
      </c>
      <c r="EK34" s="236" t="e">
        <f t="shared" si="200"/>
        <v>#VALUE!</v>
      </c>
      <c r="EL34" s="238" t="e">
        <f t="shared" si="201"/>
        <v>#VALUE!</v>
      </c>
      <c r="EM34" s="4" t="e">
        <f t="shared" si="202"/>
        <v>#VALUE!</v>
      </c>
      <c r="EN34" s="5" t="e">
        <f t="shared" si="203"/>
        <v>#VALUE!</v>
      </c>
      <c r="EO34" s="10" t="e">
        <f t="shared" si="204"/>
        <v>#VALUE!</v>
      </c>
      <c r="EP34" s="9" t="e">
        <f t="shared" si="205"/>
        <v>#VALUE!</v>
      </c>
      <c r="EQ34" s="5" t="e">
        <f t="shared" si="206"/>
        <v>#VALUE!</v>
      </c>
      <c r="ER34" s="7" t="e">
        <f t="shared" si="207"/>
        <v>#VALUE!</v>
      </c>
      <c r="ES34" s="21">
        <f t="shared" si="132"/>
        <v>-0.79138544148438517</v>
      </c>
      <c r="ET34" s="5">
        <f t="shared" si="44"/>
        <v>-0.55382470493682168</v>
      </c>
      <c r="EU34" s="10">
        <f t="shared" si="45"/>
        <v>-0.2588190085913461</v>
      </c>
      <c r="EV34" s="174" t="e">
        <f t="shared" si="254"/>
        <v>#VALUE!</v>
      </c>
      <c r="EW34" s="9" t="e">
        <f t="shared" si="133"/>
        <v>#VALUE!</v>
      </c>
      <c r="EX34" s="5" t="e">
        <f t="shared" si="47"/>
        <v>#VALUE!</v>
      </c>
      <c r="EY34" s="6">
        <f t="shared" si="208"/>
        <v>-0.2588190085913461</v>
      </c>
      <c r="EZ34" s="51" t="e">
        <f t="shared" si="209"/>
        <v>#VALUE!</v>
      </c>
      <c r="FA34" s="266" t="e">
        <f t="shared" si="134"/>
        <v>#VALUE!</v>
      </c>
      <c r="FB34" s="267" t="e">
        <f t="shared" si="135"/>
        <v>#VALUE!</v>
      </c>
      <c r="FC34" s="269" t="e">
        <f t="shared" si="48"/>
        <v>#VALUE!</v>
      </c>
      <c r="FD34" s="4" t="e">
        <f t="shared" si="136"/>
        <v>#VALUE!</v>
      </c>
      <c r="FE34" s="5" t="e">
        <f t="shared" si="49"/>
        <v>#VALUE!</v>
      </c>
      <c r="FF34" s="7" t="e">
        <f t="shared" si="210"/>
        <v>#VALUE!</v>
      </c>
      <c r="FG34" s="173" t="e">
        <f t="shared" si="211"/>
        <v>#VALUE!</v>
      </c>
      <c r="FH34" s="5" t="e">
        <f t="shared" si="50"/>
        <v>#VALUE!</v>
      </c>
      <c r="FI34" s="10" t="e">
        <f t="shared" si="51"/>
        <v>#VALUE!</v>
      </c>
      <c r="FJ34" s="279" t="e">
        <f t="shared" si="212"/>
        <v>#VALUE!</v>
      </c>
      <c r="FK34" s="4">
        <f t="shared" si="52"/>
        <v>0.96592583607220739</v>
      </c>
      <c r="FL34" s="5" t="e">
        <f t="shared" si="213"/>
        <v>#VALUE!</v>
      </c>
      <c r="FM34" s="8" t="e">
        <f t="shared" si="214"/>
        <v>#VALUE!</v>
      </c>
      <c r="FN34" s="9" t="e">
        <f t="shared" si="215"/>
        <v>#VALUE!</v>
      </c>
      <c r="FO34" s="10" t="e">
        <f t="shared" si="53"/>
        <v>#VALUE!</v>
      </c>
      <c r="FP34" s="277" t="e">
        <f t="shared" si="54"/>
        <v>#VALUE!</v>
      </c>
      <c r="FQ34" s="173" t="e">
        <f t="shared" si="243"/>
        <v>#VALUE!</v>
      </c>
      <c r="FR34" s="10" t="e">
        <f t="shared" si="216"/>
        <v>#VALUE!</v>
      </c>
      <c r="FS34" s="9" t="e">
        <f t="shared" si="217"/>
        <v>#VALUE!</v>
      </c>
      <c r="FT34" s="6" t="e">
        <f t="shared" si="218"/>
        <v>#VALUE!</v>
      </c>
      <c r="FU34" s="4" t="e">
        <f t="shared" si="219"/>
        <v>#VALUE!</v>
      </c>
      <c r="FV34" s="5" t="e">
        <f t="shared" si="220"/>
        <v>#VALUE!</v>
      </c>
      <c r="FW34" s="8" t="e">
        <f t="shared" si="244"/>
        <v>#VALUE!</v>
      </c>
      <c r="FX34" s="9" t="e">
        <f t="shared" si="245"/>
        <v>#VALUE!</v>
      </c>
      <c r="FY34" s="10" t="e">
        <f t="shared" si="55"/>
        <v>#VALUE!</v>
      </c>
      <c r="FZ34" s="277" t="e">
        <f t="shared" si="246"/>
        <v>#VALUE!</v>
      </c>
      <c r="GA34" s="177" t="e">
        <f t="shared" si="221"/>
        <v>#VALUE!</v>
      </c>
      <c r="GB34" s="4" t="e">
        <f t="shared" si="222"/>
        <v>#VALUE!</v>
      </c>
      <c r="GC34" s="5" t="e">
        <f t="shared" si="223"/>
        <v>#VALUE!</v>
      </c>
      <c r="GD34" s="10" t="e">
        <f t="shared" si="224"/>
        <v>#VALUE!</v>
      </c>
      <c r="GE34" s="311" t="e">
        <f t="shared" si="225"/>
        <v>#VALUE!</v>
      </c>
      <c r="GF34" s="341" t="e">
        <f t="shared" si="247"/>
        <v>#VALUE!</v>
      </c>
      <c r="GG34" s="285" t="e">
        <f t="shared" si="56"/>
        <v>#VALUE!</v>
      </c>
      <c r="GH34" s="286" t="e">
        <f t="shared" si="57"/>
        <v>#VALUE!</v>
      </c>
      <c r="GI34" s="281" t="e">
        <f t="shared" si="58"/>
        <v>#VALUE!</v>
      </c>
      <c r="GJ34" s="167">
        <f t="shared" si="226"/>
        <v>2.1025999999999998</v>
      </c>
      <c r="GK34" s="174">
        <f t="shared" si="59"/>
        <v>1.101115888635374</v>
      </c>
      <c r="GL34" s="174">
        <f t="shared" si="227"/>
        <v>3.61E-2</v>
      </c>
      <c r="GM34" s="177">
        <f t="shared" si="248"/>
        <v>0.47700340295684407</v>
      </c>
      <c r="GN34" s="280">
        <f t="shared" si="228"/>
        <v>0.14160518817618625</v>
      </c>
      <c r="GO34" s="4" t="e">
        <f t="shared" si="229"/>
        <v>#VALUE!</v>
      </c>
      <c r="GP34" s="8" t="e">
        <f t="shared" si="249"/>
        <v>#VALUE!</v>
      </c>
      <c r="GQ34" s="177" t="e">
        <f t="shared" si="230"/>
        <v>#VALUE!</v>
      </c>
      <c r="GR34" s="371" t="e">
        <f t="shared" si="250"/>
        <v>#VALUE!</v>
      </c>
      <c r="GS34" s="342" t="e">
        <f t="shared" si="61"/>
        <v>#VALUE!</v>
      </c>
      <c r="GT34" s="343" t="e">
        <f t="shared" si="62"/>
        <v>#VALUE!</v>
      </c>
      <c r="GU34" s="344">
        <f t="shared" si="63"/>
        <v>1172.6333656022416</v>
      </c>
      <c r="GV34" s="343">
        <f t="shared" si="252"/>
        <v>1064.95</v>
      </c>
      <c r="GW34" s="345">
        <f t="shared" si="64"/>
        <v>29500</v>
      </c>
      <c r="GX34" s="346">
        <f t="shared" si="65"/>
        <v>186.59698916666667</v>
      </c>
      <c r="GY34" s="344" t="e">
        <f t="shared" si="66"/>
        <v>#VALUE!</v>
      </c>
      <c r="GZ34" s="345" t="e">
        <f t="shared" si="67"/>
        <v>#VALUE!</v>
      </c>
      <c r="HA34" s="342" t="e">
        <f t="shared" si="68"/>
        <v>#VALUE!</v>
      </c>
      <c r="HB34" s="5" t="e">
        <f t="shared" si="231"/>
        <v>#VALUE!</v>
      </c>
      <c r="HC34" s="343" t="e">
        <f t="shared" si="232"/>
        <v>#VALUE!</v>
      </c>
      <c r="HD34" s="363" t="e">
        <f t="shared" si="233"/>
        <v>#VALUE!</v>
      </c>
      <c r="HE34" s="344" t="e">
        <f t="shared" si="69"/>
        <v>#VALUE!</v>
      </c>
      <c r="HF34" s="5" t="e">
        <f t="shared" si="70"/>
        <v>#VALUE!</v>
      </c>
      <c r="HG34" s="343" t="e">
        <f t="shared" si="234"/>
        <v>#VALUE!</v>
      </c>
      <c r="HH34" s="349" t="e">
        <f t="shared" si="235"/>
        <v>#VALUE!</v>
      </c>
      <c r="HI34" s="317">
        <f t="shared" si="71"/>
        <v>3.109</v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3.109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8"/>
        <v>14513</v>
      </c>
      <c r="IM34" s="482" t="str">
        <f t="shared" si="237"/>
        <v/>
      </c>
      <c r="IN34" s="670" t="str">
        <f t="shared" si="90"/>
        <v/>
      </c>
      <c r="IO34" s="702"/>
      <c r="IP34" s="5" t="str">
        <f t="shared" si="91"/>
        <v/>
      </c>
      <c r="IQ34" s="714"/>
      <c r="IR34" s="9" t="str">
        <f t="shared" si="139"/>
        <v/>
      </c>
      <c r="IS34" s="5" t="str">
        <f t="shared" si="92"/>
        <v/>
      </c>
      <c r="IT34" s="5" t="str">
        <f t="shared" si="93"/>
        <v/>
      </c>
      <c r="IU34" s="5" t="str">
        <f t="shared" si="94"/>
        <v/>
      </c>
      <c r="IV34" s="670" t="str">
        <f t="shared" si="95"/>
        <v/>
      </c>
      <c r="IW34" s="9" t="str">
        <f t="shared" si="96"/>
        <v/>
      </c>
      <c r="IX34" s="5" t="str">
        <f t="shared" si="97"/>
        <v/>
      </c>
      <c r="IY34" s="5" t="str">
        <f t="shared" si="98"/>
        <v/>
      </c>
      <c r="IZ34" s="5" t="str">
        <f t="shared" si="99"/>
        <v/>
      </c>
      <c r="JA34" s="705" t="str">
        <f t="shared" si="100"/>
        <v/>
      </c>
      <c r="JI34" s="419"/>
    </row>
    <row r="35" spans="1:269" ht="15" customHeight="1" x14ac:dyDescent="0.25">
      <c r="A35" s="75">
        <f t="shared" si="1"/>
        <v>0.02</v>
      </c>
      <c r="B35" s="578">
        <f t="shared" si="2"/>
        <v>1.5692877499132629</v>
      </c>
      <c r="C35" s="572">
        <f t="shared" si="3"/>
        <v>-2.3210365360576919</v>
      </c>
      <c r="D35" s="576">
        <f t="shared" si="4"/>
        <v>-0.26842510559804417</v>
      </c>
      <c r="E35" s="580">
        <f t="shared" si="5"/>
        <v>0.85720759049249451</v>
      </c>
      <c r="F35" s="572">
        <f t="shared" si="6"/>
        <v>0.41768917023770707</v>
      </c>
      <c r="G35" s="579">
        <f t="shared" si="7"/>
        <v>0.30121570986286172</v>
      </c>
      <c r="H35" s="580">
        <f t="shared" si="8"/>
        <v>0.28499999999999998</v>
      </c>
      <c r="I35" s="572">
        <f t="shared" si="9"/>
        <v>0.52</v>
      </c>
      <c r="J35" s="483">
        <f t="shared" si="10"/>
        <v>3.1139999999999999</v>
      </c>
      <c r="K35" s="806">
        <f t="shared" si="11"/>
        <v>14513</v>
      </c>
      <c r="L35" s="309"/>
      <c r="M35" s="164">
        <f t="shared" si="12"/>
        <v>3.1139999999999999</v>
      </c>
      <c r="N35" s="575">
        <f t="shared" si="13"/>
        <v>1.5692877499132629</v>
      </c>
      <c r="O35" s="572">
        <f t="shared" si="14"/>
        <v>-2.3210365360576919</v>
      </c>
      <c r="P35" s="576">
        <f t="shared" si="15"/>
        <v>-0.26842510559804417</v>
      </c>
      <c r="Q35" s="528">
        <f t="shared" si="140"/>
        <v>304.06321776537749</v>
      </c>
      <c r="R35" s="572">
        <f>IF(M35="","",SQRT(N35^2+O35^2))</f>
        <v>2.801762774351626</v>
      </c>
      <c r="S35" s="577">
        <f>IF(M35="","",P35)</f>
        <v>-0.26842510559804417</v>
      </c>
      <c r="T35" s="578">
        <f>IF(M35="","",X35*COS(RADIANS(W35)))</f>
        <v>-2.304039979692706</v>
      </c>
      <c r="U35" s="572">
        <f>IF(M35="","",X35*SIN(RADIANS(W35)))</f>
        <v>-1.5941375146831449</v>
      </c>
      <c r="V35" s="579">
        <f>IF(M35="","",Y35)</f>
        <v>-0.26842510559804417</v>
      </c>
      <c r="W35" s="528">
        <f t="shared" si="253"/>
        <v>214.67889317670802</v>
      </c>
      <c r="X35" s="572">
        <f>IF(M35="","",R35)</f>
        <v>2.801762774351626</v>
      </c>
      <c r="Y35" s="573">
        <f t="shared" si="255"/>
        <v>-0.26842510559804417</v>
      </c>
      <c r="Z35" s="575">
        <f t="shared" si="18"/>
        <v>-0.85720759049249451</v>
      </c>
      <c r="AA35" s="572">
        <f t="shared" si="19"/>
        <v>-0.41768917023770707</v>
      </c>
      <c r="AB35" s="572">
        <f t="shared" si="20"/>
        <v>-0.30121570986286172</v>
      </c>
      <c r="AC35" s="579">
        <f>IF(M35="","",SQRT(Z35^2+AA35^2+AB35^2))</f>
        <v>1</v>
      </c>
      <c r="AD35" s="580">
        <f>IF(M35="","",Z35*(1/SQRT(Z35^2+AA35^2+AB35^2)))</f>
        <v>-0.85720759049249451</v>
      </c>
      <c r="AE35" s="572">
        <f>IF(M35="","",AA35*(1/SQRT(Z35^2+AA35^2+AB35^2)))</f>
        <v>-0.41768917023770707</v>
      </c>
      <c r="AF35" s="576">
        <f>IF(M35="","",AB35*(1/SQRT(Z35^2+AA35^2+AB35^2)))</f>
        <v>-0.30121570986286172</v>
      </c>
      <c r="AG35" s="545">
        <f>IF(M35="","",DEGREES(ATAN2(-AF35,AE35)))</f>
        <v>-54.202817320685853</v>
      </c>
      <c r="AH35" s="546">
        <f>IF(M35="","",DEGREES(ACOS(AD35)))</f>
        <v>149.00448235839215</v>
      </c>
      <c r="AI35" s="528">
        <f>IF(M35="","",DEGREES(-ACOS(-AF35)))</f>
        <v>-72.469363891665338</v>
      </c>
      <c r="AJ35" s="529">
        <f>IF(M35="","",DEGREES(ATAN2(-AE35,AD35)))</f>
        <v>-64.021543093500895</v>
      </c>
      <c r="AK35" s="578">
        <f>IF(M35="","",(COS(RADIANS((90-$Q$8)-W35))*AD35)+(-SIN(RADIANS((90-$Q$8)-W35))*AE35))</f>
        <v>0.94407872745637611</v>
      </c>
      <c r="AL35" s="572">
        <f>IF(M35="","",(SIN(RADIANS((90-$Q$8)-W35))*AD35)+(COS(RADIANS((90-$Q$8)-W35))*AE35))</f>
        <v>-0.13410612400692934</v>
      </c>
      <c r="AM35" s="577">
        <f>IF(M35="","",AF35)</f>
        <v>-0.30121570986286172</v>
      </c>
      <c r="AN35" s="524">
        <f>IF(M35="","",DEGREES(ATAN2(-AM35,AL35)))</f>
        <v>-23.999404618532189</v>
      </c>
      <c r="AO35" s="525">
        <f t="shared" si="116"/>
        <v>19.251788693323142</v>
      </c>
      <c r="AP35" s="528">
        <f>IF(M35="","",DEGREES(ATAN2(AK35,AL35)))</f>
        <v>-8.0847608588783846</v>
      </c>
      <c r="AQ35" s="529">
        <f t="shared" si="21"/>
        <v>0.81362112981213597</v>
      </c>
      <c r="AS35" s="932">
        <f t="shared" si="143"/>
        <v>214.67889317670802</v>
      </c>
      <c r="AT35" s="928">
        <f t="shared" si="22"/>
        <v>-0.16940249433154658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3.1139999999999999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14513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0.02</v>
      </c>
      <c r="B36" s="578">
        <f t="shared" si="2"/>
        <v>1.8395786278323503</v>
      </c>
      <c r="C36" s="572">
        <f t="shared" si="3"/>
        <v>-2.7913098228082891</v>
      </c>
      <c r="D36" s="576">
        <f t="shared" si="4"/>
        <v>-0.71399484616542686</v>
      </c>
      <c r="E36" s="580">
        <f t="shared" si="5"/>
        <v>0.93274740558004754</v>
      </c>
      <c r="F36" s="572">
        <f t="shared" si="6"/>
        <v>0.25014341005335045</v>
      </c>
      <c r="G36" s="579">
        <f t="shared" si="7"/>
        <v>0.25963542090895791</v>
      </c>
      <c r="H36" s="580">
        <f t="shared" si="8"/>
        <v>0.28499999999999998</v>
      </c>
      <c r="I36" s="572">
        <f t="shared" si="9"/>
        <v>0.52</v>
      </c>
      <c r="J36" s="483">
        <f t="shared" si="10"/>
        <v>3.1190000000000002</v>
      </c>
      <c r="K36" s="806">
        <f t="shared" si="11"/>
        <v>14513</v>
      </c>
      <c r="L36" s="309"/>
      <c r="M36" s="164">
        <f t="shared" si="12"/>
        <v>3.1190000000000002</v>
      </c>
      <c r="N36" s="575">
        <f t="shared" si="13"/>
        <v>1.8395786278323503</v>
      </c>
      <c r="O36" s="572">
        <f t="shared" si="14"/>
        <v>-2.7913098228082891</v>
      </c>
      <c r="P36" s="576">
        <f t="shared" si="15"/>
        <v>-0.71399484616542686</v>
      </c>
      <c r="Q36" s="528">
        <f t="shared" si="140"/>
        <v>303.38639131769173</v>
      </c>
      <c r="R36" s="572">
        <f>IF(M36="","",SQRT(N36^2+O36^2))</f>
        <v>3.3429717400665524</v>
      </c>
      <c r="S36" s="577">
        <f>IF(M36="","",P36)</f>
        <v>-0.71399484616542686</v>
      </c>
      <c r="T36" s="578">
        <f>IF(M36="","",X36*COS(RADIANS(W36)))</f>
        <v>-2.771381744375419</v>
      </c>
      <c r="U36" s="572">
        <f>IF(M36="","",X36*SIN(RADIANS(W36)))</f>
        <v>-1.8694660419024072</v>
      </c>
      <c r="V36" s="579">
        <f>IF(M36="","",Y36)</f>
        <v>-0.71399484616542686</v>
      </c>
      <c r="W36" s="528">
        <f t="shared" si="253"/>
        <v>214.00206672902226</v>
      </c>
      <c r="X36" s="572">
        <f>IF(M36="","",R36)</f>
        <v>3.3429717400665524</v>
      </c>
      <c r="Y36" s="573">
        <f t="shared" si="255"/>
        <v>-0.71399484616542686</v>
      </c>
      <c r="Z36" s="575">
        <f t="shared" si="18"/>
        <v>-0.93274740558004754</v>
      </c>
      <c r="AA36" s="572">
        <f t="shared" si="19"/>
        <v>-0.25014341005335045</v>
      </c>
      <c r="AB36" s="572">
        <f t="shared" si="20"/>
        <v>-0.25963542090895791</v>
      </c>
      <c r="AC36" s="579">
        <f>IF(M36="","",SQRT(Z36^2+AA36^2+AB36^2))</f>
        <v>1</v>
      </c>
      <c r="AD36" s="580">
        <f>IF(M36="","",Z36*(1/SQRT(Z36^2+AA36^2+AB36^2)))</f>
        <v>-0.93274740558004754</v>
      </c>
      <c r="AE36" s="572">
        <f>IF(M36="","",AA36*(1/SQRT(Z36^2+AA36^2+AB36^2)))</f>
        <v>-0.25014341005335045</v>
      </c>
      <c r="AF36" s="576">
        <f>IF(M36="","",AB36*(1/SQRT(Z36^2+AA36^2+AB36^2)))</f>
        <v>-0.25963542090895791</v>
      </c>
      <c r="AG36" s="545">
        <f>IF(M36="","",DEGREES(ATAN2(-AF36,AE36)))</f>
        <v>-43.933283827961155</v>
      </c>
      <c r="AH36" s="546">
        <f>IF(M36="","",DEGREES(ACOS(AD36)))</f>
        <v>158.86721752381783</v>
      </c>
      <c r="AI36" s="528">
        <f>IF(M36="","",DEGREES(-ACOS(-AF36)))</f>
        <v>-74.951569582142696</v>
      </c>
      <c r="AJ36" s="529">
        <f>IF(M36="","",DEGREES(ATAN2(-AE36,AD36)))</f>
        <v>-74.987707496674432</v>
      </c>
      <c r="AK36" s="578">
        <f>IF(M36="","",(COS(RADIANS((90-$Q$8)-W36))*AD36)+(-SIN(RADIANS((90-$Q$8)-W36))*AE36))</f>
        <v>0.91647363622666689</v>
      </c>
      <c r="AL36" s="572">
        <f>IF(M36="","",(SIN(RADIANS((90-$Q$8)-W36))*AD36)+(COS(RADIANS((90-$Q$8)-W36))*AE36))</f>
        <v>-0.304410121892981</v>
      </c>
      <c r="AM36" s="577">
        <f>IF(M36="","",AF36)</f>
        <v>-0.25963542090895791</v>
      </c>
      <c r="AN36" s="524">
        <f>IF(M36="","",DEGREES(ATAN2(-AM36,AL36)))</f>
        <v>-49.538699347768194</v>
      </c>
      <c r="AO36" s="525">
        <f t="shared" si="116"/>
        <v>23.58412260483729</v>
      </c>
      <c r="AP36" s="528">
        <f>IF(M36="","",DEGREES(ATAN2(AK36,AL36)))</f>
        <v>-18.374098814366153</v>
      </c>
      <c r="AQ36" s="529">
        <f t="shared" si="21"/>
        <v>0.68191392801688755</v>
      </c>
      <c r="AS36" s="932">
        <f t="shared" si="143"/>
        <v>214.00206672902226</v>
      </c>
      <c r="AT36" s="928">
        <f t="shared" si="22"/>
        <v>-0.61450221653248083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3.1190000000000002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8"/>
        <v>14513</v>
      </c>
      <c r="IM36" s="482" t="str">
        <f t="shared" si="237"/>
        <v/>
      </c>
      <c r="IN36" s="670" t="str">
        <f t="shared" si="90"/>
        <v/>
      </c>
      <c r="IO36" s="702"/>
      <c r="IP36" s="5" t="str">
        <f t="shared" si="91"/>
        <v/>
      </c>
      <c r="IQ36" s="714"/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70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705" t="str">
        <f t="shared" si="100"/>
        <v/>
      </c>
    </row>
    <row r="37" spans="1:269" ht="15" customHeight="1" x14ac:dyDescent="0.25">
      <c r="A37" s="75">
        <f t="shared" si="1"/>
        <v>0.02</v>
      </c>
      <c r="B37" s="578">
        <f t="shared" si="2"/>
        <v>1.974207844230311</v>
      </c>
      <c r="C37" s="572">
        <f t="shared" si="3"/>
        <v>-3.0451558050356637</v>
      </c>
      <c r="D37" s="576">
        <f t="shared" si="4"/>
        <v>-1.3541529905948222</v>
      </c>
      <c r="E37" s="580">
        <f t="shared" si="5"/>
        <v>0.98736183172256153</v>
      </c>
      <c r="F37" s="572">
        <f t="shared" si="6"/>
        <v>0.10061642798491459</v>
      </c>
      <c r="G37" s="579">
        <f t="shared" si="7"/>
        <v>0.12244569276632244</v>
      </c>
      <c r="H37" s="580">
        <f t="shared" si="8"/>
        <v>0.28499999999999998</v>
      </c>
      <c r="I37" s="572">
        <f t="shared" si="9"/>
        <v>0.52</v>
      </c>
      <c r="J37" s="483">
        <f t="shared" si="10"/>
        <v>3.1240000000000001</v>
      </c>
      <c r="K37" s="806">
        <f t="shared" si="11"/>
        <v>14513</v>
      </c>
      <c r="L37" s="309"/>
      <c r="M37" s="164">
        <f t="shared" si="12"/>
        <v>3.1240000000000001</v>
      </c>
      <c r="N37" s="575">
        <f t="shared" si="13"/>
        <v>1.974207844230311</v>
      </c>
      <c r="O37" s="572">
        <f t="shared" si="14"/>
        <v>-3.0451558050356637</v>
      </c>
      <c r="P37" s="576">
        <f t="shared" si="15"/>
        <v>-1.3541529905948222</v>
      </c>
      <c r="Q37" s="528">
        <f t="shared" si="140"/>
        <v>302.95578298482729</v>
      </c>
      <c r="R37" s="572">
        <f t="shared" si="101"/>
        <v>3.6291142843899107</v>
      </c>
      <c r="S37" s="577">
        <f t="shared" si="102"/>
        <v>-1.3541529905948222</v>
      </c>
      <c r="T37" s="578">
        <f t="shared" si="103"/>
        <v>-3.0237664324177924</v>
      </c>
      <c r="U37" s="572">
        <f t="shared" si="104"/>
        <v>-2.0068151512648762</v>
      </c>
      <c r="V37" s="579">
        <f t="shared" si="141"/>
        <v>-1.3541529905948222</v>
      </c>
      <c r="W37" s="528">
        <f t="shared" si="253"/>
        <v>213.57145839615782</v>
      </c>
      <c r="X37" s="572">
        <f t="shared" si="105"/>
        <v>3.6291142843899107</v>
      </c>
      <c r="Y37" s="573">
        <f t="shared" si="255"/>
        <v>-1.3541529905948222</v>
      </c>
      <c r="Z37" s="575">
        <f t="shared" si="18"/>
        <v>-0.98736183172256153</v>
      </c>
      <c r="AA37" s="572">
        <f t="shared" si="19"/>
        <v>-0.10061642798491459</v>
      </c>
      <c r="AB37" s="572">
        <f t="shared" si="20"/>
        <v>-0.12244569276632244</v>
      </c>
      <c r="AC37" s="579">
        <f t="shared" si="106"/>
        <v>1</v>
      </c>
      <c r="AD37" s="580">
        <f t="shared" si="142"/>
        <v>-0.98736183172256153</v>
      </c>
      <c r="AE37" s="572">
        <f t="shared" si="107"/>
        <v>-0.10061642798491459</v>
      </c>
      <c r="AF37" s="576">
        <f t="shared" si="108"/>
        <v>-0.12244569276632244</v>
      </c>
      <c r="AG37" s="545">
        <f t="shared" si="109"/>
        <v>-39.410728181103437</v>
      </c>
      <c r="AH37" s="546">
        <f t="shared" si="110"/>
        <v>170.88119032933363</v>
      </c>
      <c r="AI37" s="528">
        <f t="shared" si="111"/>
        <v>-82.966728433710657</v>
      </c>
      <c r="AJ37" s="529">
        <f t="shared" si="112"/>
        <v>-84.181398611883949</v>
      </c>
      <c r="AK37" s="578">
        <f t="shared" si="238"/>
        <v>0.88322056120249737</v>
      </c>
      <c r="AL37" s="572">
        <f t="shared" si="113"/>
        <v>-0.45269028329766609</v>
      </c>
      <c r="AM37" s="577">
        <f t="shared" si="114"/>
        <v>-0.12244569276632244</v>
      </c>
      <c r="AN37" s="524">
        <f t="shared" si="115"/>
        <v>-74.864555850198826</v>
      </c>
      <c r="AO37" s="525">
        <f t="shared" si="116"/>
        <v>27.966667852021928</v>
      </c>
      <c r="AP37" s="528">
        <f t="shared" si="117"/>
        <v>-27.137181596711248</v>
      </c>
      <c r="AQ37" s="529">
        <f t="shared" si="21"/>
        <v>0.62815197202353878</v>
      </c>
      <c r="AS37" s="932">
        <f t="shared" si="143"/>
        <v>213.57145839615782</v>
      </c>
      <c r="AT37" s="928">
        <f t="shared" si="22"/>
        <v>-1.254361327397387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3.1240000000000001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14513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2.0092590852504411</v>
      </c>
      <c r="C38" s="572">
        <f t="shared" si="3"/>
        <v>-3.1134437763046541</v>
      </c>
      <c r="D38" s="576">
        <f t="shared" si="4"/>
        <v>-2.0924778677317808</v>
      </c>
      <c r="E38" s="580">
        <f t="shared" si="5"/>
        <v>0.99749376066923479</v>
      </c>
      <c r="F38" s="572">
        <f t="shared" si="6"/>
        <v>5.5741885069779937E-2</v>
      </c>
      <c r="G38" s="579">
        <f t="shared" si="7"/>
        <v>4.3577972357774407E-2</v>
      </c>
      <c r="H38" s="580">
        <f t="shared" si="8"/>
        <v>0.28499999999999998</v>
      </c>
      <c r="I38" s="572">
        <f t="shared" si="9"/>
        <v>0.52</v>
      </c>
      <c r="J38" s="483">
        <f t="shared" si="10"/>
        <v>3.129</v>
      </c>
      <c r="K38" s="806">
        <f t="shared" si="11"/>
        <v>14513</v>
      </c>
      <c r="L38" s="309"/>
      <c r="M38" s="164">
        <f t="shared" si="12"/>
        <v>3.129</v>
      </c>
      <c r="N38" s="575">
        <f t="shared" si="13"/>
        <v>2.0092590852504411</v>
      </c>
      <c r="O38" s="572">
        <f t="shared" si="14"/>
        <v>-3.1134437763046541</v>
      </c>
      <c r="P38" s="576">
        <f t="shared" si="15"/>
        <v>-2.0924778677317808</v>
      </c>
      <c r="Q38" s="528">
        <f t="shared" si="140"/>
        <v>302.83615155072403</v>
      </c>
      <c r="R38" s="572">
        <f t="shared" si="101"/>
        <v>3.705489740894127</v>
      </c>
      <c r="S38" s="577">
        <f t="shared" si="102"/>
        <v>-2.0924778677317808</v>
      </c>
      <c r="T38" s="578">
        <f t="shared" si="103"/>
        <v>-3.0916738231447605</v>
      </c>
      <c r="U38" s="572">
        <f t="shared" si="104"/>
        <v>-2.0425981472509678</v>
      </c>
      <c r="V38" s="579">
        <f t="shared" si="141"/>
        <v>-2.0924778677317808</v>
      </c>
      <c r="W38" s="528">
        <f t="shared" si="253"/>
        <v>213.45182696205455</v>
      </c>
      <c r="X38" s="572">
        <f t="shared" si="105"/>
        <v>3.705489740894127</v>
      </c>
      <c r="Y38" s="573">
        <f t="shared" si="255"/>
        <v>-2.0924778677317808</v>
      </c>
      <c r="Z38" s="575">
        <f t="shared" si="18"/>
        <v>-0.99749376066923479</v>
      </c>
      <c r="AA38" s="572">
        <f t="shared" si="19"/>
        <v>-5.5741885069779937E-2</v>
      </c>
      <c r="AB38" s="572">
        <f t="shared" si="20"/>
        <v>-4.3577972357774407E-2</v>
      </c>
      <c r="AC38" s="579">
        <f t="shared" si="106"/>
        <v>1</v>
      </c>
      <c r="AD38" s="580">
        <f t="shared" si="142"/>
        <v>-0.99749376066923479</v>
      </c>
      <c r="AE38" s="572">
        <f t="shared" si="107"/>
        <v>-5.5741885069779937E-2</v>
      </c>
      <c r="AF38" s="576">
        <f t="shared" si="108"/>
        <v>-4.3577972357774407E-2</v>
      </c>
      <c r="AG38" s="545">
        <f t="shared" si="109"/>
        <v>-51.98236321883941</v>
      </c>
      <c r="AH38" s="546">
        <f t="shared" si="110"/>
        <v>175.94267640719028</v>
      </c>
      <c r="AI38" s="528">
        <f t="shared" si="111"/>
        <v>-87.502375163624535</v>
      </c>
      <c r="AJ38" s="529">
        <f t="shared" si="112"/>
        <v>-86.801527387458648</v>
      </c>
      <c r="AK38" s="578">
        <f t="shared" si="238"/>
        <v>0.86834422844398007</v>
      </c>
      <c r="AL38" s="572">
        <f t="shared" si="113"/>
        <v>-0.49404378475314747</v>
      </c>
      <c r="AM38" s="577">
        <f t="shared" si="114"/>
        <v>-4.3577972357774407E-2</v>
      </c>
      <c r="AN38" s="524">
        <f t="shared" si="115"/>
        <v>-84.959174548900165</v>
      </c>
      <c r="AO38" s="525">
        <f t="shared" si="116"/>
        <v>29.733205429583027</v>
      </c>
      <c r="AP38" s="528">
        <f t="shared" si="117"/>
        <v>-29.63767893818266</v>
      </c>
      <c r="AQ38" s="529">
        <f t="shared" si="21"/>
        <v>0.61520586480471817</v>
      </c>
      <c r="AS38" s="932">
        <f t="shared" si="143"/>
        <v>213.45182696205455</v>
      </c>
      <c r="AT38" s="928">
        <f t="shared" si="22"/>
        <v>-1.9926031271495517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3.129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14513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</v>
      </c>
      <c r="B39" s="578">
        <f t="shared" si="2"/>
        <v>0.27367747547521393</v>
      </c>
      <c r="C39" s="572">
        <f t="shared" si="3"/>
        <v>-2.0970232847848704</v>
      </c>
      <c r="D39" s="576">
        <f t="shared" si="4"/>
        <v>-0.16124589229794614</v>
      </c>
      <c r="E39" s="580">
        <f t="shared" si="5"/>
        <v>0</v>
      </c>
      <c r="F39" s="572">
        <f t="shared" si="6"/>
        <v>0</v>
      </c>
      <c r="G39" s="579">
        <f t="shared" si="7"/>
        <v>1</v>
      </c>
      <c r="H39" s="580">
        <f t="shared" si="8"/>
        <v>0.255</v>
      </c>
      <c r="I39" s="572">
        <f t="shared" si="9"/>
        <v>0.41499999999999992</v>
      </c>
      <c r="J39" s="483">
        <f t="shared" si="10"/>
        <v>3.2090000000000001</v>
      </c>
      <c r="K39" s="806" t="str">
        <f t="shared" si="11"/>
        <v>CPS-32193r1</v>
      </c>
      <c r="L39" s="309"/>
      <c r="M39" s="164">
        <f t="shared" si="12"/>
        <v>3.2090000000000001</v>
      </c>
      <c r="N39" s="575">
        <f t="shared" si="13"/>
        <v>0.27367747547521393</v>
      </c>
      <c r="O39" s="572">
        <f t="shared" si="14"/>
        <v>-2.0970232847848704</v>
      </c>
      <c r="P39" s="576">
        <f t="shared" si="15"/>
        <v>-0.16124589229794614</v>
      </c>
      <c r="Q39" s="528">
        <f t="shared" si="140"/>
        <v>277.4355102528578</v>
      </c>
      <c r="R39" s="572">
        <f t="shared" si="101"/>
        <v>2.1148063782560365</v>
      </c>
      <c r="S39" s="577">
        <f t="shared" si="102"/>
        <v>-0.16124589229794614</v>
      </c>
      <c r="T39" s="578">
        <f t="shared" si="103"/>
        <v>-2.0939614553505219</v>
      </c>
      <c r="U39" s="572">
        <f t="shared" si="104"/>
        <v>-0.29619493753057002</v>
      </c>
      <c r="V39" s="579">
        <f t="shared" si="141"/>
        <v>-0.16124589229794614</v>
      </c>
      <c r="W39" s="528">
        <f t="shared" si="253"/>
        <v>188.05118566418832</v>
      </c>
      <c r="X39" s="572">
        <f t="shared" si="105"/>
        <v>2.1148063782560365</v>
      </c>
      <c r="Y39" s="573">
        <f t="shared" si="255"/>
        <v>-0.16124589229794614</v>
      </c>
      <c r="Z39" s="575">
        <f t="shared" si="18"/>
        <v>0</v>
      </c>
      <c r="AA39" s="572">
        <f t="shared" si="19"/>
        <v>0</v>
      </c>
      <c r="AB39" s="572">
        <f t="shared" si="20"/>
        <v>-1</v>
      </c>
      <c r="AC39" s="579">
        <f t="shared" si="106"/>
        <v>1</v>
      </c>
      <c r="AD39" s="580">
        <f t="shared" si="142"/>
        <v>0</v>
      </c>
      <c r="AE39" s="572">
        <f t="shared" si="107"/>
        <v>0</v>
      </c>
      <c r="AF39" s="576">
        <f t="shared" si="108"/>
        <v>-1</v>
      </c>
      <c r="AG39" s="545">
        <f t="shared" si="109"/>
        <v>0</v>
      </c>
      <c r="AH39" s="546">
        <f t="shared" si="110"/>
        <v>90</v>
      </c>
      <c r="AI39" s="528">
        <f t="shared" si="111"/>
        <v>0</v>
      </c>
      <c r="AJ39" s="529" t="e">
        <f t="shared" si="112"/>
        <v>#DIV/0!</v>
      </c>
      <c r="AK39" s="578">
        <f t="shared" si="238"/>
        <v>0</v>
      </c>
      <c r="AL39" s="572">
        <f t="shared" si="113"/>
        <v>0</v>
      </c>
      <c r="AM39" s="577">
        <f t="shared" si="114"/>
        <v>-1</v>
      </c>
      <c r="AN39" s="524">
        <f t="shared" si="115"/>
        <v>0</v>
      </c>
      <c r="AO39" s="525">
        <f t="shared" si="116"/>
        <v>0</v>
      </c>
      <c r="AP39" s="528" t="e">
        <f t="shared" si="117"/>
        <v>#DIV/0!</v>
      </c>
      <c r="AQ39" s="529">
        <f t="shared" si="21"/>
        <v>1.0778564504795924</v>
      </c>
      <c r="AS39" s="932">
        <f t="shared" si="143"/>
        <v>188.05118566418832</v>
      </c>
      <c r="AT39" s="928">
        <f t="shared" si="22"/>
        <v>-4.3731817481087676E-2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>Nose</v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3.2090000000000001</v>
      </c>
      <c r="IJ39" s="674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3.109</v>
      </c>
      <c r="IK39" s="677" cm="1">
        <f t="array" ref="IK39">IFERROR(ROUND(VALUE(IF($IJ39&lt;1,$IJ39+LARGE((IF($M$9:$M$150="",0,$M$9:$M$150)-MOD(IF($M$9:$M$150="",0,$M$9:$M$150),1)),1),$IJ39)),4),"")</f>
        <v>3.109</v>
      </c>
      <c r="IL39" s="482">
        <f t="shared" si="88"/>
        <v>14513</v>
      </c>
      <c r="IM39" s="482" t="str">
        <f t="shared" si="237"/>
        <v>CPS-32193r1</v>
      </c>
      <c r="IN39" s="670">
        <f t="shared" si="90"/>
        <v>27.026082808767057</v>
      </c>
      <c r="IO39" s="702">
        <v>4.3884704047382303E-2</v>
      </c>
      <c r="IP39" s="5">
        <f t="shared" si="91"/>
        <v>0.7</v>
      </c>
      <c r="IQ39" s="714">
        <v>350</v>
      </c>
      <c r="IR39" s="9">
        <f t="shared" si="139"/>
        <v>-2.1148946126463919</v>
      </c>
      <c r="IS39" s="5">
        <f t="shared" si="92"/>
        <v>-0.12857675234734939</v>
      </c>
      <c r="IT39" s="5">
        <f t="shared" si="93"/>
        <v>0.28499999999999998</v>
      </c>
      <c r="IU39" s="5">
        <f t="shared" si="94"/>
        <v>0.2752773781007134</v>
      </c>
      <c r="IV39" s="670">
        <f t="shared" si="95"/>
        <v>-1.9524824454106047</v>
      </c>
      <c r="IW39" s="9">
        <f t="shared" si="96"/>
        <v>-2.1148063782560365</v>
      </c>
      <c r="IX39" s="5">
        <f t="shared" si="97"/>
        <v>-0.16124589229794614</v>
      </c>
      <c r="IY39" s="5">
        <f t="shared" si="98"/>
        <v>0.255</v>
      </c>
      <c r="IZ39" s="5">
        <f t="shared" si="99"/>
        <v>0.255</v>
      </c>
      <c r="JA39" s="705">
        <f t="shared" si="100"/>
        <v>0</v>
      </c>
    </row>
    <row r="40" spans="1:269" ht="15" customHeight="1" x14ac:dyDescent="0.25">
      <c r="A40" s="75">
        <f t="shared" si="1"/>
        <v>0.02</v>
      </c>
      <c r="B40" s="578">
        <f t="shared" si="2"/>
        <v>0.77973473848302655</v>
      </c>
      <c r="C40" s="572">
        <f t="shared" si="3"/>
        <v>-2.694567054336011</v>
      </c>
      <c r="D40" s="576">
        <f t="shared" si="4"/>
        <v>-0.27617224877902874</v>
      </c>
      <c r="E40" s="580">
        <f t="shared" si="5"/>
        <v>0.92269000530708756</v>
      </c>
      <c r="F40" s="572">
        <f t="shared" si="6"/>
        <v>9.1329502069644936E-2</v>
      </c>
      <c r="G40" s="579">
        <f t="shared" si="7"/>
        <v>0.37456918741150824</v>
      </c>
      <c r="H40" s="580">
        <f t="shared" si="8"/>
        <v>0.26450000000000001</v>
      </c>
      <c r="I40" s="572">
        <f t="shared" si="9"/>
        <v>0.52</v>
      </c>
      <c r="J40" s="483">
        <f t="shared" si="10"/>
        <v>3.214</v>
      </c>
      <c r="K40" s="806">
        <f t="shared" si="11"/>
        <v>1313</v>
      </c>
      <c r="L40" s="309"/>
      <c r="M40" s="164">
        <f t="shared" si="12"/>
        <v>3.214</v>
      </c>
      <c r="N40" s="575">
        <f t="shared" si="13"/>
        <v>0.77973473848302655</v>
      </c>
      <c r="O40" s="572">
        <f t="shared" si="14"/>
        <v>-2.694567054336011</v>
      </c>
      <c r="P40" s="576">
        <f t="shared" si="15"/>
        <v>-0.27617224877902874</v>
      </c>
      <c r="Q40" s="528">
        <f t="shared" si="140"/>
        <v>286.13901168403004</v>
      </c>
      <c r="R40" s="572">
        <f t="shared" si="101"/>
        <v>2.8051163741831178</v>
      </c>
      <c r="S40" s="577">
        <f t="shared" si="102"/>
        <v>-0.27617224877902874</v>
      </c>
      <c r="T40" s="578">
        <f t="shared" si="103"/>
        <v>-2.6860329613243508</v>
      </c>
      <c r="U40" s="572">
        <f t="shared" si="104"/>
        <v>-0.8086438050151501</v>
      </c>
      <c r="V40" s="579">
        <f t="shared" si="141"/>
        <v>-0.27617224877902874</v>
      </c>
      <c r="W40" s="528">
        <f t="shared" si="253"/>
        <v>196.75468709536057</v>
      </c>
      <c r="X40" s="572">
        <f t="shared" si="105"/>
        <v>2.8051163741831178</v>
      </c>
      <c r="Y40" s="573">
        <f t="shared" si="255"/>
        <v>-0.27617224877902874</v>
      </c>
      <c r="Z40" s="575">
        <f t="shared" si="18"/>
        <v>-0.92269000530708756</v>
      </c>
      <c r="AA40" s="572">
        <f t="shared" si="19"/>
        <v>-9.1329502069644936E-2</v>
      </c>
      <c r="AB40" s="572">
        <f t="shared" si="20"/>
        <v>-0.37456918741150824</v>
      </c>
      <c r="AC40" s="579">
        <f t="shared" si="106"/>
        <v>1</v>
      </c>
      <c r="AD40" s="580">
        <f t="shared" si="142"/>
        <v>-0.92269000530708756</v>
      </c>
      <c r="AE40" s="572">
        <f t="shared" si="107"/>
        <v>-9.1329502069644936E-2</v>
      </c>
      <c r="AF40" s="576">
        <f t="shared" si="108"/>
        <v>-0.37456918741150824</v>
      </c>
      <c r="AG40" s="545">
        <f t="shared" si="109"/>
        <v>-13.702797663291831</v>
      </c>
      <c r="AH40" s="546">
        <f t="shared" si="110"/>
        <v>157.32256569176513</v>
      </c>
      <c r="AI40" s="528">
        <f t="shared" si="111"/>
        <v>-68.002311503488841</v>
      </c>
      <c r="AJ40" s="529">
        <f t="shared" si="112"/>
        <v>-84.347174572685603</v>
      </c>
      <c r="AK40" s="578">
        <f t="shared" si="238"/>
        <v>0.91171364532867882</v>
      </c>
      <c r="AL40" s="572">
        <f t="shared" si="113"/>
        <v>-0.1687487859611867</v>
      </c>
      <c r="AM40" s="577">
        <f t="shared" si="114"/>
        <v>-0.37456918741150824</v>
      </c>
      <c r="AN40" s="524">
        <f t="shared" si="115"/>
        <v>-24.252246924939893</v>
      </c>
      <c r="AO40" s="525">
        <f t="shared" si="116"/>
        <v>24.256750731689472</v>
      </c>
      <c r="AP40" s="528">
        <f t="shared" si="117"/>
        <v>-10.486186256715628</v>
      </c>
      <c r="AQ40" s="529">
        <f t="shared" si="21"/>
        <v>0.81264855214264264</v>
      </c>
      <c r="AS40" s="932">
        <f t="shared" si="143"/>
        <v>196.75468709536057</v>
      </c>
      <c r="AT40" s="928">
        <f t="shared" si="22"/>
        <v>-0.16470227217826211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>Nose</v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3.214</v>
      </c>
      <c r="IJ40" s="674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3.1139999999999999</v>
      </c>
      <c r="IK40" s="677" cm="1">
        <f t="array" ref="IK40">IFERROR(ROUND(VALUE(IF($IJ40&lt;1,$IJ40+LARGE((IF($M$9:$M$150="",0,$M$9:$M$150)-MOD(IF($M$9:$M$150="",0,$M$9:$M$150),1)),1),$IJ40)),4),"")</f>
        <v>3.1139999999999999</v>
      </c>
      <c r="IL40" s="482">
        <f t="shared" si="88"/>
        <v>14513</v>
      </c>
      <c r="IM40" s="482">
        <f t="shared" si="237"/>
        <v>1313</v>
      </c>
      <c r="IN40" s="670">
        <f t="shared" si="90"/>
        <v>17.92420608134745</v>
      </c>
      <c r="IO40" s="702">
        <v>2.0713428575563301E-2</v>
      </c>
      <c r="IP40" s="5">
        <f t="shared" si="91"/>
        <v>0.66</v>
      </c>
      <c r="IQ40" s="714">
        <v>330</v>
      </c>
      <c r="IR40" s="9">
        <f t="shared" si="139"/>
        <v>-2.801762774351626</v>
      </c>
      <c r="IS40" s="5">
        <f t="shared" si="92"/>
        <v>-0.26842510559804417</v>
      </c>
      <c r="IT40" s="5">
        <f t="shared" si="93"/>
        <v>0.28499999999999998</v>
      </c>
      <c r="IU40" s="5">
        <f t="shared" si="94"/>
        <v>0.26906243732506718</v>
      </c>
      <c r="IV40" s="670">
        <f t="shared" si="95"/>
        <v>23.999404618532189</v>
      </c>
      <c r="IW40" s="9">
        <f t="shared" si="96"/>
        <v>-2.8051163741831178</v>
      </c>
      <c r="IX40" s="5">
        <f t="shared" si="97"/>
        <v>-0.27617224877902874</v>
      </c>
      <c r="IY40" s="5">
        <f t="shared" si="98"/>
        <v>0.26450000000000001</v>
      </c>
      <c r="IZ40" s="5">
        <f t="shared" si="99"/>
        <v>0.24114825918943555</v>
      </c>
      <c r="JA40" s="705">
        <f t="shared" si="100"/>
        <v>24.252246924939893</v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1.0090042322139268</v>
      </c>
      <c r="C41" s="572">
        <f t="shared" ref="C41:C54" si="258">IFERROR(R196+($A41*-F41),"")</f>
        <v>-3.1942778326159083</v>
      </c>
      <c r="D41" s="576">
        <f t="shared" ref="D41:D54" si="259">IFERROR(S196+($A41*-G41),"")</f>
        <v>-0.72144415342911716</v>
      </c>
      <c r="E41" s="580">
        <f t="shared" ref="E41:E54" si="260">T196</f>
        <v>0.9471120520339813</v>
      </c>
      <c r="F41" s="572">
        <f t="shared" ref="F41:F54" si="261">U196</f>
        <v>-8.3323846773827426E-2</v>
      </c>
      <c r="G41" s="579">
        <f t="shared" ref="G41:G54" si="262">V196</f>
        <v>0.30989659154432941</v>
      </c>
      <c r="H41" s="580">
        <f t="shared" ref="H41:H54" si="263">W196</f>
        <v>0.26450000000000001</v>
      </c>
      <c r="I41" s="572">
        <f t="shared" ref="I41:I54" si="264">X196</f>
        <v>0.52</v>
      </c>
      <c r="J41" s="483">
        <f t="shared" ref="J41:J54" si="265">IF(Y196=0,"",Y196)</f>
        <v>3.2189999999999999</v>
      </c>
      <c r="K41" s="806">
        <f t="shared" ref="K41:K54" si="266">Z196</f>
        <v>1313</v>
      </c>
      <c r="L41" s="309"/>
      <c r="M41" s="164">
        <f t="shared" ref="M41:M72" si="267">IF(J41="","",VALUE(J41))</f>
        <v>3.2189999999999999</v>
      </c>
      <c r="N41" s="575">
        <f t="shared" ref="N41:N72" si="268">IF(M41="","",B41)</f>
        <v>1.0090042322139268</v>
      </c>
      <c r="O41" s="572">
        <f t="shared" ref="O41:O72" si="269">IF(M41="","",C41)</f>
        <v>-3.1942778326159083</v>
      </c>
      <c r="P41" s="576">
        <f t="shared" ref="P41:P72" si="270">IF(M41="","",D41)</f>
        <v>-0.72144415342911716</v>
      </c>
      <c r="Q41" s="528">
        <f t="shared" si="140"/>
        <v>287.53021538093446</v>
      </c>
      <c r="R41" s="572">
        <f t="shared" si="101"/>
        <v>3.3498508045235389</v>
      </c>
      <c r="S41" s="577">
        <f t="shared" si="102"/>
        <v>-0.72144415342911716</v>
      </c>
      <c r="T41" s="578">
        <f t="shared" si="103"/>
        <v>-3.183251307408808</v>
      </c>
      <c r="U41" s="572">
        <f t="shared" si="104"/>
        <v>-1.0432696326679485</v>
      </c>
      <c r="V41" s="579">
        <f t="shared" si="141"/>
        <v>-0.72144415342911716</v>
      </c>
      <c r="W41" s="528">
        <f t="shared" si="253"/>
        <v>198.14589079226499</v>
      </c>
      <c r="X41" s="572">
        <f t="shared" si="105"/>
        <v>3.3498508045235389</v>
      </c>
      <c r="Y41" s="573">
        <f t="shared" si="255"/>
        <v>-0.72144415342911716</v>
      </c>
      <c r="Z41" s="575">
        <f t="shared" ref="Z41:Z72" si="271">IF(M41="","",-E41)</f>
        <v>-0.9471120520339813</v>
      </c>
      <c r="AA41" s="572">
        <f t="shared" ref="AA41:AA72" si="272">IF(M41="","",-F41)</f>
        <v>8.3323846773827426E-2</v>
      </c>
      <c r="AB41" s="572">
        <f t="shared" ref="AB41:AB72" si="273">IF(M41="","",-G41)</f>
        <v>-0.30989659154432941</v>
      </c>
      <c r="AC41" s="579">
        <f t="shared" si="106"/>
        <v>1</v>
      </c>
      <c r="AD41" s="580">
        <f t="shared" si="142"/>
        <v>-0.9471120520339813</v>
      </c>
      <c r="AE41" s="572">
        <f t="shared" si="107"/>
        <v>8.3323846773827426E-2</v>
      </c>
      <c r="AF41" s="576">
        <f t="shared" si="108"/>
        <v>-0.30989659154432941</v>
      </c>
      <c r="AG41" s="545">
        <f t="shared" si="109"/>
        <v>15.049549162730596</v>
      </c>
      <c r="AH41" s="546">
        <f t="shared" si="110"/>
        <v>161.28245431624381</v>
      </c>
      <c r="AI41" s="528">
        <f t="shared" si="111"/>
        <v>-71.94700127025294</v>
      </c>
      <c r="AJ41" s="529">
        <f t="shared" si="112"/>
        <v>-95.027752082148908</v>
      </c>
      <c r="AK41" s="578">
        <f t="shared" si="238"/>
        <v>0.87802863184371638</v>
      </c>
      <c r="AL41" s="572">
        <f t="shared" si="113"/>
        <v>-0.36473253791217863</v>
      </c>
      <c r="AM41" s="577">
        <f t="shared" si="114"/>
        <v>-0.30989659154432941</v>
      </c>
      <c r="AN41" s="524">
        <f t="shared" si="115"/>
        <v>-49.646962420762904</v>
      </c>
      <c r="AO41" s="525">
        <f t="shared" si="116"/>
        <v>28.594534795740781</v>
      </c>
      <c r="AP41" s="528">
        <f t="shared" si="117"/>
        <v>-22.557967463083383</v>
      </c>
      <c r="AQ41" s="529">
        <f t="shared" ref="AQ41:AQ72" si="274">IF(M41="","",DEGREES(ATAN(($AS$5*SIN(RADIANS(90)))/(($X41*2*PI())-($AS$5*COS(RADIANS(90)))))))</f>
        <v>0.68051371990696929</v>
      </c>
      <c r="AS41" s="932">
        <f t="shared" si="143"/>
        <v>198.14589079226499</v>
      </c>
      <c r="AT41" s="928">
        <f t="shared" ref="AT41:AT72" si="275">IF(M41="","",Y41+(((AS41-$AS$9)*$AS$6)*-1))</f>
        <v>-0.61094029050675636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>Taper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3.2189999999999999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3.1190000000000002</v>
      </c>
      <c r="IK41" s="677" cm="1">
        <f t="array" ref="IK41">IFERROR(ROUND(VALUE(IF($IJ41&lt;1,$IJ41+LARGE((IF($M$9:$M$150="",0,$M$9:$M$150)-MOD(IF($M$9:$M$150="",0,$M$9:$M$150),1)),1),$IJ41)),4),"")</f>
        <v>3.1190000000000002</v>
      </c>
      <c r="IL41" s="482">
        <f t="shared" ref="IL41:IL72" si="426">IF(ISNUMBER($IK41),INDEX($K$9:$K$150,MATCH($IK41,$M$9:$M$150,0)),$K41)</f>
        <v>14513</v>
      </c>
      <c r="IM41" s="482">
        <f t="shared" si="237"/>
        <v>1313</v>
      </c>
      <c r="IN41" s="670">
        <f t="shared" ref="IN41:IN72" si="427">IF(ISNUMBER($IK41),IFERROR(IF(INDEX($W$9:$W$150,MATCH($IK41,$M$9:$M$150,0))&lt;$W41,((INDEX($W$9:$W$150,MATCH($IK41,$M$9:$M$150,0))+360)-$W41),INDEX($W$9:$W$150,MATCH($IK41,$M$9:$M$150,0))-$W41),""),"")</f>
        <v>15.856175936757268</v>
      </c>
      <c r="IO41" s="702">
        <v>1.44166935136231E-2</v>
      </c>
      <c r="IP41" s="5">
        <f t="shared" ref="IP41:IP72" si="428">IF(ISNUMBER($IK41),(($IQ41*12)/60)/$AS$3,"")</f>
        <v>0.68</v>
      </c>
      <c r="IQ41" s="714">
        <v>340</v>
      </c>
      <c r="IR41" s="9">
        <f t="shared" ref="IR41:IR72" si="429">IF(ISNUMBER($IK41),(INDEX($X$9:$X$150,MATCH($IK41,$M$9:$M$150,0))*-1),"")</f>
        <v>-3.3429717400665524</v>
      </c>
      <c r="IS41" s="5">
        <f t="shared" ref="IS41:IS72" si="430">IF(ISNUMBER($IK41),INDEX($Y$9:$Y$150,MATCH($IK41,$M$9:$M$150,0)),"")</f>
        <v>-0.71399484616542686</v>
      </c>
      <c r="IT41" s="5">
        <f t="shared" ref="IT41:IT72" si="431">IF(ISNUMBER($IK41),INDEX($H$9:$H$150,MATCH($IK41,$M$9:$M$150,0)),"")</f>
        <v>0.28499999999999998</v>
      </c>
      <c r="IU41" s="5">
        <f t="shared" ref="IU41:IU72" si="432">IF(ISNUMBER($IK41),$IT41*COS(RADIANS(INDEX($AO$9:$AO$150,MATCH($IK41,$M$9:$M$150,0)))),"")</f>
        <v>0.26119498632460003</v>
      </c>
      <c r="IV41" s="670">
        <f t="shared" ref="IV41:IV72" si="433">IF(ISNUMBER($IK41),(-1*INDEX($AN$9:$AN$150,MATCH($IK41,$M$9:$M$150,0))),"")</f>
        <v>49.538699347768194</v>
      </c>
      <c r="IW41" s="9">
        <f t="shared" ref="IW41:IW72" si="434">IF(ISNUMBER($IK41),-$X41,"")</f>
        <v>-3.3498508045235389</v>
      </c>
      <c r="IX41" s="5">
        <f t="shared" ref="IX41:IX72" si="435">IF(ISNUMBER($IK41),$Y41,"")</f>
        <v>-0.72144415342911716</v>
      </c>
      <c r="IY41" s="5">
        <f t="shared" ref="IY41:IY72" si="436">IF(ISNUMBER($IK41),$H41,"")</f>
        <v>0.26450000000000001</v>
      </c>
      <c r="IZ41" s="5">
        <f t="shared" ref="IZ41:IZ72" si="437">IF(ISNUMBER($IK41),$IY41*COS(RADIANS($AO41)),"")</f>
        <v>0.23223857312266299</v>
      </c>
      <c r="JA41" s="705">
        <f t="shared" ref="JA41:JA72" si="438">IF(ISNUMBER($IK41),(-1*$AN41),"")</f>
        <v>49.646962420762904</v>
      </c>
    </row>
    <row r="42" spans="1:269" ht="15" customHeight="1" x14ac:dyDescent="0.25">
      <c r="A42" s="75">
        <f t="shared" si="256"/>
        <v>0</v>
      </c>
      <c r="B42" s="578">
        <f t="shared" si="257"/>
        <v>0.85580845145959261</v>
      </c>
      <c r="C42" s="572">
        <f t="shared" si="258"/>
        <v>-3.4930038795128464</v>
      </c>
      <c r="D42" s="576">
        <f t="shared" si="259"/>
        <v>-1.379152797613195</v>
      </c>
      <c r="E42" s="580">
        <f t="shared" si="260"/>
        <v>0.23233631345252234</v>
      </c>
      <c r="F42" s="572">
        <f t="shared" si="261"/>
        <v>-0.94828655040419729</v>
      </c>
      <c r="G42" s="579">
        <f t="shared" si="262"/>
        <v>0.21626940554271434</v>
      </c>
      <c r="H42" s="580">
        <f t="shared" si="263"/>
        <v>0.255</v>
      </c>
      <c r="I42" s="572">
        <f t="shared" si="264"/>
        <v>0.41499999999999992</v>
      </c>
      <c r="J42" s="483">
        <f t="shared" si="265"/>
        <v>3.2240000000000002</v>
      </c>
      <c r="K42" s="806" t="str">
        <f t="shared" si="266"/>
        <v>CPS-32193r1</v>
      </c>
      <c r="L42" s="309"/>
      <c r="M42" s="164">
        <f t="shared" si="267"/>
        <v>3.2240000000000002</v>
      </c>
      <c r="N42" s="575">
        <f t="shared" si="268"/>
        <v>0.85580845145959261</v>
      </c>
      <c r="O42" s="572">
        <f t="shared" si="269"/>
        <v>-3.4930038795128464</v>
      </c>
      <c r="P42" s="576">
        <f t="shared" si="270"/>
        <v>-1.379152797613195</v>
      </c>
      <c r="Q42" s="528">
        <f t="shared" si="140"/>
        <v>283.76664886899562</v>
      </c>
      <c r="R42" s="572">
        <f t="shared" ref="R42:R47" si="439">IF(M42="","",SQRT(N42^2+O42^2))</f>
        <v>3.5963153654652511</v>
      </c>
      <c r="S42" s="577">
        <f t="shared" ref="S42:S47" si="440">IF(M42="","",P42)</f>
        <v>-1.379152797613195</v>
      </c>
      <c r="T42" s="578">
        <f t="shared" ref="T42:T47" si="441">IF(M42="","",X42*COS(RADIANS(W42)))</f>
        <v>-3.4836062511943751</v>
      </c>
      <c r="U42" s="572">
        <f t="shared" ref="U42:U47" si="442">IF(M42="","",X42*SIN(RADIANS(W42)))</f>
        <v>-0.8932926141645493</v>
      </c>
      <c r="V42" s="579">
        <f t="shared" ref="V42:V47" si="443">IF(M42="","",Y42)</f>
        <v>-1.379152797613195</v>
      </c>
      <c r="W42" s="528">
        <f t="shared" si="253"/>
        <v>194.38232428032615</v>
      </c>
      <c r="X42" s="572">
        <f t="shared" ref="X42:X47" si="444">IF(M42="","",R42)</f>
        <v>3.5963153654652511</v>
      </c>
      <c r="Y42" s="573">
        <f t="shared" si="255"/>
        <v>-1.379152797613195</v>
      </c>
      <c r="Z42" s="575">
        <f t="shared" si="271"/>
        <v>-0.23233631345252234</v>
      </c>
      <c r="AA42" s="572">
        <f t="shared" si="272"/>
        <v>0.94828655040419729</v>
      </c>
      <c r="AB42" s="572">
        <f t="shared" si="273"/>
        <v>-0.21626940554271434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-0.23233631345252234</v>
      </c>
      <c r="AE42" s="572">
        <f t="shared" ref="AE42:AE47" si="447">IF(M42="","",AA42*(1/SQRT(Z42^2+AA42^2+AB42^2)))</f>
        <v>0.94828655040419729</v>
      </c>
      <c r="AF42" s="576">
        <f t="shared" ref="AF42:AF47" si="448">IF(M42="","",AB42*(1/SQRT(Z42^2+AA42^2+AB42^2)))</f>
        <v>-0.21626940554271434</v>
      </c>
      <c r="AG42" s="545">
        <f t="shared" ref="AG42:AG47" si="449">IF(M42="","",DEGREES(ATAN2(-AF42,AE42)))</f>
        <v>77.152666983864918</v>
      </c>
      <c r="AH42" s="546">
        <f t="shared" ref="AH42:AH47" si="450">IF(M42="","",DEGREES(ACOS(AD42)))</f>
        <v>103.43465941074983</v>
      </c>
      <c r="AI42" s="528">
        <f t="shared" ref="AI42:AI47" si="451">IF(M42="","",DEGREES(-ACOS(-AF42)))</f>
        <v>-77.509988808942211</v>
      </c>
      <c r="AJ42" s="529">
        <f t="shared" ref="AJ42:AJ47" si="452">IF(M42="","",DEGREES(ATAN2(-AE42,AD42)))</f>
        <v>-166.23335113100444</v>
      </c>
      <c r="AK42" s="578">
        <f t="shared" ref="AK42:AK47" si="453">IF(M42="","",(COS(RADIANS((90-$Q$8)-W42))*AD42)+(-SIN(RADIANS((90-$Q$8)-W42))*AE42))</f>
        <v>-8.3266726846886741E-16</v>
      </c>
      <c r="AL42" s="572">
        <f t="shared" ref="AL42:AL47" si="454">IF(M42="","",(SIN(RADIANS((90-$Q$8)-W42))*AD42)+(COS(RADIANS((90-$Q$8)-W42))*AE42))</f>
        <v>-0.97633372584695699</v>
      </c>
      <c r="AM42" s="577">
        <f t="shared" ref="AM42:AM47" si="455">IF(M42="","",AF42)</f>
        <v>-0.21626940554271434</v>
      </c>
      <c r="AN42" s="524">
        <f t="shared" ref="AN42:AN47" si="456">IF(M42="","",DEGREES(ATAN2(-AM42,AL42)))</f>
        <v>-77.509988808942225</v>
      </c>
      <c r="AO42" s="525">
        <f t="shared" si="116"/>
        <v>0</v>
      </c>
      <c r="AP42" s="528">
        <f t="shared" ref="AP42:AP47" si="457">IF(M42="","",DEGREES(ATAN2(AK42,AL42)))</f>
        <v>-90.000000000000057</v>
      </c>
      <c r="AQ42" s="529">
        <f t="shared" si="274"/>
        <v>0.63388034398543536</v>
      </c>
      <c r="AS42" s="932">
        <f t="shared" si="143"/>
        <v>194.38232428032615</v>
      </c>
      <c r="AT42" s="928">
        <f t="shared" si="275"/>
        <v>-1.2660353468353212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3.2240000000000002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3.1240000000000001</v>
      </c>
      <c r="IK42" s="677" cm="1">
        <f t="array" ref="IK42">IFERROR(ROUND(VALUE(IF($IJ42&lt;1,$IJ42+LARGE((IF($M$9:$M$150="",0,$M$9:$M$150)-MOD(IF($M$9:$M$150="",0,$M$9:$M$150),1)),1),$IJ42)),4),"")</f>
        <v>3.1240000000000001</v>
      </c>
      <c r="IL42" s="482">
        <f t="shared" si="426"/>
        <v>14513</v>
      </c>
      <c r="IM42" s="482" t="str">
        <f t="shared" si="237"/>
        <v>CPS-32193r1</v>
      </c>
      <c r="IN42" s="670">
        <f t="shared" si="427"/>
        <v>19.189134115831678</v>
      </c>
      <c r="IO42" s="702">
        <v>2.86126978560815E-2</v>
      </c>
      <c r="IP42" s="5">
        <f t="shared" si="428"/>
        <v>1.06</v>
      </c>
      <c r="IQ42" s="714">
        <v>530</v>
      </c>
      <c r="IR42" s="9">
        <f t="shared" si="429"/>
        <v>-3.6291142843899107</v>
      </c>
      <c r="IS42" s="5">
        <f t="shared" si="430"/>
        <v>-1.3541529905948222</v>
      </c>
      <c r="IT42" s="5">
        <f t="shared" si="431"/>
        <v>0.28499999999999998</v>
      </c>
      <c r="IU42" s="5">
        <f t="shared" si="432"/>
        <v>0.25171785994271173</v>
      </c>
      <c r="IV42" s="670">
        <f t="shared" si="433"/>
        <v>74.864555850198826</v>
      </c>
      <c r="IW42" s="9">
        <f t="shared" si="434"/>
        <v>-3.5963153654652511</v>
      </c>
      <c r="IX42" s="5">
        <f t="shared" si="435"/>
        <v>-1.379152797613195</v>
      </c>
      <c r="IY42" s="5">
        <f t="shared" si="436"/>
        <v>0.255</v>
      </c>
      <c r="IZ42" s="5">
        <f t="shared" si="437"/>
        <v>0.255</v>
      </c>
      <c r="JA42" s="705">
        <f t="shared" si="438"/>
        <v>77.509988808942225</v>
      </c>
    </row>
    <row r="43" spans="1:269" ht="15" customHeight="1" x14ac:dyDescent="0.25">
      <c r="A43" s="75">
        <f t="shared" si="256"/>
        <v>0</v>
      </c>
      <c r="B43" s="578">
        <f t="shared" si="257"/>
        <v>0.85106096642311568</v>
      </c>
      <c r="C43" s="572">
        <f t="shared" si="258"/>
        <v>-3.5672963789797212</v>
      </c>
      <c r="D43" s="576">
        <f t="shared" si="259"/>
        <v>-2.1122104235486532</v>
      </c>
      <c r="E43" s="580">
        <f t="shared" si="260"/>
        <v>0.2311773226194262</v>
      </c>
      <c r="F43" s="572">
        <f t="shared" si="261"/>
        <v>-0.96899994056654615</v>
      </c>
      <c r="G43" s="579">
        <f t="shared" si="262"/>
        <v>8.7155956127759032E-2</v>
      </c>
      <c r="H43" s="580">
        <f t="shared" si="263"/>
        <v>0.255</v>
      </c>
      <c r="I43" s="572">
        <f t="shared" si="264"/>
        <v>0.41499999999999992</v>
      </c>
      <c r="J43" s="483">
        <f t="shared" si="265"/>
        <v>3.2290000000000001</v>
      </c>
      <c r="K43" s="806" t="str">
        <f t="shared" si="266"/>
        <v>CPS-32193r1</v>
      </c>
      <c r="L43" s="309"/>
      <c r="M43" s="164">
        <f t="shared" si="267"/>
        <v>3.2290000000000001</v>
      </c>
      <c r="N43" s="575">
        <f t="shared" si="268"/>
        <v>0.85106096642311568</v>
      </c>
      <c r="O43" s="572">
        <f t="shared" si="269"/>
        <v>-3.5672963789797212</v>
      </c>
      <c r="P43" s="576">
        <f t="shared" si="270"/>
        <v>-2.1122104235486532</v>
      </c>
      <c r="Q43" s="528">
        <f t="shared" si="140"/>
        <v>283.41840573921075</v>
      </c>
      <c r="R43" s="572">
        <f t="shared" si="439"/>
        <v>3.6674116518398749</v>
      </c>
      <c r="S43" s="577">
        <f t="shared" si="440"/>
        <v>-2.1122104235486532</v>
      </c>
      <c r="T43" s="578">
        <f t="shared" si="441"/>
        <v>-3.5579454749499022</v>
      </c>
      <c r="U43" s="572">
        <f t="shared" si="442"/>
        <v>-0.88934370258882101</v>
      </c>
      <c r="V43" s="579">
        <f t="shared" si="443"/>
        <v>-2.1122104235486532</v>
      </c>
      <c r="W43" s="528">
        <f t="shared" si="253"/>
        <v>194.03408115054128</v>
      </c>
      <c r="X43" s="572">
        <f t="shared" si="444"/>
        <v>3.6674116518398749</v>
      </c>
      <c r="Y43" s="573">
        <f t="shared" si="255"/>
        <v>-2.1122104235486532</v>
      </c>
      <c r="Z43" s="575">
        <f t="shared" si="271"/>
        <v>-0.2311773226194262</v>
      </c>
      <c r="AA43" s="572">
        <f t="shared" si="272"/>
        <v>0.96899994056654615</v>
      </c>
      <c r="AB43" s="572">
        <f t="shared" si="273"/>
        <v>-8.7155956127759032E-2</v>
      </c>
      <c r="AC43" s="579">
        <f t="shared" si="445"/>
        <v>1</v>
      </c>
      <c r="AD43" s="580">
        <f t="shared" si="446"/>
        <v>-0.2311773226194262</v>
      </c>
      <c r="AE43" s="572">
        <f t="shared" si="447"/>
        <v>0.96899994056654615</v>
      </c>
      <c r="AF43" s="576">
        <f t="shared" si="448"/>
        <v>-8.7155956127759032E-2</v>
      </c>
      <c r="AG43" s="545">
        <f t="shared" si="449"/>
        <v>84.860405016155383</v>
      </c>
      <c r="AH43" s="546">
        <f t="shared" si="450"/>
        <v>103.36639555440581</v>
      </c>
      <c r="AI43" s="528">
        <f t="shared" si="451"/>
        <v>-84.999987727520178</v>
      </c>
      <c r="AJ43" s="529">
        <f t="shared" si="452"/>
        <v>-166.58159426078925</v>
      </c>
      <c r="AK43" s="578">
        <f t="shared" si="453"/>
        <v>5.5511151231257827E-17</v>
      </c>
      <c r="AL43" s="572">
        <f t="shared" si="454"/>
        <v>-0.99619467942338269</v>
      </c>
      <c r="AM43" s="577">
        <f t="shared" si="455"/>
        <v>-8.7155956127759032E-2</v>
      </c>
      <c r="AN43" s="524">
        <f t="shared" si="456"/>
        <v>-84.999987727520178</v>
      </c>
      <c r="AO43" s="525">
        <f t="shared" si="116"/>
        <v>0</v>
      </c>
      <c r="AP43" s="528">
        <f t="shared" si="457"/>
        <v>-90</v>
      </c>
      <c r="AQ43" s="529">
        <f t="shared" si="274"/>
        <v>0.62159294029767131</v>
      </c>
      <c r="AS43" s="932">
        <f t="shared" ref="AS43:AS74" si="461">IF(G43="","",IF(AND(W43&lt;(AS42+180),W43&gt;(AS42-180)),W43,IF(W43&gt;(AS42+180),W43-360,IF(W43&lt;(AS42-180),W43+360,"Error"))))</f>
        <v>194.03408115054128</v>
      </c>
      <c r="AT43" s="928">
        <f t="shared" si="275"/>
        <v>-1.9988511372639843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>Gage</v>
      </c>
      <c r="II43" s="788">
        <f t="shared" si="236"/>
        <v>3.2290000000000001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3.129</v>
      </c>
      <c r="IK43" s="677" cm="1">
        <f t="array" ref="IK43">IFERROR(ROUND(VALUE(IF($IJ43&lt;1,$IJ43+LARGE((IF($M$9:$M$150="",0,$M$9:$M$150)-MOD(IF($M$9:$M$150="",0,$M$9:$M$150),1)),1),$IJ43)),4),"")</f>
        <v>3.129</v>
      </c>
      <c r="IL43" s="482">
        <f t="shared" si="426"/>
        <v>14513</v>
      </c>
      <c r="IM43" s="482" t="str">
        <f t="shared" si="237"/>
        <v>CPS-32193r1</v>
      </c>
      <c r="IN43" s="670">
        <f t="shared" si="427"/>
        <v>19.417745811513271</v>
      </c>
      <c r="IO43" s="702">
        <v>2.7626676356376501E-2</v>
      </c>
      <c r="IP43" s="5">
        <f t="shared" si="428"/>
        <v>1.1399999999999999</v>
      </c>
      <c r="IQ43" s="714">
        <v>570</v>
      </c>
      <c r="IR43" s="9">
        <f t="shared" si="429"/>
        <v>-3.705489740894127</v>
      </c>
      <c r="IS43" s="5">
        <f t="shared" si="430"/>
        <v>-2.0924778677317808</v>
      </c>
      <c r="IT43" s="5">
        <f t="shared" si="431"/>
        <v>0.28499999999999998</v>
      </c>
      <c r="IU43" s="5">
        <f t="shared" si="432"/>
        <v>0.24747810510653429</v>
      </c>
      <c r="IV43" s="670">
        <f t="shared" si="433"/>
        <v>84.959174548900165</v>
      </c>
      <c r="IW43" s="9">
        <f t="shared" si="434"/>
        <v>-3.6674116518398749</v>
      </c>
      <c r="IX43" s="5">
        <f t="shared" si="435"/>
        <v>-2.1122104235486532</v>
      </c>
      <c r="IY43" s="5">
        <f t="shared" si="436"/>
        <v>0.255</v>
      </c>
      <c r="IZ43" s="5">
        <f t="shared" si="437"/>
        <v>0.255</v>
      </c>
      <c r="JA43" s="705">
        <f t="shared" si="438"/>
        <v>84.999987727520178</v>
      </c>
    </row>
    <row r="44" spans="1:269" ht="15" customHeight="1" x14ac:dyDescent="0.25">
      <c r="A44" s="75">
        <f t="shared" si="256"/>
        <v>0.02</v>
      </c>
      <c r="B44" s="578">
        <f t="shared" si="257"/>
        <v>-0.39492317437912589</v>
      </c>
      <c r="C44" s="572">
        <f t="shared" si="258"/>
        <v>-0.36817961047474257</v>
      </c>
      <c r="D44" s="576">
        <f t="shared" si="259"/>
        <v>-0.62866470405226649</v>
      </c>
      <c r="E44" s="580">
        <f t="shared" si="260"/>
        <v>0.69663809995827397</v>
      </c>
      <c r="F44" s="572">
        <f t="shared" si="261"/>
        <v>-0.64052713426311969</v>
      </c>
      <c r="G44" s="579">
        <f t="shared" si="262"/>
        <v>0.32314137457032849</v>
      </c>
      <c r="H44" s="580">
        <f t="shared" si="263"/>
        <v>0.28499999999999998</v>
      </c>
      <c r="I44" s="572">
        <f t="shared" si="264"/>
        <v>0.52</v>
      </c>
      <c r="J44" s="483">
        <f t="shared" si="265"/>
        <v>4.1020000000000003</v>
      </c>
      <c r="K44" s="806">
        <f t="shared" si="266"/>
        <v>14513</v>
      </c>
      <c r="L44" s="309"/>
      <c r="M44" s="164">
        <f t="shared" si="267"/>
        <v>4.1020000000000003</v>
      </c>
      <c r="N44" s="575">
        <f t="shared" si="268"/>
        <v>-0.39492317437912589</v>
      </c>
      <c r="O44" s="572">
        <f t="shared" si="269"/>
        <v>-0.36817961047474257</v>
      </c>
      <c r="P44" s="576">
        <f t="shared" si="270"/>
        <v>-0.62866470405226649</v>
      </c>
      <c r="Q44" s="528">
        <f t="shared" si="140"/>
        <v>222.9928438116701</v>
      </c>
      <c r="R44" s="572">
        <f t="shared" si="439"/>
        <v>0.53992642020095538</v>
      </c>
      <c r="S44" s="577">
        <f t="shared" si="440"/>
        <v>-0.62866470405226649</v>
      </c>
      <c r="T44" s="578">
        <f t="shared" si="441"/>
        <v>-0.37240194456241504</v>
      </c>
      <c r="U44" s="572">
        <f t="shared" si="442"/>
        <v>0.3909441531947378</v>
      </c>
      <c r="V44" s="579">
        <f t="shared" si="443"/>
        <v>-0.62866470405226649</v>
      </c>
      <c r="W44" s="528">
        <f t="shared" si="253"/>
        <v>133.6085192230006</v>
      </c>
      <c r="X44" s="572">
        <f t="shared" si="444"/>
        <v>0.53992642020095538</v>
      </c>
      <c r="Y44" s="573">
        <f t="shared" si="255"/>
        <v>-0.62866470405226649</v>
      </c>
      <c r="Z44" s="575">
        <f t="shared" si="271"/>
        <v>-0.69663809995827397</v>
      </c>
      <c r="AA44" s="572">
        <f t="shared" si="272"/>
        <v>0.64052713426311969</v>
      </c>
      <c r="AB44" s="572">
        <f t="shared" si="273"/>
        <v>-0.32314137457032849</v>
      </c>
      <c r="AC44" s="579">
        <f t="shared" si="445"/>
        <v>1</v>
      </c>
      <c r="AD44" s="580">
        <f t="shared" si="446"/>
        <v>-0.69663809995827397</v>
      </c>
      <c r="AE44" s="572">
        <f t="shared" si="447"/>
        <v>0.64052713426311969</v>
      </c>
      <c r="AF44" s="576">
        <f t="shared" si="448"/>
        <v>-0.32314137457032849</v>
      </c>
      <c r="AG44" s="545">
        <f t="shared" si="449"/>
        <v>63.229380987478827</v>
      </c>
      <c r="AH44" s="546">
        <f t="shared" si="450"/>
        <v>134.15789675965891</v>
      </c>
      <c r="AI44" s="528">
        <f t="shared" si="451"/>
        <v>-71.146991307140482</v>
      </c>
      <c r="AJ44" s="529">
        <f t="shared" si="452"/>
        <v>-132.59712830055321</v>
      </c>
      <c r="AK44" s="578">
        <f t="shared" si="453"/>
        <v>0.94354885103426989</v>
      </c>
      <c r="AL44" s="572">
        <f t="shared" si="454"/>
        <v>7.2768246871199316E-2</v>
      </c>
      <c r="AM44" s="577">
        <f t="shared" si="455"/>
        <v>-0.32314137457032849</v>
      </c>
      <c r="AN44" s="524">
        <f t="shared" si="456"/>
        <v>12.690751583712682</v>
      </c>
      <c r="AO44" s="525">
        <f t="shared" si="116"/>
        <v>19.343654990357987</v>
      </c>
      <c r="AP44" s="528">
        <f t="shared" si="457"/>
        <v>4.4100278877767085</v>
      </c>
      <c r="AQ44" s="529">
        <f t="shared" si="274"/>
        <v>4.214672868337427</v>
      </c>
      <c r="AS44" s="932">
        <f t="shared" si="461"/>
        <v>133.6085192230006</v>
      </c>
      <c r="AT44" s="928">
        <f t="shared" si="275"/>
        <v>-0.47334322198458323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4.1020000000000003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14513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-0.86711348163275337</v>
      </c>
      <c r="C45" s="572">
        <f t="shared" si="258"/>
        <v>-0.83979239260404204</v>
      </c>
      <c r="D45" s="576">
        <f t="shared" si="259"/>
        <v>-0.3842649141425804</v>
      </c>
      <c r="E45" s="580">
        <f t="shared" si="260"/>
        <v>0.69577879789044106</v>
      </c>
      <c r="F45" s="572">
        <f t="shared" si="261"/>
        <v>-0.67024662841537319</v>
      </c>
      <c r="G45" s="579">
        <f t="shared" si="262"/>
        <v>0.25818853867659858</v>
      </c>
      <c r="H45" s="580">
        <f t="shared" si="263"/>
        <v>0.28499999999999998</v>
      </c>
      <c r="I45" s="572">
        <f t="shared" si="264"/>
        <v>0.52</v>
      </c>
      <c r="J45" s="483">
        <f t="shared" si="265"/>
        <v>4.1050000000000004</v>
      </c>
      <c r="K45" s="806">
        <f t="shared" si="266"/>
        <v>14513</v>
      </c>
      <c r="L45" s="309"/>
      <c r="M45" s="164">
        <f t="shared" si="267"/>
        <v>4.1050000000000004</v>
      </c>
      <c r="N45" s="575">
        <f t="shared" si="268"/>
        <v>-0.86711348163275337</v>
      </c>
      <c r="O45" s="572">
        <f t="shared" si="269"/>
        <v>-0.83979239260404204</v>
      </c>
      <c r="P45" s="576">
        <f t="shared" si="270"/>
        <v>-0.3842649141425804</v>
      </c>
      <c r="Q45" s="528">
        <f t="shared" si="140"/>
        <v>224.08299019049826</v>
      </c>
      <c r="R45" s="572">
        <f t="shared" si="439"/>
        <v>1.207119319994878</v>
      </c>
      <c r="S45" s="577">
        <f t="shared" si="440"/>
        <v>-0.3842649141425804</v>
      </c>
      <c r="T45" s="578">
        <f t="shared" si="441"/>
        <v>-0.84906135214122014</v>
      </c>
      <c r="U45" s="572">
        <f t="shared" si="442"/>
        <v>0.85803955212159044</v>
      </c>
      <c r="V45" s="579">
        <f t="shared" si="443"/>
        <v>-0.3842649141425804</v>
      </c>
      <c r="W45" s="528">
        <f t="shared" si="253"/>
        <v>134.69866560182879</v>
      </c>
      <c r="X45" s="572">
        <f t="shared" si="444"/>
        <v>1.207119319994878</v>
      </c>
      <c r="Y45" s="573">
        <f t="shared" si="255"/>
        <v>-0.3842649141425804</v>
      </c>
      <c r="Z45" s="575">
        <f t="shared" si="271"/>
        <v>-0.69577879789044106</v>
      </c>
      <c r="AA45" s="572">
        <f t="shared" si="272"/>
        <v>0.67024662841537319</v>
      </c>
      <c r="AB45" s="572">
        <f t="shared" si="273"/>
        <v>-0.25818853867659858</v>
      </c>
      <c r="AC45" s="579">
        <f t="shared" si="445"/>
        <v>1</v>
      </c>
      <c r="AD45" s="580">
        <f t="shared" si="446"/>
        <v>-0.69577879789044106</v>
      </c>
      <c r="AE45" s="572">
        <f t="shared" si="447"/>
        <v>0.67024662841537319</v>
      </c>
      <c r="AF45" s="576">
        <f t="shared" si="448"/>
        <v>-0.25818853867659858</v>
      </c>
      <c r="AG45" s="545">
        <f t="shared" si="449"/>
        <v>68.932605235914139</v>
      </c>
      <c r="AH45" s="546">
        <f t="shared" si="450"/>
        <v>134.08930986634013</v>
      </c>
      <c r="AI45" s="528">
        <f t="shared" si="451"/>
        <v>-75.037396454335777</v>
      </c>
      <c r="AJ45" s="529">
        <f t="shared" si="452"/>
        <v>-133.92921814750261</v>
      </c>
      <c r="AK45" s="578">
        <f t="shared" si="453"/>
        <v>0.96551319295129123</v>
      </c>
      <c r="AL45" s="572">
        <f t="shared" si="454"/>
        <v>3.3510486911488835E-2</v>
      </c>
      <c r="AM45" s="577">
        <f t="shared" si="455"/>
        <v>-0.25818853867659858</v>
      </c>
      <c r="AN45" s="524">
        <f t="shared" si="456"/>
        <v>7.3951225393512559</v>
      </c>
      <c r="AO45" s="525">
        <f t="shared" si="116"/>
        <v>15.091076137170246</v>
      </c>
      <c r="AP45" s="528">
        <f t="shared" si="457"/>
        <v>1.9877916619991136</v>
      </c>
      <c r="AQ45" s="529">
        <f t="shared" si="274"/>
        <v>1.8878842461818841</v>
      </c>
      <c r="AS45" s="932">
        <f t="shared" si="461"/>
        <v>134.69866560182879</v>
      </c>
      <c r="AT45" s="928">
        <f t="shared" si="275"/>
        <v>-0.22970047817130559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4.1050000000000004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14513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-1.3428772072618569</v>
      </c>
      <c r="C46" s="572">
        <f t="shared" si="258"/>
        <v>-1.3155557945309007</v>
      </c>
      <c r="D46" s="576">
        <f t="shared" si="259"/>
        <v>-0.1576760517256692</v>
      </c>
      <c r="E46" s="580">
        <f t="shared" si="260"/>
        <v>0.6862064886857101</v>
      </c>
      <c r="F46" s="572">
        <f t="shared" si="261"/>
        <v>-0.67981893110725389</v>
      </c>
      <c r="G46" s="579">
        <f t="shared" si="262"/>
        <v>0.25877958921410182</v>
      </c>
      <c r="H46" s="580">
        <f t="shared" si="263"/>
        <v>0.28499999999999998</v>
      </c>
      <c r="I46" s="572">
        <f t="shared" si="264"/>
        <v>0.52</v>
      </c>
      <c r="J46" s="483">
        <f t="shared" si="265"/>
        <v>4.1079999999999997</v>
      </c>
      <c r="K46" s="806">
        <f t="shared" si="266"/>
        <v>14513</v>
      </c>
      <c r="L46" s="309"/>
      <c r="M46" s="164">
        <f t="shared" si="267"/>
        <v>4.1079999999999997</v>
      </c>
      <c r="N46" s="575">
        <f t="shared" si="268"/>
        <v>-1.3428772072618569</v>
      </c>
      <c r="O46" s="572">
        <f t="shared" si="269"/>
        <v>-1.3155557945309007</v>
      </c>
      <c r="P46" s="576">
        <f t="shared" si="270"/>
        <v>-0.1576760517256692</v>
      </c>
      <c r="Q46" s="528">
        <f t="shared" si="140"/>
        <v>224.41117698712824</v>
      </c>
      <c r="R46" s="572">
        <f t="shared" si="439"/>
        <v>1.8798952742924893</v>
      </c>
      <c r="S46" s="577">
        <f t="shared" si="440"/>
        <v>-0.1576760517256692</v>
      </c>
      <c r="T46" s="578">
        <f t="shared" si="441"/>
        <v>-1.3299095375433294</v>
      </c>
      <c r="U46" s="572">
        <f t="shared" si="442"/>
        <v>1.32866356323131</v>
      </c>
      <c r="V46" s="579">
        <f t="shared" si="443"/>
        <v>-0.1576760517256692</v>
      </c>
      <c r="W46" s="528">
        <f t="shared" si="253"/>
        <v>135.02685239845874</v>
      </c>
      <c r="X46" s="572">
        <f t="shared" si="444"/>
        <v>1.8798952742924893</v>
      </c>
      <c r="Y46" s="573">
        <f t="shared" si="255"/>
        <v>-0.1576760517256692</v>
      </c>
      <c r="Z46" s="575">
        <f t="shared" si="271"/>
        <v>-0.6862064886857101</v>
      </c>
      <c r="AA46" s="572">
        <f t="shared" si="272"/>
        <v>0.67981893110725389</v>
      </c>
      <c r="AB46" s="572">
        <f t="shared" si="273"/>
        <v>-0.25877958921410182</v>
      </c>
      <c r="AC46" s="579">
        <f t="shared" si="445"/>
        <v>1</v>
      </c>
      <c r="AD46" s="580">
        <f t="shared" si="446"/>
        <v>-0.6862064886857101</v>
      </c>
      <c r="AE46" s="572">
        <f t="shared" si="447"/>
        <v>0.67981893110725389</v>
      </c>
      <c r="AF46" s="576">
        <f t="shared" si="448"/>
        <v>-0.25877958921410182</v>
      </c>
      <c r="AG46" s="545">
        <f t="shared" si="449"/>
        <v>69.160193514831093</v>
      </c>
      <c r="AH46" s="546">
        <f t="shared" si="450"/>
        <v>133.3305646683437</v>
      </c>
      <c r="AI46" s="528">
        <f t="shared" si="451"/>
        <v>-75.002340390380937</v>
      </c>
      <c r="AJ46" s="529">
        <f t="shared" si="452"/>
        <v>-134.73208593487823</v>
      </c>
      <c r="AK46" s="578">
        <f t="shared" si="453"/>
        <v>0.96582841337668268</v>
      </c>
      <c r="AL46" s="572">
        <f t="shared" si="454"/>
        <v>1.4442995550111193E-2</v>
      </c>
      <c r="AM46" s="577">
        <f t="shared" si="455"/>
        <v>-0.25877958921410182</v>
      </c>
      <c r="AN46" s="524">
        <f t="shared" si="456"/>
        <v>3.1944754839296392</v>
      </c>
      <c r="AO46" s="525">
        <f t="shared" si="116"/>
        <v>15.021549551954871</v>
      </c>
      <c r="AP46" s="528">
        <f t="shared" si="457"/>
        <v>0.8567370779935396</v>
      </c>
      <c r="AQ46" s="529">
        <f t="shared" si="274"/>
        <v>1.2125070662439603</v>
      </c>
      <c r="AS46" s="932">
        <f t="shared" si="461"/>
        <v>135.02685239845874</v>
      </c>
      <c r="AT46" s="928">
        <f t="shared" si="275"/>
        <v>-3.339523252054083E-3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4.1079999999999997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14513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0.02</v>
      </c>
      <c r="B47" s="578">
        <f t="shared" si="257"/>
        <v>-1.9155377667218718</v>
      </c>
      <c r="C47" s="572">
        <f t="shared" si="258"/>
        <v>-1.8620153874843091</v>
      </c>
      <c r="D47" s="576">
        <f t="shared" si="259"/>
        <v>-0.21337314983639719</v>
      </c>
      <c r="E47" s="580">
        <f t="shared" si="260"/>
        <v>0.5882972227650588</v>
      </c>
      <c r="F47" s="572">
        <f t="shared" si="261"/>
        <v>-0.75148437170748217</v>
      </c>
      <c r="G47" s="579">
        <f t="shared" si="262"/>
        <v>0.29862621580552812</v>
      </c>
      <c r="H47" s="580">
        <f t="shared" si="263"/>
        <v>0.28499999999999998</v>
      </c>
      <c r="I47" s="572">
        <f t="shared" si="264"/>
        <v>0.52</v>
      </c>
      <c r="J47" s="483">
        <f t="shared" si="265"/>
        <v>4.1130000000000004</v>
      </c>
      <c r="K47" s="806">
        <f t="shared" si="266"/>
        <v>14513</v>
      </c>
      <c r="L47" s="309"/>
      <c r="M47" s="164">
        <f t="shared" si="267"/>
        <v>4.1130000000000004</v>
      </c>
      <c r="N47" s="575">
        <f t="shared" si="268"/>
        <v>-1.9155377667218718</v>
      </c>
      <c r="O47" s="572">
        <f t="shared" si="269"/>
        <v>-1.8620153874843091</v>
      </c>
      <c r="P47" s="576">
        <f t="shared" si="270"/>
        <v>-0.21337314983639719</v>
      </c>
      <c r="Q47" s="528">
        <f t="shared" si="140"/>
        <v>224.18825728320553</v>
      </c>
      <c r="R47" s="572">
        <f t="shared" si="439"/>
        <v>2.6714015495552439</v>
      </c>
      <c r="S47" s="577">
        <f t="shared" si="440"/>
        <v>-0.21337314983639719</v>
      </c>
      <c r="T47" s="578">
        <f t="shared" si="441"/>
        <v>-1.8824910234681993</v>
      </c>
      <c r="U47" s="572">
        <f t="shared" si="442"/>
        <v>1.8954191582675877</v>
      </c>
      <c r="V47" s="579">
        <f t="shared" si="443"/>
        <v>-0.21337314983639719</v>
      </c>
      <c r="W47" s="528">
        <f t="shared" si="253"/>
        <v>134.80393269453606</v>
      </c>
      <c r="X47" s="572">
        <f t="shared" si="444"/>
        <v>2.6714015495552439</v>
      </c>
      <c r="Y47" s="573">
        <f t="shared" si="255"/>
        <v>-0.21337314983639719</v>
      </c>
      <c r="Z47" s="575">
        <f t="shared" si="271"/>
        <v>-0.5882972227650588</v>
      </c>
      <c r="AA47" s="572">
        <f t="shared" si="272"/>
        <v>0.75148437170748217</v>
      </c>
      <c r="AB47" s="572">
        <f t="shared" si="273"/>
        <v>-0.29862621580552812</v>
      </c>
      <c r="AC47" s="579">
        <f t="shared" si="445"/>
        <v>1</v>
      </c>
      <c r="AD47" s="580">
        <f t="shared" si="446"/>
        <v>-0.5882972227650588</v>
      </c>
      <c r="AE47" s="572">
        <f t="shared" si="447"/>
        <v>0.75148437170748217</v>
      </c>
      <c r="AF47" s="576">
        <f t="shared" si="448"/>
        <v>-0.29862621580552812</v>
      </c>
      <c r="AG47" s="545">
        <f t="shared" si="449"/>
        <v>68.328027448128921</v>
      </c>
      <c r="AH47" s="546">
        <f t="shared" si="450"/>
        <v>126.03626684740675</v>
      </c>
      <c r="AI47" s="528">
        <f t="shared" si="451"/>
        <v>-72.624890862537086</v>
      </c>
      <c r="AJ47" s="529">
        <f t="shared" si="452"/>
        <v>-141.94449381618938</v>
      </c>
      <c r="AK47" s="578">
        <f t="shared" si="453"/>
        <v>0.94890832744025178</v>
      </c>
      <c r="AL47" s="572">
        <f t="shared" si="454"/>
        <v>-0.10195768410578177</v>
      </c>
      <c r="AM47" s="577">
        <f t="shared" si="455"/>
        <v>-0.29862621580552812</v>
      </c>
      <c r="AN47" s="524">
        <f t="shared" si="456"/>
        <v>-18.851054985800619</v>
      </c>
      <c r="AO47" s="525">
        <f t="shared" si="116"/>
        <v>18.394133219168953</v>
      </c>
      <c r="AP47" s="528">
        <f t="shared" si="457"/>
        <v>-6.1327510993948851</v>
      </c>
      <c r="AQ47" s="529">
        <f t="shared" si="274"/>
        <v>0.85331914094893746</v>
      </c>
      <c r="AS47" s="932">
        <f t="shared" si="461"/>
        <v>134.80393269453606</v>
      </c>
      <c r="AT47" s="928">
        <f t="shared" si="275"/>
        <v>-5.8881816012835764E-2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4.1130000000000004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14513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0.02</v>
      </c>
      <c r="B48" s="578">
        <f t="shared" si="257"/>
        <v>-2.3588593863474996</v>
      </c>
      <c r="C48" s="572">
        <f t="shared" si="258"/>
        <v>-2.2395337950892888</v>
      </c>
      <c r="D48" s="576">
        <f t="shared" si="259"/>
        <v>-0.60521421325716818</v>
      </c>
      <c r="E48" s="580">
        <f t="shared" si="260"/>
        <v>0.43903377570764063</v>
      </c>
      <c r="F48" s="572">
        <f t="shared" si="261"/>
        <v>-0.85515076670796564</v>
      </c>
      <c r="G48" s="579">
        <f t="shared" si="262"/>
        <v>0.27562022782566509</v>
      </c>
      <c r="H48" s="580">
        <f t="shared" si="263"/>
        <v>0.28499999999999998</v>
      </c>
      <c r="I48" s="572">
        <f t="shared" si="264"/>
        <v>0.52</v>
      </c>
      <c r="J48" s="483">
        <f t="shared" si="265"/>
        <v>4.1180000000000003</v>
      </c>
      <c r="K48" s="806">
        <f t="shared" si="266"/>
        <v>14513</v>
      </c>
      <c r="L48" s="309"/>
      <c r="M48" s="164">
        <f t="shared" si="267"/>
        <v>4.1180000000000003</v>
      </c>
      <c r="N48" s="575">
        <f t="shared" si="268"/>
        <v>-2.3588593863474996</v>
      </c>
      <c r="O48" s="572">
        <f t="shared" si="269"/>
        <v>-2.2395337950892888</v>
      </c>
      <c r="P48" s="576">
        <f t="shared" si="270"/>
        <v>-0.60521421325716818</v>
      </c>
      <c r="Q48" s="528">
        <f t="shared" si="140"/>
        <v>223.51354189702553</v>
      </c>
      <c r="R48" s="572">
        <f t="shared" si="101"/>
        <v>3.2526495697979416</v>
      </c>
      <c r="S48" s="577">
        <f t="shared" si="102"/>
        <v>-0.60521421325716818</v>
      </c>
      <c r="T48" s="578">
        <f t="shared" si="103"/>
        <v>-2.2647512845405777</v>
      </c>
      <c r="U48" s="572">
        <f t="shared" si="104"/>
        <v>2.3346586138188465</v>
      </c>
      <c r="V48" s="579">
        <f t="shared" si="141"/>
        <v>-0.60521421325716818</v>
      </c>
      <c r="W48" s="528">
        <f t="shared" si="253"/>
        <v>134.12921730835603</v>
      </c>
      <c r="X48" s="572">
        <f t="shared" si="105"/>
        <v>3.2526495697979416</v>
      </c>
      <c r="Y48" s="573">
        <f t="shared" si="255"/>
        <v>-0.60521421325716818</v>
      </c>
      <c r="Z48" s="575">
        <f t="shared" si="271"/>
        <v>-0.43903377570764063</v>
      </c>
      <c r="AA48" s="572">
        <f t="shared" si="272"/>
        <v>0.85515076670796564</v>
      </c>
      <c r="AB48" s="572">
        <f t="shared" si="273"/>
        <v>-0.27562022782566509</v>
      </c>
      <c r="AC48" s="579">
        <f t="shared" si="106"/>
        <v>1</v>
      </c>
      <c r="AD48" s="580">
        <f t="shared" si="142"/>
        <v>-0.43903377570764063</v>
      </c>
      <c r="AE48" s="572">
        <f t="shared" si="107"/>
        <v>0.85515076670796564</v>
      </c>
      <c r="AF48" s="576">
        <f t="shared" si="108"/>
        <v>-0.27562022782566509</v>
      </c>
      <c r="AG48" s="545">
        <f t="shared" si="109"/>
        <v>72.135557134338313</v>
      </c>
      <c r="AH48" s="546">
        <f t="shared" si="110"/>
        <v>116.04224846870477</v>
      </c>
      <c r="AI48" s="528">
        <f t="shared" si="111"/>
        <v>-74.001020907326435</v>
      </c>
      <c r="AJ48" s="529">
        <f t="shared" si="112"/>
        <v>-152.82406913161881</v>
      </c>
      <c r="AK48" s="578">
        <f t="shared" si="238"/>
        <v>0.92245147418713391</v>
      </c>
      <c r="AL48" s="572">
        <f t="shared" si="113"/>
        <v>-0.27040112385733867</v>
      </c>
      <c r="AM48" s="577">
        <f t="shared" si="114"/>
        <v>-0.27562022782566509</v>
      </c>
      <c r="AN48" s="524">
        <f t="shared" si="115"/>
        <v>-44.452359284275062</v>
      </c>
      <c r="AO48" s="525">
        <f t="shared" si="116"/>
        <v>22.712856390392549</v>
      </c>
      <c r="AP48" s="528">
        <f t="shared" si="117"/>
        <v>-16.337611028644289</v>
      </c>
      <c r="AQ48" s="529">
        <f t="shared" si="274"/>
        <v>0.70084799514827789</v>
      </c>
      <c r="AS48" s="932">
        <f t="shared" si="461"/>
        <v>134.12921730835603</v>
      </c>
      <c r="AT48" s="928">
        <f t="shared" si="275"/>
        <v>-0.45025432708209284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4.1180000000000003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14513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0.02</v>
      </c>
      <c r="B49" s="578">
        <f t="shared" si="257"/>
        <v>-2.6291125306548371</v>
      </c>
      <c r="C49" s="572">
        <f t="shared" si="258"/>
        <v>-2.4523641381474763</v>
      </c>
      <c r="D49" s="576">
        <f t="shared" si="259"/>
        <v>-1.2169466248441534</v>
      </c>
      <c r="E49" s="580">
        <f t="shared" si="260"/>
        <v>0.29476693725956404</v>
      </c>
      <c r="F49" s="572">
        <f t="shared" si="261"/>
        <v>-0.94255869617859045</v>
      </c>
      <c r="G49" s="579">
        <f t="shared" si="262"/>
        <v>0.15714820061563545</v>
      </c>
      <c r="H49" s="580">
        <f t="shared" si="263"/>
        <v>0.28499999999999998</v>
      </c>
      <c r="I49" s="572">
        <f t="shared" si="264"/>
        <v>0.52</v>
      </c>
      <c r="J49" s="483">
        <f t="shared" si="265"/>
        <v>4.1230000000000002</v>
      </c>
      <c r="K49" s="806">
        <f t="shared" si="266"/>
        <v>14513</v>
      </c>
      <c r="L49" s="309"/>
      <c r="M49" s="164">
        <f t="shared" si="267"/>
        <v>4.1230000000000002</v>
      </c>
      <c r="N49" s="575">
        <f t="shared" si="268"/>
        <v>-2.6291125306548371</v>
      </c>
      <c r="O49" s="572">
        <f t="shared" si="269"/>
        <v>-2.4523641381474763</v>
      </c>
      <c r="P49" s="576">
        <f t="shared" si="270"/>
        <v>-1.2169466248441534</v>
      </c>
      <c r="Q49" s="528">
        <f t="shared" si="140"/>
        <v>223.00789090895319</v>
      </c>
      <c r="R49" s="572">
        <f t="shared" si="101"/>
        <v>3.5953195358574312</v>
      </c>
      <c r="S49" s="577">
        <f t="shared" si="102"/>
        <v>-1.2169466248441534</v>
      </c>
      <c r="T49" s="578">
        <f t="shared" si="103"/>
        <v>-2.4804733065788258</v>
      </c>
      <c r="U49" s="572">
        <f t="shared" si="104"/>
        <v>2.6026092177405356</v>
      </c>
      <c r="V49" s="579">
        <f t="shared" si="141"/>
        <v>-1.2169466248441534</v>
      </c>
      <c r="W49" s="528">
        <f t="shared" si="253"/>
        <v>133.62356632028371</v>
      </c>
      <c r="X49" s="572">
        <f t="shared" si="105"/>
        <v>3.5953195358574312</v>
      </c>
      <c r="Y49" s="573">
        <f t="shared" si="255"/>
        <v>-1.2169466248441534</v>
      </c>
      <c r="Z49" s="575">
        <f t="shared" si="271"/>
        <v>-0.29476693725956404</v>
      </c>
      <c r="AA49" s="572">
        <f t="shared" si="272"/>
        <v>0.94255869617859045</v>
      </c>
      <c r="AB49" s="572">
        <f t="shared" si="273"/>
        <v>-0.15714820061563545</v>
      </c>
      <c r="AC49" s="579">
        <f t="shared" si="106"/>
        <v>1</v>
      </c>
      <c r="AD49" s="580">
        <f t="shared" si="142"/>
        <v>-0.29476693725956404</v>
      </c>
      <c r="AE49" s="572">
        <f t="shared" si="107"/>
        <v>0.94255869617859045</v>
      </c>
      <c r="AF49" s="576">
        <f t="shared" si="108"/>
        <v>-0.15714820061563545</v>
      </c>
      <c r="AG49" s="545">
        <f t="shared" si="109"/>
        <v>80.534419867764711</v>
      </c>
      <c r="AH49" s="546">
        <f t="shared" si="110"/>
        <v>107.14356244009744</v>
      </c>
      <c r="AI49" s="528">
        <f t="shared" si="111"/>
        <v>-80.958593841251897</v>
      </c>
      <c r="AJ49" s="529">
        <f t="shared" si="112"/>
        <v>-162.6339397450846</v>
      </c>
      <c r="AK49" s="578">
        <f t="shared" si="238"/>
        <v>0.8903155096851092</v>
      </c>
      <c r="AL49" s="572">
        <f t="shared" si="113"/>
        <v>-0.42736721476665973</v>
      </c>
      <c r="AM49" s="577">
        <f t="shared" si="114"/>
        <v>-0.15714820061563545</v>
      </c>
      <c r="AN49" s="524">
        <f t="shared" si="115"/>
        <v>-69.810901846950202</v>
      </c>
      <c r="AO49" s="525">
        <f t="shared" si="116"/>
        <v>27.087079508279619</v>
      </c>
      <c r="AP49" s="528">
        <f t="shared" si="117"/>
        <v>-25.6418306540378</v>
      </c>
      <c r="AQ49" s="529">
        <f t="shared" si="274"/>
        <v>0.63405590147912538</v>
      </c>
      <c r="AS49" s="932">
        <f t="shared" si="461"/>
        <v>133.62356632028371</v>
      </c>
      <c r="AT49" s="928">
        <f t="shared" si="275"/>
        <v>-1.0616355921495835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4.1230000000000002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6"/>
        <v>14513</v>
      </c>
      <c r="IM49" s="482" t="str">
        <f t="shared" si="237"/>
        <v/>
      </c>
      <c r="IN49" s="670" t="str">
        <f t="shared" si="427"/>
        <v/>
      </c>
      <c r="IO49" s="702"/>
      <c r="IP49" s="5" t="str">
        <f t="shared" si="428"/>
        <v/>
      </c>
      <c r="IQ49" s="714"/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70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705" t="str">
        <f t="shared" si="438"/>
        <v/>
      </c>
    </row>
    <row r="50" spans="1:261" ht="15" customHeight="1" x14ac:dyDescent="0.25">
      <c r="A50" s="75">
        <f t="shared" si="256"/>
        <v>0.02</v>
      </c>
      <c r="B50" s="578">
        <f t="shared" si="257"/>
        <v>-2.7172388829627843</v>
      </c>
      <c r="C50" s="572">
        <f t="shared" si="258"/>
        <v>-2.5193783107716854</v>
      </c>
      <c r="D50" s="576">
        <f t="shared" si="259"/>
        <v>-1.9502774388552879</v>
      </c>
      <c r="E50" s="580">
        <f t="shared" si="260"/>
        <v>0.22810821044244234</v>
      </c>
      <c r="F50" s="572">
        <f t="shared" si="261"/>
        <v>-0.97266006634071878</v>
      </c>
      <c r="G50" s="579">
        <f t="shared" si="262"/>
        <v>4.3577972357775809E-2</v>
      </c>
      <c r="H50" s="580">
        <f t="shared" si="263"/>
        <v>0.28499999999999998</v>
      </c>
      <c r="I50" s="572">
        <f t="shared" si="264"/>
        <v>0.52</v>
      </c>
      <c r="J50" s="483">
        <f t="shared" si="265"/>
        <v>4.1280000000000001</v>
      </c>
      <c r="K50" s="806">
        <f t="shared" si="266"/>
        <v>14513</v>
      </c>
      <c r="L50" s="309"/>
      <c r="M50" s="164">
        <f t="shared" si="267"/>
        <v>4.1280000000000001</v>
      </c>
      <c r="N50" s="575">
        <f t="shared" si="268"/>
        <v>-2.7172388829627843</v>
      </c>
      <c r="O50" s="572">
        <f t="shared" si="269"/>
        <v>-2.5193783107716854</v>
      </c>
      <c r="P50" s="576">
        <f t="shared" si="270"/>
        <v>-1.9502774388552879</v>
      </c>
      <c r="Q50" s="528">
        <f t="shared" si="140"/>
        <v>222.83616310129327</v>
      </c>
      <c r="R50" s="572">
        <f t="shared" si="101"/>
        <v>3.7054897408941279</v>
      </c>
      <c r="S50" s="577">
        <f t="shared" si="102"/>
        <v>-1.9502774388552879</v>
      </c>
      <c r="T50" s="578">
        <f t="shared" si="103"/>
        <v>-2.5484305593247085</v>
      </c>
      <c r="U50" s="572">
        <f t="shared" si="104"/>
        <v>2.6900103910898903</v>
      </c>
      <c r="V50" s="579">
        <f t="shared" si="141"/>
        <v>-1.9502774388552879</v>
      </c>
      <c r="W50" s="528">
        <f t="shared" si="253"/>
        <v>133.45183851262379</v>
      </c>
      <c r="X50" s="572">
        <f t="shared" si="105"/>
        <v>3.7054897408941279</v>
      </c>
      <c r="Y50" s="573">
        <f t="shared" si="255"/>
        <v>-1.9502774388552879</v>
      </c>
      <c r="Z50" s="575">
        <f t="shared" si="271"/>
        <v>-0.22810821044244234</v>
      </c>
      <c r="AA50" s="572">
        <f t="shared" si="272"/>
        <v>0.97266006634071878</v>
      </c>
      <c r="AB50" s="572">
        <f t="shared" si="273"/>
        <v>-4.3577972357775809E-2</v>
      </c>
      <c r="AC50" s="579">
        <f t="shared" si="106"/>
        <v>1</v>
      </c>
      <c r="AD50" s="580">
        <f t="shared" si="142"/>
        <v>-0.22810821044244234</v>
      </c>
      <c r="AE50" s="572">
        <f t="shared" si="107"/>
        <v>0.97266006634071878</v>
      </c>
      <c r="AF50" s="576">
        <f t="shared" si="108"/>
        <v>-4.3577972357775809E-2</v>
      </c>
      <c r="AG50" s="545">
        <f t="shared" si="109"/>
        <v>87.434699581668966</v>
      </c>
      <c r="AH50" s="546">
        <f t="shared" si="110"/>
        <v>103.18571973100642</v>
      </c>
      <c r="AI50" s="528">
        <f t="shared" si="111"/>
        <v>-87.50237516362445</v>
      </c>
      <c r="AJ50" s="529">
        <f t="shared" si="112"/>
        <v>-166.80151583688939</v>
      </c>
      <c r="AK50" s="578">
        <f t="shared" si="238"/>
        <v>0.86834422844397996</v>
      </c>
      <c r="AL50" s="572">
        <f t="shared" si="113"/>
        <v>-0.49404378475314731</v>
      </c>
      <c r="AM50" s="577">
        <f t="shared" si="114"/>
        <v>-4.3577972357775809E-2</v>
      </c>
      <c r="AN50" s="524">
        <f t="shared" si="115"/>
        <v>-84.959174548899995</v>
      </c>
      <c r="AO50" s="525">
        <f t="shared" si="116"/>
        <v>29.733205429583041</v>
      </c>
      <c r="AP50" s="528">
        <f t="shared" si="117"/>
        <v>-29.637678938182653</v>
      </c>
      <c r="AQ50" s="529">
        <f t="shared" si="274"/>
        <v>0.61520586480471806</v>
      </c>
      <c r="AS50" s="932">
        <f t="shared" si="461"/>
        <v>133.45183851262379</v>
      </c>
      <c r="AT50" s="928">
        <f t="shared" si="275"/>
        <v>-1.7948471507387318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4.1280000000000001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6"/>
        <v>14513</v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>
        <f t="shared" si="256"/>
        <v>0</v>
      </c>
      <c r="B51" s="578">
        <f t="shared" si="257"/>
        <v>-1.8247408740086861</v>
      </c>
      <c r="C51" s="572">
        <f t="shared" si="258"/>
        <v>-0.45231736377861964</v>
      </c>
      <c r="D51" s="576">
        <f t="shared" si="259"/>
        <v>-0.19328425485898718</v>
      </c>
      <c r="E51" s="580">
        <f t="shared" si="260"/>
        <v>5.079856258895462E-2</v>
      </c>
      <c r="F51" s="572">
        <f t="shared" si="261"/>
        <v>1.259196428449697E-2</v>
      </c>
      <c r="G51" s="579">
        <f t="shared" si="262"/>
        <v>0.99862953515022479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4.2080000000000002</v>
      </c>
      <c r="K51" s="806" t="str">
        <f t="shared" si="266"/>
        <v>CPS-32193r1</v>
      </c>
      <c r="L51" s="309"/>
      <c r="M51" s="164">
        <f t="shared" si="267"/>
        <v>4.2080000000000002</v>
      </c>
      <c r="N51" s="575">
        <f t="shared" si="268"/>
        <v>-1.8247408740086861</v>
      </c>
      <c r="O51" s="572">
        <f t="shared" si="269"/>
        <v>-0.45231736377861964</v>
      </c>
      <c r="P51" s="576">
        <f t="shared" si="270"/>
        <v>-0.19328425485898718</v>
      </c>
      <c r="Q51" s="528">
        <f t="shared" si="140"/>
        <v>193.92188226175082</v>
      </c>
      <c r="R51" s="572">
        <f t="shared" si="101"/>
        <v>1.8799654929954497</v>
      </c>
      <c r="S51" s="577">
        <f t="shared" si="102"/>
        <v>-0.19328425485898718</v>
      </c>
      <c r="T51" s="578">
        <f t="shared" si="103"/>
        <v>-0.47189874090910983</v>
      </c>
      <c r="U51" s="572">
        <f t="shared" si="104"/>
        <v>1.8197752150147615</v>
      </c>
      <c r="V51" s="579">
        <f t="shared" si="141"/>
        <v>-0.19328425485898718</v>
      </c>
      <c r="W51" s="528">
        <f t="shared" si="253"/>
        <v>104.53755767308134</v>
      </c>
      <c r="X51" s="572">
        <f t="shared" si="105"/>
        <v>1.8799654929954497</v>
      </c>
      <c r="Y51" s="573">
        <f t="shared" si="255"/>
        <v>-0.19328425485898718</v>
      </c>
      <c r="Z51" s="575">
        <f t="shared" si="271"/>
        <v>-5.079856258895462E-2</v>
      </c>
      <c r="AA51" s="572">
        <f t="shared" si="272"/>
        <v>-1.259196428449697E-2</v>
      </c>
      <c r="AB51" s="572">
        <f t="shared" si="273"/>
        <v>-0.99862953515022479</v>
      </c>
      <c r="AC51" s="579">
        <f t="shared" si="106"/>
        <v>1</v>
      </c>
      <c r="AD51" s="580">
        <f t="shared" si="142"/>
        <v>-5.079856258895462E-2</v>
      </c>
      <c r="AE51" s="572">
        <f t="shared" si="107"/>
        <v>-1.259196428449697E-2</v>
      </c>
      <c r="AF51" s="576">
        <f t="shared" si="108"/>
        <v>-0.99862953515022479</v>
      </c>
      <c r="AG51" s="545">
        <f t="shared" si="109"/>
        <v>-0.72241822566397307</v>
      </c>
      <c r="AH51" s="546">
        <f t="shared" si="110"/>
        <v>92.911796470711636</v>
      </c>
      <c r="AI51" s="528">
        <f t="shared" si="111"/>
        <v>-2.9999995668536332</v>
      </c>
      <c r="AJ51" s="529">
        <f t="shared" si="112"/>
        <v>-76.078117738249176</v>
      </c>
      <c r="AK51" s="578">
        <f t="shared" si="238"/>
        <v>-1.7347234759768071E-18</v>
      </c>
      <c r="AL51" s="572">
        <f t="shared" si="113"/>
        <v>5.2335948693474424E-2</v>
      </c>
      <c r="AM51" s="577">
        <f t="shared" si="114"/>
        <v>-0.99862953515022479</v>
      </c>
      <c r="AN51" s="524">
        <f t="shared" si="115"/>
        <v>2.9999995668536537</v>
      </c>
      <c r="AO51" s="525">
        <f t="shared" si="116"/>
        <v>0</v>
      </c>
      <c r="AP51" s="528">
        <f t="shared" si="117"/>
        <v>90</v>
      </c>
      <c r="AQ51" s="529">
        <f t="shared" si="274"/>
        <v>1.212461791339758</v>
      </c>
      <c r="AS51" s="932">
        <f t="shared" si="461"/>
        <v>104.53755767308134</v>
      </c>
      <c r="AT51" s="928">
        <f t="shared" si="275"/>
        <v>-1.7774605048304415E-2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Nose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4.2080000000000002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4.1079999999999997</v>
      </c>
      <c r="IK51" s="677" cm="1">
        <f t="array" ref="IK51">IFERROR(ROUND(VALUE(IF($IJ51&lt;1,$IJ51+LARGE((IF($M$9:$M$150="",0,$M$9:$M$150)-MOD(IF($M$9:$M$150="",0,$M$9:$M$150),1)),1),$IJ51)),4),"")</f>
        <v>4.1079999999999997</v>
      </c>
      <c r="IL51" s="482">
        <f t="shared" si="426"/>
        <v>14513</v>
      </c>
      <c r="IM51" s="482" t="str">
        <f t="shared" si="237"/>
        <v>CPS-32193r1</v>
      </c>
      <c r="IN51" s="670">
        <f t="shared" si="427"/>
        <v>30.489294725377405</v>
      </c>
      <c r="IO51" s="702">
        <v>4.4953628653732397E-2</v>
      </c>
      <c r="IP51" s="5">
        <f t="shared" si="428"/>
        <v>0.66</v>
      </c>
      <c r="IQ51" s="714">
        <v>330</v>
      </c>
      <c r="IR51" s="9">
        <f t="shared" si="429"/>
        <v>-1.8798952742924893</v>
      </c>
      <c r="IS51" s="5">
        <f t="shared" si="430"/>
        <v>-0.1576760517256692</v>
      </c>
      <c r="IT51" s="5">
        <f t="shared" si="431"/>
        <v>0.28499999999999998</v>
      </c>
      <c r="IU51" s="5">
        <f t="shared" si="432"/>
        <v>0.27526109781235453</v>
      </c>
      <c r="IV51" s="670">
        <f t="shared" si="433"/>
        <v>-3.1944754839296392</v>
      </c>
      <c r="IW51" s="9">
        <f t="shared" si="434"/>
        <v>-1.8799654929954497</v>
      </c>
      <c r="IX51" s="5">
        <f t="shared" si="435"/>
        <v>-0.19328425485898718</v>
      </c>
      <c r="IY51" s="5">
        <f t="shared" si="436"/>
        <v>0.255</v>
      </c>
      <c r="IZ51" s="5">
        <f t="shared" si="437"/>
        <v>0.255</v>
      </c>
      <c r="JA51" s="705">
        <f t="shared" si="438"/>
        <v>-2.9999995668536537</v>
      </c>
    </row>
    <row r="52" spans="1:261" ht="15" customHeight="1" x14ac:dyDescent="0.25">
      <c r="A52" s="75">
        <f t="shared" si="256"/>
        <v>0.02</v>
      </c>
      <c r="B52" s="578">
        <f t="shared" si="257"/>
        <v>-2.4117629478914124</v>
      </c>
      <c r="C52" s="572">
        <f t="shared" si="258"/>
        <v>-1.1549336337751939</v>
      </c>
      <c r="D52" s="576">
        <f t="shared" si="259"/>
        <v>-0.22163225248281865</v>
      </c>
      <c r="E52" s="580">
        <f t="shared" si="260"/>
        <v>0.2789153202743842</v>
      </c>
      <c r="F52" s="572">
        <f t="shared" si="261"/>
        <v>-0.88400981367425302</v>
      </c>
      <c r="G52" s="579">
        <f t="shared" si="262"/>
        <v>0.37514383034224408</v>
      </c>
      <c r="H52" s="580">
        <f t="shared" si="263"/>
        <v>0.26450000000000001</v>
      </c>
      <c r="I52" s="572">
        <f t="shared" si="264"/>
        <v>0.52</v>
      </c>
      <c r="J52" s="483">
        <f t="shared" si="265"/>
        <v>4.2130000000000001</v>
      </c>
      <c r="K52" s="806">
        <f t="shared" si="266"/>
        <v>1313</v>
      </c>
      <c r="L52" s="309"/>
      <c r="M52" s="164">
        <f t="shared" si="267"/>
        <v>4.2130000000000001</v>
      </c>
      <c r="N52" s="575">
        <f t="shared" si="268"/>
        <v>-2.4117629478914124</v>
      </c>
      <c r="O52" s="572">
        <f t="shared" si="269"/>
        <v>-1.1549336337751939</v>
      </c>
      <c r="P52" s="576">
        <f t="shared" si="270"/>
        <v>-0.22163225248281865</v>
      </c>
      <c r="Q52" s="528">
        <f t="shared" si="140"/>
        <v>205.58860779909358</v>
      </c>
      <c r="R52" s="572">
        <f t="shared" si="101"/>
        <v>2.6740366892110981</v>
      </c>
      <c r="S52" s="577">
        <f t="shared" si="102"/>
        <v>-0.22163225248281865</v>
      </c>
      <c r="T52" s="578">
        <f t="shared" si="103"/>
        <v>-1.1807822080714911</v>
      </c>
      <c r="U52" s="572">
        <f t="shared" si="104"/>
        <v>2.399213536213245</v>
      </c>
      <c r="V52" s="579">
        <f t="shared" si="141"/>
        <v>-0.22163225248281865</v>
      </c>
      <c r="W52" s="528">
        <f t="shared" si="253"/>
        <v>116.20428321042409</v>
      </c>
      <c r="X52" s="572">
        <f t="shared" si="105"/>
        <v>2.6740366892110981</v>
      </c>
      <c r="Y52" s="573">
        <f t="shared" si="255"/>
        <v>-0.22163225248281865</v>
      </c>
      <c r="Z52" s="575">
        <f t="shared" si="271"/>
        <v>-0.2789153202743842</v>
      </c>
      <c r="AA52" s="572">
        <f t="shared" si="272"/>
        <v>0.88400981367425302</v>
      </c>
      <c r="AB52" s="572">
        <f t="shared" si="273"/>
        <v>-0.37514383034224408</v>
      </c>
      <c r="AC52" s="579">
        <f t="shared" si="106"/>
        <v>1</v>
      </c>
      <c r="AD52" s="580">
        <f t="shared" si="142"/>
        <v>-0.2789153202743842</v>
      </c>
      <c r="AE52" s="572">
        <f t="shared" si="107"/>
        <v>0.88400981367425302</v>
      </c>
      <c r="AF52" s="576">
        <f t="shared" si="108"/>
        <v>-0.37514383034224408</v>
      </c>
      <c r="AG52" s="545">
        <f t="shared" si="109"/>
        <v>67.005276371142486</v>
      </c>
      <c r="AH52" s="546">
        <f t="shared" si="110"/>
        <v>106.19547830547701</v>
      </c>
      <c r="AI52" s="528">
        <f t="shared" si="111"/>
        <v>-67.966797292765392</v>
      </c>
      <c r="AJ52" s="529">
        <f t="shared" si="112"/>
        <v>-162.48891184877442</v>
      </c>
      <c r="AK52" s="578">
        <f t="shared" si="238"/>
        <v>0.9177700547093286</v>
      </c>
      <c r="AL52" s="572">
        <f t="shared" si="113"/>
        <v>-0.13025065541096431</v>
      </c>
      <c r="AM52" s="577">
        <f t="shared" si="114"/>
        <v>-0.37514383034224408</v>
      </c>
      <c r="AN52" s="524">
        <f t="shared" si="115"/>
        <v>-19.147098997605895</v>
      </c>
      <c r="AO52" s="525">
        <f t="shared" si="116"/>
        <v>23.397773983594341</v>
      </c>
      <c r="AP52" s="528">
        <f t="shared" si="117"/>
        <v>-8.0775196478679785</v>
      </c>
      <c r="AQ52" s="529">
        <f t="shared" si="274"/>
        <v>0.85247835850385267</v>
      </c>
      <c r="AS52" s="932">
        <f t="shared" si="461"/>
        <v>116.20428321042409</v>
      </c>
      <c r="AT52" s="928">
        <f t="shared" si="275"/>
        <v>-5.4224495406401674E-2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>Nose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4.2130000000000001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4.1130000000000004</v>
      </c>
      <c r="IK52" s="677" cm="1">
        <f t="array" ref="IK52">IFERROR(ROUND(VALUE(IF($IJ52&lt;1,$IJ52+LARGE((IF($M$9:$M$150="",0,$M$9:$M$150)-MOD(IF($M$9:$M$150="",0,$M$9:$M$150),1)),1),$IJ52)),4),"")</f>
        <v>4.1130000000000004</v>
      </c>
      <c r="IL52" s="482">
        <f t="shared" si="426"/>
        <v>14513</v>
      </c>
      <c r="IM52" s="482">
        <f t="shared" si="237"/>
        <v>1313</v>
      </c>
      <c r="IN52" s="670">
        <f t="shared" si="427"/>
        <v>18.599649484111964</v>
      </c>
      <c r="IO52" s="702">
        <v>2.22113792668545E-2</v>
      </c>
      <c r="IP52" s="5">
        <f t="shared" si="428"/>
        <v>0.66</v>
      </c>
      <c r="IQ52" s="714">
        <v>330</v>
      </c>
      <c r="IR52" s="9">
        <f t="shared" si="429"/>
        <v>-2.6714015495552439</v>
      </c>
      <c r="IS52" s="5">
        <f t="shared" si="430"/>
        <v>-0.21337314983639719</v>
      </c>
      <c r="IT52" s="5">
        <f t="shared" si="431"/>
        <v>0.28499999999999998</v>
      </c>
      <c r="IU52" s="5">
        <f t="shared" si="432"/>
        <v>0.27043887332047173</v>
      </c>
      <c r="IV52" s="670">
        <f t="shared" si="433"/>
        <v>18.851054985800619</v>
      </c>
      <c r="IW52" s="9">
        <f t="shared" si="434"/>
        <v>-2.6740366892110981</v>
      </c>
      <c r="IX52" s="5">
        <f t="shared" si="435"/>
        <v>-0.22163225248281865</v>
      </c>
      <c r="IY52" s="5">
        <f t="shared" si="436"/>
        <v>0.26450000000000001</v>
      </c>
      <c r="IZ52" s="5">
        <f t="shared" si="437"/>
        <v>0.24275017947061742</v>
      </c>
      <c r="JA52" s="705">
        <f t="shared" si="438"/>
        <v>19.147098997605895</v>
      </c>
    </row>
    <row r="53" spans="1:261" ht="15" customHeight="1" x14ac:dyDescent="0.25">
      <c r="A53" s="75">
        <f t="shared" si="256"/>
        <v>0.02</v>
      </c>
      <c r="B53" s="578">
        <f t="shared" si="257"/>
        <v>-2.8934610748217917</v>
      </c>
      <c r="C53" s="572">
        <f t="shared" si="258"/>
        <v>-1.4993537700086654</v>
      </c>
      <c r="D53" s="576">
        <f t="shared" si="259"/>
        <v>-0.61244362099563854</v>
      </c>
      <c r="E53" s="580">
        <f t="shared" si="260"/>
        <v>0.11735471925790789</v>
      </c>
      <c r="F53" s="572">
        <f t="shared" si="261"/>
        <v>-0.93618981868286422</v>
      </c>
      <c r="G53" s="579">
        <f t="shared" si="262"/>
        <v>0.3313253586166377</v>
      </c>
      <c r="H53" s="580">
        <f t="shared" si="263"/>
        <v>0.26450000000000001</v>
      </c>
      <c r="I53" s="572">
        <f t="shared" si="264"/>
        <v>0.52</v>
      </c>
      <c r="J53" s="483">
        <f t="shared" si="265"/>
        <v>4.218</v>
      </c>
      <c r="K53" s="806">
        <f t="shared" si="266"/>
        <v>1313</v>
      </c>
      <c r="L53" s="309"/>
      <c r="M53" s="164">
        <f t="shared" si="267"/>
        <v>4.218</v>
      </c>
      <c r="N53" s="575">
        <f t="shared" si="268"/>
        <v>-2.8934610748217917</v>
      </c>
      <c r="O53" s="572">
        <f t="shared" si="269"/>
        <v>-1.4993537700086654</v>
      </c>
      <c r="P53" s="576">
        <f t="shared" si="270"/>
        <v>-0.61244362099563854</v>
      </c>
      <c r="Q53" s="528">
        <f t="shared" si="140"/>
        <v>207.39260135477369</v>
      </c>
      <c r="R53" s="572">
        <f t="shared" ref="R53:R58" si="464">IF(M53="","",SQRT(N53^2+O53^2))</f>
        <v>3.2588615679632782</v>
      </c>
      <c r="S53" s="577">
        <f t="shared" ref="S53:S58" si="465">IF(M53="","",P53)</f>
        <v>-0.61244362099563854</v>
      </c>
      <c r="T53" s="578">
        <f t="shared" ref="T53:T58" si="466">IF(M53="","",X53*COS(RADIANS(W53)))</f>
        <v>-1.5303584778780766</v>
      </c>
      <c r="U53" s="572">
        <f t="shared" ref="U53:U58" si="467">IF(M53="","",X53*SIN(RADIANS(W53)))</f>
        <v>2.8771829361955374</v>
      </c>
      <c r="V53" s="579">
        <f t="shared" ref="V53:V58" si="468">IF(M53="","",Y53)</f>
        <v>-0.61244362099563854</v>
      </c>
      <c r="W53" s="528">
        <f t="shared" si="253"/>
        <v>118.0082767661042</v>
      </c>
      <c r="X53" s="572">
        <f t="shared" ref="X53:X58" si="469">IF(M53="","",R53)</f>
        <v>3.2588615679632782</v>
      </c>
      <c r="Y53" s="573">
        <f t="shared" si="255"/>
        <v>-0.61244362099563854</v>
      </c>
      <c r="Z53" s="575">
        <f t="shared" si="271"/>
        <v>-0.11735471925790789</v>
      </c>
      <c r="AA53" s="572">
        <f t="shared" si="272"/>
        <v>0.93618981868286422</v>
      </c>
      <c r="AB53" s="572">
        <f t="shared" si="273"/>
        <v>-0.3313253586166377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-0.11735471925790789</v>
      </c>
      <c r="AE53" s="572">
        <f t="shared" ref="AE53:AE58" si="472">IF(M53="","",AA53*(1/SQRT(Z53^2+AA53^2+AB53^2)))</f>
        <v>0.93618981868286422</v>
      </c>
      <c r="AF53" s="576">
        <f t="shared" ref="AF53:AF58" si="473">IF(M53="","",AB53*(1/SQRT(Z53^2+AA53^2+AB53^2)))</f>
        <v>-0.3313253586166377</v>
      </c>
      <c r="AG53" s="545">
        <f t="shared" ref="AG53:AG58" si="474">IF(M53="","",DEGREES(ATAN2(-AF53,AE53)))</f>
        <v>70.510705373768943</v>
      </c>
      <c r="AH53" s="546">
        <f t="shared" ref="AH53:AH58" si="475">IF(M53="","",DEGREES(ACOS(AD53)))</f>
        <v>96.739460368103281</v>
      </c>
      <c r="AI53" s="528">
        <f t="shared" ref="AI53:AI58" si="476">IF(M53="","",DEGREES(-ACOS(-AF53)))</f>
        <v>-70.650760886444601</v>
      </c>
      <c r="AJ53" s="529">
        <f t="shared" ref="AJ53:AJ58" si="477">IF(M53="","",DEGREES(ATAN2(-AE53,AD53)))</f>
        <v>-172.85503912064098</v>
      </c>
      <c r="AK53" s="578">
        <f t="shared" ref="AK53:AK58" si="478">IF(M53="","",(COS(RADIANS((90-$Q$8)-W53))*AD53)+(-SIN(RADIANS((90-$Q$8)-W53))*AE53))</f>
        <v>0.88521251350787589</v>
      </c>
      <c r="AL53" s="572">
        <f t="shared" ref="AL53:AL58" si="479">IF(M53="","",(SIN(RADIANS((90-$Q$8)-W53))*AD53)+(COS(RADIANS((90-$Q$8)-W53))*AE53))</f>
        <v>-0.32653072239319997</v>
      </c>
      <c r="AM53" s="577">
        <f t="shared" ref="AM53:AM58" si="480">IF(M53="","",AF53)</f>
        <v>-0.3313253586166377</v>
      </c>
      <c r="AN53" s="524">
        <f t="shared" ref="AN53:AN58" si="481">IF(M53="","",DEGREES(ATAN2(-AM53,AL53)))</f>
        <v>-44.582419979319582</v>
      </c>
      <c r="AO53" s="525">
        <f t="shared" si="116"/>
        <v>27.722315365157382</v>
      </c>
      <c r="AP53" s="528">
        <f t="shared" ref="AP53:AP58" si="482">IF(M53="","",DEGREES(ATAN2(AK53,AL53)))</f>
        <v>-20.247640475414645</v>
      </c>
      <c r="AQ53" s="529">
        <f t="shared" si="274"/>
        <v>0.6995121809854109</v>
      </c>
      <c r="AS53" s="932">
        <f t="shared" si="461"/>
        <v>118.0082767661042</v>
      </c>
      <c r="AT53" s="928">
        <f t="shared" si="275"/>
        <v>-0.4462886372217772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4.218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4.1180000000000003</v>
      </c>
      <c r="IK53" s="677" cm="1">
        <f t="array" ref="IK53">IFERROR(ROUND(VALUE(IF($IJ53&lt;1,$IJ53+LARGE((IF($M$9:$M$150="",0,$M$9:$M$150)-MOD(IF($M$9:$M$150="",0,$M$9:$M$150),1)),1),$IJ53)),4),"")</f>
        <v>4.1180000000000003</v>
      </c>
      <c r="IL53" s="482">
        <f t="shared" si="426"/>
        <v>14513</v>
      </c>
      <c r="IM53" s="482">
        <f t="shared" si="237"/>
        <v>1313</v>
      </c>
      <c r="IN53" s="670">
        <f t="shared" si="427"/>
        <v>16.12094054225183</v>
      </c>
      <c r="IO53" s="702">
        <v>1.55383475395993E-2</v>
      </c>
      <c r="IP53" s="5">
        <f t="shared" si="428"/>
        <v>0.68</v>
      </c>
      <c r="IQ53" s="714">
        <v>340</v>
      </c>
      <c r="IR53" s="9">
        <f t="shared" si="429"/>
        <v>-3.2526495697979416</v>
      </c>
      <c r="IS53" s="5">
        <f t="shared" si="430"/>
        <v>-0.60521421325716818</v>
      </c>
      <c r="IT53" s="5">
        <f t="shared" si="431"/>
        <v>0.28499999999999998</v>
      </c>
      <c r="IU53" s="5">
        <f t="shared" si="432"/>
        <v>0.26289867014333312</v>
      </c>
      <c r="IV53" s="670">
        <f t="shared" si="433"/>
        <v>44.452359284275062</v>
      </c>
      <c r="IW53" s="9">
        <f t="shared" si="434"/>
        <v>-3.2588615679632782</v>
      </c>
      <c r="IX53" s="5">
        <f t="shared" si="435"/>
        <v>-0.61244362099563854</v>
      </c>
      <c r="IY53" s="5">
        <f t="shared" si="436"/>
        <v>0.26450000000000001</v>
      </c>
      <c r="IZ53" s="5">
        <f t="shared" si="437"/>
        <v>0.23413870982283319</v>
      </c>
      <c r="JA53" s="705">
        <f t="shared" si="438"/>
        <v>44.582419979319582</v>
      </c>
    </row>
    <row r="54" spans="1:261" ht="15" customHeight="1" x14ac:dyDescent="0.25">
      <c r="A54" s="75">
        <f t="shared" si="256"/>
        <v>0.02</v>
      </c>
      <c r="B54" s="578">
        <f t="shared" si="257"/>
        <v>-3.1938228202689127</v>
      </c>
      <c r="C54" s="572">
        <f t="shared" si="258"/>
        <v>-1.6707401477740664</v>
      </c>
      <c r="D54" s="576">
        <f t="shared" si="259"/>
        <v>-1.2264708080526963</v>
      </c>
      <c r="E54" s="580">
        <f t="shared" si="260"/>
        <v>-4.9404029211389255E-2</v>
      </c>
      <c r="F54" s="572">
        <f t="shared" si="261"/>
        <v>-0.98186586993932357</v>
      </c>
      <c r="G54" s="579">
        <f t="shared" si="262"/>
        <v>0.18302637882550044</v>
      </c>
      <c r="H54" s="580">
        <f t="shared" si="263"/>
        <v>0.26450000000000001</v>
      </c>
      <c r="I54" s="572">
        <f t="shared" si="264"/>
        <v>0.52</v>
      </c>
      <c r="J54" s="483">
        <f t="shared" si="265"/>
        <v>4.2229999999999999</v>
      </c>
      <c r="K54" s="806">
        <f t="shared" si="266"/>
        <v>1313</v>
      </c>
      <c r="L54" s="309"/>
      <c r="M54" s="164">
        <f t="shared" si="267"/>
        <v>4.2229999999999999</v>
      </c>
      <c r="N54" s="575">
        <f t="shared" si="268"/>
        <v>-3.1938228202689127</v>
      </c>
      <c r="O54" s="572">
        <f t="shared" si="269"/>
        <v>-1.6707401477740664</v>
      </c>
      <c r="P54" s="576">
        <f t="shared" si="270"/>
        <v>-1.2264708080526963</v>
      </c>
      <c r="Q54" s="528">
        <f t="shared" si="140"/>
        <v>207.61479038427132</v>
      </c>
      <c r="R54" s="572">
        <f t="shared" si="464"/>
        <v>3.6044246210254669</v>
      </c>
      <c r="S54" s="577">
        <f t="shared" si="465"/>
        <v>-1.2264708080526963</v>
      </c>
      <c r="T54" s="578">
        <f t="shared" si="466"/>
        <v>-1.7049624549539948</v>
      </c>
      <c r="U54" s="572">
        <f t="shared" si="467"/>
        <v>3.1756857331687955</v>
      </c>
      <c r="V54" s="579">
        <f t="shared" si="468"/>
        <v>-1.2264708080526963</v>
      </c>
      <c r="W54" s="528">
        <f t="shared" si="253"/>
        <v>118.23046579560183</v>
      </c>
      <c r="X54" s="572">
        <f t="shared" si="469"/>
        <v>3.6044246210254669</v>
      </c>
      <c r="Y54" s="573">
        <f t="shared" si="255"/>
        <v>-1.2264708080526963</v>
      </c>
      <c r="Z54" s="575">
        <f t="shared" si="271"/>
        <v>4.9404029211389255E-2</v>
      </c>
      <c r="AA54" s="572">
        <f t="shared" si="272"/>
        <v>0.98186586993932357</v>
      </c>
      <c r="AB54" s="572">
        <f t="shared" si="273"/>
        <v>-0.18302637882550044</v>
      </c>
      <c r="AC54" s="579">
        <f t="shared" si="470"/>
        <v>1</v>
      </c>
      <c r="AD54" s="580">
        <f t="shared" si="471"/>
        <v>4.9404029211389255E-2</v>
      </c>
      <c r="AE54" s="572">
        <f t="shared" si="472"/>
        <v>0.98186586993932357</v>
      </c>
      <c r="AF54" s="576">
        <f t="shared" si="473"/>
        <v>-0.18302637882550044</v>
      </c>
      <c r="AG54" s="545">
        <f t="shared" si="474"/>
        <v>79.440870594561972</v>
      </c>
      <c r="AH54" s="546">
        <f t="shared" si="475"/>
        <v>87.168204883134152</v>
      </c>
      <c r="AI54" s="528">
        <f t="shared" si="476"/>
        <v>-79.453912316450868</v>
      </c>
      <c r="AJ54" s="529">
        <f t="shared" si="477"/>
        <v>177.11950761351051</v>
      </c>
      <c r="AK54" s="578">
        <f t="shared" si="478"/>
        <v>0.8471156003593826</v>
      </c>
      <c r="AL54" s="572">
        <f t="shared" si="479"/>
        <v>-0.49889528388409049</v>
      </c>
      <c r="AM54" s="577">
        <f t="shared" si="480"/>
        <v>-0.18302637882550044</v>
      </c>
      <c r="AN54" s="524">
        <f t="shared" si="481"/>
        <v>-69.853765248508964</v>
      </c>
      <c r="AO54" s="525">
        <f t="shared" si="116"/>
        <v>32.100681530787426</v>
      </c>
      <c r="AP54" s="528">
        <f t="shared" si="482"/>
        <v>-30.49528277076082</v>
      </c>
      <c r="AQ54" s="529">
        <f t="shared" si="274"/>
        <v>0.63245435225795998</v>
      </c>
      <c r="AS54" s="932">
        <f t="shared" si="461"/>
        <v>118.23046579560183</v>
      </c>
      <c r="AT54" s="928">
        <f t="shared" si="275"/>
        <v>-1.060470122215986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4.2229999999999999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4.1230000000000002</v>
      </c>
      <c r="IK54" s="677" cm="1">
        <f t="array" ref="IK54">IFERROR(ROUND(VALUE(IF($IJ54&lt;1,$IJ54+LARGE((IF($M$9:$M$150="",0,$M$9:$M$150)-MOD(IF($M$9:$M$150="",0,$M$9:$M$150),1)),1),$IJ54)),4),"")</f>
        <v>4.1230000000000002</v>
      </c>
      <c r="IL54" s="482">
        <f t="shared" si="426"/>
        <v>14513</v>
      </c>
      <c r="IM54" s="482">
        <f t="shared" si="237"/>
        <v>1313</v>
      </c>
      <c r="IN54" s="670">
        <f t="shared" si="427"/>
        <v>15.393100524681884</v>
      </c>
      <c r="IO54" s="702">
        <v>1.0286106575908E-2</v>
      </c>
      <c r="IP54" s="5">
        <f t="shared" si="428"/>
        <v>0.7</v>
      </c>
      <c r="IQ54" s="714">
        <v>350</v>
      </c>
      <c r="IR54" s="9">
        <f t="shared" si="429"/>
        <v>-3.5953195358574312</v>
      </c>
      <c r="IS54" s="5">
        <f t="shared" si="430"/>
        <v>-1.2169466248441534</v>
      </c>
      <c r="IT54" s="5">
        <f t="shared" si="431"/>
        <v>0.28499999999999998</v>
      </c>
      <c r="IU54" s="5">
        <f t="shared" si="432"/>
        <v>0.2537399202602561</v>
      </c>
      <c r="IV54" s="670">
        <f t="shared" si="433"/>
        <v>69.810901846950202</v>
      </c>
      <c r="IW54" s="9">
        <f t="shared" si="434"/>
        <v>-3.6044246210254669</v>
      </c>
      <c r="IX54" s="5">
        <f t="shared" si="435"/>
        <v>-1.2264708080526963</v>
      </c>
      <c r="IY54" s="5">
        <f t="shared" si="436"/>
        <v>0.26450000000000001</v>
      </c>
      <c r="IZ54" s="5">
        <f t="shared" si="437"/>
        <v>0.2240620762950567</v>
      </c>
      <c r="JA54" s="705">
        <f t="shared" si="438"/>
        <v>69.853765248508964</v>
      </c>
    </row>
    <row r="55" spans="1:261" ht="15" customHeight="1" x14ac:dyDescent="0.25">
      <c r="A55" s="75">
        <f t="shared" si="256"/>
        <v>0</v>
      </c>
      <c r="B55" s="578">
        <f t="shared" ref="B55:B118" si="515">IFERROR(Q210+($A55*-E55),"")</f>
        <v>-3.362053401498045</v>
      </c>
      <c r="C55" s="572">
        <f t="shared" ref="C55:C118" si="516">IFERROR(R210+($A55*-F55),"")</f>
        <v>-1.4650956110528404</v>
      </c>
      <c r="D55" s="576">
        <f t="shared" ref="D55:D118" si="517">IFERROR(S210+($A55*-G55),"")</f>
        <v>-1.9699034066945358</v>
      </c>
      <c r="E55" s="580">
        <f t="shared" ref="E55:E118" si="518">T210</f>
        <v>-0.913248914620582</v>
      </c>
      <c r="F55" s="572">
        <f t="shared" ref="F55:F118" si="519">U210</f>
        <v>-0.39797017382686511</v>
      </c>
      <c r="G55" s="579">
        <f t="shared" ref="G55:G118" si="520">V210</f>
        <v>8.7155956127759032E-2</v>
      </c>
      <c r="H55" s="580">
        <f t="shared" ref="H55:H118" si="521">W210</f>
        <v>0.255</v>
      </c>
      <c r="I55" s="572">
        <f t="shared" ref="I55:I118" si="522">X210</f>
        <v>0.41499999999999992</v>
      </c>
      <c r="J55" s="483">
        <f t="shared" ref="J55:J118" si="523">IF(Y210=0,"",Y210)</f>
        <v>4.2279999999999998</v>
      </c>
      <c r="K55" s="806" t="str">
        <f t="shared" ref="K55:K118" si="524">Z210</f>
        <v>CPS-32193r1</v>
      </c>
      <c r="L55" s="309"/>
      <c r="M55" s="164">
        <f t="shared" si="267"/>
        <v>4.2279999999999998</v>
      </c>
      <c r="N55" s="575">
        <f t="shared" si="268"/>
        <v>-3.362053401498045</v>
      </c>
      <c r="O55" s="572">
        <f t="shared" si="269"/>
        <v>-1.4650956110528404</v>
      </c>
      <c r="P55" s="576">
        <f t="shared" si="270"/>
        <v>-1.9699034066945358</v>
      </c>
      <c r="Q55" s="528">
        <f t="shared" si="140"/>
        <v>203.54632245869797</v>
      </c>
      <c r="R55" s="572">
        <f t="shared" si="464"/>
        <v>3.6674116518398736</v>
      </c>
      <c r="S55" s="577">
        <f t="shared" si="465"/>
        <v>-1.9699034066945358</v>
      </c>
      <c r="T55" s="578">
        <f t="shared" si="466"/>
        <v>-1.5011374882392816</v>
      </c>
      <c r="U55" s="572">
        <f t="shared" si="467"/>
        <v>3.3461163257504261</v>
      </c>
      <c r="V55" s="579">
        <f t="shared" si="468"/>
        <v>-1.9699034066945358</v>
      </c>
      <c r="W55" s="528">
        <f t="shared" si="253"/>
        <v>114.16199787002849</v>
      </c>
      <c r="X55" s="572">
        <f t="shared" si="469"/>
        <v>3.6674116518398736</v>
      </c>
      <c r="Y55" s="573">
        <f t="shared" si="255"/>
        <v>-1.9699034066945358</v>
      </c>
      <c r="Z55" s="575">
        <f t="shared" si="271"/>
        <v>0.913248914620582</v>
      </c>
      <c r="AA55" s="572">
        <f t="shared" si="272"/>
        <v>0.39797017382686511</v>
      </c>
      <c r="AB55" s="572">
        <f t="shared" si="273"/>
        <v>-8.7155956127759032E-2</v>
      </c>
      <c r="AC55" s="579">
        <f t="shared" si="470"/>
        <v>1</v>
      </c>
      <c r="AD55" s="580">
        <f t="shared" si="471"/>
        <v>0.913248914620582</v>
      </c>
      <c r="AE55" s="572">
        <f t="shared" si="472"/>
        <v>0.39797017382686511</v>
      </c>
      <c r="AF55" s="576">
        <f t="shared" si="473"/>
        <v>-8.7155956127759032E-2</v>
      </c>
      <c r="AG55" s="545">
        <f t="shared" si="474"/>
        <v>77.647176562656085</v>
      </c>
      <c r="AH55" s="546">
        <f t="shared" si="475"/>
        <v>24.041738989352101</v>
      </c>
      <c r="AI55" s="528">
        <f t="shared" si="476"/>
        <v>-84.999987727520178</v>
      </c>
      <c r="AJ55" s="529">
        <f t="shared" si="477"/>
        <v>113.54632245869789</v>
      </c>
      <c r="AK55" s="578">
        <f t="shared" si="478"/>
        <v>-1.3877787807814457E-15</v>
      </c>
      <c r="AL55" s="572">
        <f t="shared" si="479"/>
        <v>-0.9961946794233828</v>
      </c>
      <c r="AM55" s="577">
        <f t="shared" si="480"/>
        <v>-8.7155956127759032E-2</v>
      </c>
      <c r="AN55" s="524">
        <f t="shared" si="481"/>
        <v>-84.999987727520178</v>
      </c>
      <c r="AO55" s="525">
        <f>IF(ROUND(IF(M55="",0,DEGREES(ACOS(AK55))),4)=90,0,IF(M55="","",DEGREES(ACOS(AK55))))</f>
        <v>0</v>
      </c>
      <c r="AP55" s="528">
        <f t="shared" si="482"/>
        <v>-90.000000000000071</v>
      </c>
      <c r="AQ55" s="529">
        <f t="shared" si="274"/>
        <v>0.62159294029767154</v>
      </c>
      <c r="AS55" s="932">
        <f t="shared" si="461"/>
        <v>114.16199787002849</v>
      </c>
      <c r="AT55" s="928">
        <f t="shared" si="275"/>
        <v>-1.8010773959095108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>Taper</v>
      </c>
      <c r="IH55" s="482" t="str">
        <f>IFERROR(IF((((($IY55*COS(RADIANS(180-$JA55)))*COS(RADIANS($JA55)))-(($IZ55*SIN(RADIANS(180-$JA55)))*SIN(RADIANS($JA55))))+$IW55)&lt;(((Settings!$C$19+$IH$8)/2)*-1),"Gage",""),"")</f>
        <v>Gage</v>
      </c>
      <c r="II55" s="788">
        <f t="shared" si="236"/>
        <v>4.2279999999999998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4.1280000000000001</v>
      </c>
      <c r="IK55" s="677" cm="1">
        <f t="array" ref="IK55">IFERROR(ROUND(VALUE(IF($IJ55&lt;1,$IJ55+LARGE((IF($M$9:$M$150="",0,$M$9:$M$150)-MOD(IF($M$9:$M$150="",0,$M$9:$M$150),1)),1),$IJ55)),4),"")</f>
        <v>4.1280000000000001</v>
      </c>
      <c r="IL55" s="482">
        <f t="shared" si="426"/>
        <v>14513</v>
      </c>
      <c r="IM55" s="482" t="str">
        <f t="shared" si="237"/>
        <v>CPS-32193r1</v>
      </c>
      <c r="IN55" s="670">
        <f t="shared" si="427"/>
        <v>19.289840642595308</v>
      </c>
      <c r="IO55" s="702">
        <v>2.7709302732683801E-2</v>
      </c>
      <c r="IP55" s="5">
        <f t="shared" si="428"/>
        <v>1.1399999999999999</v>
      </c>
      <c r="IQ55" s="714">
        <v>570</v>
      </c>
      <c r="IR55" s="9">
        <f t="shared" si="429"/>
        <v>-3.7054897408941279</v>
      </c>
      <c r="IS55" s="5">
        <f t="shared" si="430"/>
        <v>-1.9502774388552879</v>
      </c>
      <c r="IT55" s="5">
        <f t="shared" si="431"/>
        <v>0.28499999999999998</v>
      </c>
      <c r="IU55" s="5">
        <f t="shared" si="432"/>
        <v>0.24747810510653426</v>
      </c>
      <c r="IV55" s="670">
        <f t="shared" si="433"/>
        <v>84.959174548899995</v>
      </c>
      <c r="IW55" s="9">
        <f t="shared" si="434"/>
        <v>-3.6674116518398736</v>
      </c>
      <c r="IX55" s="5">
        <f t="shared" si="435"/>
        <v>-1.9699034066945358</v>
      </c>
      <c r="IY55" s="5">
        <f t="shared" si="436"/>
        <v>0.255</v>
      </c>
      <c r="IZ55" s="5">
        <f t="shared" si="437"/>
        <v>0.255</v>
      </c>
      <c r="JA55" s="705">
        <f t="shared" si="438"/>
        <v>84.999987727520178</v>
      </c>
    </row>
    <row r="56" spans="1:261" ht="15" customHeight="1" x14ac:dyDescent="0.25">
      <c r="A56" s="75">
        <f t="shared" si="256"/>
        <v>0.02</v>
      </c>
      <c r="B56" s="578">
        <f t="shared" si="515"/>
        <v>-2.2849094584100418</v>
      </c>
      <c r="C56" s="572">
        <f t="shared" si="516"/>
        <v>1.0997824044378226</v>
      </c>
      <c r="D56" s="576">
        <f t="shared" si="517"/>
        <v>-0.17145695863645011</v>
      </c>
      <c r="E56" s="580">
        <f t="shared" si="518"/>
        <v>-0.47777852131057846</v>
      </c>
      <c r="F56" s="572">
        <f t="shared" si="519"/>
        <v>-0.828240544226304</v>
      </c>
      <c r="G56" s="579">
        <f t="shared" si="520"/>
        <v>0.2928229592671876</v>
      </c>
      <c r="H56" s="580">
        <f t="shared" si="521"/>
        <v>0.28499999999999998</v>
      </c>
      <c r="I56" s="572">
        <f t="shared" si="522"/>
        <v>0.52</v>
      </c>
      <c r="J56" s="483">
        <f t="shared" si="523"/>
        <v>5.1120000000000001</v>
      </c>
      <c r="K56" s="806">
        <f t="shared" si="524"/>
        <v>14513</v>
      </c>
      <c r="L56" s="309"/>
      <c r="M56" s="164">
        <f t="shared" si="267"/>
        <v>5.1120000000000001</v>
      </c>
      <c r="N56" s="575">
        <f t="shared" si="268"/>
        <v>-2.2849094584100418</v>
      </c>
      <c r="O56" s="572">
        <f t="shared" si="269"/>
        <v>1.0997824044378226</v>
      </c>
      <c r="P56" s="576">
        <f t="shared" si="270"/>
        <v>-0.17145695863645011</v>
      </c>
      <c r="Q56" s="528">
        <f t="shared" si="140"/>
        <v>154.2973584803986</v>
      </c>
      <c r="R56" s="572">
        <f t="shared" si="464"/>
        <v>2.5358100422237286</v>
      </c>
      <c r="S56" s="577">
        <f t="shared" si="465"/>
        <v>-0.17145695863645011</v>
      </c>
      <c r="T56" s="578">
        <f t="shared" si="466"/>
        <v>1.0751667445416473</v>
      </c>
      <c r="U56" s="572">
        <f t="shared" si="467"/>
        <v>2.2965950974593725</v>
      </c>
      <c r="V56" s="579">
        <f t="shared" si="468"/>
        <v>-0.17145695863645011</v>
      </c>
      <c r="W56" s="528">
        <f t="shared" si="253"/>
        <v>64.913033891729114</v>
      </c>
      <c r="X56" s="572">
        <f t="shared" si="469"/>
        <v>2.5358100422237286</v>
      </c>
      <c r="Y56" s="573">
        <f t="shared" si="255"/>
        <v>-0.17145695863645011</v>
      </c>
      <c r="Z56" s="575">
        <f t="shared" si="271"/>
        <v>0.47777852131057846</v>
      </c>
      <c r="AA56" s="572">
        <f t="shared" si="272"/>
        <v>0.828240544226304</v>
      </c>
      <c r="AB56" s="572">
        <f t="shared" si="273"/>
        <v>-0.2928229592671876</v>
      </c>
      <c r="AC56" s="579">
        <f t="shared" si="470"/>
        <v>1</v>
      </c>
      <c r="AD56" s="580">
        <f t="shared" si="471"/>
        <v>0.47777852131057846</v>
      </c>
      <c r="AE56" s="572">
        <f t="shared" si="472"/>
        <v>0.828240544226304</v>
      </c>
      <c r="AF56" s="576">
        <f t="shared" si="473"/>
        <v>-0.2928229592671876</v>
      </c>
      <c r="AG56" s="545">
        <f t="shared" si="474"/>
        <v>70.529043370862723</v>
      </c>
      <c r="AH56" s="546">
        <f t="shared" si="475"/>
        <v>61.459586020832312</v>
      </c>
      <c r="AI56" s="528">
        <f t="shared" si="476"/>
        <v>-72.972961708127599</v>
      </c>
      <c r="AJ56" s="529">
        <f t="shared" si="477"/>
        <v>150.02108879852432</v>
      </c>
      <c r="AK56" s="578">
        <f t="shared" si="478"/>
        <v>0.95350480676254512</v>
      </c>
      <c r="AL56" s="572">
        <f t="shared" si="479"/>
        <v>-7.1297251046085364E-2</v>
      </c>
      <c r="AM56" s="577">
        <f t="shared" si="480"/>
        <v>-0.2928229592671876</v>
      </c>
      <c r="AN56" s="524">
        <f t="shared" si="481"/>
        <v>-13.684246248086463</v>
      </c>
      <c r="AO56" s="525">
        <f t="shared" ref="AO56:AO119" si="525">IF(ROUND(IF(M56="",0,DEGREES(ACOS(AK56))),4)=90,0,IF(M56="","",DEGREES(ACOS(AK56))))</f>
        <v>17.540376301109106</v>
      </c>
      <c r="AP56" s="528">
        <f t="shared" si="482"/>
        <v>-4.2762696818742896</v>
      </c>
      <c r="AQ56" s="529">
        <f t="shared" si="274"/>
        <v>0.89893940499501801</v>
      </c>
      <c r="AS56" s="932">
        <f t="shared" si="461"/>
        <v>64.913033891729114</v>
      </c>
      <c r="AT56" s="928">
        <f t="shared" si="275"/>
        <v>3.1569721577949461E-2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5.1120000000000001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14513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-2.8249638551050804</v>
      </c>
      <c r="C57" s="572">
        <f t="shared" si="516"/>
        <v>1.3993076946714094</v>
      </c>
      <c r="D57" s="576">
        <f t="shared" si="517"/>
        <v>-0.50525539320562785</v>
      </c>
      <c r="E57" s="580">
        <f t="shared" si="518"/>
        <v>-0.62343225350717146</v>
      </c>
      <c r="F57" s="572">
        <f t="shared" si="519"/>
        <v>-0.72702420498531628</v>
      </c>
      <c r="G57" s="579">
        <f t="shared" si="520"/>
        <v>0.28769433545420903</v>
      </c>
      <c r="H57" s="580">
        <f t="shared" si="521"/>
        <v>0.28499999999999998</v>
      </c>
      <c r="I57" s="572">
        <f t="shared" si="522"/>
        <v>0.52</v>
      </c>
      <c r="J57" s="483">
        <f t="shared" si="523"/>
        <v>5.117</v>
      </c>
      <c r="K57" s="806">
        <f t="shared" si="524"/>
        <v>14513</v>
      </c>
      <c r="L57" s="309"/>
      <c r="M57" s="164">
        <f t="shared" si="267"/>
        <v>5.117</v>
      </c>
      <c r="N57" s="575">
        <f t="shared" si="268"/>
        <v>-2.8249638551050804</v>
      </c>
      <c r="O57" s="572">
        <f t="shared" si="269"/>
        <v>1.3993076946714094</v>
      </c>
      <c r="P57" s="576">
        <f t="shared" si="270"/>
        <v>-0.50525539320562785</v>
      </c>
      <c r="Q57" s="528">
        <f t="shared" si="140"/>
        <v>153.64910663830472</v>
      </c>
      <c r="R57" s="572">
        <f t="shared" si="464"/>
        <v>3.1525359327082652</v>
      </c>
      <c r="S57" s="577">
        <f t="shared" si="465"/>
        <v>-0.50525539320562785</v>
      </c>
      <c r="T57" s="578">
        <f t="shared" si="466"/>
        <v>1.3688716653876485</v>
      </c>
      <c r="U57" s="572">
        <f t="shared" si="467"/>
        <v>2.8398368211423026</v>
      </c>
      <c r="V57" s="579">
        <f t="shared" si="468"/>
        <v>-0.50525539320562785</v>
      </c>
      <c r="W57" s="528">
        <f t="shared" si="253"/>
        <v>64.26478204963523</v>
      </c>
      <c r="X57" s="572">
        <f t="shared" si="469"/>
        <v>3.1525359327082652</v>
      </c>
      <c r="Y57" s="573">
        <f t="shared" si="255"/>
        <v>-0.50525539320562785</v>
      </c>
      <c r="Z57" s="575">
        <f t="shared" si="271"/>
        <v>0.62343225350717146</v>
      </c>
      <c r="AA57" s="572">
        <f t="shared" si="272"/>
        <v>0.72702420498531628</v>
      </c>
      <c r="AB57" s="572">
        <f t="shared" si="273"/>
        <v>-0.28769433545420903</v>
      </c>
      <c r="AC57" s="579">
        <f t="shared" si="470"/>
        <v>1</v>
      </c>
      <c r="AD57" s="580">
        <f t="shared" si="471"/>
        <v>0.62343225350717146</v>
      </c>
      <c r="AE57" s="572">
        <f t="shared" si="472"/>
        <v>0.72702420498531628</v>
      </c>
      <c r="AF57" s="576">
        <f t="shared" si="473"/>
        <v>-0.28769433545420903</v>
      </c>
      <c r="AG57" s="545">
        <f t="shared" si="474"/>
        <v>68.41055463087686</v>
      </c>
      <c r="AH57" s="546">
        <f t="shared" si="475"/>
        <v>51.432788681228068</v>
      </c>
      <c r="AI57" s="528">
        <f t="shared" si="476"/>
        <v>-73.280030511099142</v>
      </c>
      <c r="AJ57" s="529">
        <f t="shared" si="477"/>
        <v>139.38650261865152</v>
      </c>
      <c r="AK57" s="578">
        <f t="shared" si="478"/>
        <v>0.92820215622257141</v>
      </c>
      <c r="AL57" s="572">
        <f t="shared" si="479"/>
        <v>-0.23595068665153401</v>
      </c>
      <c r="AM57" s="577">
        <f t="shared" si="480"/>
        <v>-0.28769433545420903</v>
      </c>
      <c r="AN57" s="524">
        <f t="shared" si="481"/>
        <v>-39.356674183821298</v>
      </c>
      <c r="AO57" s="525">
        <f t="shared" si="525"/>
        <v>21.843723880232634</v>
      </c>
      <c r="AP57" s="528">
        <f t="shared" si="482"/>
        <v>-14.262604019653207</v>
      </c>
      <c r="AQ57" s="529">
        <f t="shared" si="274"/>
        <v>0.72310217648257413</v>
      </c>
      <c r="AS57" s="932">
        <f t="shared" si="461"/>
        <v>64.26478204963523</v>
      </c>
      <c r="AT57" s="928">
        <f t="shared" si="275"/>
        <v>-0.30177853810088529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5.117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14513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-3.164825284969488</v>
      </c>
      <c r="C58" s="572">
        <f t="shared" si="516"/>
        <v>1.6070666896515486</v>
      </c>
      <c r="D58" s="576">
        <f t="shared" si="517"/>
        <v>-1.0832707999827023</v>
      </c>
      <c r="E58" s="580">
        <f t="shared" si="518"/>
        <v>-0.76238040671303398</v>
      </c>
      <c r="F58" s="572">
        <f t="shared" si="519"/>
        <v>-0.61910430639437131</v>
      </c>
      <c r="G58" s="579">
        <f t="shared" si="520"/>
        <v>0.1883772100441386</v>
      </c>
      <c r="H58" s="580">
        <f t="shared" si="521"/>
        <v>0.28499999999999998</v>
      </c>
      <c r="I58" s="572">
        <f t="shared" si="522"/>
        <v>0.52</v>
      </c>
      <c r="J58" s="483">
        <f t="shared" si="523"/>
        <v>5.1219999999999999</v>
      </c>
      <c r="K58" s="806">
        <f t="shared" si="524"/>
        <v>14513</v>
      </c>
      <c r="L58" s="309"/>
      <c r="M58" s="164">
        <f t="shared" si="267"/>
        <v>5.1219999999999999</v>
      </c>
      <c r="N58" s="575">
        <f t="shared" si="268"/>
        <v>-3.164825284969488</v>
      </c>
      <c r="O58" s="572">
        <f t="shared" si="269"/>
        <v>1.6070666896515486</v>
      </c>
      <c r="P58" s="576">
        <f t="shared" si="270"/>
        <v>-1.0832707999827023</v>
      </c>
      <c r="Q58" s="528">
        <f t="shared" si="140"/>
        <v>153.07899443244597</v>
      </c>
      <c r="R58" s="572">
        <f t="shared" si="464"/>
        <v>3.5494763598832133</v>
      </c>
      <c r="S58" s="577">
        <f t="shared" si="465"/>
        <v>-1.0832707999827023</v>
      </c>
      <c r="T58" s="578">
        <f t="shared" si="466"/>
        <v>1.5729667336735735</v>
      </c>
      <c r="U58" s="572">
        <f t="shared" si="467"/>
        <v>3.1819110742014893</v>
      </c>
      <c r="V58" s="579">
        <f t="shared" si="468"/>
        <v>-1.0832707999827023</v>
      </c>
      <c r="W58" s="528">
        <f t="shared" si="253"/>
        <v>63.694669843776481</v>
      </c>
      <c r="X58" s="572">
        <f t="shared" si="469"/>
        <v>3.5494763598832133</v>
      </c>
      <c r="Y58" s="573">
        <f t="shared" si="255"/>
        <v>-1.0832707999827023</v>
      </c>
      <c r="Z58" s="575">
        <f t="shared" si="271"/>
        <v>0.76238040671303398</v>
      </c>
      <c r="AA58" s="572">
        <f t="shared" si="272"/>
        <v>0.61910430639437131</v>
      </c>
      <c r="AB58" s="572">
        <f t="shared" si="273"/>
        <v>-0.1883772100441386</v>
      </c>
      <c r="AC58" s="579">
        <f t="shared" si="470"/>
        <v>1</v>
      </c>
      <c r="AD58" s="580">
        <f t="shared" si="471"/>
        <v>0.76238040671303398</v>
      </c>
      <c r="AE58" s="572">
        <f t="shared" si="472"/>
        <v>0.61910430639437131</v>
      </c>
      <c r="AF58" s="576">
        <f t="shared" si="473"/>
        <v>-0.1883772100441386</v>
      </c>
      <c r="AG58" s="545">
        <f t="shared" si="474"/>
        <v>73.076369669775488</v>
      </c>
      <c r="AH58" s="546">
        <f t="shared" si="475"/>
        <v>40.325498926234715</v>
      </c>
      <c r="AI58" s="528">
        <f t="shared" si="476"/>
        <v>-79.141904839697332</v>
      </c>
      <c r="AJ58" s="529">
        <f t="shared" si="477"/>
        <v>129.07892714784816</v>
      </c>
      <c r="AK58" s="578">
        <f t="shared" si="478"/>
        <v>0.8971895560072698</v>
      </c>
      <c r="AL58" s="572">
        <f t="shared" si="479"/>
        <v>-0.39945578895225048</v>
      </c>
      <c r="AM58" s="577">
        <f t="shared" si="480"/>
        <v>-0.1883772100441386</v>
      </c>
      <c r="AN58" s="524">
        <f t="shared" si="481"/>
        <v>-64.752155586413849</v>
      </c>
      <c r="AO58" s="525">
        <f t="shared" si="525"/>
        <v>26.208928779652393</v>
      </c>
      <c r="AP58" s="528">
        <f t="shared" si="482"/>
        <v>-24.000067284597815</v>
      </c>
      <c r="AQ58" s="529">
        <f t="shared" si="274"/>
        <v>0.64224435354552933</v>
      </c>
      <c r="AS58" s="932">
        <f t="shared" si="461"/>
        <v>63.694669843776481</v>
      </c>
      <c r="AT58" s="928">
        <f t="shared" si="275"/>
        <v>-0.87939803362389113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5.1219999999999999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14513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0.02</v>
      </c>
      <c r="B59" s="578">
        <f t="shared" si="515"/>
        <v>-3.2588735854282396</v>
      </c>
      <c r="C59" s="572">
        <f t="shared" si="516"/>
        <v>1.667012521565828</v>
      </c>
      <c r="D59" s="576">
        <f t="shared" si="517"/>
        <v>-1.7778769188953194</v>
      </c>
      <c r="E59" s="580">
        <f t="shared" si="518"/>
        <v>-0.8352574561808086</v>
      </c>
      <c r="F59" s="572">
        <f t="shared" si="519"/>
        <v>-0.54812949402449629</v>
      </c>
      <c r="G59" s="579">
        <f t="shared" si="520"/>
        <v>4.357797235776921E-2</v>
      </c>
      <c r="H59" s="580">
        <f t="shared" si="521"/>
        <v>0.28499999999999998</v>
      </c>
      <c r="I59" s="572">
        <f t="shared" si="522"/>
        <v>0.52</v>
      </c>
      <c r="J59" s="483">
        <f t="shared" si="523"/>
        <v>5.1269999999999998</v>
      </c>
      <c r="K59" s="806">
        <f t="shared" si="524"/>
        <v>14513</v>
      </c>
      <c r="L59" s="309"/>
      <c r="M59" s="164">
        <f t="shared" si="267"/>
        <v>5.1269999999999998</v>
      </c>
      <c r="N59" s="575">
        <f t="shared" si="268"/>
        <v>-3.2588735854282396</v>
      </c>
      <c r="O59" s="572">
        <f t="shared" si="269"/>
        <v>1.667012521565828</v>
      </c>
      <c r="P59" s="576">
        <f t="shared" si="270"/>
        <v>-1.7778769188953194</v>
      </c>
      <c r="Q59" s="528">
        <f t="shared" si="140"/>
        <v>152.90888079966558</v>
      </c>
      <c r="R59" s="572">
        <f t="shared" si="101"/>
        <v>3.6604901028221848</v>
      </c>
      <c r="S59" s="577">
        <f t="shared" si="102"/>
        <v>-1.7778769188953194</v>
      </c>
      <c r="T59" s="578">
        <f t="shared" si="103"/>
        <v>1.631898522240703</v>
      </c>
      <c r="U59" s="572">
        <f t="shared" si="104"/>
        <v>3.2765980842892191</v>
      </c>
      <c r="V59" s="579">
        <f t="shared" si="141"/>
        <v>-1.7778769188953194</v>
      </c>
      <c r="W59" s="528">
        <f t="shared" si="253"/>
        <v>63.524556210996096</v>
      </c>
      <c r="X59" s="572">
        <f t="shared" si="105"/>
        <v>3.6604901028221848</v>
      </c>
      <c r="Y59" s="573">
        <f t="shared" si="255"/>
        <v>-1.7778769188953194</v>
      </c>
      <c r="Z59" s="575">
        <f t="shared" si="271"/>
        <v>0.8352574561808086</v>
      </c>
      <c r="AA59" s="572">
        <f t="shared" si="272"/>
        <v>0.54812949402449629</v>
      </c>
      <c r="AB59" s="572">
        <f t="shared" si="273"/>
        <v>-4.357797235776921E-2</v>
      </c>
      <c r="AC59" s="579">
        <f t="shared" si="106"/>
        <v>1</v>
      </c>
      <c r="AD59" s="580">
        <f t="shared" si="142"/>
        <v>0.8352574561808086</v>
      </c>
      <c r="AE59" s="572">
        <f t="shared" si="107"/>
        <v>0.54812949402449629</v>
      </c>
      <c r="AF59" s="576">
        <f t="shared" si="108"/>
        <v>-4.357797235776921E-2</v>
      </c>
      <c r="AG59" s="545">
        <f t="shared" si="109"/>
        <v>85.454371322658133</v>
      </c>
      <c r="AH59" s="546">
        <f t="shared" si="110"/>
        <v>33.357344186810607</v>
      </c>
      <c r="AI59" s="528">
        <f t="shared" si="111"/>
        <v>-87.502375163624833</v>
      </c>
      <c r="AJ59" s="529">
        <f t="shared" si="112"/>
        <v>123.2744942588856</v>
      </c>
      <c r="AK59" s="578">
        <f t="shared" si="238"/>
        <v>0.8683726163347627</v>
      </c>
      <c r="AL59" s="572">
        <f t="shared" si="113"/>
        <v>-0.49399388612117934</v>
      </c>
      <c r="AM59" s="577">
        <f t="shared" si="114"/>
        <v>-4.357797235776921E-2</v>
      </c>
      <c r="AN59" s="524">
        <f t="shared" si="115"/>
        <v>-84.958667995750403</v>
      </c>
      <c r="AO59" s="525">
        <f t="shared" si="525"/>
        <v>29.729925767321735</v>
      </c>
      <c r="AP59" s="528">
        <f t="shared" si="117"/>
        <v>-29.634386540779982</v>
      </c>
      <c r="AQ59" s="529">
        <f t="shared" si="274"/>
        <v>0.62276820572606739</v>
      </c>
      <c r="AS59" s="932">
        <f t="shared" si="461"/>
        <v>63.524556210996096</v>
      </c>
      <c r="AT59" s="928">
        <f t="shared" si="275"/>
        <v>-1.5738860180692997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5.1269999999999998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14513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0.02</v>
      </c>
      <c r="B60" s="578">
        <f t="shared" si="515"/>
        <v>-3.2967919382087927</v>
      </c>
      <c r="C60" s="572">
        <f t="shared" si="516"/>
        <v>1.6916906147499742</v>
      </c>
      <c r="D60" s="576">
        <f t="shared" si="517"/>
        <v>-2.518779153456459</v>
      </c>
      <c r="E60" s="580">
        <f t="shared" si="518"/>
        <v>-0.83598378755188463</v>
      </c>
      <c r="F60" s="572">
        <f t="shared" si="519"/>
        <v>-0.5470210848546796</v>
      </c>
      <c r="G60" s="579">
        <f t="shared" si="520"/>
        <v>4.3577972357775857E-2</v>
      </c>
      <c r="H60" s="580">
        <f t="shared" si="521"/>
        <v>0.28499999999999998</v>
      </c>
      <c r="I60" s="572">
        <f t="shared" si="522"/>
        <v>0.52</v>
      </c>
      <c r="J60" s="483">
        <f t="shared" si="523"/>
        <v>5.1319999999999997</v>
      </c>
      <c r="K60" s="806">
        <f t="shared" si="524"/>
        <v>14513</v>
      </c>
      <c r="L60" s="309"/>
      <c r="M60" s="164">
        <f t="shared" si="267"/>
        <v>5.1319999999999997</v>
      </c>
      <c r="N60" s="575">
        <f t="shared" si="268"/>
        <v>-3.2967919382087927</v>
      </c>
      <c r="O60" s="572">
        <f t="shared" si="269"/>
        <v>1.6916906147499742</v>
      </c>
      <c r="P60" s="576">
        <f t="shared" si="270"/>
        <v>-2.518779153456459</v>
      </c>
      <c r="Q60" s="528">
        <f t="shared" si="140"/>
        <v>152.83617320804134</v>
      </c>
      <c r="R60" s="572">
        <f t="shared" si="101"/>
        <v>3.7054897408941283</v>
      </c>
      <c r="S60" s="577">
        <f t="shared" si="102"/>
        <v>-2.518779153456459</v>
      </c>
      <c r="T60" s="578">
        <f t="shared" si="103"/>
        <v>1.6561677444749288</v>
      </c>
      <c r="U60" s="572">
        <f t="shared" si="104"/>
        <v>3.314779422832304</v>
      </c>
      <c r="V60" s="579">
        <f t="shared" si="141"/>
        <v>-2.518779153456459</v>
      </c>
      <c r="W60" s="528">
        <f t="shared" si="253"/>
        <v>63.451848619371859</v>
      </c>
      <c r="X60" s="572">
        <f t="shared" si="105"/>
        <v>3.7054897408941283</v>
      </c>
      <c r="Y60" s="573">
        <f t="shared" si="255"/>
        <v>-2.518779153456459</v>
      </c>
      <c r="Z60" s="575">
        <f t="shared" si="271"/>
        <v>0.83598378755188463</v>
      </c>
      <c r="AA60" s="572">
        <f t="shared" si="272"/>
        <v>0.5470210848546796</v>
      </c>
      <c r="AB60" s="572">
        <f t="shared" si="273"/>
        <v>-4.3577972357775857E-2</v>
      </c>
      <c r="AC60" s="579">
        <f t="shared" si="106"/>
        <v>1</v>
      </c>
      <c r="AD60" s="580">
        <f t="shared" si="142"/>
        <v>0.83598378755188463</v>
      </c>
      <c r="AE60" s="572">
        <f t="shared" si="107"/>
        <v>0.5470210848546796</v>
      </c>
      <c r="AF60" s="576">
        <f t="shared" si="108"/>
        <v>-4.3577972357775857E-2</v>
      </c>
      <c r="AG60" s="545">
        <f t="shared" si="109"/>
        <v>85.445199396056353</v>
      </c>
      <c r="AH60" s="546">
        <f t="shared" si="110"/>
        <v>33.281583735112207</v>
      </c>
      <c r="AI60" s="528">
        <f t="shared" si="111"/>
        <v>-87.50237516362445</v>
      </c>
      <c r="AJ60" s="529">
        <f t="shared" si="112"/>
        <v>123.19849426985868</v>
      </c>
      <c r="AK60" s="578">
        <f t="shared" si="238"/>
        <v>0.86834422844397996</v>
      </c>
      <c r="AL60" s="572">
        <f t="shared" si="113"/>
        <v>-0.49404378475314736</v>
      </c>
      <c r="AM60" s="577">
        <f t="shared" si="114"/>
        <v>-4.3577972357775857E-2</v>
      </c>
      <c r="AN60" s="524">
        <f t="shared" si="115"/>
        <v>-84.959174548899995</v>
      </c>
      <c r="AO60" s="525">
        <f t="shared" si="525"/>
        <v>29.733205429583041</v>
      </c>
      <c r="AP60" s="528">
        <f t="shared" si="117"/>
        <v>-29.63767893818266</v>
      </c>
      <c r="AQ60" s="529">
        <f t="shared" si="274"/>
        <v>0.61520586480471795</v>
      </c>
      <c r="AS60" s="932">
        <f t="shared" si="461"/>
        <v>63.451848619371859</v>
      </c>
      <c r="AT60" s="928">
        <f t="shared" si="275"/>
        <v>-2.314737761247367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5.1319999999999997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14513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0.02</v>
      </c>
      <c r="B61" s="578">
        <f t="shared" si="515"/>
        <v>-2.3169869773507252</v>
      </c>
      <c r="C61" s="572">
        <f t="shared" si="516"/>
        <v>2.1458962827992858</v>
      </c>
      <c r="D61" s="576">
        <f t="shared" si="517"/>
        <v>-0.51239806676404431</v>
      </c>
      <c r="E61" s="580">
        <f t="shared" si="518"/>
        <v>-0.81707646905884812</v>
      </c>
      <c r="F61" s="572">
        <f t="shared" si="519"/>
        <v>-0.45929240246557629</v>
      </c>
      <c r="G61" s="579">
        <f t="shared" si="520"/>
        <v>0.34847744941061015</v>
      </c>
      <c r="H61" s="580">
        <f t="shared" si="521"/>
        <v>0.26450000000000001</v>
      </c>
      <c r="I61" s="572">
        <f t="shared" si="522"/>
        <v>0.52</v>
      </c>
      <c r="J61" s="483">
        <f t="shared" si="523"/>
        <v>5.2169999999999996</v>
      </c>
      <c r="K61" s="806">
        <f t="shared" si="524"/>
        <v>1313</v>
      </c>
      <c r="L61" s="309"/>
      <c r="M61" s="164">
        <f t="shared" si="267"/>
        <v>5.2169999999999996</v>
      </c>
      <c r="N61" s="575">
        <f t="shared" si="268"/>
        <v>-2.3169869773507252</v>
      </c>
      <c r="O61" s="572">
        <f t="shared" si="269"/>
        <v>2.1458962827992858</v>
      </c>
      <c r="P61" s="576">
        <f t="shared" si="270"/>
        <v>-0.51239806676404431</v>
      </c>
      <c r="Q61" s="528">
        <f t="shared" si="140"/>
        <v>137.19543646306758</v>
      </c>
      <c r="R61" s="572">
        <f t="shared" si="101"/>
        <v>3.1580531201587858</v>
      </c>
      <c r="S61" s="577">
        <f t="shared" si="102"/>
        <v>-0.51239806676404431</v>
      </c>
      <c r="T61" s="578">
        <f t="shared" si="103"/>
        <v>2.1208755432341926</v>
      </c>
      <c r="U61" s="572">
        <f t="shared" si="104"/>
        <v>2.3399116307791865</v>
      </c>
      <c r="V61" s="579">
        <f t="shared" si="141"/>
        <v>-0.51239806676404431</v>
      </c>
      <c r="W61" s="528">
        <f t="shared" si="253"/>
        <v>47.811111874398094</v>
      </c>
      <c r="X61" s="572">
        <f t="shared" si="105"/>
        <v>3.1580531201587858</v>
      </c>
      <c r="Y61" s="573">
        <f t="shared" si="255"/>
        <v>-0.51239806676404431</v>
      </c>
      <c r="Z61" s="575">
        <f t="shared" si="271"/>
        <v>0.81707646905884812</v>
      </c>
      <c r="AA61" s="572">
        <f t="shared" si="272"/>
        <v>0.45929240246557629</v>
      </c>
      <c r="AB61" s="572">
        <f t="shared" si="273"/>
        <v>-0.34847744941061015</v>
      </c>
      <c r="AC61" s="579">
        <f t="shared" si="106"/>
        <v>1</v>
      </c>
      <c r="AD61" s="580">
        <f t="shared" si="142"/>
        <v>0.81707646905884812</v>
      </c>
      <c r="AE61" s="572">
        <f t="shared" si="107"/>
        <v>0.45929240246557629</v>
      </c>
      <c r="AF61" s="576">
        <f t="shared" si="108"/>
        <v>-0.34847744941061015</v>
      </c>
      <c r="AG61" s="545">
        <f t="shared" si="109"/>
        <v>52.811435296670801</v>
      </c>
      <c r="AH61" s="546">
        <f t="shared" si="110"/>
        <v>35.206801108791588</v>
      </c>
      <c r="AI61" s="528">
        <f t="shared" si="111"/>
        <v>-69.605782634699338</v>
      </c>
      <c r="AJ61" s="529">
        <f t="shared" si="112"/>
        <v>119.34107185637869</v>
      </c>
      <c r="AK61" s="578">
        <f t="shared" si="238"/>
        <v>0.89217494634268579</v>
      </c>
      <c r="AL61" s="572">
        <f t="shared" si="113"/>
        <v>-0.28738011825925153</v>
      </c>
      <c r="AM61" s="577">
        <f t="shared" si="114"/>
        <v>-0.34847744941061015</v>
      </c>
      <c r="AN61" s="524">
        <f t="shared" si="115"/>
        <v>-39.511498503547166</v>
      </c>
      <c r="AO61" s="525">
        <f t="shared" si="525"/>
        <v>26.852165039939315</v>
      </c>
      <c r="AP61" s="528">
        <f t="shared" si="117"/>
        <v>-17.854364606688875</v>
      </c>
      <c r="AQ61" s="529">
        <f t="shared" si="274"/>
        <v>0.72183903504673574</v>
      </c>
      <c r="AS61" s="932">
        <f t="shared" si="461"/>
        <v>47.811111874398094</v>
      </c>
      <c r="AT61" s="928">
        <f t="shared" si="275"/>
        <v>-0.29749505181538705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5.2169999999999996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0.11700000000000001</v>
      </c>
      <c r="IK61" s="677" cm="1">
        <f t="array" ref="IK61">IFERROR(ROUND(VALUE(IF($IJ61&lt;1,$IJ61+LARGE((IF($M$9:$M$150="",0,$M$9:$M$150)-MOD(IF($M$9:$M$150="",0,$M$9:$M$150),1)),1),$IJ61)),4),"")</f>
        <v>5.117</v>
      </c>
      <c r="IL61" s="482">
        <f t="shared" si="426"/>
        <v>14513</v>
      </c>
      <c r="IM61" s="482">
        <f t="shared" si="237"/>
        <v>1313</v>
      </c>
      <c r="IN61" s="670">
        <f t="shared" si="427"/>
        <v>16.453670175237136</v>
      </c>
      <c r="IO61" s="702">
        <v>1.6739097134155199E-2</v>
      </c>
      <c r="IP61" s="5">
        <f t="shared" si="428"/>
        <v>0.68</v>
      </c>
      <c r="IQ61" s="714">
        <v>340</v>
      </c>
      <c r="IR61" s="9">
        <f t="shared" si="429"/>
        <v>-3.1525359327082652</v>
      </c>
      <c r="IS61" s="5">
        <f t="shared" si="430"/>
        <v>-0.50525539320562785</v>
      </c>
      <c r="IT61" s="5">
        <f t="shared" si="431"/>
        <v>0.28499999999999998</v>
      </c>
      <c r="IU61" s="5">
        <f t="shared" si="432"/>
        <v>0.26453761452343283</v>
      </c>
      <c r="IV61" s="670">
        <f t="shared" si="433"/>
        <v>39.356674183821298</v>
      </c>
      <c r="IW61" s="9">
        <f t="shared" si="434"/>
        <v>-3.1580531201587858</v>
      </c>
      <c r="IX61" s="5">
        <f t="shared" si="435"/>
        <v>-0.51239806676404431</v>
      </c>
      <c r="IY61" s="5">
        <f t="shared" si="436"/>
        <v>0.26450000000000001</v>
      </c>
      <c r="IZ61" s="5">
        <f t="shared" si="437"/>
        <v>0.2359802733076404</v>
      </c>
      <c r="JA61" s="705">
        <f t="shared" si="438"/>
        <v>39.511498503547166</v>
      </c>
    </row>
    <row r="62" spans="1:261" ht="15" customHeight="1" x14ac:dyDescent="0.25">
      <c r="A62" s="75">
        <f t="shared" si="256"/>
        <v>0.02</v>
      </c>
      <c r="B62" s="578">
        <f t="shared" si="515"/>
        <v>-2.6297527131411158</v>
      </c>
      <c r="C62" s="572">
        <f t="shared" si="516"/>
        <v>2.3967737973797916</v>
      </c>
      <c r="D62" s="576">
        <f t="shared" si="517"/>
        <v>-1.0921107058225112</v>
      </c>
      <c r="E62" s="580">
        <f t="shared" si="518"/>
        <v>-0.92271979788206338</v>
      </c>
      <c r="F62" s="572">
        <f t="shared" si="519"/>
        <v>-0.31608461408194521</v>
      </c>
      <c r="G62" s="579">
        <f t="shared" si="520"/>
        <v>0.22063248024067525</v>
      </c>
      <c r="H62" s="580">
        <f t="shared" si="521"/>
        <v>0.26450000000000001</v>
      </c>
      <c r="I62" s="572">
        <f t="shared" si="522"/>
        <v>0.52</v>
      </c>
      <c r="J62" s="483">
        <f t="shared" si="523"/>
        <v>5.2220000000000004</v>
      </c>
      <c r="K62" s="806">
        <f t="shared" si="524"/>
        <v>1313</v>
      </c>
      <c r="L62" s="309"/>
      <c r="M62" s="164">
        <f t="shared" si="267"/>
        <v>5.2220000000000004</v>
      </c>
      <c r="N62" s="575">
        <f t="shared" si="268"/>
        <v>-2.6297527131411158</v>
      </c>
      <c r="O62" s="572">
        <f t="shared" si="269"/>
        <v>2.3967737973797916</v>
      </c>
      <c r="P62" s="576">
        <f t="shared" si="270"/>
        <v>-1.0921107058225112</v>
      </c>
      <c r="Q62" s="528">
        <f t="shared" si="140"/>
        <v>137.65375340233146</v>
      </c>
      <c r="R62" s="572">
        <f t="shared" si="101"/>
        <v>3.5581067954854038</v>
      </c>
      <c r="S62" s="577">
        <f t="shared" si="102"/>
        <v>-1.0921107058225112</v>
      </c>
      <c r="T62" s="578">
        <f t="shared" si="103"/>
        <v>2.3683777946446023</v>
      </c>
      <c r="U62" s="572">
        <f t="shared" si="104"/>
        <v>2.6553550779347344</v>
      </c>
      <c r="V62" s="579">
        <f t="shared" si="141"/>
        <v>-1.0921107058225112</v>
      </c>
      <c r="W62" s="528">
        <f t="shared" si="253"/>
        <v>48.269428813661975</v>
      </c>
      <c r="X62" s="572">
        <f t="shared" si="105"/>
        <v>3.5581067954854038</v>
      </c>
      <c r="Y62" s="573">
        <f t="shared" si="255"/>
        <v>-1.0921107058225112</v>
      </c>
      <c r="Z62" s="575">
        <f t="shared" si="271"/>
        <v>0.92271979788206338</v>
      </c>
      <c r="AA62" s="572">
        <f t="shared" si="272"/>
        <v>0.31608461408194521</v>
      </c>
      <c r="AB62" s="572">
        <f t="shared" si="273"/>
        <v>-0.22063248024067525</v>
      </c>
      <c r="AC62" s="579">
        <f t="shared" si="106"/>
        <v>1</v>
      </c>
      <c r="AD62" s="580">
        <f t="shared" si="142"/>
        <v>0.92271979788206338</v>
      </c>
      <c r="AE62" s="572">
        <f t="shared" si="107"/>
        <v>0.31608461408194521</v>
      </c>
      <c r="AF62" s="576">
        <f t="shared" si="108"/>
        <v>-0.22063248024067525</v>
      </c>
      <c r="AG62" s="545">
        <f t="shared" si="109"/>
        <v>55.084298609668899</v>
      </c>
      <c r="AH62" s="546">
        <f t="shared" si="110"/>
        <v>22.673006402349827</v>
      </c>
      <c r="AI62" s="528">
        <f t="shared" si="111"/>
        <v>-77.253815692894847</v>
      </c>
      <c r="AJ62" s="529">
        <f t="shared" si="112"/>
        <v>108.90928209529609</v>
      </c>
      <c r="AK62" s="578">
        <f t="shared" si="238"/>
        <v>0.85516685705223849</v>
      </c>
      <c r="AL62" s="572">
        <f t="shared" si="113"/>
        <v>-0.46905325418575272</v>
      </c>
      <c r="AM62" s="577">
        <f t="shared" si="114"/>
        <v>-0.22063248024067525</v>
      </c>
      <c r="AN62" s="524">
        <f t="shared" si="115"/>
        <v>-64.808723976855745</v>
      </c>
      <c r="AO62" s="525">
        <f t="shared" si="525"/>
        <v>31.221826678796521</v>
      </c>
      <c r="AP62" s="528">
        <f t="shared" si="117"/>
        <v>-28.744471307035376</v>
      </c>
      <c r="AQ62" s="529">
        <f t="shared" si="274"/>
        <v>0.64068667519189826</v>
      </c>
      <c r="AS62" s="932">
        <f t="shared" si="461"/>
        <v>48.269428813661975</v>
      </c>
      <c r="AT62" s="928">
        <f t="shared" si="275"/>
        <v>-0.87752596652612058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5.2220000000000004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0.122</v>
      </c>
      <c r="IK62" s="677" cm="1">
        <f t="array" ref="IK62">IFERROR(ROUND(VALUE(IF($IJ62&lt;1,$IJ62+LARGE((IF($M$9:$M$150="",0,$M$9:$M$150)-MOD(IF($M$9:$M$150="",0,$M$9:$M$150),1)),1),$IJ62)),4),"")</f>
        <v>5.1219999999999999</v>
      </c>
      <c r="IL62" s="482">
        <f t="shared" si="426"/>
        <v>14513</v>
      </c>
      <c r="IM62" s="482">
        <f t="shared" si="237"/>
        <v>1313</v>
      </c>
      <c r="IN62" s="670">
        <f t="shared" si="427"/>
        <v>15.425241030114506</v>
      </c>
      <c r="IO62" s="702">
        <v>1.12567048908046E-2</v>
      </c>
      <c r="IP62" s="5">
        <f t="shared" si="428"/>
        <v>0.7</v>
      </c>
      <c r="IQ62" s="714">
        <v>350</v>
      </c>
      <c r="IR62" s="9">
        <f t="shared" si="429"/>
        <v>-3.5494763598832133</v>
      </c>
      <c r="IS62" s="5">
        <f t="shared" si="430"/>
        <v>-1.0832707999827023</v>
      </c>
      <c r="IT62" s="5">
        <f t="shared" si="431"/>
        <v>0.28499999999999998</v>
      </c>
      <c r="IU62" s="5">
        <f t="shared" si="432"/>
        <v>0.25569902346207185</v>
      </c>
      <c r="IV62" s="670">
        <f t="shared" si="433"/>
        <v>64.752155586413849</v>
      </c>
      <c r="IW62" s="9">
        <f t="shared" si="434"/>
        <v>-3.5581067954854038</v>
      </c>
      <c r="IX62" s="5">
        <f t="shared" si="435"/>
        <v>-1.0921107058225112</v>
      </c>
      <c r="IY62" s="5">
        <f t="shared" si="436"/>
        <v>0.26450000000000001</v>
      </c>
      <c r="IZ62" s="5">
        <f t="shared" si="437"/>
        <v>0.22619163369031708</v>
      </c>
      <c r="JA62" s="705">
        <f t="shared" si="438"/>
        <v>64.808723976855745</v>
      </c>
    </row>
    <row r="63" spans="1:261" ht="15" customHeight="1" x14ac:dyDescent="0.25">
      <c r="A63" s="75">
        <f t="shared" si="256"/>
        <v>0</v>
      </c>
      <c r="B63" s="578">
        <f t="shared" si="515"/>
        <v>-2.4936025762435534</v>
      </c>
      <c r="C63" s="572">
        <f t="shared" si="516"/>
        <v>2.6275104916758059</v>
      </c>
      <c r="D63" s="576">
        <f t="shared" si="517"/>
        <v>-1.7976030312554321</v>
      </c>
      <c r="E63" s="580">
        <f t="shared" si="518"/>
        <v>-0.68576240109555331</v>
      </c>
      <c r="F63" s="572">
        <f t="shared" si="519"/>
        <v>0.722588242746253</v>
      </c>
      <c r="G63" s="579">
        <f t="shared" si="520"/>
        <v>8.715595612775881E-2</v>
      </c>
      <c r="H63" s="580">
        <f t="shared" si="521"/>
        <v>0.255</v>
      </c>
      <c r="I63" s="572">
        <f t="shared" si="522"/>
        <v>0.41499999999999992</v>
      </c>
      <c r="J63" s="483">
        <f t="shared" si="523"/>
        <v>5.2270000000000003</v>
      </c>
      <c r="K63" s="806" t="str">
        <f t="shared" si="524"/>
        <v>CPS-32193r1</v>
      </c>
      <c r="L63" s="309"/>
      <c r="M63" s="164">
        <f t="shared" si="267"/>
        <v>5.2270000000000003</v>
      </c>
      <c r="N63" s="575">
        <f t="shared" si="268"/>
        <v>-2.4936025762435534</v>
      </c>
      <c r="O63" s="572">
        <f t="shared" si="269"/>
        <v>2.6275104916758059</v>
      </c>
      <c r="P63" s="576">
        <f t="shared" si="270"/>
        <v>-1.7976030312554321</v>
      </c>
      <c r="Q63" s="528">
        <f t="shared" si="140"/>
        <v>133.50215950923001</v>
      </c>
      <c r="R63" s="572">
        <f t="shared" si="101"/>
        <v>3.622411516119465</v>
      </c>
      <c r="S63" s="577">
        <f t="shared" si="102"/>
        <v>-1.7976030312554321</v>
      </c>
      <c r="T63" s="578">
        <f t="shared" si="103"/>
        <v>2.6005641495431155</v>
      </c>
      <c r="U63" s="572">
        <f t="shared" si="104"/>
        <v>2.5216921493762898</v>
      </c>
      <c r="V63" s="579">
        <f t="shared" si="141"/>
        <v>-1.7976030312554321</v>
      </c>
      <c r="W63" s="528">
        <f t="shared" si="253"/>
        <v>44.117834920560526</v>
      </c>
      <c r="X63" s="572">
        <f t="shared" si="105"/>
        <v>3.622411516119465</v>
      </c>
      <c r="Y63" s="573">
        <f t="shared" si="255"/>
        <v>-1.7976030312554321</v>
      </c>
      <c r="Z63" s="575">
        <f t="shared" si="271"/>
        <v>0.68576240109555331</v>
      </c>
      <c r="AA63" s="572">
        <f t="shared" si="272"/>
        <v>-0.722588242746253</v>
      </c>
      <c r="AB63" s="572">
        <f t="shared" si="273"/>
        <v>-8.715595612775881E-2</v>
      </c>
      <c r="AC63" s="579">
        <f t="shared" si="106"/>
        <v>1</v>
      </c>
      <c r="AD63" s="580">
        <f t="shared" si="142"/>
        <v>0.68576240109555331</v>
      </c>
      <c r="AE63" s="572">
        <f t="shared" si="107"/>
        <v>-0.722588242746253</v>
      </c>
      <c r="AF63" s="576">
        <f t="shared" si="108"/>
        <v>-8.715595612775881E-2</v>
      </c>
      <c r="AG63" s="545">
        <f t="shared" si="109"/>
        <v>-83.12241620321619</v>
      </c>
      <c r="AH63" s="546">
        <f t="shared" si="110"/>
        <v>46.704404792112413</v>
      </c>
      <c r="AI63" s="528">
        <f t="shared" si="111"/>
        <v>-84.999987727520192</v>
      </c>
      <c r="AJ63" s="529">
        <f t="shared" si="112"/>
        <v>43.502159509230019</v>
      </c>
      <c r="AK63" s="578">
        <f t="shared" si="238"/>
        <v>1.1102230246251565E-16</v>
      </c>
      <c r="AL63" s="572">
        <f t="shared" si="113"/>
        <v>-0.9961946794233828</v>
      </c>
      <c r="AM63" s="577">
        <f t="shared" si="114"/>
        <v>-8.715595612775881E-2</v>
      </c>
      <c r="AN63" s="524">
        <f t="shared" si="115"/>
        <v>-84.999987727520192</v>
      </c>
      <c r="AO63" s="525">
        <f t="shared" si="525"/>
        <v>0</v>
      </c>
      <c r="AP63" s="528">
        <f t="shared" si="117"/>
        <v>-90</v>
      </c>
      <c r="AQ63" s="529">
        <f t="shared" si="274"/>
        <v>0.62931418641729708</v>
      </c>
      <c r="AS63" s="932">
        <f t="shared" si="461"/>
        <v>44.117834920560526</v>
      </c>
      <c r="AT63" s="928">
        <f t="shared" si="275"/>
        <v>-1.5801352406443876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5.2270000000000003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0.127</v>
      </c>
      <c r="IK63" s="677" cm="1">
        <f t="array" ref="IK63">IFERROR(ROUND(VALUE(IF($IJ63&lt;1,$IJ63+LARGE((IF($M$9:$M$150="",0,$M$9:$M$150)-MOD(IF($M$9:$M$150="",0,$M$9:$M$150),1)),1),$IJ63)),4),"")</f>
        <v>5.1269999999999998</v>
      </c>
      <c r="IL63" s="482">
        <f t="shared" si="426"/>
        <v>14513</v>
      </c>
      <c r="IM63" s="482" t="str">
        <f t="shared" si="237"/>
        <v>CPS-32193r1</v>
      </c>
      <c r="IN63" s="670">
        <f t="shared" si="427"/>
        <v>19.40672129043557</v>
      </c>
      <c r="IO63" s="702">
        <v>2.7634591769569599E-2</v>
      </c>
      <c r="IP63" s="5">
        <f t="shared" si="428"/>
        <v>1.1399999999999999</v>
      </c>
      <c r="IQ63" s="714">
        <v>570</v>
      </c>
      <c r="IR63" s="9">
        <f t="shared" si="429"/>
        <v>-3.6604901028221848</v>
      </c>
      <c r="IS63" s="5">
        <f t="shared" si="430"/>
        <v>-1.7778769188953194</v>
      </c>
      <c r="IT63" s="5">
        <f t="shared" si="431"/>
        <v>0.28499999999999998</v>
      </c>
      <c r="IU63" s="5">
        <f t="shared" si="432"/>
        <v>0.24748619565540736</v>
      </c>
      <c r="IV63" s="670">
        <f t="shared" si="433"/>
        <v>84.958667995750403</v>
      </c>
      <c r="IW63" s="9">
        <f t="shared" si="434"/>
        <v>-3.622411516119465</v>
      </c>
      <c r="IX63" s="5">
        <f t="shared" si="435"/>
        <v>-1.7976030312554321</v>
      </c>
      <c r="IY63" s="5">
        <f t="shared" si="436"/>
        <v>0.255</v>
      </c>
      <c r="IZ63" s="5">
        <f t="shared" si="437"/>
        <v>0.255</v>
      </c>
      <c r="JA63" s="705">
        <f t="shared" si="438"/>
        <v>84.999987727520192</v>
      </c>
    </row>
    <row r="64" spans="1:261" ht="15" customHeight="1" x14ac:dyDescent="0.25">
      <c r="A64" s="75">
        <f t="shared" si="256"/>
        <v>0</v>
      </c>
      <c r="B64" s="578">
        <f t="shared" si="515"/>
        <v>-2.5027643677632088</v>
      </c>
      <c r="C64" s="572">
        <f t="shared" si="516"/>
        <v>2.680686244883145</v>
      </c>
      <c r="D64" s="576">
        <f t="shared" si="517"/>
        <v>-2.5388319873446372</v>
      </c>
      <c r="E64" s="580">
        <f t="shared" si="518"/>
        <v>-0.67983656696005723</v>
      </c>
      <c r="F64" s="572">
        <f t="shared" si="519"/>
        <v>0.72816624580889489</v>
      </c>
      <c r="G64" s="579">
        <f t="shared" si="520"/>
        <v>8.7155956127758893E-2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5.2320000000000002</v>
      </c>
      <c r="K64" s="806" t="str">
        <f t="shared" si="524"/>
        <v>CPS-32193r1</v>
      </c>
      <c r="L64" s="309"/>
      <c r="M64" s="164">
        <f t="shared" si="267"/>
        <v>5.2320000000000002</v>
      </c>
      <c r="N64" s="575">
        <f t="shared" si="268"/>
        <v>-2.5027643677632088</v>
      </c>
      <c r="O64" s="572">
        <f t="shared" si="269"/>
        <v>2.680686244883145</v>
      </c>
      <c r="P64" s="576">
        <f t="shared" si="270"/>
        <v>-2.5388319873446372</v>
      </c>
      <c r="Q64" s="528">
        <f t="shared" si="140"/>
        <v>133.03409492560147</v>
      </c>
      <c r="R64" s="572">
        <f t="shared" si="101"/>
        <v>3.6674116518398736</v>
      </c>
      <c r="S64" s="577">
        <f t="shared" si="102"/>
        <v>-2.5388319873446372</v>
      </c>
      <c r="T64" s="578">
        <f t="shared" si="103"/>
        <v>2.6536383860404635</v>
      </c>
      <c r="U64" s="572">
        <f t="shared" si="104"/>
        <v>2.5314248043707392</v>
      </c>
      <c r="V64" s="579">
        <f t="shared" si="141"/>
        <v>-2.5388319873446372</v>
      </c>
      <c r="W64" s="528">
        <f t="shared" si="253"/>
        <v>43.649770336931979</v>
      </c>
      <c r="X64" s="572">
        <f t="shared" si="105"/>
        <v>3.6674116518398736</v>
      </c>
      <c r="Y64" s="573">
        <f t="shared" si="255"/>
        <v>-2.5388319873446372</v>
      </c>
      <c r="Z64" s="575">
        <f t="shared" si="271"/>
        <v>0.67983656696005723</v>
      </c>
      <c r="AA64" s="572">
        <f t="shared" si="272"/>
        <v>-0.72816624580889489</v>
      </c>
      <c r="AB64" s="572">
        <f t="shared" si="273"/>
        <v>-8.7155956127758893E-2</v>
      </c>
      <c r="AC64" s="579">
        <f t="shared" si="106"/>
        <v>1</v>
      </c>
      <c r="AD64" s="580">
        <f t="shared" si="142"/>
        <v>0.67983656696005723</v>
      </c>
      <c r="AE64" s="572">
        <f t="shared" si="107"/>
        <v>-0.72816624580889489</v>
      </c>
      <c r="AF64" s="576">
        <f t="shared" si="108"/>
        <v>-8.7155956127758893E-2</v>
      </c>
      <c r="AG64" s="545">
        <f t="shared" si="109"/>
        <v>-83.174601946979735</v>
      </c>
      <c r="AH64" s="546">
        <f t="shared" si="110"/>
        <v>47.169126870696161</v>
      </c>
      <c r="AI64" s="528">
        <f t="shared" si="111"/>
        <v>-84.999987727520178</v>
      </c>
      <c r="AJ64" s="529">
        <f t="shared" si="112"/>
        <v>43.034094925601401</v>
      </c>
      <c r="AK64" s="578">
        <f t="shared" si="238"/>
        <v>-1.1102230246251565E-15</v>
      </c>
      <c r="AL64" s="572">
        <f t="shared" si="113"/>
        <v>-0.99619467942338269</v>
      </c>
      <c r="AM64" s="577">
        <f t="shared" si="114"/>
        <v>-8.7155956127758893E-2</v>
      </c>
      <c r="AN64" s="524">
        <f t="shared" si="115"/>
        <v>-84.999987727520192</v>
      </c>
      <c r="AO64" s="525">
        <f t="shared" si="525"/>
        <v>0</v>
      </c>
      <c r="AP64" s="528">
        <f t="shared" si="117"/>
        <v>-90.000000000000057</v>
      </c>
      <c r="AQ64" s="529">
        <f t="shared" si="274"/>
        <v>0.62159294029767154</v>
      </c>
      <c r="AS64" s="932">
        <f t="shared" si="461"/>
        <v>43.649770336931979</v>
      </c>
      <c r="AT64" s="928">
        <f t="shared" si="275"/>
        <v>-2.3210391518838507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>Gage</v>
      </c>
      <c r="II64" s="788">
        <f t="shared" si="236"/>
        <v>5.2320000000000002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0.13200000000000001</v>
      </c>
      <c r="IK64" s="677" cm="1">
        <f t="array" ref="IK64">IFERROR(ROUND(VALUE(IF($IJ64&lt;1,$IJ64+LARGE((IF($M$9:$M$150="",0,$M$9:$M$150)-MOD(IF($M$9:$M$150="",0,$M$9:$M$150),1)),1),$IJ64)),4),"")</f>
        <v>5.1319999999999997</v>
      </c>
      <c r="IL64" s="482">
        <f t="shared" si="426"/>
        <v>14513</v>
      </c>
      <c r="IM64" s="482" t="str">
        <f t="shared" si="237"/>
        <v>CPS-32193r1</v>
      </c>
      <c r="IN64" s="670">
        <f t="shared" si="427"/>
        <v>19.802078282439879</v>
      </c>
      <c r="IO64" s="702">
        <v>2.7379395053434501E-2</v>
      </c>
      <c r="IP64" s="5">
        <f t="shared" si="428"/>
        <v>1.1200000000000001</v>
      </c>
      <c r="IQ64" s="714">
        <v>560</v>
      </c>
      <c r="IR64" s="9">
        <f t="shared" si="429"/>
        <v>-3.7054897408941283</v>
      </c>
      <c r="IS64" s="5">
        <f t="shared" si="430"/>
        <v>-2.518779153456459</v>
      </c>
      <c r="IT64" s="5">
        <f t="shared" si="431"/>
        <v>0.28499999999999998</v>
      </c>
      <c r="IU64" s="5">
        <f t="shared" si="432"/>
        <v>0.24747810510653426</v>
      </c>
      <c r="IV64" s="670">
        <f t="shared" si="433"/>
        <v>84.959174548899995</v>
      </c>
      <c r="IW64" s="9">
        <f t="shared" si="434"/>
        <v>-3.6674116518398736</v>
      </c>
      <c r="IX64" s="5">
        <f t="shared" si="435"/>
        <v>-2.5388319873446372</v>
      </c>
      <c r="IY64" s="5">
        <f t="shared" si="436"/>
        <v>0.255</v>
      </c>
      <c r="IZ64" s="5">
        <f t="shared" si="437"/>
        <v>0.255</v>
      </c>
      <c r="JA64" s="705">
        <f t="shared" si="438"/>
        <v>84.999987727520192</v>
      </c>
    </row>
    <row r="65" spans="1:261" ht="15" customHeight="1" x14ac:dyDescent="0.25">
      <c r="A65" s="75" t="str">
        <f t="shared" si="256"/>
        <v/>
      </c>
      <c r="B65" s="578" t="str">
        <f t="shared" si="515"/>
        <v/>
      </c>
      <c r="C65" s="572" t="str">
        <f t="shared" si="516"/>
        <v/>
      </c>
      <c r="D65" s="576" t="str">
        <f t="shared" si="517"/>
        <v/>
      </c>
      <c r="E65" s="580" t="str">
        <f t="shared" si="518"/>
        <v/>
      </c>
      <c r="F65" s="572" t="str">
        <f t="shared" si="519"/>
        <v/>
      </c>
      <c r="G65" s="579" t="str">
        <f t="shared" si="520"/>
        <v/>
      </c>
      <c r="H65" s="580" t="str">
        <f t="shared" si="521"/>
        <v/>
      </c>
      <c r="I65" s="572" t="str">
        <f t="shared" si="522"/>
        <v/>
      </c>
      <c r="J65" s="483" t="str">
        <f t="shared" si="523"/>
        <v/>
      </c>
      <c r="K65" s="806" t="str">
        <f t="shared" si="524"/>
        <v/>
      </c>
      <c r="L65" s="309"/>
      <c r="M65" s="164" t="str">
        <f t="shared" si="267"/>
        <v/>
      </c>
      <c r="N65" s="575" t="str">
        <f t="shared" si="268"/>
        <v/>
      </c>
      <c r="O65" s="572" t="str">
        <f t="shared" si="269"/>
        <v/>
      </c>
      <c r="P65" s="576" t="str">
        <f t="shared" si="270"/>
        <v/>
      </c>
      <c r="Q65" s="528" t="str">
        <f t="shared" si="140"/>
        <v/>
      </c>
      <c r="R65" s="572" t="str">
        <f t="shared" si="101"/>
        <v/>
      </c>
      <c r="S65" s="577" t="str">
        <f t="shared" si="102"/>
        <v/>
      </c>
      <c r="T65" s="578" t="str">
        <f t="shared" si="103"/>
        <v/>
      </c>
      <c r="U65" s="572" t="str">
        <f t="shared" si="104"/>
        <v/>
      </c>
      <c r="V65" s="579" t="str">
        <f t="shared" si="141"/>
        <v/>
      </c>
      <c r="W65" s="528" t="str">
        <f t="shared" si="253"/>
        <v/>
      </c>
      <c r="X65" s="572" t="str">
        <f t="shared" si="105"/>
        <v/>
      </c>
      <c r="Y65" s="573" t="str">
        <f t="shared" si="255"/>
        <v/>
      </c>
      <c r="Z65" s="575" t="str">
        <f t="shared" si="271"/>
        <v/>
      </c>
      <c r="AA65" s="572" t="str">
        <f t="shared" si="272"/>
        <v/>
      </c>
      <c r="AB65" s="572" t="str">
        <f t="shared" si="273"/>
        <v/>
      </c>
      <c r="AC65" s="579" t="str">
        <f t="shared" si="106"/>
        <v/>
      </c>
      <c r="AD65" s="580" t="str">
        <f t="shared" si="142"/>
        <v/>
      </c>
      <c r="AE65" s="572" t="str">
        <f t="shared" si="107"/>
        <v/>
      </c>
      <c r="AF65" s="576" t="str">
        <f t="shared" si="108"/>
        <v/>
      </c>
      <c r="AG65" s="545" t="str">
        <f t="shared" si="109"/>
        <v/>
      </c>
      <c r="AH65" s="546" t="str">
        <f t="shared" si="110"/>
        <v/>
      </c>
      <c r="AI65" s="528" t="str">
        <f t="shared" si="111"/>
        <v/>
      </c>
      <c r="AJ65" s="529" t="str">
        <f t="shared" si="112"/>
        <v/>
      </c>
      <c r="AK65" s="578" t="str">
        <f t="shared" si="238"/>
        <v/>
      </c>
      <c r="AL65" s="572" t="str">
        <f t="shared" si="113"/>
        <v/>
      </c>
      <c r="AM65" s="577" t="str">
        <f t="shared" si="114"/>
        <v/>
      </c>
      <c r="AN65" s="524" t="str">
        <f t="shared" si="115"/>
        <v/>
      </c>
      <c r="AO65" s="525" t="str">
        <f t="shared" si="525"/>
        <v/>
      </c>
      <c r="AP65" s="528" t="str">
        <f t="shared" si="117"/>
        <v/>
      </c>
      <c r="AQ65" s="529" t="str">
        <f t="shared" si="274"/>
        <v/>
      </c>
      <c r="AS65" s="932" t="str">
        <f t="shared" si="461"/>
        <v/>
      </c>
      <c r="AT65" s="928" t="str">
        <f t="shared" si="275"/>
        <v/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36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26"/>
        <v/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 t="str">
        <f t="shared" si="256"/>
        <v/>
      </c>
      <c r="B66" s="578" t="str">
        <f t="shared" si="515"/>
        <v/>
      </c>
      <c r="C66" s="572" t="str">
        <f t="shared" si="516"/>
        <v/>
      </c>
      <c r="D66" s="576" t="str">
        <f t="shared" si="517"/>
        <v/>
      </c>
      <c r="E66" s="580" t="str">
        <f t="shared" si="518"/>
        <v/>
      </c>
      <c r="F66" s="572" t="str">
        <f t="shared" si="519"/>
        <v/>
      </c>
      <c r="G66" s="579" t="str">
        <f t="shared" si="520"/>
        <v/>
      </c>
      <c r="H66" s="580" t="str">
        <f t="shared" si="521"/>
        <v/>
      </c>
      <c r="I66" s="572" t="str">
        <f t="shared" si="522"/>
        <v/>
      </c>
      <c r="J66" s="483" t="str">
        <f t="shared" si="523"/>
        <v/>
      </c>
      <c r="K66" s="806" t="str">
        <f t="shared" si="524"/>
        <v/>
      </c>
      <c r="L66" s="309"/>
      <c r="M66" s="164" t="str">
        <f t="shared" si="267"/>
        <v/>
      </c>
      <c r="N66" s="575" t="str">
        <f t="shared" si="268"/>
        <v/>
      </c>
      <c r="O66" s="572" t="str">
        <f t="shared" si="269"/>
        <v/>
      </c>
      <c r="P66" s="576" t="str">
        <f t="shared" si="270"/>
        <v/>
      </c>
      <c r="Q66" s="528" t="str">
        <f t="shared" si="140"/>
        <v/>
      </c>
      <c r="R66" s="572" t="str">
        <f t="shared" si="101"/>
        <v/>
      </c>
      <c r="S66" s="577" t="str">
        <f t="shared" si="102"/>
        <v/>
      </c>
      <c r="T66" s="578" t="str">
        <f t="shared" si="103"/>
        <v/>
      </c>
      <c r="U66" s="572" t="str">
        <f t="shared" si="104"/>
        <v/>
      </c>
      <c r="V66" s="579" t="str">
        <f t="shared" si="141"/>
        <v/>
      </c>
      <c r="W66" s="528" t="str">
        <f t="shared" si="253"/>
        <v/>
      </c>
      <c r="X66" s="572" t="str">
        <f t="shared" si="105"/>
        <v/>
      </c>
      <c r="Y66" s="573" t="str">
        <f t="shared" si="255"/>
        <v/>
      </c>
      <c r="Z66" s="575" t="str">
        <f t="shared" si="271"/>
        <v/>
      </c>
      <c r="AA66" s="572" t="str">
        <f t="shared" si="272"/>
        <v/>
      </c>
      <c r="AB66" s="572" t="str">
        <f t="shared" si="273"/>
        <v/>
      </c>
      <c r="AC66" s="579" t="str">
        <f t="shared" si="106"/>
        <v/>
      </c>
      <c r="AD66" s="580" t="str">
        <f t="shared" si="142"/>
        <v/>
      </c>
      <c r="AE66" s="572" t="str">
        <f t="shared" si="107"/>
        <v/>
      </c>
      <c r="AF66" s="576" t="str">
        <f t="shared" si="108"/>
        <v/>
      </c>
      <c r="AG66" s="545" t="str">
        <f t="shared" si="109"/>
        <v/>
      </c>
      <c r="AH66" s="546" t="str">
        <f t="shared" si="110"/>
        <v/>
      </c>
      <c r="AI66" s="528" t="str">
        <f t="shared" si="111"/>
        <v/>
      </c>
      <c r="AJ66" s="529" t="str">
        <f t="shared" si="112"/>
        <v/>
      </c>
      <c r="AK66" s="578" t="str">
        <f t="shared" si="238"/>
        <v/>
      </c>
      <c r="AL66" s="572" t="str">
        <f t="shared" si="113"/>
        <v/>
      </c>
      <c r="AM66" s="577" t="str">
        <f t="shared" si="114"/>
        <v/>
      </c>
      <c r="AN66" s="524" t="str">
        <f t="shared" si="115"/>
        <v/>
      </c>
      <c r="AO66" s="525" t="str">
        <f t="shared" si="525"/>
        <v/>
      </c>
      <c r="AP66" s="528" t="str">
        <f t="shared" si="117"/>
        <v/>
      </c>
      <c r="AQ66" s="529" t="str">
        <f t="shared" si="274"/>
        <v/>
      </c>
      <c r="AS66" s="932" t="str">
        <f t="shared" si="461"/>
        <v/>
      </c>
      <c r="AT66" s="928" t="str">
        <f t="shared" si="275"/>
        <v/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6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26"/>
        <v/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 t="str">
        <f t="shared" si="256"/>
        <v/>
      </c>
      <c r="B67" s="578" t="str">
        <f t="shared" si="515"/>
        <v/>
      </c>
      <c r="C67" s="572" t="str">
        <f t="shared" si="516"/>
        <v/>
      </c>
      <c r="D67" s="576" t="str">
        <f t="shared" si="517"/>
        <v/>
      </c>
      <c r="E67" s="580" t="str">
        <f t="shared" si="518"/>
        <v/>
      </c>
      <c r="F67" s="572" t="str">
        <f t="shared" si="519"/>
        <v/>
      </c>
      <c r="G67" s="579" t="str">
        <f t="shared" si="520"/>
        <v/>
      </c>
      <c r="H67" s="580" t="str">
        <f t="shared" si="521"/>
        <v/>
      </c>
      <c r="I67" s="572" t="str">
        <f t="shared" si="522"/>
        <v/>
      </c>
      <c r="J67" s="483" t="str">
        <f t="shared" si="523"/>
        <v/>
      </c>
      <c r="K67" s="806" t="str">
        <f t="shared" si="524"/>
        <v/>
      </c>
      <c r="L67" s="309"/>
      <c r="M67" s="164" t="str">
        <f t="shared" si="267"/>
        <v/>
      </c>
      <c r="N67" s="575" t="str">
        <f t="shared" si="268"/>
        <v/>
      </c>
      <c r="O67" s="572" t="str">
        <f t="shared" si="269"/>
        <v/>
      </c>
      <c r="P67" s="576" t="str">
        <f t="shared" si="270"/>
        <v/>
      </c>
      <c r="Q67" s="528" t="str">
        <f t="shared" si="140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3"/>
        <v/>
      </c>
      <c r="X67" s="572" t="str">
        <f>IF(M67="","",R67)</f>
        <v/>
      </c>
      <c r="Y67" s="573" t="str">
        <f t="shared" si="255"/>
        <v/>
      </c>
      <c r="Z67" s="575" t="str">
        <f t="shared" si="271"/>
        <v/>
      </c>
      <c r="AA67" s="572" t="str">
        <f t="shared" si="272"/>
        <v/>
      </c>
      <c r="AB67" s="572" t="str">
        <f t="shared" si="273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25"/>
        <v/>
      </c>
      <c r="AP67" s="528" t="str">
        <f>IF(M67="","",DEGREES(ATAN2(AK67,AL67)))</f>
        <v/>
      </c>
      <c r="AQ67" s="529" t="str">
        <f t="shared" si="274"/>
        <v/>
      </c>
      <c r="AS67" s="932" t="str">
        <f t="shared" si="461"/>
        <v/>
      </c>
      <c r="AT67" s="928" t="str">
        <f t="shared" si="275"/>
        <v/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6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26"/>
        <v/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 t="str">
        <f t="shared" si="256"/>
        <v/>
      </c>
      <c r="B68" s="578" t="str">
        <f t="shared" si="515"/>
        <v/>
      </c>
      <c r="C68" s="572" t="str">
        <f t="shared" si="516"/>
        <v/>
      </c>
      <c r="D68" s="576" t="str">
        <f t="shared" si="517"/>
        <v/>
      </c>
      <c r="E68" s="580" t="str">
        <f t="shared" si="518"/>
        <v/>
      </c>
      <c r="F68" s="572" t="str">
        <f t="shared" si="519"/>
        <v/>
      </c>
      <c r="G68" s="579" t="str">
        <f t="shared" si="520"/>
        <v/>
      </c>
      <c r="H68" s="580" t="str">
        <f t="shared" si="521"/>
        <v/>
      </c>
      <c r="I68" s="572" t="str">
        <f t="shared" si="522"/>
        <v/>
      </c>
      <c r="J68" s="483" t="str">
        <f t="shared" si="523"/>
        <v/>
      </c>
      <c r="K68" s="806" t="str">
        <f t="shared" si="524"/>
        <v/>
      </c>
      <c r="L68" s="309"/>
      <c r="M68" s="164" t="str">
        <f t="shared" si="267"/>
        <v/>
      </c>
      <c r="N68" s="575" t="str">
        <f t="shared" si="268"/>
        <v/>
      </c>
      <c r="O68" s="572" t="str">
        <f t="shared" si="269"/>
        <v/>
      </c>
      <c r="P68" s="576" t="str">
        <f t="shared" si="270"/>
        <v/>
      </c>
      <c r="Q68" s="528" t="str">
        <f t="shared" si="140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3"/>
        <v/>
      </c>
      <c r="X68" s="572" t="str">
        <f>IF(M68="","",R68)</f>
        <v/>
      </c>
      <c r="Y68" s="573" t="str">
        <f t="shared" si="255"/>
        <v/>
      </c>
      <c r="Z68" s="575" t="str">
        <f t="shared" si="271"/>
        <v/>
      </c>
      <c r="AA68" s="572" t="str">
        <f t="shared" si="272"/>
        <v/>
      </c>
      <c r="AB68" s="572" t="str">
        <f t="shared" si="273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25"/>
        <v/>
      </c>
      <c r="AP68" s="528" t="str">
        <f>IF(M68="","",DEGREES(ATAN2(AK68,AL68)))</f>
        <v/>
      </c>
      <c r="AQ68" s="529" t="str">
        <f t="shared" si="274"/>
        <v/>
      </c>
      <c r="AS68" s="932" t="str">
        <f t="shared" si="461"/>
        <v/>
      </c>
      <c r="AT68" s="928" t="str">
        <f t="shared" si="275"/>
        <v/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6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26"/>
        <v/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 t="str">
        <f t="shared" si="256"/>
        <v/>
      </c>
      <c r="B69" s="578" t="str">
        <f t="shared" si="515"/>
        <v/>
      </c>
      <c r="C69" s="572" t="str">
        <f t="shared" si="516"/>
        <v/>
      </c>
      <c r="D69" s="576" t="str">
        <f t="shared" si="517"/>
        <v/>
      </c>
      <c r="E69" s="580" t="str">
        <f t="shared" si="518"/>
        <v/>
      </c>
      <c r="F69" s="572" t="str">
        <f t="shared" si="519"/>
        <v/>
      </c>
      <c r="G69" s="579" t="str">
        <f t="shared" si="520"/>
        <v/>
      </c>
      <c r="H69" s="580" t="str">
        <f t="shared" si="521"/>
        <v/>
      </c>
      <c r="I69" s="572" t="str">
        <f t="shared" si="522"/>
        <v/>
      </c>
      <c r="J69" s="483" t="str">
        <f t="shared" si="523"/>
        <v/>
      </c>
      <c r="K69" s="806" t="str">
        <f t="shared" si="524"/>
        <v/>
      </c>
      <c r="L69" s="309"/>
      <c r="M69" s="164" t="str">
        <f t="shared" si="267"/>
        <v/>
      </c>
      <c r="N69" s="575" t="str">
        <f t="shared" si="268"/>
        <v/>
      </c>
      <c r="O69" s="572" t="str">
        <f t="shared" si="269"/>
        <v/>
      </c>
      <c r="P69" s="576" t="str">
        <f t="shared" si="270"/>
        <v/>
      </c>
      <c r="Q69" s="528" t="str">
        <f t="shared" si="140"/>
        <v/>
      </c>
      <c r="R69" s="572" t="str">
        <f t="shared" si="101"/>
        <v/>
      </c>
      <c r="S69" s="577" t="str">
        <f t="shared" si="102"/>
        <v/>
      </c>
      <c r="T69" s="578" t="str">
        <f t="shared" si="103"/>
        <v/>
      </c>
      <c r="U69" s="572" t="str">
        <f t="shared" si="104"/>
        <v/>
      </c>
      <c r="V69" s="579" t="str">
        <f t="shared" si="141"/>
        <v/>
      </c>
      <c r="W69" s="528" t="str">
        <f t="shared" si="253"/>
        <v/>
      </c>
      <c r="X69" s="572" t="str">
        <f t="shared" si="105"/>
        <v/>
      </c>
      <c r="Y69" s="573" t="str">
        <f t="shared" si="255"/>
        <v/>
      </c>
      <c r="Z69" s="575" t="str">
        <f t="shared" si="271"/>
        <v/>
      </c>
      <c r="AA69" s="572" t="str">
        <f t="shared" si="272"/>
        <v/>
      </c>
      <c r="AB69" s="572" t="str">
        <f t="shared" si="273"/>
        <v/>
      </c>
      <c r="AC69" s="579" t="str">
        <f t="shared" si="106"/>
        <v/>
      </c>
      <c r="AD69" s="580" t="str">
        <f t="shared" si="142"/>
        <v/>
      </c>
      <c r="AE69" s="572" t="str">
        <f t="shared" si="107"/>
        <v/>
      </c>
      <c r="AF69" s="576" t="str">
        <f t="shared" si="108"/>
        <v/>
      </c>
      <c r="AG69" s="545" t="str">
        <f t="shared" si="109"/>
        <v/>
      </c>
      <c r="AH69" s="546" t="str">
        <f t="shared" si="110"/>
        <v/>
      </c>
      <c r="AI69" s="528" t="str">
        <f t="shared" si="111"/>
        <v/>
      </c>
      <c r="AJ69" s="529" t="str">
        <f t="shared" si="112"/>
        <v/>
      </c>
      <c r="AK69" s="578" t="str">
        <f t="shared" si="238"/>
        <v/>
      </c>
      <c r="AL69" s="572" t="str">
        <f t="shared" si="113"/>
        <v/>
      </c>
      <c r="AM69" s="577" t="str">
        <f t="shared" si="114"/>
        <v/>
      </c>
      <c r="AN69" s="524" t="str">
        <f t="shared" si="115"/>
        <v/>
      </c>
      <c r="AO69" s="525" t="str">
        <f t="shared" si="525"/>
        <v/>
      </c>
      <c r="AP69" s="528" t="str">
        <f t="shared" si="117"/>
        <v/>
      </c>
      <c r="AQ69" s="529" t="str">
        <f t="shared" si="274"/>
        <v/>
      </c>
      <c r="AS69" s="932" t="str">
        <f t="shared" si="461"/>
        <v/>
      </c>
      <c r="AT69" s="928" t="str">
        <f t="shared" si="275"/>
        <v/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6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26"/>
        <v/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 t="str">
        <f t="shared" si="256"/>
        <v/>
      </c>
      <c r="B70" s="578" t="str">
        <f t="shared" si="515"/>
        <v/>
      </c>
      <c r="C70" s="572" t="str">
        <f t="shared" si="516"/>
        <v/>
      </c>
      <c r="D70" s="576" t="str">
        <f t="shared" si="517"/>
        <v/>
      </c>
      <c r="E70" s="580" t="str">
        <f t="shared" si="518"/>
        <v/>
      </c>
      <c r="F70" s="572" t="str">
        <f t="shared" si="519"/>
        <v/>
      </c>
      <c r="G70" s="579" t="str">
        <f t="shared" si="520"/>
        <v/>
      </c>
      <c r="H70" s="580" t="str">
        <f t="shared" si="521"/>
        <v/>
      </c>
      <c r="I70" s="572" t="str">
        <f t="shared" si="522"/>
        <v/>
      </c>
      <c r="J70" s="483" t="str">
        <f t="shared" si="523"/>
        <v/>
      </c>
      <c r="K70" s="806" t="str">
        <f t="shared" si="524"/>
        <v/>
      </c>
      <c r="L70" s="309"/>
      <c r="M70" s="164" t="str">
        <f t="shared" si="267"/>
        <v/>
      </c>
      <c r="N70" s="575" t="str">
        <f t="shared" si="268"/>
        <v/>
      </c>
      <c r="O70" s="572" t="str">
        <f t="shared" si="269"/>
        <v/>
      </c>
      <c r="P70" s="576" t="str">
        <f t="shared" si="270"/>
        <v/>
      </c>
      <c r="Q70" s="528" t="str">
        <f t="shared" si="140"/>
        <v/>
      </c>
      <c r="R70" s="572" t="str">
        <f t="shared" si="101"/>
        <v/>
      </c>
      <c r="S70" s="577" t="str">
        <f t="shared" si="102"/>
        <v/>
      </c>
      <c r="T70" s="578" t="str">
        <f t="shared" si="103"/>
        <v/>
      </c>
      <c r="U70" s="572" t="str">
        <f t="shared" si="104"/>
        <v/>
      </c>
      <c r="V70" s="579" t="str">
        <f t="shared" si="141"/>
        <v/>
      </c>
      <c r="W70" s="528" t="str">
        <f t="shared" si="253"/>
        <v/>
      </c>
      <c r="X70" s="572" t="str">
        <f t="shared" si="105"/>
        <v/>
      </c>
      <c r="Y70" s="573" t="str">
        <f t="shared" si="255"/>
        <v/>
      </c>
      <c r="Z70" s="575" t="str">
        <f t="shared" si="271"/>
        <v/>
      </c>
      <c r="AA70" s="572" t="str">
        <f t="shared" si="272"/>
        <v/>
      </c>
      <c r="AB70" s="572" t="str">
        <f t="shared" si="273"/>
        <v/>
      </c>
      <c r="AC70" s="579" t="str">
        <f t="shared" si="106"/>
        <v/>
      </c>
      <c r="AD70" s="580" t="str">
        <f t="shared" si="142"/>
        <v/>
      </c>
      <c r="AE70" s="572" t="str">
        <f t="shared" si="107"/>
        <v/>
      </c>
      <c r="AF70" s="576" t="str">
        <f t="shared" si="108"/>
        <v/>
      </c>
      <c r="AG70" s="545" t="str">
        <f t="shared" si="109"/>
        <v/>
      </c>
      <c r="AH70" s="546" t="str">
        <f t="shared" si="110"/>
        <v/>
      </c>
      <c r="AI70" s="528" t="str">
        <f t="shared" si="111"/>
        <v/>
      </c>
      <c r="AJ70" s="529" t="str">
        <f t="shared" si="112"/>
        <v/>
      </c>
      <c r="AK70" s="578" t="str">
        <f t="shared" si="238"/>
        <v/>
      </c>
      <c r="AL70" s="572" t="str">
        <f t="shared" si="113"/>
        <v/>
      </c>
      <c r="AM70" s="577" t="str">
        <f t="shared" si="114"/>
        <v/>
      </c>
      <c r="AN70" s="524" t="str">
        <f t="shared" si="115"/>
        <v/>
      </c>
      <c r="AO70" s="525" t="str">
        <f t="shared" si="525"/>
        <v/>
      </c>
      <c r="AP70" s="528" t="str">
        <f t="shared" si="117"/>
        <v/>
      </c>
      <c r="AQ70" s="529" t="str">
        <f t="shared" si="274"/>
        <v/>
      </c>
      <c r="AS70" s="932" t="str">
        <f t="shared" si="461"/>
        <v/>
      </c>
      <c r="AT70" s="928" t="str">
        <f t="shared" si="275"/>
        <v/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6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26"/>
        <v/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 t="str">
        <f t="shared" si="256"/>
        <v/>
      </c>
      <c r="B71" s="578" t="str">
        <f t="shared" si="515"/>
        <v/>
      </c>
      <c r="C71" s="572" t="str">
        <f t="shared" si="516"/>
        <v/>
      </c>
      <c r="D71" s="576" t="str">
        <f t="shared" si="517"/>
        <v/>
      </c>
      <c r="E71" s="580" t="str">
        <f t="shared" si="518"/>
        <v/>
      </c>
      <c r="F71" s="572" t="str">
        <f t="shared" si="519"/>
        <v/>
      </c>
      <c r="G71" s="579" t="str">
        <f t="shared" si="520"/>
        <v/>
      </c>
      <c r="H71" s="580" t="str">
        <f t="shared" si="521"/>
        <v/>
      </c>
      <c r="I71" s="572" t="str">
        <f t="shared" si="522"/>
        <v/>
      </c>
      <c r="J71" s="483" t="str">
        <f t="shared" si="523"/>
        <v/>
      </c>
      <c r="K71" s="806" t="str">
        <f t="shared" si="524"/>
        <v/>
      </c>
      <c r="L71" s="309"/>
      <c r="M71" s="164" t="str">
        <f t="shared" si="267"/>
        <v/>
      </c>
      <c r="N71" s="575" t="str">
        <f t="shared" si="268"/>
        <v/>
      </c>
      <c r="O71" s="572" t="str">
        <f t="shared" si="269"/>
        <v/>
      </c>
      <c r="P71" s="576" t="str">
        <f t="shared" si="270"/>
        <v/>
      </c>
      <c r="Q71" s="528" t="str">
        <f t="shared" si="140"/>
        <v/>
      </c>
      <c r="R71" s="572" t="str">
        <f t="shared" si="101"/>
        <v/>
      </c>
      <c r="S71" s="577" t="str">
        <f t="shared" si="102"/>
        <v/>
      </c>
      <c r="T71" s="578" t="str">
        <f t="shared" si="103"/>
        <v/>
      </c>
      <c r="U71" s="572" t="str">
        <f t="shared" si="104"/>
        <v/>
      </c>
      <c r="V71" s="579" t="str">
        <f t="shared" si="141"/>
        <v/>
      </c>
      <c r="W71" s="528" t="str">
        <f t="shared" si="253"/>
        <v/>
      </c>
      <c r="X71" s="572" t="str">
        <f t="shared" si="105"/>
        <v/>
      </c>
      <c r="Y71" s="573" t="str">
        <f t="shared" si="255"/>
        <v/>
      </c>
      <c r="Z71" s="575" t="str">
        <f t="shared" si="271"/>
        <v/>
      </c>
      <c r="AA71" s="572" t="str">
        <f t="shared" si="272"/>
        <v/>
      </c>
      <c r="AB71" s="572" t="str">
        <f t="shared" si="273"/>
        <v/>
      </c>
      <c r="AC71" s="579" t="str">
        <f t="shared" si="106"/>
        <v/>
      </c>
      <c r="AD71" s="580" t="str">
        <f t="shared" si="142"/>
        <v/>
      </c>
      <c r="AE71" s="572" t="str">
        <f t="shared" si="107"/>
        <v/>
      </c>
      <c r="AF71" s="576" t="str">
        <f t="shared" si="108"/>
        <v/>
      </c>
      <c r="AG71" s="545" t="str">
        <f t="shared" si="109"/>
        <v/>
      </c>
      <c r="AH71" s="546" t="str">
        <f t="shared" si="110"/>
        <v/>
      </c>
      <c r="AI71" s="528" t="str">
        <f t="shared" si="111"/>
        <v/>
      </c>
      <c r="AJ71" s="529" t="str">
        <f t="shared" si="112"/>
        <v/>
      </c>
      <c r="AK71" s="578" t="str">
        <f t="shared" si="238"/>
        <v/>
      </c>
      <c r="AL71" s="572" t="str">
        <f t="shared" si="113"/>
        <v/>
      </c>
      <c r="AM71" s="577" t="str">
        <f t="shared" si="114"/>
        <v/>
      </c>
      <c r="AN71" s="524" t="str">
        <f t="shared" si="115"/>
        <v/>
      </c>
      <c r="AO71" s="525" t="str">
        <f t="shared" si="525"/>
        <v/>
      </c>
      <c r="AP71" s="528" t="str">
        <f t="shared" si="117"/>
        <v/>
      </c>
      <c r="AQ71" s="529" t="str">
        <f t="shared" si="274"/>
        <v/>
      </c>
      <c r="AS71" s="932" t="str">
        <f t="shared" si="461"/>
        <v/>
      </c>
      <c r="AT71" s="928" t="str">
        <f t="shared" si="275"/>
        <v/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6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26"/>
        <v/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 t="str">
        <f t="shared" si="256"/>
        <v/>
      </c>
      <c r="B72" s="578" t="str">
        <f t="shared" si="515"/>
        <v/>
      </c>
      <c r="C72" s="572" t="str">
        <f t="shared" si="516"/>
        <v/>
      </c>
      <c r="D72" s="576" t="str">
        <f t="shared" si="517"/>
        <v/>
      </c>
      <c r="E72" s="580" t="str">
        <f t="shared" si="518"/>
        <v/>
      </c>
      <c r="F72" s="572" t="str">
        <f t="shared" si="519"/>
        <v/>
      </c>
      <c r="G72" s="579" t="str">
        <f t="shared" si="520"/>
        <v/>
      </c>
      <c r="H72" s="580" t="str">
        <f t="shared" si="521"/>
        <v/>
      </c>
      <c r="I72" s="572" t="str">
        <f t="shared" si="522"/>
        <v/>
      </c>
      <c r="J72" s="483" t="str">
        <f t="shared" si="523"/>
        <v/>
      </c>
      <c r="K72" s="806" t="str">
        <f t="shared" si="524"/>
        <v/>
      </c>
      <c r="L72" s="309"/>
      <c r="M72" s="164" t="str">
        <f t="shared" si="267"/>
        <v/>
      </c>
      <c r="N72" s="575" t="str">
        <f t="shared" si="268"/>
        <v/>
      </c>
      <c r="O72" s="572" t="str">
        <f t="shared" si="269"/>
        <v/>
      </c>
      <c r="P72" s="576" t="str">
        <f t="shared" si="270"/>
        <v/>
      </c>
      <c r="Q72" s="528" t="str">
        <f t="shared" si="140"/>
        <v/>
      </c>
      <c r="R72" s="572" t="str">
        <f t="shared" si="101"/>
        <v/>
      </c>
      <c r="S72" s="577" t="str">
        <f t="shared" si="102"/>
        <v/>
      </c>
      <c r="T72" s="578" t="str">
        <f t="shared" si="103"/>
        <v/>
      </c>
      <c r="U72" s="572" t="str">
        <f t="shared" si="104"/>
        <v/>
      </c>
      <c r="V72" s="579" t="str">
        <f t="shared" si="141"/>
        <v/>
      </c>
      <c r="W72" s="528" t="str">
        <f t="shared" si="253"/>
        <v/>
      </c>
      <c r="X72" s="572" t="str">
        <f t="shared" si="105"/>
        <v/>
      </c>
      <c r="Y72" s="573" t="str">
        <f t="shared" si="255"/>
        <v/>
      </c>
      <c r="Z72" s="575" t="str">
        <f t="shared" si="271"/>
        <v/>
      </c>
      <c r="AA72" s="572" t="str">
        <f t="shared" si="272"/>
        <v/>
      </c>
      <c r="AB72" s="572" t="str">
        <f t="shared" si="273"/>
        <v/>
      </c>
      <c r="AC72" s="579" t="str">
        <f t="shared" si="106"/>
        <v/>
      </c>
      <c r="AD72" s="580" t="str">
        <f t="shared" si="142"/>
        <v/>
      </c>
      <c r="AE72" s="572" t="str">
        <f t="shared" si="107"/>
        <v/>
      </c>
      <c r="AF72" s="576" t="str">
        <f t="shared" si="108"/>
        <v/>
      </c>
      <c r="AG72" s="545" t="str">
        <f t="shared" si="109"/>
        <v/>
      </c>
      <c r="AH72" s="546" t="str">
        <f t="shared" si="110"/>
        <v/>
      </c>
      <c r="AI72" s="528" t="str">
        <f t="shared" si="111"/>
        <v/>
      </c>
      <c r="AJ72" s="529" t="str">
        <f t="shared" si="112"/>
        <v/>
      </c>
      <c r="AK72" s="578" t="str">
        <f t="shared" si="238"/>
        <v/>
      </c>
      <c r="AL72" s="572" t="str">
        <f t="shared" si="113"/>
        <v/>
      </c>
      <c r="AM72" s="577" t="str">
        <f t="shared" si="114"/>
        <v/>
      </c>
      <c r="AN72" s="524" t="str">
        <f t="shared" si="115"/>
        <v/>
      </c>
      <c r="AO72" s="525" t="str">
        <f t="shared" si="525"/>
        <v/>
      </c>
      <c r="AP72" s="528" t="str">
        <f t="shared" si="117"/>
        <v/>
      </c>
      <c r="AQ72" s="529" t="str">
        <f t="shared" si="274"/>
        <v/>
      </c>
      <c r="AS72" s="932" t="str">
        <f t="shared" si="461"/>
        <v/>
      </c>
      <c r="AT72" s="928" t="str">
        <f t="shared" si="275"/>
        <v/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6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26"/>
        <v/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 t="str">
        <f t="shared" si="256"/>
        <v/>
      </c>
      <c r="B73" s="578" t="str">
        <f t="shared" si="515"/>
        <v/>
      </c>
      <c r="C73" s="572" t="str">
        <f t="shared" si="516"/>
        <v/>
      </c>
      <c r="D73" s="576" t="str">
        <f t="shared" si="517"/>
        <v/>
      </c>
      <c r="E73" s="580" t="str">
        <f t="shared" si="518"/>
        <v/>
      </c>
      <c r="F73" s="572" t="str">
        <f t="shared" si="519"/>
        <v/>
      </c>
      <c r="G73" s="579" t="str">
        <f t="shared" si="520"/>
        <v/>
      </c>
      <c r="H73" s="580" t="str">
        <f t="shared" si="521"/>
        <v/>
      </c>
      <c r="I73" s="572" t="str">
        <f t="shared" si="522"/>
        <v/>
      </c>
      <c r="J73" s="483" t="str">
        <f t="shared" si="523"/>
        <v/>
      </c>
      <c r="K73" s="806" t="str">
        <f t="shared" si="524"/>
        <v/>
      </c>
      <c r="L73" s="309"/>
      <c r="M73" s="164" t="str">
        <f t="shared" ref="M73:M104" si="526">IF(J73="","",VALUE(J73))</f>
        <v/>
      </c>
      <c r="N73" s="575" t="str">
        <f t="shared" ref="N73:N104" si="527">IF(M73="","",B73)</f>
        <v/>
      </c>
      <c r="O73" s="572" t="str">
        <f t="shared" ref="O73:O104" si="528">IF(M73="","",C73)</f>
        <v/>
      </c>
      <c r="P73" s="576" t="str">
        <f t="shared" ref="P73:P104" si="529">IF(M73="","",D73)</f>
        <v/>
      </c>
      <c r="Q73" s="528" t="str">
        <f t="shared" si="140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3"/>
        <v/>
      </c>
      <c r="X73" s="572" t="str">
        <f>IF(M73="","",R73)</f>
        <v/>
      </c>
      <c r="Y73" s="573" t="str">
        <f t="shared" si="255"/>
        <v/>
      </c>
      <c r="Z73" s="575" t="str">
        <f t="shared" ref="Z73:Z104" si="530">IF(M73="","",-E73)</f>
        <v/>
      </c>
      <c r="AA73" s="572" t="str">
        <f t="shared" ref="AA73:AA104" si="531">IF(M73="","",-F73)</f>
        <v/>
      </c>
      <c r="AB73" s="572" t="str">
        <f t="shared" ref="AB73:AB104" si="5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25"/>
        <v/>
      </c>
      <c r="AP73" s="528" t="str">
        <f>IF(M73="","",DEGREES(ATAN2(AK73,AL73)))</f>
        <v/>
      </c>
      <c r="AQ73" s="529" t="str">
        <f t="shared" ref="AQ73:AQ104" si="533">IF(M73="","",DEGREES(ATAN(($AS$5*SIN(RADIANS(90)))/(($X73*2*PI())-($AS$5*COS(RADIANS(90)))))))</f>
        <v/>
      </c>
      <c r="AS73" s="932" t="str">
        <f t="shared" si="461"/>
        <v/>
      </c>
      <c r="AT73" s="928" t="str">
        <f t="shared" ref="AT73:AT104" si="534">IF(M73="","",Y73+(((AS73-$AS$9)*$AS$6)*-1))</f>
        <v/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6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596">IF(ISNUMBER($IK73),INDEX($K$9:$K$150,MATCH($IK73,$M$9:$M$150,0)),$K73)</f>
        <v/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 t="str">
        <f t="shared" si="256"/>
        <v/>
      </c>
      <c r="B74" s="578" t="str">
        <f t="shared" si="515"/>
        <v/>
      </c>
      <c r="C74" s="572" t="str">
        <f t="shared" si="516"/>
        <v/>
      </c>
      <c r="D74" s="576" t="str">
        <f t="shared" si="517"/>
        <v/>
      </c>
      <c r="E74" s="580" t="str">
        <f t="shared" si="518"/>
        <v/>
      </c>
      <c r="F74" s="572" t="str">
        <f t="shared" si="519"/>
        <v/>
      </c>
      <c r="G74" s="579" t="str">
        <f t="shared" si="520"/>
        <v/>
      </c>
      <c r="H74" s="580" t="str">
        <f t="shared" si="521"/>
        <v/>
      </c>
      <c r="I74" s="572" t="str">
        <f t="shared" si="522"/>
        <v/>
      </c>
      <c r="J74" s="483" t="str">
        <f t="shared" si="523"/>
        <v/>
      </c>
      <c r="K74" s="806" t="str">
        <f t="shared" si="524"/>
        <v/>
      </c>
      <c r="L74" s="309"/>
      <c r="M74" s="164" t="str">
        <f t="shared" si="526"/>
        <v/>
      </c>
      <c r="N74" s="575" t="str">
        <f t="shared" si="527"/>
        <v/>
      </c>
      <c r="O74" s="572" t="str">
        <f t="shared" si="528"/>
        <v/>
      </c>
      <c r="P74" s="576" t="str">
        <f t="shared" si="529"/>
        <v/>
      </c>
      <c r="Q74" s="528" t="str">
        <f t="shared" ref="Q74:Q129" si="60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3"/>
        <v/>
      </c>
      <c r="X74" s="572" t="str">
        <f>IF(M74="","",R74)</f>
        <v/>
      </c>
      <c r="Y74" s="573" t="str">
        <f t="shared" si="255"/>
        <v/>
      </c>
      <c r="Z74" s="575" t="str">
        <f t="shared" si="530"/>
        <v/>
      </c>
      <c r="AA74" s="572" t="str">
        <f t="shared" si="531"/>
        <v/>
      </c>
      <c r="AB74" s="572" t="str">
        <f t="shared" si="5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25"/>
        <v/>
      </c>
      <c r="AP74" s="528" t="str">
        <f>IF(M74="","",DEGREES(ATAN2(AK74,AL74)))</f>
        <v/>
      </c>
      <c r="AQ74" s="529" t="str">
        <f t="shared" si="533"/>
        <v/>
      </c>
      <c r="AS74" s="932" t="str">
        <f t="shared" si="461"/>
        <v/>
      </c>
      <c r="AT74" s="928" t="str">
        <f t="shared" si="534"/>
        <v/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6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596"/>
        <v/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 t="str">
        <f t="shared" si="256"/>
        <v/>
      </c>
      <c r="B75" s="578" t="str">
        <f t="shared" si="515"/>
        <v/>
      </c>
      <c r="C75" s="572" t="str">
        <f t="shared" si="516"/>
        <v/>
      </c>
      <c r="D75" s="576" t="str">
        <f t="shared" si="517"/>
        <v/>
      </c>
      <c r="E75" s="580" t="str">
        <f t="shared" si="518"/>
        <v/>
      </c>
      <c r="F75" s="572" t="str">
        <f t="shared" si="519"/>
        <v/>
      </c>
      <c r="G75" s="579" t="str">
        <f t="shared" si="520"/>
        <v/>
      </c>
      <c r="H75" s="580" t="str">
        <f t="shared" si="521"/>
        <v/>
      </c>
      <c r="I75" s="572" t="str">
        <f t="shared" si="522"/>
        <v/>
      </c>
      <c r="J75" s="483" t="str">
        <f t="shared" si="523"/>
        <v/>
      </c>
      <c r="K75" s="806" t="str">
        <f t="shared" si="524"/>
        <v/>
      </c>
      <c r="L75" s="309"/>
      <c r="M75" s="164" t="str">
        <f t="shared" si="526"/>
        <v/>
      </c>
      <c r="N75" s="575" t="str">
        <f t="shared" si="527"/>
        <v/>
      </c>
      <c r="O75" s="572" t="str">
        <f t="shared" si="528"/>
        <v/>
      </c>
      <c r="P75" s="576" t="str">
        <f t="shared" si="529"/>
        <v/>
      </c>
      <c r="Q75" s="528" t="str">
        <f t="shared" si="60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3"/>
        <v/>
      </c>
      <c r="X75" s="572" t="str">
        <f>IF(M75="","",R75)</f>
        <v/>
      </c>
      <c r="Y75" s="573" t="str">
        <f t="shared" si="255"/>
        <v/>
      </c>
      <c r="Z75" s="575" t="str">
        <f t="shared" si="530"/>
        <v/>
      </c>
      <c r="AA75" s="572" t="str">
        <f t="shared" si="531"/>
        <v/>
      </c>
      <c r="AB75" s="572" t="str">
        <f t="shared" si="5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25"/>
        <v/>
      </c>
      <c r="AP75" s="528" t="str">
        <f>IF(M75="","",DEGREES(ATAN2(AK75,AL75)))</f>
        <v/>
      </c>
      <c r="AQ75" s="529" t="str">
        <f t="shared" si="533"/>
        <v/>
      </c>
      <c r="AS75" s="932" t="str">
        <f t="shared" ref="AS75:AS106" si="632">IF(G75="","",IF(AND(W75&lt;(AS74+180),W75&gt;(AS74-180)),W75,IF(W75&gt;(AS74+180),W75-360,IF(W75&lt;(AS74-180),W75+360,"Error"))))</f>
        <v/>
      </c>
      <c r="AT75" s="928" t="str">
        <f t="shared" si="534"/>
        <v/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731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596"/>
        <v/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 t="str">
        <f t="shared" si="256"/>
        <v/>
      </c>
      <c r="B76" s="578" t="str">
        <f t="shared" si="515"/>
        <v/>
      </c>
      <c r="C76" s="572" t="str">
        <f t="shared" si="516"/>
        <v/>
      </c>
      <c r="D76" s="576" t="str">
        <f t="shared" si="517"/>
        <v/>
      </c>
      <c r="E76" s="580" t="str">
        <f t="shared" si="518"/>
        <v/>
      </c>
      <c r="F76" s="572" t="str">
        <f t="shared" si="519"/>
        <v/>
      </c>
      <c r="G76" s="579" t="str">
        <f t="shared" si="520"/>
        <v/>
      </c>
      <c r="H76" s="580" t="str">
        <f t="shared" si="521"/>
        <v/>
      </c>
      <c r="I76" s="572" t="str">
        <f t="shared" si="522"/>
        <v/>
      </c>
      <c r="J76" s="483" t="str">
        <f t="shared" si="523"/>
        <v/>
      </c>
      <c r="K76" s="806" t="str">
        <f t="shared" si="524"/>
        <v/>
      </c>
      <c r="L76" s="309"/>
      <c r="M76" s="164" t="str">
        <f t="shared" si="526"/>
        <v/>
      </c>
      <c r="N76" s="575" t="str">
        <f t="shared" si="527"/>
        <v/>
      </c>
      <c r="O76" s="572" t="str">
        <f t="shared" si="528"/>
        <v/>
      </c>
      <c r="P76" s="576" t="str">
        <f t="shared" si="529"/>
        <v/>
      </c>
      <c r="Q76" s="528" t="str">
        <f t="shared" si="609"/>
        <v/>
      </c>
      <c r="R76" s="572" t="str">
        <f t="shared" si="101"/>
        <v/>
      </c>
      <c r="S76" s="577" t="str">
        <f t="shared" si="102"/>
        <v/>
      </c>
      <c r="T76" s="578" t="str">
        <f t="shared" si="103"/>
        <v/>
      </c>
      <c r="U76" s="572" t="str">
        <f t="shared" si="104"/>
        <v/>
      </c>
      <c r="V76" s="579" t="str">
        <f t="shared" si="141"/>
        <v/>
      </c>
      <c r="W76" s="528" t="str">
        <f t="shared" si="253"/>
        <v/>
      </c>
      <c r="X76" s="572" t="str">
        <f t="shared" si="105"/>
        <v/>
      </c>
      <c r="Y76" s="573" t="str">
        <f t="shared" ref="Y76:Y129" si="733">IF(M76="","",S76)</f>
        <v/>
      </c>
      <c r="Z76" s="575" t="str">
        <f t="shared" si="530"/>
        <v/>
      </c>
      <c r="AA76" s="572" t="str">
        <f t="shared" si="531"/>
        <v/>
      </c>
      <c r="AB76" s="572" t="str">
        <f t="shared" si="532"/>
        <v/>
      </c>
      <c r="AC76" s="579" t="str">
        <f t="shared" si="106"/>
        <v/>
      </c>
      <c r="AD76" s="580" t="str">
        <f t="shared" si="142"/>
        <v/>
      </c>
      <c r="AE76" s="572" t="str">
        <f t="shared" si="107"/>
        <v/>
      </c>
      <c r="AF76" s="576" t="str">
        <f t="shared" si="108"/>
        <v/>
      </c>
      <c r="AG76" s="545" t="str">
        <f t="shared" si="109"/>
        <v/>
      </c>
      <c r="AH76" s="546" t="str">
        <f t="shared" si="110"/>
        <v/>
      </c>
      <c r="AI76" s="528" t="str">
        <f t="shared" si="111"/>
        <v/>
      </c>
      <c r="AJ76" s="529" t="str">
        <f t="shared" si="112"/>
        <v/>
      </c>
      <c r="AK76" s="578" t="str">
        <f t="shared" si="238"/>
        <v/>
      </c>
      <c r="AL76" s="572" t="str">
        <f t="shared" si="113"/>
        <v/>
      </c>
      <c r="AM76" s="577" t="str">
        <f t="shared" si="114"/>
        <v/>
      </c>
      <c r="AN76" s="524" t="str">
        <f t="shared" si="115"/>
        <v/>
      </c>
      <c r="AO76" s="525" t="str">
        <f t="shared" si="525"/>
        <v/>
      </c>
      <c r="AP76" s="528" t="str">
        <f t="shared" si="117"/>
        <v/>
      </c>
      <c r="AQ76" s="529" t="str">
        <f t="shared" si="533"/>
        <v/>
      </c>
      <c r="AS76" s="932" t="str">
        <f t="shared" si="632"/>
        <v/>
      </c>
      <c r="AT76" s="928" t="str">
        <f t="shared" si="534"/>
        <v/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731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596"/>
        <v/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 t="str">
        <f t="shared" si="256"/>
        <v/>
      </c>
      <c r="B77" s="578" t="str">
        <f t="shared" si="515"/>
        <v/>
      </c>
      <c r="C77" s="572" t="str">
        <f t="shared" si="516"/>
        <v/>
      </c>
      <c r="D77" s="576" t="str">
        <f t="shared" si="517"/>
        <v/>
      </c>
      <c r="E77" s="580" t="str">
        <f t="shared" si="518"/>
        <v/>
      </c>
      <c r="F77" s="572" t="str">
        <f t="shared" si="519"/>
        <v/>
      </c>
      <c r="G77" s="579" t="str">
        <f t="shared" si="520"/>
        <v/>
      </c>
      <c r="H77" s="580" t="str">
        <f t="shared" si="521"/>
        <v/>
      </c>
      <c r="I77" s="572" t="str">
        <f t="shared" si="522"/>
        <v/>
      </c>
      <c r="J77" s="483" t="str">
        <f t="shared" si="523"/>
        <v/>
      </c>
      <c r="K77" s="806" t="str">
        <f t="shared" si="524"/>
        <v/>
      </c>
      <c r="L77" s="309"/>
      <c r="M77" s="164" t="str">
        <f t="shared" si="526"/>
        <v/>
      </c>
      <c r="N77" s="575" t="str">
        <f t="shared" si="527"/>
        <v/>
      </c>
      <c r="O77" s="572" t="str">
        <f t="shared" si="528"/>
        <v/>
      </c>
      <c r="P77" s="576" t="str">
        <f t="shared" si="529"/>
        <v/>
      </c>
      <c r="Q77" s="528" t="str">
        <f t="shared" si="609"/>
        <v/>
      </c>
      <c r="R77" s="572" t="str">
        <f t="shared" si="101"/>
        <v/>
      </c>
      <c r="S77" s="577" t="str">
        <f t="shared" si="102"/>
        <v/>
      </c>
      <c r="T77" s="578" t="str">
        <f t="shared" si="103"/>
        <v/>
      </c>
      <c r="U77" s="572" t="str">
        <f t="shared" si="104"/>
        <v/>
      </c>
      <c r="V77" s="579" t="str">
        <f t="shared" si="141"/>
        <v/>
      </c>
      <c r="W77" s="528" t="str">
        <f t="shared" si="253"/>
        <v/>
      </c>
      <c r="X77" s="572" t="str">
        <f t="shared" si="105"/>
        <v/>
      </c>
      <c r="Y77" s="573" t="str">
        <f t="shared" si="733"/>
        <v/>
      </c>
      <c r="Z77" s="575" t="str">
        <f t="shared" si="530"/>
        <v/>
      </c>
      <c r="AA77" s="572" t="str">
        <f t="shared" si="531"/>
        <v/>
      </c>
      <c r="AB77" s="572" t="str">
        <f t="shared" si="532"/>
        <v/>
      </c>
      <c r="AC77" s="579" t="str">
        <f t="shared" si="106"/>
        <v/>
      </c>
      <c r="AD77" s="580" t="str">
        <f t="shared" si="142"/>
        <v/>
      </c>
      <c r="AE77" s="572" t="str">
        <f t="shared" si="107"/>
        <v/>
      </c>
      <c r="AF77" s="576" t="str">
        <f t="shared" si="108"/>
        <v/>
      </c>
      <c r="AG77" s="545" t="str">
        <f t="shared" si="109"/>
        <v/>
      </c>
      <c r="AH77" s="546" t="str">
        <f t="shared" si="110"/>
        <v/>
      </c>
      <c r="AI77" s="528" t="str">
        <f t="shared" si="111"/>
        <v/>
      </c>
      <c r="AJ77" s="529" t="str">
        <f t="shared" si="112"/>
        <v/>
      </c>
      <c r="AK77" s="578" t="str">
        <f t="shared" si="238"/>
        <v/>
      </c>
      <c r="AL77" s="572" t="str">
        <f t="shared" si="113"/>
        <v/>
      </c>
      <c r="AM77" s="577" t="str">
        <f t="shared" si="114"/>
        <v/>
      </c>
      <c r="AN77" s="524" t="str">
        <f t="shared" si="115"/>
        <v/>
      </c>
      <c r="AO77" s="525" t="str">
        <f t="shared" si="525"/>
        <v/>
      </c>
      <c r="AP77" s="528" t="str">
        <f t="shared" si="117"/>
        <v/>
      </c>
      <c r="AQ77" s="529" t="str">
        <f t="shared" si="533"/>
        <v/>
      </c>
      <c r="AS77" s="932" t="str">
        <f t="shared" si="632"/>
        <v/>
      </c>
      <c r="AT77" s="928" t="str">
        <f t="shared" si="534"/>
        <v/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731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596"/>
        <v/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 t="str">
        <f t="shared" si="256"/>
        <v/>
      </c>
      <c r="B78" s="578" t="str">
        <f t="shared" si="515"/>
        <v/>
      </c>
      <c r="C78" s="572" t="str">
        <f t="shared" si="516"/>
        <v/>
      </c>
      <c r="D78" s="576" t="str">
        <f t="shared" si="517"/>
        <v/>
      </c>
      <c r="E78" s="580" t="str">
        <f t="shared" si="518"/>
        <v/>
      </c>
      <c r="F78" s="572" t="str">
        <f t="shared" si="519"/>
        <v/>
      </c>
      <c r="G78" s="579" t="str">
        <f t="shared" si="520"/>
        <v/>
      </c>
      <c r="H78" s="580" t="str">
        <f t="shared" si="521"/>
        <v/>
      </c>
      <c r="I78" s="572" t="str">
        <f t="shared" si="522"/>
        <v/>
      </c>
      <c r="J78" s="483" t="str">
        <f t="shared" si="523"/>
        <v/>
      </c>
      <c r="K78" s="806" t="str">
        <f t="shared" si="524"/>
        <v/>
      </c>
      <c r="L78" s="309"/>
      <c r="M78" s="164" t="str">
        <f t="shared" si="526"/>
        <v/>
      </c>
      <c r="N78" s="575" t="str">
        <f t="shared" si="527"/>
        <v/>
      </c>
      <c r="O78" s="572" t="str">
        <f t="shared" si="528"/>
        <v/>
      </c>
      <c r="P78" s="576" t="str">
        <f t="shared" si="529"/>
        <v/>
      </c>
      <c r="Q78" s="528" t="str">
        <f t="shared" si="60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3"/>
        <v/>
      </c>
      <c r="X78" s="572" t="str">
        <f>IF(M78="","",R78)</f>
        <v/>
      </c>
      <c r="Y78" s="573" t="str">
        <f t="shared" si="733"/>
        <v/>
      </c>
      <c r="Z78" s="575" t="str">
        <f t="shared" si="530"/>
        <v/>
      </c>
      <c r="AA78" s="572" t="str">
        <f t="shared" si="531"/>
        <v/>
      </c>
      <c r="AB78" s="572" t="str">
        <f t="shared" si="5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25"/>
        <v/>
      </c>
      <c r="AP78" s="528" t="str">
        <f>IF(M78="","",DEGREES(ATAN2(AK78,AL78)))</f>
        <v/>
      </c>
      <c r="AQ78" s="529" t="str">
        <f t="shared" si="533"/>
        <v/>
      </c>
      <c r="AS78" s="932" t="str">
        <f t="shared" si="632"/>
        <v/>
      </c>
      <c r="AT78" s="928" t="str">
        <f t="shared" si="534"/>
        <v/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731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596"/>
        <v/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 t="str">
        <f t="shared" si="256"/>
        <v/>
      </c>
      <c r="B79" s="578" t="str">
        <f t="shared" si="515"/>
        <v/>
      </c>
      <c r="C79" s="572" t="str">
        <f t="shared" si="516"/>
        <v/>
      </c>
      <c r="D79" s="576" t="str">
        <f t="shared" si="517"/>
        <v/>
      </c>
      <c r="E79" s="580" t="str">
        <f t="shared" si="518"/>
        <v/>
      </c>
      <c r="F79" s="572" t="str">
        <f t="shared" si="519"/>
        <v/>
      </c>
      <c r="G79" s="579" t="str">
        <f t="shared" si="520"/>
        <v/>
      </c>
      <c r="H79" s="580" t="str">
        <f t="shared" si="521"/>
        <v/>
      </c>
      <c r="I79" s="572" t="str">
        <f t="shared" si="522"/>
        <v/>
      </c>
      <c r="J79" s="483" t="str">
        <f t="shared" si="523"/>
        <v/>
      </c>
      <c r="K79" s="806" t="str">
        <f t="shared" si="524"/>
        <v/>
      </c>
      <c r="L79" s="309"/>
      <c r="M79" s="164" t="str">
        <f t="shared" si="526"/>
        <v/>
      </c>
      <c r="N79" s="575" t="str">
        <f t="shared" si="527"/>
        <v/>
      </c>
      <c r="O79" s="572" t="str">
        <f t="shared" si="528"/>
        <v/>
      </c>
      <c r="P79" s="576" t="str">
        <f t="shared" si="529"/>
        <v/>
      </c>
      <c r="Q79" s="528" t="str">
        <f t="shared" si="60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735">IF(M79="","",IF(Q79-$Q$8&lt;0,360+Q79-$Q$8,Q79-$Q$8))</f>
        <v/>
      </c>
      <c r="X79" s="572" t="str">
        <f>IF(M79="","",R79)</f>
        <v/>
      </c>
      <c r="Y79" s="573" t="str">
        <f t="shared" si="733"/>
        <v/>
      </c>
      <c r="Z79" s="575" t="str">
        <f t="shared" si="530"/>
        <v/>
      </c>
      <c r="AA79" s="572" t="str">
        <f t="shared" si="531"/>
        <v/>
      </c>
      <c r="AB79" s="572" t="str">
        <f t="shared" si="5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25"/>
        <v/>
      </c>
      <c r="AP79" s="528" t="str">
        <f>IF(M79="","",DEGREES(ATAN2(AK79,AL79)))</f>
        <v/>
      </c>
      <c r="AQ79" s="529" t="str">
        <f t="shared" si="533"/>
        <v/>
      </c>
      <c r="AS79" s="932" t="str">
        <f t="shared" si="632"/>
        <v/>
      </c>
      <c r="AT79" s="928" t="str">
        <f t="shared" si="534"/>
        <v/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731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596"/>
        <v/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 t="str">
        <f t="shared" si="256"/>
        <v/>
      </c>
      <c r="B80" s="578" t="str">
        <f t="shared" si="515"/>
        <v/>
      </c>
      <c r="C80" s="572" t="str">
        <f t="shared" si="516"/>
        <v/>
      </c>
      <c r="D80" s="576" t="str">
        <f t="shared" si="517"/>
        <v/>
      </c>
      <c r="E80" s="580" t="str">
        <f t="shared" si="518"/>
        <v/>
      </c>
      <c r="F80" s="572" t="str">
        <f t="shared" si="519"/>
        <v/>
      </c>
      <c r="G80" s="579" t="str">
        <f t="shared" si="520"/>
        <v/>
      </c>
      <c r="H80" s="580" t="str">
        <f t="shared" si="521"/>
        <v/>
      </c>
      <c r="I80" s="572" t="str">
        <f t="shared" si="522"/>
        <v/>
      </c>
      <c r="J80" s="483" t="str">
        <f t="shared" si="523"/>
        <v/>
      </c>
      <c r="K80" s="806" t="str">
        <f t="shared" si="524"/>
        <v/>
      </c>
      <c r="L80" s="309"/>
      <c r="M80" s="164" t="str">
        <f t="shared" si="526"/>
        <v/>
      </c>
      <c r="N80" s="575" t="str">
        <f t="shared" si="527"/>
        <v/>
      </c>
      <c r="O80" s="572" t="str">
        <f t="shared" si="528"/>
        <v/>
      </c>
      <c r="P80" s="576" t="str">
        <f t="shared" si="529"/>
        <v/>
      </c>
      <c r="Q80" s="528" t="str">
        <f t="shared" si="609"/>
        <v/>
      </c>
      <c r="R80" s="572" t="str">
        <f t="shared" si="101"/>
        <v/>
      </c>
      <c r="S80" s="577" t="str">
        <f t="shared" si="102"/>
        <v/>
      </c>
      <c r="T80" s="578" t="str">
        <f t="shared" si="103"/>
        <v/>
      </c>
      <c r="U80" s="572" t="str">
        <f t="shared" si="104"/>
        <v/>
      </c>
      <c r="V80" s="579" t="str">
        <f t="shared" si="141"/>
        <v/>
      </c>
      <c r="W80" s="528" t="str">
        <f t="shared" si="735"/>
        <v/>
      </c>
      <c r="X80" s="572" t="str">
        <f t="shared" si="105"/>
        <v/>
      </c>
      <c r="Y80" s="573" t="str">
        <f t="shared" si="733"/>
        <v/>
      </c>
      <c r="Z80" s="575" t="str">
        <f t="shared" si="530"/>
        <v/>
      </c>
      <c r="AA80" s="572" t="str">
        <f t="shared" si="531"/>
        <v/>
      </c>
      <c r="AB80" s="572" t="str">
        <f t="shared" si="532"/>
        <v/>
      </c>
      <c r="AC80" s="579" t="str">
        <f t="shared" si="106"/>
        <v/>
      </c>
      <c r="AD80" s="580" t="str">
        <f t="shared" si="142"/>
        <v/>
      </c>
      <c r="AE80" s="572" t="str">
        <f t="shared" si="107"/>
        <v/>
      </c>
      <c r="AF80" s="576" t="str">
        <f t="shared" si="108"/>
        <v/>
      </c>
      <c r="AG80" s="545" t="str">
        <f t="shared" si="109"/>
        <v/>
      </c>
      <c r="AH80" s="546" t="str">
        <f t="shared" si="110"/>
        <v/>
      </c>
      <c r="AI80" s="528" t="str">
        <f t="shared" si="111"/>
        <v/>
      </c>
      <c r="AJ80" s="529" t="str">
        <f t="shared" si="112"/>
        <v/>
      </c>
      <c r="AK80" s="578" t="str">
        <f t="shared" si="238"/>
        <v/>
      </c>
      <c r="AL80" s="572" t="str">
        <f t="shared" si="113"/>
        <v/>
      </c>
      <c r="AM80" s="577" t="str">
        <f t="shared" si="114"/>
        <v/>
      </c>
      <c r="AN80" s="524" t="str">
        <f t="shared" si="115"/>
        <v/>
      </c>
      <c r="AO80" s="525" t="str">
        <f t="shared" si="525"/>
        <v/>
      </c>
      <c r="AP80" s="528" t="str">
        <f t="shared" si="117"/>
        <v/>
      </c>
      <c r="AQ80" s="529" t="str">
        <f t="shared" si="533"/>
        <v/>
      </c>
      <c r="AS80" s="932" t="str">
        <f t="shared" si="632"/>
        <v/>
      </c>
      <c r="AT80" s="928" t="str">
        <f t="shared" si="534"/>
        <v/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731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596"/>
        <v/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 t="str">
        <f t="shared" si="256"/>
        <v/>
      </c>
      <c r="B81" s="578" t="str">
        <f t="shared" si="515"/>
        <v/>
      </c>
      <c r="C81" s="572" t="str">
        <f t="shared" si="516"/>
        <v/>
      </c>
      <c r="D81" s="576" t="str">
        <f t="shared" si="517"/>
        <v/>
      </c>
      <c r="E81" s="580" t="str">
        <f t="shared" si="518"/>
        <v/>
      </c>
      <c r="F81" s="572" t="str">
        <f t="shared" si="519"/>
        <v/>
      </c>
      <c r="G81" s="579" t="str">
        <f t="shared" si="520"/>
        <v/>
      </c>
      <c r="H81" s="580" t="str">
        <f t="shared" si="521"/>
        <v/>
      </c>
      <c r="I81" s="572" t="str">
        <f t="shared" si="522"/>
        <v/>
      </c>
      <c r="J81" s="483" t="str">
        <f t="shared" si="523"/>
        <v/>
      </c>
      <c r="K81" s="806" t="str">
        <f t="shared" si="524"/>
        <v/>
      </c>
      <c r="L81" s="309"/>
      <c r="M81" s="164" t="str">
        <f t="shared" si="526"/>
        <v/>
      </c>
      <c r="N81" s="575" t="str">
        <f t="shared" si="527"/>
        <v/>
      </c>
      <c r="O81" s="572" t="str">
        <f t="shared" si="528"/>
        <v/>
      </c>
      <c r="P81" s="576" t="str">
        <f t="shared" si="529"/>
        <v/>
      </c>
      <c r="Q81" s="528" t="str">
        <f t="shared" si="609"/>
        <v/>
      </c>
      <c r="R81" s="572" t="str">
        <f t="shared" si="101"/>
        <v/>
      </c>
      <c r="S81" s="577" t="str">
        <f t="shared" si="102"/>
        <v/>
      </c>
      <c r="T81" s="578" t="str">
        <f t="shared" si="103"/>
        <v/>
      </c>
      <c r="U81" s="572" t="str">
        <f t="shared" si="104"/>
        <v/>
      </c>
      <c r="V81" s="579" t="str">
        <f t="shared" si="141"/>
        <v/>
      </c>
      <c r="W81" s="528" t="str">
        <f t="shared" si="735"/>
        <v/>
      </c>
      <c r="X81" s="572" t="str">
        <f t="shared" si="105"/>
        <v/>
      </c>
      <c r="Y81" s="573" t="str">
        <f t="shared" si="733"/>
        <v/>
      </c>
      <c r="Z81" s="575" t="str">
        <f t="shared" si="530"/>
        <v/>
      </c>
      <c r="AA81" s="572" t="str">
        <f t="shared" si="531"/>
        <v/>
      </c>
      <c r="AB81" s="572" t="str">
        <f t="shared" si="532"/>
        <v/>
      </c>
      <c r="AC81" s="579" t="str">
        <f t="shared" si="106"/>
        <v/>
      </c>
      <c r="AD81" s="580" t="str">
        <f t="shared" si="142"/>
        <v/>
      </c>
      <c r="AE81" s="572" t="str">
        <f t="shared" si="107"/>
        <v/>
      </c>
      <c r="AF81" s="576" t="str">
        <f t="shared" si="108"/>
        <v/>
      </c>
      <c r="AG81" s="545" t="str">
        <f t="shared" si="109"/>
        <v/>
      </c>
      <c r="AH81" s="546" t="str">
        <f t="shared" si="110"/>
        <v/>
      </c>
      <c r="AI81" s="528" t="str">
        <f t="shared" si="111"/>
        <v/>
      </c>
      <c r="AJ81" s="529" t="str">
        <f t="shared" si="112"/>
        <v/>
      </c>
      <c r="AK81" s="578" t="str">
        <f t="shared" si="238"/>
        <v/>
      </c>
      <c r="AL81" s="572" t="str">
        <f t="shared" si="113"/>
        <v/>
      </c>
      <c r="AM81" s="577" t="str">
        <f t="shared" si="114"/>
        <v/>
      </c>
      <c r="AN81" s="524" t="str">
        <f t="shared" si="115"/>
        <v/>
      </c>
      <c r="AO81" s="525" t="str">
        <f t="shared" si="525"/>
        <v/>
      </c>
      <c r="AP81" s="528" t="str">
        <f t="shared" si="117"/>
        <v/>
      </c>
      <c r="AQ81" s="529" t="str">
        <f t="shared" si="533"/>
        <v/>
      </c>
      <c r="AS81" s="932" t="str">
        <f t="shared" si="632"/>
        <v/>
      </c>
      <c r="AT81" s="928" t="str">
        <f t="shared" si="534"/>
        <v/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731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596"/>
        <v/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 t="str">
        <f t="shared" si="256"/>
        <v/>
      </c>
      <c r="B82" s="578" t="str">
        <f t="shared" si="515"/>
        <v/>
      </c>
      <c r="C82" s="572" t="str">
        <f t="shared" si="516"/>
        <v/>
      </c>
      <c r="D82" s="576" t="str">
        <f t="shared" si="517"/>
        <v/>
      </c>
      <c r="E82" s="580" t="str">
        <f t="shared" si="518"/>
        <v/>
      </c>
      <c r="F82" s="572" t="str">
        <f t="shared" si="519"/>
        <v/>
      </c>
      <c r="G82" s="579" t="str">
        <f t="shared" si="520"/>
        <v/>
      </c>
      <c r="H82" s="580" t="str">
        <f t="shared" si="521"/>
        <v/>
      </c>
      <c r="I82" s="572" t="str">
        <f t="shared" si="522"/>
        <v/>
      </c>
      <c r="J82" s="483" t="str">
        <f t="shared" si="523"/>
        <v/>
      </c>
      <c r="K82" s="806" t="str">
        <f t="shared" si="524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1"/>
        <v/>
      </c>
      <c r="S82" s="577" t="str">
        <f t="shared" si="102"/>
        <v/>
      </c>
      <c r="T82" s="578" t="str">
        <f t="shared" si="103"/>
        <v/>
      </c>
      <c r="U82" s="572" t="str">
        <f t="shared" si="104"/>
        <v/>
      </c>
      <c r="V82" s="579" t="str">
        <f t="shared" si="141"/>
        <v/>
      </c>
      <c r="W82" s="528" t="str">
        <f t="shared" si="735"/>
        <v/>
      </c>
      <c r="X82" s="572" t="str">
        <f t="shared" si="105"/>
        <v/>
      </c>
      <c r="Y82" s="573" t="str">
        <f t="shared" si="733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6"/>
        <v/>
      </c>
      <c r="AD82" s="580" t="str">
        <f t="shared" si="142"/>
        <v/>
      </c>
      <c r="AE82" s="572" t="str">
        <f t="shared" si="107"/>
        <v/>
      </c>
      <c r="AF82" s="576" t="str">
        <f t="shared" si="108"/>
        <v/>
      </c>
      <c r="AG82" s="545" t="str">
        <f t="shared" si="109"/>
        <v/>
      </c>
      <c r="AH82" s="546" t="str">
        <f t="shared" si="110"/>
        <v/>
      </c>
      <c r="AI82" s="528" t="str">
        <f t="shared" si="111"/>
        <v/>
      </c>
      <c r="AJ82" s="529" t="str">
        <f t="shared" si="112"/>
        <v/>
      </c>
      <c r="AK82" s="578" t="str">
        <f t="shared" si="238"/>
        <v/>
      </c>
      <c r="AL82" s="572" t="str">
        <f t="shared" si="113"/>
        <v/>
      </c>
      <c r="AM82" s="577" t="str">
        <f t="shared" si="114"/>
        <v/>
      </c>
      <c r="AN82" s="524" t="str">
        <f t="shared" si="115"/>
        <v/>
      </c>
      <c r="AO82" s="525" t="str">
        <f t="shared" si="525"/>
        <v/>
      </c>
      <c r="AP82" s="528" t="str">
        <f t="shared" si="117"/>
        <v/>
      </c>
      <c r="AQ82" s="529" t="str">
        <f t="shared" si="533"/>
        <v/>
      </c>
      <c r="AS82" s="932" t="str">
        <f t="shared" si="632"/>
        <v/>
      </c>
      <c r="AT82" s="928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1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256"/>
        <v/>
      </c>
      <c r="B83" s="578" t="str">
        <f t="shared" si="515"/>
        <v/>
      </c>
      <c r="C83" s="572" t="str">
        <f t="shared" si="516"/>
        <v/>
      </c>
      <c r="D83" s="576" t="str">
        <f t="shared" si="517"/>
        <v/>
      </c>
      <c r="E83" s="580" t="str">
        <f t="shared" si="518"/>
        <v/>
      </c>
      <c r="F83" s="572" t="str">
        <f t="shared" si="519"/>
        <v/>
      </c>
      <c r="G83" s="579" t="str">
        <f t="shared" si="520"/>
        <v/>
      </c>
      <c r="H83" s="580" t="str">
        <f t="shared" si="521"/>
        <v/>
      </c>
      <c r="I83" s="572" t="str">
        <f t="shared" si="522"/>
        <v/>
      </c>
      <c r="J83" s="483" t="str">
        <f t="shared" si="523"/>
        <v/>
      </c>
      <c r="K83" s="806" t="str">
        <f t="shared" si="524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1"/>
        <v/>
      </c>
      <c r="S83" s="577" t="str">
        <f t="shared" si="102"/>
        <v/>
      </c>
      <c r="T83" s="578" t="str">
        <f t="shared" si="103"/>
        <v/>
      </c>
      <c r="U83" s="572" t="str">
        <f t="shared" si="104"/>
        <v/>
      </c>
      <c r="V83" s="579" t="str">
        <f t="shared" si="141"/>
        <v/>
      </c>
      <c r="W83" s="528" t="str">
        <f t="shared" si="735"/>
        <v/>
      </c>
      <c r="X83" s="572" t="str">
        <f t="shared" si="105"/>
        <v/>
      </c>
      <c r="Y83" s="573" t="str">
        <f t="shared" si="733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6"/>
        <v/>
      </c>
      <c r="AD83" s="580" t="str">
        <f t="shared" si="142"/>
        <v/>
      </c>
      <c r="AE83" s="572" t="str">
        <f t="shared" si="107"/>
        <v/>
      </c>
      <c r="AF83" s="576" t="str">
        <f t="shared" si="108"/>
        <v/>
      </c>
      <c r="AG83" s="545" t="str">
        <f t="shared" si="109"/>
        <v/>
      </c>
      <c r="AH83" s="546" t="str">
        <f t="shared" si="110"/>
        <v/>
      </c>
      <c r="AI83" s="528" t="str">
        <f t="shared" si="111"/>
        <v/>
      </c>
      <c r="AJ83" s="529" t="str">
        <f t="shared" si="112"/>
        <v/>
      </c>
      <c r="AK83" s="578" t="str">
        <f t="shared" si="238"/>
        <v/>
      </c>
      <c r="AL83" s="572" t="str">
        <f t="shared" si="113"/>
        <v/>
      </c>
      <c r="AM83" s="577" t="str">
        <f t="shared" si="114"/>
        <v/>
      </c>
      <c r="AN83" s="524" t="str">
        <f t="shared" si="115"/>
        <v/>
      </c>
      <c r="AO83" s="525" t="str">
        <f t="shared" si="525"/>
        <v/>
      </c>
      <c r="AP83" s="528" t="str">
        <f t="shared" si="117"/>
        <v/>
      </c>
      <c r="AQ83" s="529" t="str">
        <f t="shared" si="533"/>
        <v/>
      </c>
      <c r="AS83" s="932" t="str">
        <f t="shared" si="632"/>
        <v/>
      </c>
      <c r="AT83" s="928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1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256"/>
        <v/>
      </c>
      <c r="B84" s="578" t="str">
        <f t="shared" si="515"/>
        <v/>
      </c>
      <c r="C84" s="572" t="str">
        <f t="shared" si="516"/>
        <v/>
      </c>
      <c r="D84" s="576" t="str">
        <f t="shared" si="517"/>
        <v/>
      </c>
      <c r="E84" s="580" t="str">
        <f t="shared" si="518"/>
        <v/>
      </c>
      <c r="F84" s="572" t="str">
        <f t="shared" si="519"/>
        <v/>
      </c>
      <c r="G84" s="579" t="str">
        <f t="shared" si="520"/>
        <v/>
      </c>
      <c r="H84" s="580" t="str">
        <f t="shared" si="521"/>
        <v/>
      </c>
      <c r="I84" s="572" t="str">
        <f t="shared" si="522"/>
        <v/>
      </c>
      <c r="J84" s="483" t="str">
        <f t="shared" si="523"/>
        <v/>
      </c>
      <c r="K84" s="806" t="str">
        <f t="shared" si="524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1"/>
        <v/>
      </c>
      <c r="S84" s="577" t="str">
        <f t="shared" si="102"/>
        <v/>
      </c>
      <c r="T84" s="578" t="str">
        <f t="shared" si="103"/>
        <v/>
      </c>
      <c r="U84" s="572" t="str">
        <f t="shared" si="104"/>
        <v/>
      </c>
      <c r="V84" s="579" t="str">
        <f t="shared" si="141"/>
        <v/>
      </c>
      <c r="W84" s="528" t="str">
        <f t="shared" si="735"/>
        <v/>
      </c>
      <c r="X84" s="572" t="str">
        <f t="shared" si="105"/>
        <v/>
      </c>
      <c r="Y84" s="573" t="str">
        <f t="shared" si="733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6"/>
        <v/>
      </c>
      <c r="AD84" s="580" t="str">
        <f t="shared" si="142"/>
        <v/>
      </c>
      <c r="AE84" s="572" t="str">
        <f t="shared" si="107"/>
        <v/>
      </c>
      <c r="AF84" s="576" t="str">
        <f t="shared" si="108"/>
        <v/>
      </c>
      <c r="AG84" s="545" t="str">
        <f t="shared" si="109"/>
        <v/>
      </c>
      <c r="AH84" s="546" t="str">
        <f t="shared" si="110"/>
        <v/>
      </c>
      <c r="AI84" s="528" t="str">
        <f t="shared" si="111"/>
        <v/>
      </c>
      <c r="AJ84" s="529" t="str">
        <f t="shared" si="112"/>
        <v/>
      </c>
      <c r="AK84" s="578" t="str">
        <f t="shared" si="238"/>
        <v/>
      </c>
      <c r="AL84" s="572" t="str">
        <f t="shared" si="113"/>
        <v/>
      </c>
      <c r="AM84" s="577" t="str">
        <f t="shared" si="114"/>
        <v/>
      </c>
      <c r="AN84" s="524" t="str">
        <f t="shared" si="115"/>
        <v/>
      </c>
      <c r="AO84" s="525" t="str">
        <f t="shared" si="525"/>
        <v/>
      </c>
      <c r="AP84" s="528" t="str">
        <f t="shared" si="117"/>
        <v/>
      </c>
      <c r="AQ84" s="529" t="str">
        <f t="shared" si="533"/>
        <v/>
      </c>
      <c r="AS84" s="932" t="str">
        <f t="shared" si="632"/>
        <v/>
      </c>
      <c r="AT84" s="928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1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256"/>
        <v/>
      </c>
      <c r="B85" s="578" t="str">
        <f t="shared" si="515"/>
        <v/>
      </c>
      <c r="C85" s="572" t="str">
        <f t="shared" si="516"/>
        <v/>
      </c>
      <c r="D85" s="576" t="str">
        <f t="shared" si="517"/>
        <v/>
      </c>
      <c r="E85" s="580" t="str">
        <f t="shared" si="518"/>
        <v/>
      </c>
      <c r="F85" s="572" t="str">
        <f t="shared" si="519"/>
        <v/>
      </c>
      <c r="G85" s="579" t="str">
        <f t="shared" si="520"/>
        <v/>
      </c>
      <c r="H85" s="580" t="str">
        <f t="shared" si="521"/>
        <v/>
      </c>
      <c r="I85" s="572" t="str">
        <f t="shared" si="522"/>
        <v/>
      </c>
      <c r="J85" s="483" t="str">
        <f t="shared" si="523"/>
        <v/>
      </c>
      <c r="K85" s="806" t="str">
        <f t="shared" si="524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1"/>
        <v/>
      </c>
      <c r="S85" s="577" t="str">
        <f t="shared" si="102"/>
        <v/>
      </c>
      <c r="T85" s="578" t="str">
        <f t="shared" si="103"/>
        <v/>
      </c>
      <c r="U85" s="572" t="str">
        <f t="shared" si="104"/>
        <v/>
      </c>
      <c r="V85" s="579" t="str">
        <f t="shared" si="141"/>
        <v/>
      </c>
      <c r="W85" s="528" t="str">
        <f t="shared" si="735"/>
        <v/>
      </c>
      <c r="X85" s="572" t="str">
        <f t="shared" si="105"/>
        <v/>
      </c>
      <c r="Y85" s="573" t="str">
        <f t="shared" si="733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6"/>
        <v/>
      </c>
      <c r="AD85" s="580" t="str">
        <f t="shared" si="142"/>
        <v/>
      </c>
      <c r="AE85" s="572" t="str">
        <f t="shared" si="107"/>
        <v/>
      </c>
      <c r="AF85" s="576" t="str">
        <f t="shared" si="108"/>
        <v/>
      </c>
      <c r="AG85" s="545" t="str">
        <f t="shared" si="109"/>
        <v/>
      </c>
      <c r="AH85" s="546" t="str">
        <f t="shared" si="110"/>
        <v/>
      </c>
      <c r="AI85" s="528" t="str">
        <f t="shared" si="111"/>
        <v/>
      </c>
      <c r="AJ85" s="529" t="str">
        <f t="shared" si="112"/>
        <v/>
      </c>
      <c r="AK85" s="578" t="str">
        <f t="shared" si="238"/>
        <v/>
      </c>
      <c r="AL85" s="572" t="str">
        <f t="shared" si="113"/>
        <v/>
      </c>
      <c r="AM85" s="577" t="str">
        <f t="shared" si="114"/>
        <v/>
      </c>
      <c r="AN85" s="524" t="str">
        <f t="shared" si="115"/>
        <v/>
      </c>
      <c r="AO85" s="525" t="str">
        <f t="shared" si="525"/>
        <v/>
      </c>
      <c r="AP85" s="528" t="str">
        <f t="shared" si="117"/>
        <v/>
      </c>
      <c r="AQ85" s="529" t="str">
        <f t="shared" si="533"/>
        <v/>
      </c>
      <c r="AS85" s="932" t="str">
        <f t="shared" si="632"/>
        <v/>
      </c>
      <c r="AT85" s="928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1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256"/>
        <v/>
      </c>
      <c r="B86" s="578" t="str">
        <f t="shared" si="515"/>
        <v/>
      </c>
      <c r="C86" s="572" t="str">
        <f t="shared" si="516"/>
        <v/>
      </c>
      <c r="D86" s="576" t="str">
        <f t="shared" si="517"/>
        <v/>
      </c>
      <c r="E86" s="580" t="str">
        <f t="shared" si="518"/>
        <v/>
      </c>
      <c r="F86" s="572" t="str">
        <f t="shared" si="519"/>
        <v/>
      </c>
      <c r="G86" s="579" t="str">
        <f t="shared" si="520"/>
        <v/>
      </c>
      <c r="H86" s="580" t="str">
        <f t="shared" si="521"/>
        <v/>
      </c>
      <c r="I86" s="572" t="str">
        <f t="shared" si="522"/>
        <v/>
      </c>
      <c r="J86" s="483" t="str">
        <f t="shared" si="523"/>
        <v/>
      </c>
      <c r="K86" s="806" t="str">
        <f t="shared" si="524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1"/>
        <v/>
      </c>
      <c r="S86" s="577" t="str">
        <f t="shared" si="102"/>
        <v/>
      </c>
      <c r="T86" s="578" t="str">
        <f t="shared" si="103"/>
        <v/>
      </c>
      <c r="U86" s="572" t="str">
        <f t="shared" si="104"/>
        <v/>
      </c>
      <c r="V86" s="579" t="str">
        <f t="shared" si="141"/>
        <v/>
      </c>
      <c r="W86" s="528" t="str">
        <f t="shared" si="735"/>
        <v/>
      </c>
      <c r="X86" s="572" t="str">
        <f t="shared" si="105"/>
        <v/>
      </c>
      <c r="Y86" s="573" t="str">
        <f t="shared" si="733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6"/>
        <v/>
      </c>
      <c r="AD86" s="580" t="str">
        <f t="shared" si="142"/>
        <v/>
      </c>
      <c r="AE86" s="572" t="str">
        <f t="shared" si="107"/>
        <v/>
      </c>
      <c r="AF86" s="576" t="str">
        <f t="shared" si="108"/>
        <v/>
      </c>
      <c r="AG86" s="545" t="str">
        <f t="shared" si="109"/>
        <v/>
      </c>
      <c r="AH86" s="546" t="str">
        <f t="shared" si="110"/>
        <v/>
      </c>
      <c r="AI86" s="528" t="str">
        <f t="shared" si="111"/>
        <v/>
      </c>
      <c r="AJ86" s="529" t="str">
        <f t="shared" si="112"/>
        <v/>
      </c>
      <c r="AK86" s="578" t="str">
        <f t="shared" si="238"/>
        <v/>
      </c>
      <c r="AL86" s="572" t="str">
        <f t="shared" si="113"/>
        <v/>
      </c>
      <c r="AM86" s="577" t="str">
        <f t="shared" si="114"/>
        <v/>
      </c>
      <c r="AN86" s="524" t="str">
        <f t="shared" si="115"/>
        <v/>
      </c>
      <c r="AO86" s="525" t="str">
        <f t="shared" si="525"/>
        <v/>
      </c>
      <c r="AP86" s="528" t="str">
        <f t="shared" si="117"/>
        <v/>
      </c>
      <c r="AQ86" s="529" t="str">
        <f t="shared" si="533"/>
        <v/>
      </c>
      <c r="AS86" s="932" t="str">
        <f t="shared" si="632"/>
        <v/>
      </c>
      <c r="AT86" s="928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1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256"/>
        <v/>
      </c>
      <c r="B87" s="578" t="str">
        <f t="shared" si="515"/>
        <v/>
      </c>
      <c r="C87" s="572" t="str">
        <f t="shared" si="516"/>
        <v/>
      </c>
      <c r="D87" s="576" t="str">
        <f t="shared" si="517"/>
        <v/>
      </c>
      <c r="E87" s="580" t="str">
        <f t="shared" si="518"/>
        <v/>
      </c>
      <c r="F87" s="572" t="str">
        <f t="shared" si="519"/>
        <v/>
      </c>
      <c r="G87" s="579" t="str">
        <f t="shared" si="520"/>
        <v/>
      </c>
      <c r="H87" s="580" t="str">
        <f t="shared" si="521"/>
        <v/>
      </c>
      <c r="I87" s="572" t="str">
        <f t="shared" si="522"/>
        <v/>
      </c>
      <c r="J87" s="483" t="str">
        <f t="shared" si="523"/>
        <v/>
      </c>
      <c r="K87" s="806" t="str">
        <f t="shared" si="524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1"/>
        <v/>
      </c>
      <c r="S87" s="577" t="str">
        <f t="shared" si="102"/>
        <v/>
      </c>
      <c r="T87" s="578" t="str">
        <f t="shared" si="103"/>
        <v/>
      </c>
      <c r="U87" s="572" t="str">
        <f t="shared" si="104"/>
        <v/>
      </c>
      <c r="V87" s="579" t="str">
        <f t="shared" si="141"/>
        <v/>
      </c>
      <c r="W87" s="528" t="str">
        <f t="shared" si="735"/>
        <v/>
      </c>
      <c r="X87" s="572" t="str">
        <f t="shared" si="105"/>
        <v/>
      </c>
      <c r="Y87" s="573" t="str">
        <f t="shared" si="733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6"/>
        <v/>
      </c>
      <c r="AD87" s="580" t="str">
        <f t="shared" si="142"/>
        <v/>
      </c>
      <c r="AE87" s="572" t="str">
        <f t="shared" si="107"/>
        <v/>
      </c>
      <c r="AF87" s="576" t="str">
        <f t="shared" si="108"/>
        <v/>
      </c>
      <c r="AG87" s="545" t="str">
        <f t="shared" si="109"/>
        <v/>
      </c>
      <c r="AH87" s="546" t="str">
        <f t="shared" si="110"/>
        <v/>
      </c>
      <c r="AI87" s="528" t="str">
        <f t="shared" si="111"/>
        <v/>
      </c>
      <c r="AJ87" s="529" t="str">
        <f t="shared" si="112"/>
        <v/>
      </c>
      <c r="AK87" s="578" t="str">
        <f t="shared" si="238"/>
        <v/>
      </c>
      <c r="AL87" s="572" t="str">
        <f t="shared" si="113"/>
        <v/>
      </c>
      <c r="AM87" s="577" t="str">
        <f t="shared" si="114"/>
        <v/>
      </c>
      <c r="AN87" s="524" t="str">
        <f t="shared" si="115"/>
        <v/>
      </c>
      <c r="AO87" s="525" t="str">
        <f t="shared" si="525"/>
        <v/>
      </c>
      <c r="AP87" s="528" t="str">
        <f t="shared" si="117"/>
        <v/>
      </c>
      <c r="AQ87" s="529" t="str">
        <f t="shared" si="533"/>
        <v/>
      </c>
      <c r="AS87" s="932" t="str">
        <f t="shared" si="632"/>
        <v/>
      </c>
      <c r="AT87" s="928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1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256"/>
        <v/>
      </c>
      <c r="B88" s="578" t="str">
        <f t="shared" si="515"/>
        <v/>
      </c>
      <c r="C88" s="572" t="str">
        <f t="shared" si="516"/>
        <v/>
      </c>
      <c r="D88" s="576" t="str">
        <f t="shared" si="517"/>
        <v/>
      </c>
      <c r="E88" s="580" t="str">
        <f t="shared" si="518"/>
        <v/>
      </c>
      <c r="F88" s="572" t="str">
        <f t="shared" si="519"/>
        <v/>
      </c>
      <c r="G88" s="579" t="str">
        <f t="shared" si="520"/>
        <v/>
      </c>
      <c r="H88" s="580" t="str">
        <f t="shared" si="521"/>
        <v/>
      </c>
      <c r="I88" s="572" t="str">
        <f t="shared" si="522"/>
        <v/>
      </c>
      <c r="J88" s="483" t="str">
        <f t="shared" si="523"/>
        <v/>
      </c>
      <c r="K88" s="806" t="str">
        <f t="shared" si="524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1"/>
        <v/>
      </c>
      <c r="S88" s="577" t="str">
        <f t="shared" si="102"/>
        <v/>
      </c>
      <c r="T88" s="578" t="str">
        <f t="shared" si="103"/>
        <v/>
      </c>
      <c r="U88" s="572" t="str">
        <f t="shared" si="104"/>
        <v/>
      </c>
      <c r="V88" s="579" t="str">
        <f t="shared" si="141"/>
        <v/>
      </c>
      <c r="W88" s="528" t="str">
        <f t="shared" si="735"/>
        <v/>
      </c>
      <c r="X88" s="572" t="str">
        <f t="shared" si="105"/>
        <v/>
      </c>
      <c r="Y88" s="573" t="str">
        <f t="shared" si="733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6"/>
        <v/>
      </c>
      <c r="AD88" s="580" t="str">
        <f t="shared" si="142"/>
        <v/>
      </c>
      <c r="AE88" s="572" t="str">
        <f t="shared" si="107"/>
        <v/>
      </c>
      <c r="AF88" s="576" t="str">
        <f t="shared" si="108"/>
        <v/>
      </c>
      <c r="AG88" s="545" t="str">
        <f t="shared" si="109"/>
        <v/>
      </c>
      <c r="AH88" s="546" t="str">
        <f t="shared" si="110"/>
        <v/>
      </c>
      <c r="AI88" s="528" t="str">
        <f t="shared" si="111"/>
        <v/>
      </c>
      <c r="AJ88" s="529" t="str">
        <f t="shared" si="112"/>
        <v/>
      </c>
      <c r="AK88" s="578" t="str">
        <f t="shared" si="238"/>
        <v/>
      </c>
      <c r="AL88" s="572" t="str">
        <f t="shared" si="113"/>
        <v/>
      </c>
      <c r="AM88" s="577" t="str">
        <f t="shared" si="114"/>
        <v/>
      </c>
      <c r="AN88" s="524" t="str">
        <f t="shared" si="115"/>
        <v/>
      </c>
      <c r="AO88" s="525" t="str">
        <f t="shared" si="525"/>
        <v/>
      </c>
      <c r="AP88" s="528" t="str">
        <f t="shared" si="117"/>
        <v/>
      </c>
      <c r="AQ88" s="529" t="str">
        <f t="shared" si="533"/>
        <v/>
      </c>
      <c r="AS88" s="932" t="str">
        <f t="shared" si="632"/>
        <v/>
      </c>
      <c r="AT88" s="928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1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93" t="str">
        <f t="shared" si="845"/>
        <v/>
      </c>
      <c r="C150" s="590" t="str">
        <f t="shared" si="846"/>
        <v/>
      </c>
      <c r="D150" s="591" t="str">
        <f t="shared" si="847"/>
        <v/>
      </c>
      <c r="E150" s="596" t="str">
        <f t="shared" si="848"/>
        <v/>
      </c>
      <c r="F150" s="590" t="str">
        <f t="shared" si="849"/>
        <v/>
      </c>
      <c r="G150" s="594" t="str">
        <f t="shared" si="850"/>
        <v/>
      </c>
      <c r="H150" s="596" t="str">
        <f t="shared" si="851"/>
        <v/>
      </c>
      <c r="I150" s="590" t="str">
        <f t="shared" si="852"/>
        <v/>
      </c>
      <c r="J150" s="485" t="str">
        <f t="shared" si="853"/>
        <v/>
      </c>
      <c r="K150" s="808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3.3685446776381727</v>
      </c>
      <c r="BA151" s="288">
        <f>SUM(BA9:BA150)</f>
        <v>0.99999999999999989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54" t="s">
        <v>42</v>
      </c>
      <c r="C157" s="1355"/>
      <c r="D157" s="1355"/>
      <c r="E157" s="1355"/>
      <c r="F157" s="1355"/>
      <c r="G157" s="1355"/>
      <c r="H157" s="1355"/>
      <c r="I157" s="1355"/>
      <c r="J157" s="1355"/>
      <c r="K157" s="1355"/>
      <c r="L157" s="1355"/>
      <c r="M157" s="1355"/>
      <c r="N157" s="1355"/>
      <c r="O157" s="1356"/>
      <c r="BC157" t="s">
        <v>101</v>
      </c>
      <c r="BD157" s="219">
        <v>0</v>
      </c>
    </row>
    <row r="158" spans="1:261" ht="15" customHeight="1" x14ac:dyDescent="0.25">
      <c r="B158" s="1357"/>
      <c r="C158" s="1358"/>
      <c r="D158" s="1358"/>
      <c r="E158" s="1358"/>
      <c r="F158" s="1358"/>
      <c r="G158" s="1358"/>
      <c r="H158" s="1358"/>
      <c r="I158" s="1358"/>
      <c r="J158" s="1358"/>
      <c r="K158" s="1358"/>
      <c r="L158" s="1358"/>
      <c r="M158" s="1358"/>
      <c r="N158" s="1358"/>
      <c r="O158" s="1359"/>
      <c r="BC158" t="s">
        <v>102</v>
      </c>
      <c r="BD158" s="219">
        <v>0.01</v>
      </c>
    </row>
    <row r="159" spans="1:261" ht="15" customHeight="1" x14ac:dyDescent="0.25">
      <c r="B159" s="1357"/>
      <c r="C159" s="1358"/>
      <c r="D159" s="1358"/>
      <c r="E159" s="1358"/>
      <c r="F159" s="1358"/>
      <c r="G159" s="1358"/>
      <c r="H159" s="1358"/>
      <c r="I159" s="1358"/>
      <c r="J159" s="1358"/>
      <c r="K159" s="1358"/>
      <c r="L159" s="1358"/>
      <c r="M159" s="1358"/>
      <c r="N159" s="1358"/>
      <c r="O159" s="1359"/>
      <c r="AJ159" s="31" t="s">
        <v>349</v>
      </c>
      <c r="AU159"/>
    </row>
    <row r="160" spans="1:261" ht="15" customHeight="1" x14ac:dyDescent="0.25">
      <c r="B160" s="1360" t="str">
        <f>CONCATENATE(B162," ; ",E162," ; ",H163)</f>
        <v>Absolute-Point ; Incremental-Vector Point ; Radius</v>
      </c>
      <c r="C160" s="1361"/>
      <c r="D160" s="1361"/>
      <c r="E160" s="1361"/>
      <c r="F160" s="1361"/>
      <c r="G160" s="1361"/>
      <c r="H160" s="1361"/>
      <c r="I160" s="1361"/>
      <c r="J160" s="1361"/>
      <c r="K160" s="1361"/>
      <c r="L160" s="1361"/>
      <c r="M160" s="1361"/>
      <c r="N160" s="1361"/>
      <c r="O160" s="1362"/>
      <c r="AJ160" s="82">
        <f>COUNT(_xlfn.ANCHORARRAY($AJ$164))</f>
        <v>336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60"/>
      <c r="C161" s="1361"/>
      <c r="D161" s="1361"/>
      <c r="E161" s="1361"/>
      <c r="F161" s="1361"/>
      <c r="G161" s="1361"/>
      <c r="H161" s="1361"/>
      <c r="I161" s="1361"/>
      <c r="J161" s="1361"/>
      <c r="K161" s="1361"/>
      <c r="L161" s="1361"/>
      <c r="M161" s="1361"/>
      <c r="N161" s="1361"/>
      <c r="O161" s="1362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089" t="s">
        <v>40</v>
      </c>
      <c r="C162" s="1090"/>
      <c r="D162" s="1091"/>
      <c r="E162" s="1092" t="s">
        <v>41</v>
      </c>
      <c r="F162" s="1090"/>
      <c r="G162" s="1093"/>
      <c r="H162" s="989" t="s">
        <v>305</v>
      </c>
      <c r="I162" s="987"/>
      <c r="J162" s="988"/>
      <c r="K162" s="989" t="s">
        <v>386</v>
      </c>
      <c r="L162" s="1158"/>
      <c r="M162" s="937"/>
      <c r="N162" s="1094" t="s">
        <v>398</v>
      </c>
      <c r="O162" s="1095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0.31630095396367724</v>
      </c>
      <c r="D164" s="647">
        <v>-0.70320212085759659</v>
      </c>
      <c r="E164" s="648">
        <v>-0.9271838753345083</v>
      </c>
      <c r="F164" s="646">
        <v>-5.2135146613611329E-2</v>
      </c>
      <c r="G164" s="649">
        <v>0.37096089794917791</v>
      </c>
      <c r="H164" s="648">
        <v>0.28649999999999998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14513</v>
      </c>
      <c r="L164" s="940" t="s">
        <v>423</v>
      </c>
      <c r="M164" s="969">
        <f>INDEX([1]List!$AG$204:$AG$240,MATCH($J164,[1]List!$AA$204:$AA$240,0))*-1</f>
        <v>10</v>
      </c>
      <c r="N164" s="938"/>
      <c r="O164" s="939"/>
      <c r="P164" s="1"/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0.31630095396367724</v>
      </c>
      <c r="S164" s="162">
        <f t="shared" ref="S164:S195" si="1061">IFERROR(INDEX(D$164:D$305,MATCH($Y164,$J$164:$J$305,0)),"")</f>
        <v>-0.70320212085759659</v>
      </c>
      <c r="T164" s="162">
        <f t="shared" ref="T164:T195" si="1062">IFERROR(IF($N164="Y",-1*INDEX(E$164:E$305,MATCH($Y164,$J$164:$J$305,0)),INDEX(E$164:E$305,MATCH($Y164,$J$164:$J$305,0))),"")</f>
        <v>-0.9271838753345083</v>
      </c>
      <c r="U164" s="162">
        <f t="shared" ref="U164:U195" si="1063">IFERROR(IF($N164="Y",-1*INDEX(F$164:F$305,MATCH($Y164,$J$164:$J$305,0)),INDEX(F$164:F$305,MATCH($Y164,$J$164:$J$305,0))),"")</f>
        <v>-5.2135146613611329E-2</v>
      </c>
      <c r="V164" s="162">
        <f t="shared" ref="V164:V195" si="1064">IFERROR(IF($N164="Y",-1*INDEX(G$164:G$305,MATCH($Y164,$J$164:$J$305,0)),INDEX(G$164:G$305,MATCH($Y164,$J$164:$J$305,0))),"")</f>
        <v>0.37096089794917791</v>
      </c>
      <c r="W164" s="162">
        <f>IFERROR(IF(ISNUMBER(MATCH($Z164,Settings!$AK$28:$AK$36,0)),INDEX(Settings!$AO$14:$AO$36,MATCH($Z164,Settings!$AK$14:$AK$36,0))/2,INDEX(Settings!$AM$14:$AM$36,MATCH($Z164,Settings!$AK$14:$AK$36,0))/2),"")</f>
        <v>0.28499999999999998</v>
      </c>
      <c r="X164" s="162">
        <f t="shared" ref="X164:X195" si="1065">IFERROR(INDEX(I$164:I$305,MATCH($Y164,$J$164:$J$305,0)),"")</f>
        <v>0.52</v>
      </c>
      <c r="Y164" s="75" cm="1">
        <f t="array" ref="Y164:Y219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14513</v>
      </c>
      <c r="AC164" s="166" cm="1">
        <f t="array" ref="AC164:AC193">_xlfn.UNIQUE(VALUE(_xlfn.ANCHORARRAY($AF$164)+ROUND((_xlfn.ANCHORARRAY($AG$164)/10),2)+ROUND((_xlfn.ANCHORARRAY($AI$164)/100000),5)))</f>
        <v>5.2000099999999998</v>
      </c>
      <c r="AD164" s="75" cm="1">
        <f t="array" ref="AD164:AD193">(ROW(_xlfn.ANCHORARRAY($AC$164):$AC164)-ROW($AC$164)-COUNT(_xlfn.ANCHORARRAY($AC$164))+1)*0.75</f>
        <v>-21.75</v>
      </c>
      <c r="AE164" s="75" cm="1">
        <f t="array" ref="AE164:AE499">ROUNDDOWN((_xlfn.ANCHORARRAY(AJ164)*1000),0)/1000</f>
        <v>5.2320000000000002</v>
      </c>
      <c r="AF164" s="166" cm="1">
        <f t="array" ref="AF164:AF499">ROUNDDOWN(_xlfn.ANCHORARRAY(AJ164),0)</f>
        <v>5</v>
      </c>
      <c r="AG164" s="82" cm="1">
        <f t="array" ref="AG164:AG499">VALUE(RIGHT(ROUNDDOWN(_xlfn.ANCHORARRAY(AJ164)*10,0),1))</f>
        <v>2</v>
      </c>
      <c r="AH164" s="82" cm="1">
        <f t="array" ref="AH164:AH499">VALUE(LEFT(RIGHT((_xlfn.ANCHORARRAY($AJ$164)*100000),2),1))</f>
        <v>1</v>
      </c>
      <c r="AI164" s="82" cm="1">
        <f t="array" ref="AI164:AI499">MOD(_xlfn.ANCHORARRAY($AJ$164)*10000,1)*10</f>
        <v>1.0000000000582077</v>
      </c>
      <c r="AJ164" s="166" cm="1">
        <f t="array" ref="AJ164:AJ499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5.2321100000000005</v>
      </c>
      <c r="AK164" s="82" t="str" cm="1">
        <f t="array" ref="AK164:AK499">IF(_xlfn.ANCHORARRAY($AH$164)=1,"Base",_xlfn.ANCHORARRAY($AJ$164)-0.0001)</f>
        <v>Base</v>
      </c>
      <c r="AL164" s="162" cm="1">
        <f t="array" ref="AL164:AL499">IF(_xlfn.ANCHORARRAY($AH$164)=1,INDEX(_xlfn.ANCHORARRAY($AD$164),MATCH((_xlfn.ANCHORARRAY($AF$164)+(_xlfn.ANCHORARRAY($AG$164)/10)+ROUND((_xlfn.ANCHORARRAY($AI$164)/100000),5)),_xlfn.ANCHORARRAY($AC$164),0)),0)</f>
        <v>-21.75</v>
      </c>
      <c r="AM164" s="162" cm="1">
        <f t="array" ref="AM164:AM499">IF(_xlfn.ANCHORARRAY($AH$164)=1,-INDEX($R$9:$R$150,MATCH(_xlfn.ANCHORARRAY($AE$164),$M$9:$M$150,0)),0)</f>
        <v>-3.6674116518398736</v>
      </c>
      <c r="AN164" s="162" cm="1">
        <f t="array" ref="AN164:AN499">IF(_xlfn.ANCHORARRAY($AH$164)=1,INDEX($AT$9:$AT$150,MATCH(_xlfn.ANCHORARRAY($AE$164),$M$9:$M$150,0))+((_xlfn.ANCHORARRAY($AI$164)-1)*-AS5),0)</f>
        <v>-2.3210391518984026</v>
      </c>
      <c r="AO164" s="162" cm="1">
        <f t="array" ref="AO164:AO499">IF(_xlfn.ANCHORARRAY($AH$164)=1,-INDEX($AN$9:$AN$150,MATCH(_xlfn.ANCHORARRAY($AE$164),$M$9:$M$150,0)),IF(_xlfn.ANCHORARRAY($AH$164)=2,_xlfn.ANCHORARRAY($AY$164),0))</f>
        <v>84.999987727520192</v>
      </c>
      <c r="AP164" s="162" cm="1">
        <f t="array" ref="AP164:AP499">IF(_xlfn.ANCHORARRAY($AH$164)=1,-INDEX($AO$9:$AO$150,MATCH(_xlfn.ANCHORARRAY($AE$164),$M$9:$M$150,0)),0)</f>
        <v>0</v>
      </c>
      <c r="AQ164" s="162" cm="1">
        <f t="array" ref="AQ164:AQ499">IF(_xlfn.ANCHORARRAY($AJ$164)="value",0,0)</f>
        <v>0</v>
      </c>
      <c r="AR164" s="710" t="str" cm="1">
        <f t="array" ref="AR164:AR499">INDEX($L$164:$L$305,MATCH(_xlfn.ANCHORARRAY($AE$164),$J$164:$J$305,0))</f>
        <v>32193r1.par</v>
      </c>
      <c r="AV164" s="82" t="str" cm="1">
        <f t="array" ref="AV164:AV499">INDEX(Settings!$C$3:$K$4,_xlfn.ANCHORARRAY(Assy.Model!$AG$164),_xlfn.ANCHORARRAY(Assy.Model!$AF$164))</f>
        <v>121,188,255</v>
      </c>
      <c r="AW164" s="947" cm="1">
        <f t="array" ref="AW164:AW499">-INDEX($M$164:$M$305,MATCH(_xlfn.ANCHORARRAY($AE$164),$J$164:$J$305,0))</f>
        <v>85</v>
      </c>
      <c r="AX164" s="947" cm="1">
        <f t="array" ref="AX164:AX499">-INDEX($AN$9:$AN$150,MATCH(_xlfn.ANCHORARRAY($AE$164),$M$9:$M$150,0))</f>
        <v>84.999987727520192</v>
      </c>
      <c r="AY164" s="947" cm="1">
        <f t="array" ref="AY164:AY499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0</v>
      </c>
      <c r="C165" s="651">
        <v>0.98400296775295071</v>
      </c>
      <c r="D165" s="652">
        <v>-0.46020138796738613</v>
      </c>
      <c r="E165" s="653">
        <v>-0.96126171816521055</v>
      </c>
      <c r="F165" s="651">
        <v>-2.4023368259670556E-2</v>
      </c>
      <c r="G165" s="654">
        <v>0.27458839554418146</v>
      </c>
      <c r="H165" s="653">
        <v>0.28649999999999998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14513</v>
      </c>
      <c r="L165" s="940" t="s">
        <v>423</v>
      </c>
      <c r="M165" s="970">
        <f>INDEX([1]List!$AG$204:$AG$240,MATCH($J165,[1]List!$AA$204:$AA$240,0))*-1</f>
        <v>10</v>
      </c>
      <c r="N165" s="941"/>
      <c r="O165" s="942"/>
      <c r="Q165" s="162">
        <f t="shared" si="1059"/>
        <v>0</v>
      </c>
      <c r="R165" s="162">
        <f t="shared" si="1060"/>
        <v>0.98400296775295071</v>
      </c>
      <c r="S165" s="162">
        <f t="shared" si="1061"/>
        <v>-0.46020138796738613</v>
      </c>
      <c r="T165" s="162">
        <f t="shared" si="1062"/>
        <v>-0.96126171816521055</v>
      </c>
      <c r="U165" s="162">
        <f t="shared" si="1063"/>
        <v>-2.4023368259670556E-2</v>
      </c>
      <c r="V165" s="162">
        <f t="shared" si="1064"/>
        <v>0.27458839554418146</v>
      </c>
      <c r="W165" s="162">
        <f>IFERROR(IF(ISNUMBER(MATCH($Z165,Settings!$AK$28:$AK$36,0)),INDEX(Settings!$AO$14:$AO$36,MATCH($Z165,Settings!$AK$14:$AK$36,0))/2,INDEX(Settings!$AM$14:$AM$36,MATCH($Z165,Settings!$AK$14:$AK$36,0))/2),"")</f>
        <v>0.28499999999999998</v>
      </c>
      <c r="X165" s="162">
        <f t="shared" si="1065"/>
        <v>0.52</v>
      </c>
      <c r="Y165" s="75">
        <v>1.1040000000000001</v>
      </c>
      <c r="Z165" s="917">
        <f t="shared" si="1066"/>
        <v>14513</v>
      </c>
      <c r="AA165" s="82"/>
      <c r="AB165" s="75"/>
      <c r="AC165" s="166">
        <v>5.1000099999999993</v>
      </c>
      <c r="AD165" s="166">
        <v>-21</v>
      </c>
      <c r="AE165" s="75">
        <v>5.2270000000000003</v>
      </c>
      <c r="AF165" s="82">
        <v>5</v>
      </c>
      <c r="AG165" s="82">
        <v>2</v>
      </c>
      <c r="AH165" s="82">
        <v>1</v>
      </c>
      <c r="AI165" s="82">
        <v>1.0000000000582077</v>
      </c>
      <c r="AJ165" s="166">
        <v>5.2271100000000006</v>
      </c>
      <c r="AK165" s="82" t="str">
        <v>Base</v>
      </c>
      <c r="AL165" s="162">
        <v>-21.75</v>
      </c>
      <c r="AM165" s="162">
        <v>-3.622411516119465</v>
      </c>
      <c r="AN165" s="162">
        <v>-1.5801352406589395</v>
      </c>
      <c r="AO165" s="162">
        <v>84.999987727520192</v>
      </c>
      <c r="AP165" s="162">
        <v>0</v>
      </c>
      <c r="AQ165" s="162">
        <v>0</v>
      </c>
      <c r="AR165" s="710" t="str">
        <v>32193r1.par</v>
      </c>
      <c r="AV165" s="82" t="str">
        <v>121,188,255</v>
      </c>
      <c r="AW165" s="947">
        <v>85</v>
      </c>
      <c r="AX165" s="947">
        <v>84.999987727520192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0</v>
      </c>
      <c r="C166" s="651">
        <v>1.6518049818438256</v>
      </c>
      <c r="D166" s="652">
        <v>-0.21710065477557486</v>
      </c>
      <c r="E166" s="653">
        <v>-0.96592583607220739</v>
      </c>
      <c r="F166" s="651">
        <v>-9.0326518332543848E-3</v>
      </c>
      <c r="G166" s="654">
        <v>0.2586613430898913</v>
      </c>
      <c r="H166" s="653">
        <v>0.28649999999999998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14513</v>
      </c>
      <c r="L166" s="940" t="s">
        <v>423</v>
      </c>
      <c r="M166" s="970">
        <f>INDEX([1]List!$AG$204:$AG$240,MATCH($J166,[1]List!$AA$204:$AA$240,0))*-1</f>
        <v>20</v>
      </c>
      <c r="N166" s="941"/>
      <c r="O166" s="942"/>
      <c r="Q166" s="162">
        <f t="shared" si="1059"/>
        <v>0</v>
      </c>
      <c r="R166" s="162">
        <f t="shared" si="1060"/>
        <v>1.6518049818438256</v>
      </c>
      <c r="S166" s="162">
        <f t="shared" si="1061"/>
        <v>-0.21710065477557486</v>
      </c>
      <c r="T166" s="162">
        <f t="shared" si="1062"/>
        <v>-0.96592583607220739</v>
      </c>
      <c r="U166" s="162">
        <f t="shared" si="1063"/>
        <v>-9.0326518332543848E-3</v>
      </c>
      <c r="V166" s="162">
        <f t="shared" si="1064"/>
        <v>0.2586613430898913</v>
      </c>
      <c r="W166" s="162">
        <f>IFERROR(IF(ISNUMBER(MATCH($Z166,Settings!$AK$28:$AK$36,0)),INDEX(Settings!$AO$14:$AO$36,MATCH($Z166,Settings!$AK$14:$AK$36,0))/2,INDEX(Settings!$AM$14:$AM$36,MATCH($Z166,Settings!$AK$14:$AK$36,0))/2),"")</f>
        <v>0.28499999999999998</v>
      </c>
      <c r="X166" s="162">
        <f t="shared" si="1065"/>
        <v>0.52</v>
      </c>
      <c r="Y166" s="75">
        <v>1.107</v>
      </c>
      <c r="Z166" s="917">
        <f t="shared" si="1066"/>
        <v>14513</v>
      </c>
      <c r="AA166" s="82"/>
      <c r="AB166" s="75"/>
      <c r="AC166" s="166">
        <v>4.2000099999999998</v>
      </c>
      <c r="AD166" s="166">
        <v>-20.25</v>
      </c>
      <c r="AE166" s="75">
        <v>5.2220000000000004</v>
      </c>
      <c r="AF166" s="82">
        <v>5</v>
      </c>
      <c r="AG166" s="82">
        <v>2</v>
      </c>
      <c r="AH166" s="82">
        <v>1</v>
      </c>
      <c r="AI166" s="82">
        <v>1.0000000000582077</v>
      </c>
      <c r="AJ166" s="166">
        <v>5.2221100000000007</v>
      </c>
      <c r="AK166" s="82" t="str">
        <v>Base</v>
      </c>
      <c r="AL166" s="162">
        <v>-21.75</v>
      </c>
      <c r="AM166" s="162">
        <v>-3.5581067954854038</v>
      </c>
      <c r="AN166" s="162">
        <v>-0.8775259665406725</v>
      </c>
      <c r="AO166" s="162">
        <v>64.808723976855745</v>
      </c>
      <c r="AP166" s="162">
        <v>-31.221826678796521</v>
      </c>
      <c r="AQ166" s="162">
        <v>0</v>
      </c>
      <c r="AR166" s="710" t="str">
        <v>1313.par</v>
      </c>
      <c r="AV166" s="82" t="str">
        <v>121,188,255</v>
      </c>
      <c r="AW166" s="947">
        <v>66.569999999999993</v>
      </c>
      <c r="AX166" s="947">
        <v>64.808723976855745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6.6136111788104197E-3</v>
      </c>
      <c r="C167" s="651">
        <v>2.3982981143762028</v>
      </c>
      <c r="D167" s="652">
        <v>-0.13750041470125077</v>
      </c>
      <c r="E167" s="653">
        <v>-0.95735560873545766</v>
      </c>
      <c r="F167" s="651">
        <v>5.2727639446278521E-2</v>
      </c>
      <c r="G167" s="654">
        <v>0.28405991350626131</v>
      </c>
      <c r="H167" s="653">
        <v>0.28649999999999998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14513</v>
      </c>
      <c r="L167" s="940" t="s">
        <v>423</v>
      </c>
      <c r="M167" s="970">
        <f>INDEX([1]List!$AG$204:$AG$240,MATCH($J167,[1]List!$AA$204:$AA$240,0))*-1</f>
        <v>-7.8199999999999932</v>
      </c>
      <c r="N167" s="941"/>
      <c r="O167" s="942"/>
      <c r="Q167" s="162">
        <f t="shared" si="1059"/>
        <v>6.6136111788104197E-3</v>
      </c>
      <c r="R167" s="162">
        <f t="shared" si="1060"/>
        <v>2.3982981143762028</v>
      </c>
      <c r="S167" s="162">
        <f t="shared" si="1061"/>
        <v>-0.13750041470125077</v>
      </c>
      <c r="T167" s="162">
        <f t="shared" si="1062"/>
        <v>-0.95735560873545766</v>
      </c>
      <c r="U167" s="162">
        <f t="shared" si="1063"/>
        <v>5.2727639446278521E-2</v>
      </c>
      <c r="V167" s="162">
        <f t="shared" si="1064"/>
        <v>0.28405991350626131</v>
      </c>
      <c r="W167" s="162">
        <f>IFERROR(IF(ISNUMBER(MATCH($Z167,Settings!$AK$28:$AK$36,0)),INDEX(Settings!$AO$14:$AO$36,MATCH($Z167,Settings!$AK$14:$AK$36,0))/2,INDEX(Settings!$AM$14:$AM$36,MATCH($Z167,Settings!$AK$14:$AK$36,0))/2),"")</f>
        <v>0.28499999999999998</v>
      </c>
      <c r="X167" s="162">
        <f t="shared" si="1065"/>
        <v>0.52</v>
      </c>
      <c r="Y167" s="75">
        <v>1.111</v>
      </c>
      <c r="Z167" s="917">
        <f t="shared" si="1066"/>
        <v>14513</v>
      </c>
      <c r="AA167" s="82"/>
      <c r="AB167" s="75"/>
      <c r="AC167" s="166">
        <v>4.1000099999999993</v>
      </c>
      <c r="AD167" s="166">
        <v>-19.5</v>
      </c>
      <c r="AE167" s="75">
        <v>5.2169999999999996</v>
      </c>
      <c r="AF167" s="82">
        <v>5</v>
      </c>
      <c r="AG167" s="82">
        <v>2</v>
      </c>
      <c r="AH167" s="82">
        <v>1</v>
      </c>
      <c r="AI167" s="82">
        <v>0.99999999998544808</v>
      </c>
      <c r="AJ167" s="166">
        <v>5.2171099999999999</v>
      </c>
      <c r="AK167" s="82" t="str">
        <v>Base</v>
      </c>
      <c r="AL167" s="162">
        <v>-21.75</v>
      </c>
      <c r="AM167" s="162">
        <v>-3.1580531201587858</v>
      </c>
      <c r="AN167" s="162">
        <v>-0.29749505181174907</v>
      </c>
      <c r="AO167" s="162">
        <v>39.511498503547166</v>
      </c>
      <c r="AP167" s="162">
        <v>-26.852165039939315</v>
      </c>
      <c r="AQ167" s="162">
        <v>0</v>
      </c>
      <c r="AR167" s="710" t="str">
        <v>1313.par</v>
      </c>
      <c r="AV167" s="82" t="str">
        <v>121,188,255</v>
      </c>
      <c r="AW167" s="947">
        <v>39.569999999999993</v>
      </c>
      <c r="AX167" s="947">
        <v>39.511498503547166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4.5794058542643436E-2</v>
      </c>
      <c r="C168" s="651">
        <v>3.0471651046809614</v>
      </c>
      <c r="D168" s="652">
        <v>-0.4093012344525232</v>
      </c>
      <c r="E168" s="653">
        <v>-0.92925343501045909</v>
      </c>
      <c r="F168" s="651">
        <v>0.22118825522545482</v>
      </c>
      <c r="G168" s="654">
        <v>0.29591182685317224</v>
      </c>
      <c r="H168" s="653">
        <v>0.28649999999999998</v>
      </c>
      <c r="I168" s="920">
        <v>0.52</v>
      </c>
      <c r="J168" s="924">
        <v>1.1160000000000001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14513</v>
      </c>
      <c r="L168" s="940" t="s">
        <v>423</v>
      </c>
      <c r="M168" s="970">
        <f>INDEX([1]List!$AG$204:$AG$240,MATCH($J168,[1]List!$AA$204:$AA$240,0))*-1</f>
        <v>-34.230000000000004</v>
      </c>
      <c r="N168" s="941"/>
      <c r="O168" s="942"/>
      <c r="Q168" s="162">
        <f t="shared" si="1059"/>
        <v>4.5794058542643436E-2</v>
      </c>
      <c r="R168" s="162">
        <f t="shared" si="1060"/>
        <v>3.0471651046809614</v>
      </c>
      <c r="S168" s="162">
        <f t="shared" si="1061"/>
        <v>-0.4093012344525232</v>
      </c>
      <c r="T168" s="162">
        <f t="shared" si="1062"/>
        <v>-0.92925343501045909</v>
      </c>
      <c r="U168" s="162">
        <f t="shared" si="1063"/>
        <v>0.22118825522545482</v>
      </c>
      <c r="V168" s="162">
        <f t="shared" si="1064"/>
        <v>0.29591182685317224</v>
      </c>
      <c r="W168" s="162">
        <f>IFERROR(IF(ISNUMBER(MATCH($Z168,Settings!$AK$28:$AK$36,0)),INDEX(Settings!$AO$14:$AO$36,MATCH($Z168,Settings!$AK$14:$AK$36,0))/2,INDEX(Settings!$AM$14:$AM$36,MATCH($Z168,Settings!$AK$14:$AK$36,0))/2),"")</f>
        <v>0.28499999999999998</v>
      </c>
      <c r="X168" s="162">
        <f t="shared" si="1065"/>
        <v>0.52</v>
      </c>
      <c r="Y168" s="75">
        <v>1.1160000000000001</v>
      </c>
      <c r="Z168" s="917">
        <f t="shared" si="1066"/>
        <v>14513</v>
      </c>
      <c r="AA168" s="82"/>
      <c r="AB168" s="75"/>
      <c r="AC168" s="166">
        <v>3.2000100000000002</v>
      </c>
      <c r="AD168" s="166">
        <v>-18.75</v>
      </c>
      <c r="AE168" s="75">
        <v>5.1319999999999997</v>
      </c>
      <c r="AF168" s="82">
        <v>5</v>
      </c>
      <c r="AG168" s="82">
        <v>1</v>
      </c>
      <c r="AH168" s="82">
        <v>1</v>
      </c>
      <c r="AI168" s="82">
        <v>0.99999999998544808</v>
      </c>
      <c r="AJ168" s="166">
        <v>5.1321099999999999</v>
      </c>
      <c r="AK168" s="82" t="str">
        <v>Base</v>
      </c>
      <c r="AL168" s="162">
        <v>-21</v>
      </c>
      <c r="AM168" s="162">
        <v>-3.7054897408941283</v>
      </c>
      <c r="AN168" s="162">
        <v>-2.314737761243729</v>
      </c>
      <c r="AO168" s="162">
        <v>84.959174548899995</v>
      </c>
      <c r="AP168" s="162">
        <v>-29.733205429583041</v>
      </c>
      <c r="AQ168" s="162">
        <v>0</v>
      </c>
      <c r="AR168" s="710" t="str">
        <v>14513.par</v>
      </c>
      <c r="AV168" s="82" t="str">
        <v>0,102,204</v>
      </c>
      <c r="AW168" s="947">
        <v>85</v>
      </c>
      <c r="AX168" s="947">
        <v>84.959174548899995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9.3860220472327227E-2</v>
      </c>
      <c r="C169" s="651">
        <v>3.4980515450452128</v>
      </c>
      <c r="D169" s="652">
        <v>-0.9498028646054395</v>
      </c>
      <c r="E169" s="653">
        <v>-0.89156415895671615</v>
      </c>
      <c r="F169" s="651">
        <v>0.39809397676203168</v>
      </c>
      <c r="G169" s="654">
        <v>0.21595030939916349</v>
      </c>
      <c r="H169" s="653">
        <v>0.28649999999999998</v>
      </c>
      <c r="I169" s="920">
        <v>0.52</v>
      </c>
      <c r="J169" s="924">
        <v>1.121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14513</v>
      </c>
      <c r="L169" s="940" t="s">
        <v>423</v>
      </c>
      <c r="M169" s="970">
        <f>INDEX([1]List!$AG$204:$AG$240,MATCH($J169,[1]List!$AA$204:$AA$240,0))*-1</f>
        <v>-61.129999999999995</v>
      </c>
      <c r="N169" s="941"/>
      <c r="O169" s="942"/>
      <c r="Q169" s="162">
        <f t="shared" si="1059"/>
        <v>9.3860220472327227E-2</v>
      </c>
      <c r="R169" s="162">
        <f t="shared" si="1060"/>
        <v>3.4980515450452128</v>
      </c>
      <c r="S169" s="162">
        <f t="shared" si="1061"/>
        <v>-0.9498028646054395</v>
      </c>
      <c r="T169" s="162">
        <f t="shared" si="1062"/>
        <v>-0.89156415895671615</v>
      </c>
      <c r="U169" s="162">
        <f t="shared" si="1063"/>
        <v>0.39809397676203168</v>
      </c>
      <c r="V169" s="162">
        <f t="shared" si="1064"/>
        <v>0.21595030939916349</v>
      </c>
      <c r="W169" s="162">
        <f>IFERROR(IF(ISNUMBER(MATCH($Z169,Settings!$AK$28:$AK$36,0)),INDEX(Settings!$AO$14:$AO$36,MATCH($Z169,Settings!$AK$14:$AK$36,0))/2,INDEX(Settings!$AM$14:$AM$36,MATCH($Z169,Settings!$AK$14:$AK$36,0))/2),"")</f>
        <v>0.28499999999999998</v>
      </c>
      <c r="X169" s="162">
        <f t="shared" si="1065"/>
        <v>0.52</v>
      </c>
      <c r="Y169" s="75">
        <v>1.121</v>
      </c>
      <c r="Z169" s="917">
        <f t="shared" si="1066"/>
        <v>14513</v>
      </c>
      <c r="AA169" s="82"/>
      <c r="AB169" s="75"/>
      <c r="AC169" s="166">
        <v>3.1000100000000002</v>
      </c>
      <c r="AD169" s="166">
        <v>-18</v>
      </c>
      <c r="AE169" s="75">
        <v>5.1269999999999998</v>
      </c>
      <c r="AF169" s="82">
        <v>5</v>
      </c>
      <c r="AG169" s="82">
        <v>1</v>
      </c>
      <c r="AH169" s="82">
        <v>1</v>
      </c>
      <c r="AI169" s="82">
        <v>0.99999999998544808</v>
      </c>
      <c r="AJ169" s="166">
        <v>5.1271100000000001</v>
      </c>
      <c r="AK169" s="82" t="str">
        <v>Base</v>
      </c>
      <c r="AL169" s="162">
        <v>-21</v>
      </c>
      <c r="AM169" s="162">
        <v>-3.6604901028221848</v>
      </c>
      <c r="AN169" s="162">
        <v>-1.5738860180656618</v>
      </c>
      <c r="AO169" s="162">
        <v>84.958667995750403</v>
      </c>
      <c r="AP169" s="162">
        <v>-29.729925767321735</v>
      </c>
      <c r="AQ169" s="162">
        <v>0</v>
      </c>
      <c r="AR169" s="710" t="str">
        <v>14513.par</v>
      </c>
      <c r="AV169" s="82" t="str">
        <v>0,102,204</v>
      </c>
      <c r="AW169" s="947">
        <v>85</v>
      </c>
      <c r="AX169" s="947">
        <v>84.958667995750403</v>
      </c>
      <c r="AY169" s="947">
        <v>0</v>
      </c>
    </row>
    <row r="170" spans="2:58" x14ac:dyDescent="0.25">
      <c r="B170" s="650">
        <v>0.1164910573214149</v>
      </c>
      <c r="C170" s="651">
        <v>3.668061761190649</v>
      </c>
      <c r="D170" s="652">
        <v>-1.6339049278572624</v>
      </c>
      <c r="E170" s="653">
        <v>-0.84977833799452052</v>
      </c>
      <c r="F170" s="651">
        <v>0.52533583220684221</v>
      </c>
      <c r="G170" s="654">
        <v>4.3577972357775017E-2</v>
      </c>
      <c r="H170" s="653">
        <v>0.28649999999999998</v>
      </c>
      <c r="I170" s="920">
        <v>0.52</v>
      </c>
      <c r="J170" s="924">
        <v>1.1259999999999999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14513</v>
      </c>
      <c r="L170" s="940" t="s">
        <v>423</v>
      </c>
      <c r="M170" s="970">
        <f>INDEX([1]List!$AG$204:$AG$240,MATCH($J170,[1]List!$AA$204:$AA$240,0))*-1</f>
        <v>-85</v>
      </c>
      <c r="N170" s="941"/>
      <c r="O170" s="942"/>
      <c r="Q170" s="162">
        <f t="shared" si="1059"/>
        <v>0.1164910573214149</v>
      </c>
      <c r="R170" s="162">
        <f t="shared" si="1060"/>
        <v>3.668061761190649</v>
      </c>
      <c r="S170" s="162">
        <f t="shared" si="1061"/>
        <v>-1.6339049278572624</v>
      </c>
      <c r="T170" s="162">
        <f t="shared" si="1062"/>
        <v>-0.84977833799452052</v>
      </c>
      <c r="U170" s="162">
        <f t="shared" si="1063"/>
        <v>0.52533583220684221</v>
      </c>
      <c r="V170" s="162">
        <f t="shared" si="1064"/>
        <v>4.3577972357775017E-2</v>
      </c>
      <c r="W170" s="162">
        <f>IFERROR(IF(ISNUMBER(MATCH($Z170,Settings!$AK$28:$AK$36,0)),INDEX(Settings!$AO$14:$AO$36,MATCH($Z170,Settings!$AK$14:$AK$36,0))/2,INDEX(Settings!$AM$14:$AM$36,MATCH($Z170,Settings!$AK$14:$AK$36,0))/2),"")</f>
        <v>0.28499999999999998</v>
      </c>
      <c r="X170" s="162">
        <f t="shared" si="1065"/>
        <v>0.52</v>
      </c>
      <c r="Y170" s="75">
        <v>1.1259999999999999</v>
      </c>
      <c r="Z170" s="917">
        <f t="shared" si="1066"/>
        <v>14513</v>
      </c>
      <c r="AA170" s="82"/>
      <c r="AB170" s="75"/>
      <c r="AC170" s="166">
        <v>2.2000100000000002</v>
      </c>
      <c r="AD170" s="166">
        <v>-17.25</v>
      </c>
      <c r="AE170" s="75">
        <v>5.1219999999999999</v>
      </c>
      <c r="AF170" s="82">
        <v>5</v>
      </c>
      <c r="AG170" s="82">
        <v>1</v>
      </c>
      <c r="AH170" s="82">
        <v>1</v>
      </c>
      <c r="AI170" s="82">
        <v>0.99999999998544808</v>
      </c>
      <c r="AJ170" s="166">
        <v>5.1221100000000002</v>
      </c>
      <c r="AK170" s="82" t="str">
        <v>Base</v>
      </c>
      <c r="AL170" s="162">
        <v>-21</v>
      </c>
      <c r="AM170" s="162">
        <v>-3.5494763598832133</v>
      </c>
      <c r="AN170" s="162">
        <v>-0.87939803362025315</v>
      </c>
      <c r="AO170" s="162">
        <v>64.752155586413849</v>
      </c>
      <c r="AP170" s="162">
        <v>-26.208928779652393</v>
      </c>
      <c r="AQ170" s="162">
        <v>0</v>
      </c>
      <c r="AR170" s="710" t="str">
        <v>14513.par</v>
      </c>
      <c r="AV170" s="82" t="str">
        <v>0,102,204</v>
      </c>
      <c r="AW170" s="947">
        <v>66.569999999999993</v>
      </c>
      <c r="AX170" s="947">
        <v>64.752155586413849</v>
      </c>
      <c r="AY170" s="947">
        <v>0</v>
      </c>
    </row>
    <row r="171" spans="2:58" x14ac:dyDescent="0.25">
      <c r="B171" s="650">
        <v>0.12292586124037123</v>
      </c>
      <c r="C171" s="651">
        <v>3.7133771233113779</v>
      </c>
      <c r="D171" s="652">
        <v>-2.3758071654344111</v>
      </c>
      <c r="E171" s="653">
        <v>-0.84907157025068114</v>
      </c>
      <c r="F171" s="651">
        <v>0.52647737740308242</v>
      </c>
      <c r="G171" s="654">
        <v>4.3577972357774872E-2</v>
      </c>
      <c r="H171" s="653">
        <v>0.28649999999999998</v>
      </c>
      <c r="I171" s="920">
        <v>0.52</v>
      </c>
      <c r="J171" s="924">
        <v>1.131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14513</v>
      </c>
      <c r="L171" s="940" t="s">
        <v>423</v>
      </c>
      <c r="M171" s="970">
        <f>INDEX([1]List!$AG$204:$AG$240,MATCH($J171,[1]List!$AA$204:$AA$240,0))*-1</f>
        <v>-85</v>
      </c>
      <c r="N171" s="941"/>
      <c r="O171" s="942"/>
      <c r="Q171" s="162">
        <f t="shared" si="1059"/>
        <v>0.12292586124037123</v>
      </c>
      <c r="R171" s="162">
        <f t="shared" si="1060"/>
        <v>3.7133771233113779</v>
      </c>
      <c r="S171" s="162">
        <f t="shared" si="1061"/>
        <v>-2.3758071654344111</v>
      </c>
      <c r="T171" s="162">
        <f t="shared" si="1062"/>
        <v>-0.84907157025068114</v>
      </c>
      <c r="U171" s="162">
        <f t="shared" si="1063"/>
        <v>0.52647737740308242</v>
      </c>
      <c r="V171" s="162">
        <f t="shared" si="1064"/>
        <v>4.3577972357774872E-2</v>
      </c>
      <c r="W171" s="162">
        <f>IFERROR(IF(ISNUMBER(MATCH($Z171,Settings!$AK$28:$AK$36,0)),INDEX(Settings!$AO$14:$AO$36,MATCH($Z171,Settings!$AK$14:$AK$36,0))/2,INDEX(Settings!$AM$14:$AM$36,MATCH($Z171,Settings!$AK$14:$AK$36,0))/2),"")</f>
        <v>0.28499999999999998</v>
      </c>
      <c r="X171" s="162">
        <f t="shared" si="1065"/>
        <v>0.52</v>
      </c>
      <c r="Y171" s="75">
        <v>1.131</v>
      </c>
      <c r="Z171" s="917">
        <f t="shared" si="1066"/>
        <v>14513</v>
      </c>
      <c r="AA171" s="82"/>
      <c r="AB171" s="75"/>
      <c r="AC171" s="166">
        <v>2.1000100000000002</v>
      </c>
      <c r="AD171" s="166">
        <v>-16.5</v>
      </c>
      <c r="AE171" s="75">
        <v>5.117</v>
      </c>
      <c r="AF171" s="82">
        <v>5</v>
      </c>
      <c r="AG171" s="82">
        <v>1</v>
      </c>
      <c r="AH171" s="82">
        <v>1</v>
      </c>
      <c r="AI171" s="82">
        <v>1.0000000000582077</v>
      </c>
      <c r="AJ171" s="166">
        <v>5.1171100000000003</v>
      </c>
      <c r="AK171" s="82" t="str">
        <v>Base</v>
      </c>
      <c r="AL171" s="162">
        <v>-21</v>
      </c>
      <c r="AM171" s="162">
        <v>-3.1525359327082652</v>
      </c>
      <c r="AN171" s="162">
        <v>-0.3017785381154372</v>
      </c>
      <c r="AO171" s="162">
        <v>39.356674183821298</v>
      </c>
      <c r="AP171" s="162">
        <v>-21.843723880232634</v>
      </c>
      <c r="AQ171" s="162">
        <v>0</v>
      </c>
      <c r="AR171" s="710" t="str">
        <v>14513.par</v>
      </c>
      <c r="AV171" s="82" t="str">
        <v>0,102,204</v>
      </c>
      <c r="AW171" s="947">
        <v>39.569999999999993</v>
      </c>
      <c r="AX171" s="947">
        <v>39.356674183821298</v>
      </c>
      <c r="AY171" s="947">
        <v>0</v>
      </c>
    </row>
    <row r="172" spans="2:58" x14ac:dyDescent="0.25">
      <c r="B172" s="650">
        <v>0.96280553363514043</v>
      </c>
      <c r="C172" s="651">
        <v>1.3428260959421279</v>
      </c>
      <c r="D172" s="652">
        <v>-0.26167966260033992</v>
      </c>
      <c r="E172" s="653">
        <v>-6.0908474887898363E-2</v>
      </c>
      <c r="F172" s="651">
        <v>-8.4949126990061699E-2</v>
      </c>
      <c r="G172" s="654">
        <v>0.99452189694870807</v>
      </c>
      <c r="H172" s="653">
        <v>0.25700000000000001</v>
      </c>
      <c r="I172" s="920">
        <v>0.41499999999999992</v>
      </c>
      <c r="J172" s="924">
        <v>1.2070000000000001</v>
      </c>
      <c r="K172" s="790" t="str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CPS-32193r1</v>
      </c>
      <c r="L172" s="940" t="s">
        <v>421</v>
      </c>
      <c r="M172" s="970">
        <f t="shared" ref="M172:M177" si="1067">M166</f>
        <v>20</v>
      </c>
      <c r="N172" s="941"/>
      <c r="O172" s="942"/>
      <c r="Q172" s="162">
        <f t="shared" si="1059"/>
        <v>0.96280553363514043</v>
      </c>
      <c r="R172" s="162">
        <f t="shared" si="1060"/>
        <v>1.3428260959421279</v>
      </c>
      <c r="S172" s="162">
        <f t="shared" si="1061"/>
        <v>-0.26167966260033992</v>
      </c>
      <c r="T172" s="162">
        <f t="shared" si="1062"/>
        <v>-6.0908474887898363E-2</v>
      </c>
      <c r="U172" s="162">
        <f t="shared" si="1063"/>
        <v>-8.4949126990061699E-2</v>
      </c>
      <c r="V172" s="162">
        <f t="shared" si="1064"/>
        <v>0.99452189694870807</v>
      </c>
      <c r="W172" s="162">
        <f>IFERROR(IF(ISNUMBER(MATCH($Z172,Settings!$AK$28:$AK$36,0)),INDEX(Settings!$AO$14:$AO$36,MATCH($Z172,Settings!$AK$14:$AK$36,0))/2,INDEX(Settings!$AM$14:$AM$36,MATCH($Z172,Settings!$AK$14:$AK$36,0))/2),"")</f>
        <v>0.255</v>
      </c>
      <c r="X172" s="162">
        <f t="shared" si="1065"/>
        <v>0.41499999999999992</v>
      </c>
      <c r="Y172" s="75">
        <v>1.2070000000000001</v>
      </c>
      <c r="Z172" s="917" t="str">
        <f t="shared" si="1066"/>
        <v>CPS-32193r1</v>
      </c>
      <c r="AA172" s="82"/>
      <c r="AB172" s="75"/>
      <c r="AC172" s="166">
        <v>1.20001</v>
      </c>
      <c r="AD172" s="166">
        <v>-15.75</v>
      </c>
      <c r="AE172" s="75">
        <v>5.1120000000000001</v>
      </c>
      <c r="AF172" s="82">
        <v>5</v>
      </c>
      <c r="AG172" s="82">
        <v>1</v>
      </c>
      <c r="AH172" s="82">
        <v>1</v>
      </c>
      <c r="AI172" s="82">
        <v>1.0000000000582077</v>
      </c>
      <c r="AJ172" s="166">
        <v>5.1121100000000004</v>
      </c>
      <c r="AK172" s="82" t="str">
        <v>Base</v>
      </c>
      <c r="AL172" s="162">
        <v>-21</v>
      </c>
      <c r="AM172" s="162">
        <v>-2.5358100422237286</v>
      </c>
      <c r="AN172" s="162">
        <v>3.1569721563397546E-2</v>
      </c>
      <c r="AO172" s="162">
        <v>13.684246248086463</v>
      </c>
      <c r="AP172" s="162">
        <v>-17.540376301109106</v>
      </c>
      <c r="AQ172" s="162">
        <v>0</v>
      </c>
      <c r="AR172" s="710" t="str">
        <v>14513.par</v>
      </c>
      <c r="AV172" s="82" t="str">
        <v>0,102,204</v>
      </c>
      <c r="AW172" s="947">
        <v>13.079999999999998</v>
      </c>
      <c r="AX172" s="947">
        <v>13.684246248086463</v>
      </c>
      <c r="AY172" s="947">
        <v>0</v>
      </c>
    </row>
    <row r="173" spans="2:58" x14ac:dyDescent="0.25">
      <c r="B173" s="650">
        <v>0.83924139421254496</v>
      </c>
      <c r="C173" s="651">
        <v>2.2483232888423523</v>
      </c>
      <c r="D173" s="652">
        <v>-0.14567271679937663</v>
      </c>
      <c r="E173" s="653">
        <v>-0.84755820531285486</v>
      </c>
      <c r="F173" s="651">
        <v>0.38509920984434209</v>
      </c>
      <c r="G173" s="654">
        <v>0.36516254898896205</v>
      </c>
      <c r="H173" s="653">
        <v>0.26600000000000001</v>
      </c>
      <c r="I173" s="920">
        <v>0.52</v>
      </c>
      <c r="J173" s="924">
        <v>1.2110000000000001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1313</v>
      </c>
      <c r="L173" s="940" t="s">
        <v>419</v>
      </c>
      <c r="M173" s="970">
        <f t="shared" si="1067"/>
        <v>-7.8199999999999932</v>
      </c>
      <c r="N173" s="941"/>
      <c r="O173" s="942"/>
      <c r="Q173" s="162">
        <f t="shared" si="1059"/>
        <v>0.83924139421254496</v>
      </c>
      <c r="R173" s="162">
        <f t="shared" si="1060"/>
        <v>2.2483232888423523</v>
      </c>
      <c r="S173" s="162">
        <f t="shared" si="1061"/>
        <v>-0.14567271679937663</v>
      </c>
      <c r="T173" s="162">
        <f t="shared" si="1062"/>
        <v>-0.84755820531285486</v>
      </c>
      <c r="U173" s="162">
        <f t="shared" si="1063"/>
        <v>0.38509920984434209</v>
      </c>
      <c r="V173" s="162">
        <f t="shared" si="1064"/>
        <v>0.36516254898896205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0.52</v>
      </c>
      <c r="Y173" s="75">
        <v>1.2110000000000001</v>
      </c>
      <c r="Z173" s="917">
        <f t="shared" si="1066"/>
        <v>1313</v>
      </c>
      <c r="AA173" s="82"/>
      <c r="AB173" s="75"/>
      <c r="AC173" s="166">
        <v>1.1000100000000002</v>
      </c>
      <c r="AD173" s="166">
        <v>-15</v>
      </c>
      <c r="AE173" s="75">
        <v>4.2279999999999998</v>
      </c>
      <c r="AF173" s="82">
        <v>4</v>
      </c>
      <c r="AG173" s="82">
        <v>2</v>
      </c>
      <c r="AH173" s="82">
        <v>1</v>
      </c>
      <c r="AI173" s="82">
        <v>0.99999999998544808</v>
      </c>
      <c r="AJ173" s="166">
        <v>4.22811</v>
      </c>
      <c r="AK173" s="82" t="str">
        <v>Base</v>
      </c>
      <c r="AL173" s="162">
        <v>-20.25</v>
      </c>
      <c r="AM173" s="162">
        <v>-3.6674116518398736</v>
      </c>
      <c r="AN173" s="162">
        <v>-1.8010773959058728</v>
      </c>
      <c r="AO173" s="162">
        <v>84.999987727520178</v>
      </c>
      <c r="AP173" s="162">
        <v>0</v>
      </c>
      <c r="AQ173" s="162">
        <v>0</v>
      </c>
      <c r="AR173" s="710" t="str">
        <v>32193r1.par</v>
      </c>
      <c r="AV173" s="82" t="str">
        <v>91,255,255</v>
      </c>
      <c r="AW173" s="947">
        <v>85</v>
      </c>
      <c r="AX173" s="947">
        <v>84.999987727520178</v>
      </c>
      <c r="AY173" s="947">
        <v>0</v>
      </c>
    </row>
    <row r="174" spans="2:58" x14ac:dyDescent="0.25">
      <c r="B174" s="650">
        <v>0.93005209920775556</v>
      </c>
      <c r="C174" s="651">
        <v>2.9081328946903984</v>
      </c>
      <c r="D174" s="652">
        <v>-0.41518787138156493</v>
      </c>
      <c r="E174" s="653">
        <v>-0.77771534922550978</v>
      </c>
      <c r="F174" s="651">
        <v>0.51437228605314833</v>
      </c>
      <c r="G174" s="654">
        <v>0.36135852960668002</v>
      </c>
      <c r="H174" s="653">
        <v>0.26600000000000001</v>
      </c>
      <c r="I174" s="920">
        <v>0.52</v>
      </c>
      <c r="J174" s="924">
        <v>1.216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40" t="s">
        <v>419</v>
      </c>
      <c r="M174" s="970">
        <f t="shared" si="1067"/>
        <v>-34.230000000000004</v>
      </c>
      <c r="N174" s="941"/>
      <c r="O174" s="942"/>
      <c r="Q174" s="162">
        <f t="shared" si="1059"/>
        <v>0.93005209920775556</v>
      </c>
      <c r="R174" s="162">
        <f t="shared" si="1060"/>
        <v>2.9081328946903984</v>
      </c>
      <c r="S174" s="162">
        <f t="shared" si="1061"/>
        <v>-0.41518787138156493</v>
      </c>
      <c r="T174" s="162">
        <f t="shared" si="1062"/>
        <v>-0.77771534922550978</v>
      </c>
      <c r="U174" s="162">
        <f t="shared" si="1063"/>
        <v>0.51437228605314833</v>
      </c>
      <c r="V174" s="162">
        <f t="shared" si="1064"/>
        <v>0.36135852960668002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65"/>
        <v>0.52</v>
      </c>
      <c r="Y174" s="75">
        <v>1.216</v>
      </c>
      <c r="Z174" s="917">
        <f t="shared" si="1066"/>
        <v>1313</v>
      </c>
      <c r="AA174" s="82"/>
      <c r="AB174" s="75"/>
      <c r="AC174" s="166">
        <v>5.2000200000000003</v>
      </c>
      <c r="AD174" s="166">
        <v>-14.25</v>
      </c>
      <c r="AE174" s="75">
        <v>4.2229999999999999</v>
      </c>
      <c r="AF174" s="82">
        <v>4</v>
      </c>
      <c r="AG174" s="82">
        <v>2</v>
      </c>
      <c r="AH174" s="82">
        <v>1</v>
      </c>
      <c r="AI174" s="82">
        <v>0.99999999998544808</v>
      </c>
      <c r="AJ174" s="166">
        <v>4.2231100000000001</v>
      </c>
      <c r="AK174" s="82" t="str">
        <v>Base</v>
      </c>
      <c r="AL174" s="162">
        <v>-20.25</v>
      </c>
      <c r="AM174" s="162">
        <v>-3.6044246210254669</v>
      </c>
      <c r="AN174" s="162">
        <v>-1.060470122212348</v>
      </c>
      <c r="AO174" s="162">
        <v>69.853765248508964</v>
      </c>
      <c r="AP174" s="162">
        <v>-32.100681530787426</v>
      </c>
      <c r="AQ174" s="162">
        <v>0</v>
      </c>
      <c r="AR174" s="710" t="str">
        <v>1313.par</v>
      </c>
      <c r="AV174" s="82" t="str">
        <v>91,255,255</v>
      </c>
      <c r="AW174" s="947">
        <v>72.03</v>
      </c>
      <c r="AX174" s="947">
        <v>69.853765248508964</v>
      </c>
      <c r="AY174" s="947">
        <v>0</v>
      </c>
    </row>
    <row r="175" spans="2:58" x14ac:dyDescent="0.25">
      <c r="B175" s="650">
        <v>1.0295356131922184</v>
      </c>
      <c r="C175" s="651">
        <v>3.3543019836939791</v>
      </c>
      <c r="D175" s="652">
        <v>-0.95729460576253889</v>
      </c>
      <c r="E175" s="653">
        <v>-0.69364809719992349</v>
      </c>
      <c r="F175" s="651">
        <v>0.67388165730261751</v>
      </c>
      <c r="G175" s="654">
        <v>0.25443236665566576</v>
      </c>
      <c r="H175" s="653">
        <v>0.26600000000000001</v>
      </c>
      <c r="I175" s="920">
        <v>0.52</v>
      </c>
      <c r="J175" s="924">
        <v>1.2210000000000001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419</v>
      </c>
      <c r="M175" s="970">
        <f t="shared" si="1067"/>
        <v>-61.129999999999995</v>
      </c>
      <c r="N175" s="941"/>
      <c r="O175" s="942"/>
      <c r="Q175" s="162">
        <f t="shared" si="1059"/>
        <v>1.0295356131922184</v>
      </c>
      <c r="R175" s="162">
        <f t="shared" si="1060"/>
        <v>3.3543019836939791</v>
      </c>
      <c r="S175" s="162">
        <f t="shared" si="1061"/>
        <v>-0.95729460576253889</v>
      </c>
      <c r="T175" s="162">
        <f t="shared" si="1062"/>
        <v>-0.69364809719992349</v>
      </c>
      <c r="U175" s="162">
        <f t="shared" si="1063"/>
        <v>0.67388165730261751</v>
      </c>
      <c r="V175" s="162">
        <f t="shared" si="1064"/>
        <v>0.25443236665566576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1.2210000000000001</v>
      </c>
      <c r="Z175" s="917">
        <f t="shared" si="1066"/>
        <v>1313</v>
      </c>
      <c r="AA175" s="82"/>
      <c r="AB175" s="75"/>
      <c r="AC175" s="166">
        <v>5.1000199999999998</v>
      </c>
      <c r="AD175" s="166">
        <v>-13.5</v>
      </c>
      <c r="AE175" s="75">
        <v>4.218</v>
      </c>
      <c r="AF175" s="82">
        <v>4</v>
      </c>
      <c r="AG175" s="82">
        <v>2</v>
      </c>
      <c r="AH175" s="82">
        <v>1</v>
      </c>
      <c r="AI175" s="82">
        <v>1.0000000000582077</v>
      </c>
      <c r="AJ175" s="166">
        <v>4.2181100000000002</v>
      </c>
      <c r="AK175" s="82" t="str">
        <v>Base</v>
      </c>
      <c r="AL175" s="162">
        <v>-20.25</v>
      </c>
      <c r="AM175" s="162">
        <v>-3.2588615679632782</v>
      </c>
      <c r="AN175" s="162">
        <v>-0.44628863723632911</v>
      </c>
      <c r="AO175" s="162">
        <v>44.582419979319582</v>
      </c>
      <c r="AP175" s="162">
        <v>-27.722315365157382</v>
      </c>
      <c r="AQ175" s="162">
        <v>0</v>
      </c>
      <c r="AR175" s="710" t="str">
        <v>1313.par</v>
      </c>
      <c r="AV175" s="82" t="str">
        <v>91,255,255</v>
      </c>
      <c r="AW175" s="947">
        <v>44.919999999999987</v>
      </c>
      <c r="AX175" s="947">
        <v>44.582419979319582</v>
      </c>
      <c r="AY175" s="947">
        <v>0</v>
      </c>
    </row>
    <row r="176" spans="2:58" x14ac:dyDescent="0.25">
      <c r="B176" s="650">
        <v>1.3197935943097177</v>
      </c>
      <c r="C176" s="651">
        <v>3.3728901387525387</v>
      </c>
      <c r="D176" s="652">
        <v>-1.6543970204076659</v>
      </c>
      <c r="E176" s="653">
        <v>0.36300482529304384</v>
      </c>
      <c r="F176" s="651">
        <v>0.9277021807268877</v>
      </c>
      <c r="G176" s="654">
        <v>8.715595612775881E-2</v>
      </c>
      <c r="H176" s="653">
        <v>0.25700000000000001</v>
      </c>
      <c r="I176" s="920">
        <v>0.41499999999999992</v>
      </c>
      <c r="J176" s="924">
        <v>1.226</v>
      </c>
      <c r="K176" s="790" t="str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CPS-32193r1</v>
      </c>
      <c r="L176" s="940" t="s">
        <v>421</v>
      </c>
      <c r="M176" s="970">
        <f t="shared" si="1067"/>
        <v>-85</v>
      </c>
      <c r="N176" s="941"/>
      <c r="O176" s="942"/>
      <c r="Q176" s="162">
        <f t="shared" si="1059"/>
        <v>1.3197935943097177</v>
      </c>
      <c r="R176" s="162">
        <f t="shared" si="1060"/>
        <v>3.3728901387525387</v>
      </c>
      <c r="S176" s="162">
        <f t="shared" si="1061"/>
        <v>-1.6543970204076659</v>
      </c>
      <c r="T176" s="162">
        <f t="shared" si="1062"/>
        <v>0.36300482529304384</v>
      </c>
      <c r="U176" s="162">
        <f t="shared" si="1063"/>
        <v>0.9277021807268877</v>
      </c>
      <c r="V176" s="162">
        <f t="shared" si="1064"/>
        <v>8.715595612775881E-2</v>
      </c>
      <c r="W176" s="162">
        <f>IFERROR(IF(ISNUMBER(MATCH($Z176,Settings!$AK$28:$AK$36,0)),INDEX(Settings!$AO$14:$AO$36,MATCH($Z176,Settings!$AK$14:$AK$36,0))/2,INDEX(Settings!$AM$14:$AM$36,MATCH($Z176,Settings!$AK$14:$AK$36,0))/2),"")</f>
        <v>0.255</v>
      </c>
      <c r="X176" s="162">
        <f t="shared" si="1065"/>
        <v>0.41499999999999992</v>
      </c>
      <c r="Y176" s="75">
        <v>1.226</v>
      </c>
      <c r="Z176" s="917" t="str">
        <f t="shared" si="1066"/>
        <v>CPS-32193r1</v>
      </c>
      <c r="AA176" s="82"/>
      <c r="AB176" s="75"/>
      <c r="AC176" s="166">
        <v>4.2000200000000003</v>
      </c>
      <c r="AD176" s="166">
        <v>-12.75</v>
      </c>
      <c r="AE176" s="75">
        <v>4.2130000000000001</v>
      </c>
      <c r="AF176" s="82">
        <v>4</v>
      </c>
      <c r="AG176" s="82">
        <v>2</v>
      </c>
      <c r="AH176" s="82">
        <v>1</v>
      </c>
      <c r="AI176" s="82">
        <v>1.0000000000582077</v>
      </c>
      <c r="AJ176" s="166">
        <v>4.2131100000000004</v>
      </c>
      <c r="AK176" s="82" t="str">
        <v>Base</v>
      </c>
      <c r="AL176" s="162">
        <v>-20.25</v>
      </c>
      <c r="AM176" s="162">
        <v>-2.6740366892110981</v>
      </c>
      <c r="AN176" s="162">
        <v>-5.4224495420953589E-2</v>
      </c>
      <c r="AO176" s="162">
        <v>19.147098997605895</v>
      </c>
      <c r="AP176" s="162">
        <v>-23.397773983594341</v>
      </c>
      <c r="AQ176" s="162">
        <v>0</v>
      </c>
      <c r="AR176" s="710" t="str">
        <v>1313.par</v>
      </c>
      <c r="AV176" s="82" t="str">
        <v>91,255,255</v>
      </c>
      <c r="AW176" s="947">
        <v>18.340000000000003</v>
      </c>
      <c r="AX176" s="947">
        <v>19.147098997605895</v>
      </c>
      <c r="AY176" s="947">
        <v>0</v>
      </c>
    </row>
    <row r="177" spans="2:51" x14ac:dyDescent="0.25">
      <c r="B177" s="650">
        <v>1.3641978571575273</v>
      </c>
      <c r="C177" s="651">
        <v>3.40424329779434</v>
      </c>
      <c r="D177" s="652">
        <v>-2.3966247129821943</v>
      </c>
      <c r="E177" s="653">
        <v>0.37056288630683681</v>
      </c>
      <c r="F177" s="651">
        <v>0.92470913621711481</v>
      </c>
      <c r="G177" s="654">
        <v>8.7155956127759102E-2</v>
      </c>
      <c r="H177" s="653">
        <v>0.25700000000000001</v>
      </c>
      <c r="I177" s="920">
        <v>0.41499999999999992</v>
      </c>
      <c r="J177" s="924">
        <v>1.2310000000000001</v>
      </c>
      <c r="K177" s="790" t="str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CPS-32193r1</v>
      </c>
      <c r="L177" s="940" t="s">
        <v>421</v>
      </c>
      <c r="M177" s="970">
        <f t="shared" si="1067"/>
        <v>-85</v>
      </c>
      <c r="N177" s="941"/>
      <c r="O177" s="942"/>
      <c r="Q177" s="162">
        <f t="shared" si="1059"/>
        <v>1.3641978571575273</v>
      </c>
      <c r="R177" s="162">
        <f t="shared" si="1060"/>
        <v>3.40424329779434</v>
      </c>
      <c r="S177" s="162">
        <f t="shared" si="1061"/>
        <v>-2.3966247129821943</v>
      </c>
      <c r="T177" s="162">
        <f t="shared" si="1062"/>
        <v>0.37056288630683681</v>
      </c>
      <c r="U177" s="162">
        <f t="shared" si="1063"/>
        <v>0.92470913621711481</v>
      </c>
      <c r="V177" s="162">
        <f t="shared" si="1064"/>
        <v>8.7155956127759102E-2</v>
      </c>
      <c r="W177" s="162">
        <f>IFERROR(IF(ISNUMBER(MATCH($Z177,Settings!$AK$28:$AK$36,0)),INDEX(Settings!$AO$14:$AO$36,MATCH($Z177,Settings!$AK$14:$AK$36,0))/2,INDEX(Settings!$AM$14:$AM$36,MATCH($Z177,Settings!$AK$14:$AK$36,0))/2),"")</f>
        <v>0.255</v>
      </c>
      <c r="X177" s="162">
        <f t="shared" si="1065"/>
        <v>0.41499999999999992</v>
      </c>
      <c r="Y177" s="75">
        <v>1.2310000000000001</v>
      </c>
      <c r="Z177" s="917" t="str">
        <f t="shared" si="1066"/>
        <v>CPS-32193r1</v>
      </c>
      <c r="AA177" s="82"/>
      <c r="AB177" s="75"/>
      <c r="AC177" s="166">
        <v>4.1000199999999998</v>
      </c>
      <c r="AD177" s="166">
        <v>-12</v>
      </c>
      <c r="AE177" s="75">
        <v>4.2080000000000002</v>
      </c>
      <c r="AF177" s="82">
        <v>4</v>
      </c>
      <c r="AG177" s="82">
        <v>2</v>
      </c>
      <c r="AH177" s="82">
        <v>1</v>
      </c>
      <c r="AI177" s="82">
        <v>1.0000000000582077</v>
      </c>
      <c r="AJ177" s="166">
        <v>4.2081100000000005</v>
      </c>
      <c r="AK177" s="82" t="str">
        <v>Base</v>
      </c>
      <c r="AL177" s="162">
        <v>-20.25</v>
      </c>
      <c r="AM177" s="162">
        <v>-1.8799654929954497</v>
      </c>
      <c r="AN177" s="162">
        <v>-1.777460506285633E-2</v>
      </c>
      <c r="AO177" s="162">
        <v>-2.9999995668536537</v>
      </c>
      <c r="AP177" s="162">
        <v>0</v>
      </c>
      <c r="AQ177" s="162">
        <v>0</v>
      </c>
      <c r="AR177" s="710" t="str">
        <v>32193r1.par</v>
      </c>
      <c r="AV177" s="82" t="str">
        <v>91,255,255</v>
      </c>
      <c r="AW177" s="947">
        <v>-11.439999999999998</v>
      </c>
      <c r="AX177" s="947">
        <v>-2.9999995668536537</v>
      </c>
      <c r="AY177" s="947">
        <v>0</v>
      </c>
    </row>
    <row r="178" spans="2:51" x14ac:dyDescent="0.25">
      <c r="B178" s="650">
        <v>0.56961244359939134</v>
      </c>
      <c r="C178" s="651">
        <v>3.7008320140644728</v>
      </c>
      <c r="D178" s="652">
        <v>-5.6250169650511674</v>
      </c>
      <c r="E178" s="653">
        <v>-0.66524293477534269</v>
      </c>
      <c r="F178" s="651">
        <v>0.71352611919140041</v>
      </c>
      <c r="G178" s="654">
        <v>-0.21984611655234843</v>
      </c>
      <c r="H178" s="653">
        <v>0.26600000000000001</v>
      </c>
      <c r="I178" s="920">
        <v>0.52</v>
      </c>
      <c r="J178" s="924">
        <v>1.399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940" t="s">
        <v>419</v>
      </c>
      <c r="M178" s="970">
        <f>INDEX([1]List!$AG$204:$AG$240,MATCH($J178,[1]List!$AA$204:$AA$240,0))*-1</f>
        <v>90</v>
      </c>
      <c r="N178" s="941"/>
      <c r="O178" s="942" t="s">
        <v>9</v>
      </c>
      <c r="Q178" s="162">
        <f t="shared" si="1059"/>
        <v>2.1807170125908542</v>
      </c>
      <c r="R178" s="162">
        <f t="shared" si="1060"/>
        <v>0.58146508555252241</v>
      </c>
      <c r="S178" s="162">
        <f t="shared" si="1061"/>
        <v>-0.12340037217552248</v>
      </c>
      <c r="T178" s="162">
        <f t="shared" si="1062"/>
        <v>-0.22475678274241087</v>
      </c>
      <c r="U178" s="162">
        <f t="shared" si="1063"/>
        <v>0.93550086145792444</v>
      </c>
      <c r="V178" s="162">
        <f t="shared" si="1064"/>
        <v>0.27262158172595602</v>
      </c>
      <c r="W178" s="162">
        <f>IFERROR(IF(ISNUMBER(MATCH($Z178,Settings!$AK$28:$AK$36,0)),INDEX(Settings!$AO$14:$AO$36,MATCH($Z178,Settings!$AK$14:$AK$36,0))/2,INDEX(Settings!$AM$14:$AM$36,MATCH($Z178,Settings!$AK$14:$AK$36,0))/2),"")</f>
        <v>0.28499999999999998</v>
      </c>
      <c r="X178" s="162">
        <f t="shared" si="1065"/>
        <v>0.52</v>
      </c>
      <c r="Y178" s="75">
        <v>2.11</v>
      </c>
      <c r="Z178" s="917">
        <f t="shared" si="1066"/>
        <v>14513</v>
      </c>
      <c r="AA178" s="82"/>
      <c r="AB178" s="75"/>
      <c r="AC178" s="166">
        <v>3.2000200000000003</v>
      </c>
      <c r="AD178" s="166">
        <v>-11.25</v>
      </c>
      <c r="AE178" s="75">
        <v>4.1280000000000001</v>
      </c>
      <c r="AF178" s="82">
        <v>4</v>
      </c>
      <c r="AG178" s="82">
        <v>1</v>
      </c>
      <c r="AH178" s="82">
        <v>1</v>
      </c>
      <c r="AI178" s="82">
        <v>1.0000000000582077</v>
      </c>
      <c r="AJ178" s="166">
        <v>4.1281100000000004</v>
      </c>
      <c r="AK178" s="82" t="str">
        <v>Base</v>
      </c>
      <c r="AL178" s="162">
        <v>-19.5</v>
      </c>
      <c r="AM178" s="162">
        <v>-3.7054897408941279</v>
      </c>
      <c r="AN178" s="162">
        <v>-1.7948471507532837</v>
      </c>
      <c r="AO178" s="162">
        <v>84.959174548899995</v>
      </c>
      <c r="AP178" s="162">
        <v>-29.733205429583041</v>
      </c>
      <c r="AQ178" s="162">
        <v>0</v>
      </c>
      <c r="AR178" s="710" t="str">
        <v>14513.par</v>
      </c>
      <c r="AV178" s="82" t="str">
        <v>0,204,204</v>
      </c>
      <c r="AW178" s="947">
        <v>85</v>
      </c>
      <c r="AX178" s="947">
        <v>84.959174548899995</v>
      </c>
      <c r="AY178" s="947">
        <v>0</v>
      </c>
    </row>
    <row r="179" spans="2:51" x14ac:dyDescent="0.25">
      <c r="B179" s="650">
        <v>2.1807170125908542</v>
      </c>
      <c r="C179" s="651">
        <v>0.58146508555252241</v>
      </c>
      <c r="D179" s="652">
        <v>-0.12340037217552248</v>
      </c>
      <c r="E179" s="653">
        <v>-0.22475678274241087</v>
      </c>
      <c r="F179" s="651">
        <v>0.93550086145792444</v>
      </c>
      <c r="G179" s="654">
        <v>0.27262158172595602</v>
      </c>
      <c r="H179" s="653">
        <v>0.28649999999999998</v>
      </c>
      <c r="I179" s="920">
        <v>0.52</v>
      </c>
      <c r="J179" s="924">
        <v>2.11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14513</v>
      </c>
      <c r="L179" s="940" t="s">
        <v>423</v>
      </c>
      <c r="M179" s="970">
        <f>INDEX([1]List!$AG$204:$AG$240,MATCH($J179,[1]List!$AA$204:$AA$240,0))*-1</f>
        <v>-2.5600000000000023</v>
      </c>
      <c r="N179" s="941"/>
      <c r="O179" s="942"/>
      <c r="Q179" s="162">
        <f t="shared" si="1059"/>
        <v>2.838900703001916</v>
      </c>
      <c r="R179" s="162">
        <f t="shared" si="1060"/>
        <v>0.72336071825071946</v>
      </c>
      <c r="S179" s="162">
        <f t="shared" si="1061"/>
        <v>-0.32990099498140091</v>
      </c>
      <c r="T179" s="162">
        <f t="shared" si="1062"/>
        <v>-6.3536355612163004E-2</v>
      </c>
      <c r="U179" s="162">
        <f t="shared" si="1063"/>
        <v>0.9517037313889406</v>
      </c>
      <c r="V179" s="162">
        <f t="shared" si="1064"/>
        <v>0.30037166839749069</v>
      </c>
      <c r="W179" s="162">
        <f>IFERROR(IF(ISNUMBER(MATCH($Z179,Settings!$AK$28:$AK$36,0)),INDEX(Settings!$AO$14:$AO$36,MATCH($Z179,Settings!$AK$14:$AK$36,0))/2,INDEX(Settings!$AM$14:$AM$36,MATCH($Z179,Settings!$AK$14:$AK$36,0))/2),"")</f>
        <v>0.28499999999999998</v>
      </c>
      <c r="X179" s="162">
        <f t="shared" si="1065"/>
        <v>0.52</v>
      </c>
      <c r="Y179" s="75">
        <v>2.1150000000000002</v>
      </c>
      <c r="Z179" s="917">
        <f t="shared" si="1066"/>
        <v>14513</v>
      </c>
      <c r="AA179" s="82"/>
      <c r="AB179" s="75"/>
      <c r="AC179" s="166">
        <v>3.1000200000000002</v>
      </c>
      <c r="AD179" s="166">
        <v>-10.5</v>
      </c>
      <c r="AE179" s="75">
        <v>4.1230000000000002</v>
      </c>
      <c r="AF179" s="82">
        <v>4</v>
      </c>
      <c r="AG179" s="82">
        <v>1</v>
      </c>
      <c r="AH179" s="82">
        <v>1</v>
      </c>
      <c r="AI179" s="82">
        <v>1.0000000000582077</v>
      </c>
      <c r="AJ179" s="166">
        <v>4.1231100000000005</v>
      </c>
      <c r="AK179" s="82" t="str">
        <v>Base</v>
      </c>
      <c r="AL179" s="162">
        <v>-19.5</v>
      </c>
      <c r="AM179" s="162">
        <v>-3.5953195358574312</v>
      </c>
      <c r="AN179" s="162">
        <v>-1.0616355921641354</v>
      </c>
      <c r="AO179" s="162">
        <v>69.810901846950202</v>
      </c>
      <c r="AP179" s="162">
        <v>-27.087079508279619</v>
      </c>
      <c r="AQ179" s="162">
        <v>0</v>
      </c>
      <c r="AR179" s="710" t="str">
        <v>14513.par</v>
      </c>
      <c r="AV179" s="82" t="str">
        <v>0,204,204</v>
      </c>
      <c r="AW179" s="947">
        <v>72.03</v>
      </c>
      <c r="AX179" s="947">
        <v>69.810901846950202</v>
      </c>
      <c r="AY179" s="947">
        <v>0</v>
      </c>
    </row>
    <row r="180" spans="2:51" x14ac:dyDescent="0.25">
      <c r="B180" s="650">
        <v>2.838900703001916</v>
      </c>
      <c r="C180" s="651">
        <v>0.72336071825071946</v>
      </c>
      <c r="D180" s="652">
        <v>-0.32990099498140091</v>
      </c>
      <c r="E180" s="653">
        <v>-6.3536355612163004E-2</v>
      </c>
      <c r="F180" s="651">
        <v>0.9517037313889406</v>
      </c>
      <c r="G180" s="654">
        <v>0.30037166839749069</v>
      </c>
      <c r="H180" s="653">
        <v>0.28649999999999998</v>
      </c>
      <c r="I180" s="920">
        <v>0.52</v>
      </c>
      <c r="J180" s="924">
        <v>2.1150000000000002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14513</v>
      </c>
      <c r="L180" s="940" t="s">
        <v>423</v>
      </c>
      <c r="M180" s="970">
        <f>INDEX([1]List!$AG$204:$AG$240,MATCH($J180,[1]List!$AA$204:$AA$240,0))*-1</f>
        <v>-28.92</v>
      </c>
      <c r="N180" s="941"/>
      <c r="O180" s="942"/>
      <c r="Q180" s="162">
        <f t="shared" si="1059"/>
        <v>3.3339108938085076</v>
      </c>
      <c r="R180" s="162">
        <f t="shared" si="1060"/>
        <v>0.80495415765709355</v>
      </c>
      <c r="S180" s="162">
        <f t="shared" si="1061"/>
        <v>-0.8259024909219127</v>
      </c>
      <c r="T180" s="162">
        <f t="shared" si="1062"/>
        <v>0.11959264369709149</v>
      </c>
      <c r="U180" s="162">
        <f t="shared" si="1063"/>
        <v>0.96344489317614601</v>
      </c>
      <c r="V180" s="162">
        <f t="shared" si="1064"/>
        <v>0.23973222016730517</v>
      </c>
      <c r="W180" s="162">
        <f>IFERROR(IF(ISNUMBER(MATCH($Z180,Settings!$AK$28:$AK$36,0)),INDEX(Settings!$AO$14:$AO$36,MATCH($Z180,Settings!$AK$14:$AK$36,0))/2,INDEX(Settings!$AM$14:$AM$36,MATCH($Z180,Settings!$AK$14:$AK$36,0))/2),"")</f>
        <v>0.28499999999999998</v>
      </c>
      <c r="X180" s="162">
        <f t="shared" si="1065"/>
        <v>0.52</v>
      </c>
      <c r="Y180" s="75">
        <v>2.12</v>
      </c>
      <c r="Z180" s="917">
        <f t="shared" si="1066"/>
        <v>14513</v>
      </c>
      <c r="AA180" s="82"/>
      <c r="AB180" s="75"/>
      <c r="AC180" s="166">
        <v>2.2000200000000003</v>
      </c>
      <c r="AD180" s="166">
        <v>-9.75</v>
      </c>
      <c r="AE180" s="75">
        <v>4.1180000000000003</v>
      </c>
      <c r="AF180" s="82">
        <v>4</v>
      </c>
      <c r="AG180" s="82">
        <v>1</v>
      </c>
      <c r="AH180" s="82">
        <v>1</v>
      </c>
      <c r="AI180" s="82">
        <v>1.0000000000582077</v>
      </c>
      <c r="AJ180" s="166">
        <v>4.1181100000000006</v>
      </c>
      <c r="AK180" s="82" t="str">
        <v>Base</v>
      </c>
      <c r="AL180" s="162">
        <v>-19.5</v>
      </c>
      <c r="AM180" s="162">
        <v>-3.2526495697979416</v>
      </c>
      <c r="AN180" s="162">
        <v>-0.45025432709664476</v>
      </c>
      <c r="AO180" s="162">
        <v>44.452359284275062</v>
      </c>
      <c r="AP180" s="162">
        <v>-22.712856390392549</v>
      </c>
      <c r="AQ180" s="162">
        <v>0</v>
      </c>
      <c r="AR180" s="710" t="str">
        <v>14513.par</v>
      </c>
      <c r="AV180" s="82" t="str">
        <v>0,204,204</v>
      </c>
      <c r="AW180" s="947">
        <v>44.919999999999987</v>
      </c>
      <c r="AX180" s="947">
        <v>44.452359284275062</v>
      </c>
      <c r="AY180" s="947">
        <v>0</v>
      </c>
    </row>
    <row r="181" spans="2:51" x14ac:dyDescent="0.25">
      <c r="B181" s="650">
        <v>3.3339108938085076</v>
      </c>
      <c r="C181" s="651">
        <v>0.80495415765709355</v>
      </c>
      <c r="D181" s="652">
        <v>-0.8259024909219127</v>
      </c>
      <c r="E181" s="653">
        <v>0.11959264369709149</v>
      </c>
      <c r="F181" s="651">
        <v>0.96344489317614601</v>
      </c>
      <c r="G181" s="654">
        <v>0.23973222016730517</v>
      </c>
      <c r="H181" s="653">
        <v>0.28649999999999998</v>
      </c>
      <c r="I181" s="920">
        <v>0.52</v>
      </c>
      <c r="J181" s="924">
        <v>2.12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14513</v>
      </c>
      <c r="L181" s="940" t="s">
        <v>423</v>
      </c>
      <c r="M181" s="970">
        <f>INDEX([1]List!$AG$204:$AG$240,MATCH($J181,[1]List!$AA$204:$AA$240,0))*-1</f>
        <v>-55.699999999999989</v>
      </c>
      <c r="N181" s="941"/>
      <c r="O181" s="942"/>
      <c r="Q181" s="162">
        <f t="shared" si="1059"/>
        <v>3.5636459617051308</v>
      </c>
      <c r="R181" s="162">
        <f t="shared" si="1060"/>
        <v>0.83564607669415614</v>
      </c>
      <c r="S181" s="162">
        <f t="shared" si="1061"/>
        <v>-1.4921045001871727</v>
      </c>
      <c r="T181" s="162">
        <f t="shared" si="1062"/>
        <v>0.26710898925748988</v>
      </c>
      <c r="U181" s="162">
        <f t="shared" si="1063"/>
        <v>0.95995461592126352</v>
      </c>
      <c r="V181" s="162">
        <f t="shared" si="1064"/>
        <v>8.4498066423448759E-2</v>
      </c>
      <c r="W181" s="162">
        <f>IFERROR(IF(ISNUMBER(MATCH($Z181,Settings!$AK$28:$AK$36,0)),INDEX(Settings!$AO$14:$AO$36,MATCH($Z181,Settings!$AK$14:$AK$36,0))/2,INDEX(Settings!$AM$14:$AM$36,MATCH($Z181,Settings!$AK$14:$AK$36,0))/2),"")</f>
        <v>0.28499999999999998</v>
      </c>
      <c r="X181" s="162">
        <f t="shared" si="1065"/>
        <v>0.52</v>
      </c>
      <c r="Y181" s="75">
        <v>2.125</v>
      </c>
      <c r="Z181" s="917">
        <f t="shared" si="1066"/>
        <v>14513</v>
      </c>
      <c r="AA181" s="82"/>
      <c r="AB181" s="75"/>
      <c r="AC181" s="166">
        <v>2.1000200000000002</v>
      </c>
      <c r="AD181" s="166">
        <v>-9</v>
      </c>
      <c r="AE181" s="75">
        <v>4.1130000000000004</v>
      </c>
      <c r="AF181" s="82">
        <v>4</v>
      </c>
      <c r="AG181" s="82">
        <v>1</v>
      </c>
      <c r="AH181" s="82">
        <v>1</v>
      </c>
      <c r="AI181" s="82">
        <v>1.0000000000582077</v>
      </c>
      <c r="AJ181" s="166">
        <v>4.1131100000000007</v>
      </c>
      <c r="AK181" s="82" t="str">
        <v>Base</v>
      </c>
      <c r="AL181" s="162">
        <v>-19.5</v>
      </c>
      <c r="AM181" s="162">
        <v>-2.6714015495552439</v>
      </c>
      <c r="AN181" s="162">
        <v>-5.8881816027387679E-2</v>
      </c>
      <c r="AO181" s="162">
        <v>18.851054985800619</v>
      </c>
      <c r="AP181" s="162">
        <v>-18.394133219168953</v>
      </c>
      <c r="AQ181" s="162">
        <v>0</v>
      </c>
      <c r="AR181" s="710" t="str">
        <v>14513.par</v>
      </c>
      <c r="AV181" s="82" t="str">
        <v>0,204,204</v>
      </c>
      <c r="AW181" s="947">
        <v>18.340000000000003</v>
      </c>
      <c r="AX181" s="947">
        <v>18.851054985800619</v>
      </c>
      <c r="AY181" s="947">
        <v>0</v>
      </c>
    </row>
    <row r="182" spans="2:51" x14ac:dyDescent="0.25">
      <c r="B182" s="650">
        <v>3.5636459617051308</v>
      </c>
      <c r="C182" s="651">
        <v>0.83564607669415614</v>
      </c>
      <c r="D182" s="652">
        <v>-1.4921045001871727</v>
      </c>
      <c r="E182" s="653">
        <v>0.26710898925748988</v>
      </c>
      <c r="F182" s="651">
        <v>0.95995461592126352</v>
      </c>
      <c r="G182" s="654">
        <v>8.4498066423448759E-2</v>
      </c>
      <c r="H182" s="653">
        <v>0.28649999999999998</v>
      </c>
      <c r="I182" s="920">
        <v>0.52</v>
      </c>
      <c r="J182" s="924">
        <v>2.125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14513</v>
      </c>
      <c r="L182" s="940" t="s">
        <v>423</v>
      </c>
      <c r="M182" s="970">
        <f>INDEX([1]List!$AG$204:$AG$240,MATCH($J182,[1]List!$AA$204:$AA$240,0))*-1</f>
        <v>-82.990000000000009</v>
      </c>
      <c r="N182" s="941"/>
      <c r="O182" s="942"/>
      <c r="Q182" s="162">
        <f t="shared" si="1059"/>
        <v>3.6186630251472467</v>
      </c>
      <c r="R182" s="162">
        <f t="shared" si="1060"/>
        <v>0.84235285820500871</v>
      </c>
      <c r="S182" s="162">
        <f t="shared" si="1061"/>
        <v>-2.2337067368595185</v>
      </c>
      <c r="T182" s="162">
        <f t="shared" si="1062"/>
        <v>0.28878288962736104</v>
      </c>
      <c r="U182" s="162">
        <f t="shared" si="1063"/>
        <v>0.95640232276153347</v>
      </c>
      <c r="V182" s="162">
        <f t="shared" si="1064"/>
        <v>4.3577972357775233E-2</v>
      </c>
      <c r="W182" s="162">
        <f>IFERROR(IF(ISNUMBER(MATCH($Z182,Settings!$AK$28:$AK$36,0)),INDEX(Settings!$AO$14:$AO$36,MATCH($Z182,Settings!$AK$14:$AK$36,0))/2,INDEX(Settings!$AM$14:$AM$36,MATCH($Z182,Settings!$AK$14:$AK$36,0))/2),"")</f>
        <v>0.28499999999999998</v>
      </c>
      <c r="X182" s="162">
        <f t="shared" si="1065"/>
        <v>0.52</v>
      </c>
      <c r="Y182" s="75">
        <v>2.13</v>
      </c>
      <c r="Z182" s="917">
        <f t="shared" si="1066"/>
        <v>14513</v>
      </c>
      <c r="AA182" s="82"/>
      <c r="AB182" s="75"/>
      <c r="AC182" s="75">
        <v>1.2000199999999999</v>
      </c>
      <c r="AD182" s="166">
        <v>-8.25</v>
      </c>
      <c r="AE182" s="75">
        <v>4.1079999999999997</v>
      </c>
      <c r="AF182" s="82">
        <v>4</v>
      </c>
      <c r="AG182" s="82">
        <v>1</v>
      </c>
      <c r="AH182" s="82">
        <v>1</v>
      </c>
      <c r="AI182" s="82">
        <v>0.99999999998544808</v>
      </c>
      <c r="AJ182" s="166">
        <v>4.1081099999999999</v>
      </c>
      <c r="AK182" s="82" t="str">
        <v>Base</v>
      </c>
      <c r="AL182" s="162">
        <v>-19.5</v>
      </c>
      <c r="AM182" s="162">
        <v>-1.8798952742924893</v>
      </c>
      <c r="AN182" s="162">
        <v>-3.3395232484161042E-3</v>
      </c>
      <c r="AO182" s="162">
        <v>-3.1944754839296392</v>
      </c>
      <c r="AP182" s="162">
        <v>-15.021549551954871</v>
      </c>
      <c r="AQ182" s="162">
        <v>0</v>
      </c>
      <c r="AR182" s="710" t="str">
        <v>14513.par</v>
      </c>
      <c r="AV182" s="82" t="str">
        <v>0,204,204</v>
      </c>
      <c r="AW182" s="947">
        <v>-11.439999999999998</v>
      </c>
      <c r="AX182" s="947">
        <v>-3.1944754839296392</v>
      </c>
      <c r="AY182" s="947">
        <v>0</v>
      </c>
    </row>
    <row r="183" spans="2:51" x14ac:dyDescent="0.25">
      <c r="B183" s="650">
        <v>3.6186630251472467</v>
      </c>
      <c r="C183" s="651">
        <v>0.84235285820500871</v>
      </c>
      <c r="D183" s="652">
        <v>-2.2337067368595185</v>
      </c>
      <c r="E183" s="653">
        <v>0.28878288962736104</v>
      </c>
      <c r="F183" s="651">
        <v>0.95640232276153347</v>
      </c>
      <c r="G183" s="654">
        <v>4.3577972357775233E-2</v>
      </c>
      <c r="H183" s="653">
        <v>0.28649999999999998</v>
      </c>
      <c r="I183" s="920">
        <v>0.52</v>
      </c>
      <c r="J183" s="924">
        <v>2.13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14513</v>
      </c>
      <c r="L183" s="940" t="s">
        <v>423</v>
      </c>
      <c r="M183" s="970">
        <f>INDEX([1]List!$AG$204:$AG$240,MATCH($J183,[1]List!$AA$204:$AA$240,0))*-1</f>
        <v>-85</v>
      </c>
      <c r="N183" s="941"/>
      <c r="O183" s="942"/>
      <c r="Q183" s="162">
        <f t="shared" si="1059"/>
        <v>2.9302960587023144</v>
      </c>
      <c r="R183" s="162">
        <f t="shared" si="1060"/>
        <v>-0.15695704256060708</v>
      </c>
      <c r="S183" s="162">
        <f t="shared" si="1061"/>
        <v>-0.33590261631891022</v>
      </c>
      <c r="T183" s="162">
        <f t="shared" si="1062"/>
        <v>0.26168555525081205</v>
      </c>
      <c r="U183" s="162">
        <f t="shared" si="1063"/>
        <v>0.89140570613724091</v>
      </c>
      <c r="V183" s="162">
        <f t="shared" si="1064"/>
        <v>0.37002234694548009</v>
      </c>
      <c r="W183" s="162">
        <f>IFERROR(IF(ISNUMBER(MATCH($Z183,Settings!$AK$28:$AK$36,0)),INDEX(Settings!$AO$14:$AO$36,MATCH($Z183,Settings!$AK$14:$AK$36,0))/2,INDEX(Settings!$AM$14:$AM$36,MATCH($Z183,Settings!$AK$14:$AK$36,0))/2),"")</f>
        <v>0.26450000000000001</v>
      </c>
      <c r="X183" s="162">
        <f t="shared" si="1065"/>
        <v>0.52</v>
      </c>
      <c r="Y183" s="75">
        <v>2.2149999999999999</v>
      </c>
      <c r="Z183" s="917">
        <f t="shared" si="1066"/>
        <v>1313</v>
      </c>
      <c r="AA183" s="82"/>
      <c r="AB183" s="75"/>
      <c r="AC183" s="75">
        <v>1.10002</v>
      </c>
      <c r="AD183" s="166">
        <v>-7.5</v>
      </c>
      <c r="AE183" s="75">
        <v>4.1050000000000004</v>
      </c>
      <c r="AF183" s="82">
        <v>4</v>
      </c>
      <c r="AG183" s="82">
        <v>1</v>
      </c>
      <c r="AH183" s="82">
        <v>1</v>
      </c>
      <c r="AI183" s="82">
        <v>1.0000000000582077</v>
      </c>
      <c r="AJ183" s="166">
        <v>4.1051100000000007</v>
      </c>
      <c r="AK183" s="82" t="str">
        <v>Base</v>
      </c>
      <c r="AL183" s="162">
        <v>-19.5</v>
      </c>
      <c r="AM183" s="162">
        <v>-1.207119319994878</v>
      </c>
      <c r="AN183" s="162">
        <v>-0.22970047818585751</v>
      </c>
      <c r="AO183" s="162">
        <v>-7.3951225393512559</v>
      </c>
      <c r="AP183" s="162">
        <v>-15.091076137170246</v>
      </c>
      <c r="AQ183" s="162">
        <v>0</v>
      </c>
      <c r="AR183" s="710" t="str">
        <v>14513.par</v>
      </c>
      <c r="AV183" s="82" t="str">
        <v>0,204,204</v>
      </c>
      <c r="AW183" s="947">
        <v>-10</v>
      </c>
      <c r="AX183" s="947">
        <v>-7.3951225393512559</v>
      </c>
      <c r="AY183" s="947">
        <v>0</v>
      </c>
    </row>
    <row r="184" spans="2:51" x14ac:dyDescent="0.25">
      <c r="B184" s="650">
        <v>2.9302960587023144</v>
      </c>
      <c r="C184" s="651">
        <v>-0.15695704256060708</v>
      </c>
      <c r="D184" s="652">
        <v>-0.33590261631891022</v>
      </c>
      <c r="E184" s="653">
        <v>0.26168555525081205</v>
      </c>
      <c r="F184" s="651">
        <v>0.89140570613724091</v>
      </c>
      <c r="G184" s="654">
        <v>0.37002234694548009</v>
      </c>
      <c r="H184" s="653">
        <v>0.26600000000000001</v>
      </c>
      <c r="I184" s="920">
        <v>0.52</v>
      </c>
      <c r="J184" s="924">
        <v>2.2149999999999999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1313</v>
      </c>
      <c r="L184" s="940" t="s">
        <v>419</v>
      </c>
      <c r="M184" s="970">
        <f>M180</f>
        <v>-28.92</v>
      </c>
      <c r="N184" s="941"/>
      <c r="O184" s="942"/>
      <c r="Q184" s="162">
        <f t="shared" si="1059"/>
        <v>3.4361987622436354</v>
      </c>
      <c r="R184" s="162">
        <f t="shared" si="1060"/>
        <v>-0.12565819236019046</v>
      </c>
      <c r="S184" s="162">
        <f t="shared" si="1061"/>
        <v>-0.83280792942659976</v>
      </c>
      <c r="T184" s="162">
        <f t="shared" si="1062"/>
        <v>0.43739965709072204</v>
      </c>
      <c r="U184" s="162">
        <f t="shared" si="1063"/>
        <v>0.85316600969161194</v>
      </c>
      <c r="V184" s="162">
        <f t="shared" si="1064"/>
        <v>0.28423458600918233</v>
      </c>
      <c r="W184" s="162">
        <f>IFERROR(IF(ISNUMBER(MATCH($Z184,Settings!$AK$28:$AK$36,0)),INDEX(Settings!$AO$14:$AO$36,MATCH($Z184,Settings!$AK$14:$AK$36,0))/2,INDEX(Settings!$AM$14:$AM$36,MATCH($Z184,Settings!$AK$14:$AK$36,0))/2),"")</f>
        <v>0.26450000000000001</v>
      </c>
      <c r="X184" s="162">
        <f t="shared" si="1065"/>
        <v>0.52</v>
      </c>
      <c r="Y184" s="75">
        <v>2.2200000000000002</v>
      </c>
      <c r="Z184" s="917">
        <f t="shared" si="1066"/>
        <v>1313</v>
      </c>
      <c r="AA184" s="82"/>
      <c r="AB184" s="75"/>
      <c r="AC184" s="75">
        <v>5.2000299999999999</v>
      </c>
      <c r="AD184" s="166">
        <v>-6.75</v>
      </c>
      <c r="AE184" s="75">
        <v>4.1020000000000003</v>
      </c>
      <c r="AF184" s="82">
        <v>4</v>
      </c>
      <c r="AG184" s="82">
        <v>1</v>
      </c>
      <c r="AH184" s="82">
        <v>1</v>
      </c>
      <c r="AI184" s="82">
        <v>1.0000000000582077</v>
      </c>
      <c r="AJ184" s="166">
        <v>4.1021100000000006</v>
      </c>
      <c r="AK184" s="82" t="str">
        <v>Base</v>
      </c>
      <c r="AL184" s="162">
        <v>-19.5</v>
      </c>
      <c r="AM184" s="162">
        <v>-0.53992642020095538</v>
      </c>
      <c r="AN184" s="162">
        <v>-0.47334322199913514</v>
      </c>
      <c r="AO184" s="162">
        <v>-12.690751583712682</v>
      </c>
      <c r="AP184" s="162">
        <v>-19.343654990357987</v>
      </c>
      <c r="AQ184" s="162">
        <v>0</v>
      </c>
      <c r="AR184" s="710" t="str">
        <v>14513.par</v>
      </c>
      <c r="AV184" s="82" t="str">
        <v>0,204,204</v>
      </c>
      <c r="AW184" s="947">
        <v>-10</v>
      </c>
      <c r="AX184" s="947">
        <v>-12.690751583712682</v>
      </c>
      <c r="AY184" s="947">
        <v>0</v>
      </c>
    </row>
    <row r="185" spans="2:51" x14ac:dyDescent="0.25">
      <c r="B185" s="650">
        <v>3.4361987622436354</v>
      </c>
      <c r="C185" s="651">
        <v>-0.12565819236019046</v>
      </c>
      <c r="D185" s="652">
        <v>-0.83280792942659976</v>
      </c>
      <c r="E185" s="653">
        <v>0.43739965709072204</v>
      </c>
      <c r="F185" s="651">
        <v>0.85316600969161194</v>
      </c>
      <c r="G185" s="654">
        <v>0.28423458600918233</v>
      </c>
      <c r="H185" s="653">
        <v>0.26600000000000001</v>
      </c>
      <c r="I185" s="920">
        <v>0.52</v>
      </c>
      <c r="J185" s="924">
        <v>2.2200000000000002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1313</v>
      </c>
      <c r="L185" s="940" t="s">
        <v>419</v>
      </c>
      <c r="M185" s="970">
        <f>M181</f>
        <v>-55.699999999999989</v>
      </c>
      <c r="N185" s="941"/>
      <c r="O185" s="942"/>
      <c r="Q185" s="162">
        <f t="shared" si="1059"/>
        <v>3.5935770788112866</v>
      </c>
      <c r="R185" s="162">
        <f t="shared" si="1060"/>
        <v>-0.39532447927614006</v>
      </c>
      <c r="S185" s="162">
        <f t="shared" si="1061"/>
        <v>-1.5162778929536205</v>
      </c>
      <c r="T185" s="162">
        <f t="shared" si="1062"/>
        <v>0.98657309008179672</v>
      </c>
      <c r="U185" s="162">
        <f t="shared" si="1063"/>
        <v>-0.10853155075038955</v>
      </c>
      <c r="V185" s="162">
        <f t="shared" si="1064"/>
        <v>0.12204278109814883</v>
      </c>
      <c r="W185" s="162">
        <f>IFERROR(IF(ISNUMBER(MATCH($Z185,Settings!$AK$28:$AK$36,0)),INDEX(Settings!$AO$14:$AO$36,MATCH($Z185,Settings!$AK$14:$AK$36,0))/2,INDEX(Settings!$AM$14:$AM$36,MATCH($Z185,Settings!$AK$14:$AK$36,0))/2),"")</f>
        <v>0.255</v>
      </c>
      <c r="X185" s="162">
        <f t="shared" si="1065"/>
        <v>0.41499999999999992</v>
      </c>
      <c r="Y185" s="75">
        <v>2.2250000000000001</v>
      </c>
      <c r="Z185" s="917" t="str">
        <f t="shared" si="1066"/>
        <v>CPS-32193r1</v>
      </c>
      <c r="AA185" s="82"/>
      <c r="AB185" s="75"/>
      <c r="AC185" s="75">
        <v>5.1000299999999994</v>
      </c>
      <c r="AD185" s="166">
        <v>-6</v>
      </c>
      <c r="AE185" s="75">
        <v>3.2290000000000001</v>
      </c>
      <c r="AF185" s="82">
        <v>3</v>
      </c>
      <c r="AG185" s="82">
        <v>2</v>
      </c>
      <c r="AH185" s="82">
        <v>1</v>
      </c>
      <c r="AI185" s="82">
        <v>0.99999999998544808</v>
      </c>
      <c r="AJ185" s="166">
        <v>3.2291099999999999</v>
      </c>
      <c r="AK185" s="82" t="str">
        <v>Base</v>
      </c>
      <c r="AL185" s="162">
        <v>-18.75</v>
      </c>
      <c r="AM185" s="162">
        <v>-3.6674116518398749</v>
      </c>
      <c r="AN185" s="162">
        <v>-1.9988511372603464</v>
      </c>
      <c r="AO185" s="162">
        <v>84.999987727520178</v>
      </c>
      <c r="AP185" s="162">
        <v>0</v>
      </c>
      <c r="AQ185" s="162">
        <v>0</v>
      </c>
      <c r="AR185" s="710" t="str">
        <v>32193r1.par</v>
      </c>
      <c r="AV185" s="82" t="str">
        <v>97,255,97</v>
      </c>
      <c r="AW185" s="947">
        <v>85</v>
      </c>
      <c r="AX185" s="947">
        <v>84.999987727520178</v>
      </c>
      <c r="AY185" s="947">
        <v>0</v>
      </c>
    </row>
    <row r="186" spans="2:51" x14ac:dyDescent="0.25">
      <c r="B186" s="650">
        <v>3.5935770788112866</v>
      </c>
      <c r="C186" s="651">
        <v>-0.39532447927614006</v>
      </c>
      <c r="D186" s="652">
        <v>-1.5162778929536205</v>
      </c>
      <c r="E186" s="653">
        <v>0.98657309008179672</v>
      </c>
      <c r="F186" s="651">
        <v>-0.10853155075038955</v>
      </c>
      <c r="G186" s="654">
        <v>0.12204278109814883</v>
      </c>
      <c r="H186" s="653">
        <v>0.25700000000000001</v>
      </c>
      <c r="I186" s="920">
        <v>0.41499999999999992</v>
      </c>
      <c r="J186" s="924">
        <v>2.2250000000000001</v>
      </c>
      <c r="K186" s="790" t="str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CPS-32193r1</v>
      </c>
      <c r="L186" s="940" t="s">
        <v>421</v>
      </c>
      <c r="M186" s="970">
        <f>M182</f>
        <v>-82.990000000000009</v>
      </c>
      <c r="N186" s="941"/>
      <c r="O186" s="942"/>
      <c r="Q186" s="162">
        <f t="shared" si="1059"/>
        <v>3.6422937812984353</v>
      </c>
      <c r="R186" s="162">
        <f t="shared" si="1060"/>
        <v>-0.42849064723237962</v>
      </c>
      <c r="S186" s="162">
        <f t="shared" si="1061"/>
        <v>-2.2544175252978862</v>
      </c>
      <c r="T186" s="162">
        <f t="shared" si="1062"/>
        <v>0.98937180504567968</v>
      </c>
      <c r="U186" s="162">
        <f t="shared" si="1063"/>
        <v>-0.11639274329660677</v>
      </c>
      <c r="V186" s="162">
        <f t="shared" si="1064"/>
        <v>8.7155956127759171E-2</v>
      </c>
      <c r="W186" s="162">
        <f>IFERROR(IF(ISNUMBER(MATCH($Z186,Settings!$AK$28:$AK$36,0)),INDEX(Settings!$AO$14:$AO$36,MATCH($Z186,Settings!$AK$14:$AK$36,0))/2,INDEX(Settings!$AM$14:$AM$36,MATCH($Z186,Settings!$AK$14:$AK$36,0))/2),"")</f>
        <v>0.255</v>
      </c>
      <c r="X186" s="162">
        <f t="shared" si="1065"/>
        <v>0.41499999999999992</v>
      </c>
      <c r="Y186" s="75">
        <v>2.23</v>
      </c>
      <c r="Z186" s="917" t="str">
        <f t="shared" si="1066"/>
        <v>CPS-32193r1</v>
      </c>
      <c r="AA186" s="82"/>
      <c r="AB186" s="75"/>
      <c r="AC186" s="75">
        <v>4.2000299999999999</v>
      </c>
      <c r="AD186" s="166">
        <v>-5.25</v>
      </c>
      <c r="AE186" s="75">
        <v>3.2240000000000002</v>
      </c>
      <c r="AF186" s="82">
        <v>3</v>
      </c>
      <c r="AG186" s="82">
        <v>2</v>
      </c>
      <c r="AH186" s="82">
        <v>1</v>
      </c>
      <c r="AI186" s="82">
        <v>0.99999999998544808</v>
      </c>
      <c r="AJ186" s="166">
        <v>3.22411</v>
      </c>
      <c r="AK186" s="82" t="str">
        <v>Base</v>
      </c>
      <c r="AL186" s="162">
        <v>-18.75</v>
      </c>
      <c r="AM186" s="162">
        <v>-3.5963153654652511</v>
      </c>
      <c r="AN186" s="162">
        <v>-1.2660353468316832</v>
      </c>
      <c r="AO186" s="162">
        <v>77.509988808942225</v>
      </c>
      <c r="AP186" s="162">
        <v>0</v>
      </c>
      <c r="AQ186" s="162">
        <v>0</v>
      </c>
      <c r="AR186" s="710" t="str">
        <v>32193r1.par</v>
      </c>
      <c r="AV186" s="82" t="str">
        <v>97,255,97</v>
      </c>
      <c r="AW186" s="947">
        <v>77.509999999999991</v>
      </c>
      <c r="AX186" s="947">
        <v>77.509988808942225</v>
      </c>
      <c r="AY186" s="947">
        <v>0</v>
      </c>
    </row>
    <row r="187" spans="2:51" x14ac:dyDescent="0.25">
      <c r="B187" s="650">
        <v>3.6422937812984353</v>
      </c>
      <c r="C187" s="651">
        <v>-0.42849064723237962</v>
      </c>
      <c r="D187" s="652">
        <v>-2.2544175252978862</v>
      </c>
      <c r="E187" s="653">
        <v>0.98937180504567968</v>
      </c>
      <c r="F187" s="651">
        <v>-0.11639274329660677</v>
      </c>
      <c r="G187" s="654">
        <v>8.7155956127759171E-2</v>
      </c>
      <c r="H187" s="653">
        <v>0.25700000000000001</v>
      </c>
      <c r="I187" s="920">
        <v>0.41499999999999992</v>
      </c>
      <c r="J187" s="924">
        <v>2.23</v>
      </c>
      <c r="K187" s="790" t="str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CPS-32193r1</v>
      </c>
      <c r="L187" s="940" t="s">
        <v>421</v>
      </c>
      <c r="M187" s="970">
        <f>M183</f>
        <v>-85</v>
      </c>
      <c r="N187" s="941"/>
      <c r="O187" s="942"/>
      <c r="Q187" s="162">
        <f t="shared" si="1059"/>
        <v>0.43672207787707079</v>
      </c>
      <c r="R187" s="162">
        <f t="shared" si="1060"/>
        <v>-0.62370448422443836</v>
      </c>
      <c r="S187" s="162">
        <f t="shared" si="1061"/>
        <v>-0.54120163226412299</v>
      </c>
      <c r="T187" s="162">
        <f t="shared" si="1062"/>
        <v>0.765830157679247</v>
      </c>
      <c r="U187" s="162">
        <f t="shared" si="1063"/>
        <v>0.57354769993204602</v>
      </c>
      <c r="V187" s="162">
        <f t="shared" si="1064"/>
        <v>0.29077002165223187</v>
      </c>
      <c r="W187" s="162">
        <f>IFERROR(IF(ISNUMBER(MATCH($Z187,Settings!$AK$28:$AK$36,0)),INDEX(Settings!$AO$14:$AO$36,MATCH($Z187,Settings!$AK$14:$AK$36,0))/2,INDEX(Settings!$AM$14:$AM$36,MATCH($Z187,Settings!$AK$14:$AK$36,0))/2),"")</f>
        <v>0.28499999999999998</v>
      </c>
      <c r="X187" s="162">
        <f t="shared" si="1065"/>
        <v>0.52</v>
      </c>
      <c r="Y187" s="75">
        <v>3.1030000000000002</v>
      </c>
      <c r="Z187" s="917">
        <f t="shared" si="1066"/>
        <v>14513</v>
      </c>
      <c r="AA187" s="82"/>
      <c r="AB187" s="75"/>
      <c r="AC187" s="75">
        <v>4.1000299999999994</v>
      </c>
      <c r="AD187" s="166">
        <v>-4.5</v>
      </c>
      <c r="AE187" s="75">
        <v>3.2189999999999999</v>
      </c>
      <c r="AF187" s="82">
        <v>3</v>
      </c>
      <c r="AG187" s="82">
        <v>2</v>
      </c>
      <c r="AH187" s="82">
        <v>1</v>
      </c>
      <c r="AI187" s="82">
        <v>0.99999999998544808</v>
      </c>
      <c r="AJ187" s="166">
        <v>3.2191099999999997</v>
      </c>
      <c r="AK187" s="82" t="str">
        <v>Base</v>
      </c>
      <c r="AL187" s="162">
        <v>-18.75</v>
      </c>
      <c r="AM187" s="162">
        <v>-3.3498508045235389</v>
      </c>
      <c r="AN187" s="162">
        <v>-0.61094029050311838</v>
      </c>
      <c r="AO187" s="162">
        <v>49.646962420762904</v>
      </c>
      <c r="AP187" s="162">
        <v>-28.594534795740781</v>
      </c>
      <c r="AQ187" s="162">
        <v>0</v>
      </c>
      <c r="AR187" s="710" t="str">
        <v>1313.par</v>
      </c>
      <c r="AV187" s="82" t="str">
        <v>97,255,97</v>
      </c>
      <c r="AW187" s="947">
        <v>50.300000000000011</v>
      </c>
      <c r="AX187" s="947">
        <v>49.646962420762904</v>
      </c>
      <c r="AY187" s="947">
        <v>0</v>
      </c>
    </row>
    <row r="188" spans="2:51" x14ac:dyDescent="0.25">
      <c r="B188" s="650">
        <v>3.7221560626344212</v>
      </c>
      <c r="C188" s="651">
        <v>0.40763976452450318</v>
      </c>
      <c r="D188" s="652">
        <v>-5.6250169650511666</v>
      </c>
      <c r="E188" s="653">
        <v>0.51703635923610747</v>
      </c>
      <c r="F188" s="651">
        <v>0.82724910895371906</v>
      </c>
      <c r="G188" s="654">
        <v>-0.21984611655234851</v>
      </c>
      <c r="H188" s="653">
        <v>0.26600000000000001</v>
      </c>
      <c r="I188" s="920">
        <v>0.52</v>
      </c>
      <c r="J188" s="924">
        <v>2.399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419</v>
      </c>
      <c r="M188" s="970">
        <f>INDEX([1]List!$AG$204:$AG$240,MATCH($J188,[1]List!$AA$204:$AA$240,0))*-1</f>
        <v>90</v>
      </c>
      <c r="N188" s="941"/>
      <c r="O188" s="942" t="s">
        <v>9</v>
      </c>
      <c r="Q188" s="162">
        <f t="shared" si="1059"/>
        <v>0.81975728093237399</v>
      </c>
      <c r="R188" s="162">
        <f t="shared" si="1060"/>
        <v>-1.1707360767711679</v>
      </c>
      <c r="S188" s="162">
        <f t="shared" si="1061"/>
        <v>-0.29810089907231158</v>
      </c>
      <c r="T188" s="162">
        <f t="shared" si="1062"/>
        <v>0.78347102781168243</v>
      </c>
      <c r="U188" s="162">
        <f t="shared" si="1063"/>
        <v>0.56512772979284343</v>
      </c>
      <c r="V188" s="162">
        <f t="shared" si="1064"/>
        <v>0.25846430623761774</v>
      </c>
      <c r="W188" s="162">
        <f>IFERROR(IF(ISNUMBER(MATCH($Z188,Settings!$AK$28:$AK$36,0)),INDEX(Settings!$AO$14:$AO$36,MATCH($Z188,Settings!$AK$14:$AK$36,0))/2,INDEX(Settings!$AM$14:$AM$36,MATCH($Z188,Settings!$AK$14:$AK$36,0))/2),"")</f>
        <v>0.28499999999999998</v>
      </c>
      <c r="X188" s="162">
        <f t="shared" si="1065"/>
        <v>0.52</v>
      </c>
      <c r="Y188" s="75">
        <v>3.1059999999999999</v>
      </c>
      <c r="Z188" s="917">
        <f t="shared" si="1066"/>
        <v>14513</v>
      </c>
      <c r="AA188" s="82"/>
      <c r="AB188" s="75"/>
      <c r="AC188" s="75">
        <v>3.2000300000000004</v>
      </c>
      <c r="AD188" s="166">
        <v>-3.75</v>
      </c>
      <c r="AE188" s="75">
        <v>3.214</v>
      </c>
      <c r="AF188" s="82">
        <v>3</v>
      </c>
      <c r="AG188" s="82">
        <v>2</v>
      </c>
      <c r="AH188" s="82">
        <v>1</v>
      </c>
      <c r="AI188" s="82">
        <v>0.99999999998544808</v>
      </c>
      <c r="AJ188" s="166">
        <v>3.2141099999999998</v>
      </c>
      <c r="AK188" s="82" t="str">
        <v>Base</v>
      </c>
      <c r="AL188" s="162">
        <v>-18.75</v>
      </c>
      <c r="AM188" s="162">
        <v>-2.8051163741831178</v>
      </c>
      <c r="AN188" s="162">
        <v>-0.16470227217462413</v>
      </c>
      <c r="AO188" s="162">
        <v>24.252246924939893</v>
      </c>
      <c r="AP188" s="162">
        <v>-24.256750731689472</v>
      </c>
      <c r="AQ188" s="162">
        <v>0</v>
      </c>
      <c r="AR188" s="710" t="str">
        <v>1313.par</v>
      </c>
      <c r="AV188" s="82" t="str">
        <v>97,255,97</v>
      </c>
      <c r="AW188" s="947">
        <v>23.620000000000005</v>
      </c>
      <c r="AX188" s="947">
        <v>24.252246924939893</v>
      </c>
      <c r="AY188" s="947">
        <v>0</v>
      </c>
    </row>
    <row r="189" spans="2:51" x14ac:dyDescent="0.25">
      <c r="B189" s="650">
        <v>0.43672207787707079</v>
      </c>
      <c r="C189" s="651">
        <v>-0.62370448422443836</v>
      </c>
      <c r="D189" s="652">
        <v>-0.54120163226412299</v>
      </c>
      <c r="E189" s="653">
        <v>0.765830157679247</v>
      </c>
      <c r="F189" s="651">
        <v>0.57354769993204602</v>
      </c>
      <c r="G189" s="654">
        <v>0.29077002165223187</v>
      </c>
      <c r="H189" s="653">
        <v>0.28649999999999998</v>
      </c>
      <c r="I189" s="920">
        <v>0.52</v>
      </c>
      <c r="J189" s="924">
        <v>3.1030000000000002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14513</v>
      </c>
      <c r="L189" s="940" t="s">
        <v>423</v>
      </c>
      <c r="M189" s="970">
        <f>INDEX([1]List!$AG$204:$AG$240,MATCH($J189,[1]List!$AA$204:$AA$240,0))*-1</f>
        <v>10</v>
      </c>
      <c r="N189" s="941"/>
      <c r="O189" s="942"/>
      <c r="Q189" s="162">
        <f t="shared" si="1059"/>
        <v>1.2125485981395818</v>
      </c>
      <c r="R189" s="162">
        <f t="shared" si="1060"/>
        <v>-1.7326661290225966</v>
      </c>
      <c r="S189" s="162">
        <f t="shared" si="1061"/>
        <v>-0.12340037217552248</v>
      </c>
      <c r="T189" s="162">
        <f t="shared" si="1062"/>
        <v>0.79138544148438517</v>
      </c>
      <c r="U189" s="162">
        <f t="shared" si="1063"/>
        <v>0.55382470493682168</v>
      </c>
      <c r="V189" s="162">
        <f t="shared" si="1064"/>
        <v>0.2588190085913461</v>
      </c>
      <c r="W189" s="162">
        <f>IFERROR(IF(ISNUMBER(MATCH($Z189,Settings!$AK$28:$AK$36,0)),INDEX(Settings!$AO$14:$AO$36,MATCH($Z189,Settings!$AK$14:$AK$36,0))/2,INDEX(Settings!$AM$14:$AM$36,MATCH($Z189,Settings!$AK$14:$AK$36,0))/2),"")</f>
        <v>0.28499999999999998</v>
      </c>
      <c r="X189" s="162">
        <f t="shared" si="1065"/>
        <v>0.52</v>
      </c>
      <c r="Y189" s="75">
        <v>3.109</v>
      </c>
      <c r="Z189" s="917">
        <f t="shared" si="1066"/>
        <v>14513</v>
      </c>
      <c r="AA189" s="82"/>
      <c r="AB189" s="75"/>
      <c r="AC189" s="75">
        <v>3.1000300000000003</v>
      </c>
      <c r="AD189" s="166">
        <v>-3</v>
      </c>
      <c r="AE189" s="75">
        <v>3.2090000000000001</v>
      </c>
      <c r="AF189" s="82">
        <v>3</v>
      </c>
      <c r="AG189" s="82">
        <v>2</v>
      </c>
      <c r="AH189" s="82">
        <v>1</v>
      </c>
      <c r="AI189" s="82">
        <v>0.99999999998544808</v>
      </c>
      <c r="AJ189" s="166">
        <v>3.2091099999999999</v>
      </c>
      <c r="AK189" s="82" t="str">
        <v>Base</v>
      </c>
      <c r="AL189" s="162">
        <v>-18.75</v>
      </c>
      <c r="AM189" s="162">
        <v>-2.1148063782560365</v>
      </c>
      <c r="AN189" s="162">
        <v>-4.3731817477449697E-2</v>
      </c>
      <c r="AO189" s="162">
        <v>0</v>
      </c>
      <c r="AP189" s="162">
        <v>0</v>
      </c>
      <c r="AQ189" s="162">
        <v>0</v>
      </c>
      <c r="AR189" s="710" t="str">
        <v>32193r1.par</v>
      </c>
      <c r="AV189" s="82" t="str">
        <v>97,255,97</v>
      </c>
      <c r="AW189" s="947">
        <v>-2.6899999999999977</v>
      </c>
      <c r="AX189" s="947">
        <v>0</v>
      </c>
      <c r="AY189" s="947">
        <v>0</v>
      </c>
    </row>
    <row r="190" spans="2:51" x14ac:dyDescent="0.25">
      <c r="B190" s="650">
        <v>0.81975728093237399</v>
      </c>
      <c r="C190" s="651">
        <v>-1.1707360767711679</v>
      </c>
      <c r="D190" s="652">
        <v>-0.29810089907231158</v>
      </c>
      <c r="E190" s="653">
        <v>0.78347102781168243</v>
      </c>
      <c r="F190" s="651">
        <v>0.56512772979284343</v>
      </c>
      <c r="G190" s="654">
        <v>0.25846430623761774</v>
      </c>
      <c r="H190" s="653">
        <v>0.28649999999999998</v>
      </c>
      <c r="I190" s="920">
        <v>0.52</v>
      </c>
      <c r="J190" s="924">
        <v>3.1059999999999999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14513</v>
      </c>
      <c r="L190" s="940" t="s">
        <v>423</v>
      </c>
      <c r="M190" s="970">
        <f>INDEX([1]List!$AG$204:$AG$240,MATCH($J190,[1]List!$AA$204:$AA$240,0))*-1</f>
        <v>10</v>
      </c>
      <c r="N190" s="941"/>
      <c r="O190" s="942"/>
      <c r="Q190" s="162">
        <f t="shared" si="1059"/>
        <v>1.5864319017231128</v>
      </c>
      <c r="R190" s="162">
        <f t="shared" si="1060"/>
        <v>-2.3126827526529379</v>
      </c>
      <c r="S190" s="162">
        <f t="shared" si="1061"/>
        <v>-0.26240079140078693</v>
      </c>
      <c r="T190" s="162">
        <f t="shared" si="1062"/>
        <v>0.85720759049249451</v>
      </c>
      <c r="U190" s="162">
        <f t="shared" si="1063"/>
        <v>0.41768917023770707</v>
      </c>
      <c r="V190" s="162">
        <f t="shared" si="1064"/>
        <v>0.30121570986286172</v>
      </c>
      <c r="W190" s="162">
        <f>IFERROR(IF(ISNUMBER(MATCH($Z190,Settings!$AK$28:$AK$36,0)),INDEX(Settings!$AO$14:$AO$36,MATCH($Z190,Settings!$AK$14:$AK$36,0))/2,INDEX(Settings!$AM$14:$AM$36,MATCH($Z190,Settings!$AK$14:$AK$36,0))/2),"")</f>
        <v>0.28499999999999998</v>
      </c>
      <c r="X190" s="162">
        <f t="shared" si="1065"/>
        <v>0.52</v>
      </c>
      <c r="Y190" s="75">
        <v>3.1139999999999999</v>
      </c>
      <c r="Z190" s="917">
        <f t="shared" si="1066"/>
        <v>14513</v>
      </c>
      <c r="AA190" s="82"/>
      <c r="AB190" s="75"/>
      <c r="AC190" s="75">
        <v>2.2000300000000004</v>
      </c>
      <c r="AD190" s="166">
        <v>-2.25</v>
      </c>
      <c r="AE190" s="75">
        <v>3.129</v>
      </c>
      <c r="AF190" s="82">
        <v>3</v>
      </c>
      <c r="AG190" s="82">
        <v>1</v>
      </c>
      <c r="AH190" s="82">
        <v>1</v>
      </c>
      <c r="AI190" s="82">
        <v>0.99999999998544808</v>
      </c>
      <c r="AJ190" s="166">
        <v>3.1291099999999998</v>
      </c>
      <c r="AK190" s="82" t="str">
        <v>Base</v>
      </c>
      <c r="AL190" s="162">
        <v>-18</v>
      </c>
      <c r="AM190" s="162">
        <v>-3.705489740894127</v>
      </c>
      <c r="AN190" s="162">
        <v>-1.9926031271459137</v>
      </c>
      <c r="AO190" s="162">
        <v>84.959174548900165</v>
      </c>
      <c r="AP190" s="162">
        <v>-29.733205429583027</v>
      </c>
      <c r="AQ190" s="162">
        <v>0</v>
      </c>
      <c r="AR190" s="710" t="str">
        <v>14513.par</v>
      </c>
      <c r="AV190" s="82" t="str">
        <v>0,204,0</v>
      </c>
      <c r="AW190" s="947">
        <v>85</v>
      </c>
      <c r="AX190" s="947">
        <v>84.959174548900165</v>
      </c>
      <c r="AY190" s="947">
        <v>0</v>
      </c>
    </row>
    <row r="191" spans="2:51" x14ac:dyDescent="0.25">
      <c r="B191" s="650">
        <v>1.2125485981395818</v>
      </c>
      <c r="C191" s="651">
        <v>-1.7326661290225966</v>
      </c>
      <c r="D191" s="652">
        <v>-0.12340037217552248</v>
      </c>
      <c r="E191" s="653">
        <v>0.79138544148438517</v>
      </c>
      <c r="F191" s="651">
        <v>0.55382470493682168</v>
      </c>
      <c r="G191" s="654">
        <v>0.2588190085913461</v>
      </c>
      <c r="H191" s="653">
        <v>0.28649999999999998</v>
      </c>
      <c r="I191" s="920">
        <v>0.52</v>
      </c>
      <c r="J191" s="924">
        <v>3.109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14513</v>
      </c>
      <c r="L191" s="940" t="s">
        <v>423</v>
      </c>
      <c r="M191" s="970">
        <f>INDEX([1]List!$AG$204:$AG$240,MATCH($J191,[1]List!$AA$204:$AA$240,0))*-1</f>
        <v>2.6899999999999977</v>
      </c>
      <c r="N191" s="941"/>
      <c r="O191" s="942"/>
      <c r="Q191" s="162">
        <f t="shared" si="1059"/>
        <v>1.8582335759439512</v>
      </c>
      <c r="R191" s="162">
        <f t="shared" si="1060"/>
        <v>-2.7863069546072219</v>
      </c>
      <c r="S191" s="162">
        <f t="shared" si="1061"/>
        <v>-0.70880213774724765</v>
      </c>
      <c r="T191" s="162">
        <f t="shared" si="1062"/>
        <v>0.93274740558004754</v>
      </c>
      <c r="U191" s="162">
        <f t="shared" si="1063"/>
        <v>0.25014341005335045</v>
      </c>
      <c r="V191" s="162">
        <f t="shared" si="1064"/>
        <v>0.25963542090895791</v>
      </c>
      <c r="W191" s="162">
        <f>IFERROR(IF(ISNUMBER(MATCH($Z191,Settings!$AK$28:$AK$36,0)),INDEX(Settings!$AO$14:$AO$36,MATCH($Z191,Settings!$AK$14:$AK$36,0))/2,INDEX(Settings!$AM$14:$AM$36,MATCH($Z191,Settings!$AK$14:$AK$36,0))/2),"")</f>
        <v>0.28499999999999998</v>
      </c>
      <c r="X191" s="162">
        <f t="shared" si="1065"/>
        <v>0.52</v>
      </c>
      <c r="Y191" s="75">
        <v>3.1190000000000002</v>
      </c>
      <c r="Z191" s="917">
        <f t="shared" si="1066"/>
        <v>14513</v>
      </c>
      <c r="AA191" s="82"/>
      <c r="AB191" s="75"/>
      <c r="AC191" s="75">
        <v>2.1000300000000003</v>
      </c>
      <c r="AD191" s="166">
        <v>-1.5</v>
      </c>
      <c r="AE191" s="75">
        <v>3.1240000000000001</v>
      </c>
      <c r="AF191" s="82">
        <v>3</v>
      </c>
      <c r="AG191" s="82">
        <v>1</v>
      </c>
      <c r="AH191" s="82">
        <v>1</v>
      </c>
      <c r="AI191" s="82">
        <v>0.99999999998544808</v>
      </c>
      <c r="AJ191" s="166">
        <v>3.1241099999999999</v>
      </c>
      <c r="AK191" s="82" t="str">
        <v>Base</v>
      </c>
      <c r="AL191" s="162">
        <v>-18</v>
      </c>
      <c r="AM191" s="162">
        <v>-3.6291142843899107</v>
      </c>
      <c r="AN191" s="162">
        <v>-1.2543613273937491</v>
      </c>
      <c r="AO191" s="162">
        <v>74.864555850198826</v>
      </c>
      <c r="AP191" s="162">
        <v>-27.966667852021928</v>
      </c>
      <c r="AQ191" s="162">
        <v>0</v>
      </c>
      <c r="AR191" s="710" t="str">
        <v>14513.par</v>
      </c>
      <c r="AV191" s="82" t="str">
        <v>0,204,0</v>
      </c>
      <c r="AW191" s="947">
        <v>77.509999999999991</v>
      </c>
      <c r="AX191" s="947">
        <v>74.864555850198826</v>
      </c>
      <c r="AY191" s="947">
        <v>0</v>
      </c>
    </row>
    <row r="192" spans="2:51" x14ac:dyDescent="0.25">
      <c r="B192" s="650">
        <v>1.5864319017231128</v>
      </c>
      <c r="C192" s="651">
        <v>-2.3126827526529379</v>
      </c>
      <c r="D192" s="652">
        <v>-0.26240079140078693</v>
      </c>
      <c r="E192" s="653">
        <v>0.85720759049249451</v>
      </c>
      <c r="F192" s="651">
        <v>0.41768917023770707</v>
      </c>
      <c r="G192" s="654">
        <v>0.30121570986286172</v>
      </c>
      <c r="H192" s="653">
        <v>0.28649999999999998</v>
      </c>
      <c r="I192" s="920">
        <v>0.52</v>
      </c>
      <c r="J192" s="924">
        <v>3.1139999999999999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14513</v>
      </c>
      <c r="L192" s="940" t="s">
        <v>423</v>
      </c>
      <c r="M192" s="970">
        <f>INDEX([1]List!$AG$204:$AG$240,MATCH($J192,[1]List!$AA$204:$AA$240,0))*-1</f>
        <v>-23.620000000000005</v>
      </c>
      <c r="N192" s="941"/>
      <c r="O192" s="942"/>
      <c r="Q192" s="162">
        <f t="shared" si="1059"/>
        <v>1.9939550808647624</v>
      </c>
      <c r="R192" s="162">
        <f t="shared" si="1060"/>
        <v>-3.0431434764759655</v>
      </c>
      <c r="S192" s="162">
        <f t="shared" si="1061"/>
        <v>-1.3517040767394957</v>
      </c>
      <c r="T192" s="162">
        <f t="shared" si="1062"/>
        <v>0.98736183172256153</v>
      </c>
      <c r="U192" s="162">
        <f t="shared" si="1063"/>
        <v>0.10061642798491459</v>
      </c>
      <c r="V192" s="162">
        <f t="shared" si="1064"/>
        <v>0.12244569276632244</v>
      </c>
      <c r="W192" s="162">
        <f>IFERROR(IF(ISNUMBER(MATCH($Z192,Settings!$AK$28:$AK$36,0)),INDEX(Settings!$AO$14:$AO$36,MATCH($Z192,Settings!$AK$14:$AK$36,0))/2,INDEX(Settings!$AM$14:$AM$36,MATCH($Z192,Settings!$AK$14:$AK$36,0))/2),"")</f>
        <v>0.28499999999999998</v>
      </c>
      <c r="X192" s="162">
        <f t="shared" si="1065"/>
        <v>0.52</v>
      </c>
      <c r="Y192" s="75">
        <v>3.1240000000000001</v>
      </c>
      <c r="Z192" s="917">
        <f t="shared" si="1066"/>
        <v>14513</v>
      </c>
      <c r="AA192" s="82"/>
      <c r="AB192" s="75"/>
      <c r="AC192" s="75">
        <v>1.2000299999999999</v>
      </c>
      <c r="AD192" s="166">
        <v>-0.75</v>
      </c>
      <c r="AE192" s="75">
        <v>3.1190000000000002</v>
      </c>
      <c r="AF192" s="82">
        <v>3</v>
      </c>
      <c r="AG192" s="82">
        <v>1</v>
      </c>
      <c r="AH192" s="82">
        <v>1</v>
      </c>
      <c r="AI192" s="82">
        <v>1.0000000000218279</v>
      </c>
      <c r="AJ192" s="166">
        <v>3.11911</v>
      </c>
      <c r="AK192" s="82" t="str">
        <v>Base</v>
      </c>
      <c r="AL192" s="162">
        <v>-18</v>
      </c>
      <c r="AM192" s="162">
        <v>-3.3429717400665524</v>
      </c>
      <c r="AN192" s="162">
        <v>-0.6145022165379378</v>
      </c>
      <c r="AO192" s="162">
        <v>49.538699347768194</v>
      </c>
      <c r="AP192" s="162">
        <v>-23.58412260483729</v>
      </c>
      <c r="AQ192" s="162">
        <v>0</v>
      </c>
      <c r="AR192" s="710" t="str">
        <v>14513.par</v>
      </c>
      <c r="AV192" s="82" t="str">
        <v>0,204,0</v>
      </c>
      <c r="AW192" s="947">
        <v>50.300000000000011</v>
      </c>
      <c r="AX192" s="947">
        <v>49.538699347768194</v>
      </c>
      <c r="AY192" s="947">
        <v>0</v>
      </c>
    </row>
    <row r="193" spans="2:51" x14ac:dyDescent="0.25">
      <c r="B193" s="650">
        <v>1.8582335759439512</v>
      </c>
      <c r="C193" s="651">
        <v>-2.7863069546072219</v>
      </c>
      <c r="D193" s="652">
        <v>-0.70880213774724765</v>
      </c>
      <c r="E193" s="653">
        <v>0.93274740558004754</v>
      </c>
      <c r="F193" s="651">
        <v>0.25014341005335045</v>
      </c>
      <c r="G193" s="654">
        <v>0.25963542090895791</v>
      </c>
      <c r="H193" s="653">
        <v>0.28649999999999998</v>
      </c>
      <c r="I193" s="920">
        <v>0.52</v>
      </c>
      <c r="J193" s="924">
        <v>3.1190000000000002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14513</v>
      </c>
      <c r="L193" s="940" t="s">
        <v>423</v>
      </c>
      <c r="M193" s="970">
        <f>INDEX([1]List!$AG$204:$AG$240,MATCH($J193,[1]List!$AA$204:$AA$240,0))*-1</f>
        <v>-50.300000000000011</v>
      </c>
      <c r="N193" s="941"/>
      <c r="O193" s="942"/>
      <c r="Q193" s="162">
        <f t="shared" si="1059"/>
        <v>2.0292089604638259</v>
      </c>
      <c r="R193" s="162">
        <f t="shared" si="1060"/>
        <v>-3.1123289386032584</v>
      </c>
      <c r="S193" s="162">
        <f t="shared" si="1061"/>
        <v>-2.0916063082846255</v>
      </c>
      <c r="T193" s="162">
        <f t="shared" si="1062"/>
        <v>0.99749376066923479</v>
      </c>
      <c r="U193" s="162">
        <f t="shared" si="1063"/>
        <v>5.5741885069779937E-2</v>
      </c>
      <c r="V193" s="162">
        <f t="shared" si="1064"/>
        <v>4.3577972357774407E-2</v>
      </c>
      <c r="W193" s="162">
        <f>IFERROR(IF(ISNUMBER(MATCH($Z193,Settings!$AK$28:$AK$36,0)),INDEX(Settings!$AO$14:$AO$36,MATCH($Z193,Settings!$AK$14:$AK$36,0))/2,INDEX(Settings!$AM$14:$AM$36,MATCH($Z193,Settings!$AK$14:$AK$36,0))/2),"")</f>
        <v>0.28499999999999998</v>
      </c>
      <c r="X193" s="162">
        <f t="shared" si="1065"/>
        <v>0.52</v>
      </c>
      <c r="Y193" s="75">
        <v>3.129</v>
      </c>
      <c r="Z193" s="917">
        <f t="shared" si="1066"/>
        <v>14513</v>
      </c>
      <c r="AA193" s="82"/>
      <c r="AB193" s="75"/>
      <c r="AC193" s="75">
        <v>1.1000300000000001</v>
      </c>
      <c r="AD193" s="166">
        <v>0</v>
      </c>
      <c r="AE193" s="75">
        <v>3.1139999999999999</v>
      </c>
      <c r="AF193" s="82">
        <v>3</v>
      </c>
      <c r="AG193" s="82">
        <v>1</v>
      </c>
      <c r="AH193" s="82">
        <v>1</v>
      </c>
      <c r="AI193" s="82">
        <v>0.99999999998544808</v>
      </c>
      <c r="AJ193" s="166">
        <v>3.1141099999999997</v>
      </c>
      <c r="AK193" s="82" t="str">
        <v>Base</v>
      </c>
      <c r="AL193" s="162">
        <v>-18</v>
      </c>
      <c r="AM193" s="162">
        <v>-2.801762774351626</v>
      </c>
      <c r="AN193" s="162">
        <v>-0.1694024943279086</v>
      </c>
      <c r="AO193" s="162">
        <v>23.999404618532189</v>
      </c>
      <c r="AP193" s="162">
        <v>-19.251788693323142</v>
      </c>
      <c r="AQ193" s="162">
        <v>0</v>
      </c>
      <c r="AR193" s="710" t="str">
        <v>14513.par</v>
      </c>
      <c r="AV193" s="82" t="str">
        <v>0,204,0</v>
      </c>
      <c r="AW193" s="947">
        <v>23.620000000000005</v>
      </c>
      <c r="AX193" s="947">
        <v>23.999404618532189</v>
      </c>
      <c r="AY193" s="947">
        <v>0</v>
      </c>
    </row>
    <row r="194" spans="2:51" x14ac:dyDescent="0.25">
      <c r="B194" s="650">
        <v>1.9939550808647624</v>
      </c>
      <c r="C194" s="651">
        <v>-3.0431434764759655</v>
      </c>
      <c r="D194" s="652">
        <v>-1.3517040767394957</v>
      </c>
      <c r="E194" s="653">
        <v>0.98736183172256153</v>
      </c>
      <c r="F194" s="651">
        <v>0.10061642798491459</v>
      </c>
      <c r="G194" s="654">
        <v>0.12244569276632244</v>
      </c>
      <c r="H194" s="653">
        <v>0.28649999999999998</v>
      </c>
      <c r="I194" s="920">
        <v>0.52</v>
      </c>
      <c r="J194" s="924">
        <v>3.1240000000000001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14513</v>
      </c>
      <c r="L194" s="940" t="s">
        <v>423</v>
      </c>
      <c r="M194" s="970">
        <f>INDEX([1]List!$AG$204:$AG$240,MATCH($J194,[1]List!$AA$204:$AA$240,0))*-1</f>
        <v>-77.509999999999991</v>
      </c>
      <c r="N194" s="941"/>
      <c r="O194" s="942"/>
      <c r="Q194" s="162">
        <f t="shared" si="1059"/>
        <v>0.27367747547521393</v>
      </c>
      <c r="R194" s="162">
        <f t="shared" si="1060"/>
        <v>-2.0970232847848704</v>
      </c>
      <c r="S194" s="162">
        <f t="shared" si="1061"/>
        <v>-0.16124589229794614</v>
      </c>
      <c r="T194" s="162">
        <f t="shared" si="1062"/>
        <v>0</v>
      </c>
      <c r="U194" s="162">
        <f t="shared" si="1063"/>
        <v>0</v>
      </c>
      <c r="V194" s="162">
        <f t="shared" si="1064"/>
        <v>1</v>
      </c>
      <c r="W194" s="162">
        <f>IFERROR(IF(ISNUMBER(MATCH($Z194,Settings!$AK$28:$AK$36,0)),INDEX(Settings!$AO$14:$AO$36,MATCH($Z194,Settings!$AK$14:$AK$36,0))/2,INDEX(Settings!$AM$14:$AM$36,MATCH($Z194,Settings!$AK$14:$AK$36,0))/2),"")</f>
        <v>0.255</v>
      </c>
      <c r="X194" s="162">
        <f t="shared" si="1065"/>
        <v>0.41499999999999992</v>
      </c>
      <c r="Y194" s="75">
        <v>3.2090000000000001</v>
      </c>
      <c r="Z194" s="917" t="str">
        <f t="shared" si="1066"/>
        <v>CPS-32193r1</v>
      </c>
      <c r="AA194" s="82"/>
      <c r="AB194" s="75"/>
      <c r="AC194" s="75"/>
      <c r="AD194" s="166"/>
      <c r="AE194" s="75">
        <v>3.109</v>
      </c>
      <c r="AF194" s="82">
        <v>3</v>
      </c>
      <c r="AG194" s="82">
        <v>1</v>
      </c>
      <c r="AH194" s="82">
        <v>1</v>
      </c>
      <c r="AI194" s="82">
        <v>0.99999999998544808</v>
      </c>
      <c r="AJ194" s="166">
        <v>3.1091099999999998</v>
      </c>
      <c r="AK194" s="82" t="str">
        <v>Base</v>
      </c>
      <c r="AL194" s="162">
        <v>-18</v>
      </c>
      <c r="AM194" s="162">
        <v>-2.1148946126463919</v>
      </c>
      <c r="AN194" s="162">
        <v>-2.9830790588496733E-2</v>
      </c>
      <c r="AO194" s="162">
        <v>-1.9524824454106047</v>
      </c>
      <c r="AP194" s="162">
        <v>-15.008916364285374</v>
      </c>
      <c r="AQ194" s="162">
        <v>0</v>
      </c>
      <c r="AR194" s="710" t="str">
        <v>14513.par</v>
      </c>
      <c r="AV194" s="82" t="str">
        <v>0,204,0</v>
      </c>
      <c r="AW194" s="947">
        <v>-2.6899999999999977</v>
      </c>
      <c r="AX194" s="947">
        <v>-1.9524824454106047</v>
      </c>
      <c r="AY194" s="947">
        <v>0</v>
      </c>
    </row>
    <row r="195" spans="2:51" x14ac:dyDescent="0.25">
      <c r="B195" s="650">
        <v>2.0292089604638259</v>
      </c>
      <c r="C195" s="651">
        <v>-3.1123289386032584</v>
      </c>
      <c r="D195" s="652">
        <v>-2.0916063082846255</v>
      </c>
      <c r="E195" s="653">
        <v>0.99749376066923479</v>
      </c>
      <c r="F195" s="651">
        <v>5.5741885069779937E-2</v>
      </c>
      <c r="G195" s="654">
        <v>4.3577972357774407E-2</v>
      </c>
      <c r="H195" s="653">
        <v>0.28649999999999998</v>
      </c>
      <c r="I195" s="920">
        <v>0.52</v>
      </c>
      <c r="J195" s="924">
        <v>3.129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14513</v>
      </c>
      <c r="L195" s="940" t="s">
        <v>423</v>
      </c>
      <c r="M195" s="970">
        <f>INDEX([1]List!$AG$204:$AG$240,MATCH($J195,[1]List!$AA$204:$AA$240,0))*-1</f>
        <v>-85</v>
      </c>
      <c r="N195" s="941"/>
      <c r="O195" s="942"/>
      <c r="Q195" s="162">
        <f t="shared" si="1059"/>
        <v>0.79818853858916827</v>
      </c>
      <c r="R195" s="162">
        <f t="shared" si="1060"/>
        <v>-2.692740464294618</v>
      </c>
      <c r="S195" s="162">
        <f t="shared" si="1061"/>
        <v>-0.26868086503079858</v>
      </c>
      <c r="T195" s="162">
        <f t="shared" si="1062"/>
        <v>0.92269000530708756</v>
      </c>
      <c r="U195" s="162">
        <f t="shared" si="1063"/>
        <v>9.1329502069644936E-2</v>
      </c>
      <c r="V195" s="162">
        <f t="shared" si="1064"/>
        <v>0.37456918741150824</v>
      </c>
      <c r="W195" s="162">
        <f>IFERROR(IF(ISNUMBER(MATCH($Z195,Settings!$AK$28:$AK$36,0)),INDEX(Settings!$AO$14:$AO$36,MATCH($Z195,Settings!$AK$14:$AK$36,0))/2,INDEX(Settings!$AM$14:$AM$36,MATCH($Z195,Settings!$AK$14:$AK$36,0))/2),"")</f>
        <v>0.26450000000000001</v>
      </c>
      <c r="X195" s="162">
        <f t="shared" si="1065"/>
        <v>0.52</v>
      </c>
      <c r="Y195" s="75">
        <v>3.214</v>
      </c>
      <c r="Z195" s="917">
        <f t="shared" si="1066"/>
        <v>1313</v>
      </c>
      <c r="AA195" s="82"/>
      <c r="AB195" s="75"/>
      <c r="AC195" s="75"/>
      <c r="AD195" s="166"/>
      <c r="AE195" s="75">
        <v>3.1059999999999999</v>
      </c>
      <c r="AF195" s="82">
        <v>3</v>
      </c>
      <c r="AG195" s="82">
        <v>1</v>
      </c>
      <c r="AH195" s="82">
        <v>1</v>
      </c>
      <c r="AI195" s="82">
        <v>0.99999999998544808</v>
      </c>
      <c r="AJ195" s="166">
        <v>3.1061099999999997</v>
      </c>
      <c r="AK195" s="82" t="str">
        <v>Base</v>
      </c>
      <c r="AL195" s="162">
        <v>-18</v>
      </c>
      <c r="AM195" s="162">
        <v>-1.429605754482091</v>
      </c>
      <c r="AN195" s="162">
        <v>-0.20436040696302149</v>
      </c>
      <c r="AO195" s="162">
        <v>-5.8752888559582477</v>
      </c>
      <c r="AP195" s="162">
        <v>-15.059926167155163</v>
      </c>
      <c r="AQ195" s="162">
        <v>0</v>
      </c>
      <c r="AR195" s="710" t="str">
        <v>14513.par</v>
      </c>
      <c r="AV195" s="82" t="str">
        <v>0,204,0</v>
      </c>
      <c r="AW195" s="947">
        <v>-10</v>
      </c>
      <c r="AX195" s="947">
        <v>-5.8752888559582477</v>
      </c>
      <c r="AY195" s="947">
        <v>0</v>
      </c>
    </row>
    <row r="196" spans="2:51" x14ac:dyDescent="0.25">
      <c r="B196" s="650">
        <v>0.27367747547521393</v>
      </c>
      <c r="C196" s="651">
        <v>-2.0970232847848704</v>
      </c>
      <c r="D196" s="652">
        <v>-0.16124589229794614</v>
      </c>
      <c r="E196" s="653">
        <v>0</v>
      </c>
      <c r="F196" s="651">
        <v>0</v>
      </c>
      <c r="G196" s="654">
        <v>1</v>
      </c>
      <c r="H196" s="653">
        <v>0.25700000000000001</v>
      </c>
      <c r="I196" s="920">
        <v>0.41499999999999992</v>
      </c>
      <c r="J196" s="924">
        <v>3.2090000000000001</v>
      </c>
      <c r="K196" s="790" t="str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CPS-32193r1</v>
      </c>
      <c r="L196" s="940" t="s">
        <v>421</v>
      </c>
      <c r="M196" s="970">
        <f>M191</f>
        <v>2.6899999999999977</v>
      </c>
      <c r="N196" s="941"/>
      <c r="O196" s="942"/>
      <c r="Q196" s="162">
        <f t="shared" ref="Q196:Q209" si="1068">IFERROR(INDEX(B$164:B$305,MATCH($Y196,$J$164:$J$305,0)),"")</f>
        <v>1.0279464732546064</v>
      </c>
      <c r="R196" s="162">
        <f t="shared" ref="R196:R209" si="1069">IFERROR(INDEX(C$164:C$305,MATCH($Y196,$J$164:$J$305,0)),"")</f>
        <v>-3.1959443095513849</v>
      </c>
      <c r="S196" s="162">
        <f t="shared" ref="S196:S209" si="1070">IFERROR(INDEX(D$164:D$305,MATCH($Y196,$J$164:$J$305,0)),"")</f>
        <v>-0.71524622159823059</v>
      </c>
      <c r="T196" s="162">
        <f t="shared" ref="T196:T209" si="1071">IFERROR(IF($N196="Y",-1*INDEX(E$164:E$305,MATCH($Y196,$J$164:$J$305,0)),INDEX(E$164:E$305,MATCH($Y196,$J$164:$J$305,0))),"")</f>
        <v>0.9471120520339813</v>
      </c>
      <c r="U196" s="162">
        <f t="shared" ref="U196:U209" si="1072">IFERROR(IF($N196="Y",-1*INDEX(F$164:F$305,MATCH($Y196,$J$164:$J$305,0)),INDEX(F$164:F$305,MATCH($Y196,$J$164:$J$305,0))),"")</f>
        <v>-8.3323846773827426E-2</v>
      </c>
      <c r="V196" s="162">
        <f t="shared" ref="V196:V209" si="1073">IFERROR(IF($N196="Y",-1*INDEX(G$164:G$305,MATCH($Y196,$J$164:$J$305,0)),INDEX(G$164:G$305,MATCH($Y196,$J$164:$J$305,0))),"")</f>
        <v>0.30989659154432941</v>
      </c>
      <c r="W196" s="162">
        <f>IFERROR(IF(ISNUMBER(MATCH($Z196,Settings!$AK$28:$AK$36,0)),INDEX(Settings!$AO$14:$AO$36,MATCH($Z196,Settings!$AK$14:$AK$36,0))/2,INDEX(Settings!$AM$14:$AM$36,MATCH($Z196,Settings!$AK$14:$AK$36,0))/2),"")</f>
        <v>0.26450000000000001</v>
      </c>
      <c r="X196" s="162">
        <f t="shared" ref="X196:X209" si="1074">IFERROR(INDEX(I$164:I$305,MATCH($Y196,$J$164:$J$305,0)),"")</f>
        <v>0.52</v>
      </c>
      <c r="Y196" s="75">
        <v>3.2189999999999999</v>
      </c>
      <c r="Z196" s="917">
        <f t="shared" ref="Z196:Z209" si="1075">IFERROR(INDEX(K$164:K$305,MATCH($Y196,$J$164:$J$305,0)),"")</f>
        <v>1313</v>
      </c>
      <c r="AA196" s="82"/>
      <c r="AB196" s="75"/>
      <c r="AC196" s="75"/>
      <c r="AD196" s="166"/>
      <c r="AE196" s="75">
        <v>3.1030000000000002</v>
      </c>
      <c r="AF196" s="82">
        <v>3</v>
      </c>
      <c r="AG196" s="82">
        <v>1</v>
      </c>
      <c r="AH196" s="82">
        <v>1</v>
      </c>
      <c r="AI196" s="82">
        <v>0.99999999998544808</v>
      </c>
      <c r="AJ196" s="166">
        <v>3.10311</v>
      </c>
      <c r="AK196" s="82" t="str">
        <v>Base</v>
      </c>
      <c r="AL196" s="162">
        <v>-18</v>
      </c>
      <c r="AM196" s="162">
        <v>-0.76225350864971908</v>
      </c>
      <c r="AN196" s="162">
        <v>-0.44764647863849716</v>
      </c>
      <c r="AO196" s="162">
        <v>-10.624850163126316</v>
      </c>
      <c r="AP196" s="162">
        <v>-17.208039886648105</v>
      </c>
      <c r="AQ196" s="162">
        <v>0</v>
      </c>
      <c r="AR196" s="710" t="str">
        <v>14513.par</v>
      </c>
      <c r="AV196" s="82" t="str">
        <v>0,204,0</v>
      </c>
      <c r="AW196" s="947">
        <v>-10</v>
      </c>
      <c r="AX196" s="947">
        <v>-10.624850163126316</v>
      </c>
      <c r="AY196" s="947">
        <v>0</v>
      </c>
    </row>
    <row r="197" spans="2:51" x14ac:dyDescent="0.25">
      <c r="B197" s="650">
        <v>0.79818853858916827</v>
      </c>
      <c r="C197" s="651">
        <v>-2.692740464294618</v>
      </c>
      <c r="D197" s="652">
        <v>-0.26868086503079858</v>
      </c>
      <c r="E197" s="653">
        <v>0.92269000530708756</v>
      </c>
      <c r="F197" s="651">
        <v>9.1329502069644936E-2</v>
      </c>
      <c r="G197" s="654">
        <v>0.37456918741150824</v>
      </c>
      <c r="H197" s="653">
        <v>0.26600000000000001</v>
      </c>
      <c r="I197" s="920">
        <v>0.52</v>
      </c>
      <c r="J197" s="924">
        <v>3.214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1313</v>
      </c>
      <c r="L197" s="940" t="s">
        <v>419</v>
      </c>
      <c r="M197" s="970">
        <f t="shared" ref="M197:M200" si="1076">M192</f>
        <v>-23.620000000000005</v>
      </c>
      <c r="N197" s="941"/>
      <c r="O197" s="942"/>
      <c r="Q197" s="162">
        <f t="shared" si="1068"/>
        <v>0.85580845145959261</v>
      </c>
      <c r="R197" s="162">
        <f t="shared" si="1069"/>
        <v>-3.4930038795128464</v>
      </c>
      <c r="S197" s="162">
        <f t="shared" si="1070"/>
        <v>-1.379152797613195</v>
      </c>
      <c r="T197" s="162">
        <f t="shared" si="1071"/>
        <v>0.23233631345252234</v>
      </c>
      <c r="U197" s="162">
        <f t="shared" si="1072"/>
        <v>-0.94828655040419729</v>
      </c>
      <c r="V197" s="162">
        <f t="shared" si="1073"/>
        <v>0.21626940554271434</v>
      </c>
      <c r="W197" s="162">
        <f>IFERROR(IF(ISNUMBER(MATCH($Z197,Settings!$AK$28:$AK$36,0)),INDEX(Settings!$AO$14:$AO$36,MATCH($Z197,Settings!$AK$14:$AK$36,0))/2,INDEX(Settings!$AM$14:$AM$36,MATCH($Z197,Settings!$AK$14:$AK$36,0))/2),"")</f>
        <v>0.255</v>
      </c>
      <c r="X197" s="162">
        <f t="shared" si="1074"/>
        <v>0.41499999999999992</v>
      </c>
      <c r="Y197" s="75">
        <v>3.2240000000000002</v>
      </c>
      <c r="Z197" s="917" t="str">
        <f t="shared" si="1075"/>
        <v>CPS-32193r1</v>
      </c>
      <c r="AA197" s="82"/>
      <c r="AB197" s="75"/>
      <c r="AC197" s="75"/>
      <c r="AD197" s="166"/>
      <c r="AE197" s="75">
        <v>2.23</v>
      </c>
      <c r="AF197" s="82">
        <v>2</v>
      </c>
      <c r="AG197" s="82">
        <v>2</v>
      </c>
      <c r="AH197" s="82">
        <v>1</v>
      </c>
      <c r="AI197" s="82">
        <v>0.99999999998544808</v>
      </c>
      <c r="AJ197" s="166">
        <v>2.2301099999999998</v>
      </c>
      <c r="AK197" s="82" t="str">
        <v>Base</v>
      </c>
      <c r="AL197" s="162">
        <v>-17.25</v>
      </c>
      <c r="AM197" s="162">
        <v>-3.6674116518398745</v>
      </c>
      <c r="AN197" s="162">
        <v>-2.1895804490711051</v>
      </c>
      <c r="AO197" s="162">
        <v>84.999987727520178</v>
      </c>
      <c r="AP197" s="162">
        <v>0</v>
      </c>
      <c r="AQ197" s="162">
        <v>0</v>
      </c>
      <c r="AR197" s="710" t="str">
        <v>32193r1.par</v>
      </c>
      <c r="AV197" s="82" t="str">
        <v>255,255,91</v>
      </c>
      <c r="AW197" s="947">
        <v>85</v>
      </c>
      <c r="AX197" s="947">
        <v>84.999987727520178</v>
      </c>
      <c r="AY197" s="947">
        <v>0</v>
      </c>
    </row>
    <row r="198" spans="2:51" x14ac:dyDescent="0.25">
      <c r="B198" s="650">
        <v>1.0279464732546064</v>
      </c>
      <c r="C198" s="651">
        <v>-3.1959443095513849</v>
      </c>
      <c r="D198" s="652">
        <v>-0.71524622159823059</v>
      </c>
      <c r="E198" s="653">
        <v>0.9471120520339813</v>
      </c>
      <c r="F198" s="651">
        <v>-8.3323846773827426E-2</v>
      </c>
      <c r="G198" s="654">
        <v>0.30989659154432941</v>
      </c>
      <c r="H198" s="653">
        <v>0.26600000000000001</v>
      </c>
      <c r="I198" s="920">
        <v>0.52</v>
      </c>
      <c r="J198" s="924">
        <v>3.2189999999999999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1313</v>
      </c>
      <c r="L198" s="940" t="s">
        <v>419</v>
      </c>
      <c r="M198" s="970">
        <f t="shared" si="1076"/>
        <v>-50.300000000000011</v>
      </c>
      <c r="N198" s="941"/>
      <c r="O198" s="942"/>
      <c r="Q198" s="162">
        <f t="shared" si="1068"/>
        <v>0.85106096642311568</v>
      </c>
      <c r="R198" s="162">
        <f t="shared" si="1069"/>
        <v>-3.5672963789797212</v>
      </c>
      <c r="S198" s="162">
        <f t="shared" si="1070"/>
        <v>-2.1122104235486532</v>
      </c>
      <c r="T198" s="162">
        <f t="shared" si="1071"/>
        <v>0.2311773226194262</v>
      </c>
      <c r="U198" s="162">
        <f t="shared" si="1072"/>
        <v>-0.96899994056654615</v>
      </c>
      <c r="V198" s="162">
        <f t="shared" si="1073"/>
        <v>8.7155956127759032E-2</v>
      </c>
      <c r="W198" s="162">
        <f>IFERROR(IF(ISNUMBER(MATCH($Z198,Settings!$AK$28:$AK$36,0)),INDEX(Settings!$AO$14:$AO$36,MATCH($Z198,Settings!$AK$14:$AK$36,0))/2,INDEX(Settings!$AM$14:$AM$36,MATCH($Z198,Settings!$AK$14:$AK$36,0))/2),"")</f>
        <v>0.255</v>
      </c>
      <c r="X198" s="162">
        <f t="shared" si="1074"/>
        <v>0.41499999999999992</v>
      </c>
      <c r="Y198" s="75">
        <v>3.2290000000000001</v>
      </c>
      <c r="Z198" s="917" t="str">
        <f t="shared" si="1075"/>
        <v>CPS-32193r1</v>
      </c>
      <c r="AA198" s="82"/>
      <c r="AB198" s="75"/>
      <c r="AC198" s="75"/>
      <c r="AD198" s="166"/>
      <c r="AE198" s="75">
        <v>2.2250000000000001</v>
      </c>
      <c r="AF198" s="82">
        <v>2</v>
      </c>
      <c r="AG198" s="82">
        <v>2</v>
      </c>
      <c r="AH198" s="82">
        <v>1</v>
      </c>
      <c r="AI198" s="82">
        <v>0.99999999998544808</v>
      </c>
      <c r="AJ198" s="166">
        <v>2.2251099999999999</v>
      </c>
      <c r="AK198" s="82" t="str">
        <v>Base</v>
      </c>
      <c r="AL198" s="162">
        <v>-17.25</v>
      </c>
      <c r="AM198" s="162">
        <v>-3.6152562378443953</v>
      </c>
      <c r="AN198" s="162">
        <v>-1.4517406951437875</v>
      </c>
      <c r="AO198" s="162">
        <v>82.989988017728265</v>
      </c>
      <c r="AP198" s="162">
        <v>0</v>
      </c>
      <c r="AQ198" s="162">
        <v>0</v>
      </c>
      <c r="AR198" s="710" t="str">
        <v>32193r1.par</v>
      </c>
      <c r="AV198" s="82" t="str">
        <v>255,255,91</v>
      </c>
      <c r="AW198" s="947">
        <v>82.990000000000009</v>
      </c>
      <c r="AX198" s="947">
        <v>82.989988017728265</v>
      </c>
      <c r="AY198" s="947">
        <v>0</v>
      </c>
    </row>
    <row r="199" spans="2:51" x14ac:dyDescent="0.25">
      <c r="B199" s="650">
        <v>0.85580845145959261</v>
      </c>
      <c r="C199" s="651">
        <v>-3.4930038795128464</v>
      </c>
      <c r="D199" s="652">
        <v>-1.379152797613195</v>
      </c>
      <c r="E199" s="653">
        <v>0.23233631345252234</v>
      </c>
      <c r="F199" s="651">
        <v>-0.94828655040419729</v>
      </c>
      <c r="G199" s="654">
        <v>0.21626940554271434</v>
      </c>
      <c r="H199" s="653">
        <v>0.25700000000000001</v>
      </c>
      <c r="I199" s="920">
        <v>0.41499999999999992</v>
      </c>
      <c r="J199" s="924">
        <v>3.2240000000000002</v>
      </c>
      <c r="K199" s="790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940" t="s">
        <v>421</v>
      </c>
      <c r="M199" s="970">
        <f t="shared" si="1076"/>
        <v>-77.509999999999991</v>
      </c>
      <c r="N199" s="941"/>
      <c r="O199" s="942"/>
      <c r="Q199" s="162">
        <f t="shared" si="1068"/>
        <v>-0.3809904123799604</v>
      </c>
      <c r="R199" s="162">
        <f t="shared" si="1069"/>
        <v>-0.38099015316000495</v>
      </c>
      <c r="S199" s="162">
        <f t="shared" si="1070"/>
        <v>-0.6222018765608599</v>
      </c>
      <c r="T199" s="162">
        <f t="shared" si="1071"/>
        <v>0.69663809995827397</v>
      </c>
      <c r="U199" s="162">
        <f t="shared" si="1072"/>
        <v>-0.64052713426311969</v>
      </c>
      <c r="V199" s="162">
        <f t="shared" si="1073"/>
        <v>0.32314137457032849</v>
      </c>
      <c r="W199" s="162">
        <f>IFERROR(IF(ISNUMBER(MATCH($Z199,Settings!$AK$28:$AK$36,0)),INDEX(Settings!$AO$14:$AO$36,MATCH($Z199,Settings!$AK$14:$AK$36,0))/2,INDEX(Settings!$AM$14:$AM$36,MATCH($Z199,Settings!$AK$14:$AK$36,0))/2),"")</f>
        <v>0.28499999999999998</v>
      </c>
      <c r="X199" s="162">
        <f t="shared" si="1074"/>
        <v>0.52</v>
      </c>
      <c r="Y199" s="75">
        <v>4.1020000000000003</v>
      </c>
      <c r="Z199" s="917">
        <f t="shared" si="1075"/>
        <v>14513</v>
      </c>
      <c r="AA199" s="82"/>
      <c r="AB199" s="75"/>
      <c r="AC199" s="75"/>
      <c r="AD199" s="166"/>
      <c r="AE199" s="75">
        <v>2.2200000000000002</v>
      </c>
      <c r="AF199" s="82">
        <v>2</v>
      </c>
      <c r="AG199" s="82">
        <v>2</v>
      </c>
      <c r="AH199" s="82">
        <v>1</v>
      </c>
      <c r="AI199" s="82">
        <v>0.99999999998544808</v>
      </c>
      <c r="AJ199" s="166">
        <v>2.22011</v>
      </c>
      <c r="AK199" s="82" t="str">
        <v>Base</v>
      </c>
      <c r="AL199" s="162">
        <v>-17.25</v>
      </c>
      <c r="AM199" s="162">
        <v>-3.4304209952660867</v>
      </c>
      <c r="AN199" s="162">
        <v>-0.77665912262054637</v>
      </c>
      <c r="AO199" s="162">
        <v>54.705811379517804</v>
      </c>
      <c r="AP199" s="162">
        <v>-29.468631118943247</v>
      </c>
      <c r="AQ199" s="162">
        <v>0</v>
      </c>
      <c r="AR199" s="710" t="str">
        <v>1313.par</v>
      </c>
      <c r="AV199" s="82" t="str">
        <v>255,255,91</v>
      </c>
      <c r="AW199" s="947">
        <v>55.699999999999989</v>
      </c>
      <c r="AX199" s="947">
        <v>54.705811379517804</v>
      </c>
      <c r="AY199" s="947">
        <v>0</v>
      </c>
    </row>
    <row r="200" spans="2:51" x14ac:dyDescent="0.25">
      <c r="B200" s="650">
        <v>0.85106096642311568</v>
      </c>
      <c r="C200" s="651">
        <v>-3.5672963789797212</v>
      </c>
      <c r="D200" s="652">
        <v>-2.1122104235486532</v>
      </c>
      <c r="E200" s="653">
        <v>0.2311773226194262</v>
      </c>
      <c r="F200" s="651">
        <v>-0.96899994056654615</v>
      </c>
      <c r="G200" s="654">
        <v>8.7155956127759032E-2</v>
      </c>
      <c r="H200" s="653">
        <v>0.25700000000000001</v>
      </c>
      <c r="I200" s="920">
        <v>0.41499999999999992</v>
      </c>
      <c r="J200" s="924">
        <v>3.2290000000000001</v>
      </c>
      <c r="K200" s="790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CPS-32193r1</v>
      </c>
      <c r="L200" s="940" t="s">
        <v>421</v>
      </c>
      <c r="M200" s="970">
        <f t="shared" si="1076"/>
        <v>-85</v>
      </c>
      <c r="N200" s="941"/>
      <c r="O200" s="942"/>
      <c r="Q200" s="162">
        <f t="shared" si="1068"/>
        <v>-0.85319790567494458</v>
      </c>
      <c r="R200" s="162">
        <f t="shared" si="1069"/>
        <v>-0.85319732517234947</v>
      </c>
      <c r="S200" s="162">
        <f t="shared" si="1070"/>
        <v>-0.37910114336904843</v>
      </c>
      <c r="T200" s="162">
        <f t="shared" si="1071"/>
        <v>0.69577879789044106</v>
      </c>
      <c r="U200" s="162">
        <f t="shared" si="1072"/>
        <v>-0.67024662841537319</v>
      </c>
      <c r="V200" s="162">
        <f t="shared" si="1073"/>
        <v>0.25818853867659858</v>
      </c>
      <c r="W200" s="162">
        <f>IFERROR(IF(ISNUMBER(MATCH($Z200,Settings!$AK$28:$AK$36,0)),INDEX(Settings!$AO$14:$AO$36,MATCH($Z200,Settings!$AK$14:$AK$36,0))/2,INDEX(Settings!$AM$14:$AM$36,MATCH($Z200,Settings!$AK$14:$AK$36,0))/2),"")</f>
        <v>0.28499999999999998</v>
      </c>
      <c r="X200" s="162">
        <f t="shared" si="1074"/>
        <v>0.52</v>
      </c>
      <c r="Y200" s="75">
        <v>4.1050000000000004</v>
      </c>
      <c r="Z200" s="917">
        <f t="shared" si="1075"/>
        <v>14513</v>
      </c>
      <c r="AA200" s="82"/>
      <c r="AB200" s="75"/>
      <c r="AC200" s="75"/>
      <c r="AD200" s="166"/>
      <c r="AE200" s="75">
        <v>2.2149999999999999</v>
      </c>
      <c r="AF200" s="82">
        <v>2</v>
      </c>
      <c r="AG200" s="82">
        <v>2</v>
      </c>
      <c r="AH200" s="82">
        <v>1</v>
      </c>
      <c r="AI200" s="82">
        <v>0.99999999998544808</v>
      </c>
      <c r="AJ200" s="166">
        <v>2.2151099999999997</v>
      </c>
      <c r="AK200" s="82" t="str">
        <v>Base</v>
      </c>
      <c r="AL200" s="162">
        <v>-17.25</v>
      </c>
      <c r="AM200" s="162">
        <v>-2.9302797798722637</v>
      </c>
      <c r="AN200" s="162">
        <v>-0.28075071388386885</v>
      </c>
      <c r="AO200" s="162">
        <v>29.347346360517605</v>
      </c>
      <c r="AP200" s="162">
        <v>-25.119072540244474</v>
      </c>
      <c r="AQ200" s="162">
        <v>0</v>
      </c>
      <c r="AR200" s="710" t="str">
        <v>1313.par</v>
      </c>
      <c r="AV200" s="82" t="str">
        <v>255,255,91</v>
      </c>
      <c r="AW200" s="947">
        <v>28.92</v>
      </c>
      <c r="AX200" s="947">
        <v>29.347346360517605</v>
      </c>
      <c r="AY200" s="947">
        <v>0</v>
      </c>
    </row>
    <row r="201" spans="2:51" x14ac:dyDescent="0.25">
      <c r="B201" s="650">
        <v>1.6561090210692975</v>
      </c>
      <c r="C201" s="651">
        <v>-3.35826128265218</v>
      </c>
      <c r="D201" s="652">
        <v>-5.6250169650511666</v>
      </c>
      <c r="E201" s="653">
        <v>0.95419676872020365</v>
      </c>
      <c r="F201" s="651">
        <v>-0.20291922432528048</v>
      </c>
      <c r="G201" s="654">
        <v>-0.21984611655234831</v>
      </c>
      <c r="H201" s="653">
        <v>0.26600000000000001</v>
      </c>
      <c r="I201" s="920">
        <v>0.52</v>
      </c>
      <c r="J201" s="924">
        <v>3.399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1313</v>
      </c>
      <c r="L201" s="940" t="s">
        <v>419</v>
      </c>
      <c r="M201" s="970">
        <f>INDEX([1]List!$AG$204:$AG$240,MATCH($J201,[1]List!$AA$204:$AA$240,0))*-1</f>
        <v>90</v>
      </c>
      <c r="N201" s="941"/>
      <c r="O201" s="942" t="s">
        <v>9</v>
      </c>
      <c r="Q201" s="162">
        <f t="shared" si="1068"/>
        <v>-1.3291530774881426</v>
      </c>
      <c r="R201" s="162">
        <f t="shared" si="1069"/>
        <v>-1.3291521731530458</v>
      </c>
      <c r="S201" s="162">
        <f t="shared" si="1070"/>
        <v>-0.15250045994138717</v>
      </c>
      <c r="T201" s="162">
        <f t="shared" si="1071"/>
        <v>0.6862064886857101</v>
      </c>
      <c r="U201" s="162">
        <f t="shared" si="1072"/>
        <v>-0.67981893110725389</v>
      </c>
      <c r="V201" s="162">
        <f t="shared" si="1073"/>
        <v>0.25877958921410182</v>
      </c>
      <c r="W201" s="162">
        <f>IFERROR(IF(ISNUMBER(MATCH($Z201,Settings!$AK$28:$AK$36,0)),INDEX(Settings!$AO$14:$AO$36,MATCH($Z201,Settings!$AK$14:$AK$36,0))/2,INDEX(Settings!$AM$14:$AM$36,MATCH($Z201,Settings!$AK$14:$AK$36,0))/2),"")</f>
        <v>0.28499999999999998</v>
      </c>
      <c r="X201" s="162">
        <f t="shared" si="1074"/>
        <v>0.52</v>
      </c>
      <c r="Y201" s="75">
        <v>4.1079999999999997</v>
      </c>
      <c r="Z201" s="917">
        <f t="shared" si="1075"/>
        <v>14513</v>
      </c>
      <c r="AA201" s="82"/>
      <c r="AB201" s="75"/>
      <c r="AC201" s="75"/>
      <c r="AD201" s="166"/>
      <c r="AE201" s="75">
        <v>2.13</v>
      </c>
      <c r="AF201" s="82">
        <v>2</v>
      </c>
      <c r="AG201" s="82">
        <v>1</v>
      </c>
      <c r="AH201" s="82">
        <v>1</v>
      </c>
      <c r="AI201" s="82">
        <v>0.99999999998544808</v>
      </c>
      <c r="AJ201" s="166">
        <v>2.1301099999999997</v>
      </c>
      <c r="AK201" s="82" t="str">
        <v>Base</v>
      </c>
      <c r="AL201" s="162">
        <v>-16.5</v>
      </c>
      <c r="AM201" s="162">
        <v>-3.7054897408941274</v>
      </c>
      <c r="AN201" s="162">
        <v>-2.1833146598133428</v>
      </c>
      <c r="AO201" s="162">
        <v>84.959174548900066</v>
      </c>
      <c r="AP201" s="162">
        <v>-29.733205429582988</v>
      </c>
      <c r="AQ201" s="162">
        <v>0</v>
      </c>
      <c r="AR201" s="710" t="str">
        <v>14513.par</v>
      </c>
      <c r="AV201" s="82" t="str">
        <v>204,204,0</v>
      </c>
      <c r="AW201" s="947">
        <v>85</v>
      </c>
      <c r="AX201" s="947">
        <v>84.959174548900066</v>
      </c>
      <c r="AY201" s="947">
        <v>0</v>
      </c>
    </row>
    <row r="202" spans="2:51" x14ac:dyDescent="0.25">
      <c r="B202" s="650">
        <v>-0.3809904123799604</v>
      </c>
      <c r="C202" s="651">
        <v>-0.38099015316000495</v>
      </c>
      <c r="D202" s="652">
        <v>-0.6222018765608599</v>
      </c>
      <c r="E202" s="653">
        <v>0.69663809995827397</v>
      </c>
      <c r="F202" s="651">
        <v>-0.64052713426311969</v>
      </c>
      <c r="G202" s="654">
        <v>0.32314137457032849</v>
      </c>
      <c r="H202" s="653">
        <v>0.28649999999999998</v>
      </c>
      <c r="I202" s="920">
        <v>0.52</v>
      </c>
      <c r="J202" s="924">
        <v>4.1020000000000003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14513</v>
      </c>
      <c r="L202" s="940" t="s">
        <v>423</v>
      </c>
      <c r="M202" s="970">
        <f>INDEX([1]List!$AG$204:$AG$240,MATCH($J202,[1]List!$AA$204:$AA$240,0))*-1</f>
        <v>10</v>
      </c>
      <c r="N202" s="941"/>
      <c r="O202" s="942"/>
      <c r="Q202" s="162">
        <f t="shared" si="1068"/>
        <v>-1.9037718222665707</v>
      </c>
      <c r="R202" s="162">
        <f t="shared" si="1069"/>
        <v>-1.8770450749184586</v>
      </c>
      <c r="S202" s="162">
        <f t="shared" si="1070"/>
        <v>-0.20740062552028662</v>
      </c>
      <c r="T202" s="162">
        <f t="shared" si="1071"/>
        <v>0.5882972227650588</v>
      </c>
      <c r="U202" s="162">
        <f t="shared" si="1072"/>
        <v>-0.75148437170748217</v>
      </c>
      <c r="V202" s="162">
        <f t="shared" si="1073"/>
        <v>0.29862621580552812</v>
      </c>
      <c r="W202" s="162">
        <f>IFERROR(IF(ISNUMBER(MATCH($Z202,Settings!$AK$28:$AK$36,0)),INDEX(Settings!$AO$14:$AO$36,MATCH($Z202,Settings!$AK$14:$AK$36,0))/2,INDEX(Settings!$AM$14:$AM$36,MATCH($Z202,Settings!$AK$14:$AK$36,0))/2),"")</f>
        <v>0.28499999999999998</v>
      </c>
      <c r="X202" s="162">
        <f t="shared" si="1074"/>
        <v>0.52</v>
      </c>
      <c r="Y202" s="75">
        <v>4.1130000000000004</v>
      </c>
      <c r="Z202" s="917">
        <f t="shared" si="1075"/>
        <v>14513</v>
      </c>
      <c r="AA202" s="82"/>
      <c r="AB202" s="75"/>
      <c r="AC202" s="75"/>
      <c r="AD202" s="166"/>
      <c r="AE202" s="75">
        <v>2.125</v>
      </c>
      <c r="AF202" s="82">
        <v>2</v>
      </c>
      <c r="AG202" s="82">
        <v>1</v>
      </c>
      <c r="AH202" s="82">
        <v>1</v>
      </c>
      <c r="AI202" s="82">
        <v>0.99999999998544808</v>
      </c>
      <c r="AJ202" s="166">
        <v>2.1251099999999998</v>
      </c>
      <c r="AK202" s="82" t="str">
        <v>Base</v>
      </c>
      <c r="AL202" s="162">
        <v>-16.5</v>
      </c>
      <c r="AM202" s="162">
        <v>-3.6507686153359904</v>
      </c>
      <c r="AN202" s="162">
        <v>-1.4425909646480886</v>
      </c>
      <c r="AO202" s="162">
        <v>79.91365573728622</v>
      </c>
      <c r="AP202" s="162">
        <v>-28.847628083391658</v>
      </c>
      <c r="AQ202" s="162">
        <v>0</v>
      </c>
      <c r="AR202" s="710" t="str">
        <v>14513.par</v>
      </c>
      <c r="AV202" s="82" t="str">
        <v>204,204,0</v>
      </c>
      <c r="AW202" s="947">
        <v>82.990000000000009</v>
      </c>
      <c r="AX202" s="947">
        <v>79.91365573728622</v>
      </c>
      <c r="AY202" s="947">
        <v>0</v>
      </c>
    </row>
    <row r="203" spans="2:51" x14ac:dyDescent="0.25">
      <c r="B203" s="650">
        <v>-0.85319790567494458</v>
      </c>
      <c r="C203" s="651">
        <v>-0.85319732517234947</v>
      </c>
      <c r="D203" s="652">
        <v>-0.37910114336904843</v>
      </c>
      <c r="E203" s="653">
        <v>0.69577879789044106</v>
      </c>
      <c r="F203" s="651">
        <v>-0.67024662841537319</v>
      </c>
      <c r="G203" s="654">
        <v>0.25818853867659858</v>
      </c>
      <c r="H203" s="653">
        <v>0.28649999999999998</v>
      </c>
      <c r="I203" s="920">
        <v>0.52</v>
      </c>
      <c r="J203" s="924">
        <v>4.1050000000000004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14513</v>
      </c>
      <c r="L203" s="940" t="s">
        <v>423</v>
      </c>
      <c r="M203" s="970">
        <f>INDEX([1]List!$AG$204:$AG$240,MATCH($J203,[1]List!$AA$204:$AA$240,0))*-1</f>
        <v>10</v>
      </c>
      <c r="N203" s="941"/>
      <c r="O203" s="942"/>
      <c r="Q203" s="162">
        <f t="shared" si="1068"/>
        <v>-2.3500787108333467</v>
      </c>
      <c r="R203" s="162">
        <f t="shared" si="1069"/>
        <v>-2.2566368104234482</v>
      </c>
      <c r="S203" s="162">
        <f t="shared" si="1070"/>
        <v>-0.59970180870065493</v>
      </c>
      <c r="T203" s="162">
        <f t="shared" si="1071"/>
        <v>0.43903377570764063</v>
      </c>
      <c r="U203" s="162">
        <f t="shared" si="1072"/>
        <v>-0.85515076670796564</v>
      </c>
      <c r="V203" s="162">
        <f t="shared" si="1073"/>
        <v>0.27562022782566509</v>
      </c>
      <c r="W203" s="162">
        <f>IFERROR(IF(ISNUMBER(MATCH($Z203,Settings!$AK$28:$AK$36,0)),INDEX(Settings!$AO$14:$AO$36,MATCH($Z203,Settings!$AK$14:$AK$36,0))/2,INDEX(Settings!$AM$14:$AM$36,MATCH($Z203,Settings!$AK$14:$AK$36,0))/2),"")</f>
        <v>0.28499999999999998</v>
      </c>
      <c r="X203" s="162">
        <f t="shared" si="1074"/>
        <v>0.52</v>
      </c>
      <c r="Y203" s="75">
        <v>4.1180000000000003</v>
      </c>
      <c r="Z203" s="917">
        <f t="shared" si="1075"/>
        <v>14513</v>
      </c>
      <c r="AA203" s="82"/>
      <c r="AB203" s="75"/>
      <c r="AC203" s="75"/>
      <c r="AD203" s="166"/>
      <c r="AE203" s="75">
        <v>2.12</v>
      </c>
      <c r="AF203" s="82">
        <v>2</v>
      </c>
      <c r="AG203" s="82">
        <v>1</v>
      </c>
      <c r="AH203" s="82">
        <v>1</v>
      </c>
      <c r="AI203" s="82">
        <v>0.99999999998544808</v>
      </c>
      <c r="AJ203" s="166">
        <v>2.1201099999999999</v>
      </c>
      <c r="AK203" s="82" t="str">
        <v>Base</v>
      </c>
      <c r="AL203" s="162">
        <v>-16.5</v>
      </c>
      <c r="AM203" s="162">
        <v>-3.4229111071668892</v>
      </c>
      <c r="AN203" s="162">
        <v>-0.77973466683292203</v>
      </c>
      <c r="AO203" s="162">
        <v>54.616826931126944</v>
      </c>
      <c r="AP203" s="162">
        <v>-24.457328545074276</v>
      </c>
      <c r="AQ203" s="162">
        <v>0</v>
      </c>
      <c r="AR203" s="710" t="str">
        <v>14513.par</v>
      </c>
      <c r="AV203" s="82" t="str">
        <v>204,204,0</v>
      </c>
      <c r="AW203" s="947">
        <v>55.699999999999989</v>
      </c>
      <c r="AX203" s="947">
        <v>54.616826931126944</v>
      </c>
      <c r="AY203" s="947">
        <v>0</v>
      </c>
    </row>
    <row r="204" spans="2:51" x14ac:dyDescent="0.25">
      <c r="B204" s="650">
        <v>-1.3291530774881426</v>
      </c>
      <c r="C204" s="651">
        <v>-1.3291521731530458</v>
      </c>
      <c r="D204" s="652">
        <v>-0.15250045994138717</v>
      </c>
      <c r="E204" s="653">
        <v>0.6862064886857101</v>
      </c>
      <c r="F204" s="651">
        <v>-0.67981893110725389</v>
      </c>
      <c r="G204" s="654">
        <v>0.25877958921410182</v>
      </c>
      <c r="H204" s="653">
        <v>0.28649999999999998</v>
      </c>
      <c r="I204" s="920">
        <v>0.52</v>
      </c>
      <c r="J204" s="924">
        <v>4.1079999999999997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14513</v>
      </c>
      <c r="L204" s="940" t="s">
        <v>423</v>
      </c>
      <c r="M204" s="970">
        <f>INDEX([1]List!$AG$204:$AG$240,MATCH($J204,[1]List!$AA$204:$AA$240,0))*-1</f>
        <v>11.439999999999998</v>
      </c>
      <c r="N204" s="941"/>
      <c r="O204" s="942"/>
      <c r="Q204" s="162">
        <f t="shared" si="1068"/>
        <v>-2.6232171919096459</v>
      </c>
      <c r="R204" s="162">
        <f t="shared" si="1069"/>
        <v>-2.4712153120710481</v>
      </c>
      <c r="S204" s="162">
        <f t="shared" si="1070"/>
        <v>-1.2138036608318408</v>
      </c>
      <c r="T204" s="162">
        <f t="shared" si="1071"/>
        <v>0.29476693725956404</v>
      </c>
      <c r="U204" s="162">
        <f t="shared" si="1072"/>
        <v>-0.94255869617859045</v>
      </c>
      <c r="V204" s="162">
        <f t="shared" si="1073"/>
        <v>0.15714820061563545</v>
      </c>
      <c r="W204" s="162">
        <f>IFERROR(IF(ISNUMBER(MATCH($Z204,Settings!$AK$28:$AK$36,0)),INDEX(Settings!$AO$14:$AO$36,MATCH($Z204,Settings!$AK$14:$AK$36,0))/2,INDEX(Settings!$AM$14:$AM$36,MATCH($Z204,Settings!$AK$14:$AK$36,0))/2),"")</f>
        <v>0.28499999999999998</v>
      </c>
      <c r="X204" s="162">
        <f t="shared" si="1074"/>
        <v>0.52</v>
      </c>
      <c r="Y204" s="75">
        <v>4.1230000000000002</v>
      </c>
      <c r="Z204" s="917">
        <f t="shared" si="1075"/>
        <v>14513</v>
      </c>
      <c r="AA204" s="82"/>
      <c r="AB204" s="75"/>
      <c r="AC204" s="75"/>
      <c r="AD204" s="166"/>
      <c r="AE204" s="75">
        <v>2.1150000000000002</v>
      </c>
      <c r="AF204" s="82">
        <v>2</v>
      </c>
      <c r="AG204" s="82">
        <v>1</v>
      </c>
      <c r="AH204" s="82">
        <v>1</v>
      </c>
      <c r="AI204" s="82">
        <v>1.0000000000218279</v>
      </c>
      <c r="AJ204" s="166">
        <v>2.11511</v>
      </c>
      <c r="AK204" s="82" t="str">
        <v>Base</v>
      </c>
      <c r="AL204" s="162">
        <v>-16.5</v>
      </c>
      <c r="AM204" s="162">
        <v>-2.9262005695703541</v>
      </c>
      <c r="AN204" s="162">
        <v>-0.28540279101920651</v>
      </c>
      <c r="AO204" s="162">
        <v>29.131847697982931</v>
      </c>
      <c r="AP204" s="162">
        <v>-20.112874810640083</v>
      </c>
      <c r="AQ204" s="162">
        <v>0</v>
      </c>
      <c r="AR204" s="710" t="str">
        <v>14513.par</v>
      </c>
      <c r="AV204" s="82" t="str">
        <v>204,204,0</v>
      </c>
      <c r="AW204" s="947">
        <v>28.92</v>
      </c>
      <c r="AX204" s="947">
        <v>29.131847697982931</v>
      </c>
      <c r="AY204" s="947">
        <v>0</v>
      </c>
    </row>
    <row r="205" spans="2:51" x14ac:dyDescent="0.25">
      <c r="B205" s="650">
        <v>-1.9037718222665707</v>
      </c>
      <c r="C205" s="651">
        <v>-1.8770450749184586</v>
      </c>
      <c r="D205" s="652">
        <v>-0.20740062552028662</v>
      </c>
      <c r="E205" s="653">
        <v>0.5882972227650588</v>
      </c>
      <c r="F205" s="651">
        <v>-0.75148437170748217</v>
      </c>
      <c r="G205" s="654">
        <v>0.29862621580552812</v>
      </c>
      <c r="H205" s="653">
        <v>0.28649999999999998</v>
      </c>
      <c r="I205" s="920">
        <v>0.52</v>
      </c>
      <c r="J205" s="924">
        <v>4.1130000000000004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14513</v>
      </c>
      <c r="L205" s="940" t="s">
        <v>423</v>
      </c>
      <c r="M205" s="970">
        <f>INDEX([1]List!$AG$204:$AG$240,MATCH($J205,[1]List!$AA$204:$AA$240,0))*-1</f>
        <v>-18.340000000000003</v>
      </c>
      <c r="N205" s="941"/>
      <c r="O205" s="942"/>
      <c r="Q205" s="162">
        <f t="shared" si="1068"/>
        <v>-2.7126767187539356</v>
      </c>
      <c r="R205" s="162">
        <f t="shared" si="1069"/>
        <v>-2.5388315120984997</v>
      </c>
      <c r="S205" s="162">
        <f t="shared" si="1070"/>
        <v>-1.9494058794081324</v>
      </c>
      <c r="T205" s="162">
        <f t="shared" si="1071"/>
        <v>0.22810821044244234</v>
      </c>
      <c r="U205" s="162">
        <f t="shared" si="1072"/>
        <v>-0.97266006634071878</v>
      </c>
      <c r="V205" s="162">
        <f t="shared" si="1073"/>
        <v>4.3577972357775809E-2</v>
      </c>
      <c r="W205" s="162">
        <f>IFERROR(IF(ISNUMBER(MATCH($Z205,Settings!$AK$28:$AK$36,0)),INDEX(Settings!$AO$14:$AO$36,MATCH($Z205,Settings!$AK$14:$AK$36,0))/2,INDEX(Settings!$AM$14:$AM$36,MATCH($Z205,Settings!$AK$14:$AK$36,0))/2),"")</f>
        <v>0.28499999999999998</v>
      </c>
      <c r="X205" s="162">
        <f t="shared" si="1074"/>
        <v>0.52</v>
      </c>
      <c r="Y205" s="75">
        <v>4.1280000000000001</v>
      </c>
      <c r="Z205" s="917">
        <f t="shared" si="1075"/>
        <v>14513</v>
      </c>
      <c r="AA205" s="82"/>
      <c r="AB205" s="75"/>
      <c r="AC205" s="75"/>
      <c r="AD205" s="166"/>
      <c r="AE205" s="75">
        <v>2.11</v>
      </c>
      <c r="AF205" s="82">
        <v>2</v>
      </c>
      <c r="AG205" s="82">
        <v>1</v>
      </c>
      <c r="AH205" s="82">
        <v>1</v>
      </c>
      <c r="AI205" s="82">
        <v>0.99999999998544808</v>
      </c>
      <c r="AJ205" s="166">
        <v>2.1101099999999997</v>
      </c>
      <c r="AK205" s="82" t="str">
        <v>Base</v>
      </c>
      <c r="AL205" s="162">
        <v>-16.5</v>
      </c>
      <c r="AM205" s="162">
        <v>-2.2565117770054361</v>
      </c>
      <c r="AN205" s="162">
        <v>-7.8704008513740098E-2</v>
      </c>
      <c r="AO205" s="162">
        <v>3.2856948997619564</v>
      </c>
      <c r="AP205" s="162">
        <v>-15.847059512467744</v>
      </c>
      <c r="AQ205" s="162">
        <v>0</v>
      </c>
      <c r="AR205" s="710" t="str">
        <v>14513.par</v>
      </c>
      <c r="AV205" s="82" t="str">
        <v>204,204,0</v>
      </c>
      <c r="AW205" s="947">
        <v>2.5600000000000023</v>
      </c>
      <c r="AX205" s="947">
        <v>3.2856948997619564</v>
      </c>
      <c r="AY205" s="947">
        <v>0</v>
      </c>
    </row>
    <row r="206" spans="2:51" x14ac:dyDescent="0.25">
      <c r="B206" s="650">
        <v>-2.3500787108333467</v>
      </c>
      <c r="C206" s="651">
        <v>-2.2566368104234482</v>
      </c>
      <c r="D206" s="652">
        <v>-0.59970180870065493</v>
      </c>
      <c r="E206" s="653">
        <v>0.43903377570764063</v>
      </c>
      <c r="F206" s="651">
        <v>-0.85515076670796564</v>
      </c>
      <c r="G206" s="654">
        <v>0.27562022782566509</v>
      </c>
      <c r="H206" s="653">
        <v>0.28649999999999998</v>
      </c>
      <c r="I206" s="920">
        <v>0.52</v>
      </c>
      <c r="J206" s="924">
        <v>4.1180000000000003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14513</v>
      </c>
      <c r="L206" s="940" t="s">
        <v>423</v>
      </c>
      <c r="M206" s="970">
        <f>INDEX([1]List!$AG$204:$AG$240,MATCH($J206,[1]List!$AA$204:$AA$240,0))*-1</f>
        <v>-44.919999999999987</v>
      </c>
      <c r="N206" s="941"/>
      <c r="O206" s="942"/>
      <c r="Q206" s="162">
        <f t="shared" si="1068"/>
        <v>-1.8247408740086861</v>
      </c>
      <c r="R206" s="162">
        <f t="shared" si="1069"/>
        <v>-0.45231736377861964</v>
      </c>
      <c r="S206" s="162">
        <f t="shared" si="1070"/>
        <v>-0.19328425485898718</v>
      </c>
      <c r="T206" s="162">
        <f t="shared" si="1071"/>
        <v>5.079856258895462E-2</v>
      </c>
      <c r="U206" s="162">
        <f t="shared" si="1072"/>
        <v>1.259196428449697E-2</v>
      </c>
      <c r="V206" s="162">
        <f t="shared" si="1073"/>
        <v>0.99862953515022479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74"/>
        <v>0.41499999999999992</v>
      </c>
      <c r="Y206" s="75">
        <v>4.2080000000000002</v>
      </c>
      <c r="Z206" s="917" t="str">
        <f t="shared" si="1075"/>
        <v>CPS-32193r1</v>
      </c>
      <c r="AA206" s="82"/>
      <c r="AB206" s="75"/>
      <c r="AC206" s="75"/>
      <c r="AD206" s="166"/>
      <c r="AE206" s="75">
        <v>1.2310000000000001</v>
      </c>
      <c r="AF206" s="82">
        <v>1</v>
      </c>
      <c r="AG206" s="82">
        <v>2</v>
      </c>
      <c r="AH206" s="82">
        <v>1</v>
      </c>
      <c r="AI206" s="82">
        <v>1.0000000000218279</v>
      </c>
      <c r="AJ206" s="166">
        <v>1.2311100000000001</v>
      </c>
      <c r="AK206" s="82" t="str">
        <v>Base</v>
      </c>
      <c r="AL206" s="162">
        <v>-15.75</v>
      </c>
      <c r="AM206" s="162">
        <v>-3.6674116518398741</v>
      </c>
      <c r="AN206" s="162">
        <v>-2.3837820330301218</v>
      </c>
      <c r="AO206" s="162">
        <v>84.999987727520178</v>
      </c>
      <c r="AP206" s="162">
        <v>0</v>
      </c>
      <c r="AQ206" s="162">
        <v>0</v>
      </c>
      <c r="AR206" s="710" t="str">
        <v>32193r1.par</v>
      </c>
      <c r="AV206" s="82" t="str">
        <v>255,188,121</v>
      </c>
      <c r="AW206" s="947">
        <v>85</v>
      </c>
      <c r="AX206" s="947">
        <v>84.999987727520178</v>
      </c>
      <c r="AY206" s="947">
        <v>0</v>
      </c>
    </row>
    <row r="207" spans="2:51" x14ac:dyDescent="0.25">
      <c r="B207" s="650">
        <v>-2.6232171919096459</v>
      </c>
      <c r="C207" s="651">
        <v>-2.4712153120710481</v>
      </c>
      <c r="D207" s="652">
        <v>-1.2138036608318408</v>
      </c>
      <c r="E207" s="653">
        <v>0.29476693725956404</v>
      </c>
      <c r="F207" s="651">
        <v>-0.94255869617859045</v>
      </c>
      <c r="G207" s="654">
        <v>0.15714820061563545</v>
      </c>
      <c r="H207" s="653">
        <v>0.28649999999999998</v>
      </c>
      <c r="I207" s="920">
        <v>0.52</v>
      </c>
      <c r="J207" s="924">
        <v>4.1230000000000002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14513</v>
      </c>
      <c r="L207" s="940" t="s">
        <v>423</v>
      </c>
      <c r="M207" s="970">
        <f>INDEX([1]List!$AG$204:$AG$240,MATCH($J207,[1]List!$AA$204:$AA$240,0))*-1</f>
        <v>-72.03</v>
      </c>
      <c r="N207" s="941"/>
      <c r="O207" s="942"/>
      <c r="Q207" s="162">
        <f t="shared" si="1068"/>
        <v>-2.4061846414859249</v>
      </c>
      <c r="R207" s="162">
        <f t="shared" si="1069"/>
        <v>-1.172613830048679</v>
      </c>
      <c r="S207" s="162">
        <f t="shared" si="1070"/>
        <v>-0.21412937587597378</v>
      </c>
      <c r="T207" s="162">
        <f t="shared" si="1071"/>
        <v>0.2789153202743842</v>
      </c>
      <c r="U207" s="162">
        <f t="shared" si="1072"/>
        <v>-0.88400981367425302</v>
      </c>
      <c r="V207" s="162">
        <f t="shared" si="1073"/>
        <v>0.37514383034224408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74"/>
        <v>0.52</v>
      </c>
      <c r="Y207" s="75">
        <v>4.2130000000000001</v>
      </c>
      <c r="Z207" s="917">
        <f t="shared" si="1075"/>
        <v>1313</v>
      </c>
      <c r="AA207" s="82"/>
      <c r="AB207" s="75"/>
      <c r="AC207" s="75"/>
      <c r="AD207" s="166"/>
      <c r="AE207" s="75">
        <v>1.226</v>
      </c>
      <c r="AF207" s="82">
        <v>1</v>
      </c>
      <c r="AG207" s="82">
        <v>2</v>
      </c>
      <c r="AH207" s="82">
        <v>1</v>
      </c>
      <c r="AI207" s="82">
        <v>1.000000000003638</v>
      </c>
      <c r="AJ207" s="166">
        <v>1.22611</v>
      </c>
      <c r="AK207" s="82" t="str">
        <v>Base</v>
      </c>
      <c r="AL207" s="162">
        <v>-15.75</v>
      </c>
      <c r="AM207" s="162">
        <v>-3.6219115146114604</v>
      </c>
      <c r="AN207" s="162">
        <v>-1.6418790243062291</v>
      </c>
      <c r="AO207" s="162">
        <v>84.999987727520192</v>
      </c>
      <c r="AP207" s="162">
        <v>0</v>
      </c>
      <c r="AQ207" s="162">
        <v>0</v>
      </c>
      <c r="AR207" s="710" t="str">
        <v>32193r1.par</v>
      </c>
      <c r="AV207" s="82" t="str">
        <v>255,188,121</v>
      </c>
      <c r="AW207" s="947">
        <v>85</v>
      </c>
      <c r="AX207" s="947">
        <v>84.999987727520192</v>
      </c>
      <c r="AY207" s="947">
        <v>0</v>
      </c>
    </row>
    <row r="208" spans="2:51" x14ac:dyDescent="0.25">
      <c r="B208" s="650">
        <v>-2.7126767187539356</v>
      </c>
      <c r="C208" s="651">
        <v>-2.5388315120984997</v>
      </c>
      <c r="D208" s="652">
        <v>-1.9494058794081324</v>
      </c>
      <c r="E208" s="653">
        <v>0.22810821044244234</v>
      </c>
      <c r="F208" s="651">
        <v>-0.97266006634071878</v>
      </c>
      <c r="G208" s="654">
        <v>4.3577972357775809E-2</v>
      </c>
      <c r="H208" s="653">
        <v>0.28649999999999998</v>
      </c>
      <c r="I208" s="920">
        <v>0.52</v>
      </c>
      <c r="J208" s="924">
        <v>4.1280000000000001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14513</v>
      </c>
      <c r="L208" s="940" t="s">
        <v>423</v>
      </c>
      <c r="M208" s="970">
        <f>INDEX([1]List!$AG$204:$AG$240,MATCH($J208,[1]List!$AA$204:$AA$240,0))*-1</f>
        <v>-85</v>
      </c>
      <c r="N208" s="941"/>
      <c r="O208" s="942"/>
      <c r="Q208" s="162">
        <f t="shared" si="1068"/>
        <v>-2.8911139804366335</v>
      </c>
      <c r="R208" s="162">
        <f t="shared" si="1069"/>
        <v>-1.5180775663823227</v>
      </c>
      <c r="S208" s="162">
        <f t="shared" si="1070"/>
        <v>-0.60581711382330583</v>
      </c>
      <c r="T208" s="162">
        <f t="shared" si="1071"/>
        <v>0.11735471925790789</v>
      </c>
      <c r="U208" s="162">
        <f t="shared" si="1072"/>
        <v>-0.93618981868286422</v>
      </c>
      <c r="V208" s="162">
        <f t="shared" si="1073"/>
        <v>0.3313253586166377</v>
      </c>
      <c r="W208" s="162">
        <f>IFERROR(IF(ISNUMBER(MATCH($Z208,Settings!$AK$28:$AK$36,0)),INDEX(Settings!$AO$14:$AO$36,MATCH($Z208,Settings!$AK$14:$AK$36,0))/2,INDEX(Settings!$AM$14:$AM$36,MATCH($Z208,Settings!$AK$14:$AK$36,0))/2),"")</f>
        <v>0.26450000000000001</v>
      </c>
      <c r="X208" s="162">
        <f t="shared" si="1074"/>
        <v>0.52</v>
      </c>
      <c r="Y208" s="75">
        <v>4.218</v>
      </c>
      <c r="Z208" s="917">
        <f t="shared" si="1075"/>
        <v>1313</v>
      </c>
      <c r="AA208" s="82"/>
      <c r="AB208" s="75"/>
      <c r="AC208" s="75"/>
      <c r="AD208" s="166"/>
      <c r="AE208" s="75">
        <v>1.2210000000000001</v>
      </c>
      <c r="AF208" s="82">
        <v>1</v>
      </c>
      <c r="AG208" s="82">
        <v>2</v>
      </c>
      <c r="AH208" s="82">
        <v>1</v>
      </c>
      <c r="AI208" s="82">
        <v>1.0000000000218279</v>
      </c>
      <c r="AJ208" s="166">
        <v>1.2211100000000001</v>
      </c>
      <c r="AK208" s="82" t="str">
        <v>Base</v>
      </c>
      <c r="AL208" s="162">
        <v>-15.75</v>
      </c>
      <c r="AM208" s="162">
        <v>-3.4999726850193795</v>
      </c>
      <c r="AN208" s="162">
        <v>-0.95266072351096687</v>
      </c>
      <c r="AO208" s="162">
        <v>59.759556997406193</v>
      </c>
      <c r="AP208" s="162">
        <v>-30.344438639895046</v>
      </c>
      <c r="AQ208" s="162">
        <v>0</v>
      </c>
      <c r="AR208" s="710" t="str">
        <v>1313.par</v>
      </c>
      <c r="AV208" s="82" t="str">
        <v>255,188,121</v>
      </c>
      <c r="AW208" s="947">
        <v>61.129999999999995</v>
      </c>
      <c r="AX208" s="947">
        <v>59.759556997406193</v>
      </c>
      <c r="AY208" s="947">
        <v>0</v>
      </c>
    </row>
    <row r="209" spans="2:51" x14ac:dyDescent="0.25">
      <c r="B209" s="650">
        <v>-1.8247408740086861</v>
      </c>
      <c r="C209" s="651">
        <v>-0.45231736377861964</v>
      </c>
      <c r="D209" s="652">
        <v>-0.19328425485898718</v>
      </c>
      <c r="E209" s="653">
        <v>5.079856258895462E-2</v>
      </c>
      <c r="F209" s="651">
        <v>1.259196428449697E-2</v>
      </c>
      <c r="G209" s="654">
        <v>0.99862953515022479</v>
      </c>
      <c r="H209" s="653">
        <v>0.25700000000000001</v>
      </c>
      <c r="I209" s="920">
        <v>0.41499999999999992</v>
      </c>
      <c r="J209" s="924">
        <v>4.2080000000000002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40" t="s">
        <v>421</v>
      </c>
      <c r="M209" s="970">
        <f>M204</f>
        <v>11.439999999999998</v>
      </c>
      <c r="N209" s="941"/>
      <c r="O209" s="942"/>
      <c r="Q209" s="162">
        <f t="shared" si="1068"/>
        <v>-3.1948109008531405</v>
      </c>
      <c r="R209" s="162">
        <f t="shared" si="1069"/>
        <v>-1.6903774651728529</v>
      </c>
      <c r="S209" s="162">
        <f t="shared" si="1070"/>
        <v>-1.2228102804761862</v>
      </c>
      <c r="T209" s="162">
        <f t="shared" si="1071"/>
        <v>-4.9404029211389255E-2</v>
      </c>
      <c r="U209" s="162">
        <f t="shared" si="1072"/>
        <v>-0.98186586993932357</v>
      </c>
      <c r="V209" s="162">
        <f t="shared" si="1073"/>
        <v>0.18302637882550044</v>
      </c>
      <c r="W209" s="162">
        <f>IFERROR(IF(ISNUMBER(MATCH($Z209,Settings!$AK$28:$AK$36,0)),INDEX(Settings!$AO$14:$AO$36,MATCH($Z209,Settings!$AK$14:$AK$36,0))/2,INDEX(Settings!$AM$14:$AM$36,MATCH($Z209,Settings!$AK$14:$AK$36,0))/2),"")</f>
        <v>0.26450000000000001</v>
      </c>
      <c r="X209" s="162">
        <f t="shared" si="1074"/>
        <v>0.52</v>
      </c>
      <c r="Y209" s="75">
        <v>4.2229999999999999</v>
      </c>
      <c r="Z209" s="917">
        <f t="shared" si="1075"/>
        <v>1313</v>
      </c>
      <c r="AA209" s="82"/>
      <c r="AB209" s="75"/>
      <c r="AC209" s="75"/>
      <c r="AD209" s="166"/>
      <c r="AE209" s="75">
        <v>1.216</v>
      </c>
      <c r="AF209" s="82">
        <v>1</v>
      </c>
      <c r="AG209" s="82">
        <v>2</v>
      </c>
      <c r="AH209" s="82">
        <v>1</v>
      </c>
      <c r="AI209" s="82">
        <v>1.000000000003638</v>
      </c>
      <c r="AJ209" s="166">
        <v>1.21611</v>
      </c>
      <c r="AK209" s="82" t="str">
        <v>Base</v>
      </c>
      <c r="AL209" s="162">
        <v>-15.75</v>
      </c>
      <c r="AM209" s="162">
        <v>-3.0482256677523303</v>
      </c>
      <c r="AN209" s="162">
        <v>-0.41218727307292979</v>
      </c>
      <c r="AO209" s="162">
        <v>34.433429937894488</v>
      </c>
      <c r="AP209" s="162">
        <v>-25.984322344903283</v>
      </c>
      <c r="AQ209" s="162">
        <v>0</v>
      </c>
      <c r="AR209" s="710" t="str">
        <v>1313.par</v>
      </c>
      <c r="AV209" s="82" t="str">
        <v>255,188,121</v>
      </c>
      <c r="AW209" s="947">
        <v>34.230000000000004</v>
      </c>
      <c r="AX209" s="947">
        <v>34.433429937894488</v>
      </c>
      <c r="AY209" s="947">
        <v>0</v>
      </c>
    </row>
    <row r="210" spans="2:51" x14ac:dyDescent="0.25">
      <c r="B210" s="650">
        <v>-2.4061846414859249</v>
      </c>
      <c r="C210" s="651">
        <v>-1.172613830048679</v>
      </c>
      <c r="D210" s="652">
        <v>-0.21412937587597378</v>
      </c>
      <c r="E210" s="653">
        <v>0.2789153202743842</v>
      </c>
      <c r="F210" s="651">
        <v>-0.88400981367425302</v>
      </c>
      <c r="G210" s="654">
        <v>0.37514383034224408</v>
      </c>
      <c r="H210" s="653">
        <v>0.26600000000000001</v>
      </c>
      <c r="I210" s="920">
        <v>0.52</v>
      </c>
      <c r="J210" s="924">
        <v>4.2130000000000001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940" t="s">
        <v>419</v>
      </c>
      <c r="M210" s="970">
        <f t="shared" ref="M210:M213" si="1077">M205</f>
        <v>-18.340000000000003</v>
      </c>
      <c r="N210" s="941"/>
      <c r="O210" s="942"/>
      <c r="Q210" s="162">
        <f t="shared" ref="Q210:Q273" si="1078">IFERROR(INDEX(B$164:B$305,MATCH($Y210,$J$164:$J$305,0)),"")</f>
        <v>-3.362053401498045</v>
      </c>
      <c r="R210" s="162">
        <f t="shared" ref="R210:R273" si="1079">IFERROR(INDEX(C$164:C$305,MATCH($Y210,$J$164:$J$305,0)),"")</f>
        <v>-1.4650956110528404</v>
      </c>
      <c r="S210" s="162">
        <f t="shared" ref="S210:S273" si="1080">IFERROR(INDEX(D$164:D$305,MATCH($Y210,$J$164:$J$305,0)),"")</f>
        <v>-1.9699034066945358</v>
      </c>
      <c r="T210" s="162">
        <f t="shared" ref="T210:T273" si="1081">IFERROR(IF($N210="Y",-1*INDEX(E$164:E$305,MATCH($Y210,$J$164:$J$305,0)),INDEX(E$164:E$305,MATCH($Y210,$J$164:$J$305,0))),"")</f>
        <v>-0.913248914620582</v>
      </c>
      <c r="U210" s="162">
        <f t="shared" ref="U210:U273" si="1082">IFERROR(IF($N210="Y",-1*INDEX(F$164:F$305,MATCH($Y210,$J$164:$J$305,0)),INDEX(F$164:F$305,MATCH($Y210,$J$164:$J$305,0))),"")</f>
        <v>-0.39797017382686511</v>
      </c>
      <c r="V210" s="162">
        <f t="shared" ref="V210:V273" si="1083">IFERROR(IF($N210="Y",-1*INDEX(G$164:G$305,MATCH($Y210,$J$164:$J$305,0)),INDEX(G$164:G$305,MATCH($Y210,$J$164:$J$305,0))),"")</f>
        <v>8.7155956127759032E-2</v>
      </c>
      <c r="W210" s="162">
        <f>IFERROR(IF(ISNUMBER(MATCH($Z210,Settings!$AK$28:$AK$36,0)),INDEX(Settings!$AO$14:$AO$36,MATCH($Z210,Settings!$AK$14:$AK$36,0))/2,INDEX(Settings!$AM$14:$AM$36,MATCH($Z210,Settings!$AK$14:$AK$36,0))/2),"")</f>
        <v>0.255</v>
      </c>
      <c r="X210" s="162">
        <f t="shared" ref="X210:X273" si="1084">IFERROR(INDEX(I$164:I$305,MATCH($Y210,$J$164:$J$305,0)),"")</f>
        <v>0.41499999999999992</v>
      </c>
      <c r="Y210" s="75">
        <v>4.2279999999999998</v>
      </c>
      <c r="Z210" s="917" t="str">
        <f t="shared" ref="Z210:Z273" si="1085">IFERROR(INDEX(K$164:K$305,MATCH($Y210,$J$164:$J$305,0)),"")</f>
        <v>CPS-32193r1</v>
      </c>
      <c r="AA210" s="82"/>
      <c r="AB210" s="75"/>
      <c r="AC210" s="75"/>
      <c r="AD210" s="166"/>
      <c r="AE210" s="75">
        <v>1.2110000000000001</v>
      </c>
      <c r="AF210" s="82">
        <v>1</v>
      </c>
      <c r="AG210" s="82">
        <v>2</v>
      </c>
      <c r="AH210" s="82">
        <v>1</v>
      </c>
      <c r="AI210" s="82">
        <v>1.0000000000218279</v>
      </c>
      <c r="AJ210" s="166">
        <v>1.2111100000000001</v>
      </c>
      <c r="AK210" s="82" t="str">
        <v>Base</v>
      </c>
      <c r="AL210" s="162">
        <v>-15.75</v>
      </c>
      <c r="AM210" s="162">
        <v>-2.3986349300699432</v>
      </c>
      <c r="AN210" s="162">
        <v>-0.14077542876823651</v>
      </c>
      <c r="AO210" s="162">
        <v>8.9017554788769413</v>
      </c>
      <c r="AP210" s="162">
        <v>-21.691845055181382</v>
      </c>
      <c r="AQ210" s="162">
        <v>0</v>
      </c>
      <c r="AR210" s="710" t="str">
        <v>1313.par</v>
      </c>
      <c r="AV210" s="82" t="str">
        <v>255,188,121</v>
      </c>
      <c r="AW210" s="947">
        <v>7.8199999999999932</v>
      </c>
      <c r="AX210" s="947">
        <v>8.9017554788769413</v>
      </c>
      <c r="AY210" s="947">
        <v>0</v>
      </c>
    </row>
    <row r="211" spans="2:51" x14ac:dyDescent="0.25">
      <c r="B211" s="650">
        <v>-2.8911139804366335</v>
      </c>
      <c r="C211" s="651">
        <v>-1.5180775663823227</v>
      </c>
      <c r="D211" s="652">
        <v>-0.60581711382330583</v>
      </c>
      <c r="E211" s="653">
        <v>0.11735471925790789</v>
      </c>
      <c r="F211" s="651">
        <v>-0.93618981868286422</v>
      </c>
      <c r="G211" s="654">
        <v>0.3313253586166377</v>
      </c>
      <c r="H211" s="653">
        <v>0.26600000000000001</v>
      </c>
      <c r="I211" s="920">
        <v>0.52</v>
      </c>
      <c r="J211" s="924">
        <v>4.218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1313</v>
      </c>
      <c r="L211" s="940" t="s">
        <v>419</v>
      </c>
      <c r="M211" s="970">
        <f t="shared" si="1077"/>
        <v>-44.919999999999987</v>
      </c>
      <c r="N211" s="941"/>
      <c r="O211" s="942"/>
      <c r="Q211" s="162">
        <f t="shared" si="1078"/>
        <v>-2.2944650288362531</v>
      </c>
      <c r="R211" s="162">
        <f t="shared" si="1079"/>
        <v>1.0832175935532966</v>
      </c>
      <c r="S211" s="162">
        <f t="shared" si="1080"/>
        <v>-0.16560049945110636</v>
      </c>
      <c r="T211" s="162">
        <f t="shared" si="1081"/>
        <v>-0.47777852131057846</v>
      </c>
      <c r="U211" s="162">
        <f t="shared" si="1082"/>
        <v>-0.828240544226304</v>
      </c>
      <c r="V211" s="162">
        <f t="shared" si="1083"/>
        <v>0.2928229592671876</v>
      </c>
      <c r="W211" s="162">
        <f>IFERROR(IF(ISNUMBER(MATCH($Z211,Settings!$AK$28:$AK$36,0)),INDEX(Settings!$AO$14:$AO$36,MATCH($Z211,Settings!$AK$14:$AK$36,0))/2,INDEX(Settings!$AM$14:$AM$36,MATCH($Z211,Settings!$AK$14:$AK$36,0))/2),"")</f>
        <v>0.28499999999999998</v>
      </c>
      <c r="X211" s="162">
        <f t="shared" si="1084"/>
        <v>0.52</v>
      </c>
      <c r="Y211" s="75">
        <v>5.1120000000000001</v>
      </c>
      <c r="Z211" s="917">
        <f t="shared" si="1085"/>
        <v>14513</v>
      </c>
      <c r="AA211" s="82"/>
      <c r="AB211" s="75"/>
      <c r="AC211" s="75"/>
      <c r="AD211" s="166"/>
      <c r="AE211" s="75">
        <v>1.2070000000000001</v>
      </c>
      <c r="AF211" s="82">
        <v>1</v>
      </c>
      <c r="AG211" s="82">
        <v>2</v>
      </c>
      <c r="AH211" s="82">
        <v>1</v>
      </c>
      <c r="AI211" s="82">
        <v>1.0000000000218279</v>
      </c>
      <c r="AJ211" s="166">
        <v>1.2071100000000001</v>
      </c>
      <c r="AK211" s="82" t="str">
        <v>Base</v>
      </c>
      <c r="AL211" s="162">
        <v>-15.75</v>
      </c>
      <c r="AM211" s="162">
        <v>-1.6523245503053037</v>
      </c>
      <c r="AN211" s="162">
        <v>-0.23925169087792375</v>
      </c>
      <c r="AO211" s="162">
        <v>-5.9999991337073064</v>
      </c>
      <c r="AP211" s="162">
        <v>0</v>
      </c>
      <c r="AQ211" s="162">
        <v>0</v>
      </c>
      <c r="AR211" s="710" t="str">
        <v>32193r1.par</v>
      </c>
      <c r="AV211" s="82" t="str">
        <v>255,188,121</v>
      </c>
      <c r="AW211" s="947">
        <v>-20</v>
      </c>
      <c r="AX211" s="947">
        <v>-5.9999991337073064</v>
      </c>
      <c r="AY211" s="947">
        <v>0</v>
      </c>
    </row>
    <row r="212" spans="2:51" x14ac:dyDescent="0.25">
      <c r="B212" s="650">
        <v>-3.1948109008531405</v>
      </c>
      <c r="C212" s="651">
        <v>-1.6903774651728529</v>
      </c>
      <c r="D212" s="652">
        <v>-1.2228102804761862</v>
      </c>
      <c r="E212" s="653">
        <v>-4.9404029211389255E-2</v>
      </c>
      <c r="F212" s="651">
        <v>-0.98186586993932357</v>
      </c>
      <c r="G212" s="654">
        <v>0.18302637882550044</v>
      </c>
      <c r="H212" s="653">
        <v>0.26600000000000001</v>
      </c>
      <c r="I212" s="920">
        <v>0.52</v>
      </c>
      <c r="J212" s="924">
        <v>4.2229999999999999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1313</v>
      </c>
      <c r="L212" s="940" t="s">
        <v>419</v>
      </c>
      <c r="M212" s="970">
        <f t="shared" si="1077"/>
        <v>-72.03</v>
      </c>
      <c r="N212" s="941"/>
      <c r="O212" s="942"/>
      <c r="Q212" s="162">
        <f t="shared" si="1078"/>
        <v>-2.8374325001752236</v>
      </c>
      <c r="R212" s="162">
        <f t="shared" si="1079"/>
        <v>1.384767210571703</v>
      </c>
      <c r="S212" s="162">
        <f t="shared" si="1080"/>
        <v>-0.49950150649654362</v>
      </c>
      <c r="T212" s="162">
        <f t="shared" si="1081"/>
        <v>-0.62343225350717146</v>
      </c>
      <c r="U212" s="162">
        <f t="shared" si="1082"/>
        <v>-0.72702420498531628</v>
      </c>
      <c r="V212" s="162">
        <f t="shared" si="1083"/>
        <v>0.28769433545420903</v>
      </c>
      <c r="W212" s="162">
        <f>IFERROR(IF(ISNUMBER(MATCH($Z212,Settings!$AK$28:$AK$36,0)),INDEX(Settings!$AO$14:$AO$36,MATCH($Z212,Settings!$AK$14:$AK$36,0))/2,INDEX(Settings!$AM$14:$AM$36,MATCH($Z212,Settings!$AK$14:$AK$36,0))/2),"")</f>
        <v>0.28499999999999998</v>
      </c>
      <c r="X212" s="162">
        <f t="shared" si="1084"/>
        <v>0.52</v>
      </c>
      <c r="Y212" s="75">
        <v>5.117</v>
      </c>
      <c r="Z212" s="917">
        <f t="shared" si="1085"/>
        <v>14513</v>
      </c>
      <c r="AA212" s="82"/>
      <c r="AB212" s="75"/>
      <c r="AC212" s="75"/>
      <c r="AD212" s="166"/>
      <c r="AE212" s="75">
        <v>1.131</v>
      </c>
      <c r="AF212" s="82">
        <v>1</v>
      </c>
      <c r="AG212" s="82">
        <v>1</v>
      </c>
      <c r="AH212" s="82">
        <v>1</v>
      </c>
      <c r="AI212" s="82">
        <v>1.000000000003638</v>
      </c>
      <c r="AJ212" s="166">
        <v>1.1311100000000001</v>
      </c>
      <c r="AK212" s="82" t="str">
        <v>Base</v>
      </c>
      <c r="AL212" s="162">
        <v>-15</v>
      </c>
      <c r="AM212" s="162">
        <v>-3.7054897408941279</v>
      </c>
      <c r="AN212" s="162">
        <v>-2.3774984503017431</v>
      </c>
      <c r="AO212" s="162">
        <v>84.959174548900108</v>
      </c>
      <c r="AP212" s="162">
        <v>-29.733205429583027</v>
      </c>
      <c r="AQ212" s="162">
        <v>0</v>
      </c>
      <c r="AR212" s="710" t="str">
        <v>14513.par</v>
      </c>
      <c r="AV212" s="82" t="str">
        <v>255,127,0</v>
      </c>
      <c r="AW212" s="947">
        <v>85</v>
      </c>
      <c r="AX212" s="947">
        <v>84.959174548900108</v>
      </c>
      <c r="AY212" s="947">
        <v>0</v>
      </c>
    </row>
    <row r="213" spans="2:51" x14ac:dyDescent="0.25">
      <c r="B213" s="650">
        <v>-3.362053401498045</v>
      </c>
      <c r="C213" s="651">
        <v>-1.4650956110528404</v>
      </c>
      <c r="D213" s="652">
        <v>-1.9699034066945358</v>
      </c>
      <c r="E213" s="653">
        <v>-0.913248914620582</v>
      </c>
      <c r="F213" s="651">
        <v>-0.39797017382686511</v>
      </c>
      <c r="G213" s="654">
        <v>8.7155956127759032E-2</v>
      </c>
      <c r="H213" s="653">
        <v>0.25700000000000001</v>
      </c>
      <c r="I213" s="920">
        <v>0.41499999999999992</v>
      </c>
      <c r="J213" s="924">
        <v>4.2279999999999998</v>
      </c>
      <c r="K213" s="790" t="str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CPS-32193r1</v>
      </c>
      <c r="L213" s="940" t="s">
        <v>421</v>
      </c>
      <c r="M213" s="970">
        <f t="shared" si="1077"/>
        <v>-85</v>
      </c>
      <c r="N213" s="941"/>
      <c r="O213" s="942"/>
      <c r="Q213" s="162">
        <f t="shared" si="1078"/>
        <v>-3.1800728931037487</v>
      </c>
      <c r="R213" s="162">
        <f t="shared" si="1079"/>
        <v>1.5946846035236613</v>
      </c>
      <c r="S213" s="162">
        <f t="shared" si="1080"/>
        <v>-1.0795032557818194</v>
      </c>
      <c r="T213" s="162">
        <f t="shared" si="1081"/>
        <v>-0.76238040671303398</v>
      </c>
      <c r="U213" s="162">
        <f t="shared" si="1082"/>
        <v>-0.61910430639437131</v>
      </c>
      <c r="V213" s="162">
        <f t="shared" si="1083"/>
        <v>0.1883772100441386</v>
      </c>
      <c r="W213" s="162">
        <f>IFERROR(IF(ISNUMBER(MATCH($Z213,Settings!$AK$28:$AK$36,0)),INDEX(Settings!$AO$14:$AO$36,MATCH($Z213,Settings!$AK$14:$AK$36,0))/2,INDEX(Settings!$AM$14:$AM$36,MATCH($Z213,Settings!$AK$14:$AK$36,0))/2),"")</f>
        <v>0.28499999999999998</v>
      </c>
      <c r="X213" s="162">
        <f t="shared" si="1084"/>
        <v>0.52</v>
      </c>
      <c r="Y213" s="75">
        <v>5.1219999999999999</v>
      </c>
      <c r="Z213" s="917">
        <f t="shared" si="1085"/>
        <v>14513</v>
      </c>
      <c r="AA213" s="82"/>
      <c r="AB213" s="75"/>
      <c r="AC213" s="75"/>
      <c r="AD213" s="166"/>
      <c r="AE213" s="75">
        <v>1.1259999999999999</v>
      </c>
      <c r="AF213" s="82">
        <v>1</v>
      </c>
      <c r="AG213" s="82">
        <v>1</v>
      </c>
      <c r="AH213" s="82">
        <v>1</v>
      </c>
      <c r="AI213" s="82">
        <v>0.99999999998544808</v>
      </c>
      <c r="AJ213" s="166">
        <v>1.1261099999999999</v>
      </c>
      <c r="AK213" s="82" t="str">
        <v>Base</v>
      </c>
      <c r="AL213" s="162">
        <v>-15</v>
      </c>
      <c r="AM213" s="162">
        <v>-3.6599901069123484</v>
      </c>
      <c r="AN213" s="162">
        <v>-1.635647372827346</v>
      </c>
      <c r="AO213" s="162">
        <v>84.958662296739845</v>
      </c>
      <c r="AP213" s="162">
        <v>-29.729888873627353</v>
      </c>
      <c r="AQ213" s="162">
        <v>0</v>
      </c>
      <c r="AR213" s="710" t="str">
        <v>14513.par</v>
      </c>
      <c r="AV213" s="82" t="str">
        <v>255,127,0</v>
      </c>
      <c r="AW213" s="947">
        <v>85</v>
      </c>
      <c r="AX213" s="947">
        <v>84.958662296739845</v>
      </c>
      <c r="AY213" s="947">
        <v>0</v>
      </c>
    </row>
    <row r="214" spans="2:51" x14ac:dyDescent="0.25">
      <c r="B214" s="650">
        <v>-3.0196609879165659</v>
      </c>
      <c r="C214" s="651">
        <v>-2.2141055643944636</v>
      </c>
      <c r="D214" s="652">
        <v>-5.6250169650511666</v>
      </c>
      <c r="E214" s="653">
        <v>-3.4141698783959569E-2</v>
      </c>
      <c r="F214" s="651">
        <v>-0.9749369361353567</v>
      </c>
      <c r="G214" s="654">
        <v>-0.21984611655234879</v>
      </c>
      <c r="H214" s="653">
        <v>0.26600000000000001</v>
      </c>
      <c r="I214" s="920">
        <v>0.52</v>
      </c>
      <c r="J214" s="924">
        <v>4.399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1313</v>
      </c>
      <c r="L214" s="940" t="s">
        <v>419</v>
      </c>
      <c r="M214" s="970">
        <f>INDEX([1]List!$AG$204:$AG$240,MATCH($J214,[1]List!$AA$204:$AA$240,0))*-1</f>
        <v>90</v>
      </c>
      <c r="N214" s="941"/>
      <c r="O214" s="942" t="s">
        <v>9</v>
      </c>
      <c r="Q214" s="162">
        <f t="shared" si="1078"/>
        <v>-3.2755787345518557</v>
      </c>
      <c r="R214" s="162">
        <f t="shared" si="1079"/>
        <v>1.6560499316853381</v>
      </c>
      <c r="S214" s="162">
        <f t="shared" si="1080"/>
        <v>-1.7770053594481641</v>
      </c>
      <c r="T214" s="162">
        <f t="shared" si="1081"/>
        <v>-0.8352574561808086</v>
      </c>
      <c r="U214" s="162">
        <f t="shared" si="1082"/>
        <v>-0.54812949402449629</v>
      </c>
      <c r="V214" s="162">
        <f t="shared" si="1083"/>
        <v>4.357797235776921E-2</v>
      </c>
      <c r="W214" s="162">
        <f>IFERROR(IF(ISNUMBER(MATCH($Z214,Settings!$AK$28:$AK$36,0)),INDEX(Settings!$AO$14:$AO$36,MATCH($Z214,Settings!$AK$14:$AK$36,0))/2,INDEX(Settings!$AM$14:$AM$36,MATCH($Z214,Settings!$AK$14:$AK$36,0))/2),"")</f>
        <v>0.28499999999999998</v>
      </c>
      <c r="X214" s="162">
        <f t="shared" si="1084"/>
        <v>0.52</v>
      </c>
      <c r="Y214" s="75">
        <v>5.1269999999999998</v>
      </c>
      <c r="Z214" s="917">
        <f t="shared" si="1085"/>
        <v>14513</v>
      </c>
      <c r="AA214" s="82"/>
      <c r="AB214" s="75"/>
      <c r="AC214" s="75"/>
      <c r="AD214" s="166"/>
      <c r="AE214" s="75">
        <v>1.121</v>
      </c>
      <c r="AF214" s="82">
        <v>1</v>
      </c>
      <c r="AG214" s="82">
        <v>1</v>
      </c>
      <c r="AH214" s="82">
        <v>1</v>
      </c>
      <c r="AI214" s="82">
        <v>1.000000000003638</v>
      </c>
      <c r="AJ214" s="166">
        <v>1.1211100000000001</v>
      </c>
      <c r="AK214" s="82" t="str">
        <v>Base</v>
      </c>
      <c r="AL214" s="162">
        <v>-15</v>
      </c>
      <c r="AM214" s="162">
        <v>-3.4918764103684188</v>
      </c>
      <c r="AN214" s="162">
        <v>-0.95517134364312228</v>
      </c>
      <c r="AO214" s="162">
        <v>59.687700782164377</v>
      </c>
      <c r="AP214" s="162">
        <v>-25.332307439651714</v>
      </c>
      <c r="AQ214" s="162">
        <v>0</v>
      </c>
      <c r="AR214" s="710" t="str">
        <v>14513.par</v>
      </c>
      <c r="AV214" s="82" t="str">
        <v>255,127,0</v>
      </c>
      <c r="AW214" s="947">
        <v>61.129999999999995</v>
      </c>
      <c r="AX214" s="947">
        <v>59.687700782164377</v>
      </c>
      <c r="AY214" s="947">
        <v>0</v>
      </c>
    </row>
    <row r="215" spans="2:51" x14ac:dyDescent="0.25">
      <c r="B215" s="650">
        <v>-2.2944650288362531</v>
      </c>
      <c r="C215" s="651">
        <v>1.0832175935532966</v>
      </c>
      <c r="D215" s="652">
        <v>-0.16560049945110636</v>
      </c>
      <c r="E215" s="653">
        <v>-0.47777852131057846</v>
      </c>
      <c r="F215" s="651">
        <v>-0.828240544226304</v>
      </c>
      <c r="G215" s="654">
        <v>0.2928229592671876</v>
      </c>
      <c r="H215" s="653">
        <v>0.28649999999999998</v>
      </c>
      <c r="I215" s="920">
        <v>0.52</v>
      </c>
      <c r="J215" s="924">
        <v>5.1120000000000001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14513</v>
      </c>
      <c r="L215" s="940" t="s">
        <v>423</v>
      </c>
      <c r="M215" s="970">
        <f>INDEX([1]List!$AG$204:$AG$240,MATCH($J215,[1]List!$AA$204:$AA$240,0))*-1</f>
        <v>-13.079999999999998</v>
      </c>
      <c r="N215" s="941"/>
      <c r="O215" s="942"/>
      <c r="Q215" s="162">
        <f t="shared" si="1078"/>
        <v>-3.3135116139598302</v>
      </c>
      <c r="R215" s="162">
        <f t="shared" si="1079"/>
        <v>1.6807501930528805</v>
      </c>
      <c r="S215" s="162">
        <f t="shared" si="1080"/>
        <v>-2.5179075940093036</v>
      </c>
      <c r="T215" s="162">
        <f t="shared" si="1081"/>
        <v>-0.83598378755188463</v>
      </c>
      <c r="U215" s="162">
        <f t="shared" si="1082"/>
        <v>-0.5470210848546796</v>
      </c>
      <c r="V215" s="162">
        <f t="shared" si="1083"/>
        <v>4.3577972357775857E-2</v>
      </c>
      <c r="W215" s="162">
        <f>IFERROR(IF(ISNUMBER(MATCH($Z215,Settings!$AK$28:$AK$36,0)),INDEX(Settings!$AO$14:$AO$36,MATCH($Z215,Settings!$AK$14:$AK$36,0))/2,INDEX(Settings!$AM$14:$AM$36,MATCH($Z215,Settings!$AK$14:$AK$36,0))/2),"")</f>
        <v>0.28499999999999998</v>
      </c>
      <c r="X215" s="162">
        <f t="shared" si="1084"/>
        <v>0.52</v>
      </c>
      <c r="Y215" s="75">
        <v>5.1319999999999997</v>
      </c>
      <c r="Z215" s="917">
        <f t="shared" si="1085"/>
        <v>14513</v>
      </c>
      <c r="AA215" s="82"/>
      <c r="AB215" s="75"/>
      <c r="AC215" s="75"/>
      <c r="AD215" s="166"/>
      <c r="AE215" s="75">
        <v>1.1160000000000001</v>
      </c>
      <c r="AF215" s="82">
        <v>1</v>
      </c>
      <c r="AG215" s="82">
        <v>1</v>
      </c>
      <c r="AH215" s="82">
        <v>1</v>
      </c>
      <c r="AI215" s="82">
        <v>1.0000000000218279</v>
      </c>
      <c r="AJ215" s="166">
        <v>1.1161100000000002</v>
      </c>
      <c r="AK215" s="82" t="str">
        <v>Base</v>
      </c>
      <c r="AL215" s="162">
        <v>-15</v>
      </c>
      <c r="AM215" s="162">
        <v>-3.0434223386825652</v>
      </c>
      <c r="AN215" s="162">
        <v>-0.41670011237263166</v>
      </c>
      <c r="AO215" s="162">
        <v>34.250341265000479</v>
      </c>
      <c r="AP215" s="162">
        <v>-20.976966793059624</v>
      </c>
      <c r="AQ215" s="162">
        <v>0</v>
      </c>
      <c r="AR215" s="710" t="str">
        <v>14513.par</v>
      </c>
      <c r="AV215" s="82" t="str">
        <v>255,127,0</v>
      </c>
      <c r="AW215" s="947">
        <v>34.230000000000004</v>
      </c>
      <c r="AX215" s="947">
        <v>34.250341265000479</v>
      </c>
      <c r="AY215" s="947">
        <v>0</v>
      </c>
    </row>
    <row r="216" spans="2:51" x14ac:dyDescent="0.25">
      <c r="B216" s="650">
        <v>-2.8374325001752236</v>
      </c>
      <c r="C216" s="651">
        <v>1.384767210571703</v>
      </c>
      <c r="D216" s="652">
        <v>-0.49950150649654362</v>
      </c>
      <c r="E216" s="653">
        <v>-0.62343225350717146</v>
      </c>
      <c r="F216" s="651">
        <v>-0.72702420498531628</v>
      </c>
      <c r="G216" s="654">
        <v>0.28769433545420903</v>
      </c>
      <c r="H216" s="653">
        <v>0.28649999999999998</v>
      </c>
      <c r="I216" s="920">
        <v>0.52</v>
      </c>
      <c r="J216" s="924">
        <v>5.117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14513</v>
      </c>
      <c r="L216" s="940" t="s">
        <v>423</v>
      </c>
      <c r="M216" s="970">
        <f>INDEX([1]List!$AG$204:$AG$240,MATCH($J216,[1]List!$AA$204:$AA$240,0))*-1</f>
        <v>-39.569999999999993</v>
      </c>
      <c r="N216" s="941"/>
      <c r="O216" s="942"/>
      <c r="Q216" s="162">
        <f t="shared" si="1078"/>
        <v>-2.3333285067319021</v>
      </c>
      <c r="R216" s="162">
        <f t="shared" si="1079"/>
        <v>2.1367104347499741</v>
      </c>
      <c r="S216" s="162">
        <f t="shared" si="1080"/>
        <v>-0.50542851777583209</v>
      </c>
      <c r="T216" s="162">
        <f t="shared" si="1081"/>
        <v>-0.81707646905884812</v>
      </c>
      <c r="U216" s="162">
        <f t="shared" si="1082"/>
        <v>-0.45929240246557629</v>
      </c>
      <c r="V216" s="162">
        <f t="shared" si="1083"/>
        <v>0.34847744941061015</v>
      </c>
      <c r="W216" s="162">
        <f>IFERROR(IF(ISNUMBER(MATCH($Z216,Settings!$AK$28:$AK$36,0)),INDEX(Settings!$AO$14:$AO$36,MATCH($Z216,Settings!$AK$14:$AK$36,0))/2,INDEX(Settings!$AM$14:$AM$36,MATCH($Z216,Settings!$AK$14:$AK$36,0))/2),"")</f>
        <v>0.26450000000000001</v>
      </c>
      <c r="X216" s="162">
        <f t="shared" si="1084"/>
        <v>0.52</v>
      </c>
      <c r="Y216" s="75">
        <v>5.2169999999999996</v>
      </c>
      <c r="Z216" s="917">
        <f t="shared" si="1085"/>
        <v>1313</v>
      </c>
      <c r="AA216" s="82"/>
      <c r="AB216" s="75"/>
      <c r="AC216" s="75"/>
      <c r="AD216" s="166"/>
      <c r="AE216" s="75">
        <v>1.111</v>
      </c>
      <c r="AF216" s="82">
        <v>1</v>
      </c>
      <c r="AG216" s="82">
        <v>1</v>
      </c>
      <c r="AH216" s="82">
        <v>1</v>
      </c>
      <c r="AI216" s="82">
        <v>1.000000000003638</v>
      </c>
      <c r="AJ216" s="166">
        <v>1.11111</v>
      </c>
      <c r="AK216" s="82" t="str">
        <v>Base</v>
      </c>
      <c r="AL216" s="162">
        <v>-15</v>
      </c>
      <c r="AM216" s="162">
        <v>-2.3973819696575993</v>
      </c>
      <c r="AN216" s="162">
        <v>-0.14507643699974068</v>
      </c>
      <c r="AO216" s="162">
        <v>8.4969280152892388</v>
      </c>
      <c r="AP216" s="162">
        <v>-16.691140944800519</v>
      </c>
      <c r="AQ216" s="162">
        <v>0</v>
      </c>
      <c r="AR216" s="710" t="str">
        <v>14513.par</v>
      </c>
      <c r="AV216" s="82" t="str">
        <v>255,127,0</v>
      </c>
      <c r="AW216" s="947">
        <v>7.8199999999999932</v>
      </c>
      <c r="AX216" s="947">
        <v>8.4969280152892388</v>
      </c>
      <c r="AY216" s="947">
        <v>0</v>
      </c>
    </row>
    <row r="217" spans="2:51" x14ac:dyDescent="0.25">
      <c r="B217" s="650">
        <v>-3.1800728931037487</v>
      </c>
      <c r="C217" s="651">
        <v>1.5946846035236613</v>
      </c>
      <c r="D217" s="652">
        <v>-1.0795032557818194</v>
      </c>
      <c r="E217" s="653">
        <v>-0.76238040671303398</v>
      </c>
      <c r="F217" s="651">
        <v>-0.61910430639437131</v>
      </c>
      <c r="G217" s="654">
        <v>0.1883772100441386</v>
      </c>
      <c r="H217" s="653">
        <v>0.28649999999999998</v>
      </c>
      <c r="I217" s="920">
        <v>0.52</v>
      </c>
      <c r="J217" s="924">
        <v>5.1219999999999999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14513</v>
      </c>
      <c r="L217" s="940" t="s">
        <v>423</v>
      </c>
      <c r="M217" s="970">
        <f>INDEX([1]List!$AG$204:$AG$240,MATCH($J217,[1]List!$AA$204:$AA$240,0))*-1</f>
        <v>-66.569999999999993</v>
      </c>
      <c r="N217" s="941"/>
      <c r="O217" s="942"/>
      <c r="Q217" s="162">
        <f t="shared" si="1078"/>
        <v>-2.6482071090987569</v>
      </c>
      <c r="R217" s="162">
        <f t="shared" si="1079"/>
        <v>2.3904521050981526</v>
      </c>
      <c r="S217" s="162">
        <f t="shared" si="1080"/>
        <v>-1.0876980562176977</v>
      </c>
      <c r="T217" s="162">
        <f t="shared" si="1081"/>
        <v>-0.92271979788206338</v>
      </c>
      <c r="U217" s="162">
        <f t="shared" si="1082"/>
        <v>-0.31608461408194521</v>
      </c>
      <c r="V217" s="162">
        <f t="shared" si="1083"/>
        <v>0.22063248024067525</v>
      </c>
      <c r="W217" s="162">
        <f>IFERROR(IF(ISNUMBER(MATCH($Z217,Settings!$AK$28:$AK$36,0)),INDEX(Settings!$AO$14:$AO$36,MATCH($Z217,Settings!$AK$14:$AK$36,0))/2,INDEX(Settings!$AM$14:$AM$36,MATCH($Z217,Settings!$AK$14:$AK$36,0))/2),"")</f>
        <v>0.26450000000000001</v>
      </c>
      <c r="X217" s="162">
        <f t="shared" si="1084"/>
        <v>0.52</v>
      </c>
      <c r="Y217" s="75">
        <v>5.2220000000000004</v>
      </c>
      <c r="Z217" s="917">
        <f t="shared" si="1085"/>
        <v>1313</v>
      </c>
      <c r="AA217" s="82"/>
      <c r="AB217" s="75"/>
      <c r="AC217" s="75"/>
      <c r="AD217" s="166"/>
      <c r="AE217" s="75">
        <v>1.107</v>
      </c>
      <c r="AF217" s="82">
        <v>1</v>
      </c>
      <c r="AG217" s="82">
        <v>1</v>
      </c>
      <c r="AH217" s="82">
        <v>1</v>
      </c>
      <c r="AI217" s="82">
        <v>1.000000000003638</v>
      </c>
      <c r="AJ217" s="166">
        <v>1.10711</v>
      </c>
      <c r="AK217" s="82" t="str">
        <v>Base</v>
      </c>
      <c r="AL217" s="162">
        <v>-15</v>
      </c>
      <c r="AM217" s="162">
        <v>-1.652098587536414</v>
      </c>
      <c r="AN217" s="162">
        <v>-0.2241309850291138</v>
      </c>
      <c r="AO217" s="162">
        <v>-4.493356957443849</v>
      </c>
      <c r="AP217" s="162">
        <v>-15.037952247761927</v>
      </c>
      <c r="AQ217" s="162">
        <v>0</v>
      </c>
      <c r="AR217" s="710" t="str">
        <v>14513.par</v>
      </c>
      <c r="AV217" s="82" t="str">
        <v>255,127,0</v>
      </c>
      <c r="AW217" s="947">
        <v>-20</v>
      </c>
      <c r="AX217" s="947">
        <v>-4.493356957443849</v>
      </c>
      <c r="AY217" s="947">
        <v>0</v>
      </c>
    </row>
    <row r="218" spans="2:51" x14ac:dyDescent="0.25">
      <c r="B218" s="650">
        <v>-3.2755787345518557</v>
      </c>
      <c r="C218" s="651">
        <v>1.6560499316853381</v>
      </c>
      <c r="D218" s="652">
        <v>-1.7770053594481641</v>
      </c>
      <c r="E218" s="653">
        <v>-0.8352574561808086</v>
      </c>
      <c r="F218" s="651">
        <v>-0.54812949402449629</v>
      </c>
      <c r="G218" s="654">
        <v>4.357797235776921E-2</v>
      </c>
      <c r="H218" s="653">
        <v>0.28649999999999998</v>
      </c>
      <c r="I218" s="920">
        <v>0.52</v>
      </c>
      <c r="J218" s="924">
        <v>5.1269999999999998</v>
      </c>
      <c r="K218" s="790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14513</v>
      </c>
      <c r="L218" s="940" t="s">
        <v>423</v>
      </c>
      <c r="M218" s="970">
        <f>INDEX([1]List!$AG$204:$AG$240,MATCH($J218,[1]List!$AA$204:$AA$240,0))*-1</f>
        <v>-85</v>
      </c>
      <c r="N218" s="941"/>
      <c r="O218" s="942"/>
      <c r="Q218" s="162">
        <f t="shared" si="1078"/>
        <v>-2.4936025762435534</v>
      </c>
      <c r="R218" s="162">
        <f t="shared" si="1079"/>
        <v>2.6275104916758059</v>
      </c>
      <c r="S218" s="162">
        <f t="shared" si="1080"/>
        <v>-1.7976030312554321</v>
      </c>
      <c r="T218" s="162">
        <f t="shared" si="1081"/>
        <v>-0.68576240109555331</v>
      </c>
      <c r="U218" s="162">
        <f t="shared" si="1082"/>
        <v>0.722588242746253</v>
      </c>
      <c r="V218" s="162">
        <f t="shared" si="1083"/>
        <v>8.715595612775881E-2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4"/>
        <v>0.41499999999999992</v>
      </c>
      <c r="Y218" s="75">
        <v>5.2270000000000003</v>
      </c>
      <c r="Z218" s="917" t="str">
        <f t="shared" si="1085"/>
        <v>CPS-32193r1</v>
      </c>
      <c r="AA218" s="82"/>
      <c r="AB218" s="75"/>
      <c r="AC218" s="75"/>
      <c r="AD218" s="166"/>
      <c r="AE218" s="75">
        <v>1.1040000000000001</v>
      </c>
      <c r="AF218" s="82">
        <v>1</v>
      </c>
      <c r="AG218" s="82">
        <v>1</v>
      </c>
      <c r="AH218" s="82">
        <v>1</v>
      </c>
      <c r="AI218" s="82">
        <v>1.0000000000218279</v>
      </c>
      <c r="AJ218" s="166">
        <v>1.1041100000000001</v>
      </c>
      <c r="AK218" s="82" t="str">
        <v>Base</v>
      </c>
      <c r="AL218" s="162">
        <v>-15</v>
      </c>
      <c r="AM218" s="162">
        <v>-0.98467113477462354</v>
      </c>
      <c r="AN218" s="162">
        <v>-0.46723862682193079</v>
      </c>
      <c r="AO218" s="162">
        <v>-8.8567301349358249</v>
      </c>
      <c r="AP218" s="162">
        <v>-16.135028242540422</v>
      </c>
      <c r="AQ218" s="162">
        <v>0</v>
      </c>
      <c r="AR218" s="710" t="str">
        <v>14513.par</v>
      </c>
      <c r="AV218" s="82" t="str">
        <v>255,127,0</v>
      </c>
      <c r="AW218" s="947">
        <v>-10</v>
      </c>
      <c r="AX218" s="947">
        <v>-8.8567301349358249</v>
      </c>
      <c r="AY218" s="947">
        <v>0</v>
      </c>
    </row>
    <row r="219" spans="2:51" x14ac:dyDescent="0.25">
      <c r="B219" s="650">
        <v>-3.3135116139598302</v>
      </c>
      <c r="C219" s="651">
        <v>1.6807501930528805</v>
      </c>
      <c r="D219" s="652">
        <v>-2.5179075940093036</v>
      </c>
      <c r="E219" s="653">
        <v>-0.83598378755188463</v>
      </c>
      <c r="F219" s="651">
        <v>-0.5470210848546796</v>
      </c>
      <c r="G219" s="654">
        <v>4.3577972357775857E-2</v>
      </c>
      <c r="H219" s="653">
        <v>0.28649999999999998</v>
      </c>
      <c r="I219" s="920">
        <v>0.52</v>
      </c>
      <c r="J219" s="924">
        <v>5.1319999999999997</v>
      </c>
      <c r="K219" s="790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14513</v>
      </c>
      <c r="L219" s="940" t="s">
        <v>423</v>
      </c>
      <c r="M219" s="970">
        <f>INDEX([1]List!$AG$204:$AG$240,MATCH($J219,[1]List!$AA$204:$AA$240,0))*-1</f>
        <v>-85</v>
      </c>
      <c r="N219" s="941"/>
      <c r="O219" s="942"/>
      <c r="Q219" s="162">
        <f t="shared" si="1078"/>
        <v>-2.5027643677632088</v>
      </c>
      <c r="R219" s="162">
        <f t="shared" si="1079"/>
        <v>2.680686244883145</v>
      </c>
      <c r="S219" s="162">
        <f t="shared" si="1080"/>
        <v>-2.5388319873446372</v>
      </c>
      <c r="T219" s="162">
        <f t="shared" si="1081"/>
        <v>-0.67983656696005723</v>
      </c>
      <c r="U219" s="162">
        <f t="shared" si="1082"/>
        <v>0.72816624580889489</v>
      </c>
      <c r="V219" s="162">
        <f t="shared" si="1083"/>
        <v>8.7155956127758893E-2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4"/>
        <v>0.41499999999999992</v>
      </c>
      <c r="Y219" s="75">
        <v>5.2320000000000002</v>
      </c>
      <c r="Z219" s="917" t="str">
        <f t="shared" si="1085"/>
        <v>CPS-32193r1</v>
      </c>
      <c r="AA219" s="82"/>
      <c r="AB219" s="75"/>
      <c r="AC219" s="75"/>
      <c r="AD219" s="166"/>
      <c r="AE219" s="75">
        <v>1.101</v>
      </c>
      <c r="AF219" s="82">
        <v>1</v>
      </c>
      <c r="AG219" s="82">
        <v>1</v>
      </c>
      <c r="AH219" s="82">
        <v>1</v>
      </c>
      <c r="AI219" s="82">
        <v>1.000000000003638</v>
      </c>
      <c r="AJ219" s="166">
        <v>1.10111</v>
      </c>
      <c r="AK219" s="82" t="str">
        <v>Base</v>
      </c>
      <c r="AL219" s="162">
        <v>-15</v>
      </c>
      <c r="AM219" s="162">
        <v>-0.31788498635130003</v>
      </c>
      <c r="AN219" s="162">
        <v>-0.71062133881748968</v>
      </c>
      <c r="AO219" s="162">
        <v>-15.966012167147152</v>
      </c>
      <c r="AP219" s="162">
        <v>-22.696199576154587</v>
      </c>
      <c r="AQ219" s="162">
        <v>0</v>
      </c>
      <c r="AR219" s="710" t="str">
        <v>14513.par</v>
      </c>
      <c r="AV219" s="82" t="str">
        <v>255,127,0</v>
      </c>
      <c r="AW219" s="947">
        <v>-10</v>
      </c>
      <c r="AX219" s="947">
        <v>-15.966012167147152</v>
      </c>
      <c r="AY219" s="947">
        <v>0</v>
      </c>
    </row>
    <row r="220" spans="2:51" x14ac:dyDescent="0.25">
      <c r="B220" s="650">
        <v>-2.3333285067319021</v>
      </c>
      <c r="C220" s="651">
        <v>2.1367104347499741</v>
      </c>
      <c r="D220" s="652">
        <v>-0.50542851777583209</v>
      </c>
      <c r="E220" s="653">
        <v>-0.81707646905884812</v>
      </c>
      <c r="F220" s="651">
        <v>-0.45929240246557629</v>
      </c>
      <c r="G220" s="654">
        <v>0.34847744941061015</v>
      </c>
      <c r="H220" s="653">
        <v>0.26600000000000001</v>
      </c>
      <c r="I220" s="920">
        <v>0.52</v>
      </c>
      <c r="J220" s="924">
        <v>5.2169999999999996</v>
      </c>
      <c r="K220" s="790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1313</v>
      </c>
      <c r="L220" s="940" t="s">
        <v>419</v>
      </c>
      <c r="M220" s="970">
        <f>M216</f>
        <v>-39.569999999999993</v>
      </c>
      <c r="N220" s="941"/>
      <c r="O220" s="942"/>
      <c r="Q220" s="162" t="str">
        <f t="shared" si="1078"/>
        <v/>
      </c>
      <c r="R220" s="162" t="str">
        <f t="shared" si="1079"/>
        <v/>
      </c>
      <c r="S220" s="162" t="str">
        <f t="shared" si="1080"/>
        <v/>
      </c>
      <c r="T220" s="162" t="str">
        <f t="shared" si="1081"/>
        <v/>
      </c>
      <c r="U220" s="162" t="str">
        <f t="shared" si="1082"/>
        <v/>
      </c>
      <c r="V220" s="162" t="str">
        <f t="shared" si="1083"/>
        <v/>
      </c>
      <c r="W220" s="162" t="str">
        <f>IFERROR(IF(ISNUMBER(MATCH($Z220,Settings!$AK$28:$AK$36,0)),INDEX(Settings!$AO$14:$AO$36,MATCH($Z220,Settings!$AK$14:$AK$36,0))/2,INDEX(Settings!$AM$14:$AM$36,MATCH($Z220,Settings!$AK$14:$AK$36,0))/2),"")</f>
        <v/>
      </c>
      <c r="X220" s="162" t="str">
        <f t="shared" si="1084"/>
        <v/>
      </c>
      <c r="Y220" s="75"/>
      <c r="Z220" s="917" t="str">
        <f t="shared" si="1085"/>
        <v/>
      </c>
      <c r="AA220" s="82"/>
      <c r="AB220" s="75"/>
      <c r="AC220" s="75"/>
      <c r="AD220" s="166"/>
      <c r="AE220" s="75">
        <v>5.2320000000000002</v>
      </c>
      <c r="AF220" s="82">
        <v>5</v>
      </c>
      <c r="AG220" s="82">
        <v>2</v>
      </c>
      <c r="AH220" s="82">
        <v>2</v>
      </c>
      <c r="AI220" s="82">
        <v>1.0000000000582077</v>
      </c>
      <c r="AJ220" s="166">
        <v>5.2322100000000002</v>
      </c>
      <c r="AK220" s="82">
        <v>5.2321100000000005</v>
      </c>
      <c r="AL220" s="162">
        <v>0</v>
      </c>
      <c r="AM220" s="162">
        <v>0</v>
      </c>
      <c r="AN220" s="162">
        <v>0</v>
      </c>
      <c r="AO220" s="162">
        <v>1.2272479807506897E-5</v>
      </c>
      <c r="AP220" s="162">
        <v>0</v>
      </c>
      <c r="AQ220" s="162">
        <v>0</v>
      </c>
      <c r="AR220" s="710" t="str">
        <v>32193r1.par</v>
      </c>
      <c r="AV220" s="82" t="str">
        <v>121,188,255</v>
      </c>
      <c r="AW220" s="947">
        <v>85</v>
      </c>
      <c r="AX220" s="947">
        <v>84.999987727520192</v>
      </c>
      <c r="AY220" s="947">
        <v>1.2272479807506897E-5</v>
      </c>
    </row>
    <row r="221" spans="2:51" x14ac:dyDescent="0.25">
      <c r="B221" s="650">
        <v>-2.6482071090987569</v>
      </c>
      <c r="C221" s="651">
        <v>2.3904521050981526</v>
      </c>
      <c r="D221" s="652">
        <v>-1.0876980562176977</v>
      </c>
      <c r="E221" s="653">
        <v>-0.92271979788206338</v>
      </c>
      <c r="F221" s="651">
        <v>-0.31608461408194521</v>
      </c>
      <c r="G221" s="654">
        <v>0.22063248024067525</v>
      </c>
      <c r="H221" s="653">
        <v>0.26600000000000001</v>
      </c>
      <c r="I221" s="920">
        <v>0.52</v>
      </c>
      <c r="J221" s="924">
        <v>5.2220000000000004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40" t="s">
        <v>419</v>
      </c>
      <c r="M221" s="970">
        <f t="shared" ref="M221:M223" si="1086">M217</f>
        <v>-66.569999999999993</v>
      </c>
      <c r="N221" s="941"/>
      <c r="O221" s="942"/>
      <c r="Q221" s="162" t="str">
        <f t="shared" si="1078"/>
        <v/>
      </c>
      <c r="R221" s="162" t="str">
        <f t="shared" si="1079"/>
        <v/>
      </c>
      <c r="S221" s="162" t="str">
        <f t="shared" si="1080"/>
        <v/>
      </c>
      <c r="T221" s="162" t="str">
        <f t="shared" si="1081"/>
        <v/>
      </c>
      <c r="U221" s="162" t="str">
        <f t="shared" si="1082"/>
        <v/>
      </c>
      <c r="V221" s="162" t="str">
        <f t="shared" si="1083"/>
        <v/>
      </c>
      <c r="W221" s="162" t="str">
        <f>IFERROR(IF(ISNUMBER(MATCH($Z221,Settings!$AK$28:$AK$36,0)),INDEX(Settings!$AO$14:$AO$36,MATCH($Z221,Settings!$AK$14:$AK$36,0))/2,INDEX(Settings!$AM$14:$AM$36,MATCH($Z221,Settings!$AK$14:$AK$36,0))/2),"")</f>
        <v/>
      </c>
      <c r="X221" s="162" t="str">
        <f t="shared" si="1084"/>
        <v/>
      </c>
      <c r="Y221" s="75"/>
      <c r="Z221" s="917" t="str">
        <f t="shared" si="1085"/>
        <v/>
      </c>
      <c r="AA221" s="82"/>
      <c r="AB221" s="75"/>
      <c r="AC221" s="75"/>
      <c r="AD221" s="166"/>
      <c r="AE221" s="75">
        <v>5.2270000000000003</v>
      </c>
      <c r="AF221" s="82">
        <v>5</v>
      </c>
      <c r="AG221" s="82">
        <v>2</v>
      </c>
      <c r="AH221" s="82">
        <v>2</v>
      </c>
      <c r="AI221" s="82">
        <v>1.0000000000582077</v>
      </c>
      <c r="AJ221" s="166">
        <v>5.2272100000000004</v>
      </c>
      <c r="AK221" s="82">
        <v>5.2271100000000006</v>
      </c>
      <c r="AL221" s="162">
        <v>0</v>
      </c>
      <c r="AM221" s="162">
        <v>0</v>
      </c>
      <c r="AN221" s="162">
        <v>0</v>
      </c>
      <c r="AO221" s="162">
        <v>1.2272479807506897E-5</v>
      </c>
      <c r="AP221" s="162">
        <v>0</v>
      </c>
      <c r="AQ221" s="162">
        <v>0</v>
      </c>
      <c r="AR221" s="710" t="str">
        <v>32193r1.par</v>
      </c>
      <c r="AV221" s="82" t="str">
        <v>121,188,255</v>
      </c>
      <c r="AW221" s="947">
        <v>85</v>
      </c>
      <c r="AX221" s="947">
        <v>84.999987727520192</v>
      </c>
      <c r="AY221" s="947">
        <v>1.2272479807506897E-5</v>
      </c>
    </row>
    <row r="222" spans="2:51" x14ac:dyDescent="0.25">
      <c r="B222" s="650">
        <v>-2.4936025762435534</v>
      </c>
      <c r="C222" s="651">
        <v>2.6275104916758059</v>
      </c>
      <c r="D222" s="652">
        <v>-1.7976030312554321</v>
      </c>
      <c r="E222" s="653">
        <v>-0.68576240109555331</v>
      </c>
      <c r="F222" s="651">
        <v>0.722588242746253</v>
      </c>
      <c r="G222" s="654">
        <v>8.715595612775881E-2</v>
      </c>
      <c r="H222" s="653">
        <v>0.25700000000000001</v>
      </c>
      <c r="I222" s="920">
        <v>0.41499999999999992</v>
      </c>
      <c r="J222" s="924">
        <v>5.2270000000000003</v>
      </c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CPS-32193r1</v>
      </c>
      <c r="L222" s="940" t="s">
        <v>421</v>
      </c>
      <c r="M222" s="970">
        <f t="shared" si="1086"/>
        <v>-85</v>
      </c>
      <c r="N222" s="941"/>
      <c r="O222" s="942"/>
      <c r="Q222" s="162" t="str">
        <f t="shared" si="1078"/>
        <v/>
      </c>
      <c r="R222" s="162" t="str">
        <f t="shared" si="1079"/>
        <v/>
      </c>
      <c r="S222" s="162" t="str">
        <f t="shared" si="1080"/>
        <v/>
      </c>
      <c r="T222" s="162" t="str">
        <f t="shared" si="1081"/>
        <v/>
      </c>
      <c r="U222" s="162" t="str">
        <f t="shared" si="1082"/>
        <v/>
      </c>
      <c r="V222" s="162" t="str">
        <f t="shared" si="1083"/>
        <v/>
      </c>
      <c r="W222" s="162" t="str">
        <f>IFERROR(IF(ISNUMBER(MATCH($Z222,Settings!$AK$28:$AK$36,0)),INDEX(Settings!$AO$14:$AO$36,MATCH($Z222,Settings!$AK$14:$AK$36,0))/2,INDEX(Settings!$AM$14:$AM$36,MATCH($Z222,Settings!$AK$14:$AK$36,0))/2),"")</f>
        <v/>
      </c>
      <c r="X222" s="162" t="str">
        <f t="shared" si="1084"/>
        <v/>
      </c>
      <c r="Y222" s="75"/>
      <c r="Z222" s="917" t="str">
        <f t="shared" si="1085"/>
        <v/>
      </c>
      <c r="AA222" s="82"/>
      <c r="AB222" s="75"/>
      <c r="AC222" s="75"/>
      <c r="AD222" s="166"/>
      <c r="AE222" s="75">
        <v>5.2220000000000004</v>
      </c>
      <c r="AF222" s="82">
        <v>5</v>
      </c>
      <c r="AG222" s="82">
        <v>2</v>
      </c>
      <c r="AH222" s="82">
        <v>2</v>
      </c>
      <c r="AI222" s="82">
        <v>1.0000000000582077</v>
      </c>
      <c r="AJ222" s="166">
        <v>5.2222100000000005</v>
      </c>
      <c r="AK222" s="82">
        <v>5.2221100000000007</v>
      </c>
      <c r="AL222" s="162">
        <v>0</v>
      </c>
      <c r="AM222" s="162">
        <v>0</v>
      </c>
      <c r="AN222" s="162">
        <v>0</v>
      </c>
      <c r="AO222" s="162">
        <v>1.7612760231442479</v>
      </c>
      <c r="AP222" s="162">
        <v>0</v>
      </c>
      <c r="AQ222" s="162">
        <v>0</v>
      </c>
      <c r="AR222" s="710" t="str">
        <v>1313.par</v>
      </c>
      <c r="AV222" s="82" t="str">
        <v>121,188,255</v>
      </c>
      <c r="AW222" s="947">
        <v>66.569999999999993</v>
      </c>
      <c r="AX222" s="947">
        <v>64.808723976855745</v>
      </c>
      <c r="AY222" s="947">
        <v>1.7612760231442479</v>
      </c>
    </row>
    <row r="223" spans="2:51" x14ac:dyDescent="0.25">
      <c r="B223" s="650">
        <v>-2.5027643677632088</v>
      </c>
      <c r="C223" s="651">
        <v>2.680686244883145</v>
      </c>
      <c r="D223" s="652">
        <v>-2.5388319873446372</v>
      </c>
      <c r="E223" s="653">
        <v>-0.67983656696005723</v>
      </c>
      <c r="F223" s="651">
        <v>0.72816624580889489</v>
      </c>
      <c r="G223" s="654">
        <v>8.7155956127758893E-2</v>
      </c>
      <c r="H223" s="653">
        <v>0.25700000000000001</v>
      </c>
      <c r="I223" s="920">
        <v>0.41499999999999992</v>
      </c>
      <c r="J223" s="924">
        <v>5.2320000000000002</v>
      </c>
      <c r="K223" s="790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CPS-32193r1</v>
      </c>
      <c r="L223" s="940" t="s">
        <v>421</v>
      </c>
      <c r="M223" s="970">
        <f t="shared" si="1086"/>
        <v>-85</v>
      </c>
      <c r="N223" s="941"/>
      <c r="O223" s="942"/>
      <c r="Q223" s="162" t="str">
        <f t="shared" si="1078"/>
        <v/>
      </c>
      <c r="R223" s="162" t="str">
        <f t="shared" si="1079"/>
        <v/>
      </c>
      <c r="S223" s="162" t="str">
        <f t="shared" si="1080"/>
        <v/>
      </c>
      <c r="T223" s="162" t="str">
        <f t="shared" si="1081"/>
        <v/>
      </c>
      <c r="U223" s="162" t="str">
        <f t="shared" si="1082"/>
        <v/>
      </c>
      <c r="V223" s="162" t="str">
        <f t="shared" si="1083"/>
        <v/>
      </c>
      <c r="W223" s="162" t="str">
        <f>IFERROR(IF(ISNUMBER(MATCH($Z223,Settings!$AK$28:$AK$36,0)),INDEX(Settings!$AO$14:$AO$36,MATCH($Z223,Settings!$AK$14:$AK$36,0))/2,INDEX(Settings!$AM$14:$AM$36,MATCH($Z223,Settings!$AK$14:$AK$36,0))/2),"")</f>
        <v/>
      </c>
      <c r="X223" s="162" t="str">
        <f t="shared" si="1084"/>
        <v/>
      </c>
      <c r="Y223" s="75"/>
      <c r="Z223" s="917" t="str">
        <f t="shared" si="1085"/>
        <v/>
      </c>
      <c r="AA223" s="82"/>
      <c r="AB223" s="75"/>
      <c r="AC223" s="75"/>
      <c r="AD223" s="166"/>
      <c r="AE223" s="75">
        <v>5.2169999999999996</v>
      </c>
      <c r="AF223" s="82">
        <v>5</v>
      </c>
      <c r="AG223" s="82">
        <v>2</v>
      </c>
      <c r="AH223" s="82">
        <v>2</v>
      </c>
      <c r="AI223" s="82">
        <v>0.99999999998544808</v>
      </c>
      <c r="AJ223" s="166">
        <v>5.2172099999999997</v>
      </c>
      <c r="AK223" s="82">
        <v>5.2171099999999999</v>
      </c>
      <c r="AL223" s="162">
        <v>0</v>
      </c>
      <c r="AM223" s="162">
        <v>0</v>
      </c>
      <c r="AN223" s="162">
        <v>0</v>
      </c>
      <c r="AO223" s="162">
        <v>5.8501496452826984E-2</v>
      </c>
      <c r="AP223" s="162">
        <v>0</v>
      </c>
      <c r="AQ223" s="162">
        <v>0</v>
      </c>
      <c r="AR223" s="710" t="str">
        <v>1313.par</v>
      </c>
      <c r="AV223" s="82" t="str">
        <v>121,188,255</v>
      </c>
      <c r="AW223" s="947">
        <v>39.569999999999993</v>
      </c>
      <c r="AX223" s="947">
        <v>39.511498503547166</v>
      </c>
      <c r="AY223" s="947">
        <v>5.8501496452826984E-2</v>
      </c>
    </row>
    <row r="224" spans="2:51" x14ac:dyDescent="0.25">
      <c r="B224" s="650">
        <v>-3.1133639113385212</v>
      </c>
      <c r="C224" s="651">
        <v>2.0802838959629231</v>
      </c>
      <c r="D224" s="652">
        <v>-5.6250169650511666</v>
      </c>
      <c r="E224" s="653">
        <v>-0.92781814016981956</v>
      </c>
      <c r="F224" s="651">
        <v>-0.30136553188556281</v>
      </c>
      <c r="G224" s="654">
        <v>-0.21984611655234865</v>
      </c>
      <c r="H224" s="653">
        <v>0.26600000000000001</v>
      </c>
      <c r="I224" s="920">
        <v>0.52</v>
      </c>
      <c r="J224" s="924">
        <v>5.399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1313</v>
      </c>
      <c r="L224" s="940" t="s">
        <v>419</v>
      </c>
      <c r="M224" s="970">
        <f>INDEX([1]List!$AG$204:$AG$240,MATCH($J224,[1]List!$AA$204:$AA$240,0))*-1</f>
        <v>90</v>
      </c>
      <c r="N224" s="941"/>
      <c r="O224" s="942" t="s">
        <v>9</v>
      </c>
      <c r="Q224" s="162" t="str">
        <f t="shared" si="1078"/>
        <v/>
      </c>
      <c r="R224" s="162" t="str">
        <f t="shared" si="1079"/>
        <v/>
      </c>
      <c r="S224" s="162" t="str">
        <f t="shared" si="1080"/>
        <v/>
      </c>
      <c r="T224" s="162" t="str">
        <f t="shared" si="1081"/>
        <v/>
      </c>
      <c r="U224" s="162" t="str">
        <f t="shared" si="1082"/>
        <v/>
      </c>
      <c r="V224" s="162" t="str">
        <f t="shared" si="1083"/>
        <v/>
      </c>
      <c r="W224" s="162" t="str">
        <f>IFERROR(IF(ISNUMBER(MATCH($Z224,Settings!$AK$28:$AK$36,0)),INDEX(Settings!$AO$14:$AO$36,MATCH($Z224,Settings!$AK$14:$AK$36,0))/2,INDEX(Settings!$AM$14:$AM$36,MATCH($Z224,Settings!$AK$14:$AK$36,0))/2),"")</f>
        <v/>
      </c>
      <c r="X224" s="162" t="str">
        <f t="shared" si="1084"/>
        <v/>
      </c>
      <c r="Y224" s="75"/>
      <c r="Z224" s="917" t="str">
        <f t="shared" si="1085"/>
        <v/>
      </c>
      <c r="AA224" s="82"/>
      <c r="AB224" s="75"/>
      <c r="AC224" s="75"/>
      <c r="AD224" s="166"/>
      <c r="AE224" s="75">
        <v>5.1319999999999997</v>
      </c>
      <c r="AF224" s="82">
        <v>5</v>
      </c>
      <c r="AG224" s="82">
        <v>1</v>
      </c>
      <c r="AH224" s="82">
        <v>2</v>
      </c>
      <c r="AI224" s="82">
        <v>0.99999999998544808</v>
      </c>
      <c r="AJ224" s="166">
        <v>5.1322099999999997</v>
      </c>
      <c r="AK224" s="82">
        <v>5.1321099999999999</v>
      </c>
      <c r="AL224" s="162">
        <v>0</v>
      </c>
      <c r="AM224" s="162">
        <v>0</v>
      </c>
      <c r="AN224" s="162">
        <v>0</v>
      </c>
      <c r="AO224" s="162">
        <v>4.0825451100005239E-2</v>
      </c>
      <c r="AP224" s="162">
        <v>0</v>
      </c>
      <c r="AQ224" s="162">
        <v>0</v>
      </c>
      <c r="AR224" s="710" t="str">
        <v>14513.par</v>
      </c>
      <c r="AV224" s="82" t="str">
        <v>0,102,204</v>
      </c>
      <c r="AW224" s="947">
        <v>85</v>
      </c>
      <c r="AX224" s="947">
        <v>84.959174548899995</v>
      </c>
      <c r="AY224" s="947">
        <v>4.0825451100005239E-2</v>
      </c>
    </row>
    <row r="225" spans="2:51" x14ac:dyDescent="0.25">
      <c r="B225" s="650"/>
      <c r="C225" s="651"/>
      <c r="D225" s="652"/>
      <c r="E225" s="653"/>
      <c r="F225" s="651"/>
      <c r="G225" s="654"/>
      <c r="H225" s="653"/>
      <c r="I225" s="920"/>
      <c r="J225" s="924"/>
      <c r="K225" s="790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/>
      </c>
      <c r="L225" s="940"/>
      <c r="M225" s="970"/>
      <c r="N225" s="941"/>
      <c r="O225" s="942"/>
      <c r="Q225" s="162" t="str">
        <f t="shared" si="1078"/>
        <v/>
      </c>
      <c r="R225" s="162" t="str">
        <f t="shared" si="1079"/>
        <v/>
      </c>
      <c r="S225" s="162" t="str">
        <f t="shared" si="1080"/>
        <v/>
      </c>
      <c r="T225" s="162" t="str">
        <f t="shared" si="1081"/>
        <v/>
      </c>
      <c r="U225" s="162" t="str">
        <f t="shared" si="1082"/>
        <v/>
      </c>
      <c r="V225" s="162" t="str">
        <f t="shared" si="1083"/>
        <v/>
      </c>
      <c r="W225" s="162" t="str">
        <f>IFERROR(IF(ISNUMBER(MATCH($Z225,Settings!$AK$28:$AK$36,0)),INDEX(Settings!$AO$14:$AO$36,MATCH($Z225,Settings!$AK$14:$AK$36,0))/2,INDEX(Settings!$AM$14:$AM$36,MATCH($Z225,Settings!$AK$14:$AK$36,0))/2),"")</f>
        <v/>
      </c>
      <c r="X225" s="162" t="str">
        <f t="shared" si="1084"/>
        <v/>
      </c>
      <c r="Y225" s="75"/>
      <c r="Z225" s="917" t="str">
        <f t="shared" si="1085"/>
        <v/>
      </c>
      <c r="AA225" s="82"/>
      <c r="AB225" s="75"/>
      <c r="AC225" s="75"/>
      <c r="AD225" s="166"/>
      <c r="AE225" s="75">
        <v>5.1269999999999998</v>
      </c>
      <c r="AF225" s="82">
        <v>5</v>
      </c>
      <c r="AG225" s="82">
        <v>1</v>
      </c>
      <c r="AH225" s="82">
        <v>2</v>
      </c>
      <c r="AI225" s="82">
        <v>0.99999999998544808</v>
      </c>
      <c r="AJ225" s="166">
        <v>5.1272099999999998</v>
      </c>
      <c r="AK225" s="82">
        <v>5.1271100000000001</v>
      </c>
      <c r="AL225" s="162">
        <v>0</v>
      </c>
      <c r="AM225" s="162">
        <v>0</v>
      </c>
      <c r="AN225" s="162">
        <v>0</v>
      </c>
      <c r="AO225" s="162">
        <v>4.1332004249596821E-2</v>
      </c>
      <c r="AP225" s="162">
        <v>0</v>
      </c>
      <c r="AQ225" s="162">
        <v>0</v>
      </c>
      <c r="AR225" s="710" t="str">
        <v>14513.par</v>
      </c>
      <c r="AV225" s="82" t="str">
        <v>0,102,204</v>
      </c>
      <c r="AW225" s="947">
        <v>85</v>
      </c>
      <c r="AX225" s="947">
        <v>84.958667995750403</v>
      </c>
      <c r="AY225" s="947">
        <v>4.1332004249596821E-2</v>
      </c>
    </row>
    <row r="226" spans="2:51" x14ac:dyDescent="0.25">
      <c r="B226" s="650"/>
      <c r="C226" s="651"/>
      <c r="D226" s="652"/>
      <c r="E226" s="653"/>
      <c r="F226" s="651"/>
      <c r="G226" s="654"/>
      <c r="H226" s="653"/>
      <c r="I226" s="920"/>
      <c r="J226" s="924"/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/>
      </c>
      <c r="L226" s="940"/>
      <c r="M226" s="970"/>
      <c r="N226" s="941"/>
      <c r="O226" s="942"/>
      <c r="Q226" s="162" t="str">
        <f t="shared" si="1078"/>
        <v/>
      </c>
      <c r="R226" s="162" t="str">
        <f t="shared" si="1079"/>
        <v/>
      </c>
      <c r="S226" s="162" t="str">
        <f t="shared" si="1080"/>
        <v/>
      </c>
      <c r="T226" s="162" t="str">
        <f t="shared" si="1081"/>
        <v/>
      </c>
      <c r="U226" s="162" t="str">
        <f t="shared" si="1082"/>
        <v/>
      </c>
      <c r="V226" s="162" t="str">
        <f t="shared" si="1083"/>
        <v/>
      </c>
      <c r="W226" s="162" t="str">
        <f>IFERROR(IF(ISNUMBER(MATCH($Z226,Settings!$AK$28:$AK$36,0)),INDEX(Settings!$AO$14:$AO$36,MATCH($Z226,Settings!$AK$14:$AK$36,0))/2,INDEX(Settings!$AM$14:$AM$36,MATCH($Z226,Settings!$AK$14:$AK$36,0))/2),"")</f>
        <v/>
      </c>
      <c r="X226" s="162" t="str">
        <f t="shared" si="1084"/>
        <v/>
      </c>
      <c r="Y226" s="75"/>
      <c r="Z226" s="917" t="str">
        <f t="shared" si="1085"/>
        <v/>
      </c>
      <c r="AA226" s="82"/>
      <c r="AB226" s="75"/>
      <c r="AC226" s="75"/>
      <c r="AD226" s="166"/>
      <c r="AE226" s="75">
        <v>5.1219999999999999</v>
      </c>
      <c r="AF226" s="82">
        <v>5</v>
      </c>
      <c r="AG226" s="82">
        <v>1</v>
      </c>
      <c r="AH226" s="82">
        <v>2</v>
      </c>
      <c r="AI226" s="82">
        <v>0.99999999998544808</v>
      </c>
      <c r="AJ226" s="166">
        <v>5.1222099999999999</v>
      </c>
      <c r="AK226" s="82">
        <v>5.1221100000000002</v>
      </c>
      <c r="AL226" s="162">
        <v>0</v>
      </c>
      <c r="AM226" s="162">
        <v>0</v>
      </c>
      <c r="AN226" s="162">
        <v>0</v>
      </c>
      <c r="AO226" s="162">
        <v>1.817844413586144</v>
      </c>
      <c r="AP226" s="162">
        <v>0</v>
      </c>
      <c r="AQ226" s="162">
        <v>0</v>
      </c>
      <c r="AR226" s="710" t="str">
        <v>14513.par</v>
      </c>
      <c r="AV226" s="82" t="str">
        <v>0,102,204</v>
      </c>
      <c r="AW226" s="947">
        <v>66.569999999999993</v>
      </c>
      <c r="AX226" s="947">
        <v>64.752155586413849</v>
      </c>
      <c r="AY226" s="947">
        <v>1.817844413586144</v>
      </c>
    </row>
    <row r="227" spans="2:51" x14ac:dyDescent="0.25">
      <c r="B227" s="650"/>
      <c r="C227" s="651"/>
      <c r="D227" s="652"/>
      <c r="E227" s="653"/>
      <c r="F227" s="651"/>
      <c r="G227" s="654"/>
      <c r="H227" s="653"/>
      <c r="I227" s="920"/>
      <c r="J227" s="924"/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/>
      </c>
      <c r="L227" s="940"/>
      <c r="M227" s="970"/>
      <c r="N227" s="941"/>
      <c r="O227" s="942"/>
      <c r="Q227" s="162" t="str">
        <f t="shared" si="1078"/>
        <v/>
      </c>
      <c r="R227" s="162" t="str">
        <f t="shared" si="1079"/>
        <v/>
      </c>
      <c r="S227" s="162" t="str">
        <f t="shared" si="1080"/>
        <v/>
      </c>
      <c r="T227" s="162" t="str">
        <f t="shared" si="1081"/>
        <v/>
      </c>
      <c r="U227" s="162" t="str">
        <f t="shared" si="1082"/>
        <v/>
      </c>
      <c r="V227" s="162" t="str">
        <f t="shared" si="1083"/>
        <v/>
      </c>
      <c r="W227" s="162" t="str">
        <f>IFERROR(IF(ISNUMBER(MATCH($Z227,Settings!$AK$28:$AK$36,0)),INDEX(Settings!$AO$14:$AO$36,MATCH($Z227,Settings!$AK$14:$AK$36,0))/2,INDEX(Settings!$AM$14:$AM$36,MATCH($Z227,Settings!$AK$14:$AK$36,0))/2),"")</f>
        <v/>
      </c>
      <c r="X227" s="162" t="str">
        <f t="shared" si="1084"/>
        <v/>
      </c>
      <c r="Y227" s="75"/>
      <c r="Z227" s="917" t="str">
        <f t="shared" si="1085"/>
        <v/>
      </c>
      <c r="AA227" s="82"/>
      <c r="AB227" s="75"/>
      <c r="AC227" s="75"/>
      <c r="AD227" s="166"/>
      <c r="AE227" s="75">
        <v>5.117</v>
      </c>
      <c r="AF227" s="82">
        <v>5</v>
      </c>
      <c r="AG227" s="82">
        <v>1</v>
      </c>
      <c r="AH227" s="82">
        <v>2</v>
      </c>
      <c r="AI227" s="82">
        <v>0.99999999998544808</v>
      </c>
      <c r="AJ227" s="166">
        <v>5.11721</v>
      </c>
      <c r="AK227" s="82">
        <v>5.1171100000000003</v>
      </c>
      <c r="AL227" s="162">
        <v>0</v>
      </c>
      <c r="AM227" s="162">
        <v>0</v>
      </c>
      <c r="AN227" s="162">
        <v>0</v>
      </c>
      <c r="AO227" s="162">
        <v>0.2133258161786955</v>
      </c>
      <c r="AP227" s="162">
        <v>0</v>
      </c>
      <c r="AQ227" s="162">
        <v>0</v>
      </c>
      <c r="AR227" s="710" t="str">
        <v>14513.par</v>
      </c>
      <c r="AV227" s="82" t="str">
        <v>0,102,204</v>
      </c>
      <c r="AW227" s="947">
        <v>39.569999999999993</v>
      </c>
      <c r="AX227" s="947">
        <v>39.356674183821298</v>
      </c>
      <c r="AY227" s="947">
        <v>0.2133258161786955</v>
      </c>
    </row>
    <row r="228" spans="2:51" x14ac:dyDescent="0.25">
      <c r="B228" s="650"/>
      <c r="C228" s="651"/>
      <c r="D228" s="652"/>
      <c r="E228" s="653"/>
      <c r="F228" s="651"/>
      <c r="G228" s="654"/>
      <c r="H228" s="653"/>
      <c r="I228" s="920"/>
      <c r="J228" s="924"/>
      <c r="K228" s="790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940"/>
      <c r="M228" s="970"/>
      <c r="N228" s="941"/>
      <c r="O228" s="942"/>
      <c r="Q228" s="162" t="str">
        <f t="shared" si="1078"/>
        <v/>
      </c>
      <c r="R228" s="162" t="str">
        <f t="shared" si="1079"/>
        <v/>
      </c>
      <c r="S228" s="162" t="str">
        <f t="shared" si="1080"/>
        <v/>
      </c>
      <c r="T228" s="162" t="str">
        <f t="shared" si="1081"/>
        <v/>
      </c>
      <c r="U228" s="162" t="str">
        <f t="shared" si="1082"/>
        <v/>
      </c>
      <c r="V228" s="162" t="str">
        <f t="shared" si="1083"/>
        <v/>
      </c>
      <c r="W228" s="162" t="str">
        <f>IFERROR(IF(ISNUMBER(MATCH($Z228,Settings!$AK$28:$AK$36,0)),INDEX(Settings!$AO$14:$AO$36,MATCH($Z228,Settings!$AK$14:$AK$36,0))/2,INDEX(Settings!$AM$14:$AM$36,MATCH($Z228,Settings!$AK$14:$AK$36,0))/2),"")</f>
        <v/>
      </c>
      <c r="X228" s="162" t="str">
        <f t="shared" si="1084"/>
        <v/>
      </c>
      <c r="Y228" s="75"/>
      <c r="Z228" s="917" t="str">
        <f t="shared" si="1085"/>
        <v/>
      </c>
      <c r="AA228" s="82"/>
      <c r="AB228" s="75"/>
      <c r="AC228" s="75"/>
      <c r="AD228" s="166"/>
      <c r="AE228" s="75">
        <v>5.1120000000000001</v>
      </c>
      <c r="AF228" s="82">
        <v>5</v>
      </c>
      <c r="AG228" s="82">
        <v>1</v>
      </c>
      <c r="AH228" s="82">
        <v>2</v>
      </c>
      <c r="AI228" s="82">
        <v>0.99999999998544808</v>
      </c>
      <c r="AJ228" s="166">
        <v>5.1122100000000001</v>
      </c>
      <c r="AK228" s="82">
        <v>5.1121100000000004</v>
      </c>
      <c r="AL228" s="162">
        <v>0</v>
      </c>
      <c r="AM228" s="162">
        <v>0</v>
      </c>
      <c r="AN228" s="162">
        <v>0</v>
      </c>
      <c r="AO228" s="162">
        <v>-0.60424624808646499</v>
      </c>
      <c r="AP228" s="162">
        <v>0</v>
      </c>
      <c r="AQ228" s="162">
        <v>0</v>
      </c>
      <c r="AR228" s="710" t="str">
        <v>14513.par</v>
      </c>
      <c r="AV228" s="82" t="str">
        <v>0,102,204</v>
      </c>
      <c r="AW228" s="947">
        <v>13.079999999999998</v>
      </c>
      <c r="AX228" s="947">
        <v>13.684246248086463</v>
      </c>
      <c r="AY228" s="947">
        <v>-0.60424624808646499</v>
      </c>
    </row>
    <row r="229" spans="2:51" x14ac:dyDescent="0.25">
      <c r="B229" s="650"/>
      <c r="C229" s="651"/>
      <c r="D229" s="652"/>
      <c r="E229" s="653"/>
      <c r="F229" s="651"/>
      <c r="G229" s="654"/>
      <c r="H229" s="653"/>
      <c r="I229" s="920"/>
      <c r="J229" s="924"/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940"/>
      <c r="M229" s="970"/>
      <c r="N229" s="941"/>
      <c r="O229" s="942"/>
      <c r="Q229" s="162" t="str">
        <f t="shared" si="1078"/>
        <v/>
      </c>
      <c r="R229" s="162" t="str">
        <f t="shared" si="1079"/>
        <v/>
      </c>
      <c r="S229" s="162" t="str">
        <f t="shared" si="1080"/>
        <v/>
      </c>
      <c r="T229" s="162" t="str">
        <f t="shared" si="1081"/>
        <v/>
      </c>
      <c r="U229" s="162" t="str">
        <f t="shared" si="1082"/>
        <v/>
      </c>
      <c r="V229" s="162" t="str">
        <f t="shared" si="1083"/>
        <v/>
      </c>
      <c r="W229" s="162" t="str">
        <f>IFERROR(IF(ISNUMBER(MATCH($Z229,Settings!$AK$28:$AK$36,0)),INDEX(Settings!$AO$14:$AO$36,MATCH($Z229,Settings!$AK$14:$AK$36,0))/2,INDEX(Settings!$AM$14:$AM$36,MATCH($Z229,Settings!$AK$14:$AK$36,0))/2),"")</f>
        <v/>
      </c>
      <c r="X229" s="162" t="str">
        <f t="shared" si="1084"/>
        <v/>
      </c>
      <c r="Y229" s="75"/>
      <c r="Z229" s="917" t="str">
        <f t="shared" si="1085"/>
        <v/>
      </c>
      <c r="AA229" s="82"/>
      <c r="AB229" s="75"/>
      <c r="AC229" s="75"/>
      <c r="AD229" s="166"/>
      <c r="AE229" s="75">
        <v>4.2279999999999998</v>
      </c>
      <c r="AF229" s="82">
        <v>4</v>
      </c>
      <c r="AG229" s="82">
        <v>2</v>
      </c>
      <c r="AH229" s="82">
        <v>2</v>
      </c>
      <c r="AI229" s="82">
        <v>0.99999999998544808</v>
      </c>
      <c r="AJ229" s="166">
        <v>4.2282099999999998</v>
      </c>
      <c r="AK229" s="82">
        <v>4.22811</v>
      </c>
      <c r="AL229" s="162">
        <v>0</v>
      </c>
      <c r="AM229" s="162">
        <v>0</v>
      </c>
      <c r="AN229" s="162">
        <v>0</v>
      </c>
      <c r="AO229" s="162">
        <v>1.2272479821717752E-5</v>
      </c>
      <c r="AP229" s="162">
        <v>0</v>
      </c>
      <c r="AQ229" s="162">
        <v>0</v>
      </c>
      <c r="AR229" s="710" t="str">
        <v>32193r1.par</v>
      </c>
      <c r="AV229" s="82" t="str">
        <v>91,255,255</v>
      </c>
      <c r="AW229" s="947">
        <v>85</v>
      </c>
      <c r="AX229" s="947">
        <v>84.999987727520178</v>
      </c>
      <c r="AY229" s="947">
        <v>1.2272479821717752E-5</v>
      </c>
    </row>
    <row r="230" spans="2:51" x14ac:dyDescent="0.25">
      <c r="B230" s="650"/>
      <c r="C230" s="651"/>
      <c r="D230" s="652"/>
      <c r="E230" s="653"/>
      <c r="F230" s="651"/>
      <c r="G230" s="654"/>
      <c r="H230" s="653"/>
      <c r="I230" s="920"/>
      <c r="J230" s="924"/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940"/>
      <c r="M230" s="970"/>
      <c r="N230" s="941"/>
      <c r="O230" s="942"/>
      <c r="Q230" s="162" t="str">
        <f t="shared" si="1078"/>
        <v/>
      </c>
      <c r="R230" s="162" t="str">
        <f t="shared" si="1079"/>
        <v/>
      </c>
      <c r="S230" s="162" t="str">
        <f t="shared" si="1080"/>
        <v/>
      </c>
      <c r="T230" s="162" t="str">
        <f t="shared" si="1081"/>
        <v/>
      </c>
      <c r="U230" s="162" t="str">
        <f t="shared" si="1082"/>
        <v/>
      </c>
      <c r="V230" s="162" t="str">
        <f t="shared" si="1083"/>
        <v/>
      </c>
      <c r="W230" s="162" t="str">
        <f>IFERROR(IF(ISNUMBER(MATCH($Z230,Settings!$AK$28:$AK$36,0)),INDEX(Settings!$AO$14:$AO$36,MATCH($Z230,Settings!$AK$14:$AK$36,0))/2,INDEX(Settings!$AM$14:$AM$36,MATCH($Z230,Settings!$AK$14:$AK$36,0))/2),"")</f>
        <v/>
      </c>
      <c r="X230" s="162" t="str">
        <f t="shared" si="1084"/>
        <v/>
      </c>
      <c r="Y230" s="75"/>
      <c r="Z230" s="917" t="str">
        <f t="shared" si="1085"/>
        <v/>
      </c>
      <c r="AA230" s="82"/>
      <c r="AB230" s="75"/>
      <c r="AC230" s="75"/>
      <c r="AD230" s="166"/>
      <c r="AE230" s="75">
        <v>4.2229999999999999</v>
      </c>
      <c r="AF230" s="82">
        <v>4</v>
      </c>
      <c r="AG230" s="82">
        <v>2</v>
      </c>
      <c r="AH230" s="82">
        <v>2</v>
      </c>
      <c r="AI230" s="82">
        <v>0.99999999998544808</v>
      </c>
      <c r="AJ230" s="166">
        <v>4.2232099999999999</v>
      </c>
      <c r="AK230" s="82">
        <v>4.2231100000000001</v>
      </c>
      <c r="AL230" s="162">
        <v>0</v>
      </c>
      <c r="AM230" s="162">
        <v>0</v>
      </c>
      <c r="AN230" s="162">
        <v>0</v>
      </c>
      <c r="AO230" s="162">
        <v>2.1762347514910374</v>
      </c>
      <c r="AP230" s="162">
        <v>0</v>
      </c>
      <c r="AQ230" s="162">
        <v>0</v>
      </c>
      <c r="AR230" s="710" t="str">
        <v>1313.par</v>
      </c>
      <c r="AV230" s="82" t="str">
        <v>91,255,255</v>
      </c>
      <c r="AW230" s="947">
        <v>72.03</v>
      </c>
      <c r="AX230" s="947">
        <v>69.853765248508964</v>
      </c>
      <c r="AY230" s="947">
        <v>2.1762347514910374</v>
      </c>
    </row>
    <row r="231" spans="2:51" x14ac:dyDescent="0.25">
      <c r="B231" s="650"/>
      <c r="C231" s="651"/>
      <c r="D231" s="652"/>
      <c r="E231" s="653"/>
      <c r="F231" s="651"/>
      <c r="G231" s="654"/>
      <c r="H231" s="653"/>
      <c r="I231" s="920"/>
      <c r="J231" s="924"/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940"/>
      <c r="M231" s="970"/>
      <c r="N231" s="941"/>
      <c r="O231" s="942"/>
      <c r="Q231" s="162" t="str">
        <f t="shared" si="1078"/>
        <v/>
      </c>
      <c r="R231" s="162" t="str">
        <f t="shared" si="1079"/>
        <v/>
      </c>
      <c r="S231" s="162" t="str">
        <f t="shared" si="1080"/>
        <v/>
      </c>
      <c r="T231" s="162" t="str">
        <f t="shared" si="1081"/>
        <v/>
      </c>
      <c r="U231" s="162" t="str">
        <f t="shared" si="1082"/>
        <v/>
      </c>
      <c r="V231" s="162" t="str">
        <f t="shared" si="1083"/>
        <v/>
      </c>
      <c r="W231" s="162" t="str">
        <f>IFERROR(IF(ISNUMBER(MATCH($Z231,Settings!$AK$28:$AK$36,0)),INDEX(Settings!$AO$14:$AO$36,MATCH($Z231,Settings!$AK$14:$AK$36,0))/2,INDEX(Settings!$AM$14:$AM$36,MATCH($Z231,Settings!$AK$14:$AK$36,0))/2),"")</f>
        <v/>
      </c>
      <c r="X231" s="162" t="str">
        <f t="shared" si="1084"/>
        <v/>
      </c>
      <c r="Y231" s="75"/>
      <c r="Z231" s="917" t="str">
        <f t="shared" si="1085"/>
        <v/>
      </c>
      <c r="AA231" s="82"/>
      <c r="AB231" s="75"/>
      <c r="AC231" s="75"/>
      <c r="AD231" s="166"/>
      <c r="AE231" s="75">
        <v>4.218</v>
      </c>
      <c r="AF231" s="82">
        <v>4</v>
      </c>
      <c r="AG231" s="82">
        <v>2</v>
      </c>
      <c r="AH231" s="82">
        <v>2</v>
      </c>
      <c r="AI231" s="82">
        <v>0.99999999998544808</v>
      </c>
      <c r="AJ231" s="166">
        <v>4.21821</v>
      </c>
      <c r="AK231" s="82">
        <v>4.2181100000000002</v>
      </c>
      <c r="AL231" s="162">
        <v>0</v>
      </c>
      <c r="AM231" s="162">
        <v>0</v>
      </c>
      <c r="AN231" s="162">
        <v>0</v>
      </c>
      <c r="AO231" s="162">
        <v>0.33758002068040582</v>
      </c>
      <c r="AP231" s="162">
        <v>0</v>
      </c>
      <c r="AQ231" s="162">
        <v>0</v>
      </c>
      <c r="AR231" s="710" t="str">
        <v>1313.par</v>
      </c>
      <c r="AV231" s="82" t="str">
        <v>91,255,255</v>
      </c>
      <c r="AW231" s="947">
        <v>44.919999999999987</v>
      </c>
      <c r="AX231" s="947">
        <v>44.582419979319582</v>
      </c>
      <c r="AY231" s="947">
        <v>0.33758002068040582</v>
      </c>
    </row>
    <row r="232" spans="2:51" x14ac:dyDescent="0.25">
      <c r="B232" s="650"/>
      <c r="C232" s="651"/>
      <c r="D232" s="652"/>
      <c r="E232" s="653"/>
      <c r="F232" s="651"/>
      <c r="G232" s="654"/>
      <c r="H232" s="653"/>
      <c r="I232" s="920"/>
      <c r="J232" s="924"/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940"/>
      <c r="M232" s="970"/>
      <c r="N232" s="941"/>
      <c r="O232" s="942"/>
      <c r="Q232" s="162" t="str">
        <f t="shared" si="1078"/>
        <v/>
      </c>
      <c r="R232" s="162" t="str">
        <f t="shared" si="1079"/>
        <v/>
      </c>
      <c r="S232" s="162" t="str">
        <f t="shared" si="1080"/>
        <v/>
      </c>
      <c r="T232" s="162" t="str">
        <f t="shared" si="1081"/>
        <v/>
      </c>
      <c r="U232" s="162" t="str">
        <f t="shared" si="1082"/>
        <v/>
      </c>
      <c r="V232" s="162" t="str">
        <f t="shared" si="1083"/>
        <v/>
      </c>
      <c r="W232" s="162" t="str">
        <f>IFERROR(IF(ISNUMBER(MATCH($Z232,Settings!$AK$28:$AK$36,0)),INDEX(Settings!$AO$14:$AO$36,MATCH($Z232,Settings!$AK$14:$AK$36,0))/2,INDEX(Settings!$AM$14:$AM$36,MATCH($Z232,Settings!$AK$14:$AK$36,0))/2),"")</f>
        <v/>
      </c>
      <c r="X232" s="162" t="str">
        <f t="shared" si="1084"/>
        <v/>
      </c>
      <c r="Y232" s="75"/>
      <c r="Z232" s="917" t="str">
        <f t="shared" si="1085"/>
        <v/>
      </c>
      <c r="AA232" s="82"/>
      <c r="AB232" s="75"/>
      <c r="AC232" s="75"/>
      <c r="AD232" s="166"/>
      <c r="AE232" s="75">
        <v>4.2130000000000001</v>
      </c>
      <c r="AF232" s="82">
        <v>4</v>
      </c>
      <c r="AG232" s="82">
        <v>2</v>
      </c>
      <c r="AH232" s="82">
        <v>2</v>
      </c>
      <c r="AI232" s="82">
        <v>0.99999999998544808</v>
      </c>
      <c r="AJ232" s="166">
        <v>4.2132100000000001</v>
      </c>
      <c r="AK232" s="82">
        <v>4.2131100000000004</v>
      </c>
      <c r="AL232" s="162">
        <v>0</v>
      </c>
      <c r="AM232" s="162">
        <v>0</v>
      </c>
      <c r="AN232" s="162">
        <v>0</v>
      </c>
      <c r="AO232" s="162">
        <v>-0.8070989976058911</v>
      </c>
      <c r="AP232" s="162">
        <v>0</v>
      </c>
      <c r="AQ232" s="162">
        <v>0</v>
      </c>
      <c r="AR232" s="710" t="str">
        <v>1313.par</v>
      </c>
      <c r="AV232" s="82" t="str">
        <v>91,255,255</v>
      </c>
      <c r="AW232" s="947">
        <v>18.340000000000003</v>
      </c>
      <c r="AX232" s="947">
        <v>19.147098997605895</v>
      </c>
      <c r="AY232" s="947">
        <v>-0.8070989976058911</v>
      </c>
    </row>
    <row r="233" spans="2:51" x14ac:dyDescent="0.25">
      <c r="B233" s="650"/>
      <c r="C233" s="651"/>
      <c r="D233" s="652"/>
      <c r="E233" s="653"/>
      <c r="F233" s="651"/>
      <c r="G233" s="654"/>
      <c r="H233" s="653"/>
      <c r="I233" s="920"/>
      <c r="J233" s="924"/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940"/>
      <c r="M233" s="970"/>
      <c r="N233" s="941"/>
      <c r="O233" s="942"/>
      <c r="Q233" s="162" t="str">
        <f t="shared" si="1078"/>
        <v/>
      </c>
      <c r="R233" s="162" t="str">
        <f t="shared" si="1079"/>
        <v/>
      </c>
      <c r="S233" s="162" t="str">
        <f t="shared" si="1080"/>
        <v/>
      </c>
      <c r="T233" s="162" t="str">
        <f t="shared" si="1081"/>
        <v/>
      </c>
      <c r="U233" s="162" t="str">
        <f t="shared" si="1082"/>
        <v/>
      </c>
      <c r="V233" s="162" t="str">
        <f t="shared" si="1083"/>
        <v/>
      </c>
      <c r="W233" s="162" t="str">
        <f>IFERROR(IF(ISNUMBER(MATCH($Z233,Settings!$AK$28:$AK$36,0)),INDEX(Settings!$AO$14:$AO$36,MATCH($Z233,Settings!$AK$14:$AK$36,0))/2,INDEX(Settings!$AM$14:$AM$36,MATCH($Z233,Settings!$AK$14:$AK$36,0))/2),"")</f>
        <v/>
      </c>
      <c r="X233" s="162" t="str">
        <f t="shared" si="1084"/>
        <v/>
      </c>
      <c r="Y233" s="75"/>
      <c r="Z233" s="917" t="str">
        <f t="shared" si="1085"/>
        <v/>
      </c>
      <c r="AA233" s="82"/>
      <c r="AB233" s="75"/>
      <c r="AC233" s="75"/>
      <c r="AD233" s="166"/>
      <c r="AE233" s="75">
        <v>4.2080000000000002</v>
      </c>
      <c r="AF233" s="82">
        <v>4</v>
      </c>
      <c r="AG233" s="82">
        <v>2</v>
      </c>
      <c r="AH233" s="82">
        <v>2</v>
      </c>
      <c r="AI233" s="82">
        <v>1.0000000000582077</v>
      </c>
      <c r="AJ233" s="166">
        <v>4.2082100000000002</v>
      </c>
      <c r="AK233" s="82">
        <v>4.2081100000000005</v>
      </c>
      <c r="AL233" s="162">
        <v>0</v>
      </c>
      <c r="AM233" s="162">
        <v>0</v>
      </c>
      <c r="AN233" s="162">
        <v>0</v>
      </c>
      <c r="AO233" s="162">
        <v>-8.440000433146345</v>
      </c>
      <c r="AP233" s="162">
        <v>0</v>
      </c>
      <c r="AQ233" s="162">
        <v>0</v>
      </c>
      <c r="AR233" s="710" t="str">
        <v>32193r1.par</v>
      </c>
      <c r="AV233" s="82" t="str">
        <v>91,255,255</v>
      </c>
      <c r="AW233" s="947">
        <v>-11.439999999999998</v>
      </c>
      <c r="AX233" s="947">
        <v>-2.9999995668536537</v>
      </c>
      <c r="AY233" s="947">
        <v>-8.440000433146345</v>
      </c>
    </row>
    <row r="234" spans="2:51" x14ac:dyDescent="0.25">
      <c r="B234" s="650"/>
      <c r="C234" s="651"/>
      <c r="D234" s="652"/>
      <c r="E234" s="653"/>
      <c r="F234" s="651"/>
      <c r="G234" s="654"/>
      <c r="H234" s="653"/>
      <c r="I234" s="920"/>
      <c r="J234" s="924"/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940"/>
      <c r="M234" s="970"/>
      <c r="N234" s="941"/>
      <c r="O234" s="942"/>
      <c r="Q234" s="162" t="str">
        <f t="shared" si="1078"/>
        <v/>
      </c>
      <c r="R234" s="162" t="str">
        <f t="shared" si="1079"/>
        <v/>
      </c>
      <c r="S234" s="162" t="str">
        <f t="shared" si="1080"/>
        <v/>
      </c>
      <c r="T234" s="162" t="str">
        <f t="shared" si="1081"/>
        <v/>
      </c>
      <c r="U234" s="162" t="str">
        <f t="shared" si="1082"/>
        <v/>
      </c>
      <c r="V234" s="162" t="str">
        <f t="shared" si="1083"/>
        <v/>
      </c>
      <c r="W234" s="162" t="str">
        <f>IFERROR(IF(ISNUMBER(MATCH($Z234,Settings!$AK$28:$AK$36,0)),INDEX(Settings!$AO$14:$AO$36,MATCH($Z234,Settings!$AK$14:$AK$36,0))/2,INDEX(Settings!$AM$14:$AM$36,MATCH($Z234,Settings!$AK$14:$AK$36,0))/2),"")</f>
        <v/>
      </c>
      <c r="X234" s="162" t="str">
        <f t="shared" si="1084"/>
        <v/>
      </c>
      <c r="Y234" s="75"/>
      <c r="Z234" s="917" t="str">
        <f t="shared" si="1085"/>
        <v/>
      </c>
      <c r="AA234" s="82"/>
      <c r="AB234" s="75"/>
      <c r="AC234" s="75"/>
      <c r="AD234" s="166"/>
      <c r="AE234" s="75">
        <v>4.1280000000000001</v>
      </c>
      <c r="AF234" s="82">
        <v>4</v>
      </c>
      <c r="AG234" s="82">
        <v>1</v>
      </c>
      <c r="AH234" s="82">
        <v>2</v>
      </c>
      <c r="AI234" s="82">
        <v>0.99999999998544808</v>
      </c>
      <c r="AJ234" s="166">
        <v>4.1282100000000002</v>
      </c>
      <c r="AK234" s="82">
        <v>4.1281100000000004</v>
      </c>
      <c r="AL234" s="162">
        <v>0</v>
      </c>
      <c r="AM234" s="162">
        <v>0</v>
      </c>
      <c r="AN234" s="162">
        <v>0</v>
      </c>
      <c r="AO234" s="162">
        <v>4.0825451100005239E-2</v>
      </c>
      <c r="AP234" s="162">
        <v>0</v>
      </c>
      <c r="AQ234" s="162">
        <v>0</v>
      </c>
      <c r="AR234" s="710" t="str">
        <v>14513.par</v>
      </c>
      <c r="AV234" s="82" t="str">
        <v>0,204,204</v>
      </c>
      <c r="AW234" s="947">
        <v>85</v>
      </c>
      <c r="AX234" s="947">
        <v>84.959174548899995</v>
      </c>
      <c r="AY234" s="947">
        <v>4.0825451100005239E-2</v>
      </c>
    </row>
    <row r="235" spans="2:51" x14ac:dyDescent="0.25">
      <c r="B235" s="650"/>
      <c r="C235" s="651"/>
      <c r="D235" s="652"/>
      <c r="E235" s="653"/>
      <c r="F235" s="651"/>
      <c r="G235" s="654"/>
      <c r="H235" s="653"/>
      <c r="I235" s="920"/>
      <c r="J235" s="924"/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940"/>
      <c r="M235" s="970"/>
      <c r="N235" s="941"/>
      <c r="O235" s="942"/>
      <c r="Q235" s="162" t="str">
        <f t="shared" si="1078"/>
        <v/>
      </c>
      <c r="R235" s="162" t="str">
        <f t="shared" si="1079"/>
        <v/>
      </c>
      <c r="S235" s="162" t="str">
        <f t="shared" si="1080"/>
        <v/>
      </c>
      <c r="T235" s="162" t="str">
        <f t="shared" si="1081"/>
        <v/>
      </c>
      <c r="U235" s="162" t="str">
        <f t="shared" si="1082"/>
        <v/>
      </c>
      <c r="V235" s="162" t="str">
        <f t="shared" si="1083"/>
        <v/>
      </c>
      <c r="W235" s="162" t="str">
        <f>IFERROR(IF(ISNUMBER(MATCH($Z235,Settings!$AK$28:$AK$36,0)),INDEX(Settings!$AO$14:$AO$36,MATCH($Z235,Settings!$AK$14:$AK$36,0))/2,INDEX(Settings!$AM$14:$AM$36,MATCH($Z235,Settings!$AK$14:$AK$36,0))/2),"")</f>
        <v/>
      </c>
      <c r="X235" s="162" t="str">
        <f t="shared" si="1084"/>
        <v/>
      </c>
      <c r="Y235" s="75"/>
      <c r="Z235" s="917" t="str">
        <f t="shared" si="1085"/>
        <v/>
      </c>
      <c r="AA235" s="82"/>
      <c r="AB235" s="75"/>
      <c r="AC235" s="75"/>
      <c r="AD235" s="166"/>
      <c r="AE235" s="75">
        <v>4.1230000000000002</v>
      </c>
      <c r="AF235" s="82">
        <v>4</v>
      </c>
      <c r="AG235" s="82">
        <v>1</v>
      </c>
      <c r="AH235" s="82">
        <v>2</v>
      </c>
      <c r="AI235" s="82">
        <v>1.0000000000582077</v>
      </c>
      <c r="AJ235" s="166">
        <v>4.1232100000000003</v>
      </c>
      <c r="AK235" s="82">
        <v>4.1231100000000005</v>
      </c>
      <c r="AL235" s="162">
        <v>0</v>
      </c>
      <c r="AM235" s="162">
        <v>0</v>
      </c>
      <c r="AN235" s="162">
        <v>0</v>
      </c>
      <c r="AO235" s="162">
        <v>2.2190981530497993</v>
      </c>
      <c r="AP235" s="162">
        <v>0</v>
      </c>
      <c r="AQ235" s="162">
        <v>0</v>
      </c>
      <c r="AR235" s="710" t="str">
        <v>14513.par</v>
      </c>
      <c r="AV235" s="82" t="str">
        <v>0,204,204</v>
      </c>
      <c r="AW235" s="947">
        <v>72.03</v>
      </c>
      <c r="AX235" s="947">
        <v>69.810901846950202</v>
      </c>
      <c r="AY235" s="947">
        <v>2.2190981530497993</v>
      </c>
    </row>
    <row r="236" spans="2:51" x14ac:dyDescent="0.25">
      <c r="B236" s="650"/>
      <c r="C236" s="651"/>
      <c r="D236" s="652"/>
      <c r="E236" s="653"/>
      <c r="F236" s="651"/>
      <c r="G236" s="654"/>
      <c r="H236" s="653"/>
      <c r="I236" s="920"/>
      <c r="J236" s="924"/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940"/>
      <c r="M236" s="970"/>
      <c r="N236" s="941"/>
      <c r="O236" s="942"/>
      <c r="Q236" s="162" t="str">
        <f t="shared" si="1078"/>
        <v/>
      </c>
      <c r="R236" s="162" t="str">
        <f t="shared" si="1079"/>
        <v/>
      </c>
      <c r="S236" s="162" t="str">
        <f t="shared" si="1080"/>
        <v/>
      </c>
      <c r="T236" s="162" t="str">
        <f t="shared" si="1081"/>
        <v/>
      </c>
      <c r="U236" s="162" t="str">
        <f t="shared" si="1082"/>
        <v/>
      </c>
      <c r="V236" s="162" t="str">
        <f t="shared" si="1083"/>
        <v/>
      </c>
      <c r="W236" s="162" t="str">
        <f>IFERROR(IF(ISNUMBER(MATCH($Z236,Settings!$AK$28:$AK$36,0)),INDEX(Settings!$AO$14:$AO$36,MATCH($Z236,Settings!$AK$14:$AK$36,0))/2,INDEX(Settings!$AM$14:$AM$36,MATCH($Z236,Settings!$AK$14:$AK$36,0))/2),"")</f>
        <v/>
      </c>
      <c r="X236" s="162" t="str">
        <f t="shared" si="1084"/>
        <v/>
      </c>
      <c r="Y236" s="75"/>
      <c r="Z236" s="917" t="str">
        <f t="shared" si="1085"/>
        <v/>
      </c>
      <c r="AA236" s="82"/>
      <c r="AB236" s="75"/>
      <c r="AC236" s="75"/>
      <c r="AD236" s="166"/>
      <c r="AE236" s="75">
        <v>4.1180000000000003</v>
      </c>
      <c r="AF236" s="82">
        <v>4</v>
      </c>
      <c r="AG236" s="82">
        <v>1</v>
      </c>
      <c r="AH236" s="82">
        <v>2</v>
      </c>
      <c r="AI236" s="82">
        <v>1.0000000000582077</v>
      </c>
      <c r="AJ236" s="166">
        <v>4.1182100000000004</v>
      </c>
      <c r="AK236" s="82">
        <v>4.1181100000000006</v>
      </c>
      <c r="AL236" s="162">
        <v>0</v>
      </c>
      <c r="AM236" s="162">
        <v>0</v>
      </c>
      <c r="AN236" s="162">
        <v>0</v>
      </c>
      <c r="AO236" s="162">
        <v>0.46764071572492583</v>
      </c>
      <c r="AP236" s="162">
        <v>0</v>
      </c>
      <c r="AQ236" s="162">
        <v>0</v>
      </c>
      <c r="AR236" s="710" t="str">
        <v>14513.par</v>
      </c>
      <c r="AV236" s="82" t="str">
        <v>0,204,204</v>
      </c>
      <c r="AW236" s="947">
        <v>44.919999999999987</v>
      </c>
      <c r="AX236" s="947">
        <v>44.452359284275062</v>
      </c>
      <c r="AY236" s="947">
        <v>0.46764071572492583</v>
      </c>
    </row>
    <row r="237" spans="2:51" x14ac:dyDescent="0.25">
      <c r="B237" s="650"/>
      <c r="C237" s="651"/>
      <c r="D237" s="652"/>
      <c r="E237" s="653"/>
      <c r="F237" s="651"/>
      <c r="G237" s="654"/>
      <c r="H237" s="653"/>
      <c r="I237" s="920"/>
      <c r="J237" s="924"/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940"/>
      <c r="M237" s="970"/>
      <c r="N237" s="941"/>
      <c r="O237" s="942"/>
      <c r="Q237" s="162" t="str">
        <f t="shared" si="1078"/>
        <v/>
      </c>
      <c r="R237" s="162" t="str">
        <f t="shared" si="1079"/>
        <v/>
      </c>
      <c r="S237" s="162" t="str">
        <f t="shared" si="1080"/>
        <v/>
      </c>
      <c r="T237" s="162" t="str">
        <f t="shared" si="1081"/>
        <v/>
      </c>
      <c r="U237" s="162" t="str">
        <f t="shared" si="1082"/>
        <v/>
      </c>
      <c r="V237" s="162" t="str">
        <f t="shared" si="1083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84"/>
        <v/>
      </c>
      <c r="Y237" s="75"/>
      <c r="Z237" s="917" t="str">
        <f t="shared" si="1085"/>
        <v/>
      </c>
      <c r="AA237" s="82"/>
      <c r="AB237" s="75"/>
      <c r="AC237" s="75"/>
      <c r="AD237" s="166"/>
      <c r="AE237" s="75">
        <v>4.1130000000000004</v>
      </c>
      <c r="AF237" s="82">
        <v>4</v>
      </c>
      <c r="AG237" s="82">
        <v>1</v>
      </c>
      <c r="AH237" s="82">
        <v>2</v>
      </c>
      <c r="AI237" s="82">
        <v>1.0000000000582077</v>
      </c>
      <c r="AJ237" s="166">
        <v>4.1132100000000005</v>
      </c>
      <c r="AK237" s="82">
        <v>4.1131100000000007</v>
      </c>
      <c r="AL237" s="162">
        <v>0</v>
      </c>
      <c r="AM237" s="162">
        <v>0</v>
      </c>
      <c r="AN237" s="162">
        <v>0</v>
      </c>
      <c r="AO237" s="162">
        <v>-0.51105498580061592</v>
      </c>
      <c r="AP237" s="162">
        <v>0</v>
      </c>
      <c r="AQ237" s="162">
        <v>0</v>
      </c>
      <c r="AR237" s="710" t="str">
        <v>14513.par</v>
      </c>
      <c r="AV237" s="82" t="str">
        <v>0,204,204</v>
      </c>
      <c r="AW237" s="947">
        <v>18.340000000000003</v>
      </c>
      <c r="AX237" s="947">
        <v>18.851054985800619</v>
      </c>
      <c r="AY237" s="947">
        <v>-0.51105498580061592</v>
      </c>
    </row>
    <row r="238" spans="2:51" x14ac:dyDescent="0.25">
      <c r="B238" s="650"/>
      <c r="C238" s="651"/>
      <c r="D238" s="652"/>
      <c r="E238" s="653"/>
      <c r="F238" s="651"/>
      <c r="G238" s="654"/>
      <c r="H238" s="653"/>
      <c r="I238" s="920"/>
      <c r="J238" s="924"/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940"/>
      <c r="M238" s="970"/>
      <c r="N238" s="941"/>
      <c r="O238" s="942"/>
      <c r="Q238" s="162" t="str">
        <f t="shared" si="1078"/>
        <v/>
      </c>
      <c r="R238" s="162" t="str">
        <f t="shared" si="1079"/>
        <v/>
      </c>
      <c r="S238" s="162" t="str">
        <f t="shared" si="1080"/>
        <v/>
      </c>
      <c r="T238" s="162" t="str">
        <f t="shared" si="1081"/>
        <v/>
      </c>
      <c r="U238" s="162" t="str">
        <f t="shared" si="1082"/>
        <v/>
      </c>
      <c r="V238" s="162" t="str">
        <f t="shared" si="1083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84"/>
        <v/>
      </c>
      <c r="Y238" s="75"/>
      <c r="Z238" s="917" t="str">
        <f t="shared" si="1085"/>
        <v/>
      </c>
      <c r="AA238" s="82"/>
      <c r="AB238" s="75"/>
      <c r="AC238" s="75"/>
      <c r="AD238" s="166"/>
      <c r="AE238" s="75">
        <v>4.1079999999999997</v>
      </c>
      <c r="AF238" s="82">
        <v>4</v>
      </c>
      <c r="AG238" s="82">
        <v>1</v>
      </c>
      <c r="AH238" s="82">
        <v>2</v>
      </c>
      <c r="AI238" s="82">
        <v>0.99999999998544808</v>
      </c>
      <c r="AJ238" s="166">
        <v>4.1082099999999997</v>
      </c>
      <c r="AK238" s="82">
        <v>4.1081099999999999</v>
      </c>
      <c r="AL238" s="162">
        <v>0</v>
      </c>
      <c r="AM238" s="162">
        <v>0</v>
      </c>
      <c r="AN238" s="162">
        <v>0</v>
      </c>
      <c r="AO238" s="162">
        <v>-8.2455245160703576</v>
      </c>
      <c r="AP238" s="162">
        <v>0</v>
      </c>
      <c r="AQ238" s="162">
        <v>0</v>
      </c>
      <c r="AR238" s="710" t="str">
        <v>14513.par</v>
      </c>
      <c r="AV238" s="82" t="str">
        <v>0,204,204</v>
      </c>
      <c r="AW238" s="947">
        <v>-11.439999999999998</v>
      </c>
      <c r="AX238" s="947">
        <v>-3.1944754839296392</v>
      </c>
      <c r="AY238" s="947">
        <v>-8.2455245160703576</v>
      </c>
    </row>
    <row r="239" spans="2:51" x14ac:dyDescent="0.25">
      <c r="B239" s="650"/>
      <c r="C239" s="651"/>
      <c r="D239" s="652"/>
      <c r="E239" s="653"/>
      <c r="F239" s="651"/>
      <c r="G239" s="654"/>
      <c r="H239" s="653"/>
      <c r="I239" s="920"/>
      <c r="J239" s="924"/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940"/>
      <c r="M239" s="970"/>
      <c r="N239" s="941"/>
      <c r="O239" s="942"/>
      <c r="Q239" s="162" t="str">
        <f t="shared" si="1078"/>
        <v/>
      </c>
      <c r="R239" s="162" t="str">
        <f t="shared" si="1079"/>
        <v/>
      </c>
      <c r="S239" s="162" t="str">
        <f t="shared" si="1080"/>
        <v/>
      </c>
      <c r="T239" s="162" t="str">
        <f t="shared" si="1081"/>
        <v/>
      </c>
      <c r="U239" s="162" t="str">
        <f t="shared" si="1082"/>
        <v/>
      </c>
      <c r="V239" s="162" t="str">
        <f t="shared" si="1083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84"/>
        <v/>
      </c>
      <c r="Y239" s="75"/>
      <c r="Z239" s="917" t="str">
        <f t="shared" si="1085"/>
        <v/>
      </c>
      <c r="AA239" s="82"/>
      <c r="AB239" s="75"/>
      <c r="AC239" s="75"/>
      <c r="AD239" s="166"/>
      <c r="AE239" s="75">
        <v>4.1050000000000004</v>
      </c>
      <c r="AF239" s="82">
        <v>4</v>
      </c>
      <c r="AG239" s="82">
        <v>1</v>
      </c>
      <c r="AH239" s="82">
        <v>2</v>
      </c>
      <c r="AI239" s="82">
        <v>1.0000000000582077</v>
      </c>
      <c r="AJ239" s="166">
        <v>4.1052100000000005</v>
      </c>
      <c r="AK239" s="82">
        <v>4.1051100000000007</v>
      </c>
      <c r="AL239" s="162">
        <v>0</v>
      </c>
      <c r="AM239" s="162">
        <v>0</v>
      </c>
      <c r="AN239" s="162">
        <v>0</v>
      </c>
      <c r="AO239" s="162">
        <v>-2.6048774606487441</v>
      </c>
      <c r="AP239" s="162">
        <v>0</v>
      </c>
      <c r="AQ239" s="162">
        <v>0</v>
      </c>
      <c r="AR239" s="710" t="str">
        <v>14513.par</v>
      </c>
      <c r="AV239" s="82" t="str">
        <v>0,204,204</v>
      </c>
      <c r="AW239" s="947">
        <v>-10</v>
      </c>
      <c r="AX239" s="947">
        <v>-7.3951225393512559</v>
      </c>
      <c r="AY239" s="947">
        <v>-2.6048774606487441</v>
      </c>
    </row>
    <row r="240" spans="2:51" x14ac:dyDescent="0.25">
      <c r="B240" s="650"/>
      <c r="C240" s="651"/>
      <c r="D240" s="652"/>
      <c r="E240" s="653"/>
      <c r="F240" s="651"/>
      <c r="G240" s="654"/>
      <c r="H240" s="653"/>
      <c r="I240" s="920"/>
      <c r="J240" s="924"/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940"/>
      <c r="M240" s="970"/>
      <c r="N240" s="941"/>
      <c r="O240" s="942"/>
      <c r="Q240" s="162" t="str">
        <f t="shared" si="1078"/>
        <v/>
      </c>
      <c r="R240" s="162" t="str">
        <f t="shared" si="1079"/>
        <v/>
      </c>
      <c r="S240" s="162" t="str">
        <f t="shared" si="1080"/>
        <v/>
      </c>
      <c r="T240" s="162" t="str">
        <f t="shared" si="1081"/>
        <v/>
      </c>
      <c r="U240" s="162" t="str">
        <f t="shared" si="1082"/>
        <v/>
      </c>
      <c r="V240" s="162" t="str">
        <f t="shared" si="1083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84"/>
        <v/>
      </c>
      <c r="Y240" s="75"/>
      <c r="Z240" s="917" t="str">
        <f t="shared" si="1085"/>
        <v/>
      </c>
      <c r="AA240" s="82"/>
      <c r="AB240" s="75"/>
      <c r="AC240" s="75"/>
      <c r="AD240" s="166"/>
      <c r="AE240" s="75">
        <v>4.1020000000000003</v>
      </c>
      <c r="AF240" s="82">
        <v>4</v>
      </c>
      <c r="AG240" s="82">
        <v>1</v>
      </c>
      <c r="AH240" s="82">
        <v>2</v>
      </c>
      <c r="AI240" s="82">
        <v>1.0000000000582077</v>
      </c>
      <c r="AJ240" s="166">
        <v>4.1022100000000004</v>
      </c>
      <c r="AK240" s="82">
        <v>4.1021100000000006</v>
      </c>
      <c r="AL240" s="162">
        <v>0</v>
      </c>
      <c r="AM240" s="162">
        <v>0</v>
      </c>
      <c r="AN240" s="162">
        <v>0</v>
      </c>
      <c r="AO240" s="162">
        <v>2.6907515837126823</v>
      </c>
      <c r="AP240" s="162">
        <v>0</v>
      </c>
      <c r="AQ240" s="162">
        <v>0</v>
      </c>
      <c r="AR240" s="710" t="str">
        <v>14513.par</v>
      </c>
      <c r="AV240" s="82" t="str">
        <v>0,204,204</v>
      </c>
      <c r="AW240" s="947">
        <v>-10</v>
      </c>
      <c r="AX240" s="947">
        <v>-12.690751583712682</v>
      </c>
      <c r="AY240" s="947">
        <v>2.6907515837126823</v>
      </c>
    </row>
    <row r="241" spans="2:51" x14ac:dyDescent="0.25">
      <c r="B241" s="650"/>
      <c r="C241" s="651"/>
      <c r="D241" s="652"/>
      <c r="E241" s="653"/>
      <c r="F241" s="651"/>
      <c r="G241" s="654"/>
      <c r="H241" s="653"/>
      <c r="I241" s="920"/>
      <c r="J241" s="924"/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940"/>
      <c r="M241" s="970"/>
      <c r="N241" s="941"/>
      <c r="O241" s="942"/>
      <c r="Q241" s="162" t="str">
        <f t="shared" si="1078"/>
        <v/>
      </c>
      <c r="R241" s="162" t="str">
        <f t="shared" si="1079"/>
        <v/>
      </c>
      <c r="S241" s="162" t="str">
        <f t="shared" si="1080"/>
        <v/>
      </c>
      <c r="T241" s="162" t="str">
        <f t="shared" si="1081"/>
        <v/>
      </c>
      <c r="U241" s="162" t="str">
        <f t="shared" si="1082"/>
        <v/>
      </c>
      <c r="V241" s="162" t="str">
        <f t="shared" si="1083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84"/>
        <v/>
      </c>
      <c r="Y241" s="75"/>
      <c r="Z241" s="917" t="str">
        <f t="shared" si="1085"/>
        <v/>
      </c>
      <c r="AA241" s="82"/>
      <c r="AB241" s="75"/>
      <c r="AC241" s="75"/>
      <c r="AD241" s="166"/>
      <c r="AE241" s="75">
        <v>3.2290000000000001</v>
      </c>
      <c r="AF241" s="82">
        <v>3</v>
      </c>
      <c r="AG241" s="82">
        <v>2</v>
      </c>
      <c r="AH241" s="82">
        <v>2</v>
      </c>
      <c r="AI241" s="82">
        <v>1.0000000000218279</v>
      </c>
      <c r="AJ241" s="166">
        <v>3.2292100000000001</v>
      </c>
      <c r="AK241" s="82">
        <v>3.2291099999999999</v>
      </c>
      <c r="AL241" s="162">
        <v>0</v>
      </c>
      <c r="AM241" s="162">
        <v>0</v>
      </c>
      <c r="AN241" s="162">
        <v>0</v>
      </c>
      <c r="AO241" s="162">
        <v>1.2272479821717752E-5</v>
      </c>
      <c r="AP241" s="162">
        <v>0</v>
      </c>
      <c r="AQ241" s="162">
        <v>0</v>
      </c>
      <c r="AR241" s="710" t="str">
        <v>32193r1.par</v>
      </c>
      <c r="AV241" s="82" t="str">
        <v>97,255,97</v>
      </c>
      <c r="AW241" s="947">
        <v>85</v>
      </c>
      <c r="AX241" s="947">
        <v>84.999987727520178</v>
      </c>
      <c r="AY241" s="947">
        <v>1.2272479821717752E-5</v>
      </c>
    </row>
    <row r="242" spans="2:51" x14ac:dyDescent="0.25">
      <c r="B242" s="650"/>
      <c r="C242" s="651"/>
      <c r="D242" s="652"/>
      <c r="E242" s="653"/>
      <c r="F242" s="651"/>
      <c r="G242" s="654"/>
      <c r="H242" s="653"/>
      <c r="I242" s="920"/>
      <c r="J242" s="924"/>
      <c r="K242" s="790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940"/>
      <c r="M242" s="970"/>
      <c r="N242" s="941"/>
      <c r="O242" s="942"/>
      <c r="Q242" s="162" t="str">
        <f t="shared" si="1078"/>
        <v/>
      </c>
      <c r="R242" s="162" t="str">
        <f t="shared" si="1079"/>
        <v/>
      </c>
      <c r="S242" s="162" t="str">
        <f t="shared" si="1080"/>
        <v/>
      </c>
      <c r="T242" s="162" t="str">
        <f t="shared" si="1081"/>
        <v/>
      </c>
      <c r="U242" s="162" t="str">
        <f t="shared" si="1082"/>
        <v/>
      </c>
      <c r="V242" s="162" t="str">
        <f t="shared" si="1083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84"/>
        <v/>
      </c>
      <c r="Y242" s="75"/>
      <c r="Z242" s="917" t="str">
        <f t="shared" si="1085"/>
        <v/>
      </c>
      <c r="AA242" s="82"/>
      <c r="AB242" s="75"/>
      <c r="AC242" s="75"/>
      <c r="AD242" s="166"/>
      <c r="AE242" s="75">
        <v>3.2240000000000002</v>
      </c>
      <c r="AF242" s="82">
        <v>3</v>
      </c>
      <c r="AG242" s="82">
        <v>2</v>
      </c>
      <c r="AH242" s="82">
        <v>2</v>
      </c>
      <c r="AI242" s="82">
        <v>1.0000000000218279</v>
      </c>
      <c r="AJ242" s="166">
        <v>3.2242100000000002</v>
      </c>
      <c r="AK242" s="82">
        <v>3.22411</v>
      </c>
      <c r="AL242" s="162">
        <v>0</v>
      </c>
      <c r="AM242" s="162">
        <v>0</v>
      </c>
      <c r="AN242" s="162">
        <v>0</v>
      </c>
      <c r="AO242" s="162">
        <v>1.1191057765813639E-5</v>
      </c>
      <c r="AP242" s="162">
        <v>0</v>
      </c>
      <c r="AQ242" s="162">
        <v>0</v>
      </c>
      <c r="AR242" s="710" t="str">
        <v>32193r1.par</v>
      </c>
      <c r="AV242" s="82" t="str">
        <v>97,255,97</v>
      </c>
      <c r="AW242" s="947">
        <v>77.509999999999991</v>
      </c>
      <c r="AX242" s="947">
        <v>77.509988808942225</v>
      </c>
      <c r="AY242" s="947">
        <v>1.1191057765813639E-5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20"/>
      <c r="J243" s="924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40"/>
      <c r="M243" s="970"/>
      <c r="N243" s="941"/>
      <c r="O243" s="942"/>
      <c r="Q243" s="162" t="str">
        <f t="shared" si="1078"/>
        <v/>
      </c>
      <c r="R243" s="162" t="str">
        <f t="shared" si="1079"/>
        <v/>
      </c>
      <c r="S243" s="162" t="str">
        <f t="shared" si="1080"/>
        <v/>
      </c>
      <c r="T243" s="162" t="str">
        <f t="shared" si="1081"/>
        <v/>
      </c>
      <c r="U243" s="162" t="str">
        <f t="shared" si="1082"/>
        <v/>
      </c>
      <c r="V243" s="162" t="str">
        <f t="shared" si="1083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84"/>
        <v/>
      </c>
      <c r="Y243" s="75"/>
      <c r="Z243" s="917" t="str">
        <f t="shared" si="1085"/>
        <v/>
      </c>
      <c r="AA243" s="82"/>
      <c r="AB243" s="75"/>
      <c r="AC243" s="75"/>
      <c r="AD243" s="166"/>
      <c r="AE243" s="75">
        <v>3.2189999999999999</v>
      </c>
      <c r="AF243" s="82">
        <v>3</v>
      </c>
      <c r="AG243" s="82">
        <v>2</v>
      </c>
      <c r="AH243" s="82">
        <v>2</v>
      </c>
      <c r="AI243" s="82">
        <v>0.99999999998544808</v>
      </c>
      <c r="AJ243" s="166">
        <v>3.2192099999999999</v>
      </c>
      <c r="AK243" s="82">
        <v>3.2191099999999997</v>
      </c>
      <c r="AL243" s="162">
        <v>0</v>
      </c>
      <c r="AM243" s="162">
        <v>0</v>
      </c>
      <c r="AN243" s="162">
        <v>0</v>
      </c>
      <c r="AO243" s="162">
        <v>0.65303757923710748</v>
      </c>
      <c r="AP243" s="162">
        <v>0</v>
      </c>
      <c r="AQ243" s="162">
        <v>0</v>
      </c>
      <c r="AR243" s="710" t="str">
        <v>1313.par</v>
      </c>
      <c r="AV243" s="82" t="str">
        <v>97,255,97</v>
      </c>
      <c r="AW243" s="947">
        <v>50.300000000000011</v>
      </c>
      <c r="AX243" s="947">
        <v>49.646962420762904</v>
      </c>
      <c r="AY243" s="947">
        <v>0.65303757923710748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20"/>
      <c r="J244" s="924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40"/>
      <c r="M244" s="970"/>
      <c r="N244" s="941"/>
      <c r="O244" s="942"/>
      <c r="Q244" s="162" t="str">
        <f t="shared" si="1078"/>
        <v/>
      </c>
      <c r="R244" s="162" t="str">
        <f t="shared" si="1079"/>
        <v/>
      </c>
      <c r="S244" s="162" t="str">
        <f t="shared" si="1080"/>
        <v/>
      </c>
      <c r="T244" s="162" t="str">
        <f t="shared" si="1081"/>
        <v/>
      </c>
      <c r="U244" s="162" t="str">
        <f t="shared" si="1082"/>
        <v/>
      </c>
      <c r="V244" s="162" t="str">
        <f t="shared" si="1083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4"/>
        <v/>
      </c>
      <c r="Y244" s="75"/>
      <c r="Z244" s="917" t="str">
        <f t="shared" si="1085"/>
        <v/>
      </c>
      <c r="AA244" s="82"/>
      <c r="AB244" s="75"/>
      <c r="AC244" s="75"/>
      <c r="AD244" s="166"/>
      <c r="AE244" s="75">
        <v>3.214</v>
      </c>
      <c r="AF244" s="82">
        <v>3</v>
      </c>
      <c r="AG244" s="82">
        <v>2</v>
      </c>
      <c r="AH244" s="82">
        <v>2</v>
      </c>
      <c r="AI244" s="82">
        <v>0.99999999998544808</v>
      </c>
      <c r="AJ244" s="166">
        <v>3.21421</v>
      </c>
      <c r="AK244" s="82">
        <v>3.2141099999999998</v>
      </c>
      <c r="AL244" s="162">
        <v>0</v>
      </c>
      <c r="AM244" s="162">
        <v>0</v>
      </c>
      <c r="AN244" s="162">
        <v>0</v>
      </c>
      <c r="AO244" s="162">
        <v>-0.63224692493988854</v>
      </c>
      <c r="AP244" s="162">
        <v>0</v>
      </c>
      <c r="AQ244" s="162">
        <v>0</v>
      </c>
      <c r="AR244" s="710" t="str">
        <v>1313.par</v>
      </c>
      <c r="AV244" s="82" t="str">
        <v>97,255,97</v>
      </c>
      <c r="AW244" s="947">
        <v>23.620000000000005</v>
      </c>
      <c r="AX244" s="947">
        <v>24.252246924939893</v>
      </c>
      <c r="AY244" s="947">
        <v>-0.63224692493988854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20"/>
      <c r="J245" s="924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40"/>
      <c r="M245" s="970"/>
      <c r="N245" s="941"/>
      <c r="O245" s="942"/>
      <c r="Q245" s="162" t="str">
        <f t="shared" si="1078"/>
        <v/>
      </c>
      <c r="R245" s="162" t="str">
        <f t="shared" si="1079"/>
        <v/>
      </c>
      <c r="S245" s="162" t="str">
        <f t="shared" si="1080"/>
        <v/>
      </c>
      <c r="T245" s="162" t="str">
        <f t="shared" si="1081"/>
        <v/>
      </c>
      <c r="U245" s="162" t="str">
        <f t="shared" si="1082"/>
        <v/>
      </c>
      <c r="V245" s="162" t="str">
        <f t="shared" si="1083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4"/>
        <v/>
      </c>
      <c r="Y245" s="75"/>
      <c r="Z245" s="917" t="str">
        <f t="shared" si="1085"/>
        <v/>
      </c>
      <c r="AA245" s="82"/>
      <c r="AB245" s="75"/>
      <c r="AC245" s="75"/>
      <c r="AD245" s="166"/>
      <c r="AE245" s="75">
        <v>3.2090000000000001</v>
      </c>
      <c r="AF245" s="82">
        <v>3</v>
      </c>
      <c r="AG245" s="82">
        <v>2</v>
      </c>
      <c r="AH245" s="82">
        <v>2</v>
      </c>
      <c r="AI245" s="82">
        <v>1.0000000000218279</v>
      </c>
      <c r="AJ245" s="166">
        <v>3.2092100000000001</v>
      </c>
      <c r="AK245" s="82">
        <v>3.2091099999999999</v>
      </c>
      <c r="AL245" s="162">
        <v>0</v>
      </c>
      <c r="AM245" s="162">
        <v>0</v>
      </c>
      <c r="AN245" s="162">
        <v>0</v>
      </c>
      <c r="AO245" s="162">
        <v>-2.6899999999999977</v>
      </c>
      <c r="AP245" s="162">
        <v>0</v>
      </c>
      <c r="AQ245" s="162">
        <v>0</v>
      </c>
      <c r="AR245" s="710" t="str">
        <v>32193r1.par</v>
      </c>
      <c r="AV245" s="82" t="str">
        <v>97,255,97</v>
      </c>
      <c r="AW245" s="947">
        <v>-2.6899999999999977</v>
      </c>
      <c r="AX245" s="947">
        <v>0</v>
      </c>
      <c r="AY245" s="947">
        <v>-2.6899999999999977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20"/>
      <c r="J246" s="924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40"/>
      <c r="M246" s="970"/>
      <c r="N246" s="941"/>
      <c r="O246" s="942"/>
      <c r="Q246" s="162" t="str">
        <f t="shared" si="1078"/>
        <v/>
      </c>
      <c r="R246" s="162" t="str">
        <f t="shared" si="1079"/>
        <v/>
      </c>
      <c r="S246" s="162" t="str">
        <f t="shared" si="1080"/>
        <v/>
      </c>
      <c r="T246" s="162" t="str">
        <f t="shared" si="1081"/>
        <v/>
      </c>
      <c r="U246" s="162" t="str">
        <f t="shared" si="1082"/>
        <v/>
      </c>
      <c r="V246" s="162" t="str">
        <f t="shared" si="1083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4"/>
        <v/>
      </c>
      <c r="Y246" s="75"/>
      <c r="Z246" s="917" t="str">
        <f t="shared" si="1085"/>
        <v/>
      </c>
      <c r="AA246" s="82"/>
      <c r="AB246" s="75"/>
      <c r="AC246" s="75"/>
      <c r="AD246" s="166"/>
      <c r="AE246" s="75">
        <v>3.129</v>
      </c>
      <c r="AF246" s="82">
        <v>3</v>
      </c>
      <c r="AG246" s="82">
        <v>1</v>
      </c>
      <c r="AH246" s="82">
        <v>2</v>
      </c>
      <c r="AI246" s="82">
        <v>1.0000000000218279</v>
      </c>
      <c r="AJ246" s="166">
        <v>3.12921</v>
      </c>
      <c r="AK246" s="82">
        <v>3.1291099999999998</v>
      </c>
      <c r="AL246" s="162">
        <v>0</v>
      </c>
      <c r="AM246" s="162">
        <v>0</v>
      </c>
      <c r="AN246" s="162">
        <v>0</v>
      </c>
      <c r="AO246" s="162">
        <v>4.0825451099834709E-2</v>
      </c>
      <c r="AP246" s="162">
        <v>0</v>
      </c>
      <c r="AQ246" s="162">
        <v>0</v>
      </c>
      <c r="AR246" s="710" t="str">
        <v>14513.par</v>
      </c>
      <c r="AV246" s="82" t="str">
        <v>0,204,0</v>
      </c>
      <c r="AW246" s="947">
        <v>85</v>
      </c>
      <c r="AX246" s="947">
        <v>84.959174548900165</v>
      </c>
      <c r="AY246" s="947">
        <v>4.0825451099834709E-2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20"/>
      <c r="J247" s="924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40"/>
      <c r="M247" s="970"/>
      <c r="N247" s="941"/>
      <c r="O247" s="942"/>
      <c r="Q247" s="162" t="str">
        <f t="shared" si="1078"/>
        <v/>
      </c>
      <c r="R247" s="162" t="str">
        <f t="shared" si="1079"/>
        <v/>
      </c>
      <c r="S247" s="162" t="str">
        <f t="shared" si="1080"/>
        <v/>
      </c>
      <c r="T247" s="162" t="str">
        <f t="shared" si="1081"/>
        <v/>
      </c>
      <c r="U247" s="162" t="str">
        <f t="shared" si="1082"/>
        <v/>
      </c>
      <c r="V247" s="162" t="str">
        <f t="shared" si="1083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4"/>
        <v/>
      </c>
      <c r="Y247" s="75"/>
      <c r="Z247" s="917" t="str">
        <f t="shared" si="1085"/>
        <v/>
      </c>
      <c r="AA247" s="82"/>
      <c r="AB247" s="75"/>
      <c r="AC247" s="75"/>
      <c r="AD247" s="166"/>
      <c r="AE247" s="75">
        <v>3.1240000000000001</v>
      </c>
      <c r="AF247" s="82">
        <v>3</v>
      </c>
      <c r="AG247" s="82">
        <v>1</v>
      </c>
      <c r="AH247" s="82">
        <v>2</v>
      </c>
      <c r="AI247" s="82">
        <v>1.0000000000218279</v>
      </c>
      <c r="AJ247" s="166">
        <v>3.1242100000000002</v>
      </c>
      <c r="AK247" s="82">
        <v>3.1241099999999999</v>
      </c>
      <c r="AL247" s="162">
        <v>0</v>
      </c>
      <c r="AM247" s="162">
        <v>0</v>
      </c>
      <c r="AN247" s="162">
        <v>0</v>
      </c>
      <c r="AO247" s="162">
        <v>2.6454441498011647</v>
      </c>
      <c r="AP247" s="162">
        <v>0</v>
      </c>
      <c r="AQ247" s="162">
        <v>0</v>
      </c>
      <c r="AR247" s="710" t="str">
        <v>14513.par</v>
      </c>
      <c r="AV247" s="82" t="str">
        <v>0,204,0</v>
      </c>
      <c r="AW247" s="947">
        <v>77.509999999999991</v>
      </c>
      <c r="AX247" s="947">
        <v>74.864555850198826</v>
      </c>
      <c r="AY247" s="947">
        <v>2.6454441498011647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20"/>
      <c r="J248" s="924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40"/>
      <c r="M248" s="970"/>
      <c r="N248" s="941"/>
      <c r="O248" s="942"/>
      <c r="Q248" s="162" t="str">
        <f t="shared" si="1078"/>
        <v/>
      </c>
      <c r="R248" s="162" t="str">
        <f t="shared" si="1079"/>
        <v/>
      </c>
      <c r="S248" s="162" t="str">
        <f t="shared" si="1080"/>
        <v/>
      </c>
      <c r="T248" s="162" t="str">
        <f t="shared" si="1081"/>
        <v/>
      </c>
      <c r="U248" s="162" t="str">
        <f t="shared" si="1082"/>
        <v/>
      </c>
      <c r="V248" s="162" t="str">
        <f t="shared" si="1083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4"/>
        <v/>
      </c>
      <c r="Y248" s="75"/>
      <c r="Z248" s="917" t="str">
        <f t="shared" si="1085"/>
        <v/>
      </c>
      <c r="AA248" s="82"/>
      <c r="AB248" s="75"/>
      <c r="AC248" s="75"/>
      <c r="AD248" s="166"/>
      <c r="AE248" s="75">
        <v>3.1190000000000002</v>
      </c>
      <c r="AF248" s="82">
        <v>3</v>
      </c>
      <c r="AG248" s="82">
        <v>1</v>
      </c>
      <c r="AH248" s="82">
        <v>2</v>
      </c>
      <c r="AI248" s="82">
        <v>1.0000000000218279</v>
      </c>
      <c r="AJ248" s="166">
        <v>3.1192100000000003</v>
      </c>
      <c r="AK248" s="82">
        <v>3.11911</v>
      </c>
      <c r="AL248" s="162">
        <v>0</v>
      </c>
      <c r="AM248" s="162">
        <v>0</v>
      </c>
      <c r="AN248" s="162">
        <v>0</v>
      </c>
      <c r="AO248" s="162">
        <v>0.76130065223181731</v>
      </c>
      <c r="AP248" s="162">
        <v>0</v>
      </c>
      <c r="AQ248" s="162">
        <v>0</v>
      </c>
      <c r="AR248" s="710" t="str">
        <v>14513.par</v>
      </c>
      <c r="AV248" s="82" t="str">
        <v>0,204,0</v>
      </c>
      <c r="AW248" s="947">
        <v>50.300000000000011</v>
      </c>
      <c r="AX248" s="947">
        <v>49.538699347768194</v>
      </c>
      <c r="AY248" s="947">
        <v>0.76130065223181731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20"/>
      <c r="J249" s="924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40"/>
      <c r="M249" s="970"/>
      <c r="N249" s="941"/>
      <c r="O249" s="942"/>
      <c r="Q249" s="162" t="str">
        <f t="shared" si="1078"/>
        <v/>
      </c>
      <c r="R249" s="162" t="str">
        <f t="shared" si="1079"/>
        <v/>
      </c>
      <c r="S249" s="162" t="str">
        <f t="shared" si="1080"/>
        <v/>
      </c>
      <c r="T249" s="162" t="str">
        <f t="shared" si="1081"/>
        <v/>
      </c>
      <c r="U249" s="162" t="str">
        <f t="shared" si="1082"/>
        <v/>
      </c>
      <c r="V249" s="162" t="str">
        <f t="shared" si="1083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4"/>
        <v/>
      </c>
      <c r="Y249" s="75"/>
      <c r="Z249" s="917" t="str">
        <f t="shared" si="1085"/>
        <v/>
      </c>
      <c r="AA249" s="82"/>
      <c r="AB249" s="75"/>
      <c r="AC249" s="75"/>
      <c r="AD249" s="166"/>
      <c r="AE249" s="75">
        <v>3.1139999999999999</v>
      </c>
      <c r="AF249" s="82">
        <v>3</v>
      </c>
      <c r="AG249" s="82">
        <v>1</v>
      </c>
      <c r="AH249" s="82">
        <v>2</v>
      </c>
      <c r="AI249" s="82">
        <v>0.99999999998544808</v>
      </c>
      <c r="AJ249" s="166">
        <v>3.1142099999999999</v>
      </c>
      <c r="AK249" s="82">
        <v>3.1141099999999997</v>
      </c>
      <c r="AL249" s="162">
        <v>0</v>
      </c>
      <c r="AM249" s="162">
        <v>0</v>
      </c>
      <c r="AN249" s="162">
        <v>0</v>
      </c>
      <c r="AO249" s="162">
        <v>-0.37940461853218466</v>
      </c>
      <c r="AP249" s="162">
        <v>0</v>
      </c>
      <c r="AQ249" s="162">
        <v>0</v>
      </c>
      <c r="AR249" s="710" t="str">
        <v>14513.par</v>
      </c>
      <c r="AV249" s="82" t="str">
        <v>0,204,0</v>
      </c>
      <c r="AW249" s="947">
        <v>23.620000000000005</v>
      </c>
      <c r="AX249" s="947">
        <v>23.999404618532189</v>
      </c>
      <c r="AY249" s="947">
        <v>-0.37940461853218466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70"/>
      <c r="N250" s="941"/>
      <c r="O250" s="942"/>
      <c r="Q250" s="162" t="str">
        <f t="shared" si="1078"/>
        <v/>
      </c>
      <c r="R250" s="162" t="str">
        <f t="shared" si="1079"/>
        <v/>
      </c>
      <c r="S250" s="162" t="str">
        <f t="shared" si="1080"/>
        <v/>
      </c>
      <c r="T250" s="162" t="str">
        <f t="shared" si="1081"/>
        <v/>
      </c>
      <c r="U250" s="162" t="str">
        <f t="shared" si="1082"/>
        <v/>
      </c>
      <c r="V250" s="162" t="str">
        <f t="shared" si="1083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4"/>
        <v/>
      </c>
      <c r="Y250" s="75"/>
      <c r="Z250" s="917" t="str">
        <f t="shared" si="1085"/>
        <v/>
      </c>
      <c r="AA250" s="82"/>
      <c r="AB250" s="75"/>
      <c r="AC250" s="75"/>
      <c r="AD250" s="166"/>
      <c r="AE250" s="75">
        <v>3.109</v>
      </c>
      <c r="AF250" s="82">
        <v>3</v>
      </c>
      <c r="AG250" s="82">
        <v>1</v>
      </c>
      <c r="AH250" s="82">
        <v>2</v>
      </c>
      <c r="AI250" s="82">
        <v>0.99999999998544808</v>
      </c>
      <c r="AJ250" s="166">
        <v>3.10921</v>
      </c>
      <c r="AK250" s="82">
        <v>3.1091099999999998</v>
      </c>
      <c r="AL250" s="162">
        <v>0</v>
      </c>
      <c r="AM250" s="162">
        <v>0</v>
      </c>
      <c r="AN250" s="162">
        <v>0</v>
      </c>
      <c r="AO250" s="162">
        <v>-0.73751755458939305</v>
      </c>
      <c r="AP250" s="162">
        <v>0</v>
      </c>
      <c r="AQ250" s="162">
        <v>0</v>
      </c>
      <c r="AR250" s="710" t="str">
        <v>14513.par</v>
      </c>
      <c r="AV250" s="82" t="str">
        <v>0,204,0</v>
      </c>
      <c r="AW250" s="947">
        <v>-2.6899999999999977</v>
      </c>
      <c r="AX250" s="947">
        <v>-1.9524824454106047</v>
      </c>
      <c r="AY250" s="947">
        <v>-0.73751755458939305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70"/>
      <c r="N251" s="941"/>
      <c r="O251" s="942"/>
      <c r="Q251" s="162" t="str">
        <f t="shared" si="1078"/>
        <v/>
      </c>
      <c r="R251" s="162" t="str">
        <f t="shared" si="1079"/>
        <v/>
      </c>
      <c r="S251" s="162" t="str">
        <f t="shared" si="1080"/>
        <v/>
      </c>
      <c r="T251" s="162" t="str">
        <f t="shared" si="1081"/>
        <v/>
      </c>
      <c r="U251" s="162" t="str">
        <f t="shared" si="1082"/>
        <v/>
      </c>
      <c r="V251" s="162" t="str">
        <f t="shared" si="1083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4"/>
        <v/>
      </c>
      <c r="Y251" s="75"/>
      <c r="Z251" s="917" t="str">
        <f t="shared" si="1085"/>
        <v/>
      </c>
      <c r="AA251" s="82"/>
      <c r="AB251" s="75"/>
      <c r="AC251" s="75"/>
      <c r="AD251" s="166"/>
      <c r="AE251" s="75">
        <v>3.1059999999999999</v>
      </c>
      <c r="AF251" s="82">
        <v>3</v>
      </c>
      <c r="AG251" s="82">
        <v>1</v>
      </c>
      <c r="AH251" s="82">
        <v>2</v>
      </c>
      <c r="AI251" s="82">
        <v>0.99999999998544808</v>
      </c>
      <c r="AJ251" s="166">
        <v>3.1062099999999999</v>
      </c>
      <c r="AK251" s="82">
        <v>3.1061099999999997</v>
      </c>
      <c r="AL251" s="162">
        <v>0</v>
      </c>
      <c r="AM251" s="162">
        <v>0</v>
      </c>
      <c r="AN251" s="162">
        <v>0</v>
      </c>
      <c r="AO251" s="162">
        <v>-4.1247111440417523</v>
      </c>
      <c r="AP251" s="162">
        <v>0</v>
      </c>
      <c r="AQ251" s="162">
        <v>0</v>
      </c>
      <c r="AR251" s="710" t="str">
        <v>14513.par</v>
      </c>
      <c r="AV251" s="82" t="str">
        <v>0,204,0</v>
      </c>
      <c r="AW251" s="947">
        <v>-10</v>
      </c>
      <c r="AX251" s="947">
        <v>-5.8752888559582477</v>
      </c>
      <c r="AY251" s="947">
        <v>-4.1247111440417523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70"/>
      <c r="N252" s="941"/>
      <c r="O252" s="942"/>
      <c r="Q252" s="162" t="str">
        <f t="shared" si="1078"/>
        <v/>
      </c>
      <c r="R252" s="162" t="str">
        <f t="shared" si="1079"/>
        <v/>
      </c>
      <c r="S252" s="162" t="str">
        <f t="shared" si="1080"/>
        <v/>
      </c>
      <c r="T252" s="162" t="str">
        <f t="shared" si="1081"/>
        <v/>
      </c>
      <c r="U252" s="162" t="str">
        <f t="shared" si="1082"/>
        <v/>
      </c>
      <c r="V252" s="162" t="str">
        <f t="shared" si="1083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4"/>
        <v/>
      </c>
      <c r="Y252" s="75"/>
      <c r="Z252" s="917" t="str">
        <f t="shared" si="1085"/>
        <v/>
      </c>
      <c r="AA252" s="82"/>
      <c r="AB252" s="75"/>
      <c r="AC252" s="75"/>
      <c r="AD252" s="166"/>
      <c r="AE252" s="75">
        <v>3.1030000000000002</v>
      </c>
      <c r="AF252" s="82">
        <v>3</v>
      </c>
      <c r="AG252" s="82">
        <v>1</v>
      </c>
      <c r="AH252" s="82">
        <v>2</v>
      </c>
      <c r="AI252" s="82">
        <v>1.0000000000218279</v>
      </c>
      <c r="AJ252" s="166">
        <v>3.1032100000000002</v>
      </c>
      <c r="AK252" s="82">
        <v>3.10311</v>
      </c>
      <c r="AL252" s="162">
        <v>0</v>
      </c>
      <c r="AM252" s="162">
        <v>0</v>
      </c>
      <c r="AN252" s="162">
        <v>0</v>
      </c>
      <c r="AO252" s="162">
        <v>0.62485016312631636</v>
      </c>
      <c r="AP252" s="162">
        <v>0</v>
      </c>
      <c r="AQ252" s="162">
        <v>0</v>
      </c>
      <c r="AR252" s="710" t="str">
        <v>14513.par</v>
      </c>
      <c r="AV252" s="82" t="str">
        <v>0,204,0</v>
      </c>
      <c r="AW252" s="947">
        <v>-10</v>
      </c>
      <c r="AX252" s="947">
        <v>-10.624850163126316</v>
      </c>
      <c r="AY252" s="947">
        <v>0.62485016312631636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70"/>
      <c r="N253" s="941"/>
      <c r="O253" s="942"/>
      <c r="Q253" s="162" t="str">
        <f t="shared" si="1078"/>
        <v/>
      </c>
      <c r="R253" s="162" t="str">
        <f t="shared" si="1079"/>
        <v/>
      </c>
      <c r="S253" s="162" t="str">
        <f t="shared" si="1080"/>
        <v/>
      </c>
      <c r="T253" s="162" t="str">
        <f t="shared" si="1081"/>
        <v/>
      </c>
      <c r="U253" s="162" t="str">
        <f t="shared" si="1082"/>
        <v/>
      </c>
      <c r="V253" s="162" t="str">
        <f t="shared" si="1083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4"/>
        <v/>
      </c>
      <c r="Y253" s="75"/>
      <c r="Z253" s="917" t="str">
        <f t="shared" si="1085"/>
        <v/>
      </c>
      <c r="AA253" s="82"/>
      <c r="AB253" s="75"/>
      <c r="AC253" s="75"/>
      <c r="AD253" s="166"/>
      <c r="AE253" s="75">
        <v>2.23</v>
      </c>
      <c r="AF253" s="82">
        <v>2</v>
      </c>
      <c r="AG253" s="82">
        <v>2</v>
      </c>
      <c r="AH253" s="82">
        <v>2</v>
      </c>
      <c r="AI253" s="82">
        <v>0.99999999998544808</v>
      </c>
      <c r="AJ253" s="166">
        <v>2.23021</v>
      </c>
      <c r="AK253" s="82">
        <v>2.2301099999999998</v>
      </c>
      <c r="AL253" s="162">
        <v>0</v>
      </c>
      <c r="AM253" s="162">
        <v>0</v>
      </c>
      <c r="AN253" s="162">
        <v>0</v>
      </c>
      <c r="AO253" s="162">
        <v>1.2272479821717752E-5</v>
      </c>
      <c r="AP253" s="162">
        <v>0</v>
      </c>
      <c r="AQ253" s="162">
        <v>0</v>
      </c>
      <c r="AR253" s="710" t="str">
        <v>32193r1.par</v>
      </c>
      <c r="AV253" s="82" t="str">
        <v>255,255,91</v>
      </c>
      <c r="AW253" s="947">
        <v>85</v>
      </c>
      <c r="AX253" s="947">
        <v>84.999987727520178</v>
      </c>
      <c r="AY253" s="947">
        <v>1.2272479821717752E-5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0"/>
      <c r="N254" s="941"/>
      <c r="O254" s="942"/>
      <c r="Q254" s="162" t="str">
        <f t="shared" si="1078"/>
        <v/>
      </c>
      <c r="R254" s="162" t="str">
        <f t="shared" si="1079"/>
        <v/>
      </c>
      <c r="S254" s="162" t="str">
        <f t="shared" si="1080"/>
        <v/>
      </c>
      <c r="T254" s="162" t="str">
        <f t="shared" si="1081"/>
        <v/>
      </c>
      <c r="U254" s="162" t="str">
        <f t="shared" si="1082"/>
        <v/>
      </c>
      <c r="V254" s="162" t="str">
        <f t="shared" si="1083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4"/>
        <v/>
      </c>
      <c r="Y254" s="75"/>
      <c r="Z254" s="917" t="str">
        <f t="shared" si="1085"/>
        <v/>
      </c>
      <c r="AA254" s="82"/>
      <c r="AB254" s="75"/>
      <c r="AC254" s="75"/>
      <c r="AD254" s="166"/>
      <c r="AE254" s="75">
        <v>2.2250000000000001</v>
      </c>
      <c r="AF254" s="82">
        <v>2</v>
      </c>
      <c r="AG254" s="82">
        <v>2</v>
      </c>
      <c r="AH254" s="82">
        <v>2</v>
      </c>
      <c r="AI254" s="82">
        <v>1.0000000000218279</v>
      </c>
      <c r="AJ254" s="166">
        <v>2.2252100000000001</v>
      </c>
      <c r="AK254" s="82">
        <v>2.2251099999999999</v>
      </c>
      <c r="AL254" s="162">
        <v>0</v>
      </c>
      <c r="AM254" s="162">
        <v>0</v>
      </c>
      <c r="AN254" s="162">
        <v>0</v>
      </c>
      <c r="AO254" s="162">
        <v>1.1982271743704587E-5</v>
      </c>
      <c r="AP254" s="162">
        <v>0</v>
      </c>
      <c r="AQ254" s="162">
        <v>0</v>
      </c>
      <c r="AR254" s="710" t="str">
        <v>32193r1.par</v>
      </c>
      <c r="AV254" s="82" t="str">
        <v>255,255,91</v>
      </c>
      <c r="AW254" s="947">
        <v>82.990000000000009</v>
      </c>
      <c r="AX254" s="947">
        <v>82.989988017728265</v>
      </c>
      <c r="AY254" s="947">
        <v>1.1982271743704587E-5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0"/>
      <c r="N255" s="941"/>
      <c r="O255" s="942"/>
      <c r="Q255" s="162" t="str">
        <f t="shared" si="1078"/>
        <v/>
      </c>
      <c r="R255" s="162" t="str">
        <f t="shared" si="1079"/>
        <v/>
      </c>
      <c r="S255" s="162" t="str">
        <f t="shared" si="1080"/>
        <v/>
      </c>
      <c r="T255" s="162" t="str">
        <f t="shared" si="1081"/>
        <v/>
      </c>
      <c r="U255" s="162" t="str">
        <f t="shared" si="1082"/>
        <v/>
      </c>
      <c r="V255" s="162" t="str">
        <f t="shared" si="1083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4"/>
        <v/>
      </c>
      <c r="Y255" s="75"/>
      <c r="Z255" s="917" t="str">
        <f t="shared" si="1085"/>
        <v/>
      </c>
      <c r="AA255" s="82"/>
      <c r="AB255" s="75"/>
      <c r="AC255" s="75"/>
      <c r="AD255" s="166"/>
      <c r="AE255" s="75">
        <v>2.2200000000000002</v>
      </c>
      <c r="AF255" s="82">
        <v>2</v>
      </c>
      <c r="AG255" s="82">
        <v>2</v>
      </c>
      <c r="AH255" s="82">
        <v>2</v>
      </c>
      <c r="AI255" s="82">
        <v>1.0000000000218279</v>
      </c>
      <c r="AJ255" s="166">
        <v>2.2202100000000002</v>
      </c>
      <c r="AK255" s="82">
        <v>2.22011</v>
      </c>
      <c r="AL255" s="162">
        <v>0</v>
      </c>
      <c r="AM255" s="162">
        <v>0</v>
      </c>
      <c r="AN255" s="162">
        <v>0</v>
      </c>
      <c r="AO255" s="162">
        <v>0.99418862048218415</v>
      </c>
      <c r="AP255" s="162">
        <v>0</v>
      </c>
      <c r="AQ255" s="162">
        <v>0</v>
      </c>
      <c r="AR255" s="710" t="str">
        <v>1313.par</v>
      </c>
      <c r="AV255" s="82" t="str">
        <v>255,255,91</v>
      </c>
      <c r="AW255" s="947">
        <v>55.699999999999989</v>
      </c>
      <c r="AX255" s="947">
        <v>54.705811379517804</v>
      </c>
      <c r="AY255" s="947">
        <v>0.99418862048218415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0"/>
      <c r="N256" s="941"/>
      <c r="O256" s="942"/>
      <c r="Q256" s="162" t="str">
        <f t="shared" si="1078"/>
        <v/>
      </c>
      <c r="R256" s="162" t="str">
        <f t="shared" si="1079"/>
        <v/>
      </c>
      <c r="S256" s="162" t="str">
        <f t="shared" si="1080"/>
        <v/>
      </c>
      <c r="T256" s="162" t="str">
        <f t="shared" si="1081"/>
        <v/>
      </c>
      <c r="U256" s="162" t="str">
        <f t="shared" si="1082"/>
        <v/>
      </c>
      <c r="V256" s="162" t="str">
        <f t="shared" si="1083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4"/>
        <v/>
      </c>
      <c r="Y256" s="75"/>
      <c r="Z256" s="917" t="str">
        <f t="shared" si="1085"/>
        <v/>
      </c>
      <c r="AA256" s="82"/>
      <c r="AB256" s="75"/>
      <c r="AC256" s="75"/>
      <c r="AD256" s="166"/>
      <c r="AE256" s="75">
        <v>2.2149999999999999</v>
      </c>
      <c r="AF256" s="82">
        <v>2</v>
      </c>
      <c r="AG256" s="82">
        <v>2</v>
      </c>
      <c r="AH256" s="82">
        <v>2</v>
      </c>
      <c r="AI256" s="82">
        <v>0.99999999998544808</v>
      </c>
      <c r="AJ256" s="166">
        <v>2.2152099999999999</v>
      </c>
      <c r="AK256" s="82">
        <v>2.2151099999999997</v>
      </c>
      <c r="AL256" s="162">
        <v>0</v>
      </c>
      <c r="AM256" s="162">
        <v>0</v>
      </c>
      <c r="AN256" s="162">
        <v>0</v>
      </c>
      <c r="AO256" s="162">
        <v>-0.42734636051760333</v>
      </c>
      <c r="AP256" s="162">
        <v>0</v>
      </c>
      <c r="AQ256" s="162">
        <v>0</v>
      </c>
      <c r="AR256" s="710" t="str">
        <v>1313.par</v>
      </c>
      <c r="AV256" s="82" t="str">
        <v>255,255,91</v>
      </c>
      <c r="AW256" s="947">
        <v>28.92</v>
      </c>
      <c r="AX256" s="947">
        <v>29.347346360517605</v>
      </c>
      <c r="AY256" s="947">
        <v>-0.42734636051760333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0"/>
      <c r="N257" s="941"/>
      <c r="O257" s="942"/>
      <c r="Q257" s="162" t="str">
        <f t="shared" si="1078"/>
        <v/>
      </c>
      <c r="R257" s="162" t="str">
        <f t="shared" si="1079"/>
        <v/>
      </c>
      <c r="S257" s="162" t="str">
        <f t="shared" si="1080"/>
        <v/>
      </c>
      <c r="T257" s="162" t="str">
        <f t="shared" si="1081"/>
        <v/>
      </c>
      <c r="U257" s="162" t="str">
        <f t="shared" si="1082"/>
        <v/>
      </c>
      <c r="V257" s="162" t="str">
        <f t="shared" si="1083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4"/>
        <v/>
      </c>
      <c r="Y257" s="75"/>
      <c r="Z257" s="917" t="str">
        <f t="shared" si="1085"/>
        <v/>
      </c>
      <c r="AA257" s="82"/>
      <c r="AB257" s="75"/>
      <c r="AC257" s="75"/>
      <c r="AD257" s="166"/>
      <c r="AE257" s="75">
        <v>2.13</v>
      </c>
      <c r="AF257" s="82">
        <v>2</v>
      </c>
      <c r="AG257" s="82">
        <v>1</v>
      </c>
      <c r="AH257" s="82">
        <v>2</v>
      </c>
      <c r="AI257" s="82">
        <v>0.99999999998544808</v>
      </c>
      <c r="AJ257" s="166">
        <v>2.1302099999999999</v>
      </c>
      <c r="AK257" s="82">
        <v>2.1301099999999997</v>
      </c>
      <c r="AL257" s="162">
        <v>0</v>
      </c>
      <c r="AM257" s="162">
        <v>0</v>
      </c>
      <c r="AN257" s="162">
        <v>0</v>
      </c>
      <c r="AO257" s="162">
        <v>4.0825451099934185E-2</v>
      </c>
      <c r="AP257" s="162">
        <v>0</v>
      </c>
      <c r="AQ257" s="162">
        <v>0</v>
      </c>
      <c r="AR257" s="710" t="str">
        <v>14513.par</v>
      </c>
      <c r="AV257" s="82" t="str">
        <v>204,204,0</v>
      </c>
      <c r="AW257" s="947">
        <v>85</v>
      </c>
      <c r="AX257" s="947">
        <v>84.959174548900066</v>
      </c>
      <c r="AY257" s="947">
        <v>4.0825451099934185E-2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0"/>
      <c r="N258" s="941"/>
      <c r="O258" s="942"/>
      <c r="Q258" s="162" t="str">
        <f t="shared" si="1078"/>
        <v/>
      </c>
      <c r="R258" s="162" t="str">
        <f t="shared" si="1079"/>
        <v/>
      </c>
      <c r="S258" s="162" t="str">
        <f t="shared" si="1080"/>
        <v/>
      </c>
      <c r="T258" s="162" t="str">
        <f t="shared" si="1081"/>
        <v/>
      </c>
      <c r="U258" s="162" t="str">
        <f t="shared" si="1082"/>
        <v/>
      </c>
      <c r="V258" s="162" t="str">
        <f t="shared" si="1083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4"/>
        <v/>
      </c>
      <c r="Y258" s="75"/>
      <c r="Z258" s="917" t="str">
        <f t="shared" si="1085"/>
        <v/>
      </c>
      <c r="AA258" s="82"/>
      <c r="AB258" s="75"/>
      <c r="AC258" s="75"/>
      <c r="AD258" s="166"/>
      <c r="AE258" s="75">
        <v>2.125</v>
      </c>
      <c r="AF258" s="82">
        <v>2</v>
      </c>
      <c r="AG258" s="82">
        <v>1</v>
      </c>
      <c r="AH258" s="82">
        <v>2</v>
      </c>
      <c r="AI258" s="82">
        <v>1.0000000000218279</v>
      </c>
      <c r="AJ258" s="166">
        <v>2.12521</v>
      </c>
      <c r="AK258" s="82">
        <v>2.1251099999999998</v>
      </c>
      <c r="AL258" s="162">
        <v>0</v>
      </c>
      <c r="AM258" s="162">
        <v>0</v>
      </c>
      <c r="AN258" s="162">
        <v>0</v>
      </c>
      <c r="AO258" s="162">
        <v>3.0763442627137891</v>
      </c>
      <c r="AP258" s="162">
        <v>0</v>
      </c>
      <c r="AQ258" s="162">
        <v>0</v>
      </c>
      <c r="AR258" s="710" t="str">
        <v>14513.par</v>
      </c>
      <c r="AV258" s="82" t="str">
        <v>204,204,0</v>
      </c>
      <c r="AW258" s="947">
        <v>82.990000000000009</v>
      </c>
      <c r="AX258" s="947">
        <v>79.91365573728622</v>
      </c>
      <c r="AY258" s="947">
        <v>3.0763442627137891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0"/>
      <c r="N259" s="941"/>
      <c r="O259" s="942"/>
      <c r="Q259" s="162" t="str">
        <f t="shared" si="1078"/>
        <v/>
      </c>
      <c r="R259" s="162" t="str">
        <f t="shared" si="1079"/>
        <v/>
      </c>
      <c r="S259" s="162" t="str">
        <f t="shared" si="1080"/>
        <v/>
      </c>
      <c r="T259" s="162" t="str">
        <f t="shared" si="1081"/>
        <v/>
      </c>
      <c r="U259" s="162" t="str">
        <f t="shared" si="1082"/>
        <v/>
      </c>
      <c r="V259" s="162" t="str">
        <f t="shared" si="1083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4"/>
        <v/>
      </c>
      <c r="Y259" s="75"/>
      <c r="Z259" s="917" t="str">
        <f t="shared" si="1085"/>
        <v/>
      </c>
      <c r="AA259" s="82"/>
      <c r="AB259" s="75"/>
      <c r="AC259" s="75"/>
      <c r="AD259" s="166"/>
      <c r="AE259" s="75">
        <v>2.12</v>
      </c>
      <c r="AF259" s="82">
        <v>2</v>
      </c>
      <c r="AG259" s="82">
        <v>1</v>
      </c>
      <c r="AH259" s="82">
        <v>2</v>
      </c>
      <c r="AI259" s="82">
        <v>1.0000000000218279</v>
      </c>
      <c r="AJ259" s="166">
        <v>2.1202100000000002</v>
      </c>
      <c r="AK259" s="82">
        <v>2.1201099999999999</v>
      </c>
      <c r="AL259" s="162">
        <v>0</v>
      </c>
      <c r="AM259" s="162">
        <v>0</v>
      </c>
      <c r="AN259" s="162">
        <v>0</v>
      </c>
      <c r="AO259" s="162">
        <v>1.0831730688730445</v>
      </c>
      <c r="AP259" s="162">
        <v>0</v>
      </c>
      <c r="AQ259" s="162">
        <v>0</v>
      </c>
      <c r="AR259" s="710" t="str">
        <v>14513.par</v>
      </c>
      <c r="AV259" s="82" t="str">
        <v>204,204,0</v>
      </c>
      <c r="AW259" s="947">
        <v>55.699999999999989</v>
      </c>
      <c r="AX259" s="947">
        <v>54.616826931126944</v>
      </c>
      <c r="AY259" s="947">
        <v>1.0831730688730445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0"/>
      <c r="N260" s="941"/>
      <c r="O260" s="942"/>
      <c r="Q260" s="162" t="str">
        <f t="shared" si="1078"/>
        <v/>
      </c>
      <c r="R260" s="162" t="str">
        <f t="shared" si="1079"/>
        <v/>
      </c>
      <c r="S260" s="162" t="str">
        <f t="shared" si="1080"/>
        <v/>
      </c>
      <c r="T260" s="162" t="str">
        <f t="shared" si="1081"/>
        <v/>
      </c>
      <c r="U260" s="162" t="str">
        <f t="shared" si="1082"/>
        <v/>
      </c>
      <c r="V260" s="162" t="str">
        <f t="shared" si="1083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4"/>
        <v/>
      </c>
      <c r="Y260" s="75"/>
      <c r="Z260" s="917" t="str">
        <f t="shared" si="1085"/>
        <v/>
      </c>
      <c r="AA260" s="82"/>
      <c r="AB260" s="75"/>
      <c r="AC260" s="75"/>
      <c r="AD260" s="166"/>
      <c r="AE260" s="75">
        <v>2.1150000000000002</v>
      </c>
      <c r="AF260" s="82">
        <v>2</v>
      </c>
      <c r="AG260" s="82">
        <v>1</v>
      </c>
      <c r="AH260" s="82">
        <v>2</v>
      </c>
      <c r="AI260" s="82">
        <v>1.0000000000218279</v>
      </c>
      <c r="AJ260" s="166">
        <v>2.1152100000000003</v>
      </c>
      <c r="AK260" s="82">
        <v>2.11511</v>
      </c>
      <c r="AL260" s="162">
        <v>0</v>
      </c>
      <c r="AM260" s="162">
        <v>0</v>
      </c>
      <c r="AN260" s="162">
        <v>0</v>
      </c>
      <c r="AO260" s="162">
        <v>-0.21184769798292891</v>
      </c>
      <c r="AP260" s="162">
        <v>0</v>
      </c>
      <c r="AQ260" s="162">
        <v>0</v>
      </c>
      <c r="AR260" s="710" t="str">
        <v>14513.par</v>
      </c>
      <c r="AV260" s="82" t="str">
        <v>204,204,0</v>
      </c>
      <c r="AW260" s="947">
        <v>28.92</v>
      </c>
      <c r="AX260" s="947">
        <v>29.131847697982931</v>
      </c>
      <c r="AY260" s="947">
        <v>-0.21184769798292891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0"/>
      <c r="N261" s="941"/>
      <c r="O261" s="942"/>
      <c r="Q261" s="162" t="str">
        <f t="shared" si="1078"/>
        <v/>
      </c>
      <c r="R261" s="162" t="str">
        <f t="shared" si="1079"/>
        <v/>
      </c>
      <c r="S261" s="162" t="str">
        <f t="shared" si="1080"/>
        <v/>
      </c>
      <c r="T261" s="162" t="str">
        <f t="shared" si="1081"/>
        <v/>
      </c>
      <c r="U261" s="162" t="str">
        <f t="shared" si="1082"/>
        <v/>
      </c>
      <c r="V261" s="162" t="str">
        <f t="shared" si="1083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4"/>
        <v/>
      </c>
      <c r="Y261" s="75"/>
      <c r="Z261" s="917" t="str">
        <f t="shared" si="1085"/>
        <v/>
      </c>
      <c r="AA261" s="82"/>
      <c r="AB261" s="75"/>
      <c r="AC261" s="75"/>
      <c r="AD261" s="166"/>
      <c r="AE261" s="75">
        <v>2.11</v>
      </c>
      <c r="AF261" s="82">
        <v>2</v>
      </c>
      <c r="AG261" s="82">
        <v>1</v>
      </c>
      <c r="AH261" s="82">
        <v>2</v>
      </c>
      <c r="AI261" s="82">
        <v>0.99999999998544808</v>
      </c>
      <c r="AJ261" s="166">
        <v>2.1102099999999999</v>
      </c>
      <c r="AK261" s="82">
        <v>2.1101099999999997</v>
      </c>
      <c r="AL261" s="162">
        <v>0</v>
      </c>
      <c r="AM261" s="162">
        <v>0</v>
      </c>
      <c r="AN261" s="162">
        <v>0</v>
      </c>
      <c r="AO261" s="162">
        <v>-0.72569489976195412</v>
      </c>
      <c r="AP261" s="162">
        <v>0</v>
      </c>
      <c r="AQ261" s="162">
        <v>0</v>
      </c>
      <c r="AR261" s="710" t="str">
        <v>14513.par</v>
      </c>
      <c r="AV261" s="82" t="str">
        <v>204,204,0</v>
      </c>
      <c r="AW261" s="947">
        <v>2.5600000000000023</v>
      </c>
      <c r="AX261" s="947">
        <v>3.2856948997619564</v>
      </c>
      <c r="AY261" s="947">
        <v>-0.72569489976195412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0"/>
      <c r="N262" s="941"/>
      <c r="O262" s="942"/>
      <c r="Q262" s="162" t="str">
        <f t="shared" si="1078"/>
        <v/>
      </c>
      <c r="R262" s="162" t="str">
        <f t="shared" si="1079"/>
        <v/>
      </c>
      <c r="S262" s="162" t="str">
        <f t="shared" si="1080"/>
        <v/>
      </c>
      <c r="T262" s="162" t="str">
        <f t="shared" si="1081"/>
        <v/>
      </c>
      <c r="U262" s="162" t="str">
        <f t="shared" si="1082"/>
        <v/>
      </c>
      <c r="V262" s="162" t="str">
        <f t="shared" si="1083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4"/>
        <v/>
      </c>
      <c r="Y262" s="75"/>
      <c r="Z262" s="917" t="str">
        <f t="shared" si="1085"/>
        <v/>
      </c>
      <c r="AA262" s="82"/>
      <c r="AB262" s="75"/>
      <c r="AC262" s="75"/>
      <c r="AD262" s="166"/>
      <c r="AE262" s="75">
        <v>1.2310000000000001</v>
      </c>
      <c r="AF262" s="82">
        <v>1</v>
      </c>
      <c r="AG262" s="82">
        <v>2</v>
      </c>
      <c r="AH262" s="82">
        <v>2</v>
      </c>
      <c r="AI262" s="82">
        <v>1.0000000000218279</v>
      </c>
      <c r="AJ262" s="166">
        <v>1.2312100000000001</v>
      </c>
      <c r="AK262" s="82">
        <v>1.2311100000000001</v>
      </c>
      <c r="AL262" s="162">
        <v>0</v>
      </c>
      <c r="AM262" s="162">
        <v>0</v>
      </c>
      <c r="AN262" s="162">
        <v>0</v>
      </c>
      <c r="AO262" s="162">
        <v>1.2272479821717752E-5</v>
      </c>
      <c r="AP262" s="162">
        <v>0</v>
      </c>
      <c r="AQ262" s="162">
        <v>0</v>
      </c>
      <c r="AR262" s="710" t="str">
        <v>32193r1.par</v>
      </c>
      <c r="AV262" s="82" t="str">
        <v>255,188,121</v>
      </c>
      <c r="AW262" s="947">
        <v>85</v>
      </c>
      <c r="AX262" s="947">
        <v>84.999987727520178</v>
      </c>
      <c r="AY262" s="947">
        <v>1.2272479821717752E-5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0"/>
      <c r="N263" s="941"/>
      <c r="O263" s="942"/>
      <c r="Q263" s="162" t="str">
        <f t="shared" si="1078"/>
        <v/>
      </c>
      <c r="R263" s="162" t="str">
        <f t="shared" si="1079"/>
        <v/>
      </c>
      <c r="S263" s="162" t="str">
        <f t="shared" si="1080"/>
        <v/>
      </c>
      <c r="T263" s="162" t="str">
        <f t="shared" si="1081"/>
        <v/>
      </c>
      <c r="U263" s="162" t="str">
        <f t="shared" si="1082"/>
        <v/>
      </c>
      <c r="V263" s="162" t="str">
        <f t="shared" si="1083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4"/>
        <v/>
      </c>
      <c r="Y263" s="75"/>
      <c r="Z263" s="917" t="str">
        <f t="shared" si="1085"/>
        <v/>
      </c>
      <c r="AA263" s="82"/>
      <c r="AB263" s="75"/>
      <c r="AC263" s="75"/>
      <c r="AD263" s="166"/>
      <c r="AE263" s="75">
        <v>1.226</v>
      </c>
      <c r="AF263" s="82">
        <v>1</v>
      </c>
      <c r="AG263" s="82">
        <v>2</v>
      </c>
      <c r="AH263" s="82">
        <v>2</v>
      </c>
      <c r="AI263" s="82">
        <v>1.000000000003638</v>
      </c>
      <c r="AJ263" s="166">
        <v>1.22621</v>
      </c>
      <c r="AK263" s="82">
        <v>1.22611</v>
      </c>
      <c r="AL263" s="162">
        <v>0</v>
      </c>
      <c r="AM263" s="162">
        <v>0</v>
      </c>
      <c r="AN263" s="162">
        <v>0</v>
      </c>
      <c r="AO263" s="162">
        <v>1.2272479807506897E-5</v>
      </c>
      <c r="AP263" s="162">
        <v>0</v>
      </c>
      <c r="AQ263" s="162">
        <v>0</v>
      </c>
      <c r="AR263" s="710" t="str">
        <v>32193r1.par</v>
      </c>
      <c r="AV263" s="82" t="str">
        <v>255,188,121</v>
      </c>
      <c r="AW263" s="947">
        <v>85</v>
      </c>
      <c r="AX263" s="947">
        <v>84.999987727520192</v>
      </c>
      <c r="AY263" s="947">
        <v>1.2272479807506897E-5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0"/>
      <c r="N264" s="941"/>
      <c r="O264" s="942"/>
      <c r="Q264" s="162" t="str">
        <f t="shared" si="1078"/>
        <v/>
      </c>
      <c r="R264" s="162" t="str">
        <f t="shared" si="1079"/>
        <v/>
      </c>
      <c r="S264" s="162" t="str">
        <f t="shared" si="1080"/>
        <v/>
      </c>
      <c r="T264" s="162" t="str">
        <f t="shared" si="1081"/>
        <v/>
      </c>
      <c r="U264" s="162" t="str">
        <f t="shared" si="1082"/>
        <v/>
      </c>
      <c r="V264" s="162" t="str">
        <f t="shared" si="1083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4"/>
        <v/>
      </c>
      <c r="Y264" s="75"/>
      <c r="Z264" s="917" t="str">
        <f t="shared" si="1085"/>
        <v/>
      </c>
      <c r="AA264" s="82"/>
      <c r="AB264" s="75"/>
      <c r="AC264" s="75"/>
      <c r="AD264" s="166"/>
      <c r="AE264" s="75">
        <v>1.2210000000000001</v>
      </c>
      <c r="AF264" s="82">
        <v>1</v>
      </c>
      <c r="AG264" s="82">
        <v>2</v>
      </c>
      <c r="AH264" s="82">
        <v>2</v>
      </c>
      <c r="AI264" s="82">
        <v>1.0000000000218279</v>
      </c>
      <c r="AJ264" s="166">
        <v>1.2212100000000001</v>
      </c>
      <c r="AK264" s="82">
        <v>1.2211100000000001</v>
      </c>
      <c r="AL264" s="162">
        <v>0</v>
      </c>
      <c r="AM264" s="162">
        <v>0</v>
      </c>
      <c r="AN264" s="162">
        <v>0</v>
      </c>
      <c r="AO264" s="162">
        <v>1.3704430025938024</v>
      </c>
      <c r="AP264" s="162">
        <v>0</v>
      </c>
      <c r="AQ264" s="162">
        <v>0</v>
      </c>
      <c r="AR264" s="710" t="str">
        <v>1313.par</v>
      </c>
      <c r="AV264" s="82" t="str">
        <v>255,188,121</v>
      </c>
      <c r="AW264" s="947">
        <v>61.129999999999995</v>
      </c>
      <c r="AX264" s="947">
        <v>59.759556997406193</v>
      </c>
      <c r="AY264" s="947">
        <v>1.3704430025938024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0"/>
      <c r="N265" s="941"/>
      <c r="O265" s="942"/>
      <c r="Q265" s="162" t="str">
        <f t="shared" si="1078"/>
        <v/>
      </c>
      <c r="R265" s="162" t="str">
        <f t="shared" si="1079"/>
        <v/>
      </c>
      <c r="S265" s="162" t="str">
        <f t="shared" si="1080"/>
        <v/>
      </c>
      <c r="T265" s="162" t="str">
        <f t="shared" si="1081"/>
        <v/>
      </c>
      <c r="U265" s="162" t="str">
        <f t="shared" si="1082"/>
        <v/>
      </c>
      <c r="V265" s="162" t="str">
        <f t="shared" si="1083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4"/>
        <v/>
      </c>
      <c r="Y265" s="75"/>
      <c r="Z265" s="917" t="str">
        <f t="shared" si="1085"/>
        <v/>
      </c>
      <c r="AA265" s="82"/>
      <c r="AB265" s="75"/>
      <c r="AC265" s="75"/>
      <c r="AD265" s="166"/>
      <c r="AE265" s="75">
        <v>1.216</v>
      </c>
      <c r="AF265" s="82">
        <v>1</v>
      </c>
      <c r="AG265" s="82">
        <v>2</v>
      </c>
      <c r="AH265" s="82">
        <v>2</v>
      </c>
      <c r="AI265" s="82">
        <v>1.000000000003638</v>
      </c>
      <c r="AJ265" s="166">
        <v>1.21621</v>
      </c>
      <c r="AK265" s="82">
        <v>1.21611</v>
      </c>
      <c r="AL265" s="162">
        <v>0</v>
      </c>
      <c r="AM265" s="162">
        <v>0</v>
      </c>
      <c r="AN265" s="162">
        <v>0</v>
      </c>
      <c r="AO265" s="162">
        <v>-0.20342993789448371</v>
      </c>
      <c r="AP265" s="162">
        <v>0</v>
      </c>
      <c r="AQ265" s="162">
        <v>0</v>
      </c>
      <c r="AR265" s="710" t="str">
        <v>1313.par</v>
      </c>
      <c r="AV265" s="82" t="str">
        <v>255,188,121</v>
      </c>
      <c r="AW265" s="947">
        <v>34.230000000000004</v>
      </c>
      <c r="AX265" s="947">
        <v>34.433429937894488</v>
      </c>
      <c r="AY265" s="947">
        <v>-0.20342993789448371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0"/>
      <c r="N266" s="941"/>
      <c r="O266" s="942"/>
      <c r="Q266" s="162" t="str">
        <f t="shared" si="1078"/>
        <v/>
      </c>
      <c r="R266" s="162" t="str">
        <f t="shared" si="1079"/>
        <v/>
      </c>
      <c r="S266" s="162" t="str">
        <f t="shared" si="1080"/>
        <v/>
      </c>
      <c r="T266" s="162" t="str">
        <f t="shared" si="1081"/>
        <v/>
      </c>
      <c r="U266" s="162" t="str">
        <f t="shared" si="1082"/>
        <v/>
      </c>
      <c r="V266" s="162" t="str">
        <f t="shared" si="1083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4"/>
        <v/>
      </c>
      <c r="Y266" s="75"/>
      <c r="Z266" s="917" t="str">
        <f t="shared" si="1085"/>
        <v/>
      </c>
      <c r="AA266" s="82"/>
      <c r="AB266" s="75"/>
      <c r="AC266" s="75"/>
      <c r="AD266" s="166"/>
      <c r="AE266" s="75">
        <v>1.2110000000000001</v>
      </c>
      <c r="AF266" s="82">
        <v>1</v>
      </c>
      <c r="AG266" s="82">
        <v>2</v>
      </c>
      <c r="AH266" s="82">
        <v>2</v>
      </c>
      <c r="AI266" s="82">
        <v>1.000000000003638</v>
      </c>
      <c r="AJ266" s="166">
        <v>1.2112100000000001</v>
      </c>
      <c r="AK266" s="82">
        <v>1.2111100000000001</v>
      </c>
      <c r="AL266" s="162">
        <v>0</v>
      </c>
      <c r="AM266" s="162">
        <v>0</v>
      </c>
      <c r="AN266" s="162">
        <v>0</v>
      </c>
      <c r="AO266" s="162">
        <v>-1.0817554788769481</v>
      </c>
      <c r="AP266" s="162">
        <v>0</v>
      </c>
      <c r="AQ266" s="162">
        <v>0</v>
      </c>
      <c r="AR266" s="710" t="str">
        <v>1313.par</v>
      </c>
      <c r="AV266" s="82" t="str">
        <v>255,188,121</v>
      </c>
      <c r="AW266" s="947">
        <v>7.8199999999999932</v>
      </c>
      <c r="AX266" s="947">
        <v>8.9017554788769413</v>
      </c>
      <c r="AY266" s="947">
        <v>-1.0817554788769481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0"/>
      <c r="N267" s="941"/>
      <c r="O267" s="942"/>
      <c r="Q267" s="162" t="str">
        <f t="shared" si="1078"/>
        <v/>
      </c>
      <c r="R267" s="162" t="str">
        <f t="shared" si="1079"/>
        <v/>
      </c>
      <c r="S267" s="162" t="str">
        <f t="shared" si="1080"/>
        <v/>
      </c>
      <c r="T267" s="162" t="str">
        <f t="shared" si="1081"/>
        <v/>
      </c>
      <c r="U267" s="162" t="str">
        <f t="shared" si="1082"/>
        <v/>
      </c>
      <c r="V267" s="162" t="str">
        <f t="shared" si="1083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4"/>
        <v/>
      </c>
      <c r="Y267" s="75"/>
      <c r="Z267" s="917" t="str">
        <f t="shared" si="1085"/>
        <v/>
      </c>
      <c r="AA267" s="82"/>
      <c r="AB267" s="75"/>
      <c r="AC267" s="75"/>
      <c r="AD267" s="166"/>
      <c r="AE267" s="75">
        <v>1.2070000000000001</v>
      </c>
      <c r="AF267" s="82">
        <v>1</v>
      </c>
      <c r="AG267" s="82">
        <v>2</v>
      </c>
      <c r="AH267" s="82">
        <v>2</v>
      </c>
      <c r="AI267" s="82">
        <v>1.000000000003638</v>
      </c>
      <c r="AJ267" s="166">
        <v>1.2072100000000001</v>
      </c>
      <c r="AK267" s="82">
        <v>1.2071100000000001</v>
      </c>
      <c r="AL267" s="162">
        <v>0</v>
      </c>
      <c r="AM267" s="162">
        <v>0</v>
      </c>
      <c r="AN267" s="162">
        <v>0</v>
      </c>
      <c r="AO267" s="162">
        <v>-14.000000866292694</v>
      </c>
      <c r="AP267" s="162">
        <v>0</v>
      </c>
      <c r="AQ267" s="162">
        <v>0</v>
      </c>
      <c r="AR267" s="710" t="str">
        <v>32193r1.par</v>
      </c>
      <c r="AV267" s="82" t="str">
        <v>255,188,121</v>
      </c>
      <c r="AW267" s="947">
        <v>-20</v>
      </c>
      <c r="AX267" s="947">
        <v>-5.9999991337073064</v>
      </c>
      <c r="AY267" s="947">
        <v>-14.000000866292694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0"/>
      <c r="N268" s="941"/>
      <c r="O268" s="942"/>
      <c r="Q268" s="162" t="str">
        <f t="shared" si="1078"/>
        <v/>
      </c>
      <c r="R268" s="162" t="str">
        <f t="shared" si="1079"/>
        <v/>
      </c>
      <c r="S268" s="162" t="str">
        <f t="shared" si="1080"/>
        <v/>
      </c>
      <c r="T268" s="162" t="str">
        <f t="shared" si="1081"/>
        <v/>
      </c>
      <c r="U268" s="162" t="str">
        <f t="shared" si="1082"/>
        <v/>
      </c>
      <c r="V268" s="162" t="str">
        <f t="shared" si="1083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4"/>
        <v/>
      </c>
      <c r="Y268" s="75"/>
      <c r="Z268" s="917" t="str">
        <f t="shared" si="1085"/>
        <v/>
      </c>
      <c r="AA268" s="82"/>
      <c r="AB268" s="75"/>
      <c r="AC268" s="75"/>
      <c r="AD268" s="166"/>
      <c r="AE268" s="75">
        <v>1.131</v>
      </c>
      <c r="AF268" s="82">
        <v>1</v>
      </c>
      <c r="AG268" s="82">
        <v>1</v>
      </c>
      <c r="AH268" s="82">
        <v>2</v>
      </c>
      <c r="AI268" s="82">
        <v>1.000000000003638</v>
      </c>
      <c r="AJ268" s="166">
        <v>1.13121</v>
      </c>
      <c r="AK268" s="82">
        <v>1.1311100000000001</v>
      </c>
      <c r="AL268" s="162">
        <v>0</v>
      </c>
      <c r="AM268" s="162">
        <v>0</v>
      </c>
      <c r="AN268" s="162">
        <v>0</v>
      </c>
      <c r="AO268" s="162">
        <v>4.0825451099891552E-2</v>
      </c>
      <c r="AP268" s="162">
        <v>0</v>
      </c>
      <c r="AQ268" s="162">
        <v>0</v>
      </c>
      <c r="AR268" s="710" t="str">
        <v>14513.par</v>
      </c>
      <c r="AV268" s="82" t="str">
        <v>255,127,0</v>
      </c>
      <c r="AW268" s="947">
        <v>85</v>
      </c>
      <c r="AX268" s="947">
        <v>84.959174548900108</v>
      </c>
      <c r="AY268" s="947">
        <v>4.0825451099891552E-2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0"/>
      <c r="N269" s="941"/>
      <c r="O269" s="942"/>
      <c r="Q269" s="162" t="str">
        <f t="shared" si="1078"/>
        <v/>
      </c>
      <c r="R269" s="162" t="str">
        <f t="shared" si="1079"/>
        <v/>
      </c>
      <c r="S269" s="162" t="str">
        <f t="shared" si="1080"/>
        <v/>
      </c>
      <c r="T269" s="162" t="str">
        <f t="shared" si="1081"/>
        <v/>
      </c>
      <c r="U269" s="162" t="str">
        <f t="shared" si="1082"/>
        <v/>
      </c>
      <c r="V269" s="162" t="str">
        <f t="shared" si="1083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4"/>
        <v/>
      </c>
      <c r="Y269" s="75"/>
      <c r="Z269" s="917" t="str">
        <f t="shared" si="1085"/>
        <v/>
      </c>
      <c r="AA269" s="82"/>
      <c r="AB269" s="75"/>
      <c r="AC269" s="75"/>
      <c r="AD269" s="166"/>
      <c r="AE269" s="75">
        <v>1.1259999999999999</v>
      </c>
      <c r="AF269" s="82">
        <v>1</v>
      </c>
      <c r="AG269" s="82">
        <v>1</v>
      </c>
      <c r="AH269" s="82">
        <v>2</v>
      </c>
      <c r="AI269" s="82">
        <v>0.99999999998544808</v>
      </c>
      <c r="AJ269" s="166">
        <v>1.1262099999999999</v>
      </c>
      <c r="AK269" s="82">
        <v>1.1261099999999999</v>
      </c>
      <c r="AL269" s="162">
        <v>0</v>
      </c>
      <c r="AM269" s="162">
        <v>0</v>
      </c>
      <c r="AN269" s="162">
        <v>0</v>
      </c>
      <c r="AO269" s="162">
        <v>4.1337703260154512E-2</v>
      </c>
      <c r="AP269" s="162">
        <v>0</v>
      </c>
      <c r="AQ269" s="162">
        <v>0</v>
      </c>
      <c r="AR269" s="710" t="str">
        <v>14513.par</v>
      </c>
      <c r="AV269" s="82" t="str">
        <v>255,127,0</v>
      </c>
      <c r="AW269" s="947">
        <v>85</v>
      </c>
      <c r="AX269" s="947">
        <v>84.958662296739845</v>
      </c>
      <c r="AY269" s="947">
        <v>4.1337703260154512E-2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0"/>
      <c r="N270" s="941"/>
      <c r="O270" s="942"/>
      <c r="Q270" s="162" t="str">
        <f t="shared" si="1078"/>
        <v/>
      </c>
      <c r="R270" s="162" t="str">
        <f t="shared" si="1079"/>
        <v/>
      </c>
      <c r="S270" s="162" t="str">
        <f t="shared" si="1080"/>
        <v/>
      </c>
      <c r="T270" s="162" t="str">
        <f t="shared" si="1081"/>
        <v/>
      </c>
      <c r="U270" s="162" t="str">
        <f t="shared" si="1082"/>
        <v/>
      </c>
      <c r="V270" s="162" t="str">
        <f t="shared" si="1083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4"/>
        <v/>
      </c>
      <c r="Y270" s="75"/>
      <c r="Z270" s="917" t="str">
        <f t="shared" si="1085"/>
        <v/>
      </c>
      <c r="AA270" s="82"/>
      <c r="AB270" s="75"/>
      <c r="AC270" s="75"/>
      <c r="AD270" s="166"/>
      <c r="AE270" s="75">
        <v>1.121</v>
      </c>
      <c r="AF270" s="82">
        <v>1</v>
      </c>
      <c r="AG270" s="82">
        <v>1</v>
      </c>
      <c r="AH270" s="82">
        <v>2</v>
      </c>
      <c r="AI270" s="82">
        <v>1.000000000003638</v>
      </c>
      <c r="AJ270" s="166">
        <v>1.12121</v>
      </c>
      <c r="AK270" s="82">
        <v>1.1211100000000001</v>
      </c>
      <c r="AL270" s="162">
        <v>0</v>
      </c>
      <c r="AM270" s="162">
        <v>0</v>
      </c>
      <c r="AN270" s="162">
        <v>0</v>
      </c>
      <c r="AO270" s="162">
        <v>1.4422992178356182</v>
      </c>
      <c r="AP270" s="162">
        <v>0</v>
      </c>
      <c r="AQ270" s="162">
        <v>0</v>
      </c>
      <c r="AR270" s="710" t="str">
        <v>14513.par</v>
      </c>
      <c r="AV270" s="82" t="str">
        <v>255,127,0</v>
      </c>
      <c r="AW270" s="947">
        <v>61.129999999999995</v>
      </c>
      <c r="AX270" s="947">
        <v>59.687700782164377</v>
      </c>
      <c r="AY270" s="947">
        <v>1.4422992178356182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0"/>
      <c r="N271" s="941"/>
      <c r="O271" s="942"/>
      <c r="Q271" s="162" t="str">
        <f t="shared" si="1078"/>
        <v/>
      </c>
      <c r="R271" s="162" t="str">
        <f t="shared" si="1079"/>
        <v/>
      </c>
      <c r="S271" s="162" t="str">
        <f t="shared" si="1080"/>
        <v/>
      </c>
      <c r="T271" s="162" t="str">
        <f t="shared" si="1081"/>
        <v/>
      </c>
      <c r="U271" s="162" t="str">
        <f t="shared" si="1082"/>
        <v/>
      </c>
      <c r="V271" s="162" t="str">
        <f t="shared" si="1083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4"/>
        <v/>
      </c>
      <c r="Y271" s="75"/>
      <c r="Z271" s="917" t="str">
        <f t="shared" si="1085"/>
        <v/>
      </c>
      <c r="AA271" s="82"/>
      <c r="AB271" s="75"/>
      <c r="AC271" s="75"/>
      <c r="AD271" s="166"/>
      <c r="AE271" s="75">
        <v>1.1160000000000001</v>
      </c>
      <c r="AF271" s="82">
        <v>1</v>
      </c>
      <c r="AG271" s="82">
        <v>1</v>
      </c>
      <c r="AH271" s="82">
        <v>2</v>
      </c>
      <c r="AI271" s="82">
        <v>1.0000000000218279</v>
      </c>
      <c r="AJ271" s="166">
        <v>1.1162100000000001</v>
      </c>
      <c r="AK271" s="82">
        <v>1.1161100000000002</v>
      </c>
      <c r="AL271" s="162">
        <v>0</v>
      </c>
      <c r="AM271" s="162">
        <v>0</v>
      </c>
      <c r="AN271" s="162">
        <v>0</v>
      </c>
      <c r="AO271" s="162">
        <v>-2.0341265000475062E-2</v>
      </c>
      <c r="AP271" s="162">
        <v>0</v>
      </c>
      <c r="AQ271" s="162">
        <v>0</v>
      </c>
      <c r="AR271" s="710" t="str">
        <v>14513.par</v>
      </c>
      <c r="AV271" s="82" t="str">
        <v>255,127,0</v>
      </c>
      <c r="AW271" s="947">
        <v>34.230000000000004</v>
      </c>
      <c r="AX271" s="947">
        <v>34.250341265000479</v>
      </c>
      <c r="AY271" s="947">
        <v>-2.0341265000475062E-2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0"/>
      <c r="N272" s="941"/>
      <c r="O272" s="942"/>
      <c r="Q272" s="162" t="str">
        <f t="shared" si="1078"/>
        <v/>
      </c>
      <c r="R272" s="162" t="str">
        <f t="shared" si="1079"/>
        <v/>
      </c>
      <c r="S272" s="162" t="str">
        <f t="shared" si="1080"/>
        <v/>
      </c>
      <c r="T272" s="162" t="str">
        <f t="shared" si="1081"/>
        <v/>
      </c>
      <c r="U272" s="162" t="str">
        <f t="shared" si="1082"/>
        <v/>
      </c>
      <c r="V272" s="162" t="str">
        <f t="shared" si="1083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4"/>
        <v/>
      </c>
      <c r="Y272" s="75"/>
      <c r="Z272" s="917" t="str">
        <f t="shared" si="1085"/>
        <v/>
      </c>
      <c r="AA272" s="82"/>
      <c r="AB272" s="75"/>
      <c r="AC272" s="75"/>
      <c r="AD272" s="166"/>
      <c r="AE272" s="75">
        <v>1.111</v>
      </c>
      <c r="AF272" s="82">
        <v>1</v>
      </c>
      <c r="AG272" s="82">
        <v>1</v>
      </c>
      <c r="AH272" s="82">
        <v>2</v>
      </c>
      <c r="AI272" s="82">
        <v>1.000000000003638</v>
      </c>
      <c r="AJ272" s="166">
        <v>1.11121</v>
      </c>
      <c r="AK272" s="82">
        <v>1.11111</v>
      </c>
      <c r="AL272" s="162">
        <v>0</v>
      </c>
      <c r="AM272" s="162">
        <v>0</v>
      </c>
      <c r="AN272" s="162">
        <v>0</v>
      </c>
      <c r="AO272" s="162">
        <v>-0.67692801528924562</v>
      </c>
      <c r="AP272" s="162">
        <v>0</v>
      </c>
      <c r="AQ272" s="162">
        <v>0</v>
      </c>
      <c r="AR272" s="710" t="str">
        <v>14513.par</v>
      </c>
      <c r="AV272" s="82" t="str">
        <v>255,127,0</v>
      </c>
      <c r="AW272" s="947">
        <v>7.8199999999999932</v>
      </c>
      <c r="AX272" s="947">
        <v>8.4969280152892388</v>
      </c>
      <c r="AY272" s="947">
        <v>-0.67692801528924562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0"/>
      <c r="N273" s="941"/>
      <c r="O273" s="942"/>
      <c r="Q273" s="162" t="str">
        <f t="shared" si="1078"/>
        <v/>
      </c>
      <c r="R273" s="162" t="str">
        <f t="shared" si="1079"/>
        <v/>
      </c>
      <c r="S273" s="162" t="str">
        <f t="shared" si="1080"/>
        <v/>
      </c>
      <c r="T273" s="162" t="str">
        <f t="shared" si="1081"/>
        <v/>
      </c>
      <c r="U273" s="162" t="str">
        <f t="shared" si="1082"/>
        <v/>
      </c>
      <c r="V273" s="162" t="str">
        <f t="shared" si="1083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4"/>
        <v/>
      </c>
      <c r="Y273" s="75"/>
      <c r="Z273" s="917" t="str">
        <f t="shared" si="1085"/>
        <v/>
      </c>
      <c r="AA273" s="82"/>
      <c r="AB273" s="75"/>
      <c r="AC273" s="75"/>
      <c r="AD273" s="166"/>
      <c r="AE273" s="75">
        <v>1.107</v>
      </c>
      <c r="AF273" s="82">
        <v>1</v>
      </c>
      <c r="AG273" s="82">
        <v>1</v>
      </c>
      <c r="AH273" s="82">
        <v>2</v>
      </c>
      <c r="AI273" s="82">
        <v>1.000000000003638</v>
      </c>
      <c r="AJ273" s="166">
        <v>1.10721</v>
      </c>
      <c r="AK273" s="82">
        <v>1.10711</v>
      </c>
      <c r="AL273" s="162">
        <v>0</v>
      </c>
      <c r="AM273" s="162">
        <v>0</v>
      </c>
      <c r="AN273" s="162">
        <v>0</v>
      </c>
      <c r="AO273" s="162">
        <v>-15.506643042556151</v>
      </c>
      <c r="AP273" s="162">
        <v>0</v>
      </c>
      <c r="AQ273" s="162">
        <v>0</v>
      </c>
      <c r="AR273" s="710" t="str">
        <v>14513.par</v>
      </c>
      <c r="AV273" s="82" t="str">
        <v>255,127,0</v>
      </c>
      <c r="AW273" s="947">
        <v>-20</v>
      </c>
      <c r="AX273" s="947">
        <v>-4.493356957443849</v>
      </c>
      <c r="AY273" s="947">
        <v>-15.506643042556151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0"/>
      <c r="N274" s="941"/>
      <c r="O274" s="942"/>
      <c r="Q274" s="162" t="str">
        <f t="shared" ref="Q274:Q305" si="1087">IFERROR(INDEX(B$164:B$305,MATCH($Y274,$J$164:$J$305,0)),"")</f>
        <v/>
      </c>
      <c r="R274" s="162" t="str">
        <f t="shared" ref="R274:R305" si="1088">IFERROR(INDEX(C$164:C$305,MATCH($Y274,$J$164:$J$305,0)),"")</f>
        <v/>
      </c>
      <c r="S274" s="162" t="str">
        <f t="shared" ref="S274:S305" si="1089">IFERROR(INDEX(D$164:D$305,MATCH($Y274,$J$164:$J$305,0)),"")</f>
        <v/>
      </c>
      <c r="T274" s="162" t="str">
        <f t="shared" ref="T274:T305" si="1090">IFERROR(IF($N274="Y",-1*INDEX(E$164:E$305,MATCH($Y274,$J$164:$J$305,0)),INDEX(E$164:E$305,MATCH($Y274,$J$164:$J$305,0))),"")</f>
        <v/>
      </c>
      <c r="U274" s="162" t="str">
        <f t="shared" ref="U274:U305" si="1091">IFERROR(IF($N274="Y",-1*INDEX(F$164:F$305,MATCH($Y274,$J$164:$J$305,0)),INDEX(F$164:F$305,MATCH($Y274,$J$164:$J$305,0))),"")</f>
        <v/>
      </c>
      <c r="V274" s="162" t="str">
        <f t="shared" ref="V274:V305" si="1092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3">IFERROR(INDEX(I$164:I$305,MATCH($Y274,$J$164:$J$305,0)),"")</f>
        <v/>
      </c>
      <c r="Y274" s="75"/>
      <c r="Z274" s="917" t="str">
        <f t="shared" ref="Z274:Z305" si="1094">IFERROR(INDEX(K$164:K$305,MATCH($Y274,$J$164:$J$305,0)),"")</f>
        <v/>
      </c>
      <c r="AA274" s="82"/>
      <c r="AB274" s="75"/>
      <c r="AC274" s="75"/>
      <c r="AD274" s="166"/>
      <c r="AE274" s="75">
        <v>1.1040000000000001</v>
      </c>
      <c r="AF274" s="82">
        <v>1</v>
      </c>
      <c r="AG274" s="82">
        <v>1</v>
      </c>
      <c r="AH274" s="82">
        <v>2</v>
      </c>
      <c r="AI274" s="82">
        <v>1.0000000000218279</v>
      </c>
      <c r="AJ274" s="166">
        <v>1.1042100000000001</v>
      </c>
      <c r="AK274" s="82">
        <v>1.1041100000000001</v>
      </c>
      <c r="AL274" s="162">
        <v>0</v>
      </c>
      <c r="AM274" s="162">
        <v>0</v>
      </c>
      <c r="AN274" s="162">
        <v>0</v>
      </c>
      <c r="AO274" s="162">
        <v>-1.1432698650641751</v>
      </c>
      <c r="AP274" s="162">
        <v>0</v>
      </c>
      <c r="AQ274" s="162">
        <v>0</v>
      </c>
      <c r="AR274" s="710" t="str">
        <v>14513.par</v>
      </c>
      <c r="AV274" s="82" t="str">
        <v>255,127,0</v>
      </c>
      <c r="AW274" s="947">
        <v>-10</v>
      </c>
      <c r="AX274" s="947">
        <v>-8.8567301349358249</v>
      </c>
      <c r="AY274" s="947">
        <v>-1.1432698650641751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0"/>
      <c r="N275" s="941"/>
      <c r="O275" s="942"/>
      <c r="Q275" s="162" t="str">
        <f t="shared" si="1087"/>
        <v/>
      </c>
      <c r="R275" s="162" t="str">
        <f t="shared" si="1088"/>
        <v/>
      </c>
      <c r="S275" s="162" t="str">
        <f t="shared" si="1089"/>
        <v/>
      </c>
      <c r="T275" s="162" t="str">
        <f t="shared" si="1090"/>
        <v/>
      </c>
      <c r="U275" s="162" t="str">
        <f t="shared" si="1091"/>
        <v/>
      </c>
      <c r="V275" s="162" t="str">
        <f t="shared" si="1092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3"/>
        <v/>
      </c>
      <c r="Y275" s="75"/>
      <c r="Z275" s="917" t="str">
        <f t="shared" si="1094"/>
        <v/>
      </c>
      <c r="AA275" s="82"/>
      <c r="AB275" s="75"/>
      <c r="AC275" s="75"/>
      <c r="AD275" s="166"/>
      <c r="AE275" s="75">
        <v>1.101</v>
      </c>
      <c r="AF275" s="82">
        <v>1</v>
      </c>
      <c r="AG275" s="82">
        <v>1</v>
      </c>
      <c r="AH275" s="82">
        <v>2</v>
      </c>
      <c r="AI275" s="82">
        <v>1.000000000003638</v>
      </c>
      <c r="AJ275" s="166">
        <v>1.10121</v>
      </c>
      <c r="AK275" s="82">
        <v>1.10111</v>
      </c>
      <c r="AL275" s="162">
        <v>0</v>
      </c>
      <c r="AM275" s="162">
        <v>0</v>
      </c>
      <c r="AN275" s="162">
        <v>0</v>
      </c>
      <c r="AO275" s="162">
        <v>5.9660121671471522</v>
      </c>
      <c r="AP275" s="162">
        <v>0</v>
      </c>
      <c r="AQ275" s="162">
        <v>0</v>
      </c>
      <c r="AR275" s="710" t="str">
        <v>14513.par</v>
      </c>
      <c r="AV275" s="82" t="str">
        <v>255,127,0</v>
      </c>
      <c r="AW275" s="947">
        <v>-10</v>
      </c>
      <c r="AX275" s="947">
        <v>-15.966012167147152</v>
      </c>
      <c r="AY275" s="947">
        <v>5.9660121671471522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0"/>
      <c r="N276" s="941"/>
      <c r="O276" s="942"/>
      <c r="Q276" s="162" t="str">
        <f t="shared" si="1087"/>
        <v/>
      </c>
      <c r="R276" s="162" t="str">
        <f t="shared" si="1088"/>
        <v/>
      </c>
      <c r="S276" s="162" t="str">
        <f t="shared" si="1089"/>
        <v/>
      </c>
      <c r="T276" s="162" t="str">
        <f t="shared" si="1090"/>
        <v/>
      </c>
      <c r="U276" s="162" t="str">
        <f t="shared" si="1091"/>
        <v/>
      </c>
      <c r="V276" s="162" t="str">
        <f t="shared" si="1092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3"/>
        <v/>
      </c>
      <c r="Y276" s="75"/>
      <c r="Z276" s="917" t="str">
        <f t="shared" si="1094"/>
        <v/>
      </c>
      <c r="AA276" s="82"/>
      <c r="AB276" s="75"/>
      <c r="AC276" s="75"/>
      <c r="AD276" s="166"/>
      <c r="AE276" s="75">
        <v>5.2320000000000002</v>
      </c>
      <c r="AF276" s="82">
        <v>5</v>
      </c>
      <c r="AG276" s="82">
        <v>2</v>
      </c>
      <c r="AH276" s="82">
        <v>1</v>
      </c>
      <c r="AI276" s="82">
        <v>2.0000000000436557</v>
      </c>
      <c r="AJ276" s="166">
        <v>5.2321200000000001</v>
      </c>
      <c r="AK276" s="82" t="str">
        <v>Base</v>
      </c>
      <c r="AL276" s="162">
        <v>-14.25</v>
      </c>
      <c r="AM276" s="162">
        <v>-3.6674116518398736</v>
      </c>
      <c r="AN276" s="162">
        <v>-2.5710391518947646</v>
      </c>
      <c r="AO276" s="162">
        <v>84.999987727520192</v>
      </c>
      <c r="AP276" s="162">
        <v>0</v>
      </c>
      <c r="AQ276" s="162">
        <v>0</v>
      </c>
      <c r="AR276" s="710" t="str">
        <v>32193r1.par</v>
      </c>
      <c r="AV276" s="82" t="str">
        <v>121,188,255</v>
      </c>
      <c r="AW276" s="947">
        <v>85</v>
      </c>
      <c r="AX276" s="947">
        <v>84.999987727520192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0"/>
      <c r="N277" s="941"/>
      <c r="O277" s="942"/>
      <c r="Q277" s="162" t="str">
        <f t="shared" si="1087"/>
        <v/>
      </c>
      <c r="R277" s="162" t="str">
        <f t="shared" si="1088"/>
        <v/>
      </c>
      <c r="S277" s="162" t="str">
        <f t="shared" si="1089"/>
        <v/>
      </c>
      <c r="T277" s="162" t="str">
        <f t="shared" si="1090"/>
        <v/>
      </c>
      <c r="U277" s="162" t="str">
        <f t="shared" si="1091"/>
        <v/>
      </c>
      <c r="V277" s="162" t="str">
        <f t="shared" si="1092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3"/>
        <v/>
      </c>
      <c r="Y277" s="75"/>
      <c r="Z277" s="917" t="str">
        <f t="shared" si="1094"/>
        <v/>
      </c>
      <c r="AA277" s="82"/>
      <c r="AB277" s="75"/>
      <c r="AC277" s="75"/>
      <c r="AD277" s="166"/>
      <c r="AE277" s="75">
        <v>5.2270000000000003</v>
      </c>
      <c r="AF277" s="82">
        <v>5</v>
      </c>
      <c r="AG277" s="82">
        <v>2</v>
      </c>
      <c r="AH277" s="82">
        <v>1</v>
      </c>
      <c r="AI277" s="82">
        <v>2.0000000000436557</v>
      </c>
      <c r="AJ277" s="166">
        <v>5.2271200000000002</v>
      </c>
      <c r="AK277" s="82" t="str">
        <v>Base</v>
      </c>
      <c r="AL277" s="162">
        <v>-14.25</v>
      </c>
      <c r="AM277" s="162">
        <v>-3.622411516119465</v>
      </c>
      <c r="AN277" s="162">
        <v>-1.8301352406553015</v>
      </c>
      <c r="AO277" s="162">
        <v>84.999987727520192</v>
      </c>
      <c r="AP277" s="162">
        <v>0</v>
      </c>
      <c r="AQ277" s="162">
        <v>0</v>
      </c>
      <c r="AR277" s="710" t="str">
        <v>32193r1.par</v>
      </c>
      <c r="AV277" s="82" t="str">
        <v>121,188,255</v>
      </c>
      <c r="AW277" s="947">
        <v>85</v>
      </c>
      <c r="AX277" s="947">
        <v>84.999987727520192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0"/>
      <c r="N278" s="941"/>
      <c r="O278" s="942"/>
      <c r="Q278" s="162" t="str">
        <f t="shared" si="1087"/>
        <v/>
      </c>
      <c r="R278" s="162" t="str">
        <f t="shared" si="1088"/>
        <v/>
      </c>
      <c r="S278" s="162" t="str">
        <f t="shared" si="1089"/>
        <v/>
      </c>
      <c r="T278" s="162" t="str">
        <f t="shared" si="1090"/>
        <v/>
      </c>
      <c r="U278" s="162" t="str">
        <f t="shared" si="1091"/>
        <v/>
      </c>
      <c r="V278" s="162" t="str">
        <f t="shared" si="1092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3"/>
        <v/>
      </c>
      <c r="Y278" s="75"/>
      <c r="Z278" s="917" t="str">
        <f t="shared" si="1094"/>
        <v/>
      </c>
      <c r="AA278" s="82"/>
      <c r="AB278" s="75"/>
      <c r="AC278" s="75"/>
      <c r="AD278" s="166"/>
      <c r="AE278" s="75">
        <v>5.2220000000000004</v>
      </c>
      <c r="AF278" s="82">
        <v>5</v>
      </c>
      <c r="AG278" s="82">
        <v>2</v>
      </c>
      <c r="AH278" s="82">
        <v>1</v>
      </c>
      <c r="AI278" s="82">
        <v>2.0000000000436557</v>
      </c>
      <c r="AJ278" s="166">
        <v>5.2221200000000003</v>
      </c>
      <c r="AK278" s="82" t="str">
        <v>Base</v>
      </c>
      <c r="AL278" s="162">
        <v>-14.25</v>
      </c>
      <c r="AM278" s="162">
        <v>-3.5581067954854038</v>
      </c>
      <c r="AN278" s="162">
        <v>-1.1275259665370345</v>
      </c>
      <c r="AO278" s="162">
        <v>64.808723976855745</v>
      </c>
      <c r="AP278" s="162">
        <v>-31.221826678796521</v>
      </c>
      <c r="AQ278" s="162">
        <v>0</v>
      </c>
      <c r="AR278" s="710" t="str">
        <v>1313.par</v>
      </c>
      <c r="AV278" s="82" t="str">
        <v>121,188,255</v>
      </c>
      <c r="AW278" s="947">
        <v>66.569999999999993</v>
      </c>
      <c r="AX278" s="947">
        <v>64.808723976855745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0"/>
      <c r="N279" s="941"/>
      <c r="O279" s="942"/>
      <c r="Q279" s="162" t="str">
        <f t="shared" si="1087"/>
        <v/>
      </c>
      <c r="R279" s="162" t="str">
        <f t="shared" si="1088"/>
        <v/>
      </c>
      <c r="S279" s="162" t="str">
        <f t="shared" si="1089"/>
        <v/>
      </c>
      <c r="T279" s="162" t="str">
        <f t="shared" si="1090"/>
        <v/>
      </c>
      <c r="U279" s="162" t="str">
        <f t="shared" si="1091"/>
        <v/>
      </c>
      <c r="V279" s="162" t="str">
        <f t="shared" si="1092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3"/>
        <v/>
      </c>
      <c r="Y279" s="75"/>
      <c r="Z279" s="917" t="str">
        <f t="shared" si="1094"/>
        <v/>
      </c>
      <c r="AA279" s="82"/>
      <c r="AB279" s="75"/>
      <c r="AC279" s="75"/>
      <c r="AD279" s="166"/>
      <c r="AE279" s="75">
        <v>5.2169999999999996</v>
      </c>
      <c r="AF279" s="82">
        <v>5</v>
      </c>
      <c r="AG279" s="82">
        <v>2</v>
      </c>
      <c r="AH279" s="82">
        <v>1</v>
      </c>
      <c r="AI279" s="82">
        <v>1.9999999999708962</v>
      </c>
      <c r="AJ279" s="166">
        <v>5.2171199999999995</v>
      </c>
      <c r="AK279" s="82" t="str">
        <v>Base</v>
      </c>
      <c r="AL279" s="162">
        <v>-14.25</v>
      </c>
      <c r="AM279" s="162">
        <v>-3.1580531201587858</v>
      </c>
      <c r="AN279" s="162">
        <v>-0.54749505180811109</v>
      </c>
      <c r="AO279" s="162">
        <v>39.511498503547166</v>
      </c>
      <c r="AP279" s="162">
        <v>-26.852165039939315</v>
      </c>
      <c r="AQ279" s="162">
        <v>0</v>
      </c>
      <c r="AR279" s="710" t="str">
        <v>1313.par</v>
      </c>
      <c r="AV279" s="82" t="str">
        <v>121,188,255</v>
      </c>
      <c r="AW279" s="947">
        <v>39.569999999999993</v>
      </c>
      <c r="AX279" s="947">
        <v>39.511498503547166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0"/>
      <c r="N280" s="941"/>
      <c r="O280" s="942"/>
      <c r="Q280" s="162" t="str">
        <f t="shared" si="1087"/>
        <v/>
      </c>
      <c r="R280" s="162" t="str">
        <f t="shared" si="1088"/>
        <v/>
      </c>
      <c r="S280" s="162" t="str">
        <f t="shared" si="1089"/>
        <v/>
      </c>
      <c r="T280" s="162" t="str">
        <f t="shared" si="1090"/>
        <v/>
      </c>
      <c r="U280" s="162" t="str">
        <f t="shared" si="1091"/>
        <v/>
      </c>
      <c r="V280" s="162" t="str">
        <f t="shared" si="1092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3"/>
        <v/>
      </c>
      <c r="Y280" s="75"/>
      <c r="Z280" s="917" t="str">
        <f t="shared" si="1094"/>
        <v/>
      </c>
      <c r="AA280" s="82"/>
      <c r="AB280" s="75"/>
      <c r="AC280" s="75"/>
      <c r="AD280" s="166"/>
      <c r="AE280" s="75">
        <v>5.1319999999999997</v>
      </c>
      <c r="AF280" s="82">
        <v>5</v>
      </c>
      <c r="AG280" s="82">
        <v>1</v>
      </c>
      <c r="AH280" s="82">
        <v>1</v>
      </c>
      <c r="AI280" s="82">
        <v>1.9999999999708962</v>
      </c>
      <c r="AJ280" s="166">
        <v>5.1321199999999996</v>
      </c>
      <c r="AK280" s="82" t="str">
        <v>Base</v>
      </c>
      <c r="AL280" s="162">
        <v>-13.5</v>
      </c>
      <c r="AM280" s="162">
        <v>-3.7054897408941283</v>
      </c>
      <c r="AN280" s="162">
        <v>-2.564737761240091</v>
      </c>
      <c r="AO280" s="162">
        <v>84.959174548899995</v>
      </c>
      <c r="AP280" s="162">
        <v>-29.733205429583041</v>
      </c>
      <c r="AQ280" s="162">
        <v>0</v>
      </c>
      <c r="AR280" s="710" t="str">
        <v>14513.par</v>
      </c>
      <c r="AV280" s="82" t="str">
        <v>0,102,204</v>
      </c>
      <c r="AW280" s="947">
        <v>85</v>
      </c>
      <c r="AX280" s="947">
        <v>84.959174548899995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0"/>
      <c r="N281" s="941"/>
      <c r="O281" s="942"/>
      <c r="Q281" s="162" t="str">
        <f t="shared" si="1087"/>
        <v/>
      </c>
      <c r="R281" s="162" t="str">
        <f t="shared" si="1088"/>
        <v/>
      </c>
      <c r="S281" s="162" t="str">
        <f t="shared" si="1089"/>
        <v/>
      </c>
      <c r="T281" s="162" t="str">
        <f t="shared" si="1090"/>
        <v/>
      </c>
      <c r="U281" s="162" t="str">
        <f t="shared" si="1091"/>
        <v/>
      </c>
      <c r="V281" s="162" t="str">
        <f t="shared" si="1092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3"/>
        <v/>
      </c>
      <c r="Y281" s="75"/>
      <c r="Z281" s="917" t="str">
        <f t="shared" si="1094"/>
        <v/>
      </c>
      <c r="AA281" s="82"/>
      <c r="AB281" s="75"/>
      <c r="AC281" s="75"/>
      <c r="AD281" s="166"/>
      <c r="AE281" s="75">
        <v>5.1269999999999998</v>
      </c>
      <c r="AF281" s="82">
        <v>5</v>
      </c>
      <c r="AG281" s="82">
        <v>1</v>
      </c>
      <c r="AH281" s="82">
        <v>1</v>
      </c>
      <c r="AI281" s="82">
        <v>1.9999999999708962</v>
      </c>
      <c r="AJ281" s="166">
        <v>5.1271199999999997</v>
      </c>
      <c r="AK281" s="82" t="str">
        <v>Base</v>
      </c>
      <c r="AL281" s="162">
        <v>-13.5</v>
      </c>
      <c r="AM281" s="162">
        <v>-3.6604901028221848</v>
      </c>
      <c r="AN281" s="162">
        <v>-1.8238860180620238</v>
      </c>
      <c r="AO281" s="162">
        <v>84.958667995750403</v>
      </c>
      <c r="AP281" s="162">
        <v>-29.729925767321735</v>
      </c>
      <c r="AQ281" s="162">
        <v>0</v>
      </c>
      <c r="AR281" s="710" t="str">
        <v>14513.par</v>
      </c>
      <c r="AV281" s="82" t="str">
        <v>0,102,204</v>
      </c>
      <c r="AW281" s="947">
        <v>85</v>
      </c>
      <c r="AX281" s="947">
        <v>84.958667995750403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0"/>
      <c r="N282" s="941"/>
      <c r="O282" s="942"/>
      <c r="Q282" s="162" t="str">
        <f t="shared" si="1087"/>
        <v/>
      </c>
      <c r="R282" s="162" t="str">
        <f t="shared" si="1088"/>
        <v/>
      </c>
      <c r="S282" s="162" t="str">
        <f t="shared" si="1089"/>
        <v/>
      </c>
      <c r="T282" s="162" t="str">
        <f t="shared" si="1090"/>
        <v/>
      </c>
      <c r="U282" s="162" t="str">
        <f t="shared" si="1091"/>
        <v/>
      </c>
      <c r="V282" s="162" t="str">
        <f t="shared" si="1092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3"/>
        <v/>
      </c>
      <c r="Y282" s="75"/>
      <c r="Z282" s="917" t="str">
        <f t="shared" si="1094"/>
        <v/>
      </c>
      <c r="AA282" s="82"/>
      <c r="AB282" s="75"/>
      <c r="AC282" s="75"/>
      <c r="AD282" s="166"/>
      <c r="AE282" s="75">
        <v>5.1219999999999999</v>
      </c>
      <c r="AF282" s="82">
        <v>5</v>
      </c>
      <c r="AG282" s="82">
        <v>1</v>
      </c>
      <c r="AH282" s="82">
        <v>1</v>
      </c>
      <c r="AI282" s="82">
        <v>1.9999999999708962</v>
      </c>
      <c r="AJ282" s="166">
        <v>5.1221199999999998</v>
      </c>
      <c r="AK282" s="82" t="str">
        <v>Base</v>
      </c>
      <c r="AL282" s="162">
        <v>-13.5</v>
      </c>
      <c r="AM282" s="162">
        <v>-3.5494763598832133</v>
      </c>
      <c r="AN282" s="162">
        <v>-1.1293980336166152</v>
      </c>
      <c r="AO282" s="162">
        <v>64.752155586413849</v>
      </c>
      <c r="AP282" s="162">
        <v>-26.208928779652393</v>
      </c>
      <c r="AQ282" s="162">
        <v>0</v>
      </c>
      <c r="AR282" s="710" t="str">
        <v>14513.par</v>
      </c>
      <c r="AV282" s="82" t="str">
        <v>0,102,204</v>
      </c>
      <c r="AW282" s="947">
        <v>66.569999999999993</v>
      </c>
      <c r="AX282" s="947">
        <v>64.752155586413849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0"/>
      <c r="N283" s="941"/>
      <c r="O283" s="942"/>
      <c r="Q283" s="162" t="str">
        <f t="shared" si="1087"/>
        <v/>
      </c>
      <c r="R283" s="162" t="str">
        <f t="shared" si="1088"/>
        <v/>
      </c>
      <c r="S283" s="162" t="str">
        <f t="shared" si="1089"/>
        <v/>
      </c>
      <c r="T283" s="162" t="str">
        <f t="shared" si="1090"/>
        <v/>
      </c>
      <c r="U283" s="162" t="str">
        <f t="shared" si="1091"/>
        <v/>
      </c>
      <c r="V283" s="162" t="str">
        <f t="shared" si="1092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3"/>
        <v/>
      </c>
      <c r="Y283" s="75"/>
      <c r="Z283" s="917" t="str">
        <f t="shared" si="1094"/>
        <v/>
      </c>
      <c r="AA283" s="82"/>
      <c r="AB283" s="75"/>
      <c r="AC283" s="75"/>
      <c r="AD283" s="166"/>
      <c r="AE283" s="75">
        <v>5.117</v>
      </c>
      <c r="AF283" s="82">
        <v>5</v>
      </c>
      <c r="AG283" s="82">
        <v>1</v>
      </c>
      <c r="AH283" s="82">
        <v>1</v>
      </c>
      <c r="AI283" s="82">
        <v>1.9999999999708962</v>
      </c>
      <c r="AJ283" s="166">
        <v>5.1171199999999999</v>
      </c>
      <c r="AK283" s="82" t="str">
        <v>Base</v>
      </c>
      <c r="AL283" s="162">
        <v>-13.5</v>
      </c>
      <c r="AM283" s="162">
        <v>-3.1525359327082652</v>
      </c>
      <c r="AN283" s="162">
        <v>-0.55177853809360933</v>
      </c>
      <c r="AO283" s="162">
        <v>39.356674183821298</v>
      </c>
      <c r="AP283" s="162">
        <v>-21.843723880232634</v>
      </c>
      <c r="AQ283" s="162">
        <v>0</v>
      </c>
      <c r="AR283" s="710" t="str">
        <v>14513.par</v>
      </c>
      <c r="AV283" s="82" t="str">
        <v>0,102,204</v>
      </c>
      <c r="AW283" s="947">
        <v>39.569999999999993</v>
      </c>
      <c r="AX283" s="947">
        <v>39.356674183821298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0"/>
      <c r="N284" s="941"/>
      <c r="O284" s="942"/>
      <c r="Q284" s="162" t="str">
        <f t="shared" si="1087"/>
        <v/>
      </c>
      <c r="R284" s="162" t="str">
        <f t="shared" si="1088"/>
        <v/>
      </c>
      <c r="S284" s="162" t="str">
        <f t="shared" si="1089"/>
        <v/>
      </c>
      <c r="T284" s="162" t="str">
        <f t="shared" si="1090"/>
        <v/>
      </c>
      <c r="U284" s="162" t="str">
        <f t="shared" si="1091"/>
        <v/>
      </c>
      <c r="V284" s="162" t="str">
        <f t="shared" si="1092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3"/>
        <v/>
      </c>
      <c r="Y284" s="75"/>
      <c r="Z284" s="917" t="str">
        <f t="shared" si="1094"/>
        <v/>
      </c>
      <c r="AA284" s="82"/>
      <c r="AB284" s="75"/>
      <c r="AC284" s="75"/>
      <c r="AD284" s="166"/>
      <c r="AE284" s="75">
        <v>5.1120000000000001</v>
      </c>
      <c r="AF284" s="82">
        <v>5</v>
      </c>
      <c r="AG284" s="82">
        <v>1</v>
      </c>
      <c r="AH284" s="82">
        <v>1</v>
      </c>
      <c r="AI284" s="82">
        <v>1.9999999999708962</v>
      </c>
      <c r="AJ284" s="166">
        <v>5.11212</v>
      </c>
      <c r="AK284" s="82" t="str">
        <v>Base</v>
      </c>
      <c r="AL284" s="162">
        <v>-13.5</v>
      </c>
      <c r="AM284" s="162">
        <v>-2.5358100422237286</v>
      </c>
      <c r="AN284" s="162">
        <v>-0.21843027841477458</v>
      </c>
      <c r="AO284" s="162">
        <v>13.684246248086463</v>
      </c>
      <c r="AP284" s="162">
        <v>-17.540376301109106</v>
      </c>
      <c r="AQ284" s="162">
        <v>0</v>
      </c>
      <c r="AR284" s="710" t="str">
        <v>14513.par</v>
      </c>
      <c r="AV284" s="82" t="str">
        <v>0,102,204</v>
      </c>
      <c r="AW284" s="947">
        <v>13.079999999999998</v>
      </c>
      <c r="AX284" s="947">
        <v>13.684246248086463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0"/>
      <c r="N285" s="941"/>
      <c r="O285" s="942"/>
      <c r="Q285" s="162" t="str">
        <f t="shared" si="1087"/>
        <v/>
      </c>
      <c r="R285" s="162" t="str">
        <f t="shared" si="1088"/>
        <v/>
      </c>
      <c r="S285" s="162" t="str">
        <f t="shared" si="1089"/>
        <v/>
      </c>
      <c r="T285" s="162" t="str">
        <f t="shared" si="1090"/>
        <v/>
      </c>
      <c r="U285" s="162" t="str">
        <f t="shared" si="1091"/>
        <v/>
      </c>
      <c r="V285" s="162" t="str">
        <f t="shared" si="1092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3"/>
        <v/>
      </c>
      <c r="Y285" s="75"/>
      <c r="Z285" s="917" t="str">
        <f t="shared" si="1094"/>
        <v/>
      </c>
      <c r="AA285" s="82"/>
      <c r="AB285" s="75"/>
      <c r="AC285" s="75"/>
      <c r="AD285" s="166"/>
      <c r="AE285" s="75">
        <v>4.2279999999999998</v>
      </c>
      <c r="AF285" s="82">
        <v>4</v>
      </c>
      <c r="AG285" s="82">
        <v>2</v>
      </c>
      <c r="AH285" s="82">
        <v>1</v>
      </c>
      <c r="AI285" s="82">
        <v>1.9999999999708962</v>
      </c>
      <c r="AJ285" s="166">
        <v>4.2281199999999997</v>
      </c>
      <c r="AK285" s="82" t="str">
        <v>Base</v>
      </c>
      <c r="AL285" s="162">
        <v>-12.75</v>
      </c>
      <c r="AM285" s="162">
        <v>-3.6674116518398736</v>
      </c>
      <c r="AN285" s="162">
        <v>-2.0510773959022348</v>
      </c>
      <c r="AO285" s="162">
        <v>84.999987727520178</v>
      </c>
      <c r="AP285" s="162">
        <v>0</v>
      </c>
      <c r="AQ285" s="162">
        <v>0</v>
      </c>
      <c r="AR285" s="710" t="str">
        <v>32193r1.par</v>
      </c>
      <c r="AV285" s="82" t="str">
        <v>91,255,255</v>
      </c>
      <c r="AW285" s="947">
        <v>85</v>
      </c>
      <c r="AX285" s="947">
        <v>84.999987727520178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0"/>
      <c r="N286" s="941"/>
      <c r="O286" s="942"/>
      <c r="Q286" s="162" t="str">
        <f t="shared" si="1087"/>
        <v/>
      </c>
      <c r="R286" s="162" t="str">
        <f t="shared" si="1088"/>
        <v/>
      </c>
      <c r="S286" s="162" t="str">
        <f t="shared" si="1089"/>
        <v/>
      </c>
      <c r="T286" s="162" t="str">
        <f t="shared" si="1090"/>
        <v/>
      </c>
      <c r="U286" s="162" t="str">
        <f t="shared" si="1091"/>
        <v/>
      </c>
      <c r="V286" s="162" t="str">
        <f t="shared" si="1092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3"/>
        <v/>
      </c>
      <c r="Y286" s="75"/>
      <c r="Z286" s="917" t="str">
        <f t="shared" si="1094"/>
        <v/>
      </c>
      <c r="AA286" s="82"/>
      <c r="AB286" s="75"/>
      <c r="AC286" s="75"/>
      <c r="AD286" s="166"/>
      <c r="AE286" s="75">
        <v>4.2229999999999999</v>
      </c>
      <c r="AF286" s="82">
        <v>4</v>
      </c>
      <c r="AG286" s="82">
        <v>2</v>
      </c>
      <c r="AH286" s="82">
        <v>1</v>
      </c>
      <c r="AI286" s="82">
        <v>1.9999999999708962</v>
      </c>
      <c r="AJ286" s="166">
        <v>4.2231199999999998</v>
      </c>
      <c r="AK286" s="82" t="str">
        <v>Base</v>
      </c>
      <c r="AL286" s="162">
        <v>-12.75</v>
      </c>
      <c r="AM286" s="162">
        <v>-3.6044246210254669</v>
      </c>
      <c r="AN286" s="162">
        <v>-1.3104701222087101</v>
      </c>
      <c r="AO286" s="162">
        <v>69.853765248508964</v>
      </c>
      <c r="AP286" s="162">
        <v>-32.100681530787426</v>
      </c>
      <c r="AQ286" s="162">
        <v>0</v>
      </c>
      <c r="AR286" s="710" t="str">
        <v>1313.par</v>
      </c>
      <c r="AV286" s="82" t="str">
        <v>91,255,255</v>
      </c>
      <c r="AW286" s="947">
        <v>72.03</v>
      </c>
      <c r="AX286" s="947">
        <v>69.853765248508964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0"/>
      <c r="N287" s="941"/>
      <c r="O287" s="942"/>
      <c r="Q287" s="162" t="str">
        <f t="shared" si="1087"/>
        <v/>
      </c>
      <c r="R287" s="162" t="str">
        <f t="shared" si="1088"/>
        <v/>
      </c>
      <c r="S287" s="162" t="str">
        <f t="shared" si="1089"/>
        <v/>
      </c>
      <c r="T287" s="162" t="str">
        <f t="shared" si="1090"/>
        <v/>
      </c>
      <c r="U287" s="162" t="str">
        <f t="shared" si="1091"/>
        <v/>
      </c>
      <c r="V287" s="162" t="str">
        <f t="shared" si="1092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3"/>
        <v/>
      </c>
      <c r="Y287" s="75"/>
      <c r="Z287" s="917" t="str">
        <f t="shared" si="1094"/>
        <v/>
      </c>
      <c r="AA287" s="82"/>
      <c r="AB287" s="75"/>
      <c r="AC287" s="75"/>
      <c r="AD287" s="166"/>
      <c r="AE287" s="75">
        <v>4.218</v>
      </c>
      <c r="AF287" s="82">
        <v>4</v>
      </c>
      <c r="AG287" s="82">
        <v>2</v>
      </c>
      <c r="AH287" s="82">
        <v>1</v>
      </c>
      <c r="AI287" s="82">
        <v>1.9999999999708962</v>
      </c>
      <c r="AJ287" s="166">
        <v>4.2181199999999999</v>
      </c>
      <c r="AK287" s="82" t="str">
        <v>Base</v>
      </c>
      <c r="AL287" s="162">
        <v>-12.75</v>
      </c>
      <c r="AM287" s="162">
        <v>-3.2588615679632782</v>
      </c>
      <c r="AN287" s="162">
        <v>-0.69628863721450118</v>
      </c>
      <c r="AO287" s="162">
        <v>44.582419979319582</v>
      </c>
      <c r="AP287" s="162">
        <v>-27.722315365157382</v>
      </c>
      <c r="AQ287" s="162">
        <v>0</v>
      </c>
      <c r="AR287" s="710" t="str">
        <v>1313.par</v>
      </c>
      <c r="AV287" s="82" t="str">
        <v>91,255,255</v>
      </c>
      <c r="AW287" s="947">
        <v>44.919999999999987</v>
      </c>
      <c r="AX287" s="947">
        <v>44.582419979319582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0"/>
      <c r="N288" s="941"/>
      <c r="O288" s="942"/>
      <c r="Q288" s="162" t="str">
        <f t="shared" si="1087"/>
        <v/>
      </c>
      <c r="R288" s="162" t="str">
        <f t="shared" si="1088"/>
        <v/>
      </c>
      <c r="S288" s="162" t="str">
        <f t="shared" si="1089"/>
        <v/>
      </c>
      <c r="T288" s="162" t="str">
        <f t="shared" si="1090"/>
        <v/>
      </c>
      <c r="U288" s="162" t="str">
        <f t="shared" si="1091"/>
        <v/>
      </c>
      <c r="V288" s="162" t="str">
        <f t="shared" si="1092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3"/>
        <v/>
      </c>
      <c r="Y288" s="75"/>
      <c r="Z288" s="917" t="str">
        <f t="shared" si="1094"/>
        <v/>
      </c>
      <c r="AA288" s="82"/>
      <c r="AB288" s="75"/>
      <c r="AC288" s="75"/>
      <c r="AD288" s="166"/>
      <c r="AE288" s="75">
        <v>4.2130000000000001</v>
      </c>
      <c r="AF288" s="82">
        <v>4</v>
      </c>
      <c r="AG288" s="82">
        <v>2</v>
      </c>
      <c r="AH288" s="82">
        <v>1</v>
      </c>
      <c r="AI288" s="82">
        <v>1.9999999999708962</v>
      </c>
      <c r="AJ288" s="166">
        <v>4.21312</v>
      </c>
      <c r="AK288" s="82" t="str">
        <v>Base</v>
      </c>
      <c r="AL288" s="162">
        <v>-12.75</v>
      </c>
      <c r="AM288" s="162">
        <v>-2.6740366892110981</v>
      </c>
      <c r="AN288" s="162">
        <v>-0.30422449539912572</v>
      </c>
      <c r="AO288" s="162">
        <v>19.147098997605895</v>
      </c>
      <c r="AP288" s="162">
        <v>-23.397773983594341</v>
      </c>
      <c r="AQ288" s="162">
        <v>0</v>
      </c>
      <c r="AR288" s="710" t="str">
        <v>1313.par</v>
      </c>
      <c r="AV288" s="82" t="str">
        <v>91,255,255</v>
      </c>
      <c r="AW288" s="947">
        <v>18.340000000000003</v>
      </c>
      <c r="AX288" s="947">
        <v>19.147098997605895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0"/>
      <c r="N289" s="941"/>
      <c r="O289" s="942"/>
      <c r="Q289" s="162" t="str">
        <f t="shared" si="1087"/>
        <v/>
      </c>
      <c r="R289" s="162" t="str">
        <f t="shared" si="1088"/>
        <v/>
      </c>
      <c r="S289" s="162" t="str">
        <f t="shared" si="1089"/>
        <v/>
      </c>
      <c r="T289" s="162" t="str">
        <f t="shared" si="1090"/>
        <v/>
      </c>
      <c r="U289" s="162" t="str">
        <f t="shared" si="1091"/>
        <v/>
      </c>
      <c r="V289" s="162" t="str">
        <f t="shared" si="1092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3"/>
        <v/>
      </c>
      <c r="Y289" s="75"/>
      <c r="Z289" s="917" t="str">
        <f t="shared" si="1094"/>
        <v/>
      </c>
      <c r="AA289" s="82"/>
      <c r="AB289" s="75"/>
      <c r="AC289" s="75"/>
      <c r="AD289" s="166"/>
      <c r="AE289" s="75">
        <v>4.2080000000000002</v>
      </c>
      <c r="AF289" s="82">
        <v>4</v>
      </c>
      <c r="AG289" s="82">
        <v>2</v>
      </c>
      <c r="AH289" s="82">
        <v>1</v>
      </c>
      <c r="AI289" s="82">
        <v>2.0000000000436557</v>
      </c>
      <c r="AJ289" s="166">
        <v>4.2081200000000001</v>
      </c>
      <c r="AK289" s="82" t="str">
        <v>Base</v>
      </c>
      <c r="AL289" s="162">
        <v>-12.75</v>
      </c>
      <c r="AM289" s="162">
        <v>-1.8799654929954497</v>
      </c>
      <c r="AN289" s="162">
        <v>-0.26777460505921835</v>
      </c>
      <c r="AO289" s="162">
        <v>-2.9999995668536537</v>
      </c>
      <c r="AP289" s="162">
        <v>0</v>
      </c>
      <c r="AQ289" s="162">
        <v>0</v>
      </c>
      <c r="AR289" s="710" t="str">
        <v>32193r1.par</v>
      </c>
      <c r="AV289" s="82" t="str">
        <v>91,255,255</v>
      </c>
      <c r="AW289" s="947">
        <v>-11.439999999999998</v>
      </c>
      <c r="AX289" s="947">
        <v>-2.9999995668536537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0"/>
      <c r="N290" s="941"/>
      <c r="O290" s="942"/>
      <c r="Q290" s="162" t="str">
        <f t="shared" si="1087"/>
        <v/>
      </c>
      <c r="R290" s="162" t="str">
        <f t="shared" si="1088"/>
        <v/>
      </c>
      <c r="S290" s="162" t="str">
        <f t="shared" si="1089"/>
        <v/>
      </c>
      <c r="T290" s="162" t="str">
        <f t="shared" si="1090"/>
        <v/>
      </c>
      <c r="U290" s="162" t="str">
        <f t="shared" si="1091"/>
        <v/>
      </c>
      <c r="V290" s="162" t="str">
        <f t="shared" si="1092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3"/>
        <v/>
      </c>
      <c r="Y290" s="75"/>
      <c r="Z290" s="917" t="str">
        <f t="shared" si="1094"/>
        <v/>
      </c>
      <c r="AA290" s="82"/>
      <c r="AB290" s="75"/>
      <c r="AC290" s="75"/>
      <c r="AD290" s="166"/>
      <c r="AE290" s="75">
        <v>4.1280000000000001</v>
      </c>
      <c r="AF290" s="82">
        <v>4</v>
      </c>
      <c r="AG290" s="82">
        <v>1</v>
      </c>
      <c r="AH290" s="82">
        <v>1</v>
      </c>
      <c r="AI290" s="82">
        <v>1.9999999999708962</v>
      </c>
      <c r="AJ290" s="166">
        <v>4.12812</v>
      </c>
      <c r="AK290" s="82" t="str">
        <v>Base</v>
      </c>
      <c r="AL290" s="162">
        <v>-12</v>
      </c>
      <c r="AM290" s="162">
        <v>-3.7054897408941279</v>
      </c>
      <c r="AN290" s="162">
        <v>-2.0448471507314556</v>
      </c>
      <c r="AO290" s="162">
        <v>84.959174548899995</v>
      </c>
      <c r="AP290" s="162">
        <v>-29.733205429583041</v>
      </c>
      <c r="AQ290" s="162">
        <v>0</v>
      </c>
      <c r="AR290" s="710" t="str">
        <v>14513.par</v>
      </c>
      <c r="AV290" s="82" t="str">
        <v>0,204,204</v>
      </c>
      <c r="AW290" s="947">
        <v>85</v>
      </c>
      <c r="AX290" s="947">
        <v>84.959174548899995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0"/>
      <c r="N291" s="941"/>
      <c r="O291" s="942"/>
      <c r="Q291" s="162" t="str">
        <f t="shared" si="1087"/>
        <v/>
      </c>
      <c r="R291" s="162" t="str">
        <f t="shared" si="1088"/>
        <v/>
      </c>
      <c r="S291" s="162" t="str">
        <f t="shared" si="1089"/>
        <v/>
      </c>
      <c r="T291" s="162" t="str">
        <f t="shared" si="1090"/>
        <v/>
      </c>
      <c r="U291" s="162" t="str">
        <f t="shared" si="1091"/>
        <v/>
      </c>
      <c r="V291" s="162" t="str">
        <f t="shared" si="1092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3"/>
        <v/>
      </c>
      <c r="Y291" s="75"/>
      <c r="Z291" s="917" t="str">
        <f t="shared" si="1094"/>
        <v/>
      </c>
      <c r="AA291" s="82"/>
      <c r="AB291" s="75"/>
      <c r="AC291" s="75"/>
      <c r="AD291" s="166"/>
      <c r="AE291" s="75">
        <v>4.1230000000000002</v>
      </c>
      <c r="AF291" s="82">
        <v>4</v>
      </c>
      <c r="AG291" s="82">
        <v>1</v>
      </c>
      <c r="AH291" s="82">
        <v>1</v>
      </c>
      <c r="AI291" s="82">
        <v>2.0000000000436557</v>
      </c>
      <c r="AJ291" s="166">
        <v>4.1231200000000001</v>
      </c>
      <c r="AK291" s="82" t="str">
        <v>Base</v>
      </c>
      <c r="AL291" s="162">
        <v>-12</v>
      </c>
      <c r="AM291" s="162">
        <v>-3.5953195358574312</v>
      </c>
      <c r="AN291" s="162">
        <v>-1.3116355921604974</v>
      </c>
      <c r="AO291" s="162">
        <v>69.810901846950202</v>
      </c>
      <c r="AP291" s="162">
        <v>-27.087079508279619</v>
      </c>
      <c r="AQ291" s="162">
        <v>0</v>
      </c>
      <c r="AR291" s="710" t="str">
        <v>14513.par</v>
      </c>
      <c r="AV291" s="82" t="str">
        <v>0,204,204</v>
      </c>
      <c r="AW291" s="947">
        <v>72.03</v>
      </c>
      <c r="AX291" s="947">
        <v>69.810901846950202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0"/>
      <c r="N292" s="941"/>
      <c r="O292" s="942"/>
      <c r="Q292" s="162" t="str">
        <f t="shared" si="1087"/>
        <v/>
      </c>
      <c r="R292" s="162" t="str">
        <f t="shared" si="1088"/>
        <v/>
      </c>
      <c r="S292" s="162" t="str">
        <f t="shared" si="1089"/>
        <v/>
      </c>
      <c r="T292" s="162" t="str">
        <f t="shared" si="1090"/>
        <v/>
      </c>
      <c r="U292" s="162" t="str">
        <f t="shared" si="1091"/>
        <v/>
      </c>
      <c r="V292" s="162" t="str">
        <f t="shared" si="1092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3"/>
        <v/>
      </c>
      <c r="Y292" s="75"/>
      <c r="Z292" s="917" t="str">
        <f t="shared" si="1094"/>
        <v/>
      </c>
      <c r="AA292" s="82"/>
      <c r="AB292" s="75"/>
      <c r="AC292" s="75"/>
      <c r="AD292" s="166"/>
      <c r="AE292" s="75">
        <v>4.1180000000000003</v>
      </c>
      <c r="AF292" s="82">
        <v>4</v>
      </c>
      <c r="AG292" s="82">
        <v>1</v>
      </c>
      <c r="AH292" s="82">
        <v>1</v>
      </c>
      <c r="AI292" s="82">
        <v>2.0000000000436557</v>
      </c>
      <c r="AJ292" s="166">
        <v>4.1181200000000002</v>
      </c>
      <c r="AK292" s="82" t="str">
        <v>Base</v>
      </c>
      <c r="AL292" s="162">
        <v>-12</v>
      </c>
      <c r="AM292" s="162">
        <v>-3.2526495697979416</v>
      </c>
      <c r="AN292" s="162">
        <v>-0.70025432709300683</v>
      </c>
      <c r="AO292" s="162">
        <v>44.452359284275062</v>
      </c>
      <c r="AP292" s="162">
        <v>-22.712856390392549</v>
      </c>
      <c r="AQ292" s="162">
        <v>0</v>
      </c>
      <c r="AR292" s="710" t="str">
        <v>14513.par</v>
      </c>
      <c r="AV292" s="82" t="str">
        <v>0,204,204</v>
      </c>
      <c r="AW292" s="947">
        <v>44.919999999999987</v>
      </c>
      <c r="AX292" s="947">
        <v>44.452359284275062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0"/>
      <c r="N293" s="941"/>
      <c r="O293" s="942"/>
      <c r="Q293" s="162" t="str">
        <f t="shared" si="1087"/>
        <v/>
      </c>
      <c r="R293" s="162" t="str">
        <f t="shared" si="1088"/>
        <v/>
      </c>
      <c r="S293" s="162" t="str">
        <f t="shared" si="1089"/>
        <v/>
      </c>
      <c r="T293" s="162" t="str">
        <f t="shared" si="1090"/>
        <v/>
      </c>
      <c r="U293" s="162" t="str">
        <f t="shared" si="1091"/>
        <v/>
      </c>
      <c r="V293" s="162" t="str">
        <f t="shared" si="1092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3"/>
        <v/>
      </c>
      <c r="Y293" s="75"/>
      <c r="Z293" s="917" t="str">
        <f t="shared" si="1094"/>
        <v/>
      </c>
      <c r="AA293" s="82"/>
      <c r="AB293" s="75"/>
      <c r="AC293" s="75"/>
      <c r="AD293" s="166"/>
      <c r="AE293" s="75">
        <v>4.1130000000000004</v>
      </c>
      <c r="AF293" s="82">
        <v>4</v>
      </c>
      <c r="AG293" s="82">
        <v>1</v>
      </c>
      <c r="AH293" s="82">
        <v>1</v>
      </c>
      <c r="AI293" s="82">
        <v>2.0000000000436557</v>
      </c>
      <c r="AJ293" s="166">
        <v>4.1131200000000003</v>
      </c>
      <c r="AK293" s="82" t="str">
        <v>Base</v>
      </c>
      <c r="AL293" s="162">
        <v>-12</v>
      </c>
      <c r="AM293" s="162">
        <v>-2.6714015495552439</v>
      </c>
      <c r="AN293" s="162">
        <v>-0.3088818160237497</v>
      </c>
      <c r="AO293" s="162">
        <v>18.851054985800619</v>
      </c>
      <c r="AP293" s="162">
        <v>-18.394133219168953</v>
      </c>
      <c r="AQ293" s="162">
        <v>0</v>
      </c>
      <c r="AR293" s="710" t="str">
        <v>14513.par</v>
      </c>
      <c r="AV293" s="82" t="str">
        <v>0,204,204</v>
      </c>
      <c r="AW293" s="947">
        <v>18.340000000000003</v>
      </c>
      <c r="AX293" s="947">
        <v>18.851054985800619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0"/>
      <c r="N294" s="941"/>
      <c r="O294" s="942"/>
      <c r="Q294" s="162" t="str">
        <f t="shared" si="1087"/>
        <v/>
      </c>
      <c r="R294" s="162" t="str">
        <f t="shared" si="1088"/>
        <v/>
      </c>
      <c r="S294" s="162" t="str">
        <f t="shared" si="1089"/>
        <v/>
      </c>
      <c r="T294" s="162" t="str">
        <f t="shared" si="1090"/>
        <v/>
      </c>
      <c r="U294" s="162" t="str">
        <f t="shared" si="1091"/>
        <v/>
      </c>
      <c r="V294" s="162" t="str">
        <f t="shared" si="1092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3"/>
        <v/>
      </c>
      <c r="Y294" s="75"/>
      <c r="Z294" s="917" t="str">
        <f t="shared" si="1094"/>
        <v/>
      </c>
      <c r="AA294" s="82"/>
      <c r="AB294" s="75"/>
      <c r="AC294" s="75"/>
      <c r="AD294" s="166"/>
      <c r="AE294" s="75">
        <v>4.1079999999999997</v>
      </c>
      <c r="AF294" s="82">
        <v>4</v>
      </c>
      <c r="AG294" s="82">
        <v>1</v>
      </c>
      <c r="AH294" s="82">
        <v>1</v>
      </c>
      <c r="AI294" s="82">
        <v>1.9999999999708962</v>
      </c>
      <c r="AJ294" s="166">
        <v>4.1081199999999995</v>
      </c>
      <c r="AK294" s="82" t="str">
        <v>Base</v>
      </c>
      <c r="AL294" s="162">
        <v>-12</v>
      </c>
      <c r="AM294" s="162">
        <v>-1.8798952742924893</v>
      </c>
      <c r="AN294" s="162">
        <v>-0.25333952324477815</v>
      </c>
      <c r="AO294" s="162">
        <v>-3.1944754839296392</v>
      </c>
      <c r="AP294" s="162">
        <v>-15.021549551954871</v>
      </c>
      <c r="AQ294" s="162">
        <v>0</v>
      </c>
      <c r="AR294" s="710" t="str">
        <v>14513.par</v>
      </c>
      <c r="AV294" s="82" t="str">
        <v>0,204,204</v>
      </c>
      <c r="AW294" s="947">
        <v>-11.439999999999998</v>
      </c>
      <c r="AX294" s="947">
        <v>-3.1944754839296392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0"/>
      <c r="N295" s="941"/>
      <c r="O295" s="942"/>
      <c r="Q295" s="162" t="str">
        <f t="shared" si="1087"/>
        <v/>
      </c>
      <c r="R295" s="162" t="str">
        <f t="shared" si="1088"/>
        <v/>
      </c>
      <c r="S295" s="162" t="str">
        <f t="shared" si="1089"/>
        <v/>
      </c>
      <c r="T295" s="162" t="str">
        <f t="shared" si="1090"/>
        <v/>
      </c>
      <c r="U295" s="162" t="str">
        <f t="shared" si="1091"/>
        <v/>
      </c>
      <c r="V295" s="162" t="str">
        <f t="shared" si="1092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3"/>
        <v/>
      </c>
      <c r="Y295" s="75"/>
      <c r="Z295" s="917" t="str">
        <f t="shared" si="1094"/>
        <v/>
      </c>
      <c r="AA295" s="82"/>
      <c r="AB295" s="75"/>
      <c r="AC295" s="75"/>
      <c r="AD295" s="166"/>
      <c r="AE295" s="75">
        <v>4.1050000000000004</v>
      </c>
      <c r="AF295" s="82">
        <v>4</v>
      </c>
      <c r="AG295" s="82">
        <v>1</v>
      </c>
      <c r="AH295" s="82">
        <v>1</v>
      </c>
      <c r="AI295" s="82">
        <v>2.0000000000436557</v>
      </c>
      <c r="AJ295" s="166">
        <v>4.1051200000000003</v>
      </c>
      <c r="AK295" s="82" t="str">
        <v>Base</v>
      </c>
      <c r="AL295" s="162">
        <v>-12</v>
      </c>
      <c r="AM295" s="162">
        <v>-1.207119319994878</v>
      </c>
      <c r="AN295" s="162">
        <v>-0.4797004781822195</v>
      </c>
      <c r="AO295" s="162">
        <v>-7.3951225393512559</v>
      </c>
      <c r="AP295" s="162">
        <v>-15.091076137170246</v>
      </c>
      <c r="AQ295" s="162">
        <v>0</v>
      </c>
      <c r="AR295" s="710" t="str">
        <v>14513.par</v>
      </c>
      <c r="AV295" s="82" t="str">
        <v>0,204,204</v>
      </c>
      <c r="AW295" s="947">
        <v>-10</v>
      </c>
      <c r="AX295" s="947">
        <v>-7.3951225393512559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0"/>
      <c r="N296" s="941"/>
      <c r="O296" s="942"/>
      <c r="Q296" s="162" t="str">
        <f t="shared" si="1087"/>
        <v/>
      </c>
      <c r="R296" s="162" t="str">
        <f t="shared" si="1088"/>
        <v/>
      </c>
      <c r="S296" s="162" t="str">
        <f t="shared" si="1089"/>
        <v/>
      </c>
      <c r="T296" s="162" t="str">
        <f t="shared" si="1090"/>
        <v/>
      </c>
      <c r="U296" s="162" t="str">
        <f t="shared" si="1091"/>
        <v/>
      </c>
      <c r="V296" s="162" t="str">
        <f t="shared" si="1092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3"/>
        <v/>
      </c>
      <c r="Y296" s="75"/>
      <c r="Z296" s="917" t="str">
        <f t="shared" si="1094"/>
        <v/>
      </c>
      <c r="AA296" s="82"/>
      <c r="AB296" s="75"/>
      <c r="AC296" s="75"/>
      <c r="AD296" s="166"/>
      <c r="AE296" s="75">
        <v>4.1020000000000003</v>
      </c>
      <c r="AF296" s="82">
        <v>4</v>
      </c>
      <c r="AG296" s="82">
        <v>1</v>
      </c>
      <c r="AH296" s="82">
        <v>1</v>
      </c>
      <c r="AI296" s="82">
        <v>2.0000000000436557</v>
      </c>
      <c r="AJ296" s="166">
        <v>4.1021200000000002</v>
      </c>
      <c r="AK296" s="82" t="str">
        <v>Base</v>
      </c>
      <c r="AL296" s="162">
        <v>-12</v>
      </c>
      <c r="AM296" s="162">
        <v>-0.53992642020095538</v>
      </c>
      <c r="AN296" s="162">
        <v>-0.72334322199549717</v>
      </c>
      <c r="AO296" s="162">
        <v>-12.690751583712682</v>
      </c>
      <c r="AP296" s="162">
        <v>-19.343654990357987</v>
      </c>
      <c r="AQ296" s="162">
        <v>0</v>
      </c>
      <c r="AR296" s="710" t="str">
        <v>14513.par</v>
      </c>
      <c r="AV296" s="82" t="str">
        <v>0,204,204</v>
      </c>
      <c r="AW296" s="947">
        <v>-10</v>
      </c>
      <c r="AX296" s="947">
        <v>-12.690751583712682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0"/>
      <c r="N297" s="941"/>
      <c r="O297" s="942"/>
      <c r="Q297" s="162" t="str">
        <f t="shared" si="1087"/>
        <v/>
      </c>
      <c r="R297" s="162" t="str">
        <f t="shared" si="1088"/>
        <v/>
      </c>
      <c r="S297" s="162" t="str">
        <f t="shared" si="1089"/>
        <v/>
      </c>
      <c r="T297" s="162" t="str">
        <f t="shared" si="1090"/>
        <v/>
      </c>
      <c r="U297" s="162" t="str">
        <f t="shared" si="1091"/>
        <v/>
      </c>
      <c r="V297" s="162" t="str">
        <f t="shared" si="1092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3"/>
        <v/>
      </c>
      <c r="Y297" s="75"/>
      <c r="Z297" s="917" t="str">
        <f t="shared" si="1094"/>
        <v/>
      </c>
      <c r="AA297" s="82"/>
      <c r="AB297" s="75"/>
      <c r="AC297" s="75"/>
      <c r="AD297" s="166"/>
      <c r="AE297" s="75">
        <v>3.2290000000000001</v>
      </c>
      <c r="AF297" s="82">
        <v>3</v>
      </c>
      <c r="AG297" s="82">
        <v>2</v>
      </c>
      <c r="AH297" s="82">
        <v>1</v>
      </c>
      <c r="AI297" s="82">
        <v>2.000000000007276</v>
      </c>
      <c r="AJ297" s="166">
        <v>3.22912</v>
      </c>
      <c r="AK297" s="82" t="str">
        <v>Base</v>
      </c>
      <c r="AL297" s="162">
        <v>-11.25</v>
      </c>
      <c r="AM297" s="162">
        <v>-3.6674116518398749</v>
      </c>
      <c r="AN297" s="162">
        <v>-2.2488511372658033</v>
      </c>
      <c r="AO297" s="162">
        <v>84.999987727520178</v>
      </c>
      <c r="AP297" s="162">
        <v>0</v>
      </c>
      <c r="AQ297" s="162">
        <v>0</v>
      </c>
      <c r="AR297" s="710" t="str">
        <v>32193r1.par</v>
      </c>
      <c r="AV297" s="82" t="str">
        <v>97,255,97</v>
      </c>
      <c r="AW297" s="947">
        <v>85</v>
      </c>
      <c r="AX297" s="947">
        <v>84.999987727520178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0"/>
      <c r="N298" s="941"/>
      <c r="O298" s="942"/>
      <c r="Q298" s="162" t="str">
        <f t="shared" si="1087"/>
        <v/>
      </c>
      <c r="R298" s="162" t="str">
        <f t="shared" si="1088"/>
        <v/>
      </c>
      <c r="S298" s="162" t="str">
        <f t="shared" si="1089"/>
        <v/>
      </c>
      <c r="T298" s="162" t="str">
        <f t="shared" si="1090"/>
        <v/>
      </c>
      <c r="U298" s="162" t="str">
        <f t="shared" si="1091"/>
        <v/>
      </c>
      <c r="V298" s="162" t="str">
        <f t="shared" si="1092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3"/>
        <v/>
      </c>
      <c r="Y298" s="75"/>
      <c r="Z298" s="917" t="str">
        <f t="shared" si="1094"/>
        <v/>
      </c>
      <c r="AA298" s="82"/>
      <c r="AB298" s="75"/>
      <c r="AC298" s="75"/>
      <c r="AD298" s="166"/>
      <c r="AE298" s="75">
        <v>3.2240000000000002</v>
      </c>
      <c r="AF298" s="82">
        <v>3</v>
      </c>
      <c r="AG298" s="82">
        <v>2</v>
      </c>
      <c r="AH298" s="82">
        <v>1</v>
      </c>
      <c r="AI298" s="82">
        <v>2.000000000007276</v>
      </c>
      <c r="AJ298" s="166">
        <v>3.2241200000000001</v>
      </c>
      <c r="AK298" s="82" t="str">
        <v>Base</v>
      </c>
      <c r="AL298" s="162">
        <v>-11.25</v>
      </c>
      <c r="AM298" s="162">
        <v>-3.5963153654652511</v>
      </c>
      <c r="AN298" s="162">
        <v>-1.5160353468371401</v>
      </c>
      <c r="AO298" s="162">
        <v>77.509988808942225</v>
      </c>
      <c r="AP298" s="162">
        <v>0</v>
      </c>
      <c r="AQ298" s="162">
        <v>0</v>
      </c>
      <c r="AR298" s="710" t="str">
        <v>32193r1.par</v>
      </c>
      <c r="AV298" s="82" t="str">
        <v>97,255,97</v>
      </c>
      <c r="AW298" s="947">
        <v>77.509999999999991</v>
      </c>
      <c r="AX298" s="947">
        <v>77.509988808942225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0"/>
      <c r="N299" s="941"/>
      <c r="O299" s="942"/>
      <c r="Q299" s="162" t="str">
        <f t="shared" si="1087"/>
        <v/>
      </c>
      <c r="R299" s="162" t="str">
        <f t="shared" si="1088"/>
        <v/>
      </c>
      <c r="S299" s="162" t="str">
        <f t="shared" si="1089"/>
        <v/>
      </c>
      <c r="T299" s="162" t="str">
        <f t="shared" si="1090"/>
        <v/>
      </c>
      <c r="U299" s="162" t="str">
        <f t="shared" si="1091"/>
        <v/>
      </c>
      <c r="V299" s="162" t="str">
        <f t="shared" si="1092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3"/>
        <v/>
      </c>
      <c r="Y299" s="75"/>
      <c r="Z299" s="917" t="str">
        <f t="shared" si="1094"/>
        <v/>
      </c>
      <c r="AA299" s="82"/>
      <c r="AB299" s="75"/>
      <c r="AC299" s="75"/>
      <c r="AD299" s="166"/>
      <c r="AE299" s="75">
        <v>3.2189999999999999</v>
      </c>
      <c r="AF299" s="82">
        <v>3</v>
      </c>
      <c r="AG299" s="82">
        <v>2</v>
      </c>
      <c r="AH299" s="82">
        <v>1</v>
      </c>
      <c r="AI299" s="82">
        <v>1.9999999999708962</v>
      </c>
      <c r="AJ299" s="166">
        <v>3.2191199999999998</v>
      </c>
      <c r="AK299" s="82" t="str">
        <v>Base</v>
      </c>
      <c r="AL299" s="162">
        <v>-11.25</v>
      </c>
      <c r="AM299" s="162">
        <v>-3.3498508045235389</v>
      </c>
      <c r="AN299" s="162">
        <v>-0.8609402904994804</v>
      </c>
      <c r="AO299" s="162">
        <v>49.646962420762904</v>
      </c>
      <c r="AP299" s="162">
        <v>-28.594534795740781</v>
      </c>
      <c r="AQ299" s="162">
        <v>0</v>
      </c>
      <c r="AR299" s="710" t="str">
        <v>1313.par</v>
      </c>
      <c r="AV299" s="82" t="str">
        <v>97,255,97</v>
      </c>
      <c r="AW299" s="947">
        <v>50.300000000000011</v>
      </c>
      <c r="AX299" s="947">
        <v>49.646962420762904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0"/>
      <c r="N300" s="941"/>
      <c r="O300" s="942"/>
      <c r="Q300" s="162" t="str">
        <f t="shared" si="1087"/>
        <v/>
      </c>
      <c r="R300" s="162" t="str">
        <f t="shared" si="1088"/>
        <v/>
      </c>
      <c r="S300" s="162" t="str">
        <f t="shared" si="1089"/>
        <v/>
      </c>
      <c r="T300" s="162" t="str">
        <f t="shared" si="1090"/>
        <v/>
      </c>
      <c r="U300" s="162" t="str">
        <f t="shared" si="1091"/>
        <v/>
      </c>
      <c r="V300" s="162" t="str">
        <f t="shared" si="1092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3"/>
        <v/>
      </c>
      <c r="Y300" s="75"/>
      <c r="Z300" s="917" t="str">
        <f t="shared" si="1094"/>
        <v/>
      </c>
      <c r="AA300" s="82"/>
      <c r="AB300" s="75"/>
      <c r="AC300" s="75"/>
      <c r="AD300" s="166"/>
      <c r="AE300" s="75">
        <v>3.214</v>
      </c>
      <c r="AF300" s="82">
        <v>3</v>
      </c>
      <c r="AG300" s="82">
        <v>2</v>
      </c>
      <c r="AH300" s="82">
        <v>1</v>
      </c>
      <c r="AI300" s="82">
        <v>1.9999999999708962</v>
      </c>
      <c r="AJ300" s="166">
        <v>3.2141199999999999</v>
      </c>
      <c r="AK300" s="82" t="str">
        <v>Base</v>
      </c>
      <c r="AL300" s="162">
        <v>-11.25</v>
      </c>
      <c r="AM300" s="162">
        <v>-2.8051163741831178</v>
      </c>
      <c r="AN300" s="162">
        <v>-0.41470227217098615</v>
      </c>
      <c r="AO300" s="162">
        <v>24.252246924939893</v>
      </c>
      <c r="AP300" s="162">
        <v>-24.256750731689472</v>
      </c>
      <c r="AQ300" s="162">
        <v>0</v>
      </c>
      <c r="AR300" s="710" t="str">
        <v>1313.par</v>
      </c>
      <c r="AV300" s="82" t="str">
        <v>97,255,97</v>
      </c>
      <c r="AW300" s="947">
        <v>23.620000000000005</v>
      </c>
      <c r="AX300" s="947">
        <v>24.252246924939893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0"/>
      <c r="N301" s="941"/>
      <c r="O301" s="942"/>
      <c r="Q301" s="162" t="str">
        <f t="shared" si="1087"/>
        <v/>
      </c>
      <c r="R301" s="162" t="str">
        <f t="shared" si="1088"/>
        <v/>
      </c>
      <c r="S301" s="162" t="str">
        <f t="shared" si="1089"/>
        <v/>
      </c>
      <c r="T301" s="162" t="str">
        <f t="shared" si="1090"/>
        <v/>
      </c>
      <c r="U301" s="162" t="str">
        <f t="shared" si="1091"/>
        <v/>
      </c>
      <c r="V301" s="162" t="str">
        <f t="shared" si="1092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3"/>
        <v/>
      </c>
      <c r="Y301" s="75"/>
      <c r="Z301" s="917" t="str">
        <f t="shared" si="1094"/>
        <v/>
      </c>
      <c r="AA301" s="82"/>
      <c r="AB301" s="75"/>
      <c r="AC301" s="75"/>
      <c r="AD301" s="166"/>
      <c r="AE301" s="75">
        <v>3.2090000000000001</v>
      </c>
      <c r="AF301" s="82">
        <v>3</v>
      </c>
      <c r="AG301" s="82">
        <v>2</v>
      </c>
      <c r="AH301" s="82">
        <v>1</v>
      </c>
      <c r="AI301" s="82">
        <v>2.000000000007276</v>
      </c>
      <c r="AJ301" s="166">
        <v>3.20912</v>
      </c>
      <c r="AK301" s="82" t="str">
        <v>Base</v>
      </c>
      <c r="AL301" s="162">
        <v>-11.25</v>
      </c>
      <c r="AM301" s="162">
        <v>-2.1148063782560365</v>
      </c>
      <c r="AN301" s="162">
        <v>-0.29373181748290667</v>
      </c>
      <c r="AO301" s="162">
        <v>0</v>
      </c>
      <c r="AP301" s="162">
        <v>0</v>
      </c>
      <c r="AQ301" s="162">
        <v>0</v>
      </c>
      <c r="AR301" s="710" t="str">
        <v>32193r1.par</v>
      </c>
      <c r="AV301" s="82" t="str">
        <v>97,255,97</v>
      </c>
      <c r="AW301" s="947">
        <v>-2.6899999999999977</v>
      </c>
      <c r="AX301" s="947">
        <v>0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0"/>
      <c r="N302" s="941"/>
      <c r="O302" s="942"/>
      <c r="Q302" s="162" t="str">
        <f t="shared" si="1087"/>
        <v/>
      </c>
      <c r="R302" s="162" t="str">
        <f t="shared" si="1088"/>
        <v/>
      </c>
      <c r="S302" s="162" t="str">
        <f t="shared" si="1089"/>
        <v/>
      </c>
      <c r="T302" s="162" t="str">
        <f t="shared" si="1090"/>
        <v/>
      </c>
      <c r="U302" s="162" t="str">
        <f t="shared" si="1091"/>
        <v/>
      </c>
      <c r="V302" s="162" t="str">
        <f t="shared" si="1092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3"/>
        <v/>
      </c>
      <c r="Y302" s="75"/>
      <c r="Z302" s="917" t="str">
        <f t="shared" si="1094"/>
        <v/>
      </c>
      <c r="AA302" s="82"/>
      <c r="AB302" s="75"/>
      <c r="AC302" s="75"/>
      <c r="AD302" s="166"/>
      <c r="AE302" s="75">
        <v>3.129</v>
      </c>
      <c r="AF302" s="82">
        <v>3</v>
      </c>
      <c r="AG302" s="82">
        <v>1</v>
      </c>
      <c r="AH302" s="82">
        <v>1</v>
      </c>
      <c r="AI302" s="82">
        <v>2.000000000007276</v>
      </c>
      <c r="AJ302" s="166">
        <v>3.1291199999999999</v>
      </c>
      <c r="AK302" s="82" t="str">
        <v>Base</v>
      </c>
      <c r="AL302" s="162">
        <v>-10.5</v>
      </c>
      <c r="AM302" s="162">
        <v>-3.705489740894127</v>
      </c>
      <c r="AN302" s="162">
        <v>-2.2426031271513707</v>
      </c>
      <c r="AO302" s="162">
        <v>84.959174548900165</v>
      </c>
      <c r="AP302" s="162">
        <v>-29.733205429583027</v>
      </c>
      <c r="AQ302" s="162">
        <v>0</v>
      </c>
      <c r="AR302" s="710" t="str">
        <v>14513.par</v>
      </c>
      <c r="AV302" s="82" t="str">
        <v>0,204,0</v>
      </c>
      <c r="AW302" s="947">
        <v>85</v>
      </c>
      <c r="AX302" s="947">
        <v>84.959174548900165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0"/>
      <c r="N303" s="941"/>
      <c r="O303" s="942"/>
      <c r="Q303" s="162" t="str">
        <f t="shared" si="1087"/>
        <v/>
      </c>
      <c r="R303" s="162" t="str">
        <f t="shared" si="1088"/>
        <v/>
      </c>
      <c r="S303" s="162" t="str">
        <f t="shared" si="1089"/>
        <v/>
      </c>
      <c r="T303" s="162" t="str">
        <f t="shared" si="1090"/>
        <v/>
      </c>
      <c r="U303" s="162" t="str">
        <f t="shared" si="1091"/>
        <v/>
      </c>
      <c r="V303" s="162" t="str">
        <f t="shared" si="1092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3"/>
        <v/>
      </c>
      <c r="Y303" s="75"/>
      <c r="Z303" s="917" t="str">
        <f t="shared" si="1094"/>
        <v/>
      </c>
      <c r="AA303" s="82"/>
      <c r="AB303" s="75"/>
      <c r="AC303" s="75"/>
      <c r="AD303" s="166"/>
      <c r="AE303" s="75">
        <v>3.1240000000000001</v>
      </c>
      <c r="AF303" s="82">
        <v>3</v>
      </c>
      <c r="AG303" s="82">
        <v>1</v>
      </c>
      <c r="AH303" s="82">
        <v>1</v>
      </c>
      <c r="AI303" s="82">
        <v>2.000000000007276</v>
      </c>
      <c r="AJ303" s="166">
        <v>3.12412</v>
      </c>
      <c r="AK303" s="82" t="str">
        <v>Base</v>
      </c>
      <c r="AL303" s="162">
        <v>-10.5</v>
      </c>
      <c r="AM303" s="162">
        <v>-3.6291142843899107</v>
      </c>
      <c r="AN303" s="162">
        <v>-1.504361327399206</v>
      </c>
      <c r="AO303" s="162">
        <v>74.864555850198826</v>
      </c>
      <c r="AP303" s="162">
        <v>-27.966667852021928</v>
      </c>
      <c r="AQ303" s="162">
        <v>0</v>
      </c>
      <c r="AR303" s="710" t="str">
        <v>14513.par</v>
      </c>
      <c r="AV303" s="82" t="str">
        <v>0,204,0</v>
      </c>
      <c r="AW303" s="947">
        <v>77.509999999999991</v>
      </c>
      <c r="AX303" s="947">
        <v>74.864555850198826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0"/>
      <c r="N304" s="941"/>
      <c r="O304" s="942"/>
      <c r="Q304" s="162" t="str">
        <f t="shared" si="1087"/>
        <v/>
      </c>
      <c r="R304" s="162" t="str">
        <f t="shared" si="1088"/>
        <v/>
      </c>
      <c r="S304" s="162" t="str">
        <f t="shared" si="1089"/>
        <v/>
      </c>
      <c r="T304" s="162" t="str">
        <f t="shared" si="1090"/>
        <v/>
      </c>
      <c r="U304" s="162" t="str">
        <f t="shared" si="1091"/>
        <v/>
      </c>
      <c r="V304" s="162" t="str">
        <f t="shared" si="1092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3"/>
        <v/>
      </c>
      <c r="Y304" s="75"/>
      <c r="Z304" s="917" t="str">
        <f t="shared" si="1094"/>
        <v/>
      </c>
      <c r="AA304" s="82"/>
      <c r="AB304" s="75"/>
      <c r="AC304" s="75"/>
      <c r="AD304" s="166"/>
      <c r="AE304" s="75">
        <v>3.1190000000000002</v>
      </c>
      <c r="AF304" s="82">
        <v>3</v>
      </c>
      <c r="AG304" s="82">
        <v>1</v>
      </c>
      <c r="AH304" s="82">
        <v>1</v>
      </c>
      <c r="AI304" s="82">
        <v>2.000000000007276</v>
      </c>
      <c r="AJ304" s="166">
        <v>3.1191200000000001</v>
      </c>
      <c r="AK304" s="82" t="str">
        <v>Base</v>
      </c>
      <c r="AL304" s="162">
        <v>-10.5</v>
      </c>
      <c r="AM304" s="162">
        <v>-3.3429717400665524</v>
      </c>
      <c r="AN304" s="162">
        <v>-0.86450221653429982</v>
      </c>
      <c r="AO304" s="162">
        <v>49.538699347768194</v>
      </c>
      <c r="AP304" s="162">
        <v>-23.58412260483729</v>
      </c>
      <c r="AQ304" s="162">
        <v>0</v>
      </c>
      <c r="AR304" s="710" t="str">
        <v>14513.par</v>
      </c>
      <c r="AV304" s="82" t="str">
        <v>0,204,0</v>
      </c>
      <c r="AW304" s="947">
        <v>50.300000000000011</v>
      </c>
      <c r="AX304" s="947">
        <v>49.538699347768194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1"/>
      <c r="N305" s="945"/>
      <c r="O305" s="946"/>
      <c r="Q305" s="162" t="str">
        <f t="shared" si="1087"/>
        <v/>
      </c>
      <c r="R305" s="162" t="str">
        <f t="shared" si="1088"/>
        <v/>
      </c>
      <c r="S305" s="162" t="str">
        <f t="shared" si="1089"/>
        <v/>
      </c>
      <c r="T305" s="162" t="str">
        <f t="shared" si="1090"/>
        <v/>
      </c>
      <c r="U305" s="162" t="str">
        <f t="shared" si="1091"/>
        <v/>
      </c>
      <c r="V305" s="162" t="str">
        <f t="shared" si="1092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3"/>
        <v/>
      </c>
      <c r="Y305" s="75"/>
      <c r="Z305" s="917" t="str">
        <f t="shared" si="1094"/>
        <v/>
      </c>
      <c r="AA305" s="82"/>
      <c r="AB305" s="75"/>
      <c r="AC305" s="75"/>
      <c r="AD305" s="166"/>
      <c r="AE305" s="75">
        <v>3.1139999999999999</v>
      </c>
      <c r="AF305" s="82">
        <v>3</v>
      </c>
      <c r="AG305" s="82">
        <v>1</v>
      </c>
      <c r="AH305" s="82">
        <v>1</v>
      </c>
      <c r="AI305" s="82">
        <v>1.9999999999708962</v>
      </c>
      <c r="AJ305" s="166">
        <v>3.1141199999999998</v>
      </c>
      <c r="AK305" s="82" t="str">
        <v>Base</v>
      </c>
      <c r="AL305" s="162">
        <v>-10.5</v>
      </c>
      <c r="AM305" s="162">
        <v>-2.801762774351626</v>
      </c>
      <c r="AN305" s="162">
        <v>-0.41940249432427062</v>
      </c>
      <c r="AO305" s="162">
        <v>23.999404618532189</v>
      </c>
      <c r="AP305" s="162">
        <v>-19.251788693323142</v>
      </c>
      <c r="AQ305" s="162">
        <v>0</v>
      </c>
      <c r="AR305" s="710" t="str">
        <v>14513.par</v>
      </c>
      <c r="AV305" s="82" t="str">
        <v>0,204,0</v>
      </c>
      <c r="AW305" s="947">
        <v>23.620000000000005</v>
      </c>
      <c r="AX305" s="947">
        <v>23.999404618532189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3"/>
      <c r="V306" s="975"/>
      <c r="W306" s="199"/>
      <c r="X306" s="199"/>
      <c r="AA306" s="82"/>
      <c r="AB306" s="75"/>
      <c r="AC306" s="75"/>
      <c r="AD306" s="166"/>
      <c r="AE306" s="75">
        <v>3.109</v>
      </c>
      <c r="AF306" s="82">
        <v>3</v>
      </c>
      <c r="AG306" s="82">
        <v>1</v>
      </c>
      <c r="AH306" s="82">
        <v>1</v>
      </c>
      <c r="AI306" s="82">
        <v>1.9999999999708962</v>
      </c>
      <c r="AJ306" s="166">
        <v>3.1091199999999999</v>
      </c>
      <c r="AK306" s="82" t="str">
        <v>Base</v>
      </c>
      <c r="AL306" s="162">
        <v>-10.5</v>
      </c>
      <c r="AM306" s="162">
        <v>-2.1148946126463919</v>
      </c>
      <c r="AN306" s="162">
        <v>-0.27983079058485877</v>
      </c>
      <c r="AO306" s="162">
        <v>-1.9524824454106047</v>
      </c>
      <c r="AP306" s="162">
        <v>-15.008916364285374</v>
      </c>
      <c r="AQ306" s="162">
        <v>0</v>
      </c>
      <c r="AR306" s="710" t="str">
        <v>14513.par</v>
      </c>
      <c r="AV306" s="82" t="str">
        <v>0,204,0</v>
      </c>
      <c r="AW306" s="947">
        <v>-2.6899999999999977</v>
      </c>
      <c r="AX306" s="947">
        <v>-1.9524824454106047</v>
      </c>
      <c r="AY306" s="947">
        <v>0</v>
      </c>
    </row>
    <row r="307" spans="2:51" x14ac:dyDescent="0.25">
      <c r="Q307" s="139"/>
      <c r="R307" s="973"/>
      <c r="V307" s="975"/>
      <c r="W307" s="199"/>
      <c r="X307" s="199"/>
      <c r="AA307" s="82"/>
      <c r="AB307" s="75"/>
      <c r="AC307" s="75"/>
      <c r="AD307" s="166"/>
      <c r="AE307" s="75">
        <v>3.1059999999999999</v>
      </c>
      <c r="AF307" s="82">
        <v>3</v>
      </c>
      <c r="AG307" s="82">
        <v>1</v>
      </c>
      <c r="AH307" s="82">
        <v>1</v>
      </c>
      <c r="AI307" s="82">
        <v>1.9999999999708962</v>
      </c>
      <c r="AJ307" s="166">
        <v>3.1061199999999998</v>
      </c>
      <c r="AK307" s="82" t="str">
        <v>Base</v>
      </c>
      <c r="AL307" s="162">
        <v>-10.5</v>
      </c>
      <c r="AM307" s="162">
        <v>-1.429605754482091</v>
      </c>
      <c r="AN307" s="162">
        <v>-0.45436040695938351</v>
      </c>
      <c r="AO307" s="162">
        <v>-5.8752888559582477</v>
      </c>
      <c r="AP307" s="162">
        <v>-15.059926167155163</v>
      </c>
      <c r="AQ307" s="162">
        <v>0</v>
      </c>
      <c r="AR307" s="710" t="str">
        <v>14513.par</v>
      </c>
      <c r="AV307" s="82" t="str">
        <v>0,204,0</v>
      </c>
      <c r="AW307" s="947">
        <v>-10</v>
      </c>
      <c r="AX307" s="947">
        <v>-5.8752888559582477</v>
      </c>
      <c r="AY307" s="947">
        <v>0</v>
      </c>
    </row>
    <row r="308" spans="2:51" x14ac:dyDescent="0.25">
      <c r="Q308" s="139"/>
      <c r="R308" s="973"/>
      <c r="V308" s="975"/>
      <c r="W308" s="199"/>
      <c r="X308" s="199"/>
      <c r="AA308" s="82"/>
      <c r="AB308" s="75"/>
      <c r="AC308" s="75"/>
      <c r="AD308" s="166"/>
      <c r="AE308" s="75">
        <v>3.1030000000000002</v>
      </c>
      <c r="AF308" s="82">
        <v>3</v>
      </c>
      <c r="AG308" s="82">
        <v>1</v>
      </c>
      <c r="AH308" s="82">
        <v>1</v>
      </c>
      <c r="AI308" s="82">
        <v>2.000000000007276</v>
      </c>
      <c r="AJ308" s="166">
        <v>3.1031200000000001</v>
      </c>
      <c r="AK308" s="82" t="str">
        <v>Base</v>
      </c>
      <c r="AL308" s="162">
        <v>-10.5</v>
      </c>
      <c r="AM308" s="162">
        <v>-0.76225350864971908</v>
      </c>
      <c r="AN308" s="162">
        <v>-0.69764647864395413</v>
      </c>
      <c r="AO308" s="162">
        <v>-10.624850163126316</v>
      </c>
      <c r="AP308" s="162">
        <v>-17.208039886648105</v>
      </c>
      <c r="AQ308" s="162">
        <v>0</v>
      </c>
      <c r="AR308" s="710" t="str">
        <v>14513.par</v>
      </c>
      <c r="AV308" s="82" t="str">
        <v>0,204,0</v>
      </c>
      <c r="AW308" s="947">
        <v>-10</v>
      </c>
      <c r="AX308" s="947">
        <v>-10.624850163126316</v>
      </c>
      <c r="AY308" s="947">
        <v>0</v>
      </c>
    </row>
    <row r="309" spans="2:51" x14ac:dyDescent="0.25">
      <c r="E309" s="1085" t="s">
        <v>11</v>
      </c>
      <c r="F309" s="1086"/>
      <c r="G309" s="1087" t="s">
        <v>10</v>
      </c>
      <c r="H309" s="976" t="s">
        <v>15</v>
      </c>
      <c r="I309" s="977" t="s">
        <v>16</v>
      </c>
      <c r="Q309" s="139"/>
      <c r="R309" s="973"/>
      <c r="V309" s="975"/>
      <c r="W309" s="199"/>
      <c r="X309" s="199"/>
      <c r="AA309" s="82"/>
      <c r="AB309" s="75"/>
      <c r="AC309" s="75"/>
      <c r="AD309" s="166"/>
      <c r="AE309" s="75">
        <v>2.23</v>
      </c>
      <c r="AF309" s="82">
        <v>2</v>
      </c>
      <c r="AG309" s="82">
        <v>2</v>
      </c>
      <c r="AH309" s="82">
        <v>1</v>
      </c>
      <c r="AI309" s="82">
        <v>1.9999999999708962</v>
      </c>
      <c r="AJ309" s="166">
        <v>2.2301199999999999</v>
      </c>
      <c r="AK309" s="82" t="str">
        <v>Base</v>
      </c>
      <c r="AL309" s="162">
        <v>-9.75</v>
      </c>
      <c r="AM309" s="162">
        <v>-3.6674116518398745</v>
      </c>
      <c r="AN309" s="162">
        <v>-2.4395804490674671</v>
      </c>
      <c r="AO309" s="162">
        <v>84.999987727520178</v>
      </c>
      <c r="AP309" s="162">
        <v>0</v>
      </c>
      <c r="AQ309" s="162">
        <v>0</v>
      </c>
      <c r="AR309" s="710" t="str">
        <v>32193r1.par</v>
      </c>
      <c r="AV309" s="82" t="str">
        <v>255,255,91</v>
      </c>
      <c r="AW309" s="947">
        <v>85</v>
      </c>
      <c r="AX309" s="947">
        <v>84.999987727520178</v>
      </c>
      <c r="AY309" s="947">
        <v>0</v>
      </c>
    </row>
    <row r="310" spans="2:51" ht="15.75" thickBot="1" x14ac:dyDescent="0.3">
      <c r="E310" s="978" t="s">
        <v>18</v>
      </c>
      <c r="F310" s="979" t="s">
        <v>19</v>
      </c>
      <c r="G310" s="1088"/>
      <c r="H310" s="980" t="s">
        <v>26</v>
      </c>
      <c r="I310" s="981" t="s">
        <v>27</v>
      </c>
      <c r="J310" s="31" t="s">
        <v>422</v>
      </c>
      <c r="Q310" s="139"/>
      <c r="R310" s="973"/>
      <c r="V310" s="975"/>
      <c r="W310" s="199"/>
      <c r="X310" s="199"/>
      <c r="AA310" s="82"/>
      <c r="AB310" s="75"/>
      <c r="AC310" s="75"/>
      <c r="AD310" s="166"/>
      <c r="AE310" s="75">
        <v>2.2250000000000001</v>
      </c>
      <c r="AF310" s="82">
        <v>2</v>
      </c>
      <c r="AG310" s="82">
        <v>2</v>
      </c>
      <c r="AH310" s="82">
        <v>1</v>
      </c>
      <c r="AI310" s="82">
        <v>2.000000000007276</v>
      </c>
      <c r="AJ310" s="166">
        <v>2.22512</v>
      </c>
      <c r="AK310" s="82" t="str">
        <v>Base</v>
      </c>
      <c r="AL310" s="162">
        <v>-9.75</v>
      </c>
      <c r="AM310" s="162">
        <v>-3.6152562378443953</v>
      </c>
      <c r="AN310" s="162">
        <v>-1.7017406951492444</v>
      </c>
      <c r="AO310" s="162">
        <v>82.989988017728265</v>
      </c>
      <c r="AP310" s="162">
        <v>0</v>
      </c>
      <c r="AQ310" s="162">
        <v>0</v>
      </c>
      <c r="AR310" s="710" t="str">
        <v>32193r1.par</v>
      </c>
      <c r="AV310" s="82" t="str">
        <v>255,255,91</v>
      </c>
      <c r="AW310" s="947">
        <v>82.990000000000009</v>
      </c>
      <c r="AX310" s="947">
        <v>82.989988017728265</v>
      </c>
      <c r="AY310" s="947">
        <v>0</v>
      </c>
    </row>
    <row r="311" spans="2:51" ht="15.75" thickTop="1" x14ac:dyDescent="0.25">
      <c r="D311" s="163">
        <v>1.101</v>
      </c>
      <c r="E311">
        <f>INDEX($Q$9:$Q$150,MATCH($D311,$M$9:$M$150,0))</f>
        <v>86.655777989133966</v>
      </c>
      <c r="F311">
        <f>INDEX($R$9:$R$150,MATCH($D311,$M$9:$M$150,0))</f>
        <v>0.31788498635130003</v>
      </c>
      <c r="G311">
        <f>INDEX($S$9:$S$150,MATCH($D311,$M$9:$M$150,0))</f>
        <v>-0.71062133881658018</v>
      </c>
      <c r="H311">
        <f>INDEX($AN$9:$AN$150,MATCH($D311,$M$9:$M$150,0))</f>
        <v>15.966012167147152</v>
      </c>
      <c r="I311">
        <f>INDEX($AO$9:$AO$150,MATCH($D311,$M$9:$M$150,0))</f>
        <v>22.696199576154587</v>
      </c>
      <c r="J311" s="974">
        <v>70</v>
      </c>
      <c r="Q311" s="139"/>
      <c r="R311" s="973"/>
      <c r="V311" s="975"/>
      <c r="W311" s="199"/>
      <c r="X311" s="199"/>
      <c r="AA311" s="82"/>
      <c r="AB311" s="75"/>
      <c r="AC311" s="75"/>
      <c r="AD311" s="166"/>
      <c r="AE311" s="75">
        <v>2.2200000000000002</v>
      </c>
      <c r="AF311" s="82">
        <v>2</v>
      </c>
      <c r="AG311" s="82">
        <v>2</v>
      </c>
      <c r="AH311" s="82">
        <v>1</v>
      </c>
      <c r="AI311" s="82">
        <v>2.000000000007276</v>
      </c>
      <c r="AJ311" s="166">
        <v>2.2201200000000001</v>
      </c>
      <c r="AK311" s="82" t="str">
        <v>Base</v>
      </c>
      <c r="AL311" s="162">
        <v>-9.75</v>
      </c>
      <c r="AM311" s="162">
        <v>-3.4304209952660867</v>
      </c>
      <c r="AN311" s="162">
        <v>-1.0266591226260033</v>
      </c>
      <c r="AO311" s="162">
        <v>54.705811379517804</v>
      </c>
      <c r="AP311" s="162">
        <v>-29.468631118943247</v>
      </c>
      <c r="AQ311" s="162">
        <v>0</v>
      </c>
      <c r="AR311" s="710" t="str">
        <v>1313.par</v>
      </c>
      <c r="AV311" s="82" t="str">
        <v>255,255,91</v>
      </c>
      <c r="AW311" s="947">
        <v>55.699999999999989</v>
      </c>
      <c r="AX311" s="947">
        <v>54.705811379517804</v>
      </c>
      <c r="AY311" s="947">
        <v>0</v>
      </c>
    </row>
    <row r="312" spans="2:51" x14ac:dyDescent="0.25">
      <c r="D312" s="164">
        <v>1.1040000000000001</v>
      </c>
      <c r="E312">
        <f t="shared" ref="E312:E357" si="1095">INDEX($Q$9:$Q$150,MATCH($D312,$M$9:$M$150,0))</f>
        <v>88.881256140147784</v>
      </c>
      <c r="F312">
        <f t="shared" ref="F312:F357" si="1096">INDEX($R$9:$R$150,MATCH($D312,$M$9:$M$150,0))</f>
        <v>0.98467113477462354</v>
      </c>
      <c r="G312">
        <f t="shared" ref="G312:G357" si="1097">INDEX($S$9:$S$150,MATCH($D312,$M$9:$M$150,0))</f>
        <v>-0.46569315587826976</v>
      </c>
      <c r="H312">
        <f t="shared" ref="H312:H357" si="1098">INDEX($AN$9:$AN$150,MATCH($D312,$M$9:$M$150,0))</f>
        <v>8.8567301349358249</v>
      </c>
      <c r="I312">
        <f t="shared" ref="I312:I357" si="1099">INDEX($AO$9:$AO$150,MATCH($D312,$M$9:$M$150,0))</f>
        <v>16.135028242540422</v>
      </c>
      <c r="J312" s="974">
        <v>70</v>
      </c>
      <c r="Q312" s="139"/>
      <c r="R312" s="973"/>
      <c r="V312" s="975"/>
      <c r="W312" s="199"/>
      <c r="X312" s="199"/>
      <c r="AA312" s="82"/>
      <c r="AB312" s="75"/>
      <c r="AC312" s="75"/>
      <c r="AD312" s="166"/>
      <c r="AE312" s="75">
        <v>2.2149999999999999</v>
      </c>
      <c r="AF312" s="82">
        <v>2</v>
      </c>
      <c r="AG312" s="82">
        <v>2</v>
      </c>
      <c r="AH312" s="82">
        <v>1</v>
      </c>
      <c r="AI312" s="82">
        <v>1.9999999999708962</v>
      </c>
      <c r="AJ312" s="166">
        <v>2.2151199999999998</v>
      </c>
      <c r="AK312" s="82" t="str">
        <v>Base</v>
      </c>
      <c r="AL312" s="162">
        <v>-9.75</v>
      </c>
      <c r="AM312" s="162">
        <v>-2.9302797798722637</v>
      </c>
      <c r="AN312" s="162">
        <v>-0.53075071388023087</v>
      </c>
      <c r="AO312" s="162">
        <v>29.347346360517605</v>
      </c>
      <c r="AP312" s="162">
        <v>-25.119072540244474</v>
      </c>
      <c r="AQ312" s="162">
        <v>0</v>
      </c>
      <c r="AR312" s="710" t="str">
        <v>1313.par</v>
      </c>
      <c r="AV312" s="82" t="str">
        <v>255,255,91</v>
      </c>
      <c r="AW312" s="947">
        <v>28.92</v>
      </c>
      <c r="AX312" s="947">
        <v>29.347346360517605</v>
      </c>
      <c r="AY312" s="947">
        <v>0</v>
      </c>
    </row>
    <row r="313" spans="2:51" x14ac:dyDescent="0.25">
      <c r="D313" s="164">
        <v>1.107</v>
      </c>
      <c r="E313">
        <f t="shared" si="1095"/>
        <v>89.330006871931516</v>
      </c>
      <c r="F313">
        <f t="shared" si="1096"/>
        <v>1.652098587536414</v>
      </c>
      <c r="G313">
        <f t="shared" si="1097"/>
        <v>-0.22227388163737269</v>
      </c>
      <c r="H313">
        <f t="shared" si="1098"/>
        <v>4.493356957443849</v>
      </c>
      <c r="I313">
        <f t="shared" si="1099"/>
        <v>15.037952247761927</v>
      </c>
      <c r="J313" s="974">
        <v>76.8</v>
      </c>
      <c r="Q313" s="139"/>
      <c r="R313" s="973"/>
      <c r="V313" s="975"/>
      <c r="W313" s="199"/>
      <c r="X313" s="199"/>
      <c r="AA313" s="82"/>
      <c r="AB313" s="75"/>
      <c r="AC313" s="75"/>
      <c r="AD313" s="166"/>
      <c r="AE313" s="75">
        <v>2.13</v>
      </c>
      <c r="AF313" s="82">
        <v>2</v>
      </c>
      <c r="AG313" s="82">
        <v>1</v>
      </c>
      <c r="AH313" s="82">
        <v>1</v>
      </c>
      <c r="AI313" s="82">
        <v>1.9999999999708962</v>
      </c>
      <c r="AJ313" s="166">
        <v>2.1301199999999998</v>
      </c>
      <c r="AK313" s="82" t="str">
        <v>Base</v>
      </c>
      <c r="AL313" s="162">
        <v>-9</v>
      </c>
      <c r="AM313" s="162">
        <v>-3.7054897408941274</v>
      </c>
      <c r="AN313" s="162">
        <v>-2.4333146598097048</v>
      </c>
      <c r="AO313" s="162">
        <v>84.959174548900066</v>
      </c>
      <c r="AP313" s="162">
        <v>-29.733205429582988</v>
      </c>
      <c r="AQ313" s="162">
        <v>0</v>
      </c>
      <c r="AR313" s="710" t="str">
        <v>14513.par</v>
      </c>
      <c r="AV313" s="82" t="str">
        <v>204,204,0</v>
      </c>
      <c r="AW313" s="947">
        <v>85</v>
      </c>
      <c r="AX313" s="947">
        <v>84.959174548900066</v>
      </c>
      <c r="AY313" s="947">
        <v>0</v>
      </c>
    </row>
    <row r="314" spans="2:51" x14ac:dyDescent="0.25">
      <c r="D314" s="164">
        <v>1.111</v>
      </c>
      <c r="E314">
        <f t="shared" si="1095"/>
        <v>89.384324588669486</v>
      </c>
      <c r="F314">
        <f t="shared" si="1096"/>
        <v>2.3973819696575993</v>
      </c>
      <c r="G314">
        <f t="shared" si="1097"/>
        <v>-0.14318161297137599</v>
      </c>
      <c r="H314">
        <f t="shared" si="1098"/>
        <v>-8.4969280152892388</v>
      </c>
      <c r="I314">
        <f t="shared" si="1099"/>
        <v>16.691140944800519</v>
      </c>
      <c r="J314" s="974">
        <v>95.3</v>
      </c>
      <c r="Q314" s="139"/>
      <c r="R314" s="973"/>
      <c r="V314" s="975"/>
      <c r="W314" s="199"/>
      <c r="X314" s="199"/>
      <c r="AA314" s="82"/>
      <c r="AB314" s="75"/>
      <c r="AC314" s="75"/>
      <c r="AD314" s="166"/>
      <c r="AE314" s="75">
        <v>2.125</v>
      </c>
      <c r="AF314" s="82">
        <v>2</v>
      </c>
      <c r="AG314" s="82">
        <v>1</v>
      </c>
      <c r="AH314" s="82">
        <v>1</v>
      </c>
      <c r="AI314" s="82">
        <v>2.000000000007276</v>
      </c>
      <c r="AJ314" s="166">
        <v>2.1251199999999999</v>
      </c>
      <c r="AK314" s="82" t="str">
        <v>Base</v>
      </c>
      <c r="AL314" s="162">
        <v>-9</v>
      </c>
      <c r="AM314" s="162">
        <v>-3.6507686153359904</v>
      </c>
      <c r="AN314" s="162">
        <v>-1.6925909646535455</v>
      </c>
      <c r="AO314" s="162">
        <v>79.91365573728622</v>
      </c>
      <c r="AP314" s="162">
        <v>-28.847628083391658</v>
      </c>
      <c r="AQ314" s="162">
        <v>0</v>
      </c>
      <c r="AR314" s="710" t="str">
        <v>14513.par</v>
      </c>
      <c r="AV314" s="82" t="str">
        <v>204,204,0</v>
      </c>
      <c r="AW314" s="947">
        <v>82.990000000000009</v>
      </c>
      <c r="AX314" s="947">
        <v>79.91365573728622</v>
      </c>
      <c r="AY314" s="947">
        <v>0</v>
      </c>
    </row>
    <row r="315" spans="2:51" x14ac:dyDescent="0.25">
      <c r="D315" s="164">
        <v>1.117</v>
      </c>
      <c r="E315" t="e">
        <f t="shared" si="1095"/>
        <v>#N/A</v>
      </c>
      <c r="F315" t="e">
        <f t="shared" si="1096"/>
        <v>#N/A</v>
      </c>
      <c r="G315" t="e">
        <f t="shared" si="1097"/>
        <v>#N/A</v>
      </c>
      <c r="H315" t="e">
        <f t="shared" si="1098"/>
        <v>#N/A</v>
      </c>
      <c r="I315" t="e">
        <f t="shared" si="1099"/>
        <v>#N/A</v>
      </c>
      <c r="J315" s="974">
        <v>114.3</v>
      </c>
      <c r="Q315" s="139"/>
      <c r="R315" s="973"/>
      <c r="V315" s="975"/>
      <c r="W315" s="199"/>
      <c r="X315" s="199"/>
      <c r="AA315" s="82"/>
      <c r="AB315" s="75"/>
      <c r="AC315" s="75"/>
      <c r="AD315" s="166"/>
      <c r="AE315" s="75">
        <v>2.12</v>
      </c>
      <c r="AF315" s="82">
        <v>2</v>
      </c>
      <c r="AG315" s="82">
        <v>1</v>
      </c>
      <c r="AH315" s="82">
        <v>1</v>
      </c>
      <c r="AI315" s="82">
        <v>2.000000000007276</v>
      </c>
      <c r="AJ315" s="166">
        <v>2.12012</v>
      </c>
      <c r="AK315" s="82" t="str">
        <v>Base</v>
      </c>
      <c r="AL315" s="162">
        <v>-9</v>
      </c>
      <c r="AM315" s="162">
        <v>-3.4229111071668892</v>
      </c>
      <c r="AN315" s="162">
        <v>-1.0297346668383791</v>
      </c>
      <c r="AO315" s="162">
        <v>54.616826931126944</v>
      </c>
      <c r="AP315" s="162">
        <v>-24.457328545074276</v>
      </c>
      <c r="AQ315" s="162">
        <v>0</v>
      </c>
      <c r="AR315" s="710" t="str">
        <v>14513.par</v>
      </c>
      <c r="AV315" s="82" t="str">
        <v>204,204,0</v>
      </c>
      <c r="AW315" s="947">
        <v>55.699999999999989</v>
      </c>
      <c r="AX315" s="947">
        <v>54.616826931126944</v>
      </c>
      <c r="AY315" s="947">
        <v>0</v>
      </c>
    </row>
    <row r="316" spans="2:51" x14ac:dyDescent="0.25">
      <c r="D316" s="164">
        <v>1.123</v>
      </c>
      <c r="E316" t="e">
        <f t="shared" si="1095"/>
        <v>#N/A</v>
      </c>
      <c r="F316" t="e">
        <f t="shared" si="1096"/>
        <v>#N/A</v>
      </c>
      <c r="G316" t="e">
        <f t="shared" si="1097"/>
        <v>#N/A</v>
      </c>
      <c r="H316" t="e">
        <f t="shared" si="1098"/>
        <v>#N/A</v>
      </c>
      <c r="I316" t="e">
        <f t="shared" si="1099"/>
        <v>#N/A</v>
      </c>
      <c r="J316" s="974">
        <v>133.4</v>
      </c>
      <c r="Q316" s="139"/>
      <c r="R316" s="973"/>
      <c r="V316" s="975"/>
      <c r="W316" s="199"/>
      <c r="X316" s="199"/>
      <c r="AA316" s="82"/>
      <c r="AB316" s="75"/>
      <c r="AC316" s="75"/>
      <c r="AD316" s="166"/>
      <c r="AE316" s="75">
        <v>2.1150000000000002</v>
      </c>
      <c r="AF316" s="82">
        <v>2</v>
      </c>
      <c r="AG316" s="82">
        <v>1</v>
      </c>
      <c r="AH316" s="82">
        <v>1</v>
      </c>
      <c r="AI316" s="82">
        <v>2.000000000007276</v>
      </c>
      <c r="AJ316" s="166">
        <v>2.1151200000000001</v>
      </c>
      <c r="AK316" s="82" t="str">
        <v>Base</v>
      </c>
      <c r="AL316" s="162">
        <v>-9</v>
      </c>
      <c r="AM316" s="162">
        <v>-2.9262005695703541</v>
      </c>
      <c r="AN316" s="162">
        <v>-0.53540279101556854</v>
      </c>
      <c r="AO316" s="162">
        <v>29.131847697982931</v>
      </c>
      <c r="AP316" s="162">
        <v>-20.112874810640083</v>
      </c>
      <c r="AQ316" s="162">
        <v>0</v>
      </c>
      <c r="AR316" s="710" t="str">
        <v>14513.par</v>
      </c>
      <c r="AV316" s="82" t="str">
        <v>204,204,0</v>
      </c>
      <c r="AW316" s="947">
        <v>28.92</v>
      </c>
      <c r="AX316" s="947">
        <v>29.131847697982931</v>
      </c>
      <c r="AY316" s="947">
        <v>0</v>
      </c>
    </row>
    <row r="317" spans="2:51" x14ac:dyDescent="0.25">
      <c r="D317" s="164">
        <v>1.129</v>
      </c>
      <c r="E317" t="e">
        <f t="shared" si="1095"/>
        <v>#N/A</v>
      </c>
      <c r="F317" t="e">
        <f t="shared" si="1096"/>
        <v>#N/A</v>
      </c>
      <c r="G317" t="e">
        <f t="shared" si="1097"/>
        <v>#N/A</v>
      </c>
      <c r="H317" t="e">
        <f t="shared" si="1098"/>
        <v>#N/A</v>
      </c>
      <c r="I317" t="e">
        <f t="shared" si="1099"/>
        <v>#N/A</v>
      </c>
      <c r="J317" s="974">
        <v>152.4</v>
      </c>
      <c r="Q317" s="139"/>
      <c r="R317" s="973"/>
      <c r="V317" s="975"/>
      <c r="W317" s="199"/>
      <c r="X317" s="199"/>
      <c r="AA317" s="82"/>
      <c r="AB317" s="75"/>
      <c r="AC317" s="75"/>
      <c r="AD317" s="166"/>
      <c r="AE317" s="75">
        <v>2.11</v>
      </c>
      <c r="AF317" s="82">
        <v>2</v>
      </c>
      <c r="AG317" s="82">
        <v>1</v>
      </c>
      <c r="AH317" s="82">
        <v>1</v>
      </c>
      <c r="AI317" s="82">
        <v>1.9999999999708962</v>
      </c>
      <c r="AJ317" s="166">
        <v>2.1101199999999998</v>
      </c>
      <c r="AK317" s="82" t="str">
        <v>Base</v>
      </c>
      <c r="AL317" s="162">
        <v>-9</v>
      </c>
      <c r="AM317" s="162">
        <v>-2.2565117770054361</v>
      </c>
      <c r="AN317" s="162">
        <v>-0.32870400851010212</v>
      </c>
      <c r="AO317" s="162">
        <v>3.2856948997619564</v>
      </c>
      <c r="AP317" s="162">
        <v>-15.847059512467744</v>
      </c>
      <c r="AQ317" s="162">
        <v>0</v>
      </c>
      <c r="AR317" s="710" t="str">
        <v>14513.par</v>
      </c>
      <c r="AV317" s="82" t="str">
        <v>204,204,0</v>
      </c>
      <c r="AW317" s="947">
        <v>2.5600000000000023</v>
      </c>
      <c r="AX317" s="947">
        <v>3.2856948997619564</v>
      </c>
      <c r="AY317" s="947">
        <v>0</v>
      </c>
    </row>
    <row r="318" spans="2:51" x14ac:dyDescent="0.25">
      <c r="D318" s="164">
        <v>1.135</v>
      </c>
      <c r="E318" t="e">
        <f t="shared" si="1095"/>
        <v>#N/A</v>
      </c>
      <c r="F318" t="e">
        <f t="shared" si="1096"/>
        <v>#N/A</v>
      </c>
      <c r="G318" t="e">
        <f t="shared" si="1097"/>
        <v>#N/A</v>
      </c>
      <c r="H318" t="e">
        <f t="shared" si="1098"/>
        <v>#N/A</v>
      </c>
      <c r="I318" t="e">
        <f t="shared" si="1099"/>
        <v>#N/A</v>
      </c>
      <c r="J318" s="974">
        <v>171</v>
      </c>
      <c r="Q318" s="139"/>
      <c r="R318" s="973"/>
      <c r="V318" s="975"/>
      <c r="W318" s="199"/>
      <c r="X318" s="199"/>
      <c r="AA318" s="82"/>
      <c r="AB318" s="75"/>
      <c r="AC318" s="75"/>
      <c r="AD318" s="166"/>
      <c r="AE318" s="75">
        <v>1.2310000000000001</v>
      </c>
      <c r="AF318" s="82">
        <v>1</v>
      </c>
      <c r="AG318" s="82">
        <v>2</v>
      </c>
      <c r="AH318" s="82">
        <v>1</v>
      </c>
      <c r="AI318" s="82">
        <v>2.000000000007276</v>
      </c>
      <c r="AJ318" s="166">
        <v>1.23112</v>
      </c>
      <c r="AK318" s="82" t="str">
        <v>Base</v>
      </c>
      <c r="AL318" s="162">
        <v>-8.25</v>
      </c>
      <c r="AM318" s="162">
        <v>-3.6674116518398741</v>
      </c>
      <c r="AN318" s="162">
        <v>-2.6337820330264838</v>
      </c>
      <c r="AO318" s="162">
        <v>84.999987727520178</v>
      </c>
      <c r="AP318" s="162">
        <v>0</v>
      </c>
      <c r="AQ318" s="162">
        <v>0</v>
      </c>
      <c r="AR318" s="710" t="str">
        <v>32193r1.par</v>
      </c>
      <c r="AV318" s="82" t="str">
        <v>255,188,121</v>
      </c>
      <c r="AW318" s="947">
        <v>85</v>
      </c>
      <c r="AX318" s="947">
        <v>84.999987727520178</v>
      </c>
      <c r="AY318" s="947">
        <v>0</v>
      </c>
    </row>
    <row r="319" spans="2:51" x14ac:dyDescent="0.25">
      <c r="D319" s="164">
        <v>1.141</v>
      </c>
      <c r="E319" t="e">
        <f t="shared" si="1095"/>
        <v>#N/A</v>
      </c>
      <c r="F319" t="e">
        <f t="shared" si="1096"/>
        <v>#N/A</v>
      </c>
      <c r="G319" t="e">
        <f t="shared" si="1097"/>
        <v>#N/A</v>
      </c>
      <c r="H319" t="e">
        <f t="shared" si="1098"/>
        <v>#N/A</v>
      </c>
      <c r="I319" t="e">
        <f t="shared" si="1099"/>
        <v>#N/A</v>
      </c>
      <c r="J319" s="974">
        <v>175</v>
      </c>
      <c r="Q319" s="139"/>
      <c r="R319" s="973"/>
      <c r="V319" s="975"/>
      <c r="W319" s="199"/>
      <c r="X319" s="199"/>
      <c r="AA319" s="82"/>
      <c r="AB319" s="75"/>
      <c r="AC319" s="75"/>
      <c r="AD319" s="166"/>
      <c r="AE319" s="75">
        <v>1.226</v>
      </c>
      <c r="AF319" s="82">
        <v>1</v>
      </c>
      <c r="AG319" s="82">
        <v>2</v>
      </c>
      <c r="AH319" s="82">
        <v>1</v>
      </c>
      <c r="AI319" s="82">
        <v>1.9999999999890861</v>
      </c>
      <c r="AJ319" s="166">
        <v>1.2261199999999999</v>
      </c>
      <c r="AK319" s="82" t="str">
        <v>Base</v>
      </c>
      <c r="AL319" s="162">
        <v>-8.25</v>
      </c>
      <c r="AM319" s="162">
        <v>-3.6219115146114604</v>
      </c>
      <c r="AN319" s="162">
        <v>-1.8918790243025911</v>
      </c>
      <c r="AO319" s="162">
        <v>84.999987727520192</v>
      </c>
      <c r="AP319" s="162">
        <v>0</v>
      </c>
      <c r="AQ319" s="162">
        <v>0</v>
      </c>
      <c r="AR319" s="710" t="str">
        <v>32193r1.par</v>
      </c>
      <c r="AV319" s="82" t="str">
        <v>255,188,121</v>
      </c>
      <c r="AW319" s="947">
        <v>85</v>
      </c>
      <c r="AX319" s="947">
        <v>84.999987727520192</v>
      </c>
      <c r="AY319" s="947">
        <v>0</v>
      </c>
    </row>
    <row r="320" spans="2:51" x14ac:dyDescent="0.25">
      <c r="D320" s="164">
        <v>2.11</v>
      </c>
      <c r="E320">
        <f t="shared" si="1095"/>
        <v>14.441512767698512</v>
      </c>
      <c r="F320">
        <f t="shared" si="1096"/>
        <v>2.2565117770054361</v>
      </c>
      <c r="G320">
        <f t="shared" si="1097"/>
        <v>-0.12885280381004161</v>
      </c>
      <c r="H320">
        <f t="shared" si="1098"/>
        <v>-3.2856948997619564</v>
      </c>
      <c r="I320">
        <f t="shared" si="1099"/>
        <v>15.847059512467744</v>
      </c>
      <c r="J320" s="974">
        <v>92.1</v>
      </c>
      <c r="Q320" s="139"/>
      <c r="R320" s="973"/>
      <c r="V320" s="975"/>
      <c r="W320" s="199"/>
      <c r="X320" s="199"/>
      <c r="AA320" s="82"/>
      <c r="AB320" s="75"/>
      <c r="AC320" s="75"/>
      <c r="AD320" s="166"/>
      <c r="AE320" s="75">
        <v>1.2210000000000001</v>
      </c>
      <c r="AF320" s="82">
        <v>1</v>
      </c>
      <c r="AG320" s="82">
        <v>2</v>
      </c>
      <c r="AH320" s="82">
        <v>1</v>
      </c>
      <c r="AI320" s="82">
        <v>2.000000000007276</v>
      </c>
      <c r="AJ320" s="166">
        <v>1.22112</v>
      </c>
      <c r="AK320" s="82" t="str">
        <v>Base</v>
      </c>
      <c r="AL320" s="162">
        <v>-8.25</v>
      </c>
      <c r="AM320" s="162">
        <v>-3.4999726850193795</v>
      </c>
      <c r="AN320" s="162">
        <v>-1.202660723507329</v>
      </c>
      <c r="AO320" s="162">
        <v>59.759556997406193</v>
      </c>
      <c r="AP320" s="162">
        <v>-30.344438639895046</v>
      </c>
      <c r="AQ320" s="162">
        <v>0</v>
      </c>
      <c r="AR320" s="710" t="str">
        <v>1313.par</v>
      </c>
      <c r="AV320" s="82" t="str">
        <v>255,188,121</v>
      </c>
      <c r="AW320" s="947">
        <v>61.129999999999995</v>
      </c>
      <c r="AX320" s="947">
        <v>59.759556997406193</v>
      </c>
      <c r="AY320" s="947">
        <v>0</v>
      </c>
    </row>
    <row r="321" spans="4:51" x14ac:dyDescent="0.25">
      <c r="D321" s="164">
        <v>2.1160000000000001</v>
      </c>
      <c r="E321" t="e">
        <f t="shared" si="1095"/>
        <v>#N/A</v>
      </c>
      <c r="F321" t="e">
        <f t="shared" si="1096"/>
        <v>#N/A</v>
      </c>
      <c r="G321" t="e">
        <f t="shared" si="1097"/>
        <v>#N/A</v>
      </c>
      <c r="H321" t="e">
        <f t="shared" si="1098"/>
        <v>#N/A</v>
      </c>
      <c r="I321" t="e">
        <f t="shared" si="1099"/>
        <v>#N/A</v>
      </c>
      <c r="J321" s="974">
        <v>111.2</v>
      </c>
      <c r="Q321" s="139"/>
      <c r="R321" s="973"/>
      <c r="V321" s="975"/>
      <c r="W321" s="199"/>
      <c r="X321" s="199"/>
      <c r="AA321" s="82"/>
      <c r="AB321" s="75"/>
      <c r="AC321" s="75"/>
      <c r="AD321" s="166"/>
      <c r="AE321" s="75">
        <v>1.216</v>
      </c>
      <c r="AF321" s="82">
        <v>1</v>
      </c>
      <c r="AG321" s="82">
        <v>2</v>
      </c>
      <c r="AH321" s="82">
        <v>1</v>
      </c>
      <c r="AI321" s="82">
        <v>1.9999999999890861</v>
      </c>
      <c r="AJ321" s="166">
        <v>1.2161199999999999</v>
      </c>
      <c r="AK321" s="82" t="str">
        <v>Base</v>
      </c>
      <c r="AL321" s="162">
        <v>-8.25</v>
      </c>
      <c r="AM321" s="162">
        <v>-3.0482256677523303</v>
      </c>
      <c r="AN321" s="162">
        <v>-0.66218727306929182</v>
      </c>
      <c r="AO321" s="162">
        <v>34.433429937894488</v>
      </c>
      <c r="AP321" s="162">
        <v>-25.984322344903283</v>
      </c>
      <c r="AQ321" s="162">
        <v>0</v>
      </c>
      <c r="AR321" s="710" t="str">
        <v>1313.par</v>
      </c>
      <c r="AV321" s="82" t="str">
        <v>255,188,121</v>
      </c>
      <c r="AW321" s="947">
        <v>34.230000000000004</v>
      </c>
      <c r="AX321" s="947">
        <v>34.433429937894488</v>
      </c>
      <c r="AY321" s="947">
        <v>0</v>
      </c>
    </row>
    <row r="322" spans="4:51" x14ac:dyDescent="0.25">
      <c r="D322" s="164">
        <v>2.1219999999999999</v>
      </c>
      <c r="E322" t="e">
        <f t="shared" si="1095"/>
        <v>#N/A</v>
      </c>
      <c r="F322" t="e">
        <f t="shared" si="1096"/>
        <v>#N/A</v>
      </c>
      <c r="G322" t="e">
        <f t="shared" si="1097"/>
        <v>#N/A</v>
      </c>
      <c r="H322" t="e">
        <f t="shared" si="1098"/>
        <v>#N/A</v>
      </c>
      <c r="I322" t="e">
        <f t="shared" si="1099"/>
        <v>#N/A</v>
      </c>
      <c r="J322" s="974">
        <v>130.30000000000001</v>
      </c>
      <c r="Q322" s="139"/>
      <c r="R322" s="973"/>
      <c r="V322" s="975"/>
      <c r="W322" s="199"/>
      <c r="X322" s="199"/>
      <c r="AA322" s="82"/>
      <c r="AB322" s="75"/>
      <c r="AC322" s="75"/>
      <c r="AD322" s="166"/>
      <c r="AE322" s="75">
        <v>1.2110000000000001</v>
      </c>
      <c r="AF322" s="82">
        <v>1</v>
      </c>
      <c r="AG322" s="82">
        <v>2</v>
      </c>
      <c r="AH322" s="82">
        <v>1</v>
      </c>
      <c r="AI322" s="82">
        <v>1.9999999999890861</v>
      </c>
      <c r="AJ322" s="166">
        <v>1.21112</v>
      </c>
      <c r="AK322" s="82" t="str">
        <v>Base</v>
      </c>
      <c r="AL322" s="162">
        <v>-8.25</v>
      </c>
      <c r="AM322" s="162">
        <v>-2.3986349300699432</v>
      </c>
      <c r="AN322" s="162">
        <v>-0.39077542876005106</v>
      </c>
      <c r="AO322" s="162">
        <v>8.9017554788769413</v>
      </c>
      <c r="AP322" s="162">
        <v>-21.691845055181382</v>
      </c>
      <c r="AQ322" s="162">
        <v>0</v>
      </c>
      <c r="AR322" s="710" t="str">
        <v>1313.par</v>
      </c>
      <c r="AV322" s="82" t="str">
        <v>255,188,121</v>
      </c>
      <c r="AW322" s="947">
        <v>7.8199999999999932</v>
      </c>
      <c r="AX322" s="947">
        <v>8.9017554788769413</v>
      </c>
      <c r="AY322" s="947">
        <v>0</v>
      </c>
    </row>
    <row r="323" spans="4:51" x14ac:dyDescent="0.25">
      <c r="D323" s="164">
        <v>2.1280000000000001</v>
      </c>
      <c r="E323" t="e">
        <f t="shared" si="1095"/>
        <v>#N/A</v>
      </c>
      <c r="F323" t="e">
        <f t="shared" si="1096"/>
        <v>#N/A</v>
      </c>
      <c r="G323" t="e">
        <f t="shared" si="1097"/>
        <v>#N/A</v>
      </c>
      <c r="H323" t="e">
        <f t="shared" si="1098"/>
        <v>#N/A</v>
      </c>
      <c r="I323" t="e">
        <f t="shared" si="1099"/>
        <v>#N/A</v>
      </c>
      <c r="J323" s="974">
        <v>149.19999999999999</v>
      </c>
      <c r="Q323" s="139"/>
      <c r="R323" s="973"/>
      <c r="V323" s="975"/>
      <c r="W323" s="199"/>
      <c r="X323" s="199"/>
      <c r="AA323" s="82"/>
      <c r="AB323" s="75"/>
      <c r="AC323" s="75"/>
      <c r="AD323" s="166"/>
      <c r="AE323" s="75">
        <v>1.2070000000000001</v>
      </c>
      <c r="AF323" s="82">
        <v>1</v>
      </c>
      <c r="AG323" s="82">
        <v>2</v>
      </c>
      <c r="AH323" s="82">
        <v>1</v>
      </c>
      <c r="AI323" s="82">
        <v>1.9999999999890861</v>
      </c>
      <c r="AJ323" s="166">
        <v>1.20712</v>
      </c>
      <c r="AK323" s="82" t="str">
        <v>Base</v>
      </c>
      <c r="AL323" s="162">
        <v>-8.25</v>
      </c>
      <c r="AM323" s="162">
        <v>-1.6523245503053037</v>
      </c>
      <c r="AN323" s="162">
        <v>-0.4892516908697383</v>
      </c>
      <c r="AO323" s="162">
        <v>-5.9999991337073064</v>
      </c>
      <c r="AP323" s="162">
        <v>0</v>
      </c>
      <c r="AQ323" s="162">
        <v>0</v>
      </c>
      <c r="AR323" s="710" t="str">
        <v>32193r1.par</v>
      </c>
      <c r="AV323" s="82" t="str">
        <v>255,188,121</v>
      </c>
      <c r="AW323" s="947">
        <v>-20</v>
      </c>
      <c r="AX323" s="947">
        <v>-5.9999991337073064</v>
      </c>
      <c r="AY323" s="947">
        <v>0</v>
      </c>
    </row>
    <row r="324" spans="4:51" x14ac:dyDescent="0.25">
      <c r="D324" s="164">
        <v>2.1339999999999999</v>
      </c>
      <c r="E324" t="e">
        <f t="shared" si="1095"/>
        <v>#N/A</v>
      </c>
      <c r="F324" t="e">
        <f t="shared" si="1096"/>
        <v>#N/A</v>
      </c>
      <c r="G324" t="e">
        <f t="shared" si="1097"/>
        <v>#N/A</v>
      </c>
      <c r="H324" t="e">
        <f t="shared" si="1098"/>
        <v>#N/A</v>
      </c>
      <c r="I324" t="e">
        <f t="shared" si="1099"/>
        <v>#N/A</v>
      </c>
      <c r="J324" s="974">
        <v>168</v>
      </c>
      <c r="Q324" s="139"/>
      <c r="R324" s="973"/>
      <c r="V324" s="975"/>
      <c r="W324" s="199"/>
      <c r="X324" s="199"/>
      <c r="AA324" s="82"/>
      <c r="AB324" s="75"/>
      <c r="AC324" s="75"/>
      <c r="AD324" s="166"/>
      <c r="AE324" s="75">
        <v>1.131</v>
      </c>
      <c r="AF324" s="82">
        <v>1</v>
      </c>
      <c r="AG324" s="82">
        <v>1</v>
      </c>
      <c r="AH324" s="82">
        <v>1</v>
      </c>
      <c r="AI324" s="82">
        <v>1.9999999999890861</v>
      </c>
      <c r="AJ324" s="166">
        <v>1.1311199999999999</v>
      </c>
      <c r="AK324" s="82" t="str">
        <v>Base</v>
      </c>
      <c r="AL324" s="162">
        <v>-7.5</v>
      </c>
      <c r="AM324" s="162">
        <v>-3.7054897408941279</v>
      </c>
      <c r="AN324" s="162">
        <v>-2.6274984502981051</v>
      </c>
      <c r="AO324" s="162">
        <v>84.959174548900108</v>
      </c>
      <c r="AP324" s="162">
        <v>-29.733205429583027</v>
      </c>
      <c r="AQ324" s="162">
        <v>0</v>
      </c>
      <c r="AR324" s="710" t="str">
        <v>14513.par</v>
      </c>
      <c r="AV324" s="82" t="str">
        <v>255,127,0</v>
      </c>
      <c r="AW324" s="947">
        <v>85</v>
      </c>
      <c r="AX324" s="947">
        <v>84.959174548900108</v>
      </c>
      <c r="AY324" s="947">
        <v>0</v>
      </c>
    </row>
    <row r="325" spans="4:51" x14ac:dyDescent="0.25">
      <c r="D325" s="164">
        <v>2.14</v>
      </c>
      <c r="E325" t="e">
        <f t="shared" si="1095"/>
        <v>#N/A</v>
      </c>
      <c r="F325" t="e">
        <f t="shared" si="1096"/>
        <v>#N/A</v>
      </c>
      <c r="G325" t="e">
        <f t="shared" si="1097"/>
        <v>#N/A</v>
      </c>
      <c r="H325" t="e">
        <f t="shared" si="1098"/>
        <v>#N/A</v>
      </c>
      <c r="I325" t="e">
        <f t="shared" si="1099"/>
        <v>#N/A</v>
      </c>
      <c r="J325" s="974">
        <v>175</v>
      </c>
      <c r="Q325" s="139"/>
      <c r="R325" s="973"/>
      <c r="V325" s="975"/>
      <c r="W325" s="199"/>
      <c r="X325" s="199"/>
      <c r="AA325" s="82"/>
      <c r="AB325" s="75"/>
      <c r="AC325" s="75"/>
      <c r="AD325" s="166"/>
      <c r="AE325" s="75">
        <v>1.1259999999999999</v>
      </c>
      <c r="AF325" s="82">
        <v>1</v>
      </c>
      <c r="AG325" s="82">
        <v>1</v>
      </c>
      <c r="AH325" s="82">
        <v>1</v>
      </c>
      <c r="AI325" s="82">
        <v>1.9999999999708962</v>
      </c>
      <c r="AJ325" s="166">
        <v>1.1261199999999998</v>
      </c>
      <c r="AK325" s="82" t="str">
        <v>Base</v>
      </c>
      <c r="AL325" s="162">
        <v>-7.5</v>
      </c>
      <c r="AM325" s="162">
        <v>-3.6599901069123484</v>
      </c>
      <c r="AN325" s="162">
        <v>-1.885647372823708</v>
      </c>
      <c r="AO325" s="162">
        <v>84.958662296739845</v>
      </c>
      <c r="AP325" s="162">
        <v>-29.729888873627353</v>
      </c>
      <c r="AQ325" s="162">
        <v>0</v>
      </c>
      <c r="AR325" s="710" t="str">
        <v>14513.par</v>
      </c>
      <c r="AV325" s="82" t="str">
        <v>255,127,0</v>
      </c>
      <c r="AW325" s="947">
        <v>85</v>
      </c>
      <c r="AX325" s="947">
        <v>84.958662296739845</v>
      </c>
      <c r="AY325" s="947">
        <v>0</v>
      </c>
    </row>
    <row r="326" spans="4:51" x14ac:dyDescent="0.25">
      <c r="D326" s="164">
        <v>2.1459999999999999</v>
      </c>
      <c r="E326" t="e">
        <f t="shared" si="1095"/>
        <v>#N/A</v>
      </c>
      <c r="F326" t="e">
        <f t="shared" si="1096"/>
        <v>#N/A</v>
      </c>
      <c r="G326" t="e">
        <f t="shared" si="1097"/>
        <v>#N/A</v>
      </c>
      <c r="H326" t="e">
        <f t="shared" si="1098"/>
        <v>#N/A</v>
      </c>
      <c r="I326" t="e">
        <f t="shared" si="1099"/>
        <v>#N/A</v>
      </c>
      <c r="J326" s="974">
        <v>175</v>
      </c>
      <c r="Q326" s="139"/>
      <c r="R326" s="973"/>
      <c r="V326" s="975"/>
      <c r="W326" s="199"/>
      <c r="X326" s="199"/>
      <c r="AA326" s="82"/>
      <c r="AB326" s="75"/>
      <c r="AC326" s="75"/>
      <c r="AD326" s="166"/>
      <c r="AE326" s="75">
        <v>1.121</v>
      </c>
      <c r="AF326" s="82">
        <v>1</v>
      </c>
      <c r="AG326" s="82">
        <v>1</v>
      </c>
      <c r="AH326" s="82">
        <v>1</v>
      </c>
      <c r="AI326" s="82">
        <v>1.9999999999890861</v>
      </c>
      <c r="AJ326" s="166">
        <v>1.1211199999999999</v>
      </c>
      <c r="AK326" s="82" t="str">
        <v>Base</v>
      </c>
      <c r="AL326" s="162">
        <v>-7.5</v>
      </c>
      <c r="AM326" s="162">
        <v>-3.4918764103684188</v>
      </c>
      <c r="AN326" s="162">
        <v>-1.2051713436394844</v>
      </c>
      <c r="AO326" s="162">
        <v>59.687700782164377</v>
      </c>
      <c r="AP326" s="162">
        <v>-25.332307439651714</v>
      </c>
      <c r="AQ326" s="162">
        <v>0</v>
      </c>
      <c r="AR326" s="710" t="str">
        <v>14513.par</v>
      </c>
      <c r="AV326" s="82" t="str">
        <v>255,127,0</v>
      </c>
      <c r="AW326" s="947">
        <v>61.129999999999995</v>
      </c>
      <c r="AX326" s="947">
        <v>59.687700782164377</v>
      </c>
      <c r="AY326" s="947">
        <v>0</v>
      </c>
    </row>
    <row r="327" spans="4:51" x14ac:dyDescent="0.25">
      <c r="D327" s="164">
        <v>3.1019999999999999</v>
      </c>
      <c r="E327" t="e">
        <f t="shared" si="1095"/>
        <v>#N/A</v>
      </c>
      <c r="F327" t="e">
        <f t="shared" si="1096"/>
        <v>#N/A</v>
      </c>
      <c r="G327" t="e">
        <f t="shared" si="1097"/>
        <v>#N/A</v>
      </c>
      <c r="H327" t="e">
        <f t="shared" si="1098"/>
        <v>#N/A</v>
      </c>
      <c r="I327" t="e">
        <f t="shared" si="1099"/>
        <v>#N/A</v>
      </c>
      <c r="J327" s="974">
        <v>70</v>
      </c>
      <c r="Q327" s="139"/>
      <c r="R327" s="973"/>
      <c r="V327" s="975"/>
      <c r="W327" s="199"/>
      <c r="X327" s="199"/>
      <c r="AA327" s="82"/>
      <c r="AB327" s="75"/>
      <c r="AC327" s="75"/>
      <c r="AD327" s="166"/>
      <c r="AE327" s="75">
        <v>1.1160000000000001</v>
      </c>
      <c r="AF327" s="82">
        <v>1</v>
      </c>
      <c r="AG327" s="82">
        <v>1</v>
      </c>
      <c r="AH327" s="82">
        <v>1</v>
      </c>
      <c r="AI327" s="82">
        <v>2.000000000007276</v>
      </c>
      <c r="AJ327" s="166">
        <v>1.11612</v>
      </c>
      <c r="AK327" s="82" t="str">
        <v>Base</v>
      </c>
      <c r="AL327" s="162">
        <v>-7.5</v>
      </c>
      <c r="AM327" s="162">
        <v>-3.0434223386825652</v>
      </c>
      <c r="AN327" s="162">
        <v>-0.66670011236899374</v>
      </c>
      <c r="AO327" s="162">
        <v>34.250341265000479</v>
      </c>
      <c r="AP327" s="162">
        <v>-20.976966793059624</v>
      </c>
      <c r="AQ327" s="162">
        <v>0</v>
      </c>
      <c r="AR327" s="710" t="str">
        <v>14513.par</v>
      </c>
      <c r="AV327" s="82" t="str">
        <v>255,127,0</v>
      </c>
      <c r="AW327" s="947">
        <v>34.230000000000004</v>
      </c>
      <c r="AX327" s="947">
        <v>34.250341265000479</v>
      </c>
      <c r="AY327" s="947">
        <v>0</v>
      </c>
    </row>
    <row r="328" spans="4:51" x14ac:dyDescent="0.25">
      <c r="D328" s="164">
        <v>3.105</v>
      </c>
      <c r="E328" t="e">
        <f t="shared" si="1095"/>
        <v>#N/A</v>
      </c>
      <c r="F328" t="e">
        <f t="shared" si="1096"/>
        <v>#N/A</v>
      </c>
      <c r="G328" t="e">
        <f t="shared" si="1097"/>
        <v>#N/A</v>
      </c>
      <c r="H328" t="e">
        <f t="shared" si="1098"/>
        <v>#N/A</v>
      </c>
      <c r="I328" t="e">
        <f t="shared" si="1099"/>
        <v>#N/A</v>
      </c>
      <c r="J328" s="974">
        <v>70</v>
      </c>
      <c r="Q328" s="139"/>
      <c r="R328" s="973"/>
      <c r="V328" s="975"/>
      <c r="W328" s="199"/>
      <c r="X328" s="199"/>
      <c r="AA328" s="82"/>
      <c r="AB328" s="75"/>
      <c r="AC328" s="75"/>
      <c r="AD328" s="166"/>
      <c r="AE328" s="75">
        <v>1.111</v>
      </c>
      <c r="AF328" s="82">
        <v>1</v>
      </c>
      <c r="AG328" s="82">
        <v>1</v>
      </c>
      <c r="AH328" s="82">
        <v>1</v>
      </c>
      <c r="AI328" s="82">
        <v>1.9999999999890861</v>
      </c>
      <c r="AJ328" s="166">
        <v>1.1111199999999999</v>
      </c>
      <c r="AK328" s="82" t="str">
        <v>Base</v>
      </c>
      <c r="AL328" s="162">
        <v>-7.5</v>
      </c>
      <c r="AM328" s="162">
        <v>-2.3973819696575993</v>
      </c>
      <c r="AN328" s="162">
        <v>-0.39507643699610273</v>
      </c>
      <c r="AO328" s="162">
        <v>8.4969280152892388</v>
      </c>
      <c r="AP328" s="162">
        <v>-16.691140944800519</v>
      </c>
      <c r="AQ328" s="162">
        <v>0</v>
      </c>
      <c r="AR328" s="710" t="str">
        <v>14513.par</v>
      </c>
      <c r="AV328" s="82" t="str">
        <v>255,127,0</v>
      </c>
      <c r="AW328" s="947">
        <v>7.8199999999999932</v>
      </c>
      <c r="AX328" s="947">
        <v>8.4969280152892388</v>
      </c>
      <c r="AY328" s="947">
        <v>0</v>
      </c>
    </row>
    <row r="329" spans="4:51" x14ac:dyDescent="0.25">
      <c r="D329" s="164">
        <v>3.1080000000000001</v>
      </c>
      <c r="E329" t="e">
        <f t="shared" si="1095"/>
        <v>#N/A</v>
      </c>
      <c r="F329" t="e">
        <f t="shared" si="1096"/>
        <v>#N/A</v>
      </c>
      <c r="G329" t="e">
        <f t="shared" si="1097"/>
        <v>#N/A</v>
      </c>
      <c r="H329" t="e">
        <f t="shared" si="1098"/>
        <v>#N/A</v>
      </c>
      <c r="I329" t="e">
        <f t="shared" si="1099"/>
        <v>#N/A</v>
      </c>
      <c r="J329" s="974">
        <v>82.9</v>
      </c>
      <c r="AA329" s="82"/>
      <c r="AB329" s="75"/>
      <c r="AC329" s="75"/>
      <c r="AD329" s="166"/>
      <c r="AE329" s="75">
        <v>1.107</v>
      </c>
      <c r="AF329" s="82">
        <v>1</v>
      </c>
      <c r="AG329" s="82">
        <v>1</v>
      </c>
      <c r="AH329" s="82">
        <v>1</v>
      </c>
      <c r="AI329" s="82">
        <v>1.9999999999890861</v>
      </c>
      <c r="AJ329" s="166">
        <v>1.1071199999999999</v>
      </c>
      <c r="AK329" s="82" t="str">
        <v>Base</v>
      </c>
      <c r="AL329" s="162">
        <v>-7.5</v>
      </c>
      <c r="AM329" s="162">
        <v>-1.652098587536414</v>
      </c>
      <c r="AN329" s="162">
        <v>-0.47413098502547579</v>
      </c>
      <c r="AO329" s="162">
        <v>-4.493356957443849</v>
      </c>
      <c r="AP329" s="162">
        <v>-15.037952247761927</v>
      </c>
      <c r="AQ329" s="162">
        <v>0</v>
      </c>
      <c r="AR329" s="710" t="str">
        <v>14513.par</v>
      </c>
      <c r="AV329" s="82" t="str">
        <v>255,127,0</v>
      </c>
      <c r="AW329" s="947">
        <v>-20</v>
      </c>
      <c r="AX329" s="947">
        <v>-4.493356957443849</v>
      </c>
      <c r="AY329" s="947">
        <v>0</v>
      </c>
    </row>
    <row r="330" spans="4:51" x14ac:dyDescent="0.25">
      <c r="D330" s="164">
        <v>3.113</v>
      </c>
      <c r="E330" t="e">
        <f t="shared" si="1095"/>
        <v>#N/A</v>
      </c>
      <c r="F330" t="e">
        <f t="shared" si="1096"/>
        <v>#N/A</v>
      </c>
      <c r="G330" t="e">
        <f t="shared" si="1097"/>
        <v>#N/A</v>
      </c>
      <c r="H330" t="e">
        <f t="shared" si="1098"/>
        <v>#N/A</v>
      </c>
      <c r="I330" t="e">
        <f t="shared" si="1099"/>
        <v>#N/A</v>
      </c>
      <c r="J330" s="974">
        <v>101.6</v>
      </c>
      <c r="AA330" s="82"/>
      <c r="AB330" s="75"/>
      <c r="AC330" s="75"/>
      <c r="AD330" s="166"/>
      <c r="AE330" s="75">
        <v>1.1040000000000001</v>
      </c>
      <c r="AF330" s="82">
        <v>1</v>
      </c>
      <c r="AG330" s="82">
        <v>1</v>
      </c>
      <c r="AH330" s="82">
        <v>1</v>
      </c>
      <c r="AI330" s="82">
        <v>2.000000000007276</v>
      </c>
      <c r="AJ330" s="166">
        <v>1.10412</v>
      </c>
      <c r="AK330" s="82" t="str">
        <v>Base</v>
      </c>
      <c r="AL330" s="162">
        <v>-7.5</v>
      </c>
      <c r="AM330" s="162">
        <v>-0.98467113477462354</v>
      </c>
      <c r="AN330" s="162">
        <v>-0.71723862681829287</v>
      </c>
      <c r="AO330" s="162">
        <v>-8.8567301349358249</v>
      </c>
      <c r="AP330" s="162">
        <v>-16.135028242540422</v>
      </c>
      <c r="AQ330" s="162">
        <v>0</v>
      </c>
      <c r="AR330" s="710" t="str">
        <v>14513.par</v>
      </c>
      <c r="AV330" s="82" t="str">
        <v>255,127,0</v>
      </c>
      <c r="AW330" s="947">
        <v>-10</v>
      </c>
      <c r="AX330" s="947">
        <v>-8.8567301349358249</v>
      </c>
      <c r="AY330" s="947">
        <v>0</v>
      </c>
    </row>
    <row r="331" spans="4:51" x14ac:dyDescent="0.25">
      <c r="D331" s="164">
        <v>3.1190000000000002</v>
      </c>
      <c r="E331">
        <f t="shared" si="1095"/>
        <v>303.38639131769173</v>
      </c>
      <c r="F331">
        <f t="shared" si="1096"/>
        <v>3.3429717400665524</v>
      </c>
      <c r="G331">
        <f t="shared" si="1097"/>
        <v>-0.71399484616542686</v>
      </c>
      <c r="H331">
        <f t="shared" si="1098"/>
        <v>-49.538699347768194</v>
      </c>
      <c r="I331">
        <f t="shared" si="1099"/>
        <v>23.58412260483729</v>
      </c>
      <c r="J331" s="974">
        <v>120.7</v>
      </c>
      <c r="AA331" s="82"/>
      <c r="AB331" s="75"/>
      <c r="AC331" s="75"/>
      <c r="AD331" s="166"/>
      <c r="AE331" s="75">
        <v>1.101</v>
      </c>
      <c r="AF331" s="82">
        <v>1</v>
      </c>
      <c r="AG331" s="82">
        <v>1</v>
      </c>
      <c r="AH331" s="82">
        <v>1</v>
      </c>
      <c r="AI331" s="82">
        <v>1.9999999999890861</v>
      </c>
      <c r="AJ331" s="166">
        <v>1.1011199999999999</v>
      </c>
      <c r="AK331" s="82" t="str">
        <v>Base</v>
      </c>
      <c r="AL331" s="162">
        <v>-7.5</v>
      </c>
      <c r="AM331" s="162">
        <v>-0.31788498635130003</v>
      </c>
      <c r="AN331" s="162">
        <v>-0.9606213388138517</v>
      </c>
      <c r="AO331" s="162">
        <v>-15.966012167147152</v>
      </c>
      <c r="AP331" s="162">
        <v>-22.696199576154587</v>
      </c>
      <c r="AQ331" s="162">
        <v>0</v>
      </c>
      <c r="AR331" s="710" t="str">
        <v>14513.par</v>
      </c>
      <c r="AV331" s="82" t="str">
        <v>255,127,0</v>
      </c>
      <c r="AW331" s="947">
        <v>-10</v>
      </c>
      <c r="AX331" s="947">
        <v>-15.966012167147152</v>
      </c>
      <c r="AY331" s="947">
        <v>0</v>
      </c>
    </row>
    <row r="332" spans="4:51" x14ac:dyDescent="0.25">
      <c r="D332" s="164">
        <v>3.125</v>
      </c>
      <c r="E332" t="e">
        <f t="shared" si="1095"/>
        <v>#N/A</v>
      </c>
      <c r="F332" t="e">
        <f t="shared" si="1096"/>
        <v>#N/A</v>
      </c>
      <c r="G332" t="e">
        <f t="shared" si="1097"/>
        <v>#N/A</v>
      </c>
      <c r="H332" t="e">
        <f t="shared" si="1098"/>
        <v>#N/A</v>
      </c>
      <c r="I332" t="e">
        <f t="shared" si="1099"/>
        <v>#N/A</v>
      </c>
      <c r="J332" s="974">
        <v>139.80000000000001</v>
      </c>
      <c r="AA332" s="82"/>
      <c r="AB332" s="75"/>
      <c r="AC332" s="75"/>
      <c r="AD332" s="166"/>
      <c r="AE332" s="75">
        <v>5.2320000000000002</v>
      </c>
      <c r="AF332" s="82">
        <v>5</v>
      </c>
      <c r="AG332" s="82">
        <v>2</v>
      </c>
      <c r="AH332" s="82">
        <v>2</v>
      </c>
      <c r="AI332" s="82">
        <v>1.9999999999708962</v>
      </c>
      <c r="AJ332" s="166">
        <v>5.2322199999999999</v>
      </c>
      <c r="AK332" s="82">
        <v>5.2321200000000001</v>
      </c>
      <c r="AL332" s="162">
        <v>0</v>
      </c>
      <c r="AM332" s="162">
        <v>0</v>
      </c>
      <c r="AN332" s="162">
        <v>0</v>
      </c>
      <c r="AO332" s="162">
        <v>1.2272479807506897E-5</v>
      </c>
      <c r="AP332" s="162">
        <v>0</v>
      </c>
      <c r="AQ332" s="162">
        <v>0</v>
      </c>
      <c r="AR332" s="710" t="str">
        <v>32193r1.par</v>
      </c>
      <c r="AV332" s="82" t="str">
        <v>121,188,255</v>
      </c>
      <c r="AW332" s="947">
        <v>85</v>
      </c>
      <c r="AX332" s="947">
        <v>84.999987727520192</v>
      </c>
      <c r="AY332" s="947">
        <v>1.2272479807506897E-5</v>
      </c>
    </row>
    <row r="333" spans="4:51" x14ac:dyDescent="0.25">
      <c r="D333" s="164">
        <v>3.1309999999999998</v>
      </c>
      <c r="E333" t="e">
        <f t="shared" si="1095"/>
        <v>#N/A</v>
      </c>
      <c r="F333" t="e">
        <f t="shared" si="1096"/>
        <v>#N/A</v>
      </c>
      <c r="G333" t="e">
        <f t="shared" si="1097"/>
        <v>#N/A</v>
      </c>
      <c r="H333" t="e">
        <f t="shared" si="1098"/>
        <v>#N/A</v>
      </c>
      <c r="I333" t="e">
        <f t="shared" si="1099"/>
        <v>#N/A</v>
      </c>
      <c r="J333" s="974">
        <v>158.69999999999999</v>
      </c>
      <c r="AA333" s="82"/>
      <c r="AB333" s="75"/>
      <c r="AC333" s="75"/>
      <c r="AD333" s="166"/>
      <c r="AE333" s="75">
        <v>5.2270000000000003</v>
      </c>
      <c r="AF333" s="82">
        <v>5</v>
      </c>
      <c r="AG333" s="82">
        <v>2</v>
      </c>
      <c r="AH333" s="82">
        <v>2</v>
      </c>
      <c r="AI333" s="82">
        <v>1.9999999999708962</v>
      </c>
      <c r="AJ333" s="166">
        <v>5.22722</v>
      </c>
      <c r="AK333" s="82">
        <v>5.2271200000000002</v>
      </c>
      <c r="AL333" s="162">
        <v>0</v>
      </c>
      <c r="AM333" s="162">
        <v>0</v>
      </c>
      <c r="AN333" s="162">
        <v>0</v>
      </c>
      <c r="AO333" s="162">
        <v>1.2272479807506897E-5</v>
      </c>
      <c r="AP333" s="162">
        <v>0</v>
      </c>
      <c r="AQ333" s="162">
        <v>0</v>
      </c>
      <c r="AR333" s="710" t="str">
        <v>32193r1.par</v>
      </c>
      <c r="AV333" s="82" t="str">
        <v>121,188,255</v>
      </c>
      <c r="AW333" s="947">
        <v>85</v>
      </c>
      <c r="AX333" s="947">
        <v>84.999987727520192</v>
      </c>
      <c r="AY333" s="947">
        <v>1.2272479807506897E-5</v>
      </c>
    </row>
    <row r="334" spans="4:51" x14ac:dyDescent="0.25">
      <c r="D334" s="164">
        <v>3.137</v>
      </c>
      <c r="E334" t="e">
        <f t="shared" si="1095"/>
        <v>#N/A</v>
      </c>
      <c r="F334" t="e">
        <f t="shared" si="1096"/>
        <v>#N/A</v>
      </c>
      <c r="G334" t="e">
        <f t="shared" si="1097"/>
        <v>#N/A</v>
      </c>
      <c r="H334" t="e">
        <f t="shared" si="1098"/>
        <v>#N/A</v>
      </c>
      <c r="I334" t="e">
        <f t="shared" si="1099"/>
        <v>#N/A</v>
      </c>
      <c r="J334" s="974">
        <v>175</v>
      </c>
      <c r="AA334" s="82"/>
      <c r="AB334" s="75"/>
      <c r="AC334" s="75"/>
      <c r="AD334" s="166"/>
      <c r="AE334" s="75">
        <v>5.2220000000000004</v>
      </c>
      <c r="AF334" s="82">
        <v>5</v>
      </c>
      <c r="AG334" s="82">
        <v>2</v>
      </c>
      <c r="AH334" s="82">
        <v>2</v>
      </c>
      <c r="AI334" s="82">
        <v>2.0000000000436557</v>
      </c>
      <c r="AJ334" s="166">
        <v>5.2222200000000001</v>
      </c>
      <c r="AK334" s="82">
        <v>5.2221200000000003</v>
      </c>
      <c r="AL334" s="162">
        <v>0</v>
      </c>
      <c r="AM334" s="162">
        <v>0</v>
      </c>
      <c r="AN334" s="162">
        <v>0</v>
      </c>
      <c r="AO334" s="162">
        <v>1.7612760231442479</v>
      </c>
      <c r="AP334" s="162">
        <v>0</v>
      </c>
      <c r="AQ334" s="162">
        <v>0</v>
      </c>
      <c r="AR334" s="710" t="str">
        <v>1313.par</v>
      </c>
      <c r="AV334" s="82" t="str">
        <v>121,188,255</v>
      </c>
      <c r="AW334" s="947">
        <v>66.569999999999993</v>
      </c>
      <c r="AX334" s="947">
        <v>64.808723976855745</v>
      </c>
      <c r="AY334" s="947">
        <v>1.7612760231442479</v>
      </c>
    </row>
    <row r="335" spans="4:51" x14ac:dyDescent="0.25">
      <c r="D335" s="164">
        <v>3.1429999999999998</v>
      </c>
      <c r="E335" t="e">
        <f t="shared" si="1095"/>
        <v>#N/A</v>
      </c>
      <c r="F335" t="e">
        <f t="shared" si="1096"/>
        <v>#N/A</v>
      </c>
      <c r="G335" t="e">
        <f t="shared" si="1097"/>
        <v>#N/A</v>
      </c>
      <c r="H335" t="e">
        <f t="shared" si="1098"/>
        <v>#N/A</v>
      </c>
      <c r="I335" t="e">
        <f t="shared" si="1099"/>
        <v>#N/A</v>
      </c>
      <c r="J335" s="974">
        <v>175</v>
      </c>
      <c r="AA335" s="82"/>
      <c r="AB335" s="75"/>
      <c r="AC335" s="75"/>
      <c r="AD335" s="166"/>
      <c r="AE335" s="75">
        <v>5.2169999999999996</v>
      </c>
      <c r="AF335" s="82">
        <v>5</v>
      </c>
      <c r="AG335" s="82">
        <v>2</v>
      </c>
      <c r="AH335" s="82">
        <v>2</v>
      </c>
      <c r="AI335" s="82">
        <v>1.9999999998981366</v>
      </c>
      <c r="AJ335" s="166">
        <v>5.2172199999999993</v>
      </c>
      <c r="AK335" s="82">
        <v>5.2171199999999995</v>
      </c>
      <c r="AL335" s="162">
        <v>0</v>
      </c>
      <c r="AM335" s="162">
        <v>0</v>
      </c>
      <c r="AN335" s="162">
        <v>0</v>
      </c>
      <c r="AO335" s="162">
        <v>5.8501496452826984E-2</v>
      </c>
      <c r="AP335" s="162">
        <v>0</v>
      </c>
      <c r="AQ335" s="162">
        <v>0</v>
      </c>
      <c r="AR335" s="710" t="str">
        <v>1313.par</v>
      </c>
      <c r="AV335" s="82" t="str">
        <v>121,188,255</v>
      </c>
      <c r="AW335" s="947">
        <v>39.569999999999993</v>
      </c>
      <c r="AX335" s="947">
        <v>39.511498503547166</v>
      </c>
      <c r="AY335" s="947">
        <v>5.8501496452826984E-2</v>
      </c>
    </row>
    <row r="336" spans="4:51" x14ac:dyDescent="0.25">
      <c r="D336" s="164">
        <v>4.1120000000000001</v>
      </c>
      <c r="E336" t="e">
        <f t="shared" si="1095"/>
        <v>#N/A</v>
      </c>
      <c r="F336" t="e">
        <f t="shared" si="1096"/>
        <v>#N/A</v>
      </c>
      <c r="G336" t="e">
        <f t="shared" si="1097"/>
        <v>#N/A</v>
      </c>
      <c r="H336" t="e">
        <f t="shared" si="1098"/>
        <v>#N/A</v>
      </c>
      <c r="I336" t="e">
        <f t="shared" si="1099"/>
        <v>#N/A</v>
      </c>
      <c r="J336" s="974">
        <v>98.5</v>
      </c>
      <c r="AA336" s="82"/>
      <c r="AB336" s="75"/>
      <c r="AC336" s="75"/>
      <c r="AD336" s="166"/>
      <c r="AE336" s="75">
        <v>5.1319999999999997</v>
      </c>
      <c r="AF336" s="82">
        <v>5</v>
      </c>
      <c r="AG336" s="82">
        <v>1</v>
      </c>
      <c r="AH336" s="82">
        <v>2</v>
      </c>
      <c r="AI336" s="82">
        <v>1.9999999998981366</v>
      </c>
      <c r="AJ336" s="166">
        <v>5.1322199999999993</v>
      </c>
      <c r="AK336" s="82">
        <v>5.1321199999999996</v>
      </c>
      <c r="AL336" s="162">
        <v>0</v>
      </c>
      <c r="AM336" s="162">
        <v>0</v>
      </c>
      <c r="AN336" s="162">
        <v>0</v>
      </c>
      <c r="AO336" s="162">
        <v>4.0825451100005239E-2</v>
      </c>
      <c r="AP336" s="162">
        <v>0</v>
      </c>
      <c r="AQ336" s="162">
        <v>0</v>
      </c>
      <c r="AR336" s="710" t="str">
        <v>14513.par</v>
      </c>
      <c r="AV336" s="82" t="str">
        <v>0,102,204</v>
      </c>
      <c r="AW336" s="947">
        <v>85</v>
      </c>
      <c r="AX336" s="947">
        <v>84.959174548899995</v>
      </c>
      <c r="AY336" s="947">
        <v>4.0825451100005239E-2</v>
      </c>
    </row>
    <row r="337" spans="4:51" x14ac:dyDescent="0.25">
      <c r="D337" s="164">
        <v>4.1180000000000003</v>
      </c>
      <c r="E337">
        <f t="shared" si="1095"/>
        <v>223.51354189702553</v>
      </c>
      <c r="F337">
        <f t="shared" si="1096"/>
        <v>3.2526495697979416</v>
      </c>
      <c r="G337">
        <f t="shared" si="1097"/>
        <v>-0.60521421325716818</v>
      </c>
      <c r="H337">
        <f t="shared" si="1098"/>
        <v>-44.452359284275062</v>
      </c>
      <c r="I337">
        <f t="shared" si="1099"/>
        <v>22.712856390392549</v>
      </c>
      <c r="J337" s="974">
        <v>117.5</v>
      </c>
      <c r="AA337" s="82"/>
      <c r="AB337" s="75"/>
      <c r="AC337" s="75"/>
      <c r="AD337" s="166"/>
      <c r="AE337" s="75">
        <v>5.1269999999999998</v>
      </c>
      <c r="AF337" s="82">
        <v>5</v>
      </c>
      <c r="AG337" s="82">
        <v>1</v>
      </c>
      <c r="AH337" s="82">
        <v>2</v>
      </c>
      <c r="AI337" s="82">
        <v>1.9999999999708962</v>
      </c>
      <c r="AJ337" s="166">
        <v>5.1272199999999994</v>
      </c>
      <c r="AK337" s="82">
        <v>5.1271199999999997</v>
      </c>
      <c r="AL337" s="162">
        <v>0</v>
      </c>
      <c r="AM337" s="162">
        <v>0</v>
      </c>
      <c r="AN337" s="162">
        <v>0</v>
      </c>
      <c r="AO337" s="162">
        <v>4.1332004249596821E-2</v>
      </c>
      <c r="AP337" s="162">
        <v>0</v>
      </c>
      <c r="AQ337" s="162">
        <v>0</v>
      </c>
      <c r="AR337" s="710" t="str">
        <v>14513.par</v>
      </c>
      <c r="AV337" s="82" t="str">
        <v>0,102,204</v>
      </c>
      <c r="AW337" s="947">
        <v>85</v>
      </c>
      <c r="AX337" s="947">
        <v>84.958667995750403</v>
      </c>
      <c r="AY337" s="947">
        <v>4.1332004249596821E-2</v>
      </c>
    </row>
    <row r="338" spans="4:51" x14ac:dyDescent="0.25">
      <c r="D338" s="164">
        <v>4.1239999999999997</v>
      </c>
      <c r="E338" t="e">
        <f t="shared" si="1095"/>
        <v>#N/A</v>
      </c>
      <c r="F338" t="e">
        <f t="shared" si="1096"/>
        <v>#N/A</v>
      </c>
      <c r="G338" t="e">
        <f t="shared" si="1097"/>
        <v>#N/A</v>
      </c>
      <c r="H338" t="e">
        <f t="shared" si="1098"/>
        <v>#N/A</v>
      </c>
      <c r="I338" t="e">
        <f t="shared" si="1099"/>
        <v>#N/A</v>
      </c>
      <c r="J338" s="974">
        <v>136.6</v>
      </c>
      <c r="AA338" s="82"/>
      <c r="AB338" s="75"/>
      <c r="AC338" s="75"/>
      <c r="AD338" s="166"/>
      <c r="AE338" s="75">
        <v>5.1219999999999999</v>
      </c>
      <c r="AF338" s="82">
        <v>5</v>
      </c>
      <c r="AG338" s="82">
        <v>1</v>
      </c>
      <c r="AH338" s="82">
        <v>2</v>
      </c>
      <c r="AI338" s="82">
        <v>1.9999999999708962</v>
      </c>
      <c r="AJ338" s="166">
        <v>5.1222199999999996</v>
      </c>
      <c r="AK338" s="82">
        <v>5.1221199999999998</v>
      </c>
      <c r="AL338" s="162">
        <v>0</v>
      </c>
      <c r="AM338" s="162">
        <v>0</v>
      </c>
      <c r="AN338" s="162">
        <v>0</v>
      </c>
      <c r="AO338" s="162">
        <v>1.817844413586144</v>
      </c>
      <c r="AP338" s="162">
        <v>0</v>
      </c>
      <c r="AQ338" s="162">
        <v>0</v>
      </c>
      <c r="AR338" s="710" t="str">
        <v>14513.par</v>
      </c>
      <c r="AV338" s="82" t="str">
        <v>0,102,204</v>
      </c>
      <c r="AW338" s="947">
        <v>66.569999999999993</v>
      </c>
      <c r="AX338" s="947">
        <v>64.752155586413849</v>
      </c>
      <c r="AY338" s="947">
        <v>1.817844413586144</v>
      </c>
    </row>
    <row r="339" spans="4:51" x14ac:dyDescent="0.25">
      <c r="D339" s="164">
        <v>4.13</v>
      </c>
      <c r="E339" t="e">
        <f t="shared" si="1095"/>
        <v>#N/A</v>
      </c>
      <c r="F339" t="e">
        <f t="shared" si="1096"/>
        <v>#N/A</v>
      </c>
      <c r="G339" t="e">
        <f t="shared" si="1097"/>
        <v>#N/A</v>
      </c>
      <c r="H339" t="e">
        <f t="shared" si="1098"/>
        <v>#N/A</v>
      </c>
      <c r="I339" t="e">
        <f t="shared" si="1099"/>
        <v>#N/A</v>
      </c>
      <c r="J339" s="974">
        <v>155.5</v>
      </c>
      <c r="AA339" s="82"/>
      <c r="AB339" s="75"/>
      <c r="AC339" s="75"/>
      <c r="AD339" s="166"/>
      <c r="AE339" s="75">
        <v>5.117</v>
      </c>
      <c r="AF339" s="82">
        <v>5</v>
      </c>
      <c r="AG339" s="82">
        <v>1</v>
      </c>
      <c r="AH339" s="82">
        <v>2</v>
      </c>
      <c r="AI339" s="82">
        <v>1.9999999999708962</v>
      </c>
      <c r="AJ339" s="166">
        <v>5.1172199999999997</v>
      </c>
      <c r="AK339" s="82">
        <v>5.1171199999999999</v>
      </c>
      <c r="AL339" s="162">
        <v>0</v>
      </c>
      <c r="AM339" s="162">
        <v>0</v>
      </c>
      <c r="AN339" s="162">
        <v>0</v>
      </c>
      <c r="AO339" s="162">
        <v>0.2133258161786955</v>
      </c>
      <c r="AP339" s="162">
        <v>0</v>
      </c>
      <c r="AQ339" s="162">
        <v>0</v>
      </c>
      <c r="AR339" s="710" t="str">
        <v>14513.par</v>
      </c>
      <c r="AV339" s="82" t="str">
        <v>0,102,204</v>
      </c>
      <c r="AW339" s="947">
        <v>39.569999999999993</v>
      </c>
      <c r="AX339" s="947">
        <v>39.356674183821298</v>
      </c>
      <c r="AY339" s="947">
        <v>0.2133258161786955</v>
      </c>
    </row>
    <row r="340" spans="4:51" x14ac:dyDescent="0.25">
      <c r="D340" s="164">
        <v>4.1360000000000001</v>
      </c>
      <c r="E340" t="e">
        <f t="shared" si="1095"/>
        <v>#N/A</v>
      </c>
      <c r="F340" t="e">
        <f t="shared" si="1096"/>
        <v>#N/A</v>
      </c>
      <c r="G340" t="e">
        <f t="shared" si="1097"/>
        <v>#N/A</v>
      </c>
      <c r="H340" t="e">
        <f t="shared" si="1098"/>
        <v>#N/A</v>
      </c>
      <c r="I340" t="e">
        <f t="shared" si="1099"/>
        <v>#N/A</v>
      </c>
      <c r="J340" s="974">
        <v>174.1</v>
      </c>
      <c r="AA340" s="82"/>
      <c r="AB340" s="75"/>
      <c r="AC340" s="75"/>
      <c r="AD340" s="166"/>
      <c r="AE340" s="75">
        <v>5.1120000000000001</v>
      </c>
      <c r="AF340" s="82">
        <v>5</v>
      </c>
      <c r="AG340" s="82">
        <v>1</v>
      </c>
      <c r="AH340" s="82">
        <v>2</v>
      </c>
      <c r="AI340" s="82">
        <v>1.9999999999708962</v>
      </c>
      <c r="AJ340" s="166">
        <v>5.1122199999999998</v>
      </c>
      <c r="AK340" s="82">
        <v>5.11212</v>
      </c>
      <c r="AL340" s="162">
        <v>0</v>
      </c>
      <c r="AM340" s="162">
        <v>0</v>
      </c>
      <c r="AN340" s="162">
        <v>0</v>
      </c>
      <c r="AO340" s="162">
        <v>-0.60424624808646499</v>
      </c>
      <c r="AP340" s="162">
        <v>0</v>
      </c>
      <c r="AQ340" s="162">
        <v>0</v>
      </c>
      <c r="AR340" s="710" t="str">
        <v>14513.par</v>
      </c>
      <c r="AV340" s="82" t="str">
        <v>0,102,204</v>
      </c>
      <c r="AW340" s="947">
        <v>13.079999999999998</v>
      </c>
      <c r="AX340" s="947">
        <v>13.684246248086463</v>
      </c>
      <c r="AY340" s="947">
        <v>-0.60424624808646499</v>
      </c>
    </row>
    <row r="341" spans="4:51" x14ac:dyDescent="0.25">
      <c r="D341" s="164">
        <v>4.1420000000000003</v>
      </c>
      <c r="E341" t="e">
        <f t="shared" si="1095"/>
        <v>#N/A</v>
      </c>
      <c r="F341" t="e">
        <f t="shared" si="1096"/>
        <v>#N/A</v>
      </c>
      <c r="G341" t="e">
        <f t="shared" si="1097"/>
        <v>#N/A</v>
      </c>
      <c r="H341" t="e">
        <f t="shared" si="1098"/>
        <v>#N/A</v>
      </c>
      <c r="I341" t="e">
        <f t="shared" si="1099"/>
        <v>#N/A</v>
      </c>
      <c r="J341" s="974">
        <v>175</v>
      </c>
      <c r="AA341" s="82"/>
      <c r="AB341" s="75"/>
      <c r="AC341" s="75"/>
      <c r="AD341" s="166"/>
      <c r="AE341" s="75">
        <v>4.2279999999999998</v>
      </c>
      <c r="AF341" s="82">
        <v>4</v>
      </c>
      <c r="AG341" s="82">
        <v>2</v>
      </c>
      <c r="AH341" s="82">
        <v>2</v>
      </c>
      <c r="AI341" s="82">
        <v>1.9999999999708962</v>
      </c>
      <c r="AJ341" s="166">
        <v>4.2282199999999994</v>
      </c>
      <c r="AK341" s="82">
        <v>4.2281199999999997</v>
      </c>
      <c r="AL341" s="162">
        <v>0</v>
      </c>
      <c r="AM341" s="162">
        <v>0</v>
      </c>
      <c r="AN341" s="162">
        <v>0</v>
      </c>
      <c r="AO341" s="162">
        <v>1.2272479821717752E-5</v>
      </c>
      <c r="AP341" s="162">
        <v>0</v>
      </c>
      <c r="AQ341" s="162">
        <v>0</v>
      </c>
      <c r="AR341" s="710" t="str">
        <v>32193r1.par</v>
      </c>
      <c r="AV341" s="82" t="str">
        <v>91,255,255</v>
      </c>
      <c r="AW341" s="947">
        <v>85</v>
      </c>
      <c r="AX341" s="947">
        <v>84.999987727520178</v>
      </c>
      <c r="AY341" s="947">
        <v>1.2272479821717752E-5</v>
      </c>
    </row>
    <row r="342" spans="4:51" x14ac:dyDescent="0.25">
      <c r="D342" s="164">
        <v>5.1029999999999998</v>
      </c>
      <c r="E342" t="e">
        <f t="shared" si="1095"/>
        <v>#N/A</v>
      </c>
      <c r="F342" t="e">
        <f t="shared" si="1096"/>
        <v>#N/A</v>
      </c>
      <c r="G342" t="e">
        <f t="shared" si="1097"/>
        <v>#N/A</v>
      </c>
      <c r="H342" t="e">
        <f t="shared" si="1098"/>
        <v>#N/A</v>
      </c>
      <c r="I342" t="e">
        <f t="shared" si="1099"/>
        <v>#N/A</v>
      </c>
      <c r="J342" s="974">
        <v>70</v>
      </c>
      <c r="AA342" s="82"/>
      <c r="AB342" s="75"/>
      <c r="AC342" s="75"/>
      <c r="AD342" s="166"/>
      <c r="AE342" s="75">
        <v>4.2229999999999999</v>
      </c>
      <c r="AF342" s="82">
        <v>4</v>
      </c>
      <c r="AG342" s="82">
        <v>2</v>
      </c>
      <c r="AH342" s="82">
        <v>2</v>
      </c>
      <c r="AI342" s="82">
        <v>1.9999999999708962</v>
      </c>
      <c r="AJ342" s="166">
        <v>4.2232199999999995</v>
      </c>
      <c r="AK342" s="82">
        <v>4.2231199999999998</v>
      </c>
      <c r="AL342" s="162">
        <v>0</v>
      </c>
      <c r="AM342" s="162">
        <v>0</v>
      </c>
      <c r="AN342" s="162">
        <v>0</v>
      </c>
      <c r="AO342" s="162">
        <v>2.1762347514910374</v>
      </c>
      <c r="AP342" s="162">
        <v>0</v>
      </c>
      <c r="AQ342" s="162">
        <v>0</v>
      </c>
      <c r="AR342" s="710" t="str">
        <v>1313.par</v>
      </c>
      <c r="AV342" s="82" t="str">
        <v>91,255,255</v>
      </c>
      <c r="AW342" s="947">
        <v>72.03</v>
      </c>
      <c r="AX342" s="947">
        <v>69.853765248508964</v>
      </c>
      <c r="AY342" s="947">
        <v>2.1762347514910374</v>
      </c>
    </row>
    <row r="343" spans="4:51" x14ac:dyDescent="0.25">
      <c r="D343" s="164">
        <v>5.1059999999999999</v>
      </c>
      <c r="E343" t="e">
        <f t="shared" si="1095"/>
        <v>#N/A</v>
      </c>
      <c r="F343" t="e">
        <f t="shared" si="1096"/>
        <v>#N/A</v>
      </c>
      <c r="G343" t="e">
        <f t="shared" si="1097"/>
        <v>#N/A</v>
      </c>
      <c r="H343" t="e">
        <f t="shared" si="1098"/>
        <v>#N/A</v>
      </c>
      <c r="I343" t="e">
        <f t="shared" si="1099"/>
        <v>#N/A</v>
      </c>
      <c r="J343" s="974">
        <v>70.599999999999994</v>
      </c>
      <c r="AA343" s="82"/>
      <c r="AB343" s="75"/>
      <c r="AC343" s="75"/>
      <c r="AD343" s="166"/>
      <c r="AE343" s="75">
        <v>4.218</v>
      </c>
      <c r="AF343" s="82">
        <v>4</v>
      </c>
      <c r="AG343" s="82">
        <v>2</v>
      </c>
      <c r="AH343" s="82">
        <v>2</v>
      </c>
      <c r="AI343" s="82">
        <v>1.9999999999708962</v>
      </c>
      <c r="AJ343" s="166">
        <v>4.2182199999999996</v>
      </c>
      <c r="AK343" s="82">
        <v>4.2181199999999999</v>
      </c>
      <c r="AL343" s="162">
        <v>0</v>
      </c>
      <c r="AM343" s="162">
        <v>0</v>
      </c>
      <c r="AN343" s="162">
        <v>0</v>
      </c>
      <c r="AO343" s="162">
        <v>0.33758002068040582</v>
      </c>
      <c r="AP343" s="162">
        <v>0</v>
      </c>
      <c r="AQ343" s="162">
        <v>0</v>
      </c>
      <c r="AR343" s="710" t="str">
        <v>1313.par</v>
      </c>
      <c r="AV343" s="82" t="str">
        <v>91,255,255</v>
      </c>
      <c r="AW343" s="947">
        <v>44.919999999999987</v>
      </c>
      <c r="AX343" s="947">
        <v>44.582419979319582</v>
      </c>
      <c r="AY343" s="947">
        <v>0.33758002068040582</v>
      </c>
    </row>
    <row r="344" spans="4:51" x14ac:dyDescent="0.25">
      <c r="D344" s="164">
        <v>5.109</v>
      </c>
      <c r="E344" t="e">
        <f t="shared" si="1095"/>
        <v>#N/A</v>
      </c>
      <c r="F344" t="e">
        <f t="shared" si="1096"/>
        <v>#N/A</v>
      </c>
      <c r="G344" t="e">
        <f t="shared" si="1097"/>
        <v>#N/A</v>
      </c>
      <c r="H344" t="e">
        <f t="shared" si="1098"/>
        <v>#N/A</v>
      </c>
      <c r="I344" t="e">
        <f t="shared" si="1099"/>
        <v>#N/A</v>
      </c>
      <c r="J344" s="974">
        <v>89</v>
      </c>
      <c r="AA344" s="82"/>
      <c r="AB344" s="75"/>
      <c r="AC344" s="75"/>
      <c r="AD344" s="166"/>
      <c r="AE344" s="75">
        <v>4.2130000000000001</v>
      </c>
      <c r="AF344" s="82">
        <v>4</v>
      </c>
      <c r="AG344" s="82">
        <v>2</v>
      </c>
      <c r="AH344" s="82">
        <v>2</v>
      </c>
      <c r="AI344" s="82">
        <v>1.9999999999708962</v>
      </c>
      <c r="AJ344" s="166">
        <v>4.2132199999999997</v>
      </c>
      <c r="AK344" s="82">
        <v>4.21312</v>
      </c>
      <c r="AL344" s="162">
        <v>0</v>
      </c>
      <c r="AM344" s="162">
        <v>0</v>
      </c>
      <c r="AN344" s="162">
        <v>0</v>
      </c>
      <c r="AO344" s="162">
        <v>-0.8070989976058911</v>
      </c>
      <c r="AP344" s="162">
        <v>0</v>
      </c>
      <c r="AQ344" s="162">
        <v>0</v>
      </c>
      <c r="AR344" s="710" t="str">
        <v>1313.par</v>
      </c>
      <c r="AV344" s="82" t="str">
        <v>91,255,255</v>
      </c>
      <c r="AW344" s="947">
        <v>18.340000000000003</v>
      </c>
      <c r="AX344" s="947">
        <v>19.147098997605895</v>
      </c>
      <c r="AY344" s="947">
        <v>-0.8070989976058911</v>
      </c>
    </row>
    <row r="345" spans="4:51" x14ac:dyDescent="0.25">
      <c r="D345" s="164">
        <v>5.1150000000000002</v>
      </c>
      <c r="E345" t="e">
        <f t="shared" si="1095"/>
        <v>#N/A</v>
      </c>
      <c r="F345" t="e">
        <f t="shared" si="1096"/>
        <v>#N/A</v>
      </c>
      <c r="G345" t="e">
        <f t="shared" si="1097"/>
        <v>#N/A</v>
      </c>
      <c r="H345" t="e">
        <f t="shared" si="1098"/>
        <v>#N/A</v>
      </c>
      <c r="I345" t="e">
        <f t="shared" si="1099"/>
        <v>#N/A</v>
      </c>
      <c r="J345" s="974">
        <v>108</v>
      </c>
      <c r="AA345" s="82"/>
      <c r="AB345" s="75"/>
      <c r="AC345" s="75"/>
      <c r="AD345" s="166"/>
      <c r="AE345" s="75">
        <v>4.2080000000000002</v>
      </c>
      <c r="AF345" s="82">
        <v>4</v>
      </c>
      <c r="AG345" s="82">
        <v>2</v>
      </c>
      <c r="AH345" s="82">
        <v>2</v>
      </c>
      <c r="AI345" s="82">
        <v>1.9999999999708962</v>
      </c>
      <c r="AJ345" s="166">
        <v>4.2082199999999998</v>
      </c>
      <c r="AK345" s="82">
        <v>4.2081200000000001</v>
      </c>
      <c r="AL345" s="162">
        <v>0</v>
      </c>
      <c r="AM345" s="162">
        <v>0</v>
      </c>
      <c r="AN345" s="162">
        <v>0</v>
      </c>
      <c r="AO345" s="162">
        <v>-8.440000433146345</v>
      </c>
      <c r="AP345" s="162">
        <v>0</v>
      </c>
      <c r="AQ345" s="162">
        <v>0</v>
      </c>
      <c r="AR345" s="710" t="str">
        <v>32193r1.par</v>
      </c>
      <c r="AV345" s="82" t="str">
        <v>91,255,255</v>
      </c>
      <c r="AW345" s="947">
        <v>-11.439999999999998</v>
      </c>
      <c r="AX345" s="947">
        <v>-2.9999995668536537</v>
      </c>
      <c r="AY345" s="947">
        <v>-8.440000433146345</v>
      </c>
    </row>
    <row r="346" spans="4:51" x14ac:dyDescent="0.25">
      <c r="D346" s="164">
        <v>5.1210000000000004</v>
      </c>
      <c r="E346" t="e">
        <f t="shared" si="1095"/>
        <v>#N/A</v>
      </c>
      <c r="F346" t="e">
        <f t="shared" si="1096"/>
        <v>#N/A</v>
      </c>
      <c r="G346" t="e">
        <f t="shared" si="1097"/>
        <v>#N/A</v>
      </c>
      <c r="H346" t="e">
        <f t="shared" si="1098"/>
        <v>#N/A</v>
      </c>
      <c r="I346" t="e">
        <f t="shared" si="1099"/>
        <v>#N/A</v>
      </c>
      <c r="J346" s="974">
        <v>127.1</v>
      </c>
      <c r="AA346" s="82"/>
      <c r="AB346" s="75"/>
      <c r="AC346" s="75"/>
      <c r="AD346" s="166"/>
      <c r="AE346" s="75">
        <v>4.1280000000000001</v>
      </c>
      <c r="AF346" s="82">
        <v>4</v>
      </c>
      <c r="AG346" s="82">
        <v>1</v>
      </c>
      <c r="AH346" s="82">
        <v>2</v>
      </c>
      <c r="AI346" s="82">
        <v>1.9999999999708962</v>
      </c>
      <c r="AJ346" s="166">
        <v>4.1282199999999998</v>
      </c>
      <c r="AK346" s="82">
        <v>4.12812</v>
      </c>
      <c r="AL346" s="162">
        <v>0</v>
      </c>
      <c r="AM346" s="162">
        <v>0</v>
      </c>
      <c r="AN346" s="162">
        <v>0</v>
      </c>
      <c r="AO346" s="162">
        <v>4.0825451100005239E-2</v>
      </c>
      <c r="AP346" s="162">
        <v>0</v>
      </c>
      <c r="AQ346" s="162">
        <v>0</v>
      </c>
      <c r="AR346" s="710" t="str">
        <v>14513.par</v>
      </c>
      <c r="AV346" s="82" t="str">
        <v>0,204,204</v>
      </c>
      <c r="AW346" s="947">
        <v>85</v>
      </c>
      <c r="AX346" s="947">
        <v>84.959174548899995</v>
      </c>
      <c r="AY346" s="947">
        <v>4.0825451100005239E-2</v>
      </c>
    </row>
    <row r="347" spans="4:51" x14ac:dyDescent="0.25">
      <c r="D347" s="164">
        <v>5.1269999999999998</v>
      </c>
      <c r="E347">
        <f t="shared" si="1095"/>
        <v>152.90888079966558</v>
      </c>
      <c r="F347">
        <f t="shared" si="1096"/>
        <v>3.6604901028221848</v>
      </c>
      <c r="G347">
        <f t="shared" si="1097"/>
        <v>-1.7778769188953194</v>
      </c>
      <c r="H347">
        <f t="shared" si="1098"/>
        <v>-84.958667995750403</v>
      </c>
      <c r="I347">
        <f t="shared" si="1099"/>
        <v>29.729925767321735</v>
      </c>
      <c r="J347" s="974">
        <v>146.1</v>
      </c>
      <c r="AA347" s="82"/>
      <c r="AB347" s="75"/>
      <c r="AC347" s="75"/>
      <c r="AD347" s="166"/>
      <c r="AE347" s="75">
        <v>4.1230000000000002</v>
      </c>
      <c r="AF347" s="82">
        <v>4</v>
      </c>
      <c r="AG347" s="82">
        <v>1</v>
      </c>
      <c r="AH347" s="82">
        <v>2</v>
      </c>
      <c r="AI347" s="82">
        <v>1.9999999999708962</v>
      </c>
      <c r="AJ347" s="166">
        <v>4.1232199999999999</v>
      </c>
      <c r="AK347" s="82">
        <v>4.1231200000000001</v>
      </c>
      <c r="AL347" s="162">
        <v>0</v>
      </c>
      <c r="AM347" s="162">
        <v>0</v>
      </c>
      <c r="AN347" s="162">
        <v>0</v>
      </c>
      <c r="AO347" s="162">
        <v>2.2190981530497993</v>
      </c>
      <c r="AP347" s="162">
        <v>0</v>
      </c>
      <c r="AQ347" s="162">
        <v>0</v>
      </c>
      <c r="AR347" s="710" t="str">
        <v>14513.par</v>
      </c>
      <c r="AV347" s="82" t="str">
        <v>0,204,204</v>
      </c>
      <c r="AW347" s="947">
        <v>72.03</v>
      </c>
      <c r="AX347" s="947">
        <v>69.810901846950202</v>
      </c>
      <c r="AY347" s="947">
        <v>2.2190981530497993</v>
      </c>
    </row>
    <row r="348" spans="4:51" x14ac:dyDescent="0.25">
      <c r="D348" s="164">
        <v>5.133</v>
      </c>
      <c r="E348" t="e">
        <f t="shared" si="1095"/>
        <v>#N/A</v>
      </c>
      <c r="F348" t="e">
        <f t="shared" si="1096"/>
        <v>#N/A</v>
      </c>
      <c r="G348" t="e">
        <f t="shared" si="1097"/>
        <v>#N/A</v>
      </c>
      <c r="H348" t="e">
        <f t="shared" si="1098"/>
        <v>#N/A</v>
      </c>
      <c r="I348" t="e">
        <f t="shared" si="1099"/>
        <v>#N/A</v>
      </c>
      <c r="J348" s="974">
        <v>164.9</v>
      </c>
      <c r="AA348" s="82"/>
      <c r="AB348" s="75"/>
      <c r="AC348" s="75"/>
      <c r="AD348" s="166"/>
      <c r="AE348" s="75">
        <v>4.1180000000000003</v>
      </c>
      <c r="AF348" s="82">
        <v>4</v>
      </c>
      <c r="AG348" s="82">
        <v>1</v>
      </c>
      <c r="AH348" s="82">
        <v>2</v>
      </c>
      <c r="AI348" s="82">
        <v>1.9999999999708962</v>
      </c>
      <c r="AJ348" s="166">
        <v>4.11822</v>
      </c>
      <c r="AK348" s="82">
        <v>4.1181200000000002</v>
      </c>
      <c r="AL348" s="162">
        <v>0</v>
      </c>
      <c r="AM348" s="162">
        <v>0</v>
      </c>
      <c r="AN348" s="162">
        <v>0</v>
      </c>
      <c r="AO348" s="162">
        <v>0.46764071572492583</v>
      </c>
      <c r="AP348" s="162">
        <v>0</v>
      </c>
      <c r="AQ348" s="162">
        <v>0</v>
      </c>
      <c r="AR348" s="710" t="str">
        <v>14513.par</v>
      </c>
      <c r="AV348" s="82" t="str">
        <v>0,204,204</v>
      </c>
      <c r="AW348" s="947">
        <v>44.919999999999987</v>
      </c>
      <c r="AX348" s="947">
        <v>44.452359284275062</v>
      </c>
      <c r="AY348" s="947">
        <v>0.46764071572492583</v>
      </c>
    </row>
    <row r="349" spans="4:51" x14ac:dyDescent="0.25">
      <c r="D349" s="164">
        <v>5.1390000000000002</v>
      </c>
      <c r="E349" t="e">
        <f t="shared" si="1095"/>
        <v>#N/A</v>
      </c>
      <c r="F349" t="e">
        <f t="shared" si="1096"/>
        <v>#N/A</v>
      </c>
      <c r="G349" t="e">
        <f t="shared" si="1097"/>
        <v>#N/A</v>
      </c>
      <c r="H349" t="e">
        <f t="shared" si="1098"/>
        <v>#N/A</v>
      </c>
      <c r="I349" t="e">
        <f t="shared" si="1099"/>
        <v>#N/A</v>
      </c>
      <c r="J349" s="974">
        <v>175</v>
      </c>
      <c r="AA349" s="82"/>
      <c r="AB349" s="75"/>
      <c r="AC349" s="75"/>
      <c r="AD349" s="166"/>
      <c r="AE349" s="75">
        <v>4.1130000000000004</v>
      </c>
      <c r="AF349" s="82">
        <v>4</v>
      </c>
      <c r="AG349" s="82">
        <v>1</v>
      </c>
      <c r="AH349" s="82">
        <v>2</v>
      </c>
      <c r="AI349" s="82">
        <v>2.0000000000436557</v>
      </c>
      <c r="AJ349" s="166">
        <v>4.1132200000000001</v>
      </c>
      <c r="AK349" s="82">
        <v>4.1131200000000003</v>
      </c>
      <c r="AL349" s="162">
        <v>0</v>
      </c>
      <c r="AM349" s="162">
        <v>0</v>
      </c>
      <c r="AN349" s="162">
        <v>0</v>
      </c>
      <c r="AO349" s="162">
        <v>-0.51105498580061592</v>
      </c>
      <c r="AP349" s="162">
        <v>0</v>
      </c>
      <c r="AQ349" s="162">
        <v>0</v>
      </c>
      <c r="AR349" s="710" t="str">
        <v>14513.par</v>
      </c>
      <c r="AV349" s="82" t="str">
        <v>0,204,204</v>
      </c>
      <c r="AW349" s="947">
        <v>18.340000000000003</v>
      </c>
      <c r="AX349" s="947">
        <v>18.851054985800619</v>
      </c>
      <c r="AY349" s="947">
        <v>-0.51105498580061592</v>
      </c>
    </row>
    <row r="350" spans="4:51" x14ac:dyDescent="0.25">
      <c r="D350" s="164">
        <v>5.1449999999999996</v>
      </c>
      <c r="E350" t="e">
        <f t="shared" si="1095"/>
        <v>#N/A</v>
      </c>
      <c r="F350" t="e">
        <f t="shared" si="1096"/>
        <v>#N/A</v>
      </c>
      <c r="G350" t="e">
        <f t="shared" si="1097"/>
        <v>#N/A</v>
      </c>
      <c r="H350" t="e">
        <f t="shared" si="1098"/>
        <v>#N/A</v>
      </c>
      <c r="I350" t="e">
        <f t="shared" si="1099"/>
        <v>#N/A</v>
      </c>
      <c r="J350" s="974">
        <v>175</v>
      </c>
      <c r="AA350" s="82"/>
      <c r="AB350" s="75"/>
      <c r="AC350" s="75"/>
      <c r="AD350" s="166"/>
      <c r="AE350" s="75">
        <v>4.1079999999999997</v>
      </c>
      <c r="AF350" s="82">
        <v>4</v>
      </c>
      <c r="AG350" s="82">
        <v>1</v>
      </c>
      <c r="AH350" s="82">
        <v>2</v>
      </c>
      <c r="AI350" s="82">
        <v>1.9999999998981366</v>
      </c>
      <c r="AJ350" s="166">
        <v>4.1082199999999993</v>
      </c>
      <c r="AK350" s="82">
        <v>4.1081199999999995</v>
      </c>
      <c r="AL350" s="162">
        <v>0</v>
      </c>
      <c r="AM350" s="162">
        <v>0</v>
      </c>
      <c r="AN350" s="162">
        <v>0</v>
      </c>
      <c r="AO350" s="162">
        <v>-8.2455245160703576</v>
      </c>
      <c r="AP350" s="162">
        <v>0</v>
      </c>
      <c r="AQ350" s="162">
        <v>0</v>
      </c>
      <c r="AR350" s="710" t="str">
        <v>14513.par</v>
      </c>
      <c r="AV350" s="82" t="str">
        <v>0,204,204</v>
      </c>
      <c r="AW350" s="947">
        <v>-11.439999999999998</v>
      </c>
      <c r="AX350" s="947">
        <v>-3.1944754839296392</v>
      </c>
      <c r="AY350" s="947">
        <v>-8.2455245160703576</v>
      </c>
    </row>
    <row r="351" spans="4:51" x14ac:dyDescent="0.25">
      <c r="D351" s="164">
        <v>6.1139999999999999</v>
      </c>
      <c r="E351" t="e">
        <f t="shared" si="1095"/>
        <v>#N/A</v>
      </c>
      <c r="F351" t="e">
        <f t="shared" si="1096"/>
        <v>#N/A</v>
      </c>
      <c r="G351" t="e">
        <f t="shared" si="1097"/>
        <v>#N/A</v>
      </c>
      <c r="H351" t="e">
        <f t="shared" si="1098"/>
        <v>#N/A</v>
      </c>
      <c r="I351" t="e">
        <f t="shared" si="1099"/>
        <v>#N/A</v>
      </c>
      <c r="J351" s="974">
        <v>104.8</v>
      </c>
      <c r="AA351" s="82"/>
      <c r="AB351" s="75"/>
      <c r="AC351" s="75"/>
      <c r="AD351" s="166"/>
      <c r="AE351" s="75">
        <v>4.1050000000000004</v>
      </c>
      <c r="AF351" s="82">
        <v>4</v>
      </c>
      <c r="AG351" s="82">
        <v>1</v>
      </c>
      <c r="AH351" s="82">
        <v>2</v>
      </c>
      <c r="AI351" s="82">
        <v>2.0000000000436557</v>
      </c>
      <c r="AJ351" s="166">
        <v>4.1052200000000001</v>
      </c>
      <c r="AK351" s="82">
        <v>4.1051200000000003</v>
      </c>
      <c r="AL351" s="162">
        <v>0</v>
      </c>
      <c r="AM351" s="162">
        <v>0</v>
      </c>
      <c r="AN351" s="162">
        <v>0</v>
      </c>
      <c r="AO351" s="162">
        <v>-2.6048774606487441</v>
      </c>
      <c r="AP351" s="162">
        <v>0</v>
      </c>
      <c r="AQ351" s="162">
        <v>0</v>
      </c>
      <c r="AR351" s="710" t="str">
        <v>14513.par</v>
      </c>
      <c r="AV351" s="82" t="str">
        <v>0,204,204</v>
      </c>
      <c r="AW351" s="947">
        <v>-10</v>
      </c>
      <c r="AX351" s="947">
        <v>-7.3951225393512559</v>
      </c>
      <c r="AY351" s="947">
        <v>-2.6048774606487441</v>
      </c>
    </row>
    <row r="352" spans="4:51" x14ac:dyDescent="0.25">
      <c r="D352" s="164">
        <v>6.12</v>
      </c>
      <c r="E352" t="e">
        <f t="shared" si="1095"/>
        <v>#N/A</v>
      </c>
      <c r="F352" t="e">
        <f t="shared" si="1096"/>
        <v>#N/A</v>
      </c>
      <c r="G352" t="e">
        <f t="shared" si="1097"/>
        <v>#N/A</v>
      </c>
      <c r="H352" t="e">
        <f t="shared" si="1098"/>
        <v>#N/A</v>
      </c>
      <c r="I352" t="e">
        <f t="shared" si="1099"/>
        <v>#N/A</v>
      </c>
      <c r="J352" s="974">
        <v>123.9</v>
      </c>
      <c r="AA352" s="82"/>
      <c r="AB352" s="75"/>
      <c r="AC352" s="75"/>
      <c r="AD352" s="166"/>
      <c r="AE352" s="75">
        <v>4.1020000000000003</v>
      </c>
      <c r="AF352" s="82">
        <v>4</v>
      </c>
      <c r="AG352" s="82">
        <v>1</v>
      </c>
      <c r="AH352" s="82">
        <v>2</v>
      </c>
      <c r="AI352" s="82">
        <v>1.9999999999708962</v>
      </c>
      <c r="AJ352" s="166">
        <v>4.10222</v>
      </c>
      <c r="AK352" s="82">
        <v>4.1021200000000002</v>
      </c>
      <c r="AL352" s="162">
        <v>0</v>
      </c>
      <c r="AM352" s="162">
        <v>0</v>
      </c>
      <c r="AN352" s="162">
        <v>0</v>
      </c>
      <c r="AO352" s="162">
        <v>2.6907515837126823</v>
      </c>
      <c r="AP352" s="162">
        <v>0</v>
      </c>
      <c r="AQ352" s="162">
        <v>0</v>
      </c>
      <c r="AR352" s="710" t="str">
        <v>14513.par</v>
      </c>
      <c r="AV352" s="82" t="str">
        <v>0,204,204</v>
      </c>
      <c r="AW352" s="947">
        <v>-10</v>
      </c>
      <c r="AX352" s="947">
        <v>-12.690751583712682</v>
      </c>
      <c r="AY352" s="947">
        <v>2.6907515837126823</v>
      </c>
    </row>
    <row r="353" spans="4:51" x14ac:dyDescent="0.25">
      <c r="D353" s="164">
        <v>6.1260000000000003</v>
      </c>
      <c r="E353" t="e">
        <f t="shared" si="1095"/>
        <v>#N/A</v>
      </c>
      <c r="F353" t="e">
        <f t="shared" si="1096"/>
        <v>#N/A</v>
      </c>
      <c r="G353" t="e">
        <f t="shared" si="1097"/>
        <v>#N/A</v>
      </c>
      <c r="H353" t="e">
        <f t="shared" si="1098"/>
        <v>#N/A</v>
      </c>
      <c r="I353" t="e">
        <f t="shared" si="1099"/>
        <v>#N/A</v>
      </c>
      <c r="J353" s="974">
        <v>142.9</v>
      </c>
      <c r="AA353" s="82"/>
      <c r="AB353" s="75"/>
      <c r="AC353" s="75"/>
      <c r="AD353" s="166"/>
      <c r="AE353" s="75">
        <v>3.2290000000000001</v>
      </c>
      <c r="AF353" s="82">
        <v>3</v>
      </c>
      <c r="AG353" s="82">
        <v>2</v>
      </c>
      <c r="AH353" s="82">
        <v>2</v>
      </c>
      <c r="AI353" s="82">
        <v>2.000000000007276</v>
      </c>
      <c r="AJ353" s="166">
        <v>3.2292200000000002</v>
      </c>
      <c r="AK353" s="82">
        <v>3.22912</v>
      </c>
      <c r="AL353" s="162">
        <v>0</v>
      </c>
      <c r="AM353" s="162">
        <v>0</v>
      </c>
      <c r="AN353" s="162">
        <v>0</v>
      </c>
      <c r="AO353" s="162">
        <v>1.2272479821717752E-5</v>
      </c>
      <c r="AP353" s="162">
        <v>0</v>
      </c>
      <c r="AQ353" s="162">
        <v>0</v>
      </c>
      <c r="AR353" s="710" t="str">
        <v>32193r1.par</v>
      </c>
      <c r="AV353" s="82" t="str">
        <v>97,255,97</v>
      </c>
      <c r="AW353" s="947">
        <v>85</v>
      </c>
      <c r="AX353" s="947">
        <v>84.999987727520178</v>
      </c>
      <c r="AY353" s="947">
        <v>1.2272479821717752E-5</v>
      </c>
    </row>
    <row r="354" spans="4:51" x14ac:dyDescent="0.25">
      <c r="D354" s="164">
        <v>6.1319999999999997</v>
      </c>
      <c r="E354" t="e">
        <f t="shared" si="1095"/>
        <v>#N/A</v>
      </c>
      <c r="F354" t="e">
        <f t="shared" si="1096"/>
        <v>#N/A</v>
      </c>
      <c r="G354" t="e">
        <f t="shared" si="1097"/>
        <v>#N/A</v>
      </c>
      <c r="H354" t="e">
        <f t="shared" si="1098"/>
        <v>#N/A</v>
      </c>
      <c r="I354" t="e">
        <f t="shared" si="1099"/>
        <v>#N/A</v>
      </c>
      <c r="J354" s="974">
        <v>161.80000000000001</v>
      </c>
      <c r="AA354" s="82"/>
      <c r="AB354" s="75"/>
      <c r="AC354" s="75"/>
      <c r="AD354" s="166"/>
      <c r="AE354" s="75">
        <v>3.2240000000000002</v>
      </c>
      <c r="AF354" s="82">
        <v>3</v>
      </c>
      <c r="AG354" s="82">
        <v>2</v>
      </c>
      <c r="AH354" s="82">
        <v>2</v>
      </c>
      <c r="AI354" s="82">
        <v>2.0000000000436557</v>
      </c>
      <c r="AJ354" s="166">
        <v>3.2242200000000003</v>
      </c>
      <c r="AK354" s="82">
        <v>3.2241200000000001</v>
      </c>
      <c r="AL354" s="162">
        <v>0</v>
      </c>
      <c r="AM354" s="162">
        <v>0</v>
      </c>
      <c r="AN354" s="162">
        <v>0</v>
      </c>
      <c r="AO354" s="162">
        <v>1.1191057765813639E-5</v>
      </c>
      <c r="AP354" s="162">
        <v>0</v>
      </c>
      <c r="AQ354" s="162">
        <v>0</v>
      </c>
      <c r="AR354" s="710" t="str">
        <v>32193r1.par</v>
      </c>
      <c r="AV354" s="82" t="str">
        <v>97,255,97</v>
      </c>
      <c r="AW354" s="947">
        <v>77.509999999999991</v>
      </c>
      <c r="AX354" s="947">
        <v>77.509988808942225</v>
      </c>
      <c r="AY354" s="947">
        <v>1.1191057765813639E-5</v>
      </c>
    </row>
    <row r="355" spans="4:51" x14ac:dyDescent="0.25">
      <c r="D355" s="164">
        <v>6.1379999999999999</v>
      </c>
      <c r="E355" t="e">
        <f t="shared" si="1095"/>
        <v>#N/A</v>
      </c>
      <c r="F355" t="e">
        <f t="shared" si="1096"/>
        <v>#N/A</v>
      </c>
      <c r="G355" t="e">
        <f t="shared" si="1097"/>
        <v>#N/A</v>
      </c>
      <c r="H355" t="e">
        <f t="shared" si="1098"/>
        <v>#N/A</v>
      </c>
      <c r="I355" t="e">
        <f t="shared" si="1099"/>
        <v>#N/A</v>
      </c>
      <c r="J355" s="974">
        <v>175</v>
      </c>
      <c r="AA355" s="82"/>
      <c r="AB355" s="75"/>
      <c r="AC355" s="75"/>
      <c r="AD355" s="166"/>
      <c r="AE355" s="75">
        <v>3.2189999999999999</v>
      </c>
      <c r="AF355" s="82">
        <v>3</v>
      </c>
      <c r="AG355" s="82">
        <v>2</v>
      </c>
      <c r="AH355" s="82">
        <v>2</v>
      </c>
      <c r="AI355" s="82">
        <v>2.000000000007276</v>
      </c>
      <c r="AJ355" s="166">
        <v>3.21922</v>
      </c>
      <c r="AK355" s="82">
        <v>3.2191199999999998</v>
      </c>
      <c r="AL355" s="162">
        <v>0</v>
      </c>
      <c r="AM355" s="162">
        <v>0</v>
      </c>
      <c r="AN355" s="162">
        <v>0</v>
      </c>
      <c r="AO355" s="162">
        <v>0.65303757923710748</v>
      </c>
      <c r="AP355" s="162">
        <v>0</v>
      </c>
      <c r="AQ355" s="162">
        <v>0</v>
      </c>
      <c r="AR355" s="710" t="str">
        <v>1313.par</v>
      </c>
      <c r="AV355" s="82" t="str">
        <v>97,255,97</v>
      </c>
      <c r="AW355" s="947">
        <v>50.300000000000011</v>
      </c>
      <c r="AX355" s="947">
        <v>49.646962420762904</v>
      </c>
      <c r="AY355" s="947">
        <v>0.65303757923710748</v>
      </c>
    </row>
    <row r="356" spans="4:51" x14ac:dyDescent="0.25">
      <c r="D356" s="164">
        <v>6.1440000000000001</v>
      </c>
      <c r="E356" t="e">
        <f t="shared" si="1095"/>
        <v>#N/A</v>
      </c>
      <c r="F356" t="e">
        <f t="shared" si="1096"/>
        <v>#N/A</v>
      </c>
      <c r="G356" t="e">
        <f t="shared" si="1097"/>
        <v>#N/A</v>
      </c>
      <c r="H356" t="e">
        <f t="shared" si="1098"/>
        <v>#N/A</v>
      </c>
      <c r="I356" t="e">
        <f t="shared" si="1099"/>
        <v>#N/A</v>
      </c>
      <c r="J356" s="974">
        <v>175</v>
      </c>
      <c r="AA356" s="82"/>
      <c r="AB356" s="75"/>
      <c r="AC356" s="75"/>
      <c r="AD356" s="166"/>
      <c r="AE356" s="75">
        <v>3.214</v>
      </c>
      <c r="AF356" s="82">
        <v>3</v>
      </c>
      <c r="AG356" s="82">
        <v>2</v>
      </c>
      <c r="AH356" s="82">
        <v>2</v>
      </c>
      <c r="AI356" s="82">
        <v>2.000000000007276</v>
      </c>
      <c r="AJ356" s="166">
        <v>3.2142200000000001</v>
      </c>
      <c r="AK356" s="82">
        <v>3.2141199999999999</v>
      </c>
      <c r="AL356" s="162">
        <v>0</v>
      </c>
      <c r="AM356" s="162">
        <v>0</v>
      </c>
      <c r="AN356" s="162">
        <v>0</v>
      </c>
      <c r="AO356" s="162">
        <v>-0.63224692493988854</v>
      </c>
      <c r="AP356" s="162">
        <v>0</v>
      </c>
      <c r="AQ356" s="162">
        <v>0</v>
      </c>
      <c r="AR356" s="710" t="str">
        <v>1313.par</v>
      </c>
      <c r="AV356" s="82" t="str">
        <v>97,255,97</v>
      </c>
      <c r="AW356" s="947">
        <v>23.620000000000005</v>
      </c>
      <c r="AX356" s="947">
        <v>24.252246924939893</v>
      </c>
      <c r="AY356" s="947">
        <v>-0.63224692493988854</v>
      </c>
    </row>
    <row r="357" spans="4:51" x14ac:dyDescent="0.25">
      <c r="D357" s="982">
        <v>2.246</v>
      </c>
      <c r="E357" t="e">
        <f t="shared" si="1095"/>
        <v>#N/A</v>
      </c>
      <c r="F357" t="e">
        <f t="shared" si="1096"/>
        <v>#N/A</v>
      </c>
      <c r="G357" t="e">
        <f t="shared" si="1097"/>
        <v>#N/A</v>
      </c>
      <c r="H357" t="e">
        <f t="shared" si="1098"/>
        <v>#N/A</v>
      </c>
      <c r="I357" t="e">
        <f t="shared" si="1099"/>
        <v>#N/A</v>
      </c>
      <c r="AA357" s="82"/>
      <c r="AB357" s="75"/>
      <c r="AC357" s="75"/>
      <c r="AD357" s="166"/>
      <c r="AE357" s="75">
        <v>3.2090000000000001</v>
      </c>
      <c r="AF357" s="82">
        <v>3</v>
      </c>
      <c r="AG357" s="82">
        <v>2</v>
      </c>
      <c r="AH357" s="82">
        <v>2</v>
      </c>
      <c r="AI357" s="82">
        <v>2.000000000007276</v>
      </c>
      <c r="AJ357" s="166">
        <v>3.2092200000000002</v>
      </c>
      <c r="AK357" s="82">
        <v>3.20912</v>
      </c>
      <c r="AL357" s="162">
        <v>0</v>
      </c>
      <c r="AM357" s="162">
        <v>0</v>
      </c>
      <c r="AN357" s="162">
        <v>0</v>
      </c>
      <c r="AO357" s="162">
        <v>-2.6899999999999977</v>
      </c>
      <c r="AP357" s="162">
        <v>0</v>
      </c>
      <c r="AQ357" s="162">
        <v>0</v>
      </c>
      <c r="AR357" s="710" t="str">
        <v>32193r1.par</v>
      </c>
      <c r="AV357" s="82" t="str">
        <v>97,255,97</v>
      </c>
      <c r="AW357" s="947">
        <v>-2.6899999999999977</v>
      </c>
      <c r="AX357" s="947">
        <v>0</v>
      </c>
      <c r="AY357" s="947">
        <v>-2.6899999999999977</v>
      </c>
    </row>
    <row r="358" spans="4:51" x14ac:dyDescent="0.25">
      <c r="AA358" s="82"/>
      <c r="AB358" s="75"/>
      <c r="AC358" s="75"/>
      <c r="AD358" s="166"/>
      <c r="AE358" s="75">
        <v>3.129</v>
      </c>
      <c r="AF358" s="82">
        <v>3</v>
      </c>
      <c r="AG358" s="82">
        <v>1</v>
      </c>
      <c r="AH358" s="82">
        <v>2</v>
      </c>
      <c r="AI358" s="82">
        <v>2.000000000007276</v>
      </c>
      <c r="AJ358" s="166">
        <v>3.1292200000000001</v>
      </c>
      <c r="AK358" s="82">
        <v>3.1291199999999999</v>
      </c>
      <c r="AL358" s="162">
        <v>0</v>
      </c>
      <c r="AM358" s="162">
        <v>0</v>
      </c>
      <c r="AN358" s="162">
        <v>0</v>
      </c>
      <c r="AO358" s="162">
        <v>4.0825451099834709E-2</v>
      </c>
      <c r="AP358" s="162">
        <v>0</v>
      </c>
      <c r="AQ358" s="162">
        <v>0</v>
      </c>
      <c r="AR358" s="710" t="str">
        <v>14513.par</v>
      </c>
      <c r="AV358" s="82" t="str">
        <v>0,204,0</v>
      </c>
      <c r="AW358" s="947">
        <v>85</v>
      </c>
      <c r="AX358" s="947">
        <v>84.959174548900165</v>
      </c>
      <c r="AY358" s="947">
        <v>4.0825451099834709E-2</v>
      </c>
    </row>
    <row r="359" spans="4:51" x14ac:dyDescent="0.25">
      <c r="AA359" s="82"/>
      <c r="AB359" s="75"/>
      <c r="AC359" s="75"/>
      <c r="AD359" s="166"/>
      <c r="AE359" s="75">
        <v>3.1240000000000001</v>
      </c>
      <c r="AF359" s="82">
        <v>3</v>
      </c>
      <c r="AG359" s="82">
        <v>1</v>
      </c>
      <c r="AH359" s="82">
        <v>2</v>
      </c>
      <c r="AI359" s="82">
        <v>2.000000000007276</v>
      </c>
      <c r="AJ359" s="166">
        <v>3.1242200000000002</v>
      </c>
      <c r="AK359" s="82">
        <v>3.12412</v>
      </c>
      <c r="AL359" s="162">
        <v>0</v>
      </c>
      <c r="AM359" s="162">
        <v>0</v>
      </c>
      <c r="AN359" s="162">
        <v>0</v>
      </c>
      <c r="AO359" s="162">
        <v>2.6454441498011647</v>
      </c>
      <c r="AP359" s="162">
        <v>0</v>
      </c>
      <c r="AQ359" s="162">
        <v>0</v>
      </c>
      <c r="AR359" s="710" t="str">
        <v>14513.par</v>
      </c>
      <c r="AV359" s="82" t="str">
        <v>0,204,0</v>
      </c>
      <c r="AW359" s="947">
        <v>77.509999999999991</v>
      </c>
      <c r="AX359" s="947">
        <v>74.864555850198826</v>
      </c>
      <c r="AY359" s="947">
        <v>2.6454441498011647</v>
      </c>
    </row>
    <row r="360" spans="4:51" x14ac:dyDescent="0.25">
      <c r="AA360" s="82"/>
      <c r="AB360" s="75"/>
      <c r="AC360" s="75"/>
      <c r="AD360" s="166"/>
      <c r="AE360" s="75">
        <v>3.1190000000000002</v>
      </c>
      <c r="AF360" s="82">
        <v>3</v>
      </c>
      <c r="AG360" s="82">
        <v>1</v>
      </c>
      <c r="AH360" s="82">
        <v>2</v>
      </c>
      <c r="AI360" s="82">
        <v>2.0000000000436557</v>
      </c>
      <c r="AJ360" s="166">
        <v>3.1192200000000003</v>
      </c>
      <c r="AK360" s="82">
        <v>3.1191200000000001</v>
      </c>
      <c r="AL360" s="162">
        <v>0</v>
      </c>
      <c r="AM360" s="162">
        <v>0</v>
      </c>
      <c r="AN360" s="162">
        <v>0</v>
      </c>
      <c r="AO360" s="162">
        <v>0.76130065223181731</v>
      </c>
      <c r="AP360" s="162">
        <v>0</v>
      </c>
      <c r="AQ360" s="162">
        <v>0</v>
      </c>
      <c r="AR360" s="710" t="str">
        <v>14513.par</v>
      </c>
      <c r="AV360" s="82" t="str">
        <v>0,204,0</v>
      </c>
      <c r="AW360" s="947">
        <v>50.300000000000011</v>
      </c>
      <c r="AX360" s="947">
        <v>49.538699347768194</v>
      </c>
      <c r="AY360" s="947">
        <v>0.76130065223181731</v>
      </c>
    </row>
    <row r="361" spans="4:51" x14ac:dyDescent="0.25">
      <c r="AA361" s="82"/>
      <c r="AB361" s="75"/>
      <c r="AC361" s="75"/>
      <c r="AD361" s="166"/>
      <c r="AE361" s="75">
        <v>3.1139999999999999</v>
      </c>
      <c r="AF361" s="82">
        <v>3</v>
      </c>
      <c r="AG361" s="82">
        <v>1</v>
      </c>
      <c r="AH361" s="82">
        <v>2</v>
      </c>
      <c r="AI361" s="82">
        <v>2.000000000007276</v>
      </c>
      <c r="AJ361" s="166">
        <v>3.11422</v>
      </c>
      <c r="AK361" s="82">
        <v>3.1141199999999998</v>
      </c>
      <c r="AL361" s="162">
        <v>0</v>
      </c>
      <c r="AM361" s="162">
        <v>0</v>
      </c>
      <c r="AN361" s="162">
        <v>0</v>
      </c>
      <c r="AO361" s="162">
        <v>-0.37940461853218466</v>
      </c>
      <c r="AP361" s="162">
        <v>0</v>
      </c>
      <c r="AQ361" s="162">
        <v>0</v>
      </c>
      <c r="AR361" s="710" t="str">
        <v>14513.par</v>
      </c>
      <c r="AV361" s="82" t="str">
        <v>0,204,0</v>
      </c>
      <c r="AW361" s="947">
        <v>23.620000000000005</v>
      </c>
      <c r="AX361" s="947">
        <v>23.999404618532189</v>
      </c>
      <c r="AY361" s="947">
        <v>-0.37940461853218466</v>
      </c>
    </row>
    <row r="362" spans="4:51" x14ac:dyDescent="0.25">
      <c r="AE362">
        <v>3.109</v>
      </c>
      <c r="AF362" s="82">
        <v>3</v>
      </c>
      <c r="AG362">
        <v>1</v>
      </c>
      <c r="AH362">
        <v>2</v>
      </c>
      <c r="AI362">
        <v>2.000000000007276</v>
      </c>
      <c r="AJ362">
        <v>3.1092200000000001</v>
      </c>
      <c r="AK362">
        <v>3.1091199999999999</v>
      </c>
      <c r="AL362">
        <v>0</v>
      </c>
      <c r="AM362">
        <v>0</v>
      </c>
      <c r="AN362">
        <v>0</v>
      </c>
      <c r="AO362">
        <v>-0.73751755458939305</v>
      </c>
      <c r="AP362">
        <v>0</v>
      </c>
      <c r="AQ362">
        <v>0</v>
      </c>
      <c r="AR362" t="str">
        <v>14513.par</v>
      </c>
      <c r="AV362" t="str">
        <v>0,204,0</v>
      </c>
      <c r="AW362" s="31">
        <v>-2.6899999999999977</v>
      </c>
      <c r="AX362" s="31">
        <v>-1.9524824454106047</v>
      </c>
      <c r="AY362" s="31">
        <v>-0.73751755458939305</v>
      </c>
    </row>
    <row r="363" spans="4:51" x14ac:dyDescent="0.25">
      <c r="AE363">
        <v>3.1059999999999999</v>
      </c>
      <c r="AF363" s="82">
        <v>3</v>
      </c>
      <c r="AG363">
        <v>1</v>
      </c>
      <c r="AH363">
        <v>2</v>
      </c>
      <c r="AI363">
        <v>2.000000000007276</v>
      </c>
      <c r="AJ363">
        <v>3.10622</v>
      </c>
      <c r="AK363">
        <v>3.1061199999999998</v>
      </c>
      <c r="AL363">
        <v>0</v>
      </c>
      <c r="AM363">
        <v>0</v>
      </c>
      <c r="AN363">
        <v>0</v>
      </c>
      <c r="AO363">
        <v>-4.1247111440417523</v>
      </c>
      <c r="AP363">
        <v>0</v>
      </c>
      <c r="AQ363">
        <v>0</v>
      </c>
      <c r="AR363" t="str">
        <v>14513.par</v>
      </c>
      <c r="AV363" t="str">
        <v>0,204,0</v>
      </c>
      <c r="AW363" s="31">
        <v>-10</v>
      </c>
      <c r="AX363" s="31">
        <v>-5.8752888559582477</v>
      </c>
      <c r="AY363" s="31">
        <v>-4.1247111440417523</v>
      </c>
    </row>
    <row r="364" spans="4:51" x14ac:dyDescent="0.25">
      <c r="AE364">
        <v>3.1030000000000002</v>
      </c>
      <c r="AF364" s="82">
        <v>3</v>
      </c>
      <c r="AG364">
        <v>1</v>
      </c>
      <c r="AH364">
        <v>2</v>
      </c>
      <c r="AI364">
        <v>2.0000000000436557</v>
      </c>
      <c r="AJ364">
        <v>3.1032200000000003</v>
      </c>
      <c r="AK364">
        <v>3.1031200000000001</v>
      </c>
      <c r="AL364">
        <v>0</v>
      </c>
      <c r="AM364">
        <v>0</v>
      </c>
      <c r="AN364">
        <v>0</v>
      </c>
      <c r="AO364">
        <v>0.62485016312631636</v>
      </c>
      <c r="AP364">
        <v>0</v>
      </c>
      <c r="AQ364">
        <v>0</v>
      </c>
      <c r="AR364" t="str">
        <v>14513.par</v>
      </c>
      <c r="AV364" t="str">
        <v>0,204,0</v>
      </c>
      <c r="AW364" s="31">
        <v>-10</v>
      </c>
      <c r="AX364" s="31">
        <v>-10.624850163126316</v>
      </c>
      <c r="AY364" s="31">
        <v>0.62485016312631636</v>
      </c>
    </row>
    <row r="365" spans="4:51" x14ac:dyDescent="0.25">
      <c r="AE365">
        <v>2.23</v>
      </c>
      <c r="AF365" s="82">
        <v>2</v>
      </c>
      <c r="AG365">
        <v>2</v>
      </c>
      <c r="AH365">
        <v>2</v>
      </c>
      <c r="AI365">
        <v>2.000000000007276</v>
      </c>
      <c r="AJ365">
        <v>2.2302200000000001</v>
      </c>
      <c r="AK365">
        <v>2.2301199999999999</v>
      </c>
      <c r="AL365">
        <v>0</v>
      </c>
      <c r="AM365">
        <v>0</v>
      </c>
      <c r="AN365">
        <v>0</v>
      </c>
      <c r="AO365">
        <v>1.2272479821717752E-5</v>
      </c>
      <c r="AP365">
        <v>0</v>
      </c>
      <c r="AQ365">
        <v>0</v>
      </c>
      <c r="AR365" t="str">
        <v>32193r1.par</v>
      </c>
      <c r="AV365" t="str">
        <v>255,255,91</v>
      </c>
      <c r="AW365" s="31">
        <v>85</v>
      </c>
      <c r="AX365" s="31">
        <v>84.999987727520178</v>
      </c>
      <c r="AY365" s="31">
        <v>1.2272479821717752E-5</v>
      </c>
    </row>
    <row r="366" spans="4:51" x14ac:dyDescent="0.25">
      <c r="AE366">
        <v>2.2250000000000001</v>
      </c>
      <c r="AF366" s="82">
        <v>2</v>
      </c>
      <c r="AG366">
        <v>2</v>
      </c>
      <c r="AH366">
        <v>2</v>
      </c>
      <c r="AI366">
        <v>2.000000000007276</v>
      </c>
      <c r="AJ366">
        <v>2.2252200000000002</v>
      </c>
      <c r="AK366">
        <v>2.22512</v>
      </c>
      <c r="AL366">
        <v>0</v>
      </c>
      <c r="AM366">
        <v>0</v>
      </c>
      <c r="AN366">
        <v>0</v>
      </c>
      <c r="AO366">
        <v>1.1982271743704587E-5</v>
      </c>
      <c r="AP366">
        <v>0</v>
      </c>
      <c r="AQ366">
        <v>0</v>
      </c>
      <c r="AR366" t="str">
        <v>32193r1.par</v>
      </c>
      <c r="AV366" t="str">
        <v>255,255,91</v>
      </c>
      <c r="AW366" s="31">
        <v>82.990000000000009</v>
      </c>
      <c r="AX366" s="31">
        <v>82.989988017728265</v>
      </c>
      <c r="AY366" s="31">
        <v>1.1982271743704587E-5</v>
      </c>
    </row>
    <row r="367" spans="4:51" x14ac:dyDescent="0.25">
      <c r="AE367">
        <v>2.2200000000000002</v>
      </c>
      <c r="AF367" s="82">
        <v>2</v>
      </c>
      <c r="AG367">
        <v>2</v>
      </c>
      <c r="AH367">
        <v>2</v>
      </c>
      <c r="AI367">
        <v>2.0000000000436557</v>
      </c>
      <c r="AJ367">
        <v>2.2202200000000003</v>
      </c>
      <c r="AK367">
        <v>2.2201200000000001</v>
      </c>
      <c r="AL367">
        <v>0</v>
      </c>
      <c r="AM367">
        <v>0</v>
      </c>
      <c r="AN367">
        <v>0</v>
      </c>
      <c r="AO367">
        <v>0.99418862048218415</v>
      </c>
      <c r="AP367">
        <v>0</v>
      </c>
      <c r="AQ367">
        <v>0</v>
      </c>
      <c r="AR367" t="str">
        <v>1313.par</v>
      </c>
      <c r="AV367" t="str">
        <v>255,255,91</v>
      </c>
      <c r="AW367" s="31">
        <v>55.699999999999989</v>
      </c>
      <c r="AX367" s="31">
        <v>54.705811379517804</v>
      </c>
      <c r="AY367" s="31">
        <v>0.99418862048218415</v>
      </c>
    </row>
    <row r="368" spans="4:51" x14ac:dyDescent="0.25">
      <c r="AE368">
        <v>2.2149999999999999</v>
      </c>
      <c r="AF368" s="82">
        <v>2</v>
      </c>
      <c r="AG368">
        <v>2</v>
      </c>
      <c r="AH368">
        <v>2</v>
      </c>
      <c r="AI368">
        <v>2.000000000007276</v>
      </c>
      <c r="AJ368">
        <v>2.21522</v>
      </c>
      <c r="AK368">
        <v>2.2151199999999998</v>
      </c>
      <c r="AL368">
        <v>0</v>
      </c>
      <c r="AM368">
        <v>0</v>
      </c>
      <c r="AN368">
        <v>0</v>
      </c>
      <c r="AO368">
        <v>-0.42734636051760333</v>
      </c>
      <c r="AP368">
        <v>0</v>
      </c>
      <c r="AQ368">
        <v>0</v>
      </c>
      <c r="AR368" t="str">
        <v>1313.par</v>
      </c>
      <c r="AV368" t="str">
        <v>255,255,91</v>
      </c>
      <c r="AW368" s="31">
        <v>28.92</v>
      </c>
      <c r="AX368" s="31">
        <v>29.347346360517605</v>
      </c>
      <c r="AY368" s="31">
        <v>-0.42734636051760333</v>
      </c>
    </row>
    <row r="369" spans="31:51" x14ac:dyDescent="0.25">
      <c r="AE369">
        <v>2.13</v>
      </c>
      <c r="AF369" s="82">
        <v>2</v>
      </c>
      <c r="AG369">
        <v>1</v>
      </c>
      <c r="AH369">
        <v>2</v>
      </c>
      <c r="AI369">
        <v>2.000000000007276</v>
      </c>
      <c r="AJ369">
        <v>2.13022</v>
      </c>
      <c r="AK369">
        <v>2.1301199999999998</v>
      </c>
      <c r="AL369">
        <v>0</v>
      </c>
      <c r="AM369">
        <v>0</v>
      </c>
      <c r="AN369">
        <v>0</v>
      </c>
      <c r="AO369">
        <v>4.0825451099934185E-2</v>
      </c>
      <c r="AP369">
        <v>0</v>
      </c>
      <c r="AQ369">
        <v>0</v>
      </c>
      <c r="AR369" t="str">
        <v>14513.par</v>
      </c>
      <c r="AV369" t="str">
        <v>204,204,0</v>
      </c>
      <c r="AW369" s="31">
        <v>85</v>
      </c>
      <c r="AX369" s="31">
        <v>84.959174548900066</v>
      </c>
      <c r="AY369" s="31">
        <v>4.0825451099934185E-2</v>
      </c>
    </row>
    <row r="370" spans="31:51" x14ac:dyDescent="0.25">
      <c r="AE370">
        <v>2.125</v>
      </c>
      <c r="AF370" s="82">
        <v>2</v>
      </c>
      <c r="AG370">
        <v>1</v>
      </c>
      <c r="AH370">
        <v>2</v>
      </c>
      <c r="AI370">
        <v>2.000000000007276</v>
      </c>
      <c r="AJ370">
        <v>2.1252200000000001</v>
      </c>
      <c r="AK370">
        <v>2.1251199999999999</v>
      </c>
      <c r="AL370">
        <v>0</v>
      </c>
      <c r="AM370">
        <v>0</v>
      </c>
      <c r="AN370">
        <v>0</v>
      </c>
      <c r="AO370">
        <v>3.0763442627137891</v>
      </c>
      <c r="AP370">
        <v>0</v>
      </c>
      <c r="AQ370">
        <v>0</v>
      </c>
      <c r="AR370" t="str">
        <v>14513.par</v>
      </c>
      <c r="AV370" t="str">
        <v>204,204,0</v>
      </c>
      <c r="AW370" s="31">
        <v>82.990000000000009</v>
      </c>
      <c r="AX370" s="31">
        <v>79.91365573728622</v>
      </c>
      <c r="AY370" s="31">
        <v>3.0763442627137891</v>
      </c>
    </row>
    <row r="371" spans="31:51" x14ac:dyDescent="0.25">
      <c r="AE371">
        <v>2.12</v>
      </c>
      <c r="AF371" s="82">
        <v>2</v>
      </c>
      <c r="AG371">
        <v>1</v>
      </c>
      <c r="AH371">
        <v>2</v>
      </c>
      <c r="AI371">
        <v>2.000000000007276</v>
      </c>
      <c r="AJ371">
        <v>2.1202200000000002</v>
      </c>
      <c r="AK371">
        <v>2.12012</v>
      </c>
      <c r="AL371">
        <v>0</v>
      </c>
      <c r="AM371">
        <v>0</v>
      </c>
      <c r="AN371">
        <v>0</v>
      </c>
      <c r="AO371">
        <v>1.0831730688730445</v>
      </c>
      <c r="AP371">
        <v>0</v>
      </c>
      <c r="AQ371">
        <v>0</v>
      </c>
      <c r="AR371" t="str">
        <v>14513.par</v>
      </c>
      <c r="AV371" t="str">
        <v>204,204,0</v>
      </c>
      <c r="AW371" s="31">
        <v>55.699999999999989</v>
      </c>
      <c r="AX371" s="31">
        <v>54.616826931126944</v>
      </c>
      <c r="AY371" s="31">
        <v>1.0831730688730445</v>
      </c>
    </row>
    <row r="372" spans="31:51" x14ac:dyDescent="0.25">
      <c r="AE372">
        <v>2.1150000000000002</v>
      </c>
      <c r="AF372" s="82">
        <v>2</v>
      </c>
      <c r="AG372">
        <v>1</v>
      </c>
      <c r="AH372">
        <v>2</v>
      </c>
      <c r="AI372">
        <v>2.0000000000436557</v>
      </c>
      <c r="AJ372">
        <v>2.1152200000000003</v>
      </c>
      <c r="AK372">
        <v>2.1151200000000001</v>
      </c>
      <c r="AL372">
        <v>0</v>
      </c>
      <c r="AM372">
        <v>0</v>
      </c>
      <c r="AN372">
        <v>0</v>
      </c>
      <c r="AO372">
        <v>-0.21184769798292891</v>
      </c>
      <c r="AP372">
        <v>0</v>
      </c>
      <c r="AQ372">
        <v>0</v>
      </c>
      <c r="AR372" t="str">
        <v>14513.par</v>
      </c>
      <c r="AV372" t="str">
        <v>204,204,0</v>
      </c>
      <c r="AW372" s="31">
        <v>28.92</v>
      </c>
      <c r="AX372" s="31">
        <v>29.131847697982931</v>
      </c>
      <c r="AY372" s="31">
        <v>-0.21184769798292891</v>
      </c>
    </row>
    <row r="373" spans="31:51" x14ac:dyDescent="0.25">
      <c r="AE373">
        <v>2.11</v>
      </c>
      <c r="AF373" s="82">
        <v>2</v>
      </c>
      <c r="AG373">
        <v>1</v>
      </c>
      <c r="AH373">
        <v>2</v>
      </c>
      <c r="AI373">
        <v>2.000000000007276</v>
      </c>
      <c r="AJ373">
        <v>2.11022</v>
      </c>
      <c r="AK373">
        <v>2.1101199999999998</v>
      </c>
      <c r="AL373">
        <v>0</v>
      </c>
      <c r="AM373">
        <v>0</v>
      </c>
      <c r="AN373">
        <v>0</v>
      </c>
      <c r="AO373">
        <v>-0.72569489976195412</v>
      </c>
      <c r="AP373">
        <v>0</v>
      </c>
      <c r="AQ373">
        <v>0</v>
      </c>
      <c r="AR373" t="str">
        <v>14513.par</v>
      </c>
      <c r="AV373" t="str">
        <v>204,204,0</v>
      </c>
      <c r="AW373" s="31">
        <v>2.5600000000000023</v>
      </c>
      <c r="AX373" s="31">
        <v>3.2856948997619564</v>
      </c>
      <c r="AY373" s="31">
        <v>-0.72569489976195412</v>
      </c>
    </row>
    <row r="374" spans="31:51" x14ac:dyDescent="0.25">
      <c r="AE374">
        <v>1.2310000000000001</v>
      </c>
      <c r="AF374">
        <v>1</v>
      </c>
      <c r="AG374">
        <v>2</v>
      </c>
      <c r="AH374">
        <v>2</v>
      </c>
      <c r="AI374">
        <v>2.0000000000254659</v>
      </c>
      <c r="AJ374">
        <v>1.2312200000000002</v>
      </c>
      <c r="AK374">
        <v>1.2311200000000002</v>
      </c>
      <c r="AL374">
        <v>0</v>
      </c>
      <c r="AM374">
        <v>0</v>
      </c>
      <c r="AN374">
        <v>0</v>
      </c>
      <c r="AO374">
        <v>1.2272479821717752E-5</v>
      </c>
      <c r="AP374">
        <v>0</v>
      </c>
      <c r="AQ374">
        <v>0</v>
      </c>
      <c r="AR374" t="str">
        <v>32193r1.par</v>
      </c>
      <c r="AV374" t="str">
        <v>255,188,121</v>
      </c>
      <c r="AW374" s="31">
        <v>85</v>
      </c>
      <c r="AX374" s="31">
        <v>84.999987727520178</v>
      </c>
      <c r="AY374" s="31">
        <v>1.2272479821717752E-5</v>
      </c>
    </row>
    <row r="375" spans="31:51" x14ac:dyDescent="0.25">
      <c r="AE375">
        <v>1.226</v>
      </c>
      <c r="AF375">
        <v>1</v>
      </c>
      <c r="AG375">
        <v>2</v>
      </c>
      <c r="AH375">
        <v>2</v>
      </c>
      <c r="AI375">
        <v>2.000000000007276</v>
      </c>
      <c r="AJ375">
        <v>1.2262200000000001</v>
      </c>
      <c r="AK375">
        <v>1.2261200000000001</v>
      </c>
      <c r="AL375">
        <v>0</v>
      </c>
      <c r="AM375">
        <v>0</v>
      </c>
      <c r="AN375">
        <v>0</v>
      </c>
      <c r="AO375">
        <v>1.2272479807506897E-5</v>
      </c>
      <c r="AP375">
        <v>0</v>
      </c>
      <c r="AQ375">
        <v>0</v>
      </c>
      <c r="AR375" t="str">
        <v>32193r1.par</v>
      </c>
      <c r="AV375" t="str">
        <v>255,188,121</v>
      </c>
      <c r="AW375" s="31">
        <v>85</v>
      </c>
      <c r="AX375" s="31">
        <v>84.999987727520192</v>
      </c>
      <c r="AY375" s="31">
        <v>1.2272479807506897E-5</v>
      </c>
    </row>
    <row r="376" spans="31:51" x14ac:dyDescent="0.25">
      <c r="AE376">
        <v>1.2210000000000001</v>
      </c>
      <c r="AF376">
        <v>1</v>
      </c>
      <c r="AG376">
        <v>2</v>
      </c>
      <c r="AH376">
        <v>2</v>
      </c>
      <c r="AI376">
        <v>2.0000000000254659</v>
      </c>
      <c r="AJ376">
        <v>1.2212200000000002</v>
      </c>
      <c r="AK376">
        <v>1.2211200000000002</v>
      </c>
      <c r="AL376">
        <v>0</v>
      </c>
      <c r="AM376">
        <v>0</v>
      </c>
      <c r="AN376">
        <v>0</v>
      </c>
      <c r="AO376">
        <v>1.3704430025938024</v>
      </c>
      <c r="AP376">
        <v>0</v>
      </c>
      <c r="AQ376">
        <v>0</v>
      </c>
      <c r="AR376" t="str">
        <v>1313.par</v>
      </c>
      <c r="AV376" t="str">
        <v>255,188,121</v>
      </c>
      <c r="AW376" s="31">
        <v>61.129999999999995</v>
      </c>
      <c r="AX376" s="31">
        <v>59.759556997406193</v>
      </c>
      <c r="AY376" s="31">
        <v>1.3704430025938024</v>
      </c>
    </row>
    <row r="377" spans="31:51" x14ac:dyDescent="0.25">
      <c r="AE377">
        <v>1.216</v>
      </c>
      <c r="AF377">
        <v>1</v>
      </c>
      <c r="AG377">
        <v>2</v>
      </c>
      <c r="AH377">
        <v>2</v>
      </c>
      <c r="AI377">
        <v>2.000000000007276</v>
      </c>
      <c r="AJ377">
        <v>1.2162200000000001</v>
      </c>
      <c r="AK377">
        <v>1.2161200000000001</v>
      </c>
      <c r="AL377">
        <v>0</v>
      </c>
      <c r="AM377">
        <v>0</v>
      </c>
      <c r="AN377">
        <v>0</v>
      </c>
      <c r="AO377">
        <v>-0.20342993789448371</v>
      </c>
      <c r="AP377">
        <v>0</v>
      </c>
      <c r="AQ377">
        <v>0</v>
      </c>
      <c r="AR377" t="str">
        <v>1313.par</v>
      </c>
      <c r="AV377" t="str">
        <v>255,188,121</v>
      </c>
      <c r="AW377" s="31">
        <v>34.230000000000004</v>
      </c>
      <c r="AX377" s="31">
        <v>34.433429937894488</v>
      </c>
      <c r="AY377" s="31">
        <v>-0.20342993789448371</v>
      </c>
    </row>
    <row r="378" spans="31:51" x14ac:dyDescent="0.25">
      <c r="AE378">
        <v>1.2110000000000001</v>
      </c>
      <c r="AF378">
        <v>1</v>
      </c>
      <c r="AG378">
        <v>2</v>
      </c>
      <c r="AH378">
        <v>2</v>
      </c>
      <c r="AI378">
        <v>2.0000000000254659</v>
      </c>
      <c r="AJ378">
        <v>1.2112200000000002</v>
      </c>
      <c r="AK378">
        <v>1.2111200000000002</v>
      </c>
      <c r="AL378">
        <v>0</v>
      </c>
      <c r="AM378">
        <v>0</v>
      </c>
      <c r="AN378">
        <v>0</v>
      </c>
      <c r="AO378">
        <v>-1.0817554788769481</v>
      </c>
      <c r="AP378">
        <v>0</v>
      </c>
      <c r="AQ378">
        <v>0</v>
      </c>
      <c r="AR378" t="str">
        <v>1313.par</v>
      </c>
      <c r="AV378" t="str">
        <v>255,188,121</v>
      </c>
      <c r="AW378" s="31">
        <v>7.8199999999999932</v>
      </c>
      <c r="AX378" s="31">
        <v>8.9017554788769413</v>
      </c>
      <c r="AY378" s="31">
        <v>-1.0817554788769481</v>
      </c>
    </row>
    <row r="379" spans="31:51" x14ac:dyDescent="0.25">
      <c r="AE379">
        <v>1.2070000000000001</v>
      </c>
      <c r="AF379">
        <v>1</v>
      </c>
      <c r="AG379">
        <v>2</v>
      </c>
      <c r="AH379">
        <v>2</v>
      </c>
      <c r="AI379">
        <v>2.0000000000254659</v>
      </c>
      <c r="AJ379">
        <v>1.2072200000000002</v>
      </c>
      <c r="AK379">
        <v>1.2071200000000002</v>
      </c>
      <c r="AL379">
        <v>0</v>
      </c>
      <c r="AM379">
        <v>0</v>
      </c>
      <c r="AN379">
        <v>0</v>
      </c>
      <c r="AO379">
        <v>-14.000000866292694</v>
      </c>
      <c r="AP379">
        <v>0</v>
      </c>
      <c r="AQ379">
        <v>0</v>
      </c>
      <c r="AR379" t="str">
        <v>32193r1.par</v>
      </c>
      <c r="AV379" t="str">
        <v>255,188,121</v>
      </c>
      <c r="AW379" s="31">
        <v>-20</v>
      </c>
      <c r="AX379" s="31">
        <v>-5.9999991337073064</v>
      </c>
      <c r="AY379" s="31">
        <v>-14.000000866292694</v>
      </c>
    </row>
    <row r="380" spans="31:51" x14ac:dyDescent="0.25">
      <c r="AE380">
        <v>1.131</v>
      </c>
      <c r="AF380">
        <v>1</v>
      </c>
      <c r="AG380">
        <v>1</v>
      </c>
      <c r="AH380">
        <v>2</v>
      </c>
      <c r="AI380">
        <v>2.000000000007276</v>
      </c>
      <c r="AJ380">
        <v>1.1312200000000001</v>
      </c>
      <c r="AK380">
        <v>1.1311200000000001</v>
      </c>
      <c r="AL380">
        <v>0</v>
      </c>
      <c r="AM380">
        <v>0</v>
      </c>
      <c r="AN380">
        <v>0</v>
      </c>
      <c r="AO380">
        <v>4.0825451099891552E-2</v>
      </c>
      <c r="AP380">
        <v>0</v>
      </c>
      <c r="AQ380">
        <v>0</v>
      </c>
      <c r="AR380" t="str">
        <v>14513.par</v>
      </c>
      <c r="AV380" t="str">
        <v>255,127,0</v>
      </c>
      <c r="AW380" s="31">
        <v>85</v>
      </c>
      <c r="AX380" s="31">
        <v>84.959174548900108</v>
      </c>
      <c r="AY380" s="31">
        <v>4.0825451099891552E-2</v>
      </c>
    </row>
    <row r="381" spans="31:51" x14ac:dyDescent="0.25">
      <c r="AE381">
        <v>1.1259999999999999</v>
      </c>
      <c r="AF381">
        <v>1</v>
      </c>
      <c r="AG381">
        <v>1</v>
      </c>
      <c r="AH381">
        <v>2</v>
      </c>
      <c r="AI381">
        <v>2.000000000007276</v>
      </c>
      <c r="AJ381">
        <v>1.12622</v>
      </c>
      <c r="AK381">
        <v>1.12612</v>
      </c>
      <c r="AL381">
        <v>0</v>
      </c>
      <c r="AM381">
        <v>0</v>
      </c>
      <c r="AN381">
        <v>0</v>
      </c>
      <c r="AO381">
        <v>4.1337703260154512E-2</v>
      </c>
      <c r="AP381">
        <v>0</v>
      </c>
      <c r="AQ381">
        <v>0</v>
      </c>
      <c r="AR381" t="str">
        <v>14513.par</v>
      </c>
      <c r="AV381" t="str">
        <v>255,127,0</v>
      </c>
      <c r="AW381" s="31">
        <v>85</v>
      </c>
      <c r="AX381" s="31">
        <v>84.958662296739845</v>
      </c>
      <c r="AY381" s="31">
        <v>4.1337703260154512E-2</v>
      </c>
    </row>
    <row r="382" spans="31:51" x14ac:dyDescent="0.25">
      <c r="AE382">
        <v>1.121</v>
      </c>
      <c r="AF382">
        <v>1</v>
      </c>
      <c r="AG382">
        <v>1</v>
      </c>
      <c r="AH382">
        <v>2</v>
      </c>
      <c r="AI382">
        <v>2.000000000007276</v>
      </c>
      <c r="AJ382">
        <v>1.1212200000000001</v>
      </c>
      <c r="AK382">
        <v>1.1211200000000001</v>
      </c>
      <c r="AL382">
        <v>0</v>
      </c>
      <c r="AM382">
        <v>0</v>
      </c>
      <c r="AN382">
        <v>0</v>
      </c>
      <c r="AO382">
        <v>1.4422992178356182</v>
      </c>
      <c r="AP382">
        <v>0</v>
      </c>
      <c r="AQ382">
        <v>0</v>
      </c>
      <c r="AR382" t="str">
        <v>14513.par</v>
      </c>
      <c r="AV382" t="str">
        <v>255,127,0</v>
      </c>
      <c r="AW382" s="31">
        <v>61.129999999999995</v>
      </c>
      <c r="AX382" s="31">
        <v>59.687700782164377</v>
      </c>
      <c r="AY382" s="31">
        <v>1.4422992178356182</v>
      </c>
    </row>
    <row r="383" spans="31:51" x14ac:dyDescent="0.25">
      <c r="AE383">
        <v>1.1160000000000001</v>
      </c>
      <c r="AF383">
        <v>1</v>
      </c>
      <c r="AG383">
        <v>1</v>
      </c>
      <c r="AH383">
        <v>2</v>
      </c>
      <c r="AI383">
        <v>2.0000000000254659</v>
      </c>
      <c r="AJ383">
        <v>1.1162200000000002</v>
      </c>
      <c r="AK383">
        <v>1.1161200000000002</v>
      </c>
      <c r="AL383">
        <v>0</v>
      </c>
      <c r="AM383">
        <v>0</v>
      </c>
      <c r="AN383">
        <v>0</v>
      </c>
      <c r="AO383">
        <v>-2.0341265000475062E-2</v>
      </c>
      <c r="AP383">
        <v>0</v>
      </c>
      <c r="AQ383">
        <v>0</v>
      </c>
      <c r="AR383" t="str">
        <v>14513.par</v>
      </c>
      <c r="AV383" t="str">
        <v>255,127,0</v>
      </c>
      <c r="AW383" s="31">
        <v>34.230000000000004</v>
      </c>
      <c r="AX383" s="31">
        <v>34.250341265000479</v>
      </c>
      <c r="AY383" s="31">
        <v>-2.0341265000475062E-2</v>
      </c>
    </row>
    <row r="384" spans="31:51" x14ac:dyDescent="0.25">
      <c r="AE384">
        <v>1.111</v>
      </c>
      <c r="AF384">
        <v>1</v>
      </c>
      <c r="AG384">
        <v>1</v>
      </c>
      <c r="AH384">
        <v>2</v>
      </c>
      <c r="AI384">
        <v>2.000000000007276</v>
      </c>
      <c r="AJ384">
        <v>1.1112200000000001</v>
      </c>
      <c r="AK384">
        <v>1.1111200000000001</v>
      </c>
      <c r="AL384">
        <v>0</v>
      </c>
      <c r="AM384">
        <v>0</v>
      </c>
      <c r="AN384">
        <v>0</v>
      </c>
      <c r="AO384">
        <v>-0.67692801528924562</v>
      </c>
      <c r="AP384">
        <v>0</v>
      </c>
      <c r="AQ384">
        <v>0</v>
      </c>
      <c r="AR384" t="str">
        <v>14513.par</v>
      </c>
      <c r="AV384" t="str">
        <v>255,127,0</v>
      </c>
      <c r="AW384" s="31">
        <v>7.8199999999999932</v>
      </c>
      <c r="AX384" s="31">
        <v>8.4969280152892388</v>
      </c>
      <c r="AY384" s="31">
        <v>-0.67692801528924562</v>
      </c>
    </row>
    <row r="385" spans="31:51" x14ac:dyDescent="0.25">
      <c r="AE385">
        <v>1.107</v>
      </c>
      <c r="AF385">
        <v>1</v>
      </c>
      <c r="AG385">
        <v>1</v>
      </c>
      <c r="AH385">
        <v>2</v>
      </c>
      <c r="AI385">
        <v>2.000000000007276</v>
      </c>
      <c r="AJ385">
        <v>1.1072200000000001</v>
      </c>
      <c r="AK385">
        <v>1.1071200000000001</v>
      </c>
      <c r="AL385">
        <v>0</v>
      </c>
      <c r="AM385">
        <v>0</v>
      </c>
      <c r="AN385">
        <v>0</v>
      </c>
      <c r="AO385">
        <v>-15.506643042556151</v>
      </c>
      <c r="AP385">
        <v>0</v>
      </c>
      <c r="AQ385">
        <v>0</v>
      </c>
      <c r="AR385" t="str">
        <v>14513.par</v>
      </c>
      <c r="AV385" t="str">
        <v>255,127,0</v>
      </c>
      <c r="AW385" s="31">
        <v>-20</v>
      </c>
      <c r="AX385" s="31">
        <v>-4.493356957443849</v>
      </c>
      <c r="AY385" s="31">
        <v>-15.506643042556151</v>
      </c>
    </row>
    <row r="386" spans="31:51" x14ac:dyDescent="0.25">
      <c r="AE386">
        <v>1.1040000000000001</v>
      </c>
      <c r="AF386">
        <v>1</v>
      </c>
      <c r="AG386">
        <v>1</v>
      </c>
      <c r="AH386">
        <v>2</v>
      </c>
      <c r="AI386">
        <v>2.0000000000254659</v>
      </c>
      <c r="AJ386">
        <v>1.1042200000000002</v>
      </c>
      <c r="AK386">
        <v>1.1041200000000002</v>
      </c>
      <c r="AL386">
        <v>0</v>
      </c>
      <c r="AM386">
        <v>0</v>
      </c>
      <c r="AN386">
        <v>0</v>
      </c>
      <c r="AO386">
        <v>-1.1432698650641751</v>
      </c>
      <c r="AP386">
        <v>0</v>
      </c>
      <c r="AQ386">
        <v>0</v>
      </c>
      <c r="AR386" t="str">
        <v>14513.par</v>
      </c>
      <c r="AV386" t="str">
        <v>255,127,0</v>
      </c>
      <c r="AW386" s="31">
        <v>-10</v>
      </c>
      <c r="AX386" s="31">
        <v>-8.8567301349358249</v>
      </c>
      <c r="AY386" s="31">
        <v>-1.1432698650641751</v>
      </c>
    </row>
    <row r="387" spans="31:51" x14ac:dyDescent="0.25">
      <c r="AE387">
        <v>1.101</v>
      </c>
      <c r="AF387">
        <v>1</v>
      </c>
      <c r="AG387">
        <v>1</v>
      </c>
      <c r="AH387">
        <v>2</v>
      </c>
      <c r="AI387">
        <v>2.000000000007276</v>
      </c>
      <c r="AJ387">
        <v>1.1012200000000001</v>
      </c>
      <c r="AK387">
        <v>1.1011200000000001</v>
      </c>
      <c r="AL387">
        <v>0</v>
      </c>
      <c r="AM387">
        <v>0</v>
      </c>
      <c r="AN387">
        <v>0</v>
      </c>
      <c r="AO387">
        <v>5.9660121671471522</v>
      </c>
      <c r="AP387">
        <v>0</v>
      </c>
      <c r="AQ387">
        <v>0</v>
      </c>
      <c r="AR387" t="str">
        <v>14513.par</v>
      </c>
      <c r="AV387" t="str">
        <v>255,127,0</v>
      </c>
      <c r="AW387" s="31">
        <v>-10</v>
      </c>
      <c r="AX387" s="31">
        <v>-15.966012167147152</v>
      </c>
      <c r="AY387" s="31">
        <v>5.9660121671471522</v>
      </c>
    </row>
    <row r="388" spans="31:51" x14ac:dyDescent="0.25">
      <c r="AE388">
        <v>5.2320000000000002</v>
      </c>
      <c r="AF388">
        <v>5</v>
      </c>
      <c r="AG388">
        <v>2</v>
      </c>
      <c r="AH388">
        <v>1</v>
      </c>
      <c r="AI388">
        <v>3.0000000000291038</v>
      </c>
      <c r="AJ388">
        <v>5.2321300000000006</v>
      </c>
      <c r="AK388" t="str">
        <v>Base</v>
      </c>
      <c r="AL388">
        <v>-6.75</v>
      </c>
      <c r="AM388">
        <v>-3.6674116518398736</v>
      </c>
      <c r="AN388">
        <v>-2.8210391518911266</v>
      </c>
      <c r="AO388">
        <v>84.999987727520192</v>
      </c>
      <c r="AP388">
        <v>0</v>
      </c>
      <c r="AQ388">
        <v>0</v>
      </c>
      <c r="AR388" t="str">
        <v>32193r1.par</v>
      </c>
      <c r="AV388" t="str">
        <v>121,188,255</v>
      </c>
      <c r="AW388" s="31">
        <v>85</v>
      </c>
      <c r="AX388" s="31">
        <v>84.999987727520192</v>
      </c>
      <c r="AY388" s="31">
        <v>0</v>
      </c>
    </row>
    <row r="389" spans="31:51" x14ac:dyDescent="0.25">
      <c r="AE389">
        <v>5.2270000000000003</v>
      </c>
      <c r="AF389">
        <v>5</v>
      </c>
      <c r="AG389">
        <v>2</v>
      </c>
      <c r="AH389">
        <v>1</v>
      </c>
      <c r="AI389">
        <v>3.0000000001018634</v>
      </c>
      <c r="AJ389">
        <v>5.2271300000000007</v>
      </c>
      <c r="AK389" t="str">
        <v>Base</v>
      </c>
      <c r="AL389">
        <v>-6.75</v>
      </c>
      <c r="AM389">
        <v>-3.622411516119465</v>
      </c>
      <c r="AN389">
        <v>-2.0801352406698532</v>
      </c>
      <c r="AO389">
        <v>84.999987727520192</v>
      </c>
      <c r="AP389">
        <v>0</v>
      </c>
      <c r="AQ389">
        <v>0</v>
      </c>
      <c r="AR389" t="str">
        <v>32193r1.par</v>
      </c>
      <c r="AV389" t="str">
        <v>121,188,255</v>
      </c>
      <c r="AW389" s="31">
        <v>85</v>
      </c>
      <c r="AX389" s="31">
        <v>84.999987727520192</v>
      </c>
      <c r="AY389" s="31">
        <v>0</v>
      </c>
    </row>
    <row r="390" spans="31:51" x14ac:dyDescent="0.25">
      <c r="AE390">
        <v>5.2220000000000004</v>
      </c>
      <c r="AF390">
        <v>5</v>
      </c>
      <c r="AG390">
        <v>2</v>
      </c>
      <c r="AH390">
        <v>1</v>
      </c>
      <c r="AI390">
        <v>3.0000000001018634</v>
      </c>
      <c r="AJ390">
        <v>5.2221300000000008</v>
      </c>
      <c r="AK390" t="str">
        <v>Base</v>
      </c>
      <c r="AL390">
        <v>-6.75</v>
      </c>
      <c r="AM390">
        <v>-3.5581067954854038</v>
      </c>
      <c r="AN390">
        <v>-1.3775259665515864</v>
      </c>
      <c r="AO390">
        <v>64.808723976855745</v>
      </c>
      <c r="AP390">
        <v>-31.221826678796521</v>
      </c>
      <c r="AQ390">
        <v>0</v>
      </c>
      <c r="AR390" t="str">
        <v>1313.par</v>
      </c>
      <c r="AV390" t="str">
        <v>121,188,255</v>
      </c>
      <c r="AW390" s="31">
        <v>66.569999999999993</v>
      </c>
      <c r="AX390" s="31">
        <v>64.808723976855745</v>
      </c>
      <c r="AY390" s="31">
        <v>0</v>
      </c>
    </row>
    <row r="391" spans="31:51" x14ac:dyDescent="0.25">
      <c r="AE391">
        <v>5.2169999999999996</v>
      </c>
      <c r="AF391">
        <v>5</v>
      </c>
      <c r="AG391">
        <v>2</v>
      </c>
      <c r="AH391">
        <v>1</v>
      </c>
      <c r="AI391">
        <v>3.0000000000291038</v>
      </c>
      <c r="AJ391">
        <v>5.21713</v>
      </c>
      <c r="AK391" t="str">
        <v>Base</v>
      </c>
      <c r="AL391">
        <v>-6.75</v>
      </c>
      <c r="AM391">
        <v>-3.1580531201587858</v>
      </c>
      <c r="AN391">
        <v>-0.797495051822663</v>
      </c>
      <c r="AO391">
        <v>39.511498503547166</v>
      </c>
      <c r="AP391">
        <v>-26.852165039939315</v>
      </c>
      <c r="AQ391">
        <v>0</v>
      </c>
      <c r="AR391" t="str">
        <v>1313.par</v>
      </c>
      <c r="AV391" t="str">
        <v>121,188,255</v>
      </c>
      <c r="AW391" s="31">
        <v>39.569999999999993</v>
      </c>
      <c r="AX391" s="31">
        <v>39.511498503547166</v>
      </c>
      <c r="AY391" s="31">
        <v>0</v>
      </c>
    </row>
    <row r="392" spans="31:51" x14ac:dyDescent="0.25">
      <c r="AE392">
        <v>5.1319999999999997</v>
      </c>
      <c r="AF392">
        <v>5</v>
      </c>
      <c r="AG392">
        <v>1</v>
      </c>
      <c r="AH392">
        <v>1</v>
      </c>
      <c r="AI392">
        <v>3.0000000000291038</v>
      </c>
      <c r="AJ392">
        <v>5.1321300000000001</v>
      </c>
      <c r="AK392" t="str">
        <v>Base</v>
      </c>
      <c r="AL392">
        <v>-6</v>
      </c>
      <c r="AM392">
        <v>-3.7054897408941283</v>
      </c>
      <c r="AN392">
        <v>-2.8147377612546429</v>
      </c>
      <c r="AO392">
        <v>84.959174548899995</v>
      </c>
      <c r="AP392">
        <v>-29.733205429583041</v>
      </c>
      <c r="AQ392">
        <v>0</v>
      </c>
      <c r="AR392" t="str">
        <v>14513.par</v>
      </c>
      <c r="AV392" t="str">
        <v>0,102,204</v>
      </c>
      <c r="AW392" s="31">
        <v>85</v>
      </c>
      <c r="AX392" s="31">
        <v>84.959174548899995</v>
      </c>
      <c r="AY392" s="31">
        <v>0</v>
      </c>
    </row>
    <row r="393" spans="31:51" x14ac:dyDescent="0.25">
      <c r="AE393">
        <v>5.1269999999999998</v>
      </c>
      <c r="AF393">
        <v>5</v>
      </c>
      <c r="AG393">
        <v>1</v>
      </c>
      <c r="AH393">
        <v>1</v>
      </c>
      <c r="AI393">
        <v>3.0000000000291038</v>
      </c>
      <c r="AJ393">
        <v>5.1271300000000002</v>
      </c>
      <c r="AK393" t="str">
        <v>Base</v>
      </c>
      <c r="AL393">
        <v>-6</v>
      </c>
      <c r="AM393">
        <v>-3.6604901028221848</v>
      </c>
      <c r="AN393">
        <v>-2.0738860180765757</v>
      </c>
      <c r="AO393">
        <v>84.958667995750403</v>
      </c>
      <c r="AP393">
        <v>-29.729925767321735</v>
      </c>
      <c r="AQ393">
        <v>0</v>
      </c>
      <c r="AR393" t="str">
        <v>14513.par</v>
      </c>
      <c r="AV393" t="str">
        <v>0,102,204</v>
      </c>
      <c r="AW393" s="31">
        <v>85</v>
      </c>
      <c r="AX393" s="31">
        <v>84.958667995750403</v>
      </c>
      <c r="AY393" s="31">
        <v>0</v>
      </c>
    </row>
    <row r="394" spans="31:51" x14ac:dyDescent="0.25">
      <c r="AE394">
        <v>5.1219999999999999</v>
      </c>
      <c r="AF394">
        <v>5</v>
      </c>
      <c r="AG394">
        <v>1</v>
      </c>
      <c r="AH394">
        <v>1</v>
      </c>
      <c r="AI394">
        <v>3.0000000000291038</v>
      </c>
      <c r="AJ394">
        <v>5.1221300000000003</v>
      </c>
      <c r="AK394" t="str">
        <v>Base</v>
      </c>
      <c r="AL394">
        <v>-6</v>
      </c>
      <c r="AM394">
        <v>-3.5494763598832133</v>
      </c>
      <c r="AN394">
        <v>-1.3793980336311671</v>
      </c>
      <c r="AO394">
        <v>64.752155586413849</v>
      </c>
      <c r="AP394">
        <v>-26.208928779652393</v>
      </c>
      <c r="AQ394">
        <v>0</v>
      </c>
      <c r="AR394" t="str">
        <v>14513.par</v>
      </c>
      <c r="AV394" t="str">
        <v>0,102,204</v>
      </c>
      <c r="AW394" s="31">
        <v>66.569999999999993</v>
      </c>
      <c r="AX394" s="31">
        <v>64.752155586413849</v>
      </c>
      <c r="AY394" s="31">
        <v>0</v>
      </c>
    </row>
    <row r="395" spans="31:51" x14ac:dyDescent="0.25">
      <c r="AE395">
        <v>5.117</v>
      </c>
      <c r="AF395">
        <v>5</v>
      </c>
      <c r="AG395">
        <v>1</v>
      </c>
      <c r="AH395">
        <v>1</v>
      </c>
      <c r="AI395">
        <v>3.0000000000291038</v>
      </c>
      <c r="AJ395">
        <v>5.1171300000000004</v>
      </c>
      <c r="AK395" t="str">
        <v>Base</v>
      </c>
      <c r="AL395">
        <v>-6</v>
      </c>
      <c r="AM395">
        <v>-3.1525359327082652</v>
      </c>
      <c r="AN395">
        <v>-0.80177853810816124</v>
      </c>
      <c r="AO395">
        <v>39.356674183821298</v>
      </c>
      <c r="AP395">
        <v>-21.843723880232634</v>
      </c>
      <c r="AQ395">
        <v>0</v>
      </c>
      <c r="AR395" t="str">
        <v>14513.par</v>
      </c>
      <c r="AV395" t="str">
        <v>0,102,204</v>
      </c>
      <c r="AW395" s="31">
        <v>39.569999999999993</v>
      </c>
      <c r="AX395" s="31">
        <v>39.356674183821298</v>
      </c>
      <c r="AY395" s="31">
        <v>0</v>
      </c>
    </row>
    <row r="396" spans="31:51" x14ac:dyDescent="0.25">
      <c r="AE396">
        <v>5.1120000000000001</v>
      </c>
      <c r="AF396">
        <v>5</v>
      </c>
      <c r="AG396">
        <v>1</v>
      </c>
      <c r="AH396">
        <v>1</v>
      </c>
      <c r="AI396">
        <v>3.0000000000291038</v>
      </c>
      <c r="AJ396">
        <v>5.1121300000000005</v>
      </c>
      <c r="AK396" t="str">
        <v>Base</v>
      </c>
      <c r="AL396">
        <v>-6</v>
      </c>
      <c r="AM396">
        <v>-2.5358100422237286</v>
      </c>
      <c r="AN396">
        <v>-0.4684302784293265</v>
      </c>
      <c r="AO396">
        <v>13.684246248086463</v>
      </c>
      <c r="AP396">
        <v>-17.540376301109106</v>
      </c>
      <c r="AQ396">
        <v>0</v>
      </c>
      <c r="AR396" t="str">
        <v>14513.par</v>
      </c>
      <c r="AV396" t="str">
        <v>0,102,204</v>
      </c>
      <c r="AW396" s="31">
        <v>13.079999999999998</v>
      </c>
      <c r="AX396" s="31">
        <v>13.684246248086463</v>
      </c>
      <c r="AY396" s="31">
        <v>0</v>
      </c>
    </row>
    <row r="397" spans="31:51" x14ac:dyDescent="0.25">
      <c r="AE397">
        <v>4.2279999999999998</v>
      </c>
      <c r="AF397">
        <v>4</v>
      </c>
      <c r="AG397">
        <v>2</v>
      </c>
      <c r="AH397">
        <v>1</v>
      </c>
      <c r="AI397">
        <v>3.0000000000291038</v>
      </c>
      <c r="AJ397">
        <v>4.2281300000000002</v>
      </c>
      <c r="AK397" t="str">
        <v>Base</v>
      </c>
      <c r="AL397">
        <v>-5.25</v>
      </c>
      <c r="AM397">
        <v>-3.6674116518398736</v>
      </c>
      <c r="AN397">
        <v>-2.3010773959167867</v>
      </c>
      <c r="AO397">
        <v>84.999987727520178</v>
      </c>
      <c r="AP397">
        <v>0</v>
      </c>
      <c r="AQ397">
        <v>0</v>
      </c>
      <c r="AR397" t="str">
        <v>32193r1.par</v>
      </c>
      <c r="AV397" t="str">
        <v>91,255,255</v>
      </c>
      <c r="AW397" s="31">
        <v>85</v>
      </c>
      <c r="AX397" s="31">
        <v>84.999987727520178</v>
      </c>
      <c r="AY397" s="31">
        <v>0</v>
      </c>
    </row>
    <row r="398" spans="31:51" x14ac:dyDescent="0.25">
      <c r="AE398">
        <v>4.2229999999999999</v>
      </c>
      <c r="AF398">
        <v>4</v>
      </c>
      <c r="AG398">
        <v>2</v>
      </c>
      <c r="AH398">
        <v>1</v>
      </c>
      <c r="AI398">
        <v>3.0000000000291038</v>
      </c>
      <c r="AJ398">
        <v>4.2231300000000003</v>
      </c>
      <c r="AK398" t="str">
        <v>Base</v>
      </c>
      <c r="AL398">
        <v>-5.25</v>
      </c>
      <c r="AM398">
        <v>-3.6044246210254669</v>
      </c>
      <c r="AN398">
        <v>-1.560470122223262</v>
      </c>
      <c r="AO398">
        <v>69.853765248508964</v>
      </c>
      <c r="AP398">
        <v>-32.100681530787426</v>
      </c>
      <c r="AQ398">
        <v>0</v>
      </c>
      <c r="AR398" t="str">
        <v>1313.par</v>
      </c>
      <c r="AV398" t="str">
        <v>91,255,255</v>
      </c>
      <c r="AW398" s="31">
        <v>72.03</v>
      </c>
      <c r="AX398" s="31">
        <v>69.853765248508964</v>
      </c>
      <c r="AY398" s="31">
        <v>0</v>
      </c>
    </row>
    <row r="399" spans="31:51" x14ac:dyDescent="0.25">
      <c r="AE399">
        <v>4.218</v>
      </c>
      <c r="AF399">
        <v>4</v>
      </c>
      <c r="AG399">
        <v>2</v>
      </c>
      <c r="AH399">
        <v>1</v>
      </c>
      <c r="AI399">
        <v>3.0000000000291038</v>
      </c>
      <c r="AJ399">
        <v>4.2181300000000004</v>
      </c>
      <c r="AK399" t="str">
        <v>Base</v>
      </c>
      <c r="AL399">
        <v>-5.25</v>
      </c>
      <c r="AM399">
        <v>-3.2588615679632782</v>
      </c>
      <c r="AN399">
        <v>-0.9462886372290531</v>
      </c>
      <c r="AO399">
        <v>44.582419979319582</v>
      </c>
      <c r="AP399">
        <v>-27.722315365157382</v>
      </c>
      <c r="AQ399">
        <v>0</v>
      </c>
      <c r="AR399" t="str">
        <v>1313.par</v>
      </c>
      <c r="AV399" t="str">
        <v>91,255,255</v>
      </c>
      <c r="AW399" s="31">
        <v>44.919999999999987</v>
      </c>
      <c r="AX399" s="31">
        <v>44.582419979319582</v>
      </c>
      <c r="AY399" s="31">
        <v>0</v>
      </c>
    </row>
    <row r="400" spans="31:51" x14ac:dyDescent="0.25">
      <c r="AE400">
        <v>4.2130000000000001</v>
      </c>
      <c r="AF400">
        <v>4</v>
      </c>
      <c r="AG400">
        <v>2</v>
      </c>
      <c r="AH400">
        <v>1</v>
      </c>
      <c r="AI400">
        <v>3.0000000000291038</v>
      </c>
      <c r="AJ400">
        <v>4.2131300000000005</v>
      </c>
      <c r="AK400" t="str">
        <v>Base</v>
      </c>
      <c r="AL400">
        <v>-5.25</v>
      </c>
      <c r="AM400">
        <v>-2.6740366892110981</v>
      </c>
      <c r="AN400">
        <v>-0.55422449541367769</v>
      </c>
      <c r="AO400">
        <v>19.147098997605895</v>
      </c>
      <c r="AP400">
        <v>-23.397773983594341</v>
      </c>
      <c r="AQ400">
        <v>0</v>
      </c>
      <c r="AR400" t="str">
        <v>1313.par</v>
      </c>
      <c r="AV400" t="str">
        <v>91,255,255</v>
      </c>
      <c r="AW400" s="31">
        <v>18.340000000000003</v>
      </c>
      <c r="AX400" s="31">
        <v>19.147098997605895</v>
      </c>
      <c r="AY400" s="31">
        <v>0</v>
      </c>
    </row>
    <row r="401" spans="31:51" x14ac:dyDescent="0.25">
      <c r="AE401">
        <v>4.2080000000000002</v>
      </c>
      <c r="AF401">
        <v>4</v>
      </c>
      <c r="AG401">
        <v>2</v>
      </c>
      <c r="AH401">
        <v>1</v>
      </c>
      <c r="AI401">
        <v>3.0000000000291038</v>
      </c>
      <c r="AJ401">
        <v>4.2081300000000006</v>
      </c>
      <c r="AK401" t="str">
        <v>Base</v>
      </c>
      <c r="AL401">
        <v>-5.25</v>
      </c>
      <c r="AM401">
        <v>-1.8799654929954497</v>
      </c>
      <c r="AN401">
        <v>-0.51777460505558037</v>
      </c>
      <c r="AO401">
        <v>-2.9999995668536537</v>
      </c>
      <c r="AP401">
        <v>0</v>
      </c>
      <c r="AQ401">
        <v>0</v>
      </c>
      <c r="AR401" t="str">
        <v>32193r1.par</v>
      </c>
      <c r="AV401" t="str">
        <v>91,255,255</v>
      </c>
      <c r="AW401" s="31">
        <v>-11.439999999999998</v>
      </c>
      <c r="AX401" s="31">
        <v>-2.9999995668536537</v>
      </c>
      <c r="AY401" s="31">
        <v>0</v>
      </c>
    </row>
    <row r="402" spans="31:51" x14ac:dyDescent="0.25">
      <c r="AE402">
        <v>4.1280000000000001</v>
      </c>
      <c r="AF402">
        <v>4</v>
      </c>
      <c r="AG402">
        <v>1</v>
      </c>
      <c r="AH402">
        <v>1</v>
      </c>
      <c r="AI402">
        <v>3.0000000000291038</v>
      </c>
      <c r="AJ402">
        <v>4.1281300000000005</v>
      </c>
      <c r="AK402" t="str">
        <v>Base</v>
      </c>
      <c r="AL402">
        <v>-4.5</v>
      </c>
      <c r="AM402">
        <v>-3.7054897408941279</v>
      </c>
      <c r="AN402">
        <v>-2.2948471507460075</v>
      </c>
      <c r="AO402">
        <v>84.959174548899995</v>
      </c>
      <c r="AP402">
        <v>-29.733205429583041</v>
      </c>
      <c r="AQ402">
        <v>0</v>
      </c>
      <c r="AR402" t="str">
        <v>14513.par</v>
      </c>
      <c r="AV402" t="str">
        <v>0,204,204</v>
      </c>
      <c r="AW402" s="31">
        <v>85</v>
      </c>
      <c r="AX402" s="31">
        <v>84.959174548899995</v>
      </c>
      <c r="AY402" s="31">
        <v>0</v>
      </c>
    </row>
    <row r="403" spans="31:51" x14ac:dyDescent="0.25">
      <c r="AE403">
        <v>4.1230000000000002</v>
      </c>
      <c r="AF403">
        <v>4</v>
      </c>
      <c r="AG403">
        <v>1</v>
      </c>
      <c r="AH403">
        <v>1</v>
      </c>
      <c r="AI403">
        <v>3.0000000000291038</v>
      </c>
      <c r="AJ403">
        <v>4.1231300000000006</v>
      </c>
      <c r="AK403" t="str">
        <v>Base</v>
      </c>
      <c r="AL403">
        <v>-4.5</v>
      </c>
      <c r="AM403">
        <v>-3.5953195358574312</v>
      </c>
      <c r="AN403">
        <v>-1.5616355921568594</v>
      </c>
      <c r="AO403">
        <v>69.810901846950202</v>
      </c>
      <c r="AP403">
        <v>-27.087079508279619</v>
      </c>
      <c r="AQ403">
        <v>0</v>
      </c>
      <c r="AR403" t="str">
        <v>14513.par</v>
      </c>
      <c r="AV403" t="str">
        <v>0,204,204</v>
      </c>
      <c r="AW403" s="31">
        <v>72.03</v>
      </c>
      <c r="AX403" s="31">
        <v>69.810901846950202</v>
      </c>
      <c r="AY403" s="31">
        <v>0</v>
      </c>
    </row>
    <row r="404" spans="31:51" x14ac:dyDescent="0.25">
      <c r="AE404">
        <v>4.1180000000000003</v>
      </c>
      <c r="AF404">
        <v>4</v>
      </c>
      <c r="AG404">
        <v>1</v>
      </c>
      <c r="AH404">
        <v>1</v>
      </c>
      <c r="AI404">
        <v>3.0000000001018634</v>
      </c>
      <c r="AJ404">
        <v>4.1181300000000007</v>
      </c>
      <c r="AK404" t="str">
        <v>Base</v>
      </c>
      <c r="AL404">
        <v>-4.5</v>
      </c>
      <c r="AM404">
        <v>-3.2526495697979416</v>
      </c>
      <c r="AN404">
        <v>-0.95025432710755875</v>
      </c>
      <c r="AO404">
        <v>44.452359284275062</v>
      </c>
      <c r="AP404">
        <v>-22.712856390392549</v>
      </c>
      <c r="AQ404">
        <v>0</v>
      </c>
      <c r="AR404" t="str">
        <v>14513.par</v>
      </c>
      <c r="AV404" t="str">
        <v>0,204,204</v>
      </c>
      <c r="AW404" s="31">
        <v>44.919999999999987</v>
      </c>
      <c r="AX404" s="31">
        <v>44.452359284275062</v>
      </c>
      <c r="AY404" s="31">
        <v>0</v>
      </c>
    </row>
    <row r="405" spans="31:51" x14ac:dyDescent="0.25">
      <c r="AE405">
        <v>4.1130000000000004</v>
      </c>
      <c r="AF405">
        <v>4</v>
      </c>
      <c r="AG405">
        <v>1</v>
      </c>
      <c r="AH405">
        <v>1</v>
      </c>
      <c r="AI405">
        <v>3.0000000001018634</v>
      </c>
      <c r="AJ405">
        <v>4.1131300000000008</v>
      </c>
      <c r="AK405" t="str">
        <v>Base</v>
      </c>
      <c r="AL405">
        <v>-4.5</v>
      </c>
      <c r="AM405">
        <v>-2.6714015495552439</v>
      </c>
      <c r="AN405">
        <v>-0.55888181603830156</v>
      </c>
      <c r="AO405">
        <v>18.851054985800619</v>
      </c>
      <c r="AP405">
        <v>-18.394133219168953</v>
      </c>
      <c r="AQ405">
        <v>0</v>
      </c>
      <c r="AR405" t="str">
        <v>14513.par</v>
      </c>
      <c r="AV405" t="str">
        <v>0,204,204</v>
      </c>
      <c r="AW405" s="31">
        <v>18.340000000000003</v>
      </c>
      <c r="AX405" s="31">
        <v>18.851054985800619</v>
      </c>
      <c r="AY405" s="31">
        <v>0</v>
      </c>
    </row>
    <row r="406" spans="31:51" x14ac:dyDescent="0.25">
      <c r="AE406">
        <v>4.1079999999999997</v>
      </c>
      <c r="AF406">
        <v>4</v>
      </c>
      <c r="AG406">
        <v>1</v>
      </c>
      <c r="AH406">
        <v>1</v>
      </c>
      <c r="AI406">
        <v>3.0000000000291038</v>
      </c>
      <c r="AJ406">
        <v>4.1081300000000001</v>
      </c>
      <c r="AK406" t="str">
        <v>Base</v>
      </c>
      <c r="AL406">
        <v>-4.5</v>
      </c>
      <c r="AM406">
        <v>-1.8798952742924893</v>
      </c>
      <c r="AN406">
        <v>-0.50333952325933007</v>
      </c>
      <c r="AO406">
        <v>-3.1944754839296392</v>
      </c>
      <c r="AP406">
        <v>-15.021549551954871</v>
      </c>
      <c r="AQ406">
        <v>0</v>
      </c>
      <c r="AR406" t="str">
        <v>14513.par</v>
      </c>
      <c r="AV406" t="str">
        <v>0,204,204</v>
      </c>
      <c r="AW406" s="31">
        <v>-11.439999999999998</v>
      </c>
      <c r="AX406" s="31">
        <v>-3.1944754839296392</v>
      </c>
      <c r="AY406" s="31">
        <v>0</v>
      </c>
    </row>
    <row r="407" spans="31:51" x14ac:dyDescent="0.25">
      <c r="AE407">
        <v>4.1050000000000004</v>
      </c>
      <c r="AF407">
        <v>4</v>
      </c>
      <c r="AG407">
        <v>1</v>
      </c>
      <c r="AH407">
        <v>1</v>
      </c>
      <c r="AI407">
        <v>3.0000000001018634</v>
      </c>
      <c r="AJ407">
        <v>4.1051300000000008</v>
      </c>
      <c r="AK407" t="str">
        <v>Base</v>
      </c>
      <c r="AL407">
        <v>-4.5</v>
      </c>
      <c r="AM407">
        <v>-1.207119319994878</v>
      </c>
      <c r="AN407">
        <v>-0.72970047819677142</v>
      </c>
      <c r="AO407">
        <v>-7.3951225393512559</v>
      </c>
      <c r="AP407">
        <v>-15.091076137170246</v>
      </c>
      <c r="AQ407">
        <v>0</v>
      </c>
      <c r="AR407" t="str">
        <v>14513.par</v>
      </c>
      <c r="AV407" t="str">
        <v>0,204,204</v>
      </c>
      <c r="AW407" s="31">
        <v>-10</v>
      </c>
      <c r="AX407" s="31">
        <v>-7.3951225393512559</v>
      </c>
      <c r="AY407" s="31">
        <v>0</v>
      </c>
    </row>
    <row r="408" spans="31:51" x14ac:dyDescent="0.25">
      <c r="AE408">
        <v>4.1020000000000003</v>
      </c>
      <c r="AF408">
        <v>4</v>
      </c>
      <c r="AG408">
        <v>1</v>
      </c>
      <c r="AH408">
        <v>1</v>
      </c>
      <c r="AI408">
        <v>3.0000000001018634</v>
      </c>
      <c r="AJ408">
        <v>4.1021300000000007</v>
      </c>
      <c r="AK408" t="str">
        <v>Base</v>
      </c>
      <c r="AL408">
        <v>-4.5</v>
      </c>
      <c r="AM408">
        <v>-0.53992642020095538</v>
      </c>
      <c r="AN408">
        <v>-0.97334322201004908</v>
      </c>
      <c r="AO408">
        <v>-12.690751583712682</v>
      </c>
      <c r="AP408">
        <v>-19.343654990357987</v>
      </c>
      <c r="AQ408">
        <v>0</v>
      </c>
      <c r="AR408" t="str">
        <v>14513.par</v>
      </c>
      <c r="AV408" t="str">
        <v>0,204,204</v>
      </c>
      <c r="AW408" s="31">
        <v>-10</v>
      </c>
      <c r="AX408" s="31">
        <v>-12.690751583712682</v>
      </c>
      <c r="AY408" s="31">
        <v>0</v>
      </c>
    </row>
    <row r="409" spans="31:51" x14ac:dyDescent="0.25">
      <c r="AE409">
        <v>3.2290000000000001</v>
      </c>
      <c r="AF409">
        <v>3</v>
      </c>
      <c r="AG409">
        <v>2</v>
      </c>
      <c r="AH409">
        <v>1</v>
      </c>
      <c r="AI409">
        <v>2.999999999992724</v>
      </c>
      <c r="AJ409">
        <v>3.2291300000000001</v>
      </c>
      <c r="AK409" t="str">
        <v>Base</v>
      </c>
      <c r="AL409">
        <v>-3.75</v>
      </c>
      <c r="AM409">
        <v>-3.6674116518398749</v>
      </c>
      <c r="AN409">
        <v>-2.4988511372621653</v>
      </c>
      <c r="AO409">
        <v>84.999987727520178</v>
      </c>
      <c r="AP409">
        <v>0</v>
      </c>
      <c r="AQ409">
        <v>0</v>
      </c>
      <c r="AR409" t="str">
        <v>32193r1.par</v>
      </c>
      <c r="AV409" t="str">
        <v>97,255,97</v>
      </c>
      <c r="AW409" s="31">
        <v>85</v>
      </c>
      <c r="AX409" s="31">
        <v>84.999987727520178</v>
      </c>
      <c r="AY409" s="31">
        <v>0</v>
      </c>
    </row>
    <row r="410" spans="31:51" x14ac:dyDescent="0.25">
      <c r="AE410">
        <v>3.2240000000000002</v>
      </c>
      <c r="AF410">
        <v>3</v>
      </c>
      <c r="AG410">
        <v>2</v>
      </c>
      <c r="AH410">
        <v>1</v>
      </c>
      <c r="AI410">
        <v>3.0000000000291038</v>
      </c>
      <c r="AJ410">
        <v>3.2241300000000002</v>
      </c>
      <c r="AK410" t="str">
        <v>Base</v>
      </c>
      <c r="AL410">
        <v>-3.75</v>
      </c>
      <c r="AM410">
        <v>-3.5963153654652511</v>
      </c>
      <c r="AN410">
        <v>-1.7660353468425971</v>
      </c>
      <c r="AO410">
        <v>77.509988808942225</v>
      </c>
      <c r="AP410">
        <v>0</v>
      </c>
      <c r="AQ410">
        <v>0</v>
      </c>
      <c r="AR410" t="str">
        <v>32193r1.par</v>
      </c>
      <c r="AV410" t="str">
        <v>97,255,97</v>
      </c>
      <c r="AW410" s="31">
        <v>77.509999999999991</v>
      </c>
      <c r="AX410" s="31">
        <v>77.509988808942225</v>
      </c>
      <c r="AY410" s="31">
        <v>0</v>
      </c>
    </row>
    <row r="411" spans="31:51" x14ac:dyDescent="0.25">
      <c r="AE411">
        <v>3.2189999999999999</v>
      </c>
      <c r="AF411">
        <v>3</v>
      </c>
      <c r="AG411">
        <v>2</v>
      </c>
      <c r="AH411">
        <v>1</v>
      </c>
      <c r="AI411">
        <v>2.999999999992724</v>
      </c>
      <c r="AJ411">
        <v>3.2191299999999998</v>
      </c>
      <c r="AK411" t="str">
        <v>Base</v>
      </c>
      <c r="AL411">
        <v>-3.75</v>
      </c>
      <c r="AM411">
        <v>-3.3498508045235389</v>
      </c>
      <c r="AN411">
        <v>-1.1109402905049373</v>
      </c>
      <c r="AO411">
        <v>49.646962420762904</v>
      </c>
      <c r="AP411">
        <v>-28.594534795740781</v>
      </c>
      <c r="AQ411">
        <v>0</v>
      </c>
      <c r="AR411" t="str">
        <v>1313.par</v>
      </c>
      <c r="AV411" t="str">
        <v>97,255,97</v>
      </c>
      <c r="AW411" s="31">
        <v>50.300000000000011</v>
      </c>
      <c r="AX411" s="31">
        <v>49.646962420762904</v>
      </c>
      <c r="AY411" s="31">
        <v>0</v>
      </c>
    </row>
    <row r="412" spans="31:51" x14ac:dyDescent="0.25">
      <c r="AE412">
        <v>3.214</v>
      </c>
      <c r="AF412">
        <v>3</v>
      </c>
      <c r="AG412">
        <v>2</v>
      </c>
      <c r="AH412">
        <v>1</v>
      </c>
      <c r="AI412">
        <v>2.999999999992724</v>
      </c>
      <c r="AJ412">
        <v>3.2141299999999999</v>
      </c>
      <c r="AK412" t="str">
        <v>Base</v>
      </c>
      <c r="AL412">
        <v>-3.75</v>
      </c>
      <c r="AM412">
        <v>-2.8051163741831178</v>
      </c>
      <c r="AN412">
        <v>-0.66470227217644307</v>
      </c>
      <c r="AO412">
        <v>24.252246924939893</v>
      </c>
      <c r="AP412">
        <v>-24.256750731689472</v>
      </c>
      <c r="AQ412">
        <v>0</v>
      </c>
      <c r="AR412" t="str">
        <v>1313.par</v>
      </c>
      <c r="AV412" t="str">
        <v>97,255,97</v>
      </c>
      <c r="AW412" s="31">
        <v>23.620000000000005</v>
      </c>
      <c r="AX412" s="31">
        <v>24.252246924939893</v>
      </c>
      <c r="AY412" s="31">
        <v>0</v>
      </c>
    </row>
    <row r="413" spans="31:51" x14ac:dyDescent="0.25">
      <c r="AE413">
        <v>3.2090000000000001</v>
      </c>
      <c r="AF413">
        <v>3</v>
      </c>
      <c r="AG413">
        <v>2</v>
      </c>
      <c r="AH413">
        <v>1</v>
      </c>
      <c r="AI413">
        <v>2.999999999992724</v>
      </c>
      <c r="AJ413">
        <v>3.20913</v>
      </c>
      <c r="AK413" t="str">
        <v>Base</v>
      </c>
      <c r="AL413">
        <v>-3.75</v>
      </c>
      <c r="AM413">
        <v>-2.1148063782560365</v>
      </c>
      <c r="AN413">
        <v>-0.54373181747926869</v>
      </c>
      <c r="AO413">
        <v>0</v>
      </c>
      <c r="AP413">
        <v>0</v>
      </c>
      <c r="AQ413">
        <v>0</v>
      </c>
      <c r="AR413" t="str">
        <v>32193r1.par</v>
      </c>
      <c r="AV413" t="str">
        <v>97,255,97</v>
      </c>
      <c r="AW413" s="31">
        <v>-2.6899999999999977</v>
      </c>
      <c r="AX413" s="31">
        <v>0</v>
      </c>
      <c r="AY413" s="31">
        <v>0</v>
      </c>
    </row>
    <row r="414" spans="31:51" x14ac:dyDescent="0.25">
      <c r="AE414">
        <v>3.129</v>
      </c>
      <c r="AF414">
        <v>3</v>
      </c>
      <c r="AG414">
        <v>1</v>
      </c>
      <c r="AH414">
        <v>1</v>
      </c>
      <c r="AI414">
        <v>2.999999999992724</v>
      </c>
      <c r="AJ414">
        <v>3.12913</v>
      </c>
      <c r="AK414" t="str">
        <v>Base</v>
      </c>
      <c r="AL414">
        <v>-3</v>
      </c>
      <c r="AM414">
        <v>-3.705489740894127</v>
      </c>
      <c r="AN414">
        <v>-2.4926031271477327</v>
      </c>
      <c r="AO414">
        <v>84.959174548900165</v>
      </c>
      <c r="AP414">
        <v>-29.733205429583027</v>
      </c>
      <c r="AQ414">
        <v>0</v>
      </c>
      <c r="AR414" t="str">
        <v>14513.par</v>
      </c>
      <c r="AV414" t="str">
        <v>0,204,0</v>
      </c>
      <c r="AW414" s="31">
        <v>85</v>
      </c>
      <c r="AX414" s="31">
        <v>84.959174548900165</v>
      </c>
      <c r="AY414" s="31">
        <v>0</v>
      </c>
    </row>
    <row r="415" spans="31:51" x14ac:dyDescent="0.25">
      <c r="AE415">
        <v>3.1240000000000001</v>
      </c>
      <c r="AF415">
        <v>3</v>
      </c>
      <c r="AG415">
        <v>1</v>
      </c>
      <c r="AH415">
        <v>1</v>
      </c>
      <c r="AI415">
        <v>2.999999999992724</v>
      </c>
      <c r="AJ415">
        <v>3.1241300000000001</v>
      </c>
      <c r="AK415" t="str">
        <v>Base</v>
      </c>
      <c r="AL415">
        <v>-3</v>
      </c>
      <c r="AM415">
        <v>-3.6291142843899107</v>
      </c>
      <c r="AN415">
        <v>-1.754361327395568</v>
      </c>
      <c r="AO415">
        <v>74.864555850198826</v>
      </c>
      <c r="AP415">
        <v>-27.966667852021928</v>
      </c>
      <c r="AQ415">
        <v>0</v>
      </c>
      <c r="AR415" t="str">
        <v>14513.par</v>
      </c>
      <c r="AV415" t="str">
        <v>0,204,0</v>
      </c>
      <c r="AW415" s="31">
        <v>77.509999999999991</v>
      </c>
      <c r="AX415" s="31">
        <v>74.864555850198826</v>
      </c>
      <c r="AY415" s="31">
        <v>0</v>
      </c>
    </row>
    <row r="416" spans="31:51" x14ac:dyDescent="0.25">
      <c r="AE416">
        <v>3.1190000000000002</v>
      </c>
      <c r="AF416">
        <v>3</v>
      </c>
      <c r="AG416">
        <v>1</v>
      </c>
      <c r="AH416">
        <v>1</v>
      </c>
      <c r="AI416">
        <v>3.0000000000291038</v>
      </c>
      <c r="AJ416">
        <v>3.1191300000000002</v>
      </c>
      <c r="AK416" t="str">
        <v>Base</v>
      </c>
      <c r="AL416">
        <v>-3</v>
      </c>
      <c r="AM416">
        <v>-3.3429717400665524</v>
      </c>
      <c r="AN416">
        <v>-1.1145022165397567</v>
      </c>
      <c r="AO416">
        <v>49.538699347768194</v>
      </c>
      <c r="AP416">
        <v>-23.58412260483729</v>
      </c>
      <c r="AQ416">
        <v>0</v>
      </c>
      <c r="AR416" t="str">
        <v>14513.par</v>
      </c>
      <c r="AV416" t="str">
        <v>0,204,0</v>
      </c>
      <c r="AW416" s="31">
        <v>50.300000000000011</v>
      </c>
      <c r="AX416" s="31">
        <v>49.538699347768194</v>
      </c>
      <c r="AY416" s="31">
        <v>0</v>
      </c>
    </row>
    <row r="417" spans="31:51" x14ac:dyDescent="0.25">
      <c r="AE417">
        <v>3.1139999999999999</v>
      </c>
      <c r="AF417">
        <v>3</v>
      </c>
      <c r="AG417">
        <v>1</v>
      </c>
      <c r="AH417">
        <v>1</v>
      </c>
      <c r="AI417">
        <v>2.999999999992724</v>
      </c>
      <c r="AJ417">
        <v>3.1141299999999998</v>
      </c>
      <c r="AK417" t="str">
        <v>Base</v>
      </c>
      <c r="AL417">
        <v>-3</v>
      </c>
      <c r="AM417">
        <v>-2.801762774351626</v>
      </c>
      <c r="AN417">
        <v>-0.66940249432972765</v>
      </c>
      <c r="AO417">
        <v>23.999404618532189</v>
      </c>
      <c r="AP417">
        <v>-19.251788693323142</v>
      </c>
      <c r="AQ417">
        <v>0</v>
      </c>
      <c r="AR417" t="str">
        <v>14513.par</v>
      </c>
      <c r="AV417" t="str">
        <v>0,204,0</v>
      </c>
      <c r="AW417" s="31">
        <v>23.620000000000005</v>
      </c>
      <c r="AX417" s="31">
        <v>23.999404618532189</v>
      </c>
      <c r="AY417" s="31">
        <v>0</v>
      </c>
    </row>
    <row r="418" spans="31:51" x14ac:dyDescent="0.25">
      <c r="AE418">
        <v>3.109</v>
      </c>
      <c r="AF418">
        <v>3</v>
      </c>
      <c r="AG418">
        <v>1</v>
      </c>
      <c r="AH418">
        <v>1</v>
      </c>
      <c r="AI418">
        <v>2.999999999992724</v>
      </c>
      <c r="AJ418">
        <v>3.1091299999999999</v>
      </c>
      <c r="AK418" t="str">
        <v>Base</v>
      </c>
      <c r="AL418">
        <v>-3</v>
      </c>
      <c r="AM418">
        <v>-2.1148946126463919</v>
      </c>
      <c r="AN418">
        <v>-0.52983079059031568</v>
      </c>
      <c r="AO418">
        <v>-1.9524824454106047</v>
      </c>
      <c r="AP418">
        <v>-15.008916364285374</v>
      </c>
      <c r="AQ418">
        <v>0</v>
      </c>
      <c r="AR418" t="str">
        <v>14513.par</v>
      </c>
      <c r="AV418" t="str">
        <v>0,204,0</v>
      </c>
      <c r="AW418" s="31">
        <v>-2.6899999999999977</v>
      </c>
      <c r="AX418" s="31">
        <v>-1.9524824454106047</v>
      </c>
      <c r="AY418" s="31">
        <v>0</v>
      </c>
    </row>
    <row r="419" spans="31:51" x14ac:dyDescent="0.25">
      <c r="AE419">
        <v>3.1059999999999999</v>
      </c>
      <c r="AF419">
        <v>3</v>
      </c>
      <c r="AG419">
        <v>1</v>
      </c>
      <c r="AH419">
        <v>1</v>
      </c>
      <c r="AI419">
        <v>2.999999999992724</v>
      </c>
      <c r="AJ419">
        <v>3.1061299999999998</v>
      </c>
      <c r="AK419" t="str">
        <v>Base</v>
      </c>
      <c r="AL419">
        <v>-3</v>
      </c>
      <c r="AM419">
        <v>-1.429605754482091</v>
      </c>
      <c r="AN419">
        <v>-0.70436040696484048</v>
      </c>
      <c r="AO419">
        <v>-5.8752888559582477</v>
      </c>
      <c r="AP419">
        <v>-15.059926167155163</v>
      </c>
      <c r="AQ419">
        <v>0</v>
      </c>
      <c r="AR419" t="str">
        <v>14513.par</v>
      </c>
      <c r="AV419" t="str">
        <v>0,204,0</v>
      </c>
      <c r="AW419" s="31">
        <v>-10</v>
      </c>
      <c r="AX419" s="31">
        <v>-5.8752888559582477</v>
      </c>
      <c r="AY419" s="31">
        <v>0</v>
      </c>
    </row>
    <row r="420" spans="31:51" x14ac:dyDescent="0.25">
      <c r="AE420">
        <v>3.1030000000000002</v>
      </c>
      <c r="AF420">
        <v>3</v>
      </c>
      <c r="AG420">
        <v>1</v>
      </c>
      <c r="AH420">
        <v>1</v>
      </c>
      <c r="AI420">
        <v>3.0000000000291038</v>
      </c>
      <c r="AJ420">
        <v>3.1031300000000002</v>
      </c>
      <c r="AK420" t="str">
        <v>Base</v>
      </c>
      <c r="AL420">
        <v>-3</v>
      </c>
      <c r="AM420">
        <v>-0.76225350864971908</v>
      </c>
      <c r="AN420">
        <v>-0.94764647864941109</v>
      </c>
      <c r="AO420">
        <v>-10.624850163126316</v>
      </c>
      <c r="AP420">
        <v>-17.208039886648105</v>
      </c>
      <c r="AQ420">
        <v>0</v>
      </c>
      <c r="AR420" t="str">
        <v>14513.par</v>
      </c>
      <c r="AV420" t="str">
        <v>0,204,0</v>
      </c>
      <c r="AW420" s="31">
        <v>-10</v>
      </c>
      <c r="AX420" s="31">
        <v>-10.624850163126316</v>
      </c>
      <c r="AY420" s="31">
        <v>0</v>
      </c>
    </row>
    <row r="421" spans="31:51" x14ac:dyDescent="0.25">
      <c r="AE421">
        <v>2.23</v>
      </c>
      <c r="AF421">
        <v>2</v>
      </c>
      <c r="AG421">
        <v>2</v>
      </c>
      <c r="AH421">
        <v>1</v>
      </c>
      <c r="AI421">
        <v>2.999999999992724</v>
      </c>
      <c r="AJ421">
        <v>2.2301299999999999</v>
      </c>
      <c r="AK421" t="str">
        <v>Base</v>
      </c>
      <c r="AL421">
        <v>-2.25</v>
      </c>
      <c r="AM421">
        <v>-3.6674116518398745</v>
      </c>
      <c r="AN421">
        <v>-2.689580449072924</v>
      </c>
      <c r="AO421">
        <v>84.999987727520178</v>
      </c>
      <c r="AP421">
        <v>0</v>
      </c>
      <c r="AQ421">
        <v>0</v>
      </c>
      <c r="AR421" t="str">
        <v>32193r1.par</v>
      </c>
      <c r="AV421" t="str">
        <v>255,255,91</v>
      </c>
      <c r="AW421" s="31">
        <v>85</v>
      </c>
      <c r="AX421" s="31">
        <v>84.999987727520178</v>
      </c>
      <c r="AY421" s="31">
        <v>0</v>
      </c>
    </row>
    <row r="422" spans="31:51" x14ac:dyDescent="0.25">
      <c r="AE422">
        <v>2.2250000000000001</v>
      </c>
      <c r="AF422">
        <v>2</v>
      </c>
      <c r="AG422">
        <v>2</v>
      </c>
      <c r="AH422">
        <v>1</v>
      </c>
      <c r="AI422">
        <v>2.999999999992724</v>
      </c>
      <c r="AJ422">
        <v>2.2251300000000001</v>
      </c>
      <c r="AK422" t="str">
        <v>Base</v>
      </c>
      <c r="AL422">
        <v>-2.25</v>
      </c>
      <c r="AM422">
        <v>-3.6152562378443953</v>
      </c>
      <c r="AN422">
        <v>-1.9517406951456064</v>
      </c>
      <c r="AO422">
        <v>82.989988017728265</v>
      </c>
      <c r="AP422">
        <v>0</v>
      </c>
      <c r="AQ422">
        <v>0</v>
      </c>
      <c r="AR422" t="str">
        <v>32193r1.par</v>
      </c>
      <c r="AV422" t="str">
        <v>255,255,91</v>
      </c>
      <c r="AW422" s="31">
        <v>82.990000000000009</v>
      </c>
      <c r="AX422" s="31">
        <v>82.989988017728265</v>
      </c>
      <c r="AY422" s="31">
        <v>0</v>
      </c>
    </row>
    <row r="423" spans="31:51" x14ac:dyDescent="0.25">
      <c r="AE423">
        <v>2.2200000000000002</v>
      </c>
      <c r="AF423">
        <v>2</v>
      </c>
      <c r="AG423">
        <v>2</v>
      </c>
      <c r="AH423">
        <v>1</v>
      </c>
      <c r="AI423">
        <v>3.0000000000291038</v>
      </c>
      <c r="AJ423">
        <v>2.2201300000000002</v>
      </c>
      <c r="AK423" t="str">
        <v>Base</v>
      </c>
      <c r="AL423">
        <v>-2.25</v>
      </c>
      <c r="AM423">
        <v>-3.4304209952660867</v>
      </c>
      <c r="AN423">
        <v>-1.2766591226314603</v>
      </c>
      <c r="AO423">
        <v>54.705811379517804</v>
      </c>
      <c r="AP423">
        <v>-29.468631118943247</v>
      </c>
      <c r="AQ423">
        <v>0</v>
      </c>
      <c r="AR423" t="str">
        <v>1313.par</v>
      </c>
      <c r="AV423" t="str">
        <v>255,255,91</v>
      </c>
      <c r="AW423" s="31">
        <v>55.699999999999989</v>
      </c>
      <c r="AX423" s="31">
        <v>54.705811379517804</v>
      </c>
      <c r="AY423" s="31">
        <v>0</v>
      </c>
    </row>
    <row r="424" spans="31:51" x14ac:dyDescent="0.25">
      <c r="AE424">
        <v>2.2149999999999999</v>
      </c>
      <c r="AF424">
        <v>2</v>
      </c>
      <c r="AG424">
        <v>2</v>
      </c>
      <c r="AH424">
        <v>1</v>
      </c>
      <c r="AI424">
        <v>2.999999999992724</v>
      </c>
      <c r="AJ424">
        <v>2.2151299999999998</v>
      </c>
      <c r="AK424" t="str">
        <v>Base</v>
      </c>
      <c r="AL424">
        <v>-2.25</v>
      </c>
      <c r="AM424">
        <v>-2.9302797798722637</v>
      </c>
      <c r="AN424">
        <v>-0.78075071388568784</v>
      </c>
      <c r="AO424">
        <v>29.347346360517605</v>
      </c>
      <c r="AP424">
        <v>-25.119072540244474</v>
      </c>
      <c r="AQ424">
        <v>0</v>
      </c>
      <c r="AR424" t="str">
        <v>1313.par</v>
      </c>
      <c r="AV424" t="str">
        <v>255,255,91</v>
      </c>
      <c r="AW424" s="31">
        <v>28.92</v>
      </c>
      <c r="AX424" s="31">
        <v>29.347346360517605</v>
      </c>
      <c r="AY424" s="31">
        <v>0</v>
      </c>
    </row>
    <row r="425" spans="31:51" x14ac:dyDescent="0.25">
      <c r="AE425">
        <v>2.13</v>
      </c>
      <c r="AF425">
        <v>2</v>
      </c>
      <c r="AG425">
        <v>1</v>
      </c>
      <c r="AH425">
        <v>1</v>
      </c>
      <c r="AI425">
        <v>2.999999999992724</v>
      </c>
      <c r="AJ425">
        <v>2.1301299999999999</v>
      </c>
      <c r="AK425" t="str">
        <v>Base</v>
      </c>
      <c r="AL425">
        <v>-1.5</v>
      </c>
      <c r="AM425">
        <v>-3.7054897408941274</v>
      </c>
      <c r="AN425">
        <v>-2.6833146598151618</v>
      </c>
      <c r="AO425">
        <v>84.959174548900066</v>
      </c>
      <c r="AP425">
        <v>-29.733205429582988</v>
      </c>
      <c r="AQ425">
        <v>0</v>
      </c>
      <c r="AR425" t="str">
        <v>14513.par</v>
      </c>
      <c r="AV425" t="str">
        <v>204,204,0</v>
      </c>
      <c r="AW425" s="31">
        <v>85</v>
      </c>
      <c r="AX425" s="31">
        <v>84.959174548900066</v>
      </c>
      <c r="AY425" s="31">
        <v>0</v>
      </c>
    </row>
    <row r="426" spans="31:51" x14ac:dyDescent="0.25">
      <c r="AE426">
        <v>2.125</v>
      </c>
      <c r="AF426">
        <v>2</v>
      </c>
      <c r="AG426">
        <v>1</v>
      </c>
      <c r="AH426">
        <v>1</v>
      </c>
      <c r="AI426">
        <v>2.999999999992724</v>
      </c>
      <c r="AJ426">
        <v>2.12513</v>
      </c>
      <c r="AK426" t="str">
        <v>Base</v>
      </c>
      <c r="AL426">
        <v>-1.5</v>
      </c>
      <c r="AM426">
        <v>-3.6507686153359904</v>
      </c>
      <c r="AN426">
        <v>-1.9425909646499075</v>
      </c>
      <c r="AO426">
        <v>79.91365573728622</v>
      </c>
      <c r="AP426">
        <v>-28.847628083391658</v>
      </c>
      <c r="AQ426">
        <v>0</v>
      </c>
      <c r="AR426" t="str">
        <v>14513.par</v>
      </c>
      <c r="AV426" t="str">
        <v>204,204,0</v>
      </c>
      <c r="AW426" s="31">
        <v>82.990000000000009</v>
      </c>
      <c r="AX426" s="31">
        <v>79.91365573728622</v>
      </c>
      <c r="AY426" s="31">
        <v>0</v>
      </c>
    </row>
    <row r="427" spans="31:51" x14ac:dyDescent="0.25">
      <c r="AE427">
        <v>2.12</v>
      </c>
      <c r="AF427">
        <v>2</v>
      </c>
      <c r="AG427">
        <v>1</v>
      </c>
      <c r="AH427">
        <v>1</v>
      </c>
      <c r="AI427">
        <v>2.999999999992724</v>
      </c>
      <c r="AJ427">
        <v>2.1201300000000001</v>
      </c>
      <c r="AK427" t="str">
        <v>Base</v>
      </c>
      <c r="AL427">
        <v>-1.5</v>
      </c>
      <c r="AM427">
        <v>-3.4229111071668892</v>
      </c>
      <c r="AN427">
        <v>-1.2797346668347411</v>
      </c>
      <c r="AO427">
        <v>54.616826931126944</v>
      </c>
      <c r="AP427">
        <v>-24.457328545074276</v>
      </c>
      <c r="AQ427">
        <v>0</v>
      </c>
      <c r="AR427" t="str">
        <v>14513.par</v>
      </c>
      <c r="AV427" t="str">
        <v>204,204,0</v>
      </c>
      <c r="AW427" s="31">
        <v>55.699999999999989</v>
      </c>
      <c r="AX427" s="31">
        <v>54.616826931126944</v>
      </c>
      <c r="AY427" s="31">
        <v>0</v>
      </c>
    </row>
    <row r="428" spans="31:51" x14ac:dyDescent="0.25">
      <c r="AE428">
        <v>2.1150000000000002</v>
      </c>
      <c r="AF428">
        <v>2</v>
      </c>
      <c r="AG428">
        <v>1</v>
      </c>
      <c r="AH428">
        <v>1</v>
      </c>
      <c r="AI428">
        <v>3.0000000000291038</v>
      </c>
      <c r="AJ428">
        <v>2.1151300000000002</v>
      </c>
      <c r="AK428" t="str">
        <v>Base</v>
      </c>
      <c r="AL428">
        <v>-1.5</v>
      </c>
      <c r="AM428">
        <v>-2.9262005695703541</v>
      </c>
      <c r="AN428">
        <v>-0.7854027910210255</v>
      </c>
      <c r="AO428">
        <v>29.131847697982931</v>
      </c>
      <c r="AP428">
        <v>-20.112874810640083</v>
      </c>
      <c r="AQ428">
        <v>0</v>
      </c>
      <c r="AR428" t="str">
        <v>14513.par</v>
      </c>
      <c r="AV428" t="str">
        <v>204,204,0</v>
      </c>
      <c r="AW428" s="31">
        <v>28.92</v>
      </c>
      <c r="AX428" s="31">
        <v>29.131847697982931</v>
      </c>
      <c r="AY428" s="31">
        <v>0</v>
      </c>
    </row>
    <row r="429" spans="31:51" x14ac:dyDescent="0.25">
      <c r="AE429">
        <v>2.11</v>
      </c>
      <c r="AF429">
        <v>2</v>
      </c>
      <c r="AG429">
        <v>1</v>
      </c>
      <c r="AH429">
        <v>1</v>
      </c>
      <c r="AI429">
        <v>2.999999999992724</v>
      </c>
      <c r="AJ429">
        <v>2.1101299999999998</v>
      </c>
      <c r="AK429" t="str">
        <v>Base</v>
      </c>
      <c r="AL429">
        <v>-1.5</v>
      </c>
      <c r="AM429">
        <v>-2.2565117770054361</v>
      </c>
      <c r="AN429">
        <v>-0.57870400851555903</v>
      </c>
      <c r="AO429">
        <v>3.2856948997619564</v>
      </c>
      <c r="AP429">
        <v>-15.847059512467744</v>
      </c>
      <c r="AQ429">
        <v>0</v>
      </c>
      <c r="AR429" t="str">
        <v>14513.par</v>
      </c>
      <c r="AV429" t="str">
        <v>204,204,0</v>
      </c>
      <c r="AW429" s="31">
        <v>2.5600000000000023</v>
      </c>
      <c r="AX429" s="31">
        <v>3.2856948997619564</v>
      </c>
      <c r="AY429" s="31">
        <v>0</v>
      </c>
    </row>
    <row r="430" spans="31:51" x14ac:dyDescent="0.25">
      <c r="AE430">
        <v>1.2310000000000001</v>
      </c>
      <c r="AF430">
        <v>1</v>
      </c>
      <c r="AG430">
        <v>2</v>
      </c>
      <c r="AH430">
        <v>1</v>
      </c>
      <c r="AI430">
        <v>3.0000000000109139</v>
      </c>
      <c r="AJ430">
        <v>1.2311300000000001</v>
      </c>
      <c r="AK430" t="str">
        <v>Base</v>
      </c>
      <c r="AL430">
        <v>-0.75</v>
      </c>
      <c r="AM430">
        <v>-3.6674116518398741</v>
      </c>
      <c r="AN430">
        <v>-2.8837820330273933</v>
      </c>
      <c r="AO430">
        <v>84.999987727520178</v>
      </c>
      <c r="AP430">
        <v>0</v>
      </c>
      <c r="AQ430">
        <v>0</v>
      </c>
      <c r="AR430" t="str">
        <v>32193r1.par</v>
      </c>
      <c r="AV430" t="str">
        <v>255,188,121</v>
      </c>
      <c r="AW430" s="31">
        <v>85</v>
      </c>
      <c r="AX430" s="31">
        <v>84.999987727520178</v>
      </c>
      <c r="AY430" s="31">
        <v>0</v>
      </c>
    </row>
    <row r="431" spans="31:51" x14ac:dyDescent="0.25">
      <c r="AE431">
        <v>1.226</v>
      </c>
      <c r="AF431">
        <v>1</v>
      </c>
      <c r="AG431">
        <v>2</v>
      </c>
      <c r="AH431">
        <v>1</v>
      </c>
      <c r="AI431">
        <v>2.999999999992724</v>
      </c>
      <c r="AJ431">
        <v>1.2261299999999999</v>
      </c>
      <c r="AK431" t="str">
        <v>Base</v>
      </c>
      <c r="AL431">
        <v>-0.75</v>
      </c>
      <c r="AM431">
        <v>-3.6219115146114604</v>
      </c>
      <c r="AN431">
        <v>-2.1418790243035009</v>
      </c>
      <c r="AO431">
        <v>84.999987727520192</v>
      </c>
      <c r="AP431">
        <v>0</v>
      </c>
      <c r="AQ431">
        <v>0</v>
      </c>
      <c r="AR431" t="str">
        <v>32193r1.par</v>
      </c>
      <c r="AV431" t="str">
        <v>255,188,121</v>
      </c>
      <c r="AW431" s="31">
        <v>85</v>
      </c>
      <c r="AX431" s="31">
        <v>84.999987727520192</v>
      </c>
      <c r="AY431" s="31">
        <v>0</v>
      </c>
    </row>
    <row r="432" spans="31:51" x14ac:dyDescent="0.25">
      <c r="AE432">
        <v>1.2210000000000001</v>
      </c>
      <c r="AF432">
        <v>1</v>
      </c>
      <c r="AG432">
        <v>2</v>
      </c>
      <c r="AH432">
        <v>1</v>
      </c>
      <c r="AI432">
        <v>3.0000000000109139</v>
      </c>
      <c r="AJ432">
        <v>1.22113</v>
      </c>
      <c r="AK432" t="str">
        <v>Base</v>
      </c>
      <c r="AL432">
        <v>-0.75</v>
      </c>
      <c r="AM432">
        <v>-3.4999726850193795</v>
      </c>
      <c r="AN432">
        <v>-1.4526607235082385</v>
      </c>
      <c r="AO432">
        <v>59.759556997406193</v>
      </c>
      <c r="AP432">
        <v>-30.344438639895046</v>
      </c>
      <c r="AQ432">
        <v>0</v>
      </c>
      <c r="AR432" t="str">
        <v>1313.par</v>
      </c>
      <c r="AV432" t="str">
        <v>255,188,121</v>
      </c>
      <c r="AW432" s="31">
        <v>61.129999999999995</v>
      </c>
      <c r="AX432" s="31">
        <v>59.759556997406193</v>
      </c>
      <c r="AY432" s="31">
        <v>0</v>
      </c>
    </row>
    <row r="433" spans="31:51" x14ac:dyDescent="0.25">
      <c r="AE433">
        <v>1.216</v>
      </c>
      <c r="AF433">
        <v>1</v>
      </c>
      <c r="AG433">
        <v>2</v>
      </c>
      <c r="AH433">
        <v>1</v>
      </c>
      <c r="AI433">
        <v>2.999999999992724</v>
      </c>
      <c r="AJ433">
        <v>1.2161299999999999</v>
      </c>
      <c r="AK433" t="str">
        <v>Base</v>
      </c>
      <c r="AL433">
        <v>-0.75</v>
      </c>
      <c r="AM433">
        <v>-3.0482256677523303</v>
      </c>
      <c r="AN433">
        <v>-0.91218727307020131</v>
      </c>
      <c r="AO433">
        <v>34.433429937894488</v>
      </c>
      <c r="AP433">
        <v>-25.984322344903283</v>
      </c>
      <c r="AQ433">
        <v>0</v>
      </c>
      <c r="AR433" t="str">
        <v>1313.par</v>
      </c>
      <c r="AV433" t="str">
        <v>255,188,121</v>
      </c>
      <c r="AW433" s="31">
        <v>34.230000000000004</v>
      </c>
      <c r="AX433" s="31">
        <v>34.433429937894488</v>
      </c>
      <c r="AY433" s="31">
        <v>0</v>
      </c>
    </row>
    <row r="434" spans="31:51" x14ac:dyDescent="0.25">
      <c r="AE434">
        <v>1.2110000000000001</v>
      </c>
      <c r="AF434">
        <v>1</v>
      </c>
      <c r="AG434">
        <v>2</v>
      </c>
      <c r="AH434">
        <v>1</v>
      </c>
      <c r="AI434">
        <v>3.0000000000109139</v>
      </c>
      <c r="AJ434">
        <v>1.21113</v>
      </c>
      <c r="AK434" t="str">
        <v>Base</v>
      </c>
      <c r="AL434">
        <v>-0.75</v>
      </c>
      <c r="AM434">
        <v>-2.3986349300699432</v>
      </c>
      <c r="AN434">
        <v>-0.64077542876550808</v>
      </c>
      <c r="AO434">
        <v>8.9017554788769413</v>
      </c>
      <c r="AP434">
        <v>-21.691845055181382</v>
      </c>
      <c r="AQ434">
        <v>0</v>
      </c>
      <c r="AR434" t="str">
        <v>1313.par</v>
      </c>
      <c r="AV434" t="str">
        <v>255,188,121</v>
      </c>
      <c r="AW434" s="31">
        <v>7.8199999999999932</v>
      </c>
      <c r="AX434" s="31">
        <v>8.9017554788769413</v>
      </c>
      <c r="AY434" s="31">
        <v>0</v>
      </c>
    </row>
    <row r="435" spans="31:51" x14ac:dyDescent="0.25">
      <c r="AE435">
        <v>1.2070000000000001</v>
      </c>
      <c r="AF435">
        <v>1</v>
      </c>
      <c r="AG435">
        <v>2</v>
      </c>
      <c r="AH435">
        <v>1</v>
      </c>
      <c r="AI435">
        <v>3.0000000000109139</v>
      </c>
      <c r="AJ435">
        <v>1.20713</v>
      </c>
      <c r="AK435" t="str">
        <v>Base</v>
      </c>
      <c r="AL435">
        <v>-0.75</v>
      </c>
      <c r="AM435">
        <v>-1.6523245503053037</v>
      </c>
      <c r="AN435">
        <v>-0.73925169087519527</v>
      </c>
      <c r="AO435">
        <v>-5.9999991337073064</v>
      </c>
      <c r="AP435">
        <v>0</v>
      </c>
      <c r="AQ435">
        <v>0</v>
      </c>
      <c r="AR435" t="str">
        <v>32193r1.par</v>
      </c>
      <c r="AV435" t="str">
        <v>255,188,121</v>
      </c>
      <c r="AW435" s="31">
        <v>-20</v>
      </c>
      <c r="AX435" s="31">
        <v>-5.9999991337073064</v>
      </c>
      <c r="AY435" s="31">
        <v>0</v>
      </c>
    </row>
    <row r="436" spans="31:51" x14ac:dyDescent="0.25">
      <c r="AE436">
        <v>1.131</v>
      </c>
      <c r="AF436">
        <v>1</v>
      </c>
      <c r="AG436">
        <v>1</v>
      </c>
      <c r="AH436">
        <v>1</v>
      </c>
      <c r="AI436">
        <v>2.999999999992724</v>
      </c>
      <c r="AJ436">
        <v>1.13113</v>
      </c>
      <c r="AK436" t="str">
        <v>Base</v>
      </c>
      <c r="AL436">
        <v>0</v>
      </c>
      <c r="AM436">
        <v>-3.7054897408941279</v>
      </c>
      <c r="AN436">
        <v>-2.8774984502990146</v>
      </c>
      <c r="AO436">
        <v>84.959174548900108</v>
      </c>
      <c r="AP436">
        <v>-29.733205429583027</v>
      </c>
      <c r="AQ436">
        <v>0</v>
      </c>
      <c r="AR436" t="str">
        <v>14513.par</v>
      </c>
      <c r="AV436" t="str">
        <v>255,127,0</v>
      </c>
      <c r="AW436" s="31">
        <v>85</v>
      </c>
      <c r="AX436" s="31">
        <v>84.959174548900108</v>
      </c>
      <c r="AY436" s="31">
        <v>0</v>
      </c>
    </row>
    <row r="437" spans="31:51" x14ac:dyDescent="0.25">
      <c r="AE437">
        <v>1.1259999999999999</v>
      </c>
      <c r="AF437">
        <v>1</v>
      </c>
      <c r="AG437">
        <v>1</v>
      </c>
      <c r="AH437">
        <v>1</v>
      </c>
      <c r="AI437">
        <v>2.999999999992724</v>
      </c>
      <c r="AJ437">
        <v>1.1261299999999999</v>
      </c>
      <c r="AK437" t="str">
        <v>Base</v>
      </c>
      <c r="AL437">
        <v>0</v>
      </c>
      <c r="AM437">
        <v>-3.6599901069123484</v>
      </c>
      <c r="AN437">
        <v>-2.1356473728291649</v>
      </c>
      <c r="AO437">
        <v>84.958662296739845</v>
      </c>
      <c r="AP437">
        <v>-29.729888873627353</v>
      </c>
      <c r="AQ437">
        <v>0</v>
      </c>
      <c r="AR437" t="str">
        <v>14513.par</v>
      </c>
      <c r="AV437" t="str">
        <v>255,127,0</v>
      </c>
      <c r="AW437" s="31">
        <v>85</v>
      </c>
      <c r="AX437" s="31">
        <v>84.958662296739845</v>
      </c>
      <c r="AY437" s="31">
        <v>0</v>
      </c>
    </row>
    <row r="438" spans="31:51" x14ac:dyDescent="0.25">
      <c r="AE438">
        <v>1.121</v>
      </c>
      <c r="AF438">
        <v>1</v>
      </c>
      <c r="AG438">
        <v>1</v>
      </c>
      <c r="AH438">
        <v>1</v>
      </c>
      <c r="AI438">
        <v>2.999999999992724</v>
      </c>
      <c r="AJ438">
        <v>1.12113</v>
      </c>
      <c r="AK438" t="str">
        <v>Base</v>
      </c>
      <c r="AL438">
        <v>0</v>
      </c>
      <c r="AM438">
        <v>-3.4918764103684188</v>
      </c>
      <c r="AN438">
        <v>-1.4551713436403939</v>
      </c>
      <c r="AO438">
        <v>59.687700782164377</v>
      </c>
      <c r="AP438">
        <v>-25.332307439651714</v>
      </c>
      <c r="AQ438">
        <v>0</v>
      </c>
      <c r="AR438" t="str">
        <v>14513.par</v>
      </c>
      <c r="AV438" t="str">
        <v>255,127,0</v>
      </c>
      <c r="AW438" s="31">
        <v>61.129999999999995</v>
      </c>
      <c r="AX438" s="31">
        <v>59.687700782164377</v>
      </c>
      <c r="AY438" s="31">
        <v>0</v>
      </c>
    </row>
    <row r="439" spans="31:51" x14ac:dyDescent="0.25">
      <c r="AE439">
        <v>1.1160000000000001</v>
      </c>
      <c r="AF439">
        <v>1</v>
      </c>
      <c r="AG439">
        <v>1</v>
      </c>
      <c r="AH439">
        <v>1</v>
      </c>
      <c r="AI439">
        <v>3.0000000000109139</v>
      </c>
      <c r="AJ439">
        <v>1.1161300000000001</v>
      </c>
      <c r="AK439" t="str">
        <v>Base</v>
      </c>
      <c r="AL439">
        <v>0</v>
      </c>
      <c r="AM439">
        <v>-3.0434223386825652</v>
      </c>
      <c r="AN439">
        <v>-0.91670011236990323</v>
      </c>
      <c r="AO439">
        <v>34.250341265000479</v>
      </c>
      <c r="AP439">
        <v>-20.976966793059624</v>
      </c>
      <c r="AQ439">
        <v>0</v>
      </c>
      <c r="AR439" t="str">
        <v>14513.par</v>
      </c>
      <c r="AV439" t="str">
        <v>255,127,0</v>
      </c>
      <c r="AW439" s="31">
        <v>34.230000000000004</v>
      </c>
      <c r="AX439" s="31">
        <v>34.250341265000479</v>
      </c>
      <c r="AY439" s="31">
        <v>0</v>
      </c>
    </row>
    <row r="440" spans="31:51" x14ac:dyDescent="0.25">
      <c r="AE440">
        <v>1.111</v>
      </c>
      <c r="AF440">
        <v>1</v>
      </c>
      <c r="AG440">
        <v>1</v>
      </c>
      <c r="AH440">
        <v>1</v>
      </c>
      <c r="AI440">
        <v>2.999999999992724</v>
      </c>
      <c r="AJ440">
        <v>1.11113</v>
      </c>
      <c r="AK440" t="str">
        <v>Base</v>
      </c>
      <c r="AL440">
        <v>0</v>
      </c>
      <c r="AM440">
        <v>-2.3973819696575993</v>
      </c>
      <c r="AN440">
        <v>-0.64507643699701223</v>
      </c>
      <c r="AO440">
        <v>8.4969280152892388</v>
      </c>
      <c r="AP440">
        <v>-16.691140944800519</v>
      </c>
      <c r="AQ440">
        <v>0</v>
      </c>
      <c r="AR440" t="str">
        <v>14513.par</v>
      </c>
      <c r="AV440" t="str">
        <v>255,127,0</v>
      </c>
      <c r="AW440" s="31">
        <v>7.8199999999999932</v>
      </c>
      <c r="AX440" s="31">
        <v>8.4969280152892388</v>
      </c>
      <c r="AY440" s="31">
        <v>0</v>
      </c>
    </row>
    <row r="441" spans="31:51" x14ac:dyDescent="0.25">
      <c r="AE441">
        <v>1.107</v>
      </c>
      <c r="AF441">
        <v>1</v>
      </c>
      <c r="AG441">
        <v>1</v>
      </c>
      <c r="AH441">
        <v>1</v>
      </c>
      <c r="AI441">
        <v>2.999999999992724</v>
      </c>
      <c r="AJ441">
        <v>1.1071299999999999</v>
      </c>
      <c r="AK441" t="str">
        <v>Base</v>
      </c>
      <c r="AL441">
        <v>0</v>
      </c>
      <c r="AM441">
        <v>-1.652098587536414</v>
      </c>
      <c r="AN441">
        <v>-0.72413098502638529</v>
      </c>
      <c r="AO441">
        <v>-4.493356957443849</v>
      </c>
      <c r="AP441">
        <v>-15.037952247761927</v>
      </c>
      <c r="AQ441">
        <v>0</v>
      </c>
      <c r="AR441" t="str">
        <v>14513.par</v>
      </c>
      <c r="AV441" t="str">
        <v>255,127,0</v>
      </c>
      <c r="AW441" s="31">
        <v>-20</v>
      </c>
      <c r="AX441" s="31">
        <v>-4.493356957443849</v>
      </c>
      <c r="AY441" s="31">
        <v>0</v>
      </c>
    </row>
    <row r="442" spans="31:51" x14ac:dyDescent="0.25">
      <c r="AE442">
        <v>1.1040000000000001</v>
      </c>
      <c r="AF442">
        <v>1</v>
      </c>
      <c r="AG442">
        <v>1</v>
      </c>
      <c r="AH442">
        <v>1</v>
      </c>
      <c r="AI442">
        <v>3.0000000000109139</v>
      </c>
      <c r="AJ442">
        <v>1.1041300000000001</v>
      </c>
      <c r="AK442" t="str">
        <v>Base</v>
      </c>
      <c r="AL442">
        <v>0</v>
      </c>
      <c r="AM442">
        <v>-0.98467113477462354</v>
      </c>
      <c r="AN442">
        <v>-0.96723862681920236</v>
      </c>
      <c r="AO442">
        <v>-8.8567301349358249</v>
      </c>
      <c r="AP442">
        <v>-16.135028242540422</v>
      </c>
      <c r="AQ442">
        <v>0</v>
      </c>
      <c r="AR442" t="str">
        <v>14513.par</v>
      </c>
      <c r="AV442" t="str">
        <v>255,127,0</v>
      </c>
      <c r="AW442" s="31">
        <v>-10</v>
      </c>
      <c r="AX442" s="31">
        <v>-8.8567301349358249</v>
      </c>
      <c r="AY442" s="31">
        <v>0</v>
      </c>
    </row>
    <row r="443" spans="31:51" x14ac:dyDescent="0.25">
      <c r="AE443">
        <v>1.101</v>
      </c>
      <c r="AF443">
        <v>1</v>
      </c>
      <c r="AG443">
        <v>1</v>
      </c>
      <c r="AH443">
        <v>1</v>
      </c>
      <c r="AI443">
        <v>2.999999999992724</v>
      </c>
      <c r="AJ443">
        <v>1.1011299999999999</v>
      </c>
      <c r="AK443" t="str">
        <v>Base</v>
      </c>
      <c r="AL443">
        <v>0</v>
      </c>
      <c r="AM443">
        <v>-0.31788498635130003</v>
      </c>
      <c r="AN443">
        <v>-1.2106213388147613</v>
      </c>
      <c r="AO443">
        <v>-15.966012167147152</v>
      </c>
      <c r="AP443">
        <v>-22.696199576154587</v>
      </c>
      <c r="AQ443">
        <v>0</v>
      </c>
      <c r="AR443" t="str">
        <v>14513.par</v>
      </c>
      <c r="AV443" t="str">
        <v>255,127,0</v>
      </c>
      <c r="AW443" s="31">
        <v>-10</v>
      </c>
      <c r="AX443" s="31">
        <v>-15.966012167147152</v>
      </c>
      <c r="AY443" s="31">
        <v>0</v>
      </c>
    </row>
    <row r="444" spans="31:51" x14ac:dyDescent="0.25">
      <c r="AE444">
        <v>5.2320000000000002</v>
      </c>
      <c r="AF444">
        <v>5</v>
      </c>
      <c r="AG444">
        <v>2</v>
      </c>
      <c r="AH444">
        <v>2</v>
      </c>
      <c r="AI444">
        <v>3.0000000000291038</v>
      </c>
      <c r="AJ444">
        <v>5.2322300000000004</v>
      </c>
      <c r="AK444">
        <v>5.2321300000000006</v>
      </c>
      <c r="AL444">
        <v>0</v>
      </c>
      <c r="AM444">
        <v>0</v>
      </c>
      <c r="AN444">
        <v>0</v>
      </c>
      <c r="AO444">
        <v>1.2272479807506897E-5</v>
      </c>
      <c r="AP444">
        <v>0</v>
      </c>
      <c r="AQ444">
        <v>0</v>
      </c>
      <c r="AR444" t="str">
        <v>32193r1.par</v>
      </c>
      <c r="AV444" t="str">
        <v>121,188,255</v>
      </c>
      <c r="AW444" s="31">
        <v>85</v>
      </c>
      <c r="AX444" s="31">
        <v>84.999987727520192</v>
      </c>
      <c r="AY444" s="31">
        <v>1.2272479807506897E-5</v>
      </c>
    </row>
    <row r="445" spans="31:51" x14ac:dyDescent="0.25">
      <c r="AE445">
        <v>5.2270000000000003</v>
      </c>
      <c r="AF445">
        <v>5</v>
      </c>
      <c r="AG445">
        <v>2</v>
      </c>
      <c r="AH445">
        <v>2</v>
      </c>
      <c r="AI445">
        <v>3.0000000000291038</v>
      </c>
      <c r="AJ445">
        <v>5.2272300000000005</v>
      </c>
      <c r="AK445">
        <v>5.2271300000000007</v>
      </c>
      <c r="AL445">
        <v>0</v>
      </c>
      <c r="AM445">
        <v>0</v>
      </c>
      <c r="AN445">
        <v>0</v>
      </c>
      <c r="AO445">
        <v>1.2272479807506897E-5</v>
      </c>
      <c r="AP445">
        <v>0</v>
      </c>
      <c r="AQ445">
        <v>0</v>
      </c>
      <c r="AR445" t="str">
        <v>32193r1.par</v>
      </c>
      <c r="AV445" t="str">
        <v>121,188,255</v>
      </c>
      <c r="AW445" s="31">
        <v>85</v>
      </c>
      <c r="AX445" s="31">
        <v>84.999987727520192</v>
      </c>
      <c r="AY445" s="31">
        <v>1.2272479807506897E-5</v>
      </c>
    </row>
    <row r="446" spans="31:51" x14ac:dyDescent="0.25">
      <c r="AE446">
        <v>5.2220000000000004</v>
      </c>
      <c r="AF446">
        <v>5</v>
      </c>
      <c r="AG446">
        <v>2</v>
      </c>
      <c r="AH446">
        <v>2</v>
      </c>
      <c r="AI446">
        <v>3.0000000000291038</v>
      </c>
      <c r="AJ446">
        <v>5.2222300000000006</v>
      </c>
      <c r="AK446">
        <v>5.2221300000000008</v>
      </c>
      <c r="AL446">
        <v>0</v>
      </c>
      <c r="AM446">
        <v>0</v>
      </c>
      <c r="AN446">
        <v>0</v>
      </c>
      <c r="AO446">
        <v>1.7612760231442479</v>
      </c>
      <c r="AP446">
        <v>0</v>
      </c>
      <c r="AQ446">
        <v>0</v>
      </c>
      <c r="AR446" t="str">
        <v>1313.par</v>
      </c>
      <c r="AV446" t="str">
        <v>121,188,255</v>
      </c>
      <c r="AW446" s="31">
        <v>66.569999999999993</v>
      </c>
      <c r="AX446" s="31">
        <v>64.808723976855745</v>
      </c>
      <c r="AY446" s="31">
        <v>1.7612760231442479</v>
      </c>
    </row>
    <row r="447" spans="31:51" x14ac:dyDescent="0.25">
      <c r="AE447">
        <v>5.2169999999999996</v>
      </c>
      <c r="AF447">
        <v>5</v>
      </c>
      <c r="AG447">
        <v>2</v>
      </c>
      <c r="AH447">
        <v>2</v>
      </c>
      <c r="AI447">
        <v>2.9999999999563443</v>
      </c>
      <c r="AJ447">
        <v>5.2172299999999998</v>
      </c>
      <c r="AK447">
        <v>5.21713</v>
      </c>
      <c r="AL447">
        <v>0</v>
      </c>
      <c r="AM447">
        <v>0</v>
      </c>
      <c r="AN447">
        <v>0</v>
      </c>
      <c r="AO447">
        <v>5.8501496452826984E-2</v>
      </c>
      <c r="AP447">
        <v>0</v>
      </c>
      <c r="AQ447">
        <v>0</v>
      </c>
      <c r="AR447" t="str">
        <v>1313.par</v>
      </c>
      <c r="AV447" t="str">
        <v>121,188,255</v>
      </c>
      <c r="AW447" s="31">
        <v>39.569999999999993</v>
      </c>
      <c r="AX447" s="31">
        <v>39.511498503547166</v>
      </c>
      <c r="AY447" s="31">
        <v>5.8501496452826984E-2</v>
      </c>
    </row>
    <row r="448" spans="31:51" x14ac:dyDescent="0.25">
      <c r="AE448">
        <v>5.1319999999999997</v>
      </c>
      <c r="AF448">
        <v>5</v>
      </c>
      <c r="AG448">
        <v>1</v>
      </c>
      <c r="AH448">
        <v>2</v>
      </c>
      <c r="AI448">
        <v>2.9999999999563443</v>
      </c>
      <c r="AJ448">
        <v>5.1322299999999998</v>
      </c>
      <c r="AK448">
        <v>5.1321300000000001</v>
      </c>
      <c r="AL448">
        <v>0</v>
      </c>
      <c r="AM448">
        <v>0</v>
      </c>
      <c r="AN448">
        <v>0</v>
      </c>
      <c r="AO448">
        <v>4.0825451100005239E-2</v>
      </c>
      <c r="AP448">
        <v>0</v>
      </c>
      <c r="AQ448">
        <v>0</v>
      </c>
      <c r="AR448" t="str">
        <v>14513.par</v>
      </c>
      <c r="AV448" t="str">
        <v>0,102,204</v>
      </c>
      <c r="AW448" s="31">
        <v>85</v>
      </c>
      <c r="AX448" s="31">
        <v>84.959174548899995</v>
      </c>
      <c r="AY448" s="31">
        <v>4.0825451100005239E-2</v>
      </c>
    </row>
    <row r="449" spans="31:51" x14ac:dyDescent="0.25">
      <c r="AE449">
        <v>5.1269999999999998</v>
      </c>
      <c r="AF449">
        <v>5</v>
      </c>
      <c r="AG449">
        <v>1</v>
      </c>
      <c r="AH449">
        <v>2</v>
      </c>
      <c r="AI449">
        <v>3.0000000000291038</v>
      </c>
      <c r="AJ449">
        <v>5.12723</v>
      </c>
      <c r="AK449">
        <v>5.1271300000000002</v>
      </c>
      <c r="AL449">
        <v>0</v>
      </c>
      <c r="AM449">
        <v>0</v>
      </c>
      <c r="AN449">
        <v>0</v>
      </c>
      <c r="AO449">
        <v>4.1332004249596821E-2</v>
      </c>
      <c r="AP449">
        <v>0</v>
      </c>
      <c r="AQ449">
        <v>0</v>
      </c>
      <c r="AR449" t="str">
        <v>14513.par</v>
      </c>
      <c r="AV449" t="str">
        <v>0,102,204</v>
      </c>
      <c r="AW449" s="31">
        <v>85</v>
      </c>
      <c r="AX449" s="31">
        <v>84.958667995750403</v>
      </c>
      <c r="AY449" s="31">
        <v>4.1332004249596821E-2</v>
      </c>
    </row>
    <row r="450" spans="31:51" x14ac:dyDescent="0.25">
      <c r="AE450">
        <v>5.1219999999999999</v>
      </c>
      <c r="AF450">
        <v>5</v>
      </c>
      <c r="AG450">
        <v>1</v>
      </c>
      <c r="AH450">
        <v>2</v>
      </c>
      <c r="AI450">
        <v>3.0000000000291038</v>
      </c>
      <c r="AJ450">
        <v>5.1222300000000001</v>
      </c>
      <c r="AK450">
        <v>5.1221300000000003</v>
      </c>
      <c r="AL450">
        <v>0</v>
      </c>
      <c r="AM450">
        <v>0</v>
      </c>
      <c r="AN450">
        <v>0</v>
      </c>
      <c r="AO450">
        <v>1.817844413586144</v>
      </c>
      <c r="AP450">
        <v>0</v>
      </c>
      <c r="AQ450">
        <v>0</v>
      </c>
      <c r="AR450" t="str">
        <v>14513.par</v>
      </c>
      <c r="AV450" t="str">
        <v>0,102,204</v>
      </c>
      <c r="AW450" s="31">
        <v>66.569999999999993</v>
      </c>
      <c r="AX450" s="31">
        <v>64.752155586413849</v>
      </c>
      <c r="AY450" s="31">
        <v>1.817844413586144</v>
      </c>
    </row>
    <row r="451" spans="31:51" x14ac:dyDescent="0.25">
      <c r="AE451">
        <v>5.117</v>
      </c>
      <c r="AF451">
        <v>5</v>
      </c>
      <c r="AG451">
        <v>1</v>
      </c>
      <c r="AH451">
        <v>2</v>
      </c>
      <c r="AI451">
        <v>3.0000000000291038</v>
      </c>
      <c r="AJ451">
        <v>5.1172300000000002</v>
      </c>
      <c r="AK451">
        <v>5.1171300000000004</v>
      </c>
      <c r="AL451">
        <v>0</v>
      </c>
      <c r="AM451">
        <v>0</v>
      </c>
      <c r="AN451">
        <v>0</v>
      </c>
      <c r="AO451">
        <v>0.2133258161786955</v>
      </c>
      <c r="AP451">
        <v>0</v>
      </c>
      <c r="AQ451">
        <v>0</v>
      </c>
      <c r="AR451" t="str">
        <v>14513.par</v>
      </c>
      <c r="AV451" t="str">
        <v>0,102,204</v>
      </c>
      <c r="AW451" s="31">
        <v>39.569999999999993</v>
      </c>
      <c r="AX451" s="31">
        <v>39.356674183821298</v>
      </c>
      <c r="AY451" s="31">
        <v>0.2133258161786955</v>
      </c>
    </row>
    <row r="452" spans="31:51" x14ac:dyDescent="0.25">
      <c r="AE452">
        <v>5.1120000000000001</v>
      </c>
      <c r="AF452">
        <v>5</v>
      </c>
      <c r="AG452">
        <v>1</v>
      </c>
      <c r="AH452">
        <v>2</v>
      </c>
      <c r="AI452">
        <v>3.0000000000291038</v>
      </c>
      <c r="AJ452">
        <v>5.1122300000000003</v>
      </c>
      <c r="AK452">
        <v>5.1121300000000005</v>
      </c>
      <c r="AL452">
        <v>0</v>
      </c>
      <c r="AM452">
        <v>0</v>
      </c>
      <c r="AN452">
        <v>0</v>
      </c>
      <c r="AO452">
        <v>-0.60424624808646499</v>
      </c>
      <c r="AP452">
        <v>0</v>
      </c>
      <c r="AQ452">
        <v>0</v>
      </c>
      <c r="AR452" t="str">
        <v>14513.par</v>
      </c>
      <c r="AV452" t="str">
        <v>0,102,204</v>
      </c>
      <c r="AW452" s="31">
        <v>13.079999999999998</v>
      </c>
      <c r="AX452" s="31">
        <v>13.684246248086463</v>
      </c>
      <c r="AY452" s="31">
        <v>-0.60424624808646499</v>
      </c>
    </row>
    <row r="453" spans="31:51" x14ac:dyDescent="0.25">
      <c r="AE453">
        <v>4.2279999999999998</v>
      </c>
      <c r="AF453">
        <v>4</v>
      </c>
      <c r="AG453">
        <v>2</v>
      </c>
      <c r="AH453">
        <v>2</v>
      </c>
      <c r="AI453">
        <v>3.0000000000291038</v>
      </c>
      <c r="AJ453">
        <v>4.2282299999999999</v>
      </c>
      <c r="AK453">
        <v>4.2281300000000002</v>
      </c>
      <c r="AL453">
        <v>0</v>
      </c>
      <c r="AM453">
        <v>0</v>
      </c>
      <c r="AN453">
        <v>0</v>
      </c>
      <c r="AO453">
        <v>1.2272479821717752E-5</v>
      </c>
      <c r="AP453">
        <v>0</v>
      </c>
      <c r="AQ453">
        <v>0</v>
      </c>
      <c r="AR453" t="str">
        <v>32193r1.par</v>
      </c>
      <c r="AV453" t="str">
        <v>91,255,255</v>
      </c>
      <c r="AW453" s="31">
        <v>85</v>
      </c>
      <c r="AX453" s="31">
        <v>84.999987727520178</v>
      </c>
      <c r="AY453" s="31">
        <v>1.2272479821717752E-5</v>
      </c>
    </row>
    <row r="454" spans="31:51" x14ac:dyDescent="0.25">
      <c r="AE454">
        <v>4.2229999999999999</v>
      </c>
      <c r="AF454">
        <v>4</v>
      </c>
      <c r="AG454">
        <v>2</v>
      </c>
      <c r="AH454">
        <v>2</v>
      </c>
      <c r="AI454">
        <v>3.0000000000291038</v>
      </c>
      <c r="AJ454">
        <v>4.22323</v>
      </c>
      <c r="AK454">
        <v>4.2231300000000003</v>
      </c>
      <c r="AL454">
        <v>0</v>
      </c>
      <c r="AM454">
        <v>0</v>
      </c>
      <c r="AN454">
        <v>0</v>
      </c>
      <c r="AO454">
        <v>2.1762347514910374</v>
      </c>
      <c r="AP454">
        <v>0</v>
      </c>
      <c r="AQ454">
        <v>0</v>
      </c>
      <c r="AR454" t="str">
        <v>1313.par</v>
      </c>
      <c r="AV454" t="str">
        <v>91,255,255</v>
      </c>
      <c r="AW454" s="31">
        <v>72.03</v>
      </c>
      <c r="AX454" s="31">
        <v>69.853765248508964</v>
      </c>
      <c r="AY454" s="31">
        <v>2.1762347514910374</v>
      </c>
    </row>
    <row r="455" spans="31:51" x14ac:dyDescent="0.25">
      <c r="AE455">
        <v>4.218</v>
      </c>
      <c r="AF455">
        <v>4</v>
      </c>
      <c r="AG455">
        <v>2</v>
      </c>
      <c r="AH455">
        <v>2</v>
      </c>
      <c r="AI455">
        <v>3.0000000000291038</v>
      </c>
      <c r="AJ455">
        <v>4.2182300000000001</v>
      </c>
      <c r="AK455">
        <v>4.2181300000000004</v>
      </c>
      <c r="AL455">
        <v>0</v>
      </c>
      <c r="AM455">
        <v>0</v>
      </c>
      <c r="AN455">
        <v>0</v>
      </c>
      <c r="AO455">
        <v>0.33758002068040582</v>
      </c>
      <c r="AP455">
        <v>0</v>
      </c>
      <c r="AQ455">
        <v>0</v>
      </c>
      <c r="AR455" t="str">
        <v>1313.par</v>
      </c>
      <c r="AV455" t="str">
        <v>91,255,255</v>
      </c>
      <c r="AW455" s="31">
        <v>44.919999999999987</v>
      </c>
      <c r="AX455" s="31">
        <v>44.582419979319582</v>
      </c>
      <c r="AY455" s="31">
        <v>0.33758002068040582</v>
      </c>
    </row>
    <row r="456" spans="31:51" x14ac:dyDescent="0.25">
      <c r="AE456">
        <v>4.2130000000000001</v>
      </c>
      <c r="AF456">
        <v>4</v>
      </c>
      <c r="AG456">
        <v>2</v>
      </c>
      <c r="AH456">
        <v>2</v>
      </c>
      <c r="AI456">
        <v>3.0000000000291038</v>
      </c>
      <c r="AJ456">
        <v>4.2132300000000003</v>
      </c>
      <c r="AK456">
        <v>4.2131300000000005</v>
      </c>
      <c r="AL456">
        <v>0</v>
      </c>
      <c r="AM456">
        <v>0</v>
      </c>
      <c r="AN456">
        <v>0</v>
      </c>
      <c r="AO456">
        <v>-0.8070989976058911</v>
      </c>
      <c r="AP456">
        <v>0</v>
      </c>
      <c r="AQ456">
        <v>0</v>
      </c>
      <c r="AR456" t="str">
        <v>1313.par</v>
      </c>
      <c r="AV456" t="str">
        <v>91,255,255</v>
      </c>
      <c r="AW456" s="31">
        <v>18.340000000000003</v>
      </c>
      <c r="AX456" s="31">
        <v>19.147098997605895</v>
      </c>
      <c r="AY456" s="31">
        <v>-0.8070989976058911</v>
      </c>
    </row>
    <row r="457" spans="31:51" x14ac:dyDescent="0.25">
      <c r="AE457">
        <v>4.2080000000000002</v>
      </c>
      <c r="AF457">
        <v>4</v>
      </c>
      <c r="AG457">
        <v>2</v>
      </c>
      <c r="AH457">
        <v>2</v>
      </c>
      <c r="AI457">
        <v>3.0000000000291038</v>
      </c>
      <c r="AJ457">
        <v>4.2082300000000004</v>
      </c>
      <c r="AK457">
        <v>4.2081300000000006</v>
      </c>
      <c r="AL457">
        <v>0</v>
      </c>
      <c r="AM457">
        <v>0</v>
      </c>
      <c r="AN457">
        <v>0</v>
      </c>
      <c r="AO457">
        <v>-8.440000433146345</v>
      </c>
      <c r="AP457">
        <v>0</v>
      </c>
      <c r="AQ457">
        <v>0</v>
      </c>
      <c r="AR457" t="str">
        <v>32193r1.par</v>
      </c>
      <c r="AV457" t="str">
        <v>91,255,255</v>
      </c>
      <c r="AW457" s="31">
        <v>-11.439999999999998</v>
      </c>
      <c r="AX457" s="31">
        <v>-2.9999995668536537</v>
      </c>
      <c r="AY457" s="31">
        <v>-8.440000433146345</v>
      </c>
    </row>
    <row r="458" spans="31:51" x14ac:dyDescent="0.25">
      <c r="AE458">
        <v>4.1280000000000001</v>
      </c>
      <c r="AF458">
        <v>4</v>
      </c>
      <c r="AG458">
        <v>1</v>
      </c>
      <c r="AH458">
        <v>2</v>
      </c>
      <c r="AI458">
        <v>3.0000000000291038</v>
      </c>
      <c r="AJ458">
        <v>4.1282300000000003</v>
      </c>
      <c r="AK458">
        <v>4.1281300000000005</v>
      </c>
      <c r="AL458">
        <v>0</v>
      </c>
      <c r="AM458">
        <v>0</v>
      </c>
      <c r="AN458">
        <v>0</v>
      </c>
      <c r="AO458">
        <v>4.0825451100005239E-2</v>
      </c>
      <c r="AP458">
        <v>0</v>
      </c>
      <c r="AQ458">
        <v>0</v>
      </c>
      <c r="AR458" t="str">
        <v>14513.par</v>
      </c>
      <c r="AV458" t="str">
        <v>0,204,204</v>
      </c>
      <c r="AW458" s="31">
        <v>85</v>
      </c>
      <c r="AX458" s="31">
        <v>84.959174548899995</v>
      </c>
      <c r="AY458" s="31">
        <v>4.0825451100005239E-2</v>
      </c>
    </row>
    <row r="459" spans="31:51" x14ac:dyDescent="0.25">
      <c r="AE459">
        <v>4.1230000000000002</v>
      </c>
      <c r="AF459">
        <v>4</v>
      </c>
      <c r="AG459">
        <v>1</v>
      </c>
      <c r="AH459">
        <v>2</v>
      </c>
      <c r="AI459">
        <v>3.0000000000291038</v>
      </c>
      <c r="AJ459">
        <v>4.1232300000000004</v>
      </c>
      <c r="AK459">
        <v>4.1231300000000006</v>
      </c>
      <c r="AL459">
        <v>0</v>
      </c>
      <c r="AM459">
        <v>0</v>
      </c>
      <c r="AN459">
        <v>0</v>
      </c>
      <c r="AO459">
        <v>2.2190981530497993</v>
      </c>
      <c r="AP459">
        <v>0</v>
      </c>
      <c r="AQ459">
        <v>0</v>
      </c>
      <c r="AR459" t="str">
        <v>14513.par</v>
      </c>
      <c r="AV459" t="str">
        <v>0,204,204</v>
      </c>
      <c r="AW459" s="31">
        <v>72.03</v>
      </c>
      <c r="AX459" s="31">
        <v>69.810901846950202</v>
      </c>
      <c r="AY459" s="31">
        <v>2.2190981530497993</v>
      </c>
    </row>
    <row r="460" spans="31:51" x14ac:dyDescent="0.25">
      <c r="AE460">
        <v>4.1180000000000003</v>
      </c>
      <c r="AF460">
        <v>4</v>
      </c>
      <c r="AG460">
        <v>1</v>
      </c>
      <c r="AH460">
        <v>2</v>
      </c>
      <c r="AI460">
        <v>3.0000000000291038</v>
      </c>
      <c r="AJ460">
        <v>4.1182300000000005</v>
      </c>
      <c r="AK460">
        <v>4.1181300000000007</v>
      </c>
      <c r="AL460">
        <v>0</v>
      </c>
      <c r="AM460">
        <v>0</v>
      </c>
      <c r="AN460">
        <v>0</v>
      </c>
      <c r="AO460">
        <v>0.46764071572492583</v>
      </c>
      <c r="AP460">
        <v>0</v>
      </c>
      <c r="AQ460">
        <v>0</v>
      </c>
      <c r="AR460" t="str">
        <v>14513.par</v>
      </c>
      <c r="AV460" t="str">
        <v>0,204,204</v>
      </c>
      <c r="AW460" s="31">
        <v>44.919999999999987</v>
      </c>
      <c r="AX460" s="31">
        <v>44.452359284275062</v>
      </c>
      <c r="AY460" s="31">
        <v>0.46764071572492583</v>
      </c>
    </row>
    <row r="461" spans="31:51" x14ac:dyDescent="0.25">
      <c r="AE461">
        <v>4.1130000000000004</v>
      </c>
      <c r="AF461">
        <v>4</v>
      </c>
      <c r="AG461">
        <v>1</v>
      </c>
      <c r="AH461">
        <v>2</v>
      </c>
      <c r="AI461">
        <v>3.0000000000291038</v>
      </c>
      <c r="AJ461">
        <v>4.1132300000000006</v>
      </c>
      <c r="AK461">
        <v>4.1131300000000008</v>
      </c>
      <c r="AL461">
        <v>0</v>
      </c>
      <c r="AM461">
        <v>0</v>
      </c>
      <c r="AN461">
        <v>0</v>
      </c>
      <c r="AO461">
        <v>-0.51105498580061592</v>
      </c>
      <c r="AP461">
        <v>0</v>
      </c>
      <c r="AQ461">
        <v>0</v>
      </c>
      <c r="AR461" t="str">
        <v>14513.par</v>
      </c>
      <c r="AV461" t="str">
        <v>0,204,204</v>
      </c>
      <c r="AW461" s="31">
        <v>18.340000000000003</v>
      </c>
      <c r="AX461" s="31">
        <v>18.851054985800619</v>
      </c>
      <c r="AY461" s="31">
        <v>-0.51105498580061592</v>
      </c>
    </row>
    <row r="462" spans="31:51" x14ac:dyDescent="0.25">
      <c r="AE462">
        <v>4.1079999999999997</v>
      </c>
      <c r="AF462">
        <v>4</v>
      </c>
      <c r="AG462">
        <v>1</v>
      </c>
      <c r="AH462">
        <v>2</v>
      </c>
      <c r="AI462">
        <v>2.9999999999563443</v>
      </c>
      <c r="AJ462">
        <v>4.1082299999999998</v>
      </c>
      <c r="AK462">
        <v>4.1081300000000001</v>
      </c>
      <c r="AL462">
        <v>0</v>
      </c>
      <c r="AM462">
        <v>0</v>
      </c>
      <c r="AN462">
        <v>0</v>
      </c>
      <c r="AO462">
        <v>-8.2455245160703576</v>
      </c>
      <c r="AP462">
        <v>0</v>
      </c>
      <c r="AQ462">
        <v>0</v>
      </c>
      <c r="AR462" t="str">
        <v>14513.par</v>
      </c>
      <c r="AV462" t="str">
        <v>0,204,204</v>
      </c>
      <c r="AW462" s="31">
        <v>-11.439999999999998</v>
      </c>
      <c r="AX462" s="31">
        <v>-3.1944754839296392</v>
      </c>
      <c r="AY462" s="31">
        <v>-8.2455245160703576</v>
      </c>
    </row>
    <row r="463" spans="31:51" x14ac:dyDescent="0.25">
      <c r="AE463">
        <v>4.1050000000000004</v>
      </c>
      <c r="AF463">
        <v>4</v>
      </c>
      <c r="AG463">
        <v>1</v>
      </c>
      <c r="AH463">
        <v>2</v>
      </c>
      <c r="AI463">
        <v>3.0000000000291038</v>
      </c>
      <c r="AJ463">
        <v>4.1052300000000006</v>
      </c>
      <c r="AK463">
        <v>4.1051300000000008</v>
      </c>
      <c r="AL463">
        <v>0</v>
      </c>
      <c r="AM463">
        <v>0</v>
      </c>
      <c r="AN463">
        <v>0</v>
      </c>
      <c r="AO463">
        <v>-2.6048774606487441</v>
      </c>
      <c r="AP463">
        <v>0</v>
      </c>
      <c r="AQ463">
        <v>0</v>
      </c>
      <c r="AR463" t="str">
        <v>14513.par</v>
      </c>
      <c r="AV463" t="str">
        <v>0,204,204</v>
      </c>
      <c r="AW463" s="31">
        <v>-10</v>
      </c>
      <c r="AX463" s="31">
        <v>-7.3951225393512559</v>
      </c>
      <c r="AY463" s="31">
        <v>-2.6048774606487441</v>
      </c>
    </row>
    <row r="464" spans="31:51" x14ac:dyDescent="0.25">
      <c r="AE464">
        <v>4.1020000000000003</v>
      </c>
      <c r="AF464">
        <v>4</v>
      </c>
      <c r="AG464">
        <v>1</v>
      </c>
      <c r="AH464">
        <v>2</v>
      </c>
      <c r="AI464">
        <v>3.0000000000291038</v>
      </c>
      <c r="AJ464">
        <v>4.1022300000000005</v>
      </c>
      <c r="AK464">
        <v>4.1021300000000007</v>
      </c>
      <c r="AL464">
        <v>0</v>
      </c>
      <c r="AM464">
        <v>0</v>
      </c>
      <c r="AN464">
        <v>0</v>
      </c>
      <c r="AO464">
        <v>2.6907515837126823</v>
      </c>
      <c r="AP464">
        <v>0</v>
      </c>
      <c r="AQ464">
        <v>0</v>
      </c>
      <c r="AR464" t="str">
        <v>14513.par</v>
      </c>
      <c r="AV464" t="str">
        <v>0,204,204</v>
      </c>
      <c r="AW464" s="31">
        <v>-10</v>
      </c>
      <c r="AX464" s="31">
        <v>-12.690751583712682</v>
      </c>
      <c r="AY464" s="31">
        <v>2.6907515837126823</v>
      </c>
    </row>
    <row r="465" spans="31:51" x14ac:dyDescent="0.25">
      <c r="AE465">
        <v>3.2290000000000001</v>
      </c>
      <c r="AF465">
        <v>3</v>
      </c>
      <c r="AG465">
        <v>2</v>
      </c>
      <c r="AH465">
        <v>2</v>
      </c>
      <c r="AI465">
        <v>3.0000000000291038</v>
      </c>
      <c r="AJ465">
        <v>3.2292300000000003</v>
      </c>
      <c r="AK465">
        <v>3.2291300000000001</v>
      </c>
      <c r="AL465">
        <v>0</v>
      </c>
      <c r="AM465">
        <v>0</v>
      </c>
      <c r="AN465">
        <v>0</v>
      </c>
      <c r="AO465">
        <v>1.2272479821717752E-5</v>
      </c>
      <c r="AP465">
        <v>0</v>
      </c>
      <c r="AQ465">
        <v>0</v>
      </c>
      <c r="AR465" t="str">
        <v>32193r1.par</v>
      </c>
      <c r="AV465" t="str">
        <v>97,255,97</v>
      </c>
      <c r="AW465" s="31">
        <v>85</v>
      </c>
      <c r="AX465" s="31">
        <v>84.999987727520178</v>
      </c>
      <c r="AY465" s="31">
        <v>1.2272479821717752E-5</v>
      </c>
    </row>
    <row r="466" spans="31:51" x14ac:dyDescent="0.25">
      <c r="AE466">
        <v>3.2240000000000002</v>
      </c>
      <c r="AF466">
        <v>3</v>
      </c>
      <c r="AG466">
        <v>2</v>
      </c>
      <c r="AH466">
        <v>2</v>
      </c>
      <c r="AI466">
        <v>3.0000000000291038</v>
      </c>
      <c r="AJ466">
        <v>3.2242300000000004</v>
      </c>
      <c r="AK466">
        <v>3.2241300000000002</v>
      </c>
      <c r="AL466">
        <v>0</v>
      </c>
      <c r="AM466">
        <v>0</v>
      </c>
      <c r="AN466">
        <v>0</v>
      </c>
      <c r="AO466">
        <v>1.1191057765813639E-5</v>
      </c>
      <c r="AP466">
        <v>0</v>
      </c>
      <c r="AQ466">
        <v>0</v>
      </c>
      <c r="AR466" t="str">
        <v>32193r1.par</v>
      </c>
      <c r="AV466" t="str">
        <v>97,255,97</v>
      </c>
      <c r="AW466" s="31">
        <v>77.509999999999991</v>
      </c>
      <c r="AX466" s="31">
        <v>77.509988808942225</v>
      </c>
      <c r="AY466" s="31">
        <v>1.1191057765813639E-5</v>
      </c>
    </row>
    <row r="467" spans="31:51" x14ac:dyDescent="0.25">
      <c r="AE467">
        <v>3.2189999999999999</v>
      </c>
      <c r="AF467">
        <v>3</v>
      </c>
      <c r="AG467">
        <v>2</v>
      </c>
      <c r="AH467">
        <v>2</v>
      </c>
      <c r="AI467">
        <v>2.999999999992724</v>
      </c>
      <c r="AJ467">
        <v>3.21923</v>
      </c>
      <c r="AK467">
        <v>3.2191299999999998</v>
      </c>
      <c r="AL467">
        <v>0</v>
      </c>
      <c r="AM467">
        <v>0</v>
      </c>
      <c r="AN467">
        <v>0</v>
      </c>
      <c r="AO467">
        <v>0.65303757923710748</v>
      </c>
      <c r="AP467">
        <v>0</v>
      </c>
      <c r="AQ467">
        <v>0</v>
      </c>
      <c r="AR467" t="str">
        <v>1313.par</v>
      </c>
      <c r="AV467" t="str">
        <v>97,255,97</v>
      </c>
      <c r="AW467" s="31">
        <v>50.300000000000011</v>
      </c>
      <c r="AX467" s="31">
        <v>49.646962420762904</v>
      </c>
      <c r="AY467" s="31">
        <v>0.65303757923710748</v>
      </c>
    </row>
    <row r="468" spans="31:51" x14ac:dyDescent="0.25">
      <c r="AE468">
        <v>3.214</v>
      </c>
      <c r="AF468">
        <v>3</v>
      </c>
      <c r="AG468">
        <v>2</v>
      </c>
      <c r="AH468">
        <v>2</v>
      </c>
      <c r="AI468">
        <v>3.0000000000291038</v>
      </c>
      <c r="AJ468">
        <v>3.2142300000000001</v>
      </c>
      <c r="AK468">
        <v>3.2141299999999999</v>
      </c>
      <c r="AL468">
        <v>0</v>
      </c>
      <c r="AM468">
        <v>0</v>
      </c>
      <c r="AN468">
        <v>0</v>
      </c>
      <c r="AO468">
        <v>-0.63224692493988854</v>
      </c>
      <c r="AP468">
        <v>0</v>
      </c>
      <c r="AQ468">
        <v>0</v>
      </c>
      <c r="AR468" t="str">
        <v>1313.par</v>
      </c>
      <c r="AV468" t="str">
        <v>97,255,97</v>
      </c>
      <c r="AW468" s="31">
        <v>23.620000000000005</v>
      </c>
      <c r="AX468" s="31">
        <v>24.252246924939893</v>
      </c>
      <c r="AY468" s="31">
        <v>-0.63224692493988854</v>
      </c>
    </row>
    <row r="469" spans="31:51" x14ac:dyDescent="0.25">
      <c r="AE469">
        <v>3.2090000000000001</v>
      </c>
      <c r="AF469">
        <v>3</v>
      </c>
      <c r="AG469">
        <v>2</v>
      </c>
      <c r="AH469">
        <v>2</v>
      </c>
      <c r="AI469">
        <v>3.0000000000291038</v>
      </c>
      <c r="AJ469">
        <v>3.2092300000000002</v>
      </c>
      <c r="AK469">
        <v>3.20913</v>
      </c>
      <c r="AL469">
        <v>0</v>
      </c>
      <c r="AM469">
        <v>0</v>
      </c>
      <c r="AN469">
        <v>0</v>
      </c>
      <c r="AO469">
        <v>-2.6899999999999977</v>
      </c>
      <c r="AP469">
        <v>0</v>
      </c>
      <c r="AQ469">
        <v>0</v>
      </c>
      <c r="AR469" t="str">
        <v>32193r1.par</v>
      </c>
      <c r="AV469" t="str">
        <v>97,255,97</v>
      </c>
      <c r="AW469" s="31">
        <v>-2.6899999999999977</v>
      </c>
      <c r="AX469" s="31">
        <v>0</v>
      </c>
      <c r="AY469" s="31">
        <v>-2.6899999999999977</v>
      </c>
    </row>
    <row r="470" spans="31:51" x14ac:dyDescent="0.25">
      <c r="AE470">
        <v>3.129</v>
      </c>
      <c r="AF470">
        <v>3</v>
      </c>
      <c r="AG470">
        <v>1</v>
      </c>
      <c r="AH470">
        <v>2</v>
      </c>
      <c r="AI470">
        <v>3.0000000000291038</v>
      </c>
      <c r="AJ470">
        <v>3.1292300000000002</v>
      </c>
      <c r="AK470">
        <v>3.12913</v>
      </c>
      <c r="AL470">
        <v>0</v>
      </c>
      <c r="AM470">
        <v>0</v>
      </c>
      <c r="AN470">
        <v>0</v>
      </c>
      <c r="AO470">
        <v>4.0825451099834709E-2</v>
      </c>
      <c r="AP470">
        <v>0</v>
      </c>
      <c r="AQ470">
        <v>0</v>
      </c>
      <c r="AR470" t="str">
        <v>14513.par</v>
      </c>
      <c r="AV470" t="str">
        <v>0,204,0</v>
      </c>
      <c r="AW470" s="31">
        <v>85</v>
      </c>
      <c r="AX470" s="31">
        <v>84.959174548900165</v>
      </c>
      <c r="AY470" s="31">
        <v>4.0825451099834709E-2</v>
      </c>
    </row>
    <row r="471" spans="31:51" x14ac:dyDescent="0.25">
      <c r="AE471">
        <v>3.1240000000000001</v>
      </c>
      <c r="AF471">
        <v>3</v>
      </c>
      <c r="AG471">
        <v>1</v>
      </c>
      <c r="AH471">
        <v>2</v>
      </c>
      <c r="AI471">
        <v>3.0000000000291038</v>
      </c>
      <c r="AJ471">
        <v>3.1242300000000003</v>
      </c>
      <c r="AK471">
        <v>3.1241300000000001</v>
      </c>
      <c r="AL471">
        <v>0</v>
      </c>
      <c r="AM471">
        <v>0</v>
      </c>
      <c r="AN471">
        <v>0</v>
      </c>
      <c r="AO471">
        <v>2.6454441498011647</v>
      </c>
      <c r="AP471">
        <v>0</v>
      </c>
      <c r="AQ471">
        <v>0</v>
      </c>
      <c r="AR471" t="str">
        <v>14513.par</v>
      </c>
      <c r="AV471" t="str">
        <v>0,204,0</v>
      </c>
      <c r="AW471" s="31">
        <v>77.509999999999991</v>
      </c>
      <c r="AX471" s="31">
        <v>74.864555850198826</v>
      </c>
      <c r="AY471" s="31">
        <v>2.6454441498011647</v>
      </c>
    </row>
    <row r="472" spans="31:51" x14ac:dyDescent="0.25">
      <c r="AE472">
        <v>3.1190000000000002</v>
      </c>
      <c r="AF472">
        <v>3</v>
      </c>
      <c r="AG472">
        <v>1</v>
      </c>
      <c r="AH472">
        <v>2</v>
      </c>
      <c r="AI472">
        <v>3.0000000000291038</v>
      </c>
      <c r="AJ472">
        <v>3.1192300000000004</v>
      </c>
      <c r="AK472">
        <v>3.1191300000000002</v>
      </c>
      <c r="AL472">
        <v>0</v>
      </c>
      <c r="AM472">
        <v>0</v>
      </c>
      <c r="AN472">
        <v>0</v>
      </c>
      <c r="AO472">
        <v>0.76130065223181731</v>
      </c>
      <c r="AP472">
        <v>0</v>
      </c>
      <c r="AQ472">
        <v>0</v>
      </c>
      <c r="AR472" t="str">
        <v>14513.par</v>
      </c>
      <c r="AV472" t="str">
        <v>0,204,0</v>
      </c>
      <c r="AW472" s="31">
        <v>50.300000000000011</v>
      </c>
      <c r="AX472" s="31">
        <v>49.538699347768194</v>
      </c>
      <c r="AY472" s="31">
        <v>0.76130065223181731</v>
      </c>
    </row>
    <row r="473" spans="31:51" x14ac:dyDescent="0.25">
      <c r="AE473">
        <v>3.1139999999999999</v>
      </c>
      <c r="AF473">
        <v>3</v>
      </c>
      <c r="AG473">
        <v>1</v>
      </c>
      <c r="AH473">
        <v>2</v>
      </c>
      <c r="AI473">
        <v>2.999999999992724</v>
      </c>
      <c r="AJ473">
        <v>3.1142300000000001</v>
      </c>
      <c r="AK473">
        <v>3.1141299999999998</v>
      </c>
      <c r="AL473">
        <v>0</v>
      </c>
      <c r="AM473">
        <v>0</v>
      </c>
      <c r="AN473">
        <v>0</v>
      </c>
      <c r="AO473">
        <v>-0.37940461853218466</v>
      </c>
      <c r="AP473">
        <v>0</v>
      </c>
      <c r="AQ473">
        <v>0</v>
      </c>
      <c r="AR473" t="str">
        <v>14513.par</v>
      </c>
      <c r="AV473" t="str">
        <v>0,204,0</v>
      </c>
      <c r="AW473" s="31">
        <v>23.620000000000005</v>
      </c>
      <c r="AX473" s="31">
        <v>23.999404618532189</v>
      </c>
      <c r="AY473" s="31">
        <v>-0.37940461853218466</v>
      </c>
    </row>
    <row r="474" spans="31:51" x14ac:dyDescent="0.25">
      <c r="AE474">
        <v>3.109</v>
      </c>
      <c r="AF474">
        <v>3</v>
      </c>
      <c r="AG474">
        <v>1</v>
      </c>
      <c r="AH474">
        <v>2</v>
      </c>
      <c r="AI474">
        <v>3.0000000000291038</v>
      </c>
      <c r="AJ474">
        <v>3.1092300000000002</v>
      </c>
      <c r="AK474">
        <v>3.1091299999999999</v>
      </c>
      <c r="AL474">
        <v>0</v>
      </c>
      <c r="AM474">
        <v>0</v>
      </c>
      <c r="AN474">
        <v>0</v>
      </c>
      <c r="AO474">
        <v>-0.73751755458939305</v>
      </c>
      <c r="AP474">
        <v>0</v>
      </c>
      <c r="AQ474">
        <v>0</v>
      </c>
      <c r="AR474" t="str">
        <v>14513.par</v>
      </c>
      <c r="AV474" t="str">
        <v>0,204,0</v>
      </c>
      <c r="AW474" s="31">
        <v>-2.6899999999999977</v>
      </c>
      <c r="AX474" s="31">
        <v>-1.9524824454106047</v>
      </c>
      <c r="AY474" s="31">
        <v>-0.73751755458939305</v>
      </c>
    </row>
    <row r="475" spans="31:51" x14ac:dyDescent="0.25">
      <c r="AE475">
        <v>3.1059999999999999</v>
      </c>
      <c r="AF475">
        <v>3</v>
      </c>
      <c r="AG475">
        <v>1</v>
      </c>
      <c r="AH475">
        <v>2</v>
      </c>
      <c r="AI475">
        <v>2.999999999992724</v>
      </c>
      <c r="AJ475">
        <v>3.10623</v>
      </c>
      <c r="AK475">
        <v>3.1061299999999998</v>
      </c>
      <c r="AL475">
        <v>0</v>
      </c>
      <c r="AM475">
        <v>0</v>
      </c>
      <c r="AN475">
        <v>0</v>
      </c>
      <c r="AO475">
        <v>-4.1247111440417523</v>
      </c>
      <c r="AP475">
        <v>0</v>
      </c>
      <c r="AQ475">
        <v>0</v>
      </c>
      <c r="AR475" t="str">
        <v>14513.par</v>
      </c>
      <c r="AV475" t="str">
        <v>0,204,0</v>
      </c>
      <c r="AW475" s="31">
        <v>-10</v>
      </c>
      <c r="AX475" s="31">
        <v>-5.8752888559582477</v>
      </c>
      <c r="AY475" s="31">
        <v>-4.1247111440417523</v>
      </c>
    </row>
    <row r="476" spans="31:51" x14ac:dyDescent="0.25">
      <c r="AE476">
        <v>3.1030000000000002</v>
      </c>
      <c r="AF476">
        <v>3</v>
      </c>
      <c r="AG476">
        <v>1</v>
      </c>
      <c r="AH476">
        <v>2</v>
      </c>
      <c r="AI476">
        <v>3.0000000000291038</v>
      </c>
      <c r="AJ476">
        <v>3.1032300000000004</v>
      </c>
      <c r="AK476">
        <v>3.1031300000000002</v>
      </c>
      <c r="AL476">
        <v>0</v>
      </c>
      <c r="AM476">
        <v>0</v>
      </c>
      <c r="AN476">
        <v>0</v>
      </c>
      <c r="AO476">
        <v>0.62485016312631636</v>
      </c>
      <c r="AP476">
        <v>0</v>
      </c>
      <c r="AQ476">
        <v>0</v>
      </c>
      <c r="AR476" t="str">
        <v>14513.par</v>
      </c>
      <c r="AV476" t="str">
        <v>0,204,0</v>
      </c>
      <c r="AW476" s="31">
        <v>-10</v>
      </c>
      <c r="AX476" s="31">
        <v>-10.624850163126316</v>
      </c>
      <c r="AY476" s="31">
        <v>0.62485016312631636</v>
      </c>
    </row>
    <row r="477" spans="31:51" x14ac:dyDescent="0.25">
      <c r="AE477">
        <v>2.23</v>
      </c>
      <c r="AF477">
        <v>2</v>
      </c>
      <c r="AG477">
        <v>2</v>
      </c>
      <c r="AH477">
        <v>2</v>
      </c>
      <c r="AI477">
        <v>3.0000000000291038</v>
      </c>
      <c r="AJ477">
        <v>2.2302300000000002</v>
      </c>
      <c r="AK477">
        <v>2.2301299999999999</v>
      </c>
      <c r="AL477">
        <v>0</v>
      </c>
      <c r="AM477">
        <v>0</v>
      </c>
      <c r="AN477">
        <v>0</v>
      </c>
      <c r="AO477">
        <v>1.2272479821717752E-5</v>
      </c>
      <c r="AP477">
        <v>0</v>
      </c>
      <c r="AQ477">
        <v>0</v>
      </c>
      <c r="AR477" t="str">
        <v>32193r1.par</v>
      </c>
      <c r="AV477" t="str">
        <v>255,255,91</v>
      </c>
      <c r="AW477" s="31">
        <v>85</v>
      </c>
      <c r="AX477" s="31">
        <v>84.999987727520178</v>
      </c>
      <c r="AY477" s="31">
        <v>1.2272479821717752E-5</v>
      </c>
    </row>
    <row r="478" spans="31:51" x14ac:dyDescent="0.25">
      <c r="AE478">
        <v>2.2250000000000001</v>
      </c>
      <c r="AF478">
        <v>2</v>
      </c>
      <c r="AG478">
        <v>2</v>
      </c>
      <c r="AH478">
        <v>2</v>
      </c>
      <c r="AI478">
        <v>3.0000000000291038</v>
      </c>
      <c r="AJ478">
        <v>2.2252300000000003</v>
      </c>
      <c r="AK478">
        <v>2.2251300000000001</v>
      </c>
      <c r="AL478">
        <v>0</v>
      </c>
      <c r="AM478">
        <v>0</v>
      </c>
      <c r="AN478">
        <v>0</v>
      </c>
      <c r="AO478">
        <v>1.1982271743704587E-5</v>
      </c>
      <c r="AP478">
        <v>0</v>
      </c>
      <c r="AQ478">
        <v>0</v>
      </c>
      <c r="AR478" t="str">
        <v>32193r1.par</v>
      </c>
      <c r="AV478" t="str">
        <v>255,255,91</v>
      </c>
      <c r="AW478" s="31">
        <v>82.990000000000009</v>
      </c>
      <c r="AX478" s="31">
        <v>82.989988017728265</v>
      </c>
      <c r="AY478" s="31">
        <v>1.1982271743704587E-5</v>
      </c>
    </row>
    <row r="479" spans="31:51" x14ac:dyDescent="0.25">
      <c r="AE479">
        <v>2.2200000000000002</v>
      </c>
      <c r="AF479">
        <v>2</v>
      </c>
      <c r="AG479">
        <v>2</v>
      </c>
      <c r="AH479">
        <v>2</v>
      </c>
      <c r="AI479">
        <v>3.0000000000291038</v>
      </c>
      <c r="AJ479">
        <v>2.2202300000000004</v>
      </c>
      <c r="AK479">
        <v>2.2201300000000002</v>
      </c>
      <c r="AL479">
        <v>0</v>
      </c>
      <c r="AM479">
        <v>0</v>
      </c>
      <c r="AN479">
        <v>0</v>
      </c>
      <c r="AO479">
        <v>0.99418862048218415</v>
      </c>
      <c r="AP479">
        <v>0</v>
      </c>
      <c r="AQ479">
        <v>0</v>
      </c>
      <c r="AR479" t="str">
        <v>1313.par</v>
      </c>
      <c r="AV479" t="str">
        <v>255,255,91</v>
      </c>
      <c r="AW479" s="31">
        <v>55.699999999999989</v>
      </c>
      <c r="AX479" s="31">
        <v>54.705811379517804</v>
      </c>
      <c r="AY479" s="31">
        <v>0.99418862048218415</v>
      </c>
    </row>
    <row r="480" spans="31:51" x14ac:dyDescent="0.25">
      <c r="AE480">
        <v>2.2149999999999999</v>
      </c>
      <c r="AF480">
        <v>2</v>
      </c>
      <c r="AG480">
        <v>2</v>
      </c>
      <c r="AH480">
        <v>2</v>
      </c>
      <c r="AI480">
        <v>2.999999999992724</v>
      </c>
      <c r="AJ480">
        <v>2.21523</v>
      </c>
      <c r="AK480">
        <v>2.2151299999999998</v>
      </c>
      <c r="AL480">
        <v>0</v>
      </c>
      <c r="AM480">
        <v>0</v>
      </c>
      <c r="AN480">
        <v>0</v>
      </c>
      <c r="AO480">
        <v>-0.42734636051760333</v>
      </c>
      <c r="AP480">
        <v>0</v>
      </c>
      <c r="AQ480">
        <v>0</v>
      </c>
      <c r="AR480" t="str">
        <v>1313.par</v>
      </c>
      <c r="AV480" t="str">
        <v>255,255,91</v>
      </c>
      <c r="AW480" s="31">
        <v>28.92</v>
      </c>
      <c r="AX480" s="31">
        <v>29.347346360517605</v>
      </c>
      <c r="AY480" s="31">
        <v>-0.42734636051760333</v>
      </c>
    </row>
    <row r="481" spans="31:51" x14ac:dyDescent="0.25">
      <c r="AE481">
        <v>2.13</v>
      </c>
      <c r="AF481">
        <v>2</v>
      </c>
      <c r="AG481">
        <v>1</v>
      </c>
      <c r="AH481">
        <v>2</v>
      </c>
      <c r="AI481">
        <v>2.999999999992724</v>
      </c>
      <c r="AJ481">
        <v>2.1302300000000001</v>
      </c>
      <c r="AK481">
        <v>2.1301299999999999</v>
      </c>
      <c r="AL481">
        <v>0</v>
      </c>
      <c r="AM481">
        <v>0</v>
      </c>
      <c r="AN481">
        <v>0</v>
      </c>
      <c r="AO481">
        <v>4.0825451099934185E-2</v>
      </c>
      <c r="AP481">
        <v>0</v>
      </c>
      <c r="AQ481">
        <v>0</v>
      </c>
      <c r="AR481" t="str">
        <v>14513.par</v>
      </c>
      <c r="AV481" t="str">
        <v>204,204,0</v>
      </c>
      <c r="AW481" s="31">
        <v>85</v>
      </c>
      <c r="AX481" s="31">
        <v>84.959174548900066</v>
      </c>
      <c r="AY481" s="31">
        <v>4.0825451099934185E-2</v>
      </c>
    </row>
    <row r="482" spans="31:51" x14ac:dyDescent="0.25">
      <c r="AE482">
        <v>2.125</v>
      </c>
      <c r="AF482">
        <v>2</v>
      </c>
      <c r="AG482">
        <v>1</v>
      </c>
      <c r="AH482">
        <v>2</v>
      </c>
      <c r="AI482">
        <v>3.0000000000291038</v>
      </c>
      <c r="AJ482">
        <v>2.1252300000000002</v>
      </c>
      <c r="AK482">
        <v>2.12513</v>
      </c>
      <c r="AL482">
        <v>0</v>
      </c>
      <c r="AM482">
        <v>0</v>
      </c>
      <c r="AN482">
        <v>0</v>
      </c>
      <c r="AO482">
        <v>3.0763442627137891</v>
      </c>
      <c r="AP482">
        <v>0</v>
      </c>
      <c r="AQ482">
        <v>0</v>
      </c>
      <c r="AR482" t="str">
        <v>14513.par</v>
      </c>
      <c r="AV482" t="str">
        <v>204,204,0</v>
      </c>
      <c r="AW482" s="31">
        <v>82.990000000000009</v>
      </c>
      <c r="AX482" s="31">
        <v>79.91365573728622</v>
      </c>
      <c r="AY482" s="31">
        <v>3.0763442627137891</v>
      </c>
    </row>
    <row r="483" spans="31:51" x14ac:dyDescent="0.25">
      <c r="AE483">
        <v>2.12</v>
      </c>
      <c r="AF483">
        <v>2</v>
      </c>
      <c r="AG483">
        <v>1</v>
      </c>
      <c r="AH483">
        <v>2</v>
      </c>
      <c r="AI483">
        <v>3.0000000000291038</v>
      </c>
      <c r="AJ483">
        <v>2.1202300000000003</v>
      </c>
      <c r="AK483">
        <v>2.1201300000000001</v>
      </c>
      <c r="AL483">
        <v>0</v>
      </c>
      <c r="AM483">
        <v>0</v>
      </c>
      <c r="AN483">
        <v>0</v>
      </c>
      <c r="AO483">
        <v>1.0831730688730445</v>
      </c>
      <c r="AP483">
        <v>0</v>
      </c>
      <c r="AQ483">
        <v>0</v>
      </c>
      <c r="AR483" t="str">
        <v>14513.par</v>
      </c>
      <c r="AV483" t="str">
        <v>204,204,0</v>
      </c>
      <c r="AW483" s="31">
        <v>55.699999999999989</v>
      </c>
      <c r="AX483" s="31">
        <v>54.616826931126944</v>
      </c>
      <c r="AY483" s="31">
        <v>1.0831730688730445</v>
      </c>
    </row>
    <row r="484" spans="31:51" x14ac:dyDescent="0.25">
      <c r="AE484">
        <v>2.1150000000000002</v>
      </c>
      <c r="AF484">
        <v>2</v>
      </c>
      <c r="AG484">
        <v>1</v>
      </c>
      <c r="AH484">
        <v>2</v>
      </c>
      <c r="AI484">
        <v>3.0000000000291038</v>
      </c>
      <c r="AJ484">
        <v>2.1152300000000004</v>
      </c>
      <c r="AK484">
        <v>2.1151300000000002</v>
      </c>
      <c r="AL484">
        <v>0</v>
      </c>
      <c r="AM484">
        <v>0</v>
      </c>
      <c r="AN484">
        <v>0</v>
      </c>
      <c r="AO484">
        <v>-0.21184769798292891</v>
      </c>
      <c r="AP484">
        <v>0</v>
      </c>
      <c r="AQ484">
        <v>0</v>
      </c>
      <c r="AR484" t="str">
        <v>14513.par</v>
      </c>
      <c r="AV484" t="str">
        <v>204,204,0</v>
      </c>
      <c r="AW484" s="31">
        <v>28.92</v>
      </c>
      <c r="AX484" s="31">
        <v>29.131847697982931</v>
      </c>
      <c r="AY484" s="31">
        <v>-0.21184769798292891</v>
      </c>
    </row>
    <row r="485" spans="31:51" x14ac:dyDescent="0.25">
      <c r="AE485">
        <v>2.11</v>
      </c>
      <c r="AF485">
        <v>2</v>
      </c>
      <c r="AG485">
        <v>1</v>
      </c>
      <c r="AH485">
        <v>2</v>
      </c>
      <c r="AI485">
        <v>2.999999999992724</v>
      </c>
      <c r="AJ485">
        <v>2.1102300000000001</v>
      </c>
      <c r="AK485">
        <v>2.1101299999999998</v>
      </c>
      <c r="AL485">
        <v>0</v>
      </c>
      <c r="AM485">
        <v>0</v>
      </c>
      <c r="AN485">
        <v>0</v>
      </c>
      <c r="AO485">
        <v>-0.72569489976195412</v>
      </c>
      <c r="AP485">
        <v>0</v>
      </c>
      <c r="AQ485">
        <v>0</v>
      </c>
      <c r="AR485" t="str">
        <v>14513.par</v>
      </c>
      <c r="AV485" t="str">
        <v>204,204,0</v>
      </c>
      <c r="AW485" s="31">
        <v>2.5600000000000023</v>
      </c>
      <c r="AX485" s="31">
        <v>3.2856948997619564</v>
      </c>
      <c r="AY485" s="31">
        <v>-0.72569489976195412</v>
      </c>
    </row>
    <row r="486" spans="31:51" x14ac:dyDescent="0.25">
      <c r="AE486">
        <v>1.2310000000000001</v>
      </c>
      <c r="AF486">
        <v>1</v>
      </c>
      <c r="AG486">
        <v>2</v>
      </c>
      <c r="AH486">
        <v>2</v>
      </c>
      <c r="AI486">
        <v>3.0000000000109139</v>
      </c>
      <c r="AJ486">
        <v>1.23123</v>
      </c>
      <c r="AK486">
        <v>1.2311300000000001</v>
      </c>
      <c r="AL486">
        <v>0</v>
      </c>
      <c r="AM486">
        <v>0</v>
      </c>
      <c r="AN486">
        <v>0</v>
      </c>
      <c r="AO486">
        <v>1.2272479821717752E-5</v>
      </c>
      <c r="AP486">
        <v>0</v>
      </c>
      <c r="AQ486">
        <v>0</v>
      </c>
      <c r="AR486" t="str">
        <v>32193r1.par</v>
      </c>
      <c r="AV486" t="str">
        <v>255,188,121</v>
      </c>
      <c r="AW486" s="31">
        <v>85</v>
      </c>
      <c r="AX486" s="31">
        <v>84.999987727520178</v>
      </c>
      <c r="AY486" s="31">
        <v>1.2272479821717752E-5</v>
      </c>
    </row>
    <row r="487" spans="31:51" x14ac:dyDescent="0.25">
      <c r="AE487">
        <v>1.226</v>
      </c>
      <c r="AF487">
        <v>1</v>
      </c>
      <c r="AG487">
        <v>2</v>
      </c>
      <c r="AH487">
        <v>2</v>
      </c>
      <c r="AI487">
        <v>2.999999999992724</v>
      </c>
      <c r="AJ487">
        <v>1.2262299999999999</v>
      </c>
      <c r="AK487">
        <v>1.2261299999999999</v>
      </c>
      <c r="AL487">
        <v>0</v>
      </c>
      <c r="AM487">
        <v>0</v>
      </c>
      <c r="AN487">
        <v>0</v>
      </c>
      <c r="AO487">
        <v>1.2272479807506897E-5</v>
      </c>
      <c r="AP487">
        <v>0</v>
      </c>
      <c r="AQ487">
        <v>0</v>
      </c>
      <c r="AR487" t="str">
        <v>32193r1.par</v>
      </c>
      <c r="AV487" t="str">
        <v>255,188,121</v>
      </c>
      <c r="AW487" s="31">
        <v>85</v>
      </c>
      <c r="AX487" s="31">
        <v>84.999987727520192</v>
      </c>
      <c r="AY487" s="31">
        <v>1.2272479807506897E-5</v>
      </c>
    </row>
    <row r="488" spans="31:51" x14ac:dyDescent="0.25">
      <c r="AE488">
        <v>1.2210000000000001</v>
      </c>
      <c r="AF488">
        <v>1</v>
      </c>
      <c r="AG488">
        <v>2</v>
      </c>
      <c r="AH488">
        <v>2</v>
      </c>
      <c r="AI488">
        <v>3.0000000000109139</v>
      </c>
      <c r="AJ488">
        <v>1.22123</v>
      </c>
      <c r="AK488">
        <v>1.22113</v>
      </c>
      <c r="AL488">
        <v>0</v>
      </c>
      <c r="AM488">
        <v>0</v>
      </c>
      <c r="AN488">
        <v>0</v>
      </c>
      <c r="AO488">
        <v>1.3704430025938024</v>
      </c>
      <c r="AP488">
        <v>0</v>
      </c>
      <c r="AQ488">
        <v>0</v>
      </c>
      <c r="AR488" t="str">
        <v>1313.par</v>
      </c>
      <c r="AV488" t="str">
        <v>255,188,121</v>
      </c>
      <c r="AW488" s="31">
        <v>61.129999999999995</v>
      </c>
      <c r="AX488" s="31">
        <v>59.759556997406193</v>
      </c>
      <c r="AY488" s="31">
        <v>1.3704430025938024</v>
      </c>
    </row>
    <row r="489" spans="31:51" x14ac:dyDescent="0.25">
      <c r="AE489">
        <v>1.216</v>
      </c>
      <c r="AF489">
        <v>1</v>
      </c>
      <c r="AG489">
        <v>2</v>
      </c>
      <c r="AH489">
        <v>2</v>
      </c>
      <c r="AI489">
        <v>2.999999999992724</v>
      </c>
      <c r="AJ489">
        <v>1.2162299999999999</v>
      </c>
      <c r="AK489">
        <v>1.2161299999999999</v>
      </c>
      <c r="AL489">
        <v>0</v>
      </c>
      <c r="AM489">
        <v>0</v>
      </c>
      <c r="AN489">
        <v>0</v>
      </c>
      <c r="AO489">
        <v>-0.20342993789448371</v>
      </c>
      <c r="AP489">
        <v>0</v>
      </c>
      <c r="AQ489">
        <v>0</v>
      </c>
      <c r="AR489" t="str">
        <v>1313.par</v>
      </c>
      <c r="AV489" t="str">
        <v>255,188,121</v>
      </c>
      <c r="AW489" s="31">
        <v>34.230000000000004</v>
      </c>
      <c r="AX489" s="31">
        <v>34.433429937894488</v>
      </c>
      <c r="AY489" s="31">
        <v>-0.20342993789448371</v>
      </c>
    </row>
    <row r="490" spans="31:51" x14ac:dyDescent="0.25">
      <c r="AE490">
        <v>1.2110000000000001</v>
      </c>
      <c r="AF490">
        <v>1</v>
      </c>
      <c r="AG490">
        <v>2</v>
      </c>
      <c r="AH490">
        <v>2</v>
      </c>
      <c r="AI490">
        <v>3.0000000000109139</v>
      </c>
      <c r="AJ490">
        <v>1.21123</v>
      </c>
      <c r="AK490">
        <v>1.21113</v>
      </c>
      <c r="AL490">
        <v>0</v>
      </c>
      <c r="AM490">
        <v>0</v>
      </c>
      <c r="AN490">
        <v>0</v>
      </c>
      <c r="AO490">
        <v>-1.0817554788769481</v>
      </c>
      <c r="AP490">
        <v>0</v>
      </c>
      <c r="AQ490">
        <v>0</v>
      </c>
      <c r="AR490" t="str">
        <v>1313.par</v>
      </c>
      <c r="AV490" t="str">
        <v>255,188,121</v>
      </c>
      <c r="AW490" s="31">
        <v>7.8199999999999932</v>
      </c>
      <c r="AX490" s="31">
        <v>8.9017554788769413</v>
      </c>
      <c r="AY490" s="31">
        <v>-1.0817554788769481</v>
      </c>
    </row>
    <row r="491" spans="31:51" x14ac:dyDescent="0.25">
      <c r="AE491">
        <v>1.2070000000000001</v>
      </c>
      <c r="AF491">
        <v>1</v>
      </c>
      <c r="AG491">
        <v>2</v>
      </c>
      <c r="AH491">
        <v>2</v>
      </c>
      <c r="AI491">
        <v>3.0000000000109139</v>
      </c>
      <c r="AJ491">
        <v>1.20723</v>
      </c>
      <c r="AK491">
        <v>1.20713</v>
      </c>
      <c r="AL491">
        <v>0</v>
      </c>
      <c r="AM491">
        <v>0</v>
      </c>
      <c r="AN491">
        <v>0</v>
      </c>
      <c r="AO491">
        <v>-14.000000866292694</v>
      </c>
      <c r="AP491">
        <v>0</v>
      </c>
      <c r="AQ491">
        <v>0</v>
      </c>
      <c r="AR491" t="str">
        <v>32193r1.par</v>
      </c>
      <c r="AV491" t="str">
        <v>255,188,121</v>
      </c>
      <c r="AW491" s="31">
        <v>-20</v>
      </c>
      <c r="AX491" s="31">
        <v>-5.9999991337073064</v>
      </c>
      <c r="AY491" s="31">
        <v>-14.000000866292694</v>
      </c>
    </row>
    <row r="492" spans="31:51" x14ac:dyDescent="0.25">
      <c r="AE492">
        <v>1.131</v>
      </c>
      <c r="AF492">
        <v>1</v>
      </c>
      <c r="AG492">
        <v>1</v>
      </c>
      <c r="AH492">
        <v>2</v>
      </c>
      <c r="AI492">
        <v>2.999999999992724</v>
      </c>
      <c r="AJ492">
        <v>1.13123</v>
      </c>
      <c r="AK492">
        <v>1.13113</v>
      </c>
      <c r="AL492">
        <v>0</v>
      </c>
      <c r="AM492">
        <v>0</v>
      </c>
      <c r="AN492">
        <v>0</v>
      </c>
      <c r="AO492">
        <v>4.0825451099891552E-2</v>
      </c>
      <c r="AP492">
        <v>0</v>
      </c>
      <c r="AQ492">
        <v>0</v>
      </c>
      <c r="AR492" t="str">
        <v>14513.par</v>
      </c>
      <c r="AV492" t="str">
        <v>255,127,0</v>
      </c>
      <c r="AW492" s="31">
        <v>85</v>
      </c>
      <c r="AX492" s="31">
        <v>84.959174548900108</v>
      </c>
      <c r="AY492" s="31">
        <v>4.0825451099891552E-2</v>
      </c>
    </row>
    <row r="493" spans="31:51" x14ac:dyDescent="0.25">
      <c r="AE493">
        <v>1.1259999999999999</v>
      </c>
      <c r="AF493">
        <v>1</v>
      </c>
      <c r="AG493">
        <v>1</v>
      </c>
      <c r="AH493">
        <v>2</v>
      </c>
      <c r="AI493">
        <v>2.999999999992724</v>
      </c>
      <c r="AJ493">
        <v>1.1262299999999998</v>
      </c>
      <c r="AK493">
        <v>1.1261299999999999</v>
      </c>
      <c r="AL493">
        <v>0</v>
      </c>
      <c r="AM493">
        <v>0</v>
      </c>
      <c r="AN493">
        <v>0</v>
      </c>
      <c r="AO493">
        <v>4.1337703260154512E-2</v>
      </c>
      <c r="AP493">
        <v>0</v>
      </c>
      <c r="AQ493">
        <v>0</v>
      </c>
      <c r="AR493" t="str">
        <v>14513.par</v>
      </c>
      <c r="AV493" t="str">
        <v>255,127,0</v>
      </c>
      <c r="AW493" s="31">
        <v>85</v>
      </c>
      <c r="AX493" s="31">
        <v>84.958662296739845</v>
      </c>
      <c r="AY493" s="31">
        <v>4.1337703260154512E-2</v>
      </c>
    </row>
    <row r="494" spans="31:51" x14ac:dyDescent="0.25">
      <c r="AE494">
        <v>1.121</v>
      </c>
      <c r="AF494">
        <v>1</v>
      </c>
      <c r="AG494">
        <v>1</v>
      </c>
      <c r="AH494">
        <v>2</v>
      </c>
      <c r="AI494">
        <v>2.999999999992724</v>
      </c>
      <c r="AJ494">
        <v>1.1212299999999999</v>
      </c>
      <c r="AK494">
        <v>1.12113</v>
      </c>
      <c r="AL494">
        <v>0</v>
      </c>
      <c r="AM494">
        <v>0</v>
      </c>
      <c r="AN494">
        <v>0</v>
      </c>
      <c r="AO494">
        <v>1.4422992178356182</v>
      </c>
      <c r="AP494">
        <v>0</v>
      </c>
      <c r="AQ494">
        <v>0</v>
      </c>
      <c r="AR494" t="str">
        <v>14513.par</v>
      </c>
      <c r="AV494" t="str">
        <v>255,127,0</v>
      </c>
      <c r="AW494" s="31">
        <v>61.129999999999995</v>
      </c>
      <c r="AX494" s="31">
        <v>59.687700782164377</v>
      </c>
      <c r="AY494" s="31">
        <v>1.4422992178356182</v>
      </c>
    </row>
    <row r="495" spans="31:51" x14ac:dyDescent="0.25">
      <c r="AE495">
        <v>1.1160000000000001</v>
      </c>
      <c r="AF495">
        <v>1</v>
      </c>
      <c r="AG495">
        <v>1</v>
      </c>
      <c r="AH495">
        <v>2</v>
      </c>
      <c r="AI495">
        <v>3.0000000000109139</v>
      </c>
      <c r="AJ495">
        <v>1.1162300000000001</v>
      </c>
      <c r="AK495">
        <v>1.1161300000000001</v>
      </c>
      <c r="AL495">
        <v>0</v>
      </c>
      <c r="AM495">
        <v>0</v>
      </c>
      <c r="AN495">
        <v>0</v>
      </c>
      <c r="AO495">
        <v>-2.0341265000475062E-2</v>
      </c>
      <c r="AP495">
        <v>0</v>
      </c>
      <c r="AQ495">
        <v>0</v>
      </c>
      <c r="AR495" t="str">
        <v>14513.par</v>
      </c>
      <c r="AV495" t="str">
        <v>255,127,0</v>
      </c>
      <c r="AW495" s="31">
        <v>34.230000000000004</v>
      </c>
      <c r="AX495" s="31">
        <v>34.250341265000479</v>
      </c>
      <c r="AY495" s="31">
        <v>-2.0341265000475062E-2</v>
      </c>
    </row>
    <row r="496" spans="31:51" x14ac:dyDescent="0.25">
      <c r="AE496">
        <v>1.111</v>
      </c>
      <c r="AF496">
        <v>1</v>
      </c>
      <c r="AG496">
        <v>1</v>
      </c>
      <c r="AH496">
        <v>2</v>
      </c>
      <c r="AI496">
        <v>2.999999999992724</v>
      </c>
      <c r="AJ496">
        <v>1.1112299999999999</v>
      </c>
      <c r="AK496">
        <v>1.11113</v>
      </c>
      <c r="AL496">
        <v>0</v>
      </c>
      <c r="AM496">
        <v>0</v>
      </c>
      <c r="AN496">
        <v>0</v>
      </c>
      <c r="AO496">
        <v>-0.67692801528924562</v>
      </c>
      <c r="AP496">
        <v>0</v>
      </c>
      <c r="AQ496">
        <v>0</v>
      </c>
      <c r="AR496" t="str">
        <v>14513.par</v>
      </c>
      <c r="AV496" t="str">
        <v>255,127,0</v>
      </c>
      <c r="AW496" s="31">
        <v>7.8199999999999932</v>
      </c>
      <c r="AX496" s="31">
        <v>8.4969280152892388</v>
      </c>
      <c r="AY496" s="31">
        <v>-0.67692801528924562</v>
      </c>
    </row>
    <row r="497" spans="31:51" x14ac:dyDescent="0.25">
      <c r="AE497">
        <v>1.107</v>
      </c>
      <c r="AF497">
        <v>1</v>
      </c>
      <c r="AG497">
        <v>1</v>
      </c>
      <c r="AH497">
        <v>2</v>
      </c>
      <c r="AI497">
        <v>2.999999999992724</v>
      </c>
      <c r="AJ497">
        <v>1.1072299999999999</v>
      </c>
      <c r="AK497">
        <v>1.1071299999999999</v>
      </c>
      <c r="AL497">
        <v>0</v>
      </c>
      <c r="AM497">
        <v>0</v>
      </c>
      <c r="AN497">
        <v>0</v>
      </c>
      <c r="AO497">
        <v>-15.506643042556151</v>
      </c>
      <c r="AP497">
        <v>0</v>
      </c>
      <c r="AQ497">
        <v>0</v>
      </c>
      <c r="AR497" t="str">
        <v>14513.par</v>
      </c>
      <c r="AV497" t="str">
        <v>255,127,0</v>
      </c>
      <c r="AW497" s="31">
        <v>-20</v>
      </c>
      <c r="AX497" s="31">
        <v>-4.493356957443849</v>
      </c>
      <c r="AY497" s="31">
        <v>-15.506643042556151</v>
      </c>
    </row>
    <row r="498" spans="31:51" x14ac:dyDescent="0.25">
      <c r="AE498">
        <v>1.1040000000000001</v>
      </c>
      <c r="AF498">
        <v>1</v>
      </c>
      <c r="AG498">
        <v>1</v>
      </c>
      <c r="AH498">
        <v>2</v>
      </c>
      <c r="AI498">
        <v>3.0000000000109139</v>
      </c>
      <c r="AJ498">
        <v>1.10423</v>
      </c>
      <c r="AK498">
        <v>1.1041300000000001</v>
      </c>
      <c r="AL498">
        <v>0</v>
      </c>
      <c r="AM498">
        <v>0</v>
      </c>
      <c r="AN498">
        <v>0</v>
      </c>
      <c r="AO498">
        <v>-1.1432698650641751</v>
      </c>
      <c r="AP498">
        <v>0</v>
      </c>
      <c r="AQ498">
        <v>0</v>
      </c>
      <c r="AR498" t="str">
        <v>14513.par</v>
      </c>
      <c r="AV498" t="str">
        <v>255,127,0</v>
      </c>
      <c r="AW498" s="31">
        <v>-10</v>
      </c>
      <c r="AX498" s="31">
        <v>-8.8567301349358249</v>
      </c>
      <c r="AY498" s="31">
        <v>-1.1432698650641751</v>
      </c>
    </row>
    <row r="499" spans="31:51" x14ac:dyDescent="0.25">
      <c r="AE499">
        <v>1.101</v>
      </c>
      <c r="AF499">
        <v>1</v>
      </c>
      <c r="AG499">
        <v>1</v>
      </c>
      <c r="AH499">
        <v>2</v>
      </c>
      <c r="AI499">
        <v>2.999999999992724</v>
      </c>
      <c r="AJ499">
        <v>1.1012299999999999</v>
      </c>
      <c r="AK499">
        <v>1.1011299999999999</v>
      </c>
      <c r="AL499">
        <v>0</v>
      </c>
      <c r="AM499">
        <v>0</v>
      </c>
      <c r="AN499">
        <v>0</v>
      </c>
      <c r="AO499">
        <v>5.9660121671471522</v>
      </c>
      <c r="AP499">
        <v>0</v>
      </c>
      <c r="AQ499">
        <v>0</v>
      </c>
      <c r="AR499" t="str">
        <v>14513.par</v>
      </c>
      <c r="AV499" t="str">
        <v>255,127,0</v>
      </c>
      <c r="AW499" s="31">
        <v>-10</v>
      </c>
      <c r="AX499" s="31">
        <v>-15.966012167147152</v>
      </c>
      <c r="AY499" s="31">
        <v>5.9660121671471522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72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72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72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72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72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72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72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72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72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72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72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72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72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72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72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72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72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72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72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72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72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72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72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72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72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72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72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72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72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72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72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72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72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72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72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72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72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72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72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72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72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72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72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72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72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72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72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72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72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72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72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72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72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72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72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72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72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72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72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72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72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72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72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72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72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72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72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72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72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72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72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72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72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72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72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72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72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72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72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72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71" t="str">
        <f>CONCATENATE(Settings!$C$19," ",Settings!$B$28)</f>
        <v>7.875 7182r00</v>
      </c>
      <c r="D1" s="1271"/>
      <c r="E1" s="1271"/>
      <c r="F1" s="1271"/>
      <c r="G1" s="1271"/>
      <c r="H1" s="1271"/>
      <c r="I1" s="1271"/>
      <c r="J1" s="1271"/>
      <c r="K1" s="1271"/>
      <c r="M1" s="103" t="s">
        <v>310</v>
      </c>
      <c r="N1" s="1389" t="s">
        <v>312</v>
      </c>
      <c r="O1" s="138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8" t="str">
        <f>Settings!B28</f>
        <v>7182r00</v>
      </c>
      <c r="C2" s="1399"/>
      <c r="D2" s="1399"/>
      <c r="E2" s="1399"/>
      <c r="F2" s="1399"/>
      <c r="G2" s="1399"/>
      <c r="H2" s="1399"/>
      <c r="I2" s="1399"/>
      <c r="J2" s="1399"/>
      <c r="K2" s="1400"/>
      <c r="L2" s="1155" t="str" cm="1">
        <f t="array" ref="L2">IF(OR($K$9:$K$150="Undefined"),"Undefined Element","")</f>
        <v/>
      </c>
      <c r="M2" s="1395" t="s">
        <v>0</v>
      </c>
      <c r="N2" s="1249" t="s">
        <v>1</v>
      </c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324"/>
      <c r="Z2" s="1249" t="s">
        <v>2</v>
      </c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  <c r="AL2" s="1250"/>
      <c r="AM2" s="1250"/>
      <c r="AN2" s="1250"/>
      <c r="AO2" s="1250"/>
      <c r="AP2" s="1250"/>
      <c r="AQ2" s="1251"/>
      <c r="AS2" s="1330" t="s">
        <v>44</v>
      </c>
      <c r="AT2" s="1331"/>
      <c r="AV2" s="1411" t="str">
        <f>M2</f>
        <v>CS-Name</v>
      </c>
      <c r="AW2" s="1425"/>
      <c r="AX2" s="1425"/>
      <c r="AY2" s="1425"/>
      <c r="AZ2" s="1425"/>
      <c r="BA2" s="1425"/>
      <c r="BB2" s="1425"/>
      <c r="BC2" s="1426"/>
      <c r="BF2" s="1418" t="s">
        <v>313</v>
      </c>
      <c r="BG2" s="1419"/>
      <c r="BH2" s="1419"/>
      <c r="BI2" s="1419"/>
      <c r="BJ2" s="1419"/>
      <c r="BK2" s="1420"/>
      <c r="BM2" s="1435" t="s">
        <v>270</v>
      </c>
      <c r="BN2" s="1369"/>
      <c r="BO2" s="1369"/>
      <c r="BP2" s="1370"/>
      <c r="BR2" s="1435" t="s">
        <v>270</v>
      </c>
      <c r="BS2" s="1369"/>
      <c r="BT2" s="1369"/>
      <c r="BU2" s="137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73"/>
      <c r="C3" s="1274"/>
      <c r="D3" s="1274"/>
      <c r="E3" s="1274"/>
      <c r="F3" s="1274"/>
      <c r="G3" s="1274"/>
      <c r="H3" s="1274"/>
      <c r="I3" s="1274"/>
      <c r="J3" s="1274"/>
      <c r="K3" s="1275"/>
      <c r="L3" s="1155"/>
      <c r="M3" s="1396"/>
      <c r="N3" s="1325"/>
      <c r="O3" s="1326"/>
      <c r="P3" s="1326"/>
      <c r="Q3" s="1326"/>
      <c r="R3" s="1326"/>
      <c r="S3" s="1326"/>
      <c r="T3" s="1326"/>
      <c r="U3" s="1326"/>
      <c r="V3" s="1326"/>
      <c r="W3" s="1326"/>
      <c r="X3" s="1326"/>
      <c r="Y3" s="1327"/>
      <c r="Z3" s="1133"/>
      <c r="AA3" s="1134"/>
      <c r="AB3" s="1134"/>
      <c r="AC3" s="1134"/>
      <c r="AD3" s="1134"/>
      <c r="AE3" s="1134"/>
      <c r="AF3" s="1134"/>
      <c r="AG3" s="1134"/>
      <c r="AH3" s="1134"/>
      <c r="AI3" s="1134"/>
      <c r="AJ3" s="1134"/>
      <c r="AK3" s="1134"/>
      <c r="AL3" s="1134"/>
      <c r="AM3" s="1134"/>
      <c r="AN3" s="1134"/>
      <c r="AO3" s="1134"/>
      <c r="AP3" s="1134"/>
      <c r="AQ3" s="1252"/>
      <c r="AS3" s="415">
        <v>100</v>
      </c>
      <c r="AT3" s="412" t="s">
        <v>45</v>
      </c>
      <c r="AV3" s="1412"/>
      <c r="AW3" s="1427"/>
      <c r="AX3" s="1427"/>
      <c r="AY3" s="1427"/>
      <c r="AZ3" s="1427"/>
      <c r="BA3" s="1427"/>
      <c r="BB3" s="1427"/>
      <c r="BC3" s="1428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0" t="s">
        <v>307</v>
      </c>
      <c r="C4" s="1022"/>
      <c r="D4" s="1022"/>
      <c r="E4" s="1022"/>
      <c r="F4" s="1022"/>
      <c r="G4" s="1022"/>
      <c r="H4" s="1022"/>
      <c r="I4" s="1022"/>
      <c r="J4" s="1022"/>
      <c r="K4" s="1401"/>
      <c r="L4" s="1155"/>
      <c r="M4" s="1396"/>
      <c r="N4" s="1292" t="s">
        <v>3</v>
      </c>
      <c r="O4" s="1289"/>
      <c r="P4" s="1289"/>
      <c r="Q4" s="1288" t="s">
        <v>4</v>
      </c>
      <c r="R4" s="1289"/>
      <c r="S4" s="1307"/>
      <c r="T4" s="1301" t="str">
        <f>N4</f>
        <v>Cartesian Coordinates</v>
      </c>
      <c r="U4" s="1256"/>
      <c r="V4" s="1302"/>
      <c r="W4" s="1256" t="str">
        <f>Q4</f>
        <v>Polar XY; Cartesian Z</v>
      </c>
      <c r="X4" s="1256"/>
      <c r="Y4" s="1272"/>
      <c r="Z4" s="1391" t="s">
        <v>3</v>
      </c>
      <c r="AA4" s="1392"/>
      <c r="AB4" s="1392"/>
      <c r="AC4" s="1392"/>
      <c r="AD4" s="1392"/>
      <c r="AE4" s="1392"/>
      <c r="AF4" s="1392"/>
      <c r="AG4" s="1431" t="s">
        <v>31</v>
      </c>
      <c r="AH4" s="1392"/>
      <c r="AI4" s="1392"/>
      <c r="AJ4" s="1432"/>
      <c r="AK4" s="1438" t="s">
        <v>32</v>
      </c>
      <c r="AL4" s="1439"/>
      <c r="AM4" s="1439"/>
      <c r="AN4" s="1439"/>
      <c r="AO4" s="1439"/>
      <c r="AP4" s="1439"/>
      <c r="AQ4" s="1440"/>
      <c r="AS4" s="416">
        <v>0</v>
      </c>
      <c r="AT4" s="413" t="s">
        <v>46</v>
      </c>
      <c r="AV4" s="1412"/>
      <c r="AW4" s="1429"/>
      <c r="AX4" s="1429"/>
      <c r="AY4" s="1429"/>
      <c r="AZ4" s="1430"/>
      <c r="BA4" s="1429" t="str">
        <f>Z2</f>
        <v>PDC Orientation</v>
      </c>
      <c r="BB4" s="1429"/>
      <c r="BC4" s="143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9" t="s">
        <v>372</v>
      </c>
      <c r="IF4" s="100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73" t="str">
        <f>CONCATENATE(B7," ; ",E7," ; ",H8)</f>
        <v>Absolute-Point ; Incremental-Vector Point ; Radius</v>
      </c>
      <c r="C5" s="1274"/>
      <c r="D5" s="1274"/>
      <c r="E5" s="1274"/>
      <c r="F5" s="1274"/>
      <c r="G5" s="1274"/>
      <c r="H5" s="1274"/>
      <c r="I5" s="1274"/>
      <c r="J5" s="1274"/>
      <c r="K5" s="1275"/>
      <c r="L5" s="813" t="str" cm="1">
        <f t="array" ref="L5">IF(OR(IF(LEFT($K$9:$K$150,4)="&lt;&gt;CS",TRUE,FALSE)),"Wrong CS","")</f>
        <v/>
      </c>
      <c r="M5" s="1396"/>
      <c r="N5" s="1312" t="s">
        <v>5</v>
      </c>
      <c r="O5" s="1313"/>
      <c r="P5" s="1313"/>
      <c r="Q5" s="1365" t="s">
        <v>6</v>
      </c>
      <c r="R5" s="1313"/>
      <c r="S5" s="1351"/>
      <c r="T5" s="1318" t="str">
        <f>CONCATENATE("Relative to ",M8,"'s θ &amp; Z; Z Axis")</f>
        <v>Relative to 's θ &amp; Z; Z Axis</v>
      </c>
      <c r="U5" s="1263"/>
      <c r="V5" s="1342"/>
      <c r="W5" s="1263" t="str">
        <f>CONCATENATE("Relative to ",M8,"'s θ &amp; Z; Z Axis")</f>
        <v>Relative to 's θ &amp; Z; Z Axis</v>
      </c>
      <c r="X5" s="1263"/>
      <c r="Y5" s="1303"/>
      <c r="Z5" s="1293" t="str">
        <f>N5</f>
        <v>Relative to World_CS</v>
      </c>
      <c r="AA5" s="1263"/>
      <c r="AB5" s="1263"/>
      <c r="AC5" s="1263"/>
      <c r="AD5" s="1263"/>
      <c r="AE5" s="1263"/>
      <c r="AF5" s="1263"/>
      <c r="AG5" s="1318" t="str">
        <f>N5</f>
        <v>Relative to World_CS</v>
      </c>
      <c r="AH5" s="1263"/>
      <c r="AI5" s="1263"/>
      <c r="AJ5" s="1264"/>
      <c r="AK5" s="1350" t="s">
        <v>7</v>
      </c>
      <c r="AL5" s="1313"/>
      <c r="AM5" s="1313"/>
      <c r="AN5" s="1313"/>
      <c r="AO5" s="1313"/>
      <c r="AP5" s="1313"/>
      <c r="AQ5" s="1351"/>
      <c r="AS5" s="167">
        <f>(((AS4*12)/60)/AS3)</f>
        <v>0</v>
      </c>
      <c r="AT5" s="413" t="s">
        <v>47</v>
      </c>
      <c r="AV5" s="1412"/>
      <c r="AW5" s="1301" t="str">
        <f>W4</f>
        <v>Polar XY; Cartesian Z</v>
      </c>
      <c r="AX5" s="1256"/>
      <c r="AY5" s="1256"/>
      <c r="AZ5" s="1156" t="s">
        <v>104</v>
      </c>
      <c r="BA5" s="1256" t="str">
        <f>AK4</f>
        <v>Polar Z Projection → XZ Plane</v>
      </c>
      <c r="BB5" s="1256"/>
      <c r="BC5" s="125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76"/>
      <c r="C6" s="1277"/>
      <c r="D6" s="1277"/>
      <c r="E6" s="1277"/>
      <c r="F6" s="1277"/>
      <c r="G6" s="1277"/>
      <c r="H6" s="1277"/>
      <c r="I6" s="1277"/>
      <c r="J6" s="1277"/>
      <c r="K6" s="1278"/>
      <c r="L6" s="1155" t="str" cm="1">
        <f t="array" ref="L6">IF(OR($K$9:$K$150="Inactive"),"Inactive Element","")</f>
        <v/>
      </c>
      <c r="M6" s="1396"/>
      <c r="N6" s="1308" t="s">
        <v>8</v>
      </c>
      <c r="O6" s="1310" t="s">
        <v>9</v>
      </c>
      <c r="P6" s="1363" t="s">
        <v>10</v>
      </c>
      <c r="Q6" s="1314" t="s">
        <v>11</v>
      </c>
      <c r="R6" s="1315"/>
      <c r="S6" s="1304" t="s">
        <v>10</v>
      </c>
      <c r="T6" s="1338" t="str">
        <f>N6</f>
        <v>X</v>
      </c>
      <c r="U6" s="1340" t="str">
        <f>O6</f>
        <v>Y</v>
      </c>
      <c r="V6" s="1299" t="str">
        <f>P6</f>
        <v>Z</v>
      </c>
      <c r="W6" s="1258" t="str">
        <f>Q6</f>
        <v>Projected XY</v>
      </c>
      <c r="X6" s="1259"/>
      <c r="Y6" s="1336" t="str">
        <f>S6</f>
        <v>Z</v>
      </c>
      <c r="Z6" s="1320" t="s">
        <v>12</v>
      </c>
      <c r="AA6" s="1283"/>
      <c r="AB6" s="1283"/>
      <c r="AC6" s="1321"/>
      <c r="AD6" s="1288" t="s">
        <v>13</v>
      </c>
      <c r="AE6" s="1289"/>
      <c r="AF6" s="1289"/>
      <c r="AG6" s="1319" t="s">
        <v>7</v>
      </c>
      <c r="AH6" s="1289"/>
      <c r="AI6" s="1288" t="s">
        <v>14</v>
      </c>
      <c r="AJ6" s="1307"/>
      <c r="AK6" s="1301" t="str">
        <f>AD6</f>
        <v>Unit Vector</v>
      </c>
      <c r="AL6" s="1256"/>
      <c r="AM6" s="1257"/>
      <c r="AN6" s="34" t="s">
        <v>15</v>
      </c>
      <c r="AO6" s="35" t="s">
        <v>16</v>
      </c>
      <c r="AP6" s="680" t="s">
        <v>17</v>
      </c>
      <c r="AQ6" s="1393" t="s">
        <v>108</v>
      </c>
      <c r="AS6" s="168">
        <f>(AS5/360)</f>
        <v>0</v>
      </c>
      <c r="AT6" s="414" t="s">
        <v>48</v>
      </c>
      <c r="AV6" s="1412"/>
      <c r="AW6" s="1318" t="str">
        <f>W5</f>
        <v>Relative to 's θ &amp; Z; Z Axis</v>
      </c>
      <c r="AX6" s="1263"/>
      <c r="AY6" s="1263"/>
      <c r="AZ6" s="1408"/>
      <c r="BA6" s="1263" t="str">
        <f>AK5</f>
        <v>Vector Along X Axis</v>
      </c>
      <c r="BB6" s="1263"/>
      <c r="BC6" s="1264"/>
      <c r="BD6" s="417"/>
      <c r="BF6" s="410">
        <f>SUM(AZ9:AZ150)</f>
        <v>0</v>
      </c>
      <c r="BG6" s="1390" t="s">
        <v>309</v>
      </c>
      <c r="BH6" s="1390"/>
      <c r="BI6" s="1390"/>
      <c r="BJ6" s="1390"/>
      <c r="BK6" s="1390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94" t="s">
        <v>40</v>
      </c>
      <c r="C7" s="1295"/>
      <c r="D7" s="1296"/>
      <c r="E7" s="1297" t="s">
        <v>41</v>
      </c>
      <c r="F7" s="1295"/>
      <c r="G7" s="1298"/>
      <c r="H7" s="989" t="s">
        <v>305</v>
      </c>
      <c r="I7" s="987"/>
      <c r="J7" s="988"/>
      <c r="K7" s="488"/>
      <c r="L7" s="1155"/>
      <c r="M7" s="1397"/>
      <c r="N7" s="1309"/>
      <c r="O7" s="1311"/>
      <c r="P7" s="1364"/>
      <c r="Q7" s="36" t="s">
        <v>18</v>
      </c>
      <c r="R7" s="2" t="s">
        <v>19</v>
      </c>
      <c r="S7" s="1305"/>
      <c r="T7" s="1339"/>
      <c r="U7" s="1341"/>
      <c r="V7" s="1300"/>
      <c r="W7" s="37" t="str">
        <f>Q7</f>
        <v>&lt; θ°</v>
      </c>
      <c r="X7" s="27" t="str">
        <f>R7</f>
        <v>r</v>
      </c>
      <c r="Y7" s="133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4"/>
      <c r="AS7" s="1433" t="s">
        <v>54</v>
      </c>
      <c r="AT7" s="1436" t="s">
        <v>53</v>
      </c>
      <c r="AV7" s="1412"/>
      <c r="AW7" s="1407" t="str">
        <f>$W$6</f>
        <v>Projected XY</v>
      </c>
      <c r="AX7" s="1259"/>
      <c r="AY7" s="1409" t="str">
        <f>$Y$6</f>
        <v>Z</v>
      </c>
      <c r="AZ7" s="1408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0"/>
      <c r="BH7" s="1390"/>
      <c r="BI7" s="1390"/>
      <c r="BJ7" s="1390"/>
      <c r="BK7" s="1390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5" t="s">
        <v>33</v>
      </c>
      <c r="IH7" s="1170" t="s">
        <v>376</v>
      </c>
      <c r="II7" s="991" t="s">
        <v>324</v>
      </c>
      <c r="IJ7" s="992"/>
      <c r="IK7" s="992"/>
      <c r="IL7" s="987"/>
      <c r="IM7" s="987"/>
      <c r="IN7" s="987"/>
      <c r="IO7" s="988"/>
      <c r="IP7" s="989" t="s">
        <v>320</v>
      </c>
      <c r="IQ7" s="987"/>
      <c r="IR7" s="987"/>
      <c r="IS7" s="987"/>
      <c r="IT7" s="987"/>
      <c r="IU7" s="989" t="s">
        <v>319</v>
      </c>
      <c r="IV7" s="987"/>
      <c r="IW7" s="987"/>
      <c r="IX7" s="987"/>
      <c r="IY7" s="988"/>
      <c r="JA7" s="725"/>
      <c r="JB7" s="1441" t="s">
        <v>355</v>
      </c>
      <c r="JC7" s="1366"/>
      <c r="JD7" s="1366"/>
      <c r="JE7" s="136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5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4"/>
      <c r="AT8" s="1437"/>
      <c r="AV8" s="1413"/>
      <c r="AW8" s="46" t="str">
        <f>$W$7</f>
        <v>&lt; θ°</v>
      </c>
      <c r="AX8" s="27" t="str">
        <f>$X$7</f>
        <v>r</v>
      </c>
      <c r="AY8" s="1410"/>
      <c r="AZ8" s="1157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2"/>
      <c r="IH8" s="117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68" t="s">
        <v>356</v>
      </c>
      <c r="JC19" s="1369"/>
      <c r="JD19" s="1369"/>
      <c r="JE19" s="1369"/>
      <c r="JF19" s="1369"/>
      <c r="JG19" s="1369"/>
      <c r="JH19" s="1369"/>
      <c r="JI19" s="137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71" t="s">
        <v>360</v>
      </c>
      <c r="JC20" s="1372"/>
      <c r="JD20" s="1372"/>
      <c r="JE20" s="1372"/>
      <c r="JF20" s="1150" t="s">
        <v>361</v>
      </c>
      <c r="JG20" s="1151"/>
      <c r="JH20" s="1151"/>
      <c r="JI20" s="1152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24"/>
      <c r="JC21" s="1225"/>
      <c r="JD21" s="1225"/>
      <c r="JE21" s="1225"/>
      <c r="JF21" s="1153" t="s">
        <v>349</v>
      </c>
      <c r="JG21" s="1154"/>
      <c r="JH21" s="1373" t="s">
        <v>362</v>
      </c>
      <c r="JI21" s="137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5" t="str">
        <f>$W$6</f>
        <v>Projected XY</v>
      </c>
      <c r="AX152" s="1406"/>
      <c r="AY152" s="1423" t="str">
        <f>$Y$6</f>
        <v>Z</v>
      </c>
      <c r="AZ152" s="1421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4"/>
      <c r="AZ153" s="1422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79" t="s">
        <v>42</v>
      </c>
      <c r="C157" s="1280"/>
      <c r="D157" s="1280"/>
      <c r="E157" s="1280"/>
      <c r="F157" s="1280"/>
      <c r="G157" s="1280"/>
      <c r="H157" s="1280"/>
      <c r="I157" s="1280"/>
      <c r="J157" s="1280"/>
      <c r="K157" s="128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82"/>
      <c r="C158" s="1283"/>
      <c r="D158" s="1283"/>
      <c r="E158" s="1283"/>
      <c r="F158" s="1283"/>
      <c r="G158" s="1283"/>
      <c r="H158" s="1283"/>
      <c r="I158" s="1283"/>
      <c r="J158" s="1283"/>
      <c r="K158" s="128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85"/>
      <c r="C159" s="1286"/>
      <c r="D159" s="1286"/>
      <c r="E159" s="1286"/>
      <c r="F159" s="1286"/>
      <c r="G159" s="1286"/>
      <c r="H159" s="1286"/>
      <c r="I159" s="1286"/>
      <c r="J159" s="1286"/>
      <c r="K159" s="1287"/>
      <c r="AQ159" s="162"/>
      <c r="BD159" s="417"/>
    </row>
    <row r="160" spans="1:259" ht="15" customHeight="1" x14ac:dyDescent="0.25">
      <c r="B160" s="1273" t="str">
        <f>CONCATENATE(B162," ; ",E162," ; ",H163)</f>
        <v>Absolute-Point ; Incremental-Vector Point ; Radius</v>
      </c>
      <c r="C160" s="1274"/>
      <c r="D160" s="1274"/>
      <c r="E160" s="1274"/>
      <c r="F160" s="1274"/>
      <c r="G160" s="1274"/>
      <c r="H160" s="1274"/>
      <c r="I160" s="1274"/>
      <c r="J160" s="1274"/>
      <c r="K160" s="1275"/>
      <c r="AQ160" s="162"/>
      <c r="BD160" s="417"/>
    </row>
    <row r="161" spans="2:56" ht="15" customHeight="1" x14ac:dyDescent="0.25">
      <c r="B161" s="1276"/>
      <c r="C161" s="1277"/>
      <c r="D161" s="1277"/>
      <c r="E161" s="1277"/>
      <c r="F161" s="1277"/>
      <c r="G161" s="1277"/>
      <c r="H161" s="1277"/>
      <c r="I161" s="1277"/>
      <c r="J161" s="1277"/>
      <c r="K161" s="1278"/>
      <c r="AQ161" s="162"/>
      <c r="BD161" s="417"/>
    </row>
    <row r="162" spans="2:56" ht="15" customHeight="1" x14ac:dyDescent="0.25">
      <c r="B162" s="1294" t="s">
        <v>40</v>
      </c>
      <c r="C162" s="1295"/>
      <c r="D162" s="1296"/>
      <c r="E162" s="1297" t="s">
        <v>41</v>
      </c>
      <c r="F162" s="1295"/>
      <c r="G162" s="1298"/>
      <c r="H162" s="989" t="s">
        <v>305</v>
      </c>
      <c r="I162" s="987"/>
      <c r="J162" s="988"/>
      <c r="K162" s="488"/>
      <c r="M162" s="1115" t="s">
        <v>304</v>
      </c>
      <c r="N162" s="1402"/>
      <c r="O162" s="1414" t="s">
        <v>283</v>
      </c>
      <c r="P162" s="1415"/>
      <c r="Q162" s="1416"/>
      <c r="R162" s="1417" t="s">
        <v>41</v>
      </c>
      <c r="S162" s="1415"/>
      <c r="T162" s="1416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3"/>
      <c r="N163" s="140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14513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14513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14513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14513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1.1160000000000001</v>
      </c>
      <c r="N168" s="810">
        <f>Assy.Model!K13</f>
        <v>14513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1.121</v>
      </c>
      <c r="N169" s="810">
        <f>Assy.Model!K14</f>
        <v>14513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1.1259999999999999</v>
      </c>
      <c r="N170" s="810">
        <f>Assy.Model!K15</f>
        <v>14513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1.131</v>
      </c>
      <c r="N171" s="810">
        <f>Assy.Model!K16</f>
        <v>14513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1.2070000000000001</v>
      </c>
      <c r="N172" s="810" t="str">
        <f>Assy.Model!K17</f>
        <v>CPS-32193r1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>
        <f>Assy.Model!K18</f>
        <v>1313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1.216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1.2210000000000001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1.226</v>
      </c>
      <c r="N176" s="810" t="str">
        <f>Assy.Model!K21</f>
        <v>CPS-32193r1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1.2310000000000001</v>
      </c>
      <c r="N177" s="810" t="str">
        <f>Assy.Model!K22</f>
        <v>CPS-32193r1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2.11</v>
      </c>
      <c r="N178" s="810">
        <f>Assy.Model!K23</f>
        <v>14513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2.1150000000000002</v>
      </c>
      <c r="N179" s="810">
        <f>Assy.Model!K24</f>
        <v>14513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2.12</v>
      </c>
      <c r="N180" s="810">
        <f>Assy.Model!K25</f>
        <v>14513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2.125</v>
      </c>
      <c r="N181" s="810">
        <f>Assy.Model!K26</f>
        <v>14513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2.13</v>
      </c>
      <c r="N182" s="810">
        <f>Assy.Model!K27</f>
        <v>14513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2.2149999999999999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2.2200000000000002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2.2250000000000001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2.23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3.1030000000000002</v>
      </c>
      <c r="N187" s="810">
        <f>Assy.Model!K32</f>
        <v>14513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3.1059999999999999</v>
      </c>
      <c r="N188" s="810">
        <f>Assy.Model!K33</f>
        <v>14513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3.109</v>
      </c>
      <c r="N189" s="810">
        <f>Assy.Model!K34</f>
        <v>14513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3.1139999999999999</v>
      </c>
      <c r="N190" s="810">
        <f>Assy.Model!K35</f>
        <v>14513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3.1190000000000002</v>
      </c>
      <c r="N191" s="810">
        <f>Assy.Model!K36</f>
        <v>14513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3.1240000000000001</v>
      </c>
      <c r="N192" s="810">
        <f>Assy.Model!K37</f>
        <v>14513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3.129</v>
      </c>
      <c r="N193" s="810">
        <f>Assy.Model!K38</f>
        <v>14513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3.2090000000000001</v>
      </c>
      <c r="N194" s="810" t="str">
        <f>Assy.Model!K39</f>
        <v>CPS-32193r1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3.214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3.2189999999999999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3.2240000000000002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3.2290000000000001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4.1020000000000003</v>
      </c>
      <c r="N199" s="810">
        <f>Assy.Model!K44</f>
        <v>14513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4.1050000000000004</v>
      </c>
      <c r="N200" s="810">
        <f>Assy.Model!K45</f>
        <v>14513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4.1079999999999997</v>
      </c>
      <c r="N201" s="810">
        <f>Assy.Model!K46</f>
        <v>14513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4.1130000000000004</v>
      </c>
      <c r="N202" s="810">
        <f>Assy.Model!K47</f>
        <v>14513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4.1180000000000003</v>
      </c>
      <c r="N203" s="810">
        <f>Assy.Model!K48</f>
        <v>14513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4.1230000000000002</v>
      </c>
      <c r="N204" s="810">
        <f>Assy.Model!K49</f>
        <v>14513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4.1280000000000001</v>
      </c>
      <c r="N205" s="810">
        <f>Assy.Model!K50</f>
        <v>14513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4.2080000000000002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4.2130000000000001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4.218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4.2229999999999999</v>
      </c>
      <c r="N209" s="810">
        <f>Assy.Model!K54</f>
        <v>1313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4.2279999999999998</v>
      </c>
      <c r="N210" s="810" t="str">
        <f>Assy.Model!K55</f>
        <v>CPS-32193r1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5.1120000000000001</v>
      </c>
      <c r="N211" s="810">
        <f>Assy.Model!K56</f>
        <v>14513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5.117</v>
      </c>
      <c r="N212" s="810">
        <f>Assy.Model!K57</f>
        <v>14513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5.1219999999999999</v>
      </c>
      <c r="N213" s="810">
        <f>Assy.Model!K58</f>
        <v>14513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5.1269999999999998</v>
      </c>
      <c r="N214" s="810">
        <f>Assy.Model!K59</f>
        <v>14513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5.1319999999999997</v>
      </c>
      <c r="N215" s="810">
        <f>Assy.Model!K60</f>
        <v>14513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5.2169999999999996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5.2220000000000004</v>
      </c>
      <c r="N217" s="810">
        <f>Assy.Model!K62</f>
        <v>1313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5.2270000000000003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5.2320000000000002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420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2025-03-31T15:03:11Z</dcterms:modified>
</cp:coreProperties>
</file>