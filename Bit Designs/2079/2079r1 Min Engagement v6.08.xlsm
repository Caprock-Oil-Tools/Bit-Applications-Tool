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79\"/>
    </mc:Choice>
  </mc:AlternateContent>
  <xr:revisionPtr revIDLastSave="0" documentId="13_ncr:1_{7E5CC6B2-F275-4537-B6EB-43615910532F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" l="1"/>
  <c r="IG19" i="1" l="1"/>
  <c r="L87" i="1" l="1"/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8" i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H19" i="1" l="1" a="1"/>
  <c r="IH19" i="1" s="1"/>
  <c r="II19" i="1" s="1" a="1"/>
  <c r="II19" i="1" s="1"/>
  <c r="IV19" i="1" s="1"/>
  <c r="IG18" i="1"/>
  <c r="IG4" i="1" s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R19" i="1" l="1"/>
  <c r="IN19" i="1"/>
  <c r="IK19" i="1"/>
  <c r="IJ19" i="1"/>
  <c r="IJ9" i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W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N108" i="1"/>
  <c r="IK108" i="1"/>
  <c r="IW108" i="1"/>
  <c r="IR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K83" i="1"/>
  <c r="IW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K11" i="1"/>
  <c r="IR11" i="1"/>
  <c r="IN11" i="1"/>
  <c r="IW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W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K9" i="1"/>
  <c r="IW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K13" i="1"/>
  <c r="IN13" i="1"/>
  <c r="IR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R10" i="1"/>
  <c r="IW10" i="1"/>
  <c r="IK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W14" i="1"/>
  <c r="IN14" i="1"/>
  <c r="IR14" i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K107" i="1"/>
  <c r="IW107" i="1"/>
  <c r="IN107" i="1"/>
  <c r="IR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50" i="1"/>
  <c r="IF148" i="1"/>
  <c r="IF127" i="1"/>
  <c r="IF15" i="1"/>
  <c r="IF128" i="1"/>
  <c r="IF122" i="1"/>
  <c r="IF147" i="1"/>
  <c r="IF142" i="1"/>
  <c r="IF143" i="1"/>
  <c r="IF137" i="1"/>
  <c r="IF135" i="1"/>
  <c r="IF109" i="1"/>
  <c r="IF145" i="1"/>
  <c r="IF131" i="1"/>
  <c r="IF123" i="1"/>
  <c r="IF141" i="1"/>
  <c r="IF124" i="1"/>
  <c r="IF146" i="1"/>
  <c r="IF134" i="1"/>
  <c r="IF84" i="1"/>
  <c r="IF12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113" i="1" l="1"/>
  <c r="IV106" i="1"/>
  <c r="IV90" i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IP108" i="1" s="1"/>
  <c r="O110" i="1"/>
  <c r="AB62" i="1"/>
  <c r="Z118" i="1"/>
  <c r="O30" i="1"/>
  <c r="P86" i="1"/>
  <c r="S86" i="1" s="1"/>
  <c r="Y86" i="1" s="1"/>
  <c r="O129" i="1"/>
  <c r="Z46" i="1"/>
  <c r="Z102" i="1"/>
  <c r="AF102" i="1" s="1"/>
  <c r="AI102" i="1" s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19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Q108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P107" i="1" s="1"/>
  <c r="P101" i="1"/>
  <c r="S101" i="1" s="1"/>
  <c r="Y101" i="1" s="1"/>
  <c r="IQ107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Q106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E102" i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V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11" i="1" l="1"/>
  <c r="IQ13" i="1"/>
  <c r="IP11" i="1"/>
  <c r="IU9" i="1"/>
  <c r="IE9" i="1" s="1"/>
  <c r="IV14" i="1"/>
  <c r="IQ10" i="1"/>
  <c r="IQ9" i="1"/>
  <c r="IV13" i="1"/>
  <c r="AC102" i="1"/>
  <c r="IQ115" i="1"/>
  <c r="IV108" i="1"/>
  <c r="Q62" i="1"/>
  <c r="IQ91" i="1"/>
  <c r="IV83" i="1"/>
  <c r="IV75" i="1"/>
  <c r="IQ82" i="1"/>
  <c r="AE69" i="1"/>
  <c r="IQ89" i="1"/>
  <c r="IQ92" i="1"/>
  <c r="IQ37" i="1"/>
  <c r="IQ114" i="1"/>
  <c r="IV107" i="1"/>
  <c r="IV76" i="1"/>
  <c r="IQ83" i="1"/>
  <c r="AD102" i="1"/>
  <c r="AH102" i="1" s="1"/>
  <c r="IQ31" i="1"/>
  <c r="AF86" i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Y9" i="1"/>
  <c r="IQ16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IP82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P19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P106" i="1" s="1"/>
  <c r="R108" i="1"/>
  <c r="X108" i="1" s="1"/>
  <c r="IU108" i="1" s="1"/>
  <c r="IE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IU83" i="1" s="1"/>
  <c r="IE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U11" i="1" l="1"/>
  <c r="IE11" i="1" s="1"/>
  <c r="IP13" i="1"/>
  <c r="V10" i="1"/>
  <c r="IQ14" i="1"/>
  <c r="IV10" i="1"/>
  <c r="AQ10" i="1"/>
  <c r="IU10" i="1"/>
  <c r="IE10" i="1" s="1"/>
  <c r="IP14" i="1"/>
  <c r="IQ25" i="1"/>
  <c r="IV9" i="1"/>
  <c r="IQ11" i="1"/>
  <c r="IU14" i="1"/>
  <c r="IE14" i="1" s="1"/>
  <c r="IP10" i="1"/>
  <c r="IU13" i="1"/>
  <c r="IE13" i="1" s="1"/>
  <c r="IP9" i="1"/>
  <c r="AM54" i="1"/>
  <c r="AJ62" i="1"/>
  <c r="AI75" i="1"/>
  <c r="AQ92" i="1"/>
  <c r="IU92" i="1"/>
  <c r="IE92" i="1" s="1"/>
  <c r="AG75" i="1"/>
  <c r="IP105" i="1"/>
  <c r="IU85" i="1"/>
  <c r="IE85" i="1" s="1"/>
  <c r="IP92" i="1"/>
  <c r="IP104" i="1"/>
  <c r="IP31" i="1"/>
  <c r="AQ90" i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U35" i="1"/>
  <c r="IE35" i="1" s="1"/>
  <c r="IP49" i="1"/>
  <c r="IP59" i="1"/>
  <c r="IP71" i="1"/>
  <c r="AQ11" i="1"/>
  <c r="IP20" i="1"/>
  <c r="AQ20" i="1"/>
  <c r="IU20" i="1"/>
  <c r="IE20" i="1" s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IL108" i="1" s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IL92" i="1" s="1"/>
  <c r="W86" i="1"/>
  <c r="W83" i="1"/>
  <c r="W84" i="1"/>
  <c r="W81" i="1"/>
  <c r="IL89" i="1" s="1"/>
  <c r="W82" i="1"/>
  <c r="IL90" i="1" s="1"/>
  <c r="W79" i="1"/>
  <c r="W80" i="1"/>
  <c r="W77" i="1"/>
  <c r="IL85" i="1" s="1"/>
  <c r="W78" i="1"/>
  <c r="IL86" i="1" s="1"/>
  <c r="W75" i="1"/>
  <c r="W76" i="1"/>
  <c r="IL83" i="1" s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IL13" i="1" s="1"/>
  <c r="W9" i="1"/>
  <c r="W10" i="1"/>
  <c r="IL14" i="1" s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0" i="1" l="1"/>
  <c r="IL9" i="1"/>
  <c r="IL11" i="1"/>
  <c r="IL19" i="1"/>
  <c r="IL82" i="1"/>
  <c r="IL91" i="1"/>
  <c r="IL106" i="1"/>
  <c r="IL105" i="1"/>
  <c r="IL107" i="1"/>
  <c r="IL87" i="1"/>
  <c r="IL56" i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6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7" i="1" s="1"/>
  <c r="AL102" i="1"/>
  <c r="AN102" i="1" s="1"/>
  <c r="IT108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2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IT92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Y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0" i="1" l="1"/>
  <c r="IY14" i="1"/>
  <c r="IT11" i="1"/>
  <c r="IY9" i="1"/>
  <c r="IT9" i="1"/>
  <c r="IY13" i="1"/>
  <c r="IX11" i="1"/>
  <c r="IY11" i="1"/>
  <c r="IT13" i="1"/>
  <c r="IT19" i="1"/>
  <c r="IT114" i="1"/>
  <c r="IY107" i="1"/>
  <c r="IT113" i="1"/>
  <c r="IY106" i="1"/>
  <c r="IY75" i="1"/>
  <c r="IT82" i="1"/>
  <c r="IT115" i="1"/>
  <c r="IY108" i="1"/>
  <c r="IT38" i="1"/>
  <c r="IT93" i="1"/>
  <c r="IY76" i="1"/>
  <c r="IT83" i="1"/>
  <c r="IT90" i="1"/>
  <c r="IY82" i="1"/>
  <c r="IT87" i="1"/>
  <c r="IT57" i="1"/>
  <c r="IT56" i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X55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IS108" i="1" s="1"/>
  <c r="AP102" i="1"/>
  <c r="AO101" i="1"/>
  <c r="IS107" i="1" s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IS106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4" i="1" s="1"/>
  <c r="AP87" i="1"/>
  <c r="AO88" i="1"/>
  <c r="AP88" i="1"/>
  <c r="AP86" i="1"/>
  <c r="AO86" i="1"/>
  <c r="AP85" i="1"/>
  <c r="AP84" i="1"/>
  <c r="AO84" i="1"/>
  <c r="IS93" i="1" s="1"/>
  <c r="AP83" i="1"/>
  <c r="AO83" i="1"/>
  <c r="AO81" i="1"/>
  <c r="AP81" i="1"/>
  <c r="AO82" i="1"/>
  <c r="AP82" i="1"/>
  <c r="AO79" i="1"/>
  <c r="AP79" i="1"/>
  <c r="AP80" i="1"/>
  <c r="AO80" i="1"/>
  <c r="IS88" i="1" s="1"/>
  <c r="AO77" i="1"/>
  <c r="AP77" i="1"/>
  <c r="AP78" i="1"/>
  <c r="AO78" i="1"/>
  <c r="AO75" i="1"/>
  <c r="AP75" i="1"/>
  <c r="AO76" i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8" i="1" s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IS13" i="1" s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14" i="1" l="1"/>
  <c r="IF14" i="1" s="1"/>
  <c r="IS10" i="1"/>
  <c r="IT43" i="1"/>
  <c r="IY10" i="1"/>
  <c r="IT14" i="1"/>
  <c r="IX10" i="1"/>
  <c r="IS14" i="1"/>
  <c r="IF11" i="1"/>
  <c r="IS11" i="1"/>
  <c r="IX9" i="1"/>
  <c r="IF9" i="1" s="1"/>
  <c r="IS9" i="1"/>
  <c r="IX13" i="1"/>
  <c r="IF13" i="1" s="1"/>
  <c r="IT59" i="1"/>
  <c r="IS19" i="1"/>
  <c r="IS55" i="1"/>
  <c r="IS113" i="1"/>
  <c r="IX106" i="1"/>
  <c r="IF106" i="1" s="1"/>
  <c r="IS91" i="1"/>
  <c r="IX83" i="1"/>
  <c r="IF83" i="1" s="1"/>
  <c r="IT54" i="1"/>
  <c r="IX76" i="1"/>
  <c r="IF76" i="1" s="1"/>
  <c r="IS83" i="1"/>
  <c r="IX75" i="1"/>
  <c r="IF75" i="1" s="1"/>
  <c r="IS82" i="1"/>
  <c r="IS114" i="1"/>
  <c r="IX107" i="1"/>
  <c r="IF107" i="1" s="1"/>
  <c r="IS115" i="1"/>
  <c r="IX108" i="1"/>
  <c r="IF108" i="1" s="1"/>
  <c r="IS90" i="1"/>
  <c r="IX82" i="1"/>
  <c r="IF82" i="1" s="1"/>
  <c r="IS87" i="1"/>
  <c r="IS57" i="1"/>
  <c r="IS34" i="1"/>
  <c r="IT21" i="1"/>
  <c r="IF89" i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S32" i="1"/>
  <c r="IS46" i="1"/>
  <c r="IX36" i="1"/>
  <c r="IF36" i="1" s="1"/>
  <c r="IS37" i="1"/>
  <c r="IS31" i="1"/>
  <c r="IS47" i="1"/>
  <c r="IF41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IF10" i="1" l="1"/>
  <c r="JH29" i="1" s="1" a="1"/>
  <c r="JH29" i="1" s="1"/>
  <c r="JI29" i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<sst xmlns="http://schemas.openxmlformats.org/spreadsheetml/2006/main" count="742" uniqueCount="394">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</sst>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4" t="s">
        <v>77</v>
      </c>
      <c r="D1" s="914"/>
      <c r="E1" s="914"/>
      <c r="F1" s="914"/>
      <c r="G1" s="914"/>
      <c r="H1" s="914"/>
      <c r="I1" s="914"/>
      <c r="J1" s="914"/>
      <c r="K1" s="914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1" t="s">
        <v>80</v>
      </c>
      <c r="B6" s="901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00" t="s">
        <v>379</v>
      </c>
      <c r="AQ7" s="900"/>
      <c r="AR7" s="900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6">
        <v>9</v>
      </c>
      <c r="D9" s="876"/>
      <c r="E9" s="876"/>
      <c r="F9" s="876"/>
      <c r="G9" s="876"/>
      <c r="H9" s="876"/>
      <c r="I9" s="876"/>
      <c r="J9" s="876"/>
      <c r="K9" s="907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5"/>
      <c r="C10" s="896"/>
      <c r="D10" s="896"/>
      <c r="E10" s="896"/>
      <c r="F10" s="896"/>
      <c r="G10" s="896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2"/>
      <c r="B11" s="902" t="s">
        <v>33</v>
      </c>
      <c r="C11" s="911" t="s">
        <v>34</v>
      </c>
      <c r="D11" s="911"/>
      <c r="E11" s="908" t="s">
        <v>39</v>
      </c>
      <c r="F11" s="902" t="s">
        <v>35</v>
      </c>
      <c r="G11" s="902" t="s">
        <v>36</v>
      </c>
      <c r="H11" s="902" t="s">
        <v>43</v>
      </c>
      <c r="I11" s="909" t="s">
        <v>67</v>
      </c>
      <c r="J11" s="911" t="s">
        <v>56</v>
      </c>
      <c r="K11" s="911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5" t="s">
        <v>347</v>
      </c>
      <c r="AN11" s="876"/>
      <c r="AO11" s="876"/>
      <c r="AP11" s="876"/>
      <c r="AQ11" s="876"/>
      <c r="AR11" s="877"/>
      <c r="AS11" s="886" t="s">
        <v>354</v>
      </c>
      <c r="AT11" s="887"/>
      <c r="AU11" s="887"/>
      <c r="AV11" s="888"/>
      <c r="BC11" s="470"/>
    </row>
    <row r="12" spans="1:55" ht="15.75" thickBot="1" x14ac:dyDescent="0.3">
      <c r="A12" s="913"/>
      <c r="B12" s="903"/>
      <c r="C12" s="48" t="s">
        <v>8</v>
      </c>
      <c r="D12" s="49" t="s">
        <v>10</v>
      </c>
      <c r="E12" s="903"/>
      <c r="F12" s="903"/>
      <c r="G12" s="903"/>
      <c r="H12" s="903"/>
      <c r="I12" s="910"/>
      <c r="J12" s="53" t="s">
        <v>8</v>
      </c>
      <c r="K12" s="54" t="s">
        <v>10</v>
      </c>
      <c r="M12" s="31"/>
      <c r="N12" s="31"/>
      <c r="O12" s="923" t="s">
        <v>46</v>
      </c>
      <c r="P12" s="924"/>
      <c r="Q12" s="904" t="s">
        <v>45</v>
      </c>
      <c r="R12" s="905"/>
      <c r="S12" s="905"/>
      <c r="T12" s="905"/>
      <c r="U12" s="905"/>
      <c r="V12" s="905"/>
      <c r="W12" s="905"/>
      <c r="X12" s="905"/>
      <c r="Y12" s="905"/>
      <c r="Z12" s="905"/>
      <c r="AA12" s="905"/>
      <c r="AB12" s="905"/>
      <c r="AC12" s="905"/>
      <c r="AD12" s="905"/>
      <c r="AE12" s="906"/>
      <c r="AF12" s="917" t="s">
        <v>56</v>
      </c>
      <c r="AG12" s="918"/>
      <c r="AH12" s="31"/>
      <c r="AK12" s="881" t="s">
        <v>355</v>
      </c>
      <c r="AL12" s="897"/>
      <c r="AM12" s="878" t="s">
        <v>352</v>
      </c>
      <c r="AN12" s="879"/>
      <c r="AO12" s="880"/>
      <c r="AP12" s="881" t="s">
        <v>380</v>
      </c>
      <c r="AQ12" s="880"/>
      <c r="AR12" s="802" t="s">
        <v>378</v>
      </c>
      <c r="AS12" s="883" t="s">
        <v>352</v>
      </c>
      <c r="AT12" s="880"/>
      <c r="AU12" s="884" t="s">
        <v>353</v>
      </c>
      <c r="AV12" s="885"/>
      <c r="AW12" s="889" t="s">
        <v>351</v>
      </c>
      <c r="AX12" s="890"/>
      <c r="AZ12" s="881" t="s">
        <v>60</v>
      </c>
      <c r="BA12" s="880"/>
      <c r="BC12" s="882" t="s">
        <v>383</v>
      </c>
    </row>
    <row r="13" spans="1:55" ht="15.75" thickBot="1" x14ac:dyDescent="0.3">
      <c r="A13" s="64" t="s">
        <v>57</v>
      </c>
      <c r="B13" s="891" t="s">
        <v>97</v>
      </c>
      <c r="C13" s="893" t="str">
        <f>SUBSTITUTE(ADDRESS(1,COLUMN(Assy.Model!X9),4),"1","")</f>
        <v>X</v>
      </c>
      <c r="D13" s="101" t="str">
        <f>SUBSTITUTE(ADDRESS(1,COLUMN(Assy.Model!Y9),4),"1","")</f>
        <v>Y</v>
      </c>
      <c r="E13" s="898" t="str">
        <f>SUBSTITUTE(ADDRESS(1,COLUMN(Assy.Model!H9),4),"1","")</f>
        <v>H</v>
      </c>
      <c r="F13" s="898" t="str">
        <f>SUBSTITUTE(ADDRESS(1,COLUMN(Assy.Model!AN9),4),"1","")</f>
        <v>AN</v>
      </c>
      <c r="G13" s="898" t="str">
        <f>SUBSTITUTE(ADDRESS(1,COLUMN(Assy.Model!AO9),4),"1","")</f>
        <v>AO</v>
      </c>
      <c r="H13" s="898" t="str">
        <f>SUBSTITUTE(ADDRESS(1,COLUMN(Assy.Model!AO9),4),"1","")</f>
        <v>AO</v>
      </c>
      <c r="I13" s="898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5"/>
      <c r="P13" s="926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2"/>
    </row>
    <row r="14" spans="1:55" x14ac:dyDescent="0.25">
      <c r="A14" s="62" t="s">
        <v>58</v>
      </c>
      <c r="B14" s="892"/>
      <c r="C14" s="894"/>
      <c r="D14" s="102" t="str">
        <f>SUBSTITUTE(ADDRESS(1,COLUMN(Assy.Model!AT9),4),"1","")</f>
        <v>AT</v>
      </c>
      <c r="E14" s="899"/>
      <c r="F14" s="899"/>
      <c r="G14" s="899"/>
      <c r="H14" s="899"/>
      <c r="I14" s="899"/>
      <c r="J14" s="91">
        <v>0</v>
      </c>
      <c r="K14" s="92">
        <v>0</v>
      </c>
      <c r="L14" s="31"/>
      <c r="M14" s="190">
        <v>6.25E-2</v>
      </c>
      <c r="N14" s="31">
        <v>32</v>
      </c>
      <c r="O14" s="921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1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1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1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1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6.125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1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2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6" t="s">
        <v>64</v>
      </c>
      <c r="C21" s="876"/>
      <c r="D21" s="876"/>
      <c r="E21" s="876"/>
      <c r="F21" s="907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2"/>
      <c r="C22" s="906" t="s">
        <v>63</v>
      </c>
      <c r="D22" s="907"/>
      <c r="E22" s="909" t="s">
        <v>60</v>
      </c>
      <c r="F22" s="909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7"/>
      <c r="C23" s="57" t="s">
        <v>8</v>
      </c>
      <c r="D23" s="57" t="s">
        <v>9</v>
      </c>
      <c r="E23" s="910"/>
      <c r="F23" s="910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9">
        <v>0</v>
      </c>
      <c r="E24" s="919">
        <v>2</v>
      </c>
      <c r="F24" s="919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3.0625</v>
      </c>
      <c r="D25" s="920"/>
      <c r="E25" s="920"/>
      <c r="F25" s="920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5" t="s">
        <v>311</v>
      </c>
      <c r="C27" s="915"/>
      <c r="D27" s="915"/>
      <c r="E27" s="915"/>
      <c r="F27" s="915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6" t="s">
        <v>390</v>
      </c>
      <c r="C28" s="916"/>
      <c r="D28" s="916"/>
      <c r="E28" s="916"/>
      <c r="F28" s="916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6" t="s">
        <v>95</v>
      </c>
      <c r="D3" s="876"/>
      <c r="E3" s="876"/>
      <c r="F3" s="876"/>
      <c r="G3" s="876"/>
      <c r="H3" s="876"/>
      <c r="I3" s="876"/>
      <c r="J3" s="876"/>
      <c r="K3" s="877"/>
      <c r="L3" s="933"/>
      <c r="M3" s="876"/>
      <c r="N3" s="876"/>
      <c r="O3" s="876"/>
      <c r="P3" s="876"/>
      <c r="Q3" s="876"/>
      <c r="R3" s="907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5" t="s">
        <v>86</v>
      </c>
      <c r="C4" s="972" t="s">
        <v>82</v>
      </c>
      <c r="D4" s="876" t="s">
        <v>83</v>
      </c>
      <c r="E4" s="876"/>
      <c r="F4" s="876"/>
      <c r="G4" s="876"/>
      <c r="H4" s="876"/>
      <c r="I4" s="876"/>
      <c r="J4" s="876"/>
      <c r="K4" s="876"/>
      <c r="L4" s="150" t="s">
        <v>91</v>
      </c>
      <c r="M4" s="906" t="s">
        <v>94</v>
      </c>
      <c r="N4" s="876"/>
      <c r="O4" s="876"/>
      <c r="P4" s="877"/>
      <c r="Q4" s="876" t="s">
        <v>52</v>
      </c>
      <c r="R4" s="907"/>
      <c r="S4" s="107"/>
      <c r="T4" s="906">
        <v>350</v>
      </c>
      <c r="U4" s="876"/>
      <c r="V4" s="876" t="s">
        <v>76</v>
      </c>
      <c r="W4" s="876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6"/>
      <c r="C5" s="973"/>
      <c r="D5" s="961" t="s">
        <v>85</v>
      </c>
      <c r="E5" s="975" t="s">
        <v>89</v>
      </c>
      <c r="F5" s="911" t="s">
        <v>34</v>
      </c>
      <c r="G5" s="911"/>
      <c r="H5" s="908" t="s">
        <v>39</v>
      </c>
      <c r="I5" s="902" t="s">
        <v>35</v>
      </c>
      <c r="J5" s="902" t="s">
        <v>36</v>
      </c>
      <c r="K5" s="945" t="s">
        <v>67</v>
      </c>
      <c r="L5" s="151" t="s">
        <v>92</v>
      </c>
      <c r="M5" s="909" t="s">
        <v>90</v>
      </c>
      <c r="N5" s="909" t="s">
        <v>47</v>
      </c>
      <c r="O5" s="928" t="s">
        <v>84</v>
      </c>
      <c r="P5" s="929"/>
      <c r="Q5" s="930" t="s">
        <v>84</v>
      </c>
      <c r="R5" s="931"/>
      <c r="S5" s="107"/>
      <c r="T5" s="923" t="s">
        <v>46</v>
      </c>
      <c r="U5" s="934"/>
      <c r="V5" s="890" t="s">
        <v>45</v>
      </c>
      <c r="W5" s="918"/>
      <c r="X5" s="918"/>
      <c r="Y5" s="918"/>
      <c r="Z5" s="918"/>
      <c r="AA5" s="918"/>
      <c r="AB5" s="918"/>
      <c r="AC5" s="918"/>
      <c r="AD5" s="918"/>
      <c r="AE5" s="918"/>
      <c r="AF5" s="918"/>
      <c r="AG5" s="918"/>
      <c r="AH5" s="918"/>
      <c r="AI5" s="918"/>
      <c r="AJ5" s="918"/>
      <c r="AK5" s="31"/>
      <c r="AL5" s="31"/>
    </row>
    <row r="6" spans="2:38" ht="15" customHeight="1" thickBot="1" x14ac:dyDescent="0.3">
      <c r="B6" s="957"/>
      <c r="C6" s="974"/>
      <c r="D6" s="962"/>
      <c r="E6" s="976"/>
      <c r="F6" s="108" t="s">
        <v>8</v>
      </c>
      <c r="G6" s="109" t="s">
        <v>10</v>
      </c>
      <c r="H6" s="946"/>
      <c r="I6" s="946"/>
      <c r="J6" s="946"/>
      <c r="K6" s="935"/>
      <c r="L6" s="152" t="s">
        <v>93</v>
      </c>
      <c r="M6" s="932"/>
      <c r="N6" s="932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5"/>
      <c r="U6" s="936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3">
        <f>ROW(Assy.Model!B9)</f>
        <v>9</v>
      </c>
      <c r="D7" s="952" t="str">
        <f>SUBSTITUTE(ADDRESS(1,COLUMN(Assy.Model!B9),4),"1","")</f>
        <v>B</v>
      </c>
      <c r="E7" s="966" t="str">
        <f>SUBSTITUTE(ADDRESS(1,COLUMN(Assy.Model!M9),4),"1","")</f>
        <v>M</v>
      </c>
      <c r="F7" s="969" t="str">
        <f>SUBSTITUTE(ADDRESS(1,COLUMN(Assy.Model!X9),4),"1","")</f>
        <v>X</v>
      </c>
      <c r="G7" s="958" t="str">
        <f>SUBSTITUTE(ADDRESS(1,COLUMN(Assy.Model!AT9),4),"1","")</f>
        <v>AT</v>
      </c>
      <c r="H7" s="937" t="str">
        <f>SUBSTITUTE(ADDRESS(1,COLUMN(Assy.Model!H9),4),"1","")</f>
        <v>H</v>
      </c>
      <c r="I7" s="937" t="str">
        <f>SUBSTITUTE(ADDRESS(1,COLUMN(Assy.Model!AN9),4),"1","")</f>
        <v>AN</v>
      </c>
      <c r="J7" s="937" t="str">
        <f>SUBSTITUTE(ADDRESS(1,COLUMN(Assy.Model!AO9),4),"1","")</f>
        <v>AO</v>
      </c>
      <c r="K7" s="94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9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7" t="s">
        <v>81</v>
      </c>
      <c r="C8" s="964"/>
      <c r="D8" s="953"/>
      <c r="E8" s="967"/>
      <c r="F8" s="970"/>
      <c r="G8" s="959"/>
      <c r="H8" s="938"/>
      <c r="I8" s="938"/>
      <c r="J8" s="938"/>
      <c r="K8" s="941"/>
      <c r="L8" s="153" t="s">
        <v>93</v>
      </c>
      <c r="M8" s="94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50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7"/>
      <c r="C9" s="964"/>
      <c r="D9" s="953"/>
      <c r="E9" s="967"/>
      <c r="F9" s="970"/>
      <c r="G9" s="959"/>
      <c r="H9" s="938"/>
      <c r="I9" s="938"/>
      <c r="J9" s="938"/>
      <c r="K9" s="941"/>
      <c r="L9" s="153" t="s">
        <v>92</v>
      </c>
      <c r="M9" s="94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50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7"/>
      <c r="C10" s="964"/>
      <c r="D10" s="953"/>
      <c r="E10" s="967"/>
      <c r="F10" s="970"/>
      <c r="G10" s="959"/>
      <c r="H10" s="938"/>
      <c r="I10" s="938"/>
      <c r="J10" s="938"/>
      <c r="K10" s="941"/>
      <c r="L10" s="153" t="s">
        <v>92</v>
      </c>
      <c r="M10" s="94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50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7"/>
      <c r="C11" s="964"/>
      <c r="D11" s="953"/>
      <c r="E11" s="967"/>
      <c r="F11" s="970"/>
      <c r="G11" s="959"/>
      <c r="H11" s="938"/>
      <c r="I11" s="938"/>
      <c r="J11" s="938"/>
      <c r="K11" s="941"/>
      <c r="L11" s="153" t="s">
        <v>92</v>
      </c>
      <c r="M11" s="94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50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7"/>
      <c r="C12" s="964"/>
      <c r="D12" s="953"/>
      <c r="E12" s="967"/>
      <c r="F12" s="970"/>
      <c r="G12" s="959"/>
      <c r="H12" s="938"/>
      <c r="I12" s="938"/>
      <c r="J12" s="938"/>
      <c r="K12" s="941"/>
      <c r="L12" s="153" t="s">
        <v>92</v>
      </c>
      <c r="M12" s="94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50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7"/>
      <c r="C13" s="964"/>
      <c r="D13" s="953"/>
      <c r="E13" s="967"/>
      <c r="F13" s="970"/>
      <c r="G13" s="959"/>
      <c r="H13" s="938"/>
      <c r="I13" s="938"/>
      <c r="J13" s="938"/>
      <c r="K13" s="941"/>
      <c r="L13" s="153" t="s">
        <v>92</v>
      </c>
      <c r="M13" s="94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50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8"/>
      <c r="C14" s="965"/>
      <c r="D14" s="954"/>
      <c r="E14" s="968"/>
      <c r="F14" s="971"/>
      <c r="G14" s="960"/>
      <c r="H14" s="939"/>
      <c r="I14" s="939"/>
      <c r="J14" s="939"/>
      <c r="K14" s="942"/>
      <c r="L14" s="154" t="s">
        <v>93</v>
      </c>
      <c r="M14" s="94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1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30" t="str">
        <f>CONCATENATE(Settings!$C$19," ",Settings!$B$28)</f>
        <v>6.125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1" t="s">
        <v>315</v>
      </c>
      <c r="C2" s="1242"/>
      <c r="D2" s="1242"/>
      <c r="E2" s="1242"/>
      <c r="F2" s="1242"/>
      <c r="G2" s="1242"/>
      <c r="H2" s="1242"/>
      <c r="I2" s="1242"/>
      <c r="J2" s="1242"/>
      <c r="K2" s="1243"/>
      <c r="L2" s="985" t="str" cm="1">
        <f t="array" ref="L2">IF(OR($K$9:$K$150="Undefined"),"Undefined Element","")</f>
        <v/>
      </c>
      <c r="M2" s="1249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01" t="s">
        <v>0</v>
      </c>
      <c r="AW2" s="1143" t="s">
        <v>109</v>
      </c>
      <c r="AX2" s="1144"/>
      <c r="AY2" s="1144"/>
      <c r="AZ2" s="1144"/>
      <c r="BA2" s="1144"/>
      <c r="BB2" s="1144"/>
      <c r="BC2" s="1144"/>
      <c r="BD2" s="1144"/>
      <c r="BE2" s="1145"/>
      <c r="BF2" s="1155" t="s">
        <v>115</v>
      </c>
      <c r="BG2" s="1144"/>
      <c r="BH2" s="1144"/>
      <c r="BI2" s="1144"/>
      <c r="BJ2" s="1144"/>
      <c r="BK2" s="1144"/>
      <c r="BL2" s="1144"/>
      <c r="BM2" s="1144"/>
      <c r="BN2" s="1144"/>
      <c r="BO2" s="1144"/>
      <c r="BP2" s="1144"/>
      <c r="BQ2" s="1144"/>
      <c r="BR2" s="1144"/>
      <c r="BS2" s="1144"/>
      <c r="BT2" s="1144"/>
      <c r="BU2" s="1144"/>
      <c r="BV2" s="1144"/>
      <c r="BW2" s="1144"/>
      <c r="BX2" s="1144"/>
      <c r="BY2" s="1144"/>
      <c r="BZ2" s="1144"/>
      <c r="CA2" s="1144"/>
      <c r="CB2" s="1144"/>
      <c r="CC2" s="1144"/>
      <c r="CD2" s="1144"/>
      <c r="CE2" s="1144"/>
      <c r="CF2" s="1144"/>
      <c r="CG2" s="1144"/>
      <c r="CH2" s="1144"/>
      <c r="CI2" s="1144"/>
      <c r="CJ2" s="1144"/>
      <c r="CK2" s="1144"/>
      <c r="CL2" s="1144"/>
      <c r="CM2" s="1144"/>
      <c r="CN2" s="1144"/>
      <c r="CO2" s="1144"/>
      <c r="CP2" s="1144"/>
      <c r="CQ2" s="1144"/>
      <c r="CR2" s="1144"/>
      <c r="CS2" s="1144"/>
      <c r="CT2" s="1144"/>
      <c r="CU2" s="1144"/>
      <c r="CV2" s="1144"/>
      <c r="CW2" s="1144"/>
      <c r="CX2" s="1144"/>
      <c r="CY2" s="1144"/>
      <c r="CZ2" s="1144"/>
      <c r="DA2" s="1144"/>
      <c r="DB2" s="1144"/>
      <c r="DC2" s="1144"/>
      <c r="DD2" s="1144"/>
      <c r="DE2" s="1144"/>
      <c r="DF2" s="1144"/>
      <c r="DG2" s="1144"/>
      <c r="DH2" s="1144"/>
      <c r="DI2" s="1144"/>
      <c r="DJ2" s="1144"/>
      <c r="DK2" s="1144"/>
      <c r="DL2" s="1144"/>
      <c r="DM2" s="1144"/>
      <c r="DN2" s="1144"/>
      <c r="DO2" s="1144"/>
      <c r="DP2" s="1144"/>
      <c r="DQ2" s="1144"/>
      <c r="DR2" s="1144"/>
      <c r="DS2" s="1144"/>
      <c r="DT2" s="1144"/>
      <c r="DU2" s="1144"/>
      <c r="DV2" s="1144"/>
      <c r="DW2" s="1144"/>
      <c r="DX2" s="1144"/>
      <c r="DY2" s="1144"/>
      <c r="DZ2" s="1144"/>
      <c r="EA2" s="1144"/>
      <c r="EB2" s="1144"/>
      <c r="EC2" s="1144"/>
      <c r="ED2" s="1144"/>
      <c r="EE2" s="1144"/>
      <c r="EF2" s="1144"/>
      <c r="EG2" s="1144"/>
      <c r="EH2" s="1144"/>
      <c r="EI2" s="1144"/>
      <c r="EJ2" s="1144"/>
      <c r="EK2" s="1144"/>
      <c r="EL2" s="1144"/>
      <c r="EM2" s="1144"/>
      <c r="EN2" s="1144"/>
      <c r="EO2" s="1144"/>
      <c r="EP2" s="1144"/>
      <c r="EQ2" s="1144"/>
      <c r="ER2" s="1156"/>
      <c r="ES2" s="1046" t="s">
        <v>197</v>
      </c>
      <c r="ET2" s="1047"/>
      <c r="EU2" s="1047"/>
      <c r="EV2" s="1047"/>
      <c r="EW2" s="1047"/>
      <c r="EX2" s="1047"/>
      <c r="EY2" s="1047"/>
      <c r="EZ2" s="1047"/>
      <c r="FA2" s="1047"/>
      <c r="FB2" s="1047"/>
      <c r="FC2" s="1047"/>
      <c r="FD2" s="1047"/>
      <c r="FE2" s="1047"/>
      <c r="FF2" s="1048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3" t="s">
        <v>266</v>
      </c>
      <c r="HQ2" s="1074" t="str">
        <f>IFERROR(CONCATENATE("Sum of Lateral Forces = ",ROUND(HE3,0)," lbs @ ",ROUND(HF3,1),"° Relative to Blade 1"),"")</f>
        <v/>
      </c>
      <c r="HR2" s="1075"/>
      <c r="HS2" s="1075"/>
      <c r="HT2" s="1075"/>
      <c r="HU2" s="1075"/>
      <c r="HV2" s="1076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4"/>
      <c r="C3" s="1199"/>
      <c r="D3" s="1199"/>
      <c r="E3" s="1199"/>
      <c r="F3" s="1199"/>
      <c r="G3" s="1199"/>
      <c r="H3" s="1199"/>
      <c r="I3" s="1199"/>
      <c r="J3" s="1199"/>
      <c r="K3" s="1245"/>
      <c r="L3" s="985"/>
      <c r="M3" s="1244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146"/>
      <c r="AA3" s="1147"/>
      <c r="AB3" s="1147"/>
      <c r="AC3" s="1147"/>
      <c r="AD3" s="1147"/>
      <c r="AE3" s="1147"/>
      <c r="AF3" s="1147"/>
      <c r="AG3" s="1147"/>
      <c r="AH3" s="1147"/>
      <c r="AI3" s="1147"/>
      <c r="AJ3" s="1147"/>
      <c r="AK3" s="1147"/>
      <c r="AL3" s="1147"/>
      <c r="AM3" s="1147"/>
      <c r="AN3" s="1147"/>
      <c r="AO3" s="1147"/>
      <c r="AP3" s="1147"/>
      <c r="AQ3" s="1148"/>
      <c r="AS3" s="466">
        <v>100</v>
      </c>
      <c r="AT3" s="463" t="s">
        <v>45</v>
      </c>
      <c r="AV3" s="1202"/>
      <c r="AW3" s="1049"/>
      <c r="AX3" s="1050"/>
      <c r="AY3" s="1050"/>
      <c r="AZ3" s="1050"/>
      <c r="BA3" s="1050"/>
      <c r="BB3" s="1050"/>
      <c r="BC3" s="1050"/>
      <c r="BD3" s="1050"/>
      <c r="BE3" s="1164"/>
      <c r="BF3" s="1157"/>
      <c r="BG3" s="1050"/>
      <c r="BH3" s="1050"/>
      <c r="BI3" s="1050"/>
      <c r="BJ3" s="1050"/>
      <c r="BK3" s="1050"/>
      <c r="BL3" s="1050"/>
      <c r="BM3" s="1050"/>
      <c r="BN3" s="1050"/>
      <c r="BO3" s="1050"/>
      <c r="BP3" s="1050"/>
      <c r="BQ3" s="1050"/>
      <c r="BR3" s="1050"/>
      <c r="BS3" s="1050"/>
      <c r="BT3" s="1050"/>
      <c r="BU3" s="1050"/>
      <c r="BV3" s="1050"/>
      <c r="BW3" s="1050"/>
      <c r="BX3" s="1050"/>
      <c r="BY3" s="1050"/>
      <c r="BZ3" s="1050"/>
      <c r="CA3" s="1050"/>
      <c r="CB3" s="1050"/>
      <c r="CC3" s="1050"/>
      <c r="CD3" s="1050"/>
      <c r="CE3" s="1050"/>
      <c r="CF3" s="1050"/>
      <c r="CG3" s="1050"/>
      <c r="CH3" s="1050"/>
      <c r="CI3" s="1050"/>
      <c r="CJ3" s="1050"/>
      <c r="CK3" s="1050"/>
      <c r="CL3" s="1050"/>
      <c r="CM3" s="1050"/>
      <c r="CN3" s="1050"/>
      <c r="CO3" s="1050"/>
      <c r="CP3" s="1050"/>
      <c r="CQ3" s="1050"/>
      <c r="CR3" s="1050"/>
      <c r="CS3" s="1050"/>
      <c r="CT3" s="1050"/>
      <c r="CU3" s="1050"/>
      <c r="CV3" s="1050"/>
      <c r="CW3" s="1050"/>
      <c r="CX3" s="1050"/>
      <c r="CY3" s="1050"/>
      <c r="CZ3" s="1050"/>
      <c r="DA3" s="1050"/>
      <c r="DB3" s="1050"/>
      <c r="DC3" s="1050"/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0"/>
      <c r="DW3" s="1050"/>
      <c r="DX3" s="1050"/>
      <c r="DY3" s="1050"/>
      <c r="DZ3" s="1050"/>
      <c r="EA3" s="1050"/>
      <c r="EB3" s="1050"/>
      <c r="EC3" s="1050"/>
      <c r="ED3" s="1050"/>
      <c r="EE3" s="1050"/>
      <c r="EF3" s="1050"/>
      <c r="EG3" s="1050"/>
      <c r="EH3" s="1050"/>
      <c r="EI3" s="1050"/>
      <c r="EJ3" s="1050"/>
      <c r="EK3" s="1050"/>
      <c r="EL3" s="1050"/>
      <c r="EM3" s="1050"/>
      <c r="EN3" s="1050"/>
      <c r="EO3" s="1050"/>
      <c r="EP3" s="1050"/>
      <c r="EQ3" s="1050"/>
      <c r="ER3" s="1051"/>
      <c r="ES3" s="1049"/>
      <c r="ET3" s="1050"/>
      <c r="EU3" s="1050"/>
      <c r="EV3" s="1050"/>
      <c r="EW3" s="1050"/>
      <c r="EX3" s="1050"/>
      <c r="EY3" s="1050"/>
      <c r="EZ3" s="1050"/>
      <c r="FA3" s="1050"/>
      <c r="FB3" s="1050"/>
      <c r="FC3" s="1050"/>
      <c r="FD3" s="1050"/>
      <c r="FE3" s="1050"/>
      <c r="FF3" s="1051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4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6"/>
      <c r="C4" s="1247"/>
      <c r="D4" s="1247"/>
      <c r="E4" s="1247"/>
      <c r="F4" s="1247"/>
      <c r="G4" s="1247"/>
      <c r="H4" s="1247"/>
      <c r="I4" s="1247"/>
      <c r="J4" s="1247"/>
      <c r="K4" s="1248"/>
      <c r="L4" s="985"/>
      <c r="M4" s="1244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$Q$4</f>
        <v>Polar XY; Cartesian Z</v>
      </c>
      <c r="X4" s="1168"/>
      <c r="Y4" s="1234"/>
      <c r="Z4" s="1187" t="s">
        <v>3</v>
      </c>
      <c r="AA4" s="1185"/>
      <c r="AB4" s="1185"/>
      <c r="AC4" s="1185"/>
      <c r="AD4" s="1185"/>
      <c r="AE4" s="1185"/>
      <c r="AF4" s="1185"/>
      <c r="AG4" s="1197" t="s">
        <v>31</v>
      </c>
      <c r="AH4" s="1185"/>
      <c r="AI4" s="1185"/>
      <c r="AJ4" s="1186"/>
      <c r="AK4" s="1149" t="s">
        <v>32</v>
      </c>
      <c r="AL4" s="1150"/>
      <c r="AM4" s="1150"/>
      <c r="AN4" s="1150"/>
      <c r="AO4" s="1150"/>
      <c r="AP4" s="1150"/>
      <c r="AQ4" s="1151"/>
      <c r="AS4" s="467">
        <v>125</v>
      </c>
      <c r="AT4" s="464" t="s">
        <v>46</v>
      </c>
      <c r="AV4" s="1202"/>
      <c r="AW4" s="1097" t="s">
        <v>112</v>
      </c>
      <c r="AX4" s="1001"/>
      <c r="AY4" s="924"/>
      <c r="AZ4" s="1162"/>
      <c r="BA4" s="1163"/>
      <c r="BB4" s="1165" t="s">
        <v>113</v>
      </c>
      <c r="BC4" s="1168" t="str">
        <f>$Q$4</f>
        <v>Polar XY; Cartesian Z</v>
      </c>
      <c r="BD4" s="1168"/>
      <c r="BE4" s="1169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158" t="s">
        <v>193</v>
      </c>
      <c r="CP4" s="1159"/>
      <c r="CQ4" s="1159"/>
      <c r="CR4" s="1159"/>
      <c r="CS4" s="1159"/>
      <c r="CT4" s="1159"/>
      <c r="CU4" s="1159"/>
      <c r="CV4" s="1159"/>
      <c r="CW4" s="1159"/>
      <c r="CX4" s="1159"/>
      <c r="CY4" s="1159"/>
      <c r="CZ4" s="1159"/>
      <c r="DA4" s="1160"/>
      <c r="DB4" s="1043" t="s">
        <v>162</v>
      </c>
      <c r="DC4" s="1044"/>
      <c r="DD4" s="1044"/>
      <c r="DE4" s="1044"/>
      <c r="DF4" s="1044"/>
      <c r="DG4" s="1044"/>
      <c r="DH4" s="1044"/>
      <c r="DI4" s="1044"/>
      <c r="DJ4" s="1044"/>
      <c r="DK4" s="1044"/>
      <c r="DL4" s="1044"/>
      <c r="DM4" s="1044"/>
      <c r="DN4" s="1044"/>
      <c r="DO4" s="1044"/>
      <c r="DP4" s="1044"/>
      <c r="DQ4" s="1044"/>
      <c r="DR4" s="1044"/>
      <c r="DS4" s="1044"/>
      <c r="DT4" s="1044"/>
      <c r="DU4" s="1044"/>
      <c r="DV4" s="1044"/>
      <c r="DW4" s="1044"/>
      <c r="DX4" s="1044"/>
      <c r="DY4" s="1044"/>
      <c r="DZ4" s="1044"/>
      <c r="EA4" s="1044"/>
      <c r="EB4" s="1044"/>
      <c r="EC4" s="1044"/>
      <c r="ED4" s="1044"/>
      <c r="EE4" s="1044"/>
      <c r="EF4" s="1044"/>
      <c r="EG4" s="1044"/>
      <c r="EH4" s="1044"/>
      <c r="EI4" s="1044"/>
      <c r="EJ4" s="1044"/>
      <c r="EK4" s="1044"/>
      <c r="EL4" s="1044"/>
      <c r="EM4" s="1044"/>
      <c r="EN4" s="1044"/>
      <c r="EO4" s="1044"/>
      <c r="EP4" s="1044"/>
      <c r="EQ4" s="1044"/>
      <c r="ER4" s="1045"/>
      <c r="ES4" s="1066" t="s">
        <v>196</v>
      </c>
      <c r="ET4" s="1067"/>
      <c r="EU4" s="1067"/>
      <c r="EV4" s="1067"/>
      <c r="EW4" s="1067"/>
      <c r="EX4" s="1067"/>
      <c r="EY4" s="1068"/>
      <c r="EZ4" s="1101" t="s">
        <v>201</v>
      </c>
      <c r="FA4" s="1102"/>
      <c r="FB4" s="1102"/>
      <c r="FC4" s="1102"/>
      <c r="FD4" s="1102"/>
      <c r="FE4" s="1102"/>
      <c r="FF4" s="1103"/>
      <c r="FG4" s="343"/>
      <c r="FP4" s="1033" t="s">
        <v>229</v>
      </c>
      <c r="FZ4" s="103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4" t="s">
        <v>236</v>
      </c>
      <c r="GK4" s="905"/>
      <c r="GL4" s="905"/>
      <c r="GM4" s="905"/>
      <c r="GN4" s="991"/>
      <c r="GO4" s="993" t="s">
        <v>229</v>
      </c>
      <c r="GP4" s="997" t="s">
        <v>228</v>
      </c>
      <c r="GR4" s="1003" t="s">
        <v>261</v>
      </c>
      <c r="GS4" s="933" t="s">
        <v>259</v>
      </c>
      <c r="GT4" s="876"/>
      <c r="GU4" s="876"/>
      <c r="GV4" s="876"/>
      <c r="GW4" s="876"/>
      <c r="GX4" s="876"/>
      <c r="GY4" s="876"/>
      <c r="GZ4" s="876"/>
      <c r="HA4" s="1080" t="str">
        <f>IFERROR(CONCATENATE("Lateral Forces = ",ROUND(HE3,0)," lbs @ ",ROUND(HF3,1),"° Relative to Blade 1"),"")</f>
        <v/>
      </c>
      <c r="HB4" s="1081"/>
      <c r="HC4" s="1081"/>
      <c r="HD4" s="1081"/>
      <c r="HE4" s="1081"/>
      <c r="HF4" s="1081"/>
      <c r="HG4" s="1081"/>
      <c r="HH4" s="1082"/>
      <c r="HI4" s="1088" t="s">
        <v>0</v>
      </c>
      <c r="HO4" s="1035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1" t="s">
        <v>381</v>
      </c>
      <c r="IF4" s="901"/>
      <c r="IG4" s="767" cm="1">
        <f t="array" ref="IG4">MAX(MOD(IF($IG$9:$IG$150="",0,($IG$9:$IG$150*1000)),100))</f>
        <v>23</v>
      </c>
      <c r="IL4" s="31"/>
      <c r="IM4" s="767"/>
    </row>
    <row r="5" spans="1:283" ht="15" customHeight="1" x14ac:dyDescent="0.25">
      <c r="B5" s="1235" t="str">
        <f>CONCATENATE(B7," ; ",E7," ; ",H7)</f>
        <v>Absolute-Point ; Incremental-Vector Point ; Pocket Info.</v>
      </c>
      <c r="C5" s="1236"/>
      <c r="D5" s="1236"/>
      <c r="E5" s="1236"/>
      <c r="F5" s="1236"/>
      <c r="G5" s="1236"/>
      <c r="H5" s="1236"/>
      <c r="I5" s="1236"/>
      <c r="J5" s="1236"/>
      <c r="K5" s="1237"/>
      <c r="L5" s="872" t="str" cm="1">
        <f t="array" ref="L5">IF(OR(IF(LEFT($K$9:$K$150,4)="&lt;&gt;CS",TRUE,FALSE)),"Wrong CS","")</f>
        <v/>
      </c>
      <c r="M5" s="1244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about Z Axis")</f>
        <v>Relative to 1.109's θ about Z Axis</v>
      </c>
      <c r="U5" s="1138"/>
      <c r="V5" s="1139"/>
      <c r="W5" s="1138" t="str">
        <f>CONCATENATE("Relative to ",M8,"'s θ about Z Axis")</f>
        <v>Relative to 1.109's θ about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02"/>
      <c r="AW5" s="1178"/>
      <c r="AX5" s="1179"/>
      <c r="AY5" s="1180"/>
      <c r="AZ5" s="1009"/>
      <c r="BA5" s="914"/>
      <c r="BB5" s="1166"/>
      <c r="BC5" s="1174" t="str">
        <f>$W$5</f>
        <v>Relative to 1.109's θ about Z Axis</v>
      </c>
      <c r="BD5" s="1138"/>
      <c r="BE5" s="1175"/>
      <c r="BF5" s="933" t="s">
        <v>128</v>
      </c>
      <c r="BG5" s="876"/>
      <c r="BH5" s="876"/>
      <c r="BI5" s="876"/>
      <c r="BJ5" s="876"/>
      <c r="BK5" s="876"/>
      <c r="BL5" s="876"/>
      <c r="BM5" s="876"/>
      <c r="BN5" s="876"/>
      <c r="BO5" s="876"/>
      <c r="BP5" s="876"/>
      <c r="BQ5" s="876"/>
      <c r="BR5" s="877"/>
      <c r="BS5" s="933" t="s">
        <v>130</v>
      </c>
      <c r="BT5" s="876"/>
      <c r="BU5" s="876"/>
      <c r="BV5" s="876"/>
      <c r="BW5" s="876"/>
      <c r="BX5" s="876"/>
      <c r="BY5" s="876"/>
      <c r="BZ5" s="876"/>
      <c r="CA5" s="876"/>
      <c r="CB5" s="876"/>
      <c r="CC5" s="876"/>
      <c r="CD5" s="876"/>
      <c r="CE5" s="877"/>
      <c r="CF5" s="933" t="s">
        <v>138</v>
      </c>
      <c r="CG5" s="876"/>
      <c r="CH5" s="877"/>
      <c r="CI5" s="933" t="s">
        <v>139</v>
      </c>
      <c r="CJ5" s="876"/>
      <c r="CK5" s="876"/>
      <c r="CL5" s="876"/>
      <c r="CM5" s="876"/>
      <c r="CN5" s="877"/>
      <c r="CO5" s="1015" t="s">
        <v>275</v>
      </c>
      <c r="CP5" s="1015" t="s">
        <v>149</v>
      </c>
      <c r="CQ5" s="1001"/>
      <c r="CR5" s="1001"/>
      <c r="CS5" s="934"/>
      <c r="CT5" s="1001" t="s">
        <v>150</v>
      </c>
      <c r="CU5" s="924"/>
      <c r="CV5" s="933" t="s">
        <v>161</v>
      </c>
      <c r="CW5" s="876"/>
      <c r="CX5" s="876"/>
      <c r="CY5" s="876"/>
      <c r="CZ5" s="876"/>
      <c r="DA5" s="877"/>
      <c r="DB5" s="933" t="s">
        <v>163</v>
      </c>
      <c r="DC5" s="876"/>
      <c r="DD5" s="876"/>
      <c r="DE5" s="876"/>
      <c r="DF5" s="876"/>
      <c r="DG5" s="876"/>
      <c r="DH5" s="877"/>
      <c r="DI5" s="1022" t="s">
        <v>173</v>
      </c>
      <c r="DJ5" s="1022"/>
      <c r="DK5" s="1130"/>
      <c r="DL5" s="1021" t="s">
        <v>174</v>
      </c>
      <c r="DM5" s="1022"/>
      <c r="DN5" s="1023"/>
      <c r="DO5" s="1132" t="s">
        <v>175</v>
      </c>
      <c r="DP5" s="1133"/>
      <c r="DQ5" s="1133"/>
      <c r="DR5" s="1014" t="s">
        <v>187</v>
      </c>
      <c r="DS5" s="1014"/>
      <c r="DT5" s="1014"/>
      <c r="DU5" s="1014"/>
      <c r="DV5" s="1014"/>
      <c r="DW5" s="1014"/>
      <c r="DX5" s="1015" t="s">
        <v>190</v>
      </c>
      <c r="DY5" s="955" t="s">
        <v>149</v>
      </c>
      <c r="DZ5" s="1014"/>
      <c r="EA5" s="1014"/>
      <c r="EB5" s="1014"/>
      <c r="EC5" s="1014" t="s">
        <v>150</v>
      </c>
      <c r="ED5" s="1014"/>
      <c r="EE5" s="1003" t="s">
        <v>194</v>
      </c>
      <c r="EF5" s="1003"/>
      <c r="EG5" s="1011"/>
      <c r="EH5" s="1027" t="s">
        <v>195</v>
      </c>
      <c r="EI5" s="1028"/>
      <c r="EJ5" s="1029"/>
      <c r="EK5" s="1014" t="s">
        <v>188</v>
      </c>
      <c r="EL5" s="1015"/>
      <c r="EM5" s="933" t="s">
        <v>189</v>
      </c>
      <c r="EN5" s="876"/>
      <c r="EO5" s="876"/>
      <c r="EP5" s="876"/>
      <c r="EQ5" s="876"/>
      <c r="ER5" s="1123"/>
      <c r="ES5" s="1097" t="s">
        <v>202</v>
      </c>
      <c r="ET5" s="1001"/>
      <c r="EU5" s="934"/>
      <c r="EV5" s="1069" t="s">
        <v>222</v>
      </c>
      <c r="EW5" s="1070"/>
      <c r="EX5" s="1070"/>
      <c r="EY5" s="1071"/>
      <c r="EZ5" s="1058" t="s">
        <v>200</v>
      </c>
      <c r="FA5" s="928" t="s">
        <v>202</v>
      </c>
      <c r="FB5" s="1111"/>
      <c r="FC5" s="929"/>
      <c r="FD5" s="1115" t="s">
        <v>222</v>
      </c>
      <c r="FE5" s="1116"/>
      <c r="FF5" s="1117"/>
      <c r="FP5" s="1035"/>
      <c r="FQ5" s="31"/>
      <c r="FR5" s="31"/>
      <c r="FS5" s="31"/>
      <c r="FT5" s="31"/>
      <c r="FZ5" s="1035"/>
      <c r="GJ5" s="989" t="s">
        <v>269</v>
      </c>
      <c r="GK5" s="1037" t="s">
        <v>267</v>
      </c>
      <c r="GL5" s="1039" t="s">
        <v>110</v>
      </c>
      <c r="GM5" s="1039" t="s">
        <v>111</v>
      </c>
      <c r="GN5" s="1040"/>
      <c r="GO5" s="994"/>
      <c r="GP5" s="998"/>
      <c r="GQ5" s="31"/>
      <c r="GR5" s="985"/>
      <c r="GS5" s="1009" t="s">
        <v>248</v>
      </c>
      <c r="GT5" s="1010"/>
      <c r="GU5" s="1005" t="s">
        <v>249</v>
      </c>
      <c r="GV5" s="1006"/>
      <c r="GW5" s="1007"/>
      <c r="GX5" s="1008"/>
      <c r="GY5" s="992" t="s">
        <v>107</v>
      </c>
      <c r="GZ5" s="916"/>
      <c r="HA5" s="1077" t="s">
        <v>248</v>
      </c>
      <c r="HB5" s="1078"/>
      <c r="HC5" s="1078"/>
      <c r="HD5" s="1079"/>
      <c r="HE5" s="1094" t="s">
        <v>249</v>
      </c>
      <c r="HF5" s="1078"/>
      <c r="HG5" s="1078"/>
      <c r="HH5" s="1095"/>
      <c r="HI5" s="1089"/>
      <c r="HN5" s="386" t="s">
        <v>263</v>
      </c>
      <c r="HO5" s="58" t="s">
        <v>264</v>
      </c>
      <c r="HS5" s="1083" t="s">
        <v>274</v>
      </c>
      <c r="HZ5" s="383"/>
    </row>
    <row r="6" spans="1:283" ht="15" customHeight="1" thickBot="1" x14ac:dyDescent="0.4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>Inactive Element</v>
      </c>
      <c r="M6" s="1244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$Q$6</f>
        <v>Projected XY</v>
      </c>
      <c r="X6" s="1171"/>
      <c r="Y6" s="1212" t="str">
        <f>$S$6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140" t="str">
        <f>AD6</f>
        <v>Unit Vector</v>
      </c>
      <c r="AL6" s="1141"/>
      <c r="AM6" s="1142"/>
      <c r="AN6" s="34" t="s">
        <v>15</v>
      </c>
      <c r="AO6" s="35" t="s">
        <v>16</v>
      </c>
      <c r="AP6" s="737" t="s">
        <v>17</v>
      </c>
      <c r="AQ6" s="1204" t="s">
        <v>108</v>
      </c>
      <c r="AS6" s="172">
        <f>(AS5/360)</f>
        <v>6.9444444444444447E-4</v>
      </c>
      <c r="AT6" s="465" t="s">
        <v>48</v>
      </c>
      <c r="AV6" s="1202"/>
      <c r="AW6" s="1195" t="s">
        <v>105</v>
      </c>
      <c r="AX6" s="1196"/>
      <c r="AY6" s="195" t="s">
        <v>110</v>
      </c>
      <c r="AZ6" s="1176" t="s">
        <v>111</v>
      </c>
      <c r="BA6" s="1177"/>
      <c r="BB6" s="1167"/>
      <c r="BC6" s="1170" t="str">
        <f>$Q$6</f>
        <v>Projected XY</v>
      </c>
      <c r="BD6" s="1171"/>
      <c r="BE6" s="1172" t="str">
        <f>$S$6</f>
        <v>Z</v>
      </c>
      <c r="BF6" s="883" t="s">
        <v>125</v>
      </c>
      <c r="BG6" s="879"/>
      <c r="BH6" s="988"/>
      <c r="BI6" s="881" t="s">
        <v>126</v>
      </c>
      <c r="BJ6" s="879"/>
      <c r="BK6" s="880"/>
      <c r="BL6" s="884" t="s">
        <v>127</v>
      </c>
      <c r="BM6" s="879"/>
      <c r="BN6" s="885"/>
      <c r="BO6" s="883" t="s">
        <v>135</v>
      </c>
      <c r="BP6" s="879"/>
      <c r="BQ6" s="879"/>
      <c r="BR6" s="885"/>
      <c r="BS6" s="883" t="s">
        <v>125</v>
      </c>
      <c r="BT6" s="879"/>
      <c r="BU6" s="988"/>
      <c r="BV6" s="881" t="s">
        <v>126</v>
      </c>
      <c r="BW6" s="879"/>
      <c r="BX6" s="880"/>
      <c r="BY6" s="884" t="s">
        <v>127</v>
      </c>
      <c r="BZ6" s="879"/>
      <c r="CA6" s="885"/>
      <c r="CB6" s="883" t="s">
        <v>135</v>
      </c>
      <c r="CC6" s="879"/>
      <c r="CD6" s="879"/>
      <c r="CE6" s="885"/>
      <c r="CF6" s="889" t="s">
        <v>136</v>
      </c>
      <c r="CG6" s="1125"/>
      <c r="CH6" s="1125"/>
      <c r="CI6" s="1127" t="s">
        <v>137</v>
      </c>
      <c r="CJ6" s="1125"/>
      <c r="CK6" s="890"/>
      <c r="CL6" s="1124" t="s">
        <v>140</v>
      </c>
      <c r="CM6" s="1125"/>
      <c r="CN6" s="1126"/>
      <c r="CO6" s="1017"/>
      <c r="CP6" s="1017"/>
      <c r="CQ6" s="1099"/>
      <c r="CR6" s="1099"/>
      <c r="CS6" s="1100"/>
      <c r="CT6" s="1099"/>
      <c r="CU6" s="1161"/>
      <c r="CV6" s="1183" t="s">
        <v>147</v>
      </c>
      <c r="CW6" s="879"/>
      <c r="CX6" s="880"/>
      <c r="CY6" s="1118" t="s">
        <v>148</v>
      </c>
      <c r="CZ6" s="1073"/>
      <c r="DA6" s="1119"/>
      <c r="DB6" s="1128" t="s">
        <v>176</v>
      </c>
      <c r="DC6" s="1064"/>
      <c r="DD6" s="1065"/>
      <c r="DE6" s="1129" t="s">
        <v>177</v>
      </c>
      <c r="DF6" s="1064"/>
      <c r="DG6" s="1065"/>
      <c r="DH6" s="253" t="s">
        <v>29</v>
      </c>
      <c r="DI6" s="1025"/>
      <c r="DJ6" s="1025"/>
      <c r="DK6" s="1131"/>
      <c r="DL6" s="1024"/>
      <c r="DM6" s="1025"/>
      <c r="DN6" s="1026"/>
      <c r="DO6" s="1134"/>
      <c r="DP6" s="1135"/>
      <c r="DQ6" s="1135"/>
      <c r="DR6" s="1016"/>
      <c r="DS6" s="1016"/>
      <c r="DT6" s="1016"/>
      <c r="DU6" s="1016"/>
      <c r="DV6" s="1016"/>
      <c r="DW6" s="1016"/>
      <c r="DX6" s="1017"/>
      <c r="DY6" s="1136"/>
      <c r="DZ6" s="1016"/>
      <c r="EA6" s="1016"/>
      <c r="EB6" s="1016"/>
      <c r="EC6" s="1016"/>
      <c r="ED6" s="1016"/>
      <c r="EE6" s="1012"/>
      <c r="EF6" s="1012"/>
      <c r="EG6" s="1013"/>
      <c r="EH6" s="1030"/>
      <c r="EI6" s="1031"/>
      <c r="EJ6" s="1032"/>
      <c r="EK6" s="1016"/>
      <c r="EL6" s="1017"/>
      <c r="EM6" s="1018" t="s">
        <v>199</v>
      </c>
      <c r="EN6" s="1019"/>
      <c r="EO6" s="1020"/>
      <c r="EP6" s="1104" t="s">
        <v>198</v>
      </c>
      <c r="EQ6" s="1019"/>
      <c r="ER6" s="1106"/>
      <c r="ES6" s="1098"/>
      <c r="ET6" s="1099"/>
      <c r="EU6" s="1100"/>
      <c r="EV6" s="274" t="s">
        <v>221</v>
      </c>
      <c r="EW6" s="1104" t="s">
        <v>202</v>
      </c>
      <c r="EX6" s="1019"/>
      <c r="EY6" s="1105"/>
      <c r="EZ6" s="1059"/>
      <c r="FA6" s="1112"/>
      <c r="FB6" s="1113"/>
      <c r="FC6" s="1114"/>
      <c r="FD6" s="1018" t="s">
        <v>202</v>
      </c>
      <c r="FE6" s="1019"/>
      <c r="FF6" s="1106"/>
      <c r="FG6" s="1108" t="s">
        <v>224</v>
      </c>
      <c r="FH6" s="1109"/>
      <c r="FI6" s="1110"/>
      <c r="FJ6" s="1014" t="s">
        <v>203</v>
      </c>
      <c r="FK6" s="1015" t="s">
        <v>214</v>
      </c>
      <c r="FL6" s="1001"/>
      <c r="FM6" s="934"/>
      <c r="FN6" s="1054" t="s">
        <v>204</v>
      </c>
      <c r="FO6" s="1061" t="s">
        <v>227</v>
      </c>
      <c r="FP6" s="1052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5" t="s">
        <v>218</v>
      </c>
      <c r="FV6" s="1001"/>
      <c r="FW6" s="934"/>
      <c r="FX6" s="1054" t="s">
        <v>219</v>
      </c>
      <c r="FY6" s="1061" t="s">
        <v>227</v>
      </c>
      <c r="FZ6" s="1052" t="s">
        <v>225</v>
      </c>
      <c r="GA6" s="1056" t="s">
        <v>239</v>
      </c>
      <c r="GB6" s="336" t="s">
        <v>207</v>
      </c>
      <c r="GC6" s="337" t="s">
        <v>240</v>
      </c>
      <c r="GD6" s="338" t="s">
        <v>226</v>
      </c>
      <c r="GE6" s="986"/>
      <c r="GF6" s="1011" t="s">
        <v>260</v>
      </c>
      <c r="GG6" s="336" t="s">
        <v>207</v>
      </c>
      <c r="GH6" s="337" t="s">
        <v>240</v>
      </c>
      <c r="GI6" s="338" t="s">
        <v>226</v>
      </c>
      <c r="GJ6" s="990"/>
      <c r="GK6" s="1038"/>
      <c r="GL6" s="1041"/>
      <c r="GM6" s="1041"/>
      <c r="GN6" s="1042"/>
      <c r="GO6" s="995" t="s">
        <v>238</v>
      </c>
      <c r="GP6" s="999" t="s">
        <v>225</v>
      </c>
      <c r="GQ6" s="1001" t="s">
        <v>203</v>
      </c>
      <c r="GR6" s="985"/>
      <c r="GS6" s="1086" t="s">
        <v>252</v>
      </c>
      <c r="GT6" s="1087"/>
      <c r="GU6" s="1072" t="s">
        <v>251</v>
      </c>
      <c r="GV6" s="1073"/>
      <c r="GW6" s="1073"/>
      <c r="GX6" s="361" t="s">
        <v>106</v>
      </c>
      <c r="GY6" s="881" t="s">
        <v>250</v>
      </c>
      <c r="GZ6" s="988"/>
      <c r="HA6" s="1063" t="s">
        <v>252</v>
      </c>
      <c r="HB6" s="1064"/>
      <c r="HC6" s="1064"/>
      <c r="HD6" s="1065"/>
      <c r="HE6" s="881" t="s">
        <v>251</v>
      </c>
      <c r="HF6" s="879"/>
      <c r="HG6" s="879"/>
      <c r="HH6" s="885"/>
      <c r="HI6" s="1089"/>
      <c r="HN6" s="972" t="s">
        <v>238</v>
      </c>
      <c r="HO6" s="975" t="s">
        <v>265</v>
      </c>
      <c r="HP6" s="955" t="s">
        <v>203</v>
      </c>
      <c r="HQ6" s="391"/>
      <c r="HS6" s="1084"/>
      <c r="HT6" s="907" t="s">
        <v>270</v>
      </c>
      <c r="HU6" s="905"/>
      <c r="HV6" s="991"/>
      <c r="HW6" s="933" t="s">
        <v>258</v>
      </c>
      <c r="HX6" s="876"/>
      <c r="HY6" s="877"/>
      <c r="HZ6" s="933" t="s">
        <v>249</v>
      </c>
      <c r="IA6" s="907"/>
      <c r="IE6" s="853"/>
      <c r="IF6" s="853"/>
    </row>
    <row r="7" spans="1:283" ht="15" customHeight="1" thickBot="1" x14ac:dyDescent="0.4">
      <c r="A7" s="143"/>
      <c r="B7" s="1252" t="s">
        <v>40</v>
      </c>
      <c r="C7" s="1253"/>
      <c r="D7" s="1254"/>
      <c r="E7" s="1255" t="s">
        <v>41</v>
      </c>
      <c r="F7" s="1253"/>
      <c r="G7" s="1256"/>
      <c r="H7" s="1231" t="s">
        <v>98</v>
      </c>
      <c r="I7" s="1232"/>
      <c r="J7" s="1233"/>
      <c r="K7" s="173"/>
      <c r="L7" s="985"/>
      <c r="M7" s="125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$Q$7</f>
        <v>&lt; θ°</v>
      </c>
      <c r="X7" s="27" t="str">
        <f>$R$7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5"/>
      <c r="AS7" s="1210" t="s">
        <v>54</v>
      </c>
      <c r="AT7" s="1208" t="s">
        <v>53</v>
      </c>
      <c r="AV7" s="1202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7"/>
      <c r="BC7" s="37" t="str">
        <f>$Q$7</f>
        <v>&lt; θ°</v>
      </c>
      <c r="BD7" s="27" t="str">
        <f>$R$7</f>
        <v>r</v>
      </c>
      <c r="BE7" s="1173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60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7"/>
      <c r="FK7" s="350" t="s">
        <v>211</v>
      </c>
      <c r="FL7" s="351" t="s">
        <v>212</v>
      </c>
      <c r="FM7" s="352" t="s">
        <v>213</v>
      </c>
      <c r="FN7" s="1055"/>
      <c r="FO7" s="1062"/>
      <c r="FP7" s="1053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5"/>
      <c r="FY7" s="1062"/>
      <c r="FZ7" s="1053"/>
      <c r="GA7" s="1057"/>
      <c r="GB7" s="223" t="s">
        <v>232</v>
      </c>
      <c r="GC7" s="131" t="s">
        <v>233</v>
      </c>
      <c r="GD7" s="224" t="s">
        <v>234</v>
      </c>
      <c r="GE7" s="987"/>
      <c r="GF7" s="1036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6"/>
      <c r="GP7" s="1000"/>
      <c r="GQ7" s="1002"/>
      <c r="GR7" s="100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90"/>
      <c r="HJ7" s="31"/>
      <c r="HK7" s="1033" t="s">
        <v>246</v>
      </c>
      <c r="HL7" s="1033" t="s">
        <v>237</v>
      </c>
      <c r="HM7" s="923" t="s">
        <v>245</v>
      </c>
      <c r="HN7" s="973"/>
      <c r="HO7" s="1096"/>
      <c r="HP7" s="1091"/>
      <c r="HQ7" s="392"/>
      <c r="HR7" s="412"/>
      <c r="HS7" s="1084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221" t="s">
        <v>364</v>
      </c>
      <c r="JC7" s="1221"/>
      <c r="JD7" s="1221"/>
      <c r="JE7" s="1222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5"/>
      <c r="M8" s="462" cm="1">
        <f t="array" ref="M8">IF(AND(ISNUMBER('SN#.Run#'!$P$1),COUNT($M$9:$M$150)&gt;='SN#.Run#'!$P$1),INDEX($M$9:$M$150,'SN#.Run#'!$P$1),"")</f>
        <v>1.109</v>
      </c>
      <c r="N8" s="608"/>
      <c r="O8" s="609"/>
      <c r="P8" s="619"/>
      <c r="Q8" s="611">
        <f>IFERROR(INDEX(Q$9:Q$150,MATCH($M$8,$M$9:$M$150,0)),"")</f>
        <v>88.526000212819241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-0.14940045059175905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1"/>
      <c r="AT8" s="1209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3"/>
      <c r="HL8" s="1093"/>
      <c r="HM8" s="935"/>
      <c r="HN8" s="974"/>
      <c r="HO8" s="976"/>
      <c r="HP8" s="1092"/>
      <c r="HQ8" s="393" t="s">
        <v>49</v>
      </c>
      <c r="HR8" s="413" t="s">
        <v>51</v>
      </c>
      <c r="HS8" s="1085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0.29450088821467885</v>
      </c>
      <c r="D9" s="704">
        <v>-0.27930084237134062</v>
      </c>
      <c r="E9" s="705">
        <v>-0.93969263802333458</v>
      </c>
      <c r="F9" s="703">
        <v>-5.9391157902228882E-2</v>
      </c>
      <c r="G9" s="706">
        <v>0.33682404369014229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0.29450088821467885</v>
      </c>
      <c r="P9" s="625">
        <f t="shared" ref="P9:P40" si="4">IF(M9="","",D9)</f>
        <v>-0.27930084237134062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0.29450088821467885</v>
      </c>
      <c r="S9" s="626">
        <f>IF(M9="","",P9)</f>
        <v>-0.27930084237134062</v>
      </c>
      <c r="T9" s="627">
        <f>IF(M9="","",X9*COS(RADIANS(W9)))</f>
        <v>0.29440343812628661</v>
      </c>
      <c r="U9" s="624">
        <f>IF(M9="","",X9*SIN(RADIANS(W9)))</f>
        <v>7.5755381760309508E-3</v>
      </c>
      <c r="V9" s="628">
        <f>IF(M9="","",Y9)</f>
        <v>-0.27930084237134062</v>
      </c>
      <c r="W9" s="583">
        <f t="shared" ref="W9:W14" si="5">IF(M9="","",IF(Q9-$Q$8&lt;0,360+Q9-$Q$8,Q9-$Q$8))</f>
        <v>1.4739997871807589</v>
      </c>
      <c r="X9" s="629">
        <f>IF(M9="","",R9)</f>
        <v>0.29450088821467885</v>
      </c>
      <c r="Y9" s="630">
        <f>IF(M9="","",S9)</f>
        <v>-0.27930084237134062</v>
      </c>
      <c r="Z9" s="623">
        <f t="shared" ref="Z9:Z40" si="6">IF(M9="","",-E9)</f>
        <v>0.93969263802333458</v>
      </c>
      <c r="AA9" s="624">
        <f t="shared" ref="AA9:AA40" si="7">IF(M9="","",-F9)</f>
        <v>5.9391157902228882E-2</v>
      </c>
      <c r="AB9" s="624">
        <f t="shared" ref="AB9:AB40" si="8">IF(M9="","",-G9)</f>
        <v>-0.33682404369014229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5.9391157902228882E-2</v>
      </c>
      <c r="AF9" s="625">
        <f>IF(M9="","",AB9*(1/SQRT(Z9^2+AA9^2+AB9^2)))</f>
        <v>-0.33682404369014229</v>
      </c>
      <c r="AG9" s="599">
        <f>IF(M9="","",DEGREES(ATAN2(-AF9,AE9)))</f>
        <v>9.9999985561788467</v>
      </c>
      <c r="AH9" s="600">
        <f>IF(M9="","",DEGREES(ACOS(AD9)))</f>
        <v>19.999997112357679</v>
      </c>
      <c r="AI9" s="583">
        <f>IF(M9="","",DEGREES(-ACOS(-AF9)))</f>
        <v>-70.316504667624201</v>
      </c>
      <c r="AJ9" s="601">
        <f>IF(M9="","",DEGREES(ATAN2(-AE9,AD9)))</f>
        <v>93.616440491936203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5.9391157902228882E-2</v>
      </c>
      <c r="AM9" s="626">
        <f>IF(M9="","",AF9)</f>
        <v>-0.33682404369014229</v>
      </c>
      <c r="AN9" s="581">
        <f>IF(M9="","",DEGREES(ATAN2(-AM9,AL9)))</f>
        <v>9.9999985561788467</v>
      </c>
      <c r="AO9" s="582">
        <f>IF(ROUND(IF(M9="",0,DEGREES(ACOS(AK9))),4)=90,0,IF(M9="","",DEGREES(ACOS(AK9))))</f>
        <v>19.999997112357679</v>
      </c>
      <c r="AP9" s="781">
        <f>IF(M9="","",DEGREES(ATAN2(AK9,AL9)))</f>
        <v>3.616440491936205</v>
      </c>
      <c r="AQ9" s="584">
        <f t="shared" ref="AQ9:AQ40" si="9">IF(M9="","",DEGREES(ATAN(($AS$5*SIN(RADIANS(90)))/(($X9*2*PI())-($AS$5*COS(RADIANS(90)))))))</f>
        <v>7.6943929915011777</v>
      </c>
      <c r="AS9" s="51">
        <f>IF(M9="","",W9)</f>
        <v>1.4739997871807589</v>
      </c>
      <c r="AT9" s="71">
        <f t="shared" ref="AT9:AT40" si="10">IF(M9="","",Y9+(((AS9-$AS$9)*$AS$6)*-1))</f>
        <v>-0.27930084237134062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23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6.6161943596556377E-16</v>
      </c>
      <c r="C10" s="708">
        <v>0.88830267912088023</v>
      </c>
      <c r="D10" s="709">
        <v>-0.17830053775442212</v>
      </c>
      <c r="E10" s="710">
        <v>-0.95371696400905337</v>
      </c>
      <c r="F10" s="708">
        <v>-5.2216999332010662E-2</v>
      </c>
      <c r="G10" s="711">
        <v>0.29613736262436535</v>
      </c>
      <c r="H10" s="710">
        <v>0.26600000000000001</v>
      </c>
      <c r="I10" s="708">
        <v>0.52</v>
      </c>
      <c r="J10" s="570">
        <v>1.103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1313</v>
      </c>
      <c r="M10" s="168">
        <f t="shared" si="1"/>
        <v>1.103</v>
      </c>
      <c r="N10" s="632">
        <f t="shared" si="2"/>
        <v>6.6161943596556377E-16</v>
      </c>
      <c r="O10" s="629">
        <f t="shared" si="3"/>
        <v>0.88830267912088023</v>
      </c>
      <c r="P10" s="633">
        <f t="shared" si="4"/>
        <v>-0.17830053775442212</v>
      </c>
      <c r="Q10" s="585">
        <f>IF(M10="","",IF(DEGREES(ATAN2(N10,O10))&lt;0,DEGREES(ATAN2(N10,O10))+360,IF(DEGREES(ATAN2(N10,O10))&gt;360,DEGREES(ATAN2(N10,O10))-360,DEGREES(ATAN2(N10,O10)))))</f>
        <v>89.999999999999957</v>
      </c>
      <c r="R10" s="629">
        <f t="shared" ref="R10:R105" si="79">IF(M10="","",SQRT(N10^2+O10^2))</f>
        <v>0.88830267912088023</v>
      </c>
      <c r="S10" s="634">
        <f t="shared" ref="S10:S105" si="80">IF(M10="","",P10)</f>
        <v>-0.17830053775442212</v>
      </c>
      <c r="T10" s="635">
        <f t="shared" ref="T10:T105" si="81">IF(M10="","",X10*COS(RADIANS(W10)))</f>
        <v>0.88800874053507772</v>
      </c>
      <c r="U10" s="629">
        <f t="shared" ref="U10:U105" si="82">IF(M10="","",X10*SIN(RADIANS(W10)))</f>
        <v>2.285008679717521E-2</v>
      </c>
      <c r="V10" s="636">
        <f>IF(M10="","",Y10)</f>
        <v>-0.17830053775442212</v>
      </c>
      <c r="W10" s="585">
        <f t="shared" si="5"/>
        <v>1.4739997871807162</v>
      </c>
      <c r="X10" s="629">
        <f t="shared" ref="X10:X105" si="83">IF(M10="","",R10)</f>
        <v>0.88830267912088023</v>
      </c>
      <c r="Y10" s="630">
        <f>IF(M10="","",S10)</f>
        <v>-0.17830053775442212</v>
      </c>
      <c r="Z10" s="632">
        <f t="shared" si="6"/>
        <v>0.95371696400905337</v>
      </c>
      <c r="AA10" s="629">
        <f t="shared" si="7"/>
        <v>5.2216999332010662E-2</v>
      </c>
      <c r="AB10" s="629">
        <f t="shared" si="8"/>
        <v>-0.29613736262436535</v>
      </c>
      <c r="AC10" s="636">
        <f t="shared" ref="AC10:AC105" si="84">IF(M10="","",SQRT(Z10^2+AA10^2+AB10^2))</f>
        <v>1</v>
      </c>
      <c r="AD10" s="637">
        <f>IF(M10="","",Z10*(1/SQRT(Z10^2+AA10^2+AB10^2)))</f>
        <v>0.95371696400905337</v>
      </c>
      <c r="AE10" s="629">
        <f t="shared" ref="AE10:AE105" si="85">IF(M10="","",AA10*(1/SQRT(Z10^2+AA10^2+AB10^2)))</f>
        <v>5.2216999332010662E-2</v>
      </c>
      <c r="AF10" s="633">
        <f t="shared" ref="AF10:AF105" si="86">IF(M10="","",AB10*(1/SQRT(Z10^2+AA10^2+AB10^2)))</f>
        <v>-0.29613736262436535</v>
      </c>
      <c r="AG10" s="602">
        <f t="shared" ref="AG10:AG105" si="87">IF(M10="","",DEGREES(ATAN2(-AF10,AE10)))</f>
        <v>9.9999985561788431</v>
      </c>
      <c r="AH10" s="603">
        <f t="shared" ref="AH10:AH105" si="88">IF(M10="","",DEGREES(ACOS(AD10)))</f>
        <v>17.49999747331298</v>
      </c>
      <c r="AI10" s="585">
        <f t="shared" ref="AI10:AI105" si="89">IF(M10="","",DEGREES(-ACOS(-AF10)))</f>
        <v>-72.774248855664737</v>
      </c>
      <c r="AJ10" s="586">
        <f t="shared" ref="AJ10:AJ105" si="90">IF(M10="","",DEGREES(ATAN2(-AE10,AD10)))</f>
        <v>93.133874788820194</v>
      </c>
      <c r="AK10" s="635">
        <f>IF(M10="","",(COS(RADIANS((90-$Q$8)-W10))*AD10)+(-SIN(RADIANS((90-$Q$8)-W10))*AE10))</f>
        <v>0.95371696400905337</v>
      </c>
      <c r="AL10" s="629">
        <f t="shared" ref="AL10:AL105" si="91">IF(M10="","",(SIN(RADIANS((90-$Q$8)-W10))*AD10)+(COS(RADIANS((90-$Q$8)-W10))*AE10))</f>
        <v>5.221699933201137E-2</v>
      </c>
      <c r="AM10" s="634">
        <f t="shared" ref="AM10:AM105" si="92">IF(M10="","",AF10)</f>
        <v>-0.29613736262436535</v>
      </c>
      <c r="AN10" s="581">
        <f t="shared" ref="AN10:AN105" si="93">IF(M10="","",DEGREES(ATAN2(-AM10,AL10)))</f>
        <v>9.9999985561789764</v>
      </c>
      <c r="AO10" s="582">
        <f t="shared" ref="AO10:AO54" si="94">IF(ROUND(IF(M10="",0,DEGREES(ACOS(AK10))),4)=90,0,IF(M10="","",DEGREES(ACOS(AK10))))</f>
        <v>17.49999747331298</v>
      </c>
      <c r="AP10" s="585">
        <f t="shared" ref="AP10:AP105" si="95">IF(M10="","",DEGREES(ATAN2(AK10,AL10)))</f>
        <v>3.1338747888202336</v>
      </c>
      <c r="AQ10" s="586">
        <f t="shared" si="9"/>
        <v>2.5646706965492365</v>
      </c>
      <c r="AS10" s="52">
        <f>IF($M10="","",IF(AND($W10&lt;($AS$9+180),$W10&gt;($AS$9-180)),$W10,IF($W10&gt;($AS$9+180),$W10-360,IF($W10&lt;($AS$9-180),$W10+360,"Error"))))</f>
        <v>1.4739997871807162</v>
      </c>
      <c r="AT10" s="72">
        <f t="shared" si="10"/>
        <v>-0.17830053775442209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1.103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1313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3.7136058663873579E-16</v>
      </c>
      <c r="C11" s="708">
        <v>1.4918044992823702</v>
      </c>
      <c r="D11" s="709">
        <v>-7.1900216851054133E-2</v>
      </c>
      <c r="E11" s="710">
        <v>-0.95371696400905337</v>
      </c>
      <c r="F11" s="708">
        <v>-3.1432306199935513E-2</v>
      </c>
      <c r="G11" s="711">
        <v>0.29905846031889405</v>
      </c>
      <c r="H11" s="710">
        <v>0.26600000000000001</v>
      </c>
      <c r="I11" s="708">
        <v>0.52</v>
      </c>
      <c r="J11" s="570">
        <v>1.105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1313</v>
      </c>
      <c r="L11" s="779" t="s">
        <v>332</v>
      </c>
      <c r="M11" s="168">
        <f t="shared" si="1"/>
        <v>1.105</v>
      </c>
      <c r="N11" s="632">
        <f t="shared" si="2"/>
        <v>3.7136058663873579E-16</v>
      </c>
      <c r="O11" s="629">
        <f t="shared" si="3"/>
        <v>1.4918044992823702</v>
      </c>
      <c r="P11" s="633">
        <f t="shared" si="4"/>
        <v>-7.1900216851054133E-2</v>
      </c>
      <c r="Q11" s="585">
        <f t="shared" ref="Q11:Q73" si="113">IF(M11="","",IF(DEGREES(ATAN2(N11,O11))&lt;0,DEGREES(ATAN2(N11,O11))+360,IF(DEGREES(ATAN2(N11,O11))&gt;360,DEGREES(ATAN2(N11,O11))-360,DEGREES(ATAN2(N11,O11)))))</f>
        <v>89.999999999999986</v>
      </c>
      <c r="R11" s="629">
        <f t="shared" si="79"/>
        <v>1.4918044992823702</v>
      </c>
      <c r="S11" s="634">
        <f t="shared" si="80"/>
        <v>-7.1900216851054133E-2</v>
      </c>
      <c r="T11" s="635">
        <f t="shared" si="81"/>
        <v>1.491310862467893</v>
      </c>
      <c r="U11" s="629">
        <f t="shared" si="82"/>
        <v>3.8374152295425693E-2</v>
      </c>
      <c r="V11" s="636">
        <f t="shared" ref="V11:V105" si="114">IF(M11="","",Y11)</f>
        <v>-7.1900216851054133E-2</v>
      </c>
      <c r="W11" s="585">
        <f t="shared" si="5"/>
        <v>1.4739997871807446</v>
      </c>
      <c r="X11" s="629">
        <f>IF(M11="","",R11)</f>
        <v>1.4918044992823702</v>
      </c>
      <c r="Y11" s="630">
        <f>IF(M11="","",S11)</f>
        <v>-7.1900216851054133E-2</v>
      </c>
      <c r="Z11" s="632">
        <f t="shared" si="6"/>
        <v>0.95371696400905337</v>
      </c>
      <c r="AA11" s="629">
        <f t="shared" si="7"/>
        <v>3.1432306199935513E-2</v>
      </c>
      <c r="AB11" s="629">
        <f t="shared" si="8"/>
        <v>-0.29905846031889405</v>
      </c>
      <c r="AC11" s="636">
        <f t="shared" si="84"/>
        <v>1</v>
      </c>
      <c r="AD11" s="637">
        <f t="shared" ref="AD11:AD105" si="115">IF(M11="","",Z11*(1/SQRT(Z11^2+AA11^2+AB11^2)))</f>
        <v>0.95371696400905337</v>
      </c>
      <c r="AE11" s="629">
        <f t="shared" si="85"/>
        <v>3.1432306199935513E-2</v>
      </c>
      <c r="AF11" s="633">
        <f t="shared" si="86"/>
        <v>-0.29905846031889405</v>
      </c>
      <c r="AG11" s="602">
        <f>IF(M11="","",DEGREES(ATAN2(-AF11,AE11)))</f>
        <v>5.9999991337073109</v>
      </c>
      <c r="AH11" s="603">
        <f t="shared" si="88"/>
        <v>17.49999747331298</v>
      </c>
      <c r="AI11" s="585">
        <f t="shared" si="89"/>
        <v>-72.598939147363893</v>
      </c>
      <c r="AJ11" s="586">
        <f t="shared" si="90"/>
        <v>91.887653164279428</v>
      </c>
      <c r="AK11" s="635">
        <f>IF(M11="","",(COS(RADIANS((90-$Q$8)-W11))*AD11)+(-SIN(RADIANS((90-$Q$8)-W11))*AE11))</f>
        <v>0.95371696400905337</v>
      </c>
      <c r="AL11" s="629">
        <f t="shared" si="91"/>
        <v>3.1432306199935749E-2</v>
      </c>
      <c r="AM11" s="634">
        <f t="shared" si="92"/>
        <v>-0.29905846031889405</v>
      </c>
      <c r="AN11" s="581">
        <f>IF(M11="","",DEGREES(ATAN2(-AM11,AL11)))</f>
        <v>5.9999991337073553</v>
      </c>
      <c r="AO11" s="582">
        <f>IF(ROUND(IF(M11="",0,DEGREES(ACOS(AK11))),4)=90,0,IF(M11="","",DEGREES(ACOS(AK11))))</f>
        <v>17.49999747331298</v>
      </c>
      <c r="AP11" s="585">
        <f t="shared" si="95"/>
        <v>1.8876531642794478</v>
      </c>
      <c r="AQ11" s="586">
        <f t="shared" si="9"/>
        <v>1.5278049410314096</v>
      </c>
      <c r="AS11" s="52">
        <f t="shared" ref="AS11:AS42" si="116">IF(G11="","",IF(AND(W11&lt;(AS10+180),W11&gt;(AS10-180)),W11,IF(W11&gt;(AS10+180),W11-360,IF(W11&lt;(AS10-180),W11+360,"Error"))))</f>
        <v>1.4739997871807446</v>
      </c>
      <c r="AT11" s="72">
        <f t="shared" si="10"/>
        <v>-7.1900216851054119E-2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1.105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1313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5.6923288386210233E-2</v>
      </c>
      <c r="C12" s="708">
        <v>2.2121744252280466</v>
      </c>
      <c r="D12" s="709">
        <v>-0.14940045059175905</v>
      </c>
      <c r="E12" s="710">
        <v>-0.93033051333003314</v>
      </c>
      <c r="F12" s="708">
        <v>0.2152344497637757</v>
      </c>
      <c r="G12" s="711">
        <v>0.29691626361983259</v>
      </c>
      <c r="H12" s="710">
        <v>0.26600000000000001</v>
      </c>
      <c r="I12" s="708">
        <v>0.52</v>
      </c>
      <c r="J12" s="570">
        <v>1.109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1313</v>
      </c>
      <c r="L12" s="773" t="s">
        <v>366</v>
      </c>
      <c r="M12" s="168">
        <f t="shared" si="1"/>
        <v>1.109</v>
      </c>
      <c r="N12" s="632">
        <f t="shared" si="2"/>
        <v>5.6923288386210233E-2</v>
      </c>
      <c r="O12" s="629">
        <f t="shared" si="3"/>
        <v>2.2121744252280466</v>
      </c>
      <c r="P12" s="633">
        <f t="shared" si="4"/>
        <v>-0.14940045059175905</v>
      </c>
      <c r="Q12" s="585">
        <f>IF(M12="","",IF(DEGREES(ATAN2(N12,O12))&lt;0,DEGREES(ATAN2(N12,O12))+360,IF(DEGREES(ATAN2(N12,O12))&gt;360,DEGREES(ATAN2(N12,O12))-360,DEGREES(ATAN2(N12,O12)))))</f>
        <v>88.526000212819241</v>
      </c>
      <c r="R12" s="629">
        <f t="shared" si="79"/>
        <v>2.2129066741265295</v>
      </c>
      <c r="S12" s="634">
        <f t="shared" si="80"/>
        <v>-0.14940045059175905</v>
      </c>
      <c r="T12" s="635">
        <f>IF(M12="","",X12*COS(RADIANS(W12)))</f>
        <v>2.2129066741265295</v>
      </c>
      <c r="U12" s="629">
        <f t="shared" si="82"/>
        <v>0</v>
      </c>
      <c r="V12" s="636">
        <f t="shared" si="114"/>
        <v>-0.14940045059175905</v>
      </c>
      <c r="W12" s="585">
        <f>IF(M12="","",IF(Q12-$Q$8&lt;0,360+Q12-$Q$8,Q12-$Q$8))</f>
        <v>0</v>
      </c>
      <c r="X12" s="629">
        <f t="shared" si="83"/>
        <v>2.2129066741265295</v>
      </c>
      <c r="Y12" s="630">
        <f>IF(M12="","",S12)</f>
        <v>-0.14940045059175905</v>
      </c>
      <c r="Z12" s="632">
        <f t="shared" si="6"/>
        <v>0.93033051333003314</v>
      </c>
      <c r="AA12" s="629">
        <f t="shared" si="7"/>
        <v>-0.2152344497637757</v>
      </c>
      <c r="AB12" s="629">
        <f t="shared" si="8"/>
        <v>-0.29691626361983259</v>
      </c>
      <c r="AC12" s="636">
        <f t="shared" si="84"/>
        <v>1</v>
      </c>
      <c r="AD12" s="637">
        <f t="shared" si="115"/>
        <v>0.93033051333003314</v>
      </c>
      <c r="AE12" s="629">
        <f t="shared" si="85"/>
        <v>-0.2152344497637757</v>
      </c>
      <c r="AF12" s="633">
        <f t="shared" si="86"/>
        <v>-0.29691626361983259</v>
      </c>
      <c r="AG12" s="602">
        <f t="shared" si="87"/>
        <v>-35.938337190758148</v>
      </c>
      <c r="AH12" s="603">
        <f t="shared" si="88"/>
        <v>21.513605305763022</v>
      </c>
      <c r="AI12" s="585">
        <f t="shared" si="89"/>
        <v>-72.72751943669742</v>
      </c>
      <c r="AJ12" s="586">
        <f t="shared" si="90"/>
        <v>76.97364878386891</v>
      </c>
      <c r="AK12" s="635">
        <f t="shared" ref="AK12:AK105" si="211">IF(M12="","",(COS(RADIANS((90-$Q$8)-W12))*AD12)+(-SIN(RADIANS((90-$Q$8)-W12))*AE12))</f>
        <v>0.93555921063400183</v>
      </c>
      <c r="AL12" s="629">
        <f>IF(M12="","",(SIN(RADIANS((90-$Q$8)-W12))*AD12)+(COS(RADIANS((90-$Q$8)-W12))*AE12))</f>
        <v>-0.19123204698983276</v>
      </c>
      <c r="AM12" s="634">
        <f t="shared" si="92"/>
        <v>-0.29691626361983259</v>
      </c>
      <c r="AN12" s="581">
        <f>IF(M12="","",DEGREES(ATAN2(-AM12,AL12)))</f>
        <v>-32.783986710277425</v>
      </c>
      <c r="AO12" s="582">
        <f t="shared" si="94"/>
        <v>20.681322108857991</v>
      </c>
      <c r="AP12" s="585">
        <f t="shared" si="95"/>
        <v>-11.552351428950328</v>
      </c>
      <c r="AQ12" s="586">
        <f t="shared" si="9"/>
        <v>1.0300845644697039</v>
      </c>
      <c r="AS12" s="52">
        <f t="shared" si="116"/>
        <v>0</v>
      </c>
      <c r="AT12" s="72">
        <f>IF(M12="","",Y12+(((AS12-$AS$9)*$AS$6)*-1))</f>
        <v>-0.14837683962843909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1.109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0.11353359842535374</v>
      </c>
      <c r="C13" s="708">
        <v>2.7088299874819</v>
      </c>
      <c r="D13" s="709">
        <v>-0.64580194773867472</v>
      </c>
      <c r="E13" s="710">
        <v>-0.8890695870796993</v>
      </c>
      <c r="F13" s="708">
        <v>0.41197768696324283</v>
      </c>
      <c r="G13" s="711">
        <v>0.19957368256949456</v>
      </c>
      <c r="H13" s="710">
        <v>0.26600000000000001</v>
      </c>
      <c r="I13" s="708">
        <v>0.52</v>
      </c>
      <c r="J13" s="570">
        <v>1.113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1313</v>
      </c>
      <c r="L13" s="774" t="str">
        <f>IF($L12=$JH$22,$JH$29,IF($L12=$JI$22,$JI$29,""))</f>
        <v/>
      </c>
      <c r="M13" s="168">
        <f t="shared" si="1"/>
        <v>1.113</v>
      </c>
      <c r="N13" s="632">
        <f t="shared" si="2"/>
        <v>0.11353359842535374</v>
      </c>
      <c r="O13" s="629">
        <f t="shared" si="3"/>
        <v>2.7088299874819</v>
      </c>
      <c r="P13" s="633">
        <f t="shared" si="4"/>
        <v>-0.64580194773867472</v>
      </c>
      <c r="Q13" s="585">
        <f t="shared" si="113"/>
        <v>87.600000346517064</v>
      </c>
      <c r="R13" s="629">
        <f t="shared" si="79"/>
        <v>2.711208177003861</v>
      </c>
      <c r="S13" s="634">
        <f t="shared" si="80"/>
        <v>-0.64580194773867472</v>
      </c>
      <c r="T13" s="635">
        <f>IF(M13="","",X13*COS(RADIANS(W13)))</f>
        <v>2.7108540981425753</v>
      </c>
      <c r="U13" s="629">
        <f t="shared" si="82"/>
        <v>-4.3815951846366843E-2</v>
      </c>
      <c r="V13" s="636">
        <f t="shared" si="114"/>
        <v>-0.64580194773867472</v>
      </c>
      <c r="W13" s="585">
        <f t="shared" si="5"/>
        <v>359.07400013369784</v>
      </c>
      <c r="X13" s="629">
        <f t="shared" si="83"/>
        <v>2.711208177003861</v>
      </c>
      <c r="Y13" s="630">
        <f>IF(M13="","",S13)</f>
        <v>-0.64580194773867472</v>
      </c>
      <c r="Z13" s="632">
        <f t="shared" si="6"/>
        <v>0.8890695870796993</v>
      </c>
      <c r="AA13" s="629">
        <f t="shared" si="7"/>
        <v>-0.41197768696324283</v>
      </c>
      <c r="AB13" s="629">
        <f t="shared" si="8"/>
        <v>-0.19957368256949456</v>
      </c>
      <c r="AC13" s="636">
        <f t="shared" si="84"/>
        <v>1</v>
      </c>
      <c r="AD13" s="637">
        <f>IF(M13="","",Z13*(1/SQRT(Z13^2+AA13^2+AB13^2)))</f>
        <v>0.8890695870796993</v>
      </c>
      <c r="AE13" s="629">
        <f t="shared" si="85"/>
        <v>-0.41197768696324283</v>
      </c>
      <c r="AF13" s="633">
        <f t="shared" si="86"/>
        <v>-0.19957368256949456</v>
      </c>
      <c r="AG13" s="602">
        <f>IF(M13="","",DEGREES(ATAN2(-AF13,AE13)))</f>
        <v>-64.153135360563482</v>
      </c>
      <c r="AH13" s="603">
        <f t="shared" si="88"/>
        <v>27.243436521910915</v>
      </c>
      <c r="AI13" s="585">
        <f t="shared" si="89"/>
        <v>-78.487969736247393</v>
      </c>
      <c r="AJ13" s="586">
        <f t="shared" si="90"/>
        <v>65.137904041707074</v>
      </c>
      <c r="AK13" s="635">
        <f t="shared" si="211"/>
        <v>0.90554155469708686</v>
      </c>
      <c r="AL13" s="629">
        <f t="shared" si="91"/>
        <v>-0.37438594784317625</v>
      </c>
      <c r="AM13" s="634">
        <f t="shared" si="92"/>
        <v>-0.19957368256949456</v>
      </c>
      <c r="AN13" s="581">
        <f t="shared" si="93"/>
        <v>-61.939288938544472</v>
      </c>
      <c r="AO13" s="582">
        <f t="shared" si="94"/>
        <v>25.103679583546491</v>
      </c>
      <c r="AP13" s="585">
        <f t="shared" si="95"/>
        <v>-22.462096304809968</v>
      </c>
      <c r="AQ13" s="586">
        <f t="shared" si="9"/>
        <v>0.8407923107265477</v>
      </c>
      <c r="AS13" s="52">
        <f t="shared" si="116"/>
        <v>-0.92599986630216335</v>
      </c>
      <c r="AT13" s="72">
        <f t="shared" si="10"/>
        <v>-0.64413528131264486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0.1336932711430821</v>
      </c>
      <c r="C14" s="708">
        <v>2.8550801436623923</v>
      </c>
      <c r="D14" s="709">
        <v>-1.3093039488607094</v>
      </c>
      <c r="E14" s="710">
        <v>-0.83232632498873715</v>
      </c>
      <c r="F14" s="708">
        <v>0.54860261612003958</v>
      </c>
      <c r="G14" s="711">
        <v>7.9171069949771758E-2</v>
      </c>
      <c r="H14" s="710">
        <v>0.26600000000000001</v>
      </c>
      <c r="I14" s="708">
        <v>0.52</v>
      </c>
      <c r="J14" s="570">
        <v>1.117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1313</v>
      </c>
      <c r="L14" s="776" t="s">
        <v>367</v>
      </c>
      <c r="M14" s="168">
        <f t="shared" si="1"/>
        <v>1.117</v>
      </c>
      <c r="N14" s="632">
        <f t="shared" si="2"/>
        <v>0.1336932711430821</v>
      </c>
      <c r="O14" s="629">
        <f t="shared" si="3"/>
        <v>2.8550801436623923</v>
      </c>
      <c r="P14" s="633">
        <f t="shared" si="4"/>
        <v>-1.3093039488607094</v>
      </c>
      <c r="Q14" s="585">
        <f t="shared" si="113"/>
        <v>87.319000387088451</v>
      </c>
      <c r="R14" s="629">
        <f t="shared" si="79"/>
        <v>2.8582086203571992</v>
      </c>
      <c r="S14" s="634">
        <f t="shared" si="80"/>
        <v>-1.3093039488607094</v>
      </c>
      <c r="T14" s="635">
        <f t="shared" si="81"/>
        <v>2.8575744338205955</v>
      </c>
      <c r="U14" s="629">
        <f t="shared" si="82"/>
        <v>-6.0206915376113772E-2</v>
      </c>
      <c r="V14" s="636">
        <f t="shared" si="114"/>
        <v>-1.3093039488607094</v>
      </c>
      <c r="W14" s="585">
        <f t="shared" si="5"/>
        <v>358.7930001742692</v>
      </c>
      <c r="X14" s="629">
        <f t="shared" si="83"/>
        <v>2.8582086203571992</v>
      </c>
      <c r="Y14" s="630">
        <f t="shared" ref="Y14:Y75" si="223">IF(M14="","",S14)</f>
        <v>-1.3093039488607094</v>
      </c>
      <c r="Z14" s="632">
        <f t="shared" si="6"/>
        <v>0.83232632498873715</v>
      </c>
      <c r="AA14" s="629">
        <f t="shared" si="7"/>
        <v>-0.54860261612003958</v>
      </c>
      <c r="AB14" s="629">
        <f t="shared" si="8"/>
        <v>-7.9171069949771758E-2</v>
      </c>
      <c r="AC14" s="636">
        <f t="shared" si="84"/>
        <v>1</v>
      </c>
      <c r="AD14" s="637">
        <f>IF(M14="","",Z14*(1/SQRT(Z14^2+AA14^2+AB14^2)))</f>
        <v>0.83232632498873715</v>
      </c>
      <c r="AE14" s="629">
        <f t="shared" si="85"/>
        <v>-0.54860261612003958</v>
      </c>
      <c r="AF14" s="633">
        <f t="shared" si="86"/>
        <v>-7.9171069949771758E-2</v>
      </c>
      <c r="AG14" s="602">
        <f t="shared" si="87"/>
        <v>-81.788108777467258</v>
      </c>
      <c r="AH14" s="603">
        <f t="shared" si="88"/>
        <v>33.661545273705535</v>
      </c>
      <c r="AI14" s="585">
        <f t="shared" si="89"/>
        <v>-85.459079588028843</v>
      </c>
      <c r="AJ14" s="586">
        <f t="shared" si="90"/>
        <v>56.610339365340366</v>
      </c>
      <c r="AK14" s="635">
        <f>IF(M14="","",(COS(RADIANS((90-$Q$8)-W14))*AD14)+(-SIN(RADIANS((90-$Q$8)-W14))*AE14))</f>
        <v>0.85707629050654466</v>
      </c>
      <c r="AL14" s="629">
        <f t="shared" si="91"/>
        <v>-0.50906991065525498</v>
      </c>
      <c r="AM14" s="634">
        <f t="shared" si="92"/>
        <v>-7.9171069949771758E-2</v>
      </c>
      <c r="AN14" s="581">
        <f t="shared" si="93"/>
        <v>-81.160117640614118</v>
      </c>
      <c r="AO14" s="582">
        <f t="shared" si="94"/>
        <v>31.010123006132627</v>
      </c>
      <c r="AP14" s="585">
        <f>IF(M14="","",DEGREES(ATAN2(AK14,AL14)))</f>
        <v>-30.708661021748011</v>
      </c>
      <c r="AQ14" s="586">
        <f t="shared" si="9"/>
        <v>0.79755528331050252</v>
      </c>
      <c r="AS14" s="52">
        <f t="shared" si="116"/>
        <v>-1.2069998257308043</v>
      </c>
      <c r="AT14" s="72">
        <f t="shared" si="10"/>
        <v>-1.3074421435739654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1.117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0.13364344058100155</v>
      </c>
      <c r="C15" s="708">
        <v>2.8550824766149709</v>
      </c>
      <c r="D15" s="709">
        <v>-1.9147057747526164</v>
      </c>
      <c r="E15" s="710">
        <v>-0.83234571075989838</v>
      </c>
      <c r="F15" s="708">
        <v>0.54856385702513777</v>
      </c>
      <c r="G15" s="711">
        <v>7.9235803430671436E-2</v>
      </c>
      <c r="H15" s="710">
        <v>0.26600000000000001</v>
      </c>
      <c r="I15" s="708">
        <v>0.52</v>
      </c>
      <c r="J15" s="570">
        <v>1.1220000000000001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1313</v>
      </c>
      <c r="L15" s="873" t="str">
        <f>IF($L14=$JH$22,$JH$29,IF($L14=$JI$22,$JI$29,""))</f>
        <v/>
      </c>
      <c r="M15" s="168">
        <f t="shared" si="1"/>
        <v>1.1220000000000001</v>
      </c>
      <c r="N15" s="632">
        <f t="shared" si="2"/>
        <v>0.13364344058100155</v>
      </c>
      <c r="O15" s="629">
        <f t="shared" si="3"/>
        <v>2.8550824766149709</v>
      </c>
      <c r="P15" s="633">
        <f t="shared" si="4"/>
        <v>-1.9147057747526164</v>
      </c>
      <c r="Q15" s="585">
        <f t="shared" si="113"/>
        <v>87.320000386944074</v>
      </c>
      <c r="R15" s="629">
        <f t="shared" si="79"/>
        <v>2.8582086203571992</v>
      </c>
      <c r="S15" s="634">
        <f t="shared" si="80"/>
        <v>-1.9147057747526164</v>
      </c>
      <c r="T15" s="635">
        <f t="shared" si="81"/>
        <v>2.8575754841941166</v>
      </c>
      <c r="U15" s="629">
        <f t="shared" si="82"/>
        <v>-6.0157041291656457E-2</v>
      </c>
      <c r="V15" s="636">
        <f t="shared" si="114"/>
        <v>-1.9147057747526164</v>
      </c>
      <c r="W15" s="585">
        <f t="shared" ref="W15:W78" si="224">IF(M15="","",IF(Q15-$Q$8&lt;0,360+Q15-$Q$8,Q15-$Q$8))</f>
        <v>358.79400017412479</v>
      </c>
      <c r="X15" s="629">
        <f>IF(M15="","",R15)</f>
        <v>2.8582086203571992</v>
      </c>
      <c r="Y15" s="630">
        <f>IF(M15="","",S15)</f>
        <v>-1.9147057747526164</v>
      </c>
      <c r="Z15" s="632">
        <f t="shared" si="6"/>
        <v>0.83234571075989838</v>
      </c>
      <c r="AA15" s="629">
        <f t="shared" si="7"/>
        <v>-0.54856385702513777</v>
      </c>
      <c r="AB15" s="629">
        <f t="shared" si="8"/>
        <v>-7.9235803430671436E-2</v>
      </c>
      <c r="AC15" s="636">
        <f t="shared" si="84"/>
        <v>1</v>
      </c>
      <c r="AD15" s="637">
        <f t="shared" si="115"/>
        <v>0.83234571075989838</v>
      </c>
      <c r="AE15" s="629">
        <f t="shared" si="85"/>
        <v>-0.54856385702513777</v>
      </c>
      <c r="AF15" s="633">
        <f t="shared" si="86"/>
        <v>-7.9235803430671436E-2</v>
      </c>
      <c r="AG15" s="602">
        <f t="shared" si="87"/>
        <v>-81.780913335452865</v>
      </c>
      <c r="AH15" s="603">
        <f t="shared" si="88"/>
        <v>33.659541340384159</v>
      </c>
      <c r="AI15" s="585">
        <f t="shared" si="89"/>
        <v>-85.455358944277435</v>
      </c>
      <c r="AJ15" s="586">
        <f t="shared" si="90"/>
        <v>56.612812600040201</v>
      </c>
      <c r="AK15" s="635">
        <f t="shared" si="211"/>
        <v>0.85708495771078286</v>
      </c>
      <c r="AL15" s="629">
        <f t="shared" si="91"/>
        <v>-0.50904524624104075</v>
      </c>
      <c r="AM15" s="634">
        <f t="shared" si="92"/>
        <v>-7.9235803430671436E-2</v>
      </c>
      <c r="AN15" s="581">
        <f>IF(M15="","",DEGREES(ATAN2(-AM15,AL15)))</f>
        <v>-81.15258221117756</v>
      </c>
      <c r="AO15" s="582">
        <f t="shared" si="94"/>
        <v>31.009159086716846</v>
      </c>
      <c r="AP15" s="585">
        <f t="shared" si="95"/>
        <v>-30.707187786903802</v>
      </c>
      <c r="AQ15" s="586">
        <f t="shared" si="9"/>
        <v>0.79755528331050252</v>
      </c>
      <c r="AS15" s="52">
        <f t="shared" si="116"/>
        <v>-1.2059998258752103</v>
      </c>
      <c r="AT15" s="72">
        <f t="shared" si="10"/>
        <v>-1.9128446639102163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1.1220000000000001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23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1.1753281868424237</v>
      </c>
      <c r="C16" s="708">
        <v>2.909039343703296</v>
      </c>
      <c r="D16" s="709">
        <v>-1.3</v>
      </c>
      <c r="E16" s="710">
        <v>0.37460659341591174</v>
      </c>
      <c r="F16" s="708">
        <v>0.92718385456678754</v>
      </c>
      <c r="G16" s="711">
        <v>0</v>
      </c>
      <c r="H16" s="710">
        <v>0.25700000000000001</v>
      </c>
      <c r="I16" s="708">
        <v>0.71</v>
      </c>
      <c r="J16" s="570">
        <v>1.5009999999999999</v>
      </c>
      <c r="K16" s="865" t="str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Inactive</v>
      </c>
      <c r="L16" s="320"/>
      <c r="M16" s="168">
        <f t="shared" si="1"/>
        <v>1.5009999999999999</v>
      </c>
      <c r="N16" s="632">
        <f t="shared" si="2"/>
        <v>1.1753281868424237</v>
      </c>
      <c r="O16" s="629">
        <f t="shared" si="3"/>
        <v>2.909039343703296</v>
      </c>
      <c r="P16" s="633">
        <f t="shared" si="4"/>
        <v>-1.3</v>
      </c>
      <c r="Q16" s="585">
        <f>IF(M16="","",IF(DEGREES(ATAN2(N16,O16))&lt;0,DEGREES(ATAN2(N16,O16))+360,IF(DEGREES(ATAN2(N16,O16))&gt;360,DEGREES(ATAN2(N16,O16))-360,DEGREES(ATAN2(N16,O16)))))</f>
        <v>68</v>
      </c>
      <c r="R16" s="629">
        <f t="shared" si="79"/>
        <v>3.1375000000000006</v>
      </c>
      <c r="S16" s="634">
        <f t="shared" si="80"/>
        <v>-1.3</v>
      </c>
      <c r="T16" s="635">
        <f t="shared" si="81"/>
        <v>2.9383100785383163</v>
      </c>
      <c r="U16" s="629">
        <f t="shared" si="82"/>
        <v>-1.1001091456579022</v>
      </c>
      <c r="V16" s="636">
        <f t="shared" si="114"/>
        <v>-1.3</v>
      </c>
      <c r="W16" s="585">
        <f>IF(M16="","",IF(Q16-$Q$8&lt;0,360+Q16-$Q$8,Q16-$Q$8))</f>
        <v>339.47399978718079</v>
      </c>
      <c r="X16" s="629">
        <f t="shared" si="83"/>
        <v>3.1375000000000006</v>
      </c>
      <c r="Y16" s="630">
        <f t="shared" si="223"/>
        <v>-1.3</v>
      </c>
      <c r="Z16" s="632">
        <f t="shared" si="6"/>
        <v>-0.37460659341591174</v>
      </c>
      <c r="AA16" s="629">
        <f t="shared" si="7"/>
        <v>-0.92718385456678754</v>
      </c>
      <c r="AB16" s="629">
        <f t="shared" si="8"/>
        <v>0</v>
      </c>
      <c r="AC16" s="636">
        <f t="shared" si="84"/>
        <v>1</v>
      </c>
      <c r="AD16" s="637">
        <f t="shared" si="115"/>
        <v>-0.37460659341591174</v>
      </c>
      <c r="AE16" s="629">
        <f t="shared" si="85"/>
        <v>-0.92718385456678754</v>
      </c>
      <c r="AF16" s="633">
        <f t="shared" si="86"/>
        <v>0</v>
      </c>
      <c r="AG16" s="602">
        <f t="shared" si="87"/>
        <v>-90</v>
      </c>
      <c r="AH16" s="603">
        <f t="shared" si="88"/>
        <v>111.99999999999999</v>
      </c>
      <c r="AI16" s="585">
        <f t="shared" si="89"/>
        <v>-90</v>
      </c>
      <c r="AJ16" s="586">
        <f t="shared" si="90"/>
        <v>-21.999999999999979</v>
      </c>
      <c r="AK16" s="635">
        <f t="shared" si="211"/>
        <v>6.106226635438361E-16</v>
      </c>
      <c r="AL16" s="629">
        <f t="shared" si="91"/>
        <v>-1</v>
      </c>
      <c r="AM16" s="634">
        <f t="shared" si="92"/>
        <v>0</v>
      </c>
      <c r="AN16" s="581">
        <f t="shared" si="93"/>
        <v>-90</v>
      </c>
      <c r="AO16" s="582">
        <f t="shared" si="94"/>
        <v>0</v>
      </c>
      <c r="AP16" s="585">
        <f t="shared" si="95"/>
        <v>-89.999999999999972</v>
      </c>
      <c r="AQ16" s="586">
        <f t="shared" si="9"/>
        <v>0.72656714951697188</v>
      </c>
      <c r="AS16" s="52">
        <f t="shared" si="116"/>
        <v>-20.526000212819213</v>
      </c>
      <c r="AT16" s="72">
        <f t="shared" si="10"/>
        <v>-1.2847222222222223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Taper</v>
      </c>
      <c r="IF16" s="533" t="str">
        <f>IFERROR(IF((((($IW16*COS(RADIANS(180-$IY16)))*COS(RADIANS($IY16)))-(($IX16*SIN(RADIANS(180-$IY16)))*SIN(RADIANS($IY16))))+$IU16)&lt;(((Settings!$C$19+$IF$8)/2)*-1),"Gage",""),"")</f>
        <v>Gage</v>
      </c>
      <c r="IG16" s="847">
        <f t="shared" si="210"/>
        <v>1.5009999999999999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1.101</v>
      </c>
      <c r="II16" s="734" cm="1">
        <f t="array" ref="II16">IFERROR(IF($IH16&lt;1,$IH16+LARGE((IF($M$9:$M$150="",0,$M$9:$M$150)-MOD(IF($M$9:$M$150="",0,$M$9:$M$150),1)),1),$IH16),"")</f>
        <v>1.101</v>
      </c>
      <c r="IJ16" s="533">
        <f t="shared" si="112"/>
        <v>1313</v>
      </c>
      <c r="IK16" s="533" t="str">
        <f t="shared" si="66"/>
        <v>Inactive</v>
      </c>
      <c r="IL16" s="727">
        <f>IF(ISNUMBER($II16),IFERROR(IF(INDEX($W$9:$W$150,MATCH($II16,$M$9:$M$150,0))&lt;$W16,((INDEX($W$9:$W$150,MATCH($II16,$M$9:$M$150,0))+360)-$W16),INDEX($W$9:$W$150,MATCH($II16,$M$9:$M$150,0))-$W16),""),"")</f>
        <v>22</v>
      </c>
      <c r="IM16" s="759"/>
      <c r="IN16" s="5">
        <f>IF(ISNUMBER($II16),(($IO16*12)/60)/$AS$3,"")</f>
        <v>0</v>
      </c>
      <c r="IO16" s="771"/>
      <c r="IP16" s="9">
        <f>IF(ISNUMBER($II16),(INDEX($X$9:$X$150,MATCH($II16,$M$9:$M$150,0))*-1),"")</f>
        <v>-0.29450088821467885</v>
      </c>
      <c r="IQ16" s="5">
        <f>IF(ISNUMBER($II16),INDEX($Y$9:$Y$150,MATCH($II16,$M$9:$M$150,0)),"")</f>
        <v>-0.27930084237134062</v>
      </c>
      <c r="IR16" s="5">
        <f t="shared" si="71"/>
        <v>0.26600000000000001</v>
      </c>
      <c r="IS16" s="5">
        <f>IF(ISNUMBER($II16),$IR16*COS(RADIANS(INDEX($AO$9:$AO$150,MATCH($II16,$M$9:$M$150,0)))),"")</f>
        <v>0.24995824171420702</v>
      </c>
      <c r="IT16" s="727">
        <f>IF(ISNUMBER($II16),(-1*INDEX($AN$9:$AN$150,MATCH($II16,$M$9:$M$150,0))),"")</f>
        <v>-9.9999985561788467</v>
      </c>
      <c r="IU16" s="9">
        <f>IF(ISNUMBER($II16),-$X16,"")</f>
        <v>-3.1375000000000006</v>
      </c>
      <c r="IV16" s="5">
        <f>IF(ISNUMBER($II16),$Y16,"")</f>
        <v>-1.3</v>
      </c>
      <c r="IW16" s="5">
        <f t="shared" si="76"/>
        <v>0.25700000000000001</v>
      </c>
      <c r="IX16" s="5">
        <f>IF(ISNUMBER($II16),$IW16*COS(RADIANS($AO16)),"")</f>
        <v>0.25700000000000001</v>
      </c>
      <c r="IY16" s="762">
        <f>IF(ISNUMBER($II16),(-1*$AN16),"")</f>
        <v>90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1.3753894730507303</v>
      </c>
      <c r="C17" s="708">
        <v>2.8199663202636369</v>
      </c>
      <c r="D17" s="709">
        <v>-1.95</v>
      </c>
      <c r="E17" s="710">
        <v>0.43837114678907751</v>
      </c>
      <c r="F17" s="708">
        <v>0.89879404629916704</v>
      </c>
      <c r="G17" s="711">
        <v>0</v>
      </c>
      <c r="H17" s="710">
        <v>0.25700000000000001</v>
      </c>
      <c r="I17" s="708">
        <v>0.71</v>
      </c>
      <c r="J17" s="570">
        <v>1.502</v>
      </c>
      <c r="K17" s="865" t="str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Inactive</v>
      </c>
      <c r="M17" s="168">
        <f t="shared" si="1"/>
        <v>1.502</v>
      </c>
      <c r="N17" s="632">
        <f t="shared" si="2"/>
        <v>1.3753894730507303</v>
      </c>
      <c r="O17" s="629">
        <f t="shared" si="3"/>
        <v>2.8199663202636369</v>
      </c>
      <c r="P17" s="633">
        <f t="shared" si="4"/>
        <v>-1.95</v>
      </c>
      <c r="Q17" s="585">
        <f>IF(M17="","",IF(DEGREES(ATAN2(N17,O17))&lt;0,DEGREES(ATAN2(N17,O17))+360,IF(DEGREES(ATAN2(N17,O17))&gt;360,DEGREES(ATAN2(N17,O17))-360,DEGREES(ATAN2(N17,O17)))))</f>
        <v>64</v>
      </c>
      <c r="R17" s="629">
        <f>IF(M17="","",SQRT(N17^2+O17^2))</f>
        <v>3.1375000000000002</v>
      </c>
      <c r="S17" s="634">
        <f>IF(M17="","",P17)</f>
        <v>-1.95</v>
      </c>
      <c r="T17" s="635">
        <f>IF(M17="","",X17*COS(RADIANS(W17)))</f>
        <v>2.8544127681311866</v>
      </c>
      <c r="U17" s="629">
        <f>IF(M17="","",X17*SIN(RADIANS(W17)))</f>
        <v>-1.3023954849160289</v>
      </c>
      <c r="V17" s="636">
        <f>IF(M17="","",Y17)</f>
        <v>-1.95</v>
      </c>
      <c r="W17" s="585">
        <f t="shared" si="224"/>
        <v>335.47399978718079</v>
      </c>
      <c r="X17" s="629">
        <f>IF(M17="","",R17)</f>
        <v>3.1375000000000002</v>
      </c>
      <c r="Y17" s="630">
        <f t="shared" si="223"/>
        <v>-1.95</v>
      </c>
      <c r="Z17" s="632">
        <f t="shared" si="6"/>
        <v>-0.43837114678907751</v>
      </c>
      <c r="AA17" s="629">
        <f t="shared" si="7"/>
        <v>-0.89879404629916704</v>
      </c>
      <c r="AB17" s="629">
        <f t="shared" si="8"/>
        <v>0</v>
      </c>
      <c r="AC17" s="636">
        <f>IF(M17="","",SQRT(Z17^2+AA17^2+AB17^2))</f>
        <v>1</v>
      </c>
      <c r="AD17" s="637">
        <f>IF(M17="","",Z17*(1/SQRT(Z17^2+AA17^2+AB17^2)))</f>
        <v>-0.43837114678907751</v>
      </c>
      <c r="AE17" s="629">
        <f>IF(M17="","",AA17*(1/SQRT(Z17^2+AA17^2+AB17^2)))</f>
        <v>-0.89879404629916704</v>
      </c>
      <c r="AF17" s="633">
        <f>IF(M17="","",AB17*(1/SQRT(Z17^2+AA17^2+AB17^2)))</f>
        <v>0</v>
      </c>
      <c r="AG17" s="602">
        <f>IF(M17="","",DEGREES(ATAN2(-AF17,AE17)))</f>
        <v>-90</v>
      </c>
      <c r="AH17" s="603">
        <f>IF(M17="","",DEGREES(ACOS(AD17)))</f>
        <v>116.00000000000001</v>
      </c>
      <c r="AI17" s="585">
        <f>IF(M17="","",DEGREES(-ACOS(-AF17)))</f>
        <v>-90</v>
      </c>
      <c r="AJ17" s="586">
        <f>IF(M17="","",DEGREES(ATAN2(-AE17,AD17)))</f>
        <v>-26.000000000000004</v>
      </c>
      <c r="AK17" s="635">
        <f>IF(M17="","",(COS(RADIANS((90-$Q$8)-W17))*AD17)+(-SIN(RADIANS((90-$Q$8)-W17))*AE17))</f>
        <v>3.3306690738754696E-16</v>
      </c>
      <c r="AL17" s="629">
        <f>IF(M17="","",(SIN(RADIANS((90-$Q$8)-W17))*AD17)+(COS(RADIANS((90-$Q$8)-W17))*AE17))</f>
        <v>-1</v>
      </c>
      <c r="AM17" s="634">
        <f>IF(M17="","",AF17)</f>
        <v>0</v>
      </c>
      <c r="AN17" s="581">
        <f>IF(M17="","",DEGREES(ATAN2(-AM17,AL17)))</f>
        <v>-90</v>
      </c>
      <c r="AO17" s="582">
        <f t="shared" si="94"/>
        <v>0</v>
      </c>
      <c r="AP17" s="585">
        <f>IF(M17="","",DEGREES(ATAN2(AK17,AL17)))</f>
        <v>-89.999999999999986</v>
      </c>
      <c r="AQ17" s="586">
        <f t="shared" si="9"/>
        <v>0.72656714951697199</v>
      </c>
      <c r="AS17" s="52">
        <f t="shared" si="116"/>
        <v>-24.526000212819213</v>
      </c>
      <c r="AT17" s="72">
        <f t="shared" si="10"/>
        <v>-1.9319444444444445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>Gage</v>
      </c>
      <c r="IG17" s="847">
        <f t="shared" si="210"/>
        <v>1.502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3.1019999999999999</v>
      </c>
      <c r="II17" s="734" cm="1">
        <f t="array" ref="II17">IFERROR(IF($IH17&lt;1,$IH17+LARGE((IF($M$9:$M$150="",0,$M$9:$M$150)-MOD(IF($M$9:$M$150="",0,$M$9:$M$150),1)),1),$IH17),"")</f>
        <v>3.1019999999999999</v>
      </c>
      <c r="IJ17" s="533">
        <f t="shared" si="112"/>
        <v>1313</v>
      </c>
      <c r="IK17" s="533" t="str">
        <f t="shared" si="66"/>
        <v>Inactive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215.999972567398</v>
      </c>
      <c r="IM17" s="759"/>
      <c r="IN17" s="5">
        <f t="shared" ref="IN17:IN80" si="226">IF(ISNUMBER($II17),(($IO17*12)/60)/$AS$3,"")</f>
        <v>0</v>
      </c>
      <c r="IO17" s="771"/>
      <c r="IP17" s="9">
        <f t="shared" ref="IP17:IP80" si="227">IF(ISNUMBER($II17),(INDEX($X$9:$X$150,MATCH($II17,$M$9:$M$150,0))*-1),"")</f>
        <v>-0.59170178457258238</v>
      </c>
      <c r="IQ17" s="5">
        <f t="shared" ref="IQ17:IQ80" si="228">IF(ISNUMBER($II17),INDEX($Y$9:$Y$150,MATCH($II17,$M$9:$M$150,0)),"")</f>
        <v>-0.23060069549169765</v>
      </c>
      <c r="IR17" s="5">
        <f t="shared" si="71"/>
        <v>0.26600000000000001</v>
      </c>
      <c r="IS17" s="5">
        <f t="shared" ref="IS17:IS80" si="229">IF(ISNUMBER($II17),$IR17*COS(RADIANS(INDEX($AO$9:$AO$150,MATCH($II17,$M$9:$M$150,0)))),"")</f>
        <v>0.25368871242640822</v>
      </c>
      <c r="IT17" s="727">
        <f t="shared" ref="IT17:IT80" si="230">IF(ISNUMBER($II17),(-1*INDEX($AN$9:$AN$150,MATCH($II17,$M$9:$M$150,0))),"")</f>
        <v>-9.999998556179003</v>
      </c>
      <c r="IU17" s="9">
        <f t="shared" ref="IU17:IU80" si="231">IF(ISNUMBER($II17),-$X17,"")</f>
        <v>-3.1375000000000002</v>
      </c>
      <c r="IV17" s="5">
        <f t="shared" ref="IV17:IV80" si="232">IF(ISNUMBER($II17),$Y17,"")</f>
        <v>-1.95</v>
      </c>
      <c r="IW17" s="5">
        <f t="shared" si="76"/>
        <v>0.25700000000000001</v>
      </c>
      <c r="IX17" s="5">
        <f t="shared" ref="IX17:IX80" si="233">IF(ISNUMBER($II17),$IW17*COS(RADIANS($AO17)),"")</f>
        <v>0.25700000000000001</v>
      </c>
      <c r="IY17" s="762">
        <f t="shared" ref="IY17:IY80" si="234">IF(ISNUMBER($II17),(-1*$AN17),"")</f>
        <v>90</v>
      </c>
    </row>
    <row r="18" spans="1:269" ht="15" customHeight="1" x14ac:dyDescent="0.25">
      <c r="A18" s="79"/>
      <c r="B18" s="707">
        <v>2.0357637506603568</v>
      </c>
      <c r="C18" s="708">
        <v>0.13607039268624441</v>
      </c>
      <c r="D18" s="709">
        <v>-8.4500254852768866E-2</v>
      </c>
      <c r="E18" s="710">
        <v>7.6063287594170609E-2</v>
      </c>
      <c r="F18" s="708">
        <v>0.94964669254877421</v>
      </c>
      <c r="G18" s="711">
        <v>0.30394988996796901</v>
      </c>
      <c r="H18" s="710">
        <v>0.26600000000000001</v>
      </c>
      <c r="I18" s="708">
        <v>0.52</v>
      </c>
      <c r="J18" s="570">
        <v>2.1080000000000001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1313</v>
      </c>
      <c r="L18" s="779" t="s">
        <v>331</v>
      </c>
      <c r="M18" s="168">
        <f t="shared" si="1"/>
        <v>2.1080000000000001</v>
      </c>
      <c r="N18" s="632">
        <f t="shared" si="2"/>
        <v>2.0357637506603568</v>
      </c>
      <c r="O18" s="629">
        <f t="shared" si="3"/>
        <v>0.13607039268624441</v>
      </c>
      <c r="P18" s="633">
        <f t="shared" si="4"/>
        <v>-8.4500254852768866E-2</v>
      </c>
      <c r="Q18" s="585">
        <f t="shared" si="113"/>
        <v>3.8239604647116128</v>
      </c>
      <c r="R18" s="629">
        <f>IF(M18="","",SQRT(N18^2+O18^2))</f>
        <v>2.04030615356336</v>
      </c>
      <c r="S18" s="634">
        <f>IF(M18="","",P18)</f>
        <v>-8.4500254852768866E-2</v>
      </c>
      <c r="T18" s="635">
        <f>IF(M18="","",X18*COS(RADIANS(W18)))</f>
        <v>0.18839195284222093</v>
      </c>
      <c r="U18" s="629">
        <f>IF(M18="","",X18*SIN(RADIANS(W18)))</f>
        <v>-2.0315899370623018</v>
      </c>
      <c r="V18" s="636">
        <f>IF(M18="","",Y18)</f>
        <v>-8.4500254852768866E-2</v>
      </c>
      <c r="W18" s="585">
        <f t="shared" si="224"/>
        <v>275.29796025189239</v>
      </c>
      <c r="X18" s="629">
        <f>IF(M18="","",R18)</f>
        <v>2.04030615356336</v>
      </c>
      <c r="Y18" s="630">
        <f t="shared" si="223"/>
        <v>-8.4500254852768866E-2</v>
      </c>
      <c r="Z18" s="632">
        <f t="shared" si="6"/>
        <v>-7.6063287594170609E-2</v>
      </c>
      <c r="AA18" s="629">
        <f t="shared" si="7"/>
        <v>-0.94964669254877421</v>
      </c>
      <c r="AB18" s="629">
        <f t="shared" si="8"/>
        <v>-0.30394988996796901</v>
      </c>
      <c r="AC18" s="636">
        <f>IF(M18="","",SQRT(Z18^2+AA18^2+AB18^2))</f>
        <v>1</v>
      </c>
      <c r="AD18" s="637">
        <f>IF(M18="","",Z18*(1/SQRT(Z18^2+AA18^2+AB18^2)))</f>
        <v>-7.6063287594170609E-2</v>
      </c>
      <c r="AE18" s="629">
        <f>IF(M18="","",AA18*(1/SQRT(Z18^2+AA18^2+AB18^2)))</f>
        <v>-0.94964669254877421</v>
      </c>
      <c r="AF18" s="633">
        <f>IF(M18="","",AB18*(1/SQRT(Z18^2+AA18^2+AB18^2)))</f>
        <v>-0.30394988996796901</v>
      </c>
      <c r="AG18" s="602">
        <f>IF(M18="","",DEGREES(ATAN2(-AF18,AE18)))</f>
        <v>-72.251883310277833</v>
      </c>
      <c r="AH18" s="603">
        <f>IF(M18="","",DEGREES(ACOS(AD18)))</f>
        <v>94.362318726875259</v>
      </c>
      <c r="AI18" s="585">
        <f>IF(M18="","",DEGREES(-ACOS(-AF18)))</f>
        <v>-72.305002069002711</v>
      </c>
      <c r="AJ18" s="586">
        <f>IF(M18="","",DEGREES(ATAN2(-AE18,AD18)))</f>
        <v>-4.5794097811946584</v>
      </c>
      <c r="AK18" s="635">
        <f>IF(M18="","",(COS(RADIANS((90-$Q$8)-W18))*AD18)+(-SIN(RADIANS((90-$Q$8)-W18))*AE18))</f>
        <v>0.94245971265392059</v>
      </c>
      <c r="AL18" s="629">
        <f>IF(M18="","",(SIN(RADIANS((90-$Q$8)-W18))*AD18)+(COS(RADIANS((90-$Q$8)-W18))*AE18))</f>
        <v>-0.13922698880874065</v>
      </c>
      <c r="AM18" s="634">
        <f>IF(M18="","",AF18)</f>
        <v>-0.30394988996796901</v>
      </c>
      <c r="AN18" s="581">
        <f>IF(M18="","",DEGREES(ATAN2(-AM18,AL18)))</f>
        <v>-24.610574941665011</v>
      </c>
      <c r="AO18" s="582">
        <f t="shared" si="94"/>
        <v>19.531177136307164</v>
      </c>
      <c r="AP18" s="585">
        <f>IF(M18="","",DEGREES(ATAN2(AK18,AL18)))</f>
        <v>-8.403370245906256</v>
      </c>
      <c r="AQ18" s="586">
        <f t="shared" si="9"/>
        <v>1.117203758059008</v>
      </c>
      <c r="AS18" s="52">
        <f t="shared" si="116"/>
        <v>-84.702039748107609</v>
      </c>
      <c r="AT18" s="72">
        <f t="shared" si="10"/>
        <v>-2.4655782953263053E-2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2.1080000000000001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1313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2.6179322705219117</v>
      </c>
      <c r="C19" s="708">
        <v>0.12693724757518007</v>
      </c>
      <c r="D19" s="709">
        <v>-0.49350148840048919</v>
      </c>
      <c r="E19" s="710">
        <v>0.28943623137990576</v>
      </c>
      <c r="F19" s="708">
        <v>0.92837556098632723</v>
      </c>
      <c r="G19" s="711">
        <v>0.23312118249511377</v>
      </c>
      <c r="H19" s="710">
        <v>0.26600000000000001</v>
      </c>
      <c r="I19" s="708">
        <v>0.52</v>
      </c>
      <c r="J19" s="570">
        <v>2.1120000000000001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1313</v>
      </c>
      <c r="L19" s="775" t="s">
        <v>366</v>
      </c>
      <c r="M19" s="168">
        <f>IF(J19="","",VALUE(J19))</f>
        <v>2.1120000000000001</v>
      </c>
      <c r="N19" s="632">
        <f t="shared" si="2"/>
        <v>2.6179322705219117</v>
      </c>
      <c r="O19" s="629">
        <f t="shared" si="3"/>
        <v>0.12693724757518007</v>
      </c>
      <c r="P19" s="633">
        <f t="shared" si="4"/>
        <v>-0.49350148840048919</v>
      </c>
      <c r="Q19" s="585">
        <f t="shared" si="113"/>
        <v>2.77596061602407</v>
      </c>
      <c r="R19" s="629">
        <f>IF(M19="","",SQRT(N19^2+O19^2))</f>
        <v>2.6210079049598409</v>
      </c>
      <c r="S19" s="634">
        <f>IF(M19="","",P19)</f>
        <v>-0.49350148840048919</v>
      </c>
      <c r="T19" s="635">
        <f>IF(M19="","",X19*COS(RADIANS(W19)))</f>
        <v>0.1942371322436342</v>
      </c>
      <c r="U19" s="629">
        <f>IF(M19="","",X19*SIN(RADIANS(W19)))</f>
        <v>-2.6138007526052447</v>
      </c>
      <c r="V19" s="636">
        <f>IF(M19="","",Y19)</f>
        <v>-0.49350148840048919</v>
      </c>
      <c r="W19" s="585">
        <f t="shared" si="224"/>
        <v>274.2499604032048</v>
      </c>
      <c r="X19" s="629">
        <f>IF(M19="","",R19)</f>
        <v>2.6210079049598409</v>
      </c>
      <c r="Y19" s="630">
        <f t="shared" si="223"/>
        <v>-0.49350148840048919</v>
      </c>
      <c r="Z19" s="632">
        <f t="shared" si="6"/>
        <v>-0.28943623137990576</v>
      </c>
      <c r="AA19" s="629">
        <f t="shared" si="7"/>
        <v>-0.92837556098632723</v>
      </c>
      <c r="AB19" s="629">
        <f t="shared" si="8"/>
        <v>-0.23312118249511377</v>
      </c>
      <c r="AC19" s="636">
        <f>IF(M19="","",SQRT(Z19^2+AA19^2+AB19^2))</f>
        <v>1</v>
      </c>
      <c r="AD19" s="637">
        <f>IF(M19="","",Z19*(1/SQRT(Z19^2+AA19^2+AB19^2)))</f>
        <v>-0.28943623137990576</v>
      </c>
      <c r="AE19" s="629">
        <f>IF(M19="","",AA19*(1/SQRT(Z19^2+AA19^2+AB19^2)))</f>
        <v>-0.92837556098632723</v>
      </c>
      <c r="AF19" s="633">
        <f>IF(M19="","",AB19*(1/SQRT(Z19^2+AA19^2+AB19^2)))</f>
        <v>-0.23312118249511377</v>
      </c>
      <c r="AG19" s="602">
        <f>IF(M19="","",DEGREES(ATAN2(-AF19,AE19)))</f>
        <v>-75.904100991082373</v>
      </c>
      <c r="AH19" s="603">
        <f>IF(M19="","",DEGREES(ACOS(AD19)))</f>
        <v>106.8242070332789</v>
      </c>
      <c r="AI19" s="585">
        <f>IF(M19="","",DEGREES(-ACOS(-AF19)))</f>
        <v>-76.519101249882567</v>
      </c>
      <c r="AJ19" s="586">
        <f>IF(M19="","",DEGREES(ATAN2(-AE19,AD19)))</f>
        <v>-17.315719751766757</v>
      </c>
      <c r="AK19" s="635">
        <f>IF(M19="","",(COS(RADIANS((90-$Q$8)-W19))*AD19)+(-SIN(RADIANS((90-$Q$8)-W19))*AE19))</f>
        <v>0.91326855488700565</v>
      </c>
      <c r="AL19" s="629">
        <f>IF(M19="","",(SIN(RADIANS((90-$Q$8)-W19))*AD19)+(COS(RADIANS((90-$Q$8)-W19))*AE19))</f>
        <v>-0.33405846932338146</v>
      </c>
      <c r="AM19" s="634">
        <f>IF(M19="","",AF19)</f>
        <v>-0.23312118249511377</v>
      </c>
      <c r="AN19" s="581">
        <f>IF(M19="","",DEGREES(ATAN2(-AM19,AL19)))</f>
        <v>-55.090913812527162</v>
      </c>
      <c r="AO19" s="582">
        <f t="shared" si="94"/>
        <v>24.038976692941052</v>
      </c>
      <c r="AP19" s="585">
        <f>IF(M19="","",DEGREES(ATAN2(AK19,AL19)))</f>
        <v>-20.091680367790758</v>
      </c>
      <c r="AQ19" s="586">
        <f t="shared" si="9"/>
        <v>0.86972325724921284</v>
      </c>
      <c r="AS19" s="52">
        <f t="shared" si="116"/>
        <v>-85.750039596795204</v>
      </c>
      <c r="AT19" s="72">
        <f t="shared" si="10"/>
        <v>-0.43292923882828366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>$M19</f>
        <v>2.1120000000000001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>IF(ISNUMBER($II19),INDEX($K$9:$K$150,MATCH($II19,$M$9:$M$150,0)),$K19)</f>
        <v>1313</v>
      </c>
      <c r="IK19" s="533" t="str">
        <f>IF(ISNUMBER($II19),INDEX($K$9:$K$150,MATCH($IG19,$M$9:$M$150,0)),"")</f>
        <v/>
      </c>
      <c r="IL19" s="727" t="str">
        <f>IF(ISNUMBER($II19),IFERROR(IF(INDEX($W$9:$W$150,MATCH($II19,$M$9:$M$150,0))&lt;$W19,((INDEX($W$9:$W$150,MATCH($II19,$M$9:$M$150,0))+360)-$W19),INDEX($W$9:$W$150,MATCH($II19,$M$9:$M$150,0))-$W19),""),"")</f>
        <v/>
      </c>
      <c r="IM19" s="759"/>
      <c r="IN19" s="5" t="str">
        <f>IF(ISNUMBER($II19),(($IO19*12)/60)/$AS$3,"")</f>
        <v/>
      </c>
      <c r="IO19" s="771"/>
      <c r="IP19" s="9" t="str">
        <f>IF(ISNUMBER($II19),(INDEX($X$9:$X$150,MATCH($II19,$M$9:$M$150,0))*-1),"")</f>
        <v/>
      </c>
      <c r="IQ19" s="5" t="str">
        <f>IF(ISNUMBER($II19),INDEX($Y$9:$Y$150,MATCH($II19,$M$9:$M$150,0)),"")</f>
        <v/>
      </c>
      <c r="IR19" s="5" t="str">
        <f>IF(ISNUMBER($II19),INDEX($H$9:$H$150,MATCH($II19,$M$9:$M$150,0)),"")</f>
        <v/>
      </c>
      <c r="IS19" s="5" t="str">
        <f>IF(ISNUMBER($II19),$IR19*COS(RADIANS(INDEX($AO$9:$AO$150,MATCH($II19,$M$9:$M$150,0)))),"")</f>
        <v/>
      </c>
      <c r="IT19" s="727" t="str">
        <f>IF(ISNUMBER($II19),(-1*INDEX($AN$9:$AN$150,MATCH($II19,$M$9:$M$150,0))),"")</f>
        <v/>
      </c>
      <c r="IU19" s="9" t="str">
        <f t="shared" si="231"/>
        <v/>
      </c>
      <c r="IV19" s="5" t="str">
        <f>IF(ISNUMBER($II19),$Y19,"")</f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707">
        <v>2.8497486628779192</v>
      </c>
      <c r="C20" s="708">
        <v>0.1160001542978908</v>
      </c>
      <c r="D20" s="709">
        <v>-1.1519034741408778</v>
      </c>
      <c r="E20" s="710">
        <v>0.42989041985778409</v>
      </c>
      <c r="F20" s="708">
        <v>0.90008851498648879</v>
      </c>
      <c r="G20" s="711">
        <v>7.0956973610179691E-2</v>
      </c>
      <c r="H20" s="710">
        <v>0.26600000000000001</v>
      </c>
      <c r="I20" s="708">
        <v>0.52</v>
      </c>
      <c r="J20" s="570">
        <v>2.1160000000000001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1313</v>
      </c>
      <c r="L20" s="774" t="str">
        <f>IF($L19=$JH$22,$JH$30,IF($L19=$JI$22,$JI$30,""))</f>
        <v/>
      </c>
      <c r="M20" s="168">
        <f t="shared" si="1"/>
        <v>2.1160000000000001</v>
      </c>
      <c r="N20" s="632">
        <f t="shared" si="2"/>
        <v>2.8497486628779192</v>
      </c>
      <c r="O20" s="629">
        <f t="shared" si="3"/>
        <v>0.1160001542978908</v>
      </c>
      <c r="P20" s="633">
        <f t="shared" si="4"/>
        <v>-1.1519034741408778</v>
      </c>
      <c r="Q20" s="585">
        <f t="shared" si="113"/>
        <v>2.3309606802741136</v>
      </c>
      <c r="R20" s="629">
        <f>IF(M20="","",SQRT(N20^2+O20^2))</f>
        <v>2.8521086019595439</v>
      </c>
      <c r="S20" s="634">
        <f>IF(M20="","",P20)</f>
        <v>-1.1519034741408778</v>
      </c>
      <c r="T20" s="635">
        <f>IF(M20="","",X20*COS(RADIANS(W20)))</f>
        <v>0.18926674338439259</v>
      </c>
      <c r="U20" s="629">
        <f>IF(M20="","",X20*SIN(RADIANS(W20)))</f>
        <v>-2.8458217753788255</v>
      </c>
      <c r="V20" s="636">
        <f>IF(M20="","",Y20)</f>
        <v>-1.1519034741408778</v>
      </c>
      <c r="W20" s="585">
        <f t="shared" si="224"/>
        <v>273.80496046745486</v>
      </c>
      <c r="X20" s="629">
        <f>IF(M20="","",R20)</f>
        <v>2.8521086019595439</v>
      </c>
      <c r="Y20" s="630">
        <f t="shared" si="223"/>
        <v>-1.1519034741408778</v>
      </c>
      <c r="Z20" s="632">
        <f t="shared" si="6"/>
        <v>-0.42989041985778409</v>
      </c>
      <c r="AA20" s="629">
        <f t="shared" si="7"/>
        <v>-0.90008851498648879</v>
      </c>
      <c r="AB20" s="629">
        <f t="shared" si="8"/>
        <v>-7.0956973610179691E-2</v>
      </c>
      <c r="AC20" s="636">
        <f>IF(M20="","",SQRT(Z20^2+AA20^2+AB20^2))</f>
        <v>1.0000000000000002</v>
      </c>
      <c r="AD20" s="637">
        <f>IF(M20="","",Z20*(1/SQRT(Z20^2+AA20^2+AB20^2)))</f>
        <v>-0.42989041985778398</v>
      </c>
      <c r="AE20" s="629">
        <f>IF(M20="","",AA20*(1/SQRT(Z20^2+AA20^2+AB20^2)))</f>
        <v>-0.90008851498648856</v>
      </c>
      <c r="AF20" s="633">
        <f>IF(M20="","",AB20*(1/SQRT(Z20^2+AA20^2+AB20^2)))</f>
        <v>-7.0956973610179677E-2</v>
      </c>
      <c r="AG20" s="602">
        <f>IF(M20="","",DEGREES(ATAN2(-AF20,AE20)))</f>
        <v>-85.492505132233532</v>
      </c>
      <c r="AH20" s="603">
        <f>IF(M20="","",DEGREES(ACOS(AD20)))</f>
        <v>115.46060611352308</v>
      </c>
      <c r="AI20" s="585">
        <f>IF(M20="","",DEGREES(-ACOS(-AF20)))</f>
        <v>-85.93104554378823</v>
      </c>
      <c r="AJ20" s="586">
        <f>IF(M20="","",DEGREES(ATAN2(-AE20,AD20)))</f>
        <v>-25.529563111510225</v>
      </c>
      <c r="AK20" s="635">
        <f>IF(M20="","",(COS(RADIANS((90-$Q$8)-W20))*AD20)+(-SIN(RADIANS((90-$Q$8)-W20))*AE20))</f>
        <v>0.88185936723860692</v>
      </c>
      <c r="AL20" s="629">
        <f>IF(M20="","",(SIN(RADIANS((90-$Q$8)-W20))*AD20)+(COS(RADIANS((90-$Q$8)-W20))*AE20))</f>
        <v>-0.46614285826300916</v>
      </c>
      <c r="AM20" s="634">
        <f>IF(M20="","",AF20)</f>
        <v>-7.0956973610179677E-2</v>
      </c>
      <c r="AN20" s="581">
        <f>IF(M20="","",DEGREES(ATAN2(-AM20,AL20)))</f>
        <v>-81.344792382565274</v>
      </c>
      <c r="AO20" s="582">
        <f t="shared" si="94"/>
        <v>28.132522342414756</v>
      </c>
      <c r="AP20" s="585">
        <f>IF(M20="","",DEGREES(ATAN2(AK20,AL20)))</f>
        <v>-27.860523791784281</v>
      </c>
      <c r="AQ20" s="586">
        <f t="shared" si="9"/>
        <v>0.7992608535142538</v>
      </c>
      <c r="AS20" s="52">
        <f t="shared" si="116"/>
        <v>-86.195039532545138</v>
      </c>
      <c r="AT20" s="72">
        <f t="shared" si="10"/>
        <v>-1.0910221968355125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2.1160000000000001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707">
        <v>2.8558679182347513</v>
      </c>
      <c r="C21" s="708">
        <v>0.11565012356979969</v>
      </c>
      <c r="D21" s="709">
        <v>-1.7557052952071708</v>
      </c>
      <c r="E21" s="710">
        <v>0.47397360620368106</v>
      </c>
      <c r="F21" s="708">
        <v>0.8769726120611101</v>
      </c>
      <c r="G21" s="711">
        <v>7.9171069949771827E-2</v>
      </c>
      <c r="H21" s="710">
        <v>0.26600000000000001</v>
      </c>
      <c r="I21" s="708">
        <v>0.52</v>
      </c>
      <c r="J21" s="570">
        <v>2.12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1313</v>
      </c>
      <c r="L21" s="776" t="s">
        <v>367</v>
      </c>
      <c r="M21" s="168">
        <f t="shared" si="1"/>
        <v>2.12</v>
      </c>
      <c r="N21" s="632">
        <f t="shared" si="2"/>
        <v>2.8558679182347513</v>
      </c>
      <c r="O21" s="629">
        <f t="shared" si="3"/>
        <v>0.11565012356979969</v>
      </c>
      <c r="P21" s="633">
        <f t="shared" si="4"/>
        <v>-1.7557052952071708</v>
      </c>
      <c r="Q21" s="585">
        <f t="shared" si="113"/>
        <v>2.3189606820067055</v>
      </c>
      <c r="R21" s="629">
        <f>IF(M21="","",SQRT(N21^2+O21^2))</f>
        <v>2.8582086203571988</v>
      </c>
      <c r="S21" s="634">
        <f>IF(M21="","",P21)</f>
        <v>-1.7557052952071708</v>
      </c>
      <c r="T21" s="635">
        <f>IF(M21="","",X21*COS(RADIANS(W21)))</f>
        <v>0.1890742359947605</v>
      </c>
      <c r="U21" s="629">
        <f>IF(M21="","",X21*SIN(RADIANS(W21)))</f>
        <v>-2.8519480098289307</v>
      </c>
      <c r="V21" s="636">
        <f>IF(M21="","",Y21)</f>
        <v>-1.7557052952071708</v>
      </c>
      <c r="W21" s="585">
        <f t="shared" si="224"/>
        <v>273.79296046918751</v>
      </c>
      <c r="X21" s="629">
        <f>IF(M21="","",R21)</f>
        <v>2.8582086203571988</v>
      </c>
      <c r="Y21" s="630">
        <f t="shared" si="223"/>
        <v>-1.7557052952071708</v>
      </c>
      <c r="Z21" s="632">
        <f t="shared" si="6"/>
        <v>-0.47397360620368106</v>
      </c>
      <c r="AA21" s="629">
        <f t="shared" si="7"/>
        <v>-0.8769726120611101</v>
      </c>
      <c r="AB21" s="629">
        <f t="shared" si="8"/>
        <v>-7.9171069949771827E-2</v>
      </c>
      <c r="AC21" s="636">
        <f>IF(M21="","",SQRT(Z21^2+AA21^2+AB21^2))</f>
        <v>1</v>
      </c>
      <c r="AD21" s="637">
        <f>IF(M21="","",Z21*(1/SQRT(Z21^2+AA21^2+AB21^2)))</f>
        <v>-0.47397360620368106</v>
      </c>
      <c r="AE21" s="629">
        <f>IF(M21="","",AA21*(1/SQRT(Z21^2+AA21^2+AB21^2)))</f>
        <v>-0.8769726120611101</v>
      </c>
      <c r="AF21" s="633">
        <f>IF(M21="","",AB21*(1/SQRT(Z21^2+AA21^2+AB21^2)))</f>
        <v>-7.9171069949771827E-2</v>
      </c>
      <c r="AG21" s="602">
        <f>IF(M21="","",DEGREES(ATAN2(-AF21,AE21)))</f>
        <v>-84.841452667579162</v>
      </c>
      <c r="AH21" s="603">
        <f>IF(M21="","",DEGREES(ACOS(AD21)))</f>
        <v>118.29254264841332</v>
      </c>
      <c r="AI21" s="585">
        <f>IF(M21="","",DEGREES(-ACOS(-AF21)))</f>
        <v>-85.459079588028843</v>
      </c>
      <c r="AJ21" s="586">
        <f>IF(M21="","",DEGREES(ATAN2(-AE21,AD21)))</f>
        <v>-28.389700339741378</v>
      </c>
      <c r="AK21" s="635">
        <f>IF(M21="","",(COS(RADIANS((90-$Q$8)-W21))*AD21)+(-SIN(RADIANS((90-$Q$8)-W21))*AE21))</f>
        <v>0.8570762905065441</v>
      </c>
      <c r="AL21" s="629">
        <f>IF(M21="","",(SIN(RADIANS((90-$Q$8)-W21))*AD21)+(COS(RADIANS((90-$Q$8)-W21))*AE21))</f>
        <v>-0.50906991065525597</v>
      </c>
      <c r="AM21" s="634">
        <f>IF(M21="","",AF21)</f>
        <v>-7.9171069949771827E-2</v>
      </c>
      <c r="AN21" s="581">
        <f>IF(M21="","",DEGREES(ATAN2(-AM21,AL21)))</f>
        <v>-81.160117640614132</v>
      </c>
      <c r="AO21" s="582">
        <f>IF(ROUND(IF(M21="",0,DEGREES(ACOS(AK21))),4)=90,0,IF(M21="","",DEGREES(ACOS(AK21))))</f>
        <v>31.010123006132691</v>
      </c>
      <c r="AP21" s="585">
        <f>IF(M21="","",DEGREES(ATAN2(AK21,AL21)))</f>
        <v>-30.708661021748082</v>
      </c>
      <c r="AQ21" s="586">
        <f t="shared" si="9"/>
        <v>0.79755528331050263</v>
      </c>
      <c r="AS21" s="52">
        <f t="shared" si="116"/>
        <v>-86.207039530812494</v>
      </c>
      <c r="AT21" s="72">
        <f t="shared" si="10"/>
        <v>-1.6948156845696754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1313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707">
        <v>0.10274765761681809</v>
      </c>
      <c r="C22" s="708">
        <v>-0.58271255411277678</v>
      </c>
      <c r="D22" s="709">
        <v>-0.23060069549169765</v>
      </c>
      <c r="E22" s="710">
        <v>0.93016057747201597</v>
      </c>
      <c r="F22" s="708">
        <v>0.21703447324056849</v>
      </c>
      <c r="G22" s="711">
        <v>0.29613736262436524</v>
      </c>
      <c r="H22" s="710">
        <v>0.26600000000000001</v>
      </c>
      <c r="I22" s="708">
        <v>0.52</v>
      </c>
      <c r="J22" s="570">
        <v>3.1019999999999999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1313</v>
      </c>
      <c r="L22" s="873" t="str">
        <f>IF($L21=$JH$22,$JH$30,IF($L21=$JI$22,$JI$30,""))</f>
        <v/>
      </c>
      <c r="M22" s="168">
        <f t="shared" si="1"/>
        <v>3.1019999999999999</v>
      </c>
      <c r="N22" s="632">
        <f t="shared" si="2"/>
        <v>0.10274765761681809</v>
      </c>
      <c r="O22" s="629">
        <f t="shared" si="3"/>
        <v>-0.58271255411277678</v>
      </c>
      <c r="P22" s="633">
        <f t="shared" si="4"/>
        <v>-0.23060069549169765</v>
      </c>
      <c r="Q22" s="585">
        <f t="shared" si="113"/>
        <v>279.999972567398</v>
      </c>
      <c r="R22" s="629">
        <f t="shared" si="79"/>
        <v>0.59170178457258238</v>
      </c>
      <c r="S22" s="634">
        <f t="shared" si="80"/>
        <v>-0.23060069549169765</v>
      </c>
      <c r="T22" s="635">
        <f t="shared" si="81"/>
        <v>-0.57987672499951881</v>
      </c>
      <c r="U22" s="629">
        <f t="shared" si="82"/>
        <v>-0.1177029552314261</v>
      </c>
      <c r="V22" s="636">
        <f t="shared" si="114"/>
        <v>-0.23060069549169765</v>
      </c>
      <c r="W22" s="585">
        <f t="shared" si="224"/>
        <v>191.47397235457876</v>
      </c>
      <c r="X22" s="629">
        <f t="shared" si="83"/>
        <v>0.59170178457258238</v>
      </c>
      <c r="Y22" s="630">
        <f t="shared" si="223"/>
        <v>-0.23060069549169765</v>
      </c>
      <c r="Z22" s="632">
        <f t="shared" si="6"/>
        <v>-0.93016057747201597</v>
      </c>
      <c r="AA22" s="629">
        <f t="shared" si="7"/>
        <v>-0.21703447324056849</v>
      </c>
      <c r="AB22" s="629">
        <f t="shared" si="8"/>
        <v>-0.29613736262436524</v>
      </c>
      <c r="AC22" s="636">
        <f t="shared" si="84"/>
        <v>1</v>
      </c>
      <c r="AD22" s="637">
        <f t="shared" si="115"/>
        <v>-0.93016057747201597</v>
      </c>
      <c r="AE22" s="629">
        <f t="shared" si="85"/>
        <v>-0.21703447324056849</v>
      </c>
      <c r="AF22" s="633">
        <f t="shared" si="86"/>
        <v>-0.29613736262436524</v>
      </c>
      <c r="AG22" s="602">
        <f t="shared" si="87"/>
        <v>-36.237109938478362</v>
      </c>
      <c r="AH22" s="603">
        <f t="shared" si="88"/>
        <v>158.45985991451806</v>
      </c>
      <c r="AI22" s="585">
        <f t="shared" si="89"/>
        <v>-72.774248855664752</v>
      </c>
      <c r="AJ22" s="586">
        <f t="shared" si="90"/>
        <v>-76.86615264378176</v>
      </c>
      <c r="AK22" s="635">
        <f t="shared" si="211"/>
        <v>0.95371696400905337</v>
      </c>
      <c r="AL22" s="629">
        <f t="shared" si="91"/>
        <v>5.2216999332011488E-2</v>
      </c>
      <c r="AM22" s="634">
        <f t="shared" si="92"/>
        <v>-0.29613736262436524</v>
      </c>
      <c r="AN22" s="581">
        <f t="shared" si="93"/>
        <v>9.999998556179003</v>
      </c>
      <c r="AO22" s="582">
        <f t="shared" si="94"/>
        <v>17.49999747331298</v>
      </c>
      <c r="AP22" s="585">
        <f t="shared" si="95"/>
        <v>3.1338747888202407</v>
      </c>
      <c r="AQ22" s="586">
        <f t="shared" si="9"/>
        <v>3.8470388343138482</v>
      </c>
      <c r="AS22" s="52">
        <f t="shared" si="116"/>
        <v>-168.52602764542124</v>
      </c>
      <c r="AT22" s="72">
        <f t="shared" si="10"/>
        <v>-0.11254512088572403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3.1019999999999999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1313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Taper</v>
      </c>
      <c r="JG22" s="862"/>
      <c r="JH22" s="863" t="str" cm="1">
        <f t="array" ref="JH22">IFERROR(TRANSPOSE(_xlfn._xlws.SORT(_xlfn.UNIQUE(_xlfn._xlws.FILTER($IE$9:$IE$150,$IE$9:$IE$150&lt;&gt;"")),,1)),"")</f>
        <v>Taper</v>
      </c>
      <c r="JI22" s="862"/>
    </row>
    <row r="23" spans="1:269" ht="15" customHeight="1" thickTop="1" x14ac:dyDescent="0.25">
      <c r="A23" s="79"/>
      <c r="B23" s="707">
        <v>0.20754436434615703</v>
      </c>
      <c r="C23" s="708">
        <v>-1.1770458757403932</v>
      </c>
      <c r="D23" s="709">
        <v>-0.1242003745883298</v>
      </c>
      <c r="E23" s="710">
        <v>0.93016057747201608</v>
      </c>
      <c r="F23" s="708">
        <v>0.21703447324056854</v>
      </c>
      <c r="G23" s="711">
        <v>0.29613736262436524</v>
      </c>
      <c r="H23" s="710">
        <v>0.26600000000000001</v>
      </c>
      <c r="I23" s="708">
        <v>0.52</v>
      </c>
      <c r="J23" s="570">
        <v>3.1040000000000001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1313</v>
      </c>
      <c r="M23" s="168">
        <f t="shared" si="1"/>
        <v>3.1040000000000001</v>
      </c>
      <c r="N23" s="632">
        <f t="shared" si="2"/>
        <v>0.20754436434615703</v>
      </c>
      <c r="O23" s="629">
        <f t="shared" si="3"/>
        <v>-1.1770458757403932</v>
      </c>
      <c r="P23" s="633">
        <f t="shared" si="4"/>
        <v>-0.1242003745883298</v>
      </c>
      <c r="Q23" s="585">
        <f t="shared" si="113"/>
        <v>279.999972567398</v>
      </c>
      <c r="R23" s="629">
        <f t="shared" si="79"/>
        <v>1.1952036047340719</v>
      </c>
      <c r="S23" s="634">
        <f t="shared" si="80"/>
        <v>-0.1242003745883298</v>
      </c>
      <c r="T23" s="635">
        <f t="shared" si="81"/>
        <v>-1.1713176638827527</v>
      </c>
      <c r="U23" s="629">
        <f t="shared" si="82"/>
        <v>-0.23775320617306142</v>
      </c>
      <c r="V23" s="636">
        <f t="shared" si="114"/>
        <v>-0.1242003745883298</v>
      </c>
      <c r="W23" s="585">
        <f t="shared" si="224"/>
        <v>191.47397235457876</v>
      </c>
      <c r="X23" s="629">
        <f t="shared" si="83"/>
        <v>1.1952036047340719</v>
      </c>
      <c r="Y23" s="630">
        <f t="shared" si="223"/>
        <v>-0.1242003745883298</v>
      </c>
      <c r="Z23" s="632">
        <f t="shared" si="6"/>
        <v>-0.93016057747201608</v>
      </c>
      <c r="AA23" s="629">
        <f t="shared" si="7"/>
        <v>-0.21703447324056854</v>
      </c>
      <c r="AB23" s="629">
        <f t="shared" si="8"/>
        <v>-0.29613736262436524</v>
      </c>
      <c r="AC23" s="636">
        <f t="shared" si="84"/>
        <v>1</v>
      </c>
      <c r="AD23" s="637">
        <f t="shared" si="115"/>
        <v>-0.93016057747201608</v>
      </c>
      <c r="AE23" s="629">
        <f t="shared" si="85"/>
        <v>-0.21703447324056854</v>
      </c>
      <c r="AF23" s="633">
        <f t="shared" si="86"/>
        <v>-0.29613736262436524</v>
      </c>
      <c r="AG23" s="602">
        <f t="shared" si="87"/>
        <v>-36.237109938478369</v>
      </c>
      <c r="AH23" s="603">
        <f t="shared" si="88"/>
        <v>158.45985991451809</v>
      </c>
      <c r="AI23" s="585">
        <f t="shared" si="89"/>
        <v>-72.774248855664752</v>
      </c>
      <c r="AJ23" s="586">
        <f t="shared" si="90"/>
        <v>-76.86615264378176</v>
      </c>
      <c r="AK23" s="635">
        <f t="shared" si="211"/>
        <v>0.95371696400905348</v>
      </c>
      <c r="AL23" s="629">
        <f t="shared" si="91"/>
        <v>5.2216999332011516E-2</v>
      </c>
      <c r="AM23" s="634">
        <f t="shared" si="92"/>
        <v>-0.29613736262436524</v>
      </c>
      <c r="AN23" s="581">
        <f t="shared" si="93"/>
        <v>9.9999985561790066</v>
      </c>
      <c r="AO23" s="582">
        <f t="shared" si="94"/>
        <v>17.499997473312952</v>
      </c>
      <c r="AP23" s="585">
        <f t="shared" si="95"/>
        <v>3.1338747888202421</v>
      </c>
      <c r="AQ23" s="586">
        <f t="shared" si="9"/>
        <v>1.9066918940731401</v>
      </c>
      <c r="AS23" s="52">
        <f t="shared" si="116"/>
        <v>-168.52602764542124</v>
      </c>
      <c r="AT23" s="72">
        <f t="shared" si="10"/>
        <v>-6.1447999823561888E-3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3.1040000000000001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2</v>
      </c>
      <c r="JC23" s="199"/>
      <c r="JD23" s="199"/>
      <c r="JE23" s="871"/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707">
        <v>0.29577431178251723</v>
      </c>
      <c r="C24" s="708">
        <v>-1.8455550491889663</v>
      </c>
      <c r="D24" s="709">
        <v>-5.0600152610060248E-2</v>
      </c>
      <c r="E24" s="710">
        <v>0.95120917683278128</v>
      </c>
      <c r="F24" s="708">
        <v>6.1203730843467745E-2</v>
      </c>
      <c r="G24" s="711">
        <v>0.30241561672629119</v>
      </c>
      <c r="H24" s="710">
        <v>0.26600000000000001</v>
      </c>
      <c r="I24" s="708">
        <v>0.52</v>
      </c>
      <c r="J24" s="570">
        <v>3.1070000000000002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1313</v>
      </c>
      <c r="L24" s="86"/>
      <c r="M24" s="168">
        <f t="shared" si="1"/>
        <v>3.1070000000000002</v>
      </c>
      <c r="N24" s="632">
        <f t="shared" si="2"/>
        <v>0.29577431178251723</v>
      </c>
      <c r="O24" s="629">
        <f t="shared" si="3"/>
        <v>-1.8455550491889663</v>
      </c>
      <c r="P24" s="633">
        <f t="shared" si="4"/>
        <v>-5.0600152610060248E-2</v>
      </c>
      <c r="Q24" s="585">
        <f t="shared" si="113"/>
        <v>279.10497269662005</v>
      </c>
      <c r="R24" s="629">
        <f t="shared" si="79"/>
        <v>1.8691056372226023</v>
      </c>
      <c r="S24" s="634">
        <f t="shared" si="80"/>
        <v>-5.0600152610060248E-2</v>
      </c>
      <c r="T24" s="635">
        <f t="shared" si="81"/>
        <v>-1.8373360617769166</v>
      </c>
      <c r="U24" s="629">
        <f t="shared" si="82"/>
        <v>-0.34315022831319941</v>
      </c>
      <c r="V24" s="636">
        <f t="shared" si="114"/>
        <v>-5.0600152610060248E-2</v>
      </c>
      <c r="W24" s="585">
        <f t="shared" si="224"/>
        <v>190.57897248380081</v>
      </c>
      <c r="X24" s="629">
        <f t="shared" si="83"/>
        <v>1.8691056372226023</v>
      </c>
      <c r="Y24" s="630">
        <f t="shared" si="223"/>
        <v>-5.0600152610060248E-2</v>
      </c>
      <c r="Z24" s="632">
        <f t="shared" si="6"/>
        <v>-0.95120917683278128</v>
      </c>
      <c r="AA24" s="629">
        <f t="shared" si="7"/>
        <v>-6.1203730843467745E-2</v>
      </c>
      <c r="AB24" s="629">
        <f t="shared" si="8"/>
        <v>-0.30241561672629119</v>
      </c>
      <c r="AC24" s="636">
        <f t="shared" si="84"/>
        <v>1</v>
      </c>
      <c r="AD24" s="637">
        <f t="shared" si="115"/>
        <v>-0.95120917683278128</v>
      </c>
      <c r="AE24" s="629">
        <f t="shared" si="85"/>
        <v>-6.1203730843467745E-2</v>
      </c>
      <c r="AF24" s="633">
        <f t="shared" si="86"/>
        <v>-0.30241561672629119</v>
      </c>
      <c r="AG24" s="602">
        <f t="shared" si="87"/>
        <v>-11.441147669454216</v>
      </c>
      <c r="AH24" s="603">
        <f t="shared" si="88"/>
        <v>162.02832680607185</v>
      </c>
      <c r="AI24" s="585">
        <f t="shared" si="89"/>
        <v>-72.397251415216161</v>
      </c>
      <c r="AJ24" s="586">
        <f t="shared" si="90"/>
        <v>-86.318487843199321</v>
      </c>
      <c r="AK24" s="635">
        <f>IF(M24="","",(COS(RADIANS((90-$Q$8)-W24))*AD24)+(-SIN(RADIANS((90-$Q$8)-W24))*AE24))</f>
        <v>0.94890912273041295</v>
      </c>
      <c r="AL24" s="629">
        <f t="shared" si="91"/>
        <v>-9.0090352197419399E-2</v>
      </c>
      <c r="AM24" s="634">
        <f t="shared" si="92"/>
        <v>-0.30241561672629119</v>
      </c>
      <c r="AN24" s="581">
        <f t="shared" si="93"/>
        <v>-16.588922936739898</v>
      </c>
      <c r="AO24" s="582">
        <f t="shared" si="94"/>
        <v>18.393988815202622</v>
      </c>
      <c r="AP24" s="585">
        <f t="shared" si="95"/>
        <v>-5.4234605398193709</v>
      </c>
      <c r="AQ24" s="586">
        <f t="shared" si="9"/>
        <v>1.219504301440155</v>
      </c>
      <c r="AS24" s="52">
        <f t="shared" si="116"/>
        <v>-169.42102751619919</v>
      </c>
      <c r="AT24" s="72">
        <f t="shared" si="10"/>
        <v>6.8076949683953614E-2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3.1070000000000002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0.34843666724678646</v>
      </c>
      <c r="C25" s="708">
        <v>-2.4814639639173119</v>
      </c>
      <c r="D25" s="709">
        <v>-0.35700107671524761</v>
      </c>
      <c r="E25" s="710">
        <v>0.95220105049257076</v>
      </c>
      <c r="F25" s="708">
        <v>-0.15861284892039182</v>
      </c>
      <c r="G25" s="711">
        <v>0.26106536269333336</v>
      </c>
      <c r="H25" s="710">
        <v>0.26600000000000001</v>
      </c>
      <c r="I25" s="708">
        <v>0.52</v>
      </c>
      <c r="J25" s="570">
        <v>3.1110000000000002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1313</v>
      </c>
      <c r="L25" s="86"/>
      <c r="M25" s="168">
        <f t="shared" si="1"/>
        <v>3.1110000000000002</v>
      </c>
      <c r="N25" s="632">
        <f t="shared" si="2"/>
        <v>0.34843666724678646</v>
      </c>
      <c r="O25" s="629">
        <f t="shared" si="3"/>
        <v>-2.4814639639173119</v>
      </c>
      <c r="P25" s="633">
        <f t="shared" si="4"/>
        <v>-0.35700107671524761</v>
      </c>
      <c r="Q25" s="585">
        <f t="shared" si="113"/>
        <v>277.99297285717296</v>
      </c>
      <c r="R25" s="629">
        <f>IF(M25="","",SQRT(N25^2+O25^2))</f>
        <v>2.505807557515594</v>
      </c>
      <c r="S25" s="634">
        <f>IF(M25="","",P25)</f>
        <v>-0.35700107671524761</v>
      </c>
      <c r="T25" s="635">
        <f>IF(M25="","",X25*COS(RADIANS(W25)))</f>
        <v>-2.4716799046068272</v>
      </c>
      <c r="U25" s="629">
        <f>IF(M25="","",X25*SIN(RADIANS(W25)))</f>
        <v>-0.41215284114640388</v>
      </c>
      <c r="V25" s="636">
        <f>IF(M25="","",Y25)</f>
        <v>-0.35700107671524761</v>
      </c>
      <c r="W25" s="585">
        <f t="shared" si="224"/>
        <v>189.46697264435372</v>
      </c>
      <c r="X25" s="629">
        <f>IF(M25="","",R25)</f>
        <v>2.505807557515594</v>
      </c>
      <c r="Y25" s="630">
        <f t="shared" si="223"/>
        <v>-0.35700107671524761</v>
      </c>
      <c r="Z25" s="632">
        <f t="shared" si="6"/>
        <v>-0.95220105049257076</v>
      </c>
      <c r="AA25" s="629">
        <f t="shared" si="7"/>
        <v>0.15861284892039182</v>
      </c>
      <c r="AB25" s="629">
        <f t="shared" si="8"/>
        <v>-0.26106536269333336</v>
      </c>
      <c r="AC25" s="636">
        <f>IF(M25="","",SQRT(Z25^2+AA25^2+AB25^2))</f>
        <v>1</v>
      </c>
      <c r="AD25" s="637">
        <f>IF(M25="","",Z25*(1/SQRT(Z25^2+AA25^2+AB25^2)))</f>
        <v>-0.95220105049257076</v>
      </c>
      <c r="AE25" s="629">
        <f>IF(M25="","",AA25*(1/SQRT(Z25^2+AA25^2+AB25^2)))</f>
        <v>0.15861284892039182</v>
      </c>
      <c r="AF25" s="633">
        <f>IF(M25="","",AB25*(1/SQRT(Z25^2+AA25^2+AB25^2)))</f>
        <v>-0.26106536269333336</v>
      </c>
      <c r="AG25" s="602">
        <f>IF(M25="","",DEGREES(ATAN2(-AF25,AE25)))</f>
        <v>31.281188000282992</v>
      </c>
      <c r="AH25" s="603">
        <f>IF(M25="","",DEGREES(ACOS(AD25)))</f>
        <v>162.21343555662693</v>
      </c>
      <c r="AI25" s="585">
        <f>IF(M25="","",DEGREES(-ACOS(-AF25)))</f>
        <v>-74.866713618160503</v>
      </c>
      <c r="AJ25" s="586">
        <f>IF(M25="","",DEGREES(ATAN2(-AE25,AD25)))</f>
        <v>-99.457209563684245</v>
      </c>
      <c r="AK25" s="635">
        <f>IF(M25="","",(COS(RADIANS((90-$Q$8)-W25))*AD25)+(-SIN(RADIANS((90-$Q$8)-W25))*AE25))</f>
        <v>0.92089516364499335</v>
      </c>
      <c r="AL25" s="629">
        <f>IF(M25="","",(SIN(RADIANS((90-$Q$8)-W25))*AD25)+(COS(RADIANS((90-$Q$8)-W25))*AE25))</f>
        <v>-0.28947706986402083</v>
      </c>
      <c r="AM25" s="634">
        <f>IF(M25="","",AF25)</f>
        <v>-0.26106536269333336</v>
      </c>
      <c r="AN25" s="581">
        <f>IF(M25="","",DEGREES(ATAN2(-AM25,AL25)))</f>
        <v>-47.954228361332241</v>
      </c>
      <c r="AO25" s="582">
        <f>IF(ROUND(IF(M25="",0,DEGREES(ACOS(AK25))),4)=90,0,IF(M25="","",DEGREES(ACOS(AK25))))</f>
        <v>22.942698432036718</v>
      </c>
      <c r="AP25" s="585">
        <f>IF(M25="","",DEGREES(ATAN2(AK25,AL25)))</f>
        <v>-17.450182420857196</v>
      </c>
      <c r="AQ25" s="586">
        <f t="shared" si="9"/>
        <v>0.90970077016691386</v>
      </c>
      <c r="AS25" s="52">
        <f t="shared" si="116"/>
        <v>-170.53302735564628</v>
      </c>
      <c r="AT25" s="72">
        <f t="shared" si="10"/>
        <v>-0.23755175231050663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3.1110000000000002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1313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0.36260810039330277</v>
      </c>
      <c r="C26" s="708">
        <v>-2.7881279757707085</v>
      </c>
      <c r="D26" s="709">
        <v>-0.98370296684814817</v>
      </c>
      <c r="E26" s="710">
        <v>0.93933039613304314</v>
      </c>
      <c r="F26" s="708">
        <v>-0.32193734732615242</v>
      </c>
      <c r="G26" s="711">
        <v>0.11838391485814553</v>
      </c>
      <c r="H26" s="710">
        <v>0.26600000000000001</v>
      </c>
      <c r="I26" s="708">
        <v>0.52</v>
      </c>
      <c r="J26" s="570">
        <v>3.1150000000000002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1313</v>
      </c>
      <c r="L26" s="320"/>
      <c r="M26" s="168">
        <f t="shared" si="1"/>
        <v>3.1150000000000002</v>
      </c>
      <c r="N26" s="632">
        <f t="shared" si="2"/>
        <v>0.36260810039330277</v>
      </c>
      <c r="O26" s="629">
        <f t="shared" si="3"/>
        <v>-2.7881279757707085</v>
      </c>
      <c r="P26" s="633">
        <f t="shared" si="4"/>
        <v>-0.98370296684814817</v>
      </c>
      <c r="Q26" s="585">
        <f t="shared" si="113"/>
        <v>277.40997294134775</v>
      </c>
      <c r="R26" s="629">
        <f>IF(M26="","",SQRT(N26^2+O26^2))</f>
        <v>2.8116084798111753</v>
      </c>
      <c r="S26" s="634">
        <f>IF(M26="","",P26)</f>
        <v>-0.98370296684814817</v>
      </c>
      <c r="T26" s="635">
        <f>IF(M26="","",X26*COS(RADIANS(W26)))</f>
        <v>-2.7778779054111422</v>
      </c>
      <c r="U26" s="629">
        <f>IF(M26="","",X26*SIN(RADIANS(W26)))</f>
        <v>-0.43420799897596851</v>
      </c>
      <c r="V26" s="636">
        <f>IF(M26="","",Y26)</f>
        <v>-0.98370296684814817</v>
      </c>
      <c r="W26" s="585">
        <f t="shared" si="224"/>
        <v>188.88397272852851</v>
      </c>
      <c r="X26" s="629">
        <f>IF(M26="","",R26)</f>
        <v>2.8116084798111753</v>
      </c>
      <c r="Y26" s="630">
        <f t="shared" si="223"/>
        <v>-0.98370296684814817</v>
      </c>
      <c r="Z26" s="632">
        <f t="shared" si="6"/>
        <v>-0.93933039613304314</v>
      </c>
      <c r="AA26" s="629">
        <f t="shared" si="7"/>
        <v>0.32193734732615242</v>
      </c>
      <c r="AB26" s="629">
        <f t="shared" si="8"/>
        <v>-0.11838391485814553</v>
      </c>
      <c r="AC26" s="636">
        <f>IF(M26="","",SQRT(Z26^2+AA26^2+AB26^2))</f>
        <v>1</v>
      </c>
      <c r="AD26" s="637">
        <f>IF(M26="","",Z26*(1/SQRT(Z26^2+AA26^2+AB26^2)))</f>
        <v>-0.93933039613304314</v>
      </c>
      <c r="AE26" s="629">
        <f>IF(M26="","",AA26*(1/SQRT(Z26^2+AA26^2+AB26^2)))</f>
        <v>0.32193734732615242</v>
      </c>
      <c r="AF26" s="633">
        <f>IF(M26="","",AB26*(1/SQRT(Z26^2+AA26^2+AB26^2)))</f>
        <v>-0.11838391485814553</v>
      </c>
      <c r="AG26" s="602">
        <f>IF(M26="","",DEGREES(ATAN2(-AF26,AE26)))</f>
        <v>69.81034091037121</v>
      </c>
      <c r="AH26" s="603">
        <f>IF(M26="","",DEGREES(ACOS(AD26)))</f>
        <v>159.93940754391397</v>
      </c>
      <c r="AI26" s="585">
        <f>IF(M26="","",DEGREES(-ACOS(-AF26)))</f>
        <v>-83.201157116297267</v>
      </c>
      <c r="AJ26" s="586">
        <f>IF(M26="","",DEGREES(ATAN2(-AE26,AD26)))</f>
        <v>-108.91816063844864</v>
      </c>
      <c r="AK26" s="635">
        <f>IF(M26="","",(COS(RADIANS((90-$Q$8)-W26))*AD26)+(-SIN(RADIANS((90-$Q$8)-W26))*AE26))</f>
        <v>0.88996611155432692</v>
      </c>
      <c r="AL26" s="629">
        <f>IF(M26="","",(SIN(RADIANS((90-$Q$8)-W26))*AD26)+(COS(RADIANS((90-$Q$8)-W26))*AE26))</f>
        <v>-0.44039251695246889</v>
      </c>
      <c r="AM26" s="634">
        <f>IF(M26="","",AF26)</f>
        <v>-0.11838391485814553</v>
      </c>
      <c r="AN26" s="581">
        <f>IF(M26="","",DEGREES(ATAN2(-AM26,AL26)))</f>
        <v>-74.953750170101273</v>
      </c>
      <c r="AO26" s="582">
        <f t="shared" si="94"/>
        <v>27.13101121416393</v>
      </c>
      <c r="AP26" s="585">
        <f>IF(M26="","",DEGREES(ATAN2(AK26,AL26)))</f>
        <v>-26.328133579796368</v>
      </c>
      <c r="AQ26" s="586">
        <f t="shared" si="9"/>
        <v>0.81077236802837038</v>
      </c>
      <c r="AS26" s="52">
        <f t="shared" si="116"/>
        <v>-171.11602727147149</v>
      </c>
      <c r="AT26" s="72">
        <f t="shared" si="10"/>
        <v>-0.86384878139075072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3.1150000000000002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0.36411593676323278</v>
      </c>
      <c r="C27" s="708">
        <v>-2.8349208281853726</v>
      </c>
      <c r="D27" s="709">
        <v>-1.6077048488378243</v>
      </c>
      <c r="E27" s="710">
        <v>0.91494507296330774</v>
      </c>
      <c r="F27" s="708">
        <v>-0.39573659818517665</v>
      </c>
      <c r="G27" s="711">
        <v>7.9171069949771702E-2</v>
      </c>
      <c r="H27" s="710">
        <v>0.26600000000000001</v>
      </c>
      <c r="I27" s="708">
        <v>0.52</v>
      </c>
      <c r="J27" s="570">
        <v>3.1190000000000002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1313</v>
      </c>
      <c r="L27" s="320"/>
      <c r="M27" s="168">
        <f t="shared" si="1"/>
        <v>3.1190000000000002</v>
      </c>
      <c r="N27" s="632">
        <f t="shared" si="2"/>
        <v>0.36411593676323278</v>
      </c>
      <c r="O27" s="629">
        <f t="shared" si="3"/>
        <v>-2.8349208281853726</v>
      </c>
      <c r="P27" s="633">
        <f t="shared" si="4"/>
        <v>-1.6077048488378243</v>
      </c>
      <c r="Q27" s="585">
        <f t="shared" si="113"/>
        <v>277.31897295448653</v>
      </c>
      <c r="R27" s="629">
        <f t="shared" si="79"/>
        <v>2.8582086203571992</v>
      </c>
      <c r="S27" s="634">
        <f t="shared" si="80"/>
        <v>-1.6077048488378243</v>
      </c>
      <c r="T27" s="635">
        <f t="shared" si="81"/>
        <v>-2.8246164875664377</v>
      </c>
      <c r="U27" s="629">
        <f t="shared" si="82"/>
        <v>-0.43691900353732033</v>
      </c>
      <c r="V27" s="636">
        <f t="shared" si="114"/>
        <v>-1.6077048488378243</v>
      </c>
      <c r="W27" s="585">
        <f t="shared" si="224"/>
        <v>188.79297274166728</v>
      </c>
      <c r="X27" s="629">
        <f t="shared" si="83"/>
        <v>2.8582086203571992</v>
      </c>
      <c r="Y27" s="630">
        <f t="shared" si="223"/>
        <v>-1.6077048488378243</v>
      </c>
      <c r="Z27" s="632">
        <f t="shared" si="6"/>
        <v>-0.91494507296330774</v>
      </c>
      <c r="AA27" s="629">
        <f t="shared" si="7"/>
        <v>0.39573659818517665</v>
      </c>
      <c r="AB27" s="629">
        <f t="shared" si="8"/>
        <v>-7.9171069949771702E-2</v>
      </c>
      <c r="AC27" s="636">
        <f t="shared" si="84"/>
        <v>1</v>
      </c>
      <c r="AD27" s="637">
        <f t="shared" si="115"/>
        <v>-0.91494507296330774</v>
      </c>
      <c r="AE27" s="629">
        <f t="shared" si="85"/>
        <v>0.39573659818517665</v>
      </c>
      <c r="AF27" s="633">
        <f t="shared" si="86"/>
        <v>-7.9171069949771702E-2</v>
      </c>
      <c r="AG27" s="602">
        <f t="shared" si="87"/>
        <v>78.686761186851399</v>
      </c>
      <c r="AH27" s="603">
        <f t="shared" si="88"/>
        <v>156.19792788783593</v>
      </c>
      <c r="AI27" s="585">
        <f t="shared" si="89"/>
        <v>-85.459079588028857</v>
      </c>
      <c r="AJ27" s="586">
        <f t="shared" si="90"/>
        <v>-113.38968806726157</v>
      </c>
      <c r="AK27" s="635">
        <f t="shared" si="211"/>
        <v>0.85707629050654399</v>
      </c>
      <c r="AL27" s="629">
        <f t="shared" si="91"/>
        <v>-0.50906991065525631</v>
      </c>
      <c r="AM27" s="634">
        <f t="shared" si="92"/>
        <v>-7.9171069949771702E-2</v>
      </c>
      <c r="AN27" s="581">
        <f t="shared" si="93"/>
        <v>-81.160117640614132</v>
      </c>
      <c r="AO27" s="582">
        <f t="shared" si="94"/>
        <v>31.010123006132702</v>
      </c>
      <c r="AP27" s="585">
        <f t="shared" si="95"/>
        <v>-30.7086610217481</v>
      </c>
      <c r="AQ27" s="586">
        <f t="shared" si="9"/>
        <v>0.79755528331050252</v>
      </c>
      <c r="AS27" s="52">
        <f t="shared" si="116"/>
        <v>-171.20702725833272</v>
      </c>
      <c r="AT27" s="72">
        <f t="shared" si="10"/>
        <v>-1.4877874689451065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3.1190000000000002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0.36416429793483124</v>
      </c>
      <c r="C28" s="708">
        <v>-2.8349059250898669</v>
      </c>
      <c r="D28" s="709">
        <v>-2.2117</v>
      </c>
      <c r="E28" s="710">
        <v>0.91495740153243443</v>
      </c>
      <c r="F28" s="708">
        <v>-0.39569515129792981</v>
      </c>
      <c r="G28" s="711">
        <v>7.9235728180689941E-2</v>
      </c>
      <c r="H28" s="710">
        <v>0.26600000000000001</v>
      </c>
      <c r="I28" s="708">
        <v>0.52</v>
      </c>
      <c r="J28" s="570">
        <v>3.1230000000000002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1313</v>
      </c>
      <c r="L28" s="320"/>
      <c r="M28" s="168">
        <f t="shared" si="1"/>
        <v>3.1230000000000002</v>
      </c>
      <c r="N28" s="632">
        <f t="shared" si="2"/>
        <v>0.36416429793483124</v>
      </c>
      <c r="O28" s="629">
        <f t="shared" si="3"/>
        <v>-2.8349059250898669</v>
      </c>
      <c r="P28" s="633">
        <f t="shared" si="4"/>
        <v>-2.2117</v>
      </c>
      <c r="Q28" s="585">
        <f t="shared" si="113"/>
        <v>277.31997256739805</v>
      </c>
      <c r="R28" s="629">
        <f t="shared" si="79"/>
        <v>2.8582000000000005</v>
      </c>
      <c r="S28" s="634">
        <f t="shared" si="80"/>
        <v>-2.2117</v>
      </c>
      <c r="T28" s="635">
        <f t="shared" si="81"/>
        <v>-2.8246003453928576</v>
      </c>
      <c r="U28" s="629">
        <f t="shared" si="82"/>
        <v>-0.43696696534927471</v>
      </c>
      <c r="V28" s="636">
        <f t="shared" si="114"/>
        <v>-2.2117</v>
      </c>
      <c r="W28" s="585">
        <f t="shared" si="224"/>
        <v>188.79397235457881</v>
      </c>
      <c r="X28" s="629">
        <f t="shared" si="83"/>
        <v>2.8582000000000005</v>
      </c>
      <c r="Y28" s="630">
        <f t="shared" si="223"/>
        <v>-2.2117</v>
      </c>
      <c r="Z28" s="632">
        <f t="shared" si="6"/>
        <v>-0.91495740153243443</v>
      </c>
      <c r="AA28" s="629">
        <f t="shared" si="7"/>
        <v>0.39569515129792981</v>
      </c>
      <c r="AB28" s="629">
        <f t="shared" si="8"/>
        <v>-7.9235728180689941E-2</v>
      </c>
      <c r="AC28" s="636">
        <f t="shared" si="84"/>
        <v>1</v>
      </c>
      <c r="AD28" s="637">
        <f t="shared" si="115"/>
        <v>-0.91495740153243443</v>
      </c>
      <c r="AE28" s="629">
        <f t="shared" si="85"/>
        <v>0.39569515129792981</v>
      </c>
      <c r="AF28" s="633">
        <f t="shared" si="86"/>
        <v>-7.9235728180689941E-2</v>
      </c>
      <c r="AG28" s="602">
        <f t="shared" si="87"/>
        <v>78.676605039362343</v>
      </c>
      <c r="AH28" s="603">
        <f t="shared" si="88"/>
        <v>156.1996782279561</v>
      </c>
      <c r="AI28" s="585">
        <f t="shared" si="89"/>
        <v>-85.455363269382332</v>
      </c>
      <c r="AJ28" s="586">
        <f t="shared" si="90"/>
        <v>-113.38722029899597</v>
      </c>
      <c r="AK28" s="635">
        <f t="shared" si="211"/>
        <v>0.8570849177246167</v>
      </c>
      <c r="AL28" s="629">
        <f t="shared" si="91"/>
        <v>-0.5090453252792555</v>
      </c>
      <c r="AM28" s="634">
        <f t="shared" si="92"/>
        <v>-7.9235728180689941E-2</v>
      </c>
      <c r="AN28" s="581">
        <f t="shared" si="93"/>
        <v>-81.152591832592577</v>
      </c>
      <c r="AO28" s="582">
        <f t="shared" si="94"/>
        <v>31.00916353382318</v>
      </c>
      <c r="AP28" s="585">
        <f t="shared" si="95"/>
        <v>-30.707192866394021</v>
      </c>
      <c r="AQ28" s="586">
        <f t="shared" si="9"/>
        <v>0.79755768843377561</v>
      </c>
      <c r="AS28" s="52">
        <f t="shared" si="116"/>
        <v>-171.20602764542119</v>
      </c>
      <c r="AT28" s="72">
        <f t="shared" si="10"/>
        <v>-2.0917833142829152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3.1230000000000002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-1.6697737945692277</v>
      </c>
      <c r="C29" s="708">
        <v>-0.12842306068149245</v>
      </c>
      <c r="D29" s="709">
        <v>-4.6500140244422915E-2</v>
      </c>
      <c r="E29" s="710">
        <v>2.1044640991906199E-2</v>
      </c>
      <c r="F29" s="708">
        <v>-0.95361367181606982</v>
      </c>
      <c r="G29" s="711">
        <v>0.3002966666664737</v>
      </c>
      <c r="H29" s="710">
        <v>0.26600000000000001</v>
      </c>
      <c r="I29" s="708">
        <v>0.52</v>
      </c>
      <c r="J29" s="570">
        <v>4.1059999999999999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1313</v>
      </c>
      <c r="L29" s="86"/>
      <c r="M29" s="168">
        <f t="shared" si="1"/>
        <v>4.1059999999999999</v>
      </c>
      <c r="N29" s="632">
        <f t="shared" si="2"/>
        <v>-1.6697737945692277</v>
      </c>
      <c r="O29" s="629">
        <f t="shared" si="3"/>
        <v>-0.12842306068149245</v>
      </c>
      <c r="P29" s="633">
        <f t="shared" si="4"/>
        <v>-4.6500140244422915E-2</v>
      </c>
      <c r="Q29" s="585">
        <f t="shared" si="113"/>
        <v>184.39798637061708</v>
      </c>
      <c r="R29" s="629">
        <f>IF(M29="","",SQRT(N29^2+O29^2))</f>
        <v>1.6747050509104342</v>
      </c>
      <c r="S29" s="634">
        <f>IF(M29="","",P29)</f>
        <v>-4.6500140244422915E-2</v>
      </c>
      <c r="T29" s="635">
        <f>IF(M29="","",X29*COS(RADIANS(W29)))</f>
        <v>-0.17133267757293102</v>
      </c>
      <c r="U29" s="629">
        <f>IF(M29="","",X29*SIN(RADIANS(W29)))</f>
        <v>1.6659178014357761</v>
      </c>
      <c r="V29" s="636">
        <f>IF(M29="","",Y29)</f>
        <v>-4.6500140244422915E-2</v>
      </c>
      <c r="W29" s="585">
        <f t="shared" si="224"/>
        <v>95.871986157797835</v>
      </c>
      <c r="X29" s="629">
        <f>IF(M29="","",R29)</f>
        <v>1.6747050509104342</v>
      </c>
      <c r="Y29" s="630">
        <f t="shared" si="223"/>
        <v>-4.6500140244422915E-2</v>
      </c>
      <c r="Z29" s="632">
        <f t="shared" si="6"/>
        <v>-2.1044640991906199E-2</v>
      </c>
      <c r="AA29" s="629">
        <f t="shared" si="7"/>
        <v>0.95361367181606982</v>
      </c>
      <c r="AB29" s="629">
        <f t="shared" si="8"/>
        <v>-0.3002966666664737</v>
      </c>
      <c r="AC29" s="636">
        <f>IF(M29="","",SQRT(Z29^2+AA29^2+AB29^2))</f>
        <v>1</v>
      </c>
      <c r="AD29" s="637">
        <f>IF(M29="","",Z29*(1/SQRT(Z29^2+AA29^2+AB29^2)))</f>
        <v>-2.1044640991906199E-2</v>
      </c>
      <c r="AE29" s="629">
        <f>IF(M29="","",AA29*(1/SQRT(Z29^2+AA29^2+AB29^2)))</f>
        <v>0.95361367181606982</v>
      </c>
      <c r="AF29" s="633">
        <f>IF(M29="","",AB29*(1/SQRT(Z29^2+AA29^2+AB29^2)))</f>
        <v>-0.3002966666664737</v>
      </c>
      <c r="AG29" s="602">
        <f>IF(M29="","",DEGREES(ATAN2(-AF29,AE29)))</f>
        <v>72.520581784776482</v>
      </c>
      <c r="AH29" s="603">
        <f>IF(M29="","",DEGREES(ACOS(AD29)))</f>
        <v>91.205858129163559</v>
      </c>
      <c r="AI29" s="585">
        <f>IF(M29="","",DEGREES(-ACOS(-AF29)))</f>
        <v>-72.524577523168389</v>
      </c>
      <c r="AJ29" s="586">
        <f>IF(M29="","",DEGREES(ATAN2(-AE29,AD29)))</f>
        <v>-178.73578424641812</v>
      </c>
      <c r="AK29" s="635">
        <f>IF(M29="","",(COS(RADIANS((90-$Q$8)-W29))*AD29)+(-SIN(RADIANS((90-$Q$8)-W29))*AE29))</f>
        <v>0.95241949361854594</v>
      </c>
      <c r="AL29" s="629">
        <f>IF(M29="","",(SIN(RADIANS((90-$Q$8)-W29))*AD29)+(COS(RADIANS((90-$Q$8)-W29))*AE29))</f>
        <v>-5.2144224650460078E-2</v>
      </c>
      <c r="AM29" s="634">
        <f>IF(M29="","",AF29)</f>
        <v>-0.3002966666664737</v>
      </c>
      <c r="AN29" s="581">
        <f>IF(M29="","",DEGREES(ATAN2(-AM29,AL29)))</f>
        <v>-9.8507530547633824</v>
      </c>
      <c r="AO29" s="582">
        <f t="shared" si="94"/>
        <v>17.745546445961793</v>
      </c>
      <c r="AP29" s="585">
        <f>IF(M29="","",DEGREES(ATAN2(AK29,AL29)))</f>
        <v>-3.1337706170352151</v>
      </c>
      <c r="AQ29" s="586">
        <f t="shared" si="9"/>
        <v>1.3610144827878494</v>
      </c>
      <c r="AS29" s="52">
        <f t="shared" si="116"/>
        <v>-264.12801384220217</v>
      </c>
      <c r="AT29" s="72">
        <f t="shared" si="10"/>
        <v>0.13794570255375965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4.1059999999999999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1313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-2.3645051831342285</v>
      </c>
      <c r="C30" s="708">
        <v>-0.13414157311141967</v>
      </c>
      <c r="D30" s="709">
        <v>-0.24120072746139426</v>
      </c>
      <c r="E30" s="710">
        <v>-0.18802058631429314</v>
      </c>
      <c r="F30" s="708">
        <v>-0.94051255804126155</v>
      </c>
      <c r="G30" s="711">
        <v>0.28299185021606538</v>
      </c>
      <c r="H30" s="710">
        <v>0.26600000000000001</v>
      </c>
      <c r="I30" s="708">
        <v>0.52</v>
      </c>
      <c r="J30" s="570">
        <v>4.1100000000000003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1313</v>
      </c>
      <c r="L30" s="86"/>
      <c r="M30" s="168">
        <f t="shared" si="1"/>
        <v>4.1100000000000003</v>
      </c>
      <c r="N30" s="632">
        <f t="shared" si="2"/>
        <v>-2.3645051831342285</v>
      </c>
      <c r="O30" s="629">
        <f t="shared" si="3"/>
        <v>-0.13414157311141967</v>
      </c>
      <c r="P30" s="633">
        <f t="shared" si="4"/>
        <v>-0.24120072746139426</v>
      </c>
      <c r="Q30" s="585">
        <f t="shared" si="113"/>
        <v>183.24698653680088</v>
      </c>
      <c r="R30" s="629">
        <f>IF(M30="","",SQRT(N30^2+O30^2))</f>
        <v>2.3683071428143432</v>
      </c>
      <c r="S30" s="634">
        <f>IF(M30="","",P30)</f>
        <v>-0.24120072746139426</v>
      </c>
      <c r="T30" s="635">
        <f>IF(M30="","",X30*COS(RADIANS(W30)))</f>
        <v>-0.194920089884692</v>
      </c>
      <c r="U30" s="629">
        <f>IF(M30="","",X30*SIN(RADIANS(W30)))</f>
        <v>2.3602722049087435</v>
      </c>
      <c r="V30" s="636">
        <f>IF(M30="","",Y30)</f>
        <v>-0.24120072746139426</v>
      </c>
      <c r="W30" s="585">
        <f t="shared" si="224"/>
        <v>94.720986323981634</v>
      </c>
      <c r="X30" s="629">
        <f>IF(M30="","",R30)</f>
        <v>2.3683071428143432</v>
      </c>
      <c r="Y30" s="630">
        <f t="shared" si="223"/>
        <v>-0.24120072746139426</v>
      </c>
      <c r="Z30" s="632">
        <f t="shared" si="6"/>
        <v>0.18802058631429314</v>
      </c>
      <c r="AA30" s="629">
        <f t="shared" si="7"/>
        <v>0.94051255804126155</v>
      </c>
      <c r="AB30" s="629">
        <f t="shared" si="8"/>
        <v>-0.28299185021606538</v>
      </c>
      <c r="AC30" s="636">
        <f>IF(M30="","",SQRT(Z30^2+AA30^2+AB30^2))</f>
        <v>1</v>
      </c>
      <c r="AD30" s="637">
        <f>IF(M30="","",Z30*(1/SQRT(Z30^2+AA30^2+AB30^2)))</f>
        <v>0.18802058631429314</v>
      </c>
      <c r="AE30" s="629">
        <f>IF(M30="","",AA30*(1/SQRT(Z30^2+AA30^2+AB30^2)))</f>
        <v>0.94051255804126155</v>
      </c>
      <c r="AF30" s="633">
        <f>IF(M30="","",AB30*(1/SQRT(Z30^2+AA30^2+AB30^2)))</f>
        <v>-0.28299185021606538</v>
      </c>
      <c r="AG30" s="602">
        <f>IF(M30="","",DEGREES(ATAN2(-AF30,AE30)))</f>
        <v>73.253927091091029</v>
      </c>
      <c r="AH30" s="603">
        <f>IF(M30="","",DEGREES(ACOS(AD30)))</f>
        <v>79.162709636672645</v>
      </c>
      <c r="AI30" s="585">
        <f>IF(M30="","",DEGREES(-ACOS(-AF30)))</f>
        <v>-73.561150866351952</v>
      </c>
      <c r="AJ30" s="586">
        <f>IF(M30="","",DEGREES(ATAN2(-AE30,AD30)))</f>
        <v>168.69486651743628</v>
      </c>
      <c r="AK30" s="635">
        <f>IF(M30="","",(COS(RADIANS((90-$Q$8)-W30))*AD30)+(-SIN(RADIANS((90-$Q$8)-W30))*AE30))</f>
        <v>0.92835316894461573</v>
      </c>
      <c r="AL30" s="629">
        <f>IF(M30="","",(SIN(RADIANS((90-$Q$8)-W30))*AD30)+(COS(RADIANS((90-$Q$8)-W30))*AE30))</f>
        <v>-0.24098963965651646</v>
      </c>
      <c r="AM30" s="634">
        <f>IF(M30="","",AF30)</f>
        <v>-0.28299185021606538</v>
      </c>
      <c r="AN30" s="581">
        <f>IF(M30="","",DEGREES(ATAN2(-AM30,AL30)))</f>
        <v>-40.416985655804289</v>
      </c>
      <c r="AO30" s="582">
        <f>IF(ROUND(IF(M30="",0,DEGREES(ACOS(AK30))),4)=90,0,IF(M30="","",DEGREES(ACOS(AK30))))</f>
        <v>21.820457746259848</v>
      </c>
      <c r="AP30" s="585">
        <f>IF(M30="","",DEGREES(ATAN2(AK30,AL30)))</f>
        <v>-14.552120019364585</v>
      </c>
      <c r="AQ30" s="586">
        <f t="shared" si="9"/>
        <v>0.96250698978310723</v>
      </c>
      <c r="AS30" s="52">
        <f t="shared" si="116"/>
        <v>-265.27901367601839</v>
      </c>
      <c r="AT30" s="72">
        <f t="shared" si="10"/>
        <v>-5.5955579223061491E-2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4.1100000000000003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1313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2</v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-2.7715038391324631</v>
      </c>
      <c r="C31" s="708">
        <v>-0.12018194510436488</v>
      </c>
      <c r="D31" s="709">
        <v>-0.8051024281889233</v>
      </c>
      <c r="E31" s="710">
        <v>-0.36976317031805206</v>
      </c>
      <c r="F31" s="708">
        <v>-0.91469924545481363</v>
      </c>
      <c r="G31" s="711">
        <v>0.16309656109415038</v>
      </c>
      <c r="H31" s="710">
        <v>0.26600000000000001</v>
      </c>
      <c r="I31" s="708">
        <v>0.52</v>
      </c>
      <c r="J31" s="570">
        <v>4.1139999999999999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1313</v>
      </c>
      <c r="L31" s="320"/>
      <c r="M31" s="168">
        <f t="shared" si="1"/>
        <v>4.1139999999999999</v>
      </c>
      <c r="N31" s="632">
        <f t="shared" si="2"/>
        <v>-2.7715038391324631</v>
      </c>
      <c r="O31" s="629">
        <f t="shared" si="3"/>
        <v>-0.12018194510436488</v>
      </c>
      <c r="P31" s="633">
        <f t="shared" si="4"/>
        <v>-0.8051024281889233</v>
      </c>
      <c r="Q31" s="585">
        <f t="shared" si="113"/>
        <v>182.48298664710882</v>
      </c>
      <c r="R31" s="629">
        <f>IF(M31="","",SQRT(N31^2+O31^2))</f>
        <v>2.7741083667108337</v>
      </c>
      <c r="S31" s="634">
        <f>IF(M31="","",P31)</f>
        <v>-0.8051024281889233</v>
      </c>
      <c r="T31" s="635">
        <f>IF(M31="","",X31*COS(RADIANS(W31)))</f>
        <v>-0.1914344344411523</v>
      </c>
      <c r="U31" s="629">
        <f>IF(M31="","",X31*SIN(RADIANS(W31)))</f>
        <v>2.7674952732688176</v>
      </c>
      <c r="V31" s="636">
        <f>IF(M31="","",Y31)</f>
        <v>-0.8051024281889233</v>
      </c>
      <c r="W31" s="585">
        <f t="shared" si="224"/>
        <v>93.956986434289576</v>
      </c>
      <c r="X31" s="629">
        <f>IF(M31="","",R31)</f>
        <v>2.7741083667108337</v>
      </c>
      <c r="Y31" s="630">
        <f t="shared" si="223"/>
        <v>-0.8051024281889233</v>
      </c>
      <c r="Z31" s="632">
        <f t="shared" si="6"/>
        <v>0.36976317031805206</v>
      </c>
      <c r="AA31" s="629">
        <f t="shared" si="7"/>
        <v>0.91469924545481363</v>
      </c>
      <c r="AB31" s="629">
        <f t="shared" si="8"/>
        <v>-0.16309656109415038</v>
      </c>
      <c r="AC31" s="636">
        <f>IF(M31="","",SQRT(Z31^2+AA31^2+AB31^2))</f>
        <v>1</v>
      </c>
      <c r="AD31" s="637">
        <f>IF(M31="","",Z31*(1/SQRT(Z31^2+AA31^2+AB31^2)))</f>
        <v>0.36976317031805206</v>
      </c>
      <c r="AE31" s="629">
        <f>IF(M31="","",AA31*(1/SQRT(Z31^2+AA31^2+AB31^2)))</f>
        <v>0.91469924545481363</v>
      </c>
      <c r="AF31" s="633">
        <f>IF(M31="","",AB31*(1/SQRT(Z31^2+AA31^2+AB31^2)))</f>
        <v>-0.16309656109415038</v>
      </c>
      <c r="AG31" s="602">
        <f>IF(M31="","",DEGREES(ATAN2(-AF31,AE31)))</f>
        <v>79.890055011221051</v>
      </c>
      <c r="AH31" s="603">
        <f>IF(M31="","",DEGREES(ACOS(AD31)))</f>
        <v>68.298987871594235</v>
      </c>
      <c r="AI31" s="585">
        <f>IF(M31="","",DEGREES(-ACOS(-AF31)))</f>
        <v>-80.613322355148554</v>
      </c>
      <c r="AJ31" s="586">
        <f>IF(M31="","",DEGREES(ATAN2(-AE31,AD31)))</f>
        <v>157.98919410155483</v>
      </c>
      <c r="AK31" s="635">
        <f>IF(M31="","",(COS(RADIANS((90-$Q$8)-W31))*AD31)+(-SIN(RADIANS((90-$Q$8)-W31))*AE31))</f>
        <v>0.8978213119864118</v>
      </c>
      <c r="AL31" s="629">
        <f>IF(M31="","",(SIN(RADIANS((90-$Q$8)-W31))*AD31)+(COS(RADIANS((90-$Q$8)-W31))*AE31))</f>
        <v>-0.40904327827536829</v>
      </c>
      <c r="AM31" s="634">
        <f>IF(M31="","",AF31)</f>
        <v>-0.16309656109415038</v>
      </c>
      <c r="AN31" s="581">
        <f>IF(M31="","",DEGREES(ATAN2(-AM31,AL31)))</f>
        <v>-68.261499887580769</v>
      </c>
      <c r="AO31" s="582">
        <f t="shared" si="94"/>
        <v>26.126850063009922</v>
      </c>
      <c r="AP31" s="585">
        <f>IF(M31="","",DEGREES(ATAN2(AK31,AL31)))</f>
        <v>-24.493792545554001</v>
      </c>
      <c r="AQ31" s="586">
        <f t="shared" si="9"/>
        <v>0.82173081313418317</v>
      </c>
      <c r="AS31" s="52">
        <f t="shared" si="116"/>
        <v>-266.04301356571045</v>
      </c>
      <c r="AT31" s="72">
        <f t="shared" si="10"/>
        <v>-0.61932672447163772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4.1139999999999999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-2.8558678657767427</v>
      </c>
      <c r="C32" s="708">
        <v>-0.11565141896232553</v>
      </c>
      <c r="D32" s="709">
        <v>-1.4509043759275979</v>
      </c>
      <c r="E32" s="710">
        <v>-0.47411688434705967</v>
      </c>
      <c r="F32" s="708">
        <v>-0.8769286869584304</v>
      </c>
      <c r="G32" s="711">
        <v>7.8798844956002409E-2</v>
      </c>
      <c r="H32" s="710">
        <v>0.26600000000000001</v>
      </c>
      <c r="I32" s="708">
        <v>0.52</v>
      </c>
      <c r="J32" s="570">
        <v>4.1180000000000003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1313</v>
      </c>
      <c r="L32" s="320"/>
      <c r="M32" s="168">
        <f t="shared" si="1"/>
        <v>4.1180000000000003</v>
      </c>
      <c r="N32" s="632">
        <f t="shared" si="2"/>
        <v>-2.8558678657767427</v>
      </c>
      <c r="O32" s="629">
        <f t="shared" si="3"/>
        <v>-0.11565141896232553</v>
      </c>
      <c r="P32" s="633">
        <f t="shared" si="4"/>
        <v>-1.4509043759275979</v>
      </c>
      <c r="Q32" s="585">
        <f t="shared" si="113"/>
        <v>182.31898667078747</v>
      </c>
      <c r="R32" s="629">
        <f t="shared" si="79"/>
        <v>2.8582086203571997</v>
      </c>
      <c r="S32" s="634">
        <f t="shared" si="80"/>
        <v>-1.4509043759275979</v>
      </c>
      <c r="T32" s="635">
        <f t="shared" si="81"/>
        <v>-0.18907552960924653</v>
      </c>
      <c r="U32" s="629">
        <f t="shared" si="82"/>
        <v>2.8519479240664949</v>
      </c>
      <c r="V32" s="636">
        <f t="shared" si="114"/>
        <v>-1.4509043759275979</v>
      </c>
      <c r="W32" s="585">
        <f t="shared" si="224"/>
        <v>93.792986457968226</v>
      </c>
      <c r="X32" s="629">
        <f t="shared" si="83"/>
        <v>2.8582086203571997</v>
      </c>
      <c r="Y32" s="630">
        <f t="shared" si="223"/>
        <v>-1.4509043759275979</v>
      </c>
      <c r="Z32" s="632">
        <f t="shared" si="6"/>
        <v>0.47411688434705967</v>
      </c>
      <c r="AA32" s="629">
        <f t="shared" si="7"/>
        <v>0.8769286869584304</v>
      </c>
      <c r="AB32" s="629">
        <f t="shared" si="8"/>
        <v>-7.8798844956002409E-2</v>
      </c>
      <c r="AC32" s="636">
        <f t="shared" si="84"/>
        <v>1</v>
      </c>
      <c r="AD32" s="637">
        <f t="shared" si="115"/>
        <v>0.47411688434705967</v>
      </c>
      <c r="AE32" s="629">
        <f t="shared" si="85"/>
        <v>0.8769286869584304</v>
      </c>
      <c r="AF32" s="633">
        <f t="shared" si="86"/>
        <v>-7.8798844956002409E-2</v>
      </c>
      <c r="AG32" s="602">
        <f t="shared" si="87"/>
        <v>84.865319978047765</v>
      </c>
      <c r="AH32" s="603">
        <f t="shared" si="88"/>
        <v>61.698133980320307</v>
      </c>
      <c r="AI32" s="585">
        <f t="shared" si="89"/>
        <v>-85.480473347540524</v>
      </c>
      <c r="AJ32" s="586">
        <f t="shared" si="90"/>
        <v>151.60185484319263</v>
      </c>
      <c r="AK32" s="635">
        <f t="shared" si="211"/>
        <v>0.85702637301804452</v>
      </c>
      <c r="AL32" s="629">
        <f t="shared" si="91"/>
        <v>-0.50921168288358787</v>
      </c>
      <c r="AM32" s="634">
        <f t="shared" si="92"/>
        <v>-7.8798844956002409E-2</v>
      </c>
      <c r="AN32" s="581">
        <f t="shared" si="93"/>
        <v>-81.203438167991123</v>
      </c>
      <c r="AO32" s="582">
        <f t="shared" si="94"/>
        <v>31.015674033257163</v>
      </c>
      <c r="AP32" s="585">
        <f t="shared" si="95"/>
        <v>-30.717131827594844</v>
      </c>
      <c r="AQ32" s="586">
        <f t="shared" si="9"/>
        <v>0.79755528331050252</v>
      </c>
      <c r="AS32" s="52">
        <f t="shared" si="116"/>
        <v>-266.20701354203175</v>
      </c>
      <c r="AT32" s="72">
        <f t="shared" si="10"/>
        <v>-1.2650147833378669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4.1180000000000003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-2.855857234334001</v>
      </c>
      <c r="C33" s="708">
        <v>-0.11570089499287801</v>
      </c>
      <c r="D33" s="709">
        <v>-2.0547999999999997</v>
      </c>
      <c r="E33" s="710">
        <v>-0.47412040024363344</v>
      </c>
      <c r="F33" s="708">
        <v>-0.87693115425559864</v>
      </c>
      <c r="G33" s="711">
        <v>7.8750217579129825E-2</v>
      </c>
      <c r="H33" s="710">
        <v>0.26600000000000001</v>
      </c>
      <c r="I33" s="708">
        <v>0.52</v>
      </c>
      <c r="J33" s="570">
        <v>4.1219999999999999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1313</v>
      </c>
      <c r="L33" s="320"/>
      <c r="M33" s="168">
        <f t="shared" si="1"/>
        <v>4.1219999999999999</v>
      </c>
      <c r="N33" s="632">
        <f t="shared" si="2"/>
        <v>-2.855857234334001</v>
      </c>
      <c r="O33" s="629">
        <f t="shared" si="3"/>
        <v>-0.11570089499287801</v>
      </c>
      <c r="P33" s="633">
        <f t="shared" si="4"/>
        <v>-2.0547999999999997</v>
      </c>
      <c r="Q33" s="585">
        <f t="shared" si="113"/>
        <v>182.31998628369902</v>
      </c>
      <c r="R33" s="629">
        <f t="shared" si="79"/>
        <v>2.8582000000000005</v>
      </c>
      <c r="S33" s="634">
        <f t="shared" si="80"/>
        <v>-2.0547999999999997</v>
      </c>
      <c r="T33" s="635">
        <f t="shared" si="81"/>
        <v>-0.18912471579230722</v>
      </c>
      <c r="U33" s="629">
        <f t="shared" si="82"/>
        <v>2.8519360234543276</v>
      </c>
      <c r="V33" s="636">
        <f t="shared" si="114"/>
        <v>-2.0547999999999997</v>
      </c>
      <c r="W33" s="585">
        <f t="shared" si="224"/>
        <v>93.793986070879782</v>
      </c>
      <c r="X33" s="629">
        <f t="shared" si="83"/>
        <v>2.8582000000000005</v>
      </c>
      <c r="Y33" s="630">
        <f t="shared" si="223"/>
        <v>-2.0547999999999997</v>
      </c>
      <c r="Z33" s="632">
        <f t="shared" si="6"/>
        <v>0.47412040024363344</v>
      </c>
      <c r="AA33" s="629">
        <f t="shared" si="7"/>
        <v>0.87693115425559864</v>
      </c>
      <c r="AB33" s="629">
        <f t="shared" si="8"/>
        <v>-7.8750217579129825E-2</v>
      </c>
      <c r="AC33" s="636">
        <f t="shared" si="84"/>
        <v>1</v>
      </c>
      <c r="AD33" s="637">
        <f t="shared" si="115"/>
        <v>0.47412040024363344</v>
      </c>
      <c r="AE33" s="629">
        <f t="shared" si="85"/>
        <v>0.87693115425559864</v>
      </c>
      <c r="AF33" s="633">
        <f t="shared" si="86"/>
        <v>-7.8750217579129825E-2</v>
      </c>
      <c r="AG33" s="602">
        <f t="shared" si="87"/>
        <v>84.868486066972196</v>
      </c>
      <c r="AH33" s="603">
        <f t="shared" si="88"/>
        <v>61.697905184220744</v>
      </c>
      <c r="AI33" s="585">
        <f t="shared" si="89"/>
        <v>-85.4832681760508</v>
      </c>
      <c r="AJ33" s="586">
        <f t="shared" si="90"/>
        <v>151.60174452870939</v>
      </c>
      <c r="AK33" s="635">
        <f t="shared" si="211"/>
        <v>0.85701981185751408</v>
      </c>
      <c r="AL33" s="629">
        <f t="shared" si="91"/>
        <v>-0.50923024783976745</v>
      </c>
      <c r="AM33" s="634">
        <f t="shared" si="92"/>
        <v>-7.8750217579129825E-2</v>
      </c>
      <c r="AN33" s="581">
        <f t="shared" si="93"/>
        <v>-81.209097264086097</v>
      </c>
      <c r="AO33" s="582">
        <f t="shared" si="94"/>
        <v>31.016403594398703</v>
      </c>
      <c r="AP33" s="585">
        <f t="shared" si="95"/>
        <v>-30.718241754989645</v>
      </c>
      <c r="AQ33" s="586">
        <f t="shared" si="9"/>
        <v>0.79755768843377561</v>
      </c>
      <c r="AS33" s="52">
        <f t="shared" si="116"/>
        <v>-266.20601392912022</v>
      </c>
      <c r="AT33" s="72">
        <f t="shared" si="10"/>
        <v>-1.8689111015859019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4.1219999999999999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/>
      <c r="C34" s="708"/>
      <c r="D34" s="709"/>
      <c r="E34" s="710"/>
      <c r="F34" s="708"/>
      <c r="G34" s="711"/>
      <c r="H34" s="710"/>
      <c r="I34" s="708"/>
      <c r="J34" s="570"/>
      <c r="K34" s="865" t="str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/>
      </c>
      <c r="L34" s="320"/>
      <c r="M34" s="168" t="str">
        <f t="shared" si="1"/>
        <v/>
      </c>
      <c r="N34" s="632" t="str">
        <f t="shared" si="2"/>
        <v/>
      </c>
      <c r="O34" s="629" t="str">
        <f t="shared" si="3"/>
        <v/>
      </c>
      <c r="P34" s="633" t="str">
        <f t="shared" si="4"/>
        <v/>
      </c>
      <c r="Q34" s="585" t="str">
        <f t="shared" si="113"/>
        <v/>
      </c>
      <c r="R34" s="629" t="str">
        <f>IF(M34="","",SQRT(N34^2+O34^2))</f>
        <v/>
      </c>
      <c r="S34" s="634" t="str">
        <f>IF(M34="","",P34)</f>
        <v/>
      </c>
      <c r="T34" s="635" t="str">
        <f>IF(M34="","",X34*COS(RADIANS(W34)))</f>
        <v/>
      </c>
      <c r="U34" s="629" t="str">
        <f>IF(M34="","",X34*SIN(RADIANS(W34)))</f>
        <v/>
      </c>
      <c r="V34" s="636" t="str">
        <f>IF(M34="","",Y34)</f>
        <v/>
      </c>
      <c r="W34" s="585" t="str">
        <f t="shared" si="224"/>
        <v/>
      </c>
      <c r="X34" s="629" t="str">
        <f>IF(M34="","",R34)</f>
        <v/>
      </c>
      <c r="Y34" s="630" t="str">
        <f t="shared" si="223"/>
        <v/>
      </c>
      <c r="Z34" s="632" t="str">
        <f t="shared" si="6"/>
        <v/>
      </c>
      <c r="AA34" s="629" t="str">
        <f t="shared" si="7"/>
        <v/>
      </c>
      <c r="AB34" s="629" t="str">
        <f t="shared" si="8"/>
        <v/>
      </c>
      <c r="AC34" s="636" t="str">
        <f>IF(M34="","",SQRT(Z34^2+AA34^2+AB34^2))</f>
        <v/>
      </c>
      <c r="AD34" s="637" t="str">
        <f>IF(M34="","",Z34*(1/SQRT(Z34^2+AA34^2+AB34^2)))</f>
        <v/>
      </c>
      <c r="AE34" s="629" t="str">
        <f>IF(M34="","",AA34*(1/SQRT(Z34^2+AA34^2+AB34^2)))</f>
        <v/>
      </c>
      <c r="AF34" s="633" t="str">
        <f>IF(M34="","",AB34*(1/SQRT(Z34^2+AA34^2+AB34^2)))</f>
        <v/>
      </c>
      <c r="AG34" s="602" t="str">
        <f>IF(M34="","",DEGREES(ATAN2(-AF34,AE34)))</f>
        <v/>
      </c>
      <c r="AH34" s="603" t="str">
        <f>IF(M34="","",DEGREES(ACOS(AD34)))</f>
        <v/>
      </c>
      <c r="AI34" s="585" t="str">
        <f>IF(M34="","",DEGREES(-ACOS(-AF34)))</f>
        <v/>
      </c>
      <c r="AJ34" s="586" t="str">
        <f>IF(M34="","",DEGREES(ATAN2(-AE34,AD34)))</f>
        <v/>
      </c>
      <c r="AK34" s="635" t="str">
        <f>IF(M34="","",(COS(RADIANS((90-$Q$8)-W34))*AD34)+(-SIN(RADIANS((90-$Q$8)-W34))*AE34))</f>
        <v/>
      </c>
      <c r="AL34" s="629" t="str">
        <f>IF(M34="","",(SIN(RADIANS((90-$Q$8)-W34))*AD34)+(COS(RADIANS((90-$Q$8)-W34))*AE34))</f>
        <v/>
      </c>
      <c r="AM34" s="634" t="str">
        <f>IF(M34="","",AF34)</f>
        <v/>
      </c>
      <c r="AN34" s="581" t="str">
        <f>IF(M34="","",DEGREES(ATAN2(-AM34,AL34)))</f>
        <v/>
      </c>
      <c r="AO34" s="582" t="str">
        <f t="shared" si="94"/>
        <v/>
      </c>
      <c r="AP34" s="585" t="str">
        <f>IF(M34="","",DEGREES(ATAN2(AK34,AL34)))</f>
        <v/>
      </c>
      <c r="AQ34" s="586" t="str">
        <f t="shared" si="9"/>
        <v/>
      </c>
      <c r="AS34" s="52" t="str">
        <f t="shared" si="116"/>
        <v/>
      </c>
      <c r="AT34" s="72" t="str">
        <f t="shared" si="10"/>
        <v/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210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112"/>
        <v/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/>
      <c r="C35" s="708"/>
      <c r="D35" s="709"/>
      <c r="E35" s="710"/>
      <c r="F35" s="708"/>
      <c r="G35" s="711"/>
      <c r="H35" s="710"/>
      <c r="I35" s="708"/>
      <c r="J35" s="570"/>
      <c r="K35" s="865" t="str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/>
      </c>
      <c r="L35" s="320"/>
      <c r="M35" s="168" t="str">
        <f t="shared" si="1"/>
        <v/>
      </c>
      <c r="N35" s="632" t="str">
        <f t="shared" si="2"/>
        <v/>
      </c>
      <c r="O35" s="629" t="str">
        <f t="shared" si="3"/>
        <v/>
      </c>
      <c r="P35" s="633" t="str">
        <f t="shared" si="4"/>
        <v/>
      </c>
      <c r="Q35" s="585" t="str">
        <f t="shared" si="113"/>
        <v/>
      </c>
      <c r="R35" s="629" t="str">
        <f>IF(M35="","",SQRT(N35^2+O35^2))</f>
        <v/>
      </c>
      <c r="S35" s="634" t="str">
        <f>IF(M35="","",P35)</f>
        <v/>
      </c>
      <c r="T35" s="635" t="str">
        <f>IF(M35="","",X35*COS(RADIANS(W35)))</f>
        <v/>
      </c>
      <c r="U35" s="629" t="str">
        <f>IF(M35="","",X35*SIN(RADIANS(W35)))</f>
        <v/>
      </c>
      <c r="V35" s="636" t="str">
        <f>IF(M35="","",Y35)</f>
        <v/>
      </c>
      <c r="W35" s="585" t="str">
        <f t="shared" si="224"/>
        <v/>
      </c>
      <c r="X35" s="629" t="str">
        <f>IF(M35="","",R35)</f>
        <v/>
      </c>
      <c r="Y35" s="630" t="str">
        <f t="shared" si="223"/>
        <v/>
      </c>
      <c r="Z35" s="632" t="str">
        <f t="shared" si="6"/>
        <v/>
      </c>
      <c r="AA35" s="629" t="str">
        <f t="shared" si="7"/>
        <v/>
      </c>
      <c r="AB35" s="629" t="str">
        <f t="shared" si="8"/>
        <v/>
      </c>
      <c r="AC35" s="636" t="str">
        <f>IF(M35="","",SQRT(Z35^2+AA35^2+AB35^2))</f>
        <v/>
      </c>
      <c r="AD35" s="637" t="str">
        <f>IF(M35="","",Z35*(1/SQRT(Z35^2+AA35^2+AB35^2)))</f>
        <v/>
      </c>
      <c r="AE35" s="629" t="str">
        <f>IF(M35="","",AA35*(1/SQRT(Z35^2+AA35^2+AB35^2)))</f>
        <v/>
      </c>
      <c r="AF35" s="633" t="str">
        <f>IF(M35="","",AB35*(1/SQRT(Z35^2+AA35^2+AB35^2)))</f>
        <v/>
      </c>
      <c r="AG35" s="602" t="str">
        <f>IF(M35="","",DEGREES(ATAN2(-AF35,AE35)))</f>
        <v/>
      </c>
      <c r="AH35" s="603" t="str">
        <f>IF(M35="","",DEGREES(ACOS(AD35)))</f>
        <v/>
      </c>
      <c r="AI35" s="585" t="str">
        <f>IF(M35="","",DEGREES(-ACOS(-AF35)))</f>
        <v/>
      </c>
      <c r="AJ35" s="586" t="str">
        <f>IF(M35="","",DEGREES(ATAN2(-AE35,AD35)))</f>
        <v/>
      </c>
      <c r="AK35" s="635" t="str">
        <f>IF(M35="","",(COS(RADIANS((90-$Q$8)-W35))*AD35)+(-SIN(RADIANS((90-$Q$8)-W35))*AE35))</f>
        <v/>
      </c>
      <c r="AL35" s="629" t="str">
        <f>IF(M35="","",(SIN(RADIANS((90-$Q$8)-W35))*AD35)+(COS(RADIANS((90-$Q$8)-W35))*AE35))</f>
        <v/>
      </c>
      <c r="AM35" s="634" t="str">
        <f>IF(M35="","",AF35)</f>
        <v/>
      </c>
      <c r="AN35" s="581" t="str">
        <f>IF(M35="","",DEGREES(ATAN2(-AM35,AL35)))</f>
        <v/>
      </c>
      <c r="AO35" s="582" t="str">
        <f t="shared" si="94"/>
        <v/>
      </c>
      <c r="AP35" s="585" t="str">
        <f>IF(M35="","",DEGREES(ATAN2(AK35,AL35)))</f>
        <v/>
      </c>
      <c r="AQ35" s="586" t="str">
        <f t="shared" si="9"/>
        <v/>
      </c>
      <c r="AS35" s="52" t="str">
        <f t="shared" si="116"/>
        <v/>
      </c>
      <c r="AT35" s="72" t="str">
        <f t="shared" si="10"/>
        <v/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210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112"/>
        <v/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/>
      <c r="C36" s="708"/>
      <c r="D36" s="709"/>
      <c r="E36" s="710"/>
      <c r="F36" s="708"/>
      <c r="G36" s="711"/>
      <c r="H36" s="710"/>
      <c r="I36" s="708"/>
      <c r="J36" s="570"/>
      <c r="K36" s="865" t="str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/>
      </c>
      <c r="L36" s="320"/>
      <c r="M36" s="168" t="str">
        <f t="shared" si="1"/>
        <v/>
      </c>
      <c r="N36" s="632" t="str">
        <f t="shared" si="2"/>
        <v/>
      </c>
      <c r="O36" s="629" t="str">
        <f t="shared" si="3"/>
        <v/>
      </c>
      <c r="P36" s="633" t="str">
        <f t="shared" si="4"/>
        <v/>
      </c>
      <c r="Q36" s="585" t="str">
        <f t="shared" si="113"/>
        <v/>
      </c>
      <c r="R36" s="629" t="str">
        <f>IF(M36="","",SQRT(N36^2+O36^2))</f>
        <v/>
      </c>
      <c r="S36" s="634" t="str">
        <f>IF(M36="","",P36)</f>
        <v/>
      </c>
      <c r="T36" s="635" t="str">
        <f>IF(M36="","",X36*COS(RADIANS(W36)))</f>
        <v/>
      </c>
      <c r="U36" s="629" t="str">
        <f>IF(M36="","",X36*SIN(RADIANS(W36)))</f>
        <v/>
      </c>
      <c r="V36" s="636" t="str">
        <f>IF(M36="","",Y36)</f>
        <v/>
      </c>
      <c r="W36" s="585" t="str">
        <f t="shared" si="224"/>
        <v/>
      </c>
      <c r="X36" s="629" t="str">
        <f>IF(M36="","",R36)</f>
        <v/>
      </c>
      <c r="Y36" s="630" t="str">
        <f t="shared" si="223"/>
        <v/>
      </c>
      <c r="Z36" s="632" t="str">
        <f t="shared" si="6"/>
        <v/>
      </c>
      <c r="AA36" s="629" t="str">
        <f t="shared" si="7"/>
        <v/>
      </c>
      <c r="AB36" s="629" t="str">
        <f t="shared" si="8"/>
        <v/>
      </c>
      <c r="AC36" s="636" t="str">
        <f>IF(M36="","",SQRT(Z36^2+AA36^2+AB36^2))</f>
        <v/>
      </c>
      <c r="AD36" s="637" t="str">
        <f>IF(M36="","",Z36*(1/SQRT(Z36^2+AA36^2+AB36^2)))</f>
        <v/>
      </c>
      <c r="AE36" s="629" t="str">
        <f>IF(M36="","",AA36*(1/SQRT(Z36^2+AA36^2+AB36^2)))</f>
        <v/>
      </c>
      <c r="AF36" s="633" t="str">
        <f>IF(M36="","",AB36*(1/SQRT(Z36^2+AA36^2+AB36^2)))</f>
        <v/>
      </c>
      <c r="AG36" s="602" t="str">
        <f>IF(M36="","",DEGREES(ATAN2(-AF36,AE36)))</f>
        <v/>
      </c>
      <c r="AH36" s="603" t="str">
        <f>IF(M36="","",DEGREES(ACOS(AD36)))</f>
        <v/>
      </c>
      <c r="AI36" s="585" t="str">
        <f>IF(M36="","",DEGREES(-ACOS(-AF36)))</f>
        <v/>
      </c>
      <c r="AJ36" s="586" t="str">
        <f>IF(M36="","",DEGREES(ATAN2(-AE36,AD36)))</f>
        <v/>
      </c>
      <c r="AK36" s="635" t="str">
        <f>IF(M36="","",(COS(RADIANS((90-$Q$8)-W36))*AD36)+(-SIN(RADIANS((90-$Q$8)-W36))*AE36))</f>
        <v/>
      </c>
      <c r="AL36" s="629" t="str">
        <f>IF(M36="","",(SIN(RADIANS((90-$Q$8)-W36))*AD36)+(COS(RADIANS((90-$Q$8)-W36))*AE36))</f>
        <v/>
      </c>
      <c r="AM36" s="634" t="str">
        <f>IF(M36="","",AF36)</f>
        <v/>
      </c>
      <c r="AN36" s="581" t="str">
        <f>IF(M36="","",DEGREES(ATAN2(-AM36,AL36)))</f>
        <v/>
      </c>
      <c r="AO36" s="582" t="str">
        <f t="shared" si="94"/>
        <v/>
      </c>
      <c r="AP36" s="585" t="str">
        <f>IF(M36="","",DEGREES(ATAN2(AK36,AL36)))</f>
        <v/>
      </c>
      <c r="AQ36" s="586" t="str">
        <f t="shared" si="9"/>
        <v/>
      </c>
      <c r="AS36" s="52" t="str">
        <f t="shared" si="116"/>
        <v/>
      </c>
      <c r="AT36" s="72" t="str">
        <f t="shared" si="10"/>
        <v/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210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112"/>
        <v/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/>
      <c r="C37" s="708"/>
      <c r="D37" s="709"/>
      <c r="E37" s="710"/>
      <c r="F37" s="708"/>
      <c r="G37" s="711"/>
      <c r="H37" s="710"/>
      <c r="I37" s="708"/>
      <c r="J37" s="570"/>
      <c r="K37" s="865" t="str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/>
      </c>
      <c r="L37" s="320"/>
      <c r="M37" s="168" t="str">
        <f t="shared" si="1"/>
        <v/>
      </c>
      <c r="N37" s="632" t="str">
        <f t="shared" si="2"/>
        <v/>
      </c>
      <c r="O37" s="629" t="str">
        <f t="shared" si="3"/>
        <v/>
      </c>
      <c r="P37" s="633" t="str">
        <f t="shared" si="4"/>
        <v/>
      </c>
      <c r="Q37" s="585" t="str">
        <f t="shared" si="113"/>
        <v/>
      </c>
      <c r="R37" s="629" t="str">
        <f t="shared" si="79"/>
        <v/>
      </c>
      <c r="S37" s="634" t="str">
        <f t="shared" si="80"/>
        <v/>
      </c>
      <c r="T37" s="635" t="str">
        <f t="shared" si="81"/>
        <v/>
      </c>
      <c r="U37" s="629" t="str">
        <f t="shared" si="82"/>
        <v/>
      </c>
      <c r="V37" s="636" t="str">
        <f t="shared" si="114"/>
        <v/>
      </c>
      <c r="W37" s="585" t="str">
        <f t="shared" si="224"/>
        <v/>
      </c>
      <c r="X37" s="629" t="str">
        <f t="shared" si="83"/>
        <v/>
      </c>
      <c r="Y37" s="630" t="str">
        <f t="shared" si="223"/>
        <v/>
      </c>
      <c r="Z37" s="632" t="str">
        <f t="shared" si="6"/>
        <v/>
      </c>
      <c r="AA37" s="629" t="str">
        <f t="shared" si="7"/>
        <v/>
      </c>
      <c r="AB37" s="629" t="str">
        <f t="shared" si="8"/>
        <v/>
      </c>
      <c r="AC37" s="636" t="str">
        <f t="shared" si="84"/>
        <v/>
      </c>
      <c r="AD37" s="637" t="str">
        <f t="shared" si="115"/>
        <v/>
      </c>
      <c r="AE37" s="629" t="str">
        <f t="shared" si="85"/>
        <v/>
      </c>
      <c r="AF37" s="633" t="str">
        <f t="shared" si="86"/>
        <v/>
      </c>
      <c r="AG37" s="602" t="str">
        <f t="shared" si="87"/>
        <v/>
      </c>
      <c r="AH37" s="603" t="str">
        <f t="shared" si="88"/>
        <v/>
      </c>
      <c r="AI37" s="585" t="str">
        <f t="shared" si="89"/>
        <v/>
      </c>
      <c r="AJ37" s="586" t="str">
        <f t="shared" si="90"/>
        <v/>
      </c>
      <c r="AK37" s="635" t="str">
        <f t="shared" si="211"/>
        <v/>
      </c>
      <c r="AL37" s="629" t="str">
        <f t="shared" si="91"/>
        <v/>
      </c>
      <c r="AM37" s="634" t="str">
        <f t="shared" si="92"/>
        <v/>
      </c>
      <c r="AN37" s="581" t="str">
        <f t="shared" si="93"/>
        <v/>
      </c>
      <c r="AO37" s="582" t="str">
        <f t="shared" si="94"/>
        <v/>
      </c>
      <c r="AP37" s="585" t="str">
        <f t="shared" si="95"/>
        <v/>
      </c>
      <c r="AQ37" s="586" t="str">
        <f t="shared" si="9"/>
        <v/>
      </c>
      <c r="AS37" s="52" t="str">
        <f t="shared" si="116"/>
        <v/>
      </c>
      <c r="AT37" s="72" t="str">
        <f t="shared" si="10"/>
        <v/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210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112"/>
        <v/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/>
      <c r="C38" s="708"/>
      <c r="D38" s="709"/>
      <c r="E38" s="710"/>
      <c r="F38" s="708"/>
      <c r="G38" s="711"/>
      <c r="H38" s="710"/>
      <c r="I38" s="708"/>
      <c r="J38" s="570"/>
      <c r="K38" s="865" t="str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/>
      </c>
      <c r="L38" s="320"/>
      <c r="M38" s="168" t="str">
        <f t="shared" si="1"/>
        <v/>
      </c>
      <c r="N38" s="632" t="str">
        <f t="shared" si="2"/>
        <v/>
      </c>
      <c r="O38" s="629" t="str">
        <f t="shared" si="3"/>
        <v/>
      </c>
      <c r="P38" s="633" t="str">
        <f t="shared" si="4"/>
        <v/>
      </c>
      <c r="Q38" s="585" t="str">
        <f t="shared" si="113"/>
        <v/>
      </c>
      <c r="R38" s="629" t="str">
        <f t="shared" si="79"/>
        <v/>
      </c>
      <c r="S38" s="634" t="str">
        <f t="shared" si="80"/>
        <v/>
      </c>
      <c r="T38" s="635" t="str">
        <f t="shared" si="81"/>
        <v/>
      </c>
      <c r="U38" s="629" t="str">
        <f t="shared" si="82"/>
        <v/>
      </c>
      <c r="V38" s="636" t="str">
        <f t="shared" si="114"/>
        <v/>
      </c>
      <c r="W38" s="585" t="str">
        <f t="shared" si="224"/>
        <v/>
      </c>
      <c r="X38" s="629" t="str">
        <f t="shared" si="83"/>
        <v/>
      </c>
      <c r="Y38" s="630" t="str">
        <f t="shared" si="223"/>
        <v/>
      </c>
      <c r="Z38" s="632" t="str">
        <f t="shared" si="6"/>
        <v/>
      </c>
      <c r="AA38" s="629" t="str">
        <f t="shared" si="7"/>
        <v/>
      </c>
      <c r="AB38" s="629" t="str">
        <f t="shared" si="8"/>
        <v/>
      </c>
      <c r="AC38" s="636" t="str">
        <f t="shared" si="84"/>
        <v/>
      </c>
      <c r="AD38" s="637" t="str">
        <f t="shared" si="115"/>
        <v/>
      </c>
      <c r="AE38" s="629" t="str">
        <f t="shared" si="85"/>
        <v/>
      </c>
      <c r="AF38" s="633" t="str">
        <f t="shared" si="86"/>
        <v/>
      </c>
      <c r="AG38" s="602" t="str">
        <f t="shared" si="87"/>
        <v/>
      </c>
      <c r="AH38" s="603" t="str">
        <f t="shared" si="88"/>
        <v/>
      </c>
      <c r="AI38" s="585" t="str">
        <f t="shared" si="89"/>
        <v/>
      </c>
      <c r="AJ38" s="586" t="str">
        <f t="shared" si="90"/>
        <v/>
      </c>
      <c r="AK38" s="635" t="str">
        <f t="shared" si="211"/>
        <v/>
      </c>
      <c r="AL38" s="629" t="str">
        <f t="shared" si="91"/>
        <v/>
      </c>
      <c r="AM38" s="634" t="str">
        <f t="shared" si="92"/>
        <v/>
      </c>
      <c r="AN38" s="581" t="str">
        <f t="shared" si="93"/>
        <v/>
      </c>
      <c r="AO38" s="582" t="str">
        <f t="shared" si="94"/>
        <v/>
      </c>
      <c r="AP38" s="585" t="str">
        <f t="shared" si="95"/>
        <v/>
      </c>
      <c r="AQ38" s="586" t="str">
        <f t="shared" si="9"/>
        <v/>
      </c>
      <c r="AS38" s="52" t="str">
        <f t="shared" si="116"/>
        <v/>
      </c>
      <c r="AT38" s="72" t="str">
        <f t="shared" si="10"/>
        <v/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210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112"/>
        <v/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/>
      <c r="C39" s="708"/>
      <c r="D39" s="709"/>
      <c r="E39" s="710"/>
      <c r="F39" s="708"/>
      <c r="G39" s="711"/>
      <c r="H39" s="710"/>
      <c r="I39" s="708"/>
      <c r="J39" s="570"/>
      <c r="K39" s="865" t="str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/>
      </c>
      <c r="L39" s="320"/>
      <c r="M39" s="168" t="str">
        <f t="shared" si="1"/>
        <v/>
      </c>
      <c r="N39" s="632" t="str">
        <f t="shared" si="2"/>
        <v/>
      </c>
      <c r="O39" s="629" t="str">
        <f t="shared" si="3"/>
        <v/>
      </c>
      <c r="P39" s="633" t="str">
        <f t="shared" si="4"/>
        <v/>
      </c>
      <c r="Q39" s="585" t="str">
        <f t="shared" si="113"/>
        <v/>
      </c>
      <c r="R39" s="629" t="str">
        <f t="shared" si="79"/>
        <v/>
      </c>
      <c r="S39" s="634" t="str">
        <f t="shared" si="80"/>
        <v/>
      </c>
      <c r="T39" s="635" t="str">
        <f t="shared" si="81"/>
        <v/>
      </c>
      <c r="U39" s="629" t="str">
        <f t="shared" si="82"/>
        <v/>
      </c>
      <c r="V39" s="636" t="str">
        <f t="shared" si="114"/>
        <v/>
      </c>
      <c r="W39" s="585" t="str">
        <f t="shared" si="224"/>
        <v/>
      </c>
      <c r="X39" s="629" t="str">
        <f t="shared" si="83"/>
        <v/>
      </c>
      <c r="Y39" s="630" t="str">
        <f t="shared" si="223"/>
        <v/>
      </c>
      <c r="Z39" s="632" t="str">
        <f t="shared" si="6"/>
        <v/>
      </c>
      <c r="AA39" s="629" t="str">
        <f t="shared" si="7"/>
        <v/>
      </c>
      <c r="AB39" s="629" t="str">
        <f t="shared" si="8"/>
        <v/>
      </c>
      <c r="AC39" s="636" t="str">
        <f t="shared" si="84"/>
        <v/>
      </c>
      <c r="AD39" s="637" t="str">
        <f t="shared" si="115"/>
        <v/>
      </c>
      <c r="AE39" s="629" t="str">
        <f t="shared" si="85"/>
        <v/>
      </c>
      <c r="AF39" s="633" t="str">
        <f t="shared" si="86"/>
        <v/>
      </c>
      <c r="AG39" s="602" t="str">
        <f t="shared" si="87"/>
        <v/>
      </c>
      <c r="AH39" s="603" t="str">
        <f t="shared" si="88"/>
        <v/>
      </c>
      <c r="AI39" s="585" t="str">
        <f t="shared" si="89"/>
        <v/>
      </c>
      <c r="AJ39" s="586" t="str">
        <f t="shared" si="90"/>
        <v/>
      </c>
      <c r="AK39" s="635" t="str">
        <f t="shared" si="211"/>
        <v/>
      </c>
      <c r="AL39" s="629" t="str">
        <f t="shared" si="91"/>
        <v/>
      </c>
      <c r="AM39" s="634" t="str">
        <f t="shared" si="92"/>
        <v/>
      </c>
      <c r="AN39" s="581" t="str">
        <f t="shared" si="93"/>
        <v/>
      </c>
      <c r="AO39" s="582" t="str">
        <f t="shared" si="94"/>
        <v/>
      </c>
      <c r="AP39" s="585" t="str">
        <f t="shared" si="95"/>
        <v/>
      </c>
      <c r="AQ39" s="586" t="str">
        <f t="shared" si="9"/>
        <v/>
      </c>
      <c r="AS39" s="52" t="str">
        <f t="shared" si="116"/>
        <v/>
      </c>
      <c r="AT39" s="72" t="str">
        <f t="shared" si="10"/>
        <v/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210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112"/>
        <v/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/>
      <c r="C40" s="708"/>
      <c r="D40" s="709"/>
      <c r="E40" s="710"/>
      <c r="F40" s="708"/>
      <c r="G40" s="711"/>
      <c r="H40" s="710"/>
      <c r="I40" s="708"/>
      <c r="J40" s="570"/>
      <c r="K40" s="865" t="str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/>
      </c>
      <c r="L40" s="320"/>
      <c r="M40" s="168" t="str">
        <f t="shared" si="1"/>
        <v/>
      </c>
      <c r="N40" s="632" t="str">
        <f t="shared" si="2"/>
        <v/>
      </c>
      <c r="O40" s="629" t="str">
        <f t="shared" si="3"/>
        <v/>
      </c>
      <c r="P40" s="633" t="str">
        <f t="shared" si="4"/>
        <v/>
      </c>
      <c r="Q40" s="585" t="str">
        <f t="shared" si="113"/>
        <v/>
      </c>
      <c r="R40" s="629" t="str">
        <f t="shared" si="79"/>
        <v/>
      </c>
      <c r="S40" s="634" t="str">
        <f t="shared" si="80"/>
        <v/>
      </c>
      <c r="T40" s="635" t="str">
        <f t="shared" si="81"/>
        <v/>
      </c>
      <c r="U40" s="629" t="str">
        <f t="shared" si="82"/>
        <v/>
      </c>
      <c r="V40" s="636" t="str">
        <f t="shared" si="114"/>
        <v/>
      </c>
      <c r="W40" s="585" t="str">
        <f t="shared" si="224"/>
        <v/>
      </c>
      <c r="X40" s="629" t="str">
        <f t="shared" si="83"/>
        <v/>
      </c>
      <c r="Y40" s="630" t="str">
        <f t="shared" si="223"/>
        <v/>
      </c>
      <c r="Z40" s="632" t="str">
        <f t="shared" si="6"/>
        <v/>
      </c>
      <c r="AA40" s="629" t="str">
        <f t="shared" si="7"/>
        <v/>
      </c>
      <c r="AB40" s="629" t="str">
        <f t="shared" si="8"/>
        <v/>
      </c>
      <c r="AC40" s="636" t="str">
        <f t="shared" si="84"/>
        <v/>
      </c>
      <c r="AD40" s="637" t="str">
        <f t="shared" si="115"/>
        <v/>
      </c>
      <c r="AE40" s="629" t="str">
        <f t="shared" si="85"/>
        <v/>
      </c>
      <c r="AF40" s="633" t="str">
        <f t="shared" si="86"/>
        <v/>
      </c>
      <c r="AG40" s="602" t="str">
        <f t="shared" si="87"/>
        <v/>
      </c>
      <c r="AH40" s="603" t="str">
        <f t="shared" si="88"/>
        <v/>
      </c>
      <c r="AI40" s="585" t="str">
        <f t="shared" si="89"/>
        <v/>
      </c>
      <c r="AJ40" s="586" t="str">
        <f t="shared" si="90"/>
        <v/>
      </c>
      <c r="AK40" s="635" t="str">
        <f t="shared" si="211"/>
        <v/>
      </c>
      <c r="AL40" s="629" t="str">
        <f t="shared" si="91"/>
        <v/>
      </c>
      <c r="AM40" s="634" t="str">
        <f t="shared" si="92"/>
        <v/>
      </c>
      <c r="AN40" s="581" t="str">
        <f t="shared" si="93"/>
        <v/>
      </c>
      <c r="AO40" s="582" t="str">
        <f t="shared" si="94"/>
        <v/>
      </c>
      <c r="AP40" s="585" t="str">
        <f t="shared" si="95"/>
        <v/>
      </c>
      <c r="AQ40" s="586" t="str">
        <f t="shared" si="9"/>
        <v/>
      </c>
      <c r="AS40" s="52" t="str">
        <f t="shared" si="116"/>
        <v/>
      </c>
      <c r="AT40" s="72" t="str">
        <f t="shared" si="10"/>
        <v/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210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112"/>
        <v/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/>
      <c r="C41" s="708"/>
      <c r="D41" s="709"/>
      <c r="E41" s="710"/>
      <c r="F41" s="708"/>
      <c r="G41" s="711"/>
      <c r="H41" s="710"/>
      <c r="I41" s="708"/>
      <c r="J41" s="570"/>
      <c r="K41" s="865" t="str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/>
      </c>
      <c r="L41" s="320"/>
      <c r="M41" s="168" t="str">
        <f t="shared" ref="M41:M72" si="239">IF(J41="","",VALUE(J41))</f>
        <v/>
      </c>
      <c r="N41" s="632" t="str">
        <f t="shared" ref="N41:N72" si="240">IF(M41="","",B41)</f>
        <v/>
      </c>
      <c r="O41" s="629" t="str">
        <f t="shared" ref="O41:O72" si="241">IF(M41="","",C41)</f>
        <v/>
      </c>
      <c r="P41" s="633" t="str">
        <f t="shared" ref="P41:P72" si="242">IF(M41="","",D41)</f>
        <v/>
      </c>
      <c r="Q41" s="585" t="str">
        <f t="shared" si="113"/>
        <v/>
      </c>
      <c r="R41" s="629" t="str">
        <f t="shared" si="79"/>
        <v/>
      </c>
      <c r="S41" s="634" t="str">
        <f t="shared" si="80"/>
        <v/>
      </c>
      <c r="T41" s="635" t="str">
        <f t="shared" si="81"/>
        <v/>
      </c>
      <c r="U41" s="629" t="str">
        <f t="shared" si="82"/>
        <v/>
      </c>
      <c r="V41" s="636" t="str">
        <f t="shared" si="114"/>
        <v/>
      </c>
      <c r="W41" s="585" t="str">
        <f t="shared" si="224"/>
        <v/>
      </c>
      <c r="X41" s="629" t="str">
        <f t="shared" si="83"/>
        <v/>
      </c>
      <c r="Y41" s="630" t="str">
        <f t="shared" si="223"/>
        <v/>
      </c>
      <c r="Z41" s="632" t="str">
        <f t="shared" ref="Z41:Z72" si="243">IF(M41="","",-E41)</f>
        <v/>
      </c>
      <c r="AA41" s="629" t="str">
        <f t="shared" ref="AA41:AA72" si="244">IF(M41="","",-F41)</f>
        <v/>
      </c>
      <c r="AB41" s="629" t="str">
        <f t="shared" ref="AB41:AB72" si="245">IF(M41="","",-G41)</f>
        <v/>
      </c>
      <c r="AC41" s="636" t="str">
        <f t="shared" si="84"/>
        <v/>
      </c>
      <c r="AD41" s="637" t="str">
        <f t="shared" si="115"/>
        <v/>
      </c>
      <c r="AE41" s="629" t="str">
        <f t="shared" si="85"/>
        <v/>
      </c>
      <c r="AF41" s="633" t="str">
        <f t="shared" si="86"/>
        <v/>
      </c>
      <c r="AG41" s="602" t="str">
        <f t="shared" si="87"/>
        <v/>
      </c>
      <c r="AH41" s="603" t="str">
        <f t="shared" si="88"/>
        <v/>
      </c>
      <c r="AI41" s="585" t="str">
        <f t="shared" si="89"/>
        <v/>
      </c>
      <c r="AJ41" s="586" t="str">
        <f t="shared" si="90"/>
        <v/>
      </c>
      <c r="AK41" s="635" t="str">
        <f t="shared" si="211"/>
        <v/>
      </c>
      <c r="AL41" s="629" t="str">
        <f t="shared" si="91"/>
        <v/>
      </c>
      <c r="AM41" s="634" t="str">
        <f t="shared" si="92"/>
        <v/>
      </c>
      <c r="AN41" s="581" t="str">
        <f t="shared" si="93"/>
        <v/>
      </c>
      <c r="AO41" s="582" t="str">
        <f t="shared" si="94"/>
        <v/>
      </c>
      <c r="AP41" s="585" t="str">
        <f t="shared" si="95"/>
        <v/>
      </c>
      <c r="AQ41" s="586" t="str">
        <f t="shared" ref="AQ41:AQ72" si="246">IF(M41="","",DEGREES(ATAN(($AS$5*SIN(RADIANS(90)))/(($X41*2*PI())-($AS$5*COS(RADIANS(90)))))))</f>
        <v/>
      </c>
      <c r="AS41" s="52" t="str">
        <f t="shared" si="116"/>
        <v/>
      </c>
      <c r="AT41" s="72" t="str">
        <f t="shared" ref="AT41:AT72" si="247">IF(M41="","",Y41+(((AS41-$AS$9)*$AS$6)*-1))</f>
        <v/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210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112"/>
        <v/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/>
      <c r="C42" s="708"/>
      <c r="D42" s="709"/>
      <c r="E42" s="710"/>
      <c r="F42" s="708"/>
      <c r="G42" s="711"/>
      <c r="H42" s="710"/>
      <c r="I42" s="708"/>
      <c r="J42" s="570"/>
      <c r="K42" s="865" t="str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/>
      </c>
      <c r="L42" s="320"/>
      <c r="M42" s="168" t="str">
        <f t="shared" si="239"/>
        <v/>
      </c>
      <c r="N42" s="632" t="str">
        <f t="shared" si="240"/>
        <v/>
      </c>
      <c r="O42" s="629" t="str">
        <f t="shared" si="241"/>
        <v/>
      </c>
      <c r="P42" s="633" t="str">
        <f t="shared" si="242"/>
        <v/>
      </c>
      <c r="Q42" s="585" t="str">
        <f t="shared" si="113"/>
        <v/>
      </c>
      <c r="R42" s="629" t="str">
        <f t="shared" ref="R42:R47" si="385">IF(M42="","",SQRT(N42^2+O42^2))</f>
        <v/>
      </c>
      <c r="S42" s="634" t="str">
        <f t="shared" ref="S42:S47" si="386">IF(M42="","",P42)</f>
        <v/>
      </c>
      <c r="T42" s="635" t="str">
        <f t="shared" ref="T42:T47" si="387">IF(M42="","",X42*COS(RADIANS(W42)))</f>
        <v/>
      </c>
      <c r="U42" s="629" t="str">
        <f t="shared" ref="U42:U47" si="388">IF(M42="","",X42*SIN(RADIANS(W42)))</f>
        <v/>
      </c>
      <c r="V42" s="636" t="str">
        <f t="shared" ref="V42:V47" si="389">IF(M42="","",Y42)</f>
        <v/>
      </c>
      <c r="W42" s="585" t="str">
        <f t="shared" si="224"/>
        <v/>
      </c>
      <c r="X42" s="629" t="str">
        <f t="shared" ref="X42:X47" si="390">IF(M42="","",R42)</f>
        <v/>
      </c>
      <c r="Y42" s="630" t="str">
        <f t="shared" si="223"/>
        <v/>
      </c>
      <c r="Z42" s="632" t="str">
        <f t="shared" si="243"/>
        <v/>
      </c>
      <c r="AA42" s="629" t="str">
        <f t="shared" si="244"/>
        <v/>
      </c>
      <c r="AB42" s="629" t="str">
        <f t="shared" si="245"/>
        <v/>
      </c>
      <c r="AC42" s="636" t="str">
        <f t="shared" ref="AC42:AC47" si="391">IF(M42="","",SQRT(Z42^2+AA42^2+AB42^2))</f>
        <v/>
      </c>
      <c r="AD42" s="637" t="str">
        <f t="shared" ref="AD42:AD47" si="392">IF(M42="","",Z42*(1/SQRT(Z42^2+AA42^2+AB42^2)))</f>
        <v/>
      </c>
      <c r="AE42" s="629" t="str">
        <f t="shared" ref="AE42:AE47" si="393">IF(M42="","",AA42*(1/SQRT(Z42^2+AA42^2+AB42^2)))</f>
        <v/>
      </c>
      <c r="AF42" s="633" t="str">
        <f t="shared" ref="AF42:AF47" si="394">IF(M42="","",AB42*(1/SQRT(Z42^2+AA42^2+AB42^2)))</f>
        <v/>
      </c>
      <c r="AG42" s="602" t="str">
        <f t="shared" ref="AG42:AG47" si="395">IF(M42="","",DEGREES(ATAN2(-AF42,AE42)))</f>
        <v/>
      </c>
      <c r="AH42" s="603" t="str">
        <f t="shared" ref="AH42:AH47" si="396">IF(M42="","",DEGREES(ACOS(AD42)))</f>
        <v/>
      </c>
      <c r="AI42" s="585" t="str">
        <f t="shared" ref="AI42:AI47" si="397">IF(M42="","",DEGREES(-ACOS(-AF42)))</f>
        <v/>
      </c>
      <c r="AJ42" s="586" t="str">
        <f t="shared" ref="AJ42:AJ47" si="398">IF(M42="","",DEGREES(ATAN2(-AE42,AD42)))</f>
        <v/>
      </c>
      <c r="AK42" s="635" t="str">
        <f t="shared" ref="AK42:AK47" si="399">IF(M42="","",(COS(RADIANS((90-$Q$8)-W42))*AD42)+(-SIN(RADIANS((90-$Q$8)-W42))*AE42))</f>
        <v/>
      </c>
      <c r="AL42" s="629" t="str">
        <f t="shared" ref="AL42:AL47" si="400">IF(M42="","",(SIN(RADIANS((90-$Q$8)-W42))*AD42)+(COS(RADIANS((90-$Q$8)-W42))*AE42))</f>
        <v/>
      </c>
      <c r="AM42" s="634" t="str">
        <f t="shared" ref="AM42:AM47" si="401">IF(M42="","",AF42)</f>
        <v/>
      </c>
      <c r="AN42" s="581" t="str">
        <f t="shared" ref="AN42:AN47" si="402">IF(M42="","",DEGREES(ATAN2(-AM42,AL42)))</f>
        <v/>
      </c>
      <c r="AO42" s="582" t="str">
        <f t="shared" si="94"/>
        <v/>
      </c>
      <c r="AP42" s="585" t="str">
        <f t="shared" ref="AP42:AP47" si="403">IF(M42="","",DEGREES(ATAN2(AK42,AL42)))</f>
        <v/>
      </c>
      <c r="AQ42" s="586" t="str">
        <f t="shared" si="246"/>
        <v/>
      </c>
      <c r="AS42" s="52" t="str">
        <f t="shared" si="116"/>
        <v/>
      </c>
      <c r="AT42" s="72" t="str">
        <f t="shared" si="247"/>
        <v/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210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112"/>
        <v/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86">
        <f>H87*2</f>
        <v>0</v>
      </c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5.9391157902228882E-2</v>
      </c>
      <c r="G154" s="170">
        <f t="shared" si="929"/>
        <v>-0.33682404369014229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0.95371696400905337</v>
      </c>
      <c r="F155" s="170">
        <f t="shared" si="929"/>
        <v>5.2216999332010662E-2</v>
      </c>
      <c r="G155" s="170">
        <f t="shared" si="929"/>
        <v>-0.29613736262436535</v>
      </c>
      <c r="H155" s="139"/>
      <c r="I155" s="86"/>
      <c r="J155" s="79">
        <f t="shared" ref="J155:J218" si="930">J10</f>
        <v>1.103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0.95371696400905337</v>
      </c>
      <c r="F156" s="170">
        <f t="shared" si="929"/>
        <v>3.1432306199935513E-2</v>
      </c>
      <c r="G156" s="170">
        <f t="shared" si="929"/>
        <v>-0.29905846031889405</v>
      </c>
      <c r="H156" s="139"/>
      <c r="I156" s="86"/>
      <c r="J156" s="79">
        <f t="shared" si="930"/>
        <v>1.105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0.93033051333003314</v>
      </c>
      <c r="F157" s="170">
        <f t="shared" si="929"/>
        <v>-0.2152344497637757</v>
      </c>
      <c r="G157" s="170">
        <f t="shared" si="929"/>
        <v>-0.29691626361983259</v>
      </c>
      <c r="H157" s="139"/>
      <c r="I157" s="86"/>
      <c r="J157" s="79">
        <f t="shared" si="930"/>
        <v>1.109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0.8890695870796993</v>
      </c>
      <c r="F158" s="170">
        <f t="shared" si="929"/>
        <v>-0.41197768696324283</v>
      </c>
      <c r="G158" s="170">
        <f t="shared" si="929"/>
        <v>-0.19957368256949456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0.83232632498873715</v>
      </c>
      <c r="F159" s="170">
        <f t="shared" si="929"/>
        <v>-0.54860261612003958</v>
      </c>
      <c r="G159" s="170">
        <f t="shared" si="929"/>
        <v>-7.9171069949771758E-2</v>
      </c>
      <c r="H159" s="139"/>
      <c r="I159" s="86"/>
      <c r="J159" s="79">
        <f t="shared" si="930"/>
        <v>1.117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0.83234571075989838</v>
      </c>
      <c r="F160" s="170">
        <f t="shared" si="929"/>
        <v>-0.54856385702513777</v>
      </c>
      <c r="G160" s="170">
        <f t="shared" si="929"/>
        <v>-7.9235803430671436E-2</v>
      </c>
      <c r="H160" s="139"/>
      <c r="I160" s="86"/>
      <c r="J160" s="79">
        <f t="shared" si="930"/>
        <v>1.1220000000000001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-0.37460659341591174</v>
      </c>
      <c r="F161" s="170">
        <f t="shared" si="929"/>
        <v>-0.92718385456678754</v>
      </c>
      <c r="G161" s="170">
        <f t="shared" si="929"/>
        <v>0</v>
      </c>
      <c r="H161" s="139"/>
      <c r="I161" s="86"/>
      <c r="J161" s="79">
        <f t="shared" si="930"/>
        <v>1.5009999999999999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-0.43837114678907751</v>
      </c>
      <c r="F162" s="170">
        <f t="shared" si="929"/>
        <v>-0.89879404629916704</v>
      </c>
      <c r="G162" s="170">
        <f t="shared" si="929"/>
        <v>0</v>
      </c>
      <c r="H162" s="139"/>
      <c r="I162" s="86"/>
      <c r="J162" s="79">
        <f t="shared" si="930"/>
        <v>1.502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-7.6063287594170609E-2</v>
      </c>
      <c r="F163" s="170">
        <f t="shared" si="929"/>
        <v>-0.94964669254877421</v>
      </c>
      <c r="G163" s="170">
        <f t="shared" si="929"/>
        <v>-0.30394988996796901</v>
      </c>
      <c r="H163" s="139"/>
      <c r="I163" s="86"/>
      <c r="J163" s="79">
        <f t="shared" si="930"/>
        <v>2.1080000000000001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-0.28943623137990576</v>
      </c>
      <c r="F164" s="170">
        <f t="shared" si="929"/>
        <v>-0.92837556098632723</v>
      </c>
      <c r="G164" s="170">
        <f t="shared" si="929"/>
        <v>-0.23312118249511377</v>
      </c>
      <c r="H164" s="139"/>
      <c r="I164" s="86"/>
      <c r="J164" s="79">
        <f t="shared" si="930"/>
        <v>2.1120000000000001</v>
      </c>
    </row>
    <row r="165" spans="5:16" x14ac:dyDescent="0.25">
      <c r="E165" s="170">
        <f t="shared" si="929"/>
        <v>-0.42989041985778409</v>
      </c>
      <c r="F165" s="170">
        <f t="shared" si="929"/>
        <v>-0.90008851498648879</v>
      </c>
      <c r="G165" s="170">
        <f t="shared" si="929"/>
        <v>-7.0956973610179691E-2</v>
      </c>
      <c r="H165" s="139"/>
      <c r="I165" s="86"/>
      <c r="J165" s="79">
        <f t="shared" si="930"/>
        <v>2.1160000000000001</v>
      </c>
    </row>
    <row r="166" spans="5:16" x14ac:dyDescent="0.25">
      <c r="E166" s="170">
        <f t="shared" si="929"/>
        <v>-0.47397360620368106</v>
      </c>
      <c r="F166" s="170">
        <f t="shared" si="929"/>
        <v>-0.8769726120611101</v>
      </c>
      <c r="G166" s="170">
        <f t="shared" si="929"/>
        <v>-7.9171069949771827E-2</v>
      </c>
      <c r="H166" s="139"/>
      <c r="I166" s="86"/>
      <c r="J166" s="79">
        <f t="shared" si="930"/>
        <v>2.12</v>
      </c>
    </row>
    <row r="167" spans="5:16" x14ac:dyDescent="0.25">
      <c r="E167" s="170">
        <f t="shared" si="929"/>
        <v>-0.93016057747201597</v>
      </c>
      <c r="F167" s="170">
        <f t="shared" si="929"/>
        <v>-0.21703447324056849</v>
      </c>
      <c r="G167" s="170">
        <f t="shared" si="929"/>
        <v>-0.29613736262436524</v>
      </c>
      <c r="H167" s="139"/>
      <c r="I167" s="86"/>
      <c r="J167" s="79">
        <f t="shared" si="930"/>
        <v>3.1019999999999999</v>
      </c>
    </row>
    <row r="168" spans="5:16" x14ac:dyDescent="0.25">
      <c r="E168" s="170">
        <f t="shared" si="929"/>
        <v>-0.93016057747201608</v>
      </c>
      <c r="F168" s="170">
        <f t="shared" si="929"/>
        <v>-0.21703447324056854</v>
      </c>
      <c r="G168" s="170">
        <f t="shared" si="929"/>
        <v>-0.29613736262436524</v>
      </c>
      <c r="H168" s="139"/>
      <c r="I168" s="86"/>
      <c r="J168" s="79">
        <f t="shared" si="930"/>
        <v>3.1040000000000001</v>
      </c>
    </row>
    <row r="169" spans="5:16" x14ac:dyDescent="0.25">
      <c r="E169" s="170">
        <f t="shared" si="929"/>
        <v>-0.95120917683278128</v>
      </c>
      <c r="F169" s="170">
        <f t="shared" si="929"/>
        <v>-6.1203730843467745E-2</v>
      </c>
      <c r="G169" s="170">
        <f t="shared" si="929"/>
        <v>-0.30241561672629119</v>
      </c>
      <c r="H169" s="139"/>
      <c r="I169" s="86"/>
      <c r="J169" s="79">
        <f t="shared" si="930"/>
        <v>3.1070000000000002</v>
      </c>
    </row>
    <row r="170" spans="5:16" x14ac:dyDescent="0.25">
      <c r="E170" s="170">
        <f t="shared" si="929"/>
        <v>-0.95220105049257076</v>
      </c>
      <c r="F170" s="170">
        <f t="shared" si="929"/>
        <v>0.15861284892039182</v>
      </c>
      <c r="G170" s="170">
        <f t="shared" si="929"/>
        <v>-0.26106536269333336</v>
      </c>
      <c r="H170" s="139"/>
      <c r="I170" s="86"/>
      <c r="J170" s="79">
        <f t="shared" si="930"/>
        <v>3.1110000000000002</v>
      </c>
    </row>
    <row r="171" spans="5:16" x14ac:dyDescent="0.25">
      <c r="E171" s="170">
        <f t="shared" si="929"/>
        <v>-0.93933039613304314</v>
      </c>
      <c r="F171" s="170">
        <f t="shared" si="929"/>
        <v>0.32193734732615242</v>
      </c>
      <c r="G171" s="170">
        <f t="shared" si="929"/>
        <v>-0.11838391485814553</v>
      </c>
      <c r="H171" s="139"/>
      <c r="I171" s="86"/>
      <c r="J171" s="79">
        <f t="shared" si="930"/>
        <v>3.1150000000000002</v>
      </c>
    </row>
    <row r="172" spans="5:16" x14ac:dyDescent="0.25">
      <c r="E172" s="170">
        <f t="shared" si="929"/>
        <v>-0.91494507296330774</v>
      </c>
      <c r="F172" s="170">
        <f t="shared" si="929"/>
        <v>0.39573659818517665</v>
      </c>
      <c r="G172" s="170">
        <f t="shared" si="929"/>
        <v>-7.9171069949771702E-2</v>
      </c>
      <c r="H172" s="139"/>
      <c r="I172" s="86"/>
      <c r="J172" s="79">
        <f t="shared" si="930"/>
        <v>3.1190000000000002</v>
      </c>
    </row>
    <row r="173" spans="5:16" x14ac:dyDescent="0.25">
      <c r="E173" s="170">
        <f t="shared" si="929"/>
        <v>-0.91495740153243443</v>
      </c>
      <c r="F173" s="170">
        <f t="shared" si="929"/>
        <v>0.39569515129792981</v>
      </c>
      <c r="G173" s="170">
        <f t="shared" si="929"/>
        <v>-7.9235728180689941E-2</v>
      </c>
      <c r="H173" s="139"/>
      <c r="I173" s="86"/>
      <c r="J173" s="79">
        <f t="shared" si="930"/>
        <v>3.1230000000000002</v>
      </c>
    </row>
    <row r="174" spans="5:16" x14ac:dyDescent="0.25">
      <c r="E174" s="170">
        <f t="shared" ref="E174:G193" si="933">E29*-1</f>
        <v>-2.1044640991906199E-2</v>
      </c>
      <c r="F174" s="170">
        <f t="shared" si="933"/>
        <v>0.95361367181606982</v>
      </c>
      <c r="G174" s="170">
        <f t="shared" si="933"/>
        <v>-0.3002966666664737</v>
      </c>
      <c r="H174" s="139"/>
      <c r="I174" s="86"/>
      <c r="J174" s="79">
        <f t="shared" si="930"/>
        <v>4.1059999999999999</v>
      </c>
    </row>
    <row r="175" spans="5:16" x14ac:dyDescent="0.25">
      <c r="E175" s="170">
        <f t="shared" si="933"/>
        <v>0.18802058631429314</v>
      </c>
      <c r="F175" s="170">
        <f t="shared" si="933"/>
        <v>0.94051255804126155</v>
      </c>
      <c r="G175" s="170">
        <f t="shared" si="933"/>
        <v>-0.28299185021606538</v>
      </c>
      <c r="H175" s="139"/>
      <c r="I175" s="86"/>
      <c r="J175" s="79">
        <f t="shared" si="930"/>
        <v>4.1100000000000003</v>
      </c>
    </row>
    <row r="176" spans="5:16" x14ac:dyDescent="0.25">
      <c r="E176" s="170">
        <f t="shared" si="933"/>
        <v>0.36976317031805206</v>
      </c>
      <c r="F176" s="170">
        <f t="shared" si="933"/>
        <v>0.91469924545481363</v>
      </c>
      <c r="G176" s="170">
        <f t="shared" si="933"/>
        <v>-0.16309656109415038</v>
      </c>
      <c r="H176" s="139"/>
      <c r="I176" s="86"/>
      <c r="J176" s="79">
        <f t="shared" si="930"/>
        <v>4.1139999999999999</v>
      </c>
    </row>
    <row r="177" spans="5:21" x14ac:dyDescent="0.25">
      <c r="E177" s="170">
        <f t="shared" si="933"/>
        <v>0.47411688434705967</v>
      </c>
      <c r="F177" s="170">
        <f t="shared" si="933"/>
        <v>0.8769286869584304</v>
      </c>
      <c r="G177" s="170">
        <f t="shared" si="933"/>
        <v>-7.8798844956002409E-2</v>
      </c>
      <c r="H177" s="139"/>
      <c r="I177" s="86"/>
      <c r="J177" s="79">
        <f t="shared" si="930"/>
        <v>4.1180000000000003</v>
      </c>
    </row>
    <row r="178" spans="5:21" x14ac:dyDescent="0.25">
      <c r="E178" s="170">
        <f t="shared" si="933"/>
        <v>0.47412040024363344</v>
      </c>
      <c r="F178" s="170">
        <f t="shared" si="933"/>
        <v>0.87693115425559864</v>
      </c>
      <c r="G178" s="170">
        <f t="shared" si="933"/>
        <v>-7.8750217579129825E-2</v>
      </c>
      <c r="H178" s="139"/>
      <c r="I178" s="86"/>
      <c r="J178" s="79">
        <f t="shared" si="930"/>
        <v>4.1219999999999999</v>
      </c>
    </row>
    <row r="179" spans="5:21" x14ac:dyDescent="0.25">
      <c r="E179" s="170">
        <f t="shared" si="933"/>
        <v>0</v>
      </c>
      <c r="F179" s="170">
        <f t="shared" si="933"/>
        <v>0</v>
      </c>
      <c r="G179" s="170">
        <f t="shared" si="933"/>
        <v>0</v>
      </c>
      <c r="H179" s="139"/>
      <c r="I179" s="86"/>
      <c r="J179" s="79">
        <f t="shared" si="930"/>
        <v>0</v>
      </c>
    </row>
    <row r="180" spans="5:21" x14ac:dyDescent="0.25">
      <c r="E180" s="170">
        <f t="shared" si="933"/>
        <v>0</v>
      </c>
      <c r="F180" s="170">
        <f t="shared" si="933"/>
        <v>0</v>
      </c>
      <c r="G180" s="170">
        <f t="shared" si="933"/>
        <v>0</v>
      </c>
      <c r="H180" s="139"/>
      <c r="I180" s="86"/>
      <c r="J180" s="79">
        <f t="shared" si="930"/>
        <v>0</v>
      </c>
    </row>
    <row r="181" spans="5:21" x14ac:dyDescent="0.25">
      <c r="E181" s="170">
        <f t="shared" si="933"/>
        <v>0</v>
      </c>
      <c r="F181" s="170">
        <f t="shared" si="933"/>
        <v>0</v>
      </c>
      <c r="G181" s="170">
        <f t="shared" si="933"/>
        <v>0</v>
      </c>
      <c r="H181" s="139"/>
      <c r="I181" s="86"/>
      <c r="J181" s="79">
        <f t="shared" si="930"/>
        <v>0</v>
      </c>
    </row>
    <row r="182" spans="5:21" x14ac:dyDescent="0.25">
      <c r="E182" s="170">
        <f t="shared" si="933"/>
        <v>0</v>
      </c>
      <c r="F182" s="170">
        <f t="shared" si="933"/>
        <v>0</v>
      </c>
      <c r="G182" s="170">
        <f t="shared" si="933"/>
        <v>0</v>
      </c>
      <c r="H182" s="139"/>
      <c r="I182" s="86"/>
      <c r="J182" s="79">
        <f t="shared" si="930"/>
        <v>0</v>
      </c>
    </row>
    <row r="183" spans="5:21" x14ac:dyDescent="0.25">
      <c r="E183" s="170">
        <f t="shared" si="933"/>
        <v>0</v>
      </c>
      <c r="F183" s="170">
        <f t="shared" si="933"/>
        <v>0</v>
      </c>
      <c r="G183" s="170">
        <f t="shared" si="933"/>
        <v>0</v>
      </c>
      <c r="H183" s="139"/>
      <c r="I183" s="86"/>
      <c r="J183" s="79">
        <f t="shared" si="930"/>
        <v>0</v>
      </c>
      <c r="M183">
        <v>0</v>
      </c>
      <c r="N183">
        <v>0.29450088821467885</v>
      </c>
      <c r="O183">
        <v>-0.27930084237134062</v>
      </c>
      <c r="P183">
        <v>-0.93969263802333458</v>
      </c>
      <c r="Q183">
        <v>-5.9391157902228882E-2</v>
      </c>
      <c r="R183">
        <v>0.33682404369014229</v>
      </c>
      <c r="S183">
        <v>0.26600000000000001</v>
      </c>
      <c r="T183">
        <v>0.52</v>
      </c>
      <c r="U183">
        <v>1.101</v>
      </c>
    </row>
    <row r="184" spans="5:21" x14ac:dyDescent="0.25">
      <c r="E184" s="170">
        <f t="shared" si="933"/>
        <v>0</v>
      </c>
      <c r="F184" s="170">
        <f t="shared" si="933"/>
        <v>0</v>
      </c>
      <c r="G184" s="170">
        <f t="shared" si="933"/>
        <v>0</v>
      </c>
      <c r="H184" s="139"/>
      <c r="I184" s="86"/>
      <c r="J184" s="79">
        <f t="shared" si="930"/>
        <v>0</v>
      </c>
      <c r="M184">
        <v>6.6161943596556377E-16</v>
      </c>
      <c r="N184">
        <v>0.88830267912088023</v>
      </c>
      <c r="O184">
        <v>-0.17830053775442212</v>
      </c>
      <c r="P184">
        <v>-0.95371696400905337</v>
      </c>
      <c r="Q184">
        <v>-5.2216999332010662E-2</v>
      </c>
      <c r="R184">
        <v>0.29613736262436535</v>
      </c>
      <c r="S184">
        <v>0.26600000000000001</v>
      </c>
      <c r="T184">
        <v>0.52</v>
      </c>
      <c r="U184">
        <v>1.103</v>
      </c>
    </row>
    <row r="185" spans="5:21" x14ac:dyDescent="0.25">
      <c r="E185" s="170">
        <f t="shared" si="933"/>
        <v>0</v>
      </c>
      <c r="F185" s="170">
        <f t="shared" si="933"/>
        <v>0</v>
      </c>
      <c r="G185" s="170">
        <f t="shared" si="933"/>
        <v>0</v>
      </c>
      <c r="H185" s="139"/>
      <c r="I185" s="86"/>
      <c r="J185" s="79">
        <f t="shared" si="930"/>
        <v>0</v>
      </c>
      <c r="M185">
        <v>3.7136058663873579E-16</v>
      </c>
      <c r="N185">
        <v>1.4918044992823702</v>
      </c>
      <c r="O185">
        <v>-7.1900216851054133E-2</v>
      </c>
      <c r="P185">
        <v>-0.95371696400905337</v>
      </c>
      <c r="Q185">
        <v>-3.1432306199935513E-2</v>
      </c>
      <c r="R185">
        <v>0.29905846031889405</v>
      </c>
      <c r="S185">
        <v>0.26600000000000001</v>
      </c>
      <c r="T185">
        <v>0.52</v>
      </c>
      <c r="U185">
        <v>1.105</v>
      </c>
    </row>
    <row r="186" spans="5:21" x14ac:dyDescent="0.25">
      <c r="E186" s="170">
        <f t="shared" si="933"/>
        <v>0</v>
      </c>
      <c r="F186" s="170">
        <f t="shared" si="933"/>
        <v>0</v>
      </c>
      <c r="G186" s="170">
        <f t="shared" si="933"/>
        <v>0</v>
      </c>
      <c r="H186" s="139"/>
      <c r="I186" s="86"/>
      <c r="J186" s="79">
        <f t="shared" si="930"/>
        <v>0</v>
      </c>
      <c r="M186">
        <v>5.6923288386210233E-2</v>
      </c>
      <c r="N186">
        <v>2.2121744252280466</v>
      </c>
      <c r="O186">
        <v>-0.14940045059175905</v>
      </c>
      <c r="P186">
        <v>-0.93033051333003314</v>
      </c>
      <c r="Q186">
        <v>0.2152344497637757</v>
      </c>
      <c r="R186">
        <v>0.29691626361983259</v>
      </c>
      <c r="S186">
        <v>0.26600000000000001</v>
      </c>
      <c r="T186">
        <v>0.52</v>
      </c>
      <c r="U186">
        <v>1.109</v>
      </c>
    </row>
    <row r="187" spans="5:21" x14ac:dyDescent="0.25">
      <c r="E187" s="170">
        <f t="shared" si="933"/>
        <v>0</v>
      </c>
      <c r="F187" s="170">
        <f t="shared" si="933"/>
        <v>0</v>
      </c>
      <c r="G187" s="170">
        <f t="shared" si="933"/>
        <v>0</v>
      </c>
      <c r="H187" s="139"/>
      <c r="I187" s="86"/>
      <c r="J187" s="79">
        <f t="shared" si="930"/>
        <v>0</v>
      </c>
      <c r="M187">
        <v>0.11353359842535374</v>
      </c>
      <c r="N187">
        <v>2.7088299874819</v>
      </c>
      <c r="O187">
        <v>-0.64580194773867472</v>
      </c>
      <c r="P187">
        <v>-0.8890695870796993</v>
      </c>
      <c r="Q187">
        <v>0.41197768696324283</v>
      </c>
      <c r="R187">
        <v>0.19957368256949456</v>
      </c>
      <c r="S187">
        <v>0.26600000000000001</v>
      </c>
      <c r="T187">
        <v>0.52</v>
      </c>
      <c r="U187">
        <v>1.113</v>
      </c>
    </row>
    <row r="188" spans="5:21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  <c r="M188">
        <v>0.1336932711430821</v>
      </c>
      <c r="N188">
        <v>2.8550801436623923</v>
      </c>
      <c r="O188">
        <v>-1.3093039488607094</v>
      </c>
      <c r="P188">
        <v>-0.83232632498873715</v>
      </c>
      <c r="Q188">
        <v>0.54860261612003958</v>
      </c>
      <c r="R188">
        <v>7.9171069949771758E-2</v>
      </c>
      <c r="S188">
        <v>0.26600000000000001</v>
      </c>
      <c r="T188">
        <v>0.52</v>
      </c>
      <c r="U188">
        <v>1.117</v>
      </c>
    </row>
    <row r="189" spans="5:21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  <c r="M189">
        <v>0.13364344058100155</v>
      </c>
      <c r="N189">
        <v>2.8550824766149709</v>
      </c>
      <c r="O189">
        <v>-1.9147057747526164</v>
      </c>
      <c r="P189">
        <v>-0.83234571075989838</v>
      </c>
      <c r="Q189">
        <v>0.54856385702513777</v>
      </c>
      <c r="R189">
        <v>7.9235803430671436E-2</v>
      </c>
      <c r="S189">
        <v>0.26600000000000001</v>
      </c>
      <c r="T189">
        <v>0.52</v>
      </c>
      <c r="U189">
        <v>1.1220000000000001</v>
      </c>
    </row>
    <row r="190" spans="5:21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  <c r="M190">
        <v>1.1753281868424237</v>
      </c>
      <c r="N190">
        <v>2.909039343703296</v>
      </c>
      <c r="O190">
        <v>-1.3</v>
      </c>
      <c r="P190">
        <v>0.37460659341591174</v>
      </c>
      <c r="Q190">
        <v>0.92718385456678754</v>
      </c>
      <c r="R190">
        <v>0</v>
      </c>
      <c r="S190">
        <v>0.25700000000000001</v>
      </c>
      <c r="T190">
        <v>0.71</v>
      </c>
      <c r="U190">
        <v>1.5009999999999999</v>
      </c>
    </row>
    <row r="191" spans="5:21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  <c r="M191">
        <v>1.3753894730507303</v>
      </c>
      <c r="N191">
        <v>2.8199663202636369</v>
      </c>
      <c r="O191">
        <v>-1.95</v>
      </c>
      <c r="P191">
        <v>0.43837114678907751</v>
      </c>
      <c r="Q191">
        <v>0.89879404629916704</v>
      </c>
      <c r="R191">
        <v>0</v>
      </c>
      <c r="S191">
        <v>0.25700000000000001</v>
      </c>
      <c r="T191">
        <v>0.71</v>
      </c>
      <c r="U191">
        <v>1.502</v>
      </c>
    </row>
    <row r="192" spans="5:21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  <c r="M192">
        <v>2.0357637506603568</v>
      </c>
      <c r="N192">
        <v>0.13607039268624441</v>
      </c>
      <c r="O192">
        <v>-8.4500254852768866E-2</v>
      </c>
      <c r="P192">
        <v>7.6063287594170609E-2</v>
      </c>
      <c r="Q192">
        <v>0.94964669254877421</v>
      </c>
      <c r="R192">
        <v>0.30394988996796901</v>
      </c>
      <c r="S192">
        <v>0.26600000000000001</v>
      </c>
      <c r="T192">
        <v>0.52</v>
      </c>
      <c r="U192">
        <v>2.1080000000000001</v>
      </c>
    </row>
    <row r="193" spans="5:21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  <c r="M193">
        <v>2.6179322705219117</v>
      </c>
      <c r="N193">
        <v>0.12693724757518007</v>
      </c>
      <c r="O193">
        <v>-0.49350148840048919</v>
      </c>
      <c r="P193">
        <v>0.28943623137990576</v>
      </c>
      <c r="Q193">
        <v>0.92837556098632723</v>
      </c>
      <c r="R193">
        <v>0.23312118249511377</v>
      </c>
      <c r="S193">
        <v>0.26600000000000001</v>
      </c>
      <c r="T193">
        <v>0.52</v>
      </c>
      <c r="U193">
        <v>2.1120000000000001</v>
      </c>
    </row>
    <row r="194" spans="5:21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  <c r="M194">
        <v>2.8497486628779192</v>
      </c>
      <c r="N194">
        <v>0.1160001542978908</v>
      </c>
      <c r="O194">
        <v>-1.1519034741408778</v>
      </c>
      <c r="P194">
        <v>0.42989041985778409</v>
      </c>
      <c r="Q194">
        <v>0.90008851498648879</v>
      </c>
      <c r="R194">
        <v>7.0956973610179691E-2</v>
      </c>
      <c r="S194">
        <v>0.26600000000000001</v>
      </c>
      <c r="T194">
        <v>0.52</v>
      </c>
      <c r="U194">
        <v>2.1160000000000001</v>
      </c>
    </row>
    <row r="195" spans="5:21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  <c r="M195">
        <v>2.8558679182347513</v>
      </c>
      <c r="N195">
        <v>0.11565012356979969</v>
      </c>
      <c r="O195">
        <v>-1.7557052952071708</v>
      </c>
      <c r="P195">
        <v>0.47397360620368106</v>
      </c>
      <c r="Q195">
        <v>0.8769726120611101</v>
      </c>
      <c r="R195">
        <v>7.9171069949771827E-2</v>
      </c>
      <c r="S195">
        <v>0.26600000000000001</v>
      </c>
      <c r="T195">
        <v>0.52</v>
      </c>
      <c r="U195">
        <v>2.12</v>
      </c>
    </row>
    <row r="196" spans="5:21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  <c r="M196">
        <v>0.10274765761681809</v>
      </c>
      <c r="N196">
        <v>-0.58271255411277678</v>
      </c>
      <c r="O196">
        <v>-0.23060069549169765</v>
      </c>
      <c r="P196">
        <v>0.93016057747201597</v>
      </c>
      <c r="Q196">
        <v>0.21703447324056849</v>
      </c>
      <c r="R196">
        <v>0.29613736262436524</v>
      </c>
      <c r="S196">
        <v>0.26600000000000001</v>
      </c>
      <c r="T196">
        <v>0.52</v>
      </c>
      <c r="U196">
        <v>3.1019999999999999</v>
      </c>
    </row>
    <row r="197" spans="5:21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  <c r="M197">
        <v>0.20754436434615703</v>
      </c>
      <c r="N197">
        <v>-1.1770458757403932</v>
      </c>
      <c r="O197">
        <v>-0.1242003745883298</v>
      </c>
      <c r="P197">
        <v>0.93016057747201608</v>
      </c>
      <c r="Q197">
        <v>0.21703447324056854</v>
      </c>
      <c r="R197">
        <v>0.29613736262436524</v>
      </c>
      <c r="S197">
        <v>0.26600000000000001</v>
      </c>
      <c r="T197">
        <v>0.52</v>
      </c>
      <c r="U197">
        <v>3.1040000000000001</v>
      </c>
    </row>
    <row r="198" spans="5:21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  <c r="M198">
        <v>0.29577431178251723</v>
      </c>
      <c r="N198">
        <v>-1.8455550491889663</v>
      </c>
      <c r="O198">
        <v>-5.0600152610060248E-2</v>
      </c>
      <c r="P198">
        <v>0.95120917683278128</v>
      </c>
      <c r="Q198">
        <v>6.1203730843467745E-2</v>
      </c>
      <c r="R198">
        <v>0.30241561672629119</v>
      </c>
      <c r="S198">
        <v>0.26600000000000001</v>
      </c>
      <c r="T198">
        <v>0.52</v>
      </c>
      <c r="U198">
        <v>3.1070000000000002</v>
      </c>
    </row>
    <row r="199" spans="5:21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  <c r="M199">
        <v>0.34843666724678646</v>
      </c>
      <c r="N199">
        <v>-2.4814639639173119</v>
      </c>
      <c r="O199">
        <v>-0.35700107671524761</v>
      </c>
      <c r="P199">
        <v>0.95220105049257076</v>
      </c>
      <c r="Q199">
        <v>-0.15861284892039182</v>
      </c>
      <c r="R199">
        <v>0.26106536269333336</v>
      </c>
      <c r="S199">
        <v>0.26600000000000001</v>
      </c>
      <c r="T199">
        <v>0.52</v>
      </c>
      <c r="U199">
        <v>3.1110000000000002</v>
      </c>
    </row>
    <row r="200" spans="5:21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  <c r="M200">
        <v>0.36260810039330277</v>
      </c>
      <c r="N200">
        <v>-2.7881279757707085</v>
      </c>
      <c r="O200">
        <v>-0.98370296684814817</v>
      </c>
      <c r="P200">
        <v>0.93933039613304314</v>
      </c>
      <c r="Q200">
        <v>-0.32193734732615242</v>
      </c>
      <c r="R200">
        <v>0.11838391485814553</v>
      </c>
      <c r="S200">
        <v>0.26600000000000001</v>
      </c>
      <c r="T200">
        <v>0.52</v>
      </c>
      <c r="U200">
        <v>3.1150000000000002</v>
      </c>
    </row>
    <row r="201" spans="5:21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  <c r="M201">
        <v>0.36411593676323278</v>
      </c>
      <c r="N201">
        <v>-2.8349208281853726</v>
      </c>
      <c r="O201">
        <v>-1.6077048488378243</v>
      </c>
      <c r="P201">
        <v>0.91494507296330774</v>
      </c>
      <c r="Q201">
        <v>-0.39573659818517665</v>
      </c>
      <c r="R201">
        <v>7.9171069949771702E-2</v>
      </c>
      <c r="S201">
        <v>0.26600000000000001</v>
      </c>
      <c r="T201">
        <v>0.52</v>
      </c>
      <c r="U201">
        <v>3.1190000000000002</v>
      </c>
    </row>
    <row r="202" spans="5:21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  <c r="M202">
        <v>0.36416429793483124</v>
      </c>
      <c r="N202">
        <v>-2.8349059250898669</v>
      </c>
      <c r="O202">
        <v>-2.2117</v>
      </c>
      <c r="P202">
        <v>0.91495740153243443</v>
      </c>
      <c r="Q202">
        <v>-0.39569515129792981</v>
      </c>
      <c r="R202">
        <v>7.9235728180689941E-2</v>
      </c>
      <c r="S202">
        <v>0.26600000000000001</v>
      </c>
      <c r="T202">
        <v>0.52</v>
      </c>
      <c r="U202">
        <v>3.1230000000000002</v>
      </c>
    </row>
    <row r="203" spans="5:21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  <c r="M203">
        <v>-1.6697737945692277</v>
      </c>
      <c r="N203">
        <v>-0.12842306068149245</v>
      </c>
      <c r="O203">
        <v>-4.6500140244422915E-2</v>
      </c>
      <c r="P203">
        <v>2.1044640991906199E-2</v>
      </c>
      <c r="Q203">
        <v>-0.95361367181606982</v>
      </c>
      <c r="R203">
        <v>0.3002966666664737</v>
      </c>
      <c r="S203">
        <v>0.26600000000000001</v>
      </c>
      <c r="T203">
        <v>0.52</v>
      </c>
      <c r="U203">
        <v>4.1059999999999999</v>
      </c>
    </row>
    <row r="204" spans="5:21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  <c r="M204">
        <v>-2.3645051831342285</v>
      </c>
      <c r="N204">
        <v>-0.13414157311141967</v>
      </c>
      <c r="O204">
        <v>-0.24120072746139426</v>
      </c>
      <c r="P204">
        <v>-0.18802058631429314</v>
      </c>
      <c r="Q204">
        <v>-0.94051255804126155</v>
      </c>
      <c r="R204">
        <v>0.28299185021606538</v>
      </c>
      <c r="S204">
        <v>0.26600000000000001</v>
      </c>
      <c r="T204">
        <v>0.52</v>
      </c>
      <c r="U204">
        <v>4.1100000000000003</v>
      </c>
    </row>
    <row r="205" spans="5:21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  <c r="M205">
        <v>-2.7715038391324631</v>
      </c>
      <c r="N205">
        <v>-0.12018194510436488</v>
      </c>
      <c r="O205">
        <v>-0.8051024281889233</v>
      </c>
      <c r="P205">
        <v>-0.36976317031805206</v>
      </c>
      <c r="Q205">
        <v>-0.91469924545481363</v>
      </c>
      <c r="R205">
        <v>0.16309656109415038</v>
      </c>
      <c r="S205">
        <v>0.26600000000000001</v>
      </c>
      <c r="T205">
        <v>0.52</v>
      </c>
      <c r="U205">
        <v>4.1139999999999999</v>
      </c>
    </row>
    <row r="206" spans="5:21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  <c r="M206">
        <v>-2.8558678657767427</v>
      </c>
      <c r="N206">
        <v>-0.11565141896232553</v>
      </c>
      <c r="O206">
        <v>-1.4509043759275979</v>
      </c>
      <c r="P206">
        <v>-0.47411688434705967</v>
      </c>
      <c r="Q206">
        <v>-0.8769286869584304</v>
      </c>
      <c r="R206">
        <v>7.8798844956002409E-2</v>
      </c>
      <c r="S206">
        <v>0.26600000000000001</v>
      </c>
      <c r="T206">
        <v>0.52</v>
      </c>
      <c r="U206">
        <v>4.1180000000000003</v>
      </c>
    </row>
    <row r="207" spans="5:21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  <c r="M207">
        <v>-2.855857234334001</v>
      </c>
      <c r="N207">
        <v>-0.11570089499287801</v>
      </c>
      <c r="O207">
        <v>-2.0547999999999997</v>
      </c>
      <c r="P207">
        <v>-0.47412040024363344</v>
      </c>
      <c r="Q207">
        <v>-0.87693115425559864</v>
      </c>
      <c r="R207">
        <v>7.8750217579129825E-2</v>
      </c>
      <c r="S207">
        <v>0.26600000000000001</v>
      </c>
      <c r="T207">
        <v>0.52</v>
      </c>
      <c r="U207">
        <v>4.1219999999999999</v>
      </c>
    </row>
    <row r="208" spans="5:21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30" t="str">
        <f>CONCATENATE(Settings!$C$19," ",Settings!$B$28)</f>
        <v>6.125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M1" s="107" t="s">
        <v>319</v>
      </c>
      <c r="N1" s="1262" t="s">
        <v>321</v>
      </c>
      <c r="O1" s="1262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1" t="str">
        <f>Settings!B28</f>
        <v xml:space="preserve"> Job# --- Assy# --- Post Braze --- yy.mm.dd</v>
      </c>
      <c r="C2" s="1272"/>
      <c r="D2" s="1272"/>
      <c r="E2" s="1272"/>
      <c r="F2" s="1272"/>
      <c r="G2" s="1272"/>
      <c r="H2" s="1272"/>
      <c r="I2" s="1272"/>
      <c r="J2" s="1272"/>
      <c r="K2" s="1273"/>
      <c r="L2" s="985" t="str" cm="1">
        <f t="array" ref="L2">IF(OR($K$9:$K$150="Undefined"),"Undefined Element","")</f>
        <v/>
      </c>
      <c r="M2" s="1268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84" t="str">
        <f>M2</f>
        <v>CS-Name</v>
      </c>
      <c r="AW2" s="1298"/>
      <c r="AX2" s="1298"/>
      <c r="AY2" s="1298"/>
      <c r="AZ2" s="1298"/>
      <c r="BA2" s="1298"/>
      <c r="BB2" s="1298"/>
      <c r="BC2" s="1299"/>
      <c r="BF2" s="1291" t="s">
        <v>322</v>
      </c>
      <c r="BG2" s="1292"/>
      <c r="BH2" s="1292"/>
      <c r="BI2" s="1292"/>
      <c r="BJ2" s="1292"/>
      <c r="BK2" s="1293"/>
      <c r="BM2" s="1308" t="s">
        <v>279</v>
      </c>
      <c r="BN2" s="1224"/>
      <c r="BO2" s="1224"/>
      <c r="BP2" s="1225"/>
      <c r="BR2" s="1308" t="s">
        <v>279</v>
      </c>
      <c r="BS2" s="1224"/>
      <c r="BT2" s="1224"/>
      <c r="BU2" s="1225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5"/>
      <c r="C3" s="1236"/>
      <c r="D3" s="1236"/>
      <c r="E3" s="1236"/>
      <c r="F3" s="1236"/>
      <c r="G3" s="1236"/>
      <c r="H3" s="1236"/>
      <c r="I3" s="1236"/>
      <c r="J3" s="1236"/>
      <c r="K3" s="1237"/>
      <c r="L3" s="985"/>
      <c r="M3" s="1269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049"/>
      <c r="AA3" s="1050"/>
      <c r="AB3" s="1050"/>
      <c r="AC3" s="1050"/>
      <c r="AD3" s="1050"/>
      <c r="AE3" s="1050"/>
      <c r="AF3" s="1050"/>
      <c r="AG3" s="1050"/>
      <c r="AH3" s="1050"/>
      <c r="AI3" s="1050"/>
      <c r="AJ3" s="1050"/>
      <c r="AK3" s="1050"/>
      <c r="AL3" s="1050"/>
      <c r="AM3" s="1050"/>
      <c r="AN3" s="1050"/>
      <c r="AO3" s="1050"/>
      <c r="AP3" s="1050"/>
      <c r="AQ3" s="1164"/>
      <c r="AS3" s="466">
        <v>100</v>
      </c>
      <c r="AT3" s="463" t="s">
        <v>45</v>
      </c>
      <c r="AV3" s="1285"/>
      <c r="AW3" s="1300"/>
      <c r="AX3" s="1300"/>
      <c r="AY3" s="1300"/>
      <c r="AZ3" s="1300"/>
      <c r="BA3" s="1300"/>
      <c r="BB3" s="1300"/>
      <c r="BC3" s="130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9" t="s">
        <v>316</v>
      </c>
      <c r="C4" s="914"/>
      <c r="D4" s="914"/>
      <c r="E4" s="914"/>
      <c r="F4" s="914"/>
      <c r="G4" s="914"/>
      <c r="H4" s="914"/>
      <c r="I4" s="914"/>
      <c r="J4" s="914"/>
      <c r="K4" s="1274"/>
      <c r="L4" s="985"/>
      <c r="M4" s="1269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Q4</f>
        <v>Polar XY; Cartesian Z</v>
      </c>
      <c r="X4" s="1168"/>
      <c r="Y4" s="1234"/>
      <c r="Z4" s="1264" t="s">
        <v>3</v>
      </c>
      <c r="AA4" s="1265"/>
      <c r="AB4" s="1265"/>
      <c r="AC4" s="1265"/>
      <c r="AD4" s="1265"/>
      <c r="AE4" s="1265"/>
      <c r="AF4" s="1265"/>
      <c r="AG4" s="1304" t="s">
        <v>31</v>
      </c>
      <c r="AH4" s="1265"/>
      <c r="AI4" s="1265"/>
      <c r="AJ4" s="1305"/>
      <c r="AK4" s="1311" t="s">
        <v>32</v>
      </c>
      <c r="AL4" s="1312"/>
      <c r="AM4" s="1312"/>
      <c r="AN4" s="1312"/>
      <c r="AO4" s="1312"/>
      <c r="AP4" s="1312"/>
      <c r="AQ4" s="1313"/>
      <c r="AS4" s="467">
        <v>125</v>
      </c>
      <c r="AT4" s="464" t="s">
        <v>46</v>
      </c>
      <c r="AV4" s="1285"/>
      <c r="AW4" s="1302"/>
      <c r="AX4" s="1302"/>
      <c r="AY4" s="1302"/>
      <c r="AZ4" s="1303"/>
      <c r="BA4" s="1302" t="str">
        <f>Z2</f>
        <v>PDC Orientation</v>
      </c>
      <c r="BB4" s="1302"/>
      <c r="BC4" s="130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1" t="s">
        <v>381</v>
      </c>
      <c r="IF4" s="901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5" t="str">
        <f>CONCATENATE(B7," ; ",E7," ; ",H8)</f>
        <v>Absolute-Point ; Incremental-Vector Point ; Radius</v>
      </c>
      <c r="C5" s="1236"/>
      <c r="D5" s="1236"/>
      <c r="E5" s="1236"/>
      <c r="F5" s="1236"/>
      <c r="G5" s="1236"/>
      <c r="H5" s="1236"/>
      <c r="I5" s="1236"/>
      <c r="J5" s="1236"/>
      <c r="K5" s="1237"/>
      <c r="L5" s="843"/>
      <c r="M5" s="1269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&amp; Z; Z Axis")</f>
        <v>Relative to 's θ &amp; Z; Z Axis</v>
      </c>
      <c r="U5" s="1138"/>
      <c r="V5" s="1139"/>
      <c r="W5" s="1138" t="str">
        <f>CONCATENATE("Relative to ",M8,"'s θ &amp; Z; Z Axis")</f>
        <v>Relative to 's θ &amp; Z;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85"/>
      <c r="AW5" s="1259" t="str">
        <f>W4</f>
        <v>Polar XY; Cartesian Z</v>
      </c>
      <c r="AX5" s="1168"/>
      <c r="AY5" s="1168"/>
      <c r="AZ5" s="986" t="s">
        <v>104</v>
      </c>
      <c r="BA5" s="1168" t="str">
        <f>AK4</f>
        <v>Polar Z Projection → XZ Plane</v>
      </c>
      <c r="BB5" s="1168"/>
      <c r="BC5" s="1169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/>
      </c>
      <c r="M6" s="1269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Q6</f>
        <v>Projected XY</v>
      </c>
      <c r="X6" s="1171"/>
      <c r="Y6" s="1212" t="str">
        <f>S6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259" t="str">
        <f>AD6</f>
        <v>Unit Vector</v>
      </c>
      <c r="AL6" s="1168"/>
      <c r="AM6" s="1169"/>
      <c r="AN6" s="34" t="s">
        <v>15</v>
      </c>
      <c r="AO6" s="35" t="s">
        <v>16</v>
      </c>
      <c r="AP6" s="737" t="s">
        <v>17</v>
      </c>
      <c r="AQ6" s="1266" t="s">
        <v>108</v>
      </c>
      <c r="AS6" s="172">
        <f>(AS5/360)</f>
        <v>6.9444444444444447E-4</v>
      </c>
      <c r="AT6" s="465" t="s">
        <v>48</v>
      </c>
      <c r="AV6" s="1285"/>
      <c r="AW6" s="1137" t="str">
        <f>W5</f>
        <v>Relative to 's θ &amp; Z; Z Axis</v>
      </c>
      <c r="AX6" s="1138"/>
      <c r="AY6" s="1138"/>
      <c r="AZ6" s="1281"/>
      <c r="BA6" s="1138" t="str">
        <f>AK5</f>
        <v>Vector Along X Axis</v>
      </c>
      <c r="BB6" s="1138"/>
      <c r="BC6" s="1175"/>
      <c r="BD6" s="468"/>
      <c r="BF6" s="461">
        <f>SUM(AZ9:AZ150)</f>
        <v>0</v>
      </c>
      <c r="BG6" s="1263" t="s">
        <v>318</v>
      </c>
      <c r="BH6" s="1263"/>
      <c r="BI6" s="1263"/>
      <c r="BJ6" s="1263"/>
      <c r="BK6" s="1263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2" t="s">
        <v>40</v>
      </c>
      <c r="C7" s="1253"/>
      <c r="D7" s="1254"/>
      <c r="E7" s="1255" t="s">
        <v>41</v>
      </c>
      <c r="F7" s="1253"/>
      <c r="G7" s="1256"/>
      <c r="H7" s="881" t="s">
        <v>314</v>
      </c>
      <c r="I7" s="879"/>
      <c r="J7" s="880"/>
      <c r="K7" s="539"/>
      <c r="L7" s="985"/>
      <c r="M7" s="127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Q7</f>
        <v>&lt; θ°</v>
      </c>
      <c r="X7" s="27" t="str">
        <f>R7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7"/>
      <c r="AS7" s="1306" t="s">
        <v>54</v>
      </c>
      <c r="AT7" s="1309" t="s">
        <v>53</v>
      </c>
      <c r="AV7" s="1285"/>
      <c r="AW7" s="1280" t="str">
        <f>$W$6</f>
        <v>Projected XY</v>
      </c>
      <c r="AX7" s="1171"/>
      <c r="AY7" s="1282" t="str">
        <f>$Y$6</f>
        <v>Z</v>
      </c>
      <c r="AZ7" s="1281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3"/>
      <c r="BH7" s="1263"/>
      <c r="BI7" s="1263"/>
      <c r="BJ7" s="1263"/>
      <c r="BK7" s="1263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314" t="s">
        <v>364</v>
      </c>
      <c r="JC7" s="1221"/>
      <c r="JD7" s="1221"/>
      <c r="JE7" s="122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5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7"/>
      <c r="AT8" s="1310"/>
      <c r="AV8" s="1286"/>
      <c r="AW8" s="46" t="str">
        <f>$W$7</f>
        <v>&lt; θ°</v>
      </c>
      <c r="AX8" s="27" t="str">
        <f>$X$7</f>
        <v>r</v>
      </c>
      <c r="AY8" s="1283"/>
      <c r="AZ8" s="987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8" t="str">
        <f>$W$6</f>
        <v>Projected XY</v>
      </c>
      <c r="AX152" s="1279"/>
      <c r="AY152" s="1296" t="str">
        <f>$Y$6</f>
        <v>Z</v>
      </c>
      <c r="AZ152" s="129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7"/>
      <c r="AZ153" s="129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1" t="s">
        <v>42</v>
      </c>
      <c r="C157" s="1242"/>
      <c r="D157" s="1242"/>
      <c r="E157" s="1242"/>
      <c r="F157" s="1242"/>
      <c r="G157" s="1242"/>
      <c r="H157" s="1242"/>
      <c r="I157" s="1242"/>
      <c r="J157" s="1242"/>
      <c r="K157" s="1243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4"/>
      <c r="C158" s="1199"/>
      <c r="D158" s="1199"/>
      <c r="E158" s="1199"/>
      <c r="F158" s="1199"/>
      <c r="G158" s="1199"/>
      <c r="H158" s="1199"/>
      <c r="I158" s="1199"/>
      <c r="J158" s="1199"/>
      <c r="K158" s="1245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6"/>
      <c r="C159" s="1247"/>
      <c r="D159" s="1247"/>
      <c r="E159" s="1247"/>
      <c r="F159" s="1247"/>
      <c r="G159" s="1247"/>
      <c r="H159" s="1247"/>
      <c r="I159" s="1247"/>
      <c r="J159" s="1247"/>
      <c r="K159" s="1248"/>
      <c r="AQ159" s="166"/>
      <c r="BD159" s="468"/>
    </row>
    <row r="160" spans="1:259" ht="15" customHeight="1" x14ac:dyDescent="0.25">
      <c r="B160" s="1235" t="str">
        <f>CONCATENATE(B162," ; ",E162," ; ",H163)</f>
        <v>Absolute-Point ; Incremental-Vector Point ; Radius</v>
      </c>
      <c r="C160" s="1236"/>
      <c r="D160" s="1236"/>
      <c r="E160" s="1236"/>
      <c r="F160" s="1236"/>
      <c r="G160" s="1236"/>
      <c r="H160" s="1236"/>
      <c r="I160" s="1236"/>
      <c r="J160" s="1236"/>
      <c r="K160" s="1237"/>
      <c r="AQ160" s="166"/>
      <c r="BD160" s="468"/>
    </row>
    <row r="161" spans="2:56" ht="15" customHeight="1" x14ac:dyDescent="0.25">
      <c r="B161" s="1238"/>
      <c r="C161" s="1239"/>
      <c r="D161" s="1239"/>
      <c r="E161" s="1239"/>
      <c r="F161" s="1239"/>
      <c r="G161" s="1239"/>
      <c r="H161" s="1239"/>
      <c r="I161" s="1239"/>
      <c r="J161" s="1239"/>
      <c r="K161" s="1240"/>
      <c r="AQ161" s="166"/>
      <c r="BD161" s="468"/>
    </row>
    <row r="162" spans="2:56" ht="15" customHeight="1" x14ac:dyDescent="0.25">
      <c r="B162" s="1252" t="s">
        <v>40</v>
      </c>
      <c r="C162" s="1253"/>
      <c r="D162" s="1254"/>
      <c r="E162" s="1255" t="s">
        <v>41</v>
      </c>
      <c r="F162" s="1253"/>
      <c r="G162" s="1256"/>
      <c r="H162" s="881" t="s">
        <v>314</v>
      </c>
      <c r="I162" s="879"/>
      <c r="J162" s="880"/>
      <c r="K162" s="539"/>
      <c r="M162" s="1027" t="s">
        <v>313</v>
      </c>
      <c r="N162" s="1275"/>
      <c r="O162" s="1287" t="s">
        <v>292</v>
      </c>
      <c r="P162" s="1288"/>
      <c r="Q162" s="1289"/>
      <c r="R162" s="1290" t="s">
        <v>41</v>
      </c>
      <c r="S162" s="1288"/>
      <c r="T162" s="128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6"/>
      <c r="N163" s="127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1.103</v>
      </c>
      <c r="N165" s="869">
        <f>Assy.Model!K10</f>
        <v>1313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1.105</v>
      </c>
      <c r="N166" s="869">
        <f>Assy.Model!K11</f>
        <v>1313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1.109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1.117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1.1220000000000001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1.5009999999999999</v>
      </c>
      <c r="N171" s="869" t="str">
        <f>Assy.Model!K16</f>
        <v>Inactive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1.502</v>
      </c>
      <c r="N172" s="869" t="str">
        <f>Assy.Model!K17</f>
        <v>Inactive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2.1080000000000001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2.1120000000000001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2.1160000000000001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3.1019999999999999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3.1040000000000001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3.1070000000000002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3.1110000000000002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3.1150000000000002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3.1190000000000002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3.1230000000000002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4.1059999999999999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4.1100000000000003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4.1139999999999999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4.1180000000000003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4.1219999999999999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 t="str">
        <f>Assy.Model!$M34</f>
        <v/>
      </c>
      <c r="N189" s="869" t="str">
        <f>Assy.Model!K34</f>
        <v/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 t="str">
        <f>Assy.Model!$M35</f>
        <v/>
      </c>
      <c r="N190" s="869" t="str">
        <f>Assy.Model!K35</f>
        <v/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 t="str">
        <f>Assy.Model!$M36</f>
        <v/>
      </c>
      <c r="N191" s="869" t="str">
        <f>Assy.Model!K36</f>
        <v/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 t="str">
        <f>Assy.Model!$M37</f>
        <v/>
      </c>
      <c r="N192" s="869" t="str">
        <f>Assy.Model!K37</f>
        <v/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 t="str">
        <f>Assy.Model!$M38</f>
        <v/>
      </c>
      <c r="N193" s="869" t="str">
        <f>Assy.Model!K38</f>
        <v/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 t="str">
        <f>Assy.Model!$M39</f>
        <v/>
      </c>
      <c r="N194" s="869" t="str">
        <f>Assy.Model!K39</f>
        <v/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 t="str">
        <f>Assy.Model!$M40</f>
        <v/>
      </c>
      <c r="N195" s="869" t="str">
        <f>Assy.Model!K40</f>
        <v/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 t="str">
        <f>Assy.Model!$M41</f>
        <v/>
      </c>
      <c r="N196" s="869" t="str">
        <f>Assy.Model!K41</f>
        <v/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 t="str">
        <f>Assy.Model!$M42</f>
        <v/>
      </c>
      <c r="N197" s="869" t="str">
        <f>Assy.Model!K42</f>
        <v/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2023-03-30T19:51:12Z</dcterms:modified>
</cp:coreProperties>
</file>