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  <sheet name="Sheet2" sheetId="8" r:id="rId7"/>
  </sheets>
  <externalReferences>
    <externalReference r:id="rId8"/>
    <externalReference r:id="rId9"/>
  </externalReferences>
  <definedNames>
    <definedName name="CutterName" localSheetId="1">[1]Cutters!$C$5:$C$21</definedName>
    <definedName name="CutterName">[2]Cutters!$C$5:$C$21</definedName>
    <definedName name="_xlnm.Print_Area" localSheetId="0">List!$A$1:$P$117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K5" i="1"/>
  <c r="K6" s="1"/>
  <c r="K7" s="1"/>
  <c r="D105"/>
  <c r="D106" s="1"/>
  <c r="D95"/>
  <c r="D96" s="1"/>
  <c r="D85"/>
  <c r="D86" s="1"/>
  <c r="A57"/>
  <c r="M56"/>
  <c r="N56" s="1"/>
  <c r="K56" s="1"/>
  <c r="D56"/>
  <c r="E57" s="1"/>
  <c r="A56"/>
  <c r="A39"/>
  <c r="M38"/>
  <c r="N38" s="1"/>
  <c r="K38" s="1"/>
  <c r="D38"/>
  <c r="D39" s="1"/>
  <c r="A38"/>
  <c r="B10" i="4"/>
  <c r="B11" s="1"/>
  <c r="B12" s="1"/>
  <c r="B13" s="1"/>
  <c r="B14" s="1"/>
  <c r="B15" s="1"/>
  <c r="B16" s="1"/>
  <c r="B17" s="1"/>
  <c r="B18" s="1"/>
  <c r="B19" s="1"/>
  <c r="B20" s="1"/>
  <c r="B21" s="1"/>
  <c r="B22" s="1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A27" i="1"/>
  <c r="M26"/>
  <c r="N26" s="1"/>
  <c r="K26" s="1"/>
  <c r="D26"/>
  <c r="D27" s="1"/>
  <c r="A26"/>
  <c r="A25"/>
  <c r="M24"/>
  <c r="N24" s="1"/>
  <c r="K24" s="1"/>
  <c r="D24"/>
  <c r="D25" s="1"/>
  <c r="A24"/>
  <c r="E106" l="1"/>
  <c r="E96"/>
  <c r="E86"/>
  <c r="D57"/>
  <c r="E39"/>
  <c r="B23" i="4"/>
  <c r="B24" s="1"/>
  <c r="B25" s="1"/>
  <c r="B26" s="1"/>
  <c r="B27" s="1"/>
  <c r="B28" s="1"/>
  <c r="B29" s="1"/>
  <c r="B30" s="1"/>
  <c r="B31" s="1"/>
  <c r="B32" s="1"/>
  <c r="B33" s="1"/>
  <c r="B34" s="1"/>
  <c r="B35" s="1"/>
  <c r="E27" i="1"/>
  <c r="E25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K111" i="1"/>
  <c r="K113" s="1"/>
  <c r="K115" s="1"/>
  <c r="K117" s="1"/>
  <c r="J111"/>
  <c r="J113" s="1"/>
  <c r="J115" s="1"/>
  <c r="J117" s="1"/>
  <c r="I111"/>
  <c r="I113" s="1"/>
  <c r="I115" s="1"/>
  <c r="I117" s="1"/>
  <c r="H111"/>
  <c r="H113" s="1"/>
  <c r="H115" s="1"/>
  <c r="H117" s="1"/>
  <c r="G111"/>
  <c r="G113" s="1"/>
  <c r="G115" s="1"/>
  <c r="G117" s="1"/>
  <c r="K110"/>
  <c r="K112" s="1"/>
  <c r="K114" s="1"/>
  <c r="K116" s="1"/>
  <c r="B110"/>
  <c r="B112" s="1"/>
  <c r="B114" s="1"/>
  <c r="D108"/>
  <c r="E109" s="1"/>
  <c r="D103"/>
  <c r="E104" s="1"/>
  <c r="D101"/>
  <c r="D102" s="1"/>
  <c r="D99"/>
  <c r="D100" s="1"/>
  <c r="D97"/>
  <c r="E98" s="1"/>
  <c r="D93"/>
  <c r="E94" s="1"/>
  <c r="D91"/>
  <c r="D92" s="1"/>
  <c r="D89"/>
  <c r="D90" s="1"/>
  <c r="D87"/>
  <c r="D88" s="1"/>
  <c r="D83"/>
  <c r="E84" s="1"/>
  <c r="D81"/>
  <c r="D82" s="1"/>
  <c r="D79"/>
  <c r="D80" s="1"/>
  <c r="D77"/>
  <c r="E78" s="1"/>
  <c r="D75"/>
  <c r="D76" s="1"/>
  <c r="D73"/>
  <c r="E74" s="1"/>
  <c r="D71"/>
  <c r="D72" s="1"/>
  <c r="D69"/>
  <c r="D70" s="1"/>
  <c r="D104" l="1"/>
  <c r="D74"/>
  <c r="D84"/>
  <c r="D78"/>
  <c r="D110"/>
  <c r="E111" s="1"/>
  <c r="D98"/>
  <c r="D94"/>
  <c r="E88"/>
  <c r="D112"/>
  <c r="D113" s="1"/>
  <c r="D109"/>
  <c r="D114"/>
  <c r="B116"/>
  <c r="D116" s="1"/>
  <c r="E82"/>
  <c r="E92"/>
  <c r="E102"/>
  <c r="E70"/>
  <c r="E72"/>
  <c r="E76"/>
  <c r="E80"/>
  <c r="E90"/>
  <c r="E100"/>
  <c r="E113" l="1"/>
  <c r="D111"/>
  <c r="D115"/>
  <c r="E115"/>
  <c r="E117"/>
  <c r="D117"/>
  <c r="C4" i="7" l="1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17" i="7" l="1"/>
  <c r="U4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Z18" s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X8"/>
  <c r="Z8" s="1"/>
  <c r="Y18" l="1"/>
  <c r="Z20"/>
  <c r="Y4"/>
  <c r="Z4"/>
  <c r="Y6"/>
  <c r="Y12"/>
  <c r="Y14"/>
  <c r="Z26"/>
  <c r="Y10"/>
  <c r="Z30"/>
  <c r="Z34"/>
  <c r="Z32"/>
  <c r="Y22"/>
  <c r="Y28"/>
  <c r="Y36"/>
  <c r="Y16"/>
  <c r="Y24"/>
  <c r="Y8"/>
  <c r="A41" i="1" l="1"/>
  <c r="A42"/>
  <c r="A43"/>
  <c r="A44"/>
  <c r="A45"/>
  <c r="A46"/>
  <c r="A47"/>
  <c r="A48"/>
  <c r="A49"/>
  <c r="A50"/>
  <c r="A51"/>
  <c r="A52"/>
  <c r="A53"/>
  <c r="A54"/>
  <c r="A55"/>
  <c r="A58"/>
  <c r="A59"/>
  <c r="A60"/>
  <c r="A61"/>
  <c r="A62"/>
  <c r="A63"/>
  <c r="A64"/>
  <c r="A65"/>
  <c r="A66"/>
  <c r="A67"/>
  <c r="A40"/>
  <c r="A37"/>
  <c r="A36"/>
  <c r="A35"/>
  <c r="A34"/>
  <c r="A33"/>
  <c r="A32"/>
  <c r="A31"/>
  <c r="A30"/>
  <c r="A29"/>
  <c r="A28"/>
  <c r="A23"/>
  <c r="A22"/>
  <c r="A21"/>
  <c r="A20"/>
  <c r="A19"/>
  <c r="A18"/>
  <c r="A17"/>
  <c r="A16"/>
  <c r="A15"/>
  <c r="A14"/>
  <c r="A13"/>
  <c r="A12"/>
  <c r="A11"/>
  <c r="A10"/>
  <c r="A9"/>
  <c r="A8"/>
  <c r="M36" l="1"/>
  <c r="N36" s="1"/>
  <c r="K36" s="1"/>
  <c r="M34"/>
  <c r="N34" s="1"/>
  <c r="K34" s="1"/>
  <c r="M32"/>
  <c r="N32" s="1"/>
  <c r="K32" s="1"/>
  <c r="M30"/>
  <c r="N30" s="1"/>
  <c r="K30" s="1"/>
  <c r="M28"/>
  <c r="N28" s="1"/>
  <c r="K28" s="1"/>
  <c r="M66"/>
  <c r="N66" s="1"/>
  <c r="K66" s="1"/>
  <c r="M64"/>
  <c r="N64" s="1"/>
  <c r="K64" s="1"/>
  <c r="M62"/>
  <c r="N62" s="1"/>
  <c r="K62" s="1"/>
  <c r="M60"/>
  <c r="N60" s="1"/>
  <c r="K60" s="1"/>
  <c r="M58"/>
  <c r="N58" s="1"/>
  <c r="K58" s="1"/>
  <c r="C4" i="3"/>
  <c r="D66" i="1"/>
  <c r="D67" s="1"/>
  <c r="D64"/>
  <c r="D65" s="1"/>
  <c r="D62"/>
  <c r="D63" s="1"/>
  <c r="D60"/>
  <c r="E61" s="1"/>
  <c r="D58"/>
  <c r="D59" s="1"/>
  <c r="D36"/>
  <c r="D37" s="1"/>
  <c r="D34"/>
  <c r="D35" s="1"/>
  <c r="D32"/>
  <c r="D33" s="1"/>
  <c r="D30"/>
  <c r="E31" s="1"/>
  <c r="D28"/>
  <c r="D29" s="1"/>
  <c r="D9" i="4"/>
  <c r="C12" i="2"/>
  <c r="C11"/>
  <c r="E63" i="1" l="1"/>
  <c r="D61"/>
  <c r="E65"/>
  <c r="E59"/>
  <c r="E67"/>
  <c r="E33"/>
  <c r="D31"/>
  <c r="E35"/>
  <c r="E29"/>
  <c r="E37"/>
  <c r="E10" i="2"/>
  <c r="E9"/>
  <c r="C6"/>
  <c r="C10"/>
  <c r="C9"/>
  <c r="C5"/>
  <c r="C4"/>
  <c r="C3"/>
  <c r="M54" i="1"/>
  <c r="N54" s="1"/>
  <c r="K54" s="1"/>
  <c r="D54"/>
  <c r="E55" s="1"/>
  <c r="M52"/>
  <c r="N52" s="1"/>
  <c r="K52" s="1"/>
  <c r="D52"/>
  <c r="D53" s="1"/>
  <c r="M50"/>
  <c r="N50" s="1"/>
  <c r="K50" s="1"/>
  <c r="D50"/>
  <c r="D51" s="1"/>
  <c r="M48"/>
  <c r="N48" s="1"/>
  <c r="K48" s="1"/>
  <c r="D48"/>
  <c r="D49" s="1"/>
  <c r="M46"/>
  <c r="N46" s="1"/>
  <c r="K46" s="1"/>
  <c r="D46"/>
  <c r="E47" s="1"/>
  <c r="M44"/>
  <c r="N44" s="1"/>
  <c r="K44" s="1"/>
  <c r="D44"/>
  <c r="E45" s="1"/>
  <c r="M42"/>
  <c r="N42" s="1"/>
  <c r="K42" s="1"/>
  <c r="D42"/>
  <c r="D43" s="1"/>
  <c r="M40"/>
  <c r="N40" s="1"/>
  <c r="K40" s="1"/>
  <c r="D40"/>
  <c r="D41" s="1"/>
  <c r="M22"/>
  <c r="N22" s="1"/>
  <c r="K22" s="1"/>
  <c r="D22"/>
  <c r="E23" s="1"/>
  <c r="M20"/>
  <c r="N20" s="1"/>
  <c r="K20" s="1"/>
  <c r="D20"/>
  <c r="D21" s="1"/>
  <c r="M18"/>
  <c r="N18" s="1"/>
  <c r="K18" s="1"/>
  <c r="D18"/>
  <c r="E19" s="1"/>
  <c r="M16"/>
  <c r="N16" s="1"/>
  <c r="K16" s="1"/>
  <c r="D16"/>
  <c r="D17" s="1"/>
  <c r="M14"/>
  <c r="N14" s="1"/>
  <c r="K14" s="1"/>
  <c r="D14"/>
  <c r="E15" s="1"/>
  <c r="M12"/>
  <c r="N12" s="1"/>
  <c r="D12"/>
  <c r="D13" s="1"/>
  <c r="M10"/>
  <c r="N10" s="1"/>
  <c r="K10" s="1"/>
  <c r="D10"/>
  <c r="D11" s="1"/>
  <c r="M8"/>
  <c r="N8" s="1"/>
  <c r="K8" s="1"/>
  <c r="D8"/>
  <c r="D9" s="1"/>
  <c r="E11" l="1"/>
  <c r="E43"/>
  <c r="E13"/>
  <c r="D45"/>
  <c r="E9"/>
  <c r="D47"/>
  <c r="E21"/>
  <c r="D19"/>
  <c r="D55"/>
  <c r="E51"/>
  <c r="D23"/>
  <c r="D15"/>
  <c r="E17"/>
  <c r="E53"/>
  <c r="E41"/>
  <c r="E49"/>
</calcChain>
</file>

<file path=xl/sharedStrings.xml><?xml version="1.0" encoding="utf-8"?>
<sst xmlns="http://schemas.openxmlformats.org/spreadsheetml/2006/main" count="262" uniqueCount="126">
  <si>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</si>
  <si>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</si>
  <si>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</si>
  <si>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</si>
  <si>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</si>
  <si>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</si>
  <si>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</si>
  <si>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</si>
  <si>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</si>
  <si>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</si>
  <si>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</si>
  <si>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</si>
  <si>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</si>
  <si>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</si>
  <si>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</si>
  <si>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</si>
  <si>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</si>
  <si>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</si>
  <si>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</si>
  <si>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</si>
  <si>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</si>
  <si>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</si>
  <si>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</si>
  <si>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</si>
  <si>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</si>
  <si>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</si>
  <si>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Calculating Tilt</t>
  </si>
  <si>
    <t>Position</t>
  </si>
  <si>
    <t xml:space="preserve"># of </t>
  </si>
  <si>
    <t>Perpendicular angle</t>
  </si>
  <si>
    <t>Tilt angle</t>
  </si>
  <si>
    <t>Cutters</t>
  </si>
  <si>
    <t>RPM</t>
  </si>
  <si>
    <t>ROP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</si>
  <si>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</si>
  <si>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</si>
  <si>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</si>
  <si>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</si>
  <si>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</si>
  <si>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</si>
  <si>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</si>
  <si>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</si>
  <si>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</si>
  <si>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</si>
  <si>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</si>
  <si>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</si>
  <si>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</si>
  <si>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</si>
  <si>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</si>
  <si>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</si>
  <si>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</si>
  <si>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</si>
  <si>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</si>
  <si>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</si>
  <si>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</si>
  <si>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</si>
  <si>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</si>
  <si>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</si>
  <si>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</si>
  <si>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</si>
  <si>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</si>
  <si>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</si>
  <si>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</si>
  <si>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</si>
  <si>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</si>
  <si>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</si>
  <si>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</si>
  <si>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1111 .6875Cb</t>
  </si>
  <si>
    <t>1.126-1.132</t>
  </si>
  <si>
    <t>1.132-1.138</t>
  </si>
  <si>
    <t>1.138-1.144</t>
  </si>
  <si>
    <t>1.144-2.113</t>
  </si>
  <si>
    <t>2.137-2.143</t>
  </si>
  <si>
    <t>3.130-3.136</t>
  </si>
  <si>
    <t>3.136-3.142</t>
  </si>
  <si>
    <t>3.142-4.117</t>
  </si>
  <si>
    <t>4.117-4.123</t>
  </si>
  <si>
    <t>4.123-4.129</t>
  </si>
  <si>
    <t>4.129-4.135</t>
  </si>
  <si>
    <t>4.135-4.141</t>
  </si>
  <si>
    <t>4.141-5.102</t>
  </si>
  <si>
    <t>-.0236 in.</t>
  </si>
  <si>
    <t>-.0151 in.</t>
  </si>
  <si>
    <t>.0283 in.</t>
  </si>
  <si>
    <t>-.0200 in.</t>
  </si>
  <si>
    <t>.0245 in.</t>
  </si>
  <si>
    <t>4.6172 in.</t>
  </si>
  <si>
    <t>.5837 in.</t>
  </si>
  <si>
    <t>.1433 in.</t>
  </si>
  <si>
    <t>.0808 in.</t>
  </si>
  <si>
    <t>.0851 in.</t>
  </si>
  <si>
    <t>.0268 in.</t>
  </si>
  <si>
    <t>3.7775 in.</t>
  </si>
  <si>
    <t>.0674 in.</t>
  </si>
  <si>
    <t>.0780 in.</t>
  </si>
  <si>
    <t>1.101-1.103</t>
  </si>
  <si>
    <t>1.103-1.105</t>
  </si>
  <si>
    <t>1.105-1.109</t>
  </si>
  <si>
    <t>1.109-1.113</t>
  </si>
  <si>
    <t>1.113-1.117</t>
  </si>
  <si>
    <t>1.117-1.126</t>
  </si>
  <si>
    <t>2.143-3.102</t>
  </si>
  <si>
    <t>3.102-3.104</t>
  </si>
  <si>
    <t>3.104-3.107</t>
  </si>
  <si>
    <t>3.107-3.111</t>
  </si>
  <si>
    <t>.0730 in.</t>
  </si>
  <si>
    <t>3.111-3.115</t>
  </si>
  <si>
    <t>3.115-3.119</t>
  </si>
  <si>
    <t>3.119-3.130</t>
  </si>
  <si>
    <t>.0800 in.</t>
  </si>
  <si>
    <t>.7557 in.</t>
  </si>
  <si>
    <t>2.113-2.108</t>
  </si>
  <si>
    <t>.0797 in.</t>
  </si>
  <si>
    <t>2.108-2.112</t>
  </si>
  <si>
    <t>2.112-2.116</t>
  </si>
  <si>
    <t>2.116-2.137</t>
  </si>
  <si>
    <t>.0773 in.</t>
  </si>
  <si>
    <t>.5949 in.</t>
  </si>
  <si>
    <t>.4174 in.</t>
  </si>
  <si>
    <t>.0759 in.</t>
  </si>
  <si>
    <t>.0638 in.</t>
  </si>
  <si>
    <t>.0789 in.</t>
  </si>
  <si>
    <t>.0978 in.</t>
  </si>
  <si>
    <t>.0772 in.</t>
  </si>
  <si>
    <t>3.9192 in.</t>
  </si>
  <si>
    <t>.0716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</si>
</sst>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ill="0" applyBorder="0" applyProtection="0">
      <alignment horizontal="right"/>
    </xf>
    <xf numFmtId="8" fontId="4" fillId="0" borderId="0" applyFill="0" applyBorder="0" applyProtection="0">
      <alignment horizontal="right"/>
    </xf>
    <xf numFmtId="168" fontId="4" fillId="0" borderId="0" applyFill="0" applyBorder="0" applyProtection="0">
      <alignment horizontal="left"/>
    </xf>
    <xf numFmtId="0" fontId="4" fillId="0" borderId="0" applyNumberFormat="0" applyFill="0" applyBorder="0" applyAlignment="0" applyProtection="0"/>
    <xf numFmtId="49" fontId="4" fillId="0" borderId="0" applyFill="0" applyBorder="0" applyProtection="0">
      <alignment horizontal="left"/>
    </xf>
    <xf numFmtId="0" fontId="1" fillId="0" borderId="0"/>
    <xf numFmtId="0" fontId="1" fillId="0" borderId="0"/>
    <xf numFmtId="9" fontId="9" fillId="0" borderId="0" applyFont="0" applyFill="0" applyBorder="0" applyAlignment="0" applyProtection="0"/>
  </cellStyleXfs>
  <cellXfs count="48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3" fillId="0" borderId="3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3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3" fillId="0" borderId="5" xfId="0" applyNumberFormat="1" applyFont="1" applyBorder="1" applyAlignment="1">
      <alignment horizontal="center"/>
    </xf>
    <xf numFmtId="165" fontId="3" fillId="2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6" fontId="3" fillId="2" borderId="6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65" fontId="5" fillId="4" borderId="6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5" fillId="5" borderId="13" xfId="0" applyNumberFormat="1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165" fontId="3" fillId="5" borderId="15" xfId="0" applyNumberFormat="1" applyFont="1" applyFill="1" applyBorder="1" applyAlignment="1">
      <alignment horizontal="center" vertical="center"/>
    </xf>
    <xf numFmtId="165" fontId="3" fillId="5" borderId="16" xfId="0" applyNumberFormat="1" applyFont="1" applyFill="1" applyBorder="1" applyAlignment="1">
      <alignment horizontal="center" vertical="center"/>
    </xf>
    <xf numFmtId="165" fontId="3" fillId="5" borderId="14" xfId="0" applyNumberFormat="1" applyFont="1" applyFill="1" applyBorder="1" applyAlignment="1">
      <alignment horizontal="center" vertical="center"/>
    </xf>
    <xf numFmtId="166" fontId="3" fillId="5" borderId="13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5" fillId="5" borderId="14" xfId="0" applyNumberFormat="1" applyFont="1" applyFill="1" applyBorder="1" applyAlignment="1">
      <alignment horizontal="center" vertical="center"/>
    </xf>
    <xf numFmtId="164" fontId="5" fillId="5" borderId="16" xfId="0" applyNumberFormat="1" applyFont="1" applyFill="1" applyBorder="1" applyAlignment="1">
      <alignment horizontal="center" vertical="center"/>
    </xf>
    <xf numFmtId="166" fontId="5" fillId="5" borderId="16" xfId="0" applyNumberFormat="1" applyFon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165" fontId="5" fillId="5" borderId="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165" fontId="3" fillId="5" borderId="8" xfId="0" applyNumberFormat="1" applyFont="1" applyFill="1" applyBorder="1" applyAlignment="1">
      <alignment horizontal="center" vertical="center"/>
    </xf>
    <xf numFmtId="165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center" vertical="center"/>
    </xf>
    <xf numFmtId="166" fontId="3" fillId="5" borderId="6" xfId="0" applyNumberFormat="1" applyFont="1" applyFill="1" applyBorder="1" applyAlignment="1">
      <alignment horizontal="center" vertical="center"/>
    </xf>
    <xf numFmtId="166" fontId="3" fillId="5" borderId="3" xfId="0" applyNumberFormat="1" applyFont="1" applyFill="1" applyBorder="1" applyAlignment="1">
      <alignment horizontal="center" vertical="center"/>
    </xf>
    <xf numFmtId="166" fontId="3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5" fontId="3" fillId="0" borderId="8" xfId="0" applyNumberFormat="1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>
      <alignment horizontal="center" vertical="center"/>
    </xf>
    <xf numFmtId="166" fontId="3" fillId="0" borderId="6" xfId="0" applyNumberFormat="1" applyFont="1" applyFill="1" applyBorder="1" applyAlignment="1">
      <alignment horizontal="center" vertical="center"/>
    </xf>
    <xf numFmtId="166" fontId="3" fillId="0" borderId="3" xfId="0" applyNumberFormat="1" applyFont="1" applyFill="1" applyBorder="1" applyAlignment="1">
      <alignment horizontal="center" vertical="center"/>
    </xf>
    <xf numFmtId="166" fontId="5" fillId="0" borderId="5" xfId="0" applyNumberFormat="1" applyFont="1" applyFill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5" fillId="5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6" fontId="5" fillId="5" borderId="3" xfId="0" applyNumberFormat="1" applyFont="1" applyFill="1" applyBorder="1" applyAlignment="1">
      <alignment horizontal="center" vertical="center"/>
    </xf>
    <xf numFmtId="165" fontId="5" fillId="6" borderId="17" xfId="0" applyNumberFormat="1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165" fontId="3" fillId="6" borderId="19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18" xfId="0" applyNumberFormat="1" applyFont="1" applyFill="1" applyBorder="1" applyAlignment="1">
      <alignment horizontal="center" vertical="center"/>
    </xf>
    <xf numFmtId="166" fontId="3" fillId="6" borderId="17" xfId="0" applyNumberFormat="1" applyFont="1" applyFill="1" applyBorder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166" fontId="5" fillId="6" borderId="18" xfId="0" applyNumberFormat="1" applyFont="1" applyFill="1" applyBorder="1" applyAlignment="1">
      <alignment horizontal="center" vertical="center"/>
    </xf>
    <xf numFmtId="164" fontId="5" fillId="6" borderId="2" xfId="0" applyNumberFormat="1" applyFont="1" applyFill="1" applyBorder="1" applyAlignment="1">
      <alignment horizontal="center" vertical="center"/>
    </xf>
    <xf numFmtId="166" fontId="5" fillId="6" borderId="2" xfId="0" applyNumberFormat="1" applyFont="1" applyFill="1" applyBorder="1" applyAlignment="1">
      <alignment horizontal="center" vertical="center"/>
    </xf>
    <xf numFmtId="165" fontId="5" fillId="6" borderId="6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165" fontId="3" fillId="6" borderId="8" xfId="0" applyNumberFormat="1" applyFont="1" applyFill="1" applyBorder="1" applyAlignment="1">
      <alignment horizontal="center" vertical="center"/>
    </xf>
    <xf numFmtId="165" fontId="3" fillId="6" borderId="3" xfId="0" applyNumberFormat="1" applyFont="1" applyFill="1" applyBorder="1" applyAlignment="1">
      <alignment horizontal="center" vertical="center"/>
    </xf>
    <xf numFmtId="165" fontId="3" fillId="6" borderId="5" xfId="0" applyNumberFormat="1" applyFont="1" applyFill="1" applyBorder="1" applyAlignment="1">
      <alignment horizontal="center" vertical="center"/>
    </xf>
    <xf numFmtId="166" fontId="3" fillId="6" borderId="6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166" fontId="3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4" fontId="5" fillId="0" borderId="3" xfId="0" applyNumberFormat="1" applyFont="1" applyFill="1" applyBorder="1" applyAlignment="1">
      <alignment horizontal="center" vertical="center"/>
    </xf>
    <xf numFmtId="166" fontId="5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6" fontId="0" fillId="0" borderId="3" xfId="0" applyNumberFormat="1" applyFill="1" applyBorder="1" applyAlignment="1">
      <alignment horizontal="center" vertical="center"/>
    </xf>
    <xf numFmtId="165" fontId="3" fillId="4" borderId="8" xfId="0" applyNumberFormat="1" applyFont="1" applyFill="1" applyBorder="1" applyAlignment="1">
      <alignment horizontal="center" vertical="center"/>
    </xf>
    <xf numFmtId="165" fontId="3" fillId="4" borderId="3" xfId="0" applyNumberFormat="1" applyFont="1" applyFill="1" applyBorder="1" applyAlignment="1">
      <alignment horizontal="center" vertical="center"/>
    </xf>
    <xf numFmtId="165" fontId="3" fillId="4" borderId="5" xfId="0" applyNumberFormat="1" applyFont="1" applyFill="1" applyBorder="1" applyAlignment="1">
      <alignment horizontal="center" vertical="center"/>
    </xf>
    <xf numFmtId="166" fontId="3" fillId="4" borderId="6" xfId="0" applyNumberFormat="1" applyFont="1" applyFill="1" applyBorder="1" applyAlignment="1">
      <alignment horizontal="center" vertical="center"/>
    </xf>
    <xf numFmtId="166" fontId="3" fillId="4" borderId="3" xfId="0" applyNumberFormat="1" applyFont="1" applyFill="1" applyBorder="1" applyAlignment="1">
      <alignment horizontal="center" vertical="center"/>
    </xf>
    <xf numFmtId="166" fontId="3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6" fontId="5" fillId="4" borderId="3" xfId="0" applyNumberFormat="1" applyFont="1" applyFill="1" applyBorder="1" applyAlignment="1">
      <alignment horizontal="center" vertical="center"/>
    </xf>
    <xf numFmtId="165" fontId="5" fillId="7" borderId="17" xfId="0" applyNumberFormat="1" applyFont="1" applyFill="1" applyBorder="1" applyAlignment="1">
      <alignment horizontal="center" vertical="center"/>
    </xf>
    <xf numFmtId="0" fontId="5" fillId="7" borderId="18" xfId="0" applyFont="1" applyFill="1" applyBorder="1" applyAlignment="1">
      <alignment horizontal="center" vertical="center"/>
    </xf>
    <xf numFmtId="165" fontId="3" fillId="7" borderId="19" xfId="0" applyNumberFormat="1" applyFont="1" applyFill="1" applyBorder="1" applyAlignment="1">
      <alignment horizontal="center" vertical="center"/>
    </xf>
    <xf numFmtId="165" fontId="3" fillId="7" borderId="2" xfId="0" applyNumberFormat="1" applyFont="1" applyFill="1" applyBorder="1" applyAlignment="1">
      <alignment horizontal="center" vertical="center"/>
    </xf>
    <xf numFmtId="165" fontId="3" fillId="7" borderId="18" xfId="0" applyNumberFormat="1" applyFont="1" applyFill="1" applyBorder="1" applyAlignment="1">
      <alignment horizontal="center" vertical="center"/>
    </xf>
    <xf numFmtId="166" fontId="3" fillId="7" borderId="17" xfId="0" applyNumberFormat="1" applyFont="1" applyFill="1" applyBorder="1" applyAlignment="1">
      <alignment horizontal="center" vertical="center"/>
    </xf>
    <xf numFmtId="166" fontId="3" fillId="7" borderId="2" xfId="0" applyNumberFormat="1" applyFont="1" applyFill="1" applyBorder="1" applyAlignment="1">
      <alignment horizontal="center" vertical="center"/>
    </xf>
    <xf numFmtId="166" fontId="5" fillId="7" borderId="18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166" fontId="5" fillId="7" borderId="2" xfId="0" applyNumberFormat="1" applyFont="1" applyFill="1" applyBorder="1" applyAlignment="1">
      <alignment horizontal="center" vertical="center"/>
    </xf>
    <xf numFmtId="165" fontId="5" fillId="7" borderId="6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165" fontId="3" fillId="7" borderId="8" xfId="0" applyNumberFormat="1" applyFont="1" applyFill="1" applyBorder="1" applyAlignment="1">
      <alignment horizontal="center" vertical="center"/>
    </xf>
    <xf numFmtId="165" fontId="3" fillId="7" borderId="3" xfId="0" applyNumberFormat="1" applyFont="1" applyFill="1" applyBorder="1" applyAlignment="1">
      <alignment horizontal="center" vertical="center"/>
    </xf>
    <xf numFmtId="165" fontId="3" fillId="7" borderId="5" xfId="0" applyNumberFormat="1" applyFont="1" applyFill="1" applyBorder="1" applyAlignment="1">
      <alignment horizontal="center" vertical="center"/>
    </xf>
    <xf numFmtId="166" fontId="3" fillId="7" borderId="6" xfId="0" applyNumberFormat="1" applyFont="1" applyFill="1" applyBorder="1" applyAlignment="1">
      <alignment horizontal="center" vertical="center"/>
    </xf>
    <xf numFmtId="166" fontId="3" fillId="7" borderId="3" xfId="0" applyNumberFormat="1" applyFont="1" applyFill="1" applyBorder="1" applyAlignment="1">
      <alignment horizontal="center" vertical="center"/>
    </xf>
    <xf numFmtId="166" fontId="3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65" fontId="5" fillId="8" borderId="6" xfId="0" applyNumberFormat="1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165" fontId="3" fillId="8" borderId="8" xfId="0" applyNumberFormat="1" applyFont="1" applyFill="1" applyBorder="1" applyAlignment="1">
      <alignment horizontal="center" vertical="center"/>
    </xf>
    <xf numFmtId="165" fontId="3" fillId="8" borderId="3" xfId="0" applyNumberFormat="1" applyFont="1" applyFill="1" applyBorder="1" applyAlignment="1">
      <alignment horizontal="center" vertical="center"/>
    </xf>
    <xf numFmtId="165" fontId="3" fillId="8" borderId="5" xfId="0" applyNumberFormat="1" applyFont="1" applyFill="1" applyBorder="1" applyAlignment="1">
      <alignment horizontal="center" vertical="center"/>
    </xf>
    <xf numFmtId="166" fontId="3" fillId="8" borderId="6" xfId="0" applyNumberFormat="1" applyFont="1" applyFill="1" applyBorder="1" applyAlignment="1">
      <alignment horizontal="center" vertical="center"/>
    </xf>
    <xf numFmtId="166" fontId="3" fillId="8" borderId="3" xfId="0" applyNumberFormat="1" applyFont="1" applyFill="1" applyBorder="1" applyAlignment="1">
      <alignment horizontal="center" vertical="center"/>
    </xf>
    <xf numFmtId="166" fontId="3" fillId="8" borderId="5" xfId="0" applyNumberFormat="1" applyFont="1" applyFill="1" applyBorder="1" applyAlignment="1">
      <alignment horizontal="center" vertical="center"/>
    </xf>
    <xf numFmtId="164" fontId="0" fillId="8" borderId="3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5" fillId="8" borderId="5" xfId="0" applyNumberFormat="1" applyFont="1" applyFill="1" applyBorder="1" applyAlignment="1">
      <alignment horizontal="center" vertical="center"/>
    </xf>
    <xf numFmtId="164" fontId="5" fillId="8" borderId="3" xfId="0" applyNumberFormat="1" applyFont="1" applyFill="1" applyBorder="1" applyAlignment="1">
      <alignment horizontal="center" vertical="center"/>
    </xf>
    <xf numFmtId="166" fontId="5" fillId="8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Fill="1" applyBorder="1"/>
    <xf numFmtId="0" fontId="3" fillId="0" borderId="0" xfId="2" applyFill="1" applyBorder="1"/>
    <xf numFmtId="0" fontId="6" fillId="0" borderId="0" xfId="2" applyFont="1" applyFill="1" applyBorder="1" applyAlignment="1">
      <alignment vertical="center"/>
    </xf>
    <xf numFmtId="0" fontId="3" fillId="0" borderId="0" xfId="2" applyFill="1" applyBorder="1" applyAlignment="1"/>
    <xf numFmtId="0" fontId="3" fillId="0" borderId="0" xfId="2" applyFont="1" applyFill="1" applyBorder="1" applyAlignment="1"/>
    <xf numFmtId="0" fontId="3" fillId="0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3" fillId="0" borderId="0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/>
    </xf>
    <xf numFmtId="165" fontId="3" fillId="0" borderId="0" xfId="2" applyNumberFormat="1" applyFill="1" applyBorder="1" applyAlignment="1">
      <alignment horizontal="center" vertical="center"/>
    </xf>
    <xf numFmtId="165" fontId="3" fillId="0" borderId="0" xfId="2" applyNumberForma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0" xfId="2" applyFill="1" applyBorder="1" applyAlignment="1">
      <alignment vertical="center"/>
    </xf>
    <xf numFmtId="0" fontId="3" fillId="0" borderId="3" xfId="0" applyFont="1" applyBorder="1"/>
    <xf numFmtId="0" fontId="0" fillId="0" borderId="3" xfId="0" applyBorder="1"/>
    <xf numFmtId="0" fontId="0" fillId="0" borderId="23" xfId="0" applyBorder="1"/>
    <xf numFmtId="0" fontId="0" fillId="0" borderId="24" xfId="0" applyBorder="1"/>
    <xf numFmtId="0" fontId="3" fillId="0" borderId="23" xfId="0" applyFont="1" applyBorder="1"/>
    <xf numFmtId="0" fontId="0" fillId="0" borderId="25" xfId="0" applyBorder="1"/>
    <xf numFmtId="0" fontId="0" fillId="0" borderId="22" xfId="0" applyBorder="1"/>
    <xf numFmtId="0" fontId="0" fillId="0" borderId="26" xfId="0" applyBorder="1"/>
    <xf numFmtId="0" fontId="0" fillId="0" borderId="27" xfId="0" applyBorder="1"/>
    <xf numFmtId="0" fontId="0" fillId="0" borderId="2" xfId="0" applyBorder="1"/>
    <xf numFmtId="0" fontId="0" fillId="0" borderId="28" xfId="0" applyBorder="1"/>
    <xf numFmtId="0" fontId="3" fillId="9" borderId="29" xfId="0" applyFont="1" applyFill="1" applyBorder="1"/>
    <xf numFmtId="0" fontId="3" fillId="9" borderId="30" xfId="0" applyFont="1" applyFill="1" applyBorder="1"/>
    <xf numFmtId="0" fontId="3" fillId="9" borderId="31" xfId="0" applyFont="1" applyFill="1" applyBorder="1"/>
    <xf numFmtId="0" fontId="7" fillId="0" borderId="0" xfId="0" applyFont="1" applyAlignment="1"/>
    <xf numFmtId="0" fontId="0" fillId="0" borderId="0" xfId="0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9" fontId="8" fillId="0" borderId="39" xfId="0" applyNumberFormat="1" applyFont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2" fontId="0" fillId="10" borderId="40" xfId="0" applyNumberFormat="1" applyFill="1" applyBorder="1" applyAlignment="1">
      <alignment horizontal="center"/>
    </xf>
    <xf numFmtId="169" fontId="8" fillId="10" borderId="39" xfId="0" applyNumberFormat="1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2" fontId="0" fillId="0" borderId="43" xfId="0" applyNumberFormat="1" applyBorder="1" applyAlignment="1">
      <alignment horizontal="center"/>
    </xf>
    <xf numFmtId="169" fontId="8" fillId="0" borderId="42" xfId="0" applyNumberFormat="1" applyFont="1" applyBorder="1" applyAlignment="1">
      <alignment horizont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65" fontId="5" fillId="0" borderId="48" xfId="0" applyNumberFormat="1" applyFont="1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165" fontId="3" fillId="0" borderId="49" xfId="0" applyNumberFormat="1" applyFont="1" applyFill="1" applyBorder="1" applyAlignment="1">
      <alignment horizontal="center" vertical="center"/>
    </xf>
    <xf numFmtId="165" fontId="3" fillId="0" borderId="50" xfId="0" applyNumberFormat="1" applyFont="1" applyFill="1" applyBorder="1" applyAlignment="1">
      <alignment horizontal="center" vertical="center"/>
    </xf>
    <xf numFmtId="165" fontId="3" fillId="0" borderId="47" xfId="0" applyNumberFormat="1" applyFont="1" applyFill="1" applyBorder="1" applyAlignment="1">
      <alignment horizontal="center" vertical="center"/>
    </xf>
    <xf numFmtId="166" fontId="3" fillId="0" borderId="48" xfId="0" applyNumberFormat="1" applyFont="1" applyFill="1" applyBorder="1" applyAlignment="1">
      <alignment horizontal="center" vertical="center"/>
    </xf>
    <xf numFmtId="166" fontId="3" fillId="0" borderId="50" xfId="0" applyNumberFormat="1" applyFont="1" applyFill="1" applyBorder="1" applyAlignment="1">
      <alignment horizontal="center" vertical="center"/>
    </xf>
    <xf numFmtId="166" fontId="5" fillId="0" borderId="47" xfId="0" applyNumberFormat="1" applyFont="1" applyFill="1" applyBorder="1" applyAlignment="1">
      <alignment horizontal="center" vertical="center"/>
    </xf>
    <xf numFmtId="164" fontId="5" fillId="0" borderId="50" xfId="0" applyNumberFormat="1" applyFont="1" applyFill="1" applyBorder="1" applyAlignment="1">
      <alignment horizontal="center" vertical="center"/>
    </xf>
    <xf numFmtId="166" fontId="5" fillId="0" borderId="50" xfId="0" applyNumberFormat="1" applyFont="1" applyFill="1" applyBorder="1" applyAlignment="1">
      <alignment horizontal="center" vertical="center"/>
    </xf>
    <xf numFmtId="164" fontId="0" fillId="0" borderId="51" xfId="0" applyNumberFormat="1" applyFill="1" applyBorder="1" applyAlignment="1">
      <alignment horizontal="center" vertical="center"/>
    </xf>
    <xf numFmtId="164" fontId="0" fillId="0" borderId="24" xfId="0" applyNumberFormat="1" applyFill="1" applyBorder="1" applyAlignment="1">
      <alignment horizontal="center" vertical="center"/>
    </xf>
    <xf numFmtId="164" fontId="0" fillId="6" borderId="28" xfId="0" applyNumberFormat="1" applyFill="1" applyBorder="1" applyAlignment="1">
      <alignment horizontal="center" vertical="center"/>
    </xf>
    <xf numFmtId="164" fontId="0" fillId="6" borderId="24" xfId="0" applyNumberFormat="1" applyFill="1" applyBorder="1" applyAlignment="1">
      <alignment horizontal="center" vertical="center"/>
    </xf>
    <xf numFmtId="165" fontId="5" fillId="4" borderId="48" xfId="0" applyNumberFormat="1" applyFont="1" applyFill="1" applyBorder="1" applyAlignment="1">
      <alignment horizontal="center" vertical="center"/>
    </xf>
    <xf numFmtId="0" fontId="5" fillId="4" borderId="47" xfId="0" applyFont="1" applyFill="1" applyBorder="1" applyAlignment="1">
      <alignment horizontal="center" vertical="center"/>
    </xf>
    <xf numFmtId="165" fontId="3" fillId="4" borderId="49" xfId="0" applyNumberFormat="1" applyFont="1" applyFill="1" applyBorder="1" applyAlignment="1">
      <alignment horizontal="center" vertical="center"/>
    </xf>
    <xf numFmtId="165" fontId="3" fillId="4" borderId="50" xfId="0" applyNumberFormat="1" applyFont="1" applyFill="1" applyBorder="1" applyAlignment="1">
      <alignment horizontal="center" vertical="center"/>
    </xf>
    <xf numFmtId="165" fontId="3" fillId="4" borderId="47" xfId="0" applyNumberFormat="1" applyFont="1" applyFill="1" applyBorder="1" applyAlignment="1">
      <alignment horizontal="center" vertical="center"/>
    </xf>
    <xf numFmtId="166" fontId="3" fillId="4" borderId="48" xfId="0" applyNumberFormat="1" applyFont="1" applyFill="1" applyBorder="1" applyAlignment="1">
      <alignment horizontal="center" vertical="center"/>
    </xf>
    <xf numFmtId="166" fontId="3" fillId="4" borderId="50" xfId="0" applyNumberFormat="1" applyFont="1" applyFill="1" applyBorder="1" applyAlignment="1">
      <alignment horizontal="center" vertical="center"/>
    </xf>
    <xf numFmtId="166" fontId="5" fillId="4" borderId="47" xfId="0" applyNumberFormat="1" applyFont="1" applyFill="1" applyBorder="1" applyAlignment="1">
      <alignment horizontal="center" vertical="center"/>
    </xf>
    <xf numFmtId="164" fontId="5" fillId="4" borderId="50" xfId="0" applyNumberFormat="1" applyFont="1" applyFill="1" applyBorder="1" applyAlignment="1">
      <alignment horizontal="center" vertical="center"/>
    </xf>
    <xf numFmtId="166" fontId="5" fillId="4" borderId="50" xfId="0" applyNumberFormat="1" applyFont="1" applyFill="1" applyBorder="1" applyAlignment="1">
      <alignment horizontal="center" vertical="center"/>
    </xf>
    <xf numFmtId="164" fontId="0" fillId="4" borderId="51" xfId="0" applyNumberFormat="1" applyFill="1" applyBorder="1" applyAlignment="1">
      <alignment horizontal="center" vertical="center"/>
    </xf>
    <xf numFmtId="164" fontId="0" fillId="4" borderId="24" xfId="0" applyNumberFormat="1" applyFill="1" applyBorder="1" applyAlignment="1">
      <alignment horizontal="center" vertical="center"/>
    </xf>
    <xf numFmtId="164" fontId="5" fillId="0" borderId="50" xfId="0" applyNumberFormat="1" applyFont="1" applyBorder="1" applyAlignment="1">
      <alignment horizontal="center" vertical="center"/>
    </xf>
    <xf numFmtId="166" fontId="5" fillId="0" borderId="50" xfId="0" applyNumberFormat="1" applyFont="1" applyBorder="1" applyAlignment="1">
      <alignment horizontal="center" vertical="center"/>
    </xf>
    <xf numFmtId="164" fontId="0" fillId="0" borderId="51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7" borderId="28" xfId="0" applyNumberFormat="1" applyFill="1" applyBorder="1" applyAlignment="1">
      <alignment horizontal="center" vertical="center"/>
    </xf>
    <xf numFmtId="164" fontId="0" fillId="7" borderId="24" xfId="0" applyNumberFormat="1" applyFill="1" applyBorder="1" applyAlignment="1">
      <alignment horizontal="center" vertical="center"/>
    </xf>
    <xf numFmtId="164" fontId="0" fillId="0" borderId="0" xfId="0" applyNumberFormat="1"/>
    <xf numFmtId="165" fontId="5" fillId="0" borderId="9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5" fontId="3" fillId="0" borderId="11" xfId="0" applyNumberFormat="1" applyFont="1" applyFill="1" applyBorder="1" applyAlignment="1">
      <alignment horizontal="center" vertical="center"/>
    </xf>
    <xf numFmtId="165" fontId="3" fillId="0" borderId="1" xfId="0" applyNumberFormat="1" applyFont="1" applyFill="1" applyBorder="1" applyAlignment="1">
      <alignment horizontal="center" vertical="center"/>
    </xf>
    <xf numFmtId="165" fontId="3" fillId="0" borderId="10" xfId="0" applyNumberFormat="1" applyFont="1" applyFill="1" applyBorder="1" applyAlignment="1">
      <alignment horizontal="center" vertical="center"/>
    </xf>
    <xf numFmtId="166" fontId="3" fillId="0" borderId="9" xfId="0" applyNumberFormat="1" applyFont="1" applyFill="1" applyBorder="1" applyAlignment="1">
      <alignment horizontal="center" vertical="center"/>
    </xf>
    <xf numFmtId="166" fontId="3" fillId="0" borderId="1" xfId="0" applyNumberFormat="1" applyFont="1" applyFill="1" applyBorder="1" applyAlignment="1">
      <alignment horizontal="center" vertical="center"/>
    </xf>
    <xf numFmtId="166" fontId="3" fillId="0" borderId="10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0" xfId="0" applyNumberFormat="1" applyFill="1"/>
    <xf numFmtId="0" fontId="1" fillId="0" borderId="0" xfId="9"/>
    <xf numFmtId="0" fontId="1" fillId="0" borderId="0" xfId="9" applyAlignment="1">
      <alignment horizontal="center" vertical="center"/>
    </xf>
    <xf numFmtId="0" fontId="1" fillId="0" borderId="0" xfId="9" applyBorder="1" applyAlignment="1">
      <alignment horizontal="center" vertical="center"/>
    </xf>
    <xf numFmtId="0" fontId="1" fillId="0" borderId="0" xfId="9" applyAlignment="1">
      <alignment horizontal="center" vertical="center" wrapText="1"/>
    </xf>
    <xf numFmtId="0" fontId="1" fillId="0" borderId="57" xfId="9" applyBorder="1" applyAlignment="1">
      <alignment horizontal="center" vertical="center" wrapText="1"/>
    </xf>
    <xf numFmtId="0" fontId="3" fillId="0" borderId="0" xfId="9" applyFont="1" applyAlignment="1">
      <alignment horizontal="center" vertical="center" wrapText="1"/>
    </xf>
    <xf numFmtId="165" fontId="1" fillId="0" borderId="0" xfId="9" applyNumberFormat="1" applyAlignment="1">
      <alignment horizontal="center" vertical="center"/>
    </xf>
    <xf numFmtId="0" fontId="3" fillId="0" borderId="0" xfId="9" applyFont="1" applyAlignment="1">
      <alignment horizontal="center" vertical="center"/>
    </xf>
    <xf numFmtId="0" fontId="3" fillId="0" borderId="57" xfId="9" applyFont="1" applyBorder="1" applyAlignment="1">
      <alignment horizontal="center" vertical="center"/>
    </xf>
    <xf numFmtId="0" fontId="1" fillId="0" borderId="0" xfId="9" applyAlignment="1">
      <alignment horizontal="left" vertical="center"/>
    </xf>
    <xf numFmtId="165" fontId="1" fillId="0" borderId="60" xfId="9" applyNumberFormat="1" applyBorder="1"/>
    <xf numFmtId="165" fontId="1" fillId="0" borderId="61" xfId="9" applyNumberFormat="1" applyBorder="1"/>
    <xf numFmtId="165" fontId="1" fillId="0" borderId="0" xfId="9" applyNumberFormat="1"/>
    <xf numFmtId="0" fontId="1" fillId="0" borderId="57" xfId="9" applyBorder="1" applyAlignment="1">
      <alignment horizontal="center" vertical="center"/>
    </xf>
    <xf numFmtId="0" fontId="1" fillId="3" borderId="0" xfId="9" applyFill="1"/>
    <xf numFmtId="0" fontId="1" fillId="3" borderId="0" xfId="9" applyFill="1" applyAlignment="1">
      <alignment horizontal="center" vertical="center"/>
    </xf>
    <xf numFmtId="0" fontId="1" fillId="0" borderId="0" xfId="10"/>
    <xf numFmtId="0" fontId="1" fillId="12" borderId="62" xfId="10" applyFill="1" applyBorder="1"/>
    <xf numFmtId="0" fontId="1" fillId="13" borderId="63" xfId="10" applyFill="1" applyBorder="1"/>
    <xf numFmtId="0" fontId="1" fillId="5" borderId="64" xfId="10" applyFill="1" applyBorder="1"/>
    <xf numFmtId="0" fontId="1" fillId="0" borderId="65" xfId="10" applyBorder="1"/>
    <xf numFmtId="0" fontId="1" fillId="0" borderId="23" xfId="10" applyBorder="1"/>
    <xf numFmtId="0" fontId="1" fillId="0" borderId="24" xfId="10" applyBorder="1"/>
    <xf numFmtId="0" fontId="1" fillId="12" borderId="58" xfId="10" applyFill="1" applyBorder="1"/>
    <xf numFmtId="0" fontId="1" fillId="13" borderId="66" xfId="10" applyFill="1" applyBorder="1"/>
    <xf numFmtId="0" fontId="1" fillId="5" borderId="67" xfId="10" applyFill="1" applyBorder="1"/>
    <xf numFmtId="0" fontId="1" fillId="14" borderId="23" xfId="10" applyFill="1" applyBorder="1"/>
    <xf numFmtId="0" fontId="1" fillId="14" borderId="24" xfId="10" applyFill="1" applyBorder="1"/>
    <xf numFmtId="0" fontId="1" fillId="0" borderId="68" xfId="10" applyBorder="1"/>
    <xf numFmtId="165" fontId="1" fillId="12" borderId="69" xfId="10" applyNumberFormat="1" applyFill="1" applyBorder="1"/>
    <xf numFmtId="165" fontId="1" fillId="13" borderId="70" xfId="10" applyNumberFormat="1" applyFill="1" applyBorder="1"/>
    <xf numFmtId="165" fontId="1" fillId="5" borderId="71" xfId="10" applyNumberFormat="1" applyFill="1" applyBorder="1"/>
    <xf numFmtId="165" fontId="1" fillId="0" borderId="23" xfId="10" applyNumberFormat="1" applyBorder="1"/>
    <xf numFmtId="165" fontId="1" fillId="0" borderId="24" xfId="10" applyNumberFormat="1" applyBorder="1"/>
    <xf numFmtId="0" fontId="1" fillId="11" borderId="72" xfId="10" applyFill="1" applyBorder="1"/>
    <xf numFmtId="165" fontId="1" fillId="11" borderId="73" xfId="10" applyNumberFormat="1" applyFill="1" applyBorder="1"/>
    <xf numFmtId="165" fontId="1" fillId="11" borderId="74" xfId="10" applyNumberFormat="1" applyFill="1" applyBorder="1"/>
    <xf numFmtId="165" fontId="1" fillId="11" borderId="75" xfId="10" applyNumberFormat="1" applyFill="1" applyBorder="1"/>
    <xf numFmtId="165" fontId="1" fillId="11" borderId="23" xfId="10" applyNumberFormat="1" applyFill="1" applyBorder="1"/>
    <xf numFmtId="165" fontId="1" fillId="11" borderId="24" xfId="10" applyNumberFormat="1" applyFill="1" applyBorder="1"/>
    <xf numFmtId="0" fontId="1" fillId="0" borderId="72" xfId="10" applyBorder="1"/>
    <xf numFmtId="165" fontId="1" fillId="12" borderId="73" xfId="10" applyNumberFormat="1" applyFill="1" applyBorder="1"/>
    <xf numFmtId="165" fontId="1" fillId="13" borderId="74" xfId="10" applyNumberFormat="1" applyFill="1" applyBorder="1"/>
    <xf numFmtId="165" fontId="1" fillId="5" borderId="75" xfId="10" applyNumberFormat="1" applyFill="1" applyBorder="1"/>
    <xf numFmtId="165" fontId="1" fillId="0" borderId="0" xfId="10" applyNumberFormat="1"/>
    <xf numFmtId="0" fontId="1" fillId="11" borderId="76" xfId="10" applyFill="1" applyBorder="1"/>
    <xf numFmtId="165" fontId="1" fillId="11" borderId="77" xfId="10" applyNumberFormat="1" applyFill="1" applyBorder="1"/>
    <xf numFmtId="165" fontId="1" fillId="11" borderId="78" xfId="10" applyNumberFormat="1" applyFill="1" applyBorder="1"/>
    <xf numFmtId="165" fontId="1" fillId="11" borderId="54" xfId="10" applyNumberFormat="1" applyFill="1" applyBorder="1"/>
    <xf numFmtId="165" fontId="1" fillId="11" borderId="25" xfId="10" applyNumberFormat="1" applyFill="1" applyBorder="1"/>
    <xf numFmtId="165" fontId="1" fillId="11" borderId="26" xfId="10" applyNumberFormat="1" applyFill="1" applyBorder="1"/>
    <xf numFmtId="164" fontId="0" fillId="0" borderId="5" xfId="0" applyNumberFormat="1" applyFill="1" applyBorder="1" applyAlignment="1">
      <alignment horizontal="center" vertical="center"/>
    </xf>
    <xf numFmtId="0" fontId="1" fillId="0" borderId="0" xfId="9" applyAlignment="1">
      <alignment horizontal="right" vertical="center"/>
    </xf>
    <xf numFmtId="0" fontId="3" fillId="0" borderId="0" xfId="9" applyFont="1" applyAlignment="1">
      <alignment horizontal="right" vertical="center"/>
    </xf>
    <xf numFmtId="164" fontId="1" fillId="0" borderId="0" xfId="9" applyNumberFormat="1" applyAlignment="1">
      <alignment horizontal="right"/>
    </xf>
    <xf numFmtId="165" fontId="5" fillId="6" borderId="13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65" fontId="3" fillId="6" borderId="15" xfId="0" applyNumberFormat="1" applyFont="1" applyFill="1" applyBorder="1" applyAlignment="1">
      <alignment horizontal="center" vertical="center"/>
    </xf>
    <xf numFmtId="165" fontId="3" fillId="6" borderId="16" xfId="0" applyNumberFormat="1" applyFont="1" applyFill="1" applyBorder="1" applyAlignment="1">
      <alignment horizontal="center" vertical="center"/>
    </xf>
    <xf numFmtId="165" fontId="3" fillId="6" borderId="14" xfId="0" applyNumberFormat="1" applyFont="1" applyFill="1" applyBorder="1" applyAlignment="1">
      <alignment horizontal="center" vertical="center"/>
    </xf>
    <xf numFmtId="166" fontId="3" fillId="6" borderId="13" xfId="0" applyNumberFormat="1" applyFont="1" applyFill="1" applyBorder="1" applyAlignment="1">
      <alignment horizontal="center" vertical="center"/>
    </xf>
    <xf numFmtId="166" fontId="3" fillId="6" borderId="16" xfId="0" applyNumberFormat="1" applyFont="1" applyFill="1" applyBorder="1" applyAlignment="1">
      <alignment horizontal="center" vertical="center"/>
    </xf>
    <xf numFmtId="166" fontId="5" fillId="6" borderId="14" xfId="0" applyNumberFormat="1" applyFont="1" applyFill="1" applyBorder="1" applyAlignment="1">
      <alignment horizontal="center" vertical="center"/>
    </xf>
    <xf numFmtId="164" fontId="5" fillId="6" borderId="16" xfId="0" applyNumberFormat="1" applyFont="1" applyFill="1" applyBorder="1" applyAlignment="1">
      <alignment horizontal="center" vertical="center"/>
    </xf>
    <xf numFmtId="166" fontId="5" fillId="6" borderId="16" xfId="0" applyNumberFormat="1" applyFon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65" fontId="5" fillId="4" borderId="13" xfId="0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5" fontId="3" fillId="4" borderId="15" xfId="0" applyNumberFormat="1" applyFont="1" applyFill="1" applyBorder="1" applyAlignment="1">
      <alignment horizontal="center" vertical="center"/>
    </xf>
    <xf numFmtId="165" fontId="3" fillId="4" borderId="16" xfId="0" applyNumberFormat="1" applyFont="1" applyFill="1" applyBorder="1" applyAlignment="1">
      <alignment horizontal="center" vertical="center"/>
    </xf>
    <xf numFmtId="165" fontId="3" fillId="4" borderId="14" xfId="0" applyNumberFormat="1" applyFont="1" applyFill="1" applyBorder="1" applyAlignment="1">
      <alignment horizontal="center" vertical="center"/>
    </xf>
    <xf numFmtId="166" fontId="3" fillId="4" borderId="13" xfId="0" applyNumberFormat="1" applyFont="1" applyFill="1" applyBorder="1" applyAlignment="1">
      <alignment horizontal="center" vertical="center"/>
    </xf>
    <xf numFmtId="166" fontId="3" fillId="4" borderId="16" xfId="0" applyNumberFormat="1" applyFont="1" applyFill="1" applyBorder="1" applyAlignment="1">
      <alignment horizontal="center" vertical="center"/>
    </xf>
    <xf numFmtId="166" fontId="5" fillId="4" borderId="14" xfId="0" applyNumberFormat="1" applyFont="1" applyFill="1" applyBorder="1" applyAlignment="1">
      <alignment horizontal="center" vertical="center"/>
    </xf>
    <xf numFmtId="164" fontId="5" fillId="4" borderId="16" xfId="0" applyNumberFormat="1" applyFont="1" applyFill="1" applyBorder="1" applyAlignment="1">
      <alignment horizontal="center" vertical="center"/>
    </xf>
    <xf numFmtId="166" fontId="5" fillId="4" borderId="16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5" fontId="5" fillId="4" borderId="17" xfId="0" applyNumberFormat="1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165" fontId="3" fillId="4" borderId="19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5" fontId="3" fillId="4" borderId="18" xfId="0" applyNumberFormat="1" applyFont="1" applyFill="1" applyBorder="1" applyAlignment="1">
      <alignment horizontal="center" vertical="center"/>
    </xf>
    <xf numFmtId="166" fontId="3" fillId="4" borderId="17" xfId="0" applyNumberFormat="1" applyFont="1" applyFill="1" applyBorder="1" applyAlignment="1">
      <alignment horizontal="center" vertical="center"/>
    </xf>
    <xf numFmtId="166" fontId="3" fillId="4" borderId="2" xfId="0" applyNumberFormat="1" applyFont="1" applyFill="1" applyBorder="1" applyAlignment="1">
      <alignment horizontal="center" vertical="center"/>
    </xf>
    <xf numFmtId="166" fontId="5" fillId="4" borderId="18" xfId="0" applyNumberFormat="1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6" fontId="5" fillId="4" borderId="2" xfId="0" applyNumberFormat="1" applyFont="1" applyFill="1" applyBorder="1" applyAlignment="1">
      <alignment horizontal="center" vertical="center"/>
    </xf>
    <xf numFmtId="164" fontId="0" fillId="4" borderId="18" xfId="0" applyNumberFormat="1" applyFill="1" applyBorder="1" applyAlignment="1">
      <alignment horizontal="center" vertical="center"/>
    </xf>
    <xf numFmtId="165" fontId="5" fillId="7" borderId="13" xfId="0" applyNumberFormat="1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65" fontId="3" fillId="7" borderId="15" xfId="0" applyNumberFormat="1" applyFont="1" applyFill="1" applyBorder="1" applyAlignment="1">
      <alignment horizontal="center" vertical="center"/>
    </xf>
    <xf numFmtId="165" fontId="3" fillId="7" borderId="16" xfId="0" applyNumberFormat="1" applyFont="1" applyFill="1" applyBorder="1" applyAlignment="1">
      <alignment horizontal="center" vertical="center"/>
    </xf>
    <xf numFmtId="165" fontId="3" fillId="7" borderId="14" xfId="0" applyNumberFormat="1" applyFont="1" applyFill="1" applyBorder="1" applyAlignment="1">
      <alignment horizontal="center" vertical="center"/>
    </xf>
    <xf numFmtId="166" fontId="3" fillId="7" borderId="13" xfId="0" applyNumberFormat="1" applyFont="1" applyFill="1" applyBorder="1" applyAlignment="1">
      <alignment horizontal="center" vertical="center"/>
    </xf>
    <xf numFmtId="166" fontId="3" fillId="7" borderId="16" xfId="0" applyNumberFormat="1" applyFont="1" applyFill="1" applyBorder="1" applyAlignment="1">
      <alignment horizontal="center" vertical="center"/>
    </xf>
    <xf numFmtId="166" fontId="5" fillId="7" borderId="14" xfId="0" applyNumberFormat="1" applyFont="1" applyFill="1" applyBorder="1" applyAlignment="1">
      <alignment horizontal="center" vertical="center"/>
    </xf>
    <xf numFmtId="164" fontId="5" fillId="7" borderId="16" xfId="0" applyNumberFormat="1" applyFont="1" applyFill="1" applyBorder="1" applyAlignment="1">
      <alignment horizontal="center" vertical="center"/>
    </xf>
    <xf numFmtId="166" fontId="5" fillId="7" borderId="16" xfId="0" applyNumberFormat="1" applyFon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66" fontId="5" fillId="7" borderId="5" xfId="0" applyNumberFormat="1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166" fontId="5" fillId="7" borderId="3" xfId="0" applyNumberFormat="1" applyFont="1" applyFill="1" applyBorder="1" applyAlignment="1">
      <alignment horizontal="center" vertical="center"/>
    </xf>
    <xf numFmtId="165" fontId="5" fillId="8" borderId="13" xfId="0" applyNumberFormat="1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165" fontId="3" fillId="8" borderId="15" xfId="0" applyNumberFormat="1" applyFont="1" applyFill="1" applyBorder="1" applyAlignment="1">
      <alignment horizontal="center" vertical="center"/>
    </xf>
    <xf numFmtId="165" fontId="3" fillId="8" borderId="16" xfId="0" applyNumberFormat="1" applyFont="1" applyFill="1" applyBorder="1" applyAlignment="1">
      <alignment horizontal="center" vertical="center"/>
    </xf>
    <xf numFmtId="165" fontId="3" fillId="8" borderId="14" xfId="0" applyNumberFormat="1" applyFont="1" applyFill="1" applyBorder="1" applyAlignment="1">
      <alignment horizontal="center" vertical="center"/>
    </xf>
    <xf numFmtId="166" fontId="3" fillId="8" borderId="13" xfId="0" applyNumberFormat="1" applyFont="1" applyFill="1" applyBorder="1" applyAlignment="1">
      <alignment horizontal="center" vertical="center"/>
    </xf>
    <xf numFmtId="166" fontId="3" fillId="8" borderId="16" xfId="0" applyNumberFormat="1" applyFont="1" applyFill="1" applyBorder="1" applyAlignment="1">
      <alignment horizontal="center" vertical="center"/>
    </xf>
    <xf numFmtId="166" fontId="5" fillId="8" borderId="14" xfId="0" applyNumberFormat="1" applyFont="1" applyFill="1" applyBorder="1" applyAlignment="1">
      <alignment horizontal="center" vertical="center"/>
    </xf>
    <xf numFmtId="164" fontId="5" fillId="8" borderId="16" xfId="0" applyNumberFormat="1" applyFont="1" applyFill="1" applyBorder="1" applyAlignment="1">
      <alignment horizontal="center" vertical="center"/>
    </xf>
    <xf numFmtId="166" fontId="5" fillId="8" borderId="16" xfId="0" applyNumberFormat="1" applyFont="1" applyFill="1" applyBorder="1" applyAlignment="1">
      <alignment horizontal="center" vertical="center"/>
    </xf>
    <xf numFmtId="164" fontId="0" fillId="8" borderId="1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165" fontId="5" fillId="8" borderId="9" xfId="0" applyNumberFormat="1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165" fontId="3" fillId="8" borderId="11" xfId="0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165" fontId="3" fillId="8" borderId="10" xfId="0" applyNumberFormat="1" applyFont="1" applyFill="1" applyBorder="1" applyAlignment="1">
      <alignment horizontal="center" vertical="center"/>
    </xf>
    <xf numFmtId="166" fontId="3" fillId="8" borderId="9" xfId="0" applyNumberFormat="1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66" fontId="3" fillId="8" borderId="10" xfId="0" applyNumberFormat="1" applyFon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64" fontId="0" fillId="8" borderId="10" xfId="0" applyNumberFormat="1" applyFill="1" applyBorder="1" applyAlignment="1">
      <alignment horizontal="center" vertical="center"/>
    </xf>
    <xf numFmtId="165" fontId="5" fillId="5" borderId="81" xfId="0" applyNumberFormat="1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165" fontId="3" fillId="5" borderId="79" xfId="0" applyNumberFormat="1" applyFont="1" applyFill="1" applyBorder="1" applyAlignment="1">
      <alignment horizontal="center" vertical="center"/>
    </xf>
    <xf numFmtId="165" fontId="3" fillId="5" borderId="80" xfId="0" applyNumberFormat="1" applyFont="1" applyFill="1" applyBorder="1" applyAlignment="1">
      <alignment horizontal="center" vertical="center"/>
    </xf>
    <xf numFmtId="165" fontId="3" fillId="5" borderId="12" xfId="0" applyNumberFormat="1" applyFont="1" applyFill="1" applyBorder="1" applyAlignment="1">
      <alignment horizontal="center" vertical="center"/>
    </xf>
    <xf numFmtId="166" fontId="3" fillId="5" borderId="81" xfId="0" applyNumberFormat="1" applyFont="1" applyFill="1" applyBorder="1" applyAlignment="1">
      <alignment horizontal="center" vertical="center"/>
    </xf>
    <xf numFmtId="166" fontId="3" fillId="5" borderId="80" xfId="0" applyNumberFormat="1" applyFont="1" applyFill="1" applyBorder="1" applyAlignment="1">
      <alignment horizontal="center" vertical="center"/>
    </xf>
    <xf numFmtId="166" fontId="3" fillId="5" borderId="12" xfId="0" applyNumberFormat="1" applyFont="1" applyFill="1" applyBorder="1" applyAlignment="1">
      <alignment horizontal="center" vertical="center"/>
    </xf>
    <xf numFmtId="164" fontId="0" fillId="5" borderId="80" xfId="0" applyNumberFormat="1" applyFill="1" applyBorder="1" applyAlignment="1">
      <alignment horizontal="center" vertical="center"/>
    </xf>
    <xf numFmtId="166" fontId="0" fillId="5" borderId="80" xfId="0" applyNumberFormat="1" applyFill="1" applyBorder="1" applyAlignment="1">
      <alignment horizontal="center" vertical="center"/>
    </xf>
    <xf numFmtId="164" fontId="0" fillId="5" borderId="12" xfId="0" applyNumberFormat="1" applyFill="1" applyBorder="1" applyAlignment="1">
      <alignment horizontal="center" vertical="center"/>
    </xf>
    <xf numFmtId="165" fontId="5" fillId="6" borderId="81" xfId="0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165" fontId="3" fillId="6" borderId="79" xfId="0" applyNumberFormat="1" applyFont="1" applyFill="1" applyBorder="1" applyAlignment="1">
      <alignment horizontal="center" vertical="center"/>
    </xf>
    <xf numFmtId="165" fontId="3" fillId="6" borderId="80" xfId="0" applyNumberFormat="1" applyFont="1" applyFill="1" applyBorder="1" applyAlignment="1">
      <alignment horizontal="center" vertical="center"/>
    </xf>
    <xf numFmtId="165" fontId="3" fillId="6" borderId="12" xfId="0" applyNumberFormat="1" applyFont="1" applyFill="1" applyBorder="1" applyAlignment="1">
      <alignment horizontal="center" vertical="center"/>
    </xf>
    <xf numFmtId="166" fontId="3" fillId="6" borderId="81" xfId="0" applyNumberFormat="1" applyFont="1" applyFill="1" applyBorder="1" applyAlignment="1">
      <alignment horizontal="center" vertical="center"/>
    </xf>
    <xf numFmtId="166" fontId="3" fillId="6" borderId="80" xfId="0" applyNumberFormat="1" applyFont="1" applyFill="1" applyBorder="1" applyAlignment="1">
      <alignment horizontal="center" vertical="center"/>
    </xf>
    <xf numFmtId="166" fontId="3" fillId="6" borderId="12" xfId="0" applyNumberFormat="1" applyFont="1" applyFill="1" applyBorder="1" applyAlignment="1">
      <alignment horizontal="center" vertical="center"/>
    </xf>
    <xf numFmtId="164" fontId="0" fillId="6" borderId="80" xfId="0" applyNumberFormat="1" applyFill="1" applyBorder="1" applyAlignment="1">
      <alignment horizontal="center" vertical="center"/>
    </xf>
    <xf numFmtId="166" fontId="0" fillId="6" borderId="80" xfId="0" applyNumberFormat="1" applyFill="1" applyBorder="1" applyAlignment="1">
      <alignment horizontal="center" vertical="center"/>
    </xf>
    <xf numFmtId="164" fontId="0" fillId="6" borderId="12" xfId="0" applyNumberFormat="1" applyFill="1" applyBorder="1" applyAlignment="1">
      <alignment horizontal="center" vertical="center"/>
    </xf>
    <xf numFmtId="165" fontId="5" fillId="4" borderId="81" xfId="0" applyNumberFormat="1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165" fontId="3" fillId="4" borderId="79" xfId="0" applyNumberFormat="1" applyFont="1" applyFill="1" applyBorder="1" applyAlignment="1">
      <alignment horizontal="center" vertical="center"/>
    </xf>
    <xf numFmtId="165" fontId="3" fillId="4" borderId="80" xfId="0" applyNumberFormat="1" applyFont="1" applyFill="1" applyBorder="1" applyAlignment="1">
      <alignment horizontal="center" vertical="center"/>
    </xf>
    <xf numFmtId="165" fontId="3" fillId="4" borderId="12" xfId="0" applyNumberFormat="1" applyFont="1" applyFill="1" applyBorder="1" applyAlignment="1">
      <alignment horizontal="center" vertical="center"/>
    </xf>
    <xf numFmtId="166" fontId="3" fillId="4" borderId="81" xfId="0" applyNumberFormat="1" applyFont="1" applyFill="1" applyBorder="1" applyAlignment="1">
      <alignment horizontal="center" vertical="center"/>
    </xf>
    <xf numFmtId="166" fontId="3" fillId="4" borderId="80" xfId="0" applyNumberFormat="1" applyFont="1" applyFill="1" applyBorder="1" applyAlignment="1">
      <alignment horizontal="center" vertical="center"/>
    </xf>
    <xf numFmtId="166" fontId="3" fillId="4" borderId="12" xfId="0" applyNumberFormat="1" applyFont="1" applyFill="1" applyBorder="1" applyAlignment="1">
      <alignment horizontal="center" vertical="center"/>
    </xf>
    <xf numFmtId="164" fontId="0" fillId="4" borderId="80" xfId="0" applyNumberFormat="1" applyFill="1" applyBorder="1" applyAlignment="1">
      <alignment horizontal="center" vertical="center"/>
    </xf>
    <xf numFmtId="166" fontId="0" fillId="4" borderId="80" xfId="0" applyNumberFormat="1" applyFill="1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165" fontId="5" fillId="7" borderId="81" xfId="0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165" fontId="3" fillId="7" borderId="79" xfId="0" applyNumberFormat="1" applyFont="1" applyFill="1" applyBorder="1" applyAlignment="1">
      <alignment horizontal="center" vertical="center"/>
    </xf>
    <xf numFmtId="165" fontId="3" fillId="7" borderId="80" xfId="0" applyNumberFormat="1" applyFont="1" applyFill="1" applyBorder="1" applyAlignment="1">
      <alignment horizontal="center" vertical="center"/>
    </xf>
    <xf numFmtId="165" fontId="3" fillId="7" borderId="12" xfId="0" applyNumberFormat="1" applyFont="1" applyFill="1" applyBorder="1" applyAlignment="1">
      <alignment horizontal="center" vertical="center"/>
    </xf>
    <xf numFmtId="166" fontId="3" fillId="7" borderId="81" xfId="0" applyNumberFormat="1" applyFont="1" applyFill="1" applyBorder="1" applyAlignment="1">
      <alignment horizontal="center" vertical="center"/>
    </xf>
    <xf numFmtId="166" fontId="3" fillId="7" borderId="80" xfId="0" applyNumberFormat="1" applyFont="1" applyFill="1" applyBorder="1" applyAlignment="1">
      <alignment horizontal="center" vertical="center"/>
    </xf>
    <xf numFmtId="166" fontId="3" fillId="7" borderId="12" xfId="0" applyNumberFormat="1" applyFont="1" applyFill="1" applyBorder="1" applyAlignment="1">
      <alignment horizontal="center" vertical="center"/>
    </xf>
    <xf numFmtId="164" fontId="0" fillId="7" borderId="80" xfId="0" applyNumberFormat="1" applyFill="1" applyBorder="1" applyAlignment="1">
      <alignment horizontal="center" vertical="center"/>
    </xf>
    <xf numFmtId="166" fontId="0" fillId="7" borderId="80" xfId="0" applyNumberFormat="1" applyFill="1" applyBorder="1" applyAlignment="1">
      <alignment horizontal="center" vertical="center"/>
    </xf>
    <xf numFmtId="164" fontId="0" fillId="7" borderId="12" xfId="0" applyNumberFormat="1" applyFill="1" applyBorder="1" applyAlignment="1">
      <alignment horizontal="center" vertical="center"/>
    </xf>
    <xf numFmtId="165" fontId="5" fillId="8" borderId="81" xfId="0" applyNumberFormat="1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165" fontId="3" fillId="8" borderId="79" xfId="0" applyNumberFormat="1" applyFont="1" applyFill="1" applyBorder="1" applyAlignment="1">
      <alignment horizontal="center" vertical="center"/>
    </xf>
    <xf numFmtId="165" fontId="3" fillId="8" borderId="80" xfId="0" applyNumberFormat="1" applyFont="1" applyFill="1" applyBorder="1" applyAlignment="1">
      <alignment horizontal="center" vertical="center"/>
    </xf>
    <xf numFmtId="165" fontId="3" fillId="8" borderId="12" xfId="0" applyNumberFormat="1" applyFont="1" applyFill="1" applyBorder="1" applyAlignment="1">
      <alignment horizontal="center" vertical="center"/>
    </xf>
    <xf numFmtId="166" fontId="3" fillId="8" borderId="81" xfId="0" applyNumberFormat="1" applyFont="1" applyFill="1" applyBorder="1" applyAlignment="1">
      <alignment horizontal="center" vertical="center"/>
    </xf>
    <xf numFmtId="166" fontId="3" fillId="8" borderId="80" xfId="0" applyNumberFormat="1" applyFont="1" applyFill="1" applyBorder="1" applyAlignment="1">
      <alignment horizontal="center" vertical="center"/>
    </xf>
    <xf numFmtId="166" fontId="3" fillId="8" borderId="12" xfId="0" applyNumberFormat="1" applyFont="1" applyFill="1" applyBorder="1" applyAlignment="1">
      <alignment horizontal="center" vertical="center"/>
    </xf>
    <xf numFmtId="164" fontId="0" fillId="8" borderId="80" xfId="0" applyNumberFormat="1" applyFill="1" applyBorder="1" applyAlignment="1">
      <alignment horizontal="center" vertical="center"/>
    </xf>
    <xf numFmtId="166" fontId="0" fillId="8" borderId="80" xfId="0" applyNumberFormat="1" applyFill="1" applyBorder="1" applyAlignment="1">
      <alignment horizontal="center" vertical="center"/>
    </xf>
    <xf numFmtId="164" fontId="0" fillId="8" borderId="12" xfId="0" applyNumberFormat="1" applyFill="1" applyBorder="1" applyAlignment="1">
      <alignment horizontal="center" vertical="center"/>
    </xf>
    <xf numFmtId="9" fontId="0" fillId="0" borderId="0" xfId="11" applyFont="1"/>
    <xf numFmtId="164" fontId="0" fillId="0" borderId="10" xfId="0" applyNumberForma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164" fontId="3" fillId="7" borderId="80" xfId="0" applyNumberFormat="1" applyFont="1" applyFill="1" applyBorder="1" applyAlignment="1">
      <alignment horizontal="center" vertical="center"/>
    </xf>
    <xf numFmtId="164" fontId="3" fillId="8" borderId="3" xfId="0" applyNumberFormat="1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164" fontId="3" fillId="0" borderId="2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3" fillId="5" borderId="3" xfId="0" applyNumberFormat="1" applyFont="1" applyFill="1" applyBorder="1" applyAlignment="1">
      <alignment horizontal="center" vertical="center"/>
    </xf>
    <xf numFmtId="164" fontId="3" fillId="6" borderId="16" xfId="0" applyNumberFormat="1" applyFont="1" applyFill="1" applyBorder="1" applyAlignment="1">
      <alignment horizontal="center" vertical="center"/>
    </xf>
    <xf numFmtId="164" fontId="3" fillId="6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4" fontId="3" fillId="8" borderId="16" xfId="0" applyNumberFormat="1" applyFont="1" applyFill="1" applyBorder="1" applyAlignment="1">
      <alignment horizontal="center" vertical="center"/>
    </xf>
    <xf numFmtId="164" fontId="3" fillId="7" borderId="16" xfId="0" applyNumberFormat="1" applyFont="1" applyFill="1" applyBorder="1" applyAlignment="1">
      <alignment horizontal="center" vertical="center"/>
    </xf>
    <xf numFmtId="164" fontId="3" fillId="6" borderId="27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3" fillId="6" borderId="18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3" fillId="4" borderId="23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46" xfId="0" applyNumberFormat="1" applyFont="1" applyBorder="1" applyAlignment="1">
      <alignment horizontal="center" vertical="center"/>
    </xf>
    <xf numFmtId="164" fontId="3" fillId="7" borderId="27" xfId="0" applyNumberFormat="1" applyFont="1" applyFill="1" applyBorder="1" applyAlignment="1">
      <alignment horizontal="center" vertical="center"/>
    </xf>
    <xf numFmtId="164" fontId="3" fillId="7" borderId="23" xfId="0" applyNumberFormat="1" applyFont="1" applyFill="1" applyBorder="1" applyAlignment="1">
      <alignment horizontal="center" vertical="center"/>
    </xf>
    <xf numFmtId="0" fontId="3" fillId="7" borderId="18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3" fillId="0" borderId="47" xfId="0" applyNumberFormat="1" applyFont="1" applyFill="1" applyBorder="1" applyAlignment="1">
      <alignment horizontal="center" vertical="center"/>
    </xf>
    <xf numFmtId="164" fontId="3" fillId="6" borderId="80" xfId="0" applyNumberFormat="1" applyFont="1" applyFill="1" applyBorder="1" applyAlignment="1">
      <alignment horizontal="center" vertical="center"/>
    </xf>
    <xf numFmtId="164" fontId="3" fillId="4" borderId="16" xfId="0" applyNumberFormat="1" applyFont="1" applyFill="1" applyBorder="1" applyAlignment="1">
      <alignment horizontal="center" vertical="center"/>
    </xf>
    <xf numFmtId="164" fontId="3" fillId="4" borderId="80" xfId="0" applyNumberFormat="1" applyFont="1" applyFill="1" applyBorder="1" applyAlignment="1">
      <alignment horizontal="center" vertical="center"/>
    </xf>
    <xf numFmtId="164" fontId="3" fillId="8" borderId="80" xfId="0" applyNumberFormat="1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3" fillId="5" borderId="16" xfId="0" applyNumberFormat="1" applyFont="1" applyFill="1" applyBorder="1" applyAlignment="1">
      <alignment horizontal="center" vertical="center"/>
    </xf>
    <xf numFmtId="164" fontId="3" fillId="5" borderId="80" xfId="0" applyNumberFormat="1" applyFont="1" applyFill="1" applyBorder="1" applyAlignment="1">
      <alignment horizontal="center" vertical="center"/>
    </xf>
    <xf numFmtId="164" fontId="3" fillId="0" borderId="82" xfId="0" applyNumberFormat="1" applyFont="1" applyFill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5" borderId="5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3" fillId="0" borderId="8" xfId="0" applyNumberFormat="1" applyFont="1" applyBorder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0" fontId="3" fillId="5" borderId="14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164" fontId="3" fillId="4" borderId="46" xfId="0" applyNumberFormat="1" applyFont="1" applyFill="1" applyBorder="1" applyAlignment="1">
      <alignment horizontal="center" vertical="center"/>
    </xf>
    <xf numFmtId="0" fontId="3" fillId="4" borderId="4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" fillId="0" borderId="56" xfId="9" applyBorder="1" applyAlignment="1">
      <alignment horizontal="center" vertical="center"/>
    </xf>
    <xf numFmtId="165" fontId="1" fillId="0" borderId="58" xfId="9" applyNumberFormat="1" applyBorder="1" applyAlignment="1">
      <alignment horizontal="center"/>
    </xf>
    <xf numFmtId="165" fontId="1" fillId="0" borderId="59" xfId="9" applyNumberFormat="1" applyBorder="1" applyAlignment="1">
      <alignment horizontal="center"/>
    </xf>
  </cellXfs>
  <cellStyles count="12">
    <cellStyle name="DateTime" xfId="1"/>
    <cellStyle name="Normal" xfId="0" builtinId="0"/>
    <cellStyle name="Normal 2" xfId="2"/>
    <cellStyle name="Normal 2 2" xfId="3"/>
    <cellStyle name="Normal 3" xfId="9"/>
    <cellStyle name="Normal 4" xfId="10"/>
    <cellStyle name="Percent" xfId="11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mruColors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125"/>
  <sheetViews>
    <sheetView tabSelected="1" zoomScaleSheetLayoutView="100" workbookViewId="0">
      <pane ySplit="3" topLeftCell="A45" activePane="bottomLeft" state="frozen"/>
      <selection pane="bottomLeft" activeCell="O73" sqref="O73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10.425781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40" customWidth="1"/>
    <col min="21" max="22" width="10.140625" bestFit="1" customWidth="1"/>
  </cols>
  <sheetData>
    <row r="1" spans="1:16">
      <c r="A1" s="465"/>
      <c r="B1" s="465"/>
      <c r="C1" s="465"/>
      <c r="D1" s="465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467" t="s">
        <v>2</v>
      </c>
      <c r="C2" s="477" t="s">
        <v>3</v>
      </c>
      <c r="D2" s="475" t="s">
        <v>4</v>
      </c>
      <c r="E2" s="476" t="s">
        <v>0</v>
      </c>
      <c r="F2" s="468" t="s">
        <v>5</v>
      </c>
      <c r="G2" s="469"/>
      <c r="H2" s="470"/>
      <c r="I2" s="471" t="s">
        <v>6</v>
      </c>
      <c r="J2" s="472"/>
      <c r="K2" s="473"/>
      <c r="L2" s="3"/>
      <c r="M2" s="5"/>
      <c r="N2" s="5"/>
      <c r="O2" s="5"/>
      <c r="P2" s="140"/>
    </row>
    <row r="3" spans="1:16">
      <c r="A3" s="10"/>
      <c r="B3" s="467"/>
      <c r="C3" s="477"/>
      <c r="D3" s="475"/>
      <c r="E3" s="476"/>
      <c r="F3" s="23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2"/>
      <c r="D4" s="25">
        <v>1</v>
      </c>
      <c r="E4" s="26" t="s">
        <v>1</v>
      </c>
      <c r="F4" s="24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16">
      <c r="A5" s="10"/>
      <c r="B5" s="13"/>
      <c r="C5" s="22"/>
      <c r="D5" s="27">
        <v>2</v>
      </c>
      <c r="E5" s="26" t="s">
        <v>1</v>
      </c>
      <c r="F5" s="24"/>
      <c r="G5" s="11"/>
      <c r="H5" s="17"/>
      <c r="I5" s="20"/>
      <c r="J5" s="12"/>
      <c r="K5" s="21">
        <f>360-85</f>
        <v>275</v>
      </c>
      <c r="L5" s="8"/>
      <c r="M5" s="15"/>
      <c r="N5" s="15"/>
      <c r="O5" s="15"/>
    </row>
    <row r="6" spans="1:16">
      <c r="A6" s="10"/>
      <c r="B6" s="13"/>
      <c r="C6" s="22"/>
      <c r="D6" s="27">
        <v>3</v>
      </c>
      <c r="E6" s="26" t="s">
        <v>1</v>
      </c>
      <c r="F6" s="24"/>
      <c r="G6" s="11"/>
      <c r="H6" s="17"/>
      <c r="I6" s="20"/>
      <c r="J6" s="12"/>
      <c r="K6" s="21">
        <f>K5-85</f>
        <v>190</v>
      </c>
      <c r="L6" s="8"/>
      <c r="M6" s="15"/>
      <c r="N6" s="15"/>
      <c r="O6" s="15"/>
    </row>
    <row r="7" spans="1:16" ht="13.5" thickBot="1">
      <c r="A7" s="10"/>
      <c r="B7" s="13"/>
      <c r="C7" s="22"/>
      <c r="D7" s="27">
        <v>4</v>
      </c>
      <c r="E7" s="26" t="s">
        <v>1</v>
      </c>
      <c r="F7" s="24"/>
      <c r="G7" s="11"/>
      <c r="H7" s="17"/>
      <c r="I7" s="20"/>
      <c r="J7" s="12"/>
      <c r="K7" s="21">
        <f>K6-95</f>
        <v>95</v>
      </c>
      <c r="L7" s="8"/>
      <c r="M7" s="15"/>
      <c r="N7" s="15"/>
      <c r="O7" s="15"/>
    </row>
    <row r="8" spans="1:16" ht="14.25" thickTop="1" thickBot="1">
      <c r="A8" s="34" t="str">
        <f>IF(B8="","",RIGHT(TEXT(B8,"#.000"),2))</f>
        <v>01</v>
      </c>
      <c r="B8" s="458">
        <v>1.101</v>
      </c>
      <c r="C8" s="474" t="s">
        <v>10</v>
      </c>
      <c r="D8" s="35">
        <f>B8+0.0001</f>
        <v>1.1011</v>
      </c>
      <c r="E8" s="36">
        <v>1</v>
      </c>
      <c r="F8" s="37"/>
      <c r="G8" s="38"/>
      <c r="H8" s="39"/>
      <c r="I8" s="40"/>
      <c r="J8" s="41"/>
      <c r="K8" s="42">
        <f>N8</f>
        <v>0</v>
      </c>
      <c r="L8" s="40">
        <v>0</v>
      </c>
      <c r="M8" s="43">
        <f>G9*SIN(RADIANS(L8))</f>
        <v>0</v>
      </c>
      <c r="N8" s="44">
        <f>DEGREES(ASIN((M8+O8)/G9))</f>
        <v>0</v>
      </c>
      <c r="O8" s="45">
        <v>0</v>
      </c>
    </row>
    <row r="9" spans="1:16" ht="13.5" thickTop="1">
      <c r="A9" s="34" t="str">
        <f t="shared" ref="A9:A67" si="0">IF(B9="","",RIGHT(TEXT(B9,"#.000"),2))</f>
        <v/>
      </c>
      <c r="B9" s="432"/>
      <c r="C9" s="466"/>
      <c r="D9" s="46">
        <f>D8+0.0001</f>
        <v>1.1012</v>
      </c>
      <c r="E9" s="47">
        <f>D8</f>
        <v>1.1011</v>
      </c>
      <c r="F9" s="48"/>
      <c r="G9" s="49">
        <v>0.29449999999999998</v>
      </c>
      <c r="H9" s="50">
        <v>-0.27929999999999999</v>
      </c>
      <c r="I9" s="51">
        <v>10</v>
      </c>
      <c r="J9" s="52">
        <v>20</v>
      </c>
      <c r="K9" s="53"/>
      <c r="L9" s="51"/>
      <c r="M9" s="54"/>
      <c r="N9" s="55"/>
      <c r="O9" s="141"/>
      <c r="P9" s="145" t="s">
        <v>95</v>
      </c>
    </row>
    <row r="10" spans="1:16" ht="13.5" thickBot="1">
      <c r="A10" s="34" t="str">
        <f t="shared" si="0"/>
        <v>03</v>
      </c>
      <c r="B10" s="461">
        <v>1.103</v>
      </c>
      <c r="C10" s="431" t="s">
        <v>10</v>
      </c>
      <c r="D10" s="28">
        <f>B10+0.0001</f>
        <v>1.1031</v>
      </c>
      <c r="E10" s="29">
        <v>1</v>
      </c>
      <c r="F10" s="57"/>
      <c r="G10" s="58"/>
      <c r="H10" s="59"/>
      <c r="I10" s="60"/>
      <c r="J10" s="61"/>
      <c r="K10" s="62">
        <f>N10</f>
        <v>0</v>
      </c>
      <c r="L10" s="60">
        <v>0</v>
      </c>
      <c r="M10" s="63">
        <f>G11*SIN(RADIANS(L10))</f>
        <v>0</v>
      </c>
      <c r="N10" s="64">
        <f>DEGREES(ASIN((M10+O10)/G11))</f>
        <v>0</v>
      </c>
      <c r="O10" s="142">
        <v>0</v>
      </c>
      <c r="P10" s="146" t="s">
        <v>88</v>
      </c>
    </row>
    <row r="11" spans="1:16" ht="13.5" thickTop="1">
      <c r="A11" s="34" t="str">
        <f t="shared" si="0"/>
        <v/>
      </c>
      <c r="B11" s="461"/>
      <c r="C11" s="431"/>
      <c r="D11" s="28">
        <f>D10+0.0001</f>
        <v>1.1032</v>
      </c>
      <c r="E11" s="29">
        <f>D10</f>
        <v>1.1031</v>
      </c>
      <c r="F11" s="57"/>
      <c r="G11" s="58">
        <v>0.96020000000000005</v>
      </c>
      <c r="H11" s="59">
        <v>-0.16569999999999999</v>
      </c>
      <c r="I11" s="60">
        <v>10</v>
      </c>
      <c r="J11" s="61">
        <v>17.5</v>
      </c>
      <c r="K11" s="66"/>
      <c r="L11" s="60"/>
      <c r="M11" s="67"/>
      <c r="N11" s="68"/>
      <c r="O11" s="65"/>
      <c r="P11" s="143" t="s">
        <v>96</v>
      </c>
    </row>
    <row r="12" spans="1:16" ht="13.5" thickBot="1">
      <c r="A12" s="34" t="str">
        <f t="shared" si="0"/>
        <v>05</v>
      </c>
      <c r="B12" s="432">
        <v>1.105</v>
      </c>
      <c r="C12" s="466" t="s">
        <v>10</v>
      </c>
      <c r="D12" s="46">
        <f>B12+0.0001</f>
        <v>1.1051</v>
      </c>
      <c r="E12" s="47">
        <v>1</v>
      </c>
      <c r="F12" s="48"/>
      <c r="G12" s="49"/>
      <c r="H12" s="50"/>
      <c r="I12" s="51"/>
      <c r="J12" s="52"/>
      <c r="K12" s="69">
        <v>0</v>
      </c>
      <c r="L12" s="51">
        <v>-0.53400000000000003</v>
      </c>
      <c r="M12" s="70">
        <f>G13*SIN(RADIANS(L12))</f>
        <v>-1.515139927214469E-2</v>
      </c>
      <c r="N12" s="71">
        <f>DEGREES(ASIN((M12+O12)/G13))</f>
        <v>-0.53400000000000003</v>
      </c>
      <c r="O12" s="56">
        <v>0</v>
      </c>
      <c r="P12" s="144" t="s">
        <v>122</v>
      </c>
    </row>
    <row r="13" spans="1:16" ht="13.5" thickTop="1">
      <c r="A13" s="34" t="str">
        <f t="shared" si="0"/>
        <v/>
      </c>
      <c r="B13" s="432"/>
      <c r="C13" s="466"/>
      <c r="D13" s="46">
        <f>D12+0.0001</f>
        <v>1.1052</v>
      </c>
      <c r="E13" s="47">
        <f>D12</f>
        <v>1.1051</v>
      </c>
      <c r="F13" s="48"/>
      <c r="G13" s="49">
        <v>1.6256999999999999</v>
      </c>
      <c r="H13" s="50">
        <v>-5.0500000000000003E-2</v>
      </c>
      <c r="I13" s="51">
        <v>2</v>
      </c>
      <c r="J13" s="52">
        <v>17.5</v>
      </c>
      <c r="K13" s="53">
        <v>-2.7719999999999998</v>
      </c>
      <c r="L13" s="51"/>
      <c r="M13" s="54"/>
      <c r="N13" s="55"/>
      <c r="O13" s="56"/>
      <c r="P13" s="143" t="s">
        <v>97</v>
      </c>
    </row>
    <row r="14" spans="1:16" ht="13.5" thickBot="1">
      <c r="A14" s="34" t="str">
        <f t="shared" si="0"/>
        <v>09</v>
      </c>
      <c r="B14" s="461">
        <v>1.109</v>
      </c>
      <c r="C14" s="430" t="s">
        <v>10</v>
      </c>
      <c r="D14" s="28">
        <f>B14+0.0001</f>
        <v>1.1091</v>
      </c>
      <c r="E14" s="29">
        <v>1</v>
      </c>
      <c r="F14" s="57"/>
      <c r="G14" s="58"/>
      <c r="H14" s="59"/>
      <c r="I14" s="60"/>
      <c r="J14" s="61"/>
      <c r="K14" s="62">
        <f>N14</f>
        <v>-1.6670000000000003</v>
      </c>
      <c r="L14" s="60">
        <v>-1.667</v>
      </c>
      <c r="M14" s="63">
        <f>G15*SIN(RADIANS(L14))</f>
        <v>-6.7524947626618481E-2</v>
      </c>
      <c r="N14" s="64">
        <f>DEGREES(ASIN((M14+O14)/G15))</f>
        <v>-1.6670000000000003</v>
      </c>
      <c r="O14" s="65">
        <v>0</v>
      </c>
      <c r="P14" s="144" t="s">
        <v>123</v>
      </c>
    </row>
    <row r="15" spans="1:16" ht="13.5" thickTop="1">
      <c r="A15" s="34" t="str">
        <f t="shared" si="0"/>
        <v/>
      </c>
      <c r="B15" s="461"/>
      <c r="C15" s="431"/>
      <c r="D15" s="28">
        <f>D14+0.0001</f>
        <v>1.1092</v>
      </c>
      <c r="E15" s="29">
        <f>D14</f>
        <v>1.1091</v>
      </c>
      <c r="F15" s="57"/>
      <c r="G15" s="58">
        <v>2.3212000000000002</v>
      </c>
      <c r="H15" s="59">
        <v>-0.21060000000000001</v>
      </c>
      <c r="I15" s="60">
        <v>-21.9</v>
      </c>
      <c r="J15" s="61">
        <v>20</v>
      </c>
      <c r="K15" s="66">
        <v>-5.8570000000000002</v>
      </c>
      <c r="L15" s="60"/>
      <c r="M15" s="67"/>
      <c r="N15" s="68"/>
      <c r="O15" s="65"/>
      <c r="P15" s="143" t="s">
        <v>98</v>
      </c>
    </row>
    <row r="16" spans="1:16" ht="13.5" thickBot="1">
      <c r="A16" s="34" t="str">
        <f t="shared" si="0"/>
        <v>13</v>
      </c>
      <c r="B16" s="432">
        <v>1.113</v>
      </c>
      <c r="C16" s="466" t="s">
        <v>10</v>
      </c>
      <c r="D16" s="46">
        <f>B16+0.0001</f>
        <v>1.1131</v>
      </c>
      <c r="E16" s="47">
        <v>1</v>
      </c>
      <c r="F16" s="48"/>
      <c r="G16" s="49"/>
      <c r="H16" s="50"/>
      <c r="I16" s="51"/>
      <c r="J16" s="52"/>
      <c r="K16" s="69">
        <f>N16</f>
        <v>-2.4969999999999999</v>
      </c>
      <c r="L16" s="51">
        <v>-2.4969999999999999</v>
      </c>
      <c r="M16" s="70">
        <f>G17*SIN(RADIANS(L16))</f>
        <v>-0.12039761801632536</v>
      </c>
      <c r="N16" s="71">
        <f>DEGREES(ASIN((M16+O16)/G17))</f>
        <v>-2.4969999999999999</v>
      </c>
      <c r="O16" s="56">
        <v>0</v>
      </c>
      <c r="P16" s="144" t="s">
        <v>89</v>
      </c>
    </row>
    <row r="17" spans="1:18" ht="13.5" thickTop="1">
      <c r="A17" s="34" t="str">
        <f t="shared" si="0"/>
        <v/>
      </c>
      <c r="B17" s="432"/>
      <c r="C17" s="466"/>
      <c r="D17" s="46">
        <f>D16+0.0001</f>
        <v>1.1132</v>
      </c>
      <c r="E17" s="47">
        <f>D16</f>
        <v>1.1131</v>
      </c>
      <c r="F17" s="48"/>
      <c r="G17" s="49">
        <v>2.7635000000000001</v>
      </c>
      <c r="H17" s="50">
        <v>-0.77090000000000003</v>
      </c>
      <c r="I17" s="51">
        <v>-48.9</v>
      </c>
      <c r="J17" s="52">
        <v>24</v>
      </c>
      <c r="K17" s="53">
        <v>-7.8220000000000001</v>
      </c>
      <c r="L17" s="51"/>
      <c r="M17" s="54"/>
      <c r="N17" s="55"/>
      <c r="O17" s="56"/>
      <c r="P17" s="143" t="s">
        <v>99</v>
      </c>
    </row>
    <row r="18" spans="1:18" ht="13.5" thickBot="1">
      <c r="A18" s="34" t="str">
        <f t="shared" si="0"/>
        <v>17</v>
      </c>
      <c r="B18" s="461">
        <v>1.117</v>
      </c>
      <c r="C18" s="431" t="s">
        <v>10</v>
      </c>
      <c r="D18" s="28">
        <f>B18+0.0001</f>
        <v>1.1171</v>
      </c>
      <c r="E18" s="29">
        <v>1</v>
      </c>
      <c r="F18" s="57"/>
      <c r="G18" s="58"/>
      <c r="H18" s="59"/>
      <c r="I18" s="60"/>
      <c r="J18" s="61"/>
      <c r="K18" s="62">
        <f>N18</f>
        <v>-2.6810000000000009</v>
      </c>
      <c r="L18" s="60">
        <v>-2.681</v>
      </c>
      <c r="M18" s="63">
        <f>G19*SIN(RADIANS(L18))</f>
        <v>-0.13369288721294847</v>
      </c>
      <c r="N18" s="64">
        <f>DEGREES(ASIN((M18+O18)/G19))</f>
        <v>-2.6810000000000009</v>
      </c>
      <c r="O18" s="65">
        <v>0</v>
      </c>
      <c r="P18" s="144" t="s">
        <v>90</v>
      </c>
    </row>
    <row r="19" spans="1:18" ht="13.5" thickTop="1">
      <c r="A19" s="34" t="str">
        <f t="shared" si="0"/>
        <v/>
      </c>
      <c r="B19" s="461"/>
      <c r="C19" s="431"/>
      <c r="D19" s="28">
        <f>D18+0.0001</f>
        <v>1.1172</v>
      </c>
      <c r="E19" s="29">
        <f>D18</f>
        <v>1.1171</v>
      </c>
      <c r="F19" s="57"/>
      <c r="G19" s="58">
        <v>2.8582000000000001</v>
      </c>
      <c r="H19" s="59">
        <v>-1.4293</v>
      </c>
      <c r="I19" s="60">
        <v>-65</v>
      </c>
      <c r="J19" s="61">
        <v>30</v>
      </c>
      <c r="K19" s="66">
        <v>-8.2439999999999998</v>
      </c>
      <c r="L19" s="60"/>
      <c r="M19" s="67"/>
      <c r="N19" s="68"/>
      <c r="O19" s="65"/>
      <c r="P19" s="143" t="s">
        <v>100</v>
      </c>
    </row>
    <row r="20" spans="1:18" ht="13.5" thickBot="1">
      <c r="A20" s="34" t="str">
        <f t="shared" si="0"/>
        <v>26</v>
      </c>
      <c r="B20" s="432">
        <v>1.1259999999999999</v>
      </c>
      <c r="C20" s="466" t="s">
        <v>10</v>
      </c>
      <c r="D20" s="46">
        <f>B20+0.0001</f>
        <v>1.1260999999999999</v>
      </c>
      <c r="E20" s="47">
        <v>1</v>
      </c>
      <c r="F20" s="48"/>
      <c r="G20" s="49"/>
      <c r="H20" s="50"/>
      <c r="I20" s="51"/>
      <c r="J20" s="52"/>
      <c r="K20" s="69">
        <f>N20</f>
        <v>-1.1000000000000003</v>
      </c>
      <c r="L20" s="51">
        <v>-1.1000000000000001</v>
      </c>
      <c r="M20" s="70">
        <f>G21*SIN(RADIANS(L20))</f>
        <v>-6.8321777756255558E-2</v>
      </c>
      <c r="N20" s="71">
        <f>DEGREES(ASIN((M20+O20)/G21))</f>
        <v>-1.1000000000000003</v>
      </c>
      <c r="O20" s="56">
        <v>0</v>
      </c>
      <c r="P20" s="144" t="s">
        <v>87</v>
      </c>
    </row>
    <row r="21" spans="1:18" ht="13.5" thickTop="1">
      <c r="A21" s="34" t="str">
        <f t="shared" si="0"/>
        <v/>
      </c>
      <c r="B21" s="432"/>
      <c r="C21" s="466"/>
      <c r="D21" s="46">
        <f>D20+0.0001</f>
        <v>1.1261999999999999</v>
      </c>
      <c r="E21" s="47">
        <f>D20</f>
        <v>1.1260999999999999</v>
      </c>
      <c r="F21" s="48"/>
      <c r="G21" s="49">
        <v>3.5589</v>
      </c>
      <c r="H21" s="50">
        <v>-0.39660000000000001</v>
      </c>
      <c r="I21" s="51">
        <v>-27.8</v>
      </c>
      <c r="J21" s="52">
        <v>23</v>
      </c>
      <c r="K21" s="53">
        <v>-6.42</v>
      </c>
      <c r="L21" s="51"/>
      <c r="M21" s="54"/>
      <c r="N21" s="55"/>
      <c r="O21" s="56"/>
      <c r="P21" s="143" t="s">
        <v>68</v>
      </c>
    </row>
    <row r="22" spans="1:18" ht="13.5" thickBot="1">
      <c r="A22" s="34" t="str">
        <f t="shared" si="0"/>
        <v>32</v>
      </c>
      <c r="B22" s="461">
        <v>1.1319999999999999</v>
      </c>
      <c r="C22" s="430" t="s">
        <v>10</v>
      </c>
      <c r="D22" s="28">
        <f>B22+0.0001</f>
        <v>1.1320999999999999</v>
      </c>
      <c r="E22" s="29">
        <v>1</v>
      </c>
      <c r="F22" s="57"/>
      <c r="G22" s="58"/>
      <c r="H22" s="59"/>
      <c r="I22" s="60"/>
      <c r="J22" s="61"/>
      <c r="K22" s="62">
        <f>N22</f>
        <v>-1.6700000000000002</v>
      </c>
      <c r="L22" s="60">
        <v>-1.67</v>
      </c>
      <c r="M22" s="63">
        <f>G23*SIN(RADIANS(L22))</f>
        <v>-0.11470925739104378</v>
      </c>
      <c r="N22" s="64">
        <f>DEGREES(ASIN((M22+O22)/G23))</f>
        <v>-1.6700000000000002</v>
      </c>
      <c r="O22" s="65">
        <v>0</v>
      </c>
      <c r="P22" s="144" t="s">
        <v>81</v>
      </c>
    </row>
    <row r="23" spans="1:18" ht="13.5" thickTop="1">
      <c r="A23" s="34" t="str">
        <f t="shared" si="0"/>
        <v/>
      </c>
      <c r="B23" s="461"/>
      <c r="C23" s="462"/>
      <c r="D23" s="28">
        <f>D22+0.0001</f>
        <v>1.1321999999999999</v>
      </c>
      <c r="E23" s="29">
        <f>D22</f>
        <v>1.1320999999999999</v>
      </c>
      <c r="F23" s="57"/>
      <c r="G23" s="58">
        <v>3.9361000000000002</v>
      </c>
      <c r="H23" s="59">
        <v>-0.82740000000000002</v>
      </c>
      <c r="I23" s="60">
        <v>-42.3</v>
      </c>
      <c r="J23" s="61">
        <v>26</v>
      </c>
      <c r="K23" s="66">
        <v>-7.99</v>
      </c>
      <c r="L23" s="60"/>
      <c r="M23" s="67"/>
      <c r="N23" s="68"/>
      <c r="O23" s="65"/>
      <c r="P23" s="143" t="s">
        <v>69</v>
      </c>
    </row>
    <row r="24" spans="1:18" ht="13.5" thickBot="1">
      <c r="A24" s="34" t="str">
        <f t="shared" ref="A24:A27" si="1">IF(B24="","",RIGHT(TEXT(B24,"#.000"),2))</f>
        <v>38</v>
      </c>
      <c r="B24" s="432">
        <v>1.1379999999999999</v>
      </c>
      <c r="C24" s="466" t="s">
        <v>10</v>
      </c>
      <c r="D24" s="46">
        <f>B24+0.0001</f>
        <v>1.1380999999999999</v>
      </c>
      <c r="E24" s="47">
        <v>1</v>
      </c>
      <c r="F24" s="48"/>
      <c r="G24" s="49"/>
      <c r="H24" s="50"/>
      <c r="I24" s="51"/>
      <c r="J24" s="52"/>
      <c r="K24" s="69">
        <f>N24</f>
        <v>-2.0199999999999996</v>
      </c>
      <c r="L24" s="51">
        <v>-2.02</v>
      </c>
      <c r="M24" s="70">
        <f>G25*SIN(RADIANS(L24))</f>
        <v>-0.14629826745313629</v>
      </c>
      <c r="N24" s="71">
        <f>DEGREES(ASIN((M24+O24)/G25))</f>
        <v>-2.0199999999999996</v>
      </c>
      <c r="O24" s="56">
        <v>0</v>
      </c>
      <c r="P24" s="144" t="s">
        <v>82</v>
      </c>
    </row>
    <row r="25" spans="1:18" ht="13.5" thickTop="1">
      <c r="A25" s="34" t="str">
        <f t="shared" si="1"/>
        <v/>
      </c>
      <c r="B25" s="432"/>
      <c r="C25" s="466"/>
      <c r="D25" s="46">
        <f>D24+0.0001</f>
        <v>1.1381999999999999</v>
      </c>
      <c r="E25" s="47">
        <f>D24</f>
        <v>1.1380999999999999</v>
      </c>
      <c r="F25" s="48"/>
      <c r="G25" s="49">
        <v>4.1505000000000001</v>
      </c>
      <c r="H25" s="50">
        <v>-1.3643000000000001</v>
      </c>
      <c r="I25" s="51">
        <v>-56.8</v>
      </c>
      <c r="J25" s="52">
        <v>29</v>
      </c>
      <c r="K25" s="53">
        <v>-8.8699999999999992</v>
      </c>
      <c r="L25" s="51"/>
      <c r="M25" s="54"/>
      <c r="N25" s="55"/>
      <c r="O25" s="56"/>
      <c r="P25" s="143" t="s">
        <v>70</v>
      </c>
    </row>
    <row r="26" spans="1:18" ht="13.5" thickBot="1">
      <c r="A26" s="34" t="str">
        <f t="shared" si="1"/>
        <v>44</v>
      </c>
      <c r="B26" s="461">
        <v>1.1439999999999999</v>
      </c>
      <c r="C26" s="431" t="s">
        <v>10</v>
      </c>
      <c r="D26" s="28">
        <f>B26+0.0001</f>
        <v>1.1440999999999999</v>
      </c>
      <c r="E26" s="29">
        <v>1</v>
      </c>
      <c r="F26" s="57"/>
      <c r="G26" s="58"/>
      <c r="H26" s="59"/>
      <c r="I26" s="60"/>
      <c r="J26" s="61"/>
      <c r="K26" s="62">
        <f>N26</f>
        <v>-2.0499999999999998</v>
      </c>
      <c r="L26" s="60">
        <v>-2.0499999999999998</v>
      </c>
      <c r="M26" s="63">
        <f>G27*SIN(RADIANS(L26))</f>
        <v>-0.14920341169303314</v>
      </c>
      <c r="N26" s="64">
        <f>DEGREES(ASIN((M26+O26)/G27))</f>
        <v>-2.0499999999999998</v>
      </c>
      <c r="O26" s="65">
        <v>0</v>
      </c>
      <c r="P26" s="144" t="s">
        <v>83</v>
      </c>
    </row>
    <row r="27" spans="1:18" ht="14.25" thickTop="1" thickBot="1">
      <c r="A27" s="34" t="str">
        <f t="shared" si="1"/>
        <v/>
      </c>
      <c r="B27" s="461"/>
      <c r="C27" s="431"/>
      <c r="D27" s="28">
        <f>D26+0.0001</f>
        <v>1.1441999999999999</v>
      </c>
      <c r="E27" s="29">
        <f>D26</f>
        <v>1.1440999999999999</v>
      </c>
      <c r="F27" s="57"/>
      <c r="G27" s="58">
        <v>4.1710000000000003</v>
      </c>
      <c r="H27" s="59">
        <v>-1.9591000000000001</v>
      </c>
      <c r="I27" s="60">
        <v>-65</v>
      </c>
      <c r="J27" s="61">
        <v>30</v>
      </c>
      <c r="K27" s="66">
        <v>-8.9600000000000009</v>
      </c>
      <c r="L27" s="60"/>
      <c r="M27" s="67"/>
      <c r="N27" s="68"/>
      <c r="O27" s="65"/>
      <c r="P27" s="143" t="s">
        <v>71</v>
      </c>
    </row>
    <row r="28" spans="1:18" ht="13.5" thickBot="1">
      <c r="A28" s="34" t="str">
        <f t="shared" si="0"/>
        <v>13</v>
      </c>
      <c r="B28" s="463">
        <v>2.113</v>
      </c>
      <c r="C28" s="464" t="s">
        <v>10</v>
      </c>
      <c r="D28" s="192">
        <f>B28+0.0001</f>
        <v>2.1131000000000002</v>
      </c>
      <c r="E28" s="193">
        <v>2</v>
      </c>
      <c r="F28" s="194"/>
      <c r="G28" s="195"/>
      <c r="H28" s="196"/>
      <c r="I28" s="197"/>
      <c r="J28" s="198"/>
      <c r="K28" s="199">
        <f>N28</f>
        <v>0</v>
      </c>
      <c r="L28" s="197">
        <v>0</v>
      </c>
      <c r="M28" s="200">
        <f>G29*SIN(RADIANS(L28))</f>
        <v>0</v>
      </c>
      <c r="N28" s="201">
        <f>DEGREES(ASIN((M28+O28)/G29))</f>
        <v>0</v>
      </c>
      <c r="O28" s="202">
        <v>0</v>
      </c>
      <c r="P28" s="190" t="s">
        <v>124</v>
      </c>
      <c r="Q28" s="32"/>
      <c r="R28" s="32"/>
    </row>
    <row r="29" spans="1:18" ht="13.5" thickTop="1">
      <c r="A29" s="34" t="str">
        <f t="shared" si="0"/>
        <v/>
      </c>
      <c r="B29" s="429"/>
      <c r="C29" s="431"/>
      <c r="D29" s="28">
        <f>D28+0.0001</f>
        <v>2.1132000000000004</v>
      </c>
      <c r="E29" s="29">
        <f>D28</f>
        <v>2.1131000000000002</v>
      </c>
      <c r="F29" s="57"/>
      <c r="G29" s="58">
        <v>1.4457</v>
      </c>
      <c r="H29" s="59">
        <v>-7.9799999999999996E-2</v>
      </c>
      <c r="I29" s="60">
        <v>6</v>
      </c>
      <c r="J29" s="61">
        <v>17.5</v>
      </c>
      <c r="K29" s="66">
        <v>0</v>
      </c>
      <c r="L29" s="60"/>
      <c r="M29" s="94"/>
      <c r="N29" s="95"/>
      <c r="O29" s="203"/>
      <c r="P29" s="191" t="s">
        <v>111</v>
      </c>
      <c r="Q29" s="32"/>
      <c r="R29" s="32"/>
    </row>
    <row r="30" spans="1:18" ht="13.5" thickBot="1">
      <c r="A30" s="34" t="str">
        <f t="shared" si="0"/>
        <v>08</v>
      </c>
      <c r="B30" s="438">
        <v>2.1080000000000001</v>
      </c>
      <c r="C30" s="440" t="s">
        <v>10</v>
      </c>
      <c r="D30" s="72">
        <f>B30+0.0001</f>
        <v>2.1081000000000003</v>
      </c>
      <c r="E30" s="73">
        <v>2</v>
      </c>
      <c r="F30" s="74"/>
      <c r="G30" s="75"/>
      <c r="H30" s="76"/>
      <c r="I30" s="77"/>
      <c r="J30" s="78"/>
      <c r="K30" s="79">
        <f>N30</f>
        <v>-1.3819999999999999</v>
      </c>
      <c r="L30" s="77">
        <v>-1.3819999999999999</v>
      </c>
      <c r="M30" s="80">
        <f>G31*SIN(RADIANS(L30))</f>
        <v>-5.2114415256881763E-2</v>
      </c>
      <c r="N30" s="81">
        <f>DEGREES(ASIN((M30+O30)/G31))</f>
        <v>-1.3819999999999999</v>
      </c>
      <c r="O30" s="204">
        <v>0</v>
      </c>
      <c r="P30" s="190" t="s">
        <v>125</v>
      </c>
      <c r="Q30" s="32"/>
      <c r="R30" s="32"/>
    </row>
    <row r="31" spans="1:18" ht="13.5" thickTop="1">
      <c r="A31" s="34" t="str">
        <f t="shared" si="0"/>
        <v/>
      </c>
      <c r="B31" s="439"/>
      <c r="C31" s="441"/>
      <c r="D31" s="82">
        <f>D30+0.0001</f>
        <v>2.1082000000000005</v>
      </c>
      <c r="E31" s="83">
        <f>D30</f>
        <v>2.1081000000000003</v>
      </c>
      <c r="F31" s="84"/>
      <c r="G31" s="85">
        <v>2.1608000000000001</v>
      </c>
      <c r="H31" s="86">
        <v>-0.12720000000000001</v>
      </c>
      <c r="I31" s="87">
        <v>-15.3</v>
      </c>
      <c r="J31" s="88">
        <v>19</v>
      </c>
      <c r="K31" s="89">
        <v>-5.1449999999999996</v>
      </c>
      <c r="L31" s="87"/>
      <c r="M31" s="90"/>
      <c r="N31" s="91"/>
      <c r="O31" s="205"/>
      <c r="P31" s="191" t="s">
        <v>113</v>
      </c>
      <c r="Q31" s="32"/>
      <c r="R31" s="32"/>
    </row>
    <row r="32" spans="1:18" ht="13.5" thickBot="1">
      <c r="A32" s="34" t="str">
        <f t="shared" si="0"/>
        <v>12</v>
      </c>
      <c r="B32" s="429">
        <v>2.1120000000000001</v>
      </c>
      <c r="C32" s="431" t="s">
        <v>10</v>
      </c>
      <c r="D32" s="28">
        <f>B32+0.0001</f>
        <v>2.1121000000000003</v>
      </c>
      <c r="E32" s="29">
        <v>2</v>
      </c>
      <c r="F32" s="57"/>
      <c r="G32" s="58"/>
      <c r="H32" s="59"/>
      <c r="I32" s="60"/>
      <c r="J32" s="61"/>
      <c r="K32" s="62">
        <f>N32</f>
        <v>-2.3559999999999994</v>
      </c>
      <c r="L32" s="60">
        <v>-2.3559999999999999</v>
      </c>
      <c r="M32" s="92">
        <f>G33*SIN(RADIANS(L32))</f>
        <v>-0.11058562668579204</v>
      </c>
      <c r="N32" s="93">
        <f>DEGREES(ASIN((M32+O32)/G33))</f>
        <v>-2.3559999999999994</v>
      </c>
      <c r="O32" s="203">
        <v>0</v>
      </c>
      <c r="P32" s="190" t="s">
        <v>112</v>
      </c>
      <c r="Q32" s="33"/>
      <c r="R32" s="32"/>
    </row>
    <row r="33" spans="1:18" ht="13.5" thickTop="1">
      <c r="A33" s="34" t="str">
        <f t="shared" si="0"/>
        <v/>
      </c>
      <c r="B33" s="429"/>
      <c r="C33" s="431"/>
      <c r="D33" s="28">
        <f>D32+0.0001</f>
        <v>2.1122000000000005</v>
      </c>
      <c r="E33" s="29">
        <f>D32</f>
        <v>2.1121000000000003</v>
      </c>
      <c r="F33" s="57"/>
      <c r="G33" s="58">
        <v>2.6901000000000002</v>
      </c>
      <c r="H33" s="59">
        <v>-0.60729999999999995</v>
      </c>
      <c r="I33" s="60">
        <v>-42.1</v>
      </c>
      <c r="J33" s="61">
        <v>23</v>
      </c>
      <c r="K33" s="66">
        <v>-7.4960000000000004</v>
      </c>
      <c r="L33" s="60"/>
      <c r="M33" s="94"/>
      <c r="N33" s="95"/>
      <c r="O33" s="203"/>
      <c r="P33" s="191" t="s">
        <v>114</v>
      </c>
      <c r="Q33" s="33"/>
      <c r="R33" s="32"/>
    </row>
    <row r="34" spans="1:18" ht="13.5" thickBot="1">
      <c r="A34" s="34" t="str">
        <f t="shared" si="0"/>
        <v>16</v>
      </c>
      <c r="B34" s="438">
        <v>2.1160000000000001</v>
      </c>
      <c r="C34" s="440" t="s">
        <v>10</v>
      </c>
      <c r="D34" s="72">
        <f>B34+0.0001</f>
        <v>2.1161000000000003</v>
      </c>
      <c r="E34" s="73">
        <v>2</v>
      </c>
      <c r="F34" s="74"/>
      <c r="G34" s="75"/>
      <c r="H34" s="76"/>
      <c r="I34" s="77"/>
      <c r="J34" s="78"/>
      <c r="K34" s="79">
        <f>N34</f>
        <v>-2.6810000000000009</v>
      </c>
      <c r="L34" s="77">
        <v>-2.681</v>
      </c>
      <c r="M34" s="80">
        <f>G35*SIN(RADIANS(L34))</f>
        <v>-0.13369288721294847</v>
      </c>
      <c r="N34" s="81">
        <f>DEGREES(ASIN((M34+O34)/G35))</f>
        <v>-2.6810000000000009</v>
      </c>
      <c r="O34" s="204">
        <v>0</v>
      </c>
      <c r="P34" s="190" t="s">
        <v>116</v>
      </c>
      <c r="Q34" s="33"/>
      <c r="R34" s="32"/>
    </row>
    <row r="35" spans="1:18" ht="13.5" thickTop="1">
      <c r="A35" s="34" t="str">
        <f t="shared" si="0"/>
        <v/>
      </c>
      <c r="B35" s="439"/>
      <c r="C35" s="441"/>
      <c r="D35" s="82">
        <f>D34+0.0001</f>
        <v>2.1162000000000005</v>
      </c>
      <c r="E35" s="83">
        <f>D34</f>
        <v>2.1161000000000003</v>
      </c>
      <c r="F35" s="84"/>
      <c r="G35" s="85">
        <v>2.8582000000000001</v>
      </c>
      <c r="H35" s="86">
        <v>-1.2766</v>
      </c>
      <c r="I35" s="87">
        <v>-65</v>
      </c>
      <c r="J35" s="88">
        <v>27</v>
      </c>
      <c r="K35" s="89">
        <v>-8.2439999999999998</v>
      </c>
      <c r="L35" s="87"/>
      <c r="M35" s="90"/>
      <c r="N35" s="91"/>
      <c r="O35" s="205"/>
      <c r="P35" s="191" t="s">
        <v>115</v>
      </c>
      <c r="Q35" s="33"/>
      <c r="R35" s="32"/>
    </row>
    <row r="36" spans="1:18" ht="13.5" thickBot="1">
      <c r="A36" s="34" t="str">
        <f t="shared" si="0"/>
        <v>37</v>
      </c>
      <c r="B36" s="429">
        <v>2.137</v>
      </c>
      <c r="C36" s="431" t="s">
        <v>10</v>
      </c>
      <c r="D36" s="28">
        <f>B36+0.0001</f>
        <v>2.1371000000000002</v>
      </c>
      <c r="E36" s="29">
        <v>2</v>
      </c>
      <c r="F36" s="57"/>
      <c r="G36" s="58"/>
      <c r="H36" s="59"/>
      <c r="I36" s="60"/>
      <c r="J36" s="61"/>
      <c r="K36" s="62">
        <f>N36</f>
        <v>-2.6020000000000003</v>
      </c>
      <c r="L36" s="60">
        <v>-2.6019999999999999</v>
      </c>
      <c r="M36" s="92">
        <f>G37*SIN(RADIANS(L36))</f>
        <v>-0.18727524692687209</v>
      </c>
      <c r="N36" s="93">
        <f>DEGREES(ASIN((M36+O36)/G37))</f>
        <v>-2.6020000000000003</v>
      </c>
      <c r="O36" s="203">
        <v>0</v>
      </c>
      <c r="P36" s="190" t="s">
        <v>117</v>
      </c>
      <c r="Q36" s="33"/>
      <c r="R36" s="32"/>
    </row>
    <row r="37" spans="1:18" ht="13.5" thickTop="1">
      <c r="A37" s="34" t="str">
        <f t="shared" si="0"/>
        <v/>
      </c>
      <c r="B37" s="429"/>
      <c r="C37" s="431"/>
      <c r="D37" s="28">
        <f>D36+0.0001</f>
        <v>2.1372000000000004</v>
      </c>
      <c r="E37" s="29">
        <f>D36</f>
        <v>2.1371000000000002</v>
      </c>
      <c r="F37" s="57"/>
      <c r="G37" s="58">
        <v>4.1252000000000004</v>
      </c>
      <c r="H37" s="59">
        <v>-1.264</v>
      </c>
      <c r="I37" s="60">
        <v>-54.3</v>
      </c>
      <c r="J37" s="61">
        <v>28</v>
      </c>
      <c r="K37" s="66">
        <v>-8.0640000000000001</v>
      </c>
      <c r="L37" s="60"/>
      <c r="M37" s="94"/>
      <c r="N37" s="95"/>
      <c r="O37" s="203"/>
      <c r="P37" s="191" t="s">
        <v>72</v>
      </c>
      <c r="Q37" s="33"/>
      <c r="R37" s="32"/>
    </row>
    <row r="38" spans="1:18" ht="13.5" thickBot="1">
      <c r="A38" s="34" t="str">
        <f t="shared" ref="A38:A39" si="2">IF(B38="","",RIGHT(TEXT(B38,"#.000"),2))</f>
        <v>43</v>
      </c>
      <c r="B38" s="438">
        <v>2.1429999999999998</v>
      </c>
      <c r="C38" s="440" t="s">
        <v>10</v>
      </c>
      <c r="D38" s="72">
        <f>B38+0.0001</f>
        <v>2.1431</v>
      </c>
      <c r="E38" s="73">
        <v>2</v>
      </c>
      <c r="F38" s="74"/>
      <c r="G38" s="75"/>
      <c r="H38" s="76"/>
      <c r="I38" s="77"/>
      <c r="J38" s="78"/>
      <c r="K38" s="79">
        <f>N38</f>
        <v>-2.6810000000000005</v>
      </c>
      <c r="L38" s="77">
        <v>-2.681</v>
      </c>
      <c r="M38" s="80">
        <f>G39*SIN(RADIANS(L38))</f>
        <v>-0.19509937462921001</v>
      </c>
      <c r="N38" s="81">
        <f>DEGREES(ASIN((M38+O38)/G39))</f>
        <v>-2.6810000000000005</v>
      </c>
      <c r="O38" s="204">
        <v>0</v>
      </c>
      <c r="P38" s="190" t="s">
        <v>91</v>
      </c>
      <c r="Q38" s="33"/>
      <c r="R38" s="32"/>
    </row>
    <row r="39" spans="1:18" ht="14.25" thickTop="1" thickBot="1">
      <c r="A39" s="34" t="str">
        <f t="shared" si="2"/>
        <v/>
      </c>
      <c r="B39" s="439"/>
      <c r="C39" s="441"/>
      <c r="D39" s="82">
        <f>D38+0.0001</f>
        <v>2.1432000000000002</v>
      </c>
      <c r="E39" s="83">
        <f>D38</f>
        <v>2.1431</v>
      </c>
      <c r="F39" s="84"/>
      <c r="G39" s="85">
        <v>4.1710000000000003</v>
      </c>
      <c r="H39" s="86">
        <v>-1.8631</v>
      </c>
      <c r="I39" s="87">
        <v>-65</v>
      </c>
      <c r="J39" s="88">
        <v>30</v>
      </c>
      <c r="K39" s="89">
        <v>-8.2439999999999998</v>
      </c>
      <c r="L39" s="87"/>
      <c r="M39" s="90"/>
      <c r="N39" s="91"/>
      <c r="O39" s="205"/>
      <c r="P39" s="191" t="s">
        <v>101</v>
      </c>
      <c r="Q39" s="33"/>
      <c r="R39" s="32"/>
    </row>
    <row r="40" spans="1:18" ht="13.5" thickBot="1">
      <c r="A40" s="34" t="str">
        <f t="shared" si="0"/>
        <v>02</v>
      </c>
      <c r="B40" s="478">
        <v>3.1019999999999999</v>
      </c>
      <c r="C40" s="479" t="s">
        <v>10</v>
      </c>
      <c r="D40" s="206">
        <f>B40+0.0001</f>
        <v>3.1021000000000001</v>
      </c>
      <c r="E40" s="207">
        <v>3</v>
      </c>
      <c r="F40" s="208"/>
      <c r="G40" s="209"/>
      <c r="H40" s="210"/>
      <c r="I40" s="211"/>
      <c r="J40" s="212"/>
      <c r="K40" s="213">
        <f>N40</f>
        <v>0</v>
      </c>
      <c r="L40" s="211">
        <v>0</v>
      </c>
      <c r="M40" s="214">
        <f>G41*SIN(RADIANS(L40))</f>
        <v>0</v>
      </c>
      <c r="N40" s="215">
        <f>DEGREES(ASIN((M40+O40)/G41))</f>
        <v>0</v>
      </c>
      <c r="O40" s="216">
        <v>0</v>
      </c>
      <c r="P40" s="190" t="s">
        <v>92</v>
      </c>
    </row>
    <row r="41" spans="1:18" ht="13.5" thickTop="1">
      <c r="A41" s="34" t="str">
        <f t="shared" si="0"/>
        <v/>
      </c>
      <c r="B41" s="442"/>
      <c r="C41" s="443"/>
      <c r="D41" s="30">
        <f>D40+0.0001</f>
        <v>3.1022000000000003</v>
      </c>
      <c r="E41" s="31">
        <f>D40</f>
        <v>3.1021000000000001</v>
      </c>
      <c r="F41" s="96"/>
      <c r="G41" s="97">
        <v>0.62770000000000004</v>
      </c>
      <c r="H41" s="98">
        <v>-0.2243</v>
      </c>
      <c r="I41" s="99">
        <v>10</v>
      </c>
      <c r="J41" s="100">
        <v>17.5</v>
      </c>
      <c r="K41" s="101"/>
      <c r="L41" s="99"/>
      <c r="M41" s="102"/>
      <c r="N41" s="103"/>
      <c r="O41" s="217"/>
      <c r="P41" s="191" t="s">
        <v>102</v>
      </c>
    </row>
    <row r="42" spans="1:18" s="4" customFormat="1" ht="13.5" thickBot="1">
      <c r="A42" s="34" t="str">
        <f t="shared" si="0"/>
        <v>04</v>
      </c>
      <c r="B42" s="429">
        <v>3.1040000000000001</v>
      </c>
      <c r="C42" s="431" t="s">
        <v>10</v>
      </c>
      <c r="D42" s="28">
        <f>B42+0.0001</f>
        <v>3.1041000000000003</v>
      </c>
      <c r="E42" s="29">
        <v>3</v>
      </c>
      <c r="F42" s="57"/>
      <c r="G42" s="58"/>
      <c r="H42" s="59"/>
      <c r="I42" s="60"/>
      <c r="J42" s="61"/>
      <c r="K42" s="62">
        <f>N42</f>
        <v>0</v>
      </c>
      <c r="L42" s="60">
        <v>0</v>
      </c>
      <c r="M42" s="92">
        <f>G43*SIN(RADIANS(L42))</f>
        <v>0</v>
      </c>
      <c r="N42" s="93">
        <f>DEGREES(ASIN((M42+O42)/G43))</f>
        <v>0</v>
      </c>
      <c r="O42" s="203">
        <v>0</v>
      </c>
      <c r="P42" s="190" t="s">
        <v>88</v>
      </c>
    </row>
    <row r="43" spans="1:18" ht="13.5" thickTop="1">
      <c r="A43" s="34" t="str">
        <f t="shared" si="0"/>
        <v/>
      </c>
      <c r="B43" s="429"/>
      <c r="C43" s="431"/>
      <c r="D43" s="28">
        <f>D42+0.0001</f>
        <v>3.1042000000000005</v>
      </c>
      <c r="E43" s="29">
        <f>D42</f>
        <v>3.1041000000000003</v>
      </c>
      <c r="F43" s="57"/>
      <c r="G43" s="58">
        <v>1.2927</v>
      </c>
      <c r="H43" s="59">
        <v>-0.107</v>
      </c>
      <c r="I43" s="60">
        <v>10</v>
      </c>
      <c r="J43" s="61">
        <v>17.5</v>
      </c>
      <c r="K43" s="66"/>
      <c r="L43" s="60"/>
      <c r="M43" s="94"/>
      <c r="N43" s="95"/>
      <c r="O43" s="203"/>
      <c r="P43" s="191" t="s">
        <v>103</v>
      </c>
    </row>
    <row r="44" spans="1:18" ht="13.5" thickBot="1">
      <c r="A44" s="34" t="str">
        <f t="shared" si="0"/>
        <v>07</v>
      </c>
      <c r="B44" s="442">
        <v>3.1070000000000002</v>
      </c>
      <c r="C44" s="443" t="s">
        <v>10</v>
      </c>
      <c r="D44" s="30">
        <f>B44+0.0001</f>
        <v>3.1071000000000004</v>
      </c>
      <c r="E44" s="31">
        <v>3</v>
      </c>
      <c r="F44" s="96"/>
      <c r="G44" s="97"/>
      <c r="H44" s="98"/>
      <c r="I44" s="99"/>
      <c r="J44" s="100"/>
      <c r="K44" s="104">
        <f>N44</f>
        <v>-1.0900000000000001</v>
      </c>
      <c r="L44" s="99">
        <v>-1.0900000000000001</v>
      </c>
      <c r="M44" s="105">
        <f>G45*SIN(RADIANS(L44))</f>
        <v>-3.7813802810132906E-2</v>
      </c>
      <c r="N44" s="106">
        <f>DEGREES(ASIN((M44+O44)/G45))</f>
        <v>-1.0900000000000001</v>
      </c>
      <c r="O44" s="217">
        <v>0</v>
      </c>
      <c r="P44" s="190" t="s">
        <v>93</v>
      </c>
    </row>
    <row r="45" spans="1:18" ht="13.5" thickTop="1">
      <c r="A45" s="34" t="str">
        <f t="shared" si="0"/>
        <v/>
      </c>
      <c r="B45" s="442"/>
      <c r="C45" s="443"/>
      <c r="D45" s="30">
        <f>D44+0.0001</f>
        <v>3.1072000000000006</v>
      </c>
      <c r="E45" s="31">
        <f>D44</f>
        <v>3.1071000000000004</v>
      </c>
      <c r="F45" s="96"/>
      <c r="G45" s="97">
        <v>1.9878</v>
      </c>
      <c r="H45" s="98">
        <v>-7.2599999999999998E-2</v>
      </c>
      <c r="I45" s="99">
        <v>-8.6999999999999993</v>
      </c>
      <c r="J45" s="100">
        <v>18</v>
      </c>
      <c r="K45" s="101">
        <v>-4.38</v>
      </c>
      <c r="L45" s="99"/>
      <c r="M45" s="102"/>
      <c r="N45" s="103"/>
      <c r="O45" s="217"/>
      <c r="P45" s="191" t="s">
        <v>104</v>
      </c>
    </row>
    <row r="46" spans="1:18" ht="13.5" thickBot="1">
      <c r="A46" s="34" t="str">
        <f t="shared" si="0"/>
        <v>11</v>
      </c>
      <c r="B46" s="429">
        <v>3.1110000000000002</v>
      </c>
      <c r="C46" s="430" t="s">
        <v>10</v>
      </c>
      <c r="D46" s="28">
        <f>B46+0.0001</f>
        <v>3.1111000000000004</v>
      </c>
      <c r="E46" s="29">
        <v>3</v>
      </c>
      <c r="F46" s="57"/>
      <c r="G46" s="58"/>
      <c r="H46" s="59"/>
      <c r="I46" s="60"/>
      <c r="J46" s="61"/>
      <c r="K46" s="62">
        <f>N46</f>
        <v>-2.17</v>
      </c>
      <c r="L46" s="60">
        <v>-2.17</v>
      </c>
      <c r="M46" s="92">
        <f>G47*SIN(RADIANS(L46))</f>
        <v>-9.8126087601833764E-2</v>
      </c>
      <c r="N46" s="93">
        <f>DEGREES(ASIN((M46+O46)/G47))</f>
        <v>-2.17</v>
      </c>
      <c r="O46" s="203">
        <v>0</v>
      </c>
      <c r="P46" s="190" t="s">
        <v>94</v>
      </c>
    </row>
    <row r="47" spans="1:18" ht="13.5" thickTop="1">
      <c r="A47" s="34" t="str">
        <f t="shared" si="0"/>
        <v/>
      </c>
      <c r="B47" s="429"/>
      <c r="C47" s="431"/>
      <c r="D47" s="28">
        <f>D46+0.0001</f>
        <v>3.1112000000000006</v>
      </c>
      <c r="E47" s="29">
        <f>D46</f>
        <v>3.1111000000000004</v>
      </c>
      <c r="F47" s="57"/>
      <c r="G47" s="58">
        <v>2.5914999999999999</v>
      </c>
      <c r="H47" s="59">
        <v>-0.4556</v>
      </c>
      <c r="I47" s="60">
        <v>-35.4</v>
      </c>
      <c r="J47" s="61">
        <v>22</v>
      </c>
      <c r="K47" s="66">
        <v>-7.06</v>
      </c>
      <c r="L47" s="60"/>
      <c r="M47" s="94"/>
      <c r="N47" s="95"/>
      <c r="O47" s="203"/>
      <c r="P47" s="191" t="s">
        <v>106</v>
      </c>
    </row>
    <row r="48" spans="1:18" ht="13.5" thickBot="1">
      <c r="A48" s="34" t="str">
        <f t="shared" si="0"/>
        <v>15</v>
      </c>
      <c r="B48" s="442">
        <v>3.1150000000000002</v>
      </c>
      <c r="C48" s="443" t="s">
        <v>10</v>
      </c>
      <c r="D48" s="30">
        <f>B48+0.0001</f>
        <v>3.1151000000000004</v>
      </c>
      <c r="E48" s="31">
        <v>3</v>
      </c>
      <c r="F48" s="96"/>
      <c r="G48" s="97"/>
      <c r="H48" s="98"/>
      <c r="I48" s="99"/>
      <c r="J48" s="100"/>
      <c r="K48" s="104">
        <f>N48</f>
        <v>-2.6</v>
      </c>
      <c r="L48" s="99">
        <v>-2.6</v>
      </c>
      <c r="M48" s="105">
        <f>G49*SIN(RADIANS(L48))</f>
        <v>-0.12782382795061131</v>
      </c>
      <c r="N48" s="106">
        <f>DEGREES(ASIN((M48+O48)/G49))</f>
        <v>-2.6</v>
      </c>
      <c r="O48" s="217">
        <v>0</v>
      </c>
      <c r="P48" s="190" t="s">
        <v>105</v>
      </c>
    </row>
    <row r="49" spans="1:16" ht="13.5" thickTop="1">
      <c r="A49" s="34" t="str">
        <f t="shared" si="0"/>
        <v/>
      </c>
      <c r="B49" s="442"/>
      <c r="C49" s="443"/>
      <c r="D49" s="30">
        <f>D48+0.0001</f>
        <v>3.1152000000000006</v>
      </c>
      <c r="E49" s="31">
        <f>D48</f>
        <v>3.1151000000000004</v>
      </c>
      <c r="F49" s="96"/>
      <c r="G49" s="97">
        <v>2.8178000000000001</v>
      </c>
      <c r="H49" s="98">
        <v>-1.1163000000000001</v>
      </c>
      <c r="I49" s="99">
        <v>-62.2</v>
      </c>
      <c r="J49" s="100">
        <v>26</v>
      </c>
      <c r="K49" s="101">
        <v>-8.06</v>
      </c>
      <c r="L49" s="99"/>
      <c r="M49" s="102"/>
      <c r="N49" s="103"/>
      <c r="O49" s="217"/>
      <c r="P49" s="191" t="s">
        <v>107</v>
      </c>
    </row>
    <row r="50" spans="1:16" ht="13.5" thickBot="1">
      <c r="A50" s="34" t="str">
        <f t="shared" si="0"/>
        <v>19</v>
      </c>
      <c r="B50" s="429">
        <v>3.1190000000000002</v>
      </c>
      <c r="C50" s="431" t="s">
        <v>10</v>
      </c>
      <c r="D50" s="28">
        <f>B50+0.0001</f>
        <v>3.1191000000000004</v>
      </c>
      <c r="E50" s="29">
        <v>3</v>
      </c>
      <c r="F50" s="57"/>
      <c r="G50" s="58"/>
      <c r="H50" s="59"/>
      <c r="I50" s="60"/>
      <c r="J50" s="61"/>
      <c r="K50" s="62">
        <f>N50</f>
        <v>-2.6800000000000006</v>
      </c>
      <c r="L50" s="60">
        <v>-2.68</v>
      </c>
      <c r="M50" s="92">
        <f>G51*SIN(RADIANS(L50))</f>
        <v>-0.13364305679397789</v>
      </c>
      <c r="N50" s="93">
        <f>DEGREES(ASIN((M50+O50)/G51))</f>
        <v>-2.6800000000000006</v>
      </c>
      <c r="O50" s="203">
        <v>0</v>
      </c>
      <c r="P50" s="190" t="s">
        <v>109</v>
      </c>
    </row>
    <row r="51" spans="1:16" ht="13.5" thickTop="1">
      <c r="A51" s="34" t="str">
        <f t="shared" si="0"/>
        <v/>
      </c>
      <c r="B51" s="429"/>
      <c r="C51" s="431"/>
      <c r="D51" s="28">
        <f>D50+0.0001</f>
        <v>3.1192000000000006</v>
      </c>
      <c r="E51" s="29">
        <f>D50</f>
        <v>3.1191000000000004</v>
      </c>
      <c r="F51" s="57"/>
      <c r="G51" s="58">
        <v>2.8582000000000001</v>
      </c>
      <c r="H51" s="59">
        <v>-1.7284999999999999</v>
      </c>
      <c r="I51" s="60">
        <v>-65</v>
      </c>
      <c r="J51" s="61">
        <v>30</v>
      </c>
      <c r="K51" s="66">
        <v>-8.24</v>
      </c>
      <c r="L51" s="60"/>
      <c r="M51" s="94"/>
      <c r="N51" s="95"/>
      <c r="O51" s="203"/>
      <c r="P51" s="191" t="s">
        <v>108</v>
      </c>
    </row>
    <row r="52" spans="1:16" ht="13.5" thickBot="1">
      <c r="A52" s="34" t="str">
        <f t="shared" si="0"/>
        <v>30</v>
      </c>
      <c r="B52" s="442">
        <v>3.13</v>
      </c>
      <c r="C52" s="443" t="s">
        <v>10</v>
      </c>
      <c r="D52" s="30">
        <f>B52+0.0001</f>
        <v>3.1301000000000001</v>
      </c>
      <c r="E52" s="31">
        <v>3</v>
      </c>
      <c r="F52" s="96"/>
      <c r="G52" s="97"/>
      <c r="H52" s="98"/>
      <c r="I52" s="99"/>
      <c r="J52" s="100"/>
      <c r="K52" s="104">
        <f>N52</f>
        <v>-1.5</v>
      </c>
      <c r="L52" s="99">
        <v>-1.5</v>
      </c>
      <c r="M52" s="105">
        <f>G53*SIN(RADIANS(L52))</f>
        <v>-0.10014515114143031</v>
      </c>
      <c r="N52" s="106">
        <f>DEGREES(ASIN((M52+O52)/G53))</f>
        <v>-1.5</v>
      </c>
      <c r="O52" s="217">
        <v>0</v>
      </c>
      <c r="P52" s="190" t="s">
        <v>110</v>
      </c>
    </row>
    <row r="53" spans="1:16" ht="13.5" thickTop="1">
      <c r="A53" s="34" t="str">
        <f t="shared" si="0"/>
        <v/>
      </c>
      <c r="B53" s="442"/>
      <c r="C53" s="443"/>
      <c r="D53" s="30">
        <f>D52+0.0001</f>
        <v>3.1302000000000003</v>
      </c>
      <c r="E53" s="31">
        <f>D52</f>
        <v>3.1301000000000001</v>
      </c>
      <c r="F53" s="96"/>
      <c r="G53" s="97">
        <v>3.8256999999999999</v>
      </c>
      <c r="H53" s="98">
        <v>-0.6663</v>
      </c>
      <c r="I53" s="99">
        <v>-37.4</v>
      </c>
      <c r="J53" s="100">
        <v>25</v>
      </c>
      <c r="K53" s="101">
        <v>-7.53</v>
      </c>
      <c r="L53" s="99"/>
      <c r="M53" s="102"/>
      <c r="N53" s="103"/>
      <c r="O53" s="217"/>
      <c r="P53" s="191" t="s">
        <v>73</v>
      </c>
    </row>
    <row r="54" spans="1:16" ht="13.5" thickBot="1">
      <c r="A54" s="34" t="str">
        <f t="shared" si="0"/>
        <v>36</v>
      </c>
      <c r="B54" s="429">
        <v>3.1360000000000001</v>
      </c>
      <c r="C54" s="431" t="s">
        <v>10</v>
      </c>
      <c r="D54" s="28">
        <f>B54+0.0001</f>
        <v>3.1361000000000003</v>
      </c>
      <c r="E54" s="29">
        <v>3</v>
      </c>
      <c r="F54" s="57"/>
      <c r="G54" s="58"/>
      <c r="H54" s="59"/>
      <c r="I54" s="60"/>
      <c r="J54" s="61"/>
      <c r="K54" s="62">
        <f>N54</f>
        <v>-1.93</v>
      </c>
      <c r="L54" s="60">
        <v>-1.93</v>
      </c>
      <c r="M54" s="92">
        <f>G55*SIN(RADIANS(L54))</f>
        <v>-0.13801106257143339</v>
      </c>
      <c r="N54" s="93">
        <f>DEGREES(ASIN((M54+O54)/G55))</f>
        <v>-1.93</v>
      </c>
      <c r="O54" s="203">
        <v>0</v>
      </c>
      <c r="P54" s="238" t="s">
        <v>84</v>
      </c>
    </row>
    <row r="55" spans="1:16" ht="13.5" thickTop="1">
      <c r="A55" s="34" t="str">
        <f t="shared" si="0"/>
        <v/>
      </c>
      <c r="B55" s="429"/>
      <c r="C55" s="431"/>
      <c r="D55" s="28">
        <f>D54+0.0001</f>
        <v>3.1362000000000005</v>
      </c>
      <c r="E55" s="29">
        <f>D54</f>
        <v>3.1361000000000003</v>
      </c>
      <c r="F55" s="57"/>
      <c r="G55" s="58">
        <v>4.0979000000000001</v>
      </c>
      <c r="H55" s="59">
        <v>-1.1715</v>
      </c>
      <c r="I55" s="60">
        <v>-51.8</v>
      </c>
      <c r="J55" s="61">
        <v>28</v>
      </c>
      <c r="K55" s="66">
        <v>-8.65</v>
      </c>
      <c r="L55" s="60"/>
      <c r="M55" s="94"/>
      <c r="N55" s="95"/>
      <c r="O55" s="203"/>
      <c r="P55" s="191" t="s">
        <v>74</v>
      </c>
    </row>
    <row r="56" spans="1:16" ht="13.5" thickBot="1">
      <c r="A56" s="34" t="str">
        <f t="shared" ref="A56:A57" si="3">IF(B56="","",RIGHT(TEXT(B56,"#.000"),2))</f>
        <v>42</v>
      </c>
      <c r="B56" s="442">
        <v>3.1419999999999999</v>
      </c>
      <c r="C56" s="443" t="s">
        <v>10</v>
      </c>
      <c r="D56" s="30">
        <f>B56+0.0001</f>
        <v>3.1421000000000001</v>
      </c>
      <c r="E56" s="31">
        <v>3</v>
      </c>
      <c r="F56" s="96"/>
      <c r="G56" s="97"/>
      <c r="H56" s="98"/>
      <c r="I56" s="99"/>
      <c r="J56" s="100"/>
      <c r="K56" s="104">
        <f>N56</f>
        <v>-2.0499999999999998</v>
      </c>
      <c r="L56" s="99">
        <v>-2.0499999999999998</v>
      </c>
      <c r="M56" s="105">
        <f>G57*SIN(RADIANS(L56))</f>
        <v>-0.14920341169303314</v>
      </c>
      <c r="N56" s="106">
        <f>DEGREES(ASIN((M56+O56)/G57))</f>
        <v>-2.0499999999999998</v>
      </c>
      <c r="O56" s="217">
        <v>0</v>
      </c>
      <c r="P56" s="190" t="s">
        <v>85</v>
      </c>
    </row>
    <row r="57" spans="1:16" ht="14.25" thickTop="1" thickBot="1">
      <c r="A57" s="34" t="str">
        <f t="shared" si="3"/>
        <v/>
      </c>
      <c r="B57" s="442"/>
      <c r="C57" s="443"/>
      <c r="D57" s="30">
        <f>D56+0.0001</f>
        <v>3.1422000000000003</v>
      </c>
      <c r="E57" s="31">
        <f>D56</f>
        <v>3.1421000000000001</v>
      </c>
      <c r="F57" s="96"/>
      <c r="G57" s="97">
        <v>4.1710000000000003</v>
      </c>
      <c r="H57" s="98">
        <v>-1.7776000000000001</v>
      </c>
      <c r="I57" s="99">
        <v>-65</v>
      </c>
      <c r="J57" s="100">
        <v>30</v>
      </c>
      <c r="K57" s="101">
        <v>-8.9600000000000009</v>
      </c>
      <c r="L57" s="99"/>
      <c r="M57" s="102"/>
      <c r="N57" s="103"/>
      <c r="O57" s="217"/>
      <c r="P57" s="191" t="s">
        <v>75</v>
      </c>
    </row>
    <row r="58" spans="1:16" ht="13.5" thickBot="1">
      <c r="A58" s="34" t="str">
        <f t="shared" si="0"/>
        <v>17</v>
      </c>
      <c r="B58" s="445">
        <v>4.117</v>
      </c>
      <c r="C58" s="450" t="s">
        <v>10</v>
      </c>
      <c r="D58" s="192">
        <f>B58+0.0001</f>
        <v>4.1170999999999998</v>
      </c>
      <c r="E58" s="193">
        <v>4</v>
      </c>
      <c r="F58" s="194"/>
      <c r="G58" s="195"/>
      <c r="H58" s="196"/>
      <c r="I58" s="197"/>
      <c r="J58" s="198"/>
      <c r="K58" s="199">
        <f>N58</f>
        <v>-0.19000000000000003</v>
      </c>
      <c r="L58" s="197">
        <v>-0.19</v>
      </c>
      <c r="M58" s="218">
        <f>G59*SIN(RADIANS(L58))</f>
        <v>-9.168407196528023E-3</v>
      </c>
      <c r="N58" s="219">
        <f>DEGREES(ASIN((M58+O58)/G59))</f>
        <v>-0.19000000000000003</v>
      </c>
      <c r="O58" s="220">
        <v>0</v>
      </c>
      <c r="P58" s="190" t="s">
        <v>86</v>
      </c>
    </row>
    <row r="59" spans="1:16" ht="13.5" thickTop="1">
      <c r="A59" s="34" t="str">
        <f t="shared" si="0"/>
        <v/>
      </c>
      <c r="B59" s="444"/>
      <c r="C59" s="431"/>
      <c r="D59" s="28">
        <f>D58+0.0001</f>
        <v>4.1171999999999995</v>
      </c>
      <c r="E59" s="29">
        <f>D58</f>
        <v>4.1170999999999998</v>
      </c>
      <c r="F59" s="57"/>
      <c r="G59" s="58">
        <v>2.7648000000000001</v>
      </c>
      <c r="H59" s="59">
        <v>-4.7800000000000002E-2</v>
      </c>
      <c r="I59" s="60">
        <v>-5.9</v>
      </c>
      <c r="J59" s="61">
        <v>20</v>
      </c>
      <c r="K59" s="66">
        <v>-3.15</v>
      </c>
      <c r="L59" s="60"/>
      <c r="M59" s="67"/>
      <c r="N59" s="68"/>
      <c r="O59" s="221"/>
      <c r="P59" s="191" t="s">
        <v>76</v>
      </c>
    </row>
    <row r="60" spans="1:16" ht="13.5" thickBot="1">
      <c r="A60" s="34" t="str">
        <f t="shared" si="0"/>
        <v>23</v>
      </c>
      <c r="B60" s="446">
        <v>4.1230000000000002</v>
      </c>
      <c r="C60" s="448" t="s">
        <v>10</v>
      </c>
      <c r="D60" s="107">
        <f>B60+0.0001</f>
        <v>4.1231</v>
      </c>
      <c r="E60" s="108">
        <v>4</v>
      </c>
      <c r="F60" s="109"/>
      <c r="G60" s="110"/>
      <c r="H60" s="111"/>
      <c r="I60" s="112"/>
      <c r="J60" s="113"/>
      <c r="K60" s="114">
        <f>N60</f>
        <v>-0.8</v>
      </c>
      <c r="L60" s="112">
        <v>-0.8</v>
      </c>
      <c r="M60" s="115">
        <f>G61*SIN(RADIANS(L60))</f>
        <v>-2.5240829617106823E-2</v>
      </c>
      <c r="N60" s="116">
        <f>DEGREES(ASIN((M60+O60)/G61))</f>
        <v>-0.8</v>
      </c>
      <c r="O60" s="222">
        <v>0</v>
      </c>
      <c r="P60" s="190" t="s">
        <v>118</v>
      </c>
    </row>
    <row r="61" spans="1:16" ht="13.5" thickTop="1">
      <c r="A61" s="34" t="str">
        <f t="shared" si="0"/>
        <v/>
      </c>
      <c r="B61" s="447"/>
      <c r="C61" s="449"/>
      <c r="D61" s="117">
        <f>D60+0.0001</f>
        <v>4.1231999999999998</v>
      </c>
      <c r="E61" s="118">
        <f>D60</f>
        <v>4.1231</v>
      </c>
      <c r="F61" s="119"/>
      <c r="G61" s="120">
        <v>1.8078000000000001</v>
      </c>
      <c r="H61" s="121">
        <v>-4.6199999999999998E-2</v>
      </c>
      <c r="I61" s="122">
        <v>-2.1</v>
      </c>
      <c r="J61" s="123">
        <v>17.5</v>
      </c>
      <c r="K61" s="124">
        <v>-3.5790000000000002</v>
      </c>
      <c r="L61" s="122"/>
      <c r="M61" s="125"/>
      <c r="N61" s="126"/>
      <c r="O61" s="223"/>
      <c r="P61" s="191" t="s">
        <v>77</v>
      </c>
    </row>
    <row r="62" spans="1:16" ht="13.5" thickBot="1">
      <c r="A62" s="34" t="str">
        <f t="shared" si="0"/>
        <v>29</v>
      </c>
      <c r="B62" s="444">
        <v>4.1289999999999996</v>
      </c>
      <c r="C62" s="430" t="s">
        <v>10</v>
      </c>
      <c r="D62" s="28">
        <f>B62+0.0001</f>
        <v>4.1290999999999993</v>
      </c>
      <c r="E62" s="29">
        <v>4</v>
      </c>
      <c r="F62" s="57"/>
      <c r="G62" s="58"/>
      <c r="H62" s="59"/>
      <c r="I62" s="60"/>
      <c r="J62" s="61"/>
      <c r="K62" s="62">
        <f>N62</f>
        <v>-1.9350000000000001</v>
      </c>
      <c r="L62" s="60">
        <v>-1.9350000000000001</v>
      </c>
      <c r="M62" s="63">
        <f>G63*SIN(RADIANS(L62))</f>
        <v>-8.3303362315596582E-2</v>
      </c>
      <c r="N62" s="64">
        <f>DEGREES(ASIN((M62+O62)/G63))</f>
        <v>-1.9350000000000001</v>
      </c>
      <c r="O62" s="221">
        <v>0</v>
      </c>
      <c r="P62" s="190" t="s">
        <v>119</v>
      </c>
    </row>
    <row r="63" spans="1:16" ht="13.5" thickTop="1">
      <c r="A63" s="34" t="str">
        <f t="shared" si="0"/>
        <v/>
      </c>
      <c r="B63" s="444"/>
      <c r="C63" s="431"/>
      <c r="D63" s="28">
        <f>D62+0.0001</f>
        <v>4.1291999999999991</v>
      </c>
      <c r="E63" s="29">
        <f>D62</f>
        <v>4.1290999999999993</v>
      </c>
      <c r="F63" s="57"/>
      <c r="G63" s="58">
        <v>2.4670999999999998</v>
      </c>
      <c r="H63" s="59">
        <v>-0.32219999999999999</v>
      </c>
      <c r="I63" s="60">
        <v>-28.6</v>
      </c>
      <c r="J63" s="61">
        <v>21</v>
      </c>
      <c r="K63" s="66">
        <v>-6.5049999999999999</v>
      </c>
      <c r="L63" s="60"/>
      <c r="M63" s="67"/>
      <c r="N63" s="68"/>
      <c r="O63" s="221"/>
      <c r="P63" s="191" t="s">
        <v>78</v>
      </c>
    </row>
    <row r="64" spans="1:16" ht="13.5" thickBot="1">
      <c r="A64" s="34" t="str">
        <f t="shared" si="0"/>
        <v>35</v>
      </c>
      <c r="B64" s="446">
        <v>4.1349999999999998</v>
      </c>
      <c r="C64" s="448" t="s">
        <v>10</v>
      </c>
      <c r="D64" s="107">
        <f>B64+0.0001</f>
        <v>4.1350999999999996</v>
      </c>
      <c r="E64" s="108">
        <v>4</v>
      </c>
      <c r="F64" s="109"/>
      <c r="G64" s="110"/>
      <c r="H64" s="111"/>
      <c r="I64" s="112"/>
      <c r="J64" s="113"/>
      <c r="K64" s="114">
        <f>N64</f>
        <v>-2.5272000000000001</v>
      </c>
      <c r="L64" s="112">
        <v>-2.5272000000000001</v>
      </c>
      <c r="M64" s="115">
        <f>G65*SIN(RADIANS(L64))</f>
        <v>-0.12356807320858408</v>
      </c>
      <c r="N64" s="116">
        <f>DEGREES(ASIN((M64+O64)/G65))</f>
        <v>-2.5272000000000001</v>
      </c>
      <c r="O64" s="222">
        <v>0</v>
      </c>
      <c r="P64" s="190" t="s">
        <v>120</v>
      </c>
    </row>
    <row r="65" spans="1:18" ht="13.5" thickTop="1">
      <c r="A65" s="34" t="str">
        <f t="shared" si="0"/>
        <v/>
      </c>
      <c r="B65" s="447"/>
      <c r="C65" s="449"/>
      <c r="D65" s="117">
        <f>D64+0.0001</f>
        <v>4.1351999999999993</v>
      </c>
      <c r="E65" s="118">
        <f>D64</f>
        <v>4.1350999999999996</v>
      </c>
      <c r="F65" s="119"/>
      <c r="G65" s="120">
        <v>2.8024</v>
      </c>
      <c r="H65" s="121">
        <v>-0.92689999999999995</v>
      </c>
      <c r="I65" s="122">
        <v>-55</v>
      </c>
      <c r="J65" s="123">
        <v>25</v>
      </c>
      <c r="K65" s="124">
        <v>-7.9960000000000004</v>
      </c>
      <c r="L65" s="122"/>
      <c r="M65" s="125"/>
      <c r="N65" s="126"/>
      <c r="O65" s="223"/>
      <c r="P65" s="191" t="s">
        <v>79</v>
      </c>
    </row>
    <row r="66" spans="1:18" ht="13.5" thickBot="1">
      <c r="A66" s="34" t="str">
        <f t="shared" si="0"/>
        <v>41</v>
      </c>
      <c r="B66" s="444">
        <v>4.141</v>
      </c>
      <c r="C66" s="431" t="s">
        <v>10</v>
      </c>
      <c r="D66" s="28">
        <f>B66+0.0001</f>
        <v>4.1410999999999998</v>
      </c>
      <c r="E66" s="29">
        <v>4</v>
      </c>
      <c r="F66" s="57"/>
      <c r="G66" s="58"/>
      <c r="H66" s="59"/>
      <c r="I66" s="60"/>
      <c r="J66" s="61"/>
      <c r="K66" s="62">
        <f>N66</f>
        <v>-2.6810000000000009</v>
      </c>
      <c r="L66" s="60">
        <v>-2.681</v>
      </c>
      <c r="M66" s="63">
        <f>G67*SIN(RADIANS(L66))</f>
        <v>-0.13369288721294847</v>
      </c>
      <c r="N66" s="64">
        <f>DEGREES(ASIN((M66+O66)/G67))</f>
        <v>-2.6810000000000009</v>
      </c>
      <c r="O66" s="221">
        <v>0</v>
      </c>
      <c r="P66" s="190" t="s">
        <v>121</v>
      </c>
    </row>
    <row r="67" spans="1:18" ht="13.5" thickTop="1">
      <c r="A67" s="34" t="str">
        <f t="shared" si="0"/>
        <v/>
      </c>
      <c r="B67" s="444"/>
      <c r="C67" s="431"/>
      <c r="D67" s="28">
        <f>D66+0.0001</f>
        <v>4.1411999999999995</v>
      </c>
      <c r="E67" s="29">
        <f>D66</f>
        <v>4.1410999999999998</v>
      </c>
      <c r="F67" s="57"/>
      <c r="G67" s="58">
        <v>2.8582000000000001</v>
      </c>
      <c r="H67" s="59">
        <v>-1.5625</v>
      </c>
      <c r="I67" s="60">
        <v>-65</v>
      </c>
      <c r="J67" s="61">
        <v>30</v>
      </c>
      <c r="K67" s="66">
        <v>-8.2439999999999998</v>
      </c>
      <c r="L67" s="60"/>
      <c r="M67" s="67"/>
      <c r="N67" s="68"/>
      <c r="O67" s="221"/>
      <c r="P67" s="191" t="s">
        <v>80</v>
      </c>
    </row>
    <row r="68" spans="1:18" ht="13.5" thickBot="1">
      <c r="A68" s="34"/>
    </row>
    <row r="69" spans="1:18" ht="14.25" thickTop="1" thickBot="1">
      <c r="B69" s="458">
        <v>1.401</v>
      </c>
      <c r="C69" s="458" t="s">
        <v>19</v>
      </c>
      <c r="D69" s="35">
        <f>B69+0.0001</f>
        <v>1.4011</v>
      </c>
      <c r="E69" s="36">
        <v>1</v>
      </c>
      <c r="F69" s="37"/>
      <c r="G69" s="38"/>
      <c r="H69" s="39"/>
      <c r="I69" s="40"/>
      <c r="J69" s="41"/>
      <c r="K69" s="42">
        <v>-28</v>
      </c>
      <c r="L69" s="40"/>
      <c r="M69" s="43"/>
      <c r="N69" s="44"/>
      <c r="O69" s="45"/>
      <c r="P69" s="235"/>
      <c r="Q69" s="34"/>
      <c r="R69" s="224"/>
    </row>
    <row r="70" spans="1:18" ht="14.25" thickTop="1" thickBot="1">
      <c r="A70" s="34"/>
      <c r="B70" s="432"/>
      <c r="C70" s="432"/>
      <c r="D70" s="46">
        <f>D69+0.0001</f>
        <v>1.4012</v>
      </c>
      <c r="E70" s="47">
        <f>D69</f>
        <v>1.4011</v>
      </c>
      <c r="F70" s="48"/>
      <c r="G70" s="49">
        <v>3.0529999999999999</v>
      </c>
      <c r="H70" s="50">
        <v>-2.6080000000000001</v>
      </c>
      <c r="I70" s="51"/>
      <c r="J70" s="52"/>
      <c r="K70" s="53"/>
      <c r="L70" s="51"/>
      <c r="M70" s="54"/>
      <c r="N70" s="55"/>
      <c r="O70" s="56"/>
      <c r="P70" s="236"/>
      <c r="Q70" s="34"/>
      <c r="R70" s="224"/>
    </row>
    <row r="71" spans="1:18" ht="13.5" thickBot="1">
      <c r="A71" s="34"/>
      <c r="B71" s="461">
        <v>1.4039999999999999</v>
      </c>
      <c r="C71" s="461" t="s">
        <v>19</v>
      </c>
      <c r="D71" s="28">
        <f>B71+0.0001</f>
        <v>1.4040999999999999</v>
      </c>
      <c r="E71" s="29">
        <v>1</v>
      </c>
      <c r="F71" s="57"/>
      <c r="G71" s="58"/>
      <c r="H71" s="59"/>
      <c r="I71" s="60"/>
      <c r="J71" s="61"/>
      <c r="K71" s="62">
        <v>-35</v>
      </c>
      <c r="L71" s="60"/>
      <c r="M71" s="63"/>
      <c r="N71" s="64"/>
      <c r="O71" s="65"/>
      <c r="P71" s="237"/>
      <c r="Q71" s="34"/>
      <c r="R71" s="224"/>
    </row>
    <row r="72" spans="1:18" ht="14.25" thickTop="1" thickBot="1">
      <c r="A72" s="34"/>
      <c r="B72" s="461"/>
      <c r="C72" s="461"/>
      <c r="D72" s="28">
        <f>D71+0.0001</f>
        <v>1.4041999999999999</v>
      </c>
      <c r="E72" s="29">
        <f>D71</f>
        <v>1.4040999999999999</v>
      </c>
      <c r="F72" s="57"/>
      <c r="G72" s="58">
        <v>3.0529999999999999</v>
      </c>
      <c r="H72" s="59">
        <v>-3.5539999999999998</v>
      </c>
      <c r="I72" s="60"/>
      <c r="J72" s="61"/>
      <c r="K72" s="66"/>
      <c r="L72" s="60"/>
      <c r="M72" s="67"/>
      <c r="N72" s="68"/>
      <c r="O72" s="65"/>
      <c r="P72" s="236"/>
      <c r="Q72" s="34"/>
      <c r="R72" s="224"/>
    </row>
    <row r="73" spans="1:18" ht="14.25" thickTop="1" thickBot="1">
      <c r="A73" s="34"/>
      <c r="B73" s="433">
        <v>2.41</v>
      </c>
      <c r="C73" s="433" t="s">
        <v>19</v>
      </c>
      <c r="D73" s="295">
        <f>B73+0.0001</f>
        <v>2.4101000000000004</v>
      </c>
      <c r="E73" s="296">
        <v>2</v>
      </c>
      <c r="F73" s="297"/>
      <c r="G73" s="298"/>
      <c r="H73" s="299"/>
      <c r="I73" s="300"/>
      <c r="J73" s="301"/>
      <c r="K73" s="302">
        <v>-15</v>
      </c>
      <c r="L73" s="300"/>
      <c r="M73" s="303"/>
      <c r="N73" s="304"/>
      <c r="O73" s="305"/>
      <c r="P73" s="235"/>
      <c r="Q73" s="34"/>
      <c r="R73" s="224"/>
    </row>
    <row r="74" spans="1:18" ht="13.5" thickTop="1">
      <c r="A74" s="34"/>
      <c r="B74" s="434"/>
      <c r="C74" s="434"/>
      <c r="D74" s="82">
        <f>D73+0.0001</f>
        <v>2.4102000000000006</v>
      </c>
      <c r="E74" s="83">
        <f>D73</f>
        <v>2.4101000000000004</v>
      </c>
      <c r="F74" s="84"/>
      <c r="G74" s="85">
        <v>3.0529999999999999</v>
      </c>
      <c r="H74" s="86">
        <v>-2.1360000000000001</v>
      </c>
      <c r="I74" s="87"/>
      <c r="J74" s="88"/>
      <c r="K74" s="89"/>
      <c r="L74" s="87"/>
      <c r="M74" s="90"/>
      <c r="N74" s="91"/>
      <c r="O74" s="306"/>
      <c r="P74" s="236"/>
      <c r="Q74" s="34"/>
      <c r="R74" s="224"/>
    </row>
    <row r="75" spans="1:18" ht="13.5" thickBot="1">
      <c r="A75" s="34"/>
      <c r="B75" s="435">
        <v>2.415</v>
      </c>
      <c r="C75" s="435" t="s">
        <v>19</v>
      </c>
      <c r="D75" s="28">
        <f>B75+0.0001</f>
        <v>2.4151000000000002</v>
      </c>
      <c r="E75" s="29">
        <v>2</v>
      </c>
      <c r="F75" s="57"/>
      <c r="G75" s="58"/>
      <c r="H75" s="59"/>
      <c r="I75" s="60"/>
      <c r="J75" s="61"/>
      <c r="K75" s="62">
        <v>-21.5</v>
      </c>
      <c r="L75" s="60"/>
      <c r="M75" s="92"/>
      <c r="N75" s="93"/>
      <c r="O75" s="291"/>
      <c r="P75" s="235"/>
      <c r="Q75" s="34"/>
      <c r="R75" s="224"/>
    </row>
    <row r="76" spans="1:18" ht="14.25" thickTop="1" thickBot="1">
      <c r="A76" s="34"/>
      <c r="B76" s="435"/>
      <c r="C76" s="435"/>
      <c r="D76" s="28">
        <f>D75+0.0001</f>
        <v>2.4152000000000005</v>
      </c>
      <c r="E76" s="29">
        <f>D75</f>
        <v>2.4151000000000002</v>
      </c>
      <c r="F76" s="57"/>
      <c r="G76" s="58">
        <v>3.0529999999999999</v>
      </c>
      <c r="H76" s="59">
        <v>-3.081</v>
      </c>
      <c r="I76" s="60"/>
      <c r="J76" s="61"/>
      <c r="K76" s="66"/>
      <c r="L76" s="60"/>
      <c r="M76" s="94"/>
      <c r="N76" s="95"/>
      <c r="O76" s="291"/>
      <c r="P76" s="236"/>
      <c r="Q76" s="34"/>
      <c r="R76" s="224"/>
    </row>
    <row r="77" spans="1:18" ht="14.25" thickTop="1" thickBot="1">
      <c r="A77" s="34"/>
      <c r="B77" s="452">
        <v>3.403</v>
      </c>
      <c r="C77" s="452" t="s">
        <v>19</v>
      </c>
      <c r="D77" s="307">
        <f>B77+0.0001</f>
        <v>3.4031000000000002</v>
      </c>
      <c r="E77" s="308">
        <v>3</v>
      </c>
      <c r="F77" s="309"/>
      <c r="G77" s="310"/>
      <c r="H77" s="311"/>
      <c r="I77" s="312"/>
      <c r="J77" s="313"/>
      <c r="K77" s="314"/>
      <c r="L77" s="312"/>
      <c r="M77" s="315"/>
      <c r="N77" s="316"/>
      <c r="O77" s="317"/>
      <c r="P77" s="235"/>
      <c r="Q77" s="34"/>
      <c r="R77" s="224"/>
    </row>
    <row r="78" spans="1:18" ht="13.5" thickTop="1">
      <c r="A78" s="34"/>
      <c r="B78" s="455"/>
      <c r="C78" s="455"/>
      <c r="D78" s="30">
        <f>D77+0.0001</f>
        <v>3.4032000000000004</v>
      </c>
      <c r="E78" s="31">
        <f>D77</f>
        <v>3.4031000000000002</v>
      </c>
      <c r="F78" s="96"/>
      <c r="G78" s="97"/>
      <c r="H78" s="98"/>
      <c r="I78" s="99"/>
      <c r="J78" s="100"/>
      <c r="K78" s="101"/>
      <c r="L78" s="99"/>
      <c r="M78" s="102"/>
      <c r="N78" s="103"/>
      <c r="O78" s="318"/>
      <c r="P78" s="236"/>
      <c r="Q78" s="34"/>
      <c r="R78" s="224"/>
    </row>
    <row r="79" spans="1:18" ht="13.5" thickBot="1">
      <c r="A79" s="34"/>
      <c r="B79" s="435">
        <v>3.4060000000000001</v>
      </c>
      <c r="C79" s="435" t="s">
        <v>19</v>
      </c>
      <c r="D79" s="28">
        <f>B79+0.0001</f>
        <v>3.4061000000000003</v>
      </c>
      <c r="E79" s="29">
        <v>3</v>
      </c>
      <c r="F79" s="57"/>
      <c r="G79" s="58"/>
      <c r="H79" s="59"/>
      <c r="I79" s="60"/>
      <c r="J79" s="61"/>
      <c r="K79" s="62"/>
      <c r="L79" s="60"/>
      <c r="M79" s="92"/>
      <c r="N79" s="93"/>
      <c r="O79" s="291"/>
      <c r="P79" s="235"/>
      <c r="Q79" s="34"/>
      <c r="R79" s="224"/>
    </row>
    <row r="80" spans="1:18" ht="13.5" thickTop="1">
      <c r="A80" s="34"/>
      <c r="B80" s="435"/>
      <c r="C80" s="435"/>
      <c r="D80" s="28">
        <f>D79+0.0001</f>
        <v>3.4062000000000006</v>
      </c>
      <c r="E80" s="29">
        <f>D79</f>
        <v>3.4061000000000003</v>
      </c>
      <c r="F80" s="57"/>
      <c r="G80" s="58"/>
      <c r="H80" s="59"/>
      <c r="I80" s="60"/>
      <c r="J80" s="61"/>
      <c r="K80" s="66"/>
      <c r="L80" s="60"/>
      <c r="M80" s="94"/>
      <c r="N80" s="95"/>
      <c r="O80" s="291"/>
      <c r="P80" s="236"/>
      <c r="Q80" s="34"/>
      <c r="R80" s="224"/>
    </row>
    <row r="81" spans="1:18" ht="13.5" thickBot="1">
      <c r="A81" s="34"/>
      <c r="B81" s="456">
        <v>3.4089999999999998</v>
      </c>
      <c r="C81" s="456" t="s">
        <v>19</v>
      </c>
      <c r="D81" s="319">
        <f>B81+0.0001</f>
        <v>3.4091</v>
      </c>
      <c r="E81" s="320">
        <v>3</v>
      </c>
      <c r="F81" s="321"/>
      <c r="G81" s="322"/>
      <c r="H81" s="323"/>
      <c r="I81" s="324"/>
      <c r="J81" s="325"/>
      <c r="K81" s="326"/>
      <c r="L81" s="324"/>
      <c r="M81" s="327"/>
      <c r="N81" s="328"/>
      <c r="O81" s="329"/>
      <c r="P81" s="235"/>
      <c r="Q81" s="34"/>
      <c r="R81" s="224"/>
    </row>
    <row r="82" spans="1:18" ht="13.5" thickTop="1">
      <c r="A82" s="34"/>
      <c r="B82" s="455"/>
      <c r="C82" s="455"/>
      <c r="D82" s="30">
        <f>D81+0.0001</f>
        <v>3.4092000000000002</v>
      </c>
      <c r="E82" s="31">
        <f>D81</f>
        <v>3.4091</v>
      </c>
      <c r="F82" s="96"/>
      <c r="G82" s="97"/>
      <c r="H82" s="98"/>
      <c r="I82" s="99"/>
      <c r="J82" s="100"/>
      <c r="K82" s="101"/>
      <c r="L82" s="99"/>
      <c r="M82" s="102"/>
      <c r="N82" s="103"/>
      <c r="O82" s="318"/>
      <c r="P82" s="236"/>
      <c r="Q82" s="34"/>
      <c r="R82" s="224"/>
    </row>
    <row r="83" spans="1:18" ht="13.5" thickBot="1">
      <c r="A83" s="34"/>
      <c r="B83" s="435">
        <v>3.4140000000000001</v>
      </c>
      <c r="C83" s="435" t="s">
        <v>19</v>
      </c>
      <c r="D83" s="28">
        <f>B83+0.0001</f>
        <v>3.4141000000000004</v>
      </c>
      <c r="E83" s="29">
        <v>3</v>
      </c>
      <c r="F83" s="57"/>
      <c r="G83" s="58"/>
      <c r="H83" s="59"/>
      <c r="I83" s="60"/>
      <c r="J83" s="61"/>
      <c r="K83" s="62"/>
      <c r="L83" s="60"/>
      <c r="M83" s="92"/>
      <c r="N83" s="93"/>
      <c r="O83" s="291"/>
      <c r="P83" s="235"/>
      <c r="Q83" s="34"/>
      <c r="R83" s="224"/>
    </row>
    <row r="84" spans="1:18" ht="13.5" thickTop="1">
      <c r="A84" s="34"/>
      <c r="B84" s="457"/>
      <c r="C84" s="457"/>
      <c r="D84" s="225">
        <f>D83+0.0001</f>
        <v>3.4142000000000006</v>
      </c>
      <c r="E84" s="226">
        <f>D83</f>
        <v>3.4141000000000004</v>
      </c>
      <c r="F84" s="227"/>
      <c r="G84" s="228"/>
      <c r="H84" s="229"/>
      <c r="I84" s="230"/>
      <c r="J84" s="231"/>
      <c r="K84" s="232"/>
      <c r="L84" s="230"/>
      <c r="M84" s="233"/>
      <c r="N84" s="234"/>
      <c r="O84" s="424"/>
      <c r="P84" s="236"/>
      <c r="Q84" s="34"/>
      <c r="R84" s="224"/>
    </row>
    <row r="85" spans="1:18" ht="13.5" thickBot="1">
      <c r="A85" s="34"/>
      <c r="B85" s="455">
        <v>3.4089999999999998</v>
      </c>
      <c r="C85" s="455" t="s">
        <v>19</v>
      </c>
      <c r="D85" s="30">
        <f>B85+0.0001</f>
        <v>3.4091</v>
      </c>
      <c r="E85" s="31">
        <v>3</v>
      </c>
      <c r="F85" s="96"/>
      <c r="G85" s="97"/>
      <c r="H85" s="98"/>
      <c r="I85" s="99"/>
      <c r="J85" s="100"/>
      <c r="K85" s="104"/>
      <c r="L85" s="99"/>
      <c r="M85" s="105"/>
      <c r="N85" s="106"/>
      <c r="O85" s="318"/>
      <c r="P85" s="235"/>
      <c r="Q85" s="34"/>
      <c r="R85" s="224"/>
    </row>
    <row r="86" spans="1:18" ht="14.25" thickTop="1" thickBot="1">
      <c r="A86" s="34"/>
      <c r="B86" s="453"/>
      <c r="C86" s="453"/>
      <c r="D86" s="390">
        <f>D85+0.0001</f>
        <v>3.4092000000000002</v>
      </c>
      <c r="E86" s="391">
        <f>D85</f>
        <v>3.4091</v>
      </c>
      <c r="F86" s="392"/>
      <c r="G86" s="393"/>
      <c r="H86" s="394"/>
      <c r="I86" s="395"/>
      <c r="J86" s="396"/>
      <c r="K86" s="397"/>
      <c r="L86" s="395"/>
      <c r="M86" s="398"/>
      <c r="N86" s="399"/>
      <c r="O86" s="400"/>
      <c r="P86" s="236"/>
      <c r="Q86" s="34"/>
      <c r="R86" s="224"/>
    </row>
    <row r="87" spans="1:18" ht="14.25" thickTop="1" thickBot="1">
      <c r="A87" s="34"/>
      <c r="B87" s="437">
        <v>4.4020000000000001</v>
      </c>
      <c r="C87" s="437" t="s">
        <v>19</v>
      </c>
      <c r="D87" s="330">
        <f>B87+0.0001</f>
        <v>4.4020999999999999</v>
      </c>
      <c r="E87" s="331">
        <v>4</v>
      </c>
      <c r="F87" s="332"/>
      <c r="G87" s="333"/>
      <c r="H87" s="334"/>
      <c r="I87" s="335"/>
      <c r="J87" s="336"/>
      <c r="K87" s="337"/>
      <c r="L87" s="335"/>
      <c r="M87" s="338"/>
      <c r="N87" s="339"/>
      <c r="O87" s="340"/>
      <c r="P87" s="235"/>
      <c r="Q87" s="34"/>
      <c r="R87" s="224"/>
    </row>
    <row r="88" spans="1:18" ht="13.5" thickTop="1">
      <c r="A88" s="34"/>
      <c r="B88" s="425"/>
      <c r="C88" s="425"/>
      <c r="D88" s="117">
        <f>D87+0.0001</f>
        <v>4.4021999999999997</v>
      </c>
      <c r="E88" s="118">
        <f>D87</f>
        <v>4.4020999999999999</v>
      </c>
      <c r="F88" s="119"/>
      <c r="G88" s="120"/>
      <c r="H88" s="121"/>
      <c r="I88" s="122"/>
      <c r="J88" s="123"/>
      <c r="K88" s="124"/>
      <c r="L88" s="122"/>
      <c r="M88" s="125"/>
      <c r="N88" s="126"/>
      <c r="O88" s="341"/>
      <c r="P88" s="236"/>
      <c r="Q88" s="34"/>
      <c r="R88" s="224"/>
    </row>
    <row r="89" spans="1:18" ht="13.5" thickBot="1">
      <c r="A89" s="34"/>
      <c r="B89" s="435">
        <v>4.4050000000000002</v>
      </c>
      <c r="C89" s="435" t="s">
        <v>19</v>
      </c>
      <c r="D89" s="28">
        <f>B89+0.0001</f>
        <v>4.4051</v>
      </c>
      <c r="E89" s="29">
        <v>4</v>
      </c>
      <c r="F89" s="57"/>
      <c r="G89" s="58"/>
      <c r="H89" s="59"/>
      <c r="I89" s="60"/>
      <c r="J89" s="61"/>
      <c r="K89" s="62"/>
      <c r="L89" s="60"/>
      <c r="M89" s="92"/>
      <c r="N89" s="93"/>
      <c r="O89" s="291"/>
      <c r="P89" s="235"/>
      <c r="Q89" s="34"/>
      <c r="R89" s="224"/>
    </row>
    <row r="90" spans="1:18" ht="13.5" thickTop="1">
      <c r="A90" s="34"/>
      <c r="B90" s="435"/>
      <c r="C90" s="435"/>
      <c r="D90" s="28">
        <f>D89+0.0001</f>
        <v>4.4051999999999998</v>
      </c>
      <c r="E90" s="29">
        <f>D89</f>
        <v>4.4051</v>
      </c>
      <c r="F90" s="57"/>
      <c r="G90" s="58"/>
      <c r="H90" s="59"/>
      <c r="I90" s="60"/>
      <c r="J90" s="61"/>
      <c r="K90" s="66"/>
      <c r="L90" s="60"/>
      <c r="M90" s="94"/>
      <c r="N90" s="95"/>
      <c r="O90" s="291"/>
      <c r="P90" s="236"/>
      <c r="Q90" s="34"/>
      <c r="R90" s="224"/>
    </row>
    <row r="91" spans="1:18" ht="13.5" thickBot="1">
      <c r="A91" s="34"/>
      <c r="B91" s="425">
        <v>4.4080000000000004</v>
      </c>
      <c r="C91" s="425" t="s">
        <v>19</v>
      </c>
      <c r="D91" s="117">
        <f>B91+0.0001</f>
        <v>4.4081000000000001</v>
      </c>
      <c r="E91" s="118">
        <v>4</v>
      </c>
      <c r="F91" s="119"/>
      <c r="G91" s="120"/>
      <c r="H91" s="121"/>
      <c r="I91" s="122"/>
      <c r="J91" s="123"/>
      <c r="K91" s="342"/>
      <c r="L91" s="122"/>
      <c r="M91" s="343"/>
      <c r="N91" s="344"/>
      <c r="O91" s="341"/>
      <c r="P91" s="235"/>
      <c r="Q91" s="34"/>
      <c r="R91" s="224"/>
    </row>
    <row r="92" spans="1:18" ht="13.5" thickTop="1">
      <c r="A92" s="34"/>
      <c r="B92" s="425"/>
      <c r="C92" s="425"/>
      <c r="D92" s="117">
        <f>D91+0.0001</f>
        <v>4.4081999999999999</v>
      </c>
      <c r="E92" s="118">
        <f>D91</f>
        <v>4.4081000000000001</v>
      </c>
      <c r="F92" s="119"/>
      <c r="G92" s="120"/>
      <c r="H92" s="121"/>
      <c r="I92" s="122"/>
      <c r="J92" s="123"/>
      <c r="K92" s="124"/>
      <c r="L92" s="122"/>
      <c r="M92" s="125"/>
      <c r="N92" s="126"/>
      <c r="O92" s="341"/>
      <c r="P92" s="236"/>
      <c r="Q92" s="34"/>
      <c r="R92" s="224"/>
    </row>
    <row r="93" spans="1:18" ht="13.5" thickBot="1">
      <c r="A93" s="34"/>
      <c r="B93" s="435">
        <v>4.4130000000000003</v>
      </c>
      <c r="C93" s="435" t="s">
        <v>19</v>
      </c>
      <c r="D93" s="28">
        <f>B93+0.0001</f>
        <v>4.4131</v>
      </c>
      <c r="E93" s="29">
        <v>4</v>
      </c>
      <c r="F93" s="57"/>
      <c r="G93" s="58"/>
      <c r="H93" s="59"/>
      <c r="I93" s="60"/>
      <c r="J93" s="61"/>
      <c r="K93" s="62"/>
      <c r="L93" s="60"/>
      <c r="M93" s="92"/>
      <c r="N93" s="93"/>
      <c r="O93" s="291"/>
      <c r="P93" s="235"/>
      <c r="Q93" s="34"/>
      <c r="R93" s="224"/>
    </row>
    <row r="94" spans="1:18" ht="13.5" thickTop="1">
      <c r="A94" s="34"/>
      <c r="B94" s="457"/>
      <c r="C94" s="457"/>
      <c r="D94" s="225">
        <f>D93+0.0001</f>
        <v>4.4131999999999998</v>
      </c>
      <c r="E94" s="226">
        <f>D93</f>
        <v>4.4131</v>
      </c>
      <c r="F94" s="227"/>
      <c r="G94" s="228"/>
      <c r="H94" s="229"/>
      <c r="I94" s="230"/>
      <c r="J94" s="231"/>
      <c r="K94" s="232"/>
      <c r="L94" s="230"/>
      <c r="M94" s="233"/>
      <c r="N94" s="234"/>
      <c r="O94" s="424"/>
      <c r="P94" s="236"/>
      <c r="Q94" s="34"/>
      <c r="R94" s="224"/>
    </row>
    <row r="95" spans="1:18" ht="13.5" thickBot="1">
      <c r="A95" s="34"/>
      <c r="B95" s="425">
        <v>4.4080000000000004</v>
      </c>
      <c r="C95" s="425" t="s">
        <v>19</v>
      </c>
      <c r="D95" s="117">
        <f>B95+0.0001</f>
        <v>4.4081000000000001</v>
      </c>
      <c r="E95" s="118">
        <v>4</v>
      </c>
      <c r="F95" s="119"/>
      <c r="G95" s="120"/>
      <c r="H95" s="121"/>
      <c r="I95" s="122"/>
      <c r="J95" s="123"/>
      <c r="K95" s="342"/>
      <c r="L95" s="122"/>
      <c r="M95" s="343"/>
      <c r="N95" s="344"/>
      <c r="O95" s="341"/>
      <c r="P95" s="235"/>
      <c r="Q95" s="34"/>
      <c r="R95" s="224"/>
    </row>
    <row r="96" spans="1:18" ht="14.25" thickTop="1" thickBot="1">
      <c r="A96" s="34"/>
      <c r="B96" s="426"/>
      <c r="C96" s="426"/>
      <c r="D96" s="401">
        <f>D95+0.0001</f>
        <v>4.4081999999999999</v>
      </c>
      <c r="E96" s="402">
        <f>D95</f>
        <v>4.4081000000000001</v>
      </c>
      <c r="F96" s="403"/>
      <c r="G96" s="404"/>
      <c r="H96" s="405"/>
      <c r="I96" s="406"/>
      <c r="J96" s="407"/>
      <c r="K96" s="408"/>
      <c r="L96" s="406"/>
      <c r="M96" s="409"/>
      <c r="N96" s="410"/>
      <c r="O96" s="411"/>
      <c r="P96" s="236"/>
      <c r="Q96" s="34"/>
      <c r="R96" s="224"/>
    </row>
    <row r="97" spans="1:18" ht="14.25" thickTop="1" thickBot="1">
      <c r="A97" s="34"/>
      <c r="B97" s="436">
        <v>5.4169999999999998</v>
      </c>
      <c r="C97" s="436" t="s">
        <v>19</v>
      </c>
      <c r="D97" s="345">
        <f>B97+0.0001</f>
        <v>5.4170999999999996</v>
      </c>
      <c r="E97" s="346">
        <v>5</v>
      </c>
      <c r="F97" s="347"/>
      <c r="G97" s="348"/>
      <c r="H97" s="349"/>
      <c r="I97" s="350"/>
      <c r="J97" s="351"/>
      <c r="K97" s="352"/>
      <c r="L97" s="350"/>
      <c r="M97" s="353"/>
      <c r="N97" s="354"/>
      <c r="O97" s="355"/>
      <c r="P97" s="235"/>
      <c r="Q97" s="34"/>
      <c r="R97" s="224"/>
    </row>
    <row r="98" spans="1:18" ht="13.5" thickTop="1">
      <c r="A98" s="34"/>
      <c r="B98" s="427"/>
      <c r="C98" s="427"/>
      <c r="D98" s="127">
        <f>D97+0.0001</f>
        <v>5.4171999999999993</v>
      </c>
      <c r="E98" s="128">
        <f>D97</f>
        <v>5.4170999999999996</v>
      </c>
      <c r="F98" s="129"/>
      <c r="G98" s="130"/>
      <c r="H98" s="131"/>
      <c r="I98" s="132"/>
      <c r="J98" s="133"/>
      <c r="K98" s="134"/>
      <c r="L98" s="132"/>
      <c r="M98" s="135"/>
      <c r="N98" s="136"/>
      <c r="O98" s="356"/>
      <c r="P98" s="236"/>
      <c r="Q98" s="34"/>
      <c r="R98" s="224"/>
    </row>
    <row r="99" spans="1:18" ht="13.5" thickBot="1">
      <c r="A99" s="34"/>
      <c r="B99" s="435">
        <v>5.4219999999999997</v>
      </c>
      <c r="C99" s="435" t="s">
        <v>19</v>
      </c>
      <c r="D99" s="28">
        <f>B99+0.0001</f>
        <v>5.4220999999999995</v>
      </c>
      <c r="E99" s="29">
        <v>5</v>
      </c>
      <c r="F99" s="57"/>
      <c r="G99" s="58"/>
      <c r="H99" s="59"/>
      <c r="I99" s="60"/>
      <c r="J99" s="61"/>
      <c r="K99" s="62"/>
      <c r="L99" s="60"/>
      <c r="M99" s="92"/>
      <c r="N99" s="93"/>
      <c r="O99" s="291"/>
      <c r="P99" s="235"/>
      <c r="Q99" s="34"/>
      <c r="R99" s="224"/>
    </row>
    <row r="100" spans="1:18" ht="13.5" thickTop="1">
      <c r="A100" s="34"/>
      <c r="B100" s="435"/>
      <c r="C100" s="435"/>
      <c r="D100" s="28">
        <f>D99+0.0001</f>
        <v>5.4221999999999992</v>
      </c>
      <c r="E100" s="29">
        <f>D99</f>
        <v>5.4220999999999995</v>
      </c>
      <c r="F100" s="57"/>
      <c r="G100" s="58"/>
      <c r="H100" s="59"/>
      <c r="I100" s="60"/>
      <c r="J100" s="61"/>
      <c r="K100" s="66"/>
      <c r="L100" s="60"/>
      <c r="M100" s="94"/>
      <c r="N100" s="95"/>
      <c r="O100" s="291"/>
      <c r="P100" s="236"/>
      <c r="Q100" s="34"/>
      <c r="R100" s="224"/>
    </row>
    <row r="101" spans="1:18" ht="13.5" thickBot="1">
      <c r="A101" s="34"/>
      <c r="B101" s="427">
        <v>5.4269999999999996</v>
      </c>
      <c r="C101" s="427" t="s">
        <v>19</v>
      </c>
      <c r="D101" s="127">
        <f>B101+0.0001</f>
        <v>5.4270999999999994</v>
      </c>
      <c r="E101" s="128">
        <v>5</v>
      </c>
      <c r="F101" s="129"/>
      <c r="G101" s="130"/>
      <c r="H101" s="131"/>
      <c r="I101" s="132"/>
      <c r="J101" s="133"/>
      <c r="K101" s="137"/>
      <c r="L101" s="132"/>
      <c r="M101" s="138"/>
      <c r="N101" s="139"/>
      <c r="O101" s="356"/>
      <c r="P101" s="235"/>
      <c r="Q101" s="34"/>
      <c r="R101" s="224"/>
    </row>
    <row r="102" spans="1:18" ht="13.5" thickTop="1">
      <c r="A102" s="34"/>
      <c r="B102" s="428"/>
      <c r="C102" s="428"/>
      <c r="D102" s="357">
        <f>D101+0.0001</f>
        <v>5.4271999999999991</v>
      </c>
      <c r="E102" s="358">
        <f>D101</f>
        <v>5.4270999999999994</v>
      </c>
      <c r="F102" s="359"/>
      <c r="G102" s="360"/>
      <c r="H102" s="361"/>
      <c r="I102" s="362"/>
      <c r="J102" s="363"/>
      <c r="K102" s="364"/>
      <c r="L102" s="362"/>
      <c r="M102" s="365"/>
      <c r="N102" s="366"/>
      <c r="O102" s="367"/>
      <c r="P102" s="236"/>
      <c r="Q102" s="34"/>
      <c r="R102" s="224"/>
    </row>
    <row r="103" spans="1:18" ht="13.5" thickBot="1">
      <c r="A103" s="34"/>
      <c r="B103" s="457">
        <v>5.4119999999999999</v>
      </c>
      <c r="C103" s="457" t="s">
        <v>19</v>
      </c>
      <c r="D103" s="28">
        <f>B103+0.0001</f>
        <v>5.4120999999999997</v>
      </c>
      <c r="E103" s="29">
        <v>5</v>
      </c>
      <c r="F103" s="57"/>
      <c r="G103" s="58"/>
      <c r="H103" s="59"/>
      <c r="I103" s="60"/>
      <c r="J103" s="61"/>
      <c r="K103" s="62"/>
      <c r="L103" s="60"/>
      <c r="M103" s="92"/>
      <c r="N103" s="93"/>
      <c r="O103" s="291"/>
      <c r="P103" s="235"/>
      <c r="Q103" s="34"/>
      <c r="R103" s="224"/>
    </row>
    <row r="104" spans="1:18" ht="13.5" thickTop="1">
      <c r="A104" s="34"/>
      <c r="B104" s="460"/>
      <c r="C104" s="460"/>
      <c r="D104" s="225">
        <f>D103+0.0001</f>
        <v>5.4121999999999995</v>
      </c>
      <c r="E104" s="226">
        <f>D103</f>
        <v>5.4120999999999997</v>
      </c>
      <c r="F104" s="227"/>
      <c r="G104" s="228"/>
      <c r="H104" s="229"/>
      <c r="I104" s="230"/>
      <c r="J104" s="231"/>
      <c r="K104" s="232"/>
      <c r="L104" s="230"/>
      <c r="M104" s="233"/>
      <c r="N104" s="234"/>
      <c r="O104" s="424"/>
      <c r="P104" s="236"/>
      <c r="Q104" s="34"/>
      <c r="R104" s="224"/>
    </row>
    <row r="105" spans="1:18" ht="13.5" thickBot="1">
      <c r="A105" s="34"/>
      <c r="B105" s="427">
        <v>5.4269999999999996</v>
      </c>
      <c r="C105" s="427" t="s">
        <v>19</v>
      </c>
      <c r="D105" s="127">
        <f>B105+0.0001</f>
        <v>5.4270999999999994</v>
      </c>
      <c r="E105" s="128">
        <v>5</v>
      </c>
      <c r="F105" s="129"/>
      <c r="G105" s="130"/>
      <c r="H105" s="131"/>
      <c r="I105" s="132"/>
      <c r="J105" s="133"/>
      <c r="K105" s="137"/>
      <c r="L105" s="132"/>
      <c r="M105" s="138"/>
      <c r="N105" s="139"/>
      <c r="O105" s="356"/>
      <c r="P105" s="235"/>
      <c r="Q105" s="34"/>
      <c r="R105" s="224"/>
    </row>
    <row r="106" spans="1:18" ht="13.5" thickTop="1">
      <c r="A106" s="34"/>
      <c r="B106" s="428"/>
      <c r="C106" s="428"/>
      <c r="D106" s="357">
        <f>D105+0.0001</f>
        <v>5.4271999999999991</v>
      </c>
      <c r="E106" s="358">
        <f>D105</f>
        <v>5.4270999999999994</v>
      </c>
      <c r="F106" s="359"/>
      <c r="G106" s="360"/>
      <c r="H106" s="361"/>
      <c r="I106" s="362"/>
      <c r="J106" s="363"/>
      <c r="K106" s="364"/>
      <c r="L106" s="362"/>
      <c r="M106" s="365"/>
      <c r="N106" s="366"/>
      <c r="O106" s="367"/>
      <c r="P106" s="236"/>
      <c r="Q106" s="34"/>
      <c r="R106" s="224"/>
    </row>
    <row r="107" spans="1:18" ht="13.5" thickBot="1">
      <c r="Q107" s="32"/>
      <c r="R107" s="32"/>
    </row>
    <row r="108" spans="1:18" ht="14.25" thickTop="1" thickBot="1">
      <c r="B108" s="458">
        <v>1.5309999999999999</v>
      </c>
      <c r="C108" s="458" t="s">
        <v>10</v>
      </c>
      <c r="D108" s="35">
        <f>B108+0.0001</f>
        <v>1.5310999999999999</v>
      </c>
      <c r="E108" s="36">
        <v>1</v>
      </c>
      <c r="F108" s="37"/>
      <c r="G108" s="38"/>
      <c r="H108" s="39"/>
      <c r="I108" s="40"/>
      <c r="J108" s="41"/>
      <c r="K108" s="42">
        <v>-11</v>
      </c>
      <c r="L108" s="40"/>
      <c r="M108" s="43"/>
      <c r="N108" s="44"/>
      <c r="O108" s="45"/>
      <c r="P108" s="190"/>
    </row>
    <row r="109" spans="1:18" ht="14.25" thickTop="1" thickBot="1">
      <c r="B109" s="459"/>
      <c r="C109" s="459"/>
      <c r="D109" s="368">
        <f>D108+0.0001</f>
        <v>1.5311999999999999</v>
      </c>
      <c r="E109" s="369">
        <f>D108</f>
        <v>1.5310999999999999</v>
      </c>
      <c r="F109" s="370"/>
      <c r="G109" s="371">
        <v>4.1955999999999998</v>
      </c>
      <c r="H109" s="372">
        <v>-4.4621000000000004</v>
      </c>
      <c r="I109" s="373">
        <v>-100</v>
      </c>
      <c r="J109" s="374">
        <v>40</v>
      </c>
      <c r="K109" s="375"/>
      <c r="L109" s="373"/>
      <c r="M109" s="376"/>
      <c r="N109" s="377"/>
      <c r="O109" s="378"/>
      <c r="P109" s="191"/>
    </row>
    <row r="110" spans="1:18" ht="14.25" thickTop="1" thickBot="1">
      <c r="B110" s="433">
        <f>B108+1</f>
        <v>2.5309999999999997</v>
      </c>
      <c r="C110" s="433" t="s">
        <v>10</v>
      </c>
      <c r="D110" s="295">
        <f>B110+0.0001</f>
        <v>2.5310999999999999</v>
      </c>
      <c r="E110" s="296">
        <v>2</v>
      </c>
      <c r="F110" s="297"/>
      <c r="G110" s="298"/>
      <c r="H110" s="299"/>
      <c r="I110" s="300"/>
      <c r="J110" s="301"/>
      <c r="K110" s="302">
        <f t="shared" ref="K110" si="4">K108</f>
        <v>-11</v>
      </c>
      <c r="L110" s="300"/>
      <c r="M110" s="303"/>
      <c r="N110" s="304"/>
      <c r="O110" s="305"/>
      <c r="P110" s="190"/>
    </row>
    <row r="111" spans="1:18" ht="14.25" thickTop="1" thickBot="1">
      <c r="B111" s="451"/>
      <c r="C111" s="451"/>
      <c r="D111" s="379">
        <f>D110+0.0001</f>
        <v>2.5312000000000001</v>
      </c>
      <c r="E111" s="380">
        <f>D110</f>
        <v>2.5310999999999999</v>
      </c>
      <c r="F111" s="381"/>
      <c r="G111" s="382">
        <f t="shared" ref="G111:K112" si="5">G109</f>
        <v>4.1955999999999998</v>
      </c>
      <c r="H111" s="383">
        <f t="shared" si="5"/>
        <v>-4.4621000000000004</v>
      </c>
      <c r="I111" s="384">
        <f t="shared" si="5"/>
        <v>-100</v>
      </c>
      <c r="J111" s="385">
        <f t="shared" si="5"/>
        <v>40</v>
      </c>
      <c r="K111" s="386">
        <f t="shared" si="5"/>
        <v>0</v>
      </c>
      <c r="L111" s="384"/>
      <c r="M111" s="387"/>
      <c r="N111" s="388"/>
      <c r="O111" s="389"/>
      <c r="P111" s="191"/>
    </row>
    <row r="112" spans="1:18" ht="14.25" thickTop="1" thickBot="1">
      <c r="B112" s="452">
        <f t="shared" ref="B112" si="6">B110+1</f>
        <v>3.5309999999999997</v>
      </c>
      <c r="C112" s="452" t="s">
        <v>10</v>
      </c>
      <c r="D112" s="307">
        <f>B112+0.0001</f>
        <v>3.5310999999999999</v>
      </c>
      <c r="E112" s="308">
        <v>3</v>
      </c>
      <c r="F112" s="309"/>
      <c r="G112" s="310"/>
      <c r="H112" s="311"/>
      <c r="I112" s="312"/>
      <c r="J112" s="313"/>
      <c r="K112" s="314">
        <f t="shared" si="5"/>
        <v>-11</v>
      </c>
      <c r="L112" s="312"/>
      <c r="M112" s="315"/>
      <c r="N112" s="316"/>
      <c r="O112" s="317"/>
      <c r="P112" s="190"/>
    </row>
    <row r="113" spans="2:18" ht="14.25" thickTop="1" thickBot="1">
      <c r="B113" s="453"/>
      <c r="C113" s="453"/>
      <c r="D113" s="390">
        <f>D112+0.0001</f>
        <v>3.5312000000000001</v>
      </c>
      <c r="E113" s="391">
        <f>D112</f>
        <v>3.5310999999999999</v>
      </c>
      <c r="F113" s="392"/>
      <c r="G113" s="393">
        <f t="shared" ref="G113:K114" si="7">G111</f>
        <v>4.1955999999999998</v>
      </c>
      <c r="H113" s="394">
        <f t="shared" si="7"/>
        <v>-4.4621000000000004</v>
      </c>
      <c r="I113" s="395">
        <f t="shared" si="7"/>
        <v>-100</v>
      </c>
      <c r="J113" s="396">
        <f t="shared" si="7"/>
        <v>40</v>
      </c>
      <c r="K113" s="397">
        <f t="shared" si="7"/>
        <v>0</v>
      </c>
      <c r="L113" s="395"/>
      <c r="M113" s="398"/>
      <c r="N113" s="399"/>
      <c r="O113" s="400"/>
      <c r="P113" s="191"/>
    </row>
    <row r="114" spans="2:18" ht="14.25" thickTop="1" thickBot="1">
      <c r="B114" s="437">
        <f t="shared" ref="B114" si="8">B112+1</f>
        <v>4.5309999999999997</v>
      </c>
      <c r="C114" s="437" t="s">
        <v>10</v>
      </c>
      <c r="D114" s="330">
        <f>B114+0.0001</f>
        <v>4.5310999999999995</v>
      </c>
      <c r="E114" s="331">
        <v>4</v>
      </c>
      <c r="F114" s="332"/>
      <c r="G114" s="333"/>
      <c r="H114" s="334"/>
      <c r="I114" s="335"/>
      <c r="J114" s="336"/>
      <c r="K114" s="337">
        <f t="shared" si="7"/>
        <v>-11</v>
      </c>
      <c r="L114" s="335"/>
      <c r="M114" s="338"/>
      <c r="N114" s="339"/>
      <c r="O114" s="340"/>
      <c r="P114" s="190"/>
    </row>
    <row r="115" spans="2:18" ht="14.25" thickTop="1" thickBot="1">
      <c r="B115" s="426"/>
      <c r="C115" s="426"/>
      <c r="D115" s="401">
        <f>D114+0.0001</f>
        <v>4.5311999999999992</v>
      </c>
      <c r="E115" s="402">
        <f>D114</f>
        <v>4.5310999999999995</v>
      </c>
      <c r="F115" s="403"/>
      <c r="G115" s="404">
        <f t="shared" ref="G115:K116" si="9">G113</f>
        <v>4.1955999999999998</v>
      </c>
      <c r="H115" s="405">
        <f t="shared" si="9"/>
        <v>-4.4621000000000004</v>
      </c>
      <c r="I115" s="406">
        <f t="shared" si="9"/>
        <v>-100</v>
      </c>
      <c r="J115" s="407">
        <f t="shared" si="9"/>
        <v>40</v>
      </c>
      <c r="K115" s="408">
        <f t="shared" si="9"/>
        <v>0</v>
      </c>
      <c r="L115" s="406"/>
      <c r="M115" s="409"/>
      <c r="N115" s="410"/>
      <c r="O115" s="411"/>
      <c r="P115" s="191"/>
    </row>
    <row r="116" spans="2:18" ht="14.25" thickTop="1" thickBot="1">
      <c r="B116" s="436">
        <f t="shared" ref="B116" si="10">B114+1</f>
        <v>5.5309999999999997</v>
      </c>
      <c r="C116" s="436" t="s">
        <v>10</v>
      </c>
      <c r="D116" s="345">
        <f>B116+0.0001</f>
        <v>5.5310999999999995</v>
      </c>
      <c r="E116" s="346">
        <v>5</v>
      </c>
      <c r="F116" s="347"/>
      <c r="G116" s="348"/>
      <c r="H116" s="349"/>
      <c r="I116" s="350"/>
      <c r="J116" s="351"/>
      <c r="K116" s="352">
        <f t="shared" si="9"/>
        <v>-11</v>
      </c>
      <c r="L116" s="350"/>
      <c r="M116" s="353"/>
      <c r="N116" s="354"/>
      <c r="O116" s="355"/>
      <c r="P116" s="190"/>
    </row>
    <row r="117" spans="2:18" ht="14.25" thickTop="1" thickBot="1">
      <c r="B117" s="454"/>
      <c r="C117" s="454"/>
      <c r="D117" s="412">
        <f>D116+0.0001</f>
        <v>5.5311999999999992</v>
      </c>
      <c r="E117" s="413">
        <f>D116</f>
        <v>5.5310999999999995</v>
      </c>
      <c r="F117" s="414"/>
      <c r="G117" s="415">
        <f t="shared" ref="G117:K117" si="11">G115</f>
        <v>4.1955999999999998</v>
      </c>
      <c r="H117" s="416">
        <f t="shared" si="11"/>
        <v>-4.4621000000000004</v>
      </c>
      <c r="I117" s="417">
        <f t="shared" si="11"/>
        <v>-100</v>
      </c>
      <c r="J117" s="418">
        <f t="shared" si="11"/>
        <v>40</v>
      </c>
      <c r="K117" s="419">
        <f t="shared" si="11"/>
        <v>0</v>
      </c>
      <c r="L117" s="417"/>
      <c r="M117" s="420"/>
      <c r="N117" s="421"/>
      <c r="O117" s="422"/>
    </row>
    <row r="118" spans="2:18" ht="13.5" thickTop="1"/>
    <row r="122" spans="2:18">
      <c r="Q122" s="32"/>
      <c r="R122" s="32"/>
    </row>
    <row r="123" spans="2:18">
      <c r="Q123" s="32"/>
      <c r="R123" s="32"/>
    </row>
    <row r="124" spans="2:18">
      <c r="Q124" s="239"/>
      <c r="R124" s="32"/>
    </row>
    <row r="125" spans="2:18">
      <c r="Q125" s="33"/>
      <c r="R125" s="32"/>
    </row>
  </sheetData>
  <mergeCells count="116">
    <mergeCell ref="C28:C29"/>
    <mergeCell ref="B44:B45"/>
    <mergeCell ref="C44:C45"/>
    <mergeCell ref="C54:C55"/>
    <mergeCell ref="F2:H2"/>
    <mergeCell ref="I2:K2"/>
    <mergeCell ref="B8:B9"/>
    <mergeCell ref="C8:C9"/>
    <mergeCell ref="B12:B13"/>
    <mergeCell ref="C12:C13"/>
    <mergeCell ref="D2:D3"/>
    <mergeCell ref="E2:E3"/>
    <mergeCell ref="C18:C19"/>
    <mergeCell ref="C2:C3"/>
    <mergeCell ref="C36:C37"/>
    <mergeCell ref="C52:C53"/>
    <mergeCell ref="B30:B31"/>
    <mergeCell ref="C30:C31"/>
    <mergeCell ref="B24:B25"/>
    <mergeCell ref="C24:C25"/>
    <mergeCell ref="B26:B27"/>
    <mergeCell ref="C26:C27"/>
    <mergeCell ref="B40:B41"/>
    <mergeCell ref="C40:C41"/>
    <mergeCell ref="A1:B1"/>
    <mergeCell ref="C1:D1"/>
    <mergeCell ref="B10:B11"/>
    <mergeCell ref="C10:C11"/>
    <mergeCell ref="B60:B61"/>
    <mergeCell ref="B46:B47"/>
    <mergeCell ref="C48:C49"/>
    <mergeCell ref="B34:B35"/>
    <mergeCell ref="B36:B37"/>
    <mergeCell ref="B16:B17"/>
    <mergeCell ref="C16:C17"/>
    <mergeCell ref="C46:C47"/>
    <mergeCell ref="B2:B3"/>
    <mergeCell ref="B18:B19"/>
    <mergeCell ref="C34:C35"/>
    <mergeCell ref="B20:B21"/>
    <mergeCell ref="C20:C21"/>
    <mergeCell ref="B14:B15"/>
    <mergeCell ref="C14:C15"/>
    <mergeCell ref="B32:B33"/>
    <mergeCell ref="C32:C33"/>
    <mergeCell ref="B22:B23"/>
    <mergeCell ref="C22:C23"/>
    <mergeCell ref="B28:B29"/>
    <mergeCell ref="B71:B72"/>
    <mergeCell ref="C71:C72"/>
    <mergeCell ref="B69:B70"/>
    <mergeCell ref="C69:C70"/>
    <mergeCell ref="B93:B94"/>
    <mergeCell ref="C93:C94"/>
    <mergeCell ref="B85:B86"/>
    <mergeCell ref="C85:C86"/>
    <mergeCell ref="B110:B111"/>
    <mergeCell ref="C110:C111"/>
    <mergeCell ref="B112:B113"/>
    <mergeCell ref="C112:C113"/>
    <mergeCell ref="B114:B115"/>
    <mergeCell ref="C114:C115"/>
    <mergeCell ref="B116:B117"/>
    <mergeCell ref="C116:C117"/>
    <mergeCell ref="B77:B78"/>
    <mergeCell ref="C77:C78"/>
    <mergeCell ref="B79:B80"/>
    <mergeCell ref="C79:C80"/>
    <mergeCell ref="B81:B82"/>
    <mergeCell ref="C81:C82"/>
    <mergeCell ref="B83:B84"/>
    <mergeCell ref="C83:C84"/>
    <mergeCell ref="B108:B109"/>
    <mergeCell ref="C108:C109"/>
    <mergeCell ref="B101:B102"/>
    <mergeCell ref="C101:C102"/>
    <mergeCell ref="B103:B104"/>
    <mergeCell ref="C103:C104"/>
    <mergeCell ref="B99:B100"/>
    <mergeCell ref="C99:C100"/>
    <mergeCell ref="B38:B39"/>
    <mergeCell ref="C38:C39"/>
    <mergeCell ref="B56:B57"/>
    <mergeCell ref="C56:C57"/>
    <mergeCell ref="B66:B67"/>
    <mergeCell ref="C66:C67"/>
    <mergeCell ref="B42:B43"/>
    <mergeCell ref="C42:C43"/>
    <mergeCell ref="B48:B49"/>
    <mergeCell ref="B58:B59"/>
    <mergeCell ref="B50:B51"/>
    <mergeCell ref="B64:B65"/>
    <mergeCell ref="C64:C65"/>
    <mergeCell ref="C60:C61"/>
    <mergeCell ref="B62:B63"/>
    <mergeCell ref="C62:C63"/>
    <mergeCell ref="C50:C51"/>
    <mergeCell ref="B54:B55"/>
    <mergeCell ref="B52:B53"/>
    <mergeCell ref="C58:C59"/>
    <mergeCell ref="B95:B96"/>
    <mergeCell ref="C95:C96"/>
    <mergeCell ref="B105:B106"/>
    <mergeCell ref="C105:C106"/>
    <mergeCell ref="B73:B74"/>
    <mergeCell ref="C73:C74"/>
    <mergeCell ref="B75:B76"/>
    <mergeCell ref="C75:C76"/>
    <mergeCell ref="B97:B98"/>
    <mergeCell ref="C97:C98"/>
    <mergeCell ref="B87:B88"/>
    <mergeCell ref="C87:C88"/>
    <mergeCell ref="B89:B90"/>
    <mergeCell ref="C89:C90"/>
    <mergeCell ref="B91:B92"/>
    <mergeCell ref="C91:C92"/>
  </mergeCells>
  <phoneticPr fontId="2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2" manualBreakCount="2">
    <brk id="47" max="15" man="1"/>
    <brk id="68" max="15" man="1"/>
  </rowBreaks>
  <ignoredErrors>
    <ignoredError sqref="D13 D15 D17 D19 D21 D23" formula="1"/>
  </ignoredErrors>
  <legacyDrawing r:id="rId2"/>
  <controls>
    <control shapeId="1139" r:id="rId3" name="CommandButton1"/>
    <control shapeId="1140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36"/>
  <sheetViews>
    <sheetView topLeftCell="A4" zoomScale="130" zoomScaleNormal="130" workbookViewId="0">
      <selection activeCell="C35" sqref="C35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74"/>
      <c r="B1" s="174"/>
      <c r="C1" s="174"/>
      <c r="D1" s="174"/>
    </row>
    <row r="2" spans="1:4" ht="26.25">
      <c r="A2" s="174"/>
      <c r="B2" s="174"/>
      <c r="C2" s="174"/>
      <c r="D2" s="174"/>
    </row>
    <row r="3" spans="1:4" ht="26.25">
      <c r="A3" s="480"/>
      <c r="B3" s="480"/>
      <c r="C3" s="480"/>
      <c r="D3" s="480"/>
    </row>
    <row r="4" spans="1:4">
      <c r="A4" s="481" t="s">
        <v>26</v>
      </c>
      <c r="B4" s="481"/>
      <c r="C4" s="481"/>
      <c r="D4" s="481"/>
    </row>
    <row r="5" spans="1:4">
      <c r="A5" s="175"/>
      <c r="B5" s="175"/>
      <c r="C5" s="175"/>
      <c r="D5" s="175"/>
    </row>
    <row r="6" spans="1:4" ht="13.5" thickBot="1">
      <c r="A6" s="175"/>
      <c r="B6" s="175"/>
      <c r="C6" s="175"/>
      <c r="D6" s="175"/>
    </row>
    <row r="7" spans="1:4" ht="13.5" thickTop="1">
      <c r="A7" s="482" t="s">
        <v>27</v>
      </c>
      <c r="B7" s="176" t="s">
        <v>28</v>
      </c>
      <c r="C7" s="484" t="s">
        <v>29</v>
      </c>
      <c r="D7" s="484" t="s">
        <v>30</v>
      </c>
    </row>
    <row r="8" spans="1:4" ht="13.5" thickBot="1">
      <c r="A8" s="483"/>
      <c r="B8" s="177" t="s">
        <v>31</v>
      </c>
      <c r="C8" s="485"/>
      <c r="D8" s="485"/>
    </row>
    <row r="9" spans="1:4">
      <c r="A9" s="178"/>
      <c r="B9" s="179">
        <v>1</v>
      </c>
      <c r="C9" s="180">
        <v>91.25</v>
      </c>
      <c r="D9" s="181">
        <f t="shared" ref="D9:D27" si="0">(C9-90)*65/90</f>
        <v>0.90277777777777779</v>
      </c>
    </row>
    <row r="10" spans="1:4">
      <c r="A10" s="182"/>
      <c r="B10" s="183">
        <f>B9+1</f>
        <v>2</v>
      </c>
      <c r="C10" s="184">
        <v>94.68</v>
      </c>
      <c r="D10" s="185">
        <f t="shared" si="0"/>
        <v>3.3800000000000048</v>
      </c>
    </row>
    <row r="11" spans="1:4">
      <c r="A11" s="178"/>
      <c r="B11" s="179">
        <f t="shared" ref="B11:B22" si="1">B10+1</f>
        <v>3</v>
      </c>
      <c r="C11" s="180">
        <v>98.11</v>
      </c>
      <c r="D11" s="181">
        <f t="shared" si="0"/>
        <v>5.8572222222222221</v>
      </c>
    </row>
    <row r="12" spans="1:4">
      <c r="A12" s="182"/>
      <c r="B12" s="183">
        <f t="shared" si="1"/>
        <v>4</v>
      </c>
      <c r="C12" s="184">
        <v>101.53</v>
      </c>
      <c r="D12" s="185">
        <f t="shared" si="0"/>
        <v>8.3272222222222219</v>
      </c>
    </row>
    <row r="13" spans="1:4">
      <c r="A13" s="178"/>
      <c r="B13" s="179">
        <f t="shared" si="1"/>
        <v>5</v>
      </c>
      <c r="C13" s="180">
        <v>104.96</v>
      </c>
      <c r="D13" s="181">
        <f t="shared" si="0"/>
        <v>10.804444444444441</v>
      </c>
    </row>
    <row r="14" spans="1:4">
      <c r="A14" s="182"/>
      <c r="B14" s="183">
        <f t="shared" si="1"/>
        <v>6</v>
      </c>
      <c r="C14" s="184">
        <v>108.42</v>
      </c>
      <c r="D14" s="185">
        <f t="shared" si="0"/>
        <v>13.303333333333335</v>
      </c>
    </row>
    <row r="15" spans="1:4">
      <c r="A15" s="178"/>
      <c r="B15" s="179">
        <f t="shared" si="1"/>
        <v>7</v>
      </c>
      <c r="C15" s="180">
        <v>111.18</v>
      </c>
      <c r="D15" s="181">
        <f t="shared" si="0"/>
        <v>15.296666666666672</v>
      </c>
    </row>
    <row r="16" spans="1:4">
      <c r="A16" s="182"/>
      <c r="B16" s="183">
        <f t="shared" si="1"/>
        <v>8</v>
      </c>
      <c r="C16" s="184">
        <v>102.04</v>
      </c>
      <c r="D16" s="185">
        <f t="shared" si="0"/>
        <v>8.6955555555555595</v>
      </c>
    </row>
    <row r="17" spans="1:4">
      <c r="A17" s="178"/>
      <c r="B17" s="179">
        <f t="shared" si="1"/>
        <v>9</v>
      </c>
      <c r="C17" s="180">
        <v>92.9</v>
      </c>
      <c r="D17" s="181">
        <f t="shared" si="0"/>
        <v>2.0944444444444485</v>
      </c>
    </row>
    <row r="18" spans="1:4">
      <c r="A18" s="182"/>
      <c r="B18" s="183">
        <f t="shared" si="1"/>
        <v>10</v>
      </c>
      <c r="C18" s="184">
        <v>120.32</v>
      </c>
      <c r="D18" s="185">
        <f t="shared" si="0"/>
        <v>21.897777777777772</v>
      </c>
    </row>
    <row r="19" spans="1:4">
      <c r="A19" s="178"/>
      <c r="B19" s="179">
        <f t="shared" si="1"/>
        <v>11</v>
      </c>
      <c r="C19" s="180">
        <v>125.1</v>
      </c>
      <c r="D19" s="181">
        <f t="shared" si="0"/>
        <v>25.349999999999994</v>
      </c>
    </row>
    <row r="20" spans="1:4">
      <c r="A20" s="182"/>
      <c r="B20" s="183">
        <f t="shared" si="1"/>
        <v>12</v>
      </c>
      <c r="C20" s="184">
        <v>128.52000000000001</v>
      </c>
      <c r="D20" s="185">
        <f t="shared" si="0"/>
        <v>27.820000000000007</v>
      </c>
    </row>
    <row r="21" spans="1:4">
      <c r="A21" s="178"/>
      <c r="B21" s="179">
        <f t="shared" si="1"/>
        <v>13</v>
      </c>
      <c r="C21" s="180">
        <v>131.76</v>
      </c>
      <c r="D21" s="181">
        <f t="shared" si="0"/>
        <v>30.159999999999997</v>
      </c>
    </row>
    <row r="22" spans="1:4">
      <c r="A22" s="182"/>
      <c r="B22" s="183">
        <f t="shared" si="1"/>
        <v>14</v>
      </c>
      <c r="C22" s="184">
        <v>135.08000000000001</v>
      </c>
      <c r="D22" s="185">
        <f t="shared" si="0"/>
        <v>32.557777777777787</v>
      </c>
    </row>
    <row r="23" spans="1:4">
      <c r="A23" s="178"/>
      <c r="B23" s="179">
        <f t="shared" ref="B23:B27" si="2">B22+1</f>
        <v>15</v>
      </c>
      <c r="C23" s="180">
        <v>138.41</v>
      </c>
      <c r="D23" s="181">
        <f t="shared" si="0"/>
        <v>34.962777777777774</v>
      </c>
    </row>
    <row r="24" spans="1:4">
      <c r="A24" s="182"/>
      <c r="B24" s="183">
        <f t="shared" si="2"/>
        <v>16</v>
      </c>
      <c r="C24" s="184">
        <v>141.72999999999999</v>
      </c>
      <c r="D24" s="185">
        <f t="shared" si="0"/>
        <v>37.36055555555555</v>
      </c>
    </row>
    <row r="25" spans="1:4">
      <c r="A25" s="178"/>
      <c r="B25" s="179">
        <f t="shared" si="2"/>
        <v>17</v>
      </c>
      <c r="C25" s="180">
        <v>145.05000000000001</v>
      </c>
      <c r="D25" s="181">
        <f t="shared" si="0"/>
        <v>39.75833333333334</v>
      </c>
    </row>
    <row r="26" spans="1:4">
      <c r="A26" s="182"/>
      <c r="B26" s="183">
        <f t="shared" si="2"/>
        <v>18</v>
      </c>
      <c r="C26" s="184">
        <v>148.52000000000001</v>
      </c>
      <c r="D26" s="185">
        <f t="shared" si="0"/>
        <v>42.26444444444445</v>
      </c>
    </row>
    <row r="27" spans="1:4">
      <c r="A27" s="178"/>
      <c r="B27" s="179">
        <f t="shared" si="2"/>
        <v>19</v>
      </c>
      <c r="C27" s="180">
        <v>151.88</v>
      </c>
      <c r="D27" s="181">
        <f t="shared" si="0"/>
        <v>44.691111111111113</v>
      </c>
    </row>
    <row r="28" spans="1:4">
      <c r="A28" s="182"/>
      <c r="B28" s="183">
        <f t="shared" ref="B28:B35" si="3">B27+1</f>
        <v>20</v>
      </c>
      <c r="C28" s="184">
        <v>154.26</v>
      </c>
      <c r="D28" s="185">
        <f t="shared" ref="D28:D35" si="4">(C28-90)*65/90</f>
        <v>46.41</v>
      </c>
    </row>
    <row r="29" spans="1:4">
      <c r="A29" s="178"/>
      <c r="B29" s="179">
        <f t="shared" si="3"/>
        <v>21</v>
      </c>
      <c r="C29" s="180">
        <v>157.65</v>
      </c>
      <c r="D29" s="181">
        <f t="shared" si="4"/>
        <v>48.858333333333334</v>
      </c>
    </row>
    <row r="30" spans="1:4">
      <c r="A30" s="182"/>
      <c r="B30" s="183">
        <f t="shared" si="3"/>
        <v>22</v>
      </c>
      <c r="C30" s="184">
        <v>148.32</v>
      </c>
      <c r="D30" s="185">
        <f t="shared" si="4"/>
        <v>42.12</v>
      </c>
    </row>
    <row r="31" spans="1:4">
      <c r="A31" s="178"/>
      <c r="B31" s="179">
        <f t="shared" si="3"/>
        <v>23</v>
      </c>
      <c r="C31" s="180">
        <v>138.99</v>
      </c>
      <c r="D31" s="181">
        <f t="shared" si="4"/>
        <v>35.381666666666668</v>
      </c>
    </row>
    <row r="32" spans="1:4">
      <c r="A32" s="182"/>
      <c r="B32" s="183">
        <f t="shared" si="3"/>
        <v>24</v>
      </c>
      <c r="C32" s="184">
        <v>129.65</v>
      </c>
      <c r="D32" s="185">
        <f t="shared" si="4"/>
        <v>28.636111111111116</v>
      </c>
    </row>
    <row r="33" spans="1:4">
      <c r="A33" s="178"/>
      <c r="B33" s="179">
        <f t="shared" si="3"/>
        <v>25</v>
      </c>
      <c r="C33" s="180">
        <v>166.09</v>
      </c>
      <c r="D33" s="181">
        <f t="shared" si="4"/>
        <v>54.953888888888891</v>
      </c>
    </row>
    <row r="34" spans="1:4">
      <c r="A34" s="182"/>
      <c r="B34" s="183">
        <f t="shared" si="3"/>
        <v>26</v>
      </c>
      <c r="C34" s="184">
        <v>176.18</v>
      </c>
      <c r="D34" s="185">
        <f t="shared" si="4"/>
        <v>62.241111111111117</v>
      </c>
    </row>
    <row r="35" spans="1:4" ht="13.5" thickBot="1">
      <c r="A35" s="186"/>
      <c r="B35" s="187">
        <f t="shared" si="3"/>
        <v>27</v>
      </c>
      <c r="C35" s="188"/>
      <c r="D35" s="189">
        <f t="shared" si="4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C4"/>
  <sheetViews>
    <sheetView workbookViewId="0">
      <selection activeCell="C4" sqref="C4"/>
    </sheetView>
  </sheetViews>
  <sheetFormatPr defaultRowHeight="12.75"/>
  <sheetData>
    <row r="2" spans="2:3">
      <c r="B2" t="s">
        <v>32</v>
      </c>
      <c r="C2">
        <v>150</v>
      </c>
    </row>
    <row r="3" spans="2:3">
      <c r="B3" t="s">
        <v>33</v>
      </c>
      <c r="C3">
        <v>70</v>
      </c>
    </row>
    <row r="4" spans="2:3">
      <c r="C4" s="224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4" sqref="B4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71" t="s">
        <v>25</v>
      </c>
      <c r="C2" s="172" t="s">
        <v>12</v>
      </c>
      <c r="D2" s="172" t="s">
        <v>13</v>
      </c>
      <c r="E2" s="172" t="s">
        <v>15</v>
      </c>
      <c r="F2" s="172" t="s">
        <v>14</v>
      </c>
      <c r="G2" s="173" t="s">
        <v>24</v>
      </c>
    </row>
    <row r="3" spans="2:19">
      <c r="B3" s="168" t="s">
        <v>10</v>
      </c>
      <c r="C3" s="169">
        <f>0.532/2</f>
        <v>0.26600000000000001</v>
      </c>
      <c r="D3" s="169">
        <v>0.52</v>
      </c>
      <c r="E3" s="169">
        <v>0.68799999999999994</v>
      </c>
      <c r="F3" s="169">
        <v>6</v>
      </c>
      <c r="G3" s="170">
        <v>0</v>
      </c>
      <c r="I3" s="147"/>
      <c r="J3" s="148"/>
      <c r="K3" s="148"/>
      <c r="L3" s="148"/>
      <c r="M3" s="148"/>
      <c r="N3" s="148"/>
      <c r="O3" s="148"/>
      <c r="P3" s="148"/>
      <c r="Q3" s="147"/>
      <c r="R3" s="147"/>
      <c r="S3" s="147"/>
    </row>
    <row r="4" spans="2:19" ht="12.75" customHeight="1">
      <c r="B4" s="164" t="s">
        <v>11</v>
      </c>
      <c r="C4" s="160">
        <f>0.628/2</f>
        <v>0.314</v>
      </c>
      <c r="D4" s="161">
        <v>0.52</v>
      </c>
      <c r="E4" s="161">
        <v>0.68799999999999994</v>
      </c>
      <c r="F4" s="161">
        <v>6</v>
      </c>
      <c r="G4" s="163">
        <v>0</v>
      </c>
      <c r="I4" s="147"/>
      <c r="J4" s="149"/>
      <c r="K4" s="149"/>
      <c r="L4" s="150"/>
      <c r="M4" s="150"/>
      <c r="N4" s="151"/>
      <c r="O4" s="150"/>
      <c r="P4" s="148"/>
      <c r="Q4" s="147"/>
      <c r="R4" s="147"/>
      <c r="S4" s="147"/>
    </row>
    <row r="5" spans="2:19" ht="12.75" customHeight="1">
      <c r="B5" s="164" t="s">
        <v>18</v>
      </c>
      <c r="C5" s="161">
        <f>0.753/2</f>
        <v>0.3765</v>
      </c>
      <c r="D5" s="161">
        <v>0.52</v>
      </c>
      <c r="E5" s="161">
        <v>0.93799999999999994</v>
      </c>
      <c r="F5" s="161">
        <v>6</v>
      </c>
      <c r="G5" s="163">
        <v>0</v>
      </c>
      <c r="I5" s="147"/>
      <c r="J5" s="149"/>
      <c r="K5" s="149"/>
      <c r="L5" s="152"/>
      <c r="M5" s="153"/>
      <c r="N5" s="152"/>
      <c r="O5" s="153"/>
      <c r="P5" s="148"/>
      <c r="Q5" s="147"/>
      <c r="R5" s="147"/>
      <c r="S5" s="147"/>
    </row>
    <row r="6" spans="2:19">
      <c r="B6" s="164" t="s">
        <v>21</v>
      </c>
      <c r="C6" s="161">
        <f>0.436/2</f>
        <v>0.218</v>
      </c>
      <c r="D6" s="161">
        <v>0.315</v>
      </c>
      <c r="E6" s="161">
        <v>0.5</v>
      </c>
      <c r="F6" s="161">
        <v>6</v>
      </c>
      <c r="G6" s="163">
        <v>0</v>
      </c>
      <c r="I6" s="147"/>
      <c r="J6" s="154"/>
      <c r="K6" s="155"/>
      <c r="L6" s="156"/>
      <c r="M6" s="156"/>
      <c r="N6" s="156"/>
      <c r="O6" s="157"/>
      <c r="P6" s="148"/>
      <c r="Q6" s="147"/>
      <c r="R6" s="147"/>
      <c r="S6" s="147"/>
    </row>
    <row r="7" spans="2:19">
      <c r="B7" s="164" t="s">
        <v>17</v>
      </c>
      <c r="C7" s="161">
        <v>0.26600000000000001</v>
      </c>
      <c r="D7" s="161">
        <v>0.315</v>
      </c>
      <c r="E7" s="161">
        <v>0.68799999999999994</v>
      </c>
      <c r="F7" s="161">
        <v>6</v>
      </c>
      <c r="G7" s="163">
        <v>0</v>
      </c>
      <c r="I7" s="147"/>
      <c r="J7" s="154"/>
      <c r="K7" s="155"/>
      <c r="L7" s="156"/>
      <c r="M7" s="156"/>
      <c r="N7" s="156"/>
      <c r="O7" s="157"/>
      <c r="P7" s="148"/>
      <c r="Q7" s="147"/>
      <c r="R7" s="147"/>
      <c r="S7" s="147"/>
    </row>
    <row r="8" spans="2:19">
      <c r="B8" s="164" t="s">
        <v>16</v>
      </c>
      <c r="C8" s="161">
        <v>0.314</v>
      </c>
      <c r="D8" s="161">
        <v>0.315</v>
      </c>
      <c r="E8" s="161">
        <v>0.68799999999999994</v>
      </c>
      <c r="F8" s="161">
        <v>6</v>
      </c>
      <c r="G8" s="163">
        <v>0</v>
      </c>
      <c r="I8" s="147"/>
      <c r="J8" s="154"/>
      <c r="K8" s="155"/>
      <c r="L8" s="157"/>
      <c r="M8" s="157"/>
      <c r="N8" s="156"/>
      <c r="O8" s="157"/>
      <c r="P8" s="148"/>
      <c r="Q8" s="147"/>
      <c r="R8" s="147"/>
      <c r="S8" s="147"/>
    </row>
    <row r="9" spans="2:19">
      <c r="B9" s="164" t="s">
        <v>19</v>
      </c>
      <c r="C9" s="161">
        <f>0.539/2</f>
        <v>0.26950000000000002</v>
      </c>
      <c r="D9" s="161">
        <v>0.315</v>
      </c>
      <c r="E9" s="161">
        <f>0.2695*2+0.001</f>
        <v>0.54</v>
      </c>
      <c r="F9" s="161">
        <v>6</v>
      </c>
      <c r="G9" s="163">
        <v>0</v>
      </c>
      <c r="I9" s="147"/>
      <c r="J9" s="154"/>
      <c r="K9" s="155"/>
      <c r="L9" s="157"/>
      <c r="M9" s="157"/>
      <c r="N9" s="157"/>
      <c r="O9" s="157"/>
      <c r="P9" s="148"/>
      <c r="Q9" s="147"/>
      <c r="R9" s="147"/>
      <c r="S9" s="147"/>
    </row>
    <row r="10" spans="2:19">
      <c r="B10" s="164" t="s">
        <v>20</v>
      </c>
      <c r="C10" s="161">
        <f>0.525/2</f>
        <v>0.26250000000000001</v>
      </c>
      <c r="D10" s="161">
        <v>0.41199999999999998</v>
      </c>
      <c r="E10" s="161">
        <f>0.2625*2+0.001</f>
        <v>0.52600000000000002</v>
      </c>
      <c r="F10" s="161">
        <v>6</v>
      </c>
      <c r="G10" s="163">
        <v>1</v>
      </c>
      <c r="I10" s="147"/>
      <c r="J10" s="154"/>
      <c r="K10" s="155"/>
      <c r="L10" s="157"/>
      <c r="M10" s="157"/>
      <c r="N10" s="156"/>
      <c r="O10" s="157"/>
      <c r="P10" s="148"/>
      <c r="Q10" s="147"/>
      <c r="R10" s="147"/>
      <c r="S10" s="147"/>
    </row>
    <row r="11" spans="2:19">
      <c r="B11" s="164" t="s">
        <v>22</v>
      </c>
      <c r="C11" s="161">
        <f>0.39/2</f>
        <v>0.19500000000000001</v>
      </c>
      <c r="D11" s="161">
        <v>0.40699999999999997</v>
      </c>
      <c r="E11" s="161">
        <v>0.39100000000000001</v>
      </c>
      <c r="F11" s="161">
        <v>6</v>
      </c>
      <c r="G11" s="163">
        <v>1</v>
      </c>
      <c r="I11" s="147"/>
      <c r="J11" s="154"/>
      <c r="K11" s="155"/>
      <c r="L11" s="157"/>
      <c r="M11" s="157"/>
      <c r="N11" s="157"/>
      <c r="O11" s="157"/>
      <c r="P11" s="148"/>
      <c r="Q11" s="147"/>
      <c r="R11" s="147"/>
      <c r="S11" s="147"/>
    </row>
    <row r="12" spans="2:19">
      <c r="B12" s="164" t="s">
        <v>23</v>
      </c>
      <c r="C12" s="161">
        <f>0.514/2</f>
        <v>0.25700000000000001</v>
      </c>
      <c r="D12" s="161">
        <v>0.71</v>
      </c>
      <c r="E12" s="161">
        <v>0.51500000000000001</v>
      </c>
      <c r="F12" s="161">
        <v>6</v>
      </c>
      <c r="G12" s="163">
        <v>1</v>
      </c>
      <c r="I12" s="147"/>
      <c r="J12" s="154"/>
      <c r="K12" s="155"/>
      <c r="L12" s="157"/>
      <c r="M12" s="157"/>
      <c r="N12" s="156"/>
      <c r="O12" s="157"/>
      <c r="P12" s="148"/>
      <c r="Q12" s="147"/>
      <c r="R12" s="147"/>
      <c r="S12" s="147"/>
    </row>
    <row r="13" spans="2:19">
      <c r="B13" s="162" t="s">
        <v>49</v>
      </c>
      <c r="C13" s="161">
        <v>0.22075</v>
      </c>
      <c r="D13" s="161">
        <v>0.33389999999999997</v>
      </c>
      <c r="E13" s="161">
        <v>0.442</v>
      </c>
      <c r="F13" s="161">
        <v>6</v>
      </c>
      <c r="G13" s="163">
        <v>1</v>
      </c>
      <c r="I13" s="147"/>
      <c r="J13" s="154"/>
      <c r="K13" s="155"/>
      <c r="L13" s="157"/>
      <c r="M13" s="157"/>
      <c r="N13" s="156"/>
      <c r="O13" s="157"/>
      <c r="P13" s="148"/>
      <c r="Q13" s="147"/>
      <c r="R13" s="147"/>
      <c r="S13" s="147"/>
    </row>
    <row r="14" spans="2:19">
      <c r="B14" s="162" t="s">
        <v>66</v>
      </c>
      <c r="C14" s="161">
        <v>0.219</v>
      </c>
      <c r="D14" s="161">
        <v>0.52</v>
      </c>
      <c r="E14" s="161">
        <v>0.68799999999999994</v>
      </c>
      <c r="F14" s="161">
        <v>6</v>
      </c>
      <c r="G14" s="163">
        <v>0</v>
      </c>
      <c r="I14" s="147"/>
      <c r="J14" s="154"/>
      <c r="K14" s="155"/>
      <c r="L14" s="157"/>
      <c r="M14" s="157"/>
      <c r="N14" s="156"/>
      <c r="O14" s="157"/>
      <c r="P14" s="148"/>
      <c r="Q14" s="147"/>
      <c r="R14" s="147"/>
      <c r="S14" s="147"/>
    </row>
    <row r="15" spans="2:19">
      <c r="B15" s="162" t="s">
        <v>67</v>
      </c>
      <c r="C15" s="161">
        <v>0.219</v>
      </c>
      <c r="D15" s="161">
        <v>0.42</v>
      </c>
      <c r="E15" s="161">
        <v>0.68799999999999994</v>
      </c>
      <c r="F15" s="161">
        <v>6</v>
      </c>
      <c r="G15" s="163">
        <v>0</v>
      </c>
      <c r="I15" s="147"/>
      <c r="J15" s="154"/>
      <c r="K15" s="155"/>
      <c r="L15" s="157"/>
      <c r="M15" s="157"/>
      <c r="N15" s="156"/>
      <c r="O15" s="157"/>
      <c r="P15" s="148"/>
      <c r="Q15" s="147"/>
      <c r="R15" s="147"/>
      <c r="S15" s="147"/>
    </row>
    <row r="16" spans="2:19">
      <c r="B16" s="162"/>
      <c r="C16" s="161"/>
      <c r="D16" s="161"/>
      <c r="E16" s="161"/>
      <c r="F16" s="161"/>
      <c r="G16" s="163"/>
      <c r="I16" s="147"/>
      <c r="J16" s="154"/>
      <c r="K16" s="155"/>
      <c r="L16" s="157"/>
      <c r="M16" s="157"/>
      <c r="N16" s="156"/>
      <c r="O16" s="157"/>
      <c r="P16" s="148"/>
      <c r="Q16" s="147"/>
      <c r="R16" s="147"/>
      <c r="S16" s="147"/>
    </row>
    <row r="17" spans="2:19">
      <c r="B17" s="162"/>
      <c r="C17" s="161"/>
      <c r="D17" s="161"/>
      <c r="E17" s="161"/>
      <c r="F17" s="161"/>
      <c r="G17" s="163"/>
      <c r="I17" s="147"/>
      <c r="J17" s="154"/>
      <c r="K17" s="155"/>
      <c r="L17" s="157"/>
      <c r="M17" s="157"/>
      <c r="N17" s="156"/>
      <c r="O17" s="157"/>
      <c r="P17" s="148"/>
      <c r="Q17" s="147"/>
      <c r="R17" s="147"/>
      <c r="S17" s="147"/>
    </row>
    <row r="18" spans="2:19">
      <c r="B18" s="162"/>
      <c r="C18" s="161"/>
      <c r="D18" s="161"/>
      <c r="E18" s="161"/>
      <c r="F18" s="161"/>
      <c r="G18" s="163"/>
      <c r="I18" s="147"/>
      <c r="J18" s="154"/>
      <c r="K18" s="155"/>
      <c r="L18" s="157"/>
      <c r="M18" s="157"/>
      <c r="N18" s="156"/>
      <c r="O18" s="157"/>
      <c r="P18" s="148"/>
      <c r="Q18" s="147"/>
      <c r="R18" s="147"/>
      <c r="S18" s="147"/>
    </row>
    <row r="19" spans="2:19">
      <c r="B19" s="162"/>
      <c r="C19" s="161"/>
      <c r="D19" s="161"/>
      <c r="E19" s="161"/>
      <c r="F19" s="161"/>
      <c r="G19" s="163"/>
      <c r="I19" s="147"/>
      <c r="J19" s="154"/>
      <c r="K19" s="155"/>
      <c r="L19" s="157"/>
      <c r="M19" s="157"/>
      <c r="N19" s="156"/>
      <c r="O19" s="157"/>
      <c r="P19" s="148"/>
      <c r="Q19" s="147"/>
      <c r="R19" s="147"/>
      <c r="S19" s="147"/>
    </row>
    <row r="20" spans="2:19">
      <c r="B20" s="162"/>
      <c r="C20" s="161"/>
      <c r="D20" s="161"/>
      <c r="E20" s="161"/>
      <c r="F20" s="161"/>
      <c r="G20" s="163"/>
      <c r="I20" s="147"/>
      <c r="J20" s="154"/>
      <c r="K20" s="155"/>
      <c r="L20" s="157"/>
      <c r="M20" s="157"/>
      <c r="N20" s="156"/>
      <c r="O20" s="157"/>
      <c r="P20" s="148"/>
      <c r="Q20" s="147"/>
      <c r="R20" s="147"/>
      <c r="S20" s="147"/>
    </row>
    <row r="21" spans="2:19">
      <c r="B21" s="162"/>
      <c r="C21" s="161"/>
      <c r="D21" s="161"/>
      <c r="E21" s="161"/>
      <c r="F21" s="161"/>
      <c r="G21" s="163"/>
      <c r="I21" s="147"/>
      <c r="J21" s="154"/>
      <c r="K21" s="158"/>
      <c r="L21" s="157"/>
      <c r="M21" s="157"/>
      <c r="N21" s="156"/>
      <c r="O21" s="157"/>
      <c r="P21" s="148"/>
      <c r="Q21" s="147"/>
      <c r="R21" s="147"/>
      <c r="S21" s="147"/>
    </row>
    <row r="22" spans="2:19">
      <c r="B22" s="162"/>
      <c r="C22" s="161"/>
      <c r="D22" s="161"/>
      <c r="E22" s="161"/>
      <c r="F22" s="161"/>
      <c r="G22" s="163"/>
      <c r="I22" s="147"/>
      <c r="J22" s="159"/>
      <c r="K22" s="158"/>
      <c r="L22" s="157"/>
      <c r="M22" s="157"/>
      <c r="N22" s="156"/>
      <c r="O22" s="157"/>
      <c r="P22" s="148"/>
      <c r="Q22" s="147"/>
      <c r="R22" s="147"/>
      <c r="S22" s="147"/>
    </row>
    <row r="23" spans="2:19">
      <c r="B23" s="162"/>
      <c r="C23" s="161"/>
      <c r="D23" s="161"/>
      <c r="E23" s="161"/>
      <c r="F23" s="161"/>
      <c r="G23" s="163"/>
      <c r="I23" s="147"/>
      <c r="J23" s="148"/>
      <c r="K23" s="148"/>
      <c r="L23" s="148"/>
      <c r="M23" s="148"/>
      <c r="N23" s="148"/>
      <c r="O23" s="148"/>
      <c r="P23" s="148"/>
      <c r="Q23" s="147"/>
      <c r="R23" s="147"/>
      <c r="S23" s="147"/>
    </row>
    <row r="24" spans="2:19">
      <c r="B24" s="162"/>
      <c r="C24" s="161"/>
      <c r="D24" s="161"/>
      <c r="E24" s="161"/>
      <c r="F24" s="161"/>
      <c r="G24" s="163"/>
      <c r="I24" s="147"/>
      <c r="J24" s="148"/>
      <c r="K24" s="148"/>
      <c r="L24" s="148"/>
      <c r="M24" s="148"/>
      <c r="N24" s="148"/>
      <c r="O24" s="148"/>
      <c r="P24" s="148"/>
      <c r="Q24" s="147"/>
      <c r="R24" s="147"/>
      <c r="S24" s="147"/>
    </row>
    <row r="25" spans="2:19">
      <c r="B25" s="162"/>
      <c r="C25" s="161"/>
      <c r="D25" s="161"/>
      <c r="E25" s="161"/>
      <c r="F25" s="161"/>
      <c r="G25" s="163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</row>
    <row r="26" spans="2:19">
      <c r="B26" s="162"/>
      <c r="C26" s="161"/>
      <c r="D26" s="161"/>
      <c r="E26" s="161"/>
      <c r="F26" s="161"/>
      <c r="G26" s="163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2:19">
      <c r="B27" s="162"/>
      <c r="C27" s="161"/>
      <c r="D27" s="161"/>
      <c r="E27" s="161"/>
      <c r="F27" s="161"/>
      <c r="G27" s="163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2:19">
      <c r="B28" s="162"/>
      <c r="C28" s="161"/>
      <c r="D28" s="161"/>
      <c r="E28" s="161"/>
      <c r="F28" s="161"/>
      <c r="G28" s="163"/>
    </row>
    <row r="29" spans="2:19">
      <c r="B29" s="162"/>
      <c r="C29" s="161"/>
      <c r="D29" s="161"/>
      <c r="E29" s="161"/>
      <c r="F29" s="161"/>
      <c r="G29" s="163"/>
    </row>
    <row r="30" spans="2:19">
      <c r="B30" s="162"/>
      <c r="C30" s="161"/>
      <c r="D30" s="161"/>
      <c r="E30" s="161"/>
      <c r="F30" s="161"/>
      <c r="G30" s="163"/>
    </row>
    <row r="31" spans="2:19">
      <c r="B31" s="162"/>
      <c r="C31" s="161"/>
      <c r="D31" s="161"/>
      <c r="E31" s="161"/>
      <c r="F31" s="161"/>
      <c r="G31" s="163"/>
    </row>
    <row r="32" spans="2:19">
      <c r="B32" s="162"/>
      <c r="C32" s="161"/>
      <c r="D32" s="161"/>
      <c r="E32" s="161"/>
      <c r="F32" s="161"/>
      <c r="G32" s="163"/>
    </row>
    <row r="33" spans="2:7">
      <c r="B33" s="162"/>
      <c r="C33" s="161"/>
      <c r="D33" s="161"/>
      <c r="E33" s="161"/>
      <c r="F33" s="161"/>
      <c r="G33" s="163"/>
    </row>
    <row r="34" spans="2:7">
      <c r="B34" s="162"/>
      <c r="C34" s="161"/>
      <c r="D34" s="161"/>
      <c r="E34" s="161"/>
      <c r="F34" s="161"/>
      <c r="G34" s="163"/>
    </row>
    <row r="35" spans="2:7">
      <c r="B35" s="162"/>
      <c r="C35" s="161"/>
      <c r="D35" s="161"/>
      <c r="E35" s="161"/>
      <c r="F35" s="161"/>
      <c r="G35" s="163"/>
    </row>
    <row r="36" spans="2:7">
      <c r="B36" s="162"/>
      <c r="C36" s="161"/>
      <c r="D36" s="161"/>
      <c r="E36" s="161"/>
      <c r="F36" s="161"/>
      <c r="G36" s="163"/>
    </row>
    <row r="37" spans="2:7">
      <c r="B37" s="162"/>
      <c r="C37" s="161"/>
      <c r="D37" s="161"/>
      <c r="E37" s="161"/>
      <c r="F37" s="161"/>
      <c r="G37" s="163"/>
    </row>
    <row r="38" spans="2:7" ht="13.5" thickBot="1">
      <c r="B38" s="165"/>
      <c r="C38" s="166"/>
      <c r="D38" s="166"/>
      <c r="E38" s="166"/>
      <c r="F38" s="166"/>
      <c r="G38" s="16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240" customWidth="1"/>
    <col min="2" max="2" width="10.140625" style="240" bestFit="1" customWidth="1"/>
    <col min="3" max="3" width="11.28515625" style="240" bestFit="1" customWidth="1"/>
    <col min="4" max="4" width="9.140625" style="241"/>
    <col min="5" max="5" width="13.140625" style="241" customWidth="1"/>
    <col min="6" max="6" width="11.140625" style="292" bestFit="1" customWidth="1"/>
    <col min="7" max="7" width="13.28515625" style="241" bestFit="1" customWidth="1"/>
    <col min="8" max="8" width="16.42578125" style="241" bestFit="1" customWidth="1"/>
    <col min="9" max="13" width="9.140625" style="241"/>
    <col min="14" max="14" width="13" style="241" customWidth="1"/>
    <col min="15" max="15" width="9.140625" style="241"/>
    <col min="16" max="16" width="11.85546875" style="241" customWidth="1"/>
    <col min="17" max="17" width="9.140625" style="241"/>
    <col min="18" max="18" width="9.140625" style="253"/>
    <col min="19" max="19" width="6.28515625" style="241" customWidth="1"/>
    <col min="20" max="20" width="6" style="241" customWidth="1"/>
    <col min="21" max="21" width="6.28515625" style="241" customWidth="1"/>
    <col min="22" max="23" width="8.140625" style="241" customWidth="1"/>
    <col min="24" max="26" width="9.140625" style="241"/>
    <col min="27" max="27" width="14.5703125" style="241" customWidth="1"/>
    <col min="28" max="29" width="9.140625" style="241"/>
    <col min="30" max="16384" width="9.140625" style="240"/>
  </cols>
  <sheetData>
    <row r="1" spans="1:30" ht="32.25" customHeight="1">
      <c r="I1" s="486" t="s">
        <v>34</v>
      </c>
      <c r="J1" s="486"/>
      <c r="K1" s="486"/>
      <c r="L1" s="486"/>
      <c r="M1" s="486"/>
      <c r="N1" s="242"/>
      <c r="O1" s="243" t="s">
        <v>35</v>
      </c>
      <c r="P1" s="243"/>
      <c r="Q1" s="243"/>
      <c r="R1" s="244"/>
      <c r="U1" s="245"/>
      <c r="V1" s="245"/>
      <c r="W1" s="245"/>
      <c r="X1" s="241" t="s">
        <v>50</v>
      </c>
      <c r="Y1" s="241">
        <f>($C$4/2)-B6</f>
        <v>4.1000000000000005</v>
      </c>
      <c r="Z1" s="241">
        <f>($C$4/2)-C6</f>
        <v>4.1449000000000007</v>
      </c>
      <c r="AA1" s="243" t="s">
        <v>51</v>
      </c>
      <c r="AB1" s="241">
        <v>0.01</v>
      </c>
    </row>
    <row r="2" spans="1:30" ht="15.75" thickBot="1">
      <c r="D2" s="241" t="s">
        <v>52</v>
      </c>
      <c r="E2" s="246" t="s">
        <v>53</v>
      </c>
      <c r="F2" s="293" t="s">
        <v>36</v>
      </c>
      <c r="G2" s="247" t="s">
        <v>37</v>
      </c>
      <c r="H2" s="247" t="s">
        <v>38</v>
      </c>
      <c r="I2" s="247" t="s">
        <v>39</v>
      </c>
      <c r="J2" s="247" t="s">
        <v>40</v>
      </c>
      <c r="K2" s="247" t="s">
        <v>41</v>
      </c>
      <c r="L2" s="247" t="s">
        <v>42</v>
      </c>
      <c r="M2" s="247" t="s">
        <v>43</v>
      </c>
      <c r="N2" s="247" t="s">
        <v>44</v>
      </c>
      <c r="O2" s="247" t="s">
        <v>45</v>
      </c>
      <c r="P2" s="247" t="s">
        <v>46</v>
      </c>
      <c r="Q2" s="247" t="s">
        <v>47</v>
      </c>
      <c r="R2" s="248" t="s">
        <v>48</v>
      </c>
      <c r="S2" s="247" t="s">
        <v>54</v>
      </c>
      <c r="T2" s="247" t="s">
        <v>55</v>
      </c>
      <c r="U2" s="245" t="s">
        <v>56</v>
      </c>
      <c r="V2" s="245" t="s">
        <v>57</v>
      </c>
      <c r="W2" s="245" t="s">
        <v>43</v>
      </c>
      <c r="X2" s="247" t="s">
        <v>58</v>
      </c>
      <c r="Y2" s="247" t="s">
        <v>59</v>
      </c>
      <c r="Z2" s="247" t="s">
        <v>60</v>
      </c>
      <c r="AA2" s="249" t="str">
        <f>"←if kn -"&amp;TEXT(AB1,"0.000")&amp;" clearance"</f>
        <v>←if kn -0.010 clearance</v>
      </c>
    </row>
    <row r="3" spans="1:30">
      <c r="B3" s="487" t="s">
        <v>61</v>
      </c>
      <c r="C3" s="488"/>
      <c r="D3" s="241">
        <v>0.09</v>
      </c>
      <c r="E3" s="246">
        <f>IF(F3="","",(O3/360)*$D$3)</f>
        <v>-2.1977499999999997E-2</v>
      </c>
      <c r="F3" s="294">
        <v>1.214</v>
      </c>
      <c r="G3" s="240" t="s">
        <v>11</v>
      </c>
      <c r="H3" s="240" t="s">
        <v>10</v>
      </c>
      <c r="I3" s="240"/>
      <c r="J3" s="240"/>
      <c r="K3" s="240"/>
      <c r="L3" s="240"/>
      <c r="M3" s="240"/>
      <c r="N3" s="240"/>
      <c r="O3" s="240">
        <v>-87.91</v>
      </c>
      <c r="P3" s="240">
        <v>-19.850000000000001</v>
      </c>
      <c r="Q3" s="240">
        <v>-0.94</v>
      </c>
      <c r="R3" s="240">
        <v>-69</v>
      </c>
    </row>
    <row r="4" spans="1:30" ht="15.75" thickBot="1">
      <c r="B4" s="250" t="s">
        <v>62</v>
      </c>
      <c r="C4" s="251">
        <f>8.75-0.024</f>
        <v>8.7260000000000009</v>
      </c>
      <c r="E4" s="246" t="str">
        <f t="shared" ref="E4:E48" si="0">IF(F4="","",(O4/360)*$D$3)</f>
        <v/>
      </c>
      <c r="F4" s="294"/>
      <c r="G4" s="240" t="s">
        <v>63</v>
      </c>
      <c r="H4" s="240"/>
      <c r="I4" s="240">
        <v>0</v>
      </c>
      <c r="J4" s="240">
        <v>2.8184</v>
      </c>
      <c r="K4" s="240">
        <v>-0.13109999999999999</v>
      </c>
      <c r="L4" s="240">
        <v>-4.9000000000000004</v>
      </c>
      <c r="M4" s="240">
        <v>15</v>
      </c>
      <c r="N4" s="240">
        <v>20</v>
      </c>
      <c r="O4" s="240"/>
      <c r="P4" s="240"/>
      <c r="Q4" s="240"/>
      <c r="R4" s="240"/>
      <c r="S4" s="241">
        <f>IF(G3="","",IF(OR(LEFT(TRIM(H3),2)="16",LEFT(TRIM(H3),2)="13"),1,0))</f>
        <v>1</v>
      </c>
      <c r="T4" s="241">
        <f>IF(S4="","",IF(LEFT(TRIM(G3),2)="13",1,0))</f>
        <v>0</v>
      </c>
      <c r="U4" s="241">
        <f>IF(S4="","",IF(LEFT(TRIM(H3),3)="1/2",1,0))</f>
        <v>0</v>
      </c>
      <c r="V4" s="241">
        <f>IF(S4="","",IF(T4=1,VLOOKUP(M4,'elipse #s'!$A$4:$C$38,2,FALSE),VLOOKUP(M4,'elipse #s'!$A$4:$C$38,3,FALSE)))</f>
        <v>0.30185182071533384</v>
      </c>
      <c r="W4" s="241">
        <f>IF(S4="","",IF(S4=0,"",VLOOKUP(N4,'elipse #s'!$A$4:$C$38,2,FALSE)))</f>
        <v>0.24854869819787279</v>
      </c>
      <c r="X4" s="241">
        <f>IF(S4="","",IF(AND(S4=0,U4=1),K4+V4+E3-$B$6,IF(AND(S4=0,U4=0),K4+V4+E3-$C$6,V4-W4)))</f>
        <v>5.3303122517461055E-2</v>
      </c>
      <c r="Y4" s="241">
        <f>IF(S4="",0,IF(S4=0,IF(U4=1,MIN(J4,$Y$1),MIN(J4,$Z$1)),X4*SIN(RADIANS(-L4))+J4))</f>
        <v>2.8229529887190559</v>
      </c>
      <c r="Z4" s="241">
        <f>IF(S4="",0,IF(S4=0,X4-$AB$1,X4*COS(RADIANS(-L4))+K4-$AB$1+E3))</f>
        <v>-0.10996918460744008</v>
      </c>
    </row>
    <row r="5" spans="1:30">
      <c r="A5" s="241"/>
      <c r="B5" s="241" t="s">
        <v>64</v>
      </c>
      <c r="C5" s="240" t="s">
        <v>65</v>
      </c>
      <c r="E5" s="246">
        <f t="shared" si="0"/>
        <v>-2.0792499999999998E-2</v>
      </c>
      <c r="F5" s="294">
        <v>1.2190000000000001</v>
      </c>
      <c r="G5" s="240" t="s">
        <v>11</v>
      </c>
      <c r="H5" s="240" t="s">
        <v>10</v>
      </c>
      <c r="I5" s="240"/>
      <c r="J5" s="240"/>
      <c r="K5" s="240"/>
      <c r="L5" s="240"/>
      <c r="M5" s="240"/>
      <c r="N5" s="240"/>
      <c r="O5" s="240">
        <v>-83.17</v>
      </c>
      <c r="P5" s="240">
        <v>-16.28</v>
      </c>
      <c r="Q5" s="240">
        <v>-2.11</v>
      </c>
      <c r="R5" s="240">
        <v>-69</v>
      </c>
      <c r="S5" s="241" t="str">
        <f t="shared" ref="S5:S33" si="1">IF(G4="","",IF(OR(LEFT(TRIM(H4),2)="16",LEFT(TRIM(H4),2)="13"),1,0))</f>
        <v/>
      </c>
      <c r="T5" s="241" t="str">
        <f t="shared" ref="T5:T33" si="2">IF(S5="","",IF(LEFT(TRIM(G4),2)="13",1,0))</f>
        <v/>
      </c>
      <c r="U5" s="241" t="str">
        <f t="shared" ref="U5:U33" si="3">IF(S5="","",IF(LEFT(TRIM(H4),3)="1/2",1,0))</f>
        <v/>
      </c>
      <c r="V5" s="241" t="str">
        <f>IF(S5="","",IF(T5=1,VLOOKUP(M5,'elipse #s'!$A$4:$C$38,2,FALSE),VLOOKUP(M5,'elipse #s'!$A$4:$C$38,3,FALSE)))</f>
        <v/>
      </c>
      <c r="W5" s="241" t="str">
        <f>IF(S5="","",IF(S5=0,"",VLOOKUP(N5,'elipse #s'!$A$4:$C$38,2,FALSE)))</f>
        <v/>
      </c>
      <c r="X5" s="241" t="str">
        <f t="shared" ref="X5:X33" si="4">IF(S5="","",IF(AND(S5=0,U5=1),K5+V5+E4-$B$6,IF(AND(S5=0,U5=0),K5+V5+E4-$C$6,V5-W5)))</f>
        <v/>
      </c>
      <c r="Y5" s="241">
        <f t="shared" ref="Y5:Y33" si="5">IF(S5="",0,IF(S5=0,IF(U5=1,MIN(J5,$Y$1),MIN(J5,$Z$1)),X5*SIN(RADIANS(-L5))+J5))</f>
        <v>0</v>
      </c>
      <c r="Z5" s="241">
        <f t="shared" ref="Z5:Z33" si="6">IF(S5="",0,IF(S5=0,X5-$AB$1,X5*COS(RADIANS(-L5))+K5-$AB$1+E4))</f>
        <v>0</v>
      </c>
    </row>
    <row r="6" spans="1:30">
      <c r="A6" s="241"/>
      <c r="B6" s="241">
        <v>0.26300000000000001</v>
      </c>
      <c r="C6" s="240">
        <v>0.21809999999999999</v>
      </c>
      <c r="E6" s="246" t="str">
        <f t="shared" si="0"/>
        <v/>
      </c>
      <c r="F6" s="294"/>
      <c r="G6" s="240" t="s">
        <v>63</v>
      </c>
      <c r="H6" s="240"/>
      <c r="I6" s="240">
        <v>0</v>
      </c>
      <c r="J6" s="240">
        <v>3.5482999999999998</v>
      </c>
      <c r="K6" s="240">
        <v>-0.44890000000000002</v>
      </c>
      <c r="L6" s="240">
        <v>-29.1</v>
      </c>
      <c r="M6" s="240">
        <v>15</v>
      </c>
      <c r="N6" s="240">
        <v>20</v>
      </c>
      <c r="O6" s="240"/>
      <c r="P6" s="240"/>
      <c r="Q6" s="240"/>
      <c r="R6" s="240"/>
      <c r="S6" s="241">
        <f t="shared" si="1"/>
        <v>1</v>
      </c>
      <c r="T6" s="241">
        <f t="shared" si="2"/>
        <v>0</v>
      </c>
      <c r="U6" s="241">
        <f t="shared" si="3"/>
        <v>0</v>
      </c>
      <c r="V6" s="241">
        <f>IF(S6="","",IF(T6=1,VLOOKUP(M6,'elipse #s'!$A$4:$C$38,2,FALSE),VLOOKUP(M6,'elipse #s'!$A$4:$C$38,3,FALSE)))</f>
        <v>0.30185182071533384</v>
      </c>
      <c r="W6" s="241">
        <f>IF(S6="","",IF(S6=0,"",VLOOKUP(N6,'elipse #s'!$A$4:$C$38,2,FALSE)))</f>
        <v>0.24854869819787279</v>
      </c>
      <c r="X6" s="241">
        <f t="shared" si="4"/>
        <v>5.3303122517461055E-2</v>
      </c>
      <c r="Y6" s="241">
        <f t="shared" si="5"/>
        <v>3.5742231943672893</v>
      </c>
      <c r="Z6" s="241">
        <f t="shared" si="6"/>
        <v>-0.43311771214318628</v>
      </c>
    </row>
    <row r="7" spans="1:30">
      <c r="A7" s="241"/>
      <c r="B7" s="252"/>
      <c r="C7" s="252"/>
      <c r="D7" s="246"/>
      <c r="E7" s="246">
        <f t="shared" si="0"/>
        <v>-2.0445000000000001E-2</v>
      </c>
      <c r="F7" s="294">
        <v>1.224</v>
      </c>
      <c r="G7" s="240" t="s">
        <v>11</v>
      </c>
      <c r="H7" s="240" t="s">
        <v>10</v>
      </c>
      <c r="I7" s="240"/>
      <c r="J7" s="240"/>
      <c r="K7" s="240"/>
      <c r="L7" s="240"/>
      <c r="M7" s="240"/>
      <c r="N7" s="240"/>
      <c r="O7" s="240">
        <v>-81.78</v>
      </c>
      <c r="P7" s="240">
        <v>-15.59</v>
      </c>
      <c r="Q7" s="240">
        <v>-2.81</v>
      </c>
      <c r="R7" s="240">
        <v>-69</v>
      </c>
      <c r="S7" s="241" t="str">
        <f t="shared" si="1"/>
        <v/>
      </c>
      <c r="T7" s="241" t="str">
        <f t="shared" si="2"/>
        <v/>
      </c>
      <c r="U7" s="241" t="str">
        <f t="shared" si="3"/>
        <v/>
      </c>
      <c r="V7" s="241" t="str">
        <f>IF(S7="","",IF(T7=1,VLOOKUP(M7,'elipse #s'!$A$4:$C$38,2,FALSE),VLOOKUP(M7,'elipse #s'!$A$4:$C$38,3,FALSE)))</f>
        <v/>
      </c>
      <c r="W7" s="241" t="str">
        <f>IF(S7="","",IF(S7=0,"",VLOOKUP(N7,'elipse #s'!$A$4:$C$38,2,FALSE)))</f>
        <v/>
      </c>
      <c r="X7" s="241" t="str">
        <f t="shared" si="4"/>
        <v/>
      </c>
      <c r="Y7" s="241">
        <f t="shared" si="5"/>
        <v>0</v>
      </c>
      <c r="Z7" s="241">
        <f t="shared" si="6"/>
        <v>0</v>
      </c>
    </row>
    <row r="8" spans="1:30">
      <c r="A8" s="241"/>
      <c r="B8" s="252"/>
      <c r="C8" s="252"/>
      <c r="D8" s="246"/>
      <c r="E8" s="246" t="str">
        <f t="shared" si="0"/>
        <v/>
      </c>
      <c r="F8" s="294"/>
      <c r="G8" s="240" t="s">
        <v>63</v>
      </c>
      <c r="H8" s="240"/>
      <c r="I8" s="240">
        <v>0</v>
      </c>
      <c r="J8" s="240">
        <v>3.9310999999999998</v>
      </c>
      <c r="K8" s="240">
        <v>-1.1231</v>
      </c>
      <c r="L8" s="240">
        <v>-53.1</v>
      </c>
      <c r="M8" s="240">
        <v>20</v>
      </c>
      <c r="N8" s="240">
        <v>25</v>
      </c>
      <c r="O8" s="240"/>
      <c r="P8" s="240"/>
      <c r="Q8" s="240"/>
      <c r="R8" s="240"/>
      <c r="S8" s="241">
        <f t="shared" si="1"/>
        <v>1</v>
      </c>
      <c r="T8" s="241">
        <f t="shared" si="2"/>
        <v>0</v>
      </c>
      <c r="U8" s="241">
        <f t="shared" si="3"/>
        <v>0</v>
      </c>
      <c r="V8" s="241">
        <f>IF(S8="","",IF(T8=1,VLOOKUP(M8,'elipse #s'!$A$4:$C$38,2,FALSE),VLOOKUP(M8,'elipse #s'!$A$4:$C$38,3,FALSE)))</f>
        <v>0.29365394399559641</v>
      </c>
      <c r="W8" s="241">
        <f>IF(S8="","",IF(S8=0,"",VLOOKUP(N8,'elipse #s'!$A$4:$C$38,2,FALSE)))</f>
        <v>0.23971840967119393</v>
      </c>
      <c r="X8" s="241">
        <f t="shared" si="4"/>
        <v>5.3935534324402484E-2</v>
      </c>
      <c r="Y8" s="241">
        <f t="shared" si="5"/>
        <v>3.9742314193465282</v>
      </c>
      <c r="Z8" s="241">
        <f t="shared" si="6"/>
        <v>-1.1211610143278703</v>
      </c>
      <c r="AD8" s="241"/>
    </row>
    <row r="9" spans="1:30">
      <c r="A9" s="241"/>
      <c r="B9" s="252"/>
      <c r="C9" s="252"/>
      <c r="D9" s="246"/>
      <c r="E9" s="246">
        <f t="shared" si="0"/>
        <v>-2.2095E-2</v>
      </c>
      <c r="F9" s="294">
        <v>2.2130000000000001</v>
      </c>
      <c r="G9" s="240" t="s">
        <v>11</v>
      </c>
      <c r="H9" s="240" t="s">
        <v>10</v>
      </c>
      <c r="I9" s="240"/>
      <c r="J9" s="240"/>
      <c r="K9" s="240"/>
      <c r="L9" s="240"/>
      <c r="M9" s="240"/>
      <c r="N9" s="240"/>
      <c r="O9" s="240">
        <v>-88.38</v>
      </c>
      <c r="P9" s="240">
        <v>-20.04</v>
      </c>
      <c r="Q9" s="240">
        <v>-0.66</v>
      </c>
      <c r="R9" s="240">
        <v>-69</v>
      </c>
      <c r="S9" s="241" t="str">
        <f t="shared" si="1"/>
        <v/>
      </c>
      <c r="T9" s="241" t="str">
        <f t="shared" si="2"/>
        <v/>
      </c>
      <c r="U9" s="241" t="str">
        <f t="shared" si="3"/>
        <v/>
      </c>
      <c r="V9" s="241" t="str">
        <f>IF(S9="","",IF(T9=1,VLOOKUP(M9,'elipse #s'!$A$4:$C$38,2,FALSE),VLOOKUP(M9,'elipse #s'!$A$4:$C$38,3,FALSE)))</f>
        <v/>
      </c>
      <c r="W9" s="241" t="str">
        <f>IF(S9="","",IF(S9=0,"",VLOOKUP(N9,'elipse #s'!$A$4:$C$38,2,FALSE)))</f>
        <v/>
      </c>
      <c r="X9" s="241" t="str">
        <f t="shared" si="4"/>
        <v/>
      </c>
      <c r="Y9" s="241">
        <f t="shared" si="5"/>
        <v>0</v>
      </c>
      <c r="Z9" s="241">
        <f t="shared" si="6"/>
        <v>0</v>
      </c>
    </row>
    <row r="10" spans="1:30">
      <c r="A10" s="241"/>
      <c r="B10" s="252"/>
      <c r="C10" s="252"/>
      <c r="D10" s="246"/>
      <c r="E10" s="246" t="str">
        <f t="shared" si="0"/>
        <v/>
      </c>
      <c r="F10" s="294"/>
      <c r="G10" s="240" t="s">
        <v>63</v>
      </c>
      <c r="H10" s="240"/>
      <c r="I10" s="240">
        <v>0</v>
      </c>
      <c r="J10" s="240">
        <v>2.6177000000000001</v>
      </c>
      <c r="K10" s="240">
        <v>-0.13159999999999999</v>
      </c>
      <c r="L10" s="240">
        <v>0</v>
      </c>
      <c r="M10" s="240">
        <v>15</v>
      </c>
      <c r="N10" s="240">
        <v>20</v>
      </c>
      <c r="O10" s="240"/>
      <c r="P10" s="240"/>
      <c r="Q10" s="240"/>
      <c r="R10" s="240"/>
      <c r="S10" s="241">
        <f t="shared" si="1"/>
        <v>1</v>
      </c>
      <c r="T10" s="241">
        <f t="shared" si="2"/>
        <v>0</v>
      </c>
      <c r="U10" s="241">
        <f t="shared" si="3"/>
        <v>0</v>
      </c>
      <c r="V10" s="241">
        <f>IF(S10="","",IF(T10=1,VLOOKUP(M10,'elipse #s'!$A$4:$C$38,2,FALSE),VLOOKUP(M10,'elipse #s'!$A$4:$C$38,3,FALSE)))</f>
        <v>0.30185182071533384</v>
      </c>
      <c r="W10" s="241">
        <f>IF(S10="","",IF(S10=0,"",VLOOKUP(N10,'elipse #s'!$A$4:$C$38,2,FALSE)))</f>
        <v>0.24854869819787279</v>
      </c>
      <c r="X10" s="241">
        <f t="shared" si="4"/>
        <v>5.3303122517461055E-2</v>
      </c>
      <c r="Y10" s="241">
        <f t="shared" si="5"/>
        <v>2.6177000000000001</v>
      </c>
      <c r="Z10" s="241">
        <f t="shared" si="6"/>
        <v>-0.11039187748253894</v>
      </c>
    </row>
    <row r="11" spans="1:30">
      <c r="A11" s="241"/>
      <c r="B11" s="252"/>
      <c r="C11" s="252"/>
      <c r="D11" s="246"/>
      <c r="E11" s="246">
        <f t="shared" si="0"/>
        <v>-2.0924999999999999E-2</v>
      </c>
      <c r="F11" s="294">
        <v>2.218</v>
      </c>
      <c r="G11" s="240" t="s">
        <v>11</v>
      </c>
      <c r="H11" s="240" t="s">
        <v>10</v>
      </c>
      <c r="I11" s="240"/>
      <c r="J11" s="240"/>
      <c r="K11" s="240"/>
      <c r="L11" s="240"/>
      <c r="M11" s="240"/>
      <c r="N11" s="240"/>
      <c r="O11" s="240">
        <v>-83.7</v>
      </c>
      <c r="P11" s="240">
        <v>-16.59</v>
      </c>
      <c r="Q11" s="240">
        <v>-1.89</v>
      </c>
      <c r="R11" s="240">
        <v>-69</v>
      </c>
      <c r="S11" s="241" t="str">
        <f t="shared" si="1"/>
        <v/>
      </c>
      <c r="T11" s="241" t="str">
        <f t="shared" si="2"/>
        <v/>
      </c>
      <c r="U11" s="241" t="str">
        <f t="shared" si="3"/>
        <v/>
      </c>
      <c r="V11" s="241" t="str">
        <f>IF(S11="","",IF(T11=1,VLOOKUP(M11,'elipse #s'!$A$4:$C$38,2,FALSE),VLOOKUP(M11,'elipse #s'!$A$4:$C$38,3,FALSE)))</f>
        <v/>
      </c>
      <c r="W11" s="241" t="str">
        <f>IF(S11="","",IF(S11=0,"",VLOOKUP(N11,'elipse #s'!$A$4:$C$38,2,FALSE)))</f>
        <v/>
      </c>
      <c r="X11" s="241" t="str">
        <f t="shared" si="4"/>
        <v/>
      </c>
      <c r="Y11" s="241">
        <f t="shared" si="5"/>
        <v>0</v>
      </c>
      <c r="Z11" s="241">
        <f t="shared" si="6"/>
        <v>0</v>
      </c>
    </row>
    <row r="12" spans="1:30">
      <c r="A12" s="241"/>
      <c r="B12" s="252"/>
      <c r="C12" s="252"/>
      <c r="D12" s="246"/>
      <c r="E12" s="246" t="str">
        <f t="shared" si="0"/>
        <v/>
      </c>
      <c r="F12" s="294"/>
      <c r="G12" s="240" t="s">
        <v>63</v>
      </c>
      <c r="H12" s="240"/>
      <c r="I12" s="240">
        <v>0</v>
      </c>
      <c r="J12" s="240">
        <v>3.4218999999999999</v>
      </c>
      <c r="K12" s="240">
        <v>-0.3478</v>
      </c>
      <c r="L12" s="240">
        <v>-24.3</v>
      </c>
      <c r="M12" s="240">
        <v>15</v>
      </c>
      <c r="N12" s="240">
        <v>20</v>
      </c>
      <c r="O12" s="240"/>
      <c r="P12" s="240"/>
      <c r="Q12" s="240"/>
      <c r="R12" s="240"/>
      <c r="S12" s="241">
        <f t="shared" si="1"/>
        <v>1</v>
      </c>
      <c r="T12" s="241">
        <f t="shared" si="2"/>
        <v>0</v>
      </c>
      <c r="U12" s="241">
        <f t="shared" si="3"/>
        <v>0</v>
      </c>
      <c r="V12" s="241">
        <f>IF(S12="","",IF(T12=1,VLOOKUP(M12,'elipse #s'!$A$4:$C$38,2,FALSE),VLOOKUP(M12,'elipse #s'!$A$4:$C$38,3,FALSE)))</f>
        <v>0.30185182071533384</v>
      </c>
      <c r="W12" s="241">
        <f>IF(S12="","",IF(S12=0,"",VLOOKUP(N12,'elipse #s'!$A$4:$C$38,2,FALSE)))</f>
        <v>0.24854869819787279</v>
      </c>
      <c r="X12" s="241">
        <f t="shared" si="4"/>
        <v>5.3303122517461055E-2</v>
      </c>
      <c r="Y12" s="241">
        <f t="shared" si="5"/>
        <v>3.4438350002744222</v>
      </c>
      <c r="Z12" s="241">
        <f t="shared" si="6"/>
        <v>-0.33014435948268539</v>
      </c>
    </row>
    <row r="13" spans="1:30">
      <c r="A13" s="241"/>
      <c r="B13" s="252"/>
      <c r="C13" s="252"/>
      <c r="D13" s="246"/>
      <c r="E13" s="246">
        <f t="shared" si="0"/>
        <v>-2.0477499999999999E-2</v>
      </c>
      <c r="F13" s="294">
        <v>2.2229999999999999</v>
      </c>
      <c r="G13" s="240" t="s">
        <v>11</v>
      </c>
      <c r="H13" s="240" t="s">
        <v>10</v>
      </c>
      <c r="I13" s="240"/>
      <c r="J13" s="240"/>
      <c r="K13" s="240"/>
      <c r="L13" s="240"/>
      <c r="M13" s="240"/>
      <c r="N13" s="240"/>
      <c r="O13" s="240">
        <v>-81.91</v>
      </c>
      <c r="P13" s="240">
        <v>-15.64</v>
      </c>
      <c r="Q13" s="240">
        <v>-2.73</v>
      </c>
      <c r="R13" s="240">
        <v>-69</v>
      </c>
      <c r="S13" s="241" t="str">
        <f t="shared" si="1"/>
        <v/>
      </c>
      <c r="T13" s="241" t="str">
        <f t="shared" si="2"/>
        <v/>
      </c>
      <c r="U13" s="241" t="str">
        <f t="shared" si="3"/>
        <v/>
      </c>
      <c r="V13" s="241" t="str">
        <f>IF(S13="","",IF(T13=1,VLOOKUP(M13,'elipse #s'!$A$4:$C$38,2,FALSE),VLOOKUP(M13,'elipse #s'!$A$4:$C$38,3,FALSE)))</f>
        <v/>
      </c>
      <c r="W13" s="241" t="str">
        <f>IF(S13="","",IF(S13=0,"",VLOOKUP(N13,'elipse #s'!$A$4:$C$38,2,FALSE)))</f>
        <v/>
      </c>
      <c r="X13" s="241" t="str">
        <f t="shared" si="4"/>
        <v/>
      </c>
      <c r="Y13" s="241">
        <f t="shared" si="5"/>
        <v>0</v>
      </c>
      <c r="Z13" s="241">
        <f t="shared" si="6"/>
        <v>0</v>
      </c>
    </row>
    <row r="14" spans="1:30">
      <c r="A14" s="241"/>
      <c r="B14" s="252"/>
      <c r="C14" s="252"/>
      <c r="D14" s="246"/>
      <c r="E14" s="246" t="str">
        <f t="shared" si="0"/>
        <v/>
      </c>
      <c r="F14" s="294"/>
      <c r="G14" s="240" t="s">
        <v>63</v>
      </c>
      <c r="H14" s="240"/>
      <c r="I14" s="240">
        <v>0</v>
      </c>
      <c r="J14" s="240">
        <v>3.8921000000000001</v>
      </c>
      <c r="K14" s="240">
        <v>-0.97260000000000002</v>
      </c>
      <c r="L14" s="240">
        <v>-48.3</v>
      </c>
      <c r="M14" s="240">
        <v>20</v>
      </c>
      <c r="N14" s="240">
        <v>25</v>
      </c>
      <c r="O14" s="240"/>
      <c r="P14" s="240"/>
      <c r="Q14" s="240"/>
      <c r="R14" s="240"/>
      <c r="S14" s="241">
        <f t="shared" si="1"/>
        <v>1</v>
      </c>
      <c r="T14" s="241">
        <f t="shared" si="2"/>
        <v>0</v>
      </c>
      <c r="U14" s="241">
        <f t="shared" si="3"/>
        <v>0</v>
      </c>
      <c r="V14" s="241">
        <f>IF(S14="","",IF(T14=1,VLOOKUP(M14,'elipse #s'!$A$4:$C$38,2,FALSE),VLOOKUP(M14,'elipse #s'!$A$4:$C$38,3,FALSE)))</f>
        <v>0.29365394399559641</v>
      </c>
      <c r="W14" s="241">
        <f>IF(S14="","",IF(S14=0,"",VLOOKUP(N14,'elipse #s'!$A$4:$C$38,2,FALSE)))</f>
        <v>0.23971840967119393</v>
      </c>
      <c r="X14" s="241">
        <f t="shared" si="4"/>
        <v>5.3935534324402484E-2</v>
      </c>
      <c r="Y14" s="241">
        <f t="shared" si="5"/>
        <v>3.9323703293085632</v>
      </c>
      <c r="Z14" s="241">
        <f t="shared" si="6"/>
        <v>-0.96719794537290538</v>
      </c>
    </row>
    <row r="15" spans="1:30">
      <c r="A15" s="241"/>
      <c r="B15" s="252"/>
      <c r="C15" s="252"/>
      <c r="D15" s="246"/>
      <c r="E15" s="246">
        <f t="shared" si="0"/>
        <v>-2.6789999999999998E-2</v>
      </c>
      <c r="F15" s="294">
        <v>3.2120000000000002</v>
      </c>
      <c r="G15" s="240" t="s">
        <v>10</v>
      </c>
      <c r="H15" s="240" t="s">
        <v>10</v>
      </c>
      <c r="I15" s="240"/>
      <c r="J15" s="240"/>
      <c r="K15" s="240"/>
      <c r="L15" s="240"/>
      <c r="M15" s="240"/>
      <c r="N15" s="240"/>
      <c r="O15" s="240">
        <v>-107.16</v>
      </c>
      <c r="P15" s="240">
        <v>-21.16</v>
      </c>
      <c r="Q15" s="240">
        <v>0</v>
      </c>
      <c r="R15" s="240">
        <v>-86</v>
      </c>
      <c r="S15" s="241" t="str">
        <f t="shared" si="1"/>
        <v/>
      </c>
      <c r="T15" s="241" t="str">
        <f t="shared" si="2"/>
        <v/>
      </c>
      <c r="U15" s="241" t="str">
        <f t="shared" si="3"/>
        <v/>
      </c>
      <c r="V15" s="241" t="str">
        <f>IF(S15="","",IF(T15=1,VLOOKUP(M15,'elipse #s'!$A$4:$C$38,2,FALSE),VLOOKUP(M15,'elipse #s'!$A$4:$C$38,3,FALSE)))</f>
        <v/>
      </c>
      <c r="W15" s="241" t="str">
        <f>IF(S15="","",IF(S15=0,"",VLOOKUP(N15,'elipse #s'!$A$4:$C$38,2,FALSE)))</f>
        <v/>
      </c>
      <c r="X15" s="241" t="str">
        <f t="shared" si="4"/>
        <v/>
      </c>
      <c r="Y15" s="241">
        <f t="shared" si="5"/>
        <v>0</v>
      </c>
      <c r="Z15" s="241">
        <f t="shared" si="6"/>
        <v>0</v>
      </c>
    </row>
    <row r="16" spans="1:30">
      <c r="A16" s="241"/>
      <c r="B16" s="252"/>
      <c r="C16" s="252"/>
      <c r="D16" s="246"/>
      <c r="E16" s="246" t="str">
        <f t="shared" si="0"/>
        <v/>
      </c>
      <c r="F16" s="294"/>
      <c r="G16" s="240" t="s">
        <v>63</v>
      </c>
      <c r="H16" s="240"/>
      <c r="I16" s="240">
        <v>0</v>
      </c>
      <c r="J16" s="240">
        <v>2.4597000000000002</v>
      </c>
      <c r="K16" s="240">
        <v>-0.1082</v>
      </c>
      <c r="L16" s="240">
        <v>5</v>
      </c>
      <c r="M16" s="240">
        <v>15</v>
      </c>
      <c r="N16" s="240">
        <v>20</v>
      </c>
      <c r="O16" s="240"/>
      <c r="P16" s="240"/>
      <c r="Q16" s="240"/>
      <c r="R16" s="240"/>
      <c r="S16" s="241">
        <f t="shared" si="1"/>
        <v>1</v>
      </c>
      <c r="T16" s="241">
        <f t="shared" si="2"/>
        <v>1</v>
      </c>
      <c r="U16" s="241">
        <f t="shared" si="3"/>
        <v>0</v>
      </c>
      <c r="V16" s="241">
        <f>IF(S16="","",IF(T16=1,VLOOKUP(M16,'elipse #s'!$A$4:$C$38,2,FALSE),VLOOKUP(M16,'elipse #s'!$A$4:$C$38,3,FALSE)))</f>
        <v>0.25548738105345858</v>
      </c>
      <c r="W16" s="241">
        <f>IF(S16="","",IF(S16=0,"",VLOOKUP(N16,'elipse #s'!$A$4:$C$38,2,FALSE)))</f>
        <v>0.24854869819787279</v>
      </c>
      <c r="X16" s="241">
        <f t="shared" si="4"/>
        <v>6.9386828555857982E-3</v>
      </c>
      <c r="Y16" s="241">
        <f t="shared" si="5"/>
        <v>2.459095253942031</v>
      </c>
      <c r="Z16" s="241">
        <f t="shared" si="6"/>
        <v>-0.13807772092752532</v>
      </c>
    </row>
    <row r="17" spans="1:26">
      <c r="A17" s="241"/>
      <c r="B17" s="252"/>
      <c r="C17" s="252"/>
      <c r="D17" s="246"/>
      <c r="E17" s="246">
        <f t="shared" si="0"/>
        <v>-2.5332500000000001E-2</v>
      </c>
      <c r="F17" s="294">
        <v>3.2170000000000001</v>
      </c>
      <c r="G17" s="240" t="s">
        <v>11</v>
      </c>
      <c r="H17" s="240" t="s">
        <v>10</v>
      </c>
      <c r="I17" s="240"/>
      <c r="J17" s="240"/>
      <c r="K17" s="240"/>
      <c r="L17" s="240"/>
      <c r="M17" s="240"/>
      <c r="N17" s="240"/>
      <c r="O17" s="240">
        <v>-101.33</v>
      </c>
      <c r="P17" s="240">
        <v>-16.989999999999998</v>
      </c>
      <c r="Q17" s="240">
        <v>-1.66</v>
      </c>
      <c r="R17" s="240">
        <v>-86</v>
      </c>
      <c r="S17" s="241" t="str">
        <f t="shared" si="1"/>
        <v/>
      </c>
      <c r="T17" s="241" t="str">
        <f t="shared" si="2"/>
        <v/>
      </c>
      <c r="U17" s="241" t="str">
        <f t="shared" si="3"/>
        <v/>
      </c>
      <c r="V17" s="241" t="str">
        <f>IF(S17="","",IF(T17=1,VLOOKUP(M17,'elipse #s'!$A$4:$C$38,2,FALSE),VLOOKUP(M17,'elipse #s'!$A$4:$C$38,3,FALSE)))</f>
        <v/>
      </c>
      <c r="W17" s="241" t="str">
        <f>IF(S17="","",IF(S17=0,"",VLOOKUP(N17,'elipse #s'!$A$4:$C$38,2,FALSE)))</f>
        <v/>
      </c>
      <c r="X17" s="241" t="str">
        <f t="shared" si="4"/>
        <v/>
      </c>
      <c r="Y17" s="241">
        <f t="shared" si="5"/>
        <v>0</v>
      </c>
      <c r="Z17" s="241">
        <f t="shared" si="6"/>
        <v>0</v>
      </c>
    </row>
    <row r="18" spans="1:26">
      <c r="A18" s="241"/>
      <c r="B18" s="252"/>
      <c r="C18" s="252"/>
      <c r="D18" s="246"/>
      <c r="E18" s="246" t="str">
        <f t="shared" si="0"/>
        <v/>
      </c>
      <c r="F18" s="294"/>
      <c r="G18" s="240" t="s">
        <v>63</v>
      </c>
      <c r="H18" s="240"/>
      <c r="I18" s="240">
        <v>0</v>
      </c>
      <c r="J18" s="240">
        <v>3.2829999999999999</v>
      </c>
      <c r="K18" s="240">
        <v>-0.2641</v>
      </c>
      <c r="L18" s="240">
        <v>-19.399999999999999</v>
      </c>
      <c r="M18" s="240">
        <v>15</v>
      </c>
      <c r="N18" s="240">
        <v>20</v>
      </c>
      <c r="O18" s="240"/>
      <c r="P18" s="240"/>
      <c r="Q18" s="240"/>
      <c r="R18" s="240"/>
      <c r="S18" s="241">
        <f t="shared" si="1"/>
        <v>1</v>
      </c>
      <c r="T18" s="241">
        <f t="shared" si="2"/>
        <v>0</v>
      </c>
      <c r="U18" s="241">
        <f t="shared" si="3"/>
        <v>0</v>
      </c>
      <c r="V18" s="241">
        <f>IF(S18="","",IF(T18=1,VLOOKUP(M18,'elipse #s'!$A$4:$C$38,2,FALSE),VLOOKUP(M18,'elipse #s'!$A$4:$C$38,3,FALSE)))</f>
        <v>0.30185182071533384</v>
      </c>
      <c r="W18" s="241">
        <f>IF(S18="","",IF(S18=0,"",VLOOKUP(N18,'elipse #s'!$A$4:$C$38,2,FALSE)))</f>
        <v>0.24854869819787279</v>
      </c>
      <c r="X18" s="241">
        <f t="shared" si="4"/>
        <v>5.3303122517461055E-2</v>
      </c>
      <c r="Y18" s="241">
        <f t="shared" si="5"/>
        <v>3.3007052255083353</v>
      </c>
      <c r="Z18" s="241">
        <f t="shared" si="6"/>
        <v>-0.24915578710217379</v>
      </c>
    </row>
    <row r="19" spans="1:26">
      <c r="A19" s="241"/>
      <c r="B19" s="252"/>
      <c r="C19" s="252"/>
      <c r="D19" s="246"/>
      <c r="E19" s="246">
        <f t="shared" si="0"/>
        <v>-2.4774999999999998E-2</v>
      </c>
      <c r="F19" s="294">
        <v>3.222</v>
      </c>
      <c r="G19" s="240" t="s">
        <v>11</v>
      </c>
      <c r="H19" s="240" t="s">
        <v>10</v>
      </c>
      <c r="I19" s="240"/>
      <c r="J19" s="240"/>
      <c r="K19" s="240"/>
      <c r="L19" s="240"/>
      <c r="M19" s="240"/>
      <c r="N19" s="240"/>
      <c r="O19" s="240">
        <v>-99.100000000000009</v>
      </c>
      <c r="P19" s="240">
        <v>-15.73</v>
      </c>
      <c r="Q19" s="240">
        <v>-2.63</v>
      </c>
      <c r="R19" s="240">
        <v>-86</v>
      </c>
      <c r="S19" s="241" t="str">
        <f t="shared" si="1"/>
        <v/>
      </c>
      <c r="T19" s="241" t="str">
        <f t="shared" si="2"/>
        <v/>
      </c>
      <c r="U19" s="241" t="str">
        <f t="shared" si="3"/>
        <v/>
      </c>
      <c r="V19" s="241" t="str">
        <f>IF(S19="","",IF(T19=1,VLOOKUP(M19,'elipse #s'!$A$4:$C$38,2,FALSE),VLOOKUP(M19,'elipse #s'!$A$4:$C$38,3,FALSE)))</f>
        <v/>
      </c>
      <c r="W19" s="241" t="str">
        <f>IF(S19="","",IF(S19=0,"",VLOOKUP(N19,'elipse #s'!$A$4:$C$38,2,FALSE)))</f>
        <v/>
      </c>
      <c r="X19" s="241" t="str">
        <f t="shared" si="4"/>
        <v/>
      </c>
      <c r="Y19" s="241">
        <f t="shared" si="5"/>
        <v>0</v>
      </c>
      <c r="Z19" s="241">
        <f t="shared" si="6"/>
        <v>0</v>
      </c>
    </row>
    <row r="20" spans="1:26">
      <c r="A20" s="241"/>
      <c r="B20" s="252"/>
      <c r="C20" s="252"/>
      <c r="D20" s="246"/>
      <c r="E20" s="246" t="str">
        <f t="shared" si="0"/>
        <v/>
      </c>
      <c r="F20" s="294"/>
      <c r="G20" s="240" t="s">
        <v>63</v>
      </c>
      <c r="H20" s="240"/>
      <c r="I20" s="240">
        <v>0</v>
      </c>
      <c r="J20" s="240">
        <v>3.8342999999999998</v>
      </c>
      <c r="K20" s="240">
        <v>-0.82650000000000001</v>
      </c>
      <c r="L20" s="240">
        <v>-43.5</v>
      </c>
      <c r="M20" s="240">
        <v>20</v>
      </c>
      <c r="N20" s="240">
        <v>25</v>
      </c>
      <c r="O20" s="240"/>
      <c r="P20" s="240"/>
      <c r="Q20" s="240"/>
      <c r="R20" s="240"/>
      <c r="S20" s="241">
        <f t="shared" si="1"/>
        <v>1</v>
      </c>
      <c r="T20" s="241">
        <f t="shared" si="2"/>
        <v>0</v>
      </c>
      <c r="U20" s="241">
        <f t="shared" si="3"/>
        <v>0</v>
      </c>
      <c r="V20" s="241">
        <f>IF(S20="","",IF(T20=1,VLOOKUP(M20,'elipse #s'!$A$4:$C$38,2,FALSE),VLOOKUP(M20,'elipse #s'!$A$4:$C$38,3,FALSE)))</f>
        <v>0.29365394399559641</v>
      </c>
      <c r="W20" s="241">
        <f>IF(S20="","",IF(S20=0,"",VLOOKUP(N20,'elipse #s'!$A$4:$C$38,2,FALSE)))</f>
        <v>0.23971840967119393</v>
      </c>
      <c r="X20" s="241">
        <f t="shared" si="4"/>
        <v>5.3935534324402484E-2</v>
      </c>
      <c r="Y20" s="241">
        <f t="shared" si="5"/>
        <v>3.87142677184469</v>
      </c>
      <c r="Z20" s="241">
        <f t="shared" si="6"/>
        <v>-0.82215154571422489</v>
      </c>
    </row>
    <row r="21" spans="1:26">
      <c r="A21" s="241"/>
      <c r="B21" s="252"/>
      <c r="C21" s="252"/>
      <c r="D21" s="246"/>
      <c r="E21" s="246">
        <f t="shared" si="0"/>
        <v>-2.4672499999999997E-2</v>
      </c>
      <c r="F21" s="294">
        <v>3.2269999999999999</v>
      </c>
      <c r="G21" s="240" t="s">
        <v>11</v>
      </c>
      <c r="H21" s="240" t="s">
        <v>10</v>
      </c>
      <c r="I21" s="240"/>
      <c r="J21" s="240"/>
      <c r="K21" s="240"/>
      <c r="L21" s="240"/>
      <c r="M21" s="240"/>
      <c r="N21" s="240"/>
      <c r="O21" s="240">
        <v>-98.69</v>
      </c>
      <c r="P21" s="240">
        <v>-15.55</v>
      </c>
      <c r="Q21" s="240">
        <v>-2.86</v>
      </c>
      <c r="R21" s="240">
        <v>-86</v>
      </c>
      <c r="S21" s="241" t="str">
        <f t="shared" si="1"/>
        <v/>
      </c>
      <c r="T21" s="241" t="str">
        <f t="shared" si="2"/>
        <v/>
      </c>
      <c r="U21" s="241" t="str">
        <f t="shared" si="3"/>
        <v/>
      </c>
      <c r="V21" s="241" t="str">
        <f>IF(S21="","",IF(T21=1,VLOOKUP(M21,'elipse #s'!$A$4:$C$38,2,FALSE),VLOOKUP(M21,'elipse #s'!$A$4:$C$38,3,FALSE)))</f>
        <v/>
      </c>
      <c r="W21" s="241" t="str">
        <f>IF(S21="","",IF(S21=0,"",VLOOKUP(N21,'elipse #s'!$A$4:$C$38,2,FALSE)))</f>
        <v/>
      </c>
      <c r="X21" s="241" t="str">
        <f t="shared" si="4"/>
        <v/>
      </c>
      <c r="Y21" s="241">
        <f t="shared" si="5"/>
        <v>0</v>
      </c>
      <c r="Z21" s="241">
        <f t="shared" si="6"/>
        <v>0</v>
      </c>
    </row>
    <row r="22" spans="1:26">
      <c r="A22" s="241"/>
      <c r="B22" s="252"/>
      <c r="C22" s="252"/>
      <c r="D22" s="246"/>
      <c r="E22" s="246" t="str">
        <f t="shared" si="0"/>
        <v/>
      </c>
      <c r="F22" s="294"/>
      <c r="G22" s="240" t="s">
        <v>63</v>
      </c>
      <c r="H22" s="240"/>
      <c r="I22" s="240">
        <v>0</v>
      </c>
      <c r="J22" s="240">
        <v>3.9613</v>
      </c>
      <c r="K22" s="240">
        <v>-1.5865</v>
      </c>
      <c r="L22" s="240">
        <v>-65</v>
      </c>
      <c r="M22" s="240">
        <v>25</v>
      </c>
      <c r="N22" s="240">
        <v>30</v>
      </c>
      <c r="O22" s="240"/>
      <c r="P22" s="240"/>
      <c r="Q22" s="240"/>
      <c r="R22" s="240"/>
      <c r="S22" s="241">
        <f t="shared" si="1"/>
        <v>1</v>
      </c>
      <c r="T22" s="241">
        <f t="shared" si="2"/>
        <v>0</v>
      </c>
      <c r="U22" s="241">
        <f t="shared" si="3"/>
        <v>0</v>
      </c>
      <c r="V22" s="241">
        <f>IF(S22="","",IF(T22=1,VLOOKUP(M22,'elipse #s'!$A$4:$C$38,2,FALSE),VLOOKUP(M22,'elipse #s'!$A$4:$C$38,3,FALSE)))</f>
        <v>0.28322118344895308</v>
      </c>
      <c r="W22" s="241">
        <f>IF(S22="","",IF(S22=0,"",VLOOKUP(N22,'elipse #s'!$A$4:$C$38,2,FALSE)))</f>
        <v>0.22906371930098404</v>
      </c>
      <c r="X22" s="241">
        <f t="shared" si="4"/>
        <v>5.4157464147969042E-2</v>
      </c>
      <c r="Y22" s="241">
        <f t="shared" si="5"/>
        <v>4.0103833314834629</v>
      </c>
      <c r="Z22" s="241">
        <f t="shared" si="6"/>
        <v>-1.5982845666415011</v>
      </c>
    </row>
    <row r="23" spans="1:26">
      <c r="A23" s="241"/>
      <c r="B23" s="252"/>
      <c r="C23" s="252"/>
      <c r="D23" s="246"/>
      <c r="E23" s="246">
        <f t="shared" si="0"/>
        <v>-3.9297499999999999E-2</v>
      </c>
      <c r="F23" s="294">
        <v>4.2110000000000003</v>
      </c>
      <c r="G23" s="240" t="s">
        <v>10</v>
      </c>
      <c r="H23" s="240" t="s">
        <v>10</v>
      </c>
      <c r="I23" s="240"/>
      <c r="J23" s="240"/>
      <c r="K23" s="240"/>
      <c r="L23" s="240"/>
      <c r="M23" s="240"/>
      <c r="N23" s="240"/>
      <c r="O23" s="240">
        <v>-157.19</v>
      </c>
      <c r="P23" s="240">
        <v>-21.19</v>
      </c>
      <c r="Q23" s="240">
        <v>0</v>
      </c>
      <c r="R23" s="240">
        <v>-136</v>
      </c>
      <c r="S23" s="241" t="str">
        <f t="shared" si="1"/>
        <v/>
      </c>
      <c r="T23" s="241" t="str">
        <f t="shared" si="2"/>
        <v/>
      </c>
      <c r="U23" s="241" t="str">
        <f t="shared" si="3"/>
        <v/>
      </c>
      <c r="V23" s="241" t="str">
        <f>IF(S23="","",IF(T23=1,VLOOKUP(M23,'elipse #s'!$A$4:$C$38,2,FALSE),VLOOKUP(M23,'elipse #s'!$A$4:$C$38,3,FALSE)))</f>
        <v/>
      </c>
      <c r="W23" s="241" t="str">
        <f>IF(S23="","",IF(S23=0,"",VLOOKUP(N23,'elipse #s'!$A$4:$C$38,2,FALSE)))</f>
        <v/>
      </c>
      <c r="X23" s="241" t="str">
        <f t="shared" si="4"/>
        <v/>
      </c>
      <c r="Y23" s="241">
        <f t="shared" si="5"/>
        <v>0</v>
      </c>
      <c r="Z23" s="241">
        <f t="shared" si="6"/>
        <v>0</v>
      </c>
    </row>
    <row r="24" spans="1:26">
      <c r="B24" s="252"/>
      <c r="C24" s="252"/>
      <c r="D24" s="246"/>
      <c r="E24" s="246" t="str">
        <f t="shared" si="0"/>
        <v/>
      </c>
      <c r="F24" s="294"/>
      <c r="G24" s="240" t="s">
        <v>63</v>
      </c>
      <c r="H24" s="240"/>
      <c r="I24" s="240">
        <v>0</v>
      </c>
      <c r="J24" s="240">
        <v>2.2629000000000001</v>
      </c>
      <c r="K24" s="240">
        <v>-0.15840000000000001</v>
      </c>
      <c r="L24" s="240">
        <v>10</v>
      </c>
      <c r="M24" s="240">
        <v>15</v>
      </c>
      <c r="N24" s="240">
        <v>20</v>
      </c>
      <c r="O24" s="240"/>
      <c r="P24" s="240"/>
      <c r="Q24" s="240"/>
      <c r="R24" s="240"/>
      <c r="S24" s="241">
        <f t="shared" si="1"/>
        <v>1</v>
      </c>
      <c r="T24" s="241">
        <f t="shared" si="2"/>
        <v>1</v>
      </c>
      <c r="U24" s="241">
        <f t="shared" si="3"/>
        <v>0</v>
      </c>
      <c r="V24" s="241">
        <f>IF(S24="","",IF(T24=1,VLOOKUP(M24,'elipse #s'!$A$4:$C$38,2,FALSE),VLOOKUP(M24,'elipse #s'!$A$4:$C$38,3,FALSE)))</f>
        <v>0.25548738105345858</v>
      </c>
      <c r="W24" s="241">
        <f>IF(S24="","",IF(S24=0,"",VLOOKUP(N24,'elipse #s'!$A$4:$C$38,2,FALSE)))</f>
        <v>0.24854869819787279</v>
      </c>
      <c r="X24" s="241">
        <f t="shared" si="4"/>
        <v>6.9386828555857982E-3</v>
      </c>
      <c r="Y24" s="241">
        <f t="shared" si="5"/>
        <v>2.2616951103667189</v>
      </c>
      <c r="Z24" s="241">
        <f t="shared" si="6"/>
        <v>-0.20086423132812625</v>
      </c>
    </row>
    <row r="25" spans="1:26">
      <c r="B25" s="252"/>
      <c r="C25" s="252"/>
      <c r="D25" s="246"/>
      <c r="E25" s="246">
        <f t="shared" si="0"/>
        <v>-2.077E-2</v>
      </c>
      <c r="F25" s="294">
        <v>4.2160000000000002</v>
      </c>
      <c r="G25" s="240" t="s">
        <v>11</v>
      </c>
      <c r="H25" s="240" t="s">
        <v>10</v>
      </c>
      <c r="I25" s="240"/>
      <c r="J25" s="240"/>
      <c r="K25" s="240"/>
      <c r="L25" s="240"/>
      <c r="M25" s="240"/>
      <c r="N25" s="240"/>
      <c r="O25" s="240">
        <v>-83.08</v>
      </c>
      <c r="P25" s="240">
        <v>-17.489999999999998</v>
      </c>
      <c r="Q25" s="240">
        <v>-1.41</v>
      </c>
      <c r="R25" s="240">
        <v>-67</v>
      </c>
      <c r="S25" s="241" t="str">
        <f t="shared" si="1"/>
        <v/>
      </c>
      <c r="T25" s="241" t="str">
        <f t="shared" si="2"/>
        <v/>
      </c>
      <c r="U25" s="241" t="str">
        <f t="shared" si="3"/>
        <v/>
      </c>
      <c r="V25" s="241" t="str">
        <f>IF(S25="","",IF(T25=1,VLOOKUP(M25,'elipse #s'!$A$4:$C$38,2,FALSE),VLOOKUP(M25,'elipse #s'!$A$4:$C$38,3,FALSE)))</f>
        <v/>
      </c>
      <c r="W25" s="241" t="str">
        <f>IF(S25="","",IF(S25=0,"",VLOOKUP(N25,'elipse #s'!$A$4:$C$38,2,FALSE)))</f>
        <v/>
      </c>
      <c r="X25" s="241" t="str">
        <f t="shared" si="4"/>
        <v/>
      </c>
      <c r="Y25" s="241">
        <f t="shared" si="5"/>
        <v>0</v>
      </c>
      <c r="Z25" s="241">
        <f t="shared" si="6"/>
        <v>0</v>
      </c>
    </row>
    <row r="26" spans="1:26">
      <c r="B26" s="252"/>
      <c r="C26" s="252"/>
      <c r="D26" s="246"/>
      <c r="E26" s="246" t="str">
        <f t="shared" si="0"/>
        <v/>
      </c>
      <c r="F26" s="294"/>
      <c r="G26" s="240" t="s">
        <v>63</v>
      </c>
      <c r="H26" s="240"/>
      <c r="I26" s="240">
        <v>0</v>
      </c>
      <c r="J26" s="240">
        <v>3.1343999999999999</v>
      </c>
      <c r="K26" s="240">
        <v>-0.19939999999999999</v>
      </c>
      <c r="L26" s="240">
        <v>-14.6</v>
      </c>
      <c r="M26" s="240">
        <v>15</v>
      </c>
      <c r="N26" s="240">
        <v>20</v>
      </c>
      <c r="O26" s="240"/>
      <c r="P26" s="240"/>
      <c r="Q26" s="240"/>
      <c r="R26" s="240"/>
      <c r="S26" s="241">
        <f t="shared" si="1"/>
        <v>1</v>
      </c>
      <c r="T26" s="241">
        <f t="shared" si="2"/>
        <v>0</v>
      </c>
      <c r="U26" s="241">
        <f t="shared" si="3"/>
        <v>0</v>
      </c>
      <c r="V26" s="241">
        <f>IF(S26="","",IF(T26=1,VLOOKUP(M26,'elipse #s'!$A$4:$C$38,2,FALSE),VLOOKUP(M26,'elipse #s'!$A$4:$C$38,3,FALSE)))</f>
        <v>0.30185182071533384</v>
      </c>
      <c r="W26" s="241">
        <f>IF(S26="","",IF(S26=0,"",VLOOKUP(N26,'elipse #s'!$A$4:$C$38,2,FALSE)))</f>
        <v>0.24854869819787279</v>
      </c>
      <c r="X26" s="241">
        <f t="shared" si="4"/>
        <v>5.3303122517461055E-2</v>
      </c>
      <c r="Y26" s="241">
        <f t="shared" si="5"/>
        <v>3.1478360838853305</v>
      </c>
      <c r="Z26" s="241">
        <f t="shared" si="6"/>
        <v>-0.1785880795245289</v>
      </c>
    </row>
    <row r="27" spans="1:26">
      <c r="B27" s="252"/>
      <c r="C27" s="252"/>
      <c r="D27" s="246"/>
      <c r="E27" s="246">
        <f t="shared" si="0"/>
        <v>-2.0094999999999998E-2</v>
      </c>
      <c r="F27" s="294">
        <v>4.2210000000000001</v>
      </c>
      <c r="G27" s="240" t="s">
        <v>11</v>
      </c>
      <c r="H27" s="240" t="s">
        <v>10</v>
      </c>
      <c r="I27" s="240"/>
      <c r="J27" s="240"/>
      <c r="K27" s="240"/>
      <c r="L27" s="240"/>
      <c r="M27" s="240"/>
      <c r="N27" s="240"/>
      <c r="O27" s="240">
        <v>-80.38</v>
      </c>
      <c r="P27" s="240">
        <v>-15.86</v>
      </c>
      <c r="Q27" s="240">
        <v>-2.48</v>
      </c>
      <c r="R27" s="240">
        <v>-67</v>
      </c>
      <c r="S27" s="241" t="str">
        <f t="shared" si="1"/>
        <v/>
      </c>
      <c r="T27" s="241" t="str">
        <f t="shared" si="2"/>
        <v/>
      </c>
      <c r="U27" s="241" t="str">
        <f t="shared" si="3"/>
        <v/>
      </c>
      <c r="V27" s="241" t="str">
        <f>IF(S27="","",IF(T27=1,VLOOKUP(M27,'elipse #s'!$A$4:$C$38,2,FALSE),VLOOKUP(M27,'elipse #s'!$A$4:$C$38,3,FALSE)))</f>
        <v/>
      </c>
      <c r="W27" s="241" t="str">
        <f>IF(S27="","",IF(S27=0,"",VLOOKUP(N27,'elipse #s'!$A$4:$C$38,2,FALSE)))</f>
        <v/>
      </c>
      <c r="X27" s="241" t="str">
        <f t="shared" si="4"/>
        <v/>
      </c>
      <c r="Y27" s="241">
        <f t="shared" si="5"/>
        <v>0</v>
      </c>
      <c r="Z27" s="241">
        <f t="shared" si="6"/>
        <v>0</v>
      </c>
    </row>
    <row r="28" spans="1:26">
      <c r="B28" s="252"/>
      <c r="C28" s="252"/>
      <c r="D28" s="246"/>
      <c r="E28" s="246" t="str">
        <f t="shared" si="0"/>
        <v/>
      </c>
      <c r="F28" s="294"/>
      <c r="G28" s="240" t="s">
        <v>63</v>
      </c>
      <c r="H28" s="240"/>
      <c r="I28" s="240">
        <v>0</v>
      </c>
      <c r="J28" s="240">
        <v>3.7547999999999999</v>
      </c>
      <c r="K28" s="240">
        <v>-0.69010000000000005</v>
      </c>
      <c r="L28" s="240">
        <v>-38.700000000000003</v>
      </c>
      <c r="M28" s="240">
        <v>17.5</v>
      </c>
      <c r="N28" s="240">
        <v>22.5</v>
      </c>
      <c r="O28" s="240"/>
      <c r="P28" s="240"/>
      <c r="Q28" s="240"/>
      <c r="R28" s="240"/>
      <c r="S28" s="241">
        <f t="shared" si="1"/>
        <v>1</v>
      </c>
      <c r="T28" s="241">
        <f t="shared" si="2"/>
        <v>0</v>
      </c>
      <c r="U28" s="241">
        <f t="shared" si="3"/>
        <v>0</v>
      </c>
      <c r="V28" s="241">
        <f>IF(S28="","",IF(T28=1,VLOOKUP(M28,'elipse #s'!$A$4:$C$38,2,FALSE),VLOOKUP(M28,'elipse #s'!$A$4:$C$38,3,FALSE)))</f>
        <v>0.29803654710882094</v>
      </c>
      <c r="W28" s="241">
        <f>IF(S28="","",IF(S28=0,"",VLOOKUP(N28,'elipse #s'!$A$4:$C$38,2,FALSE)))</f>
        <v>0.24436613634923535</v>
      </c>
      <c r="X28" s="241">
        <f t="shared" si="4"/>
        <v>5.3670410759585591E-2</v>
      </c>
      <c r="Y28" s="241">
        <f t="shared" si="5"/>
        <v>3.7883570301899514</v>
      </c>
      <c r="Z28" s="241">
        <f t="shared" si="6"/>
        <v>-0.67830897946888113</v>
      </c>
    </row>
    <row r="29" spans="1:26">
      <c r="B29" s="252"/>
      <c r="C29" s="252"/>
      <c r="D29" s="246"/>
      <c r="E29" s="246">
        <f t="shared" si="0"/>
        <v>-1.9924999999999998E-2</v>
      </c>
      <c r="F29" s="294">
        <v>4.226</v>
      </c>
      <c r="G29" s="240" t="s">
        <v>11</v>
      </c>
      <c r="H29" s="240" t="s">
        <v>10</v>
      </c>
      <c r="I29" s="240"/>
      <c r="J29" s="240"/>
      <c r="K29" s="240"/>
      <c r="L29" s="240"/>
      <c r="M29" s="240"/>
      <c r="N29" s="240"/>
      <c r="O29" s="240">
        <v>-79.7</v>
      </c>
      <c r="P29" s="240">
        <v>-15.55</v>
      </c>
      <c r="Q29" s="240">
        <v>-2.85</v>
      </c>
      <c r="R29" s="240">
        <v>-67</v>
      </c>
      <c r="S29" s="241" t="str">
        <f t="shared" si="1"/>
        <v/>
      </c>
      <c r="T29" s="241" t="str">
        <f t="shared" si="2"/>
        <v/>
      </c>
      <c r="U29" s="241" t="str">
        <f t="shared" si="3"/>
        <v/>
      </c>
      <c r="V29" s="241" t="str">
        <f>IF(S29="","",IF(T29=1,VLOOKUP(M29,'elipse #s'!$A$4:$C$38,2,FALSE),VLOOKUP(M29,'elipse #s'!$A$4:$C$38,3,FALSE)))</f>
        <v/>
      </c>
      <c r="W29" s="241" t="str">
        <f>IF(S29="","",IF(S29=0,"",VLOOKUP(N29,'elipse #s'!$A$4:$C$38,2,FALSE)))</f>
        <v/>
      </c>
      <c r="X29" s="241" t="str">
        <f t="shared" si="4"/>
        <v/>
      </c>
      <c r="Y29" s="241">
        <f t="shared" si="5"/>
        <v>0</v>
      </c>
      <c r="Z29" s="241">
        <f t="shared" si="6"/>
        <v>0</v>
      </c>
    </row>
    <row r="30" spans="1:26">
      <c r="B30" s="252"/>
      <c r="C30" s="252"/>
      <c r="D30" s="246"/>
      <c r="E30" s="246" t="str">
        <f t="shared" si="0"/>
        <v/>
      </c>
      <c r="F30" s="294"/>
      <c r="G30" s="240" t="s">
        <v>63</v>
      </c>
      <c r="H30" s="240"/>
      <c r="I30" s="240">
        <v>0</v>
      </c>
      <c r="J30" s="240">
        <v>3.9554</v>
      </c>
      <c r="K30" s="240">
        <v>-1.4336</v>
      </c>
      <c r="L30" s="240">
        <v>-62.9</v>
      </c>
      <c r="M30" s="240">
        <v>22.5</v>
      </c>
      <c r="N30" s="240">
        <v>27.5</v>
      </c>
      <c r="O30" s="240"/>
      <c r="P30" s="240"/>
      <c r="Q30" s="240"/>
      <c r="R30" s="240"/>
      <c r="S30" s="241">
        <f t="shared" si="1"/>
        <v>1</v>
      </c>
      <c r="T30" s="241">
        <f t="shared" si="2"/>
        <v>0</v>
      </c>
      <c r="U30" s="241">
        <f t="shared" si="3"/>
        <v>0</v>
      </c>
      <c r="V30" s="241">
        <f>IF(S30="","",IF(T30=1,VLOOKUP(M30,'elipse #s'!$A$4:$C$38,2,FALSE),VLOOKUP(M30,'elipse #s'!$A$4:$C$38,3,FALSE)))</f>
        <v>0.28871235390977712</v>
      </c>
      <c r="W30" s="241">
        <f>IF(S30="","",IF(S30=0,"",VLOOKUP(N30,'elipse #s'!$A$4:$C$38,2,FALSE)))</f>
        <v>0.23461436537563965</v>
      </c>
      <c r="X30" s="241">
        <f t="shared" si="4"/>
        <v>5.409798853413747E-2</v>
      </c>
      <c r="Y30" s="241">
        <f t="shared" si="5"/>
        <v>4.0035587220967948</v>
      </c>
      <c r="Z30" s="241">
        <f t="shared" si="6"/>
        <v>-1.4388809368316966</v>
      </c>
    </row>
    <row r="31" spans="1:26">
      <c r="B31" s="252"/>
      <c r="C31" s="252"/>
      <c r="D31" s="246"/>
      <c r="E31" s="246">
        <f t="shared" si="0"/>
        <v>-2.1485000000000001E-2</v>
      </c>
      <c r="F31" s="294">
        <v>5.2149999999999999</v>
      </c>
      <c r="G31" s="240" t="s">
        <v>11</v>
      </c>
      <c r="H31" s="240" t="s">
        <v>10</v>
      </c>
      <c r="I31" s="240"/>
      <c r="J31" s="240"/>
      <c r="K31" s="240"/>
      <c r="L31" s="240"/>
      <c r="M31" s="240"/>
      <c r="N31" s="240"/>
      <c r="O31" s="240">
        <v>-85.94</v>
      </c>
      <c r="P31" s="240">
        <v>-18.11</v>
      </c>
      <c r="Q31" s="240">
        <v>-1.17</v>
      </c>
      <c r="R31" s="240">
        <v>-69</v>
      </c>
      <c r="S31" s="241" t="str">
        <f t="shared" si="1"/>
        <v/>
      </c>
      <c r="T31" s="241" t="str">
        <f t="shared" si="2"/>
        <v/>
      </c>
      <c r="U31" s="241" t="str">
        <f t="shared" si="3"/>
        <v/>
      </c>
      <c r="V31" s="241" t="str">
        <f>IF(S31="","",IF(T31=1,VLOOKUP(M31,'elipse #s'!$A$4:$C$38,2,FALSE),VLOOKUP(M31,'elipse #s'!$A$4:$C$38,3,FALSE)))</f>
        <v/>
      </c>
      <c r="W31" s="241" t="str">
        <f>IF(S31="","",IF(S31=0,"",VLOOKUP(N31,'elipse #s'!$A$4:$C$38,2,FALSE)))</f>
        <v/>
      </c>
      <c r="X31" s="241" t="str">
        <f t="shared" si="4"/>
        <v/>
      </c>
      <c r="Y31" s="241">
        <f t="shared" si="5"/>
        <v>0</v>
      </c>
      <c r="Z31" s="241">
        <f t="shared" si="6"/>
        <v>0</v>
      </c>
    </row>
    <row r="32" spans="1:26">
      <c r="B32" s="252"/>
      <c r="C32" s="252"/>
      <c r="D32" s="246"/>
      <c r="E32" s="246" t="str">
        <f t="shared" si="0"/>
        <v/>
      </c>
      <c r="F32" s="294"/>
      <c r="G32" s="240" t="s">
        <v>63</v>
      </c>
      <c r="H32" s="240"/>
      <c r="I32" s="240">
        <v>0</v>
      </c>
      <c r="J32" s="240">
        <v>2.9784000000000002</v>
      </c>
      <c r="K32" s="240">
        <v>-0.1547</v>
      </c>
      <c r="L32" s="240">
        <v>-9.6999999999999993</v>
      </c>
      <c r="M32" s="240">
        <v>15</v>
      </c>
      <c r="N32" s="240">
        <v>20</v>
      </c>
      <c r="O32" s="240"/>
      <c r="P32" s="240"/>
      <c r="Q32" s="240"/>
      <c r="R32" s="240"/>
      <c r="S32" s="241">
        <f t="shared" si="1"/>
        <v>1</v>
      </c>
      <c r="T32" s="241">
        <f t="shared" si="2"/>
        <v>0</v>
      </c>
      <c r="U32" s="241">
        <f t="shared" si="3"/>
        <v>0</v>
      </c>
      <c r="V32" s="241">
        <f>IF(S32="","",IF(T32=1,VLOOKUP(M32,'elipse #s'!$A$4:$C$38,2,FALSE),VLOOKUP(M32,'elipse #s'!$A$4:$C$38,3,FALSE)))</f>
        <v>0.30185182071533384</v>
      </c>
      <c r="W32" s="241">
        <f>IF(S32="","",IF(S32=0,"",VLOOKUP(N32,'elipse #s'!$A$4:$C$38,2,FALSE)))</f>
        <v>0.24854869819787279</v>
      </c>
      <c r="X32" s="241">
        <f t="shared" si="4"/>
        <v>5.3303122517461055E-2</v>
      </c>
      <c r="Y32" s="241">
        <f t="shared" si="5"/>
        <v>2.9873810100418443</v>
      </c>
      <c r="Z32" s="241">
        <f t="shared" si="6"/>
        <v>-0.13364392722127044</v>
      </c>
    </row>
    <row r="33" spans="2:26">
      <c r="B33" s="252"/>
      <c r="C33" s="252"/>
      <c r="D33" s="246"/>
      <c r="E33" s="246">
        <f t="shared" si="0"/>
        <v>-2.0682499999999999E-2</v>
      </c>
      <c r="F33" s="294">
        <v>5.22</v>
      </c>
      <c r="G33" s="240" t="s">
        <v>11</v>
      </c>
      <c r="H33" s="240" t="s">
        <v>10</v>
      </c>
      <c r="I33" s="240"/>
      <c r="J33" s="240"/>
      <c r="K33" s="240"/>
      <c r="L33" s="240"/>
      <c r="M33" s="240"/>
      <c r="N33" s="240"/>
      <c r="O33" s="240">
        <v>-82.72999999999999</v>
      </c>
      <c r="P33" s="240">
        <v>-16.04</v>
      </c>
      <c r="Q33" s="240">
        <v>-2.31</v>
      </c>
      <c r="R33" s="240">
        <v>-69</v>
      </c>
      <c r="S33" s="241" t="str">
        <f t="shared" si="1"/>
        <v/>
      </c>
      <c r="T33" s="241" t="str">
        <f t="shared" si="2"/>
        <v/>
      </c>
      <c r="U33" s="241" t="str">
        <f t="shared" si="3"/>
        <v/>
      </c>
      <c r="V33" s="241" t="str">
        <f>IF(S33="","",IF(T33=1,VLOOKUP(M33,'elipse #s'!$A$4:$C$38,2,FALSE),VLOOKUP(M33,'elipse #s'!$A$4:$C$38,3,FALSE)))</f>
        <v/>
      </c>
      <c r="W33" s="241" t="str">
        <f>IF(S33="","",IF(S33=0,"",VLOOKUP(N33,'elipse #s'!$A$4:$C$38,2,FALSE)))</f>
        <v/>
      </c>
      <c r="X33" s="241" t="str">
        <f t="shared" si="4"/>
        <v/>
      </c>
      <c r="Y33" s="241">
        <f t="shared" si="5"/>
        <v>0</v>
      </c>
      <c r="Z33" s="241">
        <f t="shared" si="6"/>
        <v>0</v>
      </c>
    </row>
    <row r="34" spans="2:26">
      <c r="B34" s="252"/>
      <c r="C34" s="252"/>
      <c r="D34" s="246"/>
      <c r="E34" s="246" t="str">
        <f t="shared" si="0"/>
        <v/>
      </c>
      <c r="F34" s="294"/>
      <c r="G34" s="240" t="s">
        <v>63</v>
      </c>
      <c r="H34" s="240"/>
      <c r="I34" s="240">
        <v>0</v>
      </c>
      <c r="J34" s="240">
        <v>3.6606999999999998</v>
      </c>
      <c r="K34" s="240">
        <v>-0.56200000000000006</v>
      </c>
      <c r="L34" s="240">
        <v>-33.9</v>
      </c>
      <c r="M34" s="240">
        <v>17.5</v>
      </c>
      <c r="N34" s="240">
        <v>22.5</v>
      </c>
      <c r="O34" s="240"/>
      <c r="P34" s="240"/>
      <c r="Q34" s="240"/>
      <c r="R34" s="240"/>
      <c r="S34" s="241">
        <f t="shared" ref="S34:S47" si="7">IF(G33="","",IF(OR(LEFT(TRIM(H33),2)="16",LEFT(TRIM(H33),2)="13"),1,0))</f>
        <v>1</v>
      </c>
      <c r="T34" s="241">
        <f t="shared" ref="T34:T47" si="8">IF(S34="","",IF(LEFT(TRIM(G33),2)="13",1,0))</f>
        <v>0</v>
      </c>
      <c r="U34" s="241">
        <f t="shared" ref="U34:U47" si="9">IF(S34="","",IF(LEFT(TRIM(H33),3)="1/2",1,0))</f>
        <v>0</v>
      </c>
      <c r="V34" s="241">
        <f>IF(S34="","",IF(T34=1,VLOOKUP(M34,'elipse #s'!$A$4:$C$38,2,FALSE),VLOOKUP(M34,'elipse #s'!$A$4:$C$38,3,FALSE)))</f>
        <v>0.29803654710882094</v>
      </c>
      <c r="W34" s="241">
        <f>IF(S34="","",IF(S34=0,"",VLOOKUP(N34,'elipse #s'!$A$4:$C$38,2,FALSE)))</f>
        <v>0.24436613634923535</v>
      </c>
      <c r="X34" s="241">
        <f t="shared" ref="X34:X47" si="10">IF(S34="","",IF(AND(S34=0,U34=1),K34+V34+E33-$B$6,IF(AND(S34=0,U34=0),K34+V34+E33-$C$6,V34-W34)))</f>
        <v>5.3670410759585591E-2</v>
      </c>
      <c r="Y34" s="241">
        <f t="shared" ref="Y34:Y47" si="11">IF(S34="",0,IF(S34=0,IF(U34=1,MIN(J34,$Y$1),MIN(J34,$Z$1)),X34*SIN(RADIANS(-L34))+J34))</f>
        <v>3.6906344090980898</v>
      </c>
      <c r="Z34" s="241">
        <f t="shared" ref="Z34:Z47" si="12">IF(S34="",0,IF(S34=0,X34-$AB$1,X34*COS(RADIANS(-L34))+K34-$AB$1+E33))</f>
        <v>-0.54813539972342951</v>
      </c>
    </row>
    <row r="35" spans="2:26">
      <c r="B35" s="252"/>
      <c r="C35" s="252"/>
      <c r="D35" s="246"/>
      <c r="E35" s="246">
        <f t="shared" si="0"/>
        <v>-2.0427500000000001E-2</v>
      </c>
      <c r="F35" s="294">
        <v>5.2249999999999996</v>
      </c>
      <c r="G35" s="240" t="s">
        <v>11</v>
      </c>
      <c r="H35" s="240" t="s">
        <v>10</v>
      </c>
      <c r="I35" s="240"/>
      <c r="J35" s="240"/>
      <c r="K35" s="240"/>
      <c r="L35" s="240"/>
      <c r="M35" s="240"/>
      <c r="N35" s="240"/>
      <c r="O35" s="240">
        <v>-81.710000000000008</v>
      </c>
      <c r="P35" s="240">
        <v>-15.56</v>
      </c>
      <c r="Q35" s="240">
        <v>-2.85</v>
      </c>
      <c r="R35" s="240">
        <v>-69</v>
      </c>
      <c r="S35" s="241" t="str">
        <f t="shared" si="7"/>
        <v/>
      </c>
      <c r="T35" s="241" t="str">
        <f t="shared" si="8"/>
        <v/>
      </c>
      <c r="U35" s="241" t="str">
        <f t="shared" si="9"/>
        <v/>
      </c>
      <c r="V35" s="241" t="str">
        <f>IF(S35="","",IF(T35=1,VLOOKUP(M35,'elipse #s'!$A$4:$C$38,2,FALSE),VLOOKUP(M35,'elipse #s'!$A$4:$C$38,3,FALSE)))</f>
        <v/>
      </c>
      <c r="W35" s="241" t="str">
        <f>IF(S35="","",IF(S35=0,"",VLOOKUP(N35,'elipse #s'!$A$4:$C$38,2,FALSE)))</f>
        <v/>
      </c>
      <c r="X35" s="241" t="str">
        <f t="shared" si="10"/>
        <v/>
      </c>
      <c r="Y35" s="241">
        <f t="shared" si="11"/>
        <v>0</v>
      </c>
      <c r="Z35" s="241">
        <f t="shared" si="12"/>
        <v>0</v>
      </c>
    </row>
    <row r="36" spans="2:26">
      <c r="B36" s="252"/>
      <c r="C36" s="252"/>
      <c r="D36" s="246"/>
      <c r="E36" s="246" t="str">
        <f t="shared" si="0"/>
        <v/>
      </c>
      <c r="F36" s="294"/>
      <c r="G36" s="240" t="s">
        <v>63</v>
      </c>
      <c r="H36" s="240"/>
      <c r="I36" s="240">
        <v>0</v>
      </c>
      <c r="J36" s="240">
        <v>3.9537</v>
      </c>
      <c r="K36" s="240">
        <v>-1.2826</v>
      </c>
      <c r="L36" s="240">
        <v>-58.1</v>
      </c>
      <c r="M36" s="240">
        <v>22.5</v>
      </c>
      <c r="N36" s="240">
        <v>27.5</v>
      </c>
      <c r="O36" s="240"/>
      <c r="P36" s="240"/>
      <c r="Q36" s="240"/>
      <c r="R36" s="240"/>
      <c r="S36" s="241">
        <f t="shared" si="7"/>
        <v>1</v>
      </c>
      <c r="T36" s="241">
        <f t="shared" si="8"/>
        <v>0</v>
      </c>
      <c r="U36" s="241">
        <f t="shared" si="9"/>
        <v>0</v>
      </c>
      <c r="V36" s="241">
        <f>IF(S36="","",IF(T36=1,VLOOKUP(M36,'elipse #s'!$A$4:$C$38,2,FALSE),VLOOKUP(M36,'elipse #s'!$A$4:$C$38,3,FALSE)))</f>
        <v>0.28871235390977712</v>
      </c>
      <c r="W36" s="241">
        <f>IF(S36="","",IF(S36=0,"",VLOOKUP(N36,'elipse #s'!$A$4:$C$38,2,FALSE)))</f>
        <v>0.23461436537563965</v>
      </c>
      <c r="X36" s="241">
        <f t="shared" si="10"/>
        <v>5.409798853413747E-2</v>
      </c>
      <c r="Y36" s="241">
        <f t="shared" si="11"/>
        <v>3.9996276606231684</v>
      </c>
      <c r="Z36" s="241">
        <f t="shared" si="12"/>
        <v>-1.2844400490271919</v>
      </c>
    </row>
    <row r="37" spans="2:26">
      <c r="B37" s="252"/>
      <c r="C37" s="252"/>
      <c r="D37" s="246"/>
      <c r="E37" s="246">
        <f t="shared" si="0"/>
        <v>-6.8499999999999991E-2</v>
      </c>
      <c r="F37" s="294">
        <v>3.3029999999999999</v>
      </c>
      <c r="G37" s="240" t="s">
        <v>17</v>
      </c>
      <c r="H37" s="240" t="s">
        <v>49</v>
      </c>
      <c r="I37" s="240"/>
      <c r="J37" s="240"/>
      <c r="K37" s="240"/>
      <c r="L37" s="240"/>
      <c r="M37" s="240"/>
      <c r="N37" s="240"/>
      <c r="O37" s="240">
        <v>-274</v>
      </c>
      <c r="P37" s="240">
        <v>-52</v>
      </c>
      <c r="Q37" s="240">
        <v>0</v>
      </c>
      <c r="R37" s="240">
        <v>-222</v>
      </c>
      <c r="S37" s="241" t="str">
        <f t="shared" si="7"/>
        <v/>
      </c>
      <c r="T37" s="241" t="str">
        <f t="shared" si="8"/>
        <v/>
      </c>
      <c r="U37" s="241" t="str">
        <f t="shared" si="9"/>
        <v/>
      </c>
      <c r="V37" s="241" t="str">
        <f>IF(S37="","",IF(T37=1,VLOOKUP(M37,'elipse #s'!$A$4:$C$38,2,FALSE),VLOOKUP(M37,'elipse #s'!$A$4:$C$38,3,FALSE)))</f>
        <v/>
      </c>
      <c r="W37" s="241" t="str">
        <f>IF(S37="","",IF(S37=0,"",VLOOKUP(N37,'elipse #s'!$A$4:$C$38,2,FALSE)))</f>
        <v/>
      </c>
      <c r="X37" s="241" t="str">
        <f t="shared" si="10"/>
        <v/>
      </c>
      <c r="Y37" s="241">
        <f t="shared" si="11"/>
        <v>0</v>
      </c>
      <c r="Z37" s="241">
        <f t="shared" si="12"/>
        <v>0</v>
      </c>
    </row>
    <row r="38" spans="2:26">
      <c r="B38" s="252"/>
      <c r="C38" s="252"/>
      <c r="D38" s="246"/>
      <c r="E38" s="246" t="str">
        <f t="shared" si="0"/>
        <v/>
      </c>
      <c r="F38" s="294"/>
      <c r="G38" s="240" t="s">
        <v>63</v>
      </c>
      <c r="H38" s="240"/>
      <c r="I38" s="240">
        <v>0</v>
      </c>
      <c r="J38" s="240">
        <v>0.69259999999999999</v>
      </c>
      <c r="K38" s="240">
        <v>-0.57199999999999995</v>
      </c>
      <c r="L38" s="240">
        <v>15</v>
      </c>
      <c r="M38" s="240">
        <v>20</v>
      </c>
      <c r="N38" s="240" t="s">
        <v>63</v>
      </c>
      <c r="O38" s="240"/>
      <c r="P38" s="240"/>
      <c r="Q38" s="240"/>
      <c r="R38" s="240"/>
      <c r="S38" s="241">
        <f t="shared" si="7"/>
        <v>0</v>
      </c>
      <c r="T38" s="241">
        <f t="shared" si="8"/>
        <v>1</v>
      </c>
      <c r="U38" s="241">
        <f t="shared" si="9"/>
        <v>0</v>
      </c>
      <c r="V38" s="241">
        <f>IF(S38="","",IF(T38=1,VLOOKUP(M38,'elipse #s'!$A$4:$C$38,2,FALSE),VLOOKUP(M38,'elipse #s'!$A$4:$C$38,3,FALSE)))</f>
        <v>0.24854869819787279</v>
      </c>
      <c r="W38" s="241" t="str">
        <f>IF(S38="","",IF(S38=0,"",VLOOKUP(N38,'elipse #s'!$A$4:$C$38,2,FALSE)))</f>
        <v/>
      </c>
      <c r="X38" s="241">
        <f t="shared" si="10"/>
        <v>-0.61005130180212719</v>
      </c>
      <c r="Y38" s="241">
        <f t="shared" si="11"/>
        <v>0.69259999999999999</v>
      </c>
      <c r="Z38" s="241">
        <f t="shared" si="12"/>
        <v>-0.6200513018021272</v>
      </c>
    </row>
    <row r="39" spans="2:26">
      <c r="B39" s="252"/>
      <c r="C39" s="252"/>
      <c r="D39" s="246"/>
      <c r="E39" s="246">
        <f t="shared" si="0"/>
        <v>-6.4250000000000002E-2</v>
      </c>
      <c r="F39" s="294">
        <v>3.306</v>
      </c>
      <c r="G39" s="240" t="s">
        <v>17</v>
      </c>
      <c r="H39" s="240" t="s">
        <v>49</v>
      </c>
      <c r="I39" s="240"/>
      <c r="J39" s="240"/>
      <c r="K39" s="240"/>
      <c r="L39" s="240"/>
      <c r="M39" s="240"/>
      <c r="N39" s="240"/>
      <c r="O39" s="240">
        <v>-257</v>
      </c>
      <c r="P39" s="240">
        <v>-35</v>
      </c>
      <c r="Q39" s="240">
        <v>0</v>
      </c>
      <c r="R39" s="240">
        <v>-222</v>
      </c>
      <c r="S39" s="241" t="str">
        <f t="shared" si="7"/>
        <v/>
      </c>
      <c r="T39" s="241" t="str">
        <f t="shared" si="8"/>
        <v/>
      </c>
      <c r="U39" s="241" t="str">
        <f t="shared" si="9"/>
        <v/>
      </c>
      <c r="V39" s="241" t="str">
        <f>IF(S39="","",IF(T39=1,VLOOKUP(M39,'elipse #s'!$A$4:$C$38,2,FALSE),VLOOKUP(M39,'elipse #s'!$A$4:$C$38,3,FALSE)))</f>
        <v/>
      </c>
      <c r="W39" s="241" t="str">
        <f>IF(S39="","",IF(S39=0,"",VLOOKUP(N39,'elipse #s'!$A$4:$C$38,2,FALSE)))</f>
        <v/>
      </c>
      <c r="X39" s="241" t="str">
        <f t="shared" si="10"/>
        <v/>
      </c>
      <c r="Y39" s="241">
        <f t="shared" si="11"/>
        <v>0</v>
      </c>
      <c r="Z39" s="241">
        <f t="shared" si="12"/>
        <v>0</v>
      </c>
    </row>
    <row r="40" spans="2:26">
      <c r="B40" s="252"/>
      <c r="C40" s="252"/>
      <c r="D40" s="246"/>
      <c r="E40" s="246" t="str">
        <f t="shared" si="0"/>
        <v/>
      </c>
      <c r="F40" s="294"/>
      <c r="G40" s="240" t="s">
        <v>63</v>
      </c>
      <c r="H40" s="240"/>
      <c r="I40" s="240">
        <v>0</v>
      </c>
      <c r="J40" s="240">
        <v>1.2825</v>
      </c>
      <c r="K40" s="240">
        <v>-0.42109999999999997</v>
      </c>
      <c r="L40" s="240">
        <v>15</v>
      </c>
      <c r="M40" s="240">
        <v>15</v>
      </c>
      <c r="N40" s="240" t="s">
        <v>63</v>
      </c>
      <c r="O40" s="240"/>
      <c r="P40" s="240"/>
      <c r="Q40" s="240"/>
      <c r="R40" s="240"/>
      <c r="S40" s="241">
        <f t="shared" si="7"/>
        <v>0</v>
      </c>
      <c r="T40" s="241">
        <f t="shared" si="8"/>
        <v>1</v>
      </c>
      <c r="U40" s="241">
        <f t="shared" si="9"/>
        <v>0</v>
      </c>
      <c r="V40" s="241">
        <f>IF(S40="","",IF(T40=1,VLOOKUP(M40,'elipse #s'!$A$4:$C$38,2,FALSE),VLOOKUP(M40,'elipse #s'!$A$4:$C$38,3,FALSE)))</f>
        <v>0.25548738105345858</v>
      </c>
      <c r="W40" s="241" t="str">
        <f>IF(S40="","",IF(S40=0,"",VLOOKUP(N40,'elipse #s'!$A$4:$C$38,2,FALSE)))</f>
        <v/>
      </c>
      <c r="X40" s="241">
        <f t="shared" si="10"/>
        <v>-0.44796261894654138</v>
      </c>
      <c r="Y40" s="241">
        <f t="shared" si="11"/>
        <v>1.2825</v>
      </c>
      <c r="Z40" s="241">
        <f t="shared" si="12"/>
        <v>-0.45796261894654139</v>
      </c>
    </row>
    <row r="41" spans="2:26">
      <c r="B41" s="252"/>
      <c r="C41" s="252"/>
      <c r="D41" s="246"/>
      <c r="E41" s="246">
        <f t="shared" si="0"/>
        <v>-7.775E-2</v>
      </c>
      <c r="F41" s="294">
        <v>4.3049999999999997</v>
      </c>
      <c r="G41" s="240" t="s">
        <v>17</v>
      </c>
      <c r="H41" s="240" t="s">
        <v>49</v>
      </c>
      <c r="I41" s="240"/>
      <c r="J41" s="240"/>
      <c r="K41" s="240"/>
      <c r="L41" s="240"/>
      <c r="M41" s="240"/>
      <c r="N41" s="240"/>
      <c r="O41" s="240">
        <v>-311</v>
      </c>
      <c r="P41" s="240">
        <v>-37</v>
      </c>
      <c r="Q41" s="240">
        <v>0</v>
      </c>
      <c r="R41" s="240">
        <v>-274</v>
      </c>
      <c r="S41" s="241" t="str">
        <f t="shared" si="7"/>
        <v/>
      </c>
      <c r="T41" s="241" t="str">
        <f t="shared" si="8"/>
        <v/>
      </c>
      <c r="U41" s="241" t="str">
        <f t="shared" si="9"/>
        <v/>
      </c>
      <c r="V41" s="241" t="str">
        <f>IF(S41="","",IF(T41=1,VLOOKUP(M41,'elipse #s'!$A$4:$C$38,2,FALSE),VLOOKUP(M41,'elipse #s'!$A$4:$C$38,3,FALSE)))</f>
        <v/>
      </c>
      <c r="W41" s="241" t="str">
        <f>IF(S41="","",IF(S41=0,"",VLOOKUP(N41,'elipse #s'!$A$4:$C$38,2,FALSE)))</f>
        <v/>
      </c>
      <c r="X41" s="241" t="str">
        <f t="shared" si="10"/>
        <v/>
      </c>
      <c r="Y41" s="241">
        <f t="shared" si="11"/>
        <v>0</v>
      </c>
      <c r="Z41" s="241">
        <f t="shared" si="12"/>
        <v>0</v>
      </c>
    </row>
    <row r="42" spans="2:26">
      <c r="B42" s="252"/>
      <c r="C42" s="252"/>
      <c r="D42" s="246"/>
      <c r="E42" s="246" t="str">
        <f t="shared" si="0"/>
        <v/>
      </c>
      <c r="F42" s="294"/>
      <c r="G42" s="240" t="s">
        <v>63</v>
      </c>
      <c r="H42" s="240"/>
      <c r="I42" s="240">
        <v>0</v>
      </c>
      <c r="J42" s="240">
        <v>1.0864</v>
      </c>
      <c r="K42" s="240">
        <v>-0.47360000000000002</v>
      </c>
      <c r="L42" s="240">
        <v>15</v>
      </c>
      <c r="M42" s="240">
        <v>15</v>
      </c>
      <c r="N42" s="240" t="s">
        <v>63</v>
      </c>
      <c r="O42" s="240"/>
      <c r="P42" s="240"/>
      <c r="Q42" s="240"/>
      <c r="R42" s="240"/>
      <c r="S42" s="241">
        <f t="shared" si="7"/>
        <v>0</v>
      </c>
      <c r="T42" s="241">
        <f t="shared" si="8"/>
        <v>1</v>
      </c>
      <c r="U42" s="241">
        <f t="shared" si="9"/>
        <v>0</v>
      </c>
      <c r="V42" s="241">
        <f>IF(S42="","",IF(T42=1,VLOOKUP(M42,'elipse #s'!$A$4:$C$38,2,FALSE),VLOOKUP(M42,'elipse #s'!$A$4:$C$38,3,FALSE)))</f>
        <v>0.25548738105345858</v>
      </c>
      <c r="W42" s="241" t="str">
        <f>IF(S42="","",IF(S42=0,"",VLOOKUP(N42,'elipse #s'!$A$4:$C$38,2,FALSE)))</f>
        <v/>
      </c>
      <c r="X42" s="241">
        <f t="shared" si="10"/>
        <v>-0.51396261894654138</v>
      </c>
      <c r="Y42" s="241">
        <f t="shared" si="11"/>
        <v>1.0864</v>
      </c>
      <c r="Z42" s="241">
        <f t="shared" si="12"/>
        <v>-0.52396261894654139</v>
      </c>
    </row>
    <row r="43" spans="2:26">
      <c r="B43" s="252"/>
      <c r="C43" s="252"/>
      <c r="D43" s="246"/>
      <c r="E43" s="246">
        <f t="shared" si="0"/>
        <v>-7.5249999999999997E-2</v>
      </c>
      <c r="F43" s="294">
        <v>4.3079999999999998</v>
      </c>
      <c r="G43" s="240" t="s">
        <v>17</v>
      </c>
      <c r="H43" s="240" t="s">
        <v>49</v>
      </c>
      <c r="I43" s="240"/>
      <c r="J43" s="240"/>
      <c r="K43" s="240"/>
      <c r="L43" s="240"/>
      <c r="M43" s="240"/>
      <c r="N43" s="240"/>
      <c r="O43" s="240">
        <v>-301</v>
      </c>
      <c r="P43" s="240">
        <v>-27</v>
      </c>
      <c r="Q43" s="240">
        <v>0</v>
      </c>
      <c r="R43" s="240">
        <v>-274</v>
      </c>
      <c r="S43" s="241" t="str">
        <f t="shared" si="7"/>
        <v/>
      </c>
      <c r="T43" s="241" t="str">
        <f t="shared" si="8"/>
        <v/>
      </c>
      <c r="U43" s="241" t="str">
        <f t="shared" si="9"/>
        <v/>
      </c>
      <c r="V43" s="241" t="str">
        <f>IF(S43="","",IF(T43=1,VLOOKUP(M43,'elipse #s'!$A$4:$C$38,2,FALSE),VLOOKUP(M43,'elipse #s'!$A$4:$C$38,3,FALSE)))</f>
        <v/>
      </c>
      <c r="W43" s="241" t="str">
        <f>IF(S43="","",IF(S43=0,"",VLOOKUP(N43,'elipse #s'!$A$4:$C$38,2,FALSE)))</f>
        <v/>
      </c>
      <c r="X43" s="241" t="str">
        <f t="shared" si="10"/>
        <v/>
      </c>
      <c r="Y43" s="241">
        <f t="shared" si="11"/>
        <v>0</v>
      </c>
      <c r="Z43" s="241">
        <f t="shared" si="12"/>
        <v>0</v>
      </c>
    </row>
    <row r="44" spans="2:26">
      <c r="B44" s="252"/>
      <c r="C44" s="252"/>
      <c r="D44" s="246"/>
      <c r="E44" s="246" t="str">
        <f t="shared" si="0"/>
        <v/>
      </c>
      <c r="F44" s="294"/>
      <c r="G44" s="240" t="s">
        <v>63</v>
      </c>
      <c r="H44" s="240"/>
      <c r="I44" s="240">
        <v>0</v>
      </c>
      <c r="J44" s="240">
        <v>1.6747000000000001</v>
      </c>
      <c r="K44" s="240">
        <v>-0.316</v>
      </c>
      <c r="L44" s="240">
        <v>15</v>
      </c>
      <c r="M44" s="240">
        <v>15</v>
      </c>
      <c r="N44" s="240" t="s">
        <v>63</v>
      </c>
      <c r="O44" s="240"/>
      <c r="P44" s="240"/>
      <c r="Q44" s="240"/>
      <c r="R44" s="240"/>
      <c r="S44" s="241">
        <f t="shared" si="7"/>
        <v>0</v>
      </c>
      <c r="T44" s="241">
        <f t="shared" si="8"/>
        <v>1</v>
      </c>
      <c r="U44" s="241">
        <f t="shared" si="9"/>
        <v>0</v>
      </c>
      <c r="V44" s="241">
        <f>IF(S44="","",IF(T44=1,VLOOKUP(M44,'elipse #s'!$A$4:$C$38,2,FALSE),VLOOKUP(M44,'elipse #s'!$A$4:$C$38,3,FALSE)))</f>
        <v>0.25548738105345858</v>
      </c>
      <c r="W44" s="241" t="str">
        <f>IF(S44="","",IF(S44=0,"",VLOOKUP(N44,'elipse #s'!$A$4:$C$38,2,FALSE)))</f>
        <v/>
      </c>
      <c r="X44" s="241">
        <f t="shared" si="10"/>
        <v>-0.35386261894654136</v>
      </c>
      <c r="Y44" s="241">
        <f t="shared" si="11"/>
        <v>1.6747000000000001</v>
      </c>
      <c r="Z44" s="241">
        <f t="shared" si="12"/>
        <v>-0.36386261894654137</v>
      </c>
    </row>
    <row r="45" spans="2:26">
      <c r="B45" s="252"/>
      <c r="C45" s="252"/>
      <c r="D45" s="246"/>
      <c r="E45" s="246">
        <f t="shared" si="0"/>
        <v>-6.7250000000000004E-2</v>
      </c>
      <c r="F45" s="292">
        <v>1.304</v>
      </c>
      <c r="G45" s="241" t="s">
        <v>17</v>
      </c>
      <c r="H45" s="241" t="s">
        <v>49</v>
      </c>
      <c r="O45" s="241">
        <v>-269</v>
      </c>
      <c r="P45" s="241">
        <v>-45</v>
      </c>
      <c r="Q45" s="241">
        <v>0</v>
      </c>
      <c r="R45" s="253">
        <v>-224</v>
      </c>
      <c r="S45" s="241" t="str">
        <f t="shared" si="7"/>
        <v/>
      </c>
      <c r="T45" s="241" t="str">
        <f t="shared" si="8"/>
        <v/>
      </c>
      <c r="U45" s="241" t="str">
        <f t="shared" si="9"/>
        <v/>
      </c>
      <c r="V45" s="241" t="str">
        <f>IF(S45="","",IF(T45=1,VLOOKUP(M45,'elipse #s'!$A$4:$C$38,2,FALSE),VLOOKUP(M45,'elipse #s'!$A$4:$C$38,3,FALSE)))</f>
        <v/>
      </c>
      <c r="W45" s="241" t="str">
        <f>IF(S45="","",IF(S45=0,"",VLOOKUP(N45,'elipse #s'!$A$4:$C$38,2,FALSE)))</f>
        <v/>
      </c>
      <c r="X45" s="241" t="str">
        <f t="shared" si="10"/>
        <v/>
      </c>
      <c r="Y45" s="241">
        <f t="shared" si="11"/>
        <v>0</v>
      </c>
      <c r="Z45" s="241">
        <f t="shared" si="12"/>
        <v>0</v>
      </c>
    </row>
    <row r="46" spans="2:26">
      <c r="B46" s="252"/>
      <c r="C46" s="252"/>
      <c r="D46" s="246"/>
      <c r="E46" s="246" t="str">
        <f t="shared" si="0"/>
        <v/>
      </c>
      <c r="G46" s="241" t="s">
        <v>63</v>
      </c>
      <c r="I46" s="241">
        <v>0</v>
      </c>
      <c r="J46" s="241">
        <v>0.89029999999999998</v>
      </c>
      <c r="K46" s="241">
        <v>-0.5262</v>
      </c>
      <c r="L46" s="241">
        <v>15</v>
      </c>
      <c r="M46" s="241">
        <v>15</v>
      </c>
      <c r="N46" s="241" t="s">
        <v>63</v>
      </c>
      <c r="S46" s="241">
        <f t="shared" si="7"/>
        <v>0</v>
      </c>
      <c r="T46" s="241">
        <f t="shared" si="8"/>
        <v>1</v>
      </c>
      <c r="U46" s="241">
        <f t="shared" si="9"/>
        <v>0</v>
      </c>
      <c r="V46" s="241">
        <f>IF(S46="","",IF(T46=1,VLOOKUP(M46,'elipse #s'!$A$4:$C$38,2,FALSE),VLOOKUP(M46,'elipse #s'!$A$4:$C$38,3,FALSE)))</f>
        <v>0.25548738105345858</v>
      </c>
      <c r="W46" s="241" t="str">
        <f>IF(S46="","",IF(S46=0,"",VLOOKUP(N46,'elipse #s'!$A$4:$C$38,2,FALSE)))</f>
        <v/>
      </c>
      <c r="X46" s="241">
        <f t="shared" si="10"/>
        <v>-0.55606261894654141</v>
      </c>
      <c r="Y46" s="241">
        <f t="shared" si="11"/>
        <v>0.89029999999999998</v>
      </c>
      <c r="Z46" s="241">
        <f t="shared" si="12"/>
        <v>-0.56606261894654142</v>
      </c>
    </row>
    <row r="47" spans="2:26">
      <c r="B47" s="252"/>
      <c r="C47" s="252"/>
      <c r="D47" s="246"/>
      <c r="E47" s="246">
        <f t="shared" si="0"/>
        <v>-6.3E-2</v>
      </c>
      <c r="F47" s="292">
        <v>1.3069999999999999</v>
      </c>
      <c r="G47" s="241" t="s">
        <v>17</v>
      </c>
      <c r="H47" s="241" t="s">
        <v>49</v>
      </c>
      <c r="O47" s="241">
        <v>-252</v>
      </c>
      <c r="P47" s="241">
        <v>-28</v>
      </c>
      <c r="Q47" s="241">
        <v>0</v>
      </c>
      <c r="R47" s="253">
        <v>-224</v>
      </c>
      <c r="S47" s="241" t="str">
        <f t="shared" si="7"/>
        <v/>
      </c>
      <c r="T47" s="241" t="str">
        <f t="shared" si="8"/>
        <v/>
      </c>
      <c r="U47" s="241" t="str">
        <f t="shared" si="9"/>
        <v/>
      </c>
      <c r="V47" s="241" t="str">
        <f>IF(S47="","",IF(T47=1,VLOOKUP(M47,'elipse #s'!$A$4:$C$38,2,FALSE),VLOOKUP(M47,'elipse #s'!$A$4:$C$38,3,FALSE)))</f>
        <v/>
      </c>
      <c r="W47" s="241" t="str">
        <f>IF(S47="","",IF(S47=0,"",VLOOKUP(N47,'elipse #s'!$A$4:$C$38,2,FALSE)))</f>
        <v/>
      </c>
      <c r="X47" s="241" t="str">
        <f t="shared" si="10"/>
        <v/>
      </c>
      <c r="Y47" s="241">
        <f t="shared" si="11"/>
        <v>0</v>
      </c>
      <c r="Z47" s="241">
        <f t="shared" si="12"/>
        <v>0</v>
      </c>
    </row>
    <row r="48" spans="2:26">
      <c r="B48" s="252"/>
      <c r="C48" s="252"/>
      <c r="D48" s="246"/>
      <c r="E48" s="246" t="str">
        <f t="shared" si="0"/>
        <v/>
      </c>
      <c r="G48" s="241" t="s">
        <v>63</v>
      </c>
      <c r="I48" s="241">
        <v>0</v>
      </c>
      <c r="J48" s="241">
        <v>1.4785999999999999</v>
      </c>
      <c r="K48" s="241">
        <v>-0.36849999999999999</v>
      </c>
      <c r="L48" s="241">
        <v>15</v>
      </c>
      <c r="M48" s="241">
        <v>15</v>
      </c>
      <c r="N48" s="241" t="s">
        <v>63</v>
      </c>
      <c r="S48" s="241">
        <f t="shared" ref="S48:S49" si="13">IF(G47="","",IF(OR(LEFT(TRIM(H47),2)="16",LEFT(TRIM(H47),2)="13"),1,0))</f>
        <v>0</v>
      </c>
      <c r="T48" s="241">
        <f t="shared" ref="T48" si="14">IF(S48="","",IF(LEFT(TRIM(G47),2)="13",1,0))</f>
        <v>1</v>
      </c>
      <c r="U48" s="241">
        <f t="shared" ref="U48" si="15">IF(S48="","",IF(LEFT(TRIM(H47),3)="1/2",1,0))</f>
        <v>0</v>
      </c>
      <c r="V48" s="241">
        <f>IF(S48="","",IF(T48=1,VLOOKUP(M48,'elipse #s'!$A$4:$C$38,2,FALSE),VLOOKUP(M48,'elipse #s'!$A$4:$C$38,3,FALSE)))</f>
        <v>0.25548738105345858</v>
      </c>
      <c r="W48" s="241" t="str">
        <f>IF(S48="","",IF(S48=0,"",VLOOKUP(N48,'elipse #s'!$A$4:$C$38,2,FALSE)))</f>
        <v/>
      </c>
      <c r="X48" s="241">
        <f t="shared" ref="X48" si="16">IF(S48="","",IF(AND(S48=0,U48=1),K48+V48+E47-$B$6,IF(AND(S48=0,U48=0),K48+V48+E47-$C$6,V48-W48)))</f>
        <v>-0.39411261894654137</v>
      </c>
      <c r="Y48" s="241">
        <f t="shared" ref="Y48" si="17">IF(S48="",0,IF(S48=0,IF(U48=1,MIN(J48,$Y$1),MIN(J48,$Z$1)),X48*SIN(RADIANS(-L48))+J48))</f>
        <v>1.4785999999999999</v>
      </c>
      <c r="Z48" s="241">
        <f t="shared" ref="Z48" si="18">IF(S48="",0,IF(S48=0,X48-$AB$1,X48*COS(RADIANS(-L48))+K48-$AB$1+E47))</f>
        <v>-0.40411261894654138</v>
      </c>
    </row>
    <row r="49" spans="2:19">
      <c r="B49" s="252"/>
      <c r="C49" s="252"/>
      <c r="D49" s="246"/>
      <c r="S49" s="241" t="str">
        <f t="shared" si="13"/>
        <v/>
      </c>
    </row>
    <row r="50" spans="2:19">
      <c r="B50" s="252"/>
      <c r="C50" s="252"/>
      <c r="D50" s="246"/>
    </row>
    <row r="51" spans="2:19">
      <c r="B51" s="252"/>
      <c r="C51" s="252"/>
      <c r="D51" s="246"/>
    </row>
    <row r="52" spans="2:19">
      <c r="B52" s="252"/>
      <c r="C52" s="252"/>
      <c r="D52" s="246"/>
    </row>
    <row r="53" spans="2:19">
      <c r="B53" s="252"/>
      <c r="C53" s="252"/>
      <c r="D53" s="246"/>
    </row>
    <row r="54" spans="2:19">
      <c r="B54" s="252"/>
      <c r="C54" s="252"/>
      <c r="D54" s="246"/>
    </row>
    <row r="55" spans="2:19">
      <c r="B55" s="252"/>
      <c r="C55" s="252"/>
      <c r="D55" s="246"/>
    </row>
    <row r="56" spans="2:19">
      <c r="B56" s="252"/>
      <c r="C56" s="252"/>
      <c r="D56" s="246"/>
    </row>
    <row r="57" spans="2:19">
      <c r="B57" s="252"/>
      <c r="C57" s="252"/>
      <c r="D57" s="246"/>
    </row>
    <row r="58" spans="2:19">
      <c r="B58" s="252"/>
      <c r="C58" s="252"/>
      <c r="D58" s="246"/>
    </row>
    <row r="59" spans="2:19">
      <c r="B59" s="252"/>
      <c r="C59" s="252"/>
      <c r="D59" s="246"/>
    </row>
    <row r="60" spans="2:19">
      <c r="B60" s="252"/>
      <c r="C60" s="252"/>
      <c r="D60" s="246"/>
    </row>
    <row r="61" spans="2:19">
      <c r="B61" s="252"/>
      <c r="C61" s="252"/>
      <c r="D61" s="246"/>
    </row>
    <row r="62" spans="2:19">
      <c r="B62" s="252"/>
      <c r="C62" s="252"/>
      <c r="D62" s="246"/>
    </row>
    <row r="63" spans="2:19">
      <c r="B63" s="252"/>
      <c r="C63" s="252"/>
      <c r="D63" s="246"/>
    </row>
    <row r="64" spans="2:19">
      <c r="B64" s="252"/>
      <c r="C64" s="252"/>
      <c r="D64" s="246"/>
    </row>
    <row r="65" spans="1:4">
      <c r="B65" s="252"/>
      <c r="C65" s="252"/>
      <c r="D65" s="246"/>
    </row>
    <row r="66" spans="1:4">
      <c r="B66" s="252"/>
      <c r="C66" s="252"/>
      <c r="D66" s="246"/>
    </row>
    <row r="67" spans="1:4">
      <c r="B67" s="252"/>
      <c r="C67" s="252"/>
      <c r="D67" s="246"/>
    </row>
    <row r="68" spans="1:4">
      <c r="B68" s="252"/>
      <c r="C68" s="252"/>
      <c r="D68" s="246"/>
    </row>
    <row r="69" spans="1:4">
      <c r="B69" s="252"/>
      <c r="C69" s="252"/>
      <c r="D69" s="246"/>
    </row>
    <row r="70" spans="1:4">
      <c r="B70" s="252"/>
      <c r="C70" s="252"/>
      <c r="D70" s="246"/>
    </row>
    <row r="71" spans="1:4">
      <c r="B71" s="252"/>
      <c r="C71" s="252"/>
      <c r="D71" s="246"/>
    </row>
    <row r="72" spans="1:4">
      <c r="B72" s="252"/>
      <c r="C72" s="252"/>
      <c r="D72" s="246"/>
    </row>
    <row r="73" spans="1:4">
      <c r="B73" s="252"/>
      <c r="C73" s="252"/>
      <c r="D73" s="246"/>
    </row>
    <row r="74" spans="1:4">
      <c r="A74" s="254"/>
      <c r="B74" s="254"/>
      <c r="C74" s="254"/>
      <c r="D74" s="255"/>
    </row>
    <row r="75" spans="1:4">
      <c r="A75" s="254"/>
      <c r="B75" s="254"/>
      <c r="C75" s="254"/>
      <c r="D75" s="255"/>
    </row>
    <row r="76" spans="1:4">
      <c r="A76" s="254"/>
      <c r="B76" s="254"/>
      <c r="C76" s="254"/>
      <c r="D76" s="255"/>
    </row>
    <row r="77" spans="1:4">
      <c r="A77" s="254"/>
      <c r="B77" s="254"/>
      <c r="C77" s="254"/>
      <c r="D77" s="255"/>
    </row>
    <row r="78" spans="1:4">
      <c r="A78" s="254"/>
      <c r="B78" s="254"/>
      <c r="C78" s="254"/>
      <c r="D78" s="255"/>
    </row>
    <row r="79" spans="1:4">
      <c r="A79" s="254"/>
      <c r="B79" s="254"/>
      <c r="C79" s="254"/>
      <c r="D79" s="255"/>
    </row>
    <row r="80" spans="1:4">
      <c r="A80" s="254"/>
      <c r="B80" s="254"/>
      <c r="C80" s="254"/>
      <c r="D80" s="255"/>
    </row>
    <row r="81" spans="1:4">
      <c r="A81" s="254"/>
      <c r="B81" s="254"/>
      <c r="C81" s="254"/>
      <c r="D81" s="255"/>
    </row>
    <row r="82" spans="1:4">
      <c r="A82" s="254"/>
      <c r="B82" s="254"/>
      <c r="C82" s="254"/>
      <c r="D82" s="255"/>
    </row>
    <row r="83" spans="1:4">
      <c r="A83" s="254"/>
      <c r="B83" s="254"/>
      <c r="C83" s="254"/>
      <c r="D83" s="255"/>
    </row>
    <row r="84" spans="1:4">
      <c r="A84" s="254"/>
      <c r="B84" s="254"/>
      <c r="C84" s="254"/>
      <c r="D84" s="255"/>
    </row>
    <row r="85" spans="1:4">
      <c r="A85" s="254"/>
      <c r="B85" s="254"/>
      <c r="C85" s="254"/>
      <c r="D85" s="255"/>
    </row>
    <row r="86" spans="1:4">
      <c r="A86" s="254"/>
      <c r="B86" s="254"/>
      <c r="C86" s="254"/>
      <c r="D86" s="255"/>
    </row>
    <row r="87" spans="1:4">
      <c r="A87" s="254"/>
      <c r="B87" s="254"/>
      <c r="C87" s="254"/>
      <c r="D87" s="255"/>
    </row>
    <row r="88" spans="1:4">
      <c r="A88" s="254"/>
      <c r="B88" s="254"/>
      <c r="C88" s="254"/>
      <c r="D88" s="255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>
      <selection activeCell="J11" sqref="J11"/>
    </sheetView>
  </sheetViews>
  <sheetFormatPr defaultRowHeight="15"/>
  <cols>
    <col min="1" max="16384" width="9.140625" style="256"/>
  </cols>
  <sheetData>
    <row r="1" spans="1:6" ht="15.75" thickBot="1">
      <c r="B1" s="257">
        <v>1313</v>
      </c>
      <c r="C1" s="258">
        <v>1613</v>
      </c>
      <c r="D1" s="259">
        <v>1913</v>
      </c>
      <c r="E1" s="260"/>
    </row>
    <row r="2" spans="1:6" ht="15.75" thickBot="1">
      <c r="B2" s="257">
        <v>0.52900000000000003</v>
      </c>
      <c r="C2" s="258">
        <v>0.625</v>
      </c>
      <c r="D2" s="259">
        <v>0.75</v>
      </c>
      <c r="E2" s="261">
        <v>0.52</v>
      </c>
      <c r="F2" s="262">
        <v>0.315</v>
      </c>
    </row>
    <row r="3" spans="1:6" ht="15.75" thickBot="1">
      <c r="B3" s="263">
        <f>B2/2</f>
        <v>0.26450000000000001</v>
      </c>
      <c r="C3" s="264">
        <f t="shared" ref="C3:D3" si="0">C2/2</f>
        <v>0.3125</v>
      </c>
      <c r="D3" s="265">
        <f t="shared" si="0"/>
        <v>0.375</v>
      </c>
      <c r="E3" s="266"/>
      <c r="F3" s="267"/>
    </row>
    <row r="4" spans="1:6">
      <c r="A4" s="268">
        <v>12</v>
      </c>
      <c r="B4" s="269">
        <f>(B$2/2)*COS(RADIANS($A4))</f>
        <v>0.25872004039409163</v>
      </c>
      <c r="C4" s="270">
        <f t="shared" ref="C4:D4" si="1">(C$2/2)*COS(RADIANS($A4))</f>
        <v>0.30567112522931428</v>
      </c>
      <c r="D4" s="271">
        <f t="shared" si="1"/>
        <v>0.36680535027517713</v>
      </c>
      <c r="E4" s="272">
        <f>$E$2*SIN(RADIANS(A4))</f>
        <v>0.10811407922523486</v>
      </c>
      <c r="F4" s="273">
        <f>$F$2*SIN(RADIANS(A4))</f>
        <v>6.5492182607594193E-2</v>
      </c>
    </row>
    <row r="5" spans="1:6">
      <c r="A5" s="274">
        <v>12.5</v>
      </c>
      <c r="B5" s="275">
        <f t="shared" ref="B5:D27" si="2">(B$2/2)*COS(RADIANS($A5))</f>
        <v>0.25823029388322238</v>
      </c>
      <c r="C5" s="276">
        <f t="shared" si="2"/>
        <v>0.30509250222497919</v>
      </c>
      <c r="D5" s="277">
        <f t="shared" si="2"/>
        <v>0.36611100266997498</v>
      </c>
      <c r="E5" s="278">
        <f t="shared" ref="E5:E38" si="3">$E$2*SIN(RADIANS(A5))</f>
        <v>0.1125485992478135</v>
      </c>
      <c r="F5" s="279">
        <f t="shared" ref="F5:F38" si="4">$F$2*SIN(RADIANS(A5))</f>
        <v>6.8178478390502409E-2</v>
      </c>
    </row>
    <row r="6" spans="1:6">
      <c r="A6" s="280">
        <v>13</v>
      </c>
      <c r="B6" s="281">
        <f t="shared" si="2"/>
        <v>0.25772088213569472</v>
      </c>
      <c r="C6" s="282">
        <f t="shared" si="2"/>
        <v>0.30449064524538599</v>
      </c>
      <c r="D6" s="283">
        <f t="shared" si="2"/>
        <v>0.3653887742944632</v>
      </c>
      <c r="E6" s="272">
        <f t="shared" si="3"/>
        <v>0.1169745482588098</v>
      </c>
      <c r="F6" s="273">
        <f t="shared" si="4"/>
        <v>7.0859582118317471E-2</v>
      </c>
    </row>
    <row r="7" spans="1:6">
      <c r="A7" s="280">
        <v>14</v>
      </c>
      <c r="B7" s="281">
        <f t="shared" si="2"/>
        <v>0.25664321960000108</v>
      </c>
      <c r="C7" s="282">
        <f t="shared" si="2"/>
        <v>0.30321741446124889</v>
      </c>
      <c r="D7" s="283">
        <f t="shared" si="2"/>
        <v>0.36386089735349869</v>
      </c>
      <c r="E7" s="272">
        <f t="shared" si="3"/>
        <v>0.12579938571182722</v>
      </c>
      <c r="F7" s="273">
        <f t="shared" si="4"/>
        <v>7.6205397113895332E-2</v>
      </c>
    </row>
    <row r="8" spans="1:6">
      <c r="A8" s="274">
        <v>15</v>
      </c>
      <c r="B8" s="275">
        <f t="shared" si="2"/>
        <v>0.25548738105345858</v>
      </c>
      <c r="C8" s="276">
        <f t="shared" si="2"/>
        <v>0.30185182071533384</v>
      </c>
      <c r="D8" s="277">
        <f t="shared" si="2"/>
        <v>0.36222218485840063</v>
      </c>
      <c r="E8" s="278">
        <f t="shared" si="3"/>
        <v>0.13458590345331078</v>
      </c>
      <c r="F8" s="279">
        <f t="shared" si="4"/>
        <v>8.1527999207294033E-2</v>
      </c>
    </row>
    <row r="9" spans="1:6">
      <c r="A9" s="280">
        <v>16</v>
      </c>
      <c r="B9" s="281">
        <f t="shared" si="2"/>
        <v>0.25425371857568535</v>
      </c>
      <c r="C9" s="282">
        <f t="shared" si="2"/>
        <v>0.30039427998072465</v>
      </c>
      <c r="D9" s="283">
        <f t="shared" si="2"/>
        <v>0.36047313597686959</v>
      </c>
      <c r="E9" s="272">
        <f t="shared" si="3"/>
        <v>0.14333142502483956</v>
      </c>
      <c r="F9" s="273">
        <f t="shared" si="4"/>
        <v>8.6825767082354732E-2</v>
      </c>
    </row>
    <row r="10" spans="1:6">
      <c r="A10" s="280">
        <v>17</v>
      </c>
      <c r="B10" s="281">
        <f t="shared" si="2"/>
        <v>0.2529426079522229</v>
      </c>
      <c r="C10" s="282">
        <f t="shared" si="2"/>
        <v>0.29884523623844855</v>
      </c>
      <c r="D10" s="283">
        <f t="shared" si="2"/>
        <v>0.35861428348613827</v>
      </c>
      <c r="E10" s="272">
        <f t="shared" si="3"/>
        <v>0.15203328645582312</v>
      </c>
      <c r="F10" s="273">
        <f t="shared" si="4"/>
        <v>9.2097086987662086E-2</v>
      </c>
    </row>
    <row r="11" spans="1:6">
      <c r="A11" s="274">
        <v>17.5</v>
      </c>
      <c r="B11" s="275">
        <f t="shared" si="2"/>
        <v>0.25225813347290604</v>
      </c>
      <c r="C11" s="276">
        <f t="shared" si="2"/>
        <v>0.29803654710882094</v>
      </c>
      <c r="D11" s="277">
        <f t="shared" si="2"/>
        <v>0.35764385653058511</v>
      </c>
      <c r="E11" s="278">
        <f t="shared" si="3"/>
        <v>0.15636701574222203</v>
      </c>
      <c r="F11" s="279">
        <f t="shared" si="4"/>
        <v>9.472232684384603E-2</v>
      </c>
    </row>
    <row r="12" spans="1:6">
      <c r="A12" s="280">
        <v>18</v>
      </c>
      <c r="B12" s="281">
        <f t="shared" si="2"/>
        <v>0.25155444856006814</v>
      </c>
      <c r="C12" s="282">
        <f t="shared" si="2"/>
        <v>0.29720516134223546</v>
      </c>
      <c r="D12" s="283">
        <f t="shared" si="2"/>
        <v>0.35664619361068256</v>
      </c>
      <c r="E12" s="272">
        <f t="shared" si="3"/>
        <v>0.16068883707497264</v>
      </c>
      <c r="F12" s="273">
        <f t="shared" si="4"/>
        <v>9.7340353228108425E-2</v>
      </c>
    </row>
    <row r="13" spans="1:6">
      <c r="A13" s="280">
        <v>19</v>
      </c>
      <c r="B13" s="281">
        <f t="shared" si="2"/>
        <v>0.25008966324601933</v>
      </c>
      <c r="C13" s="282">
        <f t="shared" si="2"/>
        <v>0.29547455487478652</v>
      </c>
      <c r="D13" s="283">
        <f t="shared" si="2"/>
        <v>0.3545694658497438</v>
      </c>
      <c r="E13" s="272">
        <f t="shared" si="3"/>
        <v>0.16929544031772148</v>
      </c>
      <c r="F13" s="273">
        <f t="shared" si="4"/>
        <v>0.10255396865400436</v>
      </c>
    </row>
    <row r="14" spans="1:6">
      <c r="A14" s="274">
        <v>20</v>
      </c>
      <c r="B14" s="275">
        <f t="shared" si="2"/>
        <v>0.24854869819787279</v>
      </c>
      <c r="C14" s="276">
        <f t="shared" si="2"/>
        <v>0.29365394399559641</v>
      </c>
      <c r="D14" s="277">
        <f t="shared" si="2"/>
        <v>0.35238473279471566</v>
      </c>
      <c r="E14" s="278">
        <f t="shared" si="3"/>
        <v>0.17785047452934774</v>
      </c>
      <c r="F14" s="279">
        <f t="shared" si="4"/>
        <v>0.10773634514758565</v>
      </c>
    </row>
    <row r="15" spans="1:6">
      <c r="A15" s="280">
        <v>21</v>
      </c>
      <c r="B15" s="281">
        <f t="shared" si="2"/>
        <v>0.24693202280850987</v>
      </c>
      <c r="C15" s="282">
        <f t="shared" si="2"/>
        <v>0.29174388328037554</v>
      </c>
      <c r="D15" s="283">
        <f t="shared" si="2"/>
        <v>0.35009265993645067</v>
      </c>
      <c r="E15" s="272">
        <f t="shared" si="3"/>
        <v>0.18635133376355614</v>
      </c>
      <c r="F15" s="273">
        <f t="shared" si="4"/>
        <v>0.11288590410676959</v>
      </c>
    </row>
    <row r="16" spans="1:6">
      <c r="A16" s="280">
        <v>22</v>
      </c>
      <c r="B16" s="281">
        <f t="shared" si="2"/>
        <v>0.2452401295329153</v>
      </c>
      <c r="C16" s="282">
        <f t="shared" si="2"/>
        <v>0.28974495455212107</v>
      </c>
      <c r="D16" s="283">
        <f t="shared" si="2"/>
        <v>0.34769394546254528</v>
      </c>
      <c r="E16" s="272">
        <f t="shared" si="3"/>
        <v>0.19479542857627424</v>
      </c>
      <c r="F16" s="273">
        <f t="shared" si="4"/>
        <v>0.11800107692601229</v>
      </c>
    </row>
    <row r="17" spans="1:9">
      <c r="A17" s="274">
        <v>22.5</v>
      </c>
      <c r="B17" s="275">
        <f t="shared" si="2"/>
        <v>0.24436613634923535</v>
      </c>
      <c r="C17" s="276">
        <f t="shared" si="2"/>
        <v>0.28871235390977712</v>
      </c>
      <c r="D17" s="277">
        <f t="shared" si="2"/>
        <v>0.3464548246917325</v>
      </c>
      <c r="E17" s="278">
        <f t="shared" si="3"/>
        <v>0.19899538482984669</v>
      </c>
      <c r="F17" s="279">
        <f t="shared" si="4"/>
        <v>0.12054528119500328</v>
      </c>
    </row>
    <row r="18" spans="1:9">
      <c r="A18" s="280">
        <v>23</v>
      </c>
      <c r="B18" s="281">
        <f t="shared" si="2"/>
        <v>0.24347353373817049</v>
      </c>
      <c r="C18" s="282">
        <f t="shared" si="2"/>
        <v>0.2876577667038876</v>
      </c>
      <c r="D18" s="283">
        <f t="shared" si="2"/>
        <v>0.34518932004466513</v>
      </c>
      <c r="E18" s="272">
        <f t="shared" si="3"/>
        <v>0.20318018681442238</v>
      </c>
      <c r="F18" s="273">
        <f t="shared" si="4"/>
        <v>0.12308030547412124</v>
      </c>
    </row>
    <row r="19" spans="1:9">
      <c r="A19" s="280">
        <v>24</v>
      </c>
      <c r="B19" s="281">
        <f t="shared" si="2"/>
        <v>0.24163277354646795</v>
      </c>
      <c r="C19" s="282">
        <f t="shared" si="2"/>
        <v>0.28548295551331276</v>
      </c>
      <c r="D19" s="283">
        <f t="shared" si="2"/>
        <v>0.34257954661597534</v>
      </c>
      <c r="E19" s="272">
        <f t="shared" si="3"/>
        <v>0.21150305439941611</v>
      </c>
      <c r="F19" s="273">
        <f t="shared" si="4"/>
        <v>0.12812204256887708</v>
      </c>
    </row>
    <row r="20" spans="1:9">
      <c r="A20" s="274">
        <v>25</v>
      </c>
      <c r="B20" s="275">
        <f t="shared" si="2"/>
        <v>0.23971840967119393</v>
      </c>
      <c r="C20" s="276">
        <f t="shared" si="2"/>
        <v>0.28322118344895308</v>
      </c>
      <c r="D20" s="277">
        <f t="shared" si="2"/>
        <v>0.33986542013874371</v>
      </c>
      <c r="E20" s="278">
        <f t="shared" si="3"/>
        <v>0.21976149610516371</v>
      </c>
      <c r="F20" s="279">
        <f t="shared" si="4"/>
        <v>0.13312475244832034</v>
      </c>
    </row>
    <row r="21" spans="1:9">
      <c r="A21" s="280">
        <v>26</v>
      </c>
      <c r="B21" s="281">
        <f t="shared" si="2"/>
        <v>0.23773102524612968</v>
      </c>
      <c r="C21" s="282">
        <f t="shared" si="2"/>
        <v>0.28087313946848969</v>
      </c>
      <c r="D21" s="283">
        <f t="shared" si="2"/>
        <v>0.33704776736218767</v>
      </c>
      <c r="E21" s="272">
        <f t="shared" si="3"/>
        <v>0.22795299633032026</v>
      </c>
      <c r="F21" s="273">
        <f t="shared" si="4"/>
        <v>0.13808691123855937</v>
      </c>
    </row>
    <row r="22" spans="1:9">
      <c r="A22" s="280">
        <v>27</v>
      </c>
      <c r="B22" s="281">
        <f t="shared" si="2"/>
        <v>0.23567122564782331</v>
      </c>
      <c r="C22" s="282">
        <f t="shared" si="2"/>
        <v>0.27843953880886496</v>
      </c>
      <c r="D22" s="283">
        <f t="shared" si="2"/>
        <v>0.33412744657063798</v>
      </c>
      <c r="E22" s="272">
        <f t="shared" si="3"/>
        <v>0.23607505986456431</v>
      </c>
      <c r="F22" s="273">
        <f t="shared" si="4"/>
        <v>0.14300700741795722</v>
      </c>
    </row>
    <row r="23" spans="1:9">
      <c r="A23" s="274">
        <v>27.5</v>
      </c>
      <c r="B23" s="275">
        <f t="shared" si="2"/>
        <v>0.23461436537563965</v>
      </c>
      <c r="C23" s="276">
        <f t="shared" si="2"/>
        <v>0.27719088536819431</v>
      </c>
      <c r="D23" s="277">
        <f t="shared" si="2"/>
        <v>0.33262906244183316</v>
      </c>
      <c r="E23" s="278">
        <f t="shared" si="3"/>
        <v>0.24010927888221764</v>
      </c>
      <c r="F23" s="279">
        <f t="shared" si="4"/>
        <v>0.14545081316903569</v>
      </c>
      <c r="H23" s="284"/>
      <c r="I23" s="284"/>
    </row>
    <row r="24" spans="1:9">
      <c r="A24" s="280">
        <v>28</v>
      </c>
      <c r="B24" s="281">
        <f t="shared" si="2"/>
        <v>0.23353963831118621</v>
      </c>
      <c r="C24" s="282">
        <f t="shared" si="2"/>
        <v>0.27592112276841468</v>
      </c>
      <c r="D24" s="283">
        <f t="shared" si="2"/>
        <v>0.33110534732209762</v>
      </c>
      <c r="E24" s="272">
        <f t="shared" si="3"/>
        <v>0.24412521264866321</v>
      </c>
      <c r="F24" s="273">
        <f t="shared" si="4"/>
        <v>0.1478835422775556</v>
      </c>
    </row>
    <row r="25" spans="1:9">
      <c r="A25" s="280">
        <v>29</v>
      </c>
      <c r="B25" s="281">
        <f t="shared" si="2"/>
        <v>0.23133691253837019</v>
      </c>
      <c r="C25" s="282">
        <f t="shared" si="2"/>
        <v>0.27331865848106118</v>
      </c>
      <c r="D25" s="283">
        <f t="shared" si="2"/>
        <v>0.32798239017727338</v>
      </c>
      <c r="E25" s="272">
        <f t="shared" si="3"/>
        <v>0.25210100252809525</v>
      </c>
      <c r="F25" s="273">
        <f t="shared" si="4"/>
        <v>0.15271503037759618</v>
      </c>
    </row>
    <row r="26" spans="1:9">
      <c r="A26" s="274">
        <v>30</v>
      </c>
      <c r="B26" s="275">
        <f t="shared" si="2"/>
        <v>0.22906371930098404</v>
      </c>
      <c r="C26" s="276">
        <f t="shared" si="2"/>
        <v>0.2706329386826371</v>
      </c>
      <c r="D26" s="277">
        <f t="shared" si="2"/>
        <v>0.3247595264191645</v>
      </c>
      <c r="E26" s="278">
        <f t="shared" si="3"/>
        <v>0.25999999999999995</v>
      </c>
      <c r="F26" s="279">
        <f t="shared" si="4"/>
        <v>0.15749999999999997</v>
      </c>
    </row>
    <row r="27" spans="1:9">
      <c r="A27" s="280">
        <v>31</v>
      </c>
      <c r="B27" s="281">
        <f t="shared" si="2"/>
        <v>0.22672075103570871</v>
      </c>
      <c r="C27" s="282">
        <f t="shared" si="2"/>
        <v>0.26786478146941012</v>
      </c>
      <c r="D27" s="283">
        <f t="shared" si="2"/>
        <v>0.3214377377632921</v>
      </c>
      <c r="E27" s="272">
        <f t="shared" si="3"/>
        <v>0.26781979895322816</v>
      </c>
      <c r="F27" s="273">
        <f t="shared" si="4"/>
        <v>0.16223699359666707</v>
      </c>
    </row>
    <row r="28" spans="1:9">
      <c r="A28" s="280">
        <v>33</v>
      </c>
      <c r="B28" s="281">
        <f t="shared" ref="B28:D38" si="5">(B$2/2)*COS(RADIANS($A28))</f>
        <v>0.22182836522156468</v>
      </c>
      <c r="C28" s="282">
        <f t="shared" si="5"/>
        <v>0.26208455248294504</v>
      </c>
      <c r="D28" s="283">
        <f t="shared" si="5"/>
        <v>0.31450146297953402</v>
      </c>
      <c r="E28" s="272">
        <f t="shared" si="3"/>
        <v>0.28321229820781407</v>
      </c>
      <c r="F28" s="273">
        <f t="shared" si="4"/>
        <v>0.17156129602973352</v>
      </c>
    </row>
    <row r="29" spans="1:9">
      <c r="A29" s="274">
        <v>33.5</v>
      </c>
      <c r="B29" s="275">
        <f t="shared" si="5"/>
        <v>0.220562799936766</v>
      </c>
      <c r="C29" s="276">
        <f t="shared" si="5"/>
        <v>0.26058931939599006</v>
      </c>
      <c r="D29" s="277">
        <f t="shared" si="5"/>
        <v>0.31270718327518809</v>
      </c>
      <c r="E29" s="278">
        <f t="shared" si="3"/>
        <v>0.28700723236227027</v>
      </c>
      <c r="F29" s="279">
        <f t="shared" si="4"/>
        <v>0.17386015037329833</v>
      </c>
    </row>
    <row r="30" spans="1:9">
      <c r="A30" s="280">
        <v>33</v>
      </c>
      <c r="B30" s="281">
        <f t="shared" si="5"/>
        <v>0.22182836522156468</v>
      </c>
      <c r="C30" s="282">
        <f t="shared" si="5"/>
        <v>0.26208455248294504</v>
      </c>
      <c r="D30" s="283">
        <f t="shared" si="5"/>
        <v>0.31450146297953402</v>
      </c>
      <c r="E30" s="272">
        <f t="shared" si="3"/>
        <v>0.28321229820781407</v>
      </c>
      <c r="F30" s="273">
        <f t="shared" si="4"/>
        <v>0.17156129602973352</v>
      </c>
    </row>
    <row r="31" spans="1:9">
      <c r="A31" s="280">
        <v>34</v>
      </c>
      <c r="B31" s="281">
        <f t="shared" si="5"/>
        <v>0.21928043794080851</v>
      </c>
      <c r="C31" s="282">
        <f t="shared" si="5"/>
        <v>0.25907424142345048</v>
      </c>
      <c r="D31" s="283">
        <f t="shared" si="5"/>
        <v>0.31088908970814061</v>
      </c>
      <c r="E31" s="272">
        <f t="shared" si="3"/>
        <v>0.29078030980478842</v>
      </c>
      <c r="F31" s="273">
        <f t="shared" si="4"/>
        <v>0.17614576459328526</v>
      </c>
    </row>
    <row r="32" spans="1:9">
      <c r="A32" s="274">
        <v>35</v>
      </c>
      <c r="B32" s="275">
        <f t="shared" si="5"/>
        <v>0.21666571571443835</v>
      </c>
      <c r="C32" s="276">
        <f t="shared" si="5"/>
        <v>0.25598501384030992</v>
      </c>
      <c r="D32" s="277">
        <f t="shared" si="5"/>
        <v>0.30718201660837191</v>
      </c>
      <c r="E32" s="278">
        <f t="shared" si="3"/>
        <v>0.29825974690254398</v>
      </c>
      <c r="F32" s="279">
        <f t="shared" si="4"/>
        <v>0.1806765774505795</v>
      </c>
    </row>
    <row r="33" spans="1:6">
      <c r="A33" s="280">
        <v>36</v>
      </c>
      <c r="B33" s="281">
        <f t="shared" si="5"/>
        <v>0.21398499501217361</v>
      </c>
      <c r="C33" s="282">
        <f t="shared" si="5"/>
        <v>0.25281781074217108</v>
      </c>
      <c r="D33" s="283">
        <f t="shared" si="5"/>
        <v>0.30338137289060529</v>
      </c>
      <c r="E33" s="272">
        <f t="shared" si="3"/>
        <v>0.30564833119208606</v>
      </c>
      <c r="F33" s="273">
        <f t="shared" si="4"/>
        <v>0.18515235447212905</v>
      </c>
    </row>
    <row r="34" spans="1:6">
      <c r="A34" s="280">
        <v>37</v>
      </c>
      <c r="B34" s="281">
        <f t="shared" si="5"/>
        <v>0.21123909240750896</v>
      </c>
      <c r="C34" s="282">
        <f t="shared" si="5"/>
        <v>0.24957359688977901</v>
      </c>
      <c r="D34" s="283">
        <f t="shared" si="5"/>
        <v>0.29948831626773481</v>
      </c>
      <c r="E34" s="272">
        <f t="shared" si="3"/>
        <v>0.31294381203906513</v>
      </c>
      <c r="F34" s="273">
        <f t="shared" si="4"/>
        <v>0.1895717322928952</v>
      </c>
    </row>
    <row r="35" spans="1:6">
      <c r="A35" s="274">
        <v>37.5</v>
      </c>
      <c r="B35" s="275">
        <f t="shared" si="5"/>
        <v>0.20984195850703172</v>
      </c>
      <c r="C35" s="276">
        <f t="shared" si="5"/>
        <v>0.24792291884101098</v>
      </c>
      <c r="D35" s="277">
        <f t="shared" si="5"/>
        <v>0.29750750260921321</v>
      </c>
      <c r="E35" s="278">
        <f t="shared" si="3"/>
        <v>0.31655594308453477</v>
      </c>
      <c r="F35" s="279">
        <f t="shared" si="4"/>
        <v>0.19175985013774702</v>
      </c>
    </row>
    <row r="36" spans="1:6">
      <c r="A36" s="280">
        <v>38</v>
      </c>
      <c r="B36" s="281">
        <f t="shared" si="5"/>
        <v>0.20842884432897796</v>
      </c>
      <c r="C36" s="282">
        <f t="shared" si="5"/>
        <v>0.24625336050210059</v>
      </c>
      <c r="D36" s="283">
        <f t="shared" si="5"/>
        <v>0.29550403260252073</v>
      </c>
      <c r="E36" s="272">
        <f t="shared" si="3"/>
        <v>0.32014396716934235</v>
      </c>
      <c r="F36" s="273">
        <f t="shared" si="4"/>
        <v>0.19393336472758235</v>
      </c>
    </row>
    <row r="37" spans="1:6">
      <c r="A37" s="280">
        <v>39</v>
      </c>
      <c r="B37" s="281">
        <f t="shared" si="5"/>
        <v>0.20555510680536881</v>
      </c>
      <c r="C37" s="282">
        <f t="shared" si="5"/>
        <v>0.24285811295530341</v>
      </c>
      <c r="D37" s="283">
        <f t="shared" si="5"/>
        <v>0.29142973554636409</v>
      </c>
      <c r="E37" s="272">
        <f t="shared" si="3"/>
        <v>0.32724660334591543</v>
      </c>
      <c r="F37" s="273">
        <f t="shared" si="4"/>
        <v>0.19823592318069877</v>
      </c>
    </row>
    <row r="38" spans="1:6" ht="15.75" thickBot="1">
      <c r="A38" s="285">
        <v>40</v>
      </c>
      <c r="B38" s="286">
        <f t="shared" si="5"/>
        <v>0.20261875520496969</v>
      </c>
      <c r="C38" s="287">
        <f t="shared" si="5"/>
        <v>0.23938888847468062</v>
      </c>
      <c r="D38" s="288">
        <f t="shared" si="5"/>
        <v>0.28726666616961677</v>
      </c>
      <c r="E38" s="289">
        <f t="shared" si="3"/>
        <v>0.33424955703700043</v>
      </c>
      <c r="F38" s="290">
        <f t="shared" si="4"/>
        <v>0.20247809705125985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E5:E14"/>
  <sheetViews>
    <sheetView workbookViewId="0">
      <selection activeCell="C1" sqref="A1:XFD1048576"/>
    </sheetView>
  </sheetViews>
  <sheetFormatPr defaultRowHeight="12.75"/>
  <cols>
    <col min="4" max="4" width="11.7109375" bestFit="1" customWidth="1"/>
  </cols>
  <sheetData>
    <row r="5" spans="5:5">
      <c r="E5" s="423"/>
    </row>
    <row r="6" spans="5:5">
      <c r="E6" s="423"/>
    </row>
    <row r="7" spans="5:5">
      <c r="E7" s="423"/>
    </row>
    <row r="8" spans="5:5">
      <c r="E8" s="423"/>
    </row>
    <row r="9" spans="5:5">
      <c r="E9" s="423"/>
    </row>
    <row r="10" spans="5:5">
      <c r="E10" s="423"/>
    </row>
    <row r="11" spans="5:5">
      <c r="E11" s="423"/>
    </row>
    <row r="12" spans="5:5">
      <c r="E12" s="423"/>
    </row>
    <row r="13" spans="5:5">
      <c r="E13" s="423"/>
    </row>
    <row r="14" spans="5:5">
      <c r="E14" s="423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Sheet1</vt:lpstr>
      <vt:lpstr>CutType</vt:lpstr>
      <vt:lpstr>Helix Depth</vt:lpstr>
      <vt:lpstr>elipse #s</vt:lpstr>
      <vt:lpstr>Sheet2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2015-05-11T18:29:43Z</cp:lastPrinted>
  <dcterms:created xsi:type="dcterms:W3CDTF">2003-10-20T20:59:43Z</dcterms:created>
  <dcterms:modified xsi:type="dcterms:W3CDTF">2015-05-22T18:26:19Z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