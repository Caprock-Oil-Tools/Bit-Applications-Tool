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40" yWindow="1560" windowWidth="21075" windowHeight="8250"/>
  </bookViews>
  <sheets>
    <sheet name="1992-2031-58-64-72-73" sheetId="7" r:id="rId1"/>
    <sheet name="1992 vs 2031 vs 2072" sheetId="4" r:id="rId2"/>
    <sheet name="2058 vs 2064 vs 2073" sheetId="5" r:id="rId3"/>
    <sheet name="Data" sheetId="1" r:id="rId4"/>
  </sheets>
  <calcPr calcId="125725"/>
</workbook>
</file>

<file path=xl/calcChain.xml><?xml version="1.0" encoding="utf-8"?>
<calcChain xmlns="http://schemas.openxmlformats.org/spreadsheetml/2006/main">
  <c r="AI4" i="1"/>
  <c r="AI5"/>
  <c r="AI6"/>
  <c r="AI7"/>
  <c r="AI8"/>
  <c r="AI9"/>
  <c r="AI10"/>
  <c r="AI11"/>
  <c r="AI12"/>
  <c r="AI13"/>
  <c r="AI14"/>
  <c r="AI15"/>
  <c r="AI16"/>
  <c r="AI17"/>
  <c r="AI18"/>
  <c r="AI19"/>
  <c r="AI20"/>
  <c r="AI21"/>
  <c r="AI22"/>
  <c r="AI3"/>
  <c r="AD4"/>
  <c r="AD5"/>
  <c r="AD6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38"/>
  <c r="AD39"/>
  <c r="AD40"/>
  <c r="AD41"/>
  <c r="AD42"/>
  <c r="AD43"/>
  <c r="AD44"/>
  <c r="AD45"/>
  <c r="AD46"/>
  <c r="AD47"/>
  <c r="AD48"/>
  <c r="AD49"/>
  <c r="AD50"/>
  <c r="AD51"/>
  <c r="AD52"/>
  <c r="AD53"/>
  <c r="AD54"/>
  <c r="AD55"/>
  <c r="AD56"/>
  <c r="AD57"/>
  <c r="AD58"/>
  <c r="AD59"/>
  <c r="AD60"/>
  <c r="AD61"/>
  <c r="AD62"/>
  <c r="AD63"/>
  <c r="AD64"/>
  <c r="AD3"/>
  <c r="Y3"/>
  <c r="Y4"/>
  <c r="Y5"/>
  <c r="Y6"/>
  <c r="Y7"/>
  <c r="Y8"/>
  <c r="Y9"/>
  <c r="Y10"/>
  <c r="Y11"/>
  <c r="Y12"/>
  <c r="Y13"/>
  <c r="Y14"/>
  <c r="Y15"/>
  <c r="Y16"/>
  <c r="Y17"/>
  <c r="Y18"/>
  <c r="Y19"/>
  <c r="Y20"/>
  <c r="Y21"/>
  <c r="Y22"/>
  <c r="Y23"/>
  <c r="Y24"/>
  <c r="N4"/>
  <c r="N5"/>
  <c r="N6"/>
  <c r="N7"/>
  <c r="N8"/>
  <c r="N9"/>
  <c r="N10"/>
  <c r="N11"/>
  <c r="N12"/>
  <c r="N13"/>
  <c r="N14"/>
  <c r="N15"/>
  <c r="N16"/>
  <c r="N17"/>
  <c r="N18"/>
  <c r="N19"/>
  <c r="N20"/>
  <c r="N21"/>
  <c r="N22"/>
  <c r="N23"/>
  <c r="N24"/>
  <c r="N25"/>
  <c r="N26"/>
  <c r="N27"/>
  <c r="N28"/>
  <c r="N29"/>
  <c r="N30"/>
  <c r="N31"/>
  <c r="N32"/>
  <c r="N33"/>
  <c r="N34"/>
  <c r="N35"/>
  <c r="N36"/>
  <c r="N37"/>
  <c r="N38"/>
  <c r="N39"/>
  <c r="N40"/>
  <c r="N41"/>
  <c r="N42"/>
  <c r="N43"/>
  <c r="N44"/>
  <c r="N45"/>
  <c r="N46"/>
  <c r="N47"/>
  <c r="N48"/>
  <c r="N49"/>
  <c r="N50"/>
  <c r="N51"/>
  <c r="N52"/>
  <c r="N53"/>
  <c r="N54"/>
  <c r="N55"/>
  <c r="N56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S33"/>
  <c r="S34"/>
  <c r="S35"/>
  <c r="S36"/>
  <c r="S37"/>
  <c r="S38"/>
  <c r="S39"/>
  <c r="S40"/>
  <c r="S41"/>
  <c r="S42"/>
  <c r="S43"/>
  <c r="S44"/>
  <c r="S45"/>
  <c r="S46"/>
  <c r="S47"/>
  <c r="S48"/>
  <c r="S49"/>
  <c r="S50"/>
  <c r="S51"/>
  <c r="S52"/>
  <c r="S53"/>
  <c r="S54"/>
  <c r="S55"/>
  <c r="S56"/>
  <c r="S3"/>
  <c r="N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3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3"/>
</calcChain>
</file>

<file path=xl/sharedStrings.xml><?xml version="1.0" encoding="utf-8"?>
<sst xmlns="http://schemas.openxmlformats.org/spreadsheetml/2006/main" count="21" uniqueCount="3">
  <si>
    <t>Radius</t>
  </si>
  <si>
    <t>Backrake</t>
  </si>
  <si>
    <t>%Rad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</si>
</sst>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0.0000"/>
    <numFmt numFmtId="166" formatCode="0.0\°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chartsheet" Target="chartsheets/sheet3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Cutter Backrake vs Radial</a:t>
            </a:r>
            <a:r>
              <a:rPr lang="en-US" baseline="0"/>
              <a:t> Position</a:t>
            </a:r>
          </a:p>
        </c:rich>
      </c:tx>
      <c:layout/>
      <c:overlay val="1"/>
    </c:title>
    <c:plotArea>
      <c:layout>
        <c:manualLayout>
          <c:layoutTarget val="inner"/>
          <c:xMode val="edge"/>
          <c:yMode val="edge"/>
          <c:x val="9.9352490852794045E-2"/>
          <c:y val="0.11314794485002024"/>
          <c:w val="0.86192924378449265"/>
          <c:h val="0.77385703825088636"/>
        </c:manualLayout>
      </c:layout>
      <c:scatterChart>
        <c:scatterStyle val="lineMarker"/>
        <c:ser>
          <c:idx val="0"/>
          <c:order val="0"/>
          <c:tx>
            <c:strRef>
              <c:f>Data!$B$1</c:f>
              <c:strCache>
                <c:ptCount val="1"/>
                <c:pt idx="0">
                  <c:v>1992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Data!$D$3:$D$22</c:f>
              <c:numCache>
                <c:formatCode>0.00%</c:formatCode>
                <c:ptCount val="20"/>
                <c:pt idx="0">
                  <c:v>7.4463492063492065E-2</c:v>
                </c:pt>
                <c:pt idx="1">
                  <c:v>0.13389206349206348</c:v>
                </c:pt>
                <c:pt idx="2">
                  <c:v>0.19685079365079367</c:v>
                </c:pt>
                <c:pt idx="3">
                  <c:v>0.25978412698412695</c:v>
                </c:pt>
                <c:pt idx="4">
                  <c:v>0.32271746031746029</c:v>
                </c:pt>
                <c:pt idx="5">
                  <c:v>0.38565079365079363</c:v>
                </c:pt>
                <c:pt idx="6">
                  <c:v>0.45102222222222221</c:v>
                </c:pt>
                <c:pt idx="7">
                  <c:v>0.51461587301587297</c:v>
                </c:pt>
                <c:pt idx="8">
                  <c:v>0.58587936507936511</c:v>
                </c:pt>
                <c:pt idx="9">
                  <c:v>0.6586158730158731</c:v>
                </c:pt>
                <c:pt idx="10">
                  <c:v>0.73640634920634918</c:v>
                </c:pt>
                <c:pt idx="11">
                  <c:v>0.8083555555555556</c:v>
                </c:pt>
                <c:pt idx="12">
                  <c:v>0.86773333333333336</c:v>
                </c:pt>
                <c:pt idx="13">
                  <c:v>0.92256507936507937</c:v>
                </c:pt>
                <c:pt idx="14">
                  <c:v>0.96713650793650796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xVal>
          <c:yVal>
            <c:numRef>
              <c:f>Data!$C$3:$C$22</c:f>
              <c:numCache>
                <c:formatCode>0.0\°</c:formatCode>
                <c:ptCount val="20"/>
                <c:pt idx="0">
                  <c:v>20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17.5</c:v>
                </c:pt>
                <c:pt idx="10">
                  <c:v>17.5</c:v>
                </c:pt>
                <c:pt idx="11">
                  <c:v>17.5</c:v>
                </c:pt>
                <c:pt idx="12">
                  <c:v>20</c:v>
                </c:pt>
                <c:pt idx="13">
                  <c:v>22.5</c:v>
                </c:pt>
                <c:pt idx="14">
                  <c:v>22.5</c:v>
                </c:pt>
                <c:pt idx="15">
                  <c:v>22.5</c:v>
                </c:pt>
                <c:pt idx="16">
                  <c:v>22.5</c:v>
                </c:pt>
                <c:pt idx="17">
                  <c:v>27.5</c:v>
                </c:pt>
                <c:pt idx="18">
                  <c:v>27.5</c:v>
                </c:pt>
                <c:pt idx="19">
                  <c:v>27.5</c:v>
                </c:pt>
              </c:numCache>
            </c:numRef>
          </c:yVal>
        </c:ser>
        <c:ser>
          <c:idx val="1"/>
          <c:order val="1"/>
          <c:tx>
            <c:v>2031</c:v>
          </c:tx>
          <c:spPr>
            <a:ln w="12700"/>
          </c:spPr>
          <c:marker>
            <c:symbol val="diamond"/>
            <c:size val="4"/>
          </c:marker>
          <c:xVal>
            <c:numRef>
              <c:f>Data!$I$3:$I$22</c:f>
              <c:numCache>
                <c:formatCode>0.00%</c:formatCode>
                <c:ptCount val="20"/>
                <c:pt idx="0">
                  <c:v>7.6241269841269846E-2</c:v>
                </c:pt>
                <c:pt idx="1">
                  <c:v>0.14011428571428572</c:v>
                </c:pt>
                <c:pt idx="2">
                  <c:v>0.20083809523809523</c:v>
                </c:pt>
                <c:pt idx="3">
                  <c:v>0.26156190476190477</c:v>
                </c:pt>
                <c:pt idx="4">
                  <c:v>0.32530793650793649</c:v>
                </c:pt>
                <c:pt idx="5">
                  <c:v>0.38905396825396826</c:v>
                </c:pt>
                <c:pt idx="6">
                  <c:v>0.45279999999999998</c:v>
                </c:pt>
                <c:pt idx="7">
                  <c:v>0.51690158730158731</c:v>
                </c:pt>
                <c:pt idx="8">
                  <c:v>0.58262857142857138</c:v>
                </c:pt>
                <c:pt idx="9">
                  <c:v>0.65838730158730163</c:v>
                </c:pt>
                <c:pt idx="10">
                  <c:v>0.73165714285714289</c:v>
                </c:pt>
                <c:pt idx="11">
                  <c:v>0.79977142857142847</c:v>
                </c:pt>
                <c:pt idx="12">
                  <c:v>0.86031746031746037</c:v>
                </c:pt>
                <c:pt idx="13">
                  <c:v>0.91037460317460317</c:v>
                </c:pt>
                <c:pt idx="14">
                  <c:v>0.94786031746031751</c:v>
                </c:pt>
                <c:pt idx="15">
                  <c:v>0.9744761904761905</c:v>
                </c:pt>
                <c:pt idx="16">
                  <c:v>0.99773968253968248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xVal>
          <c:yVal>
            <c:numRef>
              <c:f>Data!$H$3:$H$22</c:f>
              <c:numCache>
                <c:formatCode>0.0\°</c:formatCode>
                <c:ptCount val="20"/>
                <c:pt idx="0">
                  <c:v>20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27.5</c:v>
                </c:pt>
                <c:pt idx="18">
                  <c:v>27.5</c:v>
                </c:pt>
                <c:pt idx="19">
                  <c:v>27.5</c:v>
                </c:pt>
              </c:numCache>
            </c:numRef>
          </c:yVal>
        </c:ser>
        <c:ser>
          <c:idx val="2"/>
          <c:order val="2"/>
          <c:tx>
            <c:strRef>
              <c:f>Data!$L$1</c:f>
              <c:strCache>
                <c:ptCount val="1"/>
                <c:pt idx="0">
                  <c:v>2058</c:v>
                </c:pt>
              </c:strCache>
            </c:strRef>
          </c:tx>
          <c:spPr>
            <a:ln w="12700">
              <a:solidFill>
                <a:srgbClr val="008000"/>
              </a:solidFill>
            </a:ln>
          </c:spPr>
          <c:marker>
            <c:symbol val="diamond"/>
            <c:size val="4"/>
            <c:spPr>
              <a:solidFill>
                <a:srgbClr val="008000"/>
              </a:solidFill>
            </c:spPr>
          </c:marker>
          <c:xVal>
            <c:numRef>
              <c:f>Data!$N$3:$N$56</c:f>
              <c:numCache>
                <c:formatCode>0.00%</c:formatCode>
                <c:ptCount val="54"/>
                <c:pt idx="0">
                  <c:v>4.8293877551020409E-2</c:v>
                </c:pt>
                <c:pt idx="1">
                  <c:v>8.8146938775510206E-2</c:v>
                </c:pt>
                <c:pt idx="2">
                  <c:v>0.12716734693877552</c:v>
                </c:pt>
                <c:pt idx="3">
                  <c:v>0.16586122448979593</c:v>
                </c:pt>
                <c:pt idx="4">
                  <c:v>0.20692244897959186</c:v>
                </c:pt>
                <c:pt idx="5">
                  <c:v>0.248</c:v>
                </c:pt>
                <c:pt idx="6">
                  <c:v>0.28906122448979593</c:v>
                </c:pt>
                <c:pt idx="7">
                  <c:v>0.3301387755102041</c:v>
                </c:pt>
                <c:pt idx="8">
                  <c:v>0.37120000000000003</c:v>
                </c:pt>
                <c:pt idx="9">
                  <c:v>0.41226122448979596</c:v>
                </c:pt>
                <c:pt idx="10">
                  <c:v>0.43280000000000002</c:v>
                </c:pt>
                <c:pt idx="11">
                  <c:v>0.45333877551020407</c:v>
                </c:pt>
                <c:pt idx="12">
                  <c:v>0.47387755102040813</c:v>
                </c:pt>
                <c:pt idx="13">
                  <c:v>0.49440000000000001</c:v>
                </c:pt>
                <c:pt idx="14">
                  <c:v>0.51493877551020406</c:v>
                </c:pt>
                <c:pt idx="15">
                  <c:v>0.5356408163265306</c:v>
                </c:pt>
                <c:pt idx="16">
                  <c:v>0.55666938775510211</c:v>
                </c:pt>
                <c:pt idx="17">
                  <c:v>0.57797551020408156</c:v>
                </c:pt>
                <c:pt idx="18">
                  <c:v>0.59942857142857142</c:v>
                </c:pt>
                <c:pt idx="19">
                  <c:v>0.62200816326530617</c:v>
                </c:pt>
                <c:pt idx="20">
                  <c:v>0.64551836734693879</c:v>
                </c:pt>
                <c:pt idx="21">
                  <c:v>0.6688359183673469</c:v>
                </c:pt>
                <c:pt idx="22">
                  <c:v>0.69182040816326529</c:v>
                </c:pt>
                <c:pt idx="23">
                  <c:v>0.71461224489795916</c:v>
                </c:pt>
                <c:pt idx="24">
                  <c:v>0.7368979591836734</c:v>
                </c:pt>
                <c:pt idx="25">
                  <c:v>0.75890612244897959</c:v>
                </c:pt>
                <c:pt idx="26">
                  <c:v>0.78008163265306119</c:v>
                </c:pt>
                <c:pt idx="27">
                  <c:v>0.80001632653061228</c:v>
                </c:pt>
                <c:pt idx="28">
                  <c:v>0.82021224489795908</c:v>
                </c:pt>
                <c:pt idx="29">
                  <c:v>0.83915102040816325</c:v>
                </c:pt>
                <c:pt idx="30">
                  <c:v>0.85722448979591837</c:v>
                </c:pt>
                <c:pt idx="31">
                  <c:v>0.87430204081632656</c:v>
                </c:pt>
                <c:pt idx="32">
                  <c:v>0.89025306122448977</c:v>
                </c:pt>
                <c:pt idx="33">
                  <c:v>0.90468571428571432</c:v>
                </c:pt>
                <c:pt idx="34">
                  <c:v>0.91833469387755096</c:v>
                </c:pt>
                <c:pt idx="35">
                  <c:v>0.93082448979591836</c:v>
                </c:pt>
                <c:pt idx="36">
                  <c:v>0.94156734693877553</c:v>
                </c:pt>
                <c:pt idx="37">
                  <c:v>0.95149387755102033</c:v>
                </c:pt>
                <c:pt idx="38">
                  <c:v>0.9600163265306122</c:v>
                </c:pt>
                <c:pt idx="39">
                  <c:v>0.9665795918367347</c:v>
                </c:pt>
                <c:pt idx="40">
                  <c:v>0.97322448979591847</c:v>
                </c:pt>
                <c:pt idx="41">
                  <c:v>0.97952653061224493</c:v>
                </c:pt>
                <c:pt idx="42">
                  <c:v>0.98471836734693874</c:v>
                </c:pt>
                <c:pt idx="43">
                  <c:v>0.99035102040816325</c:v>
                </c:pt>
                <c:pt idx="44">
                  <c:v>0.99519999999999997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</c:numCache>
            </c:numRef>
          </c:xVal>
          <c:yVal>
            <c:numRef>
              <c:f>Data!$M$3:$M$56</c:f>
              <c:numCache>
                <c:formatCode>0.0\°</c:formatCode>
                <c:ptCount val="54"/>
                <c:pt idx="0">
                  <c:v>20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15</c:v>
                </c:pt>
                <c:pt idx="32">
                  <c:v>15</c:v>
                </c:pt>
                <c:pt idx="33">
                  <c:v>17.5</c:v>
                </c:pt>
                <c:pt idx="34">
                  <c:v>17.5</c:v>
                </c:pt>
                <c:pt idx="35">
                  <c:v>17.5</c:v>
                </c:pt>
                <c:pt idx="36">
                  <c:v>20</c:v>
                </c:pt>
                <c:pt idx="37">
                  <c:v>20</c:v>
                </c:pt>
                <c:pt idx="38">
                  <c:v>20</c:v>
                </c:pt>
                <c:pt idx="39">
                  <c:v>22.5</c:v>
                </c:pt>
                <c:pt idx="40">
                  <c:v>22.5</c:v>
                </c:pt>
                <c:pt idx="41">
                  <c:v>22.5</c:v>
                </c:pt>
                <c:pt idx="42">
                  <c:v>25</c:v>
                </c:pt>
                <c:pt idx="43">
                  <c:v>25</c:v>
                </c:pt>
                <c:pt idx="44">
                  <c:v>25</c:v>
                </c:pt>
                <c:pt idx="45">
                  <c:v>25</c:v>
                </c:pt>
                <c:pt idx="46">
                  <c:v>25</c:v>
                </c:pt>
                <c:pt idx="47">
                  <c:v>25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30</c:v>
                </c:pt>
              </c:numCache>
            </c:numRef>
          </c:yVal>
        </c:ser>
        <c:ser>
          <c:idx val="3"/>
          <c:order val="3"/>
          <c:tx>
            <c:strRef>
              <c:f>Data!$Q$1</c:f>
              <c:strCache>
                <c:ptCount val="1"/>
                <c:pt idx="0">
                  <c:v>2064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Data!$S$3:$S$56</c:f>
              <c:numCache>
                <c:formatCode>0.00%</c:formatCode>
                <c:ptCount val="54"/>
                <c:pt idx="0">
                  <c:v>4.8293877551020409E-2</c:v>
                </c:pt>
                <c:pt idx="1">
                  <c:v>8.729795918367346E-2</c:v>
                </c:pt>
                <c:pt idx="2">
                  <c:v>0.12458775510204081</c:v>
                </c:pt>
                <c:pt idx="3">
                  <c:v>0.1615673469387755</c:v>
                </c:pt>
                <c:pt idx="4">
                  <c:v>0.20091428571428571</c:v>
                </c:pt>
                <c:pt idx="5">
                  <c:v>0.24027755102040815</c:v>
                </c:pt>
                <c:pt idx="6">
                  <c:v>0.27965714285714288</c:v>
                </c:pt>
                <c:pt idx="7">
                  <c:v>0.31905306122448979</c:v>
                </c:pt>
                <c:pt idx="8">
                  <c:v>0.35848163265306121</c:v>
                </c:pt>
                <c:pt idx="9">
                  <c:v>0.39951020408163268</c:v>
                </c:pt>
                <c:pt idx="10">
                  <c:v>0.42004897959183674</c:v>
                </c:pt>
                <c:pt idx="11">
                  <c:v>0.44058775510204079</c:v>
                </c:pt>
                <c:pt idx="12">
                  <c:v>0.46115918367346942</c:v>
                </c:pt>
                <c:pt idx="13">
                  <c:v>0.48164897959183672</c:v>
                </c:pt>
                <c:pt idx="14">
                  <c:v>0.50470204081632652</c:v>
                </c:pt>
                <c:pt idx="15">
                  <c:v>0.52800000000000002</c:v>
                </c:pt>
                <c:pt idx="16">
                  <c:v>0.55157551020408169</c:v>
                </c:pt>
                <c:pt idx="17">
                  <c:v>0.57531428571428567</c:v>
                </c:pt>
                <c:pt idx="18">
                  <c:v>0.59908571428571433</c:v>
                </c:pt>
                <c:pt idx="19">
                  <c:v>0.62204081632653063</c:v>
                </c:pt>
                <c:pt idx="20">
                  <c:v>0.6466612244897959</c:v>
                </c:pt>
                <c:pt idx="21">
                  <c:v>0.66850612244897956</c:v>
                </c:pt>
                <c:pt idx="22">
                  <c:v>0.6914285714285715</c:v>
                </c:pt>
                <c:pt idx="23">
                  <c:v>0.71405714285714283</c:v>
                </c:pt>
                <c:pt idx="24">
                  <c:v>0.73629387755102049</c:v>
                </c:pt>
                <c:pt idx="25">
                  <c:v>0.75804081632653053</c:v>
                </c:pt>
                <c:pt idx="26">
                  <c:v>0.7792</c:v>
                </c:pt>
                <c:pt idx="27">
                  <c:v>0.79972244897959177</c:v>
                </c:pt>
                <c:pt idx="28">
                  <c:v>0.81954285714285724</c:v>
                </c:pt>
                <c:pt idx="29">
                  <c:v>0.83859591836734693</c:v>
                </c:pt>
                <c:pt idx="30">
                  <c:v>0.8567999999999999</c:v>
                </c:pt>
                <c:pt idx="31">
                  <c:v>0.86920816326530614</c:v>
                </c:pt>
                <c:pt idx="32">
                  <c:v>0.89046530612244901</c:v>
                </c:pt>
                <c:pt idx="33">
                  <c:v>0.90602448979591843</c:v>
                </c:pt>
                <c:pt idx="34">
                  <c:v>0.92031020408163267</c:v>
                </c:pt>
                <c:pt idx="35">
                  <c:v>0.93373061224489795</c:v>
                </c:pt>
                <c:pt idx="36">
                  <c:v>0.94574693877551019</c:v>
                </c:pt>
                <c:pt idx="37">
                  <c:v>0.95686530612244902</c:v>
                </c:pt>
                <c:pt idx="38">
                  <c:v>0.96646530612244896</c:v>
                </c:pt>
                <c:pt idx="39">
                  <c:v>0.97513469387755092</c:v>
                </c:pt>
                <c:pt idx="40">
                  <c:v>0.98218775510204082</c:v>
                </c:pt>
                <c:pt idx="41">
                  <c:v>0.98827755102040826</c:v>
                </c:pt>
                <c:pt idx="42">
                  <c:v>0.99266938775510205</c:v>
                </c:pt>
                <c:pt idx="43">
                  <c:v>0.99611428571428573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</c:numCache>
            </c:numRef>
          </c:xVal>
          <c:yVal>
            <c:numRef>
              <c:f>Data!$R$3:$R$56</c:f>
              <c:numCache>
                <c:formatCode>0.0\°</c:formatCode>
                <c:ptCount val="54"/>
                <c:pt idx="0">
                  <c:v>20</c:v>
                </c:pt>
                <c:pt idx="1">
                  <c:v>17.5</c:v>
                </c:pt>
                <c:pt idx="2">
                  <c:v>16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16</c:v>
                </c:pt>
                <c:pt idx="17">
                  <c:v>17.5</c:v>
                </c:pt>
                <c:pt idx="18">
                  <c:v>17.5</c:v>
                </c:pt>
                <c:pt idx="19">
                  <c:v>17.5</c:v>
                </c:pt>
                <c:pt idx="20">
                  <c:v>17.5</c:v>
                </c:pt>
                <c:pt idx="21">
                  <c:v>17.5</c:v>
                </c:pt>
                <c:pt idx="22">
                  <c:v>17.5</c:v>
                </c:pt>
                <c:pt idx="23">
                  <c:v>17.5</c:v>
                </c:pt>
                <c:pt idx="24">
                  <c:v>17.5</c:v>
                </c:pt>
                <c:pt idx="25">
                  <c:v>18</c:v>
                </c:pt>
                <c:pt idx="26">
                  <c:v>19</c:v>
                </c:pt>
                <c:pt idx="27">
                  <c:v>20</c:v>
                </c:pt>
                <c:pt idx="28">
                  <c:v>21</c:v>
                </c:pt>
                <c:pt idx="29">
                  <c:v>22</c:v>
                </c:pt>
                <c:pt idx="30">
                  <c:v>23</c:v>
                </c:pt>
                <c:pt idx="31">
                  <c:v>24</c:v>
                </c:pt>
                <c:pt idx="32">
                  <c:v>25</c:v>
                </c:pt>
                <c:pt idx="33">
                  <c:v>26</c:v>
                </c:pt>
                <c:pt idx="34">
                  <c:v>26</c:v>
                </c:pt>
                <c:pt idx="35">
                  <c:v>27</c:v>
                </c:pt>
                <c:pt idx="36">
                  <c:v>27</c:v>
                </c:pt>
                <c:pt idx="37">
                  <c:v>28</c:v>
                </c:pt>
                <c:pt idx="38">
                  <c:v>28</c:v>
                </c:pt>
                <c:pt idx="39">
                  <c:v>29</c:v>
                </c:pt>
                <c:pt idx="40">
                  <c:v>29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35</c:v>
                </c:pt>
                <c:pt idx="45">
                  <c:v>35</c:v>
                </c:pt>
                <c:pt idx="46">
                  <c:v>35</c:v>
                </c:pt>
                <c:pt idx="47">
                  <c:v>35</c:v>
                </c:pt>
                <c:pt idx="48">
                  <c:v>40</c:v>
                </c:pt>
                <c:pt idx="49">
                  <c:v>40</c:v>
                </c:pt>
                <c:pt idx="50">
                  <c:v>40</c:v>
                </c:pt>
                <c:pt idx="51">
                  <c:v>40</c:v>
                </c:pt>
                <c:pt idx="52">
                  <c:v>40</c:v>
                </c:pt>
                <c:pt idx="53">
                  <c:v>40</c:v>
                </c:pt>
              </c:numCache>
            </c:numRef>
          </c:yVal>
        </c:ser>
        <c:ser>
          <c:idx val="4"/>
          <c:order val="4"/>
          <c:tx>
            <c:strRef>
              <c:f>Data!$W$1</c:f>
              <c:strCache>
                <c:ptCount val="1"/>
                <c:pt idx="0">
                  <c:v>2072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Data!$Y$3:$Y$24</c:f>
              <c:numCache>
                <c:formatCode>0.00%</c:formatCode>
                <c:ptCount val="22"/>
                <c:pt idx="0">
                  <c:v>6.5269841269841269E-2</c:v>
                </c:pt>
                <c:pt idx="1">
                  <c:v>0.12589206349206347</c:v>
                </c:pt>
                <c:pt idx="2">
                  <c:v>0.18631111111111112</c:v>
                </c:pt>
                <c:pt idx="3">
                  <c:v>0.24683174603174604</c:v>
                </c:pt>
                <c:pt idx="4">
                  <c:v>0.31197460317460318</c:v>
                </c:pt>
                <c:pt idx="5">
                  <c:v>0.37711746031746035</c:v>
                </c:pt>
                <c:pt idx="6">
                  <c:v>0.44901587301587303</c:v>
                </c:pt>
                <c:pt idx="7">
                  <c:v>0.52228571428571435</c:v>
                </c:pt>
                <c:pt idx="8">
                  <c:v>0.59865396825396833</c:v>
                </c:pt>
                <c:pt idx="9">
                  <c:v>0.67126349206349212</c:v>
                </c:pt>
                <c:pt idx="10">
                  <c:v>0.73457777777777777</c:v>
                </c:pt>
                <c:pt idx="11">
                  <c:v>0.794615873015873</c:v>
                </c:pt>
                <c:pt idx="12">
                  <c:v>0.8477460317460318</c:v>
                </c:pt>
                <c:pt idx="13">
                  <c:v>0.8899555555555555</c:v>
                </c:pt>
                <c:pt idx="14">
                  <c:v>0.92655238095238091</c:v>
                </c:pt>
                <c:pt idx="15">
                  <c:v>0.95530158730158721</c:v>
                </c:pt>
                <c:pt idx="16">
                  <c:v>0.97577142857142851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</c:numCache>
            </c:numRef>
          </c:xVal>
          <c:yVal>
            <c:numRef>
              <c:f>Data!$X$3:$X$24</c:f>
              <c:numCache>
                <c:formatCode>General</c:formatCode>
                <c:ptCount val="22"/>
                <c:pt idx="0">
                  <c:v>20</c:v>
                </c:pt>
                <c:pt idx="1">
                  <c:v>15</c:v>
                </c:pt>
                <c:pt idx="2">
                  <c:v>12.5</c:v>
                </c:pt>
                <c:pt idx="3">
                  <c:v>12.5</c:v>
                </c:pt>
                <c:pt idx="4">
                  <c:v>12.5</c:v>
                </c:pt>
                <c:pt idx="5">
                  <c:v>12.5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22.5</c:v>
                </c:pt>
                <c:pt idx="16">
                  <c:v>25</c:v>
                </c:pt>
                <c:pt idx="17">
                  <c:v>27.5</c:v>
                </c:pt>
                <c:pt idx="18">
                  <c:v>30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</c:numCache>
            </c:numRef>
          </c:yVal>
        </c:ser>
        <c:ser>
          <c:idx val="5"/>
          <c:order val="5"/>
          <c:tx>
            <c:strRef>
              <c:f>Data!$AB$1</c:f>
              <c:strCache>
                <c:ptCount val="1"/>
                <c:pt idx="0">
                  <c:v>2073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Data!$AD$3:$AD$64</c:f>
              <c:numCache>
                <c:formatCode>0.00%</c:formatCode>
                <c:ptCount val="62"/>
                <c:pt idx="0">
                  <c:v>4.8293877551020409E-2</c:v>
                </c:pt>
                <c:pt idx="1">
                  <c:v>8.3918367346938777E-2</c:v>
                </c:pt>
                <c:pt idx="2">
                  <c:v>0.11859591836734695</c:v>
                </c:pt>
                <c:pt idx="3">
                  <c:v>0.15311020408163264</c:v>
                </c:pt>
                <c:pt idx="4">
                  <c:v>0.19417142857142858</c:v>
                </c:pt>
                <c:pt idx="5">
                  <c:v>0.23523265306122451</c:v>
                </c:pt>
                <c:pt idx="6">
                  <c:v>0.27631020408163265</c:v>
                </c:pt>
                <c:pt idx="7">
                  <c:v>0.31737142857142858</c:v>
                </c:pt>
                <c:pt idx="8">
                  <c:v>0.35844897959183675</c:v>
                </c:pt>
                <c:pt idx="9">
                  <c:v>0.37897142857142857</c:v>
                </c:pt>
                <c:pt idx="10">
                  <c:v>0.40208979591836735</c:v>
                </c:pt>
                <c:pt idx="11">
                  <c:v>0.425730612244898</c:v>
                </c:pt>
                <c:pt idx="12">
                  <c:v>0.44961632653061223</c:v>
                </c:pt>
                <c:pt idx="13">
                  <c:v>0.47364897959183672</c:v>
                </c:pt>
                <c:pt idx="14">
                  <c:v>0.49776326530612242</c:v>
                </c:pt>
                <c:pt idx="15">
                  <c:v>0.52228571428571424</c:v>
                </c:pt>
                <c:pt idx="16">
                  <c:v>0.54672653061224485</c:v>
                </c:pt>
                <c:pt idx="17">
                  <c:v>0.57098775510204081</c:v>
                </c:pt>
                <c:pt idx="18">
                  <c:v>0.59493877551020413</c:v>
                </c:pt>
                <c:pt idx="19">
                  <c:v>0.61854693877551026</c:v>
                </c:pt>
                <c:pt idx="20">
                  <c:v>0.64169795918367345</c:v>
                </c:pt>
                <c:pt idx="21">
                  <c:v>0.66419591836734693</c:v>
                </c:pt>
                <c:pt idx="22">
                  <c:v>0.68618775510204078</c:v>
                </c:pt>
                <c:pt idx="23">
                  <c:v>0.70584489795918359</c:v>
                </c:pt>
                <c:pt idx="24">
                  <c:v>0.72476734693877543</c:v>
                </c:pt>
                <c:pt idx="25">
                  <c:v>0.7431183673469387</c:v>
                </c:pt>
                <c:pt idx="26">
                  <c:v>0.7607346938775511</c:v>
                </c:pt>
                <c:pt idx="27">
                  <c:v>0.77746938775510199</c:v>
                </c:pt>
                <c:pt idx="28">
                  <c:v>0.79363265306122444</c:v>
                </c:pt>
                <c:pt idx="29">
                  <c:v>0.80907755102040813</c:v>
                </c:pt>
                <c:pt idx="30">
                  <c:v>0.82362448979591829</c:v>
                </c:pt>
                <c:pt idx="31">
                  <c:v>0.83766530612244894</c:v>
                </c:pt>
                <c:pt idx="32">
                  <c:v>0.85105306122448976</c:v>
                </c:pt>
                <c:pt idx="33">
                  <c:v>0.86354285714285717</c:v>
                </c:pt>
                <c:pt idx="34">
                  <c:v>0.87560816326530611</c:v>
                </c:pt>
                <c:pt idx="35">
                  <c:v>0.88682448979591832</c:v>
                </c:pt>
                <c:pt idx="36">
                  <c:v>0.89764897959183676</c:v>
                </c:pt>
                <c:pt idx="37">
                  <c:v>0.90762448979591837</c:v>
                </c:pt>
                <c:pt idx="38">
                  <c:v>0.917273469387755</c:v>
                </c:pt>
                <c:pt idx="39">
                  <c:v>0.92607346938775514</c:v>
                </c:pt>
                <c:pt idx="40">
                  <c:v>0.93459591836734701</c:v>
                </c:pt>
                <c:pt idx="41">
                  <c:v>0.94226938775510205</c:v>
                </c:pt>
                <c:pt idx="42">
                  <c:v>0.94973061224489796</c:v>
                </c:pt>
                <c:pt idx="43">
                  <c:v>0.95666938775510213</c:v>
                </c:pt>
                <c:pt idx="44">
                  <c:v>0.96274285714285712</c:v>
                </c:pt>
                <c:pt idx="45">
                  <c:v>0.96866938775510203</c:v>
                </c:pt>
                <c:pt idx="46">
                  <c:v>0.97408979591836742</c:v>
                </c:pt>
                <c:pt idx="47">
                  <c:v>0.97866122448979587</c:v>
                </c:pt>
                <c:pt idx="48">
                  <c:v>0.98310204081632646</c:v>
                </c:pt>
                <c:pt idx="49">
                  <c:v>0.98708571428571423</c:v>
                </c:pt>
                <c:pt idx="50">
                  <c:v>0.99018775510204082</c:v>
                </c:pt>
                <c:pt idx="51">
                  <c:v>0.99322448979591837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</c:numCache>
            </c:numRef>
          </c:xVal>
          <c:yVal>
            <c:numRef>
              <c:f>Data!$AC$3:$AC$64</c:f>
              <c:numCache>
                <c:formatCode>General</c:formatCode>
                <c:ptCount val="62"/>
                <c:pt idx="0">
                  <c:v>20</c:v>
                </c:pt>
                <c:pt idx="1">
                  <c:v>17.5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17.5</c:v>
                </c:pt>
                <c:pt idx="13">
                  <c:v>17.5</c:v>
                </c:pt>
                <c:pt idx="14">
                  <c:v>17.5</c:v>
                </c:pt>
                <c:pt idx="15">
                  <c:v>17.5</c:v>
                </c:pt>
                <c:pt idx="16">
                  <c:v>17.5</c:v>
                </c:pt>
                <c:pt idx="17">
                  <c:v>17.5</c:v>
                </c:pt>
                <c:pt idx="18">
                  <c:v>18</c:v>
                </c:pt>
                <c:pt idx="19">
                  <c:v>18</c:v>
                </c:pt>
                <c:pt idx="20">
                  <c:v>18</c:v>
                </c:pt>
                <c:pt idx="21">
                  <c:v>19</c:v>
                </c:pt>
                <c:pt idx="22">
                  <c:v>19</c:v>
                </c:pt>
                <c:pt idx="23">
                  <c:v>19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21</c:v>
                </c:pt>
                <c:pt idx="28">
                  <c:v>21</c:v>
                </c:pt>
                <c:pt idx="29">
                  <c:v>21</c:v>
                </c:pt>
                <c:pt idx="30">
                  <c:v>22</c:v>
                </c:pt>
                <c:pt idx="31">
                  <c:v>22</c:v>
                </c:pt>
                <c:pt idx="32">
                  <c:v>22</c:v>
                </c:pt>
                <c:pt idx="33">
                  <c:v>23</c:v>
                </c:pt>
                <c:pt idx="34">
                  <c:v>23</c:v>
                </c:pt>
                <c:pt idx="35">
                  <c:v>24</c:v>
                </c:pt>
                <c:pt idx="36">
                  <c:v>24</c:v>
                </c:pt>
                <c:pt idx="37">
                  <c:v>25</c:v>
                </c:pt>
                <c:pt idx="38">
                  <c:v>25</c:v>
                </c:pt>
                <c:pt idx="39">
                  <c:v>26</c:v>
                </c:pt>
                <c:pt idx="40">
                  <c:v>26</c:v>
                </c:pt>
                <c:pt idx="41">
                  <c:v>27</c:v>
                </c:pt>
                <c:pt idx="42">
                  <c:v>27</c:v>
                </c:pt>
                <c:pt idx="43">
                  <c:v>27</c:v>
                </c:pt>
                <c:pt idx="44">
                  <c:v>28</c:v>
                </c:pt>
                <c:pt idx="45">
                  <c:v>28</c:v>
                </c:pt>
                <c:pt idx="46">
                  <c:v>28</c:v>
                </c:pt>
                <c:pt idx="47">
                  <c:v>29</c:v>
                </c:pt>
                <c:pt idx="48">
                  <c:v>29</c:v>
                </c:pt>
                <c:pt idx="49">
                  <c:v>29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  <c:pt idx="56">
                  <c:v>35</c:v>
                </c:pt>
                <c:pt idx="57">
                  <c:v>35</c:v>
                </c:pt>
                <c:pt idx="58">
                  <c:v>35</c:v>
                </c:pt>
                <c:pt idx="59">
                  <c:v>35</c:v>
                </c:pt>
                <c:pt idx="60">
                  <c:v>35</c:v>
                </c:pt>
                <c:pt idx="61">
                  <c:v>35</c:v>
                </c:pt>
              </c:numCache>
            </c:numRef>
          </c:yVal>
        </c:ser>
        <c:ser>
          <c:idx val="6"/>
          <c:order val="6"/>
          <c:tx>
            <c:strRef>
              <c:f>Data!$AG$1</c:f>
              <c:strCache>
                <c:ptCount val="1"/>
                <c:pt idx="0">
                  <c:v>2079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diamond"/>
            <c:size val="4"/>
            <c:spPr>
              <a:solidFill>
                <a:srgbClr val="FF0000"/>
              </a:solidFill>
            </c:spPr>
          </c:marker>
          <c:xVal>
            <c:numRef>
              <c:f>Data!$AI$3:$AI$22</c:f>
              <c:numCache>
                <c:formatCode>0.00%</c:formatCode>
                <c:ptCount val="20"/>
                <c:pt idx="0">
                  <c:v>8.205714285714287E-2</c:v>
                </c:pt>
                <c:pt idx="1">
                  <c:v>0.1789061224489796</c:v>
                </c:pt>
                <c:pt idx="2">
                  <c:v>0.27575510204081632</c:v>
                </c:pt>
                <c:pt idx="3">
                  <c:v>0.37596734693877548</c:v>
                </c:pt>
                <c:pt idx="4">
                  <c:v>0.47849795918367349</c:v>
                </c:pt>
                <c:pt idx="5">
                  <c:v>0.54684081632653059</c:v>
                </c:pt>
                <c:pt idx="6">
                  <c:v>0.61648979591836728</c:v>
                </c:pt>
                <c:pt idx="7">
                  <c:v>0.68137142857142852</c:v>
                </c:pt>
                <c:pt idx="8">
                  <c:v>0.74687346938775512</c:v>
                </c:pt>
                <c:pt idx="9">
                  <c:v>0.80597551020408165</c:v>
                </c:pt>
                <c:pt idx="10">
                  <c:v>0.85900408163265307</c:v>
                </c:pt>
                <c:pt idx="11">
                  <c:v>0.90390204081632664</c:v>
                </c:pt>
                <c:pt idx="12">
                  <c:v>0.93991836734693868</c:v>
                </c:pt>
                <c:pt idx="13">
                  <c:v>0.96597551020408157</c:v>
                </c:pt>
                <c:pt idx="14">
                  <c:v>0.98324897959183677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xVal>
          <c:yVal>
            <c:numRef>
              <c:f>Data!$AH$3:$AH$22</c:f>
              <c:numCache>
                <c:formatCode>General</c:formatCode>
                <c:ptCount val="20"/>
                <c:pt idx="0">
                  <c:v>20</c:v>
                </c:pt>
                <c:pt idx="1">
                  <c:v>17.5</c:v>
                </c:pt>
                <c:pt idx="2">
                  <c:v>17.5</c:v>
                </c:pt>
                <c:pt idx="3">
                  <c:v>17.5</c:v>
                </c:pt>
                <c:pt idx="4">
                  <c:v>17.5</c:v>
                </c:pt>
                <c:pt idx="5">
                  <c:v>17.5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21</c:v>
                </c:pt>
                <c:pt idx="10">
                  <c:v>22</c:v>
                </c:pt>
                <c:pt idx="11">
                  <c:v>23</c:v>
                </c:pt>
                <c:pt idx="12">
                  <c:v>24</c:v>
                </c:pt>
                <c:pt idx="13">
                  <c:v>25</c:v>
                </c:pt>
                <c:pt idx="14">
                  <c:v>26</c:v>
                </c:pt>
                <c:pt idx="15">
                  <c:v>27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</c:numCache>
            </c:numRef>
          </c:yVal>
        </c:ser>
        <c:axId val="85689088"/>
        <c:axId val="85691776"/>
      </c:scatterChart>
      <c:valAx>
        <c:axId val="85689088"/>
        <c:scaling>
          <c:orientation val="minMax"/>
          <c:max val="1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/>
                  <a:t>Percentage of Radius</a:t>
                </a:r>
              </a:p>
            </c:rich>
          </c:tx>
          <c:layout/>
        </c:title>
        <c:numFmt formatCode="0%" sourceLinked="0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85691776"/>
        <c:crosses val="autoZero"/>
        <c:crossBetween val="midCat"/>
        <c:majorUnit val="0.1"/>
      </c:valAx>
      <c:valAx>
        <c:axId val="85691776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800"/>
                  <a:t>Backrake Angle</a:t>
                </a:r>
              </a:p>
            </c:rich>
          </c:tx>
          <c:layout>
            <c:manualLayout>
              <c:xMode val="edge"/>
              <c:yMode val="edge"/>
              <c:x val="1.6528059017786045E-2"/>
              <c:y val="0.37917397626805976"/>
            </c:manualLayout>
          </c:layout>
        </c:title>
        <c:numFmt formatCode="0\°" sourceLinked="0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85689088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80495609006937163"/>
          <c:y val="0.1408410846736497"/>
          <c:w val="7.3580490631092413E-2"/>
          <c:h val="0.2552882024899466"/>
        </c:manualLayout>
      </c:layout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b="1"/>
          </a:pPr>
          <a:endParaRPr lang="en-US"/>
        </a:p>
      </c:txPr>
    </c:legend>
    <c:plotVisOnly val="1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strRef>
              <c:f>Data!$B$1</c:f>
              <c:strCache>
                <c:ptCount val="1"/>
                <c:pt idx="0">
                  <c:v>1992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Data!$B$3:$B$22</c:f>
              <c:numCache>
                <c:formatCode>0.0000</c:formatCode>
                <c:ptCount val="20"/>
                <c:pt idx="0">
                  <c:v>0.29320000000000002</c:v>
                </c:pt>
                <c:pt idx="1">
                  <c:v>0.5272</c:v>
                </c:pt>
                <c:pt idx="2">
                  <c:v>0.77510000000000001</c:v>
                </c:pt>
                <c:pt idx="3">
                  <c:v>1.0228999999999999</c:v>
                </c:pt>
                <c:pt idx="4">
                  <c:v>1.2706999999999999</c:v>
                </c:pt>
                <c:pt idx="5">
                  <c:v>1.5185</c:v>
                </c:pt>
                <c:pt idx="6">
                  <c:v>1.7759</c:v>
                </c:pt>
                <c:pt idx="7">
                  <c:v>2.0263</c:v>
                </c:pt>
                <c:pt idx="8">
                  <c:v>2.3069000000000002</c:v>
                </c:pt>
                <c:pt idx="9">
                  <c:v>2.5933000000000002</c:v>
                </c:pt>
                <c:pt idx="10">
                  <c:v>2.8996</c:v>
                </c:pt>
                <c:pt idx="11">
                  <c:v>3.1829000000000001</c:v>
                </c:pt>
                <c:pt idx="12">
                  <c:v>3.4167000000000001</c:v>
                </c:pt>
                <c:pt idx="13">
                  <c:v>3.6326000000000001</c:v>
                </c:pt>
                <c:pt idx="14">
                  <c:v>3.8081</c:v>
                </c:pt>
                <c:pt idx="15">
                  <c:v>3.9375</c:v>
                </c:pt>
                <c:pt idx="16">
                  <c:v>3.9375</c:v>
                </c:pt>
                <c:pt idx="17">
                  <c:v>3.9375</c:v>
                </c:pt>
                <c:pt idx="18">
                  <c:v>3.9375</c:v>
                </c:pt>
                <c:pt idx="19">
                  <c:v>3.9375</c:v>
                </c:pt>
              </c:numCache>
            </c:numRef>
          </c:xVal>
          <c:yVal>
            <c:numRef>
              <c:f>Data!$C$3:$C$22</c:f>
              <c:numCache>
                <c:formatCode>0.0\°</c:formatCode>
                <c:ptCount val="20"/>
                <c:pt idx="0">
                  <c:v>20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17.5</c:v>
                </c:pt>
                <c:pt idx="10">
                  <c:v>17.5</c:v>
                </c:pt>
                <c:pt idx="11">
                  <c:v>17.5</c:v>
                </c:pt>
                <c:pt idx="12">
                  <c:v>20</c:v>
                </c:pt>
                <c:pt idx="13">
                  <c:v>22.5</c:v>
                </c:pt>
                <c:pt idx="14">
                  <c:v>22.5</c:v>
                </c:pt>
                <c:pt idx="15">
                  <c:v>22.5</c:v>
                </c:pt>
                <c:pt idx="16">
                  <c:v>22.5</c:v>
                </c:pt>
                <c:pt idx="17">
                  <c:v>27.5</c:v>
                </c:pt>
                <c:pt idx="18">
                  <c:v>27.5</c:v>
                </c:pt>
                <c:pt idx="19">
                  <c:v>27.5</c:v>
                </c:pt>
              </c:numCache>
            </c:numRef>
          </c:yVal>
        </c:ser>
        <c:ser>
          <c:idx val="1"/>
          <c:order val="1"/>
          <c:tx>
            <c:strRef>
              <c:f>Data!$G$1</c:f>
              <c:strCache>
                <c:ptCount val="1"/>
                <c:pt idx="0">
                  <c:v>2031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Data!$G$3:$G$22</c:f>
              <c:numCache>
                <c:formatCode>0.0000</c:formatCode>
                <c:ptCount val="20"/>
                <c:pt idx="0">
                  <c:v>0.30020000000000002</c:v>
                </c:pt>
                <c:pt idx="1">
                  <c:v>0.55169999999999997</c:v>
                </c:pt>
                <c:pt idx="2">
                  <c:v>0.79079999999999995</c:v>
                </c:pt>
                <c:pt idx="3">
                  <c:v>1.0299</c:v>
                </c:pt>
                <c:pt idx="4">
                  <c:v>1.2808999999999999</c:v>
                </c:pt>
                <c:pt idx="5">
                  <c:v>1.5319</c:v>
                </c:pt>
                <c:pt idx="6">
                  <c:v>1.7828999999999999</c:v>
                </c:pt>
                <c:pt idx="7">
                  <c:v>2.0352999999999999</c:v>
                </c:pt>
                <c:pt idx="8">
                  <c:v>2.2940999999999998</c:v>
                </c:pt>
                <c:pt idx="9">
                  <c:v>2.5924</c:v>
                </c:pt>
                <c:pt idx="10">
                  <c:v>2.8809</c:v>
                </c:pt>
                <c:pt idx="11">
                  <c:v>3.1490999999999998</c:v>
                </c:pt>
                <c:pt idx="12">
                  <c:v>3.3875000000000002</c:v>
                </c:pt>
                <c:pt idx="13">
                  <c:v>3.5846</c:v>
                </c:pt>
                <c:pt idx="14">
                  <c:v>3.7322000000000002</c:v>
                </c:pt>
                <c:pt idx="15">
                  <c:v>3.8370000000000002</c:v>
                </c:pt>
                <c:pt idx="16">
                  <c:v>3.9285999999999999</c:v>
                </c:pt>
                <c:pt idx="17">
                  <c:v>3.9375</c:v>
                </c:pt>
                <c:pt idx="18">
                  <c:v>3.9375</c:v>
                </c:pt>
                <c:pt idx="19">
                  <c:v>3.9375</c:v>
                </c:pt>
              </c:numCache>
            </c:numRef>
          </c:xVal>
          <c:yVal>
            <c:numRef>
              <c:f>Data!$H$3:$H$22</c:f>
              <c:numCache>
                <c:formatCode>0.0\°</c:formatCode>
                <c:ptCount val="20"/>
                <c:pt idx="0">
                  <c:v>20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27.5</c:v>
                </c:pt>
                <c:pt idx="18">
                  <c:v>27.5</c:v>
                </c:pt>
                <c:pt idx="19">
                  <c:v>27.5</c:v>
                </c:pt>
              </c:numCache>
            </c:numRef>
          </c:yVal>
        </c:ser>
        <c:ser>
          <c:idx val="2"/>
          <c:order val="2"/>
          <c:tx>
            <c:strRef>
              <c:f>Data!$W$1</c:f>
              <c:strCache>
                <c:ptCount val="1"/>
                <c:pt idx="0">
                  <c:v>2072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Data!$W$3:$W$24</c:f>
              <c:numCache>
                <c:formatCode>General</c:formatCode>
                <c:ptCount val="22"/>
                <c:pt idx="0">
                  <c:v>0.25700000000000001</c:v>
                </c:pt>
                <c:pt idx="1">
                  <c:v>0.49569999999999997</c:v>
                </c:pt>
                <c:pt idx="2">
                  <c:v>0.73360000000000003</c:v>
                </c:pt>
                <c:pt idx="3">
                  <c:v>0.97189999999999999</c:v>
                </c:pt>
                <c:pt idx="4">
                  <c:v>1.2283999999999999</c:v>
                </c:pt>
                <c:pt idx="5">
                  <c:v>1.4849000000000001</c:v>
                </c:pt>
                <c:pt idx="6">
                  <c:v>1.768</c:v>
                </c:pt>
                <c:pt idx="7">
                  <c:v>2.0565000000000002</c:v>
                </c:pt>
                <c:pt idx="8">
                  <c:v>2.3572000000000002</c:v>
                </c:pt>
                <c:pt idx="9">
                  <c:v>2.6431</c:v>
                </c:pt>
                <c:pt idx="10">
                  <c:v>2.8923999999999999</c:v>
                </c:pt>
                <c:pt idx="11">
                  <c:v>3.1288</c:v>
                </c:pt>
                <c:pt idx="12">
                  <c:v>3.3380000000000001</c:v>
                </c:pt>
                <c:pt idx="13">
                  <c:v>3.5042</c:v>
                </c:pt>
                <c:pt idx="14">
                  <c:v>3.6482999999999999</c:v>
                </c:pt>
                <c:pt idx="15">
                  <c:v>3.7614999999999998</c:v>
                </c:pt>
                <c:pt idx="16">
                  <c:v>3.8420999999999998</c:v>
                </c:pt>
                <c:pt idx="17" formatCode="0.0000">
                  <c:v>3.9375</c:v>
                </c:pt>
                <c:pt idx="18" formatCode="0.0000">
                  <c:v>3.9375</c:v>
                </c:pt>
                <c:pt idx="19" formatCode="0.0000">
                  <c:v>3.9375</c:v>
                </c:pt>
                <c:pt idx="20" formatCode="0.0000">
                  <c:v>3.9375</c:v>
                </c:pt>
                <c:pt idx="21" formatCode="0.0000">
                  <c:v>3.9375</c:v>
                </c:pt>
              </c:numCache>
            </c:numRef>
          </c:xVal>
          <c:yVal>
            <c:numRef>
              <c:f>Data!$X$3:$X$24</c:f>
              <c:numCache>
                <c:formatCode>General</c:formatCode>
                <c:ptCount val="22"/>
                <c:pt idx="0">
                  <c:v>20</c:v>
                </c:pt>
                <c:pt idx="1">
                  <c:v>15</c:v>
                </c:pt>
                <c:pt idx="2">
                  <c:v>12.5</c:v>
                </c:pt>
                <c:pt idx="3">
                  <c:v>12.5</c:v>
                </c:pt>
                <c:pt idx="4">
                  <c:v>12.5</c:v>
                </c:pt>
                <c:pt idx="5">
                  <c:v>12.5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22.5</c:v>
                </c:pt>
                <c:pt idx="16">
                  <c:v>25</c:v>
                </c:pt>
                <c:pt idx="17">
                  <c:v>27.5</c:v>
                </c:pt>
                <c:pt idx="18">
                  <c:v>30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</c:numCache>
            </c:numRef>
          </c:yVal>
        </c:ser>
        <c:axId val="86045056"/>
        <c:axId val="86046976"/>
      </c:scatterChart>
      <c:valAx>
        <c:axId val="86045056"/>
        <c:scaling>
          <c:orientation val="minMax"/>
          <c:max val="4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/>
                  <a:t>Radius</a:t>
                </a:r>
              </a:p>
            </c:rich>
          </c:tx>
          <c:layout/>
        </c:title>
        <c:numFmt formatCode="0.0000" sourceLinked="1"/>
        <c:tickLblPos val="nextTo"/>
        <c:crossAx val="86046976"/>
        <c:crosses val="autoZero"/>
        <c:crossBetween val="midCat"/>
      </c:valAx>
      <c:valAx>
        <c:axId val="86046976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800"/>
                  <a:t>Backrake Angle</a:t>
                </a:r>
              </a:p>
            </c:rich>
          </c:tx>
          <c:layout/>
        </c:title>
        <c:numFmt formatCode="0.0\°" sourceLinked="1"/>
        <c:tickLblPos val="nextTo"/>
        <c:crossAx val="86045056"/>
        <c:crosses val="autoZero"/>
        <c:crossBetween val="midCat"/>
      </c:valAx>
    </c:plotArea>
    <c:legend>
      <c:legendPos val="r"/>
      <c:layout/>
    </c:legend>
    <c:plotVisOnly val="1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strRef>
              <c:f>Data!$L$1</c:f>
              <c:strCache>
                <c:ptCount val="1"/>
                <c:pt idx="0">
                  <c:v>2058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Data!$L$3:$L$56</c:f>
              <c:numCache>
                <c:formatCode>0.0000</c:formatCode>
                <c:ptCount val="54"/>
                <c:pt idx="0">
                  <c:v>0.29580000000000001</c:v>
                </c:pt>
                <c:pt idx="1">
                  <c:v>0.53990000000000005</c:v>
                </c:pt>
                <c:pt idx="2">
                  <c:v>0.77890000000000004</c:v>
                </c:pt>
                <c:pt idx="3">
                  <c:v>1.0159</c:v>
                </c:pt>
                <c:pt idx="4">
                  <c:v>1.2674000000000001</c:v>
                </c:pt>
                <c:pt idx="5">
                  <c:v>1.5189999999999999</c:v>
                </c:pt>
                <c:pt idx="6">
                  <c:v>1.7705</c:v>
                </c:pt>
                <c:pt idx="7">
                  <c:v>2.0221</c:v>
                </c:pt>
                <c:pt idx="8">
                  <c:v>2.2736000000000001</c:v>
                </c:pt>
                <c:pt idx="9">
                  <c:v>2.5251000000000001</c:v>
                </c:pt>
                <c:pt idx="10">
                  <c:v>2.6509</c:v>
                </c:pt>
                <c:pt idx="11">
                  <c:v>2.7766999999999999</c:v>
                </c:pt>
                <c:pt idx="12">
                  <c:v>2.9024999999999999</c:v>
                </c:pt>
                <c:pt idx="13">
                  <c:v>3.0282</c:v>
                </c:pt>
                <c:pt idx="14">
                  <c:v>3.1539999999999999</c:v>
                </c:pt>
                <c:pt idx="15">
                  <c:v>3.2808000000000002</c:v>
                </c:pt>
                <c:pt idx="16">
                  <c:v>3.4096000000000002</c:v>
                </c:pt>
                <c:pt idx="17">
                  <c:v>3.5400999999999998</c:v>
                </c:pt>
                <c:pt idx="18">
                  <c:v>3.6715</c:v>
                </c:pt>
                <c:pt idx="19">
                  <c:v>3.8098000000000001</c:v>
                </c:pt>
                <c:pt idx="20">
                  <c:v>3.9538000000000002</c:v>
                </c:pt>
                <c:pt idx="21">
                  <c:v>4.0966199999999997</c:v>
                </c:pt>
                <c:pt idx="22">
                  <c:v>4.2374000000000001</c:v>
                </c:pt>
                <c:pt idx="23">
                  <c:v>4.3769999999999998</c:v>
                </c:pt>
                <c:pt idx="24">
                  <c:v>4.5134999999999996</c:v>
                </c:pt>
                <c:pt idx="25">
                  <c:v>4.6482999999999999</c:v>
                </c:pt>
                <c:pt idx="26">
                  <c:v>4.7779999999999996</c:v>
                </c:pt>
                <c:pt idx="27">
                  <c:v>4.9001000000000001</c:v>
                </c:pt>
                <c:pt idx="28">
                  <c:v>5.0237999999999996</c:v>
                </c:pt>
                <c:pt idx="29">
                  <c:v>5.1398000000000001</c:v>
                </c:pt>
                <c:pt idx="30">
                  <c:v>5.2504999999999997</c:v>
                </c:pt>
                <c:pt idx="31">
                  <c:v>5.3551000000000002</c:v>
                </c:pt>
                <c:pt idx="32">
                  <c:v>5.4527999999999999</c:v>
                </c:pt>
                <c:pt idx="33">
                  <c:v>5.5411999999999999</c:v>
                </c:pt>
                <c:pt idx="34">
                  <c:v>5.6247999999999996</c:v>
                </c:pt>
                <c:pt idx="35">
                  <c:v>5.7012999999999998</c:v>
                </c:pt>
                <c:pt idx="36">
                  <c:v>5.7671000000000001</c:v>
                </c:pt>
                <c:pt idx="37">
                  <c:v>5.8278999999999996</c:v>
                </c:pt>
                <c:pt idx="38">
                  <c:v>5.8800999999999997</c:v>
                </c:pt>
                <c:pt idx="39">
                  <c:v>5.9203000000000001</c:v>
                </c:pt>
                <c:pt idx="40">
                  <c:v>5.9610000000000003</c:v>
                </c:pt>
                <c:pt idx="41">
                  <c:v>5.9996</c:v>
                </c:pt>
                <c:pt idx="42">
                  <c:v>6.0313999999999997</c:v>
                </c:pt>
                <c:pt idx="43">
                  <c:v>6.0659000000000001</c:v>
                </c:pt>
                <c:pt idx="44">
                  <c:v>6.0956000000000001</c:v>
                </c:pt>
                <c:pt idx="45">
                  <c:v>6.125</c:v>
                </c:pt>
                <c:pt idx="46">
                  <c:v>6.125</c:v>
                </c:pt>
                <c:pt idx="47">
                  <c:v>6.125</c:v>
                </c:pt>
                <c:pt idx="48">
                  <c:v>6.125</c:v>
                </c:pt>
                <c:pt idx="49">
                  <c:v>6.125</c:v>
                </c:pt>
                <c:pt idx="50">
                  <c:v>6.125</c:v>
                </c:pt>
                <c:pt idx="51">
                  <c:v>6.125</c:v>
                </c:pt>
                <c:pt idx="52">
                  <c:v>6.125</c:v>
                </c:pt>
                <c:pt idx="53">
                  <c:v>6.125</c:v>
                </c:pt>
              </c:numCache>
            </c:numRef>
          </c:xVal>
          <c:yVal>
            <c:numRef>
              <c:f>Data!$M$3:$M$56</c:f>
              <c:numCache>
                <c:formatCode>0.0\°</c:formatCode>
                <c:ptCount val="54"/>
                <c:pt idx="0">
                  <c:v>20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15</c:v>
                </c:pt>
                <c:pt idx="32">
                  <c:v>15</c:v>
                </c:pt>
                <c:pt idx="33">
                  <c:v>17.5</c:v>
                </c:pt>
                <c:pt idx="34">
                  <c:v>17.5</c:v>
                </c:pt>
                <c:pt idx="35">
                  <c:v>17.5</c:v>
                </c:pt>
                <c:pt idx="36">
                  <c:v>20</c:v>
                </c:pt>
                <c:pt idx="37">
                  <c:v>20</c:v>
                </c:pt>
                <c:pt idx="38">
                  <c:v>20</c:v>
                </c:pt>
                <c:pt idx="39">
                  <c:v>22.5</c:v>
                </c:pt>
                <c:pt idx="40">
                  <c:v>22.5</c:v>
                </c:pt>
                <c:pt idx="41">
                  <c:v>22.5</c:v>
                </c:pt>
                <c:pt idx="42">
                  <c:v>25</c:v>
                </c:pt>
                <c:pt idx="43">
                  <c:v>25</c:v>
                </c:pt>
                <c:pt idx="44">
                  <c:v>25</c:v>
                </c:pt>
                <c:pt idx="45">
                  <c:v>25</c:v>
                </c:pt>
                <c:pt idx="46">
                  <c:v>25</c:v>
                </c:pt>
                <c:pt idx="47">
                  <c:v>25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30</c:v>
                </c:pt>
              </c:numCache>
            </c:numRef>
          </c:yVal>
        </c:ser>
        <c:ser>
          <c:idx val="1"/>
          <c:order val="1"/>
          <c:tx>
            <c:strRef>
              <c:f>Data!$Q$1</c:f>
              <c:strCache>
                <c:ptCount val="1"/>
                <c:pt idx="0">
                  <c:v>2064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Data!$Q$3:$Q$56</c:f>
              <c:numCache>
                <c:formatCode>0.0000</c:formatCode>
                <c:ptCount val="54"/>
                <c:pt idx="0">
                  <c:v>0.29580000000000001</c:v>
                </c:pt>
                <c:pt idx="1">
                  <c:v>0.53469999999999995</c:v>
                </c:pt>
                <c:pt idx="2">
                  <c:v>0.7631</c:v>
                </c:pt>
                <c:pt idx="3">
                  <c:v>0.98960000000000004</c:v>
                </c:pt>
                <c:pt idx="4">
                  <c:v>1.2305999999999999</c:v>
                </c:pt>
                <c:pt idx="5">
                  <c:v>1.4717</c:v>
                </c:pt>
                <c:pt idx="6">
                  <c:v>1.7129000000000001</c:v>
                </c:pt>
                <c:pt idx="7">
                  <c:v>1.9541999999999999</c:v>
                </c:pt>
                <c:pt idx="8">
                  <c:v>2.1957</c:v>
                </c:pt>
                <c:pt idx="9">
                  <c:v>2.4470000000000001</c:v>
                </c:pt>
                <c:pt idx="10">
                  <c:v>2.5728</c:v>
                </c:pt>
                <c:pt idx="11">
                  <c:v>2.6985999999999999</c:v>
                </c:pt>
                <c:pt idx="12">
                  <c:v>2.8246000000000002</c:v>
                </c:pt>
                <c:pt idx="13">
                  <c:v>2.9500999999999999</c:v>
                </c:pt>
                <c:pt idx="14">
                  <c:v>3.0912999999999999</c:v>
                </c:pt>
                <c:pt idx="15">
                  <c:v>3.234</c:v>
                </c:pt>
                <c:pt idx="16">
                  <c:v>3.3784000000000001</c:v>
                </c:pt>
                <c:pt idx="17">
                  <c:v>3.5238</c:v>
                </c:pt>
                <c:pt idx="18">
                  <c:v>3.6694</c:v>
                </c:pt>
                <c:pt idx="19">
                  <c:v>3.81</c:v>
                </c:pt>
                <c:pt idx="20">
                  <c:v>3.9607999999999999</c:v>
                </c:pt>
                <c:pt idx="21">
                  <c:v>4.0945999999999998</c:v>
                </c:pt>
                <c:pt idx="22">
                  <c:v>4.2350000000000003</c:v>
                </c:pt>
                <c:pt idx="23">
                  <c:v>4.3735999999999997</c:v>
                </c:pt>
                <c:pt idx="24">
                  <c:v>4.5098000000000003</c:v>
                </c:pt>
                <c:pt idx="25">
                  <c:v>4.6429999999999998</c:v>
                </c:pt>
                <c:pt idx="26">
                  <c:v>4.7725999999999997</c:v>
                </c:pt>
                <c:pt idx="27">
                  <c:v>4.8982999999999999</c:v>
                </c:pt>
                <c:pt idx="28">
                  <c:v>5.0197000000000003</c:v>
                </c:pt>
                <c:pt idx="29">
                  <c:v>5.1364000000000001</c:v>
                </c:pt>
                <c:pt idx="30">
                  <c:v>5.2478999999999996</c:v>
                </c:pt>
                <c:pt idx="31">
                  <c:v>5.3239000000000001</c:v>
                </c:pt>
                <c:pt idx="32">
                  <c:v>5.4541000000000004</c:v>
                </c:pt>
                <c:pt idx="33">
                  <c:v>5.5494000000000003</c:v>
                </c:pt>
                <c:pt idx="34">
                  <c:v>5.6368999999999998</c:v>
                </c:pt>
                <c:pt idx="35">
                  <c:v>5.7191000000000001</c:v>
                </c:pt>
                <c:pt idx="36">
                  <c:v>5.7927</c:v>
                </c:pt>
                <c:pt idx="37">
                  <c:v>5.8608000000000002</c:v>
                </c:pt>
                <c:pt idx="38">
                  <c:v>5.9196</c:v>
                </c:pt>
                <c:pt idx="39">
                  <c:v>5.9726999999999997</c:v>
                </c:pt>
                <c:pt idx="40">
                  <c:v>6.0159000000000002</c:v>
                </c:pt>
                <c:pt idx="41">
                  <c:v>6.0532000000000004</c:v>
                </c:pt>
                <c:pt idx="42">
                  <c:v>6.0800999999999998</c:v>
                </c:pt>
                <c:pt idx="43">
                  <c:v>6.1012000000000004</c:v>
                </c:pt>
                <c:pt idx="44">
                  <c:v>6.125</c:v>
                </c:pt>
                <c:pt idx="45">
                  <c:v>6.125</c:v>
                </c:pt>
                <c:pt idx="46">
                  <c:v>6.125</c:v>
                </c:pt>
                <c:pt idx="47">
                  <c:v>6.125</c:v>
                </c:pt>
                <c:pt idx="48">
                  <c:v>6.125</c:v>
                </c:pt>
                <c:pt idx="49">
                  <c:v>6.125</c:v>
                </c:pt>
                <c:pt idx="50">
                  <c:v>6.125</c:v>
                </c:pt>
                <c:pt idx="51">
                  <c:v>6.125</c:v>
                </c:pt>
                <c:pt idx="52">
                  <c:v>6.125</c:v>
                </c:pt>
                <c:pt idx="53">
                  <c:v>6.125</c:v>
                </c:pt>
              </c:numCache>
            </c:numRef>
          </c:xVal>
          <c:yVal>
            <c:numRef>
              <c:f>Data!$R$3:$R$56</c:f>
              <c:numCache>
                <c:formatCode>0.0\°</c:formatCode>
                <c:ptCount val="54"/>
                <c:pt idx="0">
                  <c:v>20</c:v>
                </c:pt>
                <c:pt idx="1">
                  <c:v>17.5</c:v>
                </c:pt>
                <c:pt idx="2">
                  <c:v>16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16</c:v>
                </c:pt>
                <c:pt idx="17">
                  <c:v>17.5</c:v>
                </c:pt>
                <c:pt idx="18">
                  <c:v>17.5</c:v>
                </c:pt>
                <c:pt idx="19">
                  <c:v>17.5</c:v>
                </c:pt>
                <c:pt idx="20">
                  <c:v>17.5</c:v>
                </c:pt>
                <c:pt idx="21">
                  <c:v>17.5</c:v>
                </c:pt>
                <c:pt idx="22">
                  <c:v>17.5</c:v>
                </c:pt>
                <c:pt idx="23">
                  <c:v>17.5</c:v>
                </c:pt>
                <c:pt idx="24">
                  <c:v>17.5</c:v>
                </c:pt>
                <c:pt idx="25">
                  <c:v>18</c:v>
                </c:pt>
                <c:pt idx="26">
                  <c:v>19</c:v>
                </c:pt>
                <c:pt idx="27">
                  <c:v>20</c:v>
                </c:pt>
                <c:pt idx="28">
                  <c:v>21</c:v>
                </c:pt>
                <c:pt idx="29">
                  <c:v>22</c:v>
                </c:pt>
                <c:pt idx="30">
                  <c:v>23</c:v>
                </c:pt>
                <c:pt idx="31">
                  <c:v>24</c:v>
                </c:pt>
                <c:pt idx="32">
                  <c:v>25</c:v>
                </c:pt>
                <c:pt idx="33">
                  <c:v>26</c:v>
                </c:pt>
                <c:pt idx="34">
                  <c:v>26</c:v>
                </c:pt>
                <c:pt idx="35">
                  <c:v>27</c:v>
                </c:pt>
                <c:pt idx="36">
                  <c:v>27</c:v>
                </c:pt>
                <c:pt idx="37">
                  <c:v>28</c:v>
                </c:pt>
                <c:pt idx="38">
                  <c:v>28</c:v>
                </c:pt>
                <c:pt idx="39">
                  <c:v>29</c:v>
                </c:pt>
                <c:pt idx="40">
                  <c:v>29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35</c:v>
                </c:pt>
                <c:pt idx="45">
                  <c:v>35</c:v>
                </c:pt>
                <c:pt idx="46">
                  <c:v>35</c:v>
                </c:pt>
                <c:pt idx="47">
                  <c:v>35</c:v>
                </c:pt>
                <c:pt idx="48">
                  <c:v>40</c:v>
                </c:pt>
                <c:pt idx="49">
                  <c:v>40</c:v>
                </c:pt>
                <c:pt idx="50">
                  <c:v>40</c:v>
                </c:pt>
                <c:pt idx="51">
                  <c:v>40</c:v>
                </c:pt>
                <c:pt idx="52">
                  <c:v>40</c:v>
                </c:pt>
                <c:pt idx="53">
                  <c:v>40</c:v>
                </c:pt>
              </c:numCache>
            </c:numRef>
          </c:yVal>
        </c:ser>
        <c:ser>
          <c:idx val="2"/>
          <c:order val="2"/>
          <c:tx>
            <c:strRef>
              <c:f>Data!$AB$1</c:f>
              <c:strCache>
                <c:ptCount val="1"/>
                <c:pt idx="0">
                  <c:v>2073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Data!$AB$3:$AB$64</c:f>
              <c:numCache>
                <c:formatCode>General</c:formatCode>
                <c:ptCount val="62"/>
                <c:pt idx="0">
                  <c:v>0.29580000000000001</c:v>
                </c:pt>
                <c:pt idx="1">
                  <c:v>0.51400000000000001</c:v>
                </c:pt>
                <c:pt idx="2">
                  <c:v>0.72640000000000005</c:v>
                </c:pt>
                <c:pt idx="3">
                  <c:v>0.93779999999999997</c:v>
                </c:pt>
                <c:pt idx="4">
                  <c:v>1.1893</c:v>
                </c:pt>
                <c:pt idx="5">
                  <c:v>1.4408000000000001</c:v>
                </c:pt>
                <c:pt idx="6">
                  <c:v>1.6923999999999999</c:v>
                </c:pt>
                <c:pt idx="7">
                  <c:v>1.9439</c:v>
                </c:pt>
                <c:pt idx="8">
                  <c:v>2.1955</c:v>
                </c:pt>
                <c:pt idx="9">
                  <c:v>2.3212000000000002</c:v>
                </c:pt>
                <c:pt idx="10">
                  <c:v>2.4628000000000001</c:v>
                </c:pt>
                <c:pt idx="11">
                  <c:v>2.6076000000000001</c:v>
                </c:pt>
                <c:pt idx="12">
                  <c:v>2.7538999999999998</c:v>
                </c:pt>
                <c:pt idx="13">
                  <c:v>2.9011</c:v>
                </c:pt>
                <c:pt idx="14">
                  <c:v>3.0488</c:v>
                </c:pt>
                <c:pt idx="15">
                  <c:v>3.1989999999999998</c:v>
                </c:pt>
                <c:pt idx="16">
                  <c:v>3.3487</c:v>
                </c:pt>
                <c:pt idx="17">
                  <c:v>3.4973000000000001</c:v>
                </c:pt>
                <c:pt idx="18">
                  <c:v>3.6440000000000001</c:v>
                </c:pt>
                <c:pt idx="19">
                  <c:v>3.7886000000000002</c:v>
                </c:pt>
                <c:pt idx="20">
                  <c:v>3.9304000000000001</c:v>
                </c:pt>
                <c:pt idx="21">
                  <c:v>4.0682</c:v>
                </c:pt>
                <c:pt idx="22">
                  <c:v>4.2028999999999996</c:v>
                </c:pt>
                <c:pt idx="23">
                  <c:v>4.3232999999999997</c:v>
                </c:pt>
                <c:pt idx="24">
                  <c:v>4.4391999999999996</c:v>
                </c:pt>
                <c:pt idx="25">
                  <c:v>4.5515999999999996</c:v>
                </c:pt>
                <c:pt idx="26">
                  <c:v>4.6595000000000004</c:v>
                </c:pt>
                <c:pt idx="27">
                  <c:v>4.7619999999999996</c:v>
                </c:pt>
                <c:pt idx="28">
                  <c:v>4.8609999999999998</c:v>
                </c:pt>
                <c:pt idx="29">
                  <c:v>4.9555999999999996</c:v>
                </c:pt>
                <c:pt idx="30">
                  <c:v>5.0446999999999997</c:v>
                </c:pt>
                <c:pt idx="31">
                  <c:v>5.1307</c:v>
                </c:pt>
                <c:pt idx="32">
                  <c:v>5.2126999999999999</c:v>
                </c:pt>
                <c:pt idx="33">
                  <c:v>5.2892000000000001</c:v>
                </c:pt>
                <c:pt idx="34">
                  <c:v>5.3631000000000002</c:v>
                </c:pt>
                <c:pt idx="35">
                  <c:v>5.4318</c:v>
                </c:pt>
                <c:pt idx="36">
                  <c:v>5.4981</c:v>
                </c:pt>
                <c:pt idx="37">
                  <c:v>5.5591999999999997</c:v>
                </c:pt>
                <c:pt idx="38">
                  <c:v>5.6182999999999996</c:v>
                </c:pt>
                <c:pt idx="39">
                  <c:v>5.6722000000000001</c:v>
                </c:pt>
                <c:pt idx="40">
                  <c:v>5.7244000000000002</c:v>
                </c:pt>
                <c:pt idx="41">
                  <c:v>5.7713999999999999</c:v>
                </c:pt>
                <c:pt idx="42">
                  <c:v>5.8170999999999999</c:v>
                </c:pt>
                <c:pt idx="43">
                  <c:v>5.8596000000000004</c:v>
                </c:pt>
                <c:pt idx="44">
                  <c:v>5.8967999999999998</c:v>
                </c:pt>
                <c:pt idx="45">
                  <c:v>5.9330999999999996</c:v>
                </c:pt>
                <c:pt idx="46">
                  <c:v>5.9663000000000004</c:v>
                </c:pt>
                <c:pt idx="47">
                  <c:v>5.9943</c:v>
                </c:pt>
                <c:pt idx="48">
                  <c:v>6.0214999999999996</c:v>
                </c:pt>
                <c:pt idx="49">
                  <c:v>6.0458999999999996</c:v>
                </c:pt>
                <c:pt idx="50">
                  <c:v>6.0648999999999997</c:v>
                </c:pt>
                <c:pt idx="51">
                  <c:v>6.0834999999999999</c:v>
                </c:pt>
                <c:pt idx="52">
                  <c:v>6.125</c:v>
                </c:pt>
                <c:pt idx="53">
                  <c:v>6.125</c:v>
                </c:pt>
                <c:pt idx="54">
                  <c:v>6.125</c:v>
                </c:pt>
                <c:pt idx="55">
                  <c:v>6.125</c:v>
                </c:pt>
                <c:pt idx="56">
                  <c:v>6.125</c:v>
                </c:pt>
                <c:pt idx="57">
                  <c:v>6.125</c:v>
                </c:pt>
                <c:pt idx="58">
                  <c:v>6.125</c:v>
                </c:pt>
                <c:pt idx="59">
                  <c:v>6.125</c:v>
                </c:pt>
                <c:pt idx="60">
                  <c:v>6.125</c:v>
                </c:pt>
                <c:pt idx="61">
                  <c:v>6.125</c:v>
                </c:pt>
              </c:numCache>
            </c:numRef>
          </c:xVal>
          <c:yVal>
            <c:numRef>
              <c:f>Data!$AC$3:$AC$64</c:f>
              <c:numCache>
                <c:formatCode>General</c:formatCode>
                <c:ptCount val="62"/>
                <c:pt idx="0">
                  <c:v>20</c:v>
                </c:pt>
                <c:pt idx="1">
                  <c:v>17.5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17.5</c:v>
                </c:pt>
                <c:pt idx="13">
                  <c:v>17.5</c:v>
                </c:pt>
                <c:pt idx="14">
                  <c:v>17.5</c:v>
                </c:pt>
                <c:pt idx="15">
                  <c:v>17.5</c:v>
                </c:pt>
                <c:pt idx="16">
                  <c:v>17.5</c:v>
                </c:pt>
                <c:pt idx="17">
                  <c:v>17.5</c:v>
                </c:pt>
                <c:pt idx="18">
                  <c:v>18</c:v>
                </c:pt>
                <c:pt idx="19">
                  <c:v>18</c:v>
                </c:pt>
                <c:pt idx="20">
                  <c:v>18</c:v>
                </c:pt>
                <c:pt idx="21">
                  <c:v>19</c:v>
                </c:pt>
                <c:pt idx="22">
                  <c:v>19</c:v>
                </c:pt>
                <c:pt idx="23">
                  <c:v>19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21</c:v>
                </c:pt>
                <c:pt idx="28">
                  <c:v>21</c:v>
                </c:pt>
                <c:pt idx="29">
                  <c:v>21</c:v>
                </c:pt>
                <c:pt idx="30">
                  <c:v>22</c:v>
                </c:pt>
                <c:pt idx="31">
                  <c:v>22</c:v>
                </c:pt>
                <c:pt idx="32">
                  <c:v>22</c:v>
                </c:pt>
                <c:pt idx="33">
                  <c:v>23</c:v>
                </c:pt>
                <c:pt idx="34">
                  <c:v>23</c:v>
                </c:pt>
                <c:pt idx="35">
                  <c:v>24</c:v>
                </c:pt>
                <c:pt idx="36">
                  <c:v>24</c:v>
                </c:pt>
                <c:pt idx="37">
                  <c:v>25</c:v>
                </c:pt>
                <c:pt idx="38">
                  <c:v>25</c:v>
                </c:pt>
                <c:pt idx="39">
                  <c:v>26</c:v>
                </c:pt>
                <c:pt idx="40">
                  <c:v>26</c:v>
                </c:pt>
                <c:pt idx="41">
                  <c:v>27</c:v>
                </c:pt>
                <c:pt idx="42">
                  <c:v>27</c:v>
                </c:pt>
                <c:pt idx="43">
                  <c:v>27</c:v>
                </c:pt>
                <c:pt idx="44">
                  <c:v>28</c:v>
                </c:pt>
                <c:pt idx="45">
                  <c:v>28</c:v>
                </c:pt>
                <c:pt idx="46">
                  <c:v>28</c:v>
                </c:pt>
                <c:pt idx="47">
                  <c:v>29</c:v>
                </c:pt>
                <c:pt idx="48">
                  <c:v>29</c:v>
                </c:pt>
                <c:pt idx="49">
                  <c:v>29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  <c:pt idx="56">
                  <c:v>35</c:v>
                </c:pt>
                <c:pt idx="57">
                  <c:v>35</c:v>
                </c:pt>
                <c:pt idx="58">
                  <c:v>35</c:v>
                </c:pt>
                <c:pt idx="59">
                  <c:v>35</c:v>
                </c:pt>
                <c:pt idx="60">
                  <c:v>35</c:v>
                </c:pt>
                <c:pt idx="61">
                  <c:v>35</c:v>
                </c:pt>
              </c:numCache>
            </c:numRef>
          </c:yVal>
        </c:ser>
        <c:axId val="86080512"/>
        <c:axId val="86115456"/>
      </c:scatterChart>
      <c:valAx>
        <c:axId val="8608051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 b="1" i="0" baseline="0"/>
                  <a:t>Radius</a:t>
                </a:r>
                <a:endParaRPr lang="en-US"/>
              </a:p>
            </c:rich>
          </c:tx>
          <c:layout/>
        </c:title>
        <c:numFmt formatCode="0.0000" sourceLinked="1"/>
        <c:tickLblPos val="nextTo"/>
        <c:crossAx val="86115456"/>
        <c:crosses val="autoZero"/>
        <c:crossBetween val="midCat"/>
      </c:valAx>
      <c:valAx>
        <c:axId val="86115456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800" b="1" i="0" baseline="0"/>
                  <a:t>Backrake Angle</a:t>
                </a:r>
                <a:endParaRPr lang="en-US"/>
              </a:p>
            </c:rich>
          </c:tx>
          <c:layout/>
        </c:title>
        <c:numFmt formatCode="0.0\°" sourceLinked="1"/>
        <c:tickLblPos val="nextTo"/>
        <c:crossAx val="86080512"/>
        <c:crosses val="autoZero"/>
        <c:crossBetween val="midCat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120" workbookViewId="0"/>
  </sheetViews>
  <pageMargins left="0.7" right="0.7" top="0.75" bottom="0.75" header="0.3" footer="0.3"/>
  <pageSetup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26" workbookViewId="0" zoomToFit="1"/>
  </sheetViews>
  <pageMargins left="0.7" right="0.7" top="0.75" bottom="0.75" header="0.3" footer="0.3"/>
  <pageSetup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126" workbookViewId="0" zoomToFit="1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8333" cy="629708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78333" cy="629708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78333" cy="629708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4"/>
  <sheetViews>
    <sheetView topLeftCell="E1" workbookViewId="0">
      <selection activeCell="AH20" sqref="AH20"/>
    </sheetView>
  </sheetViews>
  <sheetFormatPr defaultRowHeight="15"/>
  <cols>
    <col min="5" max="5" width="3.28515625" customWidth="1"/>
    <col min="10" max="10" width="3.28515625" customWidth="1"/>
    <col min="15" max="15" width="3.28515625" customWidth="1"/>
    <col min="20" max="20" width="3.28515625" customWidth="1"/>
    <col min="21" max="21" width="2.85546875" customWidth="1"/>
  </cols>
  <sheetData>
    <row r="1" spans="1:35">
      <c r="A1" s="2">
        <v>7.875</v>
      </c>
      <c r="B1">
        <v>1992</v>
      </c>
      <c r="F1" s="2">
        <v>7.875</v>
      </c>
      <c r="G1">
        <v>2031</v>
      </c>
      <c r="K1" s="2">
        <v>12.25</v>
      </c>
      <c r="L1">
        <v>2058</v>
      </c>
      <c r="P1" s="2">
        <v>12.25</v>
      </c>
      <c r="Q1">
        <v>2064</v>
      </c>
      <c r="V1">
        <v>7.875</v>
      </c>
      <c r="W1">
        <v>2072</v>
      </c>
      <c r="AA1">
        <v>12.25</v>
      </c>
      <c r="AB1">
        <v>2073</v>
      </c>
      <c r="AF1">
        <v>6.125</v>
      </c>
      <c r="AG1">
        <v>2079</v>
      </c>
    </row>
    <row r="2" spans="1:35">
      <c r="B2" t="s">
        <v>0</v>
      </c>
      <c r="C2" t="s">
        <v>1</v>
      </c>
      <c r="D2" s="1" t="s">
        <v>2</v>
      </c>
      <c r="G2" t="s">
        <v>0</v>
      </c>
      <c r="H2" t="s">
        <v>1</v>
      </c>
      <c r="I2" s="1" t="s">
        <v>2</v>
      </c>
      <c r="L2" t="s">
        <v>0</v>
      </c>
      <c r="M2" t="s">
        <v>1</v>
      </c>
      <c r="N2" s="1" t="s">
        <v>2</v>
      </c>
      <c r="Q2" t="s">
        <v>0</v>
      </c>
      <c r="R2" t="s">
        <v>1</v>
      </c>
      <c r="S2" s="1" t="s">
        <v>2</v>
      </c>
      <c r="W2" t="s">
        <v>0</v>
      </c>
      <c r="X2" t="s">
        <v>1</v>
      </c>
      <c r="Y2" s="1" t="s">
        <v>2</v>
      </c>
      <c r="AB2" t="s">
        <v>0</v>
      </c>
      <c r="AC2" t="s">
        <v>1</v>
      </c>
      <c r="AD2" s="1" t="s">
        <v>2</v>
      </c>
      <c r="AG2" t="s">
        <v>0</v>
      </c>
      <c r="AH2" t="s">
        <v>1</v>
      </c>
      <c r="AI2" s="1" t="s">
        <v>2</v>
      </c>
    </row>
    <row r="3" spans="1:35">
      <c r="B3" s="4">
        <v>0.29320000000000002</v>
      </c>
      <c r="C3" s="5">
        <v>20</v>
      </c>
      <c r="D3" s="3">
        <f>B3/$A$1*2</f>
        <v>7.4463492063492065E-2</v>
      </c>
      <c r="G3" s="4">
        <v>0.30020000000000002</v>
      </c>
      <c r="H3" s="5">
        <v>20</v>
      </c>
      <c r="I3" s="3">
        <f>G3/$F$1*2</f>
        <v>7.6241269841269846E-2</v>
      </c>
      <c r="L3" s="4">
        <v>0.29580000000000001</v>
      </c>
      <c r="M3" s="5">
        <v>20</v>
      </c>
      <c r="N3" s="3">
        <f>L3/$K$1*2</f>
        <v>4.8293877551020409E-2</v>
      </c>
      <c r="Q3" s="4">
        <v>0.29580000000000001</v>
      </c>
      <c r="R3" s="5">
        <v>20</v>
      </c>
      <c r="S3" s="3">
        <f>Q3/$P$1*2</f>
        <v>4.8293877551020409E-2</v>
      </c>
      <c r="W3">
        <v>0.25700000000000001</v>
      </c>
      <c r="X3">
        <v>20</v>
      </c>
      <c r="Y3" s="3">
        <f>W3/$V$1*2</f>
        <v>6.5269841269841269E-2</v>
      </c>
      <c r="AA3">
        <v>1</v>
      </c>
      <c r="AB3">
        <v>0.29580000000000001</v>
      </c>
      <c r="AC3">
        <v>20</v>
      </c>
      <c r="AD3" s="3">
        <f>AB3/$AA$1*2</f>
        <v>4.8293877551020409E-2</v>
      </c>
      <c r="AG3">
        <v>0.25130000000000002</v>
      </c>
      <c r="AH3">
        <v>20</v>
      </c>
      <c r="AI3" s="3">
        <f>AG3/$AF$1*2</f>
        <v>8.205714285714287E-2</v>
      </c>
    </row>
    <row r="4" spans="1:35">
      <c r="B4" s="4">
        <v>0.5272</v>
      </c>
      <c r="C4" s="5">
        <v>15</v>
      </c>
      <c r="D4" s="3">
        <f t="shared" ref="D4:D22" si="0">B4/$A$1*2</f>
        <v>0.13389206349206348</v>
      </c>
      <c r="G4" s="4">
        <v>0.55169999999999997</v>
      </c>
      <c r="H4" s="5">
        <v>15</v>
      </c>
      <c r="I4" s="3">
        <f t="shared" ref="I4:I22" si="1">G4/$F$1*2</f>
        <v>0.14011428571428572</v>
      </c>
      <c r="L4" s="4">
        <v>0.53990000000000005</v>
      </c>
      <c r="M4" s="5">
        <v>15</v>
      </c>
      <c r="N4" s="3">
        <f t="shared" ref="N4:N56" si="2">L4/$K$1*2</f>
        <v>8.8146938775510206E-2</v>
      </c>
      <c r="Q4" s="4">
        <v>0.53469999999999995</v>
      </c>
      <c r="R4" s="5">
        <v>17.5</v>
      </c>
      <c r="S4" s="3">
        <f t="shared" ref="S4:S56" si="3">Q4/$P$1*2</f>
        <v>8.729795918367346E-2</v>
      </c>
      <c r="W4">
        <v>0.49569999999999997</v>
      </c>
      <c r="X4">
        <v>15</v>
      </c>
      <c r="Y4" s="3">
        <f t="shared" ref="Y4:Y24" si="4">W4/$V$1*2</f>
        <v>0.12589206349206347</v>
      </c>
      <c r="AA4">
        <v>2</v>
      </c>
      <c r="AB4">
        <v>0.51400000000000001</v>
      </c>
      <c r="AC4">
        <v>17.5</v>
      </c>
      <c r="AD4" s="3">
        <f t="shared" ref="AD4:AD64" si="5">AB4/$AA$1*2</f>
        <v>8.3918367346938777E-2</v>
      </c>
      <c r="AG4">
        <v>0.54790000000000005</v>
      </c>
      <c r="AH4">
        <v>17.5</v>
      </c>
      <c r="AI4" s="3">
        <f t="shared" ref="AI4:AI22" si="6">AG4/$AF$1*2</f>
        <v>0.1789061224489796</v>
      </c>
    </row>
    <row r="5" spans="1:35">
      <c r="B5" s="4">
        <v>0.77510000000000001</v>
      </c>
      <c r="C5" s="5">
        <v>15</v>
      </c>
      <c r="D5" s="3">
        <f t="shared" si="0"/>
        <v>0.19685079365079367</v>
      </c>
      <c r="G5" s="4">
        <v>0.79079999999999995</v>
      </c>
      <c r="H5" s="5">
        <v>15</v>
      </c>
      <c r="I5" s="3">
        <f t="shared" si="1"/>
        <v>0.20083809523809523</v>
      </c>
      <c r="L5" s="4">
        <v>0.77890000000000004</v>
      </c>
      <c r="M5" s="5">
        <v>15</v>
      </c>
      <c r="N5" s="3">
        <f t="shared" si="2"/>
        <v>0.12716734693877552</v>
      </c>
      <c r="Q5" s="4">
        <v>0.7631</v>
      </c>
      <c r="R5" s="5">
        <v>16</v>
      </c>
      <c r="S5" s="3">
        <f t="shared" si="3"/>
        <v>0.12458775510204081</v>
      </c>
      <c r="W5">
        <v>0.73360000000000003</v>
      </c>
      <c r="X5">
        <v>12.5</v>
      </c>
      <c r="Y5" s="3">
        <f t="shared" si="4"/>
        <v>0.18631111111111112</v>
      </c>
      <c r="AA5">
        <v>3</v>
      </c>
      <c r="AB5">
        <v>0.72640000000000005</v>
      </c>
      <c r="AC5">
        <v>15</v>
      </c>
      <c r="AD5" s="3">
        <f t="shared" si="5"/>
        <v>0.11859591836734695</v>
      </c>
      <c r="AG5">
        <v>0.84450000000000003</v>
      </c>
      <c r="AH5">
        <v>17.5</v>
      </c>
      <c r="AI5" s="3">
        <f t="shared" si="6"/>
        <v>0.27575510204081632</v>
      </c>
    </row>
    <row r="6" spans="1:35">
      <c r="B6" s="4">
        <v>1.0228999999999999</v>
      </c>
      <c r="C6" s="5">
        <v>15</v>
      </c>
      <c r="D6" s="3">
        <f t="shared" si="0"/>
        <v>0.25978412698412695</v>
      </c>
      <c r="G6" s="4">
        <v>1.0299</v>
      </c>
      <c r="H6" s="5">
        <v>15</v>
      </c>
      <c r="I6" s="3">
        <f t="shared" si="1"/>
        <v>0.26156190476190477</v>
      </c>
      <c r="L6" s="4">
        <v>1.0159</v>
      </c>
      <c r="M6" s="5">
        <v>15</v>
      </c>
      <c r="N6" s="3">
        <f t="shared" si="2"/>
        <v>0.16586122448979593</v>
      </c>
      <c r="Q6" s="4">
        <v>0.98960000000000004</v>
      </c>
      <c r="R6" s="5">
        <v>15</v>
      </c>
      <c r="S6" s="3">
        <f t="shared" si="3"/>
        <v>0.1615673469387755</v>
      </c>
      <c r="W6">
        <v>0.97189999999999999</v>
      </c>
      <c r="X6">
        <v>12.5</v>
      </c>
      <c r="Y6" s="3">
        <f t="shared" si="4"/>
        <v>0.24683174603174604</v>
      </c>
      <c r="AA6">
        <v>4</v>
      </c>
      <c r="AB6">
        <v>0.93779999999999997</v>
      </c>
      <c r="AC6">
        <v>15</v>
      </c>
      <c r="AD6" s="3">
        <f t="shared" si="5"/>
        <v>0.15311020408163264</v>
      </c>
      <c r="AG6">
        <v>1.1514</v>
      </c>
      <c r="AH6">
        <v>17.5</v>
      </c>
      <c r="AI6" s="3">
        <f t="shared" si="6"/>
        <v>0.37596734693877548</v>
      </c>
    </row>
    <row r="7" spans="1:35">
      <c r="B7" s="4">
        <v>1.2706999999999999</v>
      </c>
      <c r="C7" s="5">
        <v>15</v>
      </c>
      <c r="D7" s="3">
        <f t="shared" si="0"/>
        <v>0.32271746031746029</v>
      </c>
      <c r="G7" s="4">
        <v>1.2808999999999999</v>
      </c>
      <c r="H7" s="5">
        <v>15</v>
      </c>
      <c r="I7" s="3">
        <f t="shared" si="1"/>
        <v>0.32530793650793649</v>
      </c>
      <c r="L7" s="4">
        <v>1.2674000000000001</v>
      </c>
      <c r="M7" s="5">
        <v>15</v>
      </c>
      <c r="N7" s="3">
        <f t="shared" si="2"/>
        <v>0.20692244897959186</v>
      </c>
      <c r="Q7" s="4">
        <v>1.2305999999999999</v>
      </c>
      <c r="R7" s="5">
        <v>15</v>
      </c>
      <c r="S7" s="3">
        <f t="shared" si="3"/>
        <v>0.20091428571428571</v>
      </c>
      <c r="W7">
        <v>1.2283999999999999</v>
      </c>
      <c r="X7">
        <v>12.5</v>
      </c>
      <c r="Y7" s="3">
        <f t="shared" si="4"/>
        <v>0.31197460317460318</v>
      </c>
      <c r="AA7">
        <v>5</v>
      </c>
      <c r="AB7">
        <v>1.1893</v>
      </c>
      <c r="AC7">
        <v>15</v>
      </c>
      <c r="AD7" s="3">
        <f t="shared" si="5"/>
        <v>0.19417142857142858</v>
      </c>
      <c r="AG7">
        <v>1.4654</v>
      </c>
      <c r="AH7">
        <v>17.5</v>
      </c>
      <c r="AI7" s="3">
        <f t="shared" si="6"/>
        <v>0.47849795918367349</v>
      </c>
    </row>
    <row r="8" spans="1:35">
      <c r="B8" s="4">
        <v>1.5185</v>
      </c>
      <c r="C8" s="5">
        <v>15</v>
      </c>
      <c r="D8" s="3">
        <f t="shared" si="0"/>
        <v>0.38565079365079363</v>
      </c>
      <c r="G8" s="4">
        <v>1.5319</v>
      </c>
      <c r="H8" s="5">
        <v>15</v>
      </c>
      <c r="I8" s="3">
        <f t="shared" si="1"/>
        <v>0.38905396825396826</v>
      </c>
      <c r="L8" s="4">
        <v>1.5189999999999999</v>
      </c>
      <c r="M8" s="5">
        <v>15</v>
      </c>
      <c r="N8" s="3">
        <f t="shared" si="2"/>
        <v>0.248</v>
      </c>
      <c r="Q8" s="4">
        <v>1.4717</v>
      </c>
      <c r="R8" s="5">
        <v>15</v>
      </c>
      <c r="S8" s="3">
        <f t="shared" si="3"/>
        <v>0.24027755102040815</v>
      </c>
      <c r="W8">
        <v>1.4849000000000001</v>
      </c>
      <c r="X8">
        <v>12.5</v>
      </c>
      <c r="Y8" s="3">
        <f t="shared" si="4"/>
        <v>0.37711746031746035</v>
      </c>
      <c r="AA8">
        <v>6</v>
      </c>
      <c r="AB8">
        <v>1.4408000000000001</v>
      </c>
      <c r="AC8">
        <v>15</v>
      </c>
      <c r="AD8" s="3">
        <f t="shared" si="5"/>
        <v>0.23523265306122451</v>
      </c>
      <c r="AG8">
        <v>1.6747000000000001</v>
      </c>
      <c r="AH8">
        <v>17.5</v>
      </c>
      <c r="AI8" s="3">
        <f t="shared" si="6"/>
        <v>0.54684081632653059</v>
      </c>
    </row>
    <row r="9" spans="1:35">
      <c r="B9" s="4">
        <v>1.7759</v>
      </c>
      <c r="C9" s="5">
        <v>15</v>
      </c>
      <c r="D9" s="3">
        <f t="shared" si="0"/>
        <v>0.45102222222222221</v>
      </c>
      <c r="G9" s="4">
        <v>1.7828999999999999</v>
      </c>
      <c r="H9" s="5">
        <v>15</v>
      </c>
      <c r="I9" s="3">
        <f t="shared" si="1"/>
        <v>0.45279999999999998</v>
      </c>
      <c r="L9" s="4">
        <v>1.7705</v>
      </c>
      <c r="M9" s="5">
        <v>15</v>
      </c>
      <c r="N9" s="3">
        <f t="shared" si="2"/>
        <v>0.28906122448979593</v>
      </c>
      <c r="Q9" s="4">
        <v>1.7129000000000001</v>
      </c>
      <c r="R9" s="5">
        <v>15</v>
      </c>
      <c r="S9" s="3">
        <f t="shared" si="3"/>
        <v>0.27965714285714288</v>
      </c>
      <c r="W9">
        <v>1.768</v>
      </c>
      <c r="X9">
        <v>13</v>
      </c>
      <c r="Y9" s="3">
        <f t="shared" si="4"/>
        <v>0.44901587301587303</v>
      </c>
      <c r="AA9">
        <v>7</v>
      </c>
      <c r="AB9">
        <v>1.6923999999999999</v>
      </c>
      <c r="AC9">
        <v>15</v>
      </c>
      <c r="AD9" s="3">
        <f t="shared" si="5"/>
        <v>0.27631020408163265</v>
      </c>
      <c r="AG9">
        <v>1.8879999999999999</v>
      </c>
      <c r="AH9">
        <v>18</v>
      </c>
      <c r="AI9" s="3">
        <f t="shared" si="6"/>
        <v>0.61648979591836728</v>
      </c>
    </row>
    <row r="10" spans="1:35">
      <c r="B10" s="4">
        <v>2.0263</v>
      </c>
      <c r="C10" s="5">
        <v>15</v>
      </c>
      <c r="D10" s="3">
        <f t="shared" si="0"/>
        <v>0.51461587301587297</v>
      </c>
      <c r="G10" s="4">
        <v>2.0352999999999999</v>
      </c>
      <c r="H10" s="5">
        <v>15</v>
      </c>
      <c r="I10" s="3">
        <f t="shared" si="1"/>
        <v>0.51690158730158731</v>
      </c>
      <c r="L10" s="4">
        <v>2.0221</v>
      </c>
      <c r="M10" s="5">
        <v>15</v>
      </c>
      <c r="N10" s="3">
        <f t="shared" si="2"/>
        <v>0.3301387755102041</v>
      </c>
      <c r="Q10" s="4">
        <v>1.9541999999999999</v>
      </c>
      <c r="R10" s="5">
        <v>15</v>
      </c>
      <c r="S10" s="3">
        <f t="shared" si="3"/>
        <v>0.31905306122448979</v>
      </c>
      <c r="W10">
        <v>2.0565000000000002</v>
      </c>
      <c r="X10">
        <v>14</v>
      </c>
      <c r="Y10" s="3">
        <f t="shared" si="4"/>
        <v>0.52228571428571435</v>
      </c>
      <c r="AA10">
        <v>8</v>
      </c>
      <c r="AB10">
        <v>1.9439</v>
      </c>
      <c r="AC10">
        <v>15</v>
      </c>
      <c r="AD10" s="3">
        <f t="shared" si="5"/>
        <v>0.31737142857142858</v>
      </c>
      <c r="AG10">
        <v>2.0867</v>
      </c>
      <c r="AH10">
        <v>19</v>
      </c>
      <c r="AI10" s="3">
        <f t="shared" si="6"/>
        <v>0.68137142857142852</v>
      </c>
    </row>
    <row r="11" spans="1:35">
      <c r="B11" s="4">
        <v>2.3069000000000002</v>
      </c>
      <c r="C11" s="5">
        <v>15</v>
      </c>
      <c r="D11" s="3">
        <f t="shared" si="0"/>
        <v>0.58587936507936511</v>
      </c>
      <c r="G11" s="4">
        <v>2.2940999999999998</v>
      </c>
      <c r="H11" s="5">
        <v>15</v>
      </c>
      <c r="I11" s="3">
        <f t="shared" si="1"/>
        <v>0.58262857142857138</v>
      </c>
      <c r="L11" s="4">
        <v>2.2736000000000001</v>
      </c>
      <c r="M11" s="5">
        <v>15</v>
      </c>
      <c r="N11" s="3">
        <f t="shared" si="2"/>
        <v>0.37120000000000003</v>
      </c>
      <c r="Q11" s="4">
        <v>2.1957</v>
      </c>
      <c r="R11" s="5">
        <v>15</v>
      </c>
      <c r="S11" s="3">
        <f t="shared" si="3"/>
        <v>0.35848163265306121</v>
      </c>
      <c r="W11">
        <v>2.3572000000000002</v>
      </c>
      <c r="X11">
        <v>15</v>
      </c>
      <c r="Y11" s="3">
        <f t="shared" si="4"/>
        <v>0.59865396825396833</v>
      </c>
      <c r="AA11">
        <v>9</v>
      </c>
      <c r="AB11">
        <v>2.1955</v>
      </c>
      <c r="AC11">
        <v>15</v>
      </c>
      <c r="AD11" s="3">
        <f t="shared" si="5"/>
        <v>0.35844897959183675</v>
      </c>
      <c r="AG11">
        <v>2.2873000000000001</v>
      </c>
      <c r="AH11">
        <v>20</v>
      </c>
      <c r="AI11" s="3">
        <f t="shared" si="6"/>
        <v>0.74687346938775512</v>
      </c>
    </row>
    <row r="12" spans="1:35">
      <c r="B12" s="4">
        <v>2.5933000000000002</v>
      </c>
      <c r="C12" s="5">
        <v>17.5</v>
      </c>
      <c r="D12" s="3">
        <f t="shared" si="0"/>
        <v>0.6586158730158731</v>
      </c>
      <c r="G12" s="4">
        <v>2.5924</v>
      </c>
      <c r="H12" s="5">
        <v>15</v>
      </c>
      <c r="I12" s="3">
        <f t="shared" si="1"/>
        <v>0.65838730158730163</v>
      </c>
      <c r="L12" s="4">
        <v>2.5251000000000001</v>
      </c>
      <c r="M12" s="5">
        <v>15</v>
      </c>
      <c r="N12" s="3">
        <f t="shared" si="2"/>
        <v>0.41226122448979596</v>
      </c>
      <c r="Q12" s="4">
        <v>2.4470000000000001</v>
      </c>
      <c r="R12" s="5">
        <v>15</v>
      </c>
      <c r="S12" s="3">
        <f t="shared" si="3"/>
        <v>0.39951020408163268</v>
      </c>
      <c r="W12">
        <v>2.6431</v>
      </c>
      <c r="X12">
        <v>15</v>
      </c>
      <c r="Y12" s="3">
        <f t="shared" si="4"/>
        <v>0.67126349206349212</v>
      </c>
      <c r="AA12">
        <v>10</v>
      </c>
      <c r="AB12">
        <v>2.3212000000000002</v>
      </c>
      <c r="AC12">
        <v>15</v>
      </c>
      <c r="AD12" s="3">
        <f t="shared" si="5"/>
        <v>0.37897142857142857</v>
      </c>
      <c r="AG12">
        <v>2.4683000000000002</v>
      </c>
      <c r="AH12">
        <v>21</v>
      </c>
      <c r="AI12" s="3">
        <f t="shared" si="6"/>
        <v>0.80597551020408165</v>
      </c>
    </row>
    <row r="13" spans="1:35">
      <c r="B13" s="4">
        <v>2.8996</v>
      </c>
      <c r="C13" s="5">
        <v>17.5</v>
      </c>
      <c r="D13" s="3">
        <f t="shared" si="0"/>
        <v>0.73640634920634918</v>
      </c>
      <c r="G13" s="4">
        <v>2.8809</v>
      </c>
      <c r="H13" s="5">
        <v>15</v>
      </c>
      <c r="I13" s="3">
        <f t="shared" si="1"/>
        <v>0.73165714285714289</v>
      </c>
      <c r="L13" s="4">
        <v>2.6509</v>
      </c>
      <c r="M13" s="5">
        <v>15</v>
      </c>
      <c r="N13" s="3">
        <f t="shared" si="2"/>
        <v>0.43280000000000002</v>
      </c>
      <c r="Q13" s="4">
        <v>2.5728</v>
      </c>
      <c r="R13" s="5">
        <v>15</v>
      </c>
      <c r="S13" s="3">
        <f t="shared" si="3"/>
        <v>0.42004897959183674</v>
      </c>
      <c r="W13">
        <v>2.8923999999999999</v>
      </c>
      <c r="X13">
        <v>16</v>
      </c>
      <c r="Y13" s="3">
        <f t="shared" si="4"/>
        <v>0.73457777777777777</v>
      </c>
      <c r="AA13">
        <v>11</v>
      </c>
      <c r="AB13">
        <v>2.4628000000000001</v>
      </c>
      <c r="AC13">
        <v>16</v>
      </c>
      <c r="AD13" s="3">
        <f t="shared" si="5"/>
        <v>0.40208979591836735</v>
      </c>
      <c r="AG13">
        <v>2.6307</v>
      </c>
      <c r="AH13">
        <v>22</v>
      </c>
      <c r="AI13" s="3">
        <f t="shared" si="6"/>
        <v>0.85900408163265307</v>
      </c>
    </row>
    <row r="14" spans="1:35">
      <c r="B14" s="4">
        <v>3.1829000000000001</v>
      </c>
      <c r="C14" s="5">
        <v>17.5</v>
      </c>
      <c r="D14" s="3">
        <f t="shared" si="0"/>
        <v>0.8083555555555556</v>
      </c>
      <c r="G14" s="4">
        <v>3.1490999999999998</v>
      </c>
      <c r="H14" s="5">
        <v>15</v>
      </c>
      <c r="I14" s="3">
        <f t="shared" si="1"/>
        <v>0.79977142857142847</v>
      </c>
      <c r="L14" s="4">
        <v>2.7766999999999999</v>
      </c>
      <c r="M14" s="5">
        <v>15</v>
      </c>
      <c r="N14" s="3">
        <f t="shared" si="2"/>
        <v>0.45333877551020407</v>
      </c>
      <c r="Q14" s="4">
        <v>2.6985999999999999</v>
      </c>
      <c r="R14" s="5">
        <v>15</v>
      </c>
      <c r="S14" s="3">
        <f t="shared" si="3"/>
        <v>0.44058775510204079</v>
      </c>
      <c r="W14">
        <v>3.1288</v>
      </c>
      <c r="X14">
        <v>17</v>
      </c>
      <c r="Y14" s="3">
        <f t="shared" si="4"/>
        <v>0.794615873015873</v>
      </c>
      <c r="AA14">
        <v>12</v>
      </c>
      <c r="AB14">
        <v>2.6076000000000001</v>
      </c>
      <c r="AC14">
        <v>17</v>
      </c>
      <c r="AD14" s="3">
        <f t="shared" si="5"/>
        <v>0.425730612244898</v>
      </c>
      <c r="AG14">
        <v>2.7682000000000002</v>
      </c>
      <c r="AH14">
        <v>23</v>
      </c>
      <c r="AI14" s="3">
        <f t="shared" si="6"/>
        <v>0.90390204081632664</v>
      </c>
    </row>
    <row r="15" spans="1:35">
      <c r="B15" s="4">
        <v>3.4167000000000001</v>
      </c>
      <c r="C15" s="5">
        <v>20</v>
      </c>
      <c r="D15" s="3">
        <f t="shared" si="0"/>
        <v>0.86773333333333336</v>
      </c>
      <c r="G15" s="4">
        <v>3.3875000000000002</v>
      </c>
      <c r="H15" s="5">
        <v>15</v>
      </c>
      <c r="I15" s="3">
        <f t="shared" si="1"/>
        <v>0.86031746031746037</v>
      </c>
      <c r="L15" s="4">
        <v>2.9024999999999999</v>
      </c>
      <c r="M15" s="5">
        <v>15</v>
      </c>
      <c r="N15" s="3">
        <f t="shared" si="2"/>
        <v>0.47387755102040813</v>
      </c>
      <c r="Q15" s="4">
        <v>2.8246000000000002</v>
      </c>
      <c r="R15" s="5">
        <v>15</v>
      </c>
      <c r="S15" s="3">
        <f t="shared" si="3"/>
        <v>0.46115918367346942</v>
      </c>
      <c r="W15">
        <v>3.3380000000000001</v>
      </c>
      <c r="X15">
        <v>18</v>
      </c>
      <c r="Y15" s="3">
        <f t="shared" si="4"/>
        <v>0.8477460317460318</v>
      </c>
      <c r="AA15">
        <v>13</v>
      </c>
      <c r="AB15">
        <v>2.7538999999999998</v>
      </c>
      <c r="AC15">
        <v>17.5</v>
      </c>
      <c r="AD15" s="3">
        <f t="shared" si="5"/>
        <v>0.44961632653061223</v>
      </c>
      <c r="AG15">
        <v>2.8784999999999998</v>
      </c>
      <c r="AH15">
        <v>24</v>
      </c>
      <c r="AI15" s="3">
        <f t="shared" si="6"/>
        <v>0.93991836734693868</v>
      </c>
    </row>
    <row r="16" spans="1:35">
      <c r="B16" s="4">
        <v>3.6326000000000001</v>
      </c>
      <c r="C16" s="5">
        <v>22.5</v>
      </c>
      <c r="D16" s="3">
        <f t="shared" si="0"/>
        <v>0.92256507936507937</v>
      </c>
      <c r="G16" s="4">
        <v>3.5846</v>
      </c>
      <c r="H16" s="5">
        <v>15</v>
      </c>
      <c r="I16" s="3">
        <f t="shared" si="1"/>
        <v>0.91037460317460317</v>
      </c>
      <c r="L16" s="4">
        <v>3.0282</v>
      </c>
      <c r="M16" s="5">
        <v>15</v>
      </c>
      <c r="N16" s="3">
        <f t="shared" si="2"/>
        <v>0.49440000000000001</v>
      </c>
      <c r="Q16" s="4">
        <v>2.9500999999999999</v>
      </c>
      <c r="R16" s="5">
        <v>15</v>
      </c>
      <c r="S16" s="3">
        <f t="shared" si="3"/>
        <v>0.48164897959183672</v>
      </c>
      <c r="W16">
        <v>3.5042</v>
      </c>
      <c r="X16">
        <v>19</v>
      </c>
      <c r="Y16" s="3">
        <f t="shared" si="4"/>
        <v>0.8899555555555555</v>
      </c>
      <c r="AA16">
        <v>14</v>
      </c>
      <c r="AB16">
        <v>2.9011</v>
      </c>
      <c r="AC16">
        <v>17.5</v>
      </c>
      <c r="AD16" s="3">
        <f t="shared" si="5"/>
        <v>0.47364897959183672</v>
      </c>
      <c r="AG16">
        <v>2.9582999999999999</v>
      </c>
      <c r="AH16">
        <v>25</v>
      </c>
      <c r="AI16" s="3">
        <f t="shared" si="6"/>
        <v>0.96597551020408157</v>
      </c>
    </row>
    <row r="17" spans="2:35">
      <c r="B17" s="4">
        <v>3.8081</v>
      </c>
      <c r="C17" s="5">
        <v>22.5</v>
      </c>
      <c r="D17" s="3">
        <f t="shared" si="0"/>
        <v>0.96713650793650796</v>
      </c>
      <c r="G17" s="4">
        <v>3.7322000000000002</v>
      </c>
      <c r="H17" s="5">
        <v>20</v>
      </c>
      <c r="I17" s="3">
        <f t="shared" si="1"/>
        <v>0.94786031746031751</v>
      </c>
      <c r="L17" s="4">
        <v>3.1539999999999999</v>
      </c>
      <c r="M17" s="5">
        <v>15</v>
      </c>
      <c r="N17" s="3">
        <f t="shared" si="2"/>
        <v>0.51493877551020406</v>
      </c>
      <c r="Q17" s="4">
        <v>3.0912999999999999</v>
      </c>
      <c r="R17" s="5">
        <v>15</v>
      </c>
      <c r="S17" s="3">
        <f t="shared" si="3"/>
        <v>0.50470204081632652</v>
      </c>
      <c r="W17">
        <v>3.6482999999999999</v>
      </c>
      <c r="X17">
        <v>20</v>
      </c>
      <c r="Y17" s="3">
        <f t="shared" si="4"/>
        <v>0.92655238095238091</v>
      </c>
      <c r="AA17">
        <v>15</v>
      </c>
      <c r="AB17">
        <v>3.0488</v>
      </c>
      <c r="AC17">
        <v>17.5</v>
      </c>
      <c r="AD17" s="3">
        <f t="shared" si="5"/>
        <v>0.49776326530612242</v>
      </c>
      <c r="AG17">
        <v>3.0112000000000001</v>
      </c>
      <c r="AH17">
        <v>26</v>
      </c>
      <c r="AI17" s="3">
        <f t="shared" si="6"/>
        <v>0.98324897959183677</v>
      </c>
    </row>
    <row r="18" spans="2:35">
      <c r="B18" s="4">
        <v>3.9375</v>
      </c>
      <c r="C18" s="5">
        <v>22.5</v>
      </c>
      <c r="D18" s="3">
        <f t="shared" si="0"/>
        <v>1</v>
      </c>
      <c r="G18" s="4">
        <v>3.8370000000000002</v>
      </c>
      <c r="H18" s="5">
        <v>20</v>
      </c>
      <c r="I18" s="3">
        <f t="shared" si="1"/>
        <v>0.9744761904761905</v>
      </c>
      <c r="L18" s="4">
        <v>3.2808000000000002</v>
      </c>
      <c r="M18" s="5">
        <v>15</v>
      </c>
      <c r="N18" s="3">
        <f t="shared" si="2"/>
        <v>0.5356408163265306</v>
      </c>
      <c r="Q18" s="4">
        <v>3.234</v>
      </c>
      <c r="R18" s="5">
        <v>15</v>
      </c>
      <c r="S18" s="3">
        <f t="shared" si="3"/>
        <v>0.52800000000000002</v>
      </c>
      <c r="W18">
        <v>3.7614999999999998</v>
      </c>
      <c r="X18">
        <v>22.5</v>
      </c>
      <c r="Y18" s="3">
        <f t="shared" si="4"/>
        <v>0.95530158730158721</v>
      </c>
      <c r="AA18">
        <v>16</v>
      </c>
      <c r="AB18">
        <v>3.1989999999999998</v>
      </c>
      <c r="AC18">
        <v>17.5</v>
      </c>
      <c r="AD18" s="3">
        <f t="shared" si="5"/>
        <v>0.52228571428571424</v>
      </c>
      <c r="AG18">
        <v>3.0625</v>
      </c>
      <c r="AH18">
        <v>27</v>
      </c>
      <c r="AI18" s="3">
        <f t="shared" si="6"/>
        <v>1</v>
      </c>
    </row>
    <row r="19" spans="2:35">
      <c r="B19" s="4">
        <v>3.9375</v>
      </c>
      <c r="C19" s="5">
        <v>22.5</v>
      </c>
      <c r="D19" s="3">
        <f t="shared" si="0"/>
        <v>1</v>
      </c>
      <c r="G19" s="4">
        <v>3.9285999999999999</v>
      </c>
      <c r="H19" s="5">
        <v>20</v>
      </c>
      <c r="I19" s="3">
        <f t="shared" si="1"/>
        <v>0.99773968253968248</v>
      </c>
      <c r="L19" s="4">
        <v>3.4096000000000002</v>
      </c>
      <c r="M19" s="5">
        <v>15</v>
      </c>
      <c r="N19" s="3">
        <f t="shared" si="2"/>
        <v>0.55666938775510211</v>
      </c>
      <c r="Q19" s="4">
        <v>3.3784000000000001</v>
      </c>
      <c r="R19" s="5">
        <v>16</v>
      </c>
      <c r="S19" s="3">
        <f t="shared" si="3"/>
        <v>0.55157551020408169</v>
      </c>
      <c r="W19">
        <v>3.8420999999999998</v>
      </c>
      <c r="X19">
        <v>25</v>
      </c>
      <c r="Y19" s="3">
        <f t="shared" si="4"/>
        <v>0.97577142857142851</v>
      </c>
      <c r="AA19">
        <v>17</v>
      </c>
      <c r="AB19">
        <v>3.3487</v>
      </c>
      <c r="AC19">
        <v>17.5</v>
      </c>
      <c r="AD19" s="3">
        <f t="shared" si="5"/>
        <v>0.54672653061224485</v>
      </c>
      <c r="AG19">
        <v>3.0625</v>
      </c>
      <c r="AH19">
        <v>30</v>
      </c>
      <c r="AI19" s="3">
        <f t="shared" si="6"/>
        <v>1</v>
      </c>
    </row>
    <row r="20" spans="2:35">
      <c r="B20" s="4">
        <v>3.9375</v>
      </c>
      <c r="C20" s="5">
        <v>27.5</v>
      </c>
      <c r="D20" s="3">
        <f t="shared" si="0"/>
        <v>1</v>
      </c>
      <c r="G20" s="4">
        <v>3.9375</v>
      </c>
      <c r="H20" s="5">
        <v>27.5</v>
      </c>
      <c r="I20" s="3">
        <f t="shared" si="1"/>
        <v>1</v>
      </c>
      <c r="L20" s="4">
        <v>3.5400999999999998</v>
      </c>
      <c r="M20" s="5">
        <v>15</v>
      </c>
      <c r="N20" s="3">
        <f t="shared" si="2"/>
        <v>0.57797551020408156</v>
      </c>
      <c r="Q20" s="4">
        <v>3.5238</v>
      </c>
      <c r="R20" s="5">
        <v>17.5</v>
      </c>
      <c r="S20" s="3">
        <f t="shared" si="3"/>
        <v>0.57531428571428567</v>
      </c>
      <c r="W20" s="4">
        <v>3.9375</v>
      </c>
      <c r="X20">
        <v>27.5</v>
      </c>
      <c r="Y20" s="3">
        <f t="shared" si="4"/>
        <v>1</v>
      </c>
      <c r="AA20">
        <v>18</v>
      </c>
      <c r="AB20">
        <v>3.4973000000000001</v>
      </c>
      <c r="AC20">
        <v>17.5</v>
      </c>
      <c r="AD20" s="3">
        <f t="shared" si="5"/>
        <v>0.57098775510204081</v>
      </c>
      <c r="AG20">
        <v>3.0625</v>
      </c>
      <c r="AH20">
        <v>30</v>
      </c>
      <c r="AI20" s="3">
        <f t="shared" si="6"/>
        <v>1</v>
      </c>
    </row>
    <row r="21" spans="2:35">
      <c r="B21" s="4">
        <v>3.9375</v>
      </c>
      <c r="C21" s="5">
        <v>27.5</v>
      </c>
      <c r="D21" s="3">
        <f t="shared" si="0"/>
        <v>1</v>
      </c>
      <c r="G21" s="4">
        <v>3.9375</v>
      </c>
      <c r="H21" s="5">
        <v>27.5</v>
      </c>
      <c r="I21" s="3">
        <f t="shared" si="1"/>
        <v>1</v>
      </c>
      <c r="L21" s="4">
        <v>3.6715</v>
      </c>
      <c r="M21" s="5">
        <v>15</v>
      </c>
      <c r="N21" s="3">
        <f t="shared" si="2"/>
        <v>0.59942857142857142</v>
      </c>
      <c r="Q21" s="4">
        <v>3.6694</v>
      </c>
      <c r="R21" s="5">
        <v>17.5</v>
      </c>
      <c r="S21" s="3">
        <f t="shared" si="3"/>
        <v>0.59908571428571433</v>
      </c>
      <c r="W21" s="4">
        <v>3.9375</v>
      </c>
      <c r="X21">
        <v>30</v>
      </c>
      <c r="Y21" s="3">
        <f t="shared" si="4"/>
        <v>1</v>
      </c>
      <c r="AA21">
        <v>19</v>
      </c>
      <c r="AB21">
        <v>3.6440000000000001</v>
      </c>
      <c r="AC21">
        <v>18</v>
      </c>
      <c r="AD21" s="3">
        <f t="shared" si="5"/>
        <v>0.59493877551020413</v>
      </c>
      <c r="AG21">
        <v>3.0625</v>
      </c>
      <c r="AH21">
        <v>30</v>
      </c>
      <c r="AI21" s="3">
        <f t="shared" si="6"/>
        <v>1</v>
      </c>
    </row>
    <row r="22" spans="2:35">
      <c r="B22" s="4">
        <v>3.9375</v>
      </c>
      <c r="C22" s="5">
        <v>27.5</v>
      </c>
      <c r="D22" s="3">
        <f t="shared" si="0"/>
        <v>1</v>
      </c>
      <c r="G22" s="4">
        <v>3.9375</v>
      </c>
      <c r="H22" s="5">
        <v>27.5</v>
      </c>
      <c r="I22" s="3">
        <f t="shared" si="1"/>
        <v>1</v>
      </c>
      <c r="L22" s="4">
        <v>3.8098000000000001</v>
      </c>
      <c r="M22" s="5">
        <v>15</v>
      </c>
      <c r="N22" s="3">
        <f t="shared" si="2"/>
        <v>0.62200816326530617</v>
      </c>
      <c r="Q22" s="4">
        <v>3.81</v>
      </c>
      <c r="R22" s="5">
        <v>17.5</v>
      </c>
      <c r="S22" s="3">
        <f t="shared" si="3"/>
        <v>0.62204081632653063</v>
      </c>
      <c r="W22" s="4">
        <v>3.9375</v>
      </c>
      <c r="X22">
        <v>35</v>
      </c>
      <c r="Y22" s="3">
        <f t="shared" si="4"/>
        <v>1</v>
      </c>
      <c r="AA22">
        <v>20</v>
      </c>
      <c r="AB22">
        <v>3.7886000000000002</v>
      </c>
      <c r="AC22">
        <v>18</v>
      </c>
      <c r="AD22" s="3">
        <f t="shared" si="5"/>
        <v>0.61854693877551026</v>
      </c>
      <c r="AG22">
        <v>3.0625</v>
      </c>
      <c r="AH22">
        <v>30</v>
      </c>
      <c r="AI22" s="3">
        <f t="shared" si="6"/>
        <v>1</v>
      </c>
    </row>
    <row r="23" spans="2:35">
      <c r="L23" s="4">
        <v>3.9538000000000002</v>
      </c>
      <c r="M23" s="5">
        <v>15</v>
      </c>
      <c r="N23" s="3">
        <f t="shared" si="2"/>
        <v>0.64551836734693879</v>
      </c>
      <c r="Q23" s="4">
        <v>3.9607999999999999</v>
      </c>
      <c r="R23" s="5">
        <v>17.5</v>
      </c>
      <c r="S23" s="3">
        <f t="shared" si="3"/>
        <v>0.6466612244897959</v>
      </c>
      <c r="W23" s="4">
        <v>3.9375</v>
      </c>
      <c r="X23">
        <v>35</v>
      </c>
      <c r="Y23" s="3">
        <f t="shared" si="4"/>
        <v>1</v>
      </c>
      <c r="AA23">
        <v>21</v>
      </c>
      <c r="AB23">
        <v>3.9304000000000001</v>
      </c>
      <c r="AC23">
        <v>18</v>
      </c>
      <c r="AD23" s="3">
        <f t="shared" si="5"/>
        <v>0.64169795918367345</v>
      </c>
      <c r="AI23" s="3"/>
    </row>
    <row r="24" spans="2:35">
      <c r="L24" s="4">
        <v>4.0966199999999997</v>
      </c>
      <c r="M24" s="5">
        <v>15</v>
      </c>
      <c r="N24" s="3">
        <f t="shared" si="2"/>
        <v>0.6688359183673469</v>
      </c>
      <c r="Q24" s="4">
        <v>4.0945999999999998</v>
      </c>
      <c r="R24" s="5">
        <v>17.5</v>
      </c>
      <c r="S24" s="3">
        <f t="shared" si="3"/>
        <v>0.66850612244897956</v>
      </c>
      <c r="W24" s="4">
        <v>3.9375</v>
      </c>
      <c r="X24">
        <v>35</v>
      </c>
      <c r="Y24" s="3">
        <f t="shared" si="4"/>
        <v>1</v>
      </c>
      <c r="AA24">
        <v>22</v>
      </c>
      <c r="AB24">
        <v>4.0682</v>
      </c>
      <c r="AC24">
        <v>19</v>
      </c>
      <c r="AD24" s="3">
        <f t="shared" si="5"/>
        <v>0.66419591836734693</v>
      </c>
      <c r="AI24" s="3"/>
    </row>
    <row r="25" spans="2:35">
      <c r="L25" s="4">
        <v>4.2374000000000001</v>
      </c>
      <c r="M25" s="5">
        <v>15</v>
      </c>
      <c r="N25" s="3">
        <f t="shared" si="2"/>
        <v>0.69182040816326529</v>
      </c>
      <c r="Q25" s="4">
        <v>4.2350000000000003</v>
      </c>
      <c r="R25" s="5">
        <v>17.5</v>
      </c>
      <c r="S25" s="3">
        <f t="shared" si="3"/>
        <v>0.6914285714285715</v>
      </c>
      <c r="AA25">
        <v>23</v>
      </c>
      <c r="AB25">
        <v>4.2028999999999996</v>
      </c>
      <c r="AC25">
        <v>19</v>
      </c>
      <c r="AD25" s="3">
        <f t="shared" si="5"/>
        <v>0.68618775510204078</v>
      </c>
    </row>
    <row r="26" spans="2:35">
      <c r="L26" s="4">
        <v>4.3769999999999998</v>
      </c>
      <c r="M26" s="5">
        <v>15</v>
      </c>
      <c r="N26" s="3">
        <f t="shared" si="2"/>
        <v>0.71461224489795916</v>
      </c>
      <c r="Q26" s="4">
        <v>4.3735999999999997</v>
      </c>
      <c r="R26" s="5">
        <v>17.5</v>
      </c>
      <c r="S26" s="3">
        <f t="shared" si="3"/>
        <v>0.71405714285714283</v>
      </c>
      <c r="AA26">
        <v>24</v>
      </c>
      <c r="AB26">
        <v>4.3232999999999997</v>
      </c>
      <c r="AC26">
        <v>19</v>
      </c>
      <c r="AD26" s="3">
        <f t="shared" si="5"/>
        <v>0.70584489795918359</v>
      </c>
    </row>
    <row r="27" spans="2:35">
      <c r="L27" s="4">
        <v>4.5134999999999996</v>
      </c>
      <c r="M27" s="5">
        <v>15</v>
      </c>
      <c r="N27" s="3">
        <f t="shared" si="2"/>
        <v>0.7368979591836734</v>
      </c>
      <c r="Q27" s="4">
        <v>4.5098000000000003</v>
      </c>
      <c r="R27" s="5">
        <v>17.5</v>
      </c>
      <c r="S27" s="3">
        <f t="shared" si="3"/>
        <v>0.73629387755102049</v>
      </c>
      <c r="AA27">
        <v>25</v>
      </c>
      <c r="AB27">
        <v>4.4391999999999996</v>
      </c>
      <c r="AC27">
        <v>20</v>
      </c>
      <c r="AD27" s="3">
        <f t="shared" si="5"/>
        <v>0.72476734693877543</v>
      </c>
    </row>
    <row r="28" spans="2:35">
      <c r="L28" s="4">
        <v>4.6482999999999999</v>
      </c>
      <c r="M28" s="5">
        <v>15</v>
      </c>
      <c r="N28" s="3">
        <f t="shared" si="2"/>
        <v>0.75890612244897959</v>
      </c>
      <c r="Q28" s="4">
        <v>4.6429999999999998</v>
      </c>
      <c r="R28" s="5">
        <v>18</v>
      </c>
      <c r="S28" s="3">
        <f t="shared" si="3"/>
        <v>0.75804081632653053</v>
      </c>
      <c r="AA28">
        <v>26</v>
      </c>
      <c r="AB28">
        <v>4.5515999999999996</v>
      </c>
      <c r="AC28">
        <v>20</v>
      </c>
      <c r="AD28" s="3">
        <f t="shared" si="5"/>
        <v>0.7431183673469387</v>
      </c>
    </row>
    <row r="29" spans="2:35">
      <c r="L29" s="4">
        <v>4.7779999999999996</v>
      </c>
      <c r="M29" s="5">
        <v>15</v>
      </c>
      <c r="N29" s="3">
        <f t="shared" si="2"/>
        <v>0.78008163265306119</v>
      </c>
      <c r="Q29" s="4">
        <v>4.7725999999999997</v>
      </c>
      <c r="R29" s="5">
        <v>19</v>
      </c>
      <c r="S29" s="3">
        <f t="shared" si="3"/>
        <v>0.7792</v>
      </c>
      <c r="AA29">
        <v>27</v>
      </c>
      <c r="AB29">
        <v>4.6595000000000004</v>
      </c>
      <c r="AC29">
        <v>20</v>
      </c>
      <c r="AD29" s="3">
        <f t="shared" si="5"/>
        <v>0.7607346938775511</v>
      </c>
    </row>
    <row r="30" spans="2:35">
      <c r="L30" s="4">
        <v>4.9001000000000001</v>
      </c>
      <c r="M30" s="5">
        <v>15</v>
      </c>
      <c r="N30" s="3">
        <f t="shared" si="2"/>
        <v>0.80001632653061228</v>
      </c>
      <c r="Q30" s="4">
        <v>4.8982999999999999</v>
      </c>
      <c r="R30" s="5">
        <v>20</v>
      </c>
      <c r="S30" s="3">
        <f t="shared" si="3"/>
        <v>0.79972244897959177</v>
      </c>
      <c r="AA30">
        <v>28</v>
      </c>
      <c r="AB30">
        <v>4.7619999999999996</v>
      </c>
      <c r="AC30">
        <v>21</v>
      </c>
      <c r="AD30" s="3">
        <f t="shared" si="5"/>
        <v>0.77746938775510199</v>
      </c>
    </row>
    <row r="31" spans="2:35">
      <c r="L31" s="4">
        <v>5.0237999999999996</v>
      </c>
      <c r="M31" s="5">
        <v>15</v>
      </c>
      <c r="N31" s="3">
        <f t="shared" si="2"/>
        <v>0.82021224489795908</v>
      </c>
      <c r="Q31" s="4">
        <v>5.0197000000000003</v>
      </c>
      <c r="R31" s="5">
        <v>21</v>
      </c>
      <c r="S31" s="3">
        <f t="shared" si="3"/>
        <v>0.81954285714285724</v>
      </c>
      <c r="AA31">
        <v>29</v>
      </c>
      <c r="AB31">
        <v>4.8609999999999998</v>
      </c>
      <c r="AC31">
        <v>21</v>
      </c>
      <c r="AD31" s="3">
        <f t="shared" si="5"/>
        <v>0.79363265306122444</v>
      </c>
    </row>
    <row r="32" spans="2:35">
      <c r="L32" s="4">
        <v>5.1398000000000001</v>
      </c>
      <c r="M32" s="5">
        <v>15</v>
      </c>
      <c r="N32" s="3">
        <f t="shared" si="2"/>
        <v>0.83915102040816325</v>
      </c>
      <c r="Q32" s="4">
        <v>5.1364000000000001</v>
      </c>
      <c r="R32" s="5">
        <v>22</v>
      </c>
      <c r="S32" s="3">
        <f t="shared" si="3"/>
        <v>0.83859591836734693</v>
      </c>
      <c r="AA32">
        <v>30</v>
      </c>
      <c r="AB32">
        <v>4.9555999999999996</v>
      </c>
      <c r="AC32">
        <v>21</v>
      </c>
      <c r="AD32" s="3">
        <f t="shared" si="5"/>
        <v>0.80907755102040813</v>
      </c>
    </row>
    <row r="33" spans="12:30">
      <c r="L33" s="4">
        <v>5.2504999999999997</v>
      </c>
      <c r="M33" s="5">
        <v>15</v>
      </c>
      <c r="N33" s="3">
        <f t="shared" si="2"/>
        <v>0.85722448979591837</v>
      </c>
      <c r="Q33" s="4">
        <v>5.2478999999999996</v>
      </c>
      <c r="R33" s="5">
        <v>23</v>
      </c>
      <c r="S33" s="3">
        <f t="shared" si="3"/>
        <v>0.8567999999999999</v>
      </c>
      <c r="AA33">
        <v>31</v>
      </c>
      <c r="AB33">
        <v>5.0446999999999997</v>
      </c>
      <c r="AC33">
        <v>22</v>
      </c>
      <c r="AD33" s="3">
        <f t="shared" si="5"/>
        <v>0.82362448979591829</v>
      </c>
    </row>
    <row r="34" spans="12:30">
      <c r="L34" s="4">
        <v>5.3551000000000002</v>
      </c>
      <c r="M34" s="5">
        <v>15</v>
      </c>
      <c r="N34" s="3">
        <f t="shared" si="2"/>
        <v>0.87430204081632656</v>
      </c>
      <c r="Q34" s="4">
        <v>5.3239000000000001</v>
      </c>
      <c r="R34" s="5">
        <v>24</v>
      </c>
      <c r="S34" s="3">
        <f t="shared" si="3"/>
        <v>0.86920816326530614</v>
      </c>
      <c r="AA34">
        <v>32</v>
      </c>
      <c r="AB34">
        <v>5.1307</v>
      </c>
      <c r="AC34">
        <v>22</v>
      </c>
      <c r="AD34" s="3">
        <f t="shared" si="5"/>
        <v>0.83766530612244894</v>
      </c>
    </row>
    <row r="35" spans="12:30">
      <c r="L35" s="4">
        <v>5.4527999999999999</v>
      </c>
      <c r="M35" s="5">
        <v>15</v>
      </c>
      <c r="N35" s="3">
        <f t="shared" si="2"/>
        <v>0.89025306122448977</v>
      </c>
      <c r="Q35" s="4">
        <v>5.4541000000000004</v>
      </c>
      <c r="R35" s="5">
        <v>25</v>
      </c>
      <c r="S35" s="3">
        <f t="shared" si="3"/>
        <v>0.89046530612244901</v>
      </c>
      <c r="AA35">
        <v>33</v>
      </c>
      <c r="AB35">
        <v>5.2126999999999999</v>
      </c>
      <c r="AC35">
        <v>22</v>
      </c>
      <c r="AD35" s="3">
        <f t="shared" si="5"/>
        <v>0.85105306122448976</v>
      </c>
    </row>
    <row r="36" spans="12:30">
      <c r="L36" s="4">
        <v>5.5411999999999999</v>
      </c>
      <c r="M36" s="5">
        <v>17.5</v>
      </c>
      <c r="N36" s="3">
        <f t="shared" si="2"/>
        <v>0.90468571428571432</v>
      </c>
      <c r="Q36" s="4">
        <v>5.5494000000000003</v>
      </c>
      <c r="R36" s="5">
        <v>26</v>
      </c>
      <c r="S36" s="3">
        <f t="shared" si="3"/>
        <v>0.90602448979591843</v>
      </c>
      <c r="AA36">
        <v>34</v>
      </c>
      <c r="AB36">
        <v>5.2892000000000001</v>
      </c>
      <c r="AC36">
        <v>23</v>
      </c>
      <c r="AD36" s="3">
        <f t="shared" si="5"/>
        <v>0.86354285714285717</v>
      </c>
    </row>
    <row r="37" spans="12:30">
      <c r="L37" s="4">
        <v>5.6247999999999996</v>
      </c>
      <c r="M37" s="5">
        <v>17.5</v>
      </c>
      <c r="N37" s="3">
        <f t="shared" si="2"/>
        <v>0.91833469387755096</v>
      </c>
      <c r="Q37" s="4">
        <v>5.6368999999999998</v>
      </c>
      <c r="R37" s="5">
        <v>26</v>
      </c>
      <c r="S37" s="3">
        <f t="shared" si="3"/>
        <v>0.92031020408163267</v>
      </c>
      <c r="AA37">
        <v>35</v>
      </c>
      <c r="AB37">
        <v>5.3631000000000002</v>
      </c>
      <c r="AC37">
        <v>23</v>
      </c>
      <c r="AD37" s="3">
        <f t="shared" si="5"/>
        <v>0.87560816326530611</v>
      </c>
    </row>
    <row r="38" spans="12:30">
      <c r="L38" s="4">
        <v>5.7012999999999998</v>
      </c>
      <c r="M38" s="5">
        <v>17.5</v>
      </c>
      <c r="N38" s="3">
        <f t="shared" si="2"/>
        <v>0.93082448979591836</v>
      </c>
      <c r="Q38" s="4">
        <v>5.7191000000000001</v>
      </c>
      <c r="R38" s="5">
        <v>27</v>
      </c>
      <c r="S38" s="3">
        <f t="shared" si="3"/>
        <v>0.93373061224489795</v>
      </c>
      <c r="AA38">
        <v>36</v>
      </c>
      <c r="AB38">
        <v>5.4318</v>
      </c>
      <c r="AC38">
        <v>24</v>
      </c>
      <c r="AD38" s="3">
        <f t="shared" si="5"/>
        <v>0.88682448979591832</v>
      </c>
    </row>
    <row r="39" spans="12:30">
      <c r="L39" s="4">
        <v>5.7671000000000001</v>
      </c>
      <c r="M39" s="5">
        <v>20</v>
      </c>
      <c r="N39" s="3">
        <f t="shared" si="2"/>
        <v>0.94156734693877553</v>
      </c>
      <c r="Q39" s="4">
        <v>5.7927</v>
      </c>
      <c r="R39" s="5">
        <v>27</v>
      </c>
      <c r="S39" s="3">
        <f t="shared" si="3"/>
        <v>0.94574693877551019</v>
      </c>
      <c r="AA39">
        <v>37</v>
      </c>
      <c r="AB39">
        <v>5.4981</v>
      </c>
      <c r="AC39">
        <v>24</v>
      </c>
      <c r="AD39" s="3">
        <f t="shared" si="5"/>
        <v>0.89764897959183676</v>
      </c>
    </row>
    <row r="40" spans="12:30">
      <c r="L40" s="4">
        <v>5.8278999999999996</v>
      </c>
      <c r="M40" s="5">
        <v>20</v>
      </c>
      <c r="N40" s="3">
        <f t="shared" si="2"/>
        <v>0.95149387755102033</v>
      </c>
      <c r="Q40" s="4">
        <v>5.8608000000000002</v>
      </c>
      <c r="R40" s="5">
        <v>28</v>
      </c>
      <c r="S40" s="3">
        <f t="shared" si="3"/>
        <v>0.95686530612244902</v>
      </c>
      <c r="AA40">
        <v>38</v>
      </c>
      <c r="AB40">
        <v>5.5591999999999997</v>
      </c>
      <c r="AC40">
        <v>25</v>
      </c>
      <c r="AD40" s="3">
        <f t="shared" si="5"/>
        <v>0.90762448979591837</v>
      </c>
    </row>
    <row r="41" spans="12:30">
      <c r="L41" s="4">
        <v>5.8800999999999997</v>
      </c>
      <c r="M41" s="5">
        <v>20</v>
      </c>
      <c r="N41" s="3">
        <f t="shared" si="2"/>
        <v>0.9600163265306122</v>
      </c>
      <c r="Q41" s="4">
        <v>5.9196</v>
      </c>
      <c r="R41" s="5">
        <v>28</v>
      </c>
      <c r="S41" s="3">
        <f t="shared" si="3"/>
        <v>0.96646530612244896</v>
      </c>
      <c r="AA41">
        <v>39</v>
      </c>
      <c r="AB41">
        <v>5.6182999999999996</v>
      </c>
      <c r="AC41">
        <v>25</v>
      </c>
      <c r="AD41" s="3">
        <f t="shared" si="5"/>
        <v>0.917273469387755</v>
      </c>
    </row>
    <row r="42" spans="12:30">
      <c r="L42" s="4">
        <v>5.9203000000000001</v>
      </c>
      <c r="M42" s="5">
        <v>22.5</v>
      </c>
      <c r="N42" s="3">
        <f t="shared" si="2"/>
        <v>0.9665795918367347</v>
      </c>
      <c r="Q42" s="4">
        <v>5.9726999999999997</v>
      </c>
      <c r="R42" s="5">
        <v>29</v>
      </c>
      <c r="S42" s="3">
        <f t="shared" si="3"/>
        <v>0.97513469387755092</v>
      </c>
      <c r="AA42">
        <v>40</v>
      </c>
      <c r="AB42">
        <v>5.6722000000000001</v>
      </c>
      <c r="AC42">
        <v>26</v>
      </c>
      <c r="AD42" s="3">
        <f t="shared" si="5"/>
        <v>0.92607346938775514</v>
      </c>
    </row>
    <row r="43" spans="12:30">
      <c r="L43" s="4">
        <v>5.9610000000000003</v>
      </c>
      <c r="M43" s="5">
        <v>22.5</v>
      </c>
      <c r="N43" s="3">
        <f t="shared" si="2"/>
        <v>0.97322448979591847</v>
      </c>
      <c r="Q43" s="4">
        <v>6.0159000000000002</v>
      </c>
      <c r="R43" s="5">
        <v>29</v>
      </c>
      <c r="S43" s="3">
        <f t="shared" si="3"/>
        <v>0.98218775510204082</v>
      </c>
      <c r="AA43">
        <v>41</v>
      </c>
      <c r="AB43">
        <v>5.7244000000000002</v>
      </c>
      <c r="AC43">
        <v>26</v>
      </c>
      <c r="AD43" s="3">
        <f t="shared" si="5"/>
        <v>0.93459591836734701</v>
      </c>
    </row>
    <row r="44" spans="12:30">
      <c r="L44" s="4">
        <v>5.9996</v>
      </c>
      <c r="M44" s="5">
        <v>22.5</v>
      </c>
      <c r="N44" s="3">
        <f t="shared" si="2"/>
        <v>0.97952653061224493</v>
      </c>
      <c r="Q44" s="4">
        <v>6.0532000000000004</v>
      </c>
      <c r="R44" s="5">
        <v>30</v>
      </c>
      <c r="S44" s="3">
        <f t="shared" si="3"/>
        <v>0.98827755102040826</v>
      </c>
      <c r="AA44">
        <v>42</v>
      </c>
      <c r="AB44">
        <v>5.7713999999999999</v>
      </c>
      <c r="AC44">
        <v>27</v>
      </c>
      <c r="AD44" s="3">
        <f t="shared" si="5"/>
        <v>0.94226938775510205</v>
      </c>
    </row>
    <row r="45" spans="12:30">
      <c r="L45" s="4">
        <v>6.0313999999999997</v>
      </c>
      <c r="M45" s="5">
        <v>25</v>
      </c>
      <c r="N45" s="3">
        <f t="shared" si="2"/>
        <v>0.98471836734693874</v>
      </c>
      <c r="Q45" s="4">
        <v>6.0800999999999998</v>
      </c>
      <c r="R45" s="5">
        <v>30</v>
      </c>
      <c r="S45" s="3">
        <f t="shared" si="3"/>
        <v>0.99266938775510205</v>
      </c>
      <c r="AA45">
        <v>43</v>
      </c>
      <c r="AB45">
        <v>5.8170999999999999</v>
      </c>
      <c r="AC45">
        <v>27</v>
      </c>
      <c r="AD45" s="3">
        <f t="shared" si="5"/>
        <v>0.94973061224489796</v>
      </c>
    </row>
    <row r="46" spans="12:30">
      <c r="L46" s="4">
        <v>6.0659000000000001</v>
      </c>
      <c r="M46" s="5">
        <v>25</v>
      </c>
      <c r="N46" s="3">
        <f t="shared" si="2"/>
        <v>0.99035102040816325</v>
      </c>
      <c r="Q46" s="4">
        <v>6.1012000000000004</v>
      </c>
      <c r="R46" s="5">
        <v>30</v>
      </c>
      <c r="S46" s="3">
        <f t="shared" si="3"/>
        <v>0.99611428571428573</v>
      </c>
      <c r="AA46">
        <v>44</v>
      </c>
      <c r="AB46">
        <v>5.8596000000000004</v>
      </c>
      <c r="AC46">
        <v>27</v>
      </c>
      <c r="AD46" s="3">
        <f t="shared" si="5"/>
        <v>0.95666938775510213</v>
      </c>
    </row>
    <row r="47" spans="12:30">
      <c r="L47" s="4">
        <v>6.0956000000000001</v>
      </c>
      <c r="M47" s="5">
        <v>25</v>
      </c>
      <c r="N47" s="3">
        <f t="shared" si="2"/>
        <v>0.99519999999999997</v>
      </c>
      <c r="Q47" s="4">
        <v>6.125</v>
      </c>
      <c r="R47" s="5">
        <v>35</v>
      </c>
      <c r="S47" s="3">
        <f t="shared" si="3"/>
        <v>1</v>
      </c>
      <c r="AA47">
        <v>45</v>
      </c>
      <c r="AB47">
        <v>5.8967999999999998</v>
      </c>
      <c r="AC47">
        <v>28</v>
      </c>
      <c r="AD47" s="3">
        <f t="shared" si="5"/>
        <v>0.96274285714285712</v>
      </c>
    </row>
    <row r="48" spans="12:30">
      <c r="L48" s="4">
        <v>6.125</v>
      </c>
      <c r="M48" s="5">
        <v>25</v>
      </c>
      <c r="N48" s="3">
        <f t="shared" si="2"/>
        <v>1</v>
      </c>
      <c r="Q48" s="4">
        <v>6.125</v>
      </c>
      <c r="R48" s="5">
        <v>35</v>
      </c>
      <c r="S48" s="3">
        <f t="shared" si="3"/>
        <v>1</v>
      </c>
      <c r="AA48">
        <v>46</v>
      </c>
      <c r="AB48">
        <v>5.9330999999999996</v>
      </c>
      <c r="AC48">
        <v>28</v>
      </c>
      <c r="AD48" s="3">
        <f t="shared" si="5"/>
        <v>0.96866938775510203</v>
      </c>
    </row>
    <row r="49" spans="12:30">
      <c r="L49" s="4">
        <v>6.125</v>
      </c>
      <c r="M49" s="5">
        <v>25</v>
      </c>
      <c r="N49" s="3">
        <f t="shared" si="2"/>
        <v>1</v>
      </c>
      <c r="Q49" s="4">
        <v>6.125</v>
      </c>
      <c r="R49" s="5">
        <v>35</v>
      </c>
      <c r="S49" s="3">
        <f t="shared" si="3"/>
        <v>1</v>
      </c>
      <c r="AA49">
        <v>47</v>
      </c>
      <c r="AB49">
        <v>5.9663000000000004</v>
      </c>
      <c r="AC49">
        <v>28</v>
      </c>
      <c r="AD49" s="3">
        <f t="shared" si="5"/>
        <v>0.97408979591836742</v>
      </c>
    </row>
    <row r="50" spans="12:30">
      <c r="L50" s="4">
        <v>6.125</v>
      </c>
      <c r="M50" s="5">
        <v>25</v>
      </c>
      <c r="N50" s="3">
        <f t="shared" si="2"/>
        <v>1</v>
      </c>
      <c r="Q50" s="4">
        <v>6.125</v>
      </c>
      <c r="R50" s="5">
        <v>35</v>
      </c>
      <c r="S50" s="3">
        <f t="shared" si="3"/>
        <v>1</v>
      </c>
      <c r="AA50">
        <v>48</v>
      </c>
      <c r="AB50">
        <v>5.9943</v>
      </c>
      <c r="AC50">
        <v>29</v>
      </c>
      <c r="AD50" s="3">
        <f t="shared" si="5"/>
        <v>0.97866122448979587</v>
      </c>
    </row>
    <row r="51" spans="12:30">
      <c r="L51" s="4">
        <v>6.125</v>
      </c>
      <c r="M51" s="5">
        <v>30</v>
      </c>
      <c r="N51" s="3">
        <f t="shared" si="2"/>
        <v>1</v>
      </c>
      <c r="Q51" s="4">
        <v>6.125</v>
      </c>
      <c r="R51" s="5">
        <v>40</v>
      </c>
      <c r="S51" s="3">
        <f t="shared" si="3"/>
        <v>1</v>
      </c>
      <c r="AA51">
        <v>49</v>
      </c>
      <c r="AB51">
        <v>6.0214999999999996</v>
      </c>
      <c r="AC51">
        <v>29</v>
      </c>
      <c r="AD51" s="3">
        <f t="shared" si="5"/>
        <v>0.98310204081632646</v>
      </c>
    </row>
    <row r="52" spans="12:30">
      <c r="L52" s="4">
        <v>6.125</v>
      </c>
      <c r="M52" s="5">
        <v>30</v>
      </c>
      <c r="N52" s="3">
        <f t="shared" si="2"/>
        <v>1</v>
      </c>
      <c r="Q52" s="4">
        <v>6.125</v>
      </c>
      <c r="R52" s="5">
        <v>40</v>
      </c>
      <c r="S52" s="3">
        <f t="shared" si="3"/>
        <v>1</v>
      </c>
      <c r="AA52">
        <v>50</v>
      </c>
      <c r="AB52">
        <v>6.0458999999999996</v>
      </c>
      <c r="AC52">
        <v>29</v>
      </c>
      <c r="AD52" s="3">
        <f t="shared" si="5"/>
        <v>0.98708571428571423</v>
      </c>
    </row>
    <row r="53" spans="12:30">
      <c r="L53" s="4">
        <v>6.125</v>
      </c>
      <c r="M53" s="5">
        <v>30</v>
      </c>
      <c r="N53" s="3">
        <f t="shared" si="2"/>
        <v>1</v>
      </c>
      <c r="Q53" s="4">
        <v>6.125</v>
      </c>
      <c r="R53" s="5">
        <v>40</v>
      </c>
      <c r="S53" s="3">
        <f t="shared" si="3"/>
        <v>1</v>
      </c>
      <c r="AA53">
        <v>51</v>
      </c>
      <c r="AB53">
        <v>6.0648999999999997</v>
      </c>
      <c r="AC53">
        <v>30</v>
      </c>
      <c r="AD53" s="3">
        <f t="shared" si="5"/>
        <v>0.99018775510204082</v>
      </c>
    </row>
    <row r="54" spans="12:30">
      <c r="L54" s="4">
        <v>6.125</v>
      </c>
      <c r="M54" s="5">
        <v>30</v>
      </c>
      <c r="N54" s="3">
        <f t="shared" si="2"/>
        <v>1</v>
      </c>
      <c r="Q54" s="4">
        <v>6.125</v>
      </c>
      <c r="R54" s="5">
        <v>40</v>
      </c>
      <c r="S54" s="3">
        <f t="shared" si="3"/>
        <v>1</v>
      </c>
      <c r="AA54">
        <v>52</v>
      </c>
      <c r="AB54">
        <v>6.0834999999999999</v>
      </c>
      <c r="AC54">
        <v>30</v>
      </c>
      <c r="AD54" s="3">
        <f t="shared" si="5"/>
        <v>0.99322448979591837</v>
      </c>
    </row>
    <row r="55" spans="12:30">
      <c r="L55" s="4">
        <v>6.125</v>
      </c>
      <c r="M55" s="5">
        <v>30</v>
      </c>
      <c r="N55" s="3">
        <f t="shared" si="2"/>
        <v>1</v>
      </c>
      <c r="Q55" s="4">
        <v>6.125</v>
      </c>
      <c r="R55" s="5">
        <v>40</v>
      </c>
      <c r="S55" s="3">
        <f t="shared" si="3"/>
        <v>1</v>
      </c>
      <c r="AA55">
        <v>53</v>
      </c>
      <c r="AB55">
        <v>6.125</v>
      </c>
      <c r="AC55">
        <v>30</v>
      </c>
      <c r="AD55" s="3">
        <f t="shared" si="5"/>
        <v>1</v>
      </c>
    </row>
    <row r="56" spans="12:30">
      <c r="L56" s="4">
        <v>6.125</v>
      </c>
      <c r="M56" s="5">
        <v>30</v>
      </c>
      <c r="N56" s="3">
        <f t="shared" si="2"/>
        <v>1</v>
      </c>
      <c r="Q56" s="4">
        <v>6.125</v>
      </c>
      <c r="R56" s="5">
        <v>40</v>
      </c>
      <c r="S56" s="3">
        <f t="shared" si="3"/>
        <v>1</v>
      </c>
      <c r="AA56">
        <v>54</v>
      </c>
      <c r="AB56">
        <v>6.125</v>
      </c>
      <c r="AC56">
        <v>30</v>
      </c>
      <c r="AD56" s="3">
        <f t="shared" si="5"/>
        <v>1</v>
      </c>
    </row>
    <row r="57" spans="12:30">
      <c r="AA57">
        <v>55</v>
      </c>
      <c r="AB57">
        <v>6.125</v>
      </c>
      <c r="AC57">
        <v>30</v>
      </c>
      <c r="AD57" s="3">
        <f t="shared" si="5"/>
        <v>1</v>
      </c>
    </row>
    <row r="58" spans="12:30">
      <c r="AA58">
        <v>56</v>
      </c>
      <c r="AB58">
        <v>6.125</v>
      </c>
      <c r="AC58">
        <v>30</v>
      </c>
      <c r="AD58" s="3">
        <f t="shared" si="5"/>
        <v>1</v>
      </c>
    </row>
    <row r="59" spans="12:30">
      <c r="AA59">
        <v>57</v>
      </c>
      <c r="AB59">
        <v>6.125</v>
      </c>
      <c r="AC59">
        <v>35</v>
      </c>
      <c r="AD59" s="3">
        <f t="shared" si="5"/>
        <v>1</v>
      </c>
    </row>
    <row r="60" spans="12:30">
      <c r="AA60">
        <v>58</v>
      </c>
      <c r="AB60">
        <v>6.125</v>
      </c>
      <c r="AC60">
        <v>35</v>
      </c>
      <c r="AD60" s="3">
        <f t="shared" si="5"/>
        <v>1</v>
      </c>
    </row>
    <row r="61" spans="12:30">
      <c r="AA61">
        <v>59</v>
      </c>
      <c r="AB61">
        <v>6.125</v>
      </c>
      <c r="AC61">
        <v>35</v>
      </c>
      <c r="AD61" s="3">
        <f t="shared" si="5"/>
        <v>1</v>
      </c>
    </row>
    <row r="62" spans="12:30">
      <c r="AA62">
        <v>60</v>
      </c>
      <c r="AB62">
        <v>6.125</v>
      </c>
      <c r="AC62">
        <v>35</v>
      </c>
      <c r="AD62" s="3">
        <f t="shared" si="5"/>
        <v>1</v>
      </c>
    </row>
    <row r="63" spans="12:30">
      <c r="AA63">
        <v>61</v>
      </c>
      <c r="AB63">
        <v>6.125</v>
      </c>
      <c r="AC63">
        <v>35</v>
      </c>
      <c r="AD63" s="3">
        <f t="shared" si="5"/>
        <v>1</v>
      </c>
    </row>
    <row r="64" spans="12:30">
      <c r="AA64">
        <v>62</v>
      </c>
      <c r="AB64">
        <v>6.125</v>
      </c>
      <c r="AC64">
        <v>35</v>
      </c>
      <c r="AD64" s="3">
        <f t="shared" si="5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3</vt:i4>
      </vt:variant>
    </vt:vector>
  </HeadingPairs>
  <TitlesOfParts>
    <vt:vector size="4" baseType="lpstr">
      <vt:lpstr>Data</vt:lpstr>
      <vt:lpstr>1992-2031-58-64-72-73</vt:lpstr>
      <vt:lpstr>1992 vs 2031 vs 2072</vt:lpstr>
      <vt:lpstr>2058 vs 2064 vs 2073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victor.rodriguez</dc:creator>
  <cp:lastModifiedBy>victor.rodriguez</cp:lastModifiedBy>
  <cp:lastPrinted>2015-05-22T19:01:01Z</cp:lastPrinted>
  <dcterms:created xsi:type="dcterms:W3CDTF">2015-03-17T18:24:41Z</dcterms:created>
  <dcterms:modified xsi:type="dcterms:W3CDTF">2015-05-27T20:50:51Z</dcterms:modified>
</cp:coreProperties>
</file>