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4" r:id="rId2"/>
    <sheet name="Sheet1" sheetId="3" r:id="rId3"/>
    <sheet name="CutType" sheetId="2" r:id="rId4"/>
    <sheet name="Helix Depth" sheetId="7" r:id="rId5"/>
    <sheet name="elipse #s" sheetId="6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List!$A$1:$P$173</definedName>
    <definedName name="_xlnm.Print_Area" localSheetId="1">Tilt!$A$1:$D$23</definedName>
    <definedName name="_xlnm.Print_Titles" localSheetId="0">List!$1:$1</definedName>
  </definedNames>
  <calcPr calcId="125725" iterate="1" iterateCount="10000" iterateDelta="9.9999999999999995E-7"/>
</workbook>
</file>

<file path=xl/calcChain.xml><?xml version="1.0" encoding="utf-8"?>
<calcChain xmlns="http://schemas.openxmlformats.org/spreadsheetml/2006/main">
  <c r="AB76" i="1"/>
  <c r="AH76"/>
  <c r="AH78"/>
  <c r="AH80"/>
  <c r="AH82"/>
  <c r="AH84"/>
  <c r="AH86"/>
  <c r="AH88"/>
  <c r="AH90"/>
  <c r="AH92"/>
  <c r="AH94"/>
  <c r="AH96"/>
  <c r="AH98"/>
  <c r="AH100"/>
  <c r="AH102"/>
  <c r="AH104"/>
  <c r="AH106"/>
  <c r="AH108"/>
  <c r="AH110"/>
  <c r="AH112"/>
  <c r="AH114"/>
  <c r="AH116"/>
  <c r="AH118"/>
  <c r="AH120"/>
  <c r="AG78"/>
  <c r="AG80"/>
  <c r="AG82"/>
  <c r="AG84"/>
  <c r="AG86"/>
  <c r="AG88"/>
  <c r="AG90"/>
  <c r="AG92"/>
  <c r="AG94"/>
  <c r="AG96"/>
  <c r="AG98"/>
  <c r="AG100"/>
  <c r="AG102"/>
  <c r="AG104"/>
  <c r="AG106"/>
  <c r="AG108"/>
  <c r="AG110"/>
  <c r="AG112"/>
  <c r="AG114"/>
  <c r="AG116"/>
  <c r="AG118"/>
  <c r="AG120"/>
  <c r="AG76"/>
  <c r="AF76"/>
  <c r="E3" i="7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D20" i="4"/>
  <c r="D19"/>
  <c r="K167" i="1"/>
  <c r="K169" s="1"/>
  <c r="K171" s="1"/>
  <c r="K173" s="1"/>
  <c r="J167"/>
  <c r="J169" s="1"/>
  <c r="J171" s="1"/>
  <c r="J173" s="1"/>
  <c r="I167"/>
  <c r="I169" s="1"/>
  <c r="I171" s="1"/>
  <c r="I173" s="1"/>
  <c r="H167"/>
  <c r="H169" s="1"/>
  <c r="H171" s="1"/>
  <c r="H173" s="1"/>
  <c r="G167"/>
  <c r="G169" s="1"/>
  <c r="G171" s="1"/>
  <c r="G173" s="1"/>
  <c r="K166"/>
  <c r="K168" s="1"/>
  <c r="K170" s="1"/>
  <c r="K172" s="1"/>
  <c r="D166"/>
  <c r="E167" s="1"/>
  <c r="B166"/>
  <c r="B168" s="1"/>
  <c r="B170" s="1"/>
  <c r="D164"/>
  <c r="E165" s="1"/>
  <c r="D162"/>
  <c r="D161"/>
  <c r="E162" s="1"/>
  <c r="D159"/>
  <c r="D160" s="1"/>
  <c r="D157"/>
  <c r="D158" s="1"/>
  <c r="D155"/>
  <c r="E156" s="1"/>
  <c r="D153"/>
  <c r="E154" s="1"/>
  <c r="D151"/>
  <c r="D152" s="1"/>
  <c r="D149"/>
  <c r="D150" s="1"/>
  <c r="D147"/>
  <c r="D148" s="1"/>
  <c r="D146"/>
  <c r="D145"/>
  <c r="E146" s="1"/>
  <c r="D143"/>
  <c r="D144" s="1"/>
  <c r="D141"/>
  <c r="D142" s="1"/>
  <c r="D140"/>
  <c r="D139"/>
  <c r="E140" s="1"/>
  <c r="D137"/>
  <c r="E138" s="1"/>
  <c r="D135"/>
  <c r="D136" s="1"/>
  <c r="D133"/>
  <c r="D134" s="1"/>
  <c r="D132"/>
  <c r="D131"/>
  <c r="E132" s="1"/>
  <c r="D129"/>
  <c r="D130" s="1"/>
  <c r="D127"/>
  <c r="D128" s="1"/>
  <c r="D125"/>
  <c r="D126" s="1"/>
  <c r="D123"/>
  <c r="D124" s="1"/>
  <c r="E128" l="1"/>
  <c r="D156"/>
  <c r="D154"/>
  <c r="E130"/>
  <c r="E148"/>
  <c r="D167"/>
  <c r="D138"/>
  <c r="D168"/>
  <c r="D169" s="1"/>
  <c r="D165"/>
  <c r="D170"/>
  <c r="B172"/>
  <c r="D172" s="1"/>
  <c r="E169"/>
  <c r="E136"/>
  <c r="E144"/>
  <c r="E152"/>
  <c r="E160"/>
  <c r="E124"/>
  <c r="E126"/>
  <c r="E134"/>
  <c r="E142"/>
  <c r="E150"/>
  <c r="E158"/>
  <c r="D171" l="1"/>
  <c r="E171"/>
  <c r="E173"/>
  <c r="D173"/>
  <c r="AD96" l="1"/>
  <c r="C4" i="7"/>
  <c r="S48" l="1"/>
  <c r="S49"/>
  <c r="S34"/>
  <c r="S35"/>
  <c r="Z35" s="1"/>
  <c r="S36"/>
  <c r="S37"/>
  <c r="Z37" s="1"/>
  <c r="S38"/>
  <c r="S39"/>
  <c r="Z39" s="1"/>
  <c r="S40"/>
  <c r="S41"/>
  <c r="Z41" s="1"/>
  <c r="S42"/>
  <c r="S43"/>
  <c r="Z43" s="1"/>
  <c r="S44"/>
  <c r="S45"/>
  <c r="Z45" s="1"/>
  <c r="S46"/>
  <c r="S47"/>
  <c r="Z47" s="1"/>
  <c r="S33"/>
  <c r="V33" s="1"/>
  <c r="S32"/>
  <c r="W32" s="1"/>
  <c r="S31"/>
  <c r="X31" s="1"/>
  <c r="S30"/>
  <c r="T30" s="1"/>
  <c r="S29"/>
  <c r="Z29" s="1"/>
  <c r="S28"/>
  <c r="U28" s="1"/>
  <c r="S27"/>
  <c r="T27" s="1"/>
  <c r="S26"/>
  <c r="U26" s="1"/>
  <c r="S25"/>
  <c r="V25" s="1"/>
  <c r="S24"/>
  <c r="W24" s="1"/>
  <c r="S23"/>
  <c r="X23" s="1"/>
  <c r="S22"/>
  <c r="T22" s="1"/>
  <c r="S21"/>
  <c r="Z21" s="1"/>
  <c r="S20"/>
  <c r="U20" s="1"/>
  <c r="S19"/>
  <c r="T19" s="1"/>
  <c r="S18"/>
  <c r="U18" s="1"/>
  <c r="U17"/>
  <c r="S17"/>
  <c r="V17" s="1"/>
  <c r="S16"/>
  <c r="W16" s="1"/>
  <c r="S15"/>
  <c r="X15" s="1"/>
  <c r="S14"/>
  <c r="W14" s="1"/>
  <c r="S13"/>
  <c r="Z13" s="1"/>
  <c r="S12"/>
  <c r="U12" s="1"/>
  <c r="S11"/>
  <c r="T11" s="1"/>
  <c r="S10"/>
  <c r="U10" s="1"/>
  <c r="S9"/>
  <c r="V9" s="1"/>
  <c r="S8"/>
  <c r="W8" s="1"/>
  <c r="S7"/>
  <c r="X7" s="1"/>
  <c r="S6"/>
  <c r="S5"/>
  <c r="Z5" s="1"/>
  <c r="S4"/>
  <c r="Z1"/>
  <c r="AA2"/>
  <c r="F38" i="6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32"/>
  <c r="E32"/>
  <c r="D32"/>
  <c r="C32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8"/>
  <c r="E18"/>
  <c r="D18"/>
  <c r="C18"/>
  <c r="B18"/>
  <c r="F17"/>
  <c r="E17"/>
  <c r="D17"/>
  <c r="C17"/>
  <c r="B17"/>
  <c r="F16"/>
  <c r="E16"/>
  <c r="D16"/>
  <c r="C16"/>
  <c r="B16"/>
  <c r="F15"/>
  <c r="E15"/>
  <c r="D15"/>
  <c r="C15"/>
  <c r="B15"/>
  <c r="F14"/>
  <c r="E14"/>
  <c r="D14"/>
  <c r="C14"/>
  <c r="B14"/>
  <c r="F13"/>
  <c r="E13"/>
  <c r="D13"/>
  <c r="C13"/>
  <c r="B13"/>
  <c r="F12"/>
  <c r="E12"/>
  <c r="D12"/>
  <c r="C12"/>
  <c r="B12"/>
  <c r="F11"/>
  <c r="E11"/>
  <c r="D11"/>
  <c r="C11"/>
  <c r="B11"/>
  <c r="F10"/>
  <c r="E10"/>
  <c r="D10"/>
  <c r="C10"/>
  <c r="B10"/>
  <c r="F9"/>
  <c r="E9"/>
  <c r="D9"/>
  <c r="C9"/>
  <c r="B9"/>
  <c r="F8"/>
  <c r="E8"/>
  <c r="D8"/>
  <c r="C8"/>
  <c r="B8"/>
  <c r="F7"/>
  <c r="E7"/>
  <c r="D7"/>
  <c r="C7"/>
  <c r="B7"/>
  <c r="F6"/>
  <c r="E6"/>
  <c r="D6"/>
  <c r="C6"/>
  <c r="B6"/>
  <c r="F5"/>
  <c r="E5"/>
  <c r="D5"/>
  <c r="C5"/>
  <c r="B5"/>
  <c r="F4"/>
  <c r="E4"/>
  <c r="D4"/>
  <c r="C4"/>
  <c r="B4"/>
  <c r="D3"/>
  <c r="C3"/>
  <c r="B3"/>
  <c r="U4" i="7" l="1"/>
  <c r="T17"/>
  <c r="T15"/>
  <c r="T28"/>
  <c r="V28" s="1"/>
  <c r="U14"/>
  <c r="U29"/>
  <c r="W12"/>
  <c r="T23"/>
  <c r="Y9"/>
  <c r="U9"/>
  <c r="W9"/>
  <c r="T9"/>
  <c r="Z17"/>
  <c r="V7"/>
  <c r="T26"/>
  <c r="V26" s="1"/>
  <c r="W18"/>
  <c r="T7"/>
  <c r="Z9"/>
  <c r="W17"/>
  <c r="V23"/>
  <c r="X9"/>
  <c r="Y17"/>
  <c r="T20"/>
  <c r="W20"/>
  <c r="W4"/>
  <c r="Y21"/>
  <c r="V15"/>
  <c r="W28"/>
  <c r="Y13"/>
  <c r="X21"/>
  <c r="V30"/>
  <c r="X33"/>
  <c r="V27"/>
  <c r="T48"/>
  <c r="V48" s="1"/>
  <c r="U48"/>
  <c r="Y48" s="1"/>
  <c r="W48"/>
  <c r="T47"/>
  <c r="T46"/>
  <c r="V46" s="1"/>
  <c r="T45"/>
  <c r="T44"/>
  <c r="V44" s="1"/>
  <c r="T43"/>
  <c r="T42"/>
  <c r="V42" s="1"/>
  <c r="T41"/>
  <c r="T40"/>
  <c r="V40" s="1"/>
  <c r="T39"/>
  <c r="T38"/>
  <c r="V38" s="1"/>
  <c r="T37"/>
  <c r="T36"/>
  <c r="V36" s="1"/>
  <c r="T35"/>
  <c r="T34"/>
  <c r="V34" s="1"/>
  <c r="U47"/>
  <c r="U46"/>
  <c r="Y46" s="1"/>
  <c r="U45"/>
  <c r="U44"/>
  <c r="Y44" s="1"/>
  <c r="U43"/>
  <c r="U42"/>
  <c r="Y42" s="1"/>
  <c r="U41"/>
  <c r="U40"/>
  <c r="Y40" s="1"/>
  <c r="U39"/>
  <c r="U38"/>
  <c r="Y38" s="1"/>
  <c r="U37"/>
  <c r="U36"/>
  <c r="U35"/>
  <c r="U34"/>
  <c r="V43"/>
  <c r="V37"/>
  <c r="V35"/>
  <c r="W46"/>
  <c r="W43"/>
  <c r="W40"/>
  <c r="W37"/>
  <c r="W34"/>
  <c r="X47"/>
  <c r="X45"/>
  <c r="X43"/>
  <c r="X41"/>
  <c r="X39"/>
  <c r="X37"/>
  <c r="X35"/>
  <c r="V45"/>
  <c r="V39"/>
  <c r="W47"/>
  <c r="W44"/>
  <c r="W41"/>
  <c r="W38"/>
  <c r="W35"/>
  <c r="Y47"/>
  <c r="Y45"/>
  <c r="Y43"/>
  <c r="Y41"/>
  <c r="Y39"/>
  <c r="Y37"/>
  <c r="Y35"/>
  <c r="V47"/>
  <c r="V41"/>
  <c r="W45"/>
  <c r="W42"/>
  <c r="W39"/>
  <c r="W36"/>
  <c r="U6"/>
  <c r="X13"/>
  <c r="U33"/>
  <c r="V20"/>
  <c r="T4"/>
  <c r="V4" s="1"/>
  <c r="T6"/>
  <c r="V6" s="1"/>
  <c r="T10"/>
  <c r="V10" s="1"/>
  <c r="U13"/>
  <c r="X17"/>
  <c r="U30"/>
  <c r="T33"/>
  <c r="W7"/>
  <c r="W11"/>
  <c r="W15"/>
  <c r="W19"/>
  <c r="W23"/>
  <c r="W27"/>
  <c r="W31"/>
  <c r="W6"/>
  <c r="W22"/>
  <c r="W26"/>
  <c r="W30"/>
  <c r="Y5"/>
  <c r="T12"/>
  <c r="V12" s="1"/>
  <c r="T14"/>
  <c r="V14" s="1"/>
  <c r="T18"/>
  <c r="V18" s="1"/>
  <c r="U21"/>
  <c r="X25"/>
  <c r="V22"/>
  <c r="Z25"/>
  <c r="V11"/>
  <c r="V19"/>
  <c r="Y25"/>
  <c r="W10"/>
  <c r="X5"/>
  <c r="U25"/>
  <c r="Y29"/>
  <c r="Z33"/>
  <c r="W5"/>
  <c r="W13"/>
  <c r="W21"/>
  <c r="W25"/>
  <c r="W29"/>
  <c r="W33"/>
  <c r="V31"/>
  <c r="U5"/>
  <c r="U22"/>
  <c r="T25"/>
  <c r="X29"/>
  <c r="T31"/>
  <c r="Y33"/>
  <c r="V5"/>
  <c r="V13"/>
  <c r="V21"/>
  <c r="V29"/>
  <c r="U8"/>
  <c r="Z11"/>
  <c r="U16"/>
  <c r="Z19"/>
  <c r="U24"/>
  <c r="Z27"/>
  <c r="U32"/>
  <c r="U7"/>
  <c r="T8"/>
  <c r="V8" s="1"/>
  <c r="Y11"/>
  <c r="U15"/>
  <c r="T16"/>
  <c r="V16" s="1"/>
  <c r="Y19"/>
  <c r="U23"/>
  <c r="T24"/>
  <c r="V24" s="1"/>
  <c r="Y27"/>
  <c r="U31"/>
  <c r="T32"/>
  <c r="V32" s="1"/>
  <c r="X11"/>
  <c r="X19"/>
  <c r="X27"/>
  <c r="Y1"/>
  <c r="T5"/>
  <c r="Z7"/>
  <c r="T13"/>
  <c r="Z15"/>
  <c r="T21"/>
  <c r="Z23"/>
  <c r="T29"/>
  <c r="Z31"/>
  <c r="Y7"/>
  <c r="U11"/>
  <c r="Y15"/>
  <c r="U19"/>
  <c r="Y23"/>
  <c r="U27"/>
  <c r="Y31"/>
  <c r="X18" l="1"/>
  <c r="X20"/>
  <c r="Y20" s="1"/>
  <c r="X46"/>
  <c r="Z46" s="1"/>
  <c r="X26"/>
  <c r="Y26" s="1"/>
  <c r="X14"/>
  <c r="Z14" s="1"/>
  <c r="X12"/>
  <c r="Z12" s="1"/>
  <c r="X4"/>
  <c r="X30"/>
  <c r="Y30" s="1"/>
  <c r="X32"/>
  <c r="Y32" s="1"/>
  <c r="X42"/>
  <c r="Z42" s="1"/>
  <c r="X16"/>
  <c r="Z16" s="1"/>
  <c r="X36"/>
  <c r="Z36" s="1"/>
  <c r="X28"/>
  <c r="Z28" s="1"/>
  <c r="X40"/>
  <c r="Z40" s="1"/>
  <c r="X34"/>
  <c r="Y34" s="1"/>
  <c r="X10"/>
  <c r="Z10" s="1"/>
  <c r="X24"/>
  <c r="Z24" s="1"/>
  <c r="X6"/>
  <c r="Z6" s="1"/>
  <c r="X38"/>
  <c r="Z38" s="1"/>
  <c r="X44"/>
  <c r="Z44" s="1"/>
  <c r="X22"/>
  <c r="Z22" s="1"/>
  <c r="X48"/>
  <c r="Z48" s="1"/>
  <c r="Y18"/>
  <c r="Z18"/>
  <c r="Z20"/>
  <c r="X8"/>
  <c r="Z8" s="1"/>
  <c r="Y4" l="1"/>
  <c r="Z4"/>
  <c r="Y6"/>
  <c r="Y12"/>
  <c r="Y14"/>
  <c r="Z26"/>
  <c r="Y10"/>
  <c r="Z30"/>
  <c r="Z34"/>
  <c r="Z32"/>
  <c r="Y22"/>
  <c r="Y28"/>
  <c r="Y36"/>
  <c r="Y16"/>
  <c r="Y24"/>
  <c r="Y8"/>
  <c r="Q110" i="1" l="1"/>
  <c r="R110"/>
  <c r="AF110"/>
  <c r="Q111"/>
  <c r="S111"/>
  <c r="R112"/>
  <c r="AF112"/>
  <c r="Q113"/>
  <c r="S113"/>
  <c r="R114"/>
  <c r="AF114"/>
  <c r="Q115"/>
  <c r="S115"/>
  <c r="R116"/>
  <c r="Q116" s="1"/>
  <c r="AF116"/>
  <c r="Q117"/>
  <c r="S117"/>
  <c r="R118"/>
  <c r="AF118"/>
  <c r="Q119"/>
  <c r="S119"/>
  <c r="R120"/>
  <c r="AF120"/>
  <c r="Q121"/>
  <c r="S121"/>
  <c r="R82"/>
  <c r="Q82" s="1"/>
  <c r="AF82"/>
  <c r="Q83"/>
  <c r="S83"/>
  <c r="R84"/>
  <c r="AF84"/>
  <c r="Q85"/>
  <c r="S85"/>
  <c r="R86"/>
  <c r="AF86"/>
  <c r="Q87"/>
  <c r="S87"/>
  <c r="R88"/>
  <c r="AF88"/>
  <c r="Q89"/>
  <c r="S89"/>
  <c r="R90"/>
  <c r="AF90"/>
  <c r="Q91"/>
  <c r="S91"/>
  <c r="R92"/>
  <c r="AF92"/>
  <c r="Q93"/>
  <c r="S93"/>
  <c r="R94"/>
  <c r="AF94"/>
  <c r="Q95"/>
  <c r="S95"/>
  <c r="R96"/>
  <c r="AF96"/>
  <c r="Q97"/>
  <c r="S97"/>
  <c r="R98"/>
  <c r="AF98"/>
  <c r="Q99"/>
  <c r="S99"/>
  <c r="R100"/>
  <c r="AF100"/>
  <c r="Q101"/>
  <c r="S101"/>
  <c r="R102"/>
  <c r="AF102"/>
  <c r="Q103"/>
  <c r="S103"/>
  <c r="R104"/>
  <c r="AF104"/>
  <c r="Q105"/>
  <c r="S105"/>
  <c r="R106"/>
  <c r="AF106"/>
  <c r="Q107"/>
  <c r="S107"/>
  <c r="R108"/>
  <c r="AF108"/>
  <c r="Q109"/>
  <c r="S109"/>
  <c r="S81"/>
  <c r="S79"/>
  <c r="S77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Q81"/>
  <c r="AF80"/>
  <c r="R80"/>
  <c r="Q79"/>
  <c r="AF78"/>
  <c r="R78"/>
  <c r="Q77"/>
  <c r="R7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T116" l="1"/>
  <c r="Z117" s="1"/>
  <c r="AG117" s="1"/>
  <c r="AB108"/>
  <c r="AH109"/>
  <c r="AB96"/>
  <c r="AB92"/>
  <c r="AB80"/>
  <c r="T114"/>
  <c r="Z115" s="1"/>
  <c r="AG115" s="1"/>
  <c r="AB114"/>
  <c r="AB110"/>
  <c r="AH111"/>
  <c r="Q118"/>
  <c r="AH119" s="1"/>
  <c r="AB118"/>
  <c r="T78"/>
  <c r="AB78"/>
  <c r="AB106"/>
  <c r="T102"/>
  <c r="AB102"/>
  <c r="AB98"/>
  <c r="AH99"/>
  <c r="T94"/>
  <c r="AB94"/>
  <c r="T90"/>
  <c r="AB90"/>
  <c r="T86"/>
  <c r="AB86"/>
  <c r="AB82"/>
  <c r="AH83"/>
  <c r="AB100"/>
  <c r="AB84"/>
  <c r="AB112"/>
  <c r="AB116"/>
  <c r="AH117"/>
  <c r="T104"/>
  <c r="AB104"/>
  <c r="AB88"/>
  <c r="AH77"/>
  <c r="AB120"/>
  <c r="Q94"/>
  <c r="AC94" s="1"/>
  <c r="Q106"/>
  <c r="V107" s="1"/>
  <c r="AC116"/>
  <c r="T106"/>
  <c r="Q86"/>
  <c r="W87" s="1"/>
  <c r="Y117"/>
  <c r="V111"/>
  <c r="W117"/>
  <c r="Q78"/>
  <c r="V79" s="1"/>
  <c r="X117"/>
  <c r="AF117" s="1"/>
  <c r="S116"/>
  <c r="Q96"/>
  <c r="W97" s="1"/>
  <c r="V83"/>
  <c r="T76"/>
  <c r="T96"/>
  <c r="Q90"/>
  <c r="V91" s="1"/>
  <c r="T118"/>
  <c r="Z119" s="1"/>
  <c r="AG119" s="1"/>
  <c r="Q114"/>
  <c r="Y115" s="1"/>
  <c r="Y111"/>
  <c r="T110"/>
  <c r="Z111" s="1"/>
  <c r="AG111" s="1"/>
  <c r="U111"/>
  <c r="U117"/>
  <c r="Q120"/>
  <c r="AH121" s="1"/>
  <c r="V117"/>
  <c r="Q112"/>
  <c r="Y113" s="1"/>
  <c r="S110"/>
  <c r="V119"/>
  <c r="T120"/>
  <c r="Z121" s="1"/>
  <c r="AG121" s="1"/>
  <c r="T112"/>
  <c r="Z113" s="1"/>
  <c r="AG113" s="1"/>
  <c r="W111"/>
  <c r="X111"/>
  <c r="AF111" s="1"/>
  <c r="AC110"/>
  <c r="AC118"/>
  <c r="U83"/>
  <c r="Y83"/>
  <c r="Q76"/>
  <c r="W77" s="1"/>
  <c r="Q98"/>
  <c r="AC98" s="1"/>
  <c r="T88"/>
  <c r="W83"/>
  <c r="T82"/>
  <c r="Q104"/>
  <c r="S104" s="1"/>
  <c r="T98"/>
  <c r="Q102"/>
  <c r="V103" s="1"/>
  <c r="Q88"/>
  <c r="V89" s="1"/>
  <c r="Q108"/>
  <c r="U109" s="1"/>
  <c r="Q100"/>
  <c r="Y101" s="1"/>
  <c r="Q92"/>
  <c r="S92" s="1"/>
  <c r="Q84"/>
  <c r="S84" s="1"/>
  <c r="S82"/>
  <c r="T108"/>
  <c r="T100"/>
  <c r="T92"/>
  <c r="X83"/>
  <c r="AF83" s="1"/>
  <c r="AC82"/>
  <c r="T84"/>
  <c r="Q80"/>
  <c r="V81" s="1"/>
  <c r="T80"/>
  <c r="AA82" l="1"/>
  <c r="AH87"/>
  <c r="AC86"/>
  <c r="AA86" s="1"/>
  <c r="X119"/>
  <c r="AF119" s="1"/>
  <c r="S118"/>
  <c r="Y119"/>
  <c r="AH85"/>
  <c r="W119"/>
  <c r="U119"/>
  <c r="AH95"/>
  <c r="AH79"/>
  <c r="AH89"/>
  <c r="AH107"/>
  <c r="AH93"/>
  <c r="AH115"/>
  <c r="AH97"/>
  <c r="AH105"/>
  <c r="AH101"/>
  <c r="AH103"/>
  <c r="AH113"/>
  <c r="AH91"/>
  <c r="AH81"/>
  <c r="Y95"/>
  <c r="Z95" s="1"/>
  <c r="AG95" s="1"/>
  <c r="S94"/>
  <c r="W95"/>
  <c r="V95"/>
  <c r="W115"/>
  <c r="X91"/>
  <c r="AF91" s="1"/>
  <c r="U95"/>
  <c r="X95"/>
  <c r="AF95" s="1"/>
  <c r="X99"/>
  <c r="AF99" s="1"/>
  <c r="Y87"/>
  <c r="Z87" s="1"/>
  <c r="AG87" s="1"/>
  <c r="S108"/>
  <c r="AC90"/>
  <c r="AA90" s="1"/>
  <c r="X105"/>
  <c r="AF105" s="1"/>
  <c r="AC106"/>
  <c r="W79"/>
  <c r="U87"/>
  <c r="V87"/>
  <c r="U107"/>
  <c r="V109"/>
  <c r="X87"/>
  <c r="AF87" s="1"/>
  <c r="S106"/>
  <c r="U97"/>
  <c r="X107"/>
  <c r="AF107" s="1"/>
  <c r="X103"/>
  <c r="AF103" s="1"/>
  <c r="U77"/>
  <c r="W109"/>
  <c r="S78"/>
  <c r="U79"/>
  <c r="S102"/>
  <c r="U103"/>
  <c r="S86"/>
  <c r="V97"/>
  <c r="X77"/>
  <c r="AF77" s="1"/>
  <c r="Y107"/>
  <c r="Z107" s="1"/>
  <c r="AG107" s="1"/>
  <c r="AC78"/>
  <c r="AA78" s="1"/>
  <c r="AC102"/>
  <c r="S76"/>
  <c r="W107"/>
  <c r="Y77"/>
  <c r="Z77" s="1"/>
  <c r="AG77" s="1"/>
  <c r="W81"/>
  <c r="V93"/>
  <c r="AC100"/>
  <c r="X97"/>
  <c r="AF97" s="1"/>
  <c r="Y103"/>
  <c r="Z103" s="1"/>
  <c r="AG103" s="1"/>
  <c r="V99"/>
  <c r="AC96"/>
  <c r="AA96" s="1"/>
  <c r="X79"/>
  <c r="AF79" s="1"/>
  <c r="Y99"/>
  <c r="Z99" s="1"/>
  <c r="AG99" s="1"/>
  <c r="U99"/>
  <c r="U91"/>
  <c r="Y97"/>
  <c r="Z97" s="1"/>
  <c r="AG97" s="1"/>
  <c r="S80"/>
  <c r="Y89"/>
  <c r="Z89" s="1"/>
  <c r="AG89" s="1"/>
  <c r="X81"/>
  <c r="AF81" s="1"/>
  <c r="Y91"/>
  <c r="Z91" s="1"/>
  <c r="AG91" s="1"/>
  <c r="S96"/>
  <c r="S90"/>
  <c r="AC80"/>
  <c r="AA80" s="1"/>
  <c r="W99"/>
  <c r="W91"/>
  <c r="S98"/>
  <c r="Y93"/>
  <c r="Z93" s="1"/>
  <c r="AG93" s="1"/>
  <c r="Y79"/>
  <c r="Z79" s="1"/>
  <c r="AG79" s="1"/>
  <c r="AC114"/>
  <c r="V115"/>
  <c r="X115"/>
  <c r="AF115" s="1"/>
  <c r="U115"/>
  <c r="S114"/>
  <c r="Z83"/>
  <c r="AG83" s="1"/>
  <c r="AC120"/>
  <c r="X121"/>
  <c r="AF121" s="1"/>
  <c r="S112"/>
  <c r="U121"/>
  <c r="W121"/>
  <c r="V113"/>
  <c r="X113"/>
  <c r="AF113" s="1"/>
  <c r="AC112"/>
  <c r="W113"/>
  <c r="U113"/>
  <c r="Y121"/>
  <c r="S120"/>
  <c r="V121"/>
  <c r="V85"/>
  <c r="X109"/>
  <c r="AF109" s="1"/>
  <c r="Y81"/>
  <c r="Z81" s="1"/>
  <c r="AG81" s="1"/>
  <c r="U105"/>
  <c r="Y105"/>
  <c r="Z105" s="1"/>
  <c r="AG105" s="1"/>
  <c r="W105"/>
  <c r="X85"/>
  <c r="AF85" s="1"/>
  <c r="U81"/>
  <c r="U89"/>
  <c r="W89"/>
  <c r="W85"/>
  <c r="W103"/>
  <c r="X89"/>
  <c r="AF89" s="1"/>
  <c r="V77"/>
  <c r="V101"/>
  <c r="V105"/>
  <c r="AC76"/>
  <c r="AA76" s="1"/>
  <c r="AC88"/>
  <c r="AA88" s="1"/>
  <c r="AC104"/>
  <c r="S88"/>
  <c r="AC84"/>
  <c r="AA84" s="1"/>
  <c r="AC108"/>
  <c r="U101"/>
  <c r="Y109"/>
  <c r="Z109" s="1"/>
  <c r="AG109" s="1"/>
  <c r="X101"/>
  <c r="AF101" s="1"/>
  <c r="AA98"/>
  <c r="X93"/>
  <c r="AF93" s="1"/>
  <c r="W101"/>
  <c r="U85"/>
  <c r="U93"/>
  <c r="S100"/>
  <c r="AC92"/>
  <c r="AA92" s="1"/>
  <c r="Y85"/>
  <c r="Z85" s="1"/>
  <c r="AG85" s="1"/>
  <c r="Z101"/>
  <c r="AG101" s="1"/>
  <c r="W93"/>
  <c r="AA94"/>
  <c r="AA100" l="1"/>
  <c r="AA102" l="1"/>
  <c r="AA104" l="1"/>
  <c r="D98"/>
  <c r="D99" s="1"/>
  <c r="D90"/>
  <c r="D91" s="1"/>
  <c r="M65"/>
  <c r="N65" s="1"/>
  <c r="K65" s="1"/>
  <c r="D65"/>
  <c r="E66" s="1"/>
  <c r="M63"/>
  <c r="N63" s="1"/>
  <c r="K63" s="1"/>
  <c r="D63"/>
  <c r="E64" s="1"/>
  <c r="AA106" l="1"/>
  <c r="E99"/>
  <c r="E91"/>
  <c r="D66"/>
  <c r="D64"/>
  <c r="M61"/>
  <c r="N61" s="1"/>
  <c r="K61" s="1"/>
  <c r="D120"/>
  <c r="E121" s="1"/>
  <c r="D118"/>
  <c r="E119" s="1"/>
  <c r="D116"/>
  <c r="D117" s="1"/>
  <c r="D114"/>
  <c r="D115" s="1"/>
  <c r="D110"/>
  <c r="E111" s="1"/>
  <c r="D112"/>
  <c r="D113" s="1"/>
  <c r="D108"/>
  <c r="D109" s="1"/>
  <c r="D106"/>
  <c r="D107" s="1"/>
  <c r="D104"/>
  <c r="D105" s="1"/>
  <c r="D102"/>
  <c r="D103" s="1"/>
  <c r="D100"/>
  <c r="D101" s="1"/>
  <c r="D96"/>
  <c r="D97" s="1"/>
  <c r="D94"/>
  <c r="D95" s="1"/>
  <c r="D92"/>
  <c r="D93" s="1"/>
  <c r="D88"/>
  <c r="D89" s="1"/>
  <c r="D86"/>
  <c r="D87" s="1"/>
  <c r="D84"/>
  <c r="D85" s="1"/>
  <c r="D82"/>
  <c r="D83" s="1"/>
  <c r="D80"/>
  <c r="D81" s="1"/>
  <c r="D78"/>
  <c r="D79" s="1"/>
  <c r="D76"/>
  <c r="E77" s="1"/>
  <c r="M33"/>
  <c r="N33" s="1"/>
  <c r="K33" s="1"/>
  <c r="M31"/>
  <c r="N31" s="1"/>
  <c r="K31" s="1"/>
  <c r="M29"/>
  <c r="N29" s="1"/>
  <c r="K29" s="1"/>
  <c r="M27"/>
  <c r="N27" s="1"/>
  <c r="K27" s="1"/>
  <c r="M25"/>
  <c r="N25" s="1"/>
  <c r="K25" s="1"/>
  <c r="M59"/>
  <c r="N59" s="1"/>
  <c r="K59" s="1"/>
  <c r="M57"/>
  <c r="N57" s="1"/>
  <c r="K57" s="1"/>
  <c r="M55"/>
  <c r="N55" s="1"/>
  <c r="K55" s="1"/>
  <c r="M53"/>
  <c r="N53" s="1"/>
  <c r="K53" s="1"/>
  <c r="M51"/>
  <c r="N51" s="1"/>
  <c r="K51" s="1"/>
  <c r="C4" i="3"/>
  <c r="D61" i="1"/>
  <c r="E62" s="1"/>
  <c r="D59"/>
  <c r="D60" s="1"/>
  <c r="D57"/>
  <c r="D58" s="1"/>
  <c r="D55"/>
  <c r="D56" s="1"/>
  <c r="D53"/>
  <c r="E54" s="1"/>
  <c r="D51"/>
  <c r="D52" s="1"/>
  <c r="D33"/>
  <c r="D34" s="1"/>
  <c r="D31"/>
  <c r="D32" s="1"/>
  <c r="D29"/>
  <c r="D30" s="1"/>
  <c r="D27"/>
  <c r="E28" s="1"/>
  <c r="D25"/>
  <c r="D26" s="1"/>
  <c r="B11" i="4"/>
  <c r="B12" s="1"/>
  <c r="B13" s="1"/>
  <c r="B14" s="1"/>
  <c r="B15" s="1"/>
  <c r="B16" s="1"/>
  <c r="B10"/>
  <c r="D22"/>
  <c r="D21"/>
  <c r="D18"/>
  <c r="D17"/>
  <c r="D23"/>
  <c r="D16"/>
  <c r="D15"/>
  <c r="D14"/>
  <c r="D13"/>
  <c r="D12"/>
  <c r="D11"/>
  <c r="D10"/>
  <c r="D9"/>
  <c r="C12" i="2"/>
  <c r="C11"/>
  <c r="B17" i="4" l="1"/>
  <c r="B18" s="1"/>
  <c r="B23" s="1"/>
  <c r="AA108" i="1"/>
  <c r="D111"/>
  <c r="D121"/>
  <c r="D119"/>
  <c r="E115"/>
  <c r="E117"/>
  <c r="E113"/>
  <c r="E85"/>
  <c r="E93"/>
  <c r="D77"/>
  <c r="E109"/>
  <c r="E87"/>
  <c r="E89"/>
  <c r="E97"/>
  <c r="E107"/>
  <c r="E79"/>
  <c r="E95"/>
  <c r="E101"/>
  <c r="E81"/>
  <c r="E83"/>
  <c r="E103"/>
  <c r="E105"/>
  <c r="E56"/>
  <c r="D62"/>
  <c r="D54"/>
  <c r="E58"/>
  <c r="E52"/>
  <c r="E60"/>
  <c r="E30"/>
  <c r="D28"/>
  <c r="E32"/>
  <c r="E26"/>
  <c r="E34"/>
  <c r="E10" i="2"/>
  <c r="E9"/>
  <c r="C6"/>
  <c r="C10"/>
  <c r="C9"/>
  <c r="C5"/>
  <c r="C4"/>
  <c r="C3"/>
  <c r="M73" i="1"/>
  <c r="N73" s="1"/>
  <c r="K73" s="1"/>
  <c r="D73"/>
  <c r="D74" s="1"/>
  <c r="M71"/>
  <c r="N71" s="1"/>
  <c r="K71" s="1"/>
  <c r="D71"/>
  <c r="E72" s="1"/>
  <c r="M69"/>
  <c r="N69" s="1"/>
  <c r="K69" s="1"/>
  <c r="D69"/>
  <c r="D70" s="1"/>
  <c r="M67"/>
  <c r="N67" s="1"/>
  <c r="K67" s="1"/>
  <c r="D67"/>
  <c r="E68" s="1"/>
  <c r="M49"/>
  <c r="N49" s="1"/>
  <c r="K49" s="1"/>
  <c r="D49"/>
  <c r="E50" s="1"/>
  <c r="M47"/>
  <c r="N47" s="1"/>
  <c r="K47" s="1"/>
  <c r="D47"/>
  <c r="D48" s="1"/>
  <c r="M45"/>
  <c r="N45" s="1"/>
  <c r="K45" s="1"/>
  <c r="D45"/>
  <c r="D46" s="1"/>
  <c r="M43"/>
  <c r="N43" s="1"/>
  <c r="K43" s="1"/>
  <c r="D43"/>
  <c r="D44" s="1"/>
  <c r="M41"/>
  <c r="N41" s="1"/>
  <c r="K41" s="1"/>
  <c r="D41"/>
  <c r="E42" s="1"/>
  <c r="M39"/>
  <c r="N39" s="1"/>
  <c r="K39" s="1"/>
  <c r="D39"/>
  <c r="E40" s="1"/>
  <c r="M37"/>
  <c r="N37" s="1"/>
  <c r="K37" s="1"/>
  <c r="D37"/>
  <c r="D38" s="1"/>
  <c r="M35"/>
  <c r="N35" s="1"/>
  <c r="K35" s="1"/>
  <c r="D35"/>
  <c r="D36" s="1"/>
  <c r="M23"/>
  <c r="N23" s="1"/>
  <c r="K23" s="1"/>
  <c r="D23"/>
  <c r="E24" s="1"/>
  <c r="M21"/>
  <c r="N21" s="1"/>
  <c r="K21" s="1"/>
  <c r="D21"/>
  <c r="D22" s="1"/>
  <c r="M19"/>
  <c r="N19" s="1"/>
  <c r="K19" s="1"/>
  <c r="D19"/>
  <c r="E20" s="1"/>
  <c r="M17"/>
  <c r="N17" s="1"/>
  <c r="K17" s="1"/>
  <c r="D17"/>
  <c r="D18" s="1"/>
  <c r="M15"/>
  <c r="N15" s="1"/>
  <c r="K15" s="1"/>
  <c r="D15"/>
  <c r="E16" s="1"/>
  <c r="M13"/>
  <c r="N13" s="1"/>
  <c r="D13"/>
  <c r="D14" s="1"/>
  <c r="M11"/>
  <c r="N11" s="1"/>
  <c r="K11" s="1"/>
  <c r="D11"/>
  <c r="D12" s="1"/>
  <c r="M9"/>
  <c r="N9" s="1"/>
  <c r="K9" s="1"/>
  <c r="D9"/>
  <c r="D10" s="1"/>
  <c r="AA110" l="1"/>
  <c r="E12"/>
  <c r="E38"/>
  <c r="E74"/>
  <c r="D68"/>
  <c r="E14"/>
  <c r="E70"/>
  <c r="D40"/>
  <c r="E10"/>
  <c r="D42"/>
  <c r="D72"/>
  <c r="E22"/>
  <c r="D20"/>
  <c r="D50"/>
  <c r="E46"/>
  <c r="D24"/>
  <c r="D16"/>
  <c r="E18"/>
  <c r="E48"/>
  <c r="E36"/>
  <c r="E44"/>
  <c r="AA112" l="1"/>
  <c r="AA114" l="1"/>
  <c r="AA116" l="1"/>
  <c r="AA120" l="1"/>
  <c r="AA118"/>
</calcChain>
</file>

<file path=xl/sharedStrings.xml><?xml version="1.0" encoding="utf-8"?>
<sst xmlns="http://schemas.openxmlformats.org/spreadsheetml/2006/main" count="407" uniqueCount="160">
  <si>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</si>
  <si>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</si>
  <si>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</si>
  <si>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</si>
  <si>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</si>
  <si>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</si>
  <si>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</si>
  <si>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</si>
  <si>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</si>
  <si>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</si>
  <si>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</si>
  <si>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</si>
  <si>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</si>
  <si>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</si>
  <si>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</si>
  <si>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</si>
  <si>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</si>
  <si>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</si>
  <si>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</si>
  <si>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</si>
  <si>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</si>
  <si>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</si>
  <si>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</si>
  <si>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</si>
  <si>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</si>
  <si>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</si>
  <si>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1.101-1.104</t>
  </si>
  <si>
    <t>1.104-1.107</t>
  </si>
  <si>
    <t>1.107-1.110</t>
  </si>
  <si>
    <t>3.103-3.106</t>
  </si>
  <si>
    <t>3.106-3.109</t>
  </si>
  <si>
    <t>1.113-1.116</t>
  </si>
  <si>
    <t>Calculating Tilt</t>
  </si>
  <si>
    <t>Position</t>
  </si>
  <si>
    <t xml:space="preserve"># of </t>
  </si>
  <si>
    <t>Perpendicular angle</t>
  </si>
  <si>
    <t>Tilt angle</t>
  </si>
  <si>
    <t>Cutters</t>
  </si>
  <si>
    <t>Trimmer</t>
  </si>
  <si>
    <t>1.116-1.119</t>
  </si>
  <si>
    <t>1.119-1.122</t>
  </si>
  <si>
    <t>3.109-3.112</t>
  </si>
  <si>
    <t>3.115-3.118</t>
  </si>
  <si>
    <t>3.118-3.121</t>
  </si>
  <si>
    <t>3.121-3.124</t>
  </si>
  <si>
    <t>5.111-5.114</t>
  </si>
  <si>
    <t>5.114-5.117</t>
  </si>
  <si>
    <t>5.117-5.120</t>
  </si>
  <si>
    <t>5.120-5.123</t>
  </si>
  <si>
    <t>2.114-2.117</t>
  </si>
  <si>
    <t>2.117-2.120</t>
  </si>
  <si>
    <t>2.120-2.123</t>
  </si>
  <si>
    <t>4.110-4.113</t>
  </si>
  <si>
    <t>4.113-4.116</t>
  </si>
  <si>
    <t>4.116-4.119</t>
  </si>
  <si>
    <t>.0768 in.</t>
  </si>
  <si>
    <t>.0754 in.</t>
  </si>
  <si>
    <t>.0723 in.</t>
  </si>
  <si>
    <t>.0822 in.</t>
  </si>
  <si>
    <t>.0803 in.</t>
  </si>
  <si>
    <t>.0891 in.</t>
  </si>
  <si>
    <t>.1320 in.</t>
  </si>
  <si>
    <t>.0741 in.</t>
  </si>
  <si>
    <t>.0778 in.</t>
  </si>
  <si>
    <t>.0782 in.</t>
  </si>
  <si>
    <t>RPM</t>
  </si>
  <si>
    <t>ROP</t>
  </si>
  <si>
    <t>4.1414 in.</t>
  </si>
  <si>
    <t>1.110-1.114</t>
  </si>
  <si>
    <t>1.114-1.119</t>
  </si>
  <si>
    <t>1.119-1.124</t>
  </si>
  <si>
    <t>1.124-1.129</t>
  </si>
  <si>
    <t>.0771 in.</t>
  </si>
  <si>
    <t>.0783 in.</t>
  </si>
  <si>
    <t>1.129-2.113</t>
  </si>
  <si>
    <t>2.113-2.118</t>
  </si>
  <si>
    <t>.0770 in.</t>
  </si>
  <si>
    <t>3.112-3.117</t>
  </si>
  <si>
    <t>3.117-3.122</t>
  </si>
  <si>
    <t>3.122-3.127</t>
  </si>
  <si>
    <t>3.127-3.132</t>
  </si>
  <si>
    <t>3.132-4.102</t>
  </si>
  <si>
    <t>4.102-4.105</t>
  </si>
  <si>
    <t>4.105-4.108</t>
  </si>
  <si>
    <t>4.108-4.111</t>
  </si>
  <si>
    <t>4.111-4.116</t>
  </si>
  <si>
    <t>4.116-4.121</t>
  </si>
  <si>
    <t>4.121-4.126</t>
  </si>
  <si>
    <t>4.126-4.131</t>
  </si>
  <si>
    <t>4.131-5.115</t>
  </si>
  <si>
    <t>5.115-5.120</t>
  </si>
  <si>
    <t>5.120-5.125</t>
  </si>
  <si>
    <t>5.125-5.130</t>
  </si>
  <si>
    <t>2.118-2.123</t>
  </si>
  <si>
    <t>2.123-2.128</t>
  </si>
  <si>
    <t>2.128-2.133</t>
  </si>
  <si>
    <t>2.133-3.103</t>
  </si>
  <si>
    <t>row +</t>
  </si>
  <si>
    <t>col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</si>
  <si>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</si>
  <si>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</si>
  <si>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</si>
  <si>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</si>
  <si>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</si>
  <si>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</si>
  <si>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</si>
  <si>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</si>
  <si>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</si>
  <si>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</si>
  <si>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</si>
  <si>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</si>
  <si>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</si>
  <si>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</si>
  <si>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</si>
  <si>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</si>
  <si>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KN Min=</t>
  </si>
  <si>
    <t>Additional clearance=</t>
  </si>
  <si>
    <t>Pitch</t>
  </si>
  <si>
    <t>z length (axis)</t>
  </si>
  <si>
    <t>cut?</t>
  </si>
  <si>
    <t>13?</t>
  </si>
  <si>
    <t>1/2?</t>
  </si>
  <si>
    <t>cr</t>
  </si>
  <si>
    <t>r</t>
  </si>
  <si>
    <t>Ynew</t>
  </si>
  <si>
    <t>Znew</t>
  </si>
  <si>
    <t>(.004 under no-go gage)</t>
  </si>
  <si>
    <t>Max kn OD=</t>
  </si>
  <si>
    <t/>
  </si>
  <si>
    <t>1/2"PDC K</t>
  </si>
  <si>
    <t>7/16"PDC K</t>
  </si>
  <si>
    <t>2.1477 in.</t>
  </si>
  <si>
    <t>1.431-2.431</t>
  </si>
  <si>
    <t>3.4404 in.</t>
  </si>
  <si>
    <t>2.431-3.431</t>
  </si>
  <si>
    <t>3.431-4.431</t>
  </si>
  <si>
    <t>4.2983 in.</t>
  </si>
  <si>
    <t>4.431-5.431</t>
  </si>
  <si>
    <t>3.3327 in.</t>
  </si>
  <si>
    <t>.0769 in.</t>
  </si>
  <si>
    <t>.0697 in.</t>
  </si>
  <si>
    <t>.0811 in.</t>
  </si>
  <si>
    <t>.0748 in.</t>
  </si>
  <si>
    <t>.0781 in.</t>
  </si>
  <si>
    <t>.0761 in.</t>
  </si>
  <si>
    <t>.0745 in.</t>
  </si>
  <si>
    <t>3.4035 in.</t>
  </si>
  <si>
    <t>.1100 in.</t>
  </si>
  <si>
    <t>.0760 in.</t>
  </si>
  <si>
    <t>.0780 in.</t>
  </si>
  <si>
    <t>3.5075 in.</t>
  </si>
  <si>
    <t>.0626 in.</t>
  </si>
  <si>
    <t>.1350 in.</t>
  </si>
  <si>
    <t>.0785 in.</t>
  </si>
  <si>
    <t>3.6336 in.</t>
  </si>
  <si>
    <t>.1734 in.</t>
  </si>
  <si>
    <t>.0710 in.</t>
  </si>
  <si>
    <t>.0791 in.</t>
  </si>
  <si>
    <t>3.5294 in.</t>
  </si>
  <si>
    <t>.0738 in.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</si>
</sst>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9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sz val="10"/>
      <color indexed="1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</borders>
  <cellStyleXfs count="11">
    <xf numFmtId="0" fontId="0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ill="0" applyBorder="0" applyProtection="0">
      <alignment horizontal="right"/>
    </xf>
    <xf numFmtId="8" fontId="4" fillId="0" borderId="0" applyFill="0" applyBorder="0" applyProtection="0">
      <alignment horizontal="right"/>
    </xf>
    <xf numFmtId="168" fontId="4" fillId="0" borderId="0" applyFill="0" applyBorder="0" applyProtection="0">
      <alignment horizontal="left"/>
    </xf>
    <xf numFmtId="0" fontId="4" fillId="0" borderId="0" applyNumberFormat="0" applyFill="0" applyBorder="0" applyAlignment="0" applyProtection="0"/>
    <xf numFmtId="49" fontId="4" fillId="0" borderId="0" applyFill="0" applyBorder="0" applyProtection="0">
      <alignment horizontal="left"/>
    </xf>
    <xf numFmtId="0" fontId="1" fillId="0" borderId="0"/>
    <xf numFmtId="0" fontId="1" fillId="0" borderId="0"/>
  </cellStyleXfs>
  <cellXfs count="709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3" fillId="0" borderId="3" xfId="0" applyNumberFormat="1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3" fillId="2" borderId="3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3" fillId="0" borderId="5" xfId="0" applyNumberFormat="1" applyFont="1" applyBorder="1" applyAlignment="1">
      <alignment horizontal="center"/>
    </xf>
    <xf numFmtId="165" fontId="3" fillId="2" borderId="5" xfId="0" applyNumberFormat="1" applyFont="1" applyFill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166" fontId="3" fillId="2" borderId="6" xfId="0" applyNumberFormat="1" applyFont="1" applyFill="1" applyBorder="1" applyAlignment="1">
      <alignment horizontal="center" vertical="center"/>
    </xf>
    <xf numFmtId="166" fontId="3" fillId="2" borderId="5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165" fontId="3" fillId="0" borderId="8" xfId="0" applyNumberFormat="1" applyFont="1" applyBorder="1" applyAlignment="1">
      <alignment horizontal="center"/>
    </xf>
    <xf numFmtId="165" fontId="3" fillId="2" borderId="8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2" borderId="9" xfId="0" applyNumberFormat="1" applyFont="1" applyFill="1" applyBorder="1" applyAlignment="1">
      <alignment horizontal="center" vertical="center"/>
    </xf>
    <xf numFmtId="1" fontId="3" fillId="2" borderId="10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165" fontId="3" fillId="2" borderId="12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center" vertical="center"/>
    </xf>
    <xf numFmtId="166" fontId="3" fillId="2" borderId="10" xfId="0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166" fontId="3" fillId="2" borderId="11" xfId="0" applyNumberFormat="1" applyFont="1" applyFill="1" applyBorder="1" applyAlignment="1">
      <alignment horizontal="center" vertical="center"/>
    </xf>
    <xf numFmtId="165" fontId="5" fillId="4" borderId="6" xfId="0" applyNumberFormat="1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5" fillId="5" borderId="14" xfId="0" applyNumberFormat="1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165" fontId="3" fillId="5" borderId="16" xfId="0" applyNumberFormat="1" applyFont="1" applyFill="1" applyBorder="1" applyAlignment="1">
      <alignment horizontal="center" vertical="center"/>
    </xf>
    <xf numFmtId="165" fontId="3" fillId="5" borderId="17" xfId="0" applyNumberFormat="1" applyFont="1" applyFill="1" applyBorder="1" applyAlignment="1">
      <alignment horizontal="center" vertical="center"/>
    </xf>
    <xf numFmtId="165" fontId="3" fillId="5" borderId="15" xfId="0" applyNumberFormat="1" applyFont="1" applyFill="1" applyBorder="1" applyAlignment="1">
      <alignment horizontal="center" vertical="center"/>
    </xf>
    <xf numFmtId="166" fontId="3" fillId="5" borderId="14" xfId="0" applyNumberFormat="1" applyFont="1" applyFill="1" applyBorder="1" applyAlignment="1">
      <alignment horizontal="center" vertical="center"/>
    </xf>
    <xf numFmtId="166" fontId="3" fillId="5" borderId="17" xfId="0" applyNumberFormat="1" applyFont="1" applyFill="1" applyBorder="1" applyAlignment="1">
      <alignment horizontal="center" vertical="center"/>
    </xf>
    <xf numFmtId="166" fontId="5" fillId="5" borderId="15" xfId="0" applyNumberFormat="1" applyFont="1" applyFill="1" applyBorder="1" applyAlignment="1">
      <alignment horizontal="center" vertical="center"/>
    </xf>
    <xf numFmtId="164" fontId="5" fillId="5" borderId="17" xfId="0" applyNumberFormat="1" applyFont="1" applyFill="1" applyBorder="1" applyAlignment="1">
      <alignment horizontal="center" vertical="center"/>
    </xf>
    <xf numFmtId="166" fontId="5" fillId="5" borderId="17" xfId="0" applyNumberFormat="1" applyFont="1" applyFill="1" applyBorder="1" applyAlignment="1">
      <alignment horizontal="center" vertical="center"/>
    </xf>
    <xf numFmtId="164" fontId="0" fillId="5" borderId="15" xfId="0" applyNumberFormat="1" applyFill="1" applyBorder="1" applyAlignment="1">
      <alignment horizontal="center" vertical="center"/>
    </xf>
    <xf numFmtId="165" fontId="5" fillId="5" borderId="6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165" fontId="3" fillId="5" borderId="8" xfId="0" applyNumberFormat="1" applyFont="1" applyFill="1" applyBorder="1" applyAlignment="1">
      <alignment horizontal="center" vertical="center"/>
    </xf>
    <xf numFmtId="165" fontId="3" fillId="5" borderId="3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center" vertical="center"/>
    </xf>
    <xf numFmtId="166" fontId="3" fillId="5" borderId="6" xfId="0" applyNumberFormat="1" applyFont="1" applyFill="1" applyBorder="1" applyAlignment="1">
      <alignment horizontal="center" vertical="center"/>
    </xf>
    <xf numFmtId="166" fontId="3" fillId="5" borderId="3" xfId="0" applyNumberFormat="1" applyFont="1" applyFill="1" applyBorder="1" applyAlignment="1">
      <alignment horizontal="center" vertical="center"/>
    </xf>
    <xf numFmtId="166" fontId="3" fillId="5" borderId="5" xfId="0" applyNumberFormat="1" applyFont="1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165" fontId="3" fillId="0" borderId="8" xfId="0" applyNumberFormat="1" applyFont="1" applyFill="1" applyBorder="1" applyAlignment="1">
      <alignment horizontal="center" vertical="center"/>
    </xf>
    <xf numFmtId="165" fontId="3" fillId="0" borderId="3" xfId="0" applyNumberFormat="1" applyFont="1" applyFill="1" applyBorder="1" applyAlignment="1">
      <alignment horizontal="center" vertical="center"/>
    </xf>
    <xf numFmtId="165" fontId="3" fillId="0" borderId="5" xfId="0" applyNumberFormat="1" applyFont="1" applyFill="1" applyBorder="1" applyAlignment="1">
      <alignment horizontal="center" vertical="center"/>
    </xf>
    <xf numFmtId="166" fontId="3" fillId="0" borderId="6" xfId="0" applyNumberFormat="1" applyFont="1" applyFill="1" applyBorder="1" applyAlignment="1">
      <alignment horizontal="center" vertical="center"/>
    </xf>
    <xf numFmtId="166" fontId="3" fillId="0" borderId="3" xfId="0" applyNumberFormat="1" applyFont="1" applyFill="1" applyBorder="1" applyAlignment="1">
      <alignment horizontal="center" vertical="center"/>
    </xf>
    <xf numFmtId="166" fontId="5" fillId="0" borderId="5" xfId="0" applyNumberFormat="1" applyFont="1" applyFill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166" fontId="5" fillId="0" borderId="3" xfId="0" applyNumberFormat="1" applyFon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6" fontId="3" fillId="0" borderId="5" xfId="0" applyNumberFormat="1" applyFon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5" fillId="5" borderId="5" xfId="0" applyNumberFormat="1" applyFont="1" applyFill="1" applyBorder="1" applyAlignment="1">
      <alignment horizontal="center" vertical="center"/>
    </xf>
    <xf numFmtId="164" fontId="5" fillId="5" borderId="3" xfId="0" applyNumberFormat="1" applyFont="1" applyFill="1" applyBorder="1" applyAlignment="1">
      <alignment horizontal="center" vertical="center"/>
    </xf>
    <xf numFmtId="166" fontId="5" fillId="5" borderId="3" xfId="0" applyNumberFormat="1" applyFont="1" applyFill="1" applyBorder="1" applyAlignment="1">
      <alignment horizontal="center" vertical="center"/>
    </xf>
    <xf numFmtId="165" fontId="5" fillId="6" borderId="18" xfId="0" applyNumberFormat="1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165" fontId="3" fillId="6" borderId="20" xfId="0" applyNumberFormat="1" applyFont="1" applyFill="1" applyBorder="1" applyAlignment="1">
      <alignment horizontal="center" vertical="center"/>
    </xf>
    <xf numFmtId="165" fontId="3" fillId="6" borderId="2" xfId="0" applyNumberFormat="1" applyFont="1" applyFill="1" applyBorder="1" applyAlignment="1">
      <alignment horizontal="center" vertical="center"/>
    </xf>
    <xf numFmtId="165" fontId="3" fillId="6" borderId="19" xfId="0" applyNumberFormat="1" applyFont="1" applyFill="1" applyBorder="1" applyAlignment="1">
      <alignment horizontal="center" vertical="center"/>
    </xf>
    <xf numFmtId="166" fontId="3" fillId="6" borderId="18" xfId="0" applyNumberFormat="1" applyFont="1" applyFill="1" applyBorder="1" applyAlignment="1">
      <alignment horizontal="center" vertical="center"/>
    </xf>
    <xf numFmtId="166" fontId="3" fillId="6" borderId="2" xfId="0" applyNumberFormat="1" applyFont="1" applyFill="1" applyBorder="1" applyAlignment="1">
      <alignment horizontal="center" vertical="center"/>
    </xf>
    <xf numFmtId="166" fontId="5" fillId="6" borderId="19" xfId="0" applyNumberFormat="1" applyFont="1" applyFill="1" applyBorder="1" applyAlignment="1">
      <alignment horizontal="center" vertical="center"/>
    </xf>
    <xf numFmtId="164" fontId="5" fillId="6" borderId="2" xfId="0" applyNumberFormat="1" applyFont="1" applyFill="1" applyBorder="1" applyAlignment="1">
      <alignment horizontal="center" vertical="center"/>
    </xf>
    <xf numFmtId="166" fontId="5" fillId="6" borderId="2" xfId="0" applyNumberFormat="1" applyFont="1" applyFill="1" applyBorder="1" applyAlignment="1">
      <alignment horizontal="center" vertical="center"/>
    </xf>
    <xf numFmtId="165" fontId="5" fillId="6" borderId="6" xfId="0" applyNumberFormat="1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165" fontId="3" fillId="6" borderId="8" xfId="0" applyNumberFormat="1" applyFont="1" applyFill="1" applyBorder="1" applyAlignment="1">
      <alignment horizontal="center" vertical="center"/>
    </xf>
    <xf numFmtId="165" fontId="3" fillId="6" borderId="3" xfId="0" applyNumberFormat="1" applyFont="1" applyFill="1" applyBorder="1" applyAlignment="1">
      <alignment horizontal="center" vertical="center"/>
    </xf>
    <xf numFmtId="165" fontId="3" fillId="6" borderId="5" xfId="0" applyNumberFormat="1" applyFont="1" applyFill="1" applyBorder="1" applyAlignment="1">
      <alignment horizontal="center" vertical="center"/>
    </xf>
    <xf numFmtId="166" fontId="3" fillId="6" borderId="6" xfId="0" applyNumberFormat="1" applyFont="1" applyFill="1" applyBorder="1" applyAlignment="1">
      <alignment horizontal="center" vertical="center"/>
    </xf>
    <xf numFmtId="166" fontId="3" fillId="6" borderId="3" xfId="0" applyNumberFormat="1" applyFont="1" applyFill="1" applyBorder="1" applyAlignment="1">
      <alignment horizontal="center" vertical="center"/>
    </xf>
    <xf numFmtId="166" fontId="3" fillId="6" borderId="5" xfId="0" applyNumberFormat="1" applyFont="1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164" fontId="5" fillId="0" borderId="3" xfId="0" applyNumberFormat="1" applyFont="1" applyFill="1" applyBorder="1" applyAlignment="1">
      <alignment horizontal="center" vertical="center"/>
    </xf>
    <xf numFmtId="166" fontId="5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6" fontId="0" fillId="0" borderId="3" xfId="0" applyNumberFormat="1" applyFill="1" applyBorder="1" applyAlignment="1">
      <alignment horizontal="center" vertical="center"/>
    </xf>
    <xf numFmtId="165" fontId="3" fillId="4" borderId="8" xfId="0" applyNumberFormat="1" applyFont="1" applyFill="1" applyBorder="1" applyAlignment="1">
      <alignment horizontal="center" vertical="center"/>
    </xf>
    <xf numFmtId="165" fontId="3" fillId="4" borderId="3" xfId="0" applyNumberFormat="1" applyFont="1" applyFill="1" applyBorder="1" applyAlignment="1">
      <alignment horizontal="center" vertical="center"/>
    </xf>
    <xf numFmtId="165" fontId="3" fillId="4" borderId="5" xfId="0" applyNumberFormat="1" applyFont="1" applyFill="1" applyBorder="1" applyAlignment="1">
      <alignment horizontal="center" vertical="center"/>
    </xf>
    <xf numFmtId="166" fontId="3" fillId="4" borderId="6" xfId="0" applyNumberFormat="1" applyFont="1" applyFill="1" applyBorder="1" applyAlignment="1">
      <alignment horizontal="center" vertical="center"/>
    </xf>
    <xf numFmtId="166" fontId="3" fillId="4" borderId="3" xfId="0" applyNumberFormat="1" applyFont="1" applyFill="1" applyBorder="1" applyAlignment="1">
      <alignment horizontal="center" vertical="center"/>
    </xf>
    <xf numFmtId="166" fontId="3" fillId="4" borderId="5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6" fontId="0" fillId="4" borderId="3" xfId="0" applyNumberFormat="1" applyFill="1" applyBorder="1" applyAlignment="1">
      <alignment horizontal="center" vertical="center"/>
    </xf>
    <xf numFmtId="166" fontId="5" fillId="4" borderId="5" xfId="0" applyNumberFormat="1" applyFont="1" applyFill="1" applyBorder="1" applyAlignment="1">
      <alignment horizontal="center" vertical="center"/>
    </xf>
    <xf numFmtId="164" fontId="5" fillId="4" borderId="3" xfId="0" applyNumberFormat="1" applyFont="1" applyFill="1" applyBorder="1" applyAlignment="1">
      <alignment horizontal="center" vertical="center"/>
    </xf>
    <xf numFmtId="166" fontId="5" fillId="4" borderId="3" xfId="0" applyNumberFormat="1" applyFont="1" applyFill="1" applyBorder="1" applyAlignment="1">
      <alignment horizontal="center" vertical="center"/>
    </xf>
    <xf numFmtId="165" fontId="5" fillId="7" borderId="18" xfId="0" applyNumberFormat="1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165" fontId="3" fillId="7" borderId="20" xfId="0" applyNumberFormat="1" applyFont="1" applyFill="1" applyBorder="1" applyAlignment="1">
      <alignment horizontal="center" vertical="center"/>
    </xf>
    <xf numFmtId="165" fontId="3" fillId="7" borderId="2" xfId="0" applyNumberFormat="1" applyFont="1" applyFill="1" applyBorder="1" applyAlignment="1">
      <alignment horizontal="center" vertical="center"/>
    </xf>
    <xf numFmtId="165" fontId="3" fillId="7" borderId="19" xfId="0" applyNumberFormat="1" applyFont="1" applyFill="1" applyBorder="1" applyAlignment="1">
      <alignment horizontal="center" vertical="center"/>
    </xf>
    <xf numFmtId="166" fontId="3" fillId="7" borderId="18" xfId="0" applyNumberFormat="1" applyFont="1" applyFill="1" applyBorder="1" applyAlignment="1">
      <alignment horizontal="center" vertical="center"/>
    </xf>
    <xf numFmtId="166" fontId="3" fillId="7" borderId="2" xfId="0" applyNumberFormat="1" applyFont="1" applyFill="1" applyBorder="1" applyAlignment="1">
      <alignment horizontal="center" vertical="center"/>
    </xf>
    <xf numFmtId="166" fontId="5" fillId="7" borderId="19" xfId="0" applyNumberFormat="1" applyFont="1" applyFill="1" applyBorder="1" applyAlignment="1">
      <alignment horizontal="center" vertical="center"/>
    </xf>
    <xf numFmtId="164" fontId="5" fillId="7" borderId="2" xfId="0" applyNumberFormat="1" applyFont="1" applyFill="1" applyBorder="1" applyAlignment="1">
      <alignment horizontal="center" vertical="center"/>
    </xf>
    <xf numFmtId="166" fontId="5" fillId="7" borderId="2" xfId="0" applyNumberFormat="1" applyFont="1" applyFill="1" applyBorder="1" applyAlignment="1">
      <alignment horizontal="center" vertical="center"/>
    </xf>
    <xf numFmtId="165" fontId="5" fillId="7" borderId="6" xfId="0" applyNumberFormat="1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165" fontId="3" fillId="7" borderId="8" xfId="0" applyNumberFormat="1" applyFont="1" applyFill="1" applyBorder="1" applyAlignment="1">
      <alignment horizontal="center" vertical="center"/>
    </xf>
    <xf numFmtId="165" fontId="3" fillId="7" borderId="3" xfId="0" applyNumberFormat="1" applyFont="1" applyFill="1" applyBorder="1" applyAlignment="1">
      <alignment horizontal="center" vertical="center"/>
    </xf>
    <xf numFmtId="165" fontId="3" fillId="7" borderId="5" xfId="0" applyNumberFormat="1" applyFont="1" applyFill="1" applyBorder="1" applyAlignment="1">
      <alignment horizontal="center" vertical="center"/>
    </xf>
    <xf numFmtId="166" fontId="3" fillId="7" borderId="6" xfId="0" applyNumberFormat="1" applyFont="1" applyFill="1" applyBorder="1" applyAlignment="1">
      <alignment horizontal="center" vertical="center"/>
    </xf>
    <xf numFmtId="166" fontId="3" fillId="7" borderId="3" xfId="0" applyNumberFormat="1" applyFont="1" applyFill="1" applyBorder="1" applyAlignment="1">
      <alignment horizontal="center" vertical="center"/>
    </xf>
    <xf numFmtId="166" fontId="3" fillId="7" borderId="5" xfId="0" applyNumberFormat="1" applyFont="1" applyFill="1" applyBorder="1" applyAlignment="1">
      <alignment horizontal="center" vertical="center"/>
    </xf>
    <xf numFmtId="164" fontId="0" fillId="7" borderId="3" xfId="0" applyNumberFormat="1" applyFill="1" applyBorder="1" applyAlignment="1">
      <alignment horizontal="center" vertical="center"/>
    </xf>
    <xf numFmtId="166" fontId="0" fillId="7" borderId="3" xfId="0" applyNumberFormat="1" applyFill="1" applyBorder="1" applyAlignment="1">
      <alignment horizontal="center" vertical="center"/>
    </xf>
    <xf numFmtId="165" fontId="5" fillId="8" borderId="6" xfId="0" applyNumberFormat="1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165" fontId="3" fillId="8" borderId="8" xfId="0" applyNumberFormat="1" applyFont="1" applyFill="1" applyBorder="1" applyAlignment="1">
      <alignment horizontal="center" vertical="center"/>
    </xf>
    <xf numFmtId="165" fontId="3" fillId="8" borderId="3" xfId="0" applyNumberFormat="1" applyFont="1" applyFill="1" applyBorder="1" applyAlignment="1">
      <alignment horizontal="center" vertical="center"/>
    </xf>
    <xf numFmtId="165" fontId="3" fillId="8" borderId="5" xfId="0" applyNumberFormat="1" applyFont="1" applyFill="1" applyBorder="1" applyAlignment="1">
      <alignment horizontal="center" vertical="center"/>
    </xf>
    <xf numFmtId="166" fontId="3" fillId="8" borderId="6" xfId="0" applyNumberFormat="1" applyFont="1" applyFill="1" applyBorder="1" applyAlignment="1">
      <alignment horizontal="center" vertical="center"/>
    </xf>
    <xf numFmtId="166" fontId="3" fillId="8" borderId="3" xfId="0" applyNumberFormat="1" applyFont="1" applyFill="1" applyBorder="1" applyAlignment="1">
      <alignment horizontal="center" vertical="center"/>
    </xf>
    <xf numFmtId="166" fontId="3" fillId="8" borderId="5" xfId="0" applyNumberFormat="1" applyFont="1" applyFill="1" applyBorder="1" applyAlignment="1">
      <alignment horizontal="center" vertical="center"/>
    </xf>
    <xf numFmtId="164" fontId="0" fillId="8" borderId="3" xfId="0" applyNumberFormat="1" applyFill="1" applyBorder="1" applyAlignment="1">
      <alignment horizontal="center" vertical="center"/>
    </xf>
    <xf numFmtId="166" fontId="0" fillId="8" borderId="3" xfId="0" applyNumberFormat="1" applyFill="1" applyBorder="1" applyAlignment="1">
      <alignment horizontal="center" vertical="center"/>
    </xf>
    <xf numFmtId="166" fontId="5" fillId="8" borderId="5" xfId="0" applyNumberFormat="1" applyFont="1" applyFill="1" applyBorder="1" applyAlignment="1">
      <alignment horizontal="center" vertical="center"/>
    </xf>
    <xf numFmtId="164" fontId="5" fillId="8" borderId="3" xfId="0" applyNumberFormat="1" applyFont="1" applyFill="1" applyBorder="1" applyAlignment="1">
      <alignment horizontal="center" vertical="center"/>
    </xf>
    <xf numFmtId="166" fontId="5" fillId="8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Fill="1" applyBorder="1"/>
    <xf numFmtId="0" fontId="3" fillId="0" borderId="0" xfId="2" applyFill="1" applyBorder="1"/>
    <xf numFmtId="0" fontId="6" fillId="0" borderId="0" xfId="2" applyFont="1" applyFill="1" applyBorder="1" applyAlignment="1">
      <alignment vertical="center"/>
    </xf>
    <xf numFmtId="0" fontId="3" fillId="0" borderId="0" xfId="2" applyFill="1" applyBorder="1" applyAlignment="1"/>
    <xf numFmtId="0" fontId="3" fillId="0" borderId="0" xfId="2" applyFont="1" applyFill="1" applyBorder="1" applyAlignment="1"/>
    <xf numFmtId="0" fontId="3" fillId="0" borderId="0" xfId="2" applyFill="1" applyBorder="1" applyAlignment="1">
      <alignment horizontal="center" vertical="center"/>
    </xf>
    <xf numFmtId="0" fontId="3" fillId="0" borderId="0" xfId="2" applyFont="1" applyFill="1" applyBorder="1" applyAlignment="1">
      <alignment horizontal="center" vertical="center"/>
    </xf>
    <xf numFmtId="0" fontId="3" fillId="0" borderId="0" xfId="2" applyFont="1" applyFill="1" applyBorder="1" applyAlignment="1">
      <alignment vertical="center"/>
    </xf>
    <xf numFmtId="0" fontId="3" fillId="0" borderId="0" xfId="2" applyFont="1" applyFill="1" applyBorder="1" applyAlignment="1">
      <alignment horizontal="center"/>
    </xf>
    <xf numFmtId="165" fontId="3" fillId="0" borderId="0" xfId="2" applyNumberFormat="1" applyFill="1" applyBorder="1" applyAlignment="1">
      <alignment horizontal="center" vertical="center"/>
    </xf>
    <xf numFmtId="165" fontId="3" fillId="0" borderId="0" xfId="2" applyNumberForma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3" fillId="0" borderId="0" xfId="2" applyFill="1" applyBorder="1" applyAlignment="1">
      <alignment vertical="center"/>
    </xf>
    <xf numFmtId="0" fontId="3" fillId="0" borderId="3" xfId="0" applyFont="1" applyBorder="1"/>
    <xf numFmtId="0" fontId="0" fillId="0" borderId="3" xfId="0" applyBorder="1"/>
    <xf numFmtId="0" fontId="0" fillId="0" borderId="24" xfId="0" applyBorder="1"/>
    <xf numFmtId="0" fontId="0" fillId="0" borderId="25" xfId="0" applyBorder="1"/>
    <xf numFmtId="0" fontId="3" fillId="0" borderId="24" xfId="0" applyFont="1" applyBorder="1"/>
    <xf numFmtId="0" fontId="0" fillId="0" borderId="26" xfId="0" applyBorder="1"/>
    <xf numFmtId="0" fontId="0" fillId="0" borderId="23" xfId="0" applyBorder="1"/>
    <xf numFmtId="0" fontId="0" fillId="0" borderId="27" xfId="0" applyBorder="1"/>
    <xf numFmtId="0" fontId="0" fillId="0" borderId="28" xfId="0" applyBorder="1"/>
    <xf numFmtId="0" fontId="0" fillId="0" borderId="2" xfId="0" applyBorder="1"/>
    <xf numFmtId="0" fontId="0" fillId="0" borderId="29" xfId="0" applyBorder="1"/>
    <xf numFmtId="0" fontId="3" fillId="9" borderId="30" xfId="0" applyFont="1" applyFill="1" applyBorder="1"/>
    <xf numFmtId="0" fontId="3" fillId="9" borderId="31" xfId="0" applyFont="1" applyFill="1" applyBorder="1"/>
    <xf numFmtId="0" fontId="3" fillId="9" borderId="32" xfId="0" applyFont="1" applyFill="1" applyBorder="1"/>
    <xf numFmtId="0" fontId="7" fillId="0" borderId="0" xfId="0" applyFont="1" applyAlignment="1"/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9" fontId="8" fillId="0" borderId="40" xfId="0" applyNumberFormat="1" applyFont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10" borderId="40" xfId="0" applyFill="1" applyBorder="1" applyAlignment="1">
      <alignment horizontal="center"/>
    </xf>
    <xf numFmtId="2" fontId="0" fillId="10" borderId="41" xfId="0" applyNumberFormat="1" applyFill="1" applyBorder="1" applyAlignment="1">
      <alignment horizontal="center"/>
    </xf>
    <xf numFmtId="169" fontId="8" fillId="10" borderId="40" xfId="0" applyNumberFormat="1" applyFont="1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9" fontId="8" fillId="0" borderId="43" xfId="0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65" fontId="5" fillId="0" borderId="49" xfId="0" applyNumberFormat="1" applyFont="1" applyFill="1" applyBorder="1" applyAlignment="1">
      <alignment horizontal="center" vertical="center"/>
    </xf>
    <xf numFmtId="0" fontId="5" fillId="0" borderId="48" xfId="0" applyFont="1" applyFill="1" applyBorder="1" applyAlignment="1">
      <alignment horizontal="center" vertical="center"/>
    </xf>
    <xf numFmtId="165" fontId="3" fillId="0" borderId="50" xfId="0" applyNumberFormat="1" applyFont="1" applyFill="1" applyBorder="1" applyAlignment="1">
      <alignment horizontal="center" vertical="center"/>
    </xf>
    <xf numFmtId="165" fontId="3" fillId="0" borderId="51" xfId="0" applyNumberFormat="1" applyFont="1" applyFill="1" applyBorder="1" applyAlignment="1">
      <alignment horizontal="center" vertical="center"/>
    </xf>
    <xf numFmtId="165" fontId="3" fillId="0" borderId="48" xfId="0" applyNumberFormat="1" applyFont="1" applyFill="1" applyBorder="1" applyAlignment="1">
      <alignment horizontal="center" vertical="center"/>
    </xf>
    <xf numFmtId="166" fontId="3" fillId="0" borderId="49" xfId="0" applyNumberFormat="1" applyFont="1" applyFill="1" applyBorder="1" applyAlignment="1">
      <alignment horizontal="center" vertical="center"/>
    </xf>
    <xf numFmtId="166" fontId="3" fillId="0" borderId="51" xfId="0" applyNumberFormat="1" applyFont="1" applyFill="1" applyBorder="1" applyAlignment="1">
      <alignment horizontal="center" vertical="center"/>
    </xf>
    <xf numFmtId="166" fontId="5" fillId="0" borderId="48" xfId="0" applyNumberFormat="1" applyFont="1" applyFill="1" applyBorder="1" applyAlignment="1">
      <alignment horizontal="center" vertical="center"/>
    </xf>
    <xf numFmtId="164" fontId="5" fillId="0" borderId="51" xfId="0" applyNumberFormat="1" applyFont="1" applyFill="1" applyBorder="1" applyAlignment="1">
      <alignment horizontal="center" vertical="center"/>
    </xf>
    <xf numFmtId="166" fontId="5" fillId="0" borderId="51" xfId="0" applyNumberFormat="1" applyFont="1" applyFill="1" applyBorder="1" applyAlignment="1">
      <alignment horizontal="center" vertical="center"/>
    </xf>
    <xf numFmtId="164" fontId="0" fillId="0" borderId="52" xfId="0" applyNumberFormat="1" applyFill="1" applyBorder="1" applyAlignment="1">
      <alignment horizontal="center" vertical="center"/>
    </xf>
    <xf numFmtId="164" fontId="0" fillId="0" borderId="25" xfId="0" applyNumberFormat="1" applyFill="1" applyBorder="1" applyAlignment="1">
      <alignment horizontal="center" vertical="center"/>
    </xf>
    <xf numFmtId="164" fontId="0" fillId="6" borderId="29" xfId="0" applyNumberFormat="1" applyFill="1" applyBorder="1" applyAlignment="1">
      <alignment horizontal="center" vertical="center"/>
    </xf>
    <xf numFmtId="164" fontId="0" fillId="6" borderId="25" xfId="0" applyNumberFormat="1" applyFill="1" applyBorder="1" applyAlignment="1">
      <alignment horizontal="center" vertical="center"/>
    </xf>
    <xf numFmtId="165" fontId="5" fillId="4" borderId="49" xfId="0" applyNumberFormat="1" applyFont="1" applyFill="1" applyBorder="1" applyAlignment="1">
      <alignment horizontal="center" vertical="center"/>
    </xf>
    <xf numFmtId="0" fontId="5" fillId="4" borderId="48" xfId="0" applyFont="1" applyFill="1" applyBorder="1" applyAlignment="1">
      <alignment horizontal="center" vertical="center"/>
    </xf>
    <xf numFmtId="165" fontId="3" fillId="4" borderId="50" xfId="0" applyNumberFormat="1" applyFont="1" applyFill="1" applyBorder="1" applyAlignment="1">
      <alignment horizontal="center" vertical="center"/>
    </xf>
    <xf numFmtId="165" fontId="3" fillId="4" borderId="51" xfId="0" applyNumberFormat="1" applyFont="1" applyFill="1" applyBorder="1" applyAlignment="1">
      <alignment horizontal="center" vertical="center"/>
    </xf>
    <xf numFmtId="165" fontId="3" fillId="4" borderId="48" xfId="0" applyNumberFormat="1" applyFont="1" applyFill="1" applyBorder="1" applyAlignment="1">
      <alignment horizontal="center" vertical="center"/>
    </xf>
    <xf numFmtId="166" fontId="3" fillId="4" borderId="49" xfId="0" applyNumberFormat="1" applyFont="1" applyFill="1" applyBorder="1" applyAlignment="1">
      <alignment horizontal="center" vertical="center"/>
    </xf>
    <xf numFmtId="166" fontId="3" fillId="4" borderId="51" xfId="0" applyNumberFormat="1" applyFont="1" applyFill="1" applyBorder="1" applyAlignment="1">
      <alignment horizontal="center" vertical="center"/>
    </xf>
    <xf numFmtId="166" fontId="5" fillId="4" borderId="48" xfId="0" applyNumberFormat="1" applyFont="1" applyFill="1" applyBorder="1" applyAlignment="1">
      <alignment horizontal="center" vertical="center"/>
    </xf>
    <xf numFmtId="164" fontId="5" fillId="4" borderId="51" xfId="0" applyNumberFormat="1" applyFont="1" applyFill="1" applyBorder="1" applyAlignment="1">
      <alignment horizontal="center" vertical="center"/>
    </xf>
    <xf numFmtId="166" fontId="5" fillId="4" borderId="51" xfId="0" applyNumberFormat="1" applyFont="1" applyFill="1" applyBorder="1" applyAlignment="1">
      <alignment horizontal="center" vertical="center"/>
    </xf>
    <xf numFmtId="164" fontId="0" fillId="4" borderId="52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64" fontId="5" fillId="0" borderId="51" xfId="0" applyNumberFormat="1" applyFont="1" applyBorder="1" applyAlignment="1">
      <alignment horizontal="center" vertical="center"/>
    </xf>
    <xf numFmtId="166" fontId="5" fillId="0" borderId="51" xfId="0" applyNumberFormat="1" applyFont="1" applyBorder="1" applyAlignment="1">
      <alignment horizontal="center" vertical="center"/>
    </xf>
    <xf numFmtId="164" fontId="0" fillId="0" borderId="52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7" borderId="29" xfId="0" applyNumberFormat="1" applyFill="1" applyBorder="1" applyAlignment="1">
      <alignment horizontal="center" vertical="center"/>
    </xf>
    <xf numFmtId="164" fontId="0" fillId="7" borderId="25" xfId="0" applyNumberFormat="1" applyFill="1" applyBorder="1" applyAlignment="1">
      <alignment horizontal="center" vertical="center"/>
    </xf>
    <xf numFmtId="165" fontId="5" fillId="7" borderId="54" xfId="0" applyNumberFormat="1" applyFont="1" applyFill="1" applyBorder="1" applyAlignment="1">
      <alignment horizontal="center" vertical="center"/>
    </xf>
    <xf numFmtId="0" fontId="5" fillId="7" borderId="53" xfId="0" applyFont="1" applyFill="1" applyBorder="1" applyAlignment="1">
      <alignment horizontal="center" vertical="center"/>
    </xf>
    <xf numFmtId="165" fontId="3" fillId="7" borderId="55" xfId="0" applyNumberFormat="1" applyFont="1" applyFill="1" applyBorder="1" applyAlignment="1">
      <alignment horizontal="center" vertical="center"/>
    </xf>
    <xf numFmtId="165" fontId="3" fillId="7" borderId="23" xfId="0" applyNumberFormat="1" applyFont="1" applyFill="1" applyBorder="1" applyAlignment="1">
      <alignment horizontal="center" vertical="center"/>
    </xf>
    <xf numFmtId="165" fontId="3" fillId="7" borderId="53" xfId="0" applyNumberFormat="1" applyFont="1" applyFill="1" applyBorder="1" applyAlignment="1">
      <alignment horizontal="center" vertical="center"/>
    </xf>
    <xf numFmtId="166" fontId="3" fillId="7" borderId="54" xfId="0" applyNumberFormat="1" applyFont="1" applyFill="1" applyBorder="1" applyAlignment="1">
      <alignment horizontal="center" vertical="center"/>
    </xf>
    <xf numFmtId="166" fontId="3" fillId="7" borderId="23" xfId="0" applyNumberFormat="1" applyFont="1" applyFill="1" applyBorder="1" applyAlignment="1">
      <alignment horizontal="center" vertical="center"/>
    </xf>
    <xf numFmtId="166" fontId="3" fillId="7" borderId="53" xfId="0" applyNumberFormat="1" applyFont="1" applyFill="1" applyBorder="1" applyAlignment="1">
      <alignment horizontal="center" vertical="center"/>
    </xf>
    <xf numFmtId="164" fontId="0" fillId="7" borderId="23" xfId="0" applyNumberFormat="1" applyFill="1" applyBorder="1" applyAlignment="1">
      <alignment horizontal="center" vertical="center"/>
    </xf>
    <xf numFmtId="166" fontId="0" fillId="7" borderId="23" xfId="0" applyNumberFormat="1" applyFill="1" applyBorder="1" applyAlignment="1">
      <alignment horizontal="center" vertical="center"/>
    </xf>
    <xf numFmtId="164" fontId="0" fillId="7" borderId="27" xfId="0" applyNumberFormat="1" applyFill="1" applyBorder="1" applyAlignment="1">
      <alignment horizontal="center" vertical="center"/>
    </xf>
    <xf numFmtId="165" fontId="5" fillId="8" borderId="49" xfId="0" applyNumberFormat="1" applyFont="1" applyFill="1" applyBorder="1" applyAlignment="1">
      <alignment horizontal="center" vertical="center"/>
    </xf>
    <xf numFmtId="0" fontId="5" fillId="8" borderId="48" xfId="0" applyFont="1" applyFill="1" applyBorder="1" applyAlignment="1">
      <alignment horizontal="center" vertical="center"/>
    </xf>
    <xf numFmtId="165" fontId="3" fillId="8" borderId="50" xfId="0" applyNumberFormat="1" applyFont="1" applyFill="1" applyBorder="1" applyAlignment="1">
      <alignment horizontal="center" vertical="center"/>
    </xf>
    <xf numFmtId="165" fontId="3" fillId="8" borderId="51" xfId="0" applyNumberFormat="1" applyFont="1" applyFill="1" applyBorder="1" applyAlignment="1">
      <alignment horizontal="center" vertical="center"/>
    </xf>
    <xf numFmtId="165" fontId="3" fillId="8" borderId="48" xfId="0" applyNumberFormat="1" applyFont="1" applyFill="1" applyBorder="1" applyAlignment="1">
      <alignment horizontal="center" vertical="center"/>
    </xf>
    <xf numFmtId="166" fontId="3" fillId="8" borderId="49" xfId="0" applyNumberFormat="1" applyFont="1" applyFill="1" applyBorder="1" applyAlignment="1">
      <alignment horizontal="center" vertical="center"/>
    </xf>
    <xf numFmtId="166" fontId="3" fillId="8" borderId="51" xfId="0" applyNumberFormat="1" applyFont="1" applyFill="1" applyBorder="1" applyAlignment="1">
      <alignment horizontal="center" vertical="center"/>
    </xf>
    <xf numFmtId="166" fontId="5" fillId="8" borderId="48" xfId="0" applyNumberFormat="1" applyFont="1" applyFill="1" applyBorder="1" applyAlignment="1">
      <alignment horizontal="center" vertical="center"/>
    </xf>
    <xf numFmtId="164" fontId="5" fillId="8" borderId="51" xfId="0" applyNumberFormat="1" applyFont="1" applyFill="1" applyBorder="1" applyAlignment="1">
      <alignment horizontal="center" vertical="center"/>
    </xf>
    <xf numFmtId="166" fontId="5" fillId="8" borderId="51" xfId="0" applyNumberFormat="1" applyFont="1" applyFill="1" applyBorder="1" applyAlignment="1">
      <alignment horizontal="center" vertical="center"/>
    </xf>
    <xf numFmtId="164" fontId="0" fillId="8" borderId="52" xfId="0" applyNumberFormat="1" applyFill="1" applyBorder="1" applyAlignment="1">
      <alignment horizontal="center" vertical="center"/>
    </xf>
    <xf numFmtId="164" fontId="0" fillId="8" borderId="25" xfId="0" applyNumberForma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164" fontId="0" fillId="0" borderId="0" xfId="0" applyNumberFormat="1"/>
    <xf numFmtId="164" fontId="3" fillId="0" borderId="12" xfId="0" applyNumberFormat="1" applyFont="1" applyFill="1" applyBorder="1" applyAlignment="1">
      <alignment horizontal="center" vertical="center"/>
    </xf>
    <xf numFmtId="165" fontId="5" fillId="0" borderId="1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5" fontId="3" fillId="0" borderId="1" xfId="0" applyNumberFormat="1" applyFont="1" applyFill="1" applyBorder="1" applyAlignment="1">
      <alignment horizontal="center" vertical="center"/>
    </xf>
    <xf numFmtId="165" fontId="3" fillId="0" borderId="11" xfId="0" applyNumberFormat="1" applyFont="1" applyFill="1" applyBorder="1" applyAlignment="1">
      <alignment horizontal="center" vertical="center"/>
    </xf>
    <xf numFmtId="166" fontId="3" fillId="0" borderId="10" xfId="0" applyNumberFormat="1" applyFont="1" applyFill="1" applyBorder="1" applyAlignment="1">
      <alignment horizontal="center" vertical="center"/>
    </xf>
    <xf numFmtId="166" fontId="3" fillId="0" borderId="1" xfId="0" applyNumberFormat="1" applyFont="1" applyFill="1" applyBorder="1" applyAlignment="1">
      <alignment horizontal="center" vertical="center"/>
    </xf>
    <xf numFmtId="166" fontId="3" fillId="0" borderId="11" xfId="0" applyNumberFormat="1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4" fontId="0" fillId="0" borderId="9" xfId="0" applyNumberFormat="1" applyFill="1" applyBorder="1" applyAlignment="1">
      <alignment horizontal="center" vertical="center"/>
    </xf>
    <xf numFmtId="165" fontId="5" fillId="5" borderId="49" xfId="0" applyNumberFormat="1" applyFont="1" applyFill="1" applyBorder="1" applyAlignment="1">
      <alignment horizontal="center" vertical="center"/>
    </xf>
    <xf numFmtId="0" fontId="5" fillId="5" borderId="48" xfId="0" applyFont="1" applyFill="1" applyBorder="1" applyAlignment="1">
      <alignment horizontal="center" vertical="center"/>
    </xf>
    <xf numFmtId="165" fontId="3" fillId="5" borderId="50" xfId="0" applyNumberFormat="1" applyFont="1" applyFill="1" applyBorder="1" applyAlignment="1">
      <alignment horizontal="center" vertical="center"/>
    </xf>
    <xf numFmtId="165" fontId="3" fillId="5" borderId="51" xfId="0" applyNumberFormat="1" applyFont="1" applyFill="1" applyBorder="1" applyAlignment="1">
      <alignment horizontal="center" vertical="center"/>
    </xf>
    <xf numFmtId="165" fontId="3" fillId="5" borderId="48" xfId="0" applyNumberFormat="1" applyFont="1" applyFill="1" applyBorder="1" applyAlignment="1">
      <alignment horizontal="center" vertical="center"/>
    </xf>
    <xf numFmtId="166" fontId="3" fillId="5" borderId="49" xfId="0" applyNumberFormat="1" applyFont="1" applyFill="1" applyBorder="1" applyAlignment="1">
      <alignment horizontal="center" vertical="center"/>
    </xf>
    <xf numFmtId="166" fontId="3" fillId="5" borderId="51" xfId="0" applyNumberFormat="1" applyFont="1" applyFill="1" applyBorder="1" applyAlignment="1">
      <alignment horizontal="center" vertical="center"/>
    </xf>
    <xf numFmtId="166" fontId="5" fillId="5" borderId="48" xfId="0" applyNumberFormat="1" applyFont="1" applyFill="1" applyBorder="1" applyAlignment="1">
      <alignment horizontal="center" vertical="center"/>
    </xf>
    <xf numFmtId="164" fontId="5" fillId="5" borderId="51" xfId="0" applyNumberFormat="1" applyFont="1" applyFill="1" applyBorder="1" applyAlignment="1">
      <alignment horizontal="center" vertical="center"/>
    </xf>
    <xf numFmtId="166" fontId="5" fillId="5" borderId="51" xfId="0" applyNumberFormat="1" applyFont="1" applyFill="1" applyBorder="1" applyAlignment="1">
      <alignment horizontal="center" vertical="center"/>
    </xf>
    <xf numFmtId="164" fontId="0" fillId="5" borderId="48" xfId="0" applyNumberForma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Fill="1" applyBorder="1" applyAlignment="1">
      <alignment horizontal="center" vertical="center"/>
    </xf>
    <xf numFmtId="0" fontId="3" fillId="0" borderId="0" xfId="0" applyFont="1"/>
    <xf numFmtId="165" fontId="5" fillId="6" borderId="49" xfId="0" applyNumberFormat="1" applyFont="1" applyFill="1" applyBorder="1" applyAlignment="1">
      <alignment horizontal="center" vertical="center"/>
    </xf>
    <xf numFmtId="0" fontId="5" fillId="6" borderId="48" xfId="0" applyFont="1" applyFill="1" applyBorder="1" applyAlignment="1">
      <alignment horizontal="center" vertical="center"/>
    </xf>
    <xf numFmtId="165" fontId="3" fillId="6" borderId="50" xfId="0" applyNumberFormat="1" applyFont="1" applyFill="1" applyBorder="1" applyAlignment="1">
      <alignment horizontal="center" vertical="center"/>
    </xf>
    <xf numFmtId="165" fontId="3" fillId="6" borderId="51" xfId="0" applyNumberFormat="1" applyFont="1" applyFill="1" applyBorder="1" applyAlignment="1">
      <alignment horizontal="center" vertical="center"/>
    </xf>
    <xf numFmtId="165" fontId="3" fillId="6" borderId="48" xfId="0" applyNumberFormat="1" applyFont="1" applyFill="1" applyBorder="1" applyAlignment="1">
      <alignment horizontal="center" vertical="center"/>
    </xf>
    <xf numFmtId="166" fontId="3" fillId="6" borderId="49" xfId="0" applyNumberFormat="1" applyFont="1" applyFill="1" applyBorder="1" applyAlignment="1">
      <alignment horizontal="center" vertical="center"/>
    </xf>
    <xf numFmtId="166" fontId="3" fillId="6" borderId="51" xfId="0" applyNumberFormat="1" applyFont="1" applyFill="1" applyBorder="1" applyAlignment="1">
      <alignment horizontal="center" vertical="center"/>
    </xf>
    <xf numFmtId="166" fontId="5" fillId="6" borderId="48" xfId="0" applyNumberFormat="1" applyFont="1" applyFill="1" applyBorder="1" applyAlignment="1">
      <alignment horizontal="center" vertical="center"/>
    </xf>
    <xf numFmtId="164" fontId="5" fillId="6" borderId="51" xfId="0" applyNumberFormat="1" applyFont="1" applyFill="1" applyBorder="1" applyAlignment="1">
      <alignment horizontal="center" vertical="center"/>
    </xf>
    <xf numFmtId="166" fontId="5" fillId="6" borderId="51" xfId="0" applyNumberFormat="1" applyFont="1" applyFill="1" applyBorder="1" applyAlignment="1">
      <alignment horizontal="center" vertical="center"/>
    </xf>
    <xf numFmtId="164" fontId="0" fillId="6" borderId="52" xfId="0" applyNumberFormat="1" applyFill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165" fontId="5" fillId="7" borderId="10" xfId="0" applyNumberFormat="1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165" fontId="3" fillId="7" borderId="12" xfId="0" applyNumberFormat="1" applyFont="1" applyFill="1" applyBorder="1" applyAlignment="1">
      <alignment horizontal="center" vertical="center"/>
    </xf>
    <xf numFmtId="165" fontId="3" fillId="7" borderId="1" xfId="0" applyNumberFormat="1" applyFont="1" applyFill="1" applyBorder="1" applyAlignment="1">
      <alignment horizontal="center" vertical="center"/>
    </xf>
    <xf numFmtId="165" fontId="3" fillId="7" borderId="11" xfId="0" applyNumberFormat="1" applyFont="1" applyFill="1" applyBorder="1" applyAlignment="1">
      <alignment horizontal="center" vertical="center"/>
    </xf>
    <xf numFmtId="166" fontId="3" fillId="7" borderId="10" xfId="0" applyNumberFormat="1" applyFont="1" applyFill="1" applyBorder="1" applyAlignment="1">
      <alignment horizontal="center" vertical="center"/>
    </xf>
    <xf numFmtId="166" fontId="3" fillId="7" borderId="1" xfId="0" applyNumberFormat="1" applyFont="1" applyFill="1" applyBorder="1" applyAlignment="1">
      <alignment horizontal="center" vertical="center"/>
    </xf>
    <xf numFmtId="166" fontId="3" fillId="7" borderId="11" xfId="0" applyNumberFormat="1" applyFont="1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164" fontId="0" fillId="7" borderId="64" xfId="0" applyNumberFormat="1" applyFill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5" fontId="5" fillId="6" borderId="10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5" fontId="3" fillId="6" borderId="12" xfId="0" applyNumberFormat="1" applyFont="1" applyFill="1" applyBorder="1" applyAlignment="1">
      <alignment horizontal="center" vertical="center"/>
    </xf>
    <xf numFmtId="165" fontId="3" fillId="6" borderId="1" xfId="0" applyNumberFormat="1" applyFont="1" applyFill="1" applyBorder="1" applyAlignment="1">
      <alignment horizontal="center" vertical="center"/>
    </xf>
    <xf numFmtId="165" fontId="3" fillId="6" borderId="11" xfId="0" applyNumberFormat="1" applyFont="1" applyFill="1" applyBorder="1" applyAlignment="1">
      <alignment horizontal="center" vertical="center"/>
    </xf>
    <xf numFmtId="166" fontId="3" fillId="6" borderId="10" xfId="0" applyNumberFormat="1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166" fontId="3" fillId="6" borderId="11" xfId="0" applyNumberFormat="1" applyFon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166" fontId="0" fillId="6" borderId="1" xfId="0" applyNumberFormat="1" applyFill="1" applyBorder="1" applyAlignment="1">
      <alignment horizontal="center" vertical="center"/>
    </xf>
    <xf numFmtId="164" fontId="0" fillId="6" borderId="64" xfId="0" applyNumberFormat="1" applyFill="1" applyBorder="1" applyAlignment="1">
      <alignment horizontal="center" vertical="center"/>
    </xf>
    <xf numFmtId="165" fontId="5" fillId="5" borderId="10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65" fontId="3" fillId="5" borderId="12" xfId="0" applyNumberFormat="1" applyFont="1" applyFill="1" applyBorder="1" applyAlignment="1">
      <alignment horizontal="center" vertical="center"/>
    </xf>
    <xf numFmtId="165" fontId="3" fillId="5" borderId="1" xfId="0" applyNumberFormat="1" applyFont="1" applyFill="1" applyBorder="1" applyAlignment="1">
      <alignment horizontal="center" vertical="center"/>
    </xf>
    <xf numFmtId="165" fontId="3" fillId="5" borderId="11" xfId="0" applyNumberFormat="1" applyFont="1" applyFill="1" applyBorder="1" applyAlignment="1">
      <alignment horizontal="center" vertical="center"/>
    </xf>
    <xf numFmtId="166" fontId="3" fillId="5" borderId="10" xfId="0" applyNumberFormat="1" applyFont="1" applyFill="1" applyBorder="1" applyAlignment="1">
      <alignment horizontal="center" vertical="center"/>
    </xf>
    <xf numFmtId="166" fontId="3" fillId="5" borderId="1" xfId="0" applyNumberFormat="1" applyFont="1" applyFill="1" applyBorder="1" applyAlignment="1">
      <alignment horizontal="center" vertical="center"/>
    </xf>
    <xf numFmtId="166" fontId="3" fillId="5" borderId="11" xfId="0" applyNumberFormat="1" applyFont="1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166" fontId="0" fillId="5" borderId="1" xfId="0" applyNumberFormat="1" applyFill="1" applyBorder="1" applyAlignment="1">
      <alignment horizontal="center" vertical="center"/>
    </xf>
    <xf numFmtId="164" fontId="0" fillId="5" borderId="11" xfId="0" applyNumberFormat="1" applyFill="1" applyBorder="1" applyAlignment="1">
      <alignment horizontal="center" vertical="center"/>
    </xf>
    <xf numFmtId="165" fontId="5" fillId="8" borderId="54" xfId="0" applyNumberFormat="1" applyFont="1" applyFill="1" applyBorder="1" applyAlignment="1">
      <alignment horizontal="center" vertical="center"/>
    </xf>
    <xf numFmtId="0" fontId="5" fillId="8" borderId="53" xfId="0" applyFont="1" applyFill="1" applyBorder="1" applyAlignment="1">
      <alignment horizontal="center" vertical="center"/>
    </xf>
    <xf numFmtId="165" fontId="3" fillId="8" borderId="55" xfId="0" applyNumberFormat="1" applyFont="1" applyFill="1" applyBorder="1" applyAlignment="1">
      <alignment horizontal="center" vertical="center"/>
    </xf>
    <xf numFmtId="165" fontId="3" fillId="8" borderId="23" xfId="0" applyNumberFormat="1" applyFont="1" applyFill="1" applyBorder="1" applyAlignment="1">
      <alignment horizontal="center" vertical="center"/>
    </xf>
    <xf numFmtId="165" fontId="3" fillId="8" borderId="53" xfId="0" applyNumberFormat="1" applyFont="1" applyFill="1" applyBorder="1" applyAlignment="1">
      <alignment horizontal="center" vertical="center"/>
    </xf>
    <xf numFmtId="166" fontId="3" fillId="8" borderId="54" xfId="0" applyNumberFormat="1" applyFont="1" applyFill="1" applyBorder="1" applyAlignment="1">
      <alignment horizontal="center" vertical="center"/>
    </xf>
    <xf numFmtId="166" fontId="3" fillId="8" borderId="23" xfId="0" applyNumberFormat="1" applyFont="1" applyFill="1" applyBorder="1" applyAlignment="1">
      <alignment horizontal="center" vertical="center"/>
    </xf>
    <xf numFmtId="166" fontId="3" fillId="8" borderId="53" xfId="0" applyNumberFormat="1" applyFont="1" applyFill="1" applyBorder="1" applyAlignment="1">
      <alignment horizontal="center" vertical="center"/>
    </xf>
    <xf numFmtId="164" fontId="0" fillId="8" borderId="23" xfId="0" applyNumberFormat="1" applyFill="1" applyBorder="1" applyAlignment="1">
      <alignment horizontal="center" vertical="center"/>
    </xf>
    <xf numFmtId="166" fontId="0" fillId="8" borderId="23" xfId="0" applyNumberFormat="1" applyFill="1" applyBorder="1" applyAlignment="1">
      <alignment horizontal="center" vertical="center"/>
    </xf>
    <xf numFmtId="164" fontId="0" fillId="8" borderId="27" xfId="0" applyNumberFormat="1" applyFill="1" applyBorder="1" applyAlignment="1">
      <alignment horizontal="center" vertical="center"/>
    </xf>
    <xf numFmtId="165" fontId="5" fillId="4" borderId="10" xfId="0" applyNumberFormat="1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165" fontId="3" fillId="4" borderId="12" xfId="0" applyNumberFormat="1" applyFont="1" applyFill="1" applyBorder="1" applyAlignment="1">
      <alignment horizontal="center" vertical="center"/>
    </xf>
    <xf numFmtId="165" fontId="3" fillId="4" borderId="1" xfId="0" applyNumberFormat="1" applyFont="1" applyFill="1" applyBorder="1" applyAlignment="1">
      <alignment horizontal="center" vertical="center"/>
    </xf>
    <xf numFmtId="165" fontId="3" fillId="4" borderId="11" xfId="0" applyNumberFormat="1" applyFont="1" applyFill="1" applyBorder="1" applyAlignment="1">
      <alignment horizontal="center" vertical="center"/>
    </xf>
    <xf numFmtId="166" fontId="3" fillId="4" borderId="10" xfId="0" applyNumberFormat="1" applyFont="1" applyFill="1" applyBorder="1" applyAlignment="1">
      <alignment horizontal="center" vertical="center"/>
    </xf>
    <xf numFmtId="166" fontId="3" fillId="4" borderId="1" xfId="0" applyNumberFormat="1" applyFont="1" applyFill="1" applyBorder="1" applyAlignment="1">
      <alignment horizontal="center" vertical="center"/>
    </xf>
    <xf numFmtId="166" fontId="3" fillId="4" borderId="11" xfId="0" applyNumberFormat="1" applyFon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4" fontId="0" fillId="4" borderId="64" xfId="0" applyNumberFormat="1" applyFill="1" applyBorder="1" applyAlignment="1">
      <alignment horizontal="center" vertical="center"/>
    </xf>
    <xf numFmtId="164" fontId="0" fillId="0" borderId="64" xfId="0" applyNumberFormat="1" applyFill="1" applyBorder="1" applyAlignment="1">
      <alignment horizontal="center" vertical="center"/>
    </xf>
    <xf numFmtId="165" fontId="5" fillId="7" borderId="49" xfId="0" applyNumberFormat="1" applyFont="1" applyFill="1" applyBorder="1" applyAlignment="1">
      <alignment horizontal="center" vertical="center"/>
    </xf>
    <xf numFmtId="0" fontId="5" fillId="7" borderId="48" xfId="0" applyFont="1" applyFill="1" applyBorder="1" applyAlignment="1">
      <alignment horizontal="center" vertical="center"/>
    </xf>
    <xf numFmtId="165" fontId="3" fillId="7" borderId="50" xfId="0" applyNumberFormat="1" applyFont="1" applyFill="1" applyBorder="1" applyAlignment="1">
      <alignment horizontal="center" vertical="center"/>
    </xf>
    <xf numFmtId="165" fontId="3" fillId="7" borderId="51" xfId="0" applyNumberFormat="1" applyFont="1" applyFill="1" applyBorder="1" applyAlignment="1">
      <alignment horizontal="center" vertical="center"/>
    </xf>
    <xf numFmtId="165" fontId="3" fillId="7" borderId="48" xfId="0" applyNumberFormat="1" applyFont="1" applyFill="1" applyBorder="1" applyAlignment="1">
      <alignment horizontal="center" vertical="center"/>
    </xf>
    <xf numFmtId="166" fontId="3" fillId="7" borderId="49" xfId="0" applyNumberFormat="1" applyFont="1" applyFill="1" applyBorder="1" applyAlignment="1">
      <alignment horizontal="center" vertical="center"/>
    </xf>
    <xf numFmtId="166" fontId="3" fillId="7" borderId="51" xfId="0" applyNumberFormat="1" applyFont="1" applyFill="1" applyBorder="1" applyAlignment="1">
      <alignment horizontal="center" vertical="center"/>
    </xf>
    <xf numFmtId="166" fontId="5" fillId="7" borderId="48" xfId="0" applyNumberFormat="1" applyFont="1" applyFill="1" applyBorder="1" applyAlignment="1">
      <alignment horizontal="center" vertical="center"/>
    </xf>
    <xf numFmtId="164" fontId="5" fillId="7" borderId="51" xfId="0" applyNumberFormat="1" applyFont="1" applyFill="1" applyBorder="1" applyAlignment="1">
      <alignment horizontal="center" vertical="center"/>
    </xf>
    <xf numFmtId="166" fontId="5" fillId="7" borderId="51" xfId="0" applyNumberFormat="1" applyFont="1" applyFill="1" applyBorder="1" applyAlignment="1">
      <alignment horizontal="center" vertical="center"/>
    </xf>
    <xf numFmtId="164" fontId="0" fillId="7" borderId="52" xfId="0" applyNumberFormat="1" applyFill="1" applyBorder="1" applyAlignment="1">
      <alignment horizontal="center" vertical="center"/>
    </xf>
    <xf numFmtId="0" fontId="0" fillId="0" borderId="0" xfId="0" applyNumberFormat="1" applyFill="1"/>
    <xf numFmtId="0" fontId="1" fillId="0" borderId="0" xfId="9"/>
    <xf numFmtId="0" fontId="1" fillId="0" borderId="0" xfId="9" applyAlignment="1">
      <alignment horizontal="center" vertical="center"/>
    </xf>
    <xf numFmtId="0" fontId="1" fillId="0" borderId="0" xfId="9" applyBorder="1" applyAlignment="1">
      <alignment horizontal="center" vertical="center"/>
    </xf>
    <xf numFmtId="0" fontId="1" fillId="0" borderId="0" xfId="9" applyAlignment="1">
      <alignment horizontal="center" vertical="center" wrapText="1"/>
    </xf>
    <xf numFmtId="0" fontId="1" fillId="0" borderId="66" xfId="9" applyBorder="1" applyAlignment="1">
      <alignment horizontal="center" vertical="center" wrapText="1"/>
    </xf>
    <xf numFmtId="0" fontId="3" fillId="0" borderId="0" xfId="9" applyFont="1" applyAlignment="1">
      <alignment horizontal="center" vertical="center" wrapText="1"/>
    </xf>
    <xf numFmtId="165" fontId="1" fillId="0" borderId="0" xfId="9" applyNumberFormat="1" applyAlignment="1">
      <alignment horizontal="center" vertical="center"/>
    </xf>
    <xf numFmtId="0" fontId="3" fillId="0" borderId="0" xfId="9" applyFont="1" applyAlignment="1">
      <alignment horizontal="center" vertical="center"/>
    </xf>
    <xf numFmtId="0" fontId="3" fillId="0" borderId="66" xfId="9" applyFont="1" applyBorder="1" applyAlignment="1">
      <alignment horizontal="center" vertical="center"/>
    </xf>
    <xf numFmtId="0" fontId="1" fillId="0" borderId="0" xfId="9" applyAlignment="1">
      <alignment horizontal="left" vertical="center"/>
    </xf>
    <xf numFmtId="165" fontId="1" fillId="0" borderId="69" xfId="9" applyNumberFormat="1" applyBorder="1"/>
    <xf numFmtId="165" fontId="1" fillId="0" borderId="70" xfId="9" applyNumberFormat="1" applyBorder="1"/>
    <xf numFmtId="165" fontId="1" fillId="0" borderId="0" xfId="9" applyNumberFormat="1"/>
    <xf numFmtId="0" fontId="1" fillId="0" borderId="66" xfId="9" applyBorder="1" applyAlignment="1">
      <alignment horizontal="center" vertical="center"/>
    </xf>
    <xf numFmtId="0" fontId="1" fillId="3" borderId="0" xfId="9" applyFill="1"/>
    <xf numFmtId="0" fontId="1" fillId="3" borderId="0" xfId="9" applyFill="1" applyAlignment="1">
      <alignment horizontal="center" vertical="center"/>
    </xf>
    <xf numFmtId="0" fontId="1" fillId="0" borderId="0" xfId="10"/>
    <xf numFmtId="0" fontId="1" fillId="12" borderId="71" xfId="10" applyFill="1" applyBorder="1"/>
    <xf numFmtId="0" fontId="1" fillId="13" borderId="72" xfId="10" applyFill="1" applyBorder="1"/>
    <xf numFmtId="0" fontId="1" fillId="5" borderId="73" xfId="10" applyFill="1" applyBorder="1"/>
    <xf numFmtId="0" fontId="1" fillId="0" borderId="74" xfId="10" applyBorder="1"/>
    <xf numFmtId="0" fontId="1" fillId="0" borderId="24" xfId="10" applyBorder="1"/>
    <xf numFmtId="0" fontId="1" fillId="0" borderId="25" xfId="10" applyBorder="1"/>
    <xf numFmtId="0" fontId="1" fillId="12" borderId="67" xfId="10" applyFill="1" applyBorder="1"/>
    <xf numFmtId="0" fontId="1" fillId="13" borderId="75" xfId="10" applyFill="1" applyBorder="1"/>
    <xf numFmtId="0" fontId="1" fillId="5" borderId="76" xfId="10" applyFill="1" applyBorder="1"/>
    <xf numFmtId="0" fontId="1" fillId="14" borderId="24" xfId="10" applyFill="1" applyBorder="1"/>
    <xf numFmtId="0" fontId="1" fillId="14" borderId="25" xfId="10" applyFill="1" applyBorder="1"/>
    <xf numFmtId="0" fontId="1" fillId="0" borderId="77" xfId="10" applyBorder="1"/>
    <xf numFmtId="165" fontId="1" fillId="12" borderId="78" xfId="10" applyNumberFormat="1" applyFill="1" applyBorder="1"/>
    <xf numFmtId="165" fontId="1" fillId="13" borderId="79" xfId="10" applyNumberFormat="1" applyFill="1" applyBorder="1"/>
    <xf numFmtId="165" fontId="1" fillId="5" borderId="80" xfId="10" applyNumberFormat="1" applyFill="1" applyBorder="1"/>
    <xf numFmtId="165" fontId="1" fillId="0" borderId="24" xfId="10" applyNumberFormat="1" applyBorder="1"/>
    <xf numFmtId="165" fontId="1" fillId="0" borderId="25" xfId="10" applyNumberFormat="1" applyBorder="1"/>
    <xf numFmtId="0" fontId="1" fillId="11" borderId="81" xfId="10" applyFill="1" applyBorder="1"/>
    <xf numFmtId="165" fontId="1" fillId="11" borderId="82" xfId="10" applyNumberFormat="1" applyFill="1" applyBorder="1"/>
    <xf numFmtId="165" fontId="1" fillId="11" borderId="83" xfId="10" applyNumberFormat="1" applyFill="1" applyBorder="1"/>
    <xf numFmtId="165" fontId="1" fillId="11" borderId="84" xfId="10" applyNumberFormat="1" applyFill="1" applyBorder="1"/>
    <xf numFmtId="165" fontId="1" fillId="11" borderId="24" xfId="10" applyNumberFormat="1" applyFill="1" applyBorder="1"/>
    <xf numFmtId="165" fontId="1" fillId="11" borderId="25" xfId="10" applyNumberFormat="1" applyFill="1" applyBorder="1"/>
    <xf numFmtId="0" fontId="1" fillId="0" borderId="81" xfId="10" applyBorder="1"/>
    <xf numFmtId="165" fontId="1" fillId="12" borderId="82" xfId="10" applyNumberFormat="1" applyFill="1" applyBorder="1"/>
    <xf numFmtId="165" fontId="1" fillId="13" borderId="83" xfId="10" applyNumberFormat="1" applyFill="1" applyBorder="1"/>
    <xf numFmtId="165" fontId="1" fillId="5" borderId="84" xfId="10" applyNumberFormat="1" applyFill="1" applyBorder="1"/>
    <xf numFmtId="165" fontId="1" fillId="0" borderId="0" xfId="10" applyNumberFormat="1"/>
    <xf numFmtId="0" fontId="1" fillId="11" borderId="85" xfId="10" applyFill="1" applyBorder="1"/>
    <xf numFmtId="165" fontId="1" fillId="11" borderId="86" xfId="10" applyNumberFormat="1" applyFill="1" applyBorder="1"/>
    <xf numFmtId="165" fontId="1" fillId="11" borderId="87" xfId="10" applyNumberFormat="1" applyFill="1" applyBorder="1"/>
    <xf numFmtId="165" fontId="1" fillId="11" borderId="61" xfId="10" applyNumberFormat="1" applyFill="1" applyBorder="1"/>
    <xf numFmtId="165" fontId="1" fillId="11" borderId="26" xfId="10" applyNumberFormat="1" applyFill="1" applyBorder="1"/>
    <xf numFmtId="165" fontId="1" fillId="11" borderId="27" xfId="10" applyNumberFormat="1" applyFill="1" applyBorder="1"/>
    <xf numFmtId="164" fontId="0" fillId="0" borderId="5" xfId="0" applyNumberFormat="1" applyFill="1" applyBorder="1" applyAlignment="1">
      <alignment horizontal="center" vertical="center"/>
    </xf>
    <xf numFmtId="165" fontId="5" fillId="0" borderId="18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165" fontId="3" fillId="0" borderId="20" xfId="0" applyNumberFormat="1" applyFont="1" applyFill="1" applyBorder="1" applyAlignment="1">
      <alignment horizontal="center" vertical="center"/>
    </xf>
    <xf numFmtId="165" fontId="3" fillId="0" borderId="2" xfId="0" applyNumberFormat="1" applyFont="1" applyFill="1" applyBorder="1" applyAlignment="1">
      <alignment horizontal="center" vertical="center"/>
    </xf>
    <xf numFmtId="165" fontId="3" fillId="0" borderId="19" xfId="0" applyNumberFormat="1" applyFont="1" applyFill="1" applyBorder="1" applyAlignment="1">
      <alignment horizontal="center" vertical="center"/>
    </xf>
    <xf numFmtId="166" fontId="3" fillId="0" borderId="18" xfId="0" applyNumberFormat="1" applyFont="1" applyFill="1" applyBorder="1" applyAlignment="1">
      <alignment horizontal="center" vertical="center"/>
    </xf>
    <xf numFmtId="166" fontId="3" fillId="0" borderId="2" xfId="0" applyNumberFormat="1" applyFont="1" applyFill="1" applyBorder="1" applyAlignment="1">
      <alignment horizontal="center" vertical="center"/>
    </xf>
    <xf numFmtId="166" fontId="5" fillId="0" borderId="19" xfId="0" applyNumberFormat="1" applyFon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 vertical="center"/>
    </xf>
    <xf numFmtId="166" fontId="5" fillId="0" borderId="2" xfId="0" applyNumberFormat="1" applyFont="1" applyFill="1" applyBorder="1" applyAlignment="1">
      <alignment horizontal="center" vertical="center"/>
    </xf>
    <xf numFmtId="164" fontId="0" fillId="5" borderId="52" xfId="0" applyNumberFormat="1" applyFill="1" applyBorder="1" applyAlignment="1">
      <alignment horizontal="center" vertical="center"/>
    </xf>
    <xf numFmtId="164" fontId="0" fillId="5" borderId="25" xfId="0" applyNumberFormat="1" applyFill="1" applyBorder="1" applyAlignment="1">
      <alignment horizontal="center" vertical="center"/>
    </xf>
    <xf numFmtId="164" fontId="0" fillId="0" borderId="29" xfId="0" applyNumberFormat="1" applyFill="1" applyBorder="1" applyAlignment="1">
      <alignment horizontal="center" vertical="center"/>
    </xf>
    <xf numFmtId="165" fontId="5" fillId="0" borderId="54" xfId="0" applyNumberFormat="1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center" vertical="center"/>
    </xf>
    <xf numFmtId="165" fontId="3" fillId="0" borderId="55" xfId="0" applyNumberFormat="1" applyFont="1" applyFill="1" applyBorder="1" applyAlignment="1">
      <alignment horizontal="center" vertical="center"/>
    </xf>
    <xf numFmtId="165" fontId="3" fillId="0" borderId="23" xfId="0" applyNumberFormat="1" applyFont="1" applyFill="1" applyBorder="1" applyAlignment="1">
      <alignment horizontal="center" vertical="center"/>
    </xf>
    <xf numFmtId="165" fontId="3" fillId="0" borderId="53" xfId="0" applyNumberFormat="1" applyFont="1" applyFill="1" applyBorder="1" applyAlignment="1">
      <alignment horizontal="center" vertical="center"/>
    </xf>
    <xf numFmtId="166" fontId="3" fillId="0" borderId="54" xfId="0" applyNumberFormat="1" applyFont="1" applyFill="1" applyBorder="1" applyAlignment="1">
      <alignment horizontal="center" vertical="center"/>
    </xf>
    <xf numFmtId="166" fontId="3" fillId="0" borderId="23" xfId="0" applyNumberFormat="1" applyFont="1" applyFill="1" applyBorder="1" applyAlignment="1">
      <alignment horizontal="center" vertical="center"/>
    </xf>
    <xf numFmtId="166" fontId="3" fillId="0" borderId="53" xfId="0" applyNumberFormat="1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 vertical="center"/>
    </xf>
    <xf numFmtId="166" fontId="0" fillId="0" borderId="23" xfId="0" applyNumberFormat="1" applyFill="1" applyBorder="1" applyAlignment="1">
      <alignment horizontal="center" vertical="center"/>
    </xf>
    <xf numFmtId="164" fontId="0" fillId="0" borderId="27" xfId="0" applyNumberFormat="1" applyFill="1" applyBorder="1" applyAlignment="1">
      <alignment horizontal="center" vertical="center"/>
    </xf>
    <xf numFmtId="0" fontId="1" fillId="0" borderId="0" xfId="9" applyAlignment="1">
      <alignment horizontal="right" vertical="center"/>
    </xf>
    <xf numFmtId="0" fontId="3" fillId="0" borderId="0" xfId="9" applyFont="1" applyAlignment="1">
      <alignment horizontal="right" vertical="center"/>
    </xf>
    <xf numFmtId="164" fontId="1" fillId="0" borderId="0" xfId="9" applyNumberFormat="1" applyAlignment="1">
      <alignment horizontal="right"/>
    </xf>
    <xf numFmtId="165" fontId="3" fillId="0" borderId="93" xfId="0" applyNumberFormat="1" applyFont="1" applyFill="1" applyBorder="1" applyAlignment="1">
      <alignment horizontal="center" vertical="center"/>
    </xf>
    <xf numFmtId="165" fontId="3" fillId="0" borderId="94" xfId="0" applyNumberFormat="1" applyFont="1" applyFill="1" applyBorder="1" applyAlignment="1">
      <alignment horizontal="center" vertical="center"/>
    </xf>
    <xf numFmtId="165" fontId="3" fillId="0" borderId="13" xfId="0" applyNumberFormat="1" applyFont="1" applyFill="1" applyBorder="1" applyAlignment="1">
      <alignment horizontal="center" vertical="center"/>
    </xf>
    <xf numFmtId="166" fontId="3" fillId="0" borderId="95" xfId="0" applyNumberFormat="1" applyFont="1" applyFill="1" applyBorder="1" applyAlignment="1">
      <alignment horizontal="center" vertical="center"/>
    </xf>
    <xf numFmtId="166" fontId="3" fillId="0" borderId="94" xfId="0" applyNumberFormat="1" applyFont="1" applyFill="1" applyBorder="1" applyAlignment="1">
      <alignment horizontal="center" vertical="center"/>
    </xf>
    <xf numFmtId="166" fontId="3" fillId="0" borderId="13" xfId="0" applyNumberFormat="1" applyFont="1" applyFill="1" applyBorder="1" applyAlignment="1">
      <alignment horizontal="center" vertical="center"/>
    </xf>
    <xf numFmtId="165" fontId="5" fillId="0" borderId="95" xfId="0" applyNumberFormat="1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164" fontId="0" fillId="0" borderId="94" xfId="0" applyNumberFormat="1" applyBorder="1" applyAlignment="1">
      <alignment horizontal="center" vertical="center"/>
    </xf>
    <xf numFmtId="166" fontId="0" fillId="0" borderId="94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5" fontId="5" fillId="6" borderId="14" xfId="0" applyNumberFormat="1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165" fontId="3" fillId="6" borderId="16" xfId="0" applyNumberFormat="1" applyFont="1" applyFill="1" applyBorder="1" applyAlignment="1">
      <alignment horizontal="center" vertical="center"/>
    </xf>
    <xf numFmtId="165" fontId="3" fillId="6" borderId="17" xfId="0" applyNumberFormat="1" applyFont="1" applyFill="1" applyBorder="1" applyAlignment="1">
      <alignment horizontal="center" vertical="center"/>
    </xf>
    <xf numFmtId="165" fontId="3" fillId="6" borderId="15" xfId="0" applyNumberFormat="1" applyFont="1" applyFill="1" applyBorder="1" applyAlignment="1">
      <alignment horizontal="center" vertical="center"/>
    </xf>
    <xf numFmtId="166" fontId="3" fillId="6" borderId="14" xfId="0" applyNumberFormat="1" applyFont="1" applyFill="1" applyBorder="1" applyAlignment="1">
      <alignment horizontal="center" vertical="center"/>
    </xf>
    <xf numFmtId="166" fontId="3" fillId="6" borderId="17" xfId="0" applyNumberFormat="1" applyFont="1" applyFill="1" applyBorder="1" applyAlignment="1">
      <alignment horizontal="center" vertical="center"/>
    </xf>
    <xf numFmtId="166" fontId="5" fillId="6" borderId="15" xfId="0" applyNumberFormat="1" applyFont="1" applyFill="1" applyBorder="1" applyAlignment="1">
      <alignment horizontal="center" vertical="center"/>
    </xf>
    <xf numFmtId="164" fontId="5" fillId="6" borderId="17" xfId="0" applyNumberFormat="1" applyFont="1" applyFill="1" applyBorder="1" applyAlignment="1">
      <alignment horizontal="center" vertical="center"/>
    </xf>
    <xf numFmtId="166" fontId="5" fillId="6" borderId="17" xfId="0" applyNumberFormat="1" applyFont="1" applyFill="1" applyBorder="1" applyAlignment="1">
      <alignment horizontal="center" vertical="center"/>
    </xf>
    <xf numFmtId="164" fontId="0" fillId="6" borderId="15" xfId="0" applyNumberForma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166" fontId="5" fillId="6" borderId="5" xfId="0" applyNumberFormat="1" applyFont="1" applyFill="1" applyBorder="1" applyAlignment="1">
      <alignment horizontal="center" vertical="center"/>
    </xf>
    <xf numFmtId="164" fontId="5" fillId="6" borderId="3" xfId="0" applyNumberFormat="1" applyFont="1" applyFill="1" applyBorder="1" applyAlignment="1">
      <alignment horizontal="center" vertical="center"/>
    </xf>
    <xf numFmtId="166" fontId="5" fillId="6" borderId="3" xfId="0" applyNumberFormat="1" applyFont="1" applyFill="1" applyBorder="1" applyAlignment="1">
      <alignment horizontal="center" vertical="center"/>
    </xf>
    <xf numFmtId="164" fontId="0" fillId="0" borderId="94" xfId="0" applyNumberFormat="1" applyFill="1" applyBorder="1" applyAlignment="1">
      <alignment horizontal="center" vertical="center"/>
    </xf>
    <xf numFmtId="166" fontId="0" fillId="0" borderId="94" xfId="0" applyNumberFormat="1" applyFill="1" applyBorder="1" applyAlignment="1">
      <alignment horizontal="center" vertical="center"/>
    </xf>
    <xf numFmtId="164" fontId="0" fillId="0" borderId="13" xfId="0" applyNumberFormat="1" applyFill="1" applyBorder="1" applyAlignment="1">
      <alignment horizontal="center" vertical="center"/>
    </xf>
    <xf numFmtId="165" fontId="5" fillId="4" borderId="14" xfId="0" applyNumberFormat="1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165" fontId="3" fillId="4" borderId="16" xfId="0" applyNumberFormat="1" applyFont="1" applyFill="1" applyBorder="1" applyAlignment="1">
      <alignment horizontal="center" vertical="center"/>
    </xf>
    <xf numFmtId="165" fontId="3" fillId="4" borderId="17" xfId="0" applyNumberFormat="1" applyFont="1" applyFill="1" applyBorder="1" applyAlignment="1">
      <alignment horizontal="center" vertical="center"/>
    </xf>
    <xf numFmtId="165" fontId="3" fillId="4" borderId="15" xfId="0" applyNumberFormat="1" applyFont="1" applyFill="1" applyBorder="1" applyAlignment="1">
      <alignment horizontal="center" vertical="center"/>
    </xf>
    <xf numFmtId="166" fontId="3" fillId="4" borderId="14" xfId="0" applyNumberFormat="1" applyFont="1" applyFill="1" applyBorder="1" applyAlignment="1">
      <alignment horizontal="center" vertical="center"/>
    </xf>
    <xf numFmtId="166" fontId="3" fillId="4" borderId="17" xfId="0" applyNumberFormat="1" applyFont="1" applyFill="1" applyBorder="1" applyAlignment="1">
      <alignment horizontal="center" vertical="center"/>
    </xf>
    <xf numFmtId="166" fontId="5" fillId="4" borderId="15" xfId="0" applyNumberFormat="1" applyFont="1" applyFill="1" applyBorder="1" applyAlignment="1">
      <alignment horizontal="center" vertical="center"/>
    </xf>
    <xf numFmtId="164" fontId="5" fillId="4" borderId="17" xfId="0" applyNumberFormat="1" applyFont="1" applyFill="1" applyBorder="1" applyAlignment="1">
      <alignment horizontal="center" vertical="center"/>
    </xf>
    <xf numFmtId="166" fontId="5" fillId="4" borderId="17" xfId="0" applyNumberFormat="1" applyFon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165" fontId="5" fillId="4" borderId="18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165" fontId="3" fillId="4" borderId="20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>
      <alignment horizontal="center" vertical="center"/>
    </xf>
    <xf numFmtId="165" fontId="3" fillId="4" borderId="19" xfId="0" applyNumberFormat="1" applyFont="1" applyFill="1" applyBorder="1" applyAlignment="1">
      <alignment horizontal="center" vertical="center"/>
    </xf>
    <xf numFmtId="166" fontId="3" fillId="4" borderId="18" xfId="0" applyNumberFormat="1" applyFont="1" applyFill="1" applyBorder="1" applyAlignment="1">
      <alignment horizontal="center" vertical="center"/>
    </xf>
    <xf numFmtId="166" fontId="3" fillId="4" borderId="2" xfId="0" applyNumberFormat="1" applyFont="1" applyFill="1" applyBorder="1" applyAlignment="1">
      <alignment horizontal="center" vertical="center"/>
    </xf>
    <xf numFmtId="166" fontId="5" fillId="4" borderId="19" xfId="0" applyNumberFormat="1" applyFont="1" applyFill="1" applyBorder="1" applyAlignment="1">
      <alignment horizontal="center" vertical="center"/>
    </xf>
    <xf numFmtId="164" fontId="5" fillId="4" borderId="2" xfId="0" applyNumberFormat="1" applyFont="1" applyFill="1" applyBorder="1" applyAlignment="1">
      <alignment horizontal="center" vertical="center"/>
    </xf>
    <xf numFmtId="166" fontId="5" fillId="4" borderId="2" xfId="0" applyNumberFormat="1" applyFont="1" applyFill="1" applyBorder="1" applyAlignment="1">
      <alignment horizontal="center" vertical="center"/>
    </xf>
    <xf numFmtId="164" fontId="0" fillId="4" borderId="19" xfId="0" applyNumberFormat="1" applyFill="1" applyBorder="1" applyAlignment="1">
      <alignment horizontal="center" vertical="center"/>
    </xf>
    <xf numFmtId="165" fontId="5" fillId="7" borderId="14" xfId="0" applyNumberFormat="1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165" fontId="3" fillId="7" borderId="16" xfId="0" applyNumberFormat="1" applyFont="1" applyFill="1" applyBorder="1" applyAlignment="1">
      <alignment horizontal="center" vertical="center"/>
    </xf>
    <xf numFmtId="165" fontId="3" fillId="7" borderId="17" xfId="0" applyNumberFormat="1" applyFont="1" applyFill="1" applyBorder="1" applyAlignment="1">
      <alignment horizontal="center" vertical="center"/>
    </xf>
    <xf numFmtId="165" fontId="3" fillId="7" borderId="15" xfId="0" applyNumberFormat="1" applyFont="1" applyFill="1" applyBorder="1" applyAlignment="1">
      <alignment horizontal="center" vertical="center"/>
    </xf>
    <xf numFmtId="166" fontId="3" fillId="7" borderId="14" xfId="0" applyNumberFormat="1" applyFont="1" applyFill="1" applyBorder="1" applyAlignment="1">
      <alignment horizontal="center" vertical="center"/>
    </xf>
    <xf numFmtId="166" fontId="3" fillId="7" borderId="17" xfId="0" applyNumberFormat="1" applyFont="1" applyFill="1" applyBorder="1" applyAlignment="1">
      <alignment horizontal="center" vertical="center"/>
    </xf>
    <xf numFmtId="166" fontId="5" fillId="7" borderId="15" xfId="0" applyNumberFormat="1" applyFont="1" applyFill="1" applyBorder="1" applyAlignment="1">
      <alignment horizontal="center" vertical="center"/>
    </xf>
    <xf numFmtId="164" fontId="5" fillId="7" borderId="17" xfId="0" applyNumberFormat="1" applyFont="1" applyFill="1" applyBorder="1" applyAlignment="1">
      <alignment horizontal="center" vertical="center"/>
    </xf>
    <xf numFmtId="166" fontId="5" fillId="7" borderId="17" xfId="0" applyNumberFormat="1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164" fontId="0" fillId="7" borderId="5" xfId="0" applyNumberFormat="1" applyFill="1" applyBorder="1" applyAlignment="1">
      <alignment horizontal="center" vertical="center"/>
    </xf>
    <xf numFmtId="166" fontId="5" fillId="7" borderId="5" xfId="0" applyNumberFormat="1" applyFont="1" applyFill="1" applyBorder="1" applyAlignment="1">
      <alignment horizontal="center" vertical="center"/>
    </xf>
    <xf numFmtId="164" fontId="5" fillId="7" borderId="3" xfId="0" applyNumberFormat="1" applyFont="1" applyFill="1" applyBorder="1" applyAlignment="1">
      <alignment horizontal="center" vertical="center"/>
    </xf>
    <xf numFmtId="166" fontId="5" fillId="7" borderId="3" xfId="0" applyNumberFormat="1" applyFont="1" applyFill="1" applyBorder="1" applyAlignment="1">
      <alignment horizontal="center" vertical="center"/>
    </xf>
    <xf numFmtId="165" fontId="5" fillId="8" borderId="14" xfId="0" applyNumberFormat="1" applyFont="1" applyFill="1" applyBorder="1" applyAlignment="1">
      <alignment horizontal="center" vertical="center"/>
    </xf>
    <xf numFmtId="0" fontId="5" fillId="8" borderId="15" xfId="0" applyFont="1" applyFill="1" applyBorder="1" applyAlignment="1">
      <alignment horizontal="center" vertical="center"/>
    </xf>
    <xf numFmtId="165" fontId="3" fillId="8" borderId="16" xfId="0" applyNumberFormat="1" applyFont="1" applyFill="1" applyBorder="1" applyAlignment="1">
      <alignment horizontal="center" vertical="center"/>
    </xf>
    <xf numFmtId="165" fontId="3" fillId="8" borderId="17" xfId="0" applyNumberFormat="1" applyFont="1" applyFill="1" applyBorder="1" applyAlignment="1">
      <alignment horizontal="center" vertical="center"/>
    </xf>
    <xf numFmtId="165" fontId="3" fillId="8" borderId="15" xfId="0" applyNumberFormat="1" applyFont="1" applyFill="1" applyBorder="1" applyAlignment="1">
      <alignment horizontal="center" vertical="center"/>
    </xf>
    <xf numFmtId="166" fontId="3" fillId="8" borderId="14" xfId="0" applyNumberFormat="1" applyFont="1" applyFill="1" applyBorder="1" applyAlignment="1">
      <alignment horizontal="center" vertical="center"/>
    </xf>
    <xf numFmtId="166" fontId="3" fillId="8" borderId="17" xfId="0" applyNumberFormat="1" applyFont="1" applyFill="1" applyBorder="1" applyAlignment="1">
      <alignment horizontal="center" vertical="center"/>
    </xf>
    <xf numFmtId="166" fontId="5" fillId="8" borderId="15" xfId="0" applyNumberFormat="1" applyFont="1" applyFill="1" applyBorder="1" applyAlignment="1">
      <alignment horizontal="center" vertical="center"/>
    </xf>
    <xf numFmtId="164" fontId="5" fillId="8" borderId="17" xfId="0" applyNumberFormat="1" applyFont="1" applyFill="1" applyBorder="1" applyAlignment="1">
      <alignment horizontal="center" vertical="center"/>
    </xf>
    <xf numFmtId="166" fontId="5" fillId="8" borderId="17" xfId="0" applyNumberFormat="1" applyFont="1" applyFill="1" applyBorder="1" applyAlignment="1">
      <alignment horizontal="center" vertical="center"/>
    </xf>
    <xf numFmtId="164" fontId="0" fillId="8" borderId="15" xfId="0" applyNumberFormat="1" applyFill="1" applyBorder="1" applyAlignment="1">
      <alignment horizontal="center" vertical="center"/>
    </xf>
    <xf numFmtId="164" fontId="0" fillId="8" borderId="5" xfId="0" applyNumberFormat="1" applyFill="1" applyBorder="1" applyAlignment="1">
      <alignment horizontal="center" vertical="center"/>
    </xf>
    <xf numFmtId="165" fontId="5" fillId="8" borderId="10" xfId="0" applyNumberFormat="1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165" fontId="3" fillId="8" borderId="12" xfId="0" applyNumberFormat="1" applyFont="1" applyFill="1" applyBorder="1" applyAlignment="1">
      <alignment horizontal="center" vertical="center"/>
    </xf>
    <xf numFmtId="165" fontId="3" fillId="8" borderId="1" xfId="0" applyNumberFormat="1" applyFont="1" applyFill="1" applyBorder="1" applyAlignment="1">
      <alignment horizontal="center" vertical="center"/>
    </xf>
    <xf numFmtId="165" fontId="3" fillId="8" borderId="11" xfId="0" applyNumberFormat="1" applyFont="1" applyFill="1" applyBorder="1" applyAlignment="1">
      <alignment horizontal="center" vertical="center"/>
    </xf>
    <xf numFmtId="166" fontId="3" fillId="8" borderId="10" xfId="0" applyNumberFormat="1" applyFont="1" applyFill="1" applyBorder="1" applyAlignment="1">
      <alignment horizontal="center" vertical="center"/>
    </xf>
    <xf numFmtId="166" fontId="3" fillId="8" borderId="1" xfId="0" applyNumberFormat="1" applyFont="1" applyFill="1" applyBorder="1" applyAlignment="1">
      <alignment horizontal="center" vertical="center"/>
    </xf>
    <xf numFmtId="166" fontId="3" fillId="8" borderId="11" xfId="0" applyNumberFormat="1" applyFont="1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166" fontId="0" fillId="8" borderId="1" xfId="0" applyNumberFormat="1" applyFill="1" applyBorder="1" applyAlignment="1">
      <alignment horizontal="center" vertical="center"/>
    </xf>
    <xf numFmtId="164" fontId="0" fillId="8" borderId="11" xfId="0" applyNumberFormat="1" applyFill="1" applyBorder="1" applyAlignment="1">
      <alignment horizontal="center" vertical="center"/>
    </xf>
    <xf numFmtId="165" fontId="5" fillId="5" borderId="95" xfId="0" applyNumberFormat="1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165" fontId="3" fillId="5" borderId="93" xfId="0" applyNumberFormat="1" applyFont="1" applyFill="1" applyBorder="1" applyAlignment="1">
      <alignment horizontal="center" vertical="center"/>
    </xf>
    <xf numFmtId="165" fontId="3" fillId="5" borderId="94" xfId="0" applyNumberFormat="1" applyFont="1" applyFill="1" applyBorder="1" applyAlignment="1">
      <alignment horizontal="center" vertical="center"/>
    </xf>
    <xf numFmtId="165" fontId="3" fillId="5" borderId="13" xfId="0" applyNumberFormat="1" applyFont="1" applyFill="1" applyBorder="1" applyAlignment="1">
      <alignment horizontal="center" vertical="center"/>
    </xf>
    <xf numFmtId="166" fontId="3" fillId="5" borderId="95" xfId="0" applyNumberFormat="1" applyFont="1" applyFill="1" applyBorder="1" applyAlignment="1">
      <alignment horizontal="center" vertical="center"/>
    </xf>
    <xf numFmtId="166" fontId="3" fillId="5" borderId="94" xfId="0" applyNumberFormat="1" applyFont="1" applyFill="1" applyBorder="1" applyAlignment="1">
      <alignment horizontal="center" vertical="center"/>
    </xf>
    <xf numFmtId="166" fontId="3" fillId="5" borderId="13" xfId="0" applyNumberFormat="1" applyFont="1" applyFill="1" applyBorder="1" applyAlignment="1">
      <alignment horizontal="center" vertical="center"/>
    </xf>
    <xf numFmtId="164" fontId="0" fillId="5" borderId="94" xfId="0" applyNumberFormat="1" applyFill="1" applyBorder="1" applyAlignment="1">
      <alignment horizontal="center" vertical="center"/>
    </xf>
    <xf numFmtId="166" fontId="0" fillId="5" borderId="94" xfId="0" applyNumberFormat="1" applyFill="1" applyBorder="1" applyAlignment="1">
      <alignment horizontal="center" vertical="center"/>
    </xf>
    <xf numFmtId="164" fontId="0" fillId="5" borderId="13" xfId="0" applyNumberFormat="1" applyFill="1" applyBorder="1" applyAlignment="1">
      <alignment horizontal="center" vertical="center"/>
    </xf>
    <xf numFmtId="165" fontId="5" fillId="6" borderId="95" xfId="0" applyNumberFormat="1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165" fontId="3" fillId="6" borderId="93" xfId="0" applyNumberFormat="1" applyFont="1" applyFill="1" applyBorder="1" applyAlignment="1">
      <alignment horizontal="center" vertical="center"/>
    </xf>
    <xf numFmtId="165" fontId="3" fillId="6" borderId="94" xfId="0" applyNumberFormat="1" applyFont="1" applyFill="1" applyBorder="1" applyAlignment="1">
      <alignment horizontal="center" vertical="center"/>
    </xf>
    <xf numFmtId="165" fontId="3" fillId="6" borderId="13" xfId="0" applyNumberFormat="1" applyFont="1" applyFill="1" applyBorder="1" applyAlignment="1">
      <alignment horizontal="center" vertical="center"/>
    </xf>
    <xf numFmtId="166" fontId="3" fillId="6" borderId="95" xfId="0" applyNumberFormat="1" applyFont="1" applyFill="1" applyBorder="1" applyAlignment="1">
      <alignment horizontal="center" vertical="center"/>
    </xf>
    <xf numFmtId="166" fontId="3" fillId="6" borderId="94" xfId="0" applyNumberFormat="1" applyFont="1" applyFill="1" applyBorder="1" applyAlignment="1">
      <alignment horizontal="center" vertical="center"/>
    </xf>
    <xf numFmtId="166" fontId="3" fillId="6" borderId="13" xfId="0" applyNumberFormat="1" applyFont="1" applyFill="1" applyBorder="1" applyAlignment="1">
      <alignment horizontal="center" vertical="center"/>
    </xf>
    <xf numFmtId="164" fontId="0" fillId="6" borderId="94" xfId="0" applyNumberFormat="1" applyFill="1" applyBorder="1" applyAlignment="1">
      <alignment horizontal="center" vertical="center"/>
    </xf>
    <xf numFmtId="166" fontId="0" fillId="6" borderId="94" xfId="0" applyNumberFormat="1" applyFill="1" applyBorder="1" applyAlignment="1">
      <alignment horizontal="center" vertical="center"/>
    </xf>
    <xf numFmtId="164" fontId="0" fillId="6" borderId="13" xfId="0" applyNumberFormat="1" applyFill="1" applyBorder="1" applyAlignment="1">
      <alignment horizontal="center" vertical="center"/>
    </xf>
    <xf numFmtId="165" fontId="5" fillId="4" borderId="95" xfId="0" applyNumberFormat="1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165" fontId="3" fillId="4" borderId="93" xfId="0" applyNumberFormat="1" applyFont="1" applyFill="1" applyBorder="1" applyAlignment="1">
      <alignment horizontal="center" vertical="center"/>
    </xf>
    <xf numFmtId="165" fontId="3" fillId="4" borderId="94" xfId="0" applyNumberFormat="1" applyFont="1" applyFill="1" applyBorder="1" applyAlignment="1">
      <alignment horizontal="center" vertical="center"/>
    </xf>
    <xf numFmtId="165" fontId="3" fillId="4" borderId="13" xfId="0" applyNumberFormat="1" applyFont="1" applyFill="1" applyBorder="1" applyAlignment="1">
      <alignment horizontal="center" vertical="center"/>
    </xf>
    <xf numFmtId="166" fontId="3" fillId="4" borderId="95" xfId="0" applyNumberFormat="1" applyFont="1" applyFill="1" applyBorder="1" applyAlignment="1">
      <alignment horizontal="center" vertical="center"/>
    </xf>
    <xf numFmtId="166" fontId="3" fillId="4" borderId="94" xfId="0" applyNumberFormat="1" applyFont="1" applyFill="1" applyBorder="1" applyAlignment="1">
      <alignment horizontal="center" vertical="center"/>
    </xf>
    <xf numFmtId="166" fontId="3" fillId="4" borderId="13" xfId="0" applyNumberFormat="1" applyFont="1" applyFill="1" applyBorder="1" applyAlignment="1">
      <alignment horizontal="center" vertical="center"/>
    </xf>
    <xf numFmtId="164" fontId="0" fillId="4" borderId="94" xfId="0" applyNumberFormat="1" applyFill="1" applyBorder="1" applyAlignment="1">
      <alignment horizontal="center" vertical="center"/>
    </xf>
    <xf numFmtId="166" fontId="0" fillId="4" borderId="94" xfId="0" applyNumberFormat="1" applyFill="1" applyBorder="1" applyAlignment="1">
      <alignment horizontal="center" vertical="center"/>
    </xf>
    <xf numFmtId="164" fontId="0" fillId="4" borderId="13" xfId="0" applyNumberFormat="1" applyFill="1" applyBorder="1" applyAlignment="1">
      <alignment horizontal="center" vertical="center"/>
    </xf>
    <xf numFmtId="165" fontId="5" fillId="7" borderId="95" xfId="0" applyNumberFormat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165" fontId="3" fillId="7" borderId="93" xfId="0" applyNumberFormat="1" applyFont="1" applyFill="1" applyBorder="1" applyAlignment="1">
      <alignment horizontal="center" vertical="center"/>
    </xf>
    <xf numFmtId="165" fontId="3" fillId="7" borderId="94" xfId="0" applyNumberFormat="1" applyFont="1" applyFill="1" applyBorder="1" applyAlignment="1">
      <alignment horizontal="center" vertical="center"/>
    </xf>
    <xf numFmtId="165" fontId="3" fillId="7" borderId="13" xfId="0" applyNumberFormat="1" applyFont="1" applyFill="1" applyBorder="1" applyAlignment="1">
      <alignment horizontal="center" vertical="center"/>
    </xf>
    <xf numFmtId="166" fontId="3" fillId="7" borderId="95" xfId="0" applyNumberFormat="1" applyFont="1" applyFill="1" applyBorder="1" applyAlignment="1">
      <alignment horizontal="center" vertical="center"/>
    </xf>
    <xf numFmtId="166" fontId="3" fillId="7" borderId="94" xfId="0" applyNumberFormat="1" applyFont="1" applyFill="1" applyBorder="1" applyAlignment="1">
      <alignment horizontal="center" vertical="center"/>
    </xf>
    <xf numFmtId="166" fontId="3" fillId="7" borderId="13" xfId="0" applyNumberFormat="1" applyFont="1" applyFill="1" applyBorder="1" applyAlignment="1">
      <alignment horizontal="center" vertical="center"/>
    </xf>
    <xf numFmtId="164" fontId="0" fillId="7" borderId="94" xfId="0" applyNumberFormat="1" applyFill="1" applyBorder="1" applyAlignment="1">
      <alignment horizontal="center" vertical="center"/>
    </xf>
    <xf numFmtId="166" fontId="0" fillId="7" borderId="94" xfId="0" applyNumberFormat="1" applyFill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 vertical="center"/>
    </xf>
    <xf numFmtId="165" fontId="5" fillId="8" borderId="95" xfId="0" applyNumberFormat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5" fontId="3" fillId="8" borderId="93" xfId="0" applyNumberFormat="1" applyFont="1" applyFill="1" applyBorder="1" applyAlignment="1">
      <alignment horizontal="center" vertical="center"/>
    </xf>
    <xf numFmtId="165" fontId="3" fillId="8" borderId="94" xfId="0" applyNumberFormat="1" applyFont="1" applyFill="1" applyBorder="1" applyAlignment="1">
      <alignment horizontal="center" vertical="center"/>
    </xf>
    <xf numFmtId="165" fontId="3" fillId="8" borderId="13" xfId="0" applyNumberFormat="1" applyFont="1" applyFill="1" applyBorder="1" applyAlignment="1">
      <alignment horizontal="center" vertical="center"/>
    </xf>
    <xf numFmtId="166" fontId="3" fillId="8" borderId="95" xfId="0" applyNumberFormat="1" applyFont="1" applyFill="1" applyBorder="1" applyAlignment="1">
      <alignment horizontal="center" vertical="center"/>
    </xf>
    <xf numFmtId="166" fontId="3" fillId="8" borderId="94" xfId="0" applyNumberFormat="1" applyFont="1" applyFill="1" applyBorder="1" applyAlignment="1">
      <alignment horizontal="center" vertical="center"/>
    </xf>
    <xf numFmtId="166" fontId="3" fillId="8" borderId="13" xfId="0" applyNumberFormat="1" applyFont="1" applyFill="1" applyBorder="1" applyAlignment="1">
      <alignment horizontal="center" vertical="center"/>
    </xf>
    <xf numFmtId="164" fontId="0" fillId="8" borderId="94" xfId="0" applyNumberFormat="1" applyFill="1" applyBorder="1" applyAlignment="1">
      <alignment horizontal="center" vertical="center"/>
    </xf>
    <xf numFmtId="166" fontId="0" fillId="8" borderId="94" xfId="0" applyNumberFormat="1" applyFill="1" applyBorder="1" applyAlignment="1">
      <alignment horizontal="center" vertical="center"/>
    </xf>
    <xf numFmtId="164" fontId="0" fillId="8" borderId="13" xfId="0" applyNumberFormat="1" applyFill="1" applyBorder="1" applyAlignment="1">
      <alignment horizontal="center" vertical="center"/>
    </xf>
    <xf numFmtId="166" fontId="0" fillId="0" borderId="0" xfId="0" applyNumberFormat="1"/>
    <xf numFmtId="164" fontId="3" fillId="8" borderId="24" xfId="0" applyNumberFormat="1" applyFont="1" applyFill="1" applyBorder="1" applyAlignment="1">
      <alignment horizontal="center" vertical="center"/>
    </xf>
    <xf numFmtId="0" fontId="3" fillId="8" borderId="5" xfId="0" applyNumberFormat="1" applyFon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164" fontId="3" fillId="0" borderId="24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3" fillId="6" borderId="28" xfId="0" applyNumberFormat="1" applyFont="1" applyFill="1" applyBorder="1" applyAlignment="1">
      <alignment horizontal="center" vertical="center"/>
    </xf>
    <xf numFmtId="164" fontId="3" fillId="6" borderId="63" xfId="0" applyNumberFormat="1" applyFont="1" applyFill="1" applyBorder="1" applyAlignment="1">
      <alignment horizontal="center" vertical="center"/>
    </xf>
    <xf numFmtId="0" fontId="3" fillId="6" borderId="19" xfId="0" applyNumberFormat="1" applyFont="1" applyFill="1" applyBorder="1" applyAlignment="1">
      <alignment horizontal="center" vertical="center"/>
    </xf>
    <xf numFmtId="0" fontId="0" fillId="6" borderId="11" xfId="0" applyNumberFormat="1" applyFill="1" applyBorder="1" applyAlignment="1">
      <alignment horizontal="center" vertical="center"/>
    </xf>
    <xf numFmtId="164" fontId="3" fillId="6" borderId="47" xfId="0" applyNumberFormat="1" applyFont="1" applyFill="1" applyBorder="1" applyAlignment="1">
      <alignment horizontal="center" vertical="center"/>
    </xf>
    <xf numFmtId="164" fontId="3" fillId="6" borderId="24" xfId="0" applyNumberFormat="1" applyFont="1" applyFill="1" applyBorder="1" applyAlignment="1">
      <alignment horizontal="center" vertical="center"/>
    </xf>
    <xf numFmtId="0" fontId="3" fillId="6" borderId="48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164" fontId="3" fillId="5" borderId="24" xfId="0" applyNumberFormat="1" applyFont="1" applyFill="1" applyBorder="1" applyAlignment="1">
      <alignment horizontal="center" vertical="center"/>
    </xf>
    <xf numFmtId="164" fontId="3" fillId="5" borderId="63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0" fontId="0" fillId="5" borderId="11" xfId="0" applyNumberFormat="1" applyFill="1" applyBorder="1" applyAlignment="1">
      <alignment horizontal="center" vertical="center"/>
    </xf>
    <xf numFmtId="164" fontId="3" fillId="5" borderId="47" xfId="0" applyNumberFormat="1" applyFont="1" applyFill="1" applyBorder="1" applyAlignment="1">
      <alignment horizontal="center" vertical="center"/>
    </xf>
    <xf numFmtId="0" fontId="0" fillId="5" borderId="48" xfId="0" applyNumberFormat="1" applyFill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164" fontId="3" fillId="7" borderId="28" xfId="0" applyNumberFormat="1" applyFont="1" applyFill="1" applyBorder="1" applyAlignment="1">
      <alignment horizontal="center" vertical="center"/>
    </xf>
    <xf numFmtId="164" fontId="3" fillId="7" borderId="63" xfId="0" applyNumberFormat="1" applyFont="1" applyFill="1" applyBorder="1" applyAlignment="1">
      <alignment horizontal="center" vertical="center"/>
    </xf>
    <xf numFmtId="0" fontId="0" fillId="7" borderId="19" xfId="0" applyNumberForma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164" fontId="3" fillId="8" borderId="47" xfId="0" applyNumberFormat="1" applyFont="1" applyFill="1" applyBorder="1" applyAlignment="1">
      <alignment horizontal="center" vertical="center"/>
    </xf>
    <xf numFmtId="0" fontId="3" fillId="8" borderId="48" xfId="0" applyNumberFormat="1" applyFont="1" applyFill="1" applyBorder="1" applyAlignment="1">
      <alignment horizontal="center" vertical="center"/>
    </xf>
    <xf numFmtId="164" fontId="3" fillId="7" borderId="26" xfId="0" applyNumberFormat="1" applyFont="1" applyFill="1" applyBorder="1" applyAlignment="1">
      <alignment horizontal="center" vertical="center"/>
    </xf>
    <xf numFmtId="0" fontId="0" fillId="7" borderId="53" xfId="0" applyNumberFormat="1" applyFill="1" applyBorder="1" applyAlignment="1">
      <alignment horizontal="center" vertical="center"/>
    </xf>
    <xf numFmtId="164" fontId="3" fillId="4" borderId="47" xfId="0" applyNumberFormat="1" applyFont="1" applyFill="1" applyBorder="1" applyAlignment="1">
      <alignment horizontal="center" vertical="center"/>
    </xf>
    <xf numFmtId="164" fontId="3" fillId="4" borderId="24" xfId="0" applyNumberFormat="1" applyFont="1" applyFill="1" applyBorder="1" applyAlignment="1">
      <alignment horizontal="center" vertical="center"/>
    </xf>
    <xf numFmtId="0" fontId="3" fillId="4" borderId="48" xfId="0" applyNumberFormat="1" applyFon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164" fontId="3" fillId="0" borderId="47" xfId="0" applyNumberFormat="1" applyFont="1" applyBorder="1" applyAlignment="1">
      <alignment horizontal="center" vertical="center"/>
    </xf>
    <xf numFmtId="164" fontId="3" fillId="7" borderId="24" xfId="0" applyNumberFormat="1" applyFont="1" applyFill="1" applyBorder="1" applyAlignment="1">
      <alignment horizontal="center" vertical="center"/>
    </xf>
    <xf numFmtId="0" fontId="3" fillId="7" borderId="19" xfId="0" applyNumberFormat="1" applyFont="1" applyFill="1" applyBorder="1" applyAlignment="1">
      <alignment horizontal="center" vertical="center"/>
    </xf>
    <xf numFmtId="0" fontId="3" fillId="0" borderId="48" xfId="0" applyNumberFormat="1" applyFont="1" applyFill="1" applyBorder="1" applyAlignment="1">
      <alignment horizontal="center" vertical="center"/>
    </xf>
    <xf numFmtId="0" fontId="0" fillId="0" borderId="48" xfId="0" applyNumberFormat="1" applyFill="1" applyBorder="1" applyAlignment="1">
      <alignment horizontal="center" vertical="center"/>
    </xf>
    <xf numFmtId="165" fontId="3" fillId="0" borderId="8" xfId="0" applyNumberFormat="1" applyFont="1" applyBorder="1" applyAlignment="1">
      <alignment horizontal="center"/>
    </xf>
    <xf numFmtId="165" fontId="3" fillId="0" borderId="3" xfId="0" applyNumberFormat="1" applyFont="1" applyBorder="1" applyAlignment="1">
      <alignment horizontal="center"/>
    </xf>
    <xf numFmtId="165" fontId="3" fillId="0" borderId="5" xfId="0" applyNumberFormat="1" applyFont="1" applyBorder="1" applyAlignment="1">
      <alignment horizontal="center"/>
    </xf>
    <xf numFmtId="2" fontId="3" fillId="0" borderId="6" xfId="0" applyNumberFormat="1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164" fontId="3" fillId="5" borderId="17" xfId="0" applyNumberFormat="1" applyFont="1" applyFill="1" applyBorder="1" applyAlignment="1">
      <alignment horizontal="center" vertical="center"/>
    </xf>
    <xf numFmtId="164" fontId="3" fillId="5" borderId="3" xfId="0" applyNumberFormat="1" applyFont="1" applyFill="1" applyBorder="1" applyAlignment="1">
      <alignment horizontal="center" vertical="center"/>
    </xf>
    <xf numFmtId="0" fontId="3" fillId="5" borderId="15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4" fontId="3" fillId="0" borderId="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164" fontId="3" fillId="0" borderId="47" xfId="0" applyNumberFormat="1" applyFont="1" applyFill="1" applyBorder="1" applyAlignment="1">
      <alignment horizontal="center" vertical="center"/>
    </xf>
    <xf numFmtId="164" fontId="3" fillId="0" borderId="63" xfId="0" applyNumberFormat="1" applyFont="1" applyFill="1" applyBorder="1" applyAlignment="1">
      <alignment horizontal="center" vertical="center"/>
    </xf>
    <xf numFmtId="164" fontId="3" fillId="8" borderId="26" xfId="0" applyNumberFormat="1" applyFont="1" applyFill="1" applyBorder="1" applyAlignment="1">
      <alignment horizontal="center" vertical="center"/>
    </xf>
    <xf numFmtId="0" fontId="0" fillId="8" borderId="53" xfId="0" applyNumberFormat="1" applyFill="1" applyBorder="1" applyAlignment="1">
      <alignment horizontal="center" vertical="center"/>
    </xf>
    <xf numFmtId="0" fontId="0" fillId="8" borderId="48" xfId="0" applyNumberFormat="1" applyFill="1" applyBorder="1" applyAlignment="1">
      <alignment horizontal="center" vertical="center"/>
    </xf>
    <xf numFmtId="164" fontId="3" fillId="4" borderId="63" xfId="0" applyNumberFormat="1" applyFont="1" applyFill="1" applyBorder="1" applyAlignment="1">
      <alignment horizontal="center" vertical="center"/>
    </xf>
    <xf numFmtId="0" fontId="0" fillId="4" borderId="11" xfId="0" applyNumberFormat="1" applyFill="1" applyBorder="1" applyAlignment="1">
      <alignment horizontal="center" vertical="center"/>
    </xf>
    <xf numFmtId="164" fontId="3" fillId="7" borderId="47" xfId="0" applyNumberFormat="1" applyFont="1" applyFill="1" applyBorder="1" applyAlignment="1">
      <alignment horizontal="center" vertical="center"/>
    </xf>
    <xf numFmtId="0" fontId="0" fillId="7" borderId="48" xfId="0" applyNumberFormat="1" applyFill="1" applyBorder="1" applyAlignment="1">
      <alignment horizontal="center" vertical="center"/>
    </xf>
    <xf numFmtId="164" fontId="3" fillId="0" borderId="63" xfId="0" applyNumberFormat="1" applyFont="1" applyBorder="1" applyAlignment="1">
      <alignment horizontal="center" vertical="center"/>
    </xf>
    <xf numFmtId="0" fontId="3" fillId="8" borderId="24" xfId="0" applyNumberFormat="1" applyFont="1" applyFill="1" applyBorder="1" applyAlignment="1">
      <alignment horizontal="center" vertical="center"/>
    </xf>
    <xf numFmtId="0" fontId="0" fillId="8" borderId="24" xfId="0" applyNumberFormat="1" applyFill="1" applyBorder="1" applyAlignment="1">
      <alignment horizontal="center" vertical="center"/>
    </xf>
    <xf numFmtId="0" fontId="3" fillId="8" borderId="90" xfId="0" applyNumberFormat="1" applyFont="1" applyFill="1" applyBorder="1" applyAlignment="1">
      <alignment horizontal="center" vertical="center"/>
    </xf>
    <xf numFmtId="0" fontId="0" fillId="8" borderId="90" xfId="0" applyNumberFormat="1" applyFill="1" applyBorder="1" applyAlignment="1">
      <alignment horizontal="center" vertical="center"/>
    </xf>
    <xf numFmtId="164" fontId="3" fillId="0" borderId="26" xfId="0" applyNumberFormat="1" applyFont="1" applyFill="1" applyBorder="1" applyAlignment="1">
      <alignment horizontal="center" vertical="center"/>
    </xf>
    <xf numFmtId="0" fontId="3" fillId="0" borderId="90" xfId="0" applyNumberFormat="1" applyFont="1" applyFill="1" applyBorder="1" applyAlignment="1">
      <alignment horizontal="center" vertical="center"/>
    </xf>
    <xf numFmtId="0" fontId="0" fillId="0" borderId="92" xfId="0" applyNumberFormat="1" applyFill="1" applyBorder="1" applyAlignment="1">
      <alignment horizontal="center" vertical="center"/>
    </xf>
    <xf numFmtId="0" fontId="3" fillId="0" borderId="91" xfId="0" applyNumberFormat="1" applyFont="1" applyFill="1" applyBorder="1" applyAlignment="1">
      <alignment horizontal="center" vertical="center"/>
    </xf>
    <xf numFmtId="0" fontId="3" fillId="0" borderId="89" xfId="0" applyNumberFormat="1" applyFont="1" applyFill="1" applyBorder="1" applyAlignment="1">
      <alignment horizontal="center" vertical="center"/>
    </xf>
    <xf numFmtId="0" fontId="3" fillId="5" borderId="47" xfId="0" applyNumberFormat="1" applyFont="1" applyFill="1" applyBorder="1" applyAlignment="1">
      <alignment horizontal="center" vertical="center"/>
    </xf>
    <xf numFmtId="0" fontId="3" fillId="5" borderId="24" xfId="0" applyNumberFormat="1" applyFont="1" applyFill="1" applyBorder="1" applyAlignment="1">
      <alignment horizontal="center" vertical="center"/>
    </xf>
    <xf numFmtId="0" fontId="3" fillId="5" borderId="88" xfId="0" applyNumberFormat="1" applyFont="1" applyFill="1" applyBorder="1" applyAlignment="1">
      <alignment horizontal="center" vertical="center"/>
    </xf>
    <xf numFmtId="0" fontId="3" fillId="5" borderId="19" xfId="0" applyNumberFormat="1" applyFont="1" applyFill="1" applyBorder="1" applyAlignment="1">
      <alignment horizontal="center" vertical="center"/>
    </xf>
    <xf numFmtId="0" fontId="3" fillId="4" borderId="24" xfId="0" applyNumberFormat="1" applyFont="1" applyFill="1" applyBorder="1" applyAlignment="1">
      <alignment horizontal="center" vertical="center"/>
    </xf>
    <xf numFmtId="0" fontId="0" fillId="4" borderId="24" xfId="0" applyNumberFormat="1" applyFill="1" applyBorder="1" applyAlignment="1">
      <alignment horizontal="center" vertical="center"/>
    </xf>
    <xf numFmtId="0" fontId="3" fillId="4" borderId="90" xfId="0" applyNumberFormat="1" applyFont="1" applyFill="1" applyBorder="1" applyAlignment="1">
      <alignment horizontal="center" vertical="center"/>
    </xf>
    <xf numFmtId="0" fontId="0" fillId="4" borderId="90" xfId="0" applyNumberFormat="1" applyFill="1" applyBorder="1" applyAlignment="1">
      <alignment horizontal="center" vertical="center"/>
    </xf>
    <xf numFmtId="0" fontId="0" fillId="0" borderId="90" xfId="0" applyNumberFormat="1" applyFill="1" applyBorder="1" applyAlignment="1">
      <alignment horizontal="center" vertical="center"/>
    </xf>
    <xf numFmtId="164" fontId="3" fillId="0" borderId="94" xfId="0" applyNumberFormat="1" applyFont="1" applyBorder="1" applyAlignment="1">
      <alignment horizontal="center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3" fillId="6" borderId="3" xfId="0" applyNumberFormat="1" applyFont="1" applyFill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164" fontId="3" fillId="8" borderId="17" xfId="0" applyNumberFormat="1" applyFont="1" applyFill="1" applyBorder="1" applyAlignment="1">
      <alignment horizontal="center" vertical="center"/>
    </xf>
    <xf numFmtId="164" fontId="3" fillId="8" borderId="3" xfId="0" applyNumberFormat="1" applyFont="1" applyFill="1" applyBorder="1" applyAlignment="1">
      <alignment horizontal="center" vertical="center"/>
    </xf>
    <xf numFmtId="164" fontId="3" fillId="7" borderId="17" xfId="0" applyNumberFormat="1" applyFont="1" applyFill="1" applyBorder="1" applyAlignment="1">
      <alignment horizontal="center" vertical="center"/>
    </xf>
    <xf numFmtId="164" fontId="3" fillId="7" borderId="3" xfId="0" applyNumberFormat="1" applyFont="1" applyFill="1" applyBorder="1" applyAlignment="1">
      <alignment horizontal="center" vertical="center"/>
    </xf>
    <xf numFmtId="164" fontId="3" fillId="0" borderId="94" xfId="0" applyNumberFormat="1" applyFont="1" applyFill="1" applyBorder="1" applyAlignment="1">
      <alignment horizontal="center" vertical="center"/>
    </xf>
    <xf numFmtId="164" fontId="3" fillId="6" borderId="94" xfId="0" applyNumberFormat="1" applyFont="1" applyFill="1" applyBorder="1" applyAlignment="1">
      <alignment horizontal="center" vertical="center"/>
    </xf>
    <xf numFmtId="164" fontId="3" fillId="4" borderId="17" xfId="0" applyNumberFormat="1" applyFont="1" applyFill="1" applyBorder="1" applyAlignment="1">
      <alignment horizontal="center" vertical="center"/>
    </xf>
    <xf numFmtId="164" fontId="3" fillId="4" borderId="94" xfId="0" applyNumberFormat="1" applyFont="1" applyFill="1" applyBorder="1" applyAlignment="1">
      <alignment horizontal="center" vertical="center"/>
    </xf>
    <xf numFmtId="164" fontId="3" fillId="7" borderId="94" xfId="0" applyNumberFormat="1" applyFont="1" applyFill="1" applyBorder="1" applyAlignment="1">
      <alignment horizontal="center" vertical="center"/>
    </xf>
    <xf numFmtId="164" fontId="3" fillId="8" borderId="94" xfId="0" applyNumberFormat="1" applyFont="1" applyFill="1" applyBorder="1" applyAlignment="1">
      <alignment horizontal="center" vertical="center"/>
    </xf>
    <xf numFmtId="164" fontId="3" fillId="4" borderId="3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164" fontId="3" fillId="5" borderId="94" xfId="0" applyNumberFormat="1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4" fontId="3" fillId="0" borderId="96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" fillId="0" borderId="65" xfId="9" applyBorder="1" applyAlignment="1">
      <alignment horizontal="center" vertical="center"/>
    </xf>
    <xf numFmtId="165" fontId="1" fillId="0" borderId="67" xfId="9" applyNumberFormat="1" applyBorder="1" applyAlignment="1">
      <alignment horizontal="center"/>
    </xf>
    <xf numFmtId="165" fontId="1" fillId="0" borderId="68" xfId="9" applyNumberFormat="1" applyBorder="1" applyAlignment="1">
      <alignment horizontal="center"/>
    </xf>
  </cellXfs>
  <cellStyles count="11">
    <cellStyle name="DateTime" xfId="1"/>
    <cellStyle name="Normal" xfId="0" builtinId="0"/>
    <cellStyle name="Normal 2" xfId="2"/>
    <cellStyle name="Normal 2 2" xfId="3"/>
    <cellStyle name="Normal 3" xfId="9"/>
    <cellStyle name="Normal 4" xfId="10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81"/>
  <sheetViews>
    <sheetView tabSelected="1" zoomScale="109" zoomScaleNormal="109" zoomScaleSheetLayoutView="100" workbookViewId="0">
      <pane ySplit="3" topLeftCell="A157" activePane="bottomLeft" state="frozen"/>
      <selection pane="bottomLeft" activeCell="K165" sqref="K165"/>
    </sheetView>
  </sheetViews>
  <sheetFormatPr defaultRowHeight="12.75"/>
  <cols>
    <col min="1" max="1" width="3.28515625" customWidth="1"/>
    <col min="2" max="2" width="11.140625" bestFit="1" customWidth="1"/>
    <col min="3" max="3" width="17.28515625" bestFit="1" customWidth="1"/>
    <col min="4" max="4" width="10" bestFit="1" customWidth="1"/>
    <col min="5" max="5" width="12.85546875" style="1" bestFit="1" customWidth="1"/>
    <col min="6" max="6" width="7.7109375" style="1" customWidth="1"/>
    <col min="7" max="7" width="7.5703125" style="1" bestFit="1" customWidth="1"/>
    <col min="8" max="8" width="8.28515625" style="2" bestFit="1" customWidth="1"/>
    <col min="9" max="9" width="8.85546875" style="2" bestFit="1" customWidth="1"/>
    <col min="10" max="10" width="7.85546875" style="2" bestFit="1" customWidth="1"/>
    <col min="11" max="11" width="8.28515625" style="2" bestFit="1" customWidth="1"/>
    <col min="12" max="12" width="8.85546875" style="2" bestFit="1" customWidth="1"/>
    <col min="13" max="13" width="8.5703125" style="2" bestFit="1" customWidth="1"/>
    <col min="14" max="14" width="6.7109375" style="2" customWidth="1"/>
    <col min="15" max="15" width="7.140625" style="2" bestFit="1" customWidth="1"/>
    <col min="16" max="16" width="14" style="150" customWidth="1"/>
    <col min="21" max="22" width="10.140625" bestFit="1" customWidth="1"/>
  </cols>
  <sheetData>
    <row r="1" spans="1:16">
      <c r="A1" s="648"/>
      <c r="B1" s="648"/>
      <c r="C1" s="648"/>
      <c r="D1" s="648"/>
      <c r="E1" s="9"/>
      <c r="F1" s="9"/>
      <c r="G1" s="9"/>
      <c r="H1" s="9"/>
      <c r="I1" s="9"/>
      <c r="J1" s="9"/>
      <c r="K1" s="9"/>
      <c r="L1" s="14"/>
      <c r="M1" s="9"/>
      <c r="N1" s="9"/>
      <c r="O1" s="9"/>
    </row>
    <row r="2" spans="1:16" s="4" customFormat="1">
      <c r="A2" s="10"/>
      <c r="B2" s="650" t="s">
        <v>2</v>
      </c>
      <c r="C2" s="647" t="s">
        <v>3</v>
      </c>
      <c r="D2" s="645" t="s">
        <v>4</v>
      </c>
      <c r="E2" s="646" t="s">
        <v>0</v>
      </c>
      <c r="F2" s="636" t="s">
        <v>5</v>
      </c>
      <c r="G2" s="637"/>
      <c r="H2" s="638"/>
      <c r="I2" s="639" t="s">
        <v>6</v>
      </c>
      <c r="J2" s="640"/>
      <c r="K2" s="641"/>
      <c r="L2" s="3"/>
      <c r="M2" s="5"/>
      <c r="N2" s="5"/>
      <c r="O2" s="5"/>
      <c r="P2" s="150"/>
    </row>
    <row r="3" spans="1:16">
      <c r="A3" s="10"/>
      <c r="B3" s="650"/>
      <c r="C3" s="647"/>
      <c r="D3" s="645"/>
      <c r="E3" s="646"/>
      <c r="F3" s="23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16">
      <c r="A4" s="10"/>
      <c r="B4" s="11"/>
      <c r="C4" s="22"/>
      <c r="D4" s="25">
        <v>1</v>
      </c>
      <c r="E4" s="26" t="s">
        <v>1</v>
      </c>
      <c r="F4" s="24"/>
      <c r="G4" s="11"/>
      <c r="H4" s="17"/>
      <c r="I4" s="20"/>
      <c r="J4" s="12"/>
      <c r="K4" s="21">
        <v>0</v>
      </c>
      <c r="L4" s="8"/>
      <c r="M4" s="15"/>
      <c r="N4" s="15"/>
      <c r="O4" s="15"/>
    </row>
    <row r="5" spans="1:16">
      <c r="A5" s="10"/>
      <c r="B5" s="13"/>
      <c r="C5" s="22"/>
      <c r="D5" s="27">
        <v>2</v>
      </c>
      <c r="E5" s="26" t="s">
        <v>1</v>
      </c>
      <c r="F5" s="24"/>
      <c r="G5" s="11"/>
      <c r="H5" s="17"/>
      <c r="I5" s="20"/>
      <c r="J5" s="12"/>
      <c r="K5" s="21">
        <v>291</v>
      </c>
      <c r="L5" s="8"/>
      <c r="M5" s="15"/>
      <c r="N5" s="15"/>
      <c r="O5" s="15"/>
    </row>
    <row r="6" spans="1:16">
      <c r="A6" s="10"/>
      <c r="B6" s="13"/>
      <c r="C6" s="22"/>
      <c r="D6" s="27">
        <v>3</v>
      </c>
      <c r="E6" s="26" t="s">
        <v>1</v>
      </c>
      <c r="F6" s="24"/>
      <c r="G6" s="11"/>
      <c r="H6" s="17"/>
      <c r="I6" s="20"/>
      <c r="J6" s="12"/>
      <c r="K6" s="21">
        <v>222</v>
      </c>
      <c r="L6" s="8"/>
      <c r="M6" s="15"/>
      <c r="N6" s="15"/>
      <c r="O6" s="15"/>
    </row>
    <row r="7" spans="1:16">
      <c r="A7" s="10"/>
      <c r="B7" s="13"/>
      <c r="C7" s="22"/>
      <c r="D7" s="27">
        <v>4</v>
      </c>
      <c r="E7" s="26" t="s">
        <v>1</v>
      </c>
      <c r="F7" s="24"/>
      <c r="G7" s="11"/>
      <c r="H7" s="17"/>
      <c r="I7" s="20"/>
      <c r="J7" s="12"/>
      <c r="K7" s="21">
        <v>136</v>
      </c>
      <c r="L7" s="8"/>
      <c r="M7" s="15"/>
      <c r="N7" s="15"/>
      <c r="O7" s="15"/>
    </row>
    <row r="8" spans="1:16" ht="13.5" thickBot="1">
      <c r="A8" s="10"/>
      <c r="B8" s="30"/>
      <c r="C8" s="31"/>
      <c r="D8" s="32">
        <v>5</v>
      </c>
      <c r="E8" s="33" t="s">
        <v>1</v>
      </c>
      <c r="F8" s="34"/>
      <c r="G8" s="35"/>
      <c r="H8" s="36"/>
      <c r="I8" s="37"/>
      <c r="J8" s="38"/>
      <c r="K8" s="39">
        <v>69</v>
      </c>
      <c r="L8" s="8"/>
      <c r="M8" s="15"/>
      <c r="N8" s="15"/>
      <c r="O8" s="15"/>
    </row>
    <row r="9" spans="1:16" ht="14.25" thickTop="1" thickBot="1">
      <c r="A9" s="44" t="str">
        <f>IF(B9="","",RIGHT(TEXT(B9,"#.000"),2))</f>
        <v>01</v>
      </c>
      <c r="B9" s="642">
        <v>1.101</v>
      </c>
      <c r="C9" s="644" t="s">
        <v>17</v>
      </c>
      <c r="D9" s="45">
        <f>B9+0.0001</f>
        <v>1.1011</v>
      </c>
      <c r="E9" s="46">
        <v>1</v>
      </c>
      <c r="F9" s="47"/>
      <c r="G9" s="48"/>
      <c r="H9" s="49"/>
      <c r="I9" s="50"/>
      <c r="J9" s="51"/>
      <c r="K9" s="52">
        <f>N9</f>
        <v>0</v>
      </c>
      <c r="L9" s="50">
        <v>0</v>
      </c>
      <c r="M9" s="53">
        <f>G10*SIN(RADIANS(L9))</f>
        <v>0</v>
      </c>
      <c r="N9" s="54">
        <f>DEGREES(ASIN((M9+O9)/G10))</f>
        <v>0</v>
      </c>
      <c r="O9" s="55">
        <v>0</v>
      </c>
    </row>
    <row r="10" spans="1:16" ht="13.5" thickTop="1">
      <c r="A10" s="44" t="str">
        <f t="shared" ref="A10:A73" si="0">IF(B10="","",RIGHT(TEXT(B10,"#.000"),2))</f>
        <v/>
      </c>
      <c r="B10" s="643"/>
      <c r="C10" s="613"/>
      <c r="D10" s="56">
        <f>D9+0.0001</f>
        <v>1.1012</v>
      </c>
      <c r="E10" s="57">
        <f>D9</f>
        <v>1.1011</v>
      </c>
      <c r="F10" s="58"/>
      <c r="G10" s="59">
        <v>0.29580000000000001</v>
      </c>
      <c r="H10" s="60">
        <v>-0.65900000000000003</v>
      </c>
      <c r="I10" s="61">
        <v>15</v>
      </c>
      <c r="J10" s="62">
        <v>30</v>
      </c>
      <c r="K10" s="63"/>
      <c r="L10" s="61"/>
      <c r="M10" s="64"/>
      <c r="N10" s="65"/>
      <c r="O10" s="151"/>
      <c r="P10" s="155" t="s">
        <v>26</v>
      </c>
    </row>
    <row r="11" spans="1:16" ht="13.5" thickBot="1">
      <c r="A11" s="44" t="str">
        <f t="shared" si="0"/>
        <v>04</v>
      </c>
      <c r="B11" s="649">
        <v>1.1040000000000001</v>
      </c>
      <c r="C11" s="602" t="s">
        <v>17</v>
      </c>
      <c r="D11" s="28">
        <f>B11+0.0001</f>
        <v>1.1041000000000001</v>
      </c>
      <c r="E11" s="29">
        <v>1</v>
      </c>
      <c r="F11" s="67"/>
      <c r="G11" s="68"/>
      <c r="H11" s="69"/>
      <c r="I11" s="70"/>
      <c r="J11" s="71"/>
      <c r="K11" s="72">
        <f>N11</f>
        <v>0</v>
      </c>
      <c r="L11" s="70">
        <v>0</v>
      </c>
      <c r="M11" s="73">
        <f>G12*SIN(RADIANS(L11))</f>
        <v>0</v>
      </c>
      <c r="N11" s="74">
        <f>DEGREES(ASIN((M11+O11)/G12))</f>
        <v>0</v>
      </c>
      <c r="O11" s="152">
        <v>0</v>
      </c>
      <c r="P11" s="156" t="s">
        <v>76</v>
      </c>
    </row>
    <row r="12" spans="1:16" ht="13.5" thickTop="1">
      <c r="A12" s="44" t="str">
        <f t="shared" si="0"/>
        <v/>
      </c>
      <c r="B12" s="649"/>
      <c r="C12" s="602"/>
      <c r="D12" s="28">
        <f>D11+0.0001</f>
        <v>1.1042000000000001</v>
      </c>
      <c r="E12" s="29">
        <f>D11</f>
        <v>1.1041000000000001</v>
      </c>
      <c r="F12" s="67"/>
      <c r="G12" s="68">
        <v>0.89029999999999998</v>
      </c>
      <c r="H12" s="69">
        <v>-0.5262</v>
      </c>
      <c r="I12" s="70">
        <v>15</v>
      </c>
      <c r="J12" s="71">
        <v>15</v>
      </c>
      <c r="K12" s="76"/>
      <c r="L12" s="70"/>
      <c r="M12" s="77"/>
      <c r="N12" s="78"/>
      <c r="O12" s="75"/>
      <c r="P12" s="153" t="s">
        <v>27</v>
      </c>
    </row>
    <row r="13" spans="1:16" ht="13.5" thickBot="1">
      <c r="A13" s="44" t="str">
        <f t="shared" si="0"/>
        <v>07</v>
      </c>
      <c r="B13" s="643">
        <v>1.107</v>
      </c>
      <c r="C13" s="613" t="s">
        <v>17</v>
      </c>
      <c r="D13" s="56">
        <f>B13+0.0001</f>
        <v>1.1071</v>
      </c>
      <c r="E13" s="57">
        <v>1</v>
      </c>
      <c r="F13" s="58"/>
      <c r="G13" s="59"/>
      <c r="H13" s="60"/>
      <c r="I13" s="61"/>
      <c r="J13" s="62"/>
      <c r="K13" s="79">
        <v>0</v>
      </c>
      <c r="L13" s="61">
        <v>0</v>
      </c>
      <c r="M13" s="80">
        <f>G14*SIN(RADIANS(L13))</f>
        <v>0</v>
      </c>
      <c r="N13" s="81">
        <f>DEGREES(ASIN((M13+O13)/G14))</f>
        <v>0</v>
      </c>
      <c r="O13" s="66">
        <v>0</v>
      </c>
      <c r="P13" s="154" t="s">
        <v>72</v>
      </c>
    </row>
    <row r="14" spans="1:16" ht="13.5" thickTop="1">
      <c r="A14" s="44" t="str">
        <f t="shared" si="0"/>
        <v/>
      </c>
      <c r="B14" s="643"/>
      <c r="C14" s="613"/>
      <c r="D14" s="56">
        <f>D13+0.0001</f>
        <v>1.1072</v>
      </c>
      <c r="E14" s="57">
        <f>D13</f>
        <v>1.1071</v>
      </c>
      <c r="F14" s="58"/>
      <c r="G14" s="59">
        <v>1.4785999999999999</v>
      </c>
      <c r="H14" s="60">
        <v>-0.36849999999999999</v>
      </c>
      <c r="I14" s="61">
        <v>15</v>
      </c>
      <c r="J14" s="62">
        <v>15</v>
      </c>
      <c r="K14" s="63"/>
      <c r="L14" s="61"/>
      <c r="M14" s="64"/>
      <c r="N14" s="65"/>
      <c r="O14" s="66"/>
      <c r="P14" s="153" t="s">
        <v>28</v>
      </c>
    </row>
    <row r="15" spans="1:16" ht="13.5" thickBot="1">
      <c r="A15" s="44" t="str">
        <f t="shared" si="0"/>
        <v>10</v>
      </c>
      <c r="B15" s="649">
        <v>1.1100000000000001</v>
      </c>
      <c r="C15" s="618" t="s">
        <v>10</v>
      </c>
      <c r="D15" s="28">
        <f>B15+0.0001</f>
        <v>1.1101000000000001</v>
      </c>
      <c r="E15" s="29">
        <v>1</v>
      </c>
      <c r="F15" s="67"/>
      <c r="G15" s="68"/>
      <c r="H15" s="69"/>
      <c r="I15" s="70"/>
      <c r="J15" s="71"/>
      <c r="K15" s="72">
        <f>N15</f>
        <v>0</v>
      </c>
      <c r="L15" s="70">
        <v>0</v>
      </c>
      <c r="M15" s="73">
        <f>G16*SIN(RADIANS(L15))</f>
        <v>0</v>
      </c>
      <c r="N15" s="74">
        <f>DEGREES(ASIN((M15+O15)/G16))</f>
        <v>0</v>
      </c>
      <c r="O15" s="75">
        <v>0</v>
      </c>
      <c r="P15" s="154" t="s">
        <v>139</v>
      </c>
    </row>
    <row r="16" spans="1:16" ht="13.5" thickTop="1">
      <c r="A16" s="44" t="str">
        <f t="shared" si="0"/>
        <v/>
      </c>
      <c r="B16" s="649"/>
      <c r="C16" s="602"/>
      <c r="D16" s="28">
        <f>D15+0.0001</f>
        <v>1.1102000000000001</v>
      </c>
      <c r="E16" s="29">
        <f>D15</f>
        <v>1.1101000000000001</v>
      </c>
      <c r="F16" s="67"/>
      <c r="G16" s="68">
        <v>2.0668000000000002</v>
      </c>
      <c r="H16" s="69">
        <v>-0.2109</v>
      </c>
      <c r="I16" s="70">
        <v>15</v>
      </c>
      <c r="J16" s="71">
        <v>15</v>
      </c>
      <c r="K16" s="76">
        <v>0</v>
      </c>
      <c r="L16" s="70"/>
      <c r="M16" s="77"/>
      <c r="N16" s="78"/>
      <c r="O16" s="75"/>
      <c r="P16" s="153" t="s">
        <v>68</v>
      </c>
    </row>
    <row r="17" spans="1:18" ht="13.5" thickBot="1">
      <c r="A17" s="44" t="str">
        <f t="shared" si="0"/>
        <v>14</v>
      </c>
      <c r="B17" s="643">
        <v>1.1140000000000001</v>
      </c>
      <c r="C17" s="613" t="s">
        <v>11</v>
      </c>
      <c r="D17" s="56">
        <f>B17+0.0001</f>
        <v>1.1141000000000001</v>
      </c>
      <c r="E17" s="57">
        <v>1</v>
      </c>
      <c r="F17" s="58"/>
      <c r="G17" s="59"/>
      <c r="H17" s="60"/>
      <c r="I17" s="61"/>
      <c r="J17" s="62"/>
      <c r="K17" s="79">
        <f>N17</f>
        <v>-0.94</v>
      </c>
      <c r="L17" s="61">
        <v>-0.94</v>
      </c>
      <c r="M17" s="80">
        <f>G18*SIN(RADIANS(L17))</f>
        <v>-4.6236863809438734E-2</v>
      </c>
      <c r="N17" s="81">
        <f>DEGREES(ASIN((M17+O17)/G18))</f>
        <v>-0.94</v>
      </c>
      <c r="O17" s="66">
        <v>0</v>
      </c>
      <c r="P17" s="154" t="s">
        <v>141</v>
      </c>
    </row>
    <row r="18" spans="1:18" ht="13.5" thickTop="1">
      <c r="A18" s="44" t="str">
        <f t="shared" si="0"/>
        <v/>
      </c>
      <c r="B18" s="643"/>
      <c r="C18" s="613"/>
      <c r="D18" s="56">
        <f>D17+0.0001</f>
        <v>1.1142000000000001</v>
      </c>
      <c r="E18" s="57">
        <f>D17</f>
        <v>1.1141000000000001</v>
      </c>
      <c r="F18" s="58"/>
      <c r="G18" s="59">
        <v>2.8184</v>
      </c>
      <c r="H18" s="60">
        <v>-0.13109999999999999</v>
      </c>
      <c r="I18" s="61">
        <v>-4.9000000000000004</v>
      </c>
      <c r="J18" s="62">
        <v>15</v>
      </c>
      <c r="K18" s="63">
        <v>-4.9400000000000004</v>
      </c>
      <c r="L18" s="61"/>
      <c r="M18" s="64"/>
      <c r="N18" s="65"/>
      <c r="O18" s="66"/>
      <c r="P18" s="153" t="s">
        <v>69</v>
      </c>
    </row>
    <row r="19" spans="1:18" ht="13.5" thickBot="1">
      <c r="A19" s="44" t="str">
        <f t="shared" si="0"/>
        <v>19</v>
      </c>
      <c r="B19" s="649">
        <v>1.119</v>
      </c>
      <c r="C19" s="602" t="s">
        <v>11</v>
      </c>
      <c r="D19" s="28">
        <f>B19+0.0001</f>
        <v>1.1191</v>
      </c>
      <c r="E19" s="29">
        <v>1</v>
      </c>
      <c r="F19" s="67"/>
      <c r="G19" s="68"/>
      <c r="H19" s="69"/>
      <c r="I19" s="70"/>
      <c r="J19" s="71"/>
      <c r="K19" s="72">
        <f>N19</f>
        <v>-2.1099999999999994</v>
      </c>
      <c r="L19" s="70">
        <v>-2.11</v>
      </c>
      <c r="M19" s="73">
        <f>G20*SIN(RADIANS(L19))</f>
        <v>-0.13064174887596045</v>
      </c>
      <c r="N19" s="74">
        <f>DEGREES(ASIN((M19+O19)/G20))</f>
        <v>-2.1099999999999994</v>
      </c>
      <c r="O19" s="75">
        <v>0</v>
      </c>
      <c r="P19" s="154" t="s">
        <v>144</v>
      </c>
    </row>
    <row r="20" spans="1:18" ht="13.5" thickTop="1">
      <c r="A20" s="44" t="str">
        <f t="shared" si="0"/>
        <v/>
      </c>
      <c r="B20" s="649"/>
      <c r="C20" s="602"/>
      <c r="D20" s="28">
        <f>D19+0.0001</f>
        <v>1.1192</v>
      </c>
      <c r="E20" s="29">
        <f>D19</f>
        <v>1.1191</v>
      </c>
      <c r="F20" s="67"/>
      <c r="G20" s="68">
        <v>3.5482999999999998</v>
      </c>
      <c r="H20" s="69">
        <v>-0.44890000000000002</v>
      </c>
      <c r="I20" s="70">
        <v>-29.1</v>
      </c>
      <c r="J20" s="71">
        <v>15</v>
      </c>
      <c r="K20" s="76">
        <v>-8.31</v>
      </c>
      <c r="L20" s="70"/>
      <c r="M20" s="77"/>
      <c r="N20" s="78"/>
      <c r="O20" s="75"/>
      <c r="P20" s="153" t="s">
        <v>70</v>
      </c>
    </row>
    <row r="21" spans="1:18" ht="13.5" thickBot="1">
      <c r="A21" s="44" t="str">
        <f t="shared" si="0"/>
        <v>24</v>
      </c>
      <c r="B21" s="643">
        <v>1.1240000000000001</v>
      </c>
      <c r="C21" s="613" t="s">
        <v>11</v>
      </c>
      <c r="D21" s="56">
        <f>B21+0.0001</f>
        <v>1.1241000000000001</v>
      </c>
      <c r="E21" s="57">
        <v>1</v>
      </c>
      <c r="F21" s="58"/>
      <c r="G21" s="59"/>
      <c r="H21" s="60"/>
      <c r="I21" s="61"/>
      <c r="J21" s="62"/>
      <c r="K21" s="79">
        <f>N21</f>
        <v>-2.8100000000000005</v>
      </c>
      <c r="L21" s="61">
        <v>-2.81</v>
      </c>
      <c r="M21" s="80">
        <f>G22*SIN(RADIANS(L21))</f>
        <v>-0.19271861438068316</v>
      </c>
      <c r="N21" s="81">
        <f>DEGREES(ASIN((M21+O21)/G22))</f>
        <v>-2.8100000000000005</v>
      </c>
      <c r="O21" s="66">
        <v>0</v>
      </c>
      <c r="P21" s="154" t="s">
        <v>145</v>
      </c>
    </row>
    <row r="22" spans="1:18" ht="13.5" thickTop="1">
      <c r="A22" s="44" t="str">
        <f t="shared" si="0"/>
        <v/>
      </c>
      <c r="B22" s="643"/>
      <c r="C22" s="613"/>
      <c r="D22" s="56">
        <f>D21+0.0001</f>
        <v>1.1242000000000001</v>
      </c>
      <c r="E22" s="57">
        <f>D21</f>
        <v>1.1241000000000001</v>
      </c>
      <c r="F22" s="58"/>
      <c r="G22" s="59">
        <v>3.9310999999999998</v>
      </c>
      <c r="H22" s="60">
        <v>-1.1231</v>
      </c>
      <c r="I22" s="61">
        <v>-53.1</v>
      </c>
      <c r="J22" s="62">
        <v>20</v>
      </c>
      <c r="K22" s="63">
        <v>-10.1</v>
      </c>
      <c r="L22" s="61"/>
      <c r="M22" s="64"/>
      <c r="N22" s="65"/>
      <c r="O22" s="66"/>
      <c r="P22" s="153" t="s">
        <v>71</v>
      </c>
    </row>
    <row r="23" spans="1:18" ht="13.5" thickBot="1">
      <c r="A23" s="44" t="str">
        <f t="shared" si="0"/>
        <v>29</v>
      </c>
      <c r="B23" s="649">
        <v>1.129</v>
      </c>
      <c r="C23" s="618" t="s">
        <v>10</v>
      </c>
      <c r="D23" s="28">
        <f>B23+0.0001</f>
        <v>1.1291</v>
      </c>
      <c r="E23" s="29">
        <v>1</v>
      </c>
      <c r="F23" s="67"/>
      <c r="G23" s="68"/>
      <c r="H23" s="69"/>
      <c r="I23" s="70"/>
      <c r="J23" s="71"/>
      <c r="K23" s="72">
        <f>N23</f>
        <v>-3.02</v>
      </c>
      <c r="L23" s="70">
        <v>-3.02</v>
      </c>
      <c r="M23" s="73">
        <f>G24*SIN(RADIANS(L23))</f>
        <v>-0.21316165092433151</v>
      </c>
      <c r="N23" s="74">
        <f>DEGREES(ASIN((M23+O23)/G24))</f>
        <v>-3.02</v>
      </c>
      <c r="O23" s="75">
        <v>0</v>
      </c>
      <c r="P23" s="154" t="s">
        <v>143</v>
      </c>
    </row>
    <row r="24" spans="1:18" ht="14.25" thickTop="1" thickBot="1">
      <c r="A24" s="44" t="str">
        <f t="shared" si="0"/>
        <v/>
      </c>
      <c r="B24" s="649"/>
      <c r="C24" s="651"/>
      <c r="D24" s="28">
        <f>D23+0.0001</f>
        <v>1.1292</v>
      </c>
      <c r="E24" s="29">
        <f>D23</f>
        <v>1.1291</v>
      </c>
      <c r="F24" s="67"/>
      <c r="G24" s="68">
        <v>4.0460000000000003</v>
      </c>
      <c r="H24" s="69">
        <v>-1.7908999999999999</v>
      </c>
      <c r="I24" s="70">
        <v>-65</v>
      </c>
      <c r="J24" s="71">
        <v>30</v>
      </c>
      <c r="K24" s="76">
        <v>-10.64</v>
      </c>
      <c r="L24" s="70"/>
      <c r="M24" s="77"/>
      <c r="N24" s="78"/>
      <c r="O24" s="75"/>
      <c r="P24" s="153" t="s">
        <v>74</v>
      </c>
    </row>
    <row r="25" spans="1:18" ht="13.5" thickBot="1">
      <c r="A25" s="44" t="str">
        <f t="shared" si="0"/>
        <v>13</v>
      </c>
      <c r="B25" s="652">
        <v>2.113</v>
      </c>
      <c r="C25" s="635" t="s">
        <v>11</v>
      </c>
      <c r="D25" s="202">
        <f>B25+0.0001</f>
        <v>2.1131000000000002</v>
      </c>
      <c r="E25" s="203">
        <v>2</v>
      </c>
      <c r="F25" s="204"/>
      <c r="G25" s="205"/>
      <c r="H25" s="206"/>
      <c r="I25" s="207"/>
      <c r="J25" s="208"/>
      <c r="K25" s="209">
        <f>N25</f>
        <v>-0.66</v>
      </c>
      <c r="L25" s="207">
        <v>-0.66</v>
      </c>
      <c r="M25" s="210">
        <f>G26*SIN(RADIANS(L25))</f>
        <v>-3.0153072475144902E-2</v>
      </c>
      <c r="N25" s="211">
        <f>DEGREES(ASIN((M25+O25)/G26))</f>
        <v>-0.66</v>
      </c>
      <c r="O25" s="212">
        <v>0</v>
      </c>
      <c r="P25" s="200" t="s">
        <v>146</v>
      </c>
      <c r="Q25" s="42"/>
      <c r="R25" s="42"/>
    </row>
    <row r="26" spans="1:18" ht="13.5" thickTop="1">
      <c r="A26" s="44" t="str">
        <f t="shared" si="0"/>
        <v/>
      </c>
      <c r="B26" s="601"/>
      <c r="C26" s="602"/>
      <c r="D26" s="28">
        <f>D25+0.0001</f>
        <v>2.1132000000000004</v>
      </c>
      <c r="E26" s="29">
        <f>D25</f>
        <v>2.1131000000000002</v>
      </c>
      <c r="F26" s="67"/>
      <c r="G26" s="68">
        <v>2.6177000000000001</v>
      </c>
      <c r="H26" s="69">
        <v>-0.13159999999999999</v>
      </c>
      <c r="I26" s="70">
        <v>0</v>
      </c>
      <c r="J26" s="71">
        <v>15</v>
      </c>
      <c r="K26" s="76">
        <v>-4.01</v>
      </c>
      <c r="L26" s="70"/>
      <c r="M26" s="104"/>
      <c r="N26" s="105"/>
      <c r="O26" s="213"/>
      <c r="P26" s="201" t="s">
        <v>75</v>
      </c>
      <c r="Q26" s="42"/>
      <c r="R26" s="42"/>
    </row>
    <row r="27" spans="1:18" ht="13.5" thickBot="1">
      <c r="A27" s="44" t="str">
        <f t="shared" si="0"/>
        <v>18</v>
      </c>
      <c r="B27" s="603">
        <v>2.1179999999999999</v>
      </c>
      <c r="C27" s="605" t="s">
        <v>11</v>
      </c>
      <c r="D27" s="82">
        <f>B27+0.0001</f>
        <v>2.1181000000000001</v>
      </c>
      <c r="E27" s="83">
        <v>2</v>
      </c>
      <c r="F27" s="84"/>
      <c r="G27" s="85"/>
      <c r="H27" s="86"/>
      <c r="I27" s="87"/>
      <c r="J27" s="88"/>
      <c r="K27" s="89">
        <f>N27</f>
        <v>-1.8900000000000001</v>
      </c>
      <c r="L27" s="87">
        <v>-1.89</v>
      </c>
      <c r="M27" s="90">
        <f>G28*SIN(RADIANS(L27))</f>
        <v>-0.11285679733584127</v>
      </c>
      <c r="N27" s="91">
        <f>DEGREES(ASIN((M27+O27)/G28))</f>
        <v>-1.8900000000000001</v>
      </c>
      <c r="O27" s="214">
        <v>0</v>
      </c>
      <c r="P27" s="200" t="s">
        <v>147</v>
      </c>
      <c r="Q27" s="42"/>
      <c r="R27" s="42"/>
    </row>
    <row r="28" spans="1:18" ht="13.5" thickTop="1">
      <c r="A28" s="44" t="str">
        <f t="shared" si="0"/>
        <v/>
      </c>
      <c r="B28" s="608"/>
      <c r="C28" s="610"/>
      <c r="D28" s="92">
        <f>D27+0.0001</f>
        <v>2.1182000000000003</v>
      </c>
      <c r="E28" s="93">
        <f>D27</f>
        <v>2.1181000000000001</v>
      </c>
      <c r="F28" s="94"/>
      <c r="G28" s="95">
        <v>3.4218999999999999</v>
      </c>
      <c r="H28" s="96">
        <v>-0.3478</v>
      </c>
      <c r="I28" s="97">
        <v>-24.3</v>
      </c>
      <c r="J28" s="98">
        <v>15</v>
      </c>
      <c r="K28" s="99">
        <v>-7.74</v>
      </c>
      <c r="L28" s="97"/>
      <c r="M28" s="100"/>
      <c r="N28" s="101"/>
      <c r="O28" s="215"/>
      <c r="P28" s="201" t="s">
        <v>93</v>
      </c>
      <c r="Q28" s="42"/>
      <c r="R28" s="42"/>
    </row>
    <row r="29" spans="1:18" ht="13.5" thickBot="1">
      <c r="A29" s="44" t="str">
        <f t="shared" si="0"/>
        <v>23</v>
      </c>
      <c r="B29" s="601">
        <v>2.1230000000000002</v>
      </c>
      <c r="C29" s="602" t="s">
        <v>11</v>
      </c>
      <c r="D29" s="28">
        <f>B29+0.0001</f>
        <v>2.1231000000000004</v>
      </c>
      <c r="E29" s="29">
        <v>2</v>
      </c>
      <c r="F29" s="67"/>
      <c r="G29" s="68"/>
      <c r="H29" s="69"/>
      <c r="I29" s="70"/>
      <c r="J29" s="71"/>
      <c r="K29" s="72">
        <f>N29</f>
        <v>-2.73</v>
      </c>
      <c r="L29" s="70">
        <v>-2.73</v>
      </c>
      <c r="M29" s="102">
        <f>G30*SIN(RADIANS(L29))</f>
        <v>-0.18537862805375208</v>
      </c>
      <c r="N29" s="103">
        <f>DEGREES(ASIN((M29+O29)/G30))</f>
        <v>-2.73</v>
      </c>
      <c r="O29" s="213">
        <v>0</v>
      </c>
      <c r="P29" s="200" t="s">
        <v>148</v>
      </c>
      <c r="Q29" s="43"/>
      <c r="R29" s="42"/>
    </row>
    <row r="30" spans="1:18" ht="13.5" thickTop="1">
      <c r="A30" s="44" t="str">
        <f t="shared" si="0"/>
        <v/>
      </c>
      <c r="B30" s="601"/>
      <c r="C30" s="602"/>
      <c r="D30" s="28">
        <f>D29+0.0001</f>
        <v>2.1232000000000006</v>
      </c>
      <c r="E30" s="29">
        <f>D29</f>
        <v>2.1231000000000004</v>
      </c>
      <c r="F30" s="67"/>
      <c r="G30" s="68">
        <v>3.8921000000000001</v>
      </c>
      <c r="H30" s="69">
        <v>-0.97260000000000002</v>
      </c>
      <c r="I30" s="70">
        <v>-48.3</v>
      </c>
      <c r="J30" s="71">
        <v>20</v>
      </c>
      <c r="K30" s="76">
        <v>-9.92</v>
      </c>
      <c r="L30" s="70"/>
      <c r="M30" s="104"/>
      <c r="N30" s="105"/>
      <c r="O30" s="213"/>
      <c r="P30" s="201" t="s">
        <v>94</v>
      </c>
      <c r="Q30" s="43"/>
      <c r="R30" s="42"/>
    </row>
    <row r="31" spans="1:18" ht="13.5" thickBot="1">
      <c r="A31" s="44" t="str">
        <f t="shared" si="0"/>
        <v>28</v>
      </c>
      <c r="B31" s="603">
        <v>2.1280000000000001</v>
      </c>
      <c r="C31" s="605" t="s">
        <v>11</v>
      </c>
      <c r="D31" s="82">
        <f>B31+0.0001</f>
        <v>2.1281000000000003</v>
      </c>
      <c r="E31" s="83">
        <v>2</v>
      </c>
      <c r="F31" s="84"/>
      <c r="G31" s="85"/>
      <c r="H31" s="86"/>
      <c r="I31" s="87"/>
      <c r="J31" s="88"/>
      <c r="K31" s="89">
        <f>N31</f>
        <v>-2.86</v>
      </c>
      <c r="L31" s="87">
        <v>-2.86</v>
      </c>
      <c r="M31" s="90">
        <f>G32*SIN(RADIANS(L31))</f>
        <v>-0.19769670355475735</v>
      </c>
      <c r="N31" s="91">
        <f>DEGREES(ASIN((M31+O31)/G32))</f>
        <v>-2.86</v>
      </c>
      <c r="O31" s="214">
        <v>0</v>
      </c>
      <c r="P31" s="200" t="s">
        <v>149</v>
      </c>
      <c r="Q31" s="43"/>
      <c r="R31" s="42"/>
    </row>
    <row r="32" spans="1:18" ht="13.5" thickTop="1">
      <c r="A32" s="44" t="str">
        <f t="shared" si="0"/>
        <v/>
      </c>
      <c r="B32" s="608"/>
      <c r="C32" s="610"/>
      <c r="D32" s="92">
        <f>D31+0.0001</f>
        <v>2.1282000000000005</v>
      </c>
      <c r="E32" s="93">
        <f>D31</f>
        <v>2.1281000000000003</v>
      </c>
      <c r="F32" s="94"/>
      <c r="G32" s="95">
        <v>3.9622000000000002</v>
      </c>
      <c r="H32" s="96">
        <v>-1.7192000000000001</v>
      </c>
      <c r="I32" s="97">
        <v>-65</v>
      </c>
      <c r="J32" s="98">
        <v>25</v>
      </c>
      <c r="K32" s="99">
        <v>-10.25</v>
      </c>
      <c r="L32" s="97"/>
      <c r="M32" s="100"/>
      <c r="N32" s="101"/>
      <c r="O32" s="215"/>
      <c r="P32" s="201" t="s">
        <v>95</v>
      </c>
      <c r="Q32" s="43"/>
      <c r="R32" s="42"/>
    </row>
    <row r="33" spans="1:18" ht="13.5" thickBot="1">
      <c r="A33" s="44" t="str">
        <f t="shared" si="0"/>
        <v>33</v>
      </c>
      <c r="B33" s="601">
        <v>2.133</v>
      </c>
      <c r="C33" s="602" t="s">
        <v>10</v>
      </c>
      <c r="D33" s="28">
        <f>B33+0.0001</f>
        <v>2.1331000000000002</v>
      </c>
      <c r="E33" s="29">
        <v>2</v>
      </c>
      <c r="F33" s="67"/>
      <c r="G33" s="68"/>
      <c r="H33" s="69"/>
      <c r="I33" s="70"/>
      <c r="J33" s="71"/>
      <c r="K33" s="72">
        <f>N33</f>
        <v>-3.02</v>
      </c>
      <c r="L33" s="70">
        <v>-3.02</v>
      </c>
      <c r="M33" s="102">
        <f>G34*SIN(RADIANS(L33))</f>
        <v>-0.21316165092433151</v>
      </c>
      <c r="N33" s="103">
        <f>DEGREES(ASIN((M33+O33)/G34))</f>
        <v>-3.02</v>
      </c>
      <c r="O33" s="213">
        <v>0</v>
      </c>
      <c r="P33" s="200" t="s">
        <v>73</v>
      </c>
      <c r="Q33" s="43"/>
      <c r="R33" s="42"/>
    </row>
    <row r="34" spans="1:18" ht="14.25" thickTop="1" thickBot="1">
      <c r="A34" s="44" t="str">
        <f t="shared" si="0"/>
        <v/>
      </c>
      <c r="B34" s="601"/>
      <c r="C34" s="602"/>
      <c r="D34" s="28">
        <f>D33+0.0001</f>
        <v>2.1332000000000004</v>
      </c>
      <c r="E34" s="29">
        <f>D33</f>
        <v>2.1331000000000002</v>
      </c>
      <c r="F34" s="67"/>
      <c r="G34" s="68">
        <v>4.0460000000000003</v>
      </c>
      <c r="H34" s="69">
        <v>-2.3721000000000001</v>
      </c>
      <c r="I34" s="70">
        <v>-65</v>
      </c>
      <c r="J34" s="71">
        <v>30</v>
      </c>
      <c r="K34" s="76">
        <v>-10.64</v>
      </c>
      <c r="L34" s="70"/>
      <c r="M34" s="104"/>
      <c r="N34" s="105"/>
      <c r="O34" s="213"/>
      <c r="P34" s="201" t="s">
        <v>96</v>
      </c>
      <c r="Q34" s="43"/>
      <c r="R34" s="42"/>
    </row>
    <row r="35" spans="1:18" ht="13.5" thickBot="1">
      <c r="A35" s="44" t="str">
        <f t="shared" si="0"/>
        <v>03</v>
      </c>
      <c r="B35" s="627">
        <v>3.1030000000000002</v>
      </c>
      <c r="C35" s="629" t="s">
        <v>17</v>
      </c>
      <c r="D35" s="216">
        <f>B35+0.0001</f>
        <v>3.1031000000000004</v>
      </c>
      <c r="E35" s="217">
        <v>3</v>
      </c>
      <c r="F35" s="218"/>
      <c r="G35" s="219"/>
      <c r="H35" s="220"/>
      <c r="I35" s="221"/>
      <c r="J35" s="222"/>
      <c r="K35" s="223">
        <f>N35</f>
        <v>0</v>
      </c>
      <c r="L35" s="221">
        <v>0</v>
      </c>
      <c r="M35" s="224">
        <f>G36*SIN(RADIANS(L35))</f>
        <v>0</v>
      </c>
      <c r="N35" s="225">
        <f>DEGREES(ASIN((M35+O35)/G36))</f>
        <v>0</v>
      </c>
      <c r="O35" s="226">
        <v>0</v>
      </c>
      <c r="P35" s="200" t="s">
        <v>150</v>
      </c>
    </row>
    <row r="36" spans="1:18" ht="13.5" thickTop="1">
      <c r="A36" s="44" t="str">
        <f t="shared" si="0"/>
        <v/>
      </c>
      <c r="B36" s="628"/>
      <c r="C36" s="630"/>
      <c r="D36" s="40">
        <f>D35+0.0001</f>
        <v>3.1032000000000006</v>
      </c>
      <c r="E36" s="41">
        <f>D35</f>
        <v>3.1031000000000004</v>
      </c>
      <c r="F36" s="106"/>
      <c r="G36" s="107">
        <v>0.69259999999999999</v>
      </c>
      <c r="H36" s="108">
        <v>-0.57199999999999995</v>
      </c>
      <c r="I36" s="109">
        <v>15</v>
      </c>
      <c r="J36" s="110">
        <v>20</v>
      </c>
      <c r="K36" s="111"/>
      <c r="L36" s="109"/>
      <c r="M36" s="112"/>
      <c r="N36" s="113"/>
      <c r="O36" s="227"/>
      <c r="P36" s="201" t="s">
        <v>29</v>
      </c>
    </row>
    <row r="37" spans="1:18" s="4" customFormat="1" ht="13.5" thickBot="1">
      <c r="A37" s="44" t="str">
        <f t="shared" si="0"/>
        <v>06</v>
      </c>
      <c r="B37" s="601">
        <v>3.1059999999999999</v>
      </c>
      <c r="C37" s="602" t="s">
        <v>17</v>
      </c>
      <c r="D37" s="28">
        <f>B37+0.0001</f>
        <v>3.1061000000000001</v>
      </c>
      <c r="E37" s="29">
        <v>3</v>
      </c>
      <c r="F37" s="67"/>
      <c r="G37" s="68"/>
      <c r="H37" s="69"/>
      <c r="I37" s="70"/>
      <c r="J37" s="71"/>
      <c r="K37" s="72">
        <f>N37</f>
        <v>0</v>
      </c>
      <c r="L37" s="70">
        <v>0</v>
      </c>
      <c r="M37" s="102">
        <f>G38*SIN(RADIANS(L37))</f>
        <v>0</v>
      </c>
      <c r="N37" s="103">
        <f>DEGREES(ASIN((M37+O37)/G38))</f>
        <v>0</v>
      </c>
      <c r="O37" s="213">
        <v>0</v>
      </c>
      <c r="P37" s="200" t="s">
        <v>139</v>
      </c>
    </row>
    <row r="38" spans="1:18" ht="13.5" thickTop="1">
      <c r="A38" s="44" t="str">
        <f t="shared" si="0"/>
        <v/>
      </c>
      <c r="B38" s="601"/>
      <c r="C38" s="602"/>
      <c r="D38" s="28">
        <f>D37+0.0001</f>
        <v>3.1062000000000003</v>
      </c>
      <c r="E38" s="29">
        <f>D37</f>
        <v>3.1061000000000001</v>
      </c>
      <c r="F38" s="67"/>
      <c r="G38" s="68">
        <v>1.2825</v>
      </c>
      <c r="H38" s="69">
        <v>-0.42109999999999997</v>
      </c>
      <c r="I38" s="70">
        <v>15</v>
      </c>
      <c r="J38" s="71">
        <v>15</v>
      </c>
      <c r="K38" s="76"/>
      <c r="L38" s="70"/>
      <c r="M38" s="104"/>
      <c r="N38" s="105"/>
      <c r="O38" s="213"/>
      <c r="P38" s="201" t="s">
        <v>30</v>
      </c>
    </row>
    <row r="39" spans="1:18" ht="13.5" thickBot="1">
      <c r="A39" s="44" t="str">
        <f t="shared" si="0"/>
        <v>09</v>
      </c>
      <c r="B39" s="628">
        <v>3.109</v>
      </c>
      <c r="C39" s="630" t="s">
        <v>17</v>
      </c>
      <c r="D39" s="40">
        <f>B39+0.0001</f>
        <v>3.1091000000000002</v>
      </c>
      <c r="E39" s="41">
        <v>3</v>
      </c>
      <c r="F39" s="106"/>
      <c r="G39" s="107"/>
      <c r="H39" s="108"/>
      <c r="I39" s="109"/>
      <c r="J39" s="110"/>
      <c r="K39" s="114">
        <f>N39</f>
        <v>0</v>
      </c>
      <c r="L39" s="109">
        <v>0</v>
      </c>
      <c r="M39" s="115">
        <f>G40*SIN(RADIANS(L39))</f>
        <v>0</v>
      </c>
      <c r="N39" s="116">
        <f>DEGREES(ASIN((M39+O39)/G40))</f>
        <v>0</v>
      </c>
      <c r="O39" s="227">
        <v>0</v>
      </c>
      <c r="P39" s="200" t="s">
        <v>76</v>
      </c>
    </row>
    <row r="40" spans="1:18" ht="13.5" thickTop="1">
      <c r="A40" s="44" t="str">
        <f t="shared" si="0"/>
        <v/>
      </c>
      <c r="B40" s="628"/>
      <c r="C40" s="630"/>
      <c r="D40" s="40">
        <f>D39+0.0001</f>
        <v>3.1092000000000004</v>
      </c>
      <c r="E40" s="41">
        <f>D39</f>
        <v>3.1091000000000002</v>
      </c>
      <c r="F40" s="106"/>
      <c r="G40" s="107">
        <v>1.8708</v>
      </c>
      <c r="H40" s="108">
        <v>-0.26350000000000001</v>
      </c>
      <c r="I40" s="109">
        <v>15</v>
      </c>
      <c r="J40" s="110">
        <v>15</v>
      </c>
      <c r="K40" s="111"/>
      <c r="L40" s="109"/>
      <c r="M40" s="112"/>
      <c r="N40" s="113"/>
      <c r="O40" s="227"/>
      <c r="P40" s="201" t="s">
        <v>41</v>
      </c>
    </row>
    <row r="41" spans="1:18" ht="13.5" thickBot="1">
      <c r="A41" s="44" t="str">
        <f t="shared" si="0"/>
        <v>12</v>
      </c>
      <c r="B41" s="601">
        <v>3.1120000000000001</v>
      </c>
      <c r="C41" s="618" t="s">
        <v>10</v>
      </c>
      <c r="D41" s="28">
        <f>B41+0.0001</f>
        <v>3.1121000000000003</v>
      </c>
      <c r="E41" s="29">
        <v>3</v>
      </c>
      <c r="F41" s="67"/>
      <c r="G41" s="68"/>
      <c r="H41" s="69"/>
      <c r="I41" s="70"/>
      <c r="J41" s="71"/>
      <c r="K41" s="72">
        <f>N41</f>
        <v>0</v>
      </c>
      <c r="L41" s="70">
        <v>0</v>
      </c>
      <c r="M41" s="102">
        <f>G42*SIN(RADIANS(L41))</f>
        <v>0</v>
      </c>
      <c r="N41" s="103">
        <f>DEGREES(ASIN((M41+O41)/G42))</f>
        <v>0</v>
      </c>
      <c r="O41" s="213">
        <v>0</v>
      </c>
      <c r="P41" s="200" t="s">
        <v>151</v>
      </c>
    </row>
    <row r="42" spans="1:18" ht="13.5" thickTop="1">
      <c r="A42" s="44" t="str">
        <f t="shared" si="0"/>
        <v/>
      </c>
      <c r="B42" s="601"/>
      <c r="C42" s="602"/>
      <c r="D42" s="28">
        <f>D41+0.0001</f>
        <v>3.1122000000000005</v>
      </c>
      <c r="E42" s="29">
        <f>D41</f>
        <v>3.1121000000000003</v>
      </c>
      <c r="F42" s="67"/>
      <c r="G42" s="68">
        <v>2.4597000000000002</v>
      </c>
      <c r="H42" s="69">
        <v>-0.1082</v>
      </c>
      <c r="I42" s="70">
        <v>5</v>
      </c>
      <c r="J42" s="71">
        <v>15</v>
      </c>
      <c r="K42" s="76"/>
      <c r="L42" s="70"/>
      <c r="M42" s="104"/>
      <c r="N42" s="105"/>
      <c r="O42" s="213"/>
      <c r="P42" s="201" t="s">
        <v>77</v>
      </c>
    </row>
    <row r="43" spans="1:18" ht="13.5" thickBot="1">
      <c r="A43" s="44" t="str">
        <f t="shared" si="0"/>
        <v>17</v>
      </c>
      <c r="B43" s="628">
        <v>3.117</v>
      </c>
      <c r="C43" s="630" t="s">
        <v>11</v>
      </c>
      <c r="D43" s="40">
        <f>B43+0.0001</f>
        <v>3.1171000000000002</v>
      </c>
      <c r="E43" s="41">
        <v>3</v>
      </c>
      <c r="F43" s="106"/>
      <c r="G43" s="107"/>
      <c r="H43" s="108"/>
      <c r="I43" s="109"/>
      <c r="J43" s="110"/>
      <c r="K43" s="114">
        <f>N43</f>
        <v>-1.66</v>
      </c>
      <c r="L43" s="109">
        <v>-1.66</v>
      </c>
      <c r="M43" s="115">
        <f>G44*SIN(RADIANS(L43))</f>
        <v>-9.5103298195208949E-2</v>
      </c>
      <c r="N43" s="116">
        <f>DEGREES(ASIN((M43+O43)/G44))</f>
        <v>-1.66</v>
      </c>
      <c r="O43" s="227">
        <v>0</v>
      </c>
      <c r="P43" s="200" t="s">
        <v>152</v>
      </c>
    </row>
    <row r="44" spans="1:18" ht="13.5" thickTop="1">
      <c r="A44" s="44" t="str">
        <f t="shared" si="0"/>
        <v/>
      </c>
      <c r="B44" s="628"/>
      <c r="C44" s="630"/>
      <c r="D44" s="40">
        <f>D43+0.0001</f>
        <v>3.1172000000000004</v>
      </c>
      <c r="E44" s="41">
        <f>D43</f>
        <v>3.1171000000000002</v>
      </c>
      <c r="F44" s="106"/>
      <c r="G44" s="107">
        <v>3.2829999999999999</v>
      </c>
      <c r="H44" s="108">
        <v>-0.2641</v>
      </c>
      <c r="I44" s="109">
        <v>-19.399999999999999</v>
      </c>
      <c r="J44" s="110">
        <v>15</v>
      </c>
      <c r="K44" s="111">
        <v>-7.09</v>
      </c>
      <c r="L44" s="109"/>
      <c r="M44" s="112"/>
      <c r="N44" s="113"/>
      <c r="O44" s="227"/>
      <c r="P44" s="201" t="s">
        <v>78</v>
      </c>
    </row>
    <row r="45" spans="1:18" ht="13.5" thickBot="1">
      <c r="A45" s="44" t="str">
        <f t="shared" si="0"/>
        <v>22</v>
      </c>
      <c r="B45" s="601">
        <v>3.1219999999999999</v>
      </c>
      <c r="C45" s="602" t="s">
        <v>11</v>
      </c>
      <c r="D45" s="28">
        <f>B45+0.0001</f>
        <v>3.1221000000000001</v>
      </c>
      <c r="E45" s="29">
        <v>3</v>
      </c>
      <c r="F45" s="67"/>
      <c r="G45" s="68"/>
      <c r="H45" s="69"/>
      <c r="I45" s="70"/>
      <c r="J45" s="71"/>
      <c r="K45" s="72">
        <f>N45</f>
        <v>-2.63</v>
      </c>
      <c r="L45" s="70">
        <v>-2.63</v>
      </c>
      <c r="M45" s="102">
        <f>G46*SIN(RADIANS(L45))</f>
        <v>-0.17594084951506225</v>
      </c>
      <c r="N45" s="103">
        <f>DEGREES(ASIN((M45+O45)/G46))</f>
        <v>-2.63</v>
      </c>
      <c r="O45" s="213">
        <v>0</v>
      </c>
      <c r="P45" s="200" t="s">
        <v>144</v>
      </c>
    </row>
    <row r="46" spans="1:18" ht="13.5" thickTop="1">
      <c r="A46" s="44" t="str">
        <f t="shared" si="0"/>
        <v/>
      </c>
      <c r="B46" s="601"/>
      <c r="C46" s="602"/>
      <c r="D46" s="28">
        <f>D45+0.0001</f>
        <v>3.1222000000000003</v>
      </c>
      <c r="E46" s="29">
        <f>D45</f>
        <v>3.1221000000000001</v>
      </c>
      <c r="F46" s="67"/>
      <c r="G46" s="68">
        <v>3.8342999999999998</v>
      </c>
      <c r="H46" s="69">
        <v>-0.82650000000000001</v>
      </c>
      <c r="I46" s="70">
        <v>-43.5</v>
      </c>
      <c r="J46" s="71">
        <v>20</v>
      </c>
      <c r="K46" s="76">
        <v>-9.65</v>
      </c>
      <c r="L46" s="70"/>
      <c r="M46" s="104"/>
      <c r="N46" s="105"/>
      <c r="O46" s="213"/>
      <c r="P46" s="201" t="s">
        <v>79</v>
      </c>
    </row>
    <row r="47" spans="1:18" ht="13.5" thickBot="1">
      <c r="A47" s="44" t="str">
        <f t="shared" si="0"/>
        <v>27</v>
      </c>
      <c r="B47" s="628">
        <v>3.1269999999999998</v>
      </c>
      <c r="C47" s="630" t="s">
        <v>11</v>
      </c>
      <c r="D47" s="40">
        <f>B47+0.0001</f>
        <v>3.1271</v>
      </c>
      <c r="E47" s="41">
        <v>3</v>
      </c>
      <c r="F47" s="106"/>
      <c r="G47" s="107"/>
      <c r="H47" s="108"/>
      <c r="I47" s="109"/>
      <c r="J47" s="110"/>
      <c r="K47" s="114">
        <f>N47</f>
        <v>-2.86</v>
      </c>
      <c r="L47" s="109">
        <v>-2.86</v>
      </c>
      <c r="M47" s="115">
        <f>G48*SIN(RADIANS(L47))</f>
        <v>-0.19765179743361272</v>
      </c>
      <c r="N47" s="116">
        <f>DEGREES(ASIN((M47+O47)/G48))</f>
        <v>-2.86</v>
      </c>
      <c r="O47" s="227">
        <v>0</v>
      </c>
      <c r="P47" s="200" t="s">
        <v>73</v>
      </c>
    </row>
    <row r="48" spans="1:18" ht="13.5" thickTop="1">
      <c r="A48" s="44" t="str">
        <f t="shared" si="0"/>
        <v/>
      </c>
      <c r="B48" s="628"/>
      <c r="C48" s="630"/>
      <c r="D48" s="40">
        <f>D47+0.0001</f>
        <v>3.1272000000000002</v>
      </c>
      <c r="E48" s="41">
        <f>D47</f>
        <v>3.1271</v>
      </c>
      <c r="F48" s="106"/>
      <c r="G48" s="107">
        <v>3.9613</v>
      </c>
      <c r="H48" s="108">
        <v>-1.5865</v>
      </c>
      <c r="I48" s="109">
        <v>-65</v>
      </c>
      <c r="J48" s="110">
        <v>25</v>
      </c>
      <c r="K48" s="111">
        <v>-10.24</v>
      </c>
      <c r="L48" s="109"/>
      <c r="M48" s="112"/>
      <c r="N48" s="113"/>
      <c r="O48" s="227"/>
      <c r="P48" s="201" t="s">
        <v>80</v>
      </c>
    </row>
    <row r="49" spans="1:16" ht="13.5" thickBot="1">
      <c r="A49" s="44" t="str">
        <f t="shared" si="0"/>
        <v>32</v>
      </c>
      <c r="B49" s="601">
        <v>3.1320000000000001</v>
      </c>
      <c r="C49" s="602" t="s">
        <v>10</v>
      </c>
      <c r="D49" s="28">
        <f>B49+0.0001</f>
        <v>3.1321000000000003</v>
      </c>
      <c r="E49" s="29">
        <v>3</v>
      </c>
      <c r="F49" s="67"/>
      <c r="G49" s="68"/>
      <c r="H49" s="69"/>
      <c r="I49" s="70"/>
      <c r="J49" s="71"/>
      <c r="K49" s="72">
        <f>N49</f>
        <v>-3.02</v>
      </c>
      <c r="L49" s="70">
        <v>-3.02</v>
      </c>
      <c r="M49" s="102">
        <f>G50*SIN(RADIANS(L49))</f>
        <v>-0.21316165092433151</v>
      </c>
      <c r="N49" s="103">
        <f>DEGREES(ASIN((M49+O49)/G50))</f>
        <v>-3.02</v>
      </c>
      <c r="O49" s="213">
        <v>0</v>
      </c>
      <c r="P49" s="303" t="s">
        <v>153</v>
      </c>
    </row>
    <row r="50" spans="1:16" ht="14.25" thickTop="1" thickBot="1">
      <c r="A50" s="44" t="str">
        <f t="shared" si="0"/>
        <v/>
      </c>
      <c r="B50" s="601"/>
      <c r="C50" s="602"/>
      <c r="D50" s="28">
        <f>D49+0.0001</f>
        <v>3.1322000000000005</v>
      </c>
      <c r="E50" s="29">
        <f>D49</f>
        <v>3.1321000000000003</v>
      </c>
      <c r="F50" s="67"/>
      <c r="G50" s="68">
        <v>4.0460000000000003</v>
      </c>
      <c r="H50" s="69">
        <v>-2.2393999999999998</v>
      </c>
      <c r="I50" s="70">
        <v>-65</v>
      </c>
      <c r="J50" s="71">
        <v>30</v>
      </c>
      <c r="K50" s="76">
        <v>-10.64</v>
      </c>
      <c r="L50" s="70"/>
      <c r="M50" s="104"/>
      <c r="N50" s="105"/>
      <c r="O50" s="213"/>
      <c r="P50" s="201" t="s">
        <v>81</v>
      </c>
    </row>
    <row r="51" spans="1:16" ht="13.5" thickBot="1">
      <c r="A51" s="44" t="str">
        <f t="shared" si="0"/>
        <v>02</v>
      </c>
      <c r="B51" s="631">
        <v>4.1020000000000003</v>
      </c>
      <c r="C51" s="634" t="s">
        <v>17</v>
      </c>
      <c r="D51" s="202">
        <f>B51+0.0001</f>
        <v>4.1021000000000001</v>
      </c>
      <c r="E51" s="203">
        <v>4</v>
      </c>
      <c r="F51" s="204"/>
      <c r="G51" s="205"/>
      <c r="H51" s="206"/>
      <c r="I51" s="207"/>
      <c r="J51" s="208"/>
      <c r="K51" s="209">
        <f>N51</f>
        <v>0</v>
      </c>
      <c r="L51" s="207">
        <v>0</v>
      </c>
      <c r="M51" s="228">
        <f>G52*SIN(RADIANS(L51))</f>
        <v>0</v>
      </c>
      <c r="N51" s="229">
        <f>DEGREES(ASIN((M51+O51)/G52))</f>
        <v>0</v>
      </c>
      <c r="O51" s="230">
        <v>0</v>
      </c>
      <c r="P51" s="200" t="s">
        <v>154</v>
      </c>
    </row>
    <row r="52" spans="1:16" ht="13.5" thickTop="1">
      <c r="A52" s="44" t="str">
        <f t="shared" si="0"/>
        <v/>
      </c>
      <c r="B52" s="617"/>
      <c r="C52" s="602"/>
      <c r="D52" s="28">
        <f>D51+0.0001</f>
        <v>4.1021999999999998</v>
      </c>
      <c r="E52" s="29">
        <f>D51</f>
        <v>4.1021000000000001</v>
      </c>
      <c r="F52" s="67"/>
      <c r="G52" s="68">
        <v>0.49419999999999997</v>
      </c>
      <c r="H52" s="69">
        <v>-0.61550000000000005</v>
      </c>
      <c r="I52" s="70">
        <v>15</v>
      </c>
      <c r="J52" s="71">
        <v>25</v>
      </c>
      <c r="K52" s="76">
        <v>0</v>
      </c>
      <c r="L52" s="70"/>
      <c r="M52" s="77"/>
      <c r="N52" s="78"/>
      <c r="O52" s="231"/>
      <c r="P52" s="201" t="s">
        <v>82</v>
      </c>
    </row>
    <row r="53" spans="1:16" ht="13.5" thickBot="1">
      <c r="A53" s="44" t="str">
        <f t="shared" si="0"/>
        <v>05</v>
      </c>
      <c r="B53" s="619">
        <v>4.1050000000000004</v>
      </c>
      <c r="C53" s="633" t="s">
        <v>17</v>
      </c>
      <c r="D53" s="117">
        <f>B53+0.0001</f>
        <v>4.1051000000000002</v>
      </c>
      <c r="E53" s="118">
        <v>4</v>
      </c>
      <c r="F53" s="119"/>
      <c r="G53" s="120"/>
      <c r="H53" s="121"/>
      <c r="I53" s="122"/>
      <c r="J53" s="123"/>
      <c r="K53" s="124">
        <f>N53</f>
        <v>0</v>
      </c>
      <c r="L53" s="122">
        <v>0</v>
      </c>
      <c r="M53" s="125">
        <f>G54*SIN(RADIANS(L53))</f>
        <v>0</v>
      </c>
      <c r="N53" s="126">
        <f>DEGREES(ASIN((M53+O53)/G54))</f>
        <v>0</v>
      </c>
      <c r="O53" s="232">
        <v>0</v>
      </c>
      <c r="P53" s="200" t="s">
        <v>139</v>
      </c>
    </row>
    <row r="54" spans="1:16" ht="13.5" thickTop="1">
      <c r="A54" s="44" t="str">
        <f t="shared" si="0"/>
        <v/>
      </c>
      <c r="B54" s="632"/>
      <c r="C54" s="622"/>
      <c r="D54" s="127">
        <f>D53+0.0001</f>
        <v>4.1052</v>
      </c>
      <c r="E54" s="128">
        <f>D53</f>
        <v>4.1051000000000002</v>
      </c>
      <c r="F54" s="129"/>
      <c r="G54" s="130">
        <v>1.0864</v>
      </c>
      <c r="H54" s="131">
        <v>-0.47360000000000002</v>
      </c>
      <c r="I54" s="132">
        <v>15</v>
      </c>
      <c r="J54" s="133">
        <v>15</v>
      </c>
      <c r="K54" s="134">
        <v>0</v>
      </c>
      <c r="L54" s="132"/>
      <c r="M54" s="135"/>
      <c r="N54" s="136"/>
      <c r="O54" s="233"/>
      <c r="P54" s="201" t="s">
        <v>83</v>
      </c>
    </row>
    <row r="55" spans="1:16" ht="13.5" thickBot="1">
      <c r="A55" s="44" t="str">
        <f t="shared" si="0"/>
        <v>08</v>
      </c>
      <c r="B55" s="617">
        <v>4.1079999999999997</v>
      </c>
      <c r="C55" s="618" t="s">
        <v>17</v>
      </c>
      <c r="D55" s="28">
        <f>B55+0.0001</f>
        <v>4.1080999999999994</v>
      </c>
      <c r="E55" s="29">
        <v>4</v>
      </c>
      <c r="F55" s="67"/>
      <c r="G55" s="68"/>
      <c r="H55" s="69"/>
      <c r="I55" s="70"/>
      <c r="J55" s="71"/>
      <c r="K55" s="72">
        <f>N55</f>
        <v>0</v>
      </c>
      <c r="L55" s="70">
        <v>0</v>
      </c>
      <c r="M55" s="73">
        <f>G56*SIN(RADIANS(L55))</f>
        <v>0</v>
      </c>
      <c r="N55" s="74">
        <f>DEGREES(ASIN((M55+O55)/G56))</f>
        <v>0</v>
      </c>
      <c r="O55" s="231">
        <v>0</v>
      </c>
      <c r="P55" s="200" t="s">
        <v>76</v>
      </c>
    </row>
    <row r="56" spans="1:16" ht="13.5" thickTop="1">
      <c r="A56" s="44" t="str">
        <f t="shared" si="0"/>
        <v/>
      </c>
      <c r="B56" s="617"/>
      <c r="C56" s="602"/>
      <c r="D56" s="28">
        <f>D55+0.0001</f>
        <v>4.1081999999999992</v>
      </c>
      <c r="E56" s="29">
        <f>D55</f>
        <v>4.1080999999999994</v>
      </c>
      <c r="F56" s="67"/>
      <c r="G56" s="68">
        <v>1.6747000000000001</v>
      </c>
      <c r="H56" s="69">
        <v>-0.316</v>
      </c>
      <c r="I56" s="70">
        <v>15</v>
      </c>
      <c r="J56" s="71">
        <v>15</v>
      </c>
      <c r="K56" s="76">
        <v>0</v>
      </c>
      <c r="L56" s="70"/>
      <c r="M56" s="77"/>
      <c r="N56" s="78"/>
      <c r="O56" s="231"/>
      <c r="P56" s="201" t="s">
        <v>84</v>
      </c>
    </row>
    <row r="57" spans="1:16" ht="13.5" thickBot="1">
      <c r="A57" s="44" t="str">
        <f t="shared" si="0"/>
        <v>11</v>
      </c>
      <c r="B57" s="619">
        <v>4.1109999999999998</v>
      </c>
      <c r="C57" s="633" t="s">
        <v>10</v>
      </c>
      <c r="D57" s="117">
        <f>B57+0.0001</f>
        <v>4.1110999999999995</v>
      </c>
      <c r="E57" s="118">
        <v>4</v>
      </c>
      <c r="F57" s="119"/>
      <c r="G57" s="120"/>
      <c r="H57" s="121"/>
      <c r="I57" s="122"/>
      <c r="J57" s="123"/>
      <c r="K57" s="124">
        <f>N57</f>
        <v>0</v>
      </c>
      <c r="L57" s="122">
        <v>0</v>
      </c>
      <c r="M57" s="125">
        <f>G58*SIN(RADIANS(L57))</f>
        <v>0</v>
      </c>
      <c r="N57" s="126">
        <f>DEGREES(ASIN((M57+O57)/G58))</f>
        <v>0</v>
      </c>
      <c r="O57" s="232">
        <v>0</v>
      </c>
      <c r="P57" s="200" t="s">
        <v>140</v>
      </c>
    </row>
    <row r="58" spans="1:16" ht="13.5" thickTop="1">
      <c r="A58" s="44" t="str">
        <f t="shared" si="0"/>
        <v/>
      </c>
      <c r="B58" s="632"/>
      <c r="C58" s="622"/>
      <c r="D58" s="127">
        <f>D57+0.0001</f>
        <v>4.1111999999999993</v>
      </c>
      <c r="E58" s="128">
        <f>D57</f>
        <v>4.1110999999999995</v>
      </c>
      <c r="F58" s="129"/>
      <c r="G58" s="130">
        <v>2.2629000000000001</v>
      </c>
      <c r="H58" s="131">
        <v>-0.15840000000000001</v>
      </c>
      <c r="I58" s="132">
        <v>10</v>
      </c>
      <c r="J58" s="133">
        <v>15</v>
      </c>
      <c r="K58" s="134">
        <v>0</v>
      </c>
      <c r="L58" s="132"/>
      <c r="M58" s="135"/>
      <c r="N58" s="136"/>
      <c r="O58" s="233"/>
      <c r="P58" s="201" t="s">
        <v>85</v>
      </c>
    </row>
    <row r="59" spans="1:16" ht="13.5" thickBot="1">
      <c r="A59" s="44" t="str">
        <f t="shared" si="0"/>
        <v>16</v>
      </c>
      <c r="B59" s="617">
        <v>4.1159999999999997</v>
      </c>
      <c r="C59" s="602" t="s">
        <v>11</v>
      </c>
      <c r="D59" s="28">
        <f>B59+0.0001</f>
        <v>4.1160999999999994</v>
      </c>
      <c r="E59" s="29">
        <v>4</v>
      </c>
      <c r="F59" s="67"/>
      <c r="G59" s="68"/>
      <c r="H59" s="69"/>
      <c r="I59" s="70"/>
      <c r="J59" s="71"/>
      <c r="K59" s="72">
        <f>N59</f>
        <v>-1.41</v>
      </c>
      <c r="L59" s="70">
        <v>-1.41</v>
      </c>
      <c r="M59" s="73">
        <f>G60*SIN(RADIANS(L59))</f>
        <v>-7.7127110731454659E-2</v>
      </c>
      <c r="N59" s="74">
        <f>DEGREES(ASIN((M59+O59)/G60))</f>
        <v>-1.41</v>
      </c>
      <c r="O59" s="231">
        <v>0</v>
      </c>
      <c r="P59" s="200" t="s">
        <v>155</v>
      </c>
    </row>
    <row r="60" spans="1:16" ht="13.5" thickTop="1">
      <c r="A60" s="44" t="str">
        <f t="shared" si="0"/>
        <v/>
      </c>
      <c r="B60" s="617"/>
      <c r="C60" s="602"/>
      <c r="D60" s="28">
        <f>D59+0.0001</f>
        <v>4.1161999999999992</v>
      </c>
      <c r="E60" s="29">
        <f>D59</f>
        <v>4.1160999999999994</v>
      </c>
      <c r="F60" s="67"/>
      <c r="G60" s="68">
        <v>3.1343999999999999</v>
      </c>
      <c r="H60" s="69">
        <v>-0.19939999999999999</v>
      </c>
      <c r="I60" s="70">
        <v>-14.6</v>
      </c>
      <c r="J60" s="71">
        <v>15</v>
      </c>
      <c r="K60" s="76">
        <v>-6.4</v>
      </c>
      <c r="L60" s="70"/>
      <c r="M60" s="77"/>
      <c r="N60" s="78"/>
      <c r="O60" s="231"/>
      <c r="P60" s="201" t="s">
        <v>86</v>
      </c>
    </row>
    <row r="61" spans="1:16" ht="13.5" thickBot="1">
      <c r="A61" s="44" t="str">
        <f t="shared" si="0"/>
        <v>21</v>
      </c>
      <c r="B61" s="619">
        <v>4.1210000000000004</v>
      </c>
      <c r="C61" s="621" t="s">
        <v>11</v>
      </c>
      <c r="D61" s="117">
        <f>B61+0.0001</f>
        <v>4.1211000000000002</v>
      </c>
      <c r="E61" s="118">
        <v>4</v>
      </c>
      <c r="F61" s="119"/>
      <c r="G61" s="120"/>
      <c r="H61" s="121"/>
      <c r="I61" s="122"/>
      <c r="J61" s="123"/>
      <c r="K61" s="124">
        <f>N61</f>
        <v>-2.48</v>
      </c>
      <c r="L61" s="122">
        <v>-2.48</v>
      </c>
      <c r="M61" s="125">
        <f>G62*SIN(RADIANS(L61))</f>
        <v>-0.16247264074245896</v>
      </c>
      <c r="N61" s="126">
        <f>DEGREES(ASIN((M61+O61)/G62))</f>
        <v>-2.48</v>
      </c>
      <c r="O61" s="232">
        <v>0</v>
      </c>
      <c r="P61" s="200" t="s">
        <v>142</v>
      </c>
    </row>
    <row r="62" spans="1:16" ht="13.5" thickTop="1">
      <c r="A62" s="44" t="str">
        <f t="shared" si="0"/>
        <v/>
      </c>
      <c r="B62" s="620"/>
      <c r="C62" s="622"/>
      <c r="D62" s="304">
        <f>D61+0.0001</f>
        <v>4.1212</v>
      </c>
      <c r="E62" s="305">
        <f>D61</f>
        <v>4.1211000000000002</v>
      </c>
      <c r="F62" s="306"/>
      <c r="G62" s="307">
        <v>3.7547999999999999</v>
      </c>
      <c r="H62" s="308">
        <v>-0.69010000000000005</v>
      </c>
      <c r="I62" s="309">
        <v>-38.700000000000003</v>
      </c>
      <c r="J62" s="310">
        <v>17.5</v>
      </c>
      <c r="K62" s="311">
        <v>-9.2799999999999994</v>
      </c>
      <c r="L62" s="309"/>
      <c r="M62" s="312"/>
      <c r="N62" s="313"/>
      <c r="O62" s="314"/>
      <c r="P62" s="201" t="s">
        <v>87</v>
      </c>
    </row>
    <row r="63" spans="1:16" ht="13.5" thickBot="1">
      <c r="A63" s="44" t="str">
        <f t="shared" si="0"/>
        <v>26</v>
      </c>
      <c r="B63" s="617">
        <v>4.1260000000000003</v>
      </c>
      <c r="C63" s="602" t="s">
        <v>11</v>
      </c>
      <c r="D63" s="28">
        <f>B63+0.0001</f>
        <v>4.1261000000000001</v>
      </c>
      <c r="E63" s="29">
        <v>4</v>
      </c>
      <c r="F63" s="67"/>
      <c r="G63" s="68"/>
      <c r="H63" s="69"/>
      <c r="I63" s="70"/>
      <c r="J63" s="71"/>
      <c r="K63" s="72">
        <f>N63</f>
        <v>-2.8499999999999996</v>
      </c>
      <c r="L63" s="70">
        <v>-2.85</v>
      </c>
      <c r="M63" s="73">
        <f>G64*SIN(RADIANS(L63))</f>
        <v>-0.19666792220008927</v>
      </c>
      <c r="N63" s="74">
        <f>DEGREES(ASIN((M63+O63)/G64))</f>
        <v>-2.8499999999999996</v>
      </c>
      <c r="O63" s="231">
        <v>0</v>
      </c>
      <c r="P63" s="200" t="s">
        <v>156</v>
      </c>
    </row>
    <row r="64" spans="1:16" ht="13.5" thickTop="1">
      <c r="A64" s="44" t="str">
        <f t="shared" si="0"/>
        <v/>
      </c>
      <c r="B64" s="617"/>
      <c r="C64" s="602"/>
      <c r="D64" s="28">
        <f>D63+0.0001</f>
        <v>4.1261999999999999</v>
      </c>
      <c r="E64" s="29">
        <f>D63</f>
        <v>4.1261000000000001</v>
      </c>
      <c r="F64" s="67"/>
      <c r="G64" s="68">
        <v>3.9554</v>
      </c>
      <c r="H64" s="69">
        <v>-1.4336</v>
      </c>
      <c r="I64" s="70">
        <v>-62.9</v>
      </c>
      <c r="J64" s="71">
        <v>22.5</v>
      </c>
      <c r="K64" s="76">
        <v>-10.220000000000001</v>
      </c>
      <c r="L64" s="70"/>
      <c r="M64" s="77"/>
      <c r="N64" s="78"/>
      <c r="O64" s="231"/>
      <c r="P64" s="201" t="s">
        <v>88</v>
      </c>
    </row>
    <row r="65" spans="1:34" ht="13.5" thickBot="1">
      <c r="A65" s="44" t="str">
        <f t="shared" si="0"/>
        <v>31</v>
      </c>
      <c r="B65" s="619">
        <v>4.1310000000000002</v>
      </c>
      <c r="C65" s="621" t="s">
        <v>10</v>
      </c>
      <c r="D65" s="117">
        <f>B65+0.0001</f>
        <v>4.1311</v>
      </c>
      <c r="E65" s="118">
        <v>4</v>
      </c>
      <c r="F65" s="119"/>
      <c r="G65" s="120"/>
      <c r="H65" s="121"/>
      <c r="I65" s="122"/>
      <c r="J65" s="123"/>
      <c r="K65" s="124">
        <f>N65</f>
        <v>-3.02</v>
      </c>
      <c r="L65" s="122">
        <v>-3.02</v>
      </c>
      <c r="M65" s="125">
        <f>G66*SIN(RADIANS(L65))</f>
        <v>-0.21316165092433151</v>
      </c>
      <c r="N65" s="126">
        <f>DEGREES(ASIN((M65+O65)/G66))</f>
        <v>-3.02</v>
      </c>
      <c r="O65" s="232">
        <v>0</v>
      </c>
      <c r="P65" s="200" t="s">
        <v>157</v>
      </c>
    </row>
    <row r="66" spans="1:34" ht="14.25" thickTop="1" thickBot="1">
      <c r="A66" s="44" t="str">
        <f t="shared" si="0"/>
        <v/>
      </c>
      <c r="B66" s="625"/>
      <c r="C66" s="626"/>
      <c r="D66" s="234">
        <f>D65+0.0001</f>
        <v>4.1311999999999998</v>
      </c>
      <c r="E66" s="235">
        <f>D65</f>
        <v>4.1311</v>
      </c>
      <c r="F66" s="236"/>
      <c r="G66" s="237">
        <v>4.0460000000000003</v>
      </c>
      <c r="H66" s="238">
        <v>-2.0863999999999998</v>
      </c>
      <c r="I66" s="239">
        <v>-65</v>
      </c>
      <c r="J66" s="240">
        <v>30</v>
      </c>
      <c r="K66" s="241">
        <v>-10.64</v>
      </c>
      <c r="L66" s="239"/>
      <c r="M66" s="242"/>
      <c r="N66" s="243"/>
      <c r="O66" s="244"/>
      <c r="P66" s="201" t="s">
        <v>89</v>
      </c>
    </row>
    <row r="67" spans="1:34" ht="13.5" thickBot="1">
      <c r="A67" s="44" t="str">
        <f t="shared" si="0"/>
        <v>15</v>
      </c>
      <c r="B67" s="623">
        <v>5.1150000000000002</v>
      </c>
      <c r="C67" s="624" t="s">
        <v>11</v>
      </c>
      <c r="D67" s="245">
        <f>B67+0.0001</f>
        <v>5.1151</v>
      </c>
      <c r="E67" s="246">
        <v>5</v>
      </c>
      <c r="F67" s="247"/>
      <c r="G67" s="248"/>
      <c r="H67" s="249"/>
      <c r="I67" s="250"/>
      <c r="J67" s="251"/>
      <c r="K67" s="252">
        <f>N67</f>
        <v>-1.1700000000000002</v>
      </c>
      <c r="L67" s="250">
        <v>-1.17</v>
      </c>
      <c r="M67" s="253">
        <f>G68*SIN(RADIANS(L67))</f>
        <v>-6.0815750329553678E-2</v>
      </c>
      <c r="N67" s="254">
        <f>DEGREES(ASIN((M67+O67)/G68))</f>
        <v>-1.1700000000000002</v>
      </c>
      <c r="O67" s="255">
        <v>0</v>
      </c>
      <c r="P67" s="200" t="s">
        <v>158</v>
      </c>
    </row>
    <row r="68" spans="1:34" ht="13.5" thickTop="1">
      <c r="A68" s="44" t="str">
        <f t="shared" si="0"/>
        <v/>
      </c>
      <c r="B68" s="598"/>
      <c r="C68" s="600"/>
      <c r="D68" s="137">
        <f>D67+0.0001</f>
        <v>5.1151999999999997</v>
      </c>
      <c r="E68" s="138">
        <f>D67</f>
        <v>5.1151</v>
      </c>
      <c r="F68" s="139"/>
      <c r="G68" s="140">
        <v>2.9784000000000002</v>
      </c>
      <c r="H68" s="141">
        <v>-0.1547</v>
      </c>
      <c r="I68" s="142">
        <v>-9.6999999999999993</v>
      </c>
      <c r="J68" s="143">
        <v>15</v>
      </c>
      <c r="K68" s="144">
        <v>-5.6829999999999998</v>
      </c>
      <c r="L68" s="142"/>
      <c r="M68" s="145"/>
      <c r="N68" s="146"/>
      <c r="O68" s="256"/>
      <c r="P68" s="201" t="s">
        <v>90</v>
      </c>
    </row>
    <row r="69" spans="1:34" ht="13.5" thickBot="1">
      <c r="A69" s="44" t="str">
        <f t="shared" si="0"/>
        <v>20</v>
      </c>
      <c r="B69" s="601">
        <v>5.12</v>
      </c>
      <c r="C69" s="618" t="s">
        <v>11</v>
      </c>
      <c r="D69" s="28">
        <f>B69+0.0001</f>
        <v>5.1200999999999999</v>
      </c>
      <c r="E69" s="29">
        <v>5</v>
      </c>
      <c r="F69" s="67"/>
      <c r="G69" s="68"/>
      <c r="H69" s="69"/>
      <c r="I69" s="70"/>
      <c r="J69" s="71"/>
      <c r="K69" s="72">
        <f>N69</f>
        <v>-2.31</v>
      </c>
      <c r="L69" s="70">
        <v>-2.31</v>
      </c>
      <c r="M69" s="102">
        <f>G70*SIN(RADIANS(L69))</f>
        <v>-0.14754884865122783</v>
      </c>
      <c r="N69" s="103">
        <f>DEGREES(ASIN((M69+O69)/G70))</f>
        <v>-2.31</v>
      </c>
      <c r="O69" s="213">
        <v>0</v>
      </c>
      <c r="P69" s="200" t="s">
        <v>142</v>
      </c>
    </row>
    <row r="70" spans="1:34" ht="13.5" thickTop="1">
      <c r="A70" s="44" t="str">
        <f t="shared" si="0"/>
        <v/>
      </c>
      <c r="B70" s="601"/>
      <c r="C70" s="602"/>
      <c r="D70" s="28">
        <f>D69+0.0001</f>
        <v>5.1201999999999996</v>
      </c>
      <c r="E70" s="29">
        <f>D69</f>
        <v>5.1200999999999999</v>
      </c>
      <c r="F70" s="67"/>
      <c r="G70" s="68">
        <v>3.6606999999999998</v>
      </c>
      <c r="H70" s="69">
        <v>-0.56200000000000006</v>
      </c>
      <c r="I70" s="70">
        <v>-33.9</v>
      </c>
      <c r="J70" s="71">
        <v>17.5</v>
      </c>
      <c r="K70" s="76">
        <v>-8.85</v>
      </c>
      <c r="L70" s="70"/>
      <c r="M70" s="104"/>
      <c r="N70" s="105"/>
      <c r="O70" s="213"/>
      <c r="P70" s="201" t="s">
        <v>91</v>
      </c>
    </row>
    <row r="71" spans="1:34" ht="13.5" thickBot="1">
      <c r="A71" s="44" t="str">
        <f t="shared" si="0"/>
        <v>25</v>
      </c>
      <c r="B71" s="598">
        <v>5.125</v>
      </c>
      <c r="C71" s="599" t="s">
        <v>11</v>
      </c>
      <c r="D71" s="137">
        <f>B71+0.0001</f>
        <v>5.1250999999999998</v>
      </c>
      <c r="E71" s="138">
        <v>5</v>
      </c>
      <c r="F71" s="139"/>
      <c r="G71" s="140"/>
      <c r="H71" s="141"/>
      <c r="I71" s="142"/>
      <c r="J71" s="143"/>
      <c r="K71" s="147">
        <f>N71</f>
        <v>-2.8499999999999996</v>
      </c>
      <c r="L71" s="142">
        <v>-2.85</v>
      </c>
      <c r="M71" s="148">
        <f>G72*SIN(RADIANS(L71))</f>
        <v>-0.19658339586451257</v>
      </c>
      <c r="N71" s="149">
        <f>DEGREES(ASIN((M71+O71)/G72))</f>
        <v>-2.8499999999999996</v>
      </c>
      <c r="O71" s="256">
        <v>0</v>
      </c>
      <c r="P71" s="200" t="s">
        <v>159</v>
      </c>
      <c r="Q71" s="288" t="s">
        <v>97</v>
      </c>
      <c r="R71" s="258"/>
      <c r="S71" s="258">
        <v>0</v>
      </c>
      <c r="U71">
        <v>1</v>
      </c>
      <c r="V71">
        <v>1</v>
      </c>
      <c r="W71">
        <v>1</v>
      </c>
      <c r="X71">
        <v>1</v>
      </c>
      <c r="Y71">
        <v>1</v>
      </c>
      <c r="AC71">
        <v>0</v>
      </c>
      <c r="AH71">
        <v>1</v>
      </c>
    </row>
    <row r="72" spans="1:34" ht="13.5" thickTop="1">
      <c r="A72" s="44" t="str">
        <f t="shared" si="0"/>
        <v/>
      </c>
      <c r="B72" s="598"/>
      <c r="C72" s="600"/>
      <c r="D72" s="137">
        <f>D71+0.0001</f>
        <v>5.1251999999999995</v>
      </c>
      <c r="E72" s="138">
        <f>D71</f>
        <v>5.1250999999999998</v>
      </c>
      <c r="F72" s="139"/>
      <c r="G72" s="140">
        <v>3.9537</v>
      </c>
      <c r="H72" s="141">
        <v>-1.2826</v>
      </c>
      <c r="I72" s="142">
        <v>-58.1</v>
      </c>
      <c r="J72" s="143">
        <v>22.5</v>
      </c>
      <c r="K72" s="144">
        <v>-10.210000000000001</v>
      </c>
      <c r="L72" s="142"/>
      <c r="M72" s="145"/>
      <c r="N72" s="146"/>
      <c r="O72" s="256"/>
      <c r="P72" s="201" t="s">
        <v>92</v>
      </c>
      <c r="Q72" s="288" t="s">
        <v>98</v>
      </c>
      <c r="R72" s="258"/>
      <c r="S72" s="258">
        <v>3</v>
      </c>
      <c r="U72">
        <v>6</v>
      </c>
      <c r="V72">
        <v>7</v>
      </c>
      <c r="W72">
        <v>8</v>
      </c>
      <c r="X72">
        <v>9</v>
      </c>
      <c r="Y72">
        <v>10</v>
      </c>
      <c r="AC72">
        <v>12</v>
      </c>
      <c r="AH72">
        <v>11</v>
      </c>
    </row>
    <row r="73" spans="1:34" ht="13.5" thickBot="1">
      <c r="A73" s="44" t="str">
        <f t="shared" si="0"/>
        <v>30</v>
      </c>
      <c r="B73" s="601">
        <v>5.13</v>
      </c>
      <c r="C73" s="602" t="s">
        <v>10</v>
      </c>
      <c r="D73" s="28">
        <f>B73+0.0001</f>
        <v>5.1300999999999997</v>
      </c>
      <c r="E73" s="29">
        <v>5</v>
      </c>
      <c r="F73" s="67"/>
      <c r="G73" s="68"/>
      <c r="H73" s="69"/>
      <c r="I73" s="70"/>
      <c r="J73" s="71"/>
      <c r="K73" s="72">
        <f>N73</f>
        <v>-3.02</v>
      </c>
      <c r="L73" s="70">
        <v>-3.02</v>
      </c>
      <c r="M73" s="102">
        <f>G74*SIN(RADIANS(L73))</f>
        <v>-0.21316165092433151</v>
      </c>
      <c r="N73" s="103">
        <f>DEGREES(ASIN((M73+O73)/G74))</f>
        <v>-3.02</v>
      </c>
      <c r="O73" s="213">
        <v>0</v>
      </c>
      <c r="P73" s="200" t="s">
        <v>64</v>
      </c>
      <c r="R73" s="258"/>
    </row>
    <row r="74" spans="1:34" ht="13.5" thickTop="1">
      <c r="A74" s="44" t="str">
        <f t="shared" ref="A74" si="1">IF(B74="","",RIGHT(TEXT(B74,"#.000"),2))</f>
        <v/>
      </c>
      <c r="B74" s="601"/>
      <c r="C74" s="602"/>
      <c r="D74" s="28">
        <f>D73+0.0001</f>
        <v>5.1301999999999994</v>
      </c>
      <c r="E74" s="29">
        <f>D73</f>
        <v>5.1300999999999997</v>
      </c>
      <c r="F74" s="67"/>
      <c r="G74" s="68">
        <v>4.0460000000000003</v>
      </c>
      <c r="H74" s="69">
        <v>-1.9439</v>
      </c>
      <c r="I74" s="70">
        <v>-65</v>
      </c>
      <c r="J74" s="71">
        <v>30</v>
      </c>
      <c r="K74" s="76">
        <v>-10.64</v>
      </c>
      <c r="L74" s="70"/>
      <c r="M74" s="104"/>
      <c r="N74" s="105"/>
      <c r="O74" s="213"/>
      <c r="P74" s="201" t="s">
        <v>45</v>
      </c>
      <c r="R74" s="258"/>
      <c r="U74" t="s">
        <v>99</v>
      </c>
      <c r="AA74" t="s">
        <v>100</v>
      </c>
    </row>
    <row r="75" spans="1:34" s="42" customFormat="1" ht="13.5" thickBot="1">
      <c r="A75" s="44" t="str">
        <f>IF(B75="","",RIGHT(TEXT(B75,"#.000"),2))</f>
        <v/>
      </c>
      <c r="B75" s="259"/>
      <c r="C75" s="257"/>
      <c r="D75" s="260"/>
      <c r="E75" s="261"/>
      <c r="F75" s="262"/>
      <c r="G75" s="263"/>
      <c r="H75" s="264"/>
      <c r="I75" s="265"/>
      <c r="J75" s="266"/>
      <c r="K75" s="267"/>
      <c r="L75" s="265"/>
      <c r="M75" s="268"/>
      <c r="N75" s="269"/>
      <c r="O75" s="270"/>
      <c r="P75" s="287"/>
      <c r="Q75"/>
      <c r="R75" s="258" t="s">
        <v>101</v>
      </c>
      <c r="S75" t="s">
        <v>102</v>
      </c>
      <c r="T75" t="s">
        <v>103</v>
      </c>
      <c r="U75" t="s">
        <v>104</v>
      </c>
      <c r="V75" t="s">
        <v>105</v>
      </c>
      <c r="W75" t="s">
        <v>106</v>
      </c>
      <c r="X75" t="s">
        <v>107</v>
      </c>
      <c r="Y75" t="s">
        <v>108</v>
      </c>
      <c r="Z75" t="s">
        <v>109</v>
      </c>
      <c r="AA75" t="s">
        <v>110</v>
      </c>
      <c r="AB75" t="s">
        <v>111</v>
      </c>
      <c r="AC75" t="s">
        <v>112</v>
      </c>
      <c r="AD75" t="s">
        <v>113</v>
      </c>
      <c r="AE75"/>
      <c r="AF75"/>
    </row>
    <row r="76" spans="1:34" ht="13.5" thickBot="1">
      <c r="A76" s="44"/>
      <c r="B76" s="615">
        <v>1.214</v>
      </c>
      <c r="C76" s="616" t="s">
        <v>10</v>
      </c>
      <c r="D76" s="271">
        <f>B76+0.0001</f>
        <v>1.2141</v>
      </c>
      <c r="E76" s="272">
        <v>2</v>
      </c>
      <c r="F76" s="273"/>
      <c r="G76" s="274"/>
      <c r="H76" s="275"/>
      <c r="I76" s="276">
        <v>0</v>
      </c>
      <c r="J76" s="277">
        <v>0</v>
      </c>
      <c r="K76" s="278">
        <v>-19.850000000000001</v>
      </c>
      <c r="L76" s="276"/>
      <c r="M76" s="279"/>
      <c r="N76" s="280"/>
      <c r="O76" s="281"/>
      <c r="P76" s="282" t="s">
        <v>55</v>
      </c>
      <c r="Q76" s="44" t="str">
        <f t="shared" ref="Q76:Q81" si="2">IF(R76="","",RIGHT(TEXT(R76,"#.000"),2))</f>
        <v>14</v>
      </c>
      <c r="R76" s="258">
        <f>IF(B76="","",B76)</f>
        <v>1.214</v>
      </c>
      <c r="S76" t="str">
        <f t="shared" ref="S76:S121" si="3">IF($R76="","",INDEX($A$10:$O$137,MATCH($Q76,$A$10:$A$137,0)+S$71,S$72))</f>
        <v>1613 .6875Cb</v>
      </c>
      <c r="T76" t="str">
        <f>IF($R76="","",C76)</f>
        <v>1313 .6875Cb</v>
      </c>
      <c r="AA76">
        <f>IF($R76="","",AB76+AD76-AC76)</f>
        <v>-87.91</v>
      </c>
      <c r="AB76">
        <f>IF($R76="","",K76)</f>
        <v>-19.850000000000001</v>
      </c>
      <c r="AC76">
        <f>IF($R76="","",INDEX($A$10:$O$137,MATCH($Q76,$A$10:$A$137,0)+AC$71,AC$72))</f>
        <v>-0.94</v>
      </c>
      <c r="AD76">
        <v>-69</v>
      </c>
      <c r="AF76">
        <f>IF(X76="",0,X76)</f>
        <v>0</v>
      </c>
      <c r="AG76">
        <f>IF(Z76="",0,Z76)</f>
        <v>0</v>
      </c>
      <c r="AH76" s="597">
        <f>K76</f>
        <v>-19.850000000000001</v>
      </c>
    </row>
    <row r="77" spans="1:34" ht="13.5" thickTop="1">
      <c r="A77" s="44"/>
      <c r="B77" s="611"/>
      <c r="C77" s="613"/>
      <c r="D77" s="56">
        <f>D76+0.0001</f>
        <v>1.2141999999999999</v>
      </c>
      <c r="E77" s="57">
        <f>D76</f>
        <v>1.2141</v>
      </c>
      <c r="F77" s="58"/>
      <c r="G77" s="59">
        <v>2.8229529887190559</v>
      </c>
      <c r="H77" s="60">
        <v>-0.10996918460744008</v>
      </c>
      <c r="I77" s="61">
        <v>-4.9000000000000004</v>
      </c>
      <c r="J77" s="62">
        <v>20</v>
      </c>
      <c r="K77" s="63">
        <v>-4.9400000000000004</v>
      </c>
      <c r="L77" s="61"/>
      <c r="M77" s="64"/>
      <c r="N77" s="65"/>
      <c r="O77" s="66"/>
      <c r="P77" s="283" t="s">
        <v>31</v>
      </c>
      <c r="Q77" s="44" t="str">
        <f t="shared" si="2"/>
        <v/>
      </c>
      <c r="R77" s="258"/>
      <c r="S77" t="str">
        <f t="shared" si="3"/>
        <v/>
      </c>
      <c r="U77">
        <f>IF($R76="","",INDEX($A$10:$O$137,MATCH($Q76,$A$10:$A$137,0)+U$71,U$72))</f>
        <v>0</v>
      </c>
      <c r="V77">
        <f>IF($R76="","",INDEX($A$10:$O$137,MATCH($Q76,$A$10:$A$137,0)+V$71,V$72))</f>
        <v>2.8184</v>
      </c>
      <c r="W77">
        <f>IF($R76="","",INDEX($A$10:$O$137,MATCH($Q76,$A$10:$A$137,0)+W$71,W$72))</f>
        <v>-0.13109999999999999</v>
      </c>
      <c r="X77">
        <f>IF($R76="","",INDEX($A$10:$O$137,MATCH($Q76,$A$10:$A$137,0)+X$71,X$72))</f>
        <v>-4.9000000000000004</v>
      </c>
      <c r="Y77">
        <f>IF($R76="","",INDEX($A$10:$O$137,MATCH($Q76,$A$10:$A$137,0)+Y$71,Y$72))</f>
        <v>15</v>
      </c>
      <c r="Z77">
        <f>IF(OR(LEFT(T76,2)="13",LEFT(T76,2)="16"),Y77+5,"")</f>
        <v>20</v>
      </c>
      <c r="AF77">
        <f>IF(X77="",0,X77)</f>
        <v>-4.9000000000000004</v>
      </c>
      <c r="AG77">
        <f>IF(Z77="",0,Z77)</f>
        <v>20</v>
      </c>
      <c r="AH77">
        <f t="shared" ref="AH77:AH121" si="4">IF($R76="",K77,INDEX($A$10:$O$137,MATCH($Q76,$A$10:$A$137,0)+AH$71,AH$72))</f>
        <v>-4.9400000000000004</v>
      </c>
    </row>
    <row r="78" spans="1:34" ht="13.5" thickBot="1">
      <c r="A78" s="44"/>
      <c r="B78" s="617">
        <v>1.2190000000000001</v>
      </c>
      <c r="C78" s="602" t="s">
        <v>10</v>
      </c>
      <c r="D78" s="28">
        <f>B78+0.0001</f>
        <v>1.2191000000000001</v>
      </c>
      <c r="E78" s="29">
        <v>2</v>
      </c>
      <c r="F78" s="67"/>
      <c r="G78" s="68">
        <v>0</v>
      </c>
      <c r="H78" s="69">
        <v>0</v>
      </c>
      <c r="I78" s="70">
        <v>0</v>
      </c>
      <c r="J78" s="71">
        <v>0</v>
      </c>
      <c r="K78" s="72">
        <v>-16.28</v>
      </c>
      <c r="L78" s="70"/>
      <c r="M78" s="73"/>
      <c r="N78" s="74"/>
      <c r="O78" s="75"/>
      <c r="P78" s="284" t="s">
        <v>56</v>
      </c>
      <c r="Q78" s="44" t="str">
        <f t="shared" si="2"/>
        <v>19</v>
      </c>
      <c r="R78" s="258">
        <f>IF(B78="","",B78)</f>
        <v>1.2190000000000001</v>
      </c>
      <c r="S78" t="str">
        <f t="shared" si="3"/>
        <v>1613 .6875Cb</v>
      </c>
      <c r="T78" t="str">
        <f>IF($R78="","",C78)</f>
        <v>1313 .6875Cb</v>
      </c>
      <c r="AA78">
        <f>IF($R78="","",AB78+AD78-AC78)</f>
        <v>-83.17</v>
      </c>
      <c r="AB78">
        <f>IF($R78="","",K78)</f>
        <v>-16.28</v>
      </c>
      <c r="AC78">
        <f>IF($R78="","",INDEX($A$10:$O$137,MATCH($Q78,$A$10:$A$137,0)+AC$71,AC$72))</f>
        <v>-2.11</v>
      </c>
      <c r="AD78">
        <v>-69</v>
      </c>
      <c r="AF78">
        <f t="shared" ref="AF78:AF81" si="5">IF(X78="",0,X78)</f>
        <v>0</v>
      </c>
      <c r="AG78">
        <f t="shared" ref="AG78:AG121" si="6">IF(Z78="",0,Z78)</f>
        <v>0</v>
      </c>
      <c r="AH78">
        <f t="shared" si="4"/>
        <v>-16.28</v>
      </c>
    </row>
    <row r="79" spans="1:34" ht="13.5" thickTop="1">
      <c r="A79" s="44"/>
      <c r="B79" s="617"/>
      <c r="C79" s="602"/>
      <c r="D79" s="28">
        <f>D78+0.0001</f>
        <v>1.2192000000000001</v>
      </c>
      <c r="E79" s="29">
        <f>D78</f>
        <v>1.2191000000000001</v>
      </c>
      <c r="F79" s="67"/>
      <c r="G79" s="68">
        <v>3.5742231943672893</v>
      </c>
      <c r="H79" s="69">
        <v>-0.43311771214318628</v>
      </c>
      <c r="I79" s="70">
        <v>-29.1</v>
      </c>
      <c r="J79" s="71">
        <v>20</v>
      </c>
      <c r="K79" s="76">
        <v>-8.31</v>
      </c>
      <c r="L79" s="70"/>
      <c r="M79" s="77"/>
      <c r="N79" s="78"/>
      <c r="O79" s="75"/>
      <c r="P79" s="283" t="s">
        <v>39</v>
      </c>
      <c r="Q79" s="44" t="str">
        <f t="shared" si="2"/>
        <v/>
      </c>
      <c r="R79" s="258"/>
      <c r="S79" t="str">
        <f t="shared" si="3"/>
        <v/>
      </c>
      <c r="U79">
        <f>IF($R78="","",INDEX($A$10:$O$137,MATCH($Q78,$A$10:$A$137,0)+U$71,U$72))</f>
        <v>0</v>
      </c>
      <c r="V79">
        <f>IF($R78="","",INDEX($A$10:$O$137,MATCH($Q78,$A$10:$A$137,0)+V$71,V$72))</f>
        <v>3.5482999999999998</v>
      </c>
      <c r="W79">
        <f>IF($R78="","",INDEX($A$10:$O$137,MATCH($Q78,$A$10:$A$137,0)+W$71,W$72))</f>
        <v>-0.44890000000000002</v>
      </c>
      <c r="X79">
        <f>IF($R78="","",INDEX($A$10:$O$137,MATCH($Q78,$A$10:$A$137,0)+X$71,X$72))</f>
        <v>-29.1</v>
      </c>
      <c r="Y79">
        <f>IF($R78="","",INDEX($A$10:$O$137,MATCH($Q78,$A$10:$A$137,0)+Y$71,Y$72))</f>
        <v>15</v>
      </c>
      <c r="Z79">
        <f t="shared" ref="Z79" si="7">IF(OR(LEFT(T78,2)="13",LEFT(T78,2)="16"),Y79+5,"")</f>
        <v>20</v>
      </c>
      <c r="AF79">
        <f t="shared" si="5"/>
        <v>-29.1</v>
      </c>
      <c r="AG79">
        <f t="shared" si="6"/>
        <v>20</v>
      </c>
      <c r="AH79">
        <f t="shared" si="4"/>
        <v>-8.31</v>
      </c>
    </row>
    <row r="80" spans="1:34" ht="13.5" thickBot="1">
      <c r="A80" s="44"/>
      <c r="B80" s="611">
        <v>1.224</v>
      </c>
      <c r="C80" s="613" t="s">
        <v>10</v>
      </c>
      <c r="D80" s="56">
        <f>B80+0.0001</f>
        <v>1.2241</v>
      </c>
      <c r="E80" s="57">
        <v>2</v>
      </c>
      <c r="F80" s="58"/>
      <c r="G80" s="59">
        <v>0</v>
      </c>
      <c r="H80" s="60">
        <v>0</v>
      </c>
      <c r="I80" s="61">
        <v>0</v>
      </c>
      <c r="J80" s="62">
        <v>0</v>
      </c>
      <c r="K80" s="79">
        <v>-15.59</v>
      </c>
      <c r="L80" s="61"/>
      <c r="M80" s="80"/>
      <c r="N80" s="81"/>
      <c r="O80" s="66"/>
      <c r="P80" s="284" t="s">
        <v>57</v>
      </c>
      <c r="Q80" s="44" t="str">
        <f t="shared" si="2"/>
        <v>24</v>
      </c>
      <c r="R80" s="258">
        <f>IF(B80="","",B80)</f>
        <v>1.224</v>
      </c>
      <c r="S80" t="str">
        <f t="shared" si="3"/>
        <v>1613 .6875Cb</v>
      </c>
      <c r="T80" t="str">
        <f>IF($R80="","",C80)</f>
        <v>1313 .6875Cb</v>
      </c>
      <c r="AA80">
        <f>IF($R80="","",AB80+AD80-AC80)</f>
        <v>-81.78</v>
      </c>
      <c r="AB80">
        <f>IF($R80="","",K80)</f>
        <v>-15.59</v>
      </c>
      <c r="AC80">
        <f>IF($R80="","",INDEX($A$10:$O$137,MATCH($Q80,$A$10:$A$137,0)+AC$71,AC$72))</f>
        <v>-2.81</v>
      </c>
      <c r="AD80">
        <v>-69</v>
      </c>
      <c r="AF80">
        <f t="shared" si="5"/>
        <v>0</v>
      </c>
      <c r="AG80">
        <f t="shared" si="6"/>
        <v>0</v>
      </c>
      <c r="AH80">
        <f t="shared" si="4"/>
        <v>-15.59</v>
      </c>
    </row>
    <row r="81" spans="1:34" ht="14.25" thickTop="1" thickBot="1">
      <c r="A81" s="44"/>
      <c r="B81" s="612"/>
      <c r="C81" s="614"/>
      <c r="D81" s="327">
        <f>D80+0.0001</f>
        <v>1.2242</v>
      </c>
      <c r="E81" s="328">
        <f>D80</f>
        <v>1.2241</v>
      </c>
      <c r="F81" s="329"/>
      <c r="G81" s="330">
        <v>3.9742314193465282</v>
      </c>
      <c r="H81" s="331">
        <v>-1.1211610143278703</v>
      </c>
      <c r="I81" s="332">
        <v>-53.1</v>
      </c>
      <c r="J81" s="333">
        <v>25</v>
      </c>
      <c r="K81" s="334">
        <v>-10.1</v>
      </c>
      <c r="L81" s="332"/>
      <c r="M81" s="335"/>
      <c r="N81" s="336"/>
      <c r="O81" s="337"/>
      <c r="P81" s="283" t="s">
        <v>40</v>
      </c>
      <c r="Q81" s="44" t="str">
        <f t="shared" si="2"/>
        <v/>
      </c>
      <c r="R81" s="258"/>
      <c r="S81" t="str">
        <f t="shared" si="3"/>
        <v/>
      </c>
      <c r="U81">
        <f>IF($R80="","",INDEX($A$10:$O$137,MATCH($Q80,$A$10:$A$137,0)+U$71,U$72))</f>
        <v>0</v>
      </c>
      <c r="V81">
        <f>IF($R80="","",INDEX($A$10:$O$137,MATCH($Q80,$A$10:$A$137,0)+V$71,V$72))</f>
        <v>3.9310999999999998</v>
      </c>
      <c r="W81">
        <f>IF($R80="","",INDEX($A$10:$O$137,MATCH($Q80,$A$10:$A$137,0)+W$71,W$72))</f>
        <v>-1.1231</v>
      </c>
      <c r="X81">
        <f>IF($R80="","",INDEX($A$10:$O$137,MATCH($Q80,$A$10:$A$137,0)+X$71,X$72))</f>
        <v>-53.1</v>
      </c>
      <c r="Y81">
        <f>IF($R80="","",INDEX($A$10:$O$137,MATCH($Q80,$A$10:$A$137,0)+Y$71,Y$72))</f>
        <v>20</v>
      </c>
      <c r="Z81">
        <f t="shared" ref="Z81" si="8">IF(OR(LEFT(T80,2)="13",LEFT(T80,2)="16"),Y81+5,"")</f>
        <v>25</v>
      </c>
      <c r="AF81">
        <f t="shared" si="5"/>
        <v>-53.1</v>
      </c>
      <c r="AG81">
        <f t="shared" si="6"/>
        <v>25</v>
      </c>
      <c r="AH81">
        <f t="shared" si="4"/>
        <v>-10.1</v>
      </c>
    </row>
    <row r="82" spans="1:34" ht="13.5" thickBot="1">
      <c r="A82" s="44"/>
      <c r="B82" s="607">
        <v>2.2130000000000001</v>
      </c>
      <c r="C82" s="609" t="s">
        <v>10</v>
      </c>
      <c r="D82" s="289">
        <f>B82+0.0001</f>
        <v>2.2131000000000003</v>
      </c>
      <c r="E82" s="290">
        <v>3</v>
      </c>
      <c r="F82" s="291"/>
      <c r="G82" s="292">
        <v>0</v>
      </c>
      <c r="H82" s="293">
        <v>0</v>
      </c>
      <c r="I82" s="294">
        <v>0</v>
      </c>
      <c r="J82" s="295">
        <v>0</v>
      </c>
      <c r="K82" s="296">
        <v>-20.04</v>
      </c>
      <c r="L82" s="294"/>
      <c r="M82" s="297"/>
      <c r="N82" s="298"/>
      <c r="O82" s="299"/>
      <c r="P82" s="285" t="s">
        <v>59</v>
      </c>
      <c r="Q82" s="44" t="str">
        <f>IF(R82="","",RIGHT(TEXT(R82,"#.000"),2))</f>
        <v>13</v>
      </c>
      <c r="R82" s="258">
        <f>IF(B82="","",B82)</f>
        <v>2.2130000000000001</v>
      </c>
      <c r="S82" t="str">
        <f t="shared" si="3"/>
        <v>1613 .6875Cb</v>
      </c>
      <c r="T82" t="str">
        <f>IF($R82="","",C82)</f>
        <v>1313 .6875Cb</v>
      </c>
      <c r="AA82">
        <f>IF($R82="","",AB82+AD82-AC82)</f>
        <v>-88.38</v>
      </c>
      <c r="AB82">
        <f>IF($R82="","",K82)</f>
        <v>-20.04</v>
      </c>
      <c r="AC82">
        <f>IF($R82="","",INDEX($A$10:$O$137,MATCH($Q82,$A$10:$A$137,0)+AC$71,AC$72))</f>
        <v>-0.66</v>
      </c>
      <c r="AD82">
        <v>-69</v>
      </c>
      <c r="AF82">
        <f>IF(X82="",0,X82)</f>
        <v>0</v>
      </c>
      <c r="AG82">
        <f t="shared" si="6"/>
        <v>0</v>
      </c>
      <c r="AH82">
        <f t="shared" si="4"/>
        <v>-20.04</v>
      </c>
    </row>
    <row r="83" spans="1:34" ht="13.5" thickTop="1">
      <c r="A83" s="44"/>
      <c r="B83" s="608"/>
      <c r="C83" s="610"/>
      <c r="D83" s="92">
        <f>D82+0.0001</f>
        <v>2.2132000000000005</v>
      </c>
      <c r="E83" s="93">
        <f>D82</f>
        <v>2.2131000000000003</v>
      </c>
      <c r="F83" s="94"/>
      <c r="G83" s="95">
        <v>2.6177000000000001</v>
      </c>
      <c r="H83" s="96">
        <v>-0.11039187748253894</v>
      </c>
      <c r="I83" s="97">
        <v>0</v>
      </c>
      <c r="J83" s="98">
        <v>20</v>
      </c>
      <c r="K83" s="99">
        <v>-4.01</v>
      </c>
      <c r="L83" s="97"/>
      <c r="M83" s="100"/>
      <c r="N83" s="101"/>
      <c r="O83" s="215"/>
      <c r="P83" s="286" t="s">
        <v>49</v>
      </c>
      <c r="Q83" s="44" t="str">
        <f>IF(R83="","",RIGHT(TEXT(R83,"#.000"),2))</f>
        <v/>
      </c>
      <c r="R83" s="258"/>
      <c r="S83" t="str">
        <f t="shared" si="3"/>
        <v/>
      </c>
      <c r="U83">
        <f>IF($R82="","",INDEX($A$10:$O$137,MATCH($Q82,$A$10:$A$137,0)+U$71,U$72))</f>
        <v>0</v>
      </c>
      <c r="V83">
        <f>IF($R82="","",INDEX($A$10:$O$137,MATCH($Q82,$A$10:$A$137,0)+V$71,V$72))</f>
        <v>2.6177000000000001</v>
      </c>
      <c r="W83">
        <f>IF($R82="","",INDEX($A$10:$O$137,MATCH($Q82,$A$10:$A$137,0)+W$71,W$72))</f>
        <v>-0.13159999999999999</v>
      </c>
      <c r="X83">
        <f>IF($R82="","",INDEX($A$10:$O$137,MATCH($Q82,$A$10:$A$137,0)+X$71,X$72))</f>
        <v>0</v>
      </c>
      <c r="Y83">
        <f>IF($R82="","",INDEX($A$10:$O$137,MATCH($Q82,$A$10:$A$137,0)+Y$71,Y$72))</f>
        <v>15</v>
      </c>
      <c r="Z83">
        <f>IF(OR(LEFT(T82,2)="13",LEFT(T82,2)="16"),Y83+5,"")</f>
        <v>20</v>
      </c>
      <c r="AF83">
        <f>IF(X83="",0,X83)</f>
        <v>0</v>
      </c>
      <c r="AG83">
        <f t="shared" si="6"/>
        <v>20</v>
      </c>
      <c r="AH83">
        <f t="shared" si="4"/>
        <v>-4.01</v>
      </c>
    </row>
    <row r="84" spans="1:34" ht="13.5" thickBot="1">
      <c r="A84" s="44"/>
      <c r="B84" s="601">
        <v>2.218</v>
      </c>
      <c r="C84" s="602" t="s">
        <v>10</v>
      </c>
      <c r="D84" s="28">
        <f>B84+0.0001</f>
        <v>2.2181000000000002</v>
      </c>
      <c r="E84" s="29">
        <v>3</v>
      </c>
      <c r="F84" s="67"/>
      <c r="G84" s="68">
        <v>0</v>
      </c>
      <c r="H84" s="69">
        <v>0</v>
      </c>
      <c r="I84" s="70">
        <v>0</v>
      </c>
      <c r="J84" s="71">
        <v>0</v>
      </c>
      <c r="K84" s="72">
        <v>-16.59</v>
      </c>
      <c r="L84" s="70"/>
      <c r="M84" s="102"/>
      <c r="N84" s="103"/>
      <c r="O84" s="213"/>
      <c r="P84" s="285" t="s">
        <v>58</v>
      </c>
      <c r="Q84" s="44" t="str">
        <f>IF(R84="","",RIGHT(TEXT(R84,"#.000"),2))</f>
        <v>18</v>
      </c>
      <c r="R84" s="258">
        <f>IF(B84="","",B84)</f>
        <v>2.218</v>
      </c>
      <c r="S84" t="str">
        <f t="shared" si="3"/>
        <v>1613 .6875Cb</v>
      </c>
      <c r="T84" t="str">
        <f>IF($R84="","",C84)</f>
        <v>1313 .6875Cb</v>
      </c>
      <c r="AA84">
        <f>IF($R84="","",AB84+AD84-AC84)</f>
        <v>-83.7</v>
      </c>
      <c r="AB84">
        <f>IF($R84="","",K84)</f>
        <v>-16.59</v>
      </c>
      <c r="AC84">
        <f>IF($R84="","",INDEX($A$10:$O$137,MATCH($Q84,$A$10:$A$137,0)+AC$71,AC$72))</f>
        <v>-1.89</v>
      </c>
      <c r="AD84">
        <v>-69</v>
      </c>
      <c r="AF84">
        <f>IF(X84="",0,X84)</f>
        <v>0</v>
      </c>
      <c r="AG84">
        <f t="shared" si="6"/>
        <v>0</v>
      </c>
      <c r="AH84">
        <f t="shared" si="4"/>
        <v>-16.59</v>
      </c>
    </row>
    <row r="85" spans="1:34" ht="13.5" thickTop="1">
      <c r="A85" s="44"/>
      <c r="B85" s="601"/>
      <c r="C85" s="602"/>
      <c r="D85" s="28">
        <f>D84+0.0001</f>
        <v>2.2182000000000004</v>
      </c>
      <c r="E85" s="29">
        <f>D84</f>
        <v>2.2181000000000002</v>
      </c>
      <c r="F85" s="67"/>
      <c r="G85" s="68">
        <v>3.4438350002744222</v>
      </c>
      <c r="H85" s="69">
        <v>-0.33014435948268539</v>
      </c>
      <c r="I85" s="70">
        <v>-24.3</v>
      </c>
      <c r="J85" s="71">
        <v>20</v>
      </c>
      <c r="K85" s="76">
        <v>-7.74</v>
      </c>
      <c r="L85" s="70"/>
      <c r="M85" s="104"/>
      <c r="N85" s="105"/>
      <c r="O85" s="213"/>
      <c r="P85" s="286" t="s">
        <v>50</v>
      </c>
      <c r="Q85" s="44" t="str">
        <f>IF(R85="","",RIGHT(TEXT(R85,"#.000"),2))</f>
        <v/>
      </c>
      <c r="R85" s="258"/>
      <c r="S85" t="str">
        <f t="shared" si="3"/>
        <v/>
      </c>
      <c r="U85">
        <f>IF($R84="","",INDEX($A$10:$O$137,MATCH($Q84,$A$10:$A$137,0)+U$71,U$72))</f>
        <v>0</v>
      </c>
      <c r="V85">
        <f>IF($R84="","",INDEX($A$10:$O$137,MATCH($Q84,$A$10:$A$137,0)+V$71,V$72))</f>
        <v>3.4218999999999999</v>
      </c>
      <c r="W85">
        <f>IF($R84="","",INDEX($A$10:$O$137,MATCH($Q84,$A$10:$A$137,0)+W$71,W$72))</f>
        <v>-0.3478</v>
      </c>
      <c r="X85">
        <f>IF($R84="","",INDEX($A$10:$O$137,MATCH($Q84,$A$10:$A$137,0)+X$71,X$72))</f>
        <v>-24.3</v>
      </c>
      <c r="Y85">
        <f>IF($R84="","",INDEX($A$10:$O$137,MATCH($Q84,$A$10:$A$137,0)+Y$71,Y$72))</f>
        <v>15</v>
      </c>
      <c r="Z85">
        <f>IF(OR(LEFT(T84,2)="13",LEFT(T84,2)="16"),Y85+5,"")</f>
        <v>20</v>
      </c>
      <c r="AF85">
        <f>IF(X85="",0,X85)</f>
        <v>-24.3</v>
      </c>
      <c r="AG85">
        <f t="shared" si="6"/>
        <v>20</v>
      </c>
      <c r="AH85">
        <f t="shared" si="4"/>
        <v>-7.74</v>
      </c>
    </row>
    <row r="86" spans="1:34" ht="13.5" thickBot="1">
      <c r="A86" s="44"/>
      <c r="B86" s="603">
        <v>2.2229999999999999</v>
      </c>
      <c r="C86" s="605" t="s">
        <v>10</v>
      </c>
      <c r="D86" s="82">
        <f>B86+0.0001</f>
        <v>2.2231000000000001</v>
      </c>
      <c r="E86" s="83">
        <v>3</v>
      </c>
      <c r="F86" s="84"/>
      <c r="G86" s="85">
        <v>0</v>
      </c>
      <c r="H86" s="86">
        <v>0</v>
      </c>
      <c r="I86" s="87">
        <v>0</v>
      </c>
      <c r="J86" s="88">
        <v>0</v>
      </c>
      <c r="K86" s="89">
        <v>-15.64</v>
      </c>
      <c r="L86" s="87"/>
      <c r="M86" s="90"/>
      <c r="N86" s="91"/>
      <c r="O86" s="214"/>
      <c r="P86" s="285" t="s">
        <v>60</v>
      </c>
      <c r="Q86" s="44" t="str">
        <f t="shared" ref="Q86:Q109" si="9">IF(R86="","",RIGHT(TEXT(R86,"#.000"),2))</f>
        <v>23</v>
      </c>
      <c r="R86" s="258">
        <f t="shared" ref="R86" si="10">IF(B86="","",B86)</f>
        <v>2.2229999999999999</v>
      </c>
      <c r="S86" t="str">
        <f t="shared" si="3"/>
        <v>1613 .6875Cb</v>
      </c>
      <c r="T86" t="str">
        <f>IF($R86="","",C86)</f>
        <v>1313 .6875Cb</v>
      </c>
      <c r="AA86">
        <f t="shared" ref="AA86" si="11">IF($R86="","",AB86+AD86-AC86)</f>
        <v>-81.91</v>
      </c>
      <c r="AB86">
        <f>IF($R86="","",K86)</f>
        <v>-15.64</v>
      </c>
      <c r="AC86">
        <f>IF($R86="","",INDEX($A$10:$O$137,MATCH($Q86,$A$10:$A$137,0)+AC$71,AC$72))</f>
        <v>-2.73</v>
      </c>
      <c r="AD86">
        <v>-69</v>
      </c>
      <c r="AF86">
        <f t="shared" ref="AF86:AF109" si="12">IF(X86="",0,X86)</f>
        <v>0</v>
      </c>
      <c r="AG86">
        <f t="shared" si="6"/>
        <v>0</v>
      </c>
      <c r="AH86">
        <f t="shared" si="4"/>
        <v>-15.64</v>
      </c>
    </row>
    <row r="87" spans="1:34" ht="14.25" thickTop="1" thickBot="1">
      <c r="A87" s="44"/>
      <c r="B87" s="604"/>
      <c r="C87" s="606"/>
      <c r="D87" s="316">
        <f>D86+0.0001</f>
        <v>2.2232000000000003</v>
      </c>
      <c r="E87" s="317">
        <f>D86</f>
        <v>2.2231000000000001</v>
      </c>
      <c r="F87" s="318"/>
      <c r="G87" s="319">
        <v>3.9323703293085632</v>
      </c>
      <c r="H87" s="320">
        <v>-0.96719794537290538</v>
      </c>
      <c r="I87" s="321">
        <v>-48.3</v>
      </c>
      <c r="J87" s="322">
        <v>25</v>
      </c>
      <c r="K87" s="323">
        <v>-9.92</v>
      </c>
      <c r="L87" s="321"/>
      <c r="M87" s="324"/>
      <c r="N87" s="325"/>
      <c r="O87" s="326"/>
      <c r="P87" s="286" t="s">
        <v>51</v>
      </c>
      <c r="Q87" s="44" t="str">
        <f t="shared" si="9"/>
        <v/>
      </c>
      <c r="R87" s="258"/>
      <c r="S87" t="str">
        <f t="shared" si="3"/>
        <v/>
      </c>
      <c r="U87">
        <f>IF($R86="","",INDEX($A$10:$O$137,MATCH($Q86,$A$10:$A$137,0)+U$71,U$72))</f>
        <v>0</v>
      </c>
      <c r="V87">
        <f>IF($R86="","",INDEX($A$10:$O$137,MATCH($Q86,$A$10:$A$137,0)+V$71,V$72))</f>
        <v>3.8921000000000001</v>
      </c>
      <c r="W87">
        <f>IF($R86="","",INDEX($A$10:$O$137,MATCH($Q86,$A$10:$A$137,0)+W$71,W$72))</f>
        <v>-0.97260000000000002</v>
      </c>
      <c r="X87">
        <f>IF($R86="","",INDEX($A$10:$O$137,MATCH($Q86,$A$10:$A$137,0)+X$71,X$72))</f>
        <v>-48.3</v>
      </c>
      <c r="Y87">
        <f>IF($R86="","",INDEX($A$10:$O$137,MATCH($Q86,$A$10:$A$137,0)+Y$71,Y$72))</f>
        <v>20</v>
      </c>
      <c r="Z87">
        <f t="shared" ref="Z87" si="13">IF(OR(LEFT(T86,2)="13",LEFT(T86,2)="16"),Y87+5,"")</f>
        <v>25</v>
      </c>
      <c r="AF87">
        <f t="shared" si="12"/>
        <v>-48.3</v>
      </c>
      <c r="AG87">
        <f t="shared" si="6"/>
        <v>25</v>
      </c>
      <c r="AH87">
        <f t="shared" si="4"/>
        <v>-9.92</v>
      </c>
    </row>
    <row r="88" spans="1:34" ht="13.5" thickBot="1">
      <c r="A88" s="44"/>
      <c r="B88" s="652">
        <v>3.2120000000000002</v>
      </c>
      <c r="C88" s="635" t="s">
        <v>10</v>
      </c>
      <c r="D88" s="202">
        <f>B88+0.0001</f>
        <v>3.2121000000000004</v>
      </c>
      <c r="E88" s="203">
        <v>4</v>
      </c>
      <c r="F88" s="204"/>
      <c r="G88" s="205">
        <v>0</v>
      </c>
      <c r="H88" s="206">
        <v>0</v>
      </c>
      <c r="I88" s="207">
        <v>0</v>
      </c>
      <c r="J88" s="208">
        <v>0</v>
      </c>
      <c r="K88" s="209">
        <v>-21.16</v>
      </c>
      <c r="L88" s="207"/>
      <c r="M88" s="210"/>
      <c r="N88" s="211"/>
      <c r="O88" s="212"/>
      <c r="P88" s="285" t="s">
        <v>61</v>
      </c>
      <c r="Q88" s="44" t="str">
        <f t="shared" si="9"/>
        <v>12</v>
      </c>
      <c r="R88" s="258">
        <f t="shared" ref="R88" si="14">IF(B88="","",B88)</f>
        <v>3.2120000000000002</v>
      </c>
      <c r="S88" t="str">
        <f t="shared" si="3"/>
        <v>1313 .6875Cb</v>
      </c>
      <c r="T88" t="str">
        <f>IF($R88="","",C88)</f>
        <v>1313 .6875Cb</v>
      </c>
      <c r="AA88">
        <f t="shared" ref="AA88" si="15">IF($R88="","",AB88+AD88-AC88)</f>
        <v>-107.16</v>
      </c>
      <c r="AB88">
        <f>IF($R88="","",K88)</f>
        <v>-21.16</v>
      </c>
      <c r="AC88">
        <f>IF($R88="","",INDEX($A$10:$O$137,MATCH($Q88,$A$10:$A$137,0)+AC$71,AC$72))</f>
        <v>0</v>
      </c>
      <c r="AD88">
        <v>-86</v>
      </c>
      <c r="AF88">
        <f t="shared" si="12"/>
        <v>0</v>
      </c>
      <c r="AG88">
        <f t="shared" si="6"/>
        <v>0</v>
      </c>
      <c r="AH88">
        <f t="shared" si="4"/>
        <v>-21.16</v>
      </c>
    </row>
    <row r="89" spans="1:34" ht="13.5" thickTop="1">
      <c r="A89" s="44"/>
      <c r="B89" s="653"/>
      <c r="C89" s="651"/>
      <c r="D89" s="260">
        <f>D88+0.0001</f>
        <v>3.2122000000000006</v>
      </c>
      <c r="E89" s="261">
        <f>D88</f>
        <v>3.2121000000000004</v>
      </c>
      <c r="F89" s="262"/>
      <c r="G89" s="263">
        <v>2.459095253942031</v>
      </c>
      <c r="H89" s="264">
        <v>-0.13807772092752532</v>
      </c>
      <c r="I89" s="265">
        <v>5</v>
      </c>
      <c r="J89" s="266">
        <v>20</v>
      </c>
      <c r="K89" s="267">
        <v>0</v>
      </c>
      <c r="L89" s="265"/>
      <c r="M89" s="268"/>
      <c r="N89" s="269"/>
      <c r="O89" s="360"/>
      <c r="P89" s="286" t="s">
        <v>42</v>
      </c>
      <c r="Q89" s="44" t="str">
        <f t="shared" si="9"/>
        <v/>
      </c>
      <c r="R89" s="258"/>
      <c r="S89" t="str">
        <f t="shared" si="3"/>
        <v/>
      </c>
      <c r="U89">
        <f>IF($R88="","",INDEX($A$10:$O$137,MATCH($Q88,$A$10:$A$137,0)+U$71,U$72))</f>
        <v>0</v>
      </c>
      <c r="V89">
        <f>IF($R88="","",INDEX($A$10:$O$137,MATCH($Q88,$A$10:$A$137,0)+V$71,V$72))</f>
        <v>2.4597000000000002</v>
      </c>
      <c r="W89">
        <f>IF($R88="","",INDEX($A$10:$O$137,MATCH($Q88,$A$10:$A$137,0)+W$71,W$72))</f>
        <v>-0.1082</v>
      </c>
      <c r="X89">
        <f>IF($R88="","",INDEX($A$10:$O$137,MATCH($Q88,$A$10:$A$137,0)+X$71,X$72))</f>
        <v>5</v>
      </c>
      <c r="Y89">
        <f>IF($R88="","",INDEX($A$10:$O$137,MATCH($Q88,$A$10:$A$137,0)+Y$71,Y$72))</f>
        <v>15</v>
      </c>
      <c r="Z89">
        <f t="shared" ref="Z89" si="16">IF(OR(LEFT(T88,2)="13",LEFT(T88,2)="16"),Y89+5,"")</f>
        <v>20</v>
      </c>
      <c r="AF89">
        <f t="shared" si="12"/>
        <v>5</v>
      </c>
      <c r="AG89">
        <f t="shared" si="6"/>
        <v>20</v>
      </c>
      <c r="AH89">
        <f t="shared" si="4"/>
        <v>0</v>
      </c>
    </row>
    <row r="90" spans="1:34" ht="13.5" thickBot="1">
      <c r="A90" s="44"/>
      <c r="B90" s="628">
        <v>3.2170000000000001</v>
      </c>
      <c r="C90" s="630" t="s">
        <v>10</v>
      </c>
      <c r="D90" s="40">
        <f>B90+0.0001</f>
        <v>3.2171000000000003</v>
      </c>
      <c r="E90" s="41">
        <v>4</v>
      </c>
      <c r="F90" s="106"/>
      <c r="G90" s="107">
        <v>0</v>
      </c>
      <c r="H90" s="108">
        <v>0</v>
      </c>
      <c r="I90" s="109">
        <v>0</v>
      </c>
      <c r="J90" s="110">
        <v>0</v>
      </c>
      <c r="K90" s="114">
        <v>-16.989999999999998</v>
      </c>
      <c r="L90" s="109"/>
      <c r="M90" s="115"/>
      <c r="N90" s="116"/>
      <c r="O90" s="227"/>
      <c r="P90" s="285" t="s">
        <v>61</v>
      </c>
      <c r="Q90" s="44" t="str">
        <f t="shared" si="9"/>
        <v>17</v>
      </c>
      <c r="R90" s="258">
        <f t="shared" ref="R90" si="17">IF(B90="","",B90)</f>
        <v>3.2170000000000001</v>
      </c>
      <c r="S90" t="str">
        <f t="shared" si="3"/>
        <v>1613 .6875Cb</v>
      </c>
      <c r="T90" t="str">
        <f>IF($R90="","",C90)</f>
        <v>1313 .6875Cb</v>
      </c>
      <c r="AA90">
        <f t="shared" ref="AA90" si="18">IF($R90="","",AB90+AD90-AC90)</f>
        <v>-101.33</v>
      </c>
      <c r="AB90">
        <f>IF($R90="","",K90)</f>
        <v>-16.989999999999998</v>
      </c>
      <c r="AC90">
        <f>IF($R90="","",INDEX($A$10:$O$137,MATCH($Q90,$A$10:$A$137,0)+AC$71,AC$72))</f>
        <v>-1.66</v>
      </c>
      <c r="AD90">
        <v>-86</v>
      </c>
      <c r="AF90">
        <f t="shared" si="12"/>
        <v>0</v>
      </c>
      <c r="AG90">
        <f t="shared" si="6"/>
        <v>0</v>
      </c>
      <c r="AH90">
        <f t="shared" si="4"/>
        <v>-16.989999999999998</v>
      </c>
    </row>
    <row r="91" spans="1:34" ht="13.5" thickTop="1">
      <c r="A91" s="44"/>
      <c r="B91" s="628"/>
      <c r="C91" s="630"/>
      <c r="D91" s="40">
        <f>D90+0.0001</f>
        <v>3.2172000000000005</v>
      </c>
      <c r="E91" s="41">
        <f>D90</f>
        <v>3.2171000000000003</v>
      </c>
      <c r="F91" s="106"/>
      <c r="G91" s="107">
        <v>3.3007052255083353</v>
      </c>
      <c r="H91" s="108">
        <v>-0.24915578710217379</v>
      </c>
      <c r="I91" s="109">
        <v>-19.399999999999999</v>
      </c>
      <c r="J91" s="110">
        <v>20</v>
      </c>
      <c r="K91" s="111">
        <v>-7.09</v>
      </c>
      <c r="L91" s="109"/>
      <c r="M91" s="112"/>
      <c r="N91" s="113"/>
      <c r="O91" s="227"/>
      <c r="P91" s="286" t="s">
        <v>42</v>
      </c>
      <c r="Q91" s="44" t="str">
        <f t="shared" si="9"/>
        <v/>
      </c>
      <c r="R91" s="258"/>
      <c r="S91" t="str">
        <f t="shared" si="3"/>
        <v/>
      </c>
      <c r="U91">
        <f>IF($R90="","",INDEX($A$10:$O$137,MATCH($Q90,$A$10:$A$137,0)+U$71,U$72))</f>
        <v>0</v>
      </c>
      <c r="V91">
        <f>IF($R90="","",INDEX($A$10:$O$137,MATCH($Q90,$A$10:$A$137,0)+V$71,V$72))</f>
        <v>3.2829999999999999</v>
      </c>
      <c r="W91">
        <f>IF($R90="","",INDEX($A$10:$O$137,MATCH($Q90,$A$10:$A$137,0)+W$71,W$72))</f>
        <v>-0.2641</v>
      </c>
      <c r="X91">
        <f>IF($R90="","",INDEX($A$10:$O$137,MATCH($Q90,$A$10:$A$137,0)+X$71,X$72))</f>
        <v>-19.399999999999999</v>
      </c>
      <c r="Y91">
        <f>IF($R90="","",INDEX($A$10:$O$137,MATCH($Q90,$A$10:$A$137,0)+Y$71,Y$72))</f>
        <v>15</v>
      </c>
      <c r="Z91">
        <f t="shared" ref="Z91" si="19">IF(OR(LEFT(T90,2)="13",LEFT(T90,2)="16"),Y91+5,"")</f>
        <v>20</v>
      </c>
      <c r="AF91">
        <f t="shared" si="12"/>
        <v>-19.399999999999999</v>
      </c>
      <c r="AG91">
        <f t="shared" si="6"/>
        <v>20</v>
      </c>
      <c r="AH91">
        <f t="shared" si="4"/>
        <v>-7.09</v>
      </c>
    </row>
    <row r="92" spans="1:34" ht="13.5" thickBot="1">
      <c r="A92" s="44"/>
      <c r="B92" s="601">
        <v>3.222</v>
      </c>
      <c r="C92" s="602" t="s">
        <v>10</v>
      </c>
      <c r="D92" s="28">
        <f>B92+0.0001</f>
        <v>3.2221000000000002</v>
      </c>
      <c r="E92" s="29">
        <v>4</v>
      </c>
      <c r="F92" s="67"/>
      <c r="G92" s="68">
        <v>0</v>
      </c>
      <c r="H92" s="69">
        <v>0</v>
      </c>
      <c r="I92" s="70">
        <v>0</v>
      </c>
      <c r="J92" s="71">
        <v>0</v>
      </c>
      <c r="K92" s="72">
        <v>-15.73</v>
      </c>
      <c r="L92" s="70"/>
      <c r="M92" s="102"/>
      <c r="N92" s="103"/>
      <c r="O92" s="213"/>
      <c r="P92" s="285" t="s">
        <v>62</v>
      </c>
      <c r="Q92" s="44" t="str">
        <f t="shared" si="9"/>
        <v>22</v>
      </c>
      <c r="R92" s="258">
        <f t="shared" ref="R92" si="20">IF(B92="","",B92)</f>
        <v>3.222</v>
      </c>
      <c r="S92" t="str">
        <f t="shared" si="3"/>
        <v>1613 .6875Cb</v>
      </c>
      <c r="T92" t="str">
        <f>IF($R92="","",C92)</f>
        <v>1313 .6875Cb</v>
      </c>
      <c r="AA92">
        <f t="shared" ref="AA92" si="21">IF($R92="","",AB92+AD92-AC92)</f>
        <v>-99.100000000000009</v>
      </c>
      <c r="AB92">
        <f>IF($R92="","",K92)</f>
        <v>-15.73</v>
      </c>
      <c r="AC92">
        <f>IF($R92="","",INDEX($A$10:$O$137,MATCH($Q92,$A$10:$A$137,0)+AC$71,AC$72))</f>
        <v>-2.63</v>
      </c>
      <c r="AD92">
        <v>-86</v>
      </c>
      <c r="AF92">
        <f t="shared" si="12"/>
        <v>0</v>
      </c>
      <c r="AG92">
        <f t="shared" si="6"/>
        <v>0</v>
      </c>
      <c r="AH92">
        <f t="shared" si="4"/>
        <v>-15.73</v>
      </c>
    </row>
    <row r="93" spans="1:34" ht="13.5" thickTop="1">
      <c r="A93" s="44"/>
      <c r="B93" s="601"/>
      <c r="C93" s="602"/>
      <c r="D93" s="28">
        <f>D92+0.0001</f>
        <v>3.2222000000000004</v>
      </c>
      <c r="E93" s="29">
        <f>D92</f>
        <v>3.2221000000000002</v>
      </c>
      <c r="F93" s="67"/>
      <c r="G93" s="68">
        <v>3.87142677184469</v>
      </c>
      <c r="H93" s="69">
        <v>-0.82215154571422489</v>
      </c>
      <c r="I93" s="70">
        <v>-43.5</v>
      </c>
      <c r="J93" s="71">
        <v>25</v>
      </c>
      <c r="K93" s="76">
        <v>-9.65</v>
      </c>
      <c r="L93" s="70"/>
      <c r="M93" s="104"/>
      <c r="N93" s="105"/>
      <c r="O93" s="213"/>
      <c r="P93" s="286" t="s">
        <v>43</v>
      </c>
      <c r="Q93" s="44" t="str">
        <f t="shared" si="9"/>
        <v/>
      </c>
      <c r="R93" s="258"/>
      <c r="S93" t="str">
        <f t="shared" si="3"/>
        <v/>
      </c>
      <c r="U93">
        <f>IF($R92="","",INDEX($A$10:$O$137,MATCH($Q92,$A$10:$A$137,0)+U$71,U$72))</f>
        <v>0</v>
      </c>
      <c r="V93">
        <f>IF($R92="","",INDEX($A$10:$O$137,MATCH($Q92,$A$10:$A$137,0)+V$71,V$72))</f>
        <v>3.8342999999999998</v>
      </c>
      <c r="W93">
        <f>IF($R92="","",INDEX($A$10:$O$137,MATCH($Q92,$A$10:$A$137,0)+W$71,W$72))</f>
        <v>-0.82650000000000001</v>
      </c>
      <c r="X93">
        <f>IF($R92="","",INDEX($A$10:$O$137,MATCH($Q92,$A$10:$A$137,0)+X$71,X$72))</f>
        <v>-43.5</v>
      </c>
      <c r="Y93">
        <f>IF($R92="","",INDEX($A$10:$O$137,MATCH($Q92,$A$10:$A$137,0)+Y$71,Y$72))</f>
        <v>20</v>
      </c>
      <c r="Z93">
        <f t="shared" ref="Z93" si="22">IF(OR(LEFT(T92,2)="13",LEFT(T92,2)="16"),Y93+5,"")</f>
        <v>25</v>
      </c>
      <c r="AF93">
        <f t="shared" si="12"/>
        <v>-43.5</v>
      </c>
      <c r="AG93">
        <f t="shared" si="6"/>
        <v>25</v>
      </c>
      <c r="AH93">
        <f t="shared" si="4"/>
        <v>-9.65</v>
      </c>
    </row>
    <row r="94" spans="1:34" ht="13.5" thickBot="1">
      <c r="A94" s="44"/>
      <c r="B94" s="628">
        <v>3.2269999999999999</v>
      </c>
      <c r="C94" s="630" t="s">
        <v>10</v>
      </c>
      <c r="D94" s="40">
        <f>B94+0.0001</f>
        <v>3.2271000000000001</v>
      </c>
      <c r="E94" s="41">
        <v>4</v>
      </c>
      <c r="F94" s="106"/>
      <c r="G94" s="107">
        <v>0</v>
      </c>
      <c r="H94" s="108">
        <v>0</v>
      </c>
      <c r="I94" s="109">
        <v>0</v>
      </c>
      <c r="J94" s="110">
        <v>0</v>
      </c>
      <c r="K94" s="114">
        <v>-15.55</v>
      </c>
      <c r="L94" s="109"/>
      <c r="M94" s="115"/>
      <c r="N94" s="116"/>
      <c r="O94" s="227"/>
      <c r="P94" s="285" t="s">
        <v>63</v>
      </c>
      <c r="Q94" s="44" t="str">
        <f t="shared" si="9"/>
        <v>27</v>
      </c>
      <c r="R94" s="258">
        <f t="shared" ref="R94" si="23">IF(B94="","",B94)</f>
        <v>3.2269999999999999</v>
      </c>
      <c r="S94" t="str">
        <f t="shared" si="3"/>
        <v>1613 .6875Cb</v>
      </c>
      <c r="T94" t="str">
        <f>IF($R94="","",C94)</f>
        <v>1313 .6875Cb</v>
      </c>
      <c r="AA94">
        <f t="shared" ref="AA94" si="24">IF($R94="","",AB94+AD94-AC94)</f>
        <v>-98.69</v>
      </c>
      <c r="AB94">
        <f>IF($R94="","",K94)</f>
        <v>-15.55</v>
      </c>
      <c r="AC94">
        <f>IF($R94="","",INDEX($A$10:$O$137,MATCH($Q94,$A$10:$A$137,0)+AC$71,AC$72))</f>
        <v>-2.86</v>
      </c>
      <c r="AD94">
        <v>-86</v>
      </c>
      <c r="AF94">
        <f t="shared" si="12"/>
        <v>0</v>
      </c>
      <c r="AG94">
        <f t="shared" si="6"/>
        <v>0</v>
      </c>
      <c r="AH94">
        <f t="shared" si="4"/>
        <v>-15.55</v>
      </c>
    </row>
    <row r="95" spans="1:34" ht="14.25" thickTop="1" thickBot="1">
      <c r="A95" s="44"/>
      <c r="B95" s="657"/>
      <c r="C95" s="658"/>
      <c r="D95" s="349">
        <f>D94+0.0001</f>
        <v>3.2272000000000003</v>
      </c>
      <c r="E95" s="350">
        <f>D94</f>
        <v>3.2271000000000001</v>
      </c>
      <c r="F95" s="351"/>
      <c r="G95" s="352">
        <v>4.0103833314834629</v>
      </c>
      <c r="H95" s="353">
        <v>-1.5982845666415011</v>
      </c>
      <c r="I95" s="354">
        <v>-65</v>
      </c>
      <c r="J95" s="355">
        <v>30</v>
      </c>
      <c r="K95" s="356">
        <v>-10.24</v>
      </c>
      <c r="L95" s="354"/>
      <c r="M95" s="357"/>
      <c r="N95" s="358"/>
      <c r="O95" s="359"/>
      <c r="P95" s="286" t="s">
        <v>44</v>
      </c>
      <c r="Q95" s="44" t="str">
        <f t="shared" si="9"/>
        <v/>
      </c>
      <c r="R95" s="258"/>
      <c r="S95" t="str">
        <f t="shared" si="3"/>
        <v/>
      </c>
      <c r="U95">
        <f>IF($R94="","",INDEX($A$10:$O$137,MATCH($Q94,$A$10:$A$137,0)+U$71,U$72))</f>
        <v>0</v>
      </c>
      <c r="V95">
        <f>IF($R94="","",INDEX($A$10:$O$137,MATCH($Q94,$A$10:$A$137,0)+V$71,V$72))</f>
        <v>3.9613</v>
      </c>
      <c r="W95">
        <f>IF($R94="","",INDEX($A$10:$O$137,MATCH($Q94,$A$10:$A$137,0)+W$71,W$72))</f>
        <v>-1.5865</v>
      </c>
      <c r="X95">
        <f>IF($R94="","",INDEX($A$10:$O$137,MATCH($Q94,$A$10:$A$137,0)+X$71,X$72))</f>
        <v>-65</v>
      </c>
      <c r="Y95">
        <f>IF($R94="","",INDEX($A$10:$O$137,MATCH($Q94,$A$10:$A$137,0)+Y$71,Y$72))</f>
        <v>25</v>
      </c>
      <c r="Z95">
        <f t="shared" ref="Z95" si="25">IF(OR(LEFT(T94,2)="13",LEFT(T94,2)="16"),Y95+5,"")</f>
        <v>30</v>
      </c>
      <c r="AF95">
        <f t="shared" si="12"/>
        <v>-65</v>
      </c>
      <c r="AG95">
        <f t="shared" si="6"/>
        <v>30</v>
      </c>
      <c r="AH95">
        <f t="shared" si="4"/>
        <v>-10.24</v>
      </c>
    </row>
    <row r="96" spans="1:34" ht="13.5" thickBot="1">
      <c r="A96" s="44"/>
      <c r="B96" s="659">
        <v>4.2110000000000003</v>
      </c>
      <c r="C96" s="660" t="s">
        <v>10</v>
      </c>
      <c r="D96" s="361">
        <f>B96+0.0001</f>
        <v>4.2111000000000001</v>
      </c>
      <c r="E96" s="362">
        <v>1</v>
      </c>
      <c r="F96" s="363"/>
      <c r="G96" s="364">
        <v>0</v>
      </c>
      <c r="H96" s="365">
        <v>0</v>
      </c>
      <c r="I96" s="366">
        <v>0</v>
      </c>
      <c r="J96" s="367">
        <v>0</v>
      </c>
      <c r="K96" s="368">
        <v>-21.19</v>
      </c>
      <c r="L96" s="366"/>
      <c r="M96" s="369"/>
      <c r="N96" s="370"/>
      <c r="O96" s="371"/>
      <c r="P96" s="285" t="s">
        <v>67</v>
      </c>
      <c r="Q96" s="44" t="str">
        <f t="shared" si="9"/>
        <v>11</v>
      </c>
      <c r="R96" s="258">
        <f t="shared" ref="R96" si="26">IF(B96="","",B96)</f>
        <v>4.2110000000000003</v>
      </c>
      <c r="S96" t="str">
        <f t="shared" si="3"/>
        <v>1313 .6875Cb</v>
      </c>
      <c r="T96" t="str">
        <f>IF($R96="","",C96)</f>
        <v>1313 .6875Cb</v>
      </c>
      <c r="AA96">
        <f t="shared" ref="AA96" si="27">IF($R96="","",AB96+AD96-AC96)</f>
        <v>-157.19</v>
      </c>
      <c r="AB96">
        <f>IF($R96="","",K96)</f>
        <v>-21.19</v>
      </c>
      <c r="AC96">
        <f>IF($R96="","",INDEX($A$10:$O$137,MATCH($Q96,$A$10:$A$137,0)+AC$71,AC$72))</f>
        <v>0</v>
      </c>
      <c r="AD96">
        <f>-67-69</f>
        <v>-136</v>
      </c>
      <c r="AF96">
        <f t="shared" si="12"/>
        <v>0</v>
      </c>
      <c r="AG96">
        <f t="shared" si="6"/>
        <v>0</v>
      </c>
      <c r="AH96">
        <f t="shared" si="4"/>
        <v>-21.19</v>
      </c>
    </row>
    <row r="97" spans="1:34" ht="13.5" thickTop="1">
      <c r="A97" s="44"/>
      <c r="B97" s="632"/>
      <c r="C97" s="622"/>
      <c r="D97" s="127">
        <f>D96+0.0001</f>
        <v>4.2111999999999998</v>
      </c>
      <c r="E97" s="128">
        <f>D96</f>
        <v>4.2111000000000001</v>
      </c>
      <c r="F97" s="129"/>
      <c r="G97" s="130">
        <v>2.2616951103667189</v>
      </c>
      <c r="H97" s="131">
        <v>-0.20086423132812625</v>
      </c>
      <c r="I97" s="132">
        <v>10</v>
      </c>
      <c r="J97" s="133">
        <v>20</v>
      </c>
      <c r="K97" s="134">
        <v>0</v>
      </c>
      <c r="L97" s="132"/>
      <c r="M97" s="135"/>
      <c r="N97" s="136"/>
      <c r="O97" s="233"/>
      <c r="P97" s="286" t="s">
        <v>52</v>
      </c>
      <c r="Q97" s="44" t="str">
        <f t="shared" si="9"/>
        <v/>
      </c>
      <c r="R97" s="258"/>
      <c r="S97" t="str">
        <f t="shared" si="3"/>
        <v/>
      </c>
      <c r="U97">
        <f>IF($R96="","",INDEX($A$10:$O$137,MATCH($Q96,$A$10:$A$137,0)+U$71,U$72))</f>
        <v>0</v>
      </c>
      <c r="V97">
        <f>IF($R96="","",INDEX($A$10:$O$137,MATCH($Q96,$A$10:$A$137,0)+V$71,V$72))</f>
        <v>2.2629000000000001</v>
      </c>
      <c r="W97">
        <f>IF($R96="","",INDEX($A$10:$O$137,MATCH($Q96,$A$10:$A$137,0)+W$71,W$72))</f>
        <v>-0.15840000000000001</v>
      </c>
      <c r="X97">
        <f>IF($R96="","",INDEX($A$10:$O$137,MATCH($Q96,$A$10:$A$137,0)+X$71,X$72))</f>
        <v>10</v>
      </c>
      <c r="Y97">
        <f>IF($R96="","",INDEX($A$10:$O$137,MATCH($Q96,$A$10:$A$137,0)+Y$71,Y$72))</f>
        <v>15</v>
      </c>
      <c r="Z97">
        <f t="shared" ref="Z97" si="28">IF(OR(LEFT(T96,2)="13",LEFT(T96,2)="16"),Y97+5,"")</f>
        <v>20</v>
      </c>
      <c r="AF97">
        <f t="shared" si="12"/>
        <v>10</v>
      </c>
      <c r="AG97">
        <f t="shared" si="6"/>
        <v>20</v>
      </c>
      <c r="AH97">
        <f t="shared" si="4"/>
        <v>0</v>
      </c>
    </row>
    <row r="98" spans="1:34" ht="13.5" thickBot="1">
      <c r="A98" s="44"/>
      <c r="B98" s="617">
        <v>4.2160000000000002</v>
      </c>
      <c r="C98" s="602" t="s">
        <v>10</v>
      </c>
      <c r="D98" s="28">
        <f>B98+0.0001</f>
        <v>4.2161</v>
      </c>
      <c r="E98" s="29">
        <v>5</v>
      </c>
      <c r="F98" s="67"/>
      <c r="G98" s="68">
        <v>0</v>
      </c>
      <c r="H98" s="69">
        <v>0</v>
      </c>
      <c r="I98" s="70">
        <v>0</v>
      </c>
      <c r="J98" s="71">
        <v>0</v>
      </c>
      <c r="K98" s="72">
        <v>-17.489999999999998</v>
      </c>
      <c r="L98" s="70"/>
      <c r="M98" s="73"/>
      <c r="N98" s="74"/>
      <c r="O98" s="231"/>
      <c r="P98" s="285" t="s">
        <v>67</v>
      </c>
      <c r="Q98" s="44" t="str">
        <f t="shared" si="9"/>
        <v>16</v>
      </c>
      <c r="R98" s="258">
        <f t="shared" ref="R98" si="29">IF(B98="","",B98)</f>
        <v>4.2160000000000002</v>
      </c>
      <c r="S98" t="str">
        <f t="shared" si="3"/>
        <v>1613 .6875Cb</v>
      </c>
      <c r="T98" t="str">
        <f>IF($R98="","",C98)</f>
        <v>1313 .6875Cb</v>
      </c>
      <c r="AA98">
        <f t="shared" ref="AA98" si="30">IF($R98="","",AB98+AD98-AC98)</f>
        <v>-83.08</v>
      </c>
      <c r="AB98">
        <f>IF($R98="","",K98)</f>
        <v>-17.489999999999998</v>
      </c>
      <c r="AC98">
        <f>IF($R98="","",INDEX($A$10:$O$137,MATCH($Q98,$A$10:$A$137,0)+AC$71,AC$72))</f>
        <v>-1.41</v>
      </c>
      <c r="AD98">
        <v>-67</v>
      </c>
      <c r="AF98">
        <f t="shared" si="12"/>
        <v>0</v>
      </c>
      <c r="AG98">
        <f t="shared" si="6"/>
        <v>0</v>
      </c>
      <c r="AH98">
        <f t="shared" si="4"/>
        <v>-17.489999999999998</v>
      </c>
    </row>
    <row r="99" spans="1:34" ht="13.5" thickTop="1">
      <c r="A99" s="44"/>
      <c r="B99" s="617"/>
      <c r="C99" s="602"/>
      <c r="D99" s="28">
        <f>D98+0.0001</f>
        <v>4.2161999999999997</v>
      </c>
      <c r="E99" s="29">
        <f>D98</f>
        <v>4.2161</v>
      </c>
      <c r="F99" s="67"/>
      <c r="G99" s="68">
        <v>3.1478360838853305</v>
      </c>
      <c r="H99" s="69">
        <v>-0.1785880795245289</v>
      </c>
      <c r="I99" s="70">
        <v>-14.6</v>
      </c>
      <c r="J99" s="71">
        <v>20</v>
      </c>
      <c r="K99" s="76">
        <v>-6.4</v>
      </c>
      <c r="L99" s="70"/>
      <c r="M99" s="77"/>
      <c r="N99" s="78"/>
      <c r="O99" s="231"/>
      <c r="P99" s="286" t="s">
        <v>52</v>
      </c>
      <c r="Q99" s="44" t="str">
        <f t="shared" si="9"/>
        <v/>
      </c>
      <c r="R99" s="258"/>
      <c r="S99" t="str">
        <f t="shared" si="3"/>
        <v/>
      </c>
      <c r="U99">
        <f>IF($R98="","",INDEX($A$10:$O$137,MATCH($Q98,$A$10:$A$137,0)+U$71,U$72))</f>
        <v>0</v>
      </c>
      <c r="V99">
        <f>IF($R98="","",INDEX($A$10:$O$137,MATCH($Q98,$A$10:$A$137,0)+V$71,V$72))</f>
        <v>3.1343999999999999</v>
      </c>
      <c r="W99">
        <f>IF($R98="","",INDEX($A$10:$O$137,MATCH($Q98,$A$10:$A$137,0)+W$71,W$72))</f>
        <v>-0.19939999999999999</v>
      </c>
      <c r="X99">
        <f>IF($R98="","",INDEX($A$10:$O$137,MATCH($Q98,$A$10:$A$137,0)+X$71,X$72))</f>
        <v>-14.6</v>
      </c>
      <c r="Y99">
        <f>IF($R98="","",INDEX($A$10:$O$137,MATCH($Q98,$A$10:$A$137,0)+Y$71,Y$72))</f>
        <v>15</v>
      </c>
      <c r="Z99">
        <f t="shared" ref="Z99" si="31">IF(OR(LEFT(T98,2)="13",LEFT(T98,2)="16"),Y99+5,"")</f>
        <v>20</v>
      </c>
      <c r="AF99">
        <f t="shared" si="12"/>
        <v>-14.6</v>
      </c>
      <c r="AG99">
        <f t="shared" si="6"/>
        <v>20</v>
      </c>
      <c r="AH99">
        <f t="shared" si="4"/>
        <v>-6.4</v>
      </c>
    </row>
    <row r="100" spans="1:34" ht="13.5" thickBot="1">
      <c r="A100" s="44"/>
      <c r="B100" s="619">
        <v>4.2210000000000001</v>
      </c>
      <c r="C100" s="621" t="s">
        <v>10</v>
      </c>
      <c r="D100" s="117">
        <f>B100+0.0001</f>
        <v>4.2210999999999999</v>
      </c>
      <c r="E100" s="118">
        <v>5</v>
      </c>
      <c r="F100" s="119"/>
      <c r="G100" s="120">
        <v>0</v>
      </c>
      <c r="H100" s="121">
        <v>0</v>
      </c>
      <c r="I100" s="122">
        <v>0</v>
      </c>
      <c r="J100" s="123">
        <v>0</v>
      </c>
      <c r="K100" s="124">
        <v>-15.86</v>
      </c>
      <c r="L100" s="122"/>
      <c r="M100" s="125"/>
      <c r="N100" s="126"/>
      <c r="O100" s="232"/>
      <c r="P100" s="285" t="s">
        <v>55</v>
      </c>
      <c r="Q100" s="44" t="str">
        <f t="shared" si="9"/>
        <v>21</v>
      </c>
      <c r="R100" s="258">
        <f t="shared" ref="R100" si="32">IF(B100="","",B100)</f>
        <v>4.2210000000000001</v>
      </c>
      <c r="S100" t="str">
        <f t="shared" si="3"/>
        <v>1613 .6875Cb</v>
      </c>
      <c r="T100" t="str">
        <f>IF($R100="","",C100)</f>
        <v>1313 .6875Cb</v>
      </c>
      <c r="AA100">
        <f t="shared" ref="AA100" si="33">IF($R100="","",AB100+AD100-AC100)</f>
        <v>-80.38</v>
      </c>
      <c r="AB100">
        <f>IF($R100="","",K100)</f>
        <v>-15.86</v>
      </c>
      <c r="AC100">
        <f>IF($R100="","",INDEX($A$10:$O$137,MATCH($Q100,$A$10:$A$137,0)+AC$71,AC$72))</f>
        <v>-2.48</v>
      </c>
      <c r="AD100">
        <v>-67</v>
      </c>
      <c r="AF100">
        <f t="shared" si="12"/>
        <v>0</v>
      </c>
      <c r="AG100">
        <f t="shared" si="6"/>
        <v>0</v>
      </c>
      <c r="AH100">
        <f t="shared" si="4"/>
        <v>-15.86</v>
      </c>
    </row>
    <row r="101" spans="1:34" ht="13.5" thickTop="1">
      <c r="A101" s="44"/>
      <c r="B101" s="632"/>
      <c r="C101" s="622"/>
      <c r="D101" s="127">
        <f>D100+0.0001</f>
        <v>4.2211999999999996</v>
      </c>
      <c r="E101" s="128">
        <f>D100</f>
        <v>4.2210999999999999</v>
      </c>
      <c r="F101" s="129"/>
      <c r="G101" s="130">
        <v>3.7883570301899514</v>
      </c>
      <c r="H101" s="131">
        <v>-0.67830897946888113</v>
      </c>
      <c r="I101" s="132">
        <v>-38.700000000000003</v>
      </c>
      <c r="J101" s="133">
        <v>22.5</v>
      </c>
      <c r="K101" s="134">
        <v>-9.2799999999999994</v>
      </c>
      <c r="L101" s="132"/>
      <c r="M101" s="135"/>
      <c r="N101" s="136"/>
      <c r="O101" s="233"/>
      <c r="P101" s="286" t="s">
        <v>53</v>
      </c>
      <c r="Q101" s="44" t="str">
        <f t="shared" si="9"/>
        <v/>
      </c>
      <c r="R101" s="258"/>
      <c r="S101" t="str">
        <f t="shared" si="3"/>
        <v/>
      </c>
      <c r="U101">
        <f>IF($R100="","",INDEX($A$10:$O$137,MATCH($Q100,$A$10:$A$137,0)+U$71,U$72))</f>
        <v>0</v>
      </c>
      <c r="V101">
        <f>IF($R100="","",INDEX($A$10:$O$137,MATCH($Q100,$A$10:$A$137,0)+V$71,V$72))</f>
        <v>3.7547999999999999</v>
      </c>
      <c r="W101">
        <f>IF($R100="","",INDEX($A$10:$O$137,MATCH($Q100,$A$10:$A$137,0)+W$71,W$72))</f>
        <v>-0.69010000000000005</v>
      </c>
      <c r="X101">
        <f>IF($R100="","",INDEX($A$10:$O$137,MATCH($Q100,$A$10:$A$137,0)+X$71,X$72))</f>
        <v>-38.700000000000003</v>
      </c>
      <c r="Y101">
        <f>IF($R100="","",INDEX($A$10:$O$137,MATCH($Q100,$A$10:$A$137,0)+Y$71,Y$72))</f>
        <v>17.5</v>
      </c>
      <c r="Z101">
        <f t="shared" ref="Z101" si="34">IF(OR(LEFT(T100,2)="13",LEFT(T100,2)="16"),Y101+5,"")</f>
        <v>22.5</v>
      </c>
      <c r="AF101">
        <f t="shared" si="12"/>
        <v>-38.700000000000003</v>
      </c>
      <c r="AG101">
        <f t="shared" si="6"/>
        <v>22.5</v>
      </c>
      <c r="AH101">
        <f t="shared" si="4"/>
        <v>-9.2799999999999994</v>
      </c>
    </row>
    <row r="102" spans="1:34" ht="13.5" thickBot="1">
      <c r="A102" s="44"/>
      <c r="B102" s="617">
        <v>4.226</v>
      </c>
      <c r="C102" s="602" t="s">
        <v>10</v>
      </c>
      <c r="D102" s="28">
        <f>B102+0.0001</f>
        <v>4.2260999999999997</v>
      </c>
      <c r="E102" s="29">
        <v>5</v>
      </c>
      <c r="F102" s="67"/>
      <c r="G102" s="68">
        <v>0</v>
      </c>
      <c r="H102" s="69">
        <v>0</v>
      </c>
      <c r="I102" s="70">
        <v>0</v>
      </c>
      <c r="J102" s="71">
        <v>0</v>
      </c>
      <c r="K102" s="72">
        <v>-15.55</v>
      </c>
      <c r="L102" s="70"/>
      <c r="M102" s="73"/>
      <c r="N102" s="74"/>
      <c r="O102" s="231"/>
      <c r="P102" s="285" t="s">
        <v>56</v>
      </c>
      <c r="Q102" s="44" t="str">
        <f t="shared" si="9"/>
        <v>26</v>
      </c>
      <c r="R102" s="258">
        <f t="shared" ref="R102" si="35">IF(B102="","",B102)</f>
        <v>4.226</v>
      </c>
      <c r="S102" t="str">
        <f t="shared" si="3"/>
        <v>1613 .6875Cb</v>
      </c>
      <c r="T102" t="str">
        <f>IF($R102="","",C102)</f>
        <v>1313 .6875Cb</v>
      </c>
      <c r="AA102">
        <f t="shared" ref="AA102" si="36">IF($R102="","",AB102+AD102-AC102)</f>
        <v>-79.7</v>
      </c>
      <c r="AB102">
        <f>IF($R102="","",K102)</f>
        <v>-15.55</v>
      </c>
      <c r="AC102">
        <f>IF($R102="","",INDEX($A$10:$O$137,MATCH($Q102,$A$10:$A$137,0)+AC$71,AC$72))</f>
        <v>-2.85</v>
      </c>
      <c r="AD102">
        <v>-67</v>
      </c>
      <c r="AF102">
        <f t="shared" si="12"/>
        <v>0</v>
      </c>
      <c r="AG102">
        <f t="shared" si="6"/>
        <v>0</v>
      </c>
      <c r="AH102">
        <f t="shared" si="4"/>
        <v>-15.55</v>
      </c>
    </row>
    <row r="103" spans="1:34" ht="14.25" thickTop="1" thickBot="1">
      <c r="A103" s="44"/>
      <c r="B103" s="661"/>
      <c r="C103" s="651"/>
      <c r="D103" s="260">
        <f>D102+0.0001</f>
        <v>4.2261999999999995</v>
      </c>
      <c r="E103" s="261">
        <f>D102</f>
        <v>4.2260999999999997</v>
      </c>
      <c r="F103" s="262"/>
      <c r="G103" s="263">
        <v>4.0035587220967948</v>
      </c>
      <c r="H103" s="264">
        <v>-1.4388809368316966</v>
      </c>
      <c r="I103" s="265">
        <v>-62.9</v>
      </c>
      <c r="J103" s="266">
        <v>27.5</v>
      </c>
      <c r="K103" s="267">
        <v>-10.220000000000001</v>
      </c>
      <c r="L103" s="265"/>
      <c r="M103" s="301"/>
      <c r="N103" s="302"/>
      <c r="O103" s="315"/>
      <c r="P103" s="286" t="s">
        <v>54</v>
      </c>
      <c r="Q103" s="44" t="str">
        <f t="shared" si="9"/>
        <v/>
      </c>
      <c r="R103" s="258"/>
      <c r="S103" t="str">
        <f t="shared" si="3"/>
        <v/>
      </c>
      <c r="U103">
        <f>IF($R102="","",INDEX($A$10:$O$137,MATCH($Q102,$A$10:$A$137,0)+U$71,U$72))</f>
        <v>0</v>
      </c>
      <c r="V103">
        <f>IF($R102="","",INDEX($A$10:$O$137,MATCH($Q102,$A$10:$A$137,0)+V$71,V$72))</f>
        <v>3.9554</v>
      </c>
      <c r="W103">
        <f>IF($R102="","",INDEX($A$10:$O$137,MATCH($Q102,$A$10:$A$137,0)+W$71,W$72))</f>
        <v>-1.4336</v>
      </c>
      <c r="X103">
        <f>IF($R102="","",INDEX($A$10:$O$137,MATCH($Q102,$A$10:$A$137,0)+X$71,X$72))</f>
        <v>-62.9</v>
      </c>
      <c r="Y103">
        <f>IF($R102="","",INDEX($A$10:$O$137,MATCH($Q102,$A$10:$A$137,0)+Y$71,Y$72))</f>
        <v>22.5</v>
      </c>
      <c r="Z103">
        <f t="shared" ref="Z103" si="37">IF(OR(LEFT(T102,2)="13",LEFT(T102,2)="16"),Y103+5,"")</f>
        <v>27.5</v>
      </c>
      <c r="AF103">
        <f t="shared" si="12"/>
        <v>-62.9</v>
      </c>
      <c r="AG103">
        <f t="shared" si="6"/>
        <v>27.5</v>
      </c>
      <c r="AH103">
        <f t="shared" si="4"/>
        <v>-10.220000000000001</v>
      </c>
    </row>
    <row r="104" spans="1:34" ht="13.5" thickBot="1">
      <c r="A104" s="44"/>
      <c r="B104" s="623">
        <v>5.2149999999999999</v>
      </c>
      <c r="C104" s="656" t="s">
        <v>10</v>
      </c>
      <c r="D104" s="245">
        <f>B104+0.0001</f>
        <v>5.2150999999999996</v>
      </c>
      <c r="E104" s="246">
        <v>6</v>
      </c>
      <c r="F104" s="247"/>
      <c r="G104" s="248">
        <v>0</v>
      </c>
      <c r="H104" s="249">
        <v>0</v>
      </c>
      <c r="I104" s="250">
        <v>0</v>
      </c>
      <c r="J104" s="251">
        <v>0</v>
      </c>
      <c r="K104" s="252">
        <v>-18.11</v>
      </c>
      <c r="L104" s="250"/>
      <c r="M104" s="253"/>
      <c r="N104" s="254"/>
      <c r="O104" s="255"/>
      <c r="P104" s="285" t="s">
        <v>59</v>
      </c>
      <c r="Q104" s="44" t="str">
        <f t="shared" si="9"/>
        <v>15</v>
      </c>
      <c r="R104" s="258">
        <f t="shared" ref="R104" si="38">IF(B104="","",B104)</f>
        <v>5.2149999999999999</v>
      </c>
      <c r="S104" t="str">
        <f t="shared" si="3"/>
        <v>1613 .6875Cb</v>
      </c>
      <c r="T104" t="str">
        <f>IF($R104="","",C104)</f>
        <v>1313 .6875Cb</v>
      </c>
      <c r="AA104">
        <f t="shared" ref="AA104" si="39">IF($R104="","",AB104+AD104-AC104)</f>
        <v>-85.94</v>
      </c>
      <c r="AB104">
        <f>IF($R104="","",K104)</f>
        <v>-18.11</v>
      </c>
      <c r="AC104">
        <f>IF($R104="","",INDEX($A$10:$O$137,MATCH($Q104,$A$10:$A$137,0)+AC$71,AC$72))</f>
        <v>-1.17</v>
      </c>
      <c r="AD104">
        <v>-69</v>
      </c>
      <c r="AF104">
        <f t="shared" si="12"/>
        <v>0</v>
      </c>
      <c r="AG104">
        <f t="shared" si="6"/>
        <v>0</v>
      </c>
      <c r="AH104">
        <f t="shared" si="4"/>
        <v>-18.11</v>
      </c>
    </row>
    <row r="105" spans="1:34" ht="13.5" thickTop="1">
      <c r="A105" s="44"/>
      <c r="B105" s="598"/>
      <c r="C105" s="600"/>
      <c r="D105" s="137">
        <f>D104+0.0001</f>
        <v>5.2151999999999994</v>
      </c>
      <c r="E105" s="138">
        <f>D104</f>
        <v>5.2150999999999996</v>
      </c>
      <c r="F105" s="139"/>
      <c r="G105" s="140">
        <v>2.9873810100418443</v>
      </c>
      <c r="H105" s="141">
        <v>-0.13364392722127044</v>
      </c>
      <c r="I105" s="142">
        <v>-9.6999999999999993</v>
      </c>
      <c r="J105" s="143">
        <v>20</v>
      </c>
      <c r="K105" s="144">
        <v>-5.6829999999999998</v>
      </c>
      <c r="L105" s="142"/>
      <c r="M105" s="145"/>
      <c r="N105" s="146"/>
      <c r="O105" s="256"/>
      <c r="P105" s="286" t="s">
        <v>46</v>
      </c>
      <c r="Q105" s="44" t="str">
        <f t="shared" si="9"/>
        <v/>
      </c>
      <c r="R105" s="258"/>
      <c r="S105" t="str">
        <f t="shared" si="3"/>
        <v/>
      </c>
      <c r="U105">
        <f>IF($R104="","",INDEX($A$10:$O$137,MATCH($Q104,$A$10:$A$137,0)+U$71,U$72))</f>
        <v>0</v>
      </c>
      <c r="V105">
        <f>IF($R104="","",INDEX($A$10:$O$137,MATCH($Q104,$A$10:$A$137,0)+V$71,V$72))</f>
        <v>2.9784000000000002</v>
      </c>
      <c r="W105">
        <f>IF($R104="","",INDEX($A$10:$O$137,MATCH($Q104,$A$10:$A$137,0)+W$71,W$72))</f>
        <v>-0.1547</v>
      </c>
      <c r="X105">
        <f>IF($R104="","",INDEX($A$10:$O$137,MATCH($Q104,$A$10:$A$137,0)+X$71,X$72))</f>
        <v>-9.6999999999999993</v>
      </c>
      <c r="Y105">
        <f>IF($R104="","",INDEX($A$10:$O$137,MATCH($Q104,$A$10:$A$137,0)+Y$71,Y$72))</f>
        <v>15</v>
      </c>
      <c r="Z105">
        <f t="shared" ref="Z105" si="40">IF(OR(LEFT(T104,2)="13",LEFT(T104,2)="16"),Y105+5,"")</f>
        <v>20</v>
      </c>
      <c r="AF105">
        <f t="shared" si="12"/>
        <v>-9.6999999999999993</v>
      </c>
      <c r="AG105">
        <f t="shared" si="6"/>
        <v>20</v>
      </c>
      <c r="AH105">
        <f t="shared" si="4"/>
        <v>-5.6829999999999998</v>
      </c>
    </row>
    <row r="106" spans="1:34" ht="13.5" thickBot="1">
      <c r="A106" s="44"/>
      <c r="B106" s="601">
        <v>5.22</v>
      </c>
      <c r="C106" s="602" t="s">
        <v>10</v>
      </c>
      <c r="D106" s="28">
        <f>B106+0.0001</f>
        <v>5.2200999999999995</v>
      </c>
      <c r="E106" s="29">
        <v>6</v>
      </c>
      <c r="F106" s="67"/>
      <c r="G106" s="68">
        <v>0</v>
      </c>
      <c r="H106" s="69">
        <v>0</v>
      </c>
      <c r="I106" s="70">
        <v>0</v>
      </c>
      <c r="J106" s="71">
        <v>0</v>
      </c>
      <c r="K106" s="72">
        <v>-16.04</v>
      </c>
      <c r="L106" s="70"/>
      <c r="M106" s="102"/>
      <c r="N106" s="103"/>
      <c r="O106" s="213"/>
      <c r="P106" s="285" t="s">
        <v>58</v>
      </c>
      <c r="Q106" s="44" t="str">
        <f t="shared" si="9"/>
        <v>20</v>
      </c>
      <c r="R106" s="258">
        <f t="shared" ref="R106" si="41">IF(B106="","",B106)</f>
        <v>5.22</v>
      </c>
      <c r="S106" t="str">
        <f t="shared" si="3"/>
        <v>1613 .6875Cb</v>
      </c>
      <c r="T106" t="str">
        <f>IF($R106="","",C106)</f>
        <v>1313 .6875Cb</v>
      </c>
      <c r="AA106">
        <f t="shared" ref="AA106" si="42">IF($R106="","",AB106+AD106-AC106)</f>
        <v>-82.72999999999999</v>
      </c>
      <c r="AB106">
        <f>IF($R106="","",K106)</f>
        <v>-16.04</v>
      </c>
      <c r="AC106">
        <f>IF($R106="","",INDEX($A$10:$O$137,MATCH($Q106,$A$10:$A$137,0)+AC$71,AC$72))</f>
        <v>-2.31</v>
      </c>
      <c r="AD106">
        <v>-69</v>
      </c>
      <c r="AF106">
        <f t="shared" si="12"/>
        <v>0</v>
      </c>
      <c r="AG106">
        <f t="shared" si="6"/>
        <v>0</v>
      </c>
      <c r="AH106">
        <f t="shared" si="4"/>
        <v>-16.04</v>
      </c>
    </row>
    <row r="107" spans="1:34" ht="13.5" thickTop="1">
      <c r="A107" s="44"/>
      <c r="B107" s="601"/>
      <c r="C107" s="602"/>
      <c r="D107" s="28">
        <f>D106+0.0001</f>
        <v>5.2201999999999993</v>
      </c>
      <c r="E107" s="29">
        <f>D106</f>
        <v>5.2200999999999995</v>
      </c>
      <c r="F107" s="67"/>
      <c r="G107" s="68">
        <v>3.6906344090980898</v>
      </c>
      <c r="H107" s="69">
        <v>-0.54813539972342951</v>
      </c>
      <c r="I107" s="70">
        <v>-33.9</v>
      </c>
      <c r="J107" s="71">
        <v>22.5</v>
      </c>
      <c r="K107" s="76">
        <v>-8.85</v>
      </c>
      <c r="L107" s="70"/>
      <c r="M107" s="104"/>
      <c r="N107" s="105"/>
      <c r="O107" s="213"/>
      <c r="P107" s="286" t="s">
        <v>47</v>
      </c>
      <c r="Q107" s="44" t="str">
        <f t="shared" si="9"/>
        <v/>
      </c>
      <c r="R107" s="258"/>
      <c r="S107" t="str">
        <f t="shared" si="3"/>
        <v/>
      </c>
      <c r="U107">
        <f>IF($R106="","",INDEX($A$10:$O$137,MATCH($Q106,$A$10:$A$137,0)+U$71,U$72))</f>
        <v>0</v>
      </c>
      <c r="V107">
        <f>IF($R106="","",INDEX($A$10:$O$137,MATCH($Q106,$A$10:$A$137,0)+V$71,V$72))</f>
        <v>3.6606999999999998</v>
      </c>
      <c r="W107">
        <f>IF($R106="","",INDEX($A$10:$O$137,MATCH($Q106,$A$10:$A$137,0)+W$71,W$72))</f>
        <v>-0.56200000000000006</v>
      </c>
      <c r="X107">
        <f>IF($R106="","",INDEX($A$10:$O$137,MATCH($Q106,$A$10:$A$137,0)+X$71,X$72))</f>
        <v>-33.9</v>
      </c>
      <c r="Y107">
        <f>IF($R106="","",INDEX($A$10:$O$137,MATCH($Q106,$A$10:$A$137,0)+Y$71,Y$72))</f>
        <v>17.5</v>
      </c>
      <c r="Z107">
        <f t="shared" ref="Z107" si="43">IF(OR(LEFT(T106,2)="13",LEFT(T106,2)="16"),Y107+5,"")</f>
        <v>22.5</v>
      </c>
      <c r="AF107">
        <f t="shared" si="12"/>
        <v>-33.9</v>
      </c>
      <c r="AG107">
        <f t="shared" si="6"/>
        <v>22.5</v>
      </c>
      <c r="AH107">
        <f t="shared" si="4"/>
        <v>-8.85</v>
      </c>
    </row>
    <row r="108" spans="1:34" ht="13.5" thickBot="1">
      <c r="A108" s="44"/>
      <c r="B108" s="598">
        <v>5.2249999999999996</v>
      </c>
      <c r="C108" s="600" t="s">
        <v>10</v>
      </c>
      <c r="D108" s="137">
        <f>B108+0.0001</f>
        <v>5.2250999999999994</v>
      </c>
      <c r="E108" s="138">
        <v>6</v>
      </c>
      <c r="F108" s="139"/>
      <c r="G108" s="140">
        <v>0</v>
      </c>
      <c r="H108" s="141">
        <v>0</v>
      </c>
      <c r="I108" s="142">
        <v>0</v>
      </c>
      <c r="J108" s="143">
        <v>0</v>
      </c>
      <c r="K108" s="147">
        <v>-15.56</v>
      </c>
      <c r="L108" s="142"/>
      <c r="M108" s="148"/>
      <c r="N108" s="149"/>
      <c r="O108" s="256"/>
      <c r="P108" s="285" t="s">
        <v>60</v>
      </c>
      <c r="Q108" s="44" t="str">
        <f t="shared" si="9"/>
        <v>25</v>
      </c>
      <c r="R108" s="258">
        <f t="shared" ref="R108" si="44">IF(B108="","",B108)</f>
        <v>5.2249999999999996</v>
      </c>
      <c r="S108" t="str">
        <f t="shared" si="3"/>
        <v>1613 .6875Cb</v>
      </c>
      <c r="T108" t="str">
        <f>IF($R108="","",C108)</f>
        <v>1313 .6875Cb</v>
      </c>
      <c r="AA108">
        <f t="shared" ref="AA108" si="45">IF($R108="","",AB108+AD108-AC108)</f>
        <v>-81.710000000000008</v>
      </c>
      <c r="AB108">
        <f>IF($R108="","",K108)</f>
        <v>-15.56</v>
      </c>
      <c r="AC108">
        <f>IF($R108="","",INDEX($A$10:$O$137,MATCH($Q108,$A$10:$A$137,0)+AC$71,AC$72))</f>
        <v>-2.85</v>
      </c>
      <c r="AD108">
        <v>-69</v>
      </c>
      <c r="AF108">
        <f t="shared" si="12"/>
        <v>0</v>
      </c>
      <c r="AG108">
        <f t="shared" si="6"/>
        <v>0</v>
      </c>
      <c r="AH108">
        <f t="shared" si="4"/>
        <v>-15.56</v>
      </c>
    </row>
    <row r="109" spans="1:34" ht="14.25" thickTop="1" thickBot="1">
      <c r="A109" s="44"/>
      <c r="B109" s="654"/>
      <c r="C109" s="655"/>
      <c r="D109" s="338">
        <f>D108+0.0001</f>
        <v>5.2251999999999992</v>
      </c>
      <c r="E109" s="339">
        <f>D108</f>
        <v>5.2250999999999994</v>
      </c>
      <c r="F109" s="340"/>
      <c r="G109" s="341">
        <v>3.9996276606231684</v>
      </c>
      <c r="H109" s="342">
        <v>-1.2844400490271919</v>
      </c>
      <c r="I109" s="343">
        <v>-58.1</v>
      </c>
      <c r="J109" s="344">
        <v>27.5</v>
      </c>
      <c r="K109" s="345">
        <v>-10.210000000000001</v>
      </c>
      <c r="L109" s="343"/>
      <c r="M109" s="346"/>
      <c r="N109" s="347"/>
      <c r="O109" s="348"/>
      <c r="P109" s="286" t="s">
        <v>48</v>
      </c>
      <c r="Q109" s="44" t="str">
        <f t="shared" si="9"/>
        <v/>
      </c>
      <c r="R109" s="258"/>
      <c r="S109" t="str">
        <f t="shared" si="3"/>
        <v/>
      </c>
      <c r="U109">
        <f>IF($R108="","",INDEX($A$10:$O$137,MATCH($Q108,$A$10:$A$137,0)+U$71,U$72))</f>
        <v>0</v>
      </c>
      <c r="V109">
        <f>IF($R108="","",INDEX($A$10:$O$137,MATCH($Q108,$A$10:$A$137,0)+V$71,V$72))</f>
        <v>3.9537</v>
      </c>
      <c r="W109">
        <f>IF($R108="","",INDEX($A$10:$O$137,MATCH($Q108,$A$10:$A$137,0)+W$71,W$72))</f>
        <v>-1.2826</v>
      </c>
      <c r="X109">
        <f>IF($R108="","",INDEX($A$10:$O$137,MATCH($Q108,$A$10:$A$137,0)+X$71,X$72))</f>
        <v>-58.1</v>
      </c>
      <c r="Y109">
        <f>IF($R108="","",INDEX($A$10:$O$137,MATCH($Q108,$A$10:$A$137,0)+Y$71,Y$72))</f>
        <v>22.5</v>
      </c>
      <c r="Z109">
        <f t="shared" ref="Z109" si="46">IF(OR(LEFT(T108,2)="13",LEFT(T108,2)="16"),Y109+5,"")</f>
        <v>27.5</v>
      </c>
      <c r="AF109">
        <f t="shared" si="12"/>
        <v>-58.1</v>
      </c>
      <c r="AG109">
        <f t="shared" si="6"/>
        <v>27.5</v>
      </c>
      <c r="AH109">
        <f t="shared" si="4"/>
        <v>-10.210000000000001</v>
      </c>
    </row>
    <row r="110" spans="1:34" ht="13.5" thickBot="1">
      <c r="B110" s="671">
        <v>3.3029999999999999</v>
      </c>
      <c r="C110" s="673" t="s">
        <v>114</v>
      </c>
      <c r="D110" s="271">
        <f>B110+0.0001</f>
        <v>3.3031000000000001</v>
      </c>
      <c r="E110" s="272">
        <v>1</v>
      </c>
      <c r="F110" s="273"/>
      <c r="G110" s="274">
        <v>0</v>
      </c>
      <c r="H110" s="275">
        <v>0</v>
      </c>
      <c r="I110" s="276">
        <v>0</v>
      </c>
      <c r="J110" s="277">
        <v>0</v>
      </c>
      <c r="K110" s="278">
        <v>-52</v>
      </c>
      <c r="L110" s="276"/>
      <c r="M110" s="279"/>
      <c r="N110" s="280"/>
      <c r="O110" s="435"/>
      <c r="P110" s="285" t="s">
        <v>56</v>
      </c>
      <c r="Q110" s="44" t="str">
        <f t="shared" ref="Q110:Q121" si="47">IF(R110="","",RIGHT(TEXT(R110,"#.000"),2))</f>
        <v>03</v>
      </c>
      <c r="R110" s="258">
        <f t="shared" ref="R110" si="48">IF(B110="","",B110)</f>
        <v>3.3029999999999999</v>
      </c>
      <c r="S110" t="str">
        <f t="shared" si="3"/>
        <v>1308 .6875Cb</v>
      </c>
      <c r="T110" t="str">
        <f>IF($R110="","",C110)</f>
        <v>7/16" PDC Knuckle</v>
      </c>
      <c r="AA110">
        <f t="shared" ref="AA110" si="49">IF($R110="","",AB110+AD110-AC110)</f>
        <v>-274</v>
      </c>
      <c r="AB110">
        <f>IF($R110="","",K110)</f>
        <v>-52</v>
      </c>
      <c r="AC110">
        <f>IF($R110="","",INDEX($A$10:$O$137,MATCH($Q110,$A$10:$A$137,0)+AC$71,AC$72))</f>
        <v>0</v>
      </c>
      <c r="AD110">
        <v>-222</v>
      </c>
      <c r="AF110">
        <f t="shared" ref="AF110:AF121" si="50">IF(X110="",0,X110)</f>
        <v>0</v>
      </c>
      <c r="AG110">
        <f t="shared" si="6"/>
        <v>0</v>
      </c>
      <c r="AH110">
        <f t="shared" si="4"/>
        <v>-52</v>
      </c>
    </row>
    <row r="111" spans="1:34" ht="14.25" thickTop="1" thickBot="1">
      <c r="A111" s="44"/>
      <c r="B111" s="672"/>
      <c r="C111" s="674"/>
      <c r="D111" s="56">
        <f>D110+0.0001</f>
        <v>3.3032000000000004</v>
      </c>
      <c r="E111" s="57">
        <f>D110</f>
        <v>3.3031000000000001</v>
      </c>
      <c r="F111" s="58"/>
      <c r="G111" s="59">
        <v>0.96399999999999997</v>
      </c>
      <c r="H111" s="60">
        <v>-0.5494</v>
      </c>
      <c r="I111" s="61">
        <v>15</v>
      </c>
      <c r="J111" s="62">
        <v>0</v>
      </c>
      <c r="K111" s="63">
        <v>0</v>
      </c>
      <c r="L111" s="61"/>
      <c r="M111" s="64"/>
      <c r="N111" s="65"/>
      <c r="O111" s="436"/>
      <c r="P111" s="286" t="s">
        <v>39</v>
      </c>
      <c r="Q111" s="44" t="str">
        <f t="shared" si="47"/>
        <v/>
      </c>
      <c r="R111" s="258"/>
      <c r="S111" t="str">
        <f t="shared" si="3"/>
        <v/>
      </c>
      <c r="U111">
        <f>IF($R110="","",INDEX($A$10:$O$137,MATCH($Q110,$A$10:$A$137,0)+U$71,U$72))</f>
        <v>0</v>
      </c>
      <c r="V111">
        <f>IF($R110="","",INDEX($A$10:$O$137,MATCH($Q110,$A$10:$A$137,0)+V$71,V$72))</f>
        <v>0.69259999999999999</v>
      </c>
      <c r="W111">
        <f>IF($R110="","",INDEX($A$10:$O$137,MATCH($Q110,$A$10:$A$137,0)+W$71,W$72))</f>
        <v>-0.57199999999999995</v>
      </c>
      <c r="X111">
        <f>IF($R110="","",INDEX($A$10:$O$137,MATCH($Q110,$A$10:$A$137,0)+X$71,X$72))</f>
        <v>15</v>
      </c>
      <c r="Y111">
        <f>IF($R110="","",INDEX($A$10:$O$137,MATCH($Q110,$A$10:$A$137,0)+Y$71,Y$72))</f>
        <v>20</v>
      </c>
      <c r="Z111" t="str">
        <f t="shared" ref="Z111" si="51">IF(OR(LEFT(T110,2)="13",LEFT(T110,2)="16"),Y111+5,"")</f>
        <v/>
      </c>
      <c r="AF111">
        <f t="shared" si="50"/>
        <v>15</v>
      </c>
      <c r="AG111">
        <f t="shared" si="6"/>
        <v>0</v>
      </c>
      <c r="AH111">
        <f t="shared" si="4"/>
        <v>0</v>
      </c>
    </row>
    <row r="112" spans="1:34" ht="13.5" thickBot="1">
      <c r="A112" s="44"/>
      <c r="B112" s="601">
        <v>3.306</v>
      </c>
      <c r="C112" s="669" t="s">
        <v>114</v>
      </c>
      <c r="D112" s="425">
        <f>B112+0.0001</f>
        <v>3.3061000000000003</v>
      </c>
      <c r="E112" s="426">
        <v>1</v>
      </c>
      <c r="F112" s="427"/>
      <c r="G112" s="428">
        <v>0</v>
      </c>
      <c r="H112" s="429">
        <v>0</v>
      </c>
      <c r="I112" s="430">
        <v>0</v>
      </c>
      <c r="J112" s="431">
        <v>0</v>
      </c>
      <c r="K112" s="432">
        <v>-35</v>
      </c>
      <c r="L112" s="430"/>
      <c r="M112" s="433"/>
      <c r="N112" s="434"/>
      <c r="O112" s="437"/>
      <c r="P112" s="300" t="s">
        <v>55</v>
      </c>
      <c r="Q112" s="44" t="str">
        <f t="shared" si="47"/>
        <v>06</v>
      </c>
      <c r="R112" s="258">
        <f t="shared" ref="R112" si="52">IF(B112="","",B112)</f>
        <v>3.306</v>
      </c>
      <c r="S112" t="str">
        <f t="shared" si="3"/>
        <v>1308 .6875Cb</v>
      </c>
      <c r="T112" t="str">
        <f>IF($R112="","",C112)</f>
        <v>7/16" PDC Knuckle</v>
      </c>
      <c r="AA112">
        <f t="shared" ref="AA112" si="53">IF($R112="","",AB112+AD112-AC112)</f>
        <v>-257</v>
      </c>
      <c r="AB112">
        <f>IF($R112="","",K112)</f>
        <v>-35</v>
      </c>
      <c r="AC112">
        <f>IF($R112="","",INDEX($A$10:$O$137,MATCH($Q112,$A$10:$A$137,0)+AC$71,AC$72))</f>
        <v>0</v>
      </c>
      <c r="AD112">
        <v>-222</v>
      </c>
      <c r="AF112">
        <f t="shared" si="50"/>
        <v>0</v>
      </c>
      <c r="AG112">
        <f t="shared" si="6"/>
        <v>0</v>
      </c>
      <c r="AH112">
        <f t="shared" si="4"/>
        <v>-35</v>
      </c>
    </row>
    <row r="113" spans="1:34" ht="13.5" thickTop="1">
      <c r="A113" s="44"/>
      <c r="B113" s="601"/>
      <c r="C113" s="670"/>
      <c r="D113" s="28">
        <f>D112+0.0001</f>
        <v>3.3062000000000005</v>
      </c>
      <c r="E113" s="29">
        <f>D112</f>
        <v>3.3061000000000003</v>
      </c>
      <c r="F113" s="67"/>
      <c r="G113" s="68">
        <v>1.397</v>
      </c>
      <c r="H113" s="69">
        <v>-0.43680000000000002</v>
      </c>
      <c r="I113" s="70">
        <v>15</v>
      </c>
      <c r="J113" s="71">
        <v>0</v>
      </c>
      <c r="K113" s="76">
        <v>0</v>
      </c>
      <c r="L113" s="70"/>
      <c r="M113" s="104"/>
      <c r="N113" s="105"/>
      <c r="O113" s="213"/>
      <c r="P113" s="286" t="s">
        <v>31</v>
      </c>
      <c r="Q113" s="44" t="str">
        <f t="shared" si="47"/>
        <v/>
      </c>
      <c r="R113" s="258"/>
      <c r="S113" t="str">
        <f t="shared" si="3"/>
        <v/>
      </c>
      <c r="U113">
        <f>IF($R112="","",INDEX($A$10:$O$137,MATCH($Q112,$A$10:$A$137,0)+U$71,U$72))</f>
        <v>0</v>
      </c>
      <c r="V113">
        <f>IF($R112="","",INDEX($A$10:$O$137,MATCH($Q112,$A$10:$A$137,0)+V$71,V$72))</f>
        <v>1.2825</v>
      </c>
      <c r="W113">
        <f>IF($R112="","",INDEX($A$10:$O$137,MATCH($Q112,$A$10:$A$137,0)+W$71,W$72))</f>
        <v>-0.42109999999999997</v>
      </c>
      <c r="X113">
        <f>IF($R112="","",INDEX($A$10:$O$137,MATCH($Q112,$A$10:$A$137,0)+X$71,X$72))</f>
        <v>15</v>
      </c>
      <c r="Y113">
        <f>IF($R112="","",INDEX($A$10:$O$137,MATCH($Q112,$A$10:$A$137,0)+Y$71,Y$72))</f>
        <v>15</v>
      </c>
      <c r="Z113" t="str">
        <f t="shared" ref="Z113" si="54">IF(OR(LEFT(T112,2)="13",LEFT(T112,2)="16"),Y113+5,"")</f>
        <v/>
      </c>
      <c r="AF113">
        <f t="shared" si="50"/>
        <v>15</v>
      </c>
      <c r="AG113">
        <f t="shared" si="6"/>
        <v>0</v>
      </c>
      <c r="AH113">
        <f t="shared" si="4"/>
        <v>0</v>
      </c>
    </row>
    <row r="114" spans="1:34" ht="13.5" thickBot="1">
      <c r="A114" s="44"/>
      <c r="B114" s="675">
        <v>4.3049999999999997</v>
      </c>
      <c r="C114" s="677" t="s">
        <v>114</v>
      </c>
      <c r="D114" s="40">
        <f>B114+0.0001</f>
        <v>4.3050999999999995</v>
      </c>
      <c r="E114" s="41">
        <v>3</v>
      </c>
      <c r="F114" s="106"/>
      <c r="G114" s="107">
        <v>0</v>
      </c>
      <c r="H114" s="108">
        <v>0</v>
      </c>
      <c r="I114" s="109">
        <v>0</v>
      </c>
      <c r="J114" s="110">
        <v>0</v>
      </c>
      <c r="K114" s="114">
        <v>-37</v>
      </c>
      <c r="L114" s="109"/>
      <c r="M114" s="115"/>
      <c r="N114" s="116"/>
      <c r="O114" s="227"/>
      <c r="P114" s="285" t="s">
        <v>61</v>
      </c>
      <c r="Q114" s="44" t="str">
        <f t="shared" si="47"/>
        <v>05</v>
      </c>
      <c r="R114" s="258">
        <f t="shared" ref="R114" si="55">IF(B114="","",B114)</f>
        <v>4.3049999999999997</v>
      </c>
      <c r="S114" t="str">
        <f t="shared" si="3"/>
        <v>1308 .6875Cb</v>
      </c>
      <c r="T114" t="str">
        <f>IF($R114="","",C114)</f>
        <v>7/16" PDC Knuckle</v>
      </c>
      <c r="AA114">
        <f t="shared" ref="AA114" si="56">IF($R114="","",AB114+AD114-AC114)</f>
        <v>-311</v>
      </c>
      <c r="AB114">
        <f>IF($R114="","",K114)</f>
        <v>-37</v>
      </c>
      <c r="AC114">
        <f>IF($R114="","",INDEX($A$10:$O$137,MATCH($Q114,$A$10:$A$137,0)+AC$71,AC$72))</f>
        <v>0</v>
      </c>
      <c r="AD114">
        <v>-274</v>
      </c>
      <c r="AF114">
        <f t="shared" si="50"/>
        <v>0</v>
      </c>
      <c r="AG114">
        <f t="shared" si="6"/>
        <v>0</v>
      </c>
      <c r="AH114">
        <f t="shared" si="4"/>
        <v>-37</v>
      </c>
    </row>
    <row r="115" spans="1:34" ht="13.5" thickTop="1">
      <c r="A115" s="44"/>
      <c r="B115" s="676"/>
      <c r="C115" s="678"/>
      <c r="D115" s="40">
        <f>D114+0.0001</f>
        <v>4.3051999999999992</v>
      </c>
      <c r="E115" s="41">
        <f>D114</f>
        <v>4.3050999999999995</v>
      </c>
      <c r="F115" s="106"/>
      <c r="G115" s="107">
        <v>1.151</v>
      </c>
      <c r="H115" s="108">
        <v>-0.50080000000000002</v>
      </c>
      <c r="I115" s="109">
        <v>15</v>
      </c>
      <c r="J115" s="110">
        <v>0</v>
      </c>
      <c r="K115" s="111">
        <v>0</v>
      </c>
      <c r="L115" s="109"/>
      <c r="M115" s="112"/>
      <c r="N115" s="113"/>
      <c r="O115" s="227"/>
      <c r="P115" s="286" t="s">
        <v>42</v>
      </c>
      <c r="Q115" s="44" t="str">
        <f t="shared" si="47"/>
        <v/>
      </c>
      <c r="R115" s="258"/>
      <c r="S115" t="str">
        <f t="shared" si="3"/>
        <v/>
      </c>
      <c r="U115">
        <f>IF($R114="","",INDEX($A$10:$O$137,MATCH($Q114,$A$10:$A$137,0)+U$71,U$72))</f>
        <v>0</v>
      </c>
      <c r="V115">
        <f>IF($R114="","",INDEX($A$10:$O$137,MATCH($Q114,$A$10:$A$137,0)+V$71,V$72))</f>
        <v>1.0864</v>
      </c>
      <c r="W115">
        <f>IF($R114="","",INDEX($A$10:$O$137,MATCH($Q114,$A$10:$A$137,0)+W$71,W$72))</f>
        <v>-0.47360000000000002</v>
      </c>
      <c r="X115">
        <f>IF($R114="","",INDEX($A$10:$O$137,MATCH($Q114,$A$10:$A$137,0)+X$71,X$72))</f>
        <v>15</v>
      </c>
      <c r="Y115">
        <f>IF($R114="","",INDEX($A$10:$O$137,MATCH($Q114,$A$10:$A$137,0)+Y$71,Y$72))</f>
        <v>15</v>
      </c>
      <c r="Z115" t="str">
        <f t="shared" ref="Z115" si="57">IF(OR(LEFT(T114,2)="13",LEFT(T114,2)="16"),Y115+5,"")</f>
        <v/>
      </c>
      <c r="AF115">
        <f t="shared" si="50"/>
        <v>15</v>
      </c>
      <c r="AG115">
        <f t="shared" si="6"/>
        <v>0</v>
      </c>
      <c r="AH115">
        <f t="shared" si="4"/>
        <v>0</v>
      </c>
    </row>
    <row r="116" spans="1:34" ht="13.5" thickBot="1">
      <c r="A116" s="44"/>
      <c r="B116" s="601">
        <v>4.3079999999999998</v>
      </c>
      <c r="C116" s="667" t="s">
        <v>114</v>
      </c>
      <c r="D116" s="28">
        <f>B116+0.0001</f>
        <v>4.3080999999999996</v>
      </c>
      <c r="E116" s="29">
        <v>3</v>
      </c>
      <c r="F116" s="67"/>
      <c r="G116" s="68">
        <v>0</v>
      </c>
      <c r="H116" s="69">
        <v>0</v>
      </c>
      <c r="I116" s="70">
        <v>0</v>
      </c>
      <c r="J116" s="71">
        <v>0</v>
      </c>
      <c r="K116" s="72">
        <v>-27</v>
      </c>
      <c r="L116" s="70"/>
      <c r="M116" s="102"/>
      <c r="N116" s="103"/>
      <c r="O116" s="213"/>
      <c r="P116" s="285" t="s">
        <v>62</v>
      </c>
      <c r="Q116" s="44" t="str">
        <f t="shared" si="47"/>
        <v>08</v>
      </c>
      <c r="R116" s="258">
        <f t="shared" ref="R116" si="58">IF(B116="","",B116)</f>
        <v>4.3079999999999998</v>
      </c>
      <c r="S116" t="str">
        <f t="shared" si="3"/>
        <v>1308 .6875Cb</v>
      </c>
      <c r="T116" t="str">
        <f>IF($R116="","",C116)</f>
        <v>7/16" PDC Knuckle</v>
      </c>
      <c r="AA116">
        <f t="shared" ref="AA116" si="59">IF($R116="","",AB116+AD116-AC116)</f>
        <v>-301</v>
      </c>
      <c r="AB116">
        <f>IF($R116="","",K116)</f>
        <v>-27</v>
      </c>
      <c r="AC116">
        <f>IF($R116="","",INDEX($A$10:$O$137,MATCH($Q116,$A$10:$A$137,0)+AC$71,AC$72))</f>
        <v>0</v>
      </c>
      <c r="AD116">
        <v>-274</v>
      </c>
      <c r="AF116">
        <f t="shared" si="50"/>
        <v>0</v>
      </c>
      <c r="AG116">
        <f t="shared" si="6"/>
        <v>0</v>
      </c>
      <c r="AH116">
        <f t="shared" si="4"/>
        <v>-27</v>
      </c>
    </row>
    <row r="117" spans="1:34" ht="13.5" thickTop="1">
      <c r="A117" s="44"/>
      <c r="B117" s="601"/>
      <c r="C117" s="679"/>
      <c r="D117" s="28">
        <f>D116+0.0001</f>
        <v>4.3081999999999994</v>
      </c>
      <c r="E117" s="29">
        <f>D116</f>
        <v>4.3080999999999996</v>
      </c>
      <c r="F117" s="67"/>
      <c r="G117" s="68">
        <v>1.6910000000000001</v>
      </c>
      <c r="H117" s="69">
        <v>-0.3604</v>
      </c>
      <c r="I117" s="70">
        <v>15</v>
      </c>
      <c r="J117" s="71">
        <v>0</v>
      </c>
      <c r="K117" s="76">
        <v>0</v>
      </c>
      <c r="L117" s="70"/>
      <c r="M117" s="104"/>
      <c r="N117" s="105"/>
      <c r="O117" s="213"/>
      <c r="P117" s="286" t="s">
        <v>43</v>
      </c>
      <c r="Q117" s="44" t="str">
        <f t="shared" si="47"/>
        <v/>
      </c>
      <c r="R117" s="258"/>
      <c r="S117" t="str">
        <f t="shared" si="3"/>
        <v/>
      </c>
      <c r="U117">
        <f>IF($R116="","",INDEX($A$10:$O$137,MATCH($Q116,$A$10:$A$137,0)+U$71,U$72))</f>
        <v>0</v>
      </c>
      <c r="V117">
        <f>IF($R116="","",INDEX($A$10:$O$137,MATCH($Q116,$A$10:$A$137,0)+V$71,V$72))</f>
        <v>1.6747000000000001</v>
      </c>
      <c r="W117">
        <f>IF($R116="","",INDEX($A$10:$O$137,MATCH($Q116,$A$10:$A$137,0)+W$71,W$72))</f>
        <v>-0.316</v>
      </c>
      <c r="X117">
        <f>IF($R116="","",INDEX($A$10:$O$137,MATCH($Q116,$A$10:$A$137,0)+X$71,X$72))</f>
        <v>15</v>
      </c>
      <c r="Y117">
        <f>IF($R116="","",INDEX($A$10:$O$137,MATCH($Q116,$A$10:$A$137,0)+Y$71,Y$72))</f>
        <v>15</v>
      </c>
      <c r="Z117" t="str">
        <f t="shared" ref="Z117" si="60">IF(OR(LEFT(T116,2)="13",LEFT(T116,2)="16"),Y117+5,"")</f>
        <v/>
      </c>
      <c r="AF117">
        <f t="shared" si="50"/>
        <v>15</v>
      </c>
      <c r="AG117">
        <f t="shared" si="6"/>
        <v>0</v>
      </c>
      <c r="AH117">
        <f t="shared" si="4"/>
        <v>0</v>
      </c>
    </row>
    <row r="118" spans="1:34" ht="13.5" thickBot="1">
      <c r="A118" s="44"/>
      <c r="B118" s="662">
        <v>1.304</v>
      </c>
      <c r="C118" s="664" t="s">
        <v>114</v>
      </c>
      <c r="D118" s="137">
        <f>B118+0.0001</f>
        <v>1.3041</v>
      </c>
      <c r="E118" s="138">
        <v>4</v>
      </c>
      <c r="F118" s="139"/>
      <c r="G118" s="140">
        <v>0</v>
      </c>
      <c r="H118" s="141">
        <v>0</v>
      </c>
      <c r="I118" s="142">
        <v>0</v>
      </c>
      <c r="J118" s="143">
        <v>0</v>
      </c>
      <c r="K118" s="147">
        <v>-45</v>
      </c>
      <c r="L118" s="142"/>
      <c r="M118" s="148"/>
      <c r="N118" s="149"/>
      <c r="O118" s="256"/>
      <c r="P118" s="285" t="s">
        <v>59</v>
      </c>
      <c r="Q118" s="44" t="str">
        <f t="shared" si="47"/>
        <v>04</v>
      </c>
      <c r="R118" s="258">
        <f t="shared" ref="R118" si="61">IF(B118="","",B118)</f>
        <v>1.304</v>
      </c>
      <c r="S118" t="str">
        <f t="shared" si="3"/>
        <v>1308 .6875Cb</v>
      </c>
      <c r="T118" t="str">
        <f>IF($R118="","",C118)</f>
        <v>7/16" PDC Knuckle</v>
      </c>
      <c r="AA118">
        <f t="shared" ref="AA118" si="62">IF($R118="","",AB118+AD118-AC118)</f>
        <v>-269</v>
      </c>
      <c r="AB118">
        <f>IF($R118="","",K118)</f>
        <v>-45</v>
      </c>
      <c r="AC118">
        <f>IF($R118="","",INDEX($A$10:$O$137,MATCH($Q118,$A$10:$A$137,0)+AC$71,AC$72))</f>
        <v>0</v>
      </c>
      <c r="AD118">
        <v>-224</v>
      </c>
      <c r="AF118">
        <f t="shared" si="50"/>
        <v>0</v>
      </c>
      <c r="AG118">
        <f t="shared" si="6"/>
        <v>0</v>
      </c>
      <c r="AH118">
        <f t="shared" si="4"/>
        <v>-45</v>
      </c>
    </row>
    <row r="119" spans="1:34" ht="13.5" thickTop="1">
      <c r="A119" s="44"/>
      <c r="B119" s="663"/>
      <c r="C119" s="665"/>
      <c r="D119" s="137">
        <f>D118+0.0001</f>
        <v>1.3042</v>
      </c>
      <c r="E119" s="138">
        <f>D118</f>
        <v>1.3041</v>
      </c>
      <c r="F119" s="139"/>
      <c r="G119" s="140">
        <v>1.04</v>
      </c>
      <c r="H119" s="141">
        <v>-0.52969999999999995</v>
      </c>
      <c r="I119" s="142">
        <v>15</v>
      </c>
      <c r="J119" s="143">
        <v>0</v>
      </c>
      <c r="K119" s="144">
        <v>0</v>
      </c>
      <c r="L119" s="142"/>
      <c r="M119" s="145"/>
      <c r="N119" s="146"/>
      <c r="O119" s="256"/>
      <c r="P119" s="286" t="s">
        <v>46</v>
      </c>
      <c r="Q119" s="44" t="str">
        <f t="shared" si="47"/>
        <v/>
      </c>
      <c r="R119" s="258"/>
      <c r="S119" t="str">
        <f t="shared" si="3"/>
        <v/>
      </c>
      <c r="U119">
        <f>IF($R118="","",INDEX($A$10:$O$137,MATCH($Q118,$A$10:$A$137,0)+U$71,U$72))</f>
        <v>0</v>
      </c>
      <c r="V119">
        <f>IF($R118="","",INDEX($A$10:$O$137,MATCH($Q118,$A$10:$A$137,0)+V$71,V$72))</f>
        <v>0.89029999999999998</v>
      </c>
      <c r="W119">
        <f>IF($R118="","",INDEX($A$10:$O$137,MATCH($Q118,$A$10:$A$137,0)+W$71,W$72))</f>
        <v>-0.5262</v>
      </c>
      <c r="X119">
        <f>IF($R118="","",INDEX($A$10:$O$137,MATCH($Q118,$A$10:$A$137,0)+X$71,X$72))</f>
        <v>15</v>
      </c>
      <c r="Y119">
        <f>IF($R118="","",INDEX($A$10:$O$137,MATCH($Q118,$A$10:$A$137,0)+Y$71,Y$72))</f>
        <v>15</v>
      </c>
      <c r="Z119" t="str">
        <f t="shared" ref="Z119" si="63">IF(OR(LEFT(T118,2)="13",LEFT(T118,2)="16"),Y119+5,"")</f>
        <v/>
      </c>
      <c r="AF119">
        <f t="shared" si="50"/>
        <v>15</v>
      </c>
      <c r="AG119">
        <f t="shared" si="6"/>
        <v>0</v>
      </c>
      <c r="AH119">
        <f t="shared" si="4"/>
        <v>0</v>
      </c>
    </row>
    <row r="120" spans="1:34" ht="13.5" thickBot="1">
      <c r="A120" s="44"/>
      <c r="B120" s="601">
        <v>1.3069999999999999</v>
      </c>
      <c r="C120" s="667" t="s">
        <v>114</v>
      </c>
      <c r="D120" s="28">
        <f>B120+0.0001</f>
        <v>1.3070999999999999</v>
      </c>
      <c r="E120" s="29">
        <v>4</v>
      </c>
      <c r="F120" s="67"/>
      <c r="G120" s="68">
        <v>0</v>
      </c>
      <c r="H120" s="69">
        <v>0</v>
      </c>
      <c r="I120" s="70">
        <v>0</v>
      </c>
      <c r="J120" s="71">
        <v>0</v>
      </c>
      <c r="K120" s="72">
        <v>-28</v>
      </c>
      <c r="L120" s="70"/>
      <c r="M120" s="102"/>
      <c r="N120" s="103"/>
      <c r="O120" s="213"/>
      <c r="P120" s="285" t="s">
        <v>58</v>
      </c>
      <c r="Q120" s="44" t="str">
        <f t="shared" si="47"/>
        <v>07</v>
      </c>
      <c r="R120" s="258">
        <f t="shared" ref="R120" si="64">IF(B120="","",B120)</f>
        <v>1.3069999999999999</v>
      </c>
      <c r="S120" t="str">
        <f t="shared" si="3"/>
        <v>1308 .6875Cb</v>
      </c>
      <c r="T120" t="str">
        <f>IF($R120="","",C120)</f>
        <v>7/16" PDC Knuckle</v>
      </c>
      <c r="AA120">
        <f t="shared" ref="AA120" si="65">IF($R120="","",AB120+AD120-AC120)</f>
        <v>-252</v>
      </c>
      <c r="AB120">
        <f>IF($R120="","",K120)</f>
        <v>-28</v>
      </c>
      <c r="AC120">
        <f>IF($R120="","",INDEX($A$10:$O$137,MATCH($Q120,$A$10:$A$137,0)+AC$71,AC$72))</f>
        <v>0</v>
      </c>
      <c r="AD120">
        <v>-224</v>
      </c>
      <c r="AF120">
        <f t="shared" si="50"/>
        <v>0</v>
      </c>
      <c r="AG120">
        <f t="shared" si="6"/>
        <v>0</v>
      </c>
      <c r="AH120">
        <f t="shared" si="4"/>
        <v>-28</v>
      </c>
    </row>
    <row r="121" spans="1:34" ht="14.25" thickTop="1" thickBot="1">
      <c r="A121" s="44"/>
      <c r="B121" s="666"/>
      <c r="C121" s="668"/>
      <c r="D121" s="438">
        <f>D120+0.0001</f>
        <v>1.3071999999999999</v>
      </c>
      <c r="E121" s="439">
        <f>D120</f>
        <v>1.3070999999999999</v>
      </c>
      <c r="F121" s="440"/>
      <c r="G121" s="441">
        <v>1.5189999999999999</v>
      </c>
      <c r="H121" s="442">
        <v>-0.40510000000000002</v>
      </c>
      <c r="I121" s="443">
        <v>15</v>
      </c>
      <c r="J121" s="444">
        <v>0</v>
      </c>
      <c r="K121" s="445">
        <v>0</v>
      </c>
      <c r="L121" s="443"/>
      <c r="M121" s="446"/>
      <c r="N121" s="447"/>
      <c r="O121" s="448"/>
      <c r="P121" s="286" t="s">
        <v>47</v>
      </c>
      <c r="Q121" s="44" t="str">
        <f t="shared" si="47"/>
        <v/>
      </c>
      <c r="R121" s="258"/>
      <c r="S121" t="str">
        <f t="shared" si="3"/>
        <v/>
      </c>
      <c r="U121">
        <f>IF($R120="","",INDEX($A$10:$O$137,MATCH($Q120,$A$10:$A$137,0)+U$71,U$72))</f>
        <v>0</v>
      </c>
      <c r="V121">
        <f>IF($R120="","",INDEX($A$10:$O$137,MATCH($Q120,$A$10:$A$137,0)+V$71,V$72))</f>
        <v>1.4785999999999999</v>
      </c>
      <c r="W121">
        <f>IF($R120="","",INDEX($A$10:$O$137,MATCH($Q120,$A$10:$A$137,0)+W$71,W$72))</f>
        <v>-0.36849999999999999</v>
      </c>
      <c r="X121">
        <f>IF($R120="","",INDEX($A$10:$O$137,MATCH($Q120,$A$10:$A$137,0)+X$71,X$72))</f>
        <v>15</v>
      </c>
      <c r="Y121">
        <f>IF($R120="","",INDEX($A$10:$O$137,MATCH($Q120,$A$10:$A$137,0)+Y$71,Y$72))</f>
        <v>15</v>
      </c>
      <c r="Z121" t="str">
        <f t="shared" ref="Z121" si="66">IF(OR(LEFT(T120,2)="13",LEFT(T120,2)="16"),Y121+5,"")</f>
        <v/>
      </c>
      <c r="AF121">
        <f t="shared" si="50"/>
        <v>15</v>
      </c>
      <c r="AG121">
        <f t="shared" si="6"/>
        <v>0</v>
      </c>
      <c r="AH121">
        <f t="shared" si="4"/>
        <v>0</v>
      </c>
    </row>
    <row r="122" spans="1:34" ht="13.5" thickBot="1">
      <c r="A122" s="44"/>
    </row>
    <row r="123" spans="1:34" ht="14.25" thickTop="1" thickBot="1">
      <c r="B123" s="642">
        <v>1.401</v>
      </c>
      <c r="C123" s="642" t="s">
        <v>19</v>
      </c>
      <c r="D123" s="45">
        <f>B123+0.0001</f>
        <v>1.4011</v>
      </c>
      <c r="E123" s="46">
        <v>1</v>
      </c>
      <c r="F123" s="47"/>
      <c r="G123" s="48"/>
      <c r="H123" s="49"/>
      <c r="I123" s="50"/>
      <c r="J123" s="51"/>
      <c r="K123" s="52">
        <v>-13</v>
      </c>
      <c r="L123" s="50"/>
      <c r="M123" s="53"/>
      <c r="N123" s="54"/>
      <c r="O123" s="55"/>
      <c r="P123" s="285" t="s">
        <v>56</v>
      </c>
      <c r="Q123" s="44"/>
      <c r="R123" s="258"/>
    </row>
    <row r="124" spans="1:34" ht="14.25" thickTop="1" thickBot="1">
      <c r="A124" s="44"/>
      <c r="B124" s="643"/>
      <c r="C124" s="643"/>
      <c r="D124" s="56">
        <f>D123+0.0001</f>
        <v>1.4012</v>
      </c>
      <c r="E124" s="57">
        <f>D123</f>
        <v>1.4011</v>
      </c>
      <c r="F124" s="58"/>
      <c r="G124" s="59">
        <v>4.2380000000000004</v>
      </c>
      <c r="H124" s="60">
        <v>-2.8424</v>
      </c>
      <c r="I124" s="61"/>
      <c r="J124" s="62"/>
      <c r="K124" s="63"/>
      <c r="L124" s="61"/>
      <c r="M124" s="64"/>
      <c r="N124" s="65"/>
      <c r="O124" s="66"/>
      <c r="P124" s="286" t="s">
        <v>39</v>
      </c>
      <c r="Q124" s="44"/>
      <c r="R124" s="258"/>
    </row>
    <row r="125" spans="1:34" ht="13.5" thickBot="1">
      <c r="A125" s="44"/>
      <c r="B125" s="649">
        <v>1.4039999999999999</v>
      </c>
      <c r="C125" s="649" t="s">
        <v>19</v>
      </c>
      <c r="D125" s="28">
        <f>B125+0.0001</f>
        <v>1.4040999999999999</v>
      </c>
      <c r="E125" s="29">
        <v>1</v>
      </c>
      <c r="F125" s="67"/>
      <c r="G125" s="68"/>
      <c r="H125" s="69"/>
      <c r="I125" s="70"/>
      <c r="J125" s="71"/>
      <c r="K125" s="72">
        <v>-29</v>
      </c>
      <c r="L125" s="70"/>
      <c r="M125" s="73"/>
      <c r="N125" s="74"/>
      <c r="O125" s="75"/>
      <c r="P125" s="300" t="s">
        <v>55</v>
      </c>
      <c r="Q125" s="44"/>
      <c r="R125" s="258"/>
    </row>
    <row r="126" spans="1:34" ht="13.5" thickTop="1">
      <c r="A126" s="44"/>
      <c r="B126" s="649"/>
      <c r="C126" s="649"/>
      <c r="D126" s="28">
        <f>D125+0.0001</f>
        <v>1.4041999999999999</v>
      </c>
      <c r="E126" s="29">
        <f>D125</f>
        <v>1.4040999999999999</v>
      </c>
      <c r="F126" s="67"/>
      <c r="G126" s="68">
        <v>4.2380000000000004</v>
      </c>
      <c r="H126" s="69">
        <v>-3.2017000000000002</v>
      </c>
      <c r="I126" s="70"/>
      <c r="J126" s="71"/>
      <c r="K126" s="76"/>
      <c r="L126" s="70"/>
      <c r="M126" s="77"/>
      <c r="N126" s="78"/>
      <c r="O126" s="75"/>
      <c r="P126" s="286" t="s">
        <v>31</v>
      </c>
      <c r="Q126" s="44"/>
      <c r="R126" s="258"/>
    </row>
    <row r="127" spans="1:34" ht="13.5" thickBot="1">
      <c r="B127" s="643">
        <v>1.407</v>
      </c>
      <c r="C127" s="643" t="s">
        <v>19</v>
      </c>
      <c r="D127" s="56">
        <f>B127+0.0001</f>
        <v>1.4071</v>
      </c>
      <c r="E127" s="57">
        <v>1</v>
      </c>
      <c r="F127" s="58"/>
      <c r="G127" s="59"/>
      <c r="H127" s="60"/>
      <c r="I127" s="61"/>
      <c r="J127" s="62"/>
      <c r="K127" s="79">
        <v>-20</v>
      </c>
      <c r="L127" s="61"/>
      <c r="M127" s="80"/>
      <c r="N127" s="81"/>
      <c r="O127" s="66"/>
      <c r="P127" s="285" t="s">
        <v>56</v>
      </c>
      <c r="Q127" s="44"/>
      <c r="R127" s="258"/>
    </row>
    <row r="128" spans="1:34" ht="14.25" thickTop="1" thickBot="1">
      <c r="A128" s="44"/>
      <c r="B128" s="643"/>
      <c r="C128" s="643"/>
      <c r="D128" s="56">
        <f>D127+0.0001</f>
        <v>1.4072</v>
      </c>
      <c r="E128" s="57">
        <f>D127</f>
        <v>1.4071</v>
      </c>
      <c r="F128" s="58"/>
      <c r="G128" s="59">
        <v>4.2380000000000004</v>
      </c>
      <c r="H128" s="60">
        <v>-3.5611000000000002</v>
      </c>
      <c r="I128" s="61"/>
      <c r="J128" s="62"/>
      <c r="K128" s="63"/>
      <c r="L128" s="61"/>
      <c r="M128" s="64"/>
      <c r="N128" s="65"/>
      <c r="O128" s="66"/>
      <c r="P128" s="286" t="s">
        <v>39</v>
      </c>
      <c r="Q128" s="44"/>
      <c r="R128" s="258"/>
    </row>
    <row r="129" spans="1:18" ht="13.5" thickBot="1">
      <c r="A129" s="44"/>
      <c r="B129" s="649">
        <v>1.411</v>
      </c>
      <c r="C129" s="649" t="s">
        <v>19</v>
      </c>
      <c r="D129" s="28">
        <f>B129+0.0001</f>
        <v>1.4111</v>
      </c>
      <c r="E129" s="29">
        <v>1</v>
      </c>
      <c r="F129" s="67"/>
      <c r="G129" s="68"/>
      <c r="H129" s="69"/>
      <c r="I129" s="70"/>
      <c r="J129" s="71"/>
      <c r="K129" s="72">
        <v>-34</v>
      </c>
      <c r="L129" s="70"/>
      <c r="M129" s="73"/>
      <c r="N129" s="74"/>
      <c r="O129" s="75"/>
      <c r="P129" s="300" t="s">
        <v>55</v>
      </c>
      <c r="Q129" s="44"/>
      <c r="R129" s="258"/>
    </row>
    <row r="130" spans="1:18" ht="14.25" thickTop="1" thickBot="1">
      <c r="A130" s="44"/>
      <c r="B130" s="680"/>
      <c r="C130" s="680"/>
      <c r="D130" s="458">
        <f>D129+0.0001</f>
        <v>1.4112</v>
      </c>
      <c r="E130" s="459">
        <f>D129</f>
        <v>1.4111</v>
      </c>
      <c r="F130" s="452"/>
      <c r="G130" s="68">
        <v>4.2380000000000004</v>
      </c>
      <c r="H130" s="454">
        <v>-3.9203999999999999</v>
      </c>
      <c r="I130" s="455"/>
      <c r="J130" s="456"/>
      <c r="K130" s="457"/>
      <c r="L130" s="455"/>
      <c r="M130" s="460"/>
      <c r="N130" s="461"/>
      <c r="O130" s="462"/>
      <c r="P130" s="286" t="s">
        <v>31</v>
      </c>
      <c r="Q130" s="44"/>
      <c r="R130" s="258"/>
    </row>
    <row r="131" spans="1:18" ht="14.25" thickTop="1" thickBot="1">
      <c r="A131" s="44"/>
      <c r="B131" s="681">
        <v>2.41</v>
      </c>
      <c r="C131" s="681" t="s">
        <v>19</v>
      </c>
      <c r="D131" s="463">
        <f>B131+0.0001</f>
        <v>2.4101000000000004</v>
      </c>
      <c r="E131" s="464">
        <v>2</v>
      </c>
      <c r="F131" s="465"/>
      <c r="G131" s="466"/>
      <c r="H131" s="467"/>
      <c r="I131" s="468"/>
      <c r="J131" s="469"/>
      <c r="K131" s="470">
        <v>-13</v>
      </c>
      <c r="L131" s="468"/>
      <c r="M131" s="471"/>
      <c r="N131" s="472"/>
      <c r="O131" s="473"/>
      <c r="P131" s="285" t="s">
        <v>61</v>
      </c>
      <c r="Q131" s="44"/>
      <c r="R131" s="258"/>
    </row>
    <row r="132" spans="1:18" ht="13.5" thickTop="1">
      <c r="A132" s="44"/>
      <c r="B132" s="682"/>
      <c r="C132" s="682"/>
      <c r="D132" s="92">
        <f>D131+0.0001</f>
        <v>2.4102000000000006</v>
      </c>
      <c r="E132" s="93">
        <f>D131</f>
        <v>2.4101000000000004</v>
      </c>
      <c r="F132" s="94"/>
      <c r="G132" s="95">
        <v>4.2380000000000004</v>
      </c>
      <c r="H132" s="96">
        <v>-2.8424</v>
      </c>
      <c r="I132" s="97"/>
      <c r="J132" s="98"/>
      <c r="K132" s="99"/>
      <c r="L132" s="97"/>
      <c r="M132" s="100"/>
      <c r="N132" s="101"/>
      <c r="O132" s="474"/>
      <c r="P132" s="286" t="s">
        <v>42</v>
      </c>
      <c r="Q132" s="44"/>
      <c r="R132" s="258"/>
    </row>
    <row r="133" spans="1:18" ht="13.5" thickBot="1">
      <c r="A133" s="44"/>
      <c r="B133" s="683">
        <v>2.415</v>
      </c>
      <c r="C133" s="683" t="s">
        <v>19</v>
      </c>
      <c r="D133" s="28">
        <f>B133+0.0001</f>
        <v>2.4151000000000002</v>
      </c>
      <c r="E133" s="29">
        <v>2</v>
      </c>
      <c r="F133" s="67"/>
      <c r="G133" s="68"/>
      <c r="H133" s="69"/>
      <c r="I133" s="70"/>
      <c r="J133" s="71"/>
      <c r="K133" s="72">
        <v>-29</v>
      </c>
      <c r="L133" s="70"/>
      <c r="M133" s="102"/>
      <c r="N133" s="103"/>
      <c r="O133" s="424"/>
      <c r="P133" s="285" t="s">
        <v>62</v>
      </c>
      <c r="Q133" s="44"/>
      <c r="R133" s="258"/>
    </row>
    <row r="134" spans="1:18" ht="13.5" thickTop="1">
      <c r="A134" s="44"/>
      <c r="B134" s="683"/>
      <c r="C134" s="683"/>
      <c r="D134" s="28">
        <f>D133+0.0001</f>
        <v>2.4152000000000005</v>
      </c>
      <c r="E134" s="29">
        <f>D133</f>
        <v>2.4151000000000002</v>
      </c>
      <c r="F134" s="67"/>
      <c r="G134" s="68">
        <v>4.2380000000000004</v>
      </c>
      <c r="H134" s="69">
        <v>-3.2017000000000002</v>
      </c>
      <c r="I134" s="70"/>
      <c r="J134" s="71"/>
      <c r="K134" s="76"/>
      <c r="L134" s="70"/>
      <c r="M134" s="104"/>
      <c r="N134" s="105"/>
      <c r="O134" s="424"/>
      <c r="P134" s="286" t="s">
        <v>43</v>
      </c>
      <c r="Q134" s="44"/>
      <c r="R134" s="258"/>
    </row>
    <row r="135" spans="1:18" ht="13.5" thickBot="1">
      <c r="A135" s="44"/>
      <c r="B135" s="682">
        <v>2.42</v>
      </c>
      <c r="C135" s="682" t="s">
        <v>19</v>
      </c>
      <c r="D135" s="92">
        <f>B135+0.0001</f>
        <v>2.4201000000000001</v>
      </c>
      <c r="E135" s="93">
        <v>2</v>
      </c>
      <c r="F135" s="94"/>
      <c r="G135" s="95"/>
      <c r="H135" s="96"/>
      <c r="I135" s="97"/>
      <c r="J135" s="98"/>
      <c r="K135" s="475">
        <v>-20</v>
      </c>
      <c r="L135" s="97"/>
      <c r="M135" s="476"/>
      <c r="N135" s="477"/>
      <c r="O135" s="474"/>
      <c r="P135" s="285" t="s">
        <v>61</v>
      </c>
      <c r="Q135" s="44"/>
      <c r="R135" s="258"/>
    </row>
    <row r="136" spans="1:18" ht="13.5" thickTop="1">
      <c r="A136" s="44"/>
      <c r="B136" s="682"/>
      <c r="C136" s="682"/>
      <c r="D136" s="92">
        <f>D135+0.0001</f>
        <v>2.4202000000000004</v>
      </c>
      <c r="E136" s="93">
        <f>D135</f>
        <v>2.4201000000000001</v>
      </c>
      <c r="F136" s="94"/>
      <c r="G136" s="95">
        <v>4.2380000000000004</v>
      </c>
      <c r="H136" s="96">
        <v>-3.5611000000000002</v>
      </c>
      <c r="I136" s="97"/>
      <c r="J136" s="98"/>
      <c r="K136" s="99"/>
      <c r="L136" s="97"/>
      <c r="M136" s="100"/>
      <c r="N136" s="101"/>
      <c r="O136" s="474"/>
      <c r="P136" s="286" t="s">
        <v>42</v>
      </c>
      <c r="Q136" s="44"/>
      <c r="R136" s="258"/>
    </row>
    <row r="137" spans="1:18" ht="13.5" thickBot="1">
      <c r="A137" s="44"/>
      <c r="B137" s="683">
        <v>2.4249999999999998</v>
      </c>
      <c r="C137" s="683" t="s">
        <v>19</v>
      </c>
      <c r="D137" s="28">
        <f>B137+0.0001</f>
        <v>2.4251</v>
      </c>
      <c r="E137" s="29">
        <v>2</v>
      </c>
      <c r="F137" s="67"/>
      <c r="G137" s="68"/>
      <c r="H137" s="69"/>
      <c r="I137" s="70"/>
      <c r="J137" s="71"/>
      <c r="K137" s="72">
        <v>-34</v>
      </c>
      <c r="L137" s="70"/>
      <c r="M137" s="102"/>
      <c r="N137" s="103"/>
      <c r="O137" s="424"/>
      <c r="P137" s="285" t="s">
        <v>62</v>
      </c>
      <c r="Q137" s="44"/>
      <c r="R137" s="258"/>
    </row>
    <row r="138" spans="1:18" ht="14.25" thickTop="1" thickBot="1">
      <c r="A138" s="44"/>
      <c r="B138" s="688"/>
      <c r="C138" s="688"/>
      <c r="D138" s="458">
        <f>D137+0.0001</f>
        <v>2.4252000000000002</v>
      </c>
      <c r="E138" s="459">
        <f>D137</f>
        <v>2.4251</v>
      </c>
      <c r="F138" s="452"/>
      <c r="G138" s="453">
        <v>4.2380000000000004</v>
      </c>
      <c r="H138" s="454">
        <v>-3.9203999999999999</v>
      </c>
      <c r="I138" s="455"/>
      <c r="J138" s="456"/>
      <c r="K138" s="457"/>
      <c r="L138" s="455"/>
      <c r="M138" s="478"/>
      <c r="N138" s="479"/>
      <c r="O138" s="480"/>
      <c r="P138" s="286" t="s">
        <v>43</v>
      </c>
      <c r="Q138" s="44"/>
      <c r="R138" s="258"/>
    </row>
    <row r="139" spans="1:18" ht="14.25" thickTop="1" thickBot="1">
      <c r="A139" s="44"/>
      <c r="B139" s="690">
        <v>3.403</v>
      </c>
      <c r="C139" s="690" t="s">
        <v>19</v>
      </c>
      <c r="D139" s="481">
        <f>B139+0.0001</f>
        <v>3.4031000000000002</v>
      </c>
      <c r="E139" s="482">
        <v>3</v>
      </c>
      <c r="F139" s="483"/>
      <c r="G139" s="484"/>
      <c r="H139" s="485"/>
      <c r="I139" s="486"/>
      <c r="J139" s="487"/>
      <c r="K139" s="488">
        <v>-13</v>
      </c>
      <c r="L139" s="486"/>
      <c r="M139" s="489"/>
      <c r="N139" s="490"/>
      <c r="O139" s="491"/>
      <c r="P139" s="285" t="s">
        <v>59</v>
      </c>
      <c r="Q139" s="44"/>
      <c r="R139" s="258"/>
    </row>
    <row r="140" spans="1:18" ht="13.5" thickTop="1">
      <c r="A140" s="44"/>
      <c r="B140" s="694"/>
      <c r="C140" s="694"/>
      <c r="D140" s="40">
        <f>D139+0.0001</f>
        <v>3.4032000000000004</v>
      </c>
      <c r="E140" s="41">
        <f>D139</f>
        <v>3.4031000000000002</v>
      </c>
      <c r="F140" s="106"/>
      <c r="G140" s="107">
        <v>4.2380000000000004</v>
      </c>
      <c r="H140" s="108">
        <v>-2.8424</v>
      </c>
      <c r="I140" s="109"/>
      <c r="J140" s="110"/>
      <c r="K140" s="111"/>
      <c r="L140" s="109"/>
      <c r="M140" s="112"/>
      <c r="N140" s="113"/>
      <c r="O140" s="492"/>
      <c r="P140" s="286" t="s">
        <v>46</v>
      </c>
      <c r="Q140" s="44"/>
      <c r="R140" s="258"/>
    </row>
    <row r="141" spans="1:18" ht="13.5" thickBot="1">
      <c r="A141" s="44"/>
      <c r="B141" s="683">
        <v>3.4060000000000001</v>
      </c>
      <c r="C141" s="683" t="s">
        <v>19</v>
      </c>
      <c r="D141" s="28">
        <f>B141+0.0001</f>
        <v>3.4061000000000003</v>
      </c>
      <c r="E141" s="29">
        <v>3</v>
      </c>
      <c r="F141" s="67"/>
      <c r="G141" s="68"/>
      <c r="H141" s="69"/>
      <c r="I141" s="70"/>
      <c r="J141" s="71"/>
      <c r="K141" s="72">
        <v>-29</v>
      </c>
      <c r="L141" s="70"/>
      <c r="M141" s="102"/>
      <c r="N141" s="103"/>
      <c r="O141" s="424"/>
      <c r="P141" s="285" t="s">
        <v>58</v>
      </c>
      <c r="Q141" s="44"/>
      <c r="R141" s="258"/>
    </row>
    <row r="142" spans="1:18" ht="13.5" thickTop="1">
      <c r="A142" s="44"/>
      <c r="B142" s="683"/>
      <c r="C142" s="683"/>
      <c r="D142" s="28">
        <f>D141+0.0001</f>
        <v>3.4062000000000006</v>
      </c>
      <c r="E142" s="29">
        <f>D141</f>
        <v>3.4061000000000003</v>
      </c>
      <c r="F142" s="67"/>
      <c r="G142" s="68">
        <v>4.2380000000000004</v>
      </c>
      <c r="H142" s="69">
        <v>-3.2017000000000002</v>
      </c>
      <c r="I142" s="70"/>
      <c r="J142" s="71"/>
      <c r="K142" s="76"/>
      <c r="L142" s="70"/>
      <c r="M142" s="104"/>
      <c r="N142" s="105"/>
      <c r="O142" s="424"/>
      <c r="P142" s="286" t="s">
        <v>47</v>
      </c>
      <c r="Q142" s="44"/>
      <c r="R142" s="258"/>
    </row>
    <row r="143" spans="1:18" ht="13.5" thickBot="1">
      <c r="A143" s="44"/>
      <c r="B143" s="695">
        <v>3.4089999999999998</v>
      </c>
      <c r="C143" s="695" t="s">
        <v>19</v>
      </c>
      <c r="D143" s="493">
        <f>B143+0.0001</f>
        <v>3.4091</v>
      </c>
      <c r="E143" s="494">
        <v>3</v>
      </c>
      <c r="F143" s="495"/>
      <c r="G143" s="496"/>
      <c r="H143" s="497"/>
      <c r="I143" s="498"/>
      <c r="J143" s="499"/>
      <c r="K143" s="500">
        <v>-20</v>
      </c>
      <c r="L143" s="498"/>
      <c r="M143" s="501"/>
      <c r="N143" s="502"/>
      <c r="O143" s="503"/>
      <c r="P143" s="285" t="s">
        <v>59</v>
      </c>
      <c r="Q143" s="44"/>
      <c r="R143" s="258"/>
    </row>
    <row r="144" spans="1:18" ht="13.5" thickTop="1">
      <c r="A144" s="44"/>
      <c r="B144" s="694"/>
      <c r="C144" s="694"/>
      <c r="D144" s="40">
        <f>D143+0.0001</f>
        <v>3.4092000000000002</v>
      </c>
      <c r="E144" s="41">
        <f>D143</f>
        <v>3.4091</v>
      </c>
      <c r="F144" s="106"/>
      <c r="G144" s="107">
        <v>4.2380000000000004</v>
      </c>
      <c r="H144" s="108">
        <v>-3.5611000000000002</v>
      </c>
      <c r="I144" s="109"/>
      <c r="J144" s="110"/>
      <c r="K144" s="111"/>
      <c r="L144" s="109"/>
      <c r="M144" s="112"/>
      <c r="N144" s="113"/>
      <c r="O144" s="492"/>
      <c r="P144" s="286" t="s">
        <v>46</v>
      </c>
      <c r="Q144" s="44"/>
      <c r="R144" s="258"/>
    </row>
    <row r="145" spans="1:18" ht="13.5" thickBot="1">
      <c r="A145" s="44"/>
      <c r="B145" s="683">
        <v>3.4140000000000001</v>
      </c>
      <c r="C145" s="683" t="s">
        <v>19</v>
      </c>
      <c r="D145" s="28">
        <f>B145+0.0001</f>
        <v>3.4141000000000004</v>
      </c>
      <c r="E145" s="29">
        <v>3</v>
      </c>
      <c r="F145" s="67"/>
      <c r="G145" s="68"/>
      <c r="H145" s="69"/>
      <c r="I145" s="70"/>
      <c r="J145" s="71"/>
      <c r="K145" s="72">
        <v>-34</v>
      </c>
      <c r="L145" s="70"/>
      <c r="M145" s="102"/>
      <c r="N145" s="103"/>
      <c r="O145" s="424"/>
      <c r="P145" s="285" t="s">
        <v>58</v>
      </c>
      <c r="Q145" s="44"/>
      <c r="R145" s="258"/>
    </row>
    <row r="146" spans="1:18" ht="14.25" thickTop="1" thickBot="1">
      <c r="A146" s="44"/>
      <c r="B146" s="688"/>
      <c r="C146" s="688"/>
      <c r="D146" s="458">
        <f>D145+0.0001</f>
        <v>3.4142000000000006</v>
      </c>
      <c r="E146" s="459">
        <f>D145</f>
        <v>3.4141000000000004</v>
      </c>
      <c r="F146" s="452"/>
      <c r="G146" s="453">
        <v>4.2380000000000004</v>
      </c>
      <c r="H146" s="454">
        <v>-3.9203999999999999</v>
      </c>
      <c r="I146" s="455"/>
      <c r="J146" s="456"/>
      <c r="K146" s="457"/>
      <c r="L146" s="455"/>
      <c r="M146" s="478"/>
      <c r="N146" s="479"/>
      <c r="O146" s="480"/>
      <c r="P146" s="286" t="s">
        <v>47</v>
      </c>
      <c r="Q146" s="44"/>
      <c r="R146" s="258"/>
    </row>
    <row r="147" spans="1:18" ht="14.25" thickTop="1" thickBot="1">
      <c r="A147" s="44"/>
      <c r="B147" s="686">
        <v>4.4020000000000001</v>
      </c>
      <c r="C147" s="686" t="s">
        <v>19</v>
      </c>
      <c r="D147" s="504">
        <f>B147+0.0001</f>
        <v>4.4020999999999999</v>
      </c>
      <c r="E147" s="505">
        <v>4</v>
      </c>
      <c r="F147" s="506"/>
      <c r="G147" s="507"/>
      <c r="H147" s="508"/>
      <c r="I147" s="509"/>
      <c r="J147" s="510"/>
      <c r="K147" s="511">
        <v>-13</v>
      </c>
      <c r="L147" s="509"/>
      <c r="M147" s="512"/>
      <c r="N147" s="513"/>
      <c r="O147" s="514"/>
      <c r="P147" s="285" t="s">
        <v>59</v>
      </c>
      <c r="Q147" s="44"/>
      <c r="R147" s="258"/>
    </row>
    <row r="148" spans="1:18" ht="13.5" thickTop="1">
      <c r="A148" s="44"/>
      <c r="B148" s="687"/>
      <c r="C148" s="687"/>
      <c r="D148" s="127">
        <f>D147+0.0001</f>
        <v>4.4021999999999997</v>
      </c>
      <c r="E148" s="128">
        <f>D147</f>
        <v>4.4020999999999999</v>
      </c>
      <c r="F148" s="129"/>
      <c r="G148" s="130">
        <v>4.2380000000000004</v>
      </c>
      <c r="H148" s="131">
        <v>-2.8424</v>
      </c>
      <c r="I148" s="132"/>
      <c r="J148" s="133"/>
      <c r="K148" s="134"/>
      <c r="L148" s="132"/>
      <c r="M148" s="135"/>
      <c r="N148" s="136"/>
      <c r="O148" s="515"/>
      <c r="P148" s="286" t="s">
        <v>46</v>
      </c>
      <c r="Q148" s="44"/>
      <c r="R148" s="258"/>
    </row>
    <row r="149" spans="1:18" ht="13.5" thickBot="1">
      <c r="A149" s="44"/>
      <c r="B149" s="683">
        <v>4.4050000000000002</v>
      </c>
      <c r="C149" s="683" t="s">
        <v>19</v>
      </c>
      <c r="D149" s="28">
        <f>B149+0.0001</f>
        <v>4.4051</v>
      </c>
      <c r="E149" s="29">
        <v>4</v>
      </c>
      <c r="F149" s="67"/>
      <c r="G149" s="68"/>
      <c r="H149" s="69"/>
      <c r="I149" s="70"/>
      <c r="J149" s="71"/>
      <c r="K149" s="72">
        <v>-29</v>
      </c>
      <c r="L149" s="70"/>
      <c r="M149" s="102"/>
      <c r="N149" s="103"/>
      <c r="O149" s="424"/>
      <c r="P149" s="285" t="s">
        <v>58</v>
      </c>
      <c r="Q149" s="44"/>
      <c r="R149" s="258"/>
    </row>
    <row r="150" spans="1:18" ht="13.5" thickTop="1">
      <c r="A150" s="44"/>
      <c r="B150" s="683"/>
      <c r="C150" s="683"/>
      <c r="D150" s="28">
        <f>D149+0.0001</f>
        <v>4.4051999999999998</v>
      </c>
      <c r="E150" s="29">
        <f>D149</f>
        <v>4.4051</v>
      </c>
      <c r="F150" s="67"/>
      <c r="G150" s="68">
        <v>4.2380000000000004</v>
      </c>
      <c r="H150" s="69">
        <v>-3.2017000000000002</v>
      </c>
      <c r="I150" s="70"/>
      <c r="J150" s="71"/>
      <c r="K150" s="76"/>
      <c r="L150" s="70"/>
      <c r="M150" s="104"/>
      <c r="N150" s="105"/>
      <c r="O150" s="424"/>
      <c r="P150" s="286" t="s">
        <v>47</v>
      </c>
      <c r="Q150" s="44"/>
      <c r="R150" s="258"/>
    </row>
    <row r="151" spans="1:18" ht="13.5" thickBot="1">
      <c r="A151" s="44"/>
      <c r="B151" s="687">
        <v>4.4080000000000004</v>
      </c>
      <c r="C151" s="687" t="s">
        <v>19</v>
      </c>
      <c r="D151" s="127">
        <f>B151+0.0001</f>
        <v>4.4081000000000001</v>
      </c>
      <c r="E151" s="128">
        <v>4</v>
      </c>
      <c r="F151" s="129"/>
      <c r="G151" s="130"/>
      <c r="H151" s="131"/>
      <c r="I151" s="132"/>
      <c r="J151" s="133"/>
      <c r="K151" s="516">
        <v>-20</v>
      </c>
      <c r="L151" s="132"/>
      <c r="M151" s="517"/>
      <c r="N151" s="518"/>
      <c r="O151" s="515"/>
      <c r="P151" s="285" t="s">
        <v>59</v>
      </c>
      <c r="Q151" s="44"/>
      <c r="R151" s="258"/>
    </row>
    <row r="152" spans="1:18" ht="13.5" thickTop="1">
      <c r="A152" s="44"/>
      <c r="B152" s="687"/>
      <c r="C152" s="687"/>
      <c r="D152" s="127">
        <f>D151+0.0001</f>
        <v>4.4081999999999999</v>
      </c>
      <c r="E152" s="128">
        <f>D151</f>
        <v>4.4081000000000001</v>
      </c>
      <c r="F152" s="129"/>
      <c r="G152" s="130">
        <v>4.2380000000000004</v>
      </c>
      <c r="H152" s="131">
        <v>-3.5611000000000002</v>
      </c>
      <c r="I152" s="132"/>
      <c r="J152" s="133"/>
      <c r="K152" s="134"/>
      <c r="L152" s="132"/>
      <c r="M152" s="135"/>
      <c r="N152" s="136"/>
      <c r="O152" s="515"/>
      <c r="P152" s="286" t="s">
        <v>46</v>
      </c>
      <c r="Q152" s="44"/>
      <c r="R152" s="258"/>
    </row>
    <row r="153" spans="1:18" ht="13.5" thickBot="1">
      <c r="A153" s="44"/>
      <c r="B153" s="683">
        <v>4.4130000000000003</v>
      </c>
      <c r="C153" s="683" t="s">
        <v>19</v>
      </c>
      <c r="D153" s="28">
        <f>B153+0.0001</f>
        <v>4.4131</v>
      </c>
      <c r="E153" s="29">
        <v>4</v>
      </c>
      <c r="F153" s="67"/>
      <c r="G153" s="68"/>
      <c r="H153" s="69"/>
      <c r="I153" s="70"/>
      <c r="J153" s="71"/>
      <c r="K153" s="72">
        <v>-34</v>
      </c>
      <c r="L153" s="70"/>
      <c r="M153" s="102"/>
      <c r="N153" s="103"/>
      <c r="O153" s="424"/>
      <c r="P153" s="285" t="s">
        <v>58</v>
      </c>
      <c r="Q153" s="44"/>
      <c r="R153" s="258"/>
    </row>
    <row r="154" spans="1:18" ht="14.25" thickTop="1" thickBot="1">
      <c r="A154" s="44"/>
      <c r="B154" s="688"/>
      <c r="C154" s="688"/>
      <c r="D154" s="458">
        <f>D153+0.0001</f>
        <v>4.4131999999999998</v>
      </c>
      <c r="E154" s="459">
        <f>D153</f>
        <v>4.4131</v>
      </c>
      <c r="F154" s="452"/>
      <c r="G154" s="453">
        <v>4.2380000000000004</v>
      </c>
      <c r="H154" s="454">
        <v>-3.9203999999999999</v>
      </c>
      <c r="I154" s="455"/>
      <c r="J154" s="456"/>
      <c r="K154" s="457"/>
      <c r="L154" s="455"/>
      <c r="M154" s="478"/>
      <c r="N154" s="479"/>
      <c r="O154" s="480"/>
      <c r="P154" s="286" t="s">
        <v>47</v>
      </c>
      <c r="Q154" s="44"/>
      <c r="R154" s="258"/>
    </row>
    <row r="155" spans="1:18" ht="14.25" thickTop="1" thickBot="1">
      <c r="A155" s="44"/>
      <c r="B155" s="684">
        <v>5.4169999999999998</v>
      </c>
      <c r="C155" s="684" t="s">
        <v>19</v>
      </c>
      <c r="D155" s="519">
        <f>B155+0.0001</f>
        <v>5.4170999999999996</v>
      </c>
      <c r="E155" s="520">
        <v>5</v>
      </c>
      <c r="F155" s="521"/>
      <c r="G155" s="522"/>
      <c r="H155" s="523"/>
      <c r="I155" s="524"/>
      <c r="J155" s="525"/>
      <c r="K155" s="526">
        <v>-13</v>
      </c>
      <c r="L155" s="524"/>
      <c r="M155" s="527"/>
      <c r="N155" s="528"/>
      <c r="O155" s="529"/>
      <c r="P155" s="285" t="s">
        <v>59</v>
      </c>
      <c r="Q155" s="44"/>
      <c r="R155" s="258"/>
    </row>
    <row r="156" spans="1:18" ht="13.5" thickTop="1">
      <c r="A156" s="44"/>
      <c r="B156" s="685"/>
      <c r="C156" s="685"/>
      <c r="D156" s="137">
        <f>D155+0.0001</f>
        <v>5.4171999999999993</v>
      </c>
      <c r="E156" s="138">
        <f>D155</f>
        <v>5.4170999999999996</v>
      </c>
      <c r="F156" s="139"/>
      <c r="G156" s="140">
        <v>4.2380000000000004</v>
      </c>
      <c r="H156" s="141">
        <v>-2.8424</v>
      </c>
      <c r="I156" s="142"/>
      <c r="J156" s="143"/>
      <c r="K156" s="144"/>
      <c r="L156" s="142"/>
      <c r="M156" s="145"/>
      <c r="N156" s="146"/>
      <c r="O156" s="530"/>
      <c r="P156" s="286" t="s">
        <v>46</v>
      </c>
      <c r="Q156" s="44"/>
      <c r="R156" s="258"/>
    </row>
    <row r="157" spans="1:18" ht="13.5" thickBot="1">
      <c r="A157" s="44"/>
      <c r="B157" s="683">
        <v>5.4219999999999997</v>
      </c>
      <c r="C157" s="683" t="s">
        <v>19</v>
      </c>
      <c r="D157" s="28">
        <f>B157+0.0001</f>
        <v>5.4220999999999995</v>
      </c>
      <c r="E157" s="29">
        <v>5</v>
      </c>
      <c r="F157" s="67"/>
      <c r="G157" s="68"/>
      <c r="H157" s="69"/>
      <c r="I157" s="70"/>
      <c r="J157" s="71"/>
      <c r="K157" s="72">
        <v>-29</v>
      </c>
      <c r="L157" s="70"/>
      <c r="M157" s="102"/>
      <c r="N157" s="103"/>
      <c r="O157" s="424"/>
      <c r="P157" s="285" t="s">
        <v>58</v>
      </c>
      <c r="Q157" s="44"/>
      <c r="R157" s="258"/>
    </row>
    <row r="158" spans="1:18" ht="13.5" thickTop="1">
      <c r="A158" s="44"/>
      <c r="B158" s="683"/>
      <c r="C158" s="683"/>
      <c r="D158" s="28">
        <f>D157+0.0001</f>
        <v>5.4221999999999992</v>
      </c>
      <c r="E158" s="29">
        <f>D157</f>
        <v>5.4220999999999995</v>
      </c>
      <c r="F158" s="67"/>
      <c r="G158" s="68">
        <v>4.2380000000000004</v>
      </c>
      <c r="H158" s="69">
        <v>-3.2017000000000002</v>
      </c>
      <c r="I158" s="70"/>
      <c r="J158" s="71"/>
      <c r="K158" s="76"/>
      <c r="L158" s="70"/>
      <c r="M158" s="104"/>
      <c r="N158" s="105"/>
      <c r="O158" s="424"/>
      <c r="P158" s="286" t="s">
        <v>47</v>
      </c>
      <c r="Q158" s="44"/>
      <c r="R158" s="258"/>
    </row>
    <row r="159" spans="1:18" ht="13.5" thickBot="1">
      <c r="A159" s="44"/>
      <c r="B159" s="685">
        <v>5.4269999999999996</v>
      </c>
      <c r="C159" s="685" t="s">
        <v>19</v>
      </c>
      <c r="D159" s="137">
        <f>B159+0.0001</f>
        <v>5.4270999999999994</v>
      </c>
      <c r="E159" s="138">
        <v>5</v>
      </c>
      <c r="F159" s="139"/>
      <c r="G159" s="140"/>
      <c r="H159" s="141"/>
      <c r="I159" s="142"/>
      <c r="J159" s="143"/>
      <c r="K159" s="147">
        <v>-20</v>
      </c>
      <c r="L159" s="142"/>
      <c r="M159" s="148"/>
      <c r="N159" s="149"/>
      <c r="O159" s="530"/>
      <c r="P159" s="285" t="s">
        <v>59</v>
      </c>
      <c r="Q159" s="44"/>
      <c r="R159" s="258"/>
    </row>
    <row r="160" spans="1:18" ht="13.5" thickTop="1">
      <c r="A160" s="44"/>
      <c r="B160" s="697"/>
      <c r="C160" s="697"/>
      <c r="D160" s="531">
        <f>D159+0.0001</f>
        <v>5.4271999999999991</v>
      </c>
      <c r="E160" s="532">
        <f>D159</f>
        <v>5.4270999999999994</v>
      </c>
      <c r="F160" s="533"/>
      <c r="G160" s="534">
        <v>4.2380000000000004</v>
      </c>
      <c r="H160" s="535">
        <v>-3.5611000000000002</v>
      </c>
      <c r="I160" s="536"/>
      <c r="J160" s="537"/>
      <c r="K160" s="538"/>
      <c r="L160" s="536"/>
      <c r="M160" s="539"/>
      <c r="N160" s="540"/>
      <c r="O160" s="541"/>
      <c r="P160" s="286" t="s">
        <v>46</v>
      </c>
      <c r="Q160" s="44"/>
      <c r="R160" s="258"/>
    </row>
    <row r="161" spans="1:18" ht="13.5" thickBot="1">
      <c r="A161" s="44"/>
      <c r="B161" s="698">
        <v>5.4119999999999999</v>
      </c>
      <c r="C161" s="698" t="s">
        <v>19</v>
      </c>
      <c r="D161" s="28">
        <f>B161+0.0001</f>
        <v>5.4120999999999997</v>
      </c>
      <c r="E161" s="29">
        <v>5</v>
      </c>
      <c r="F161" s="67"/>
      <c r="G161" s="68"/>
      <c r="H161" s="69"/>
      <c r="I161" s="70"/>
      <c r="J161" s="71"/>
      <c r="K161" s="72">
        <v>-34</v>
      </c>
      <c r="L161" s="70"/>
      <c r="M161" s="102"/>
      <c r="N161" s="103"/>
      <c r="O161" s="424"/>
      <c r="P161" s="285" t="s">
        <v>58</v>
      </c>
      <c r="Q161" s="44"/>
      <c r="R161" s="258"/>
    </row>
    <row r="162" spans="1:18" ht="14.25" thickTop="1" thickBot="1">
      <c r="A162" s="44"/>
      <c r="B162" s="699"/>
      <c r="C162" s="699"/>
      <c r="D162" s="458">
        <f>D161+0.0001</f>
        <v>5.4121999999999995</v>
      </c>
      <c r="E162" s="459">
        <f>D161</f>
        <v>5.4120999999999997</v>
      </c>
      <c r="F162" s="452"/>
      <c r="G162" s="453">
        <v>4.2380000000000004</v>
      </c>
      <c r="H162" s="454">
        <v>-3.9203999999999999</v>
      </c>
      <c r="I162" s="455"/>
      <c r="J162" s="456"/>
      <c r="K162" s="457"/>
      <c r="L162" s="455"/>
      <c r="M162" s="478"/>
      <c r="N162" s="479"/>
      <c r="O162" s="480"/>
      <c r="P162" s="286" t="s">
        <v>47</v>
      </c>
      <c r="Q162" s="44"/>
      <c r="R162" s="258"/>
    </row>
    <row r="163" spans="1:18" ht="14.25" thickTop="1" thickBot="1">
      <c r="Q163" s="42"/>
      <c r="R163" s="42"/>
    </row>
    <row r="164" spans="1:18" ht="14.25" thickTop="1" thickBot="1">
      <c r="B164" s="642">
        <v>1.5309999999999999</v>
      </c>
      <c r="C164" s="642" t="s">
        <v>10</v>
      </c>
      <c r="D164" s="45">
        <f>B164+0.0001</f>
        <v>1.5310999999999999</v>
      </c>
      <c r="E164" s="46">
        <v>1</v>
      </c>
      <c r="F164" s="47"/>
      <c r="G164" s="48"/>
      <c r="H164" s="49"/>
      <c r="I164" s="50"/>
      <c r="J164" s="51"/>
      <c r="K164" s="52">
        <v>-7</v>
      </c>
      <c r="L164" s="50"/>
      <c r="M164" s="53"/>
      <c r="N164" s="54"/>
      <c r="O164" s="55"/>
      <c r="P164" s="200" t="s">
        <v>131</v>
      </c>
    </row>
    <row r="165" spans="1:18" ht="14.25" thickTop="1" thickBot="1">
      <c r="B165" s="696"/>
      <c r="C165" s="696"/>
      <c r="D165" s="542">
        <f>D164+0.0001</f>
        <v>1.5311999999999999</v>
      </c>
      <c r="E165" s="543">
        <f>D164</f>
        <v>1.5310999999999999</v>
      </c>
      <c r="F165" s="544"/>
      <c r="G165" s="545">
        <v>4.1994999999999996</v>
      </c>
      <c r="H165" s="546">
        <v>-4.2493999999999996</v>
      </c>
      <c r="I165" s="547">
        <v>-105</v>
      </c>
      <c r="J165" s="548">
        <v>40</v>
      </c>
      <c r="K165" s="549"/>
      <c r="L165" s="547"/>
      <c r="M165" s="550"/>
      <c r="N165" s="551"/>
      <c r="O165" s="552"/>
      <c r="P165" s="201" t="s">
        <v>132</v>
      </c>
    </row>
    <row r="166" spans="1:18" ht="14.25" thickTop="1" thickBot="1">
      <c r="B166" s="681">
        <f>B164+1</f>
        <v>2.5309999999999997</v>
      </c>
      <c r="C166" s="681" t="s">
        <v>10</v>
      </c>
      <c r="D166" s="463">
        <f>B166+0.0001</f>
        <v>2.5310999999999999</v>
      </c>
      <c r="E166" s="464">
        <v>2</v>
      </c>
      <c r="F166" s="465"/>
      <c r="G166" s="466"/>
      <c r="H166" s="467"/>
      <c r="I166" s="468"/>
      <c r="J166" s="469"/>
      <c r="K166" s="470">
        <f t="shared" ref="K166" si="67">K164</f>
        <v>-7</v>
      </c>
      <c r="L166" s="468"/>
      <c r="M166" s="471"/>
      <c r="N166" s="472"/>
      <c r="O166" s="473"/>
      <c r="P166" s="200" t="s">
        <v>133</v>
      </c>
    </row>
    <row r="167" spans="1:18" ht="14.25" thickTop="1" thickBot="1">
      <c r="B167" s="689"/>
      <c r="C167" s="689"/>
      <c r="D167" s="553">
        <f>D166+0.0001</f>
        <v>2.5312000000000001</v>
      </c>
      <c r="E167" s="554">
        <f>D166</f>
        <v>2.5310999999999999</v>
      </c>
      <c r="F167" s="555"/>
      <c r="G167" s="556">
        <f t="shared" ref="G167:K168" si="68">G165</f>
        <v>4.1994999999999996</v>
      </c>
      <c r="H167" s="557">
        <f t="shared" si="68"/>
        <v>-4.2493999999999996</v>
      </c>
      <c r="I167" s="558">
        <f t="shared" si="68"/>
        <v>-105</v>
      </c>
      <c r="J167" s="559">
        <f t="shared" si="68"/>
        <v>40</v>
      </c>
      <c r="K167" s="560">
        <f t="shared" si="68"/>
        <v>0</v>
      </c>
      <c r="L167" s="558"/>
      <c r="M167" s="561"/>
      <c r="N167" s="562"/>
      <c r="O167" s="563"/>
      <c r="P167" s="201" t="s">
        <v>134</v>
      </c>
    </row>
    <row r="168" spans="1:18" ht="14.25" thickTop="1" thickBot="1">
      <c r="B168" s="690">
        <f t="shared" ref="B168" si="69">B166+1</f>
        <v>3.5309999999999997</v>
      </c>
      <c r="C168" s="690" t="s">
        <v>10</v>
      </c>
      <c r="D168" s="481">
        <f>B168+0.0001</f>
        <v>3.5310999999999999</v>
      </c>
      <c r="E168" s="482">
        <v>3</v>
      </c>
      <c r="F168" s="483"/>
      <c r="G168" s="484"/>
      <c r="H168" s="485"/>
      <c r="I168" s="486"/>
      <c r="J168" s="487"/>
      <c r="K168" s="488">
        <f t="shared" si="68"/>
        <v>-7</v>
      </c>
      <c r="L168" s="486"/>
      <c r="M168" s="489"/>
      <c r="N168" s="490"/>
      <c r="O168" s="491"/>
      <c r="P168" s="200" t="s">
        <v>133</v>
      </c>
    </row>
    <row r="169" spans="1:18" ht="14.25" thickTop="1" thickBot="1">
      <c r="B169" s="691"/>
      <c r="C169" s="691"/>
      <c r="D169" s="564">
        <f>D168+0.0001</f>
        <v>3.5312000000000001</v>
      </c>
      <c r="E169" s="565">
        <f>D168</f>
        <v>3.5310999999999999</v>
      </c>
      <c r="F169" s="566"/>
      <c r="G169" s="567">
        <f t="shared" ref="G169:K170" si="70">G167</f>
        <v>4.1994999999999996</v>
      </c>
      <c r="H169" s="568">
        <f t="shared" si="70"/>
        <v>-4.2493999999999996</v>
      </c>
      <c r="I169" s="569">
        <f t="shared" si="70"/>
        <v>-105</v>
      </c>
      <c r="J169" s="570">
        <f t="shared" si="70"/>
        <v>40</v>
      </c>
      <c r="K169" s="571">
        <f t="shared" si="70"/>
        <v>0</v>
      </c>
      <c r="L169" s="569"/>
      <c r="M169" s="572"/>
      <c r="N169" s="573"/>
      <c r="O169" s="574"/>
      <c r="P169" s="201" t="s">
        <v>135</v>
      </c>
    </row>
    <row r="170" spans="1:18" ht="14.25" thickTop="1" thickBot="1">
      <c r="B170" s="686">
        <f t="shared" ref="B170" si="71">B168+1</f>
        <v>4.5309999999999997</v>
      </c>
      <c r="C170" s="686" t="s">
        <v>10</v>
      </c>
      <c r="D170" s="504">
        <f>B170+0.0001</f>
        <v>4.5310999999999995</v>
      </c>
      <c r="E170" s="505">
        <v>4</v>
      </c>
      <c r="F170" s="506"/>
      <c r="G170" s="507"/>
      <c r="H170" s="508"/>
      <c r="I170" s="509"/>
      <c r="J170" s="510"/>
      <c r="K170" s="511">
        <f t="shared" si="70"/>
        <v>-7</v>
      </c>
      <c r="L170" s="509"/>
      <c r="M170" s="512"/>
      <c r="N170" s="513"/>
      <c r="O170" s="514"/>
      <c r="P170" s="200" t="s">
        <v>136</v>
      </c>
    </row>
    <row r="171" spans="1:18" ht="14.25" thickTop="1" thickBot="1">
      <c r="B171" s="692"/>
      <c r="C171" s="692"/>
      <c r="D171" s="575">
        <f>D170+0.0001</f>
        <v>4.5311999999999992</v>
      </c>
      <c r="E171" s="576">
        <f>D170</f>
        <v>4.5310999999999995</v>
      </c>
      <c r="F171" s="577"/>
      <c r="G171" s="578">
        <f t="shared" ref="G171:K172" si="72">G169</f>
        <v>4.1994999999999996</v>
      </c>
      <c r="H171" s="579">
        <f t="shared" si="72"/>
        <v>-4.2493999999999996</v>
      </c>
      <c r="I171" s="580">
        <f t="shared" si="72"/>
        <v>-105</v>
      </c>
      <c r="J171" s="581">
        <f t="shared" si="72"/>
        <v>40</v>
      </c>
      <c r="K171" s="582">
        <f t="shared" si="72"/>
        <v>0</v>
      </c>
      <c r="L171" s="580"/>
      <c r="M171" s="583"/>
      <c r="N171" s="584"/>
      <c r="O171" s="585"/>
      <c r="P171" s="201" t="s">
        <v>137</v>
      </c>
    </row>
    <row r="172" spans="1:18" ht="14.25" thickTop="1" thickBot="1">
      <c r="B172" s="684">
        <f t="shared" ref="B172" si="73">B170+1</f>
        <v>5.5309999999999997</v>
      </c>
      <c r="C172" s="684" t="s">
        <v>10</v>
      </c>
      <c r="D172" s="519">
        <f>B172+0.0001</f>
        <v>5.5310999999999995</v>
      </c>
      <c r="E172" s="520">
        <v>5</v>
      </c>
      <c r="F172" s="521"/>
      <c r="G172" s="522"/>
      <c r="H172" s="523"/>
      <c r="I172" s="524"/>
      <c r="J172" s="525"/>
      <c r="K172" s="526">
        <f t="shared" si="72"/>
        <v>-7</v>
      </c>
      <c r="L172" s="524"/>
      <c r="M172" s="527"/>
      <c r="N172" s="528"/>
      <c r="O172" s="529"/>
      <c r="P172" s="200" t="s">
        <v>138</v>
      </c>
    </row>
    <row r="173" spans="1:18" ht="14.25" thickTop="1" thickBot="1">
      <c r="B173" s="693"/>
      <c r="C173" s="693"/>
      <c r="D173" s="586">
        <f>D172+0.0001</f>
        <v>5.5311999999999992</v>
      </c>
      <c r="E173" s="587">
        <f>D172</f>
        <v>5.5310999999999995</v>
      </c>
      <c r="F173" s="588"/>
      <c r="G173" s="589">
        <f t="shared" ref="G173:K173" si="74">G171</f>
        <v>4.1994999999999996</v>
      </c>
      <c r="H173" s="590">
        <f t="shared" si="74"/>
        <v>-4.2493999999999996</v>
      </c>
      <c r="I173" s="591">
        <f t="shared" si="74"/>
        <v>-105</v>
      </c>
      <c r="J173" s="592">
        <f t="shared" si="74"/>
        <v>40</v>
      </c>
      <c r="K173" s="593">
        <f t="shared" si="74"/>
        <v>0</v>
      </c>
      <c r="L173" s="591"/>
      <c r="M173" s="594"/>
      <c r="N173" s="595"/>
      <c r="O173" s="596"/>
    </row>
    <row r="174" spans="1:18" ht="13.5" thickTop="1"/>
    <row r="178" spans="17:18">
      <c r="Q178" s="42"/>
      <c r="R178" s="42"/>
    </row>
    <row r="179" spans="17:18">
      <c r="Q179" s="42"/>
      <c r="R179" s="42"/>
    </row>
    <row r="180" spans="17:18">
      <c r="Q180" s="372"/>
      <c r="R180" s="42"/>
    </row>
    <row r="181" spans="17:18">
      <c r="Q181" s="43"/>
      <c r="R181" s="42"/>
    </row>
  </sheetData>
  <mergeCells count="170">
    <mergeCell ref="B166:B167"/>
    <mergeCell ref="C166:C167"/>
    <mergeCell ref="B168:B169"/>
    <mergeCell ref="C168:C169"/>
    <mergeCell ref="B170:B171"/>
    <mergeCell ref="C170:C171"/>
    <mergeCell ref="B172:B173"/>
    <mergeCell ref="C172:C173"/>
    <mergeCell ref="B139:B140"/>
    <mergeCell ref="C139:C140"/>
    <mergeCell ref="B141:B142"/>
    <mergeCell ref="C141:C142"/>
    <mergeCell ref="B143:B144"/>
    <mergeCell ref="C143:C144"/>
    <mergeCell ref="B145:B146"/>
    <mergeCell ref="C145:C146"/>
    <mergeCell ref="B164:B165"/>
    <mergeCell ref="C164:C165"/>
    <mergeCell ref="B159:B160"/>
    <mergeCell ref="C159:C160"/>
    <mergeCell ref="B161:B162"/>
    <mergeCell ref="C161:C162"/>
    <mergeCell ref="B157:B158"/>
    <mergeCell ref="C157:C158"/>
    <mergeCell ref="B127:B128"/>
    <mergeCell ref="C127:C128"/>
    <mergeCell ref="B129:B130"/>
    <mergeCell ref="C129:C130"/>
    <mergeCell ref="B131:B132"/>
    <mergeCell ref="C131:C132"/>
    <mergeCell ref="B133:B134"/>
    <mergeCell ref="C133:C134"/>
    <mergeCell ref="B155:B156"/>
    <mergeCell ref="C155:C156"/>
    <mergeCell ref="B147:B148"/>
    <mergeCell ref="C147:C148"/>
    <mergeCell ref="B149:B150"/>
    <mergeCell ref="C149:C150"/>
    <mergeCell ref="B151:B152"/>
    <mergeCell ref="C151:C152"/>
    <mergeCell ref="B153:B154"/>
    <mergeCell ref="C153:C154"/>
    <mergeCell ref="B137:B138"/>
    <mergeCell ref="C137:C138"/>
    <mergeCell ref="B135:B136"/>
    <mergeCell ref="C135:C136"/>
    <mergeCell ref="B125:B126"/>
    <mergeCell ref="C125:C126"/>
    <mergeCell ref="B96:B97"/>
    <mergeCell ref="C96:C97"/>
    <mergeCell ref="B100:B101"/>
    <mergeCell ref="C100:C101"/>
    <mergeCell ref="B102:B103"/>
    <mergeCell ref="C102:C103"/>
    <mergeCell ref="B123:B124"/>
    <mergeCell ref="C123:C124"/>
    <mergeCell ref="B118:B119"/>
    <mergeCell ref="C118:C119"/>
    <mergeCell ref="B120:B121"/>
    <mergeCell ref="C120:C121"/>
    <mergeCell ref="B112:B113"/>
    <mergeCell ref="C112:C113"/>
    <mergeCell ref="B110:B111"/>
    <mergeCell ref="C110:C111"/>
    <mergeCell ref="B114:B115"/>
    <mergeCell ref="C114:C115"/>
    <mergeCell ref="B116:B117"/>
    <mergeCell ref="C116:C117"/>
    <mergeCell ref="B88:B89"/>
    <mergeCell ref="C88:C89"/>
    <mergeCell ref="B92:B93"/>
    <mergeCell ref="C92:C93"/>
    <mergeCell ref="B90:B91"/>
    <mergeCell ref="C90:C91"/>
    <mergeCell ref="B98:B99"/>
    <mergeCell ref="C98:C99"/>
    <mergeCell ref="B108:B109"/>
    <mergeCell ref="C108:C109"/>
    <mergeCell ref="B104:B105"/>
    <mergeCell ref="C104:C105"/>
    <mergeCell ref="B106:B107"/>
    <mergeCell ref="C106:C107"/>
    <mergeCell ref="B94:B95"/>
    <mergeCell ref="C94:C95"/>
    <mergeCell ref="A1:B1"/>
    <mergeCell ref="C1:D1"/>
    <mergeCell ref="B11:B12"/>
    <mergeCell ref="C11:C12"/>
    <mergeCell ref="B53:B54"/>
    <mergeCell ref="B41:B42"/>
    <mergeCell ref="C43:C44"/>
    <mergeCell ref="B31:B32"/>
    <mergeCell ref="B33:B34"/>
    <mergeCell ref="B17:B18"/>
    <mergeCell ref="C17:C18"/>
    <mergeCell ref="C41:C42"/>
    <mergeCell ref="B2:B3"/>
    <mergeCell ref="B19:B20"/>
    <mergeCell ref="C31:C32"/>
    <mergeCell ref="B21:B22"/>
    <mergeCell ref="C21:C22"/>
    <mergeCell ref="B15:B16"/>
    <mergeCell ref="C15:C16"/>
    <mergeCell ref="B29:B30"/>
    <mergeCell ref="C29:C30"/>
    <mergeCell ref="B23:B24"/>
    <mergeCell ref="C23:C24"/>
    <mergeCell ref="B25:B26"/>
    <mergeCell ref="C25:C26"/>
    <mergeCell ref="B39:B40"/>
    <mergeCell ref="C39:C40"/>
    <mergeCell ref="C49:C50"/>
    <mergeCell ref="F2:H2"/>
    <mergeCell ref="I2:K2"/>
    <mergeCell ref="B9:B10"/>
    <mergeCell ref="C9:C10"/>
    <mergeCell ref="B13:B14"/>
    <mergeCell ref="C13:C14"/>
    <mergeCell ref="D2:D3"/>
    <mergeCell ref="E2:E3"/>
    <mergeCell ref="C19:C20"/>
    <mergeCell ref="C2:C3"/>
    <mergeCell ref="C33:C34"/>
    <mergeCell ref="C47:C48"/>
    <mergeCell ref="B27:B28"/>
    <mergeCell ref="C27:C28"/>
    <mergeCell ref="B59:B60"/>
    <mergeCell ref="C59:C60"/>
    <mergeCell ref="B35:B36"/>
    <mergeCell ref="C35:C36"/>
    <mergeCell ref="B37:B38"/>
    <mergeCell ref="C37:C38"/>
    <mergeCell ref="B43:B44"/>
    <mergeCell ref="B51:B52"/>
    <mergeCell ref="B45:B46"/>
    <mergeCell ref="B57:B58"/>
    <mergeCell ref="C57:C58"/>
    <mergeCell ref="C53:C54"/>
    <mergeCell ref="B55:B56"/>
    <mergeCell ref="C55:C56"/>
    <mergeCell ref="C45:C46"/>
    <mergeCell ref="B49:B50"/>
    <mergeCell ref="B47:B48"/>
    <mergeCell ref="C51:C52"/>
    <mergeCell ref="B69:B70"/>
    <mergeCell ref="C69:C70"/>
    <mergeCell ref="B61:B62"/>
    <mergeCell ref="C61:C62"/>
    <mergeCell ref="B67:B68"/>
    <mergeCell ref="C67:C68"/>
    <mergeCell ref="B63:B64"/>
    <mergeCell ref="C63:C64"/>
    <mergeCell ref="B65:B66"/>
    <mergeCell ref="C65:C66"/>
    <mergeCell ref="B71:B72"/>
    <mergeCell ref="C71:C72"/>
    <mergeCell ref="B73:B74"/>
    <mergeCell ref="C73:C74"/>
    <mergeCell ref="B86:B87"/>
    <mergeCell ref="C86:C87"/>
    <mergeCell ref="B82:B83"/>
    <mergeCell ref="C82:C83"/>
    <mergeCell ref="B84:B85"/>
    <mergeCell ref="C84:C85"/>
    <mergeCell ref="B80:B81"/>
    <mergeCell ref="C80:C81"/>
    <mergeCell ref="B76:B77"/>
    <mergeCell ref="C76:C77"/>
    <mergeCell ref="B78:B79"/>
    <mergeCell ref="C78:C79"/>
  </mergeCells>
  <phoneticPr fontId="2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rowBreaks count="3" manualBreakCount="3">
    <brk id="42" max="15" man="1"/>
    <brk id="74" max="15" man="1"/>
    <brk id="122" max="15" man="1"/>
  </rowBreaks>
  <ignoredErrors>
    <ignoredError sqref="D14 D16 D18 D20 D22 D24" formula="1"/>
  </ignoredErrors>
  <legacyDrawing r:id="rId2"/>
  <controls>
    <control shapeId="1140" r:id="rId3" name="CommandButton2"/>
    <control shapeId="113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dimension ref="A1:D24"/>
  <sheetViews>
    <sheetView topLeftCell="A4" zoomScale="130" zoomScaleNormal="130" workbookViewId="0">
      <selection activeCell="C22" sqref="C22"/>
    </sheetView>
  </sheetViews>
  <sheetFormatPr defaultRowHeight="12.75"/>
  <cols>
    <col min="3" max="3" width="18.5703125" customWidth="1"/>
    <col min="4" max="4" width="16.28515625" customWidth="1"/>
    <col min="259" max="259" width="18.5703125" customWidth="1"/>
    <col min="260" max="260" width="16.28515625" customWidth="1"/>
    <col min="515" max="515" width="18.5703125" customWidth="1"/>
    <col min="516" max="516" width="16.28515625" customWidth="1"/>
    <col min="771" max="771" width="18.5703125" customWidth="1"/>
    <col min="772" max="772" width="16.28515625" customWidth="1"/>
    <col min="1027" max="1027" width="18.5703125" customWidth="1"/>
    <col min="1028" max="1028" width="16.28515625" customWidth="1"/>
    <col min="1283" max="1283" width="18.5703125" customWidth="1"/>
    <col min="1284" max="1284" width="16.28515625" customWidth="1"/>
    <col min="1539" max="1539" width="18.5703125" customWidth="1"/>
    <col min="1540" max="1540" width="16.28515625" customWidth="1"/>
    <col min="1795" max="1795" width="18.5703125" customWidth="1"/>
    <col min="1796" max="1796" width="16.28515625" customWidth="1"/>
    <col min="2051" max="2051" width="18.5703125" customWidth="1"/>
    <col min="2052" max="2052" width="16.28515625" customWidth="1"/>
    <col min="2307" max="2307" width="18.5703125" customWidth="1"/>
    <col min="2308" max="2308" width="16.28515625" customWidth="1"/>
    <col min="2563" max="2563" width="18.5703125" customWidth="1"/>
    <col min="2564" max="2564" width="16.28515625" customWidth="1"/>
    <col min="2819" max="2819" width="18.5703125" customWidth="1"/>
    <col min="2820" max="2820" width="16.28515625" customWidth="1"/>
    <col min="3075" max="3075" width="18.5703125" customWidth="1"/>
    <col min="3076" max="3076" width="16.28515625" customWidth="1"/>
    <col min="3331" max="3331" width="18.5703125" customWidth="1"/>
    <col min="3332" max="3332" width="16.28515625" customWidth="1"/>
    <col min="3587" max="3587" width="18.5703125" customWidth="1"/>
    <col min="3588" max="3588" width="16.28515625" customWidth="1"/>
    <col min="3843" max="3843" width="18.5703125" customWidth="1"/>
    <col min="3844" max="3844" width="16.28515625" customWidth="1"/>
    <col min="4099" max="4099" width="18.5703125" customWidth="1"/>
    <col min="4100" max="4100" width="16.28515625" customWidth="1"/>
    <col min="4355" max="4355" width="18.5703125" customWidth="1"/>
    <col min="4356" max="4356" width="16.28515625" customWidth="1"/>
    <col min="4611" max="4611" width="18.5703125" customWidth="1"/>
    <col min="4612" max="4612" width="16.28515625" customWidth="1"/>
    <col min="4867" max="4867" width="18.5703125" customWidth="1"/>
    <col min="4868" max="4868" width="16.28515625" customWidth="1"/>
    <col min="5123" max="5123" width="18.5703125" customWidth="1"/>
    <col min="5124" max="5124" width="16.28515625" customWidth="1"/>
    <col min="5379" max="5379" width="18.5703125" customWidth="1"/>
    <col min="5380" max="5380" width="16.28515625" customWidth="1"/>
    <col min="5635" max="5635" width="18.5703125" customWidth="1"/>
    <col min="5636" max="5636" width="16.28515625" customWidth="1"/>
    <col min="5891" max="5891" width="18.5703125" customWidth="1"/>
    <col min="5892" max="5892" width="16.28515625" customWidth="1"/>
    <col min="6147" max="6147" width="18.5703125" customWidth="1"/>
    <col min="6148" max="6148" width="16.28515625" customWidth="1"/>
    <col min="6403" max="6403" width="18.5703125" customWidth="1"/>
    <col min="6404" max="6404" width="16.28515625" customWidth="1"/>
    <col min="6659" max="6659" width="18.5703125" customWidth="1"/>
    <col min="6660" max="6660" width="16.28515625" customWidth="1"/>
    <col min="6915" max="6915" width="18.5703125" customWidth="1"/>
    <col min="6916" max="6916" width="16.28515625" customWidth="1"/>
    <col min="7171" max="7171" width="18.5703125" customWidth="1"/>
    <col min="7172" max="7172" width="16.28515625" customWidth="1"/>
    <col min="7427" max="7427" width="18.5703125" customWidth="1"/>
    <col min="7428" max="7428" width="16.28515625" customWidth="1"/>
    <col min="7683" max="7683" width="18.5703125" customWidth="1"/>
    <col min="7684" max="7684" width="16.28515625" customWidth="1"/>
    <col min="7939" max="7939" width="18.5703125" customWidth="1"/>
    <col min="7940" max="7940" width="16.28515625" customWidth="1"/>
    <col min="8195" max="8195" width="18.5703125" customWidth="1"/>
    <col min="8196" max="8196" width="16.28515625" customWidth="1"/>
    <col min="8451" max="8451" width="18.5703125" customWidth="1"/>
    <col min="8452" max="8452" width="16.28515625" customWidth="1"/>
    <col min="8707" max="8707" width="18.5703125" customWidth="1"/>
    <col min="8708" max="8708" width="16.28515625" customWidth="1"/>
    <col min="8963" max="8963" width="18.5703125" customWidth="1"/>
    <col min="8964" max="8964" width="16.28515625" customWidth="1"/>
    <col min="9219" max="9219" width="18.5703125" customWidth="1"/>
    <col min="9220" max="9220" width="16.28515625" customWidth="1"/>
    <col min="9475" max="9475" width="18.5703125" customWidth="1"/>
    <col min="9476" max="9476" width="16.28515625" customWidth="1"/>
    <col min="9731" max="9731" width="18.5703125" customWidth="1"/>
    <col min="9732" max="9732" width="16.28515625" customWidth="1"/>
    <col min="9987" max="9987" width="18.5703125" customWidth="1"/>
    <col min="9988" max="9988" width="16.28515625" customWidth="1"/>
    <col min="10243" max="10243" width="18.5703125" customWidth="1"/>
    <col min="10244" max="10244" width="16.28515625" customWidth="1"/>
    <col min="10499" max="10499" width="18.5703125" customWidth="1"/>
    <col min="10500" max="10500" width="16.28515625" customWidth="1"/>
    <col min="10755" max="10755" width="18.5703125" customWidth="1"/>
    <col min="10756" max="10756" width="16.28515625" customWidth="1"/>
    <col min="11011" max="11011" width="18.5703125" customWidth="1"/>
    <col min="11012" max="11012" width="16.28515625" customWidth="1"/>
    <col min="11267" max="11267" width="18.5703125" customWidth="1"/>
    <col min="11268" max="11268" width="16.28515625" customWidth="1"/>
    <col min="11523" max="11523" width="18.5703125" customWidth="1"/>
    <col min="11524" max="11524" width="16.28515625" customWidth="1"/>
    <col min="11779" max="11779" width="18.5703125" customWidth="1"/>
    <col min="11780" max="11780" width="16.28515625" customWidth="1"/>
    <col min="12035" max="12035" width="18.5703125" customWidth="1"/>
    <col min="12036" max="12036" width="16.28515625" customWidth="1"/>
    <col min="12291" max="12291" width="18.5703125" customWidth="1"/>
    <col min="12292" max="12292" width="16.28515625" customWidth="1"/>
    <col min="12547" max="12547" width="18.5703125" customWidth="1"/>
    <col min="12548" max="12548" width="16.28515625" customWidth="1"/>
    <col min="12803" max="12803" width="18.5703125" customWidth="1"/>
    <col min="12804" max="12804" width="16.28515625" customWidth="1"/>
    <col min="13059" max="13059" width="18.5703125" customWidth="1"/>
    <col min="13060" max="13060" width="16.28515625" customWidth="1"/>
    <col min="13315" max="13315" width="18.5703125" customWidth="1"/>
    <col min="13316" max="13316" width="16.28515625" customWidth="1"/>
    <col min="13571" max="13571" width="18.5703125" customWidth="1"/>
    <col min="13572" max="13572" width="16.28515625" customWidth="1"/>
    <col min="13827" max="13827" width="18.5703125" customWidth="1"/>
    <col min="13828" max="13828" width="16.28515625" customWidth="1"/>
    <col min="14083" max="14083" width="18.5703125" customWidth="1"/>
    <col min="14084" max="14084" width="16.28515625" customWidth="1"/>
    <col min="14339" max="14339" width="18.5703125" customWidth="1"/>
    <col min="14340" max="14340" width="16.28515625" customWidth="1"/>
    <col min="14595" max="14595" width="18.5703125" customWidth="1"/>
    <col min="14596" max="14596" width="16.28515625" customWidth="1"/>
    <col min="14851" max="14851" width="18.5703125" customWidth="1"/>
    <col min="14852" max="14852" width="16.28515625" customWidth="1"/>
    <col min="15107" max="15107" width="18.5703125" customWidth="1"/>
    <col min="15108" max="15108" width="16.28515625" customWidth="1"/>
    <col min="15363" max="15363" width="18.5703125" customWidth="1"/>
    <col min="15364" max="15364" width="16.28515625" customWidth="1"/>
    <col min="15619" max="15619" width="18.5703125" customWidth="1"/>
    <col min="15620" max="15620" width="16.28515625" customWidth="1"/>
    <col min="15875" max="15875" width="18.5703125" customWidth="1"/>
    <col min="15876" max="15876" width="16.28515625" customWidth="1"/>
    <col min="16131" max="16131" width="18.5703125" customWidth="1"/>
    <col min="16132" max="16132" width="16.28515625" customWidth="1"/>
  </cols>
  <sheetData>
    <row r="1" spans="1:4" ht="26.25">
      <c r="A1" s="184"/>
      <c r="B1" s="184"/>
      <c r="C1" s="184"/>
      <c r="D1" s="184"/>
    </row>
    <row r="2" spans="1:4" ht="26.25">
      <c r="A2" s="184"/>
      <c r="B2" s="184"/>
      <c r="C2" s="184"/>
      <c r="D2" s="184"/>
    </row>
    <row r="3" spans="1:4" ht="26.25">
      <c r="A3" s="700"/>
      <c r="B3" s="700"/>
      <c r="C3" s="700"/>
      <c r="D3" s="700"/>
    </row>
    <row r="4" spans="1:4">
      <c r="A4" s="701" t="s">
        <v>32</v>
      </c>
      <c r="B4" s="701"/>
      <c r="C4" s="701"/>
      <c r="D4" s="701"/>
    </row>
    <row r="5" spans="1:4">
      <c r="A5" s="185"/>
      <c r="B5" s="185"/>
      <c r="C5" s="185"/>
      <c r="D5" s="185"/>
    </row>
    <row r="6" spans="1:4" ht="13.5" thickBot="1">
      <c r="A6" s="185"/>
      <c r="B6" s="185"/>
      <c r="C6" s="185"/>
      <c r="D6" s="185"/>
    </row>
    <row r="7" spans="1:4" ht="13.5" thickTop="1">
      <c r="A7" s="702" t="s">
        <v>33</v>
      </c>
      <c r="B7" s="186" t="s">
        <v>34</v>
      </c>
      <c r="C7" s="704" t="s">
        <v>35</v>
      </c>
      <c r="D7" s="704" t="s">
        <v>36</v>
      </c>
    </row>
    <row r="8" spans="1:4" ht="13.5" thickBot="1">
      <c r="A8" s="703"/>
      <c r="B8" s="187" t="s">
        <v>37</v>
      </c>
      <c r="C8" s="705"/>
      <c r="D8" s="705"/>
    </row>
    <row r="9" spans="1:4">
      <c r="A9" s="188"/>
      <c r="B9" s="189">
        <v>1</v>
      </c>
      <c r="C9" s="190">
        <v>96.76</v>
      </c>
      <c r="D9" s="191">
        <f t="shared" ref="D9:D23" si="0">(C9-90)*65/90</f>
        <v>4.882222222222226</v>
      </c>
    </row>
    <row r="10" spans="1:4">
      <c r="A10" s="192"/>
      <c r="B10" s="193">
        <f>B9+1</f>
        <v>2</v>
      </c>
      <c r="C10" s="194">
        <v>103.47</v>
      </c>
      <c r="D10" s="195">
        <f t="shared" si="0"/>
        <v>9.7283333333333335</v>
      </c>
    </row>
    <row r="11" spans="1:4">
      <c r="A11" s="188"/>
      <c r="B11" s="189">
        <f t="shared" ref="B11:B23" si="1">B10+1</f>
        <v>3</v>
      </c>
      <c r="C11" s="190">
        <v>110.18</v>
      </c>
      <c r="D11" s="191">
        <f t="shared" si="0"/>
        <v>14.574444444444451</v>
      </c>
    </row>
    <row r="12" spans="1:4">
      <c r="A12" s="192"/>
      <c r="B12" s="193">
        <f t="shared" si="1"/>
        <v>4</v>
      </c>
      <c r="C12" s="194">
        <v>116.89</v>
      </c>
      <c r="D12" s="195">
        <f t="shared" si="0"/>
        <v>19.420555555555556</v>
      </c>
    </row>
    <row r="13" spans="1:4">
      <c r="A13" s="188"/>
      <c r="B13" s="189">
        <f t="shared" si="1"/>
        <v>5</v>
      </c>
      <c r="C13" s="190">
        <v>123.6</v>
      </c>
      <c r="D13" s="191">
        <f t="shared" si="0"/>
        <v>24.266666666666662</v>
      </c>
    </row>
    <row r="14" spans="1:4">
      <c r="A14" s="192"/>
      <c r="B14" s="193">
        <f t="shared" si="1"/>
        <v>6</v>
      </c>
      <c r="C14" s="194">
        <v>130.31</v>
      </c>
      <c r="D14" s="195">
        <f t="shared" si="0"/>
        <v>29.112777777777779</v>
      </c>
    </row>
    <row r="15" spans="1:4">
      <c r="A15" s="188"/>
      <c r="B15" s="189">
        <f t="shared" si="1"/>
        <v>7</v>
      </c>
      <c r="C15" s="190">
        <v>136.96</v>
      </c>
      <c r="D15" s="191">
        <f t="shared" si="0"/>
        <v>33.915555555555564</v>
      </c>
    </row>
    <row r="16" spans="1:4">
      <c r="A16" s="192"/>
      <c r="B16" s="193">
        <f t="shared" si="1"/>
        <v>8</v>
      </c>
      <c r="C16" s="194">
        <v>143.6</v>
      </c>
      <c r="D16" s="195">
        <f t="shared" si="0"/>
        <v>38.711111111111109</v>
      </c>
    </row>
    <row r="17" spans="1:4">
      <c r="A17" s="188"/>
      <c r="B17" s="189">
        <f t="shared" si="1"/>
        <v>9</v>
      </c>
      <c r="C17" s="190">
        <v>150.24</v>
      </c>
      <c r="D17" s="191">
        <f t="shared" ref="D17:D20" si="2">(C17-90)*65/90</f>
        <v>43.506666666666668</v>
      </c>
    </row>
    <row r="18" spans="1:4">
      <c r="A18" s="192"/>
      <c r="B18" s="193">
        <f t="shared" si="1"/>
        <v>10</v>
      </c>
      <c r="C18" s="194">
        <v>156.88999999999999</v>
      </c>
      <c r="D18" s="195">
        <f t="shared" si="2"/>
        <v>48.309444444444438</v>
      </c>
    </row>
    <row r="19" spans="1:4">
      <c r="A19" s="188"/>
      <c r="B19" s="189">
        <v>11</v>
      </c>
      <c r="C19" s="190">
        <v>157.72</v>
      </c>
      <c r="D19" s="191">
        <f t="shared" si="2"/>
        <v>48.908888888888889</v>
      </c>
    </row>
    <row r="20" spans="1:4">
      <c r="A20" s="192"/>
      <c r="B20" s="193">
        <v>12</v>
      </c>
      <c r="C20" s="194">
        <v>163.53</v>
      </c>
      <c r="D20" s="195">
        <f t="shared" si="2"/>
        <v>53.104999999999997</v>
      </c>
    </row>
    <row r="21" spans="1:4">
      <c r="A21" s="188"/>
      <c r="B21" s="189">
        <v>13</v>
      </c>
      <c r="C21" s="190">
        <v>170.49</v>
      </c>
      <c r="D21" s="191">
        <f t="shared" ref="D21:D22" si="3">(C21-90)*65/90</f>
        <v>58.131666666666668</v>
      </c>
    </row>
    <row r="22" spans="1:4">
      <c r="A22" s="192"/>
      <c r="B22" s="193">
        <v>14</v>
      </c>
      <c r="C22" s="194">
        <v>177.07</v>
      </c>
      <c r="D22" s="195">
        <f t="shared" si="3"/>
        <v>62.883888888888883</v>
      </c>
    </row>
    <row r="23" spans="1:4" ht="13.5" thickBot="1">
      <c r="A23" s="196" t="s">
        <v>38</v>
      </c>
      <c r="B23" s="197">
        <f t="shared" si="1"/>
        <v>15</v>
      </c>
      <c r="C23" s="198">
        <v>180</v>
      </c>
      <c r="D23" s="199">
        <f t="shared" si="0"/>
        <v>65</v>
      </c>
    </row>
    <row r="24" spans="1:4" ht="13.5" thickTop="1">
      <c r="D24" s="2"/>
    </row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B2:C4"/>
  <sheetViews>
    <sheetView workbookViewId="0">
      <selection activeCell="C4" sqref="C4"/>
    </sheetView>
  </sheetViews>
  <sheetFormatPr defaultRowHeight="12.75"/>
  <sheetData>
    <row r="2" spans="2:3">
      <c r="B2" t="s">
        <v>65</v>
      </c>
      <c r="C2">
        <v>150</v>
      </c>
    </row>
    <row r="3" spans="2:3">
      <c r="B3" t="s">
        <v>66</v>
      </c>
      <c r="C3">
        <v>70</v>
      </c>
    </row>
    <row r="4" spans="2:3">
      <c r="C4" s="258">
        <f>C3/(C2*5)</f>
        <v>9.3333333333333338E-2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13" sqref="B13"/>
    </sheetView>
  </sheetViews>
  <sheetFormatPr defaultRowHeight="12.75"/>
  <cols>
    <col min="2" max="2" width="15.5703125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81" t="s">
        <v>25</v>
      </c>
      <c r="C2" s="182" t="s">
        <v>12</v>
      </c>
      <c r="D2" s="182" t="s">
        <v>13</v>
      </c>
      <c r="E2" s="182" t="s">
        <v>15</v>
      </c>
      <c r="F2" s="182" t="s">
        <v>14</v>
      </c>
      <c r="G2" s="183" t="s">
        <v>24</v>
      </c>
    </row>
    <row r="3" spans="2:19">
      <c r="B3" s="178" t="s">
        <v>10</v>
      </c>
      <c r="C3" s="179">
        <f>0.532/2</f>
        <v>0.26600000000000001</v>
      </c>
      <c r="D3" s="179">
        <v>0.52</v>
      </c>
      <c r="E3" s="179">
        <v>0.68799999999999994</v>
      </c>
      <c r="F3" s="179">
        <v>6</v>
      </c>
      <c r="G3" s="180">
        <v>0</v>
      </c>
      <c r="I3" s="157"/>
      <c r="J3" s="158"/>
      <c r="K3" s="158"/>
      <c r="L3" s="158"/>
      <c r="M3" s="158"/>
      <c r="N3" s="158"/>
      <c r="O3" s="158"/>
      <c r="P3" s="158"/>
      <c r="Q3" s="157"/>
      <c r="R3" s="157"/>
      <c r="S3" s="157"/>
    </row>
    <row r="4" spans="2:19" ht="12.75" customHeight="1">
      <c r="B4" s="174" t="s">
        <v>11</v>
      </c>
      <c r="C4" s="170">
        <f>0.628/2</f>
        <v>0.314</v>
      </c>
      <c r="D4" s="171">
        <v>0.52</v>
      </c>
      <c r="E4" s="171">
        <v>0.68799999999999994</v>
      </c>
      <c r="F4" s="171">
        <v>6</v>
      </c>
      <c r="G4" s="173">
        <v>0</v>
      </c>
      <c r="I4" s="157"/>
      <c r="J4" s="159"/>
      <c r="K4" s="159"/>
      <c r="L4" s="160"/>
      <c r="M4" s="160"/>
      <c r="N4" s="161"/>
      <c r="O4" s="160"/>
      <c r="P4" s="158"/>
      <c r="Q4" s="157"/>
      <c r="R4" s="157"/>
      <c r="S4" s="157"/>
    </row>
    <row r="5" spans="2:19" ht="12.75" customHeight="1">
      <c r="B5" s="174" t="s">
        <v>18</v>
      </c>
      <c r="C5" s="171">
        <f>0.753/2</f>
        <v>0.3765</v>
      </c>
      <c r="D5" s="171">
        <v>0.52</v>
      </c>
      <c r="E5" s="171">
        <v>0.93799999999999994</v>
      </c>
      <c r="F5" s="171">
        <v>6</v>
      </c>
      <c r="G5" s="173">
        <v>0</v>
      </c>
      <c r="I5" s="157"/>
      <c r="J5" s="159"/>
      <c r="K5" s="159"/>
      <c r="L5" s="162"/>
      <c r="M5" s="163"/>
      <c r="N5" s="162"/>
      <c r="O5" s="163"/>
      <c r="P5" s="158"/>
      <c r="Q5" s="157"/>
      <c r="R5" s="157"/>
      <c r="S5" s="157"/>
    </row>
    <row r="6" spans="2:19">
      <c r="B6" s="174" t="s">
        <v>21</v>
      </c>
      <c r="C6" s="171">
        <f>0.436/2</f>
        <v>0.218</v>
      </c>
      <c r="D6" s="171">
        <v>0.315</v>
      </c>
      <c r="E6" s="171">
        <v>0.5</v>
      </c>
      <c r="F6" s="171">
        <v>6</v>
      </c>
      <c r="G6" s="173">
        <v>0</v>
      </c>
      <c r="I6" s="157"/>
      <c r="J6" s="164"/>
      <c r="K6" s="165"/>
      <c r="L6" s="166"/>
      <c r="M6" s="166"/>
      <c r="N6" s="166"/>
      <c r="O6" s="167"/>
      <c r="P6" s="158"/>
      <c r="Q6" s="157"/>
      <c r="R6" s="157"/>
      <c r="S6" s="157"/>
    </row>
    <row r="7" spans="2:19">
      <c r="B7" s="174" t="s">
        <v>17</v>
      </c>
      <c r="C7" s="171">
        <v>0.26600000000000001</v>
      </c>
      <c r="D7" s="171">
        <v>0.315</v>
      </c>
      <c r="E7" s="171">
        <v>0.68799999999999994</v>
      </c>
      <c r="F7" s="171">
        <v>6</v>
      </c>
      <c r="G7" s="173">
        <v>0</v>
      </c>
      <c r="I7" s="157"/>
      <c r="J7" s="164"/>
      <c r="K7" s="165"/>
      <c r="L7" s="166"/>
      <c r="M7" s="166"/>
      <c r="N7" s="166"/>
      <c r="O7" s="167"/>
      <c r="P7" s="158"/>
      <c r="Q7" s="157"/>
      <c r="R7" s="157"/>
      <c r="S7" s="157"/>
    </row>
    <row r="8" spans="2:19">
      <c r="B8" s="174" t="s">
        <v>16</v>
      </c>
      <c r="C8" s="171">
        <v>0.314</v>
      </c>
      <c r="D8" s="171">
        <v>0.315</v>
      </c>
      <c r="E8" s="171">
        <v>0.68799999999999994</v>
      </c>
      <c r="F8" s="171">
        <v>6</v>
      </c>
      <c r="G8" s="173">
        <v>0</v>
      </c>
      <c r="I8" s="157"/>
      <c r="J8" s="164"/>
      <c r="K8" s="165"/>
      <c r="L8" s="167"/>
      <c r="M8" s="167"/>
      <c r="N8" s="166"/>
      <c r="O8" s="167"/>
      <c r="P8" s="158"/>
      <c r="Q8" s="157"/>
      <c r="R8" s="157"/>
      <c r="S8" s="157"/>
    </row>
    <row r="9" spans="2:19">
      <c r="B9" s="174" t="s">
        <v>19</v>
      </c>
      <c r="C9" s="171">
        <f>0.539/2</f>
        <v>0.26950000000000002</v>
      </c>
      <c r="D9" s="171">
        <v>0.315</v>
      </c>
      <c r="E9" s="171">
        <f>0.2695*2+0.001</f>
        <v>0.54</v>
      </c>
      <c r="F9" s="171">
        <v>6</v>
      </c>
      <c r="G9" s="173">
        <v>0</v>
      </c>
      <c r="I9" s="157"/>
      <c r="J9" s="164"/>
      <c r="K9" s="165"/>
      <c r="L9" s="167"/>
      <c r="M9" s="167"/>
      <c r="N9" s="167"/>
      <c r="O9" s="167"/>
      <c r="P9" s="158"/>
      <c r="Q9" s="157"/>
      <c r="R9" s="157"/>
      <c r="S9" s="157"/>
    </row>
    <row r="10" spans="2:19">
      <c r="B10" s="174" t="s">
        <v>20</v>
      </c>
      <c r="C10" s="171">
        <f>0.525/2</f>
        <v>0.26250000000000001</v>
      </c>
      <c r="D10" s="171">
        <v>0.41199999999999998</v>
      </c>
      <c r="E10" s="171">
        <f>0.2625*2+0.001</f>
        <v>0.52600000000000002</v>
      </c>
      <c r="F10" s="171">
        <v>6</v>
      </c>
      <c r="G10" s="173">
        <v>1</v>
      </c>
      <c r="I10" s="157"/>
      <c r="J10" s="164"/>
      <c r="K10" s="165"/>
      <c r="L10" s="167"/>
      <c r="M10" s="167"/>
      <c r="N10" s="166"/>
      <c r="O10" s="167"/>
      <c r="P10" s="158"/>
      <c r="Q10" s="157"/>
      <c r="R10" s="157"/>
      <c r="S10" s="157"/>
    </row>
    <row r="11" spans="2:19">
      <c r="B11" s="174" t="s">
        <v>22</v>
      </c>
      <c r="C11" s="171">
        <f>0.39/2</f>
        <v>0.19500000000000001</v>
      </c>
      <c r="D11" s="171">
        <v>0.40699999999999997</v>
      </c>
      <c r="E11" s="171">
        <v>0.39100000000000001</v>
      </c>
      <c r="F11" s="171">
        <v>6</v>
      </c>
      <c r="G11" s="173">
        <v>1</v>
      </c>
      <c r="I11" s="157"/>
      <c r="J11" s="164"/>
      <c r="K11" s="165"/>
      <c r="L11" s="167"/>
      <c r="M11" s="167"/>
      <c r="N11" s="167"/>
      <c r="O11" s="167"/>
      <c r="P11" s="158"/>
      <c r="Q11" s="157"/>
      <c r="R11" s="157"/>
      <c r="S11" s="157"/>
    </row>
    <row r="12" spans="2:19">
      <c r="B12" s="174" t="s">
        <v>23</v>
      </c>
      <c r="C12" s="171">
        <f>0.514/2</f>
        <v>0.25700000000000001</v>
      </c>
      <c r="D12" s="171">
        <v>0.71</v>
      </c>
      <c r="E12" s="171">
        <v>0.51500000000000001</v>
      </c>
      <c r="F12" s="171">
        <v>6</v>
      </c>
      <c r="G12" s="173">
        <v>1</v>
      </c>
      <c r="I12" s="157"/>
      <c r="J12" s="164"/>
      <c r="K12" s="165"/>
      <c r="L12" s="167"/>
      <c r="M12" s="167"/>
      <c r="N12" s="166"/>
      <c r="O12" s="167"/>
      <c r="P12" s="158"/>
      <c r="Q12" s="157"/>
      <c r="R12" s="157"/>
      <c r="S12" s="157"/>
    </row>
    <row r="13" spans="2:19">
      <c r="B13" s="172" t="s">
        <v>114</v>
      </c>
      <c r="C13" s="171">
        <v>0.22075</v>
      </c>
      <c r="D13" s="171">
        <v>0.33389999999999997</v>
      </c>
      <c r="E13" s="171">
        <v>0.442</v>
      </c>
      <c r="F13" s="171">
        <v>6</v>
      </c>
      <c r="G13" s="173">
        <v>1</v>
      </c>
      <c r="I13" s="157"/>
      <c r="J13" s="164"/>
      <c r="K13" s="165"/>
      <c r="L13" s="167"/>
      <c r="M13" s="167"/>
      <c r="N13" s="166"/>
      <c r="O13" s="167"/>
      <c r="P13" s="158"/>
      <c r="Q13" s="157"/>
      <c r="R13" s="157"/>
      <c r="S13" s="157"/>
    </row>
    <row r="14" spans="2:19">
      <c r="B14" s="172"/>
      <c r="C14" s="171"/>
      <c r="D14" s="171"/>
      <c r="E14" s="171"/>
      <c r="F14" s="171"/>
      <c r="G14" s="173"/>
      <c r="I14" s="157"/>
      <c r="J14" s="164"/>
      <c r="K14" s="165"/>
      <c r="L14" s="167"/>
      <c r="M14" s="167"/>
      <c r="N14" s="166"/>
      <c r="O14" s="167"/>
      <c r="P14" s="158"/>
      <c r="Q14" s="157"/>
      <c r="R14" s="157"/>
      <c r="S14" s="157"/>
    </row>
    <row r="15" spans="2:19">
      <c r="B15" s="172"/>
      <c r="C15" s="171"/>
      <c r="D15" s="171"/>
      <c r="E15" s="171"/>
      <c r="F15" s="171"/>
      <c r="G15" s="173"/>
      <c r="I15" s="157"/>
      <c r="J15" s="164"/>
      <c r="K15" s="165"/>
      <c r="L15" s="167"/>
      <c r="M15" s="167"/>
      <c r="N15" s="166"/>
      <c r="O15" s="167"/>
      <c r="P15" s="158"/>
      <c r="Q15" s="157"/>
      <c r="R15" s="157"/>
      <c r="S15" s="157"/>
    </row>
    <row r="16" spans="2:19">
      <c r="B16" s="172"/>
      <c r="C16" s="171"/>
      <c r="D16" s="171"/>
      <c r="E16" s="171"/>
      <c r="F16" s="171"/>
      <c r="G16" s="173"/>
      <c r="I16" s="157"/>
      <c r="J16" s="164"/>
      <c r="K16" s="165"/>
      <c r="L16" s="167"/>
      <c r="M16" s="167"/>
      <c r="N16" s="166"/>
      <c r="O16" s="167"/>
      <c r="P16" s="158"/>
      <c r="Q16" s="157"/>
      <c r="R16" s="157"/>
      <c r="S16" s="157"/>
    </row>
    <row r="17" spans="2:19">
      <c r="B17" s="172"/>
      <c r="C17" s="171"/>
      <c r="D17" s="171"/>
      <c r="E17" s="171"/>
      <c r="F17" s="171"/>
      <c r="G17" s="173"/>
      <c r="I17" s="157"/>
      <c r="J17" s="164"/>
      <c r="K17" s="165"/>
      <c r="L17" s="167"/>
      <c r="M17" s="167"/>
      <c r="N17" s="166"/>
      <c r="O17" s="167"/>
      <c r="P17" s="158"/>
      <c r="Q17" s="157"/>
      <c r="R17" s="157"/>
      <c r="S17" s="157"/>
    </row>
    <row r="18" spans="2:19">
      <c r="B18" s="172"/>
      <c r="C18" s="171"/>
      <c r="D18" s="171"/>
      <c r="E18" s="171"/>
      <c r="F18" s="171"/>
      <c r="G18" s="173"/>
      <c r="I18" s="157"/>
      <c r="J18" s="164"/>
      <c r="K18" s="165"/>
      <c r="L18" s="167"/>
      <c r="M18" s="167"/>
      <c r="N18" s="166"/>
      <c r="O18" s="167"/>
      <c r="P18" s="158"/>
      <c r="Q18" s="157"/>
      <c r="R18" s="157"/>
      <c r="S18" s="157"/>
    </row>
    <row r="19" spans="2:19">
      <c r="B19" s="172"/>
      <c r="C19" s="171"/>
      <c r="D19" s="171"/>
      <c r="E19" s="171"/>
      <c r="F19" s="171"/>
      <c r="G19" s="173"/>
      <c r="I19" s="157"/>
      <c r="J19" s="164"/>
      <c r="K19" s="165"/>
      <c r="L19" s="167"/>
      <c r="M19" s="167"/>
      <c r="N19" s="166"/>
      <c r="O19" s="167"/>
      <c r="P19" s="158"/>
      <c r="Q19" s="157"/>
      <c r="R19" s="157"/>
      <c r="S19" s="157"/>
    </row>
    <row r="20" spans="2:19">
      <c r="B20" s="172"/>
      <c r="C20" s="171"/>
      <c r="D20" s="171"/>
      <c r="E20" s="171"/>
      <c r="F20" s="171"/>
      <c r="G20" s="173"/>
      <c r="I20" s="157"/>
      <c r="J20" s="164"/>
      <c r="K20" s="165"/>
      <c r="L20" s="167"/>
      <c r="M20" s="167"/>
      <c r="N20" s="166"/>
      <c r="O20" s="167"/>
      <c r="P20" s="158"/>
      <c r="Q20" s="157"/>
      <c r="R20" s="157"/>
      <c r="S20" s="157"/>
    </row>
    <row r="21" spans="2:19">
      <c r="B21" s="172"/>
      <c r="C21" s="171"/>
      <c r="D21" s="171"/>
      <c r="E21" s="171"/>
      <c r="F21" s="171"/>
      <c r="G21" s="173"/>
      <c r="I21" s="157"/>
      <c r="J21" s="164"/>
      <c r="K21" s="168"/>
      <c r="L21" s="167"/>
      <c r="M21" s="167"/>
      <c r="N21" s="166"/>
      <c r="O21" s="167"/>
      <c r="P21" s="158"/>
      <c r="Q21" s="157"/>
      <c r="R21" s="157"/>
      <c r="S21" s="157"/>
    </row>
    <row r="22" spans="2:19">
      <c r="B22" s="172"/>
      <c r="C22" s="171"/>
      <c r="D22" s="171"/>
      <c r="E22" s="171"/>
      <c r="F22" s="171"/>
      <c r="G22" s="173"/>
      <c r="I22" s="157"/>
      <c r="J22" s="169"/>
      <c r="K22" s="168"/>
      <c r="L22" s="167"/>
      <c r="M22" s="167"/>
      <c r="N22" s="166"/>
      <c r="O22" s="167"/>
      <c r="P22" s="158"/>
      <c r="Q22" s="157"/>
      <c r="R22" s="157"/>
      <c r="S22" s="157"/>
    </row>
    <row r="23" spans="2:19">
      <c r="B23" s="172"/>
      <c r="C23" s="171"/>
      <c r="D23" s="171"/>
      <c r="E23" s="171"/>
      <c r="F23" s="171"/>
      <c r="G23" s="173"/>
      <c r="I23" s="157"/>
      <c r="J23" s="158"/>
      <c r="K23" s="158"/>
      <c r="L23" s="158"/>
      <c r="M23" s="158"/>
      <c r="N23" s="158"/>
      <c r="O23" s="158"/>
      <c r="P23" s="158"/>
      <c r="Q23" s="157"/>
      <c r="R23" s="157"/>
      <c r="S23" s="157"/>
    </row>
    <row r="24" spans="2:19">
      <c r="B24" s="172"/>
      <c r="C24" s="171"/>
      <c r="D24" s="171"/>
      <c r="E24" s="171"/>
      <c r="F24" s="171"/>
      <c r="G24" s="173"/>
      <c r="I24" s="157"/>
      <c r="J24" s="158"/>
      <c r="K24" s="158"/>
      <c r="L24" s="158"/>
      <c r="M24" s="158"/>
      <c r="N24" s="158"/>
      <c r="O24" s="158"/>
      <c r="P24" s="158"/>
      <c r="Q24" s="157"/>
      <c r="R24" s="157"/>
      <c r="S24" s="157"/>
    </row>
    <row r="25" spans="2:19">
      <c r="B25" s="172"/>
      <c r="C25" s="171"/>
      <c r="D25" s="171"/>
      <c r="E25" s="171"/>
      <c r="F25" s="171"/>
      <c r="G25" s="173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</row>
    <row r="26" spans="2:19">
      <c r="B26" s="172"/>
      <c r="C26" s="171"/>
      <c r="D26" s="171"/>
      <c r="E26" s="171"/>
      <c r="F26" s="171"/>
      <c r="G26" s="173"/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</row>
    <row r="27" spans="2:19">
      <c r="B27" s="172"/>
      <c r="C27" s="171"/>
      <c r="D27" s="171"/>
      <c r="E27" s="171"/>
      <c r="F27" s="171"/>
      <c r="G27" s="173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</row>
    <row r="28" spans="2:19">
      <c r="B28" s="172"/>
      <c r="C28" s="171"/>
      <c r="D28" s="171"/>
      <c r="E28" s="171"/>
      <c r="F28" s="171"/>
      <c r="G28" s="173"/>
    </row>
    <row r="29" spans="2:19">
      <c r="B29" s="172"/>
      <c r="C29" s="171"/>
      <c r="D29" s="171"/>
      <c r="E29" s="171"/>
      <c r="F29" s="171"/>
      <c r="G29" s="173"/>
    </row>
    <row r="30" spans="2:19">
      <c r="B30" s="172"/>
      <c r="C30" s="171"/>
      <c r="D30" s="171"/>
      <c r="E30" s="171"/>
      <c r="F30" s="171"/>
      <c r="G30" s="173"/>
    </row>
    <row r="31" spans="2:19">
      <c r="B31" s="172"/>
      <c r="C31" s="171"/>
      <c r="D31" s="171"/>
      <c r="E31" s="171"/>
      <c r="F31" s="171"/>
      <c r="G31" s="173"/>
    </row>
    <row r="32" spans="2:19">
      <c r="B32" s="172"/>
      <c r="C32" s="171"/>
      <c r="D32" s="171"/>
      <c r="E32" s="171"/>
      <c r="F32" s="171"/>
      <c r="G32" s="173"/>
    </row>
    <row r="33" spans="2:7">
      <c r="B33" s="172"/>
      <c r="C33" s="171"/>
      <c r="D33" s="171"/>
      <c r="E33" s="171"/>
      <c r="F33" s="171"/>
      <c r="G33" s="173"/>
    </row>
    <row r="34" spans="2:7">
      <c r="B34" s="172"/>
      <c r="C34" s="171"/>
      <c r="D34" s="171"/>
      <c r="E34" s="171"/>
      <c r="F34" s="171"/>
      <c r="G34" s="173"/>
    </row>
    <row r="35" spans="2:7">
      <c r="B35" s="172"/>
      <c r="C35" s="171"/>
      <c r="D35" s="171"/>
      <c r="E35" s="171"/>
      <c r="F35" s="171"/>
      <c r="G35" s="173"/>
    </row>
    <row r="36" spans="2:7">
      <c r="B36" s="172"/>
      <c r="C36" s="171"/>
      <c r="D36" s="171"/>
      <c r="E36" s="171"/>
      <c r="F36" s="171"/>
      <c r="G36" s="173"/>
    </row>
    <row r="37" spans="2:7">
      <c r="B37" s="172"/>
      <c r="C37" s="171"/>
      <c r="D37" s="171"/>
      <c r="E37" s="171"/>
      <c r="F37" s="171"/>
      <c r="G37" s="173"/>
    </row>
    <row r="38" spans="2:7" ht="13.5" thickBot="1">
      <c r="B38" s="175"/>
      <c r="C38" s="176"/>
      <c r="D38" s="176"/>
      <c r="E38" s="176"/>
      <c r="F38" s="176"/>
      <c r="G38" s="17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AD88"/>
  <sheetViews>
    <sheetView topLeftCell="G1" zoomScale="115" zoomScaleNormal="115" workbookViewId="0">
      <pane ySplit="2" topLeftCell="A3" activePane="bottomLeft" state="frozen"/>
      <selection pane="bottomLeft" activeCell="Z36" sqref="Y4:Z36"/>
    </sheetView>
  </sheetViews>
  <sheetFormatPr defaultRowHeight="15"/>
  <cols>
    <col min="1" max="1" width="9.140625" style="373" customWidth="1"/>
    <col min="2" max="2" width="10.140625" style="373" bestFit="1" customWidth="1"/>
    <col min="3" max="3" width="11.28515625" style="373" bestFit="1" customWidth="1"/>
    <col min="4" max="4" width="9.140625" style="374"/>
    <col min="5" max="5" width="13.140625" style="374" customWidth="1"/>
    <col min="6" max="6" width="11.140625" style="449" bestFit="1" customWidth="1"/>
    <col min="7" max="7" width="13.28515625" style="374" bestFit="1" customWidth="1"/>
    <col min="8" max="8" width="16.42578125" style="374" bestFit="1" customWidth="1"/>
    <col min="9" max="13" width="9.140625" style="374"/>
    <col min="14" max="14" width="13" style="374" customWidth="1"/>
    <col min="15" max="15" width="9.140625" style="374"/>
    <col min="16" max="16" width="11.85546875" style="374" customWidth="1"/>
    <col min="17" max="17" width="9.140625" style="374"/>
    <col min="18" max="18" width="9.140625" style="386"/>
    <col min="19" max="19" width="6.28515625" style="374" customWidth="1"/>
    <col min="20" max="20" width="6" style="374" customWidth="1"/>
    <col min="21" max="21" width="6.28515625" style="374" customWidth="1"/>
    <col min="22" max="23" width="8.140625" style="374" customWidth="1"/>
    <col min="24" max="26" width="9.140625" style="374"/>
    <col min="27" max="27" width="14.5703125" style="374" customWidth="1"/>
    <col min="28" max="29" width="9.140625" style="374"/>
    <col min="30" max="16384" width="9.140625" style="373"/>
  </cols>
  <sheetData>
    <row r="1" spans="1:30" ht="32.25" customHeight="1">
      <c r="I1" s="706" t="s">
        <v>99</v>
      </c>
      <c r="J1" s="706"/>
      <c r="K1" s="706"/>
      <c r="L1" s="706"/>
      <c r="M1" s="706"/>
      <c r="N1" s="375"/>
      <c r="O1" s="376" t="s">
        <v>100</v>
      </c>
      <c r="P1" s="376"/>
      <c r="Q1" s="376"/>
      <c r="R1" s="377"/>
      <c r="U1" s="378"/>
      <c r="V1" s="378"/>
      <c r="W1" s="378"/>
      <c r="X1" s="374" t="s">
        <v>115</v>
      </c>
      <c r="Y1" s="374">
        <f>($C$4/2)-B6</f>
        <v>4.1000000000000005</v>
      </c>
      <c r="Z1" s="374">
        <f>($C$4/2)-C6</f>
        <v>4.1449000000000007</v>
      </c>
      <c r="AA1" s="376" t="s">
        <v>116</v>
      </c>
      <c r="AB1" s="374">
        <v>0.01</v>
      </c>
    </row>
    <row r="2" spans="1:30" ht="15.75" thickBot="1">
      <c r="D2" s="374" t="s">
        <v>117</v>
      </c>
      <c r="E2" s="379" t="s">
        <v>118</v>
      </c>
      <c r="F2" s="450" t="s">
        <v>101</v>
      </c>
      <c r="G2" s="380" t="s">
        <v>102</v>
      </c>
      <c r="H2" s="380" t="s">
        <v>103</v>
      </c>
      <c r="I2" s="380" t="s">
        <v>104</v>
      </c>
      <c r="J2" s="380" t="s">
        <v>105</v>
      </c>
      <c r="K2" s="380" t="s">
        <v>106</v>
      </c>
      <c r="L2" s="380" t="s">
        <v>107</v>
      </c>
      <c r="M2" s="380" t="s">
        <v>108</v>
      </c>
      <c r="N2" s="380" t="s">
        <v>109</v>
      </c>
      <c r="O2" s="380" t="s">
        <v>110</v>
      </c>
      <c r="P2" s="380" t="s">
        <v>111</v>
      </c>
      <c r="Q2" s="380" t="s">
        <v>112</v>
      </c>
      <c r="R2" s="381" t="s">
        <v>113</v>
      </c>
      <c r="S2" s="380" t="s">
        <v>119</v>
      </c>
      <c r="T2" s="380" t="s">
        <v>120</v>
      </c>
      <c r="U2" s="378" t="s">
        <v>121</v>
      </c>
      <c r="V2" s="378" t="s">
        <v>122</v>
      </c>
      <c r="W2" s="378" t="s">
        <v>108</v>
      </c>
      <c r="X2" s="380" t="s">
        <v>123</v>
      </c>
      <c r="Y2" s="380" t="s">
        <v>124</v>
      </c>
      <c r="Z2" s="380" t="s">
        <v>125</v>
      </c>
      <c r="AA2" s="382" t="str">
        <f>"←if kn -"&amp;TEXT(AB1,"0.000")&amp;" clearance"</f>
        <v>←if kn -0.010 clearance</v>
      </c>
    </row>
    <row r="3" spans="1:30">
      <c r="B3" s="707" t="s">
        <v>126</v>
      </c>
      <c r="C3" s="708"/>
      <c r="D3" s="374">
        <v>0.09</v>
      </c>
      <c r="E3" s="379">
        <f>IF(F3="","",(O3/360)*$D$3)</f>
        <v>-2.1977499999999997E-2</v>
      </c>
      <c r="F3" s="451">
        <v>1.214</v>
      </c>
      <c r="G3" s="373" t="s">
        <v>11</v>
      </c>
      <c r="H3" s="373" t="s">
        <v>10</v>
      </c>
      <c r="I3" s="373"/>
      <c r="J3" s="373"/>
      <c r="K3" s="373"/>
      <c r="L3" s="373"/>
      <c r="M3" s="373"/>
      <c r="N3" s="373"/>
      <c r="O3" s="373">
        <v>-87.91</v>
      </c>
      <c r="P3" s="373">
        <v>-19.850000000000001</v>
      </c>
      <c r="Q3" s="373">
        <v>-0.94</v>
      </c>
      <c r="R3" s="373">
        <v>-69</v>
      </c>
    </row>
    <row r="4" spans="1:30" ht="15.75" thickBot="1">
      <c r="B4" s="383" t="s">
        <v>127</v>
      </c>
      <c r="C4" s="384">
        <f>8.75-0.024</f>
        <v>8.7260000000000009</v>
      </c>
      <c r="E4" s="379" t="str">
        <f t="shared" ref="E4:E48" si="0">IF(F4="","",(O4/360)*$D$3)</f>
        <v/>
      </c>
      <c r="F4" s="451"/>
      <c r="G4" s="373" t="s">
        <v>128</v>
      </c>
      <c r="H4" s="373"/>
      <c r="I4" s="373">
        <v>0</v>
      </c>
      <c r="J4" s="373">
        <v>2.8184</v>
      </c>
      <c r="K4" s="373">
        <v>-0.13109999999999999</v>
      </c>
      <c r="L4" s="373">
        <v>-4.9000000000000004</v>
      </c>
      <c r="M4" s="373">
        <v>15</v>
      </c>
      <c r="N4" s="373">
        <v>20</v>
      </c>
      <c r="O4" s="373"/>
      <c r="P4" s="373"/>
      <c r="Q4" s="373"/>
      <c r="R4" s="373"/>
      <c r="S4" s="374">
        <f>IF(G3="","",IF(OR(LEFT(TRIM(H3),2)="16",LEFT(TRIM(H3),2)="13"),1,0))</f>
        <v>1</v>
      </c>
      <c r="T4" s="374">
        <f>IF(S4="","",IF(LEFT(TRIM(G3),2)="13",1,0))</f>
        <v>0</v>
      </c>
      <c r="U4" s="374">
        <f>IF(S4="","",IF(LEFT(TRIM(H3),3)="1/2",1,0))</f>
        <v>0</v>
      </c>
      <c r="V4" s="374">
        <f>IF(S4="","",IF(T4=1,VLOOKUP(M4,'elipse #s'!$A$4:$C$38,2,FALSE),VLOOKUP(M4,'elipse #s'!$A$4:$C$38,3,FALSE)))</f>
        <v>0.30185182071533384</v>
      </c>
      <c r="W4" s="374">
        <f>IF(S4="","",IF(S4=0,"",VLOOKUP(N4,'elipse #s'!$A$4:$C$38,2,FALSE)))</f>
        <v>0.24854869819787279</v>
      </c>
      <c r="X4" s="374">
        <f>IF(S4="","",IF(AND(S4=0,U4=1),K4+V4+E3-$B$6,IF(AND(S4=0,U4=0),K4+V4+E3-$C$6,V4-W4)))</f>
        <v>5.3303122517461055E-2</v>
      </c>
      <c r="Y4" s="374">
        <f>IF(S4="",0,IF(S4=0,IF(U4=1,MIN(J4,$Y$1),MIN(J4,$Z$1)),X4*SIN(RADIANS(-L4))+J4))</f>
        <v>2.8229529887190559</v>
      </c>
      <c r="Z4" s="374">
        <f>IF(S4="",0,IF(S4=0,X4-$AB$1,X4*COS(RADIANS(-L4))+K4-$AB$1+E3))</f>
        <v>-0.10996918460744008</v>
      </c>
    </row>
    <row r="5" spans="1:30">
      <c r="A5" s="374"/>
      <c r="B5" s="374" t="s">
        <v>129</v>
      </c>
      <c r="C5" s="373" t="s">
        <v>130</v>
      </c>
      <c r="E5" s="379">
        <f t="shared" si="0"/>
        <v>-2.0792499999999998E-2</v>
      </c>
      <c r="F5" s="451">
        <v>1.2190000000000001</v>
      </c>
      <c r="G5" s="373" t="s">
        <v>11</v>
      </c>
      <c r="H5" s="373" t="s">
        <v>10</v>
      </c>
      <c r="I5" s="373"/>
      <c r="J5" s="373"/>
      <c r="K5" s="373"/>
      <c r="L5" s="373"/>
      <c r="M5" s="373"/>
      <c r="N5" s="373"/>
      <c r="O5" s="373">
        <v>-83.17</v>
      </c>
      <c r="P5" s="373">
        <v>-16.28</v>
      </c>
      <c r="Q5" s="373">
        <v>-2.11</v>
      </c>
      <c r="R5" s="373">
        <v>-69</v>
      </c>
      <c r="S5" s="374" t="str">
        <f t="shared" ref="S5:S33" si="1">IF(G4="","",IF(OR(LEFT(TRIM(H4),2)="16",LEFT(TRIM(H4),2)="13"),1,0))</f>
        <v/>
      </c>
      <c r="T5" s="374" t="str">
        <f t="shared" ref="T5:T33" si="2">IF(S5="","",IF(LEFT(TRIM(G4),2)="13",1,0))</f>
        <v/>
      </c>
      <c r="U5" s="374" t="str">
        <f t="shared" ref="U5:U33" si="3">IF(S5="","",IF(LEFT(TRIM(H4),3)="1/2",1,0))</f>
        <v/>
      </c>
      <c r="V5" s="374" t="str">
        <f>IF(S5="","",IF(T5=1,VLOOKUP(M5,'elipse #s'!$A$4:$C$38,2,FALSE),VLOOKUP(M5,'elipse #s'!$A$4:$C$38,3,FALSE)))</f>
        <v/>
      </c>
      <c r="W5" s="374" t="str">
        <f>IF(S5="","",IF(S5=0,"",VLOOKUP(N5,'elipse #s'!$A$4:$C$38,2,FALSE)))</f>
        <v/>
      </c>
      <c r="X5" s="374" t="str">
        <f t="shared" ref="X5:X33" si="4">IF(S5="","",IF(AND(S5=0,U5=1),K5+V5+E4-$B$6,IF(AND(S5=0,U5=0),K5+V5+E4-$C$6,V5-W5)))</f>
        <v/>
      </c>
      <c r="Y5" s="374">
        <f t="shared" ref="Y5:Y33" si="5">IF(S5="",0,IF(S5=0,IF(U5=1,MIN(J5,$Y$1),MIN(J5,$Z$1)),X5*SIN(RADIANS(-L5))+J5))</f>
        <v>0</v>
      </c>
      <c r="Z5" s="374">
        <f t="shared" ref="Z5:Z33" si="6">IF(S5="",0,IF(S5=0,X5-$AB$1,X5*COS(RADIANS(-L5))+K5-$AB$1+E4))</f>
        <v>0</v>
      </c>
    </row>
    <row r="6" spans="1:30">
      <c r="A6" s="374"/>
      <c r="B6" s="374">
        <v>0.26300000000000001</v>
      </c>
      <c r="C6" s="373">
        <v>0.21809999999999999</v>
      </c>
      <c r="E6" s="379" t="str">
        <f t="shared" si="0"/>
        <v/>
      </c>
      <c r="F6" s="451"/>
      <c r="G6" s="373" t="s">
        <v>128</v>
      </c>
      <c r="H6" s="373"/>
      <c r="I6" s="373">
        <v>0</v>
      </c>
      <c r="J6" s="373">
        <v>3.5482999999999998</v>
      </c>
      <c r="K6" s="373">
        <v>-0.44890000000000002</v>
      </c>
      <c r="L6" s="373">
        <v>-29.1</v>
      </c>
      <c r="M6" s="373">
        <v>15</v>
      </c>
      <c r="N6" s="373">
        <v>20</v>
      </c>
      <c r="O6" s="373"/>
      <c r="P6" s="373"/>
      <c r="Q6" s="373"/>
      <c r="R6" s="373"/>
      <c r="S6" s="374">
        <f t="shared" si="1"/>
        <v>1</v>
      </c>
      <c r="T6" s="374">
        <f t="shared" si="2"/>
        <v>0</v>
      </c>
      <c r="U6" s="374">
        <f t="shared" si="3"/>
        <v>0</v>
      </c>
      <c r="V6" s="374">
        <f>IF(S6="","",IF(T6=1,VLOOKUP(M6,'elipse #s'!$A$4:$C$38,2,FALSE),VLOOKUP(M6,'elipse #s'!$A$4:$C$38,3,FALSE)))</f>
        <v>0.30185182071533384</v>
      </c>
      <c r="W6" s="374">
        <f>IF(S6="","",IF(S6=0,"",VLOOKUP(N6,'elipse #s'!$A$4:$C$38,2,FALSE)))</f>
        <v>0.24854869819787279</v>
      </c>
      <c r="X6" s="374">
        <f t="shared" si="4"/>
        <v>5.3303122517461055E-2</v>
      </c>
      <c r="Y6" s="374">
        <f t="shared" si="5"/>
        <v>3.5742231943672893</v>
      </c>
      <c r="Z6" s="374">
        <f t="shared" si="6"/>
        <v>-0.43311771214318628</v>
      </c>
    </row>
    <row r="7" spans="1:30">
      <c r="A7" s="374"/>
      <c r="B7" s="385"/>
      <c r="C7" s="385"/>
      <c r="D7" s="379"/>
      <c r="E7" s="379">
        <f t="shared" si="0"/>
        <v>-2.0445000000000001E-2</v>
      </c>
      <c r="F7" s="451">
        <v>1.224</v>
      </c>
      <c r="G7" s="373" t="s">
        <v>11</v>
      </c>
      <c r="H7" s="373" t="s">
        <v>10</v>
      </c>
      <c r="I7" s="373"/>
      <c r="J7" s="373"/>
      <c r="K7" s="373"/>
      <c r="L7" s="373"/>
      <c r="M7" s="373"/>
      <c r="N7" s="373"/>
      <c r="O7" s="373">
        <v>-81.78</v>
      </c>
      <c r="P7" s="373">
        <v>-15.59</v>
      </c>
      <c r="Q7" s="373">
        <v>-2.81</v>
      </c>
      <c r="R7" s="373">
        <v>-69</v>
      </c>
      <c r="S7" s="374" t="str">
        <f t="shared" si="1"/>
        <v/>
      </c>
      <c r="T7" s="374" t="str">
        <f t="shared" si="2"/>
        <v/>
      </c>
      <c r="U7" s="374" t="str">
        <f t="shared" si="3"/>
        <v/>
      </c>
      <c r="V7" s="374" t="str">
        <f>IF(S7="","",IF(T7=1,VLOOKUP(M7,'elipse #s'!$A$4:$C$38,2,FALSE),VLOOKUP(M7,'elipse #s'!$A$4:$C$38,3,FALSE)))</f>
        <v/>
      </c>
      <c r="W7" s="374" t="str">
        <f>IF(S7="","",IF(S7=0,"",VLOOKUP(N7,'elipse #s'!$A$4:$C$38,2,FALSE)))</f>
        <v/>
      </c>
      <c r="X7" s="374" t="str">
        <f t="shared" si="4"/>
        <v/>
      </c>
      <c r="Y7" s="374">
        <f t="shared" si="5"/>
        <v>0</v>
      </c>
      <c r="Z7" s="374">
        <f t="shared" si="6"/>
        <v>0</v>
      </c>
    </row>
    <row r="8" spans="1:30">
      <c r="A8" s="374"/>
      <c r="B8" s="385"/>
      <c r="C8" s="385"/>
      <c r="D8" s="379"/>
      <c r="E8" s="379" t="str">
        <f t="shared" si="0"/>
        <v/>
      </c>
      <c r="F8" s="451"/>
      <c r="G8" s="373" t="s">
        <v>128</v>
      </c>
      <c r="H8" s="373"/>
      <c r="I8" s="373">
        <v>0</v>
      </c>
      <c r="J8" s="373">
        <v>3.9310999999999998</v>
      </c>
      <c r="K8" s="373">
        <v>-1.1231</v>
      </c>
      <c r="L8" s="373">
        <v>-53.1</v>
      </c>
      <c r="M8" s="373">
        <v>20</v>
      </c>
      <c r="N8" s="373">
        <v>25</v>
      </c>
      <c r="O8" s="373"/>
      <c r="P8" s="373"/>
      <c r="Q8" s="373"/>
      <c r="R8" s="373"/>
      <c r="S8" s="374">
        <f t="shared" si="1"/>
        <v>1</v>
      </c>
      <c r="T8" s="374">
        <f t="shared" si="2"/>
        <v>0</v>
      </c>
      <c r="U8" s="374">
        <f t="shared" si="3"/>
        <v>0</v>
      </c>
      <c r="V8" s="374">
        <f>IF(S8="","",IF(T8=1,VLOOKUP(M8,'elipse #s'!$A$4:$C$38,2,FALSE),VLOOKUP(M8,'elipse #s'!$A$4:$C$38,3,FALSE)))</f>
        <v>0.29365394399559641</v>
      </c>
      <c r="W8" s="374">
        <f>IF(S8="","",IF(S8=0,"",VLOOKUP(N8,'elipse #s'!$A$4:$C$38,2,FALSE)))</f>
        <v>0.23971840967119393</v>
      </c>
      <c r="X8" s="374">
        <f t="shared" si="4"/>
        <v>5.3935534324402484E-2</v>
      </c>
      <c r="Y8" s="374">
        <f t="shared" si="5"/>
        <v>3.9742314193465282</v>
      </c>
      <c r="Z8" s="374">
        <f t="shared" si="6"/>
        <v>-1.1211610143278703</v>
      </c>
      <c r="AD8" s="374"/>
    </row>
    <row r="9" spans="1:30">
      <c r="A9" s="374"/>
      <c r="B9" s="385"/>
      <c r="C9" s="385"/>
      <c r="D9" s="379"/>
      <c r="E9" s="379">
        <f t="shared" si="0"/>
        <v>-2.2095E-2</v>
      </c>
      <c r="F9" s="451">
        <v>2.2130000000000001</v>
      </c>
      <c r="G9" s="373" t="s">
        <v>11</v>
      </c>
      <c r="H9" s="373" t="s">
        <v>10</v>
      </c>
      <c r="I9" s="373"/>
      <c r="J9" s="373"/>
      <c r="K9" s="373"/>
      <c r="L9" s="373"/>
      <c r="M9" s="373"/>
      <c r="N9" s="373"/>
      <c r="O9" s="373">
        <v>-88.38</v>
      </c>
      <c r="P9" s="373">
        <v>-20.04</v>
      </c>
      <c r="Q9" s="373">
        <v>-0.66</v>
      </c>
      <c r="R9" s="373">
        <v>-69</v>
      </c>
      <c r="S9" s="374" t="str">
        <f t="shared" si="1"/>
        <v/>
      </c>
      <c r="T9" s="374" t="str">
        <f t="shared" si="2"/>
        <v/>
      </c>
      <c r="U9" s="374" t="str">
        <f t="shared" si="3"/>
        <v/>
      </c>
      <c r="V9" s="374" t="str">
        <f>IF(S9="","",IF(T9=1,VLOOKUP(M9,'elipse #s'!$A$4:$C$38,2,FALSE),VLOOKUP(M9,'elipse #s'!$A$4:$C$38,3,FALSE)))</f>
        <v/>
      </c>
      <c r="W9" s="374" t="str">
        <f>IF(S9="","",IF(S9=0,"",VLOOKUP(N9,'elipse #s'!$A$4:$C$38,2,FALSE)))</f>
        <v/>
      </c>
      <c r="X9" s="374" t="str">
        <f t="shared" si="4"/>
        <v/>
      </c>
      <c r="Y9" s="374">
        <f t="shared" si="5"/>
        <v>0</v>
      </c>
      <c r="Z9" s="374">
        <f t="shared" si="6"/>
        <v>0</v>
      </c>
    </row>
    <row r="10" spans="1:30">
      <c r="A10" s="374"/>
      <c r="B10" s="385"/>
      <c r="C10" s="385"/>
      <c r="D10" s="379"/>
      <c r="E10" s="379" t="str">
        <f t="shared" si="0"/>
        <v/>
      </c>
      <c r="F10" s="451"/>
      <c r="G10" s="373" t="s">
        <v>128</v>
      </c>
      <c r="H10" s="373"/>
      <c r="I10" s="373">
        <v>0</v>
      </c>
      <c r="J10" s="373">
        <v>2.6177000000000001</v>
      </c>
      <c r="K10" s="373">
        <v>-0.13159999999999999</v>
      </c>
      <c r="L10" s="373">
        <v>0</v>
      </c>
      <c r="M10" s="373">
        <v>15</v>
      </c>
      <c r="N10" s="373">
        <v>20</v>
      </c>
      <c r="O10" s="373"/>
      <c r="P10" s="373"/>
      <c r="Q10" s="373"/>
      <c r="R10" s="373"/>
      <c r="S10" s="374">
        <f t="shared" si="1"/>
        <v>1</v>
      </c>
      <c r="T10" s="374">
        <f t="shared" si="2"/>
        <v>0</v>
      </c>
      <c r="U10" s="374">
        <f t="shared" si="3"/>
        <v>0</v>
      </c>
      <c r="V10" s="374">
        <f>IF(S10="","",IF(T10=1,VLOOKUP(M10,'elipse #s'!$A$4:$C$38,2,FALSE),VLOOKUP(M10,'elipse #s'!$A$4:$C$38,3,FALSE)))</f>
        <v>0.30185182071533384</v>
      </c>
      <c r="W10" s="374">
        <f>IF(S10="","",IF(S10=0,"",VLOOKUP(N10,'elipse #s'!$A$4:$C$38,2,FALSE)))</f>
        <v>0.24854869819787279</v>
      </c>
      <c r="X10" s="374">
        <f t="shared" si="4"/>
        <v>5.3303122517461055E-2</v>
      </c>
      <c r="Y10" s="374">
        <f t="shared" si="5"/>
        <v>2.6177000000000001</v>
      </c>
      <c r="Z10" s="374">
        <f t="shared" si="6"/>
        <v>-0.11039187748253894</v>
      </c>
    </row>
    <row r="11" spans="1:30">
      <c r="A11" s="374"/>
      <c r="B11" s="385"/>
      <c r="C11" s="385"/>
      <c r="D11" s="379"/>
      <c r="E11" s="379">
        <f t="shared" si="0"/>
        <v>-2.0924999999999999E-2</v>
      </c>
      <c r="F11" s="451">
        <v>2.218</v>
      </c>
      <c r="G11" s="373" t="s">
        <v>11</v>
      </c>
      <c r="H11" s="373" t="s">
        <v>10</v>
      </c>
      <c r="I11" s="373"/>
      <c r="J11" s="373"/>
      <c r="K11" s="373"/>
      <c r="L11" s="373"/>
      <c r="M11" s="373"/>
      <c r="N11" s="373"/>
      <c r="O11" s="373">
        <v>-83.7</v>
      </c>
      <c r="P11" s="373">
        <v>-16.59</v>
      </c>
      <c r="Q11" s="373">
        <v>-1.89</v>
      </c>
      <c r="R11" s="373">
        <v>-69</v>
      </c>
      <c r="S11" s="374" t="str">
        <f t="shared" si="1"/>
        <v/>
      </c>
      <c r="T11" s="374" t="str">
        <f t="shared" si="2"/>
        <v/>
      </c>
      <c r="U11" s="374" t="str">
        <f t="shared" si="3"/>
        <v/>
      </c>
      <c r="V11" s="374" t="str">
        <f>IF(S11="","",IF(T11=1,VLOOKUP(M11,'elipse #s'!$A$4:$C$38,2,FALSE),VLOOKUP(M11,'elipse #s'!$A$4:$C$38,3,FALSE)))</f>
        <v/>
      </c>
      <c r="W11" s="374" t="str">
        <f>IF(S11="","",IF(S11=0,"",VLOOKUP(N11,'elipse #s'!$A$4:$C$38,2,FALSE)))</f>
        <v/>
      </c>
      <c r="X11" s="374" t="str">
        <f t="shared" si="4"/>
        <v/>
      </c>
      <c r="Y11" s="374">
        <f t="shared" si="5"/>
        <v>0</v>
      </c>
      <c r="Z11" s="374">
        <f t="shared" si="6"/>
        <v>0</v>
      </c>
    </row>
    <row r="12" spans="1:30">
      <c r="A12" s="374"/>
      <c r="B12" s="385"/>
      <c r="C12" s="385"/>
      <c r="D12" s="379"/>
      <c r="E12" s="379" t="str">
        <f t="shared" si="0"/>
        <v/>
      </c>
      <c r="F12" s="451"/>
      <c r="G12" s="373" t="s">
        <v>128</v>
      </c>
      <c r="H12" s="373"/>
      <c r="I12" s="373">
        <v>0</v>
      </c>
      <c r="J12" s="373">
        <v>3.4218999999999999</v>
      </c>
      <c r="K12" s="373">
        <v>-0.3478</v>
      </c>
      <c r="L12" s="373">
        <v>-24.3</v>
      </c>
      <c r="M12" s="373">
        <v>15</v>
      </c>
      <c r="N12" s="373">
        <v>20</v>
      </c>
      <c r="O12" s="373"/>
      <c r="P12" s="373"/>
      <c r="Q12" s="373"/>
      <c r="R12" s="373"/>
      <c r="S12" s="374">
        <f t="shared" si="1"/>
        <v>1</v>
      </c>
      <c r="T12" s="374">
        <f t="shared" si="2"/>
        <v>0</v>
      </c>
      <c r="U12" s="374">
        <f t="shared" si="3"/>
        <v>0</v>
      </c>
      <c r="V12" s="374">
        <f>IF(S12="","",IF(T12=1,VLOOKUP(M12,'elipse #s'!$A$4:$C$38,2,FALSE),VLOOKUP(M12,'elipse #s'!$A$4:$C$38,3,FALSE)))</f>
        <v>0.30185182071533384</v>
      </c>
      <c r="W12" s="374">
        <f>IF(S12="","",IF(S12=0,"",VLOOKUP(N12,'elipse #s'!$A$4:$C$38,2,FALSE)))</f>
        <v>0.24854869819787279</v>
      </c>
      <c r="X12" s="374">
        <f t="shared" si="4"/>
        <v>5.3303122517461055E-2</v>
      </c>
      <c r="Y12" s="374">
        <f t="shared" si="5"/>
        <v>3.4438350002744222</v>
      </c>
      <c r="Z12" s="374">
        <f t="shared" si="6"/>
        <v>-0.33014435948268539</v>
      </c>
    </row>
    <row r="13" spans="1:30">
      <c r="A13" s="374"/>
      <c r="B13" s="385"/>
      <c r="C13" s="385"/>
      <c r="D13" s="379"/>
      <c r="E13" s="379">
        <f t="shared" si="0"/>
        <v>-2.0477499999999999E-2</v>
      </c>
      <c r="F13" s="451">
        <v>2.2229999999999999</v>
      </c>
      <c r="G13" s="373" t="s">
        <v>11</v>
      </c>
      <c r="H13" s="373" t="s">
        <v>10</v>
      </c>
      <c r="I13" s="373"/>
      <c r="J13" s="373"/>
      <c r="K13" s="373"/>
      <c r="L13" s="373"/>
      <c r="M13" s="373"/>
      <c r="N13" s="373"/>
      <c r="O13" s="373">
        <v>-81.91</v>
      </c>
      <c r="P13" s="373">
        <v>-15.64</v>
      </c>
      <c r="Q13" s="373">
        <v>-2.73</v>
      </c>
      <c r="R13" s="373">
        <v>-69</v>
      </c>
      <c r="S13" s="374" t="str">
        <f t="shared" si="1"/>
        <v/>
      </c>
      <c r="T13" s="374" t="str">
        <f t="shared" si="2"/>
        <v/>
      </c>
      <c r="U13" s="374" t="str">
        <f t="shared" si="3"/>
        <v/>
      </c>
      <c r="V13" s="374" t="str">
        <f>IF(S13="","",IF(T13=1,VLOOKUP(M13,'elipse #s'!$A$4:$C$38,2,FALSE),VLOOKUP(M13,'elipse #s'!$A$4:$C$38,3,FALSE)))</f>
        <v/>
      </c>
      <c r="W13" s="374" t="str">
        <f>IF(S13="","",IF(S13=0,"",VLOOKUP(N13,'elipse #s'!$A$4:$C$38,2,FALSE)))</f>
        <v/>
      </c>
      <c r="X13" s="374" t="str">
        <f t="shared" si="4"/>
        <v/>
      </c>
      <c r="Y13" s="374">
        <f t="shared" si="5"/>
        <v>0</v>
      </c>
      <c r="Z13" s="374">
        <f t="shared" si="6"/>
        <v>0</v>
      </c>
    </row>
    <row r="14" spans="1:30">
      <c r="A14" s="374"/>
      <c r="B14" s="385"/>
      <c r="C14" s="385"/>
      <c r="D14" s="379"/>
      <c r="E14" s="379" t="str">
        <f t="shared" si="0"/>
        <v/>
      </c>
      <c r="F14" s="451"/>
      <c r="G14" s="373" t="s">
        <v>128</v>
      </c>
      <c r="H14" s="373"/>
      <c r="I14" s="373">
        <v>0</v>
      </c>
      <c r="J14" s="373">
        <v>3.8921000000000001</v>
      </c>
      <c r="K14" s="373">
        <v>-0.97260000000000002</v>
      </c>
      <c r="L14" s="373">
        <v>-48.3</v>
      </c>
      <c r="M14" s="373">
        <v>20</v>
      </c>
      <c r="N14" s="373">
        <v>25</v>
      </c>
      <c r="O14" s="373"/>
      <c r="P14" s="373"/>
      <c r="Q14" s="373"/>
      <c r="R14" s="373"/>
      <c r="S14" s="374">
        <f t="shared" si="1"/>
        <v>1</v>
      </c>
      <c r="T14" s="374">
        <f t="shared" si="2"/>
        <v>0</v>
      </c>
      <c r="U14" s="374">
        <f t="shared" si="3"/>
        <v>0</v>
      </c>
      <c r="V14" s="374">
        <f>IF(S14="","",IF(T14=1,VLOOKUP(M14,'elipse #s'!$A$4:$C$38,2,FALSE),VLOOKUP(M14,'elipse #s'!$A$4:$C$38,3,FALSE)))</f>
        <v>0.29365394399559641</v>
      </c>
      <c r="W14" s="374">
        <f>IF(S14="","",IF(S14=0,"",VLOOKUP(N14,'elipse #s'!$A$4:$C$38,2,FALSE)))</f>
        <v>0.23971840967119393</v>
      </c>
      <c r="X14" s="374">
        <f t="shared" si="4"/>
        <v>5.3935534324402484E-2</v>
      </c>
      <c r="Y14" s="374">
        <f t="shared" si="5"/>
        <v>3.9323703293085632</v>
      </c>
      <c r="Z14" s="374">
        <f t="shared" si="6"/>
        <v>-0.96719794537290538</v>
      </c>
    </row>
    <row r="15" spans="1:30">
      <c r="A15" s="374"/>
      <c r="B15" s="385"/>
      <c r="C15" s="385"/>
      <c r="D15" s="379"/>
      <c r="E15" s="379">
        <f t="shared" si="0"/>
        <v>-2.6789999999999998E-2</v>
      </c>
      <c r="F15" s="451">
        <v>3.2120000000000002</v>
      </c>
      <c r="G15" s="373" t="s">
        <v>10</v>
      </c>
      <c r="H15" s="373" t="s">
        <v>10</v>
      </c>
      <c r="I15" s="373"/>
      <c r="J15" s="373"/>
      <c r="K15" s="373"/>
      <c r="L15" s="373"/>
      <c r="M15" s="373"/>
      <c r="N15" s="373"/>
      <c r="O15" s="373">
        <v>-107.16</v>
      </c>
      <c r="P15" s="373">
        <v>-21.16</v>
      </c>
      <c r="Q15" s="373">
        <v>0</v>
      </c>
      <c r="R15" s="373">
        <v>-86</v>
      </c>
      <c r="S15" s="374" t="str">
        <f t="shared" si="1"/>
        <v/>
      </c>
      <c r="T15" s="374" t="str">
        <f t="shared" si="2"/>
        <v/>
      </c>
      <c r="U15" s="374" t="str">
        <f t="shared" si="3"/>
        <v/>
      </c>
      <c r="V15" s="374" t="str">
        <f>IF(S15="","",IF(T15=1,VLOOKUP(M15,'elipse #s'!$A$4:$C$38,2,FALSE),VLOOKUP(M15,'elipse #s'!$A$4:$C$38,3,FALSE)))</f>
        <v/>
      </c>
      <c r="W15" s="374" t="str">
        <f>IF(S15="","",IF(S15=0,"",VLOOKUP(N15,'elipse #s'!$A$4:$C$38,2,FALSE)))</f>
        <v/>
      </c>
      <c r="X15" s="374" t="str">
        <f t="shared" si="4"/>
        <v/>
      </c>
      <c r="Y15" s="374">
        <f t="shared" si="5"/>
        <v>0</v>
      </c>
      <c r="Z15" s="374">
        <f t="shared" si="6"/>
        <v>0</v>
      </c>
    </row>
    <row r="16" spans="1:30">
      <c r="A16" s="374"/>
      <c r="B16" s="385"/>
      <c r="C16" s="385"/>
      <c r="D16" s="379"/>
      <c r="E16" s="379" t="str">
        <f t="shared" si="0"/>
        <v/>
      </c>
      <c r="F16" s="451"/>
      <c r="G16" s="373" t="s">
        <v>128</v>
      </c>
      <c r="H16" s="373"/>
      <c r="I16" s="373">
        <v>0</v>
      </c>
      <c r="J16" s="373">
        <v>2.4597000000000002</v>
      </c>
      <c r="K16" s="373">
        <v>-0.1082</v>
      </c>
      <c r="L16" s="373">
        <v>5</v>
      </c>
      <c r="M16" s="373">
        <v>15</v>
      </c>
      <c r="N16" s="373">
        <v>20</v>
      </c>
      <c r="O16" s="373"/>
      <c r="P16" s="373"/>
      <c r="Q16" s="373"/>
      <c r="R16" s="373"/>
      <c r="S16" s="374">
        <f t="shared" si="1"/>
        <v>1</v>
      </c>
      <c r="T16" s="374">
        <f t="shared" si="2"/>
        <v>1</v>
      </c>
      <c r="U16" s="374">
        <f t="shared" si="3"/>
        <v>0</v>
      </c>
      <c r="V16" s="374">
        <f>IF(S16="","",IF(T16=1,VLOOKUP(M16,'elipse #s'!$A$4:$C$38,2,FALSE),VLOOKUP(M16,'elipse #s'!$A$4:$C$38,3,FALSE)))</f>
        <v>0.25548738105345858</v>
      </c>
      <c r="W16" s="374">
        <f>IF(S16="","",IF(S16=0,"",VLOOKUP(N16,'elipse #s'!$A$4:$C$38,2,FALSE)))</f>
        <v>0.24854869819787279</v>
      </c>
      <c r="X16" s="374">
        <f t="shared" si="4"/>
        <v>6.9386828555857982E-3</v>
      </c>
      <c r="Y16" s="374">
        <f t="shared" si="5"/>
        <v>2.459095253942031</v>
      </c>
      <c r="Z16" s="374">
        <f t="shared" si="6"/>
        <v>-0.13807772092752532</v>
      </c>
    </row>
    <row r="17" spans="1:26">
      <c r="A17" s="374"/>
      <c r="B17" s="385"/>
      <c r="C17" s="385"/>
      <c r="D17" s="379"/>
      <c r="E17" s="379">
        <f t="shared" si="0"/>
        <v>-2.5332500000000001E-2</v>
      </c>
      <c r="F17" s="451">
        <v>3.2170000000000001</v>
      </c>
      <c r="G17" s="373" t="s">
        <v>11</v>
      </c>
      <c r="H17" s="373" t="s">
        <v>10</v>
      </c>
      <c r="I17" s="373"/>
      <c r="J17" s="373"/>
      <c r="K17" s="373"/>
      <c r="L17" s="373"/>
      <c r="M17" s="373"/>
      <c r="N17" s="373"/>
      <c r="O17" s="373">
        <v>-101.33</v>
      </c>
      <c r="P17" s="373">
        <v>-16.989999999999998</v>
      </c>
      <c r="Q17" s="373">
        <v>-1.66</v>
      </c>
      <c r="R17" s="373">
        <v>-86</v>
      </c>
      <c r="S17" s="374" t="str">
        <f t="shared" si="1"/>
        <v/>
      </c>
      <c r="T17" s="374" t="str">
        <f t="shared" si="2"/>
        <v/>
      </c>
      <c r="U17" s="374" t="str">
        <f t="shared" si="3"/>
        <v/>
      </c>
      <c r="V17" s="374" t="str">
        <f>IF(S17="","",IF(T17=1,VLOOKUP(M17,'elipse #s'!$A$4:$C$38,2,FALSE),VLOOKUP(M17,'elipse #s'!$A$4:$C$38,3,FALSE)))</f>
        <v/>
      </c>
      <c r="W17" s="374" t="str">
        <f>IF(S17="","",IF(S17=0,"",VLOOKUP(N17,'elipse #s'!$A$4:$C$38,2,FALSE)))</f>
        <v/>
      </c>
      <c r="X17" s="374" t="str">
        <f t="shared" si="4"/>
        <v/>
      </c>
      <c r="Y17" s="374">
        <f t="shared" si="5"/>
        <v>0</v>
      </c>
      <c r="Z17" s="374">
        <f t="shared" si="6"/>
        <v>0</v>
      </c>
    </row>
    <row r="18" spans="1:26">
      <c r="A18" s="374"/>
      <c r="B18" s="385"/>
      <c r="C18" s="385"/>
      <c r="D18" s="379"/>
      <c r="E18" s="379" t="str">
        <f t="shared" si="0"/>
        <v/>
      </c>
      <c r="F18" s="451"/>
      <c r="G18" s="373" t="s">
        <v>128</v>
      </c>
      <c r="H18" s="373"/>
      <c r="I18" s="373">
        <v>0</v>
      </c>
      <c r="J18" s="373">
        <v>3.2829999999999999</v>
      </c>
      <c r="K18" s="373">
        <v>-0.2641</v>
      </c>
      <c r="L18" s="373">
        <v>-19.399999999999999</v>
      </c>
      <c r="M18" s="373">
        <v>15</v>
      </c>
      <c r="N18" s="373">
        <v>20</v>
      </c>
      <c r="O18" s="373"/>
      <c r="P18" s="373"/>
      <c r="Q18" s="373"/>
      <c r="R18" s="373"/>
      <c r="S18" s="374">
        <f t="shared" si="1"/>
        <v>1</v>
      </c>
      <c r="T18" s="374">
        <f t="shared" si="2"/>
        <v>0</v>
      </c>
      <c r="U18" s="374">
        <f t="shared" si="3"/>
        <v>0</v>
      </c>
      <c r="V18" s="374">
        <f>IF(S18="","",IF(T18=1,VLOOKUP(M18,'elipse #s'!$A$4:$C$38,2,FALSE),VLOOKUP(M18,'elipse #s'!$A$4:$C$38,3,FALSE)))</f>
        <v>0.30185182071533384</v>
      </c>
      <c r="W18" s="374">
        <f>IF(S18="","",IF(S18=0,"",VLOOKUP(N18,'elipse #s'!$A$4:$C$38,2,FALSE)))</f>
        <v>0.24854869819787279</v>
      </c>
      <c r="X18" s="374">
        <f t="shared" si="4"/>
        <v>5.3303122517461055E-2</v>
      </c>
      <c r="Y18" s="374">
        <f t="shared" si="5"/>
        <v>3.3007052255083353</v>
      </c>
      <c r="Z18" s="374">
        <f t="shared" si="6"/>
        <v>-0.24915578710217379</v>
      </c>
    </row>
    <row r="19" spans="1:26">
      <c r="A19" s="374"/>
      <c r="B19" s="385"/>
      <c r="C19" s="385"/>
      <c r="D19" s="379"/>
      <c r="E19" s="379">
        <f t="shared" si="0"/>
        <v>-2.4774999999999998E-2</v>
      </c>
      <c r="F19" s="451">
        <v>3.222</v>
      </c>
      <c r="G19" s="373" t="s">
        <v>11</v>
      </c>
      <c r="H19" s="373" t="s">
        <v>10</v>
      </c>
      <c r="I19" s="373"/>
      <c r="J19" s="373"/>
      <c r="K19" s="373"/>
      <c r="L19" s="373"/>
      <c r="M19" s="373"/>
      <c r="N19" s="373"/>
      <c r="O19" s="373">
        <v>-99.100000000000009</v>
      </c>
      <c r="P19" s="373">
        <v>-15.73</v>
      </c>
      <c r="Q19" s="373">
        <v>-2.63</v>
      </c>
      <c r="R19" s="373">
        <v>-86</v>
      </c>
      <c r="S19" s="374" t="str">
        <f t="shared" si="1"/>
        <v/>
      </c>
      <c r="T19" s="374" t="str">
        <f t="shared" si="2"/>
        <v/>
      </c>
      <c r="U19" s="374" t="str">
        <f t="shared" si="3"/>
        <v/>
      </c>
      <c r="V19" s="374" t="str">
        <f>IF(S19="","",IF(T19=1,VLOOKUP(M19,'elipse #s'!$A$4:$C$38,2,FALSE),VLOOKUP(M19,'elipse #s'!$A$4:$C$38,3,FALSE)))</f>
        <v/>
      </c>
      <c r="W19" s="374" t="str">
        <f>IF(S19="","",IF(S19=0,"",VLOOKUP(N19,'elipse #s'!$A$4:$C$38,2,FALSE)))</f>
        <v/>
      </c>
      <c r="X19" s="374" t="str">
        <f t="shared" si="4"/>
        <v/>
      </c>
      <c r="Y19" s="374">
        <f t="shared" si="5"/>
        <v>0</v>
      </c>
      <c r="Z19" s="374">
        <f t="shared" si="6"/>
        <v>0</v>
      </c>
    </row>
    <row r="20" spans="1:26">
      <c r="A20" s="374"/>
      <c r="B20" s="385"/>
      <c r="C20" s="385"/>
      <c r="D20" s="379"/>
      <c r="E20" s="379" t="str">
        <f t="shared" si="0"/>
        <v/>
      </c>
      <c r="F20" s="451"/>
      <c r="G20" s="373" t="s">
        <v>128</v>
      </c>
      <c r="H20" s="373"/>
      <c r="I20" s="373">
        <v>0</v>
      </c>
      <c r="J20" s="373">
        <v>3.8342999999999998</v>
      </c>
      <c r="K20" s="373">
        <v>-0.82650000000000001</v>
      </c>
      <c r="L20" s="373">
        <v>-43.5</v>
      </c>
      <c r="M20" s="373">
        <v>20</v>
      </c>
      <c r="N20" s="373">
        <v>25</v>
      </c>
      <c r="O20" s="373"/>
      <c r="P20" s="373"/>
      <c r="Q20" s="373"/>
      <c r="R20" s="373"/>
      <c r="S20" s="374">
        <f t="shared" si="1"/>
        <v>1</v>
      </c>
      <c r="T20" s="374">
        <f t="shared" si="2"/>
        <v>0</v>
      </c>
      <c r="U20" s="374">
        <f t="shared" si="3"/>
        <v>0</v>
      </c>
      <c r="V20" s="374">
        <f>IF(S20="","",IF(T20=1,VLOOKUP(M20,'elipse #s'!$A$4:$C$38,2,FALSE),VLOOKUP(M20,'elipse #s'!$A$4:$C$38,3,FALSE)))</f>
        <v>0.29365394399559641</v>
      </c>
      <c r="W20" s="374">
        <f>IF(S20="","",IF(S20=0,"",VLOOKUP(N20,'elipse #s'!$A$4:$C$38,2,FALSE)))</f>
        <v>0.23971840967119393</v>
      </c>
      <c r="X20" s="374">
        <f t="shared" si="4"/>
        <v>5.3935534324402484E-2</v>
      </c>
      <c r="Y20" s="374">
        <f t="shared" si="5"/>
        <v>3.87142677184469</v>
      </c>
      <c r="Z20" s="374">
        <f t="shared" si="6"/>
        <v>-0.82215154571422489</v>
      </c>
    </row>
    <row r="21" spans="1:26">
      <c r="A21" s="374"/>
      <c r="B21" s="385"/>
      <c r="C21" s="385"/>
      <c r="D21" s="379"/>
      <c r="E21" s="379">
        <f t="shared" si="0"/>
        <v>-2.4672499999999997E-2</v>
      </c>
      <c r="F21" s="451">
        <v>3.2269999999999999</v>
      </c>
      <c r="G21" s="373" t="s">
        <v>11</v>
      </c>
      <c r="H21" s="373" t="s">
        <v>10</v>
      </c>
      <c r="I21" s="373"/>
      <c r="J21" s="373"/>
      <c r="K21" s="373"/>
      <c r="L21" s="373"/>
      <c r="M21" s="373"/>
      <c r="N21" s="373"/>
      <c r="O21" s="373">
        <v>-98.69</v>
      </c>
      <c r="P21" s="373">
        <v>-15.55</v>
      </c>
      <c r="Q21" s="373">
        <v>-2.86</v>
      </c>
      <c r="R21" s="373">
        <v>-86</v>
      </c>
      <c r="S21" s="374" t="str">
        <f t="shared" si="1"/>
        <v/>
      </c>
      <c r="T21" s="374" t="str">
        <f t="shared" si="2"/>
        <v/>
      </c>
      <c r="U21" s="374" t="str">
        <f t="shared" si="3"/>
        <v/>
      </c>
      <c r="V21" s="374" t="str">
        <f>IF(S21="","",IF(T21=1,VLOOKUP(M21,'elipse #s'!$A$4:$C$38,2,FALSE),VLOOKUP(M21,'elipse #s'!$A$4:$C$38,3,FALSE)))</f>
        <v/>
      </c>
      <c r="W21" s="374" t="str">
        <f>IF(S21="","",IF(S21=0,"",VLOOKUP(N21,'elipse #s'!$A$4:$C$38,2,FALSE)))</f>
        <v/>
      </c>
      <c r="X21" s="374" t="str">
        <f t="shared" si="4"/>
        <v/>
      </c>
      <c r="Y21" s="374">
        <f t="shared" si="5"/>
        <v>0</v>
      </c>
      <c r="Z21" s="374">
        <f t="shared" si="6"/>
        <v>0</v>
      </c>
    </row>
    <row r="22" spans="1:26">
      <c r="A22" s="374"/>
      <c r="B22" s="385"/>
      <c r="C22" s="385"/>
      <c r="D22" s="379"/>
      <c r="E22" s="379" t="str">
        <f t="shared" si="0"/>
        <v/>
      </c>
      <c r="F22" s="451"/>
      <c r="G22" s="373" t="s">
        <v>128</v>
      </c>
      <c r="H22" s="373"/>
      <c r="I22" s="373">
        <v>0</v>
      </c>
      <c r="J22" s="373">
        <v>3.9613</v>
      </c>
      <c r="K22" s="373">
        <v>-1.5865</v>
      </c>
      <c r="L22" s="373">
        <v>-65</v>
      </c>
      <c r="M22" s="373">
        <v>25</v>
      </c>
      <c r="N22" s="373">
        <v>30</v>
      </c>
      <c r="O22" s="373"/>
      <c r="P22" s="373"/>
      <c r="Q22" s="373"/>
      <c r="R22" s="373"/>
      <c r="S22" s="374">
        <f t="shared" si="1"/>
        <v>1</v>
      </c>
      <c r="T22" s="374">
        <f t="shared" si="2"/>
        <v>0</v>
      </c>
      <c r="U22" s="374">
        <f t="shared" si="3"/>
        <v>0</v>
      </c>
      <c r="V22" s="374">
        <f>IF(S22="","",IF(T22=1,VLOOKUP(M22,'elipse #s'!$A$4:$C$38,2,FALSE),VLOOKUP(M22,'elipse #s'!$A$4:$C$38,3,FALSE)))</f>
        <v>0.28322118344895308</v>
      </c>
      <c r="W22" s="374">
        <f>IF(S22="","",IF(S22=0,"",VLOOKUP(N22,'elipse #s'!$A$4:$C$38,2,FALSE)))</f>
        <v>0.22906371930098404</v>
      </c>
      <c r="X22" s="374">
        <f t="shared" si="4"/>
        <v>5.4157464147969042E-2</v>
      </c>
      <c r="Y22" s="374">
        <f t="shared" si="5"/>
        <v>4.0103833314834629</v>
      </c>
      <c r="Z22" s="374">
        <f t="shared" si="6"/>
        <v>-1.5982845666415011</v>
      </c>
    </row>
    <row r="23" spans="1:26">
      <c r="A23" s="374"/>
      <c r="B23" s="385"/>
      <c r="C23" s="385"/>
      <c r="D23" s="379"/>
      <c r="E23" s="379">
        <f t="shared" si="0"/>
        <v>-3.9297499999999999E-2</v>
      </c>
      <c r="F23" s="451">
        <v>4.2110000000000003</v>
      </c>
      <c r="G23" s="373" t="s">
        <v>10</v>
      </c>
      <c r="H23" s="373" t="s">
        <v>10</v>
      </c>
      <c r="I23" s="373"/>
      <c r="J23" s="373"/>
      <c r="K23" s="373"/>
      <c r="L23" s="373"/>
      <c r="M23" s="373"/>
      <c r="N23" s="373"/>
      <c r="O23" s="373">
        <v>-157.19</v>
      </c>
      <c r="P23" s="373">
        <v>-21.19</v>
      </c>
      <c r="Q23" s="373">
        <v>0</v>
      </c>
      <c r="R23" s="373">
        <v>-136</v>
      </c>
      <c r="S23" s="374" t="str">
        <f t="shared" si="1"/>
        <v/>
      </c>
      <c r="T23" s="374" t="str">
        <f t="shared" si="2"/>
        <v/>
      </c>
      <c r="U23" s="374" t="str">
        <f t="shared" si="3"/>
        <v/>
      </c>
      <c r="V23" s="374" t="str">
        <f>IF(S23="","",IF(T23=1,VLOOKUP(M23,'elipse #s'!$A$4:$C$38,2,FALSE),VLOOKUP(M23,'elipse #s'!$A$4:$C$38,3,FALSE)))</f>
        <v/>
      </c>
      <c r="W23" s="374" t="str">
        <f>IF(S23="","",IF(S23=0,"",VLOOKUP(N23,'elipse #s'!$A$4:$C$38,2,FALSE)))</f>
        <v/>
      </c>
      <c r="X23" s="374" t="str">
        <f t="shared" si="4"/>
        <v/>
      </c>
      <c r="Y23" s="374">
        <f t="shared" si="5"/>
        <v>0</v>
      </c>
      <c r="Z23" s="374">
        <f t="shared" si="6"/>
        <v>0</v>
      </c>
    </row>
    <row r="24" spans="1:26">
      <c r="B24" s="385"/>
      <c r="C24" s="385"/>
      <c r="D24" s="379"/>
      <c r="E24" s="379" t="str">
        <f t="shared" si="0"/>
        <v/>
      </c>
      <c r="F24" s="451"/>
      <c r="G24" s="373" t="s">
        <v>128</v>
      </c>
      <c r="H24" s="373"/>
      <c r="I24" s="373">
        <v>0</v>
      </c>
      <c r="J24" s="373">
        <v>2.2629000000000001</v>
      </c>
      <c r="K24" s="373">
        <v>-0.15840000000000001</v>
      </c>
      <c r="L24" s="373">
        <v>10</v>
      </c>
      <c r="M24" s="373">
        <v>15</v>
      </c>
      <c r="N24" s="373">
        <v>20</v>
      </c>
      <c r="O24" s="373"/>
      <c r="P24" s="373"/>
      <c r="Q24" s="373"/>
      <c r="R24" s="373"/>
      <c r="S24" s="374">
        <f t="shared" si="1"/>
        <v>1</v>
      </c>
      <c r="T24" s="374">
        <f t="shared" si="2"/>
        <v>1</v>
      </c>
      <c r="U24" s="374">
        <f t="shared" si="3"/>
        <v>0</v>
      </c>
      <c r="V24" s="374">
        <f>IF(S24="","",IF(T24=1,VLOOKUP(M24,'elipse #s'!$A$4:$C$38,2,FALSE),VLOOKUP(M24,'elipse #s'!$A$4:$C$38,3,FALSE)))</f>
        <v>0.25548738105345858</v>
      </c>
      <c r="W24" s="374">
        <f>IF(S24="","",IF(S24=0,"",VLOOKUP(N24,'elipse #s'!$A$4:$C$38,2,FALSE)))</f>
        <v>0.24854869819787279</v>
      </c>
      <c r="X24" s="374">
        <f t="shared" si="4"/>
        <v>6.9386828555857982E-3</v>
      </c>
      <c r="Y24" s="374">
        <f t="shared" si="5"/>
        <v>2.2616951103667189</v>
      </c>
      <c r="Z24" s="374">
        <f t="shared" si="6"/>
        <v>-0.20086423132812625</v>
      </c>
    </row>
    <row r="25" spans="1:26">
      <c r="B25" s="385"/>
      <c r="C25" s="385"/>
      <c r="D25" s="379"/>
      <c r="E25" s="379">
        <f t="shared" si="0"/>
        <v>-2.077E-2</v>
      </c>
      <c r="F25" s="451">
        <v>4.2160000000000002</v>
      </c>
      <c r="G25" s="373" t="s">
        <v>11</v>
      </c>
      <c r="H25" s="373" t="s">
        <v>10</v>
      </c>
      <c r="I25" s="373"/>
      <c r="J25" s="373"/>
      <c r="K25" s="373"/>
      <c r="L25" s="373"/>
      <c r="M25" s="373"/>
      <c r="N25" s="373"/>
      <c r="O25" s="373">
        <v>-83.08</v>
      </c>
      <c r="P25" s="373">
        <v>-17.489999999999998</v>
      </c>
      <c r="Q25" s="373">
        <v>-1.41</v>
      </c>
      <c r="R25" s="373">
        <v>-67</v>
      </c>
      <c r="S25" s="374" t="str">
        <f t="shared" si="1"/>
        <v/>
      </c>
      <c r="T25" s="374" t="str">
        <f t="shared" si="2"/>
        <v/>
      </c>
      <c r="U25" s="374" t="str">
        <f t="shared" si="3"/>
        <v/>
      </c>
      <c r="V25" s="374" t="str">
        <f>IF(S25="","",IF(T25=1,VLOOKUP(M25,'elipse #s'!$A$4:$C$38,2,FALSE),VLOOKUP(M25,'elipse #s'!$A$4:$C$38,3,FALSE)))</f>
        <v/>
      </c>
      <c r="W25" s="374" t="str">
        <f>IF(S25="","",IF(S25=0,"",VLOOKUP(N25,'elipse #s'!$A$4:$C$38,2,FALSE)))</f>
        <v/>
      </c>
      <c r="X25" s="374" t="str">
        <f t="shared" si="4"/>
        <v/>
      </c>
      <c r="Y25" s="374">
        <f t="shared" si="5"/>
        <v>0</v>
      </c>
      <c r="Z25" s="374">
        <f t="shared" si="6"/>
        <v>0</v>
      </c>
    </row>
    <row r="26" spans="1:26">
      <c r="B26" s="385"/>
      <c r="C26" s="385"/>
      <c r="D26" s="379"/>
      <c r="E26" s="379" t="str">
        <f t="shared" si="0"/>
        <v/>
      </c>
      <c r="F26" s="451"/>
      <c r="G26" s="373" t="s">
        <v>128</v>
      </c>
      <c r="H26" s="373"/>
      <c r="I26" s="373">
        <v>0</v>
      </c>
      <c r="J26" s="373">
        <v>3.1343999999999999</v>
      </c>
      <c r="K26" s="373">
        <v>-0.19939999999999999</v>
      </c>
      <c r="L26" s="373">
        <v>-14.6</v>
      </c>
      <c r="M26" s="373">
        <v>15</v>
      </c>
      <c r="N26" s="373">
        <v>20</v>
      </c>
      <c r="O26" s="373"/>
      <c r="P26" s="373"/>
      <c r="Q26" s="373"/>
      <c r="R26" s="373"/>
      <c r="S26" s="374">
        <f t="shared" si="1"/>
        <v>1</v>
      </c>
      <c r="T26" s="374">
        <f t="shared" si="2"/>
        <v>0</v>
      </c>
      <c r="U26" s="374">
        <f t="shared" si="3"/>
        <v>0</v>
      </c>
      <c r="V26" s="374">
        <f>IF(S26="","",IF(T26=1,VLOOKUP(M26,'elipse #s'!$A$4:$C$38,2,FALSE),VLOOKUP(M26,'elipse #s'!$A$4:$C$38,3,FALSE)))</f>
        <v>0.30185182071533384</v>
      </c>
      <c r="W26" s="374">
        <f>IF(S26="","",IF(S26=0,"",VLOOKUP(N26,'elipse #s'!$A$4:$C$38,2,FALSE)))</f>
        <v>0.24854869819787279</v>
      </c>
      <c r="X26" s="374">
        <f t="shared" si="4"/>
        <v>5.3303122517461055E-2</v>
      </c>
      <c r="Y26" s="374">
        <f t="shared" si="5"/>
        <v>3.1478360838853305</v>
      </c>
      <c r="Z26" s="374">
        <f t="shared" si="6"/>
        <v>-0.1785880795245289</v>
      </c>
    </row>
    <row r="27" spans="1:26">
      <c r="B27" s="385"/>
      <c r="C27" s="385"/>
      <c r="D27" s="379"/>
      <c r="E27" s="379">
        <f t="shared" si="0"/>
        <v>-2.0094999999999998E-2</v>
      </c>
      <c r="F27" s="451">
        <v>4.2210000000000001</v>
      </c>
      <c r="G27" s="373" t="s">
        <v>11</v>
      </c>
      <c r="H27" s="373" t="s">
        <v>10</v>
      </c>
      <c r="I27" s="373"/>
      <c r="J27" s="373"/>
      <c r="K27" s="373"/>
      <c r="L27" s="373"/>
      <c r="M27" s="373"/>
      <c r="N27" s="373"/>
      <c r="O27" s="373">
        <v>-80.38</v>
      </c>
      <c r="P27" s="373">
        <v>-15.86</v>
      </c>
      <c r="Q27" s="373">
        <v>-2.48</v>
      </c>
      <c r="R27" s="373">
        <v>-67</v>
      </c>
      <c r="S27" s="374" t="str">
        <f t="shared" si="1"/>
        <v/>
      </c>
      <c r="T27" s="374" t="str">
        <f t="shared" si="2"/>
        <v/>
      </c>
      <c r="U27" s="374" t="str">
        <f t="shared" si="3"/>
        <v/>
      </c>
      <c r="V27" s="374" t="str">
        <f>IF(S27="","",IF(T27=1,VLOOKUP(M27,'elipse #s'!$A$4:$C$38,2,FALSE),VLOOKUP(M27,'elipse #s'!$A$4:$C$38,3,FALSE)))</f>
        <v/>
      </c>
      <c r="W27" s="374" t="str">
        <f>IF(S27="","",IF(S27=0,"",VLOOKUP(N27,'elipse #s'!$A$4:$C$38,2,FALSE)))</f>
        <v/>
      </c>
      <c r="X27" s="374" t="str">
        <f t="shared" si="4"/>
        <v/>
      </c>
      <c r="Y27" s="374">
        <f t="shared" si="5"/>
        <v>0</v>
      </c>
      <c r="Z27" s="374">
        <f t="shared" si="6"/>
        <v>0</v>
      </c>
    </row>
    <row r="28" spans="1:26">
      <c r="B28" s="385"/>
      <c r="C28" s="385"/>
      <c r="D28" s="379"/>
      <c r="E28" s="379" t="str">
        <f t="shared" si="0"/>
        <v/>
      </c>
      <c r="F28" s="451"/>
      <c r="G28" s="373" t="s">
        <v>128</v>
      </c>
      <c r="H28" s="373"/>
      <c r="I28" s="373">
        <v>0</v>
      </c>
      <c r="J28" s="373">
        <v>3.7547999999999999</v>
      </c>
      <c r="K28" s="373">
        <v>-0.69010000000000005</v>
      </c>
      <c r="L28" s="373">
        <v>-38.700000000000003</v>
      </c>
      <c r="M28" s="373">
        <v>17.5</v>
      </c>
      <c r="N28" s="373">
        <v>22.5</v>
      </c>
      <c r="O28" s="373"/>
      <c r="P28" s="373"/>
      <c r="Q28" s="373"/>
      <c r="R28" s="373"/>
      <c r="S28" s="374">
        <f t="shared" si="1"/>
        <v>1</v>
      </c>
      <c r="T28" s="374">
        <f t="shared" si="2"/>
        <v>0</v>
      </c>
      <c r="U28" s="374">
        <f t="shared" si="3"/>
        <v>0</v>
      </c>
      <c r="V28" s="374">
        <f>IF(S28="","",IF(T28=1,VLOOKUP(M28,'elipse #s'!$A$4:$C$38,2,FALSE),VLOOKUP(M28,'elipse #s'!$A$4:$C$38,3,FALSE)))</f>
        <v>0.29803654710882094</v>
      </c>
      <c r="W28" s="374">
        <f>IF(S28="","",IF(S28=0,"",VLOOKUP(N28,'elipse #s'!$A$4:$C$38,2,FALSE)))</f>
        <v>0.24436613634923535</v>
      </c>
      <c r="X28" s="374">
        <f t="shared" si="4"/>
        <v>5.3670410759585591E-2</v>
      </c>
      <c r="Y28" s="374">
        <f t="shared" si="5"/>
        <v>3.7883570301899514</v>
      </c>
      <c r="Z28" s="374">
        <f t="shared" si="6"/>
        <v>-0.67830897946888113</v>
      </c>
    </row>
    <row r="29" spans="1:26">
      <c r="B29" s="385"/>
      <c r="C29" s="385"/>
      <c r="D29" s="379"/>
      <c r="E29" s="379">
        <f t="shared" si="0"/>
        <v>-1.9924999999999998E-2</v>
      </c>
      <c r="F29" s="451">
        <v>4.226</v>
      </c>
      <c r="G29" s="373" t="s">
        <v>11</v>
      </c>
      <c r="H29" s="373" t="s">
        <v>10</v>
      </c>
      <c r="I29" s="373"/>
      <c r="J29" s="373"/>
      <c r="K29" s="373"/>
      <c r="L29" s="373"/>
      <c r="M29" s="373"/>
      <c r="N29" s="373"/>
      <c r="O29" s="373">
        <v>-79.7</v>
      </c>
      <c r="P29" s="373">
        <v>-15.55</v>
      </c>
      <c r="Q29" s="373">
        <v>-2.85</v>
      </c>
      <c r="R29" s="373">
        <v>-67</v>
      </c>
      <c r="S29" s="374" t="str">
        <f t="shared" si="1"/>
        <v/>
      </c>
      <c r="T29" s="374" t="str">
        <f t="shared" si="2"/>
        <v/>
      </c>
      <c r="U29" s="374" t="str">
        <f t="shared" si="3"/>
        <v/>
      </c>
      <c r="V29" s="374" t="str">
        <f>IF(S29="","",IF(T29=1,VLOOKUP(M29,'elipse #s'!$A$4:$C$38,2,FALSE),VLOOKUP(M29,'elipse #s'!$A$4:$C$38,3,FALSE)))</f>
        <v/>
      </c>
      <c r="W29" s="374" t="str">
        <f>IF(S29="","",IF(S29=0,"",VLOOKUP(N29,'elipse #s'!$A$4:$C$38,2,FALSE)))</f>
        <v/>
      </c>
      <c r="X29" s="374" t="str">
        <f t="shared" si="4"/>
        <v/>
      </c>
      <c r="Y29" s="374">
        <f t="shared" si="5"/>
        <v>0</v>
      </c>
      <c r="Z29" s="374">
        <f t="shared" si="6"/>
        <v>0</v>
      </c>
    </row>
    <row r="30" spans="1:26">
      <c r="B30" s="385"/>
      <c r="C30" s="385"/>
      <c r="D30" s="379"/>
      <c r="E30" s="379" t="str">
        <f t="shared" si="0"/>
        <v/>
      </c>
      <c r="F30" s="451"/>
      <c r="G30" s="373" t="s">
        <v>128</v>
      </c>
      <c r="H30" s="373"/>
      <c r="I30" s="373">
        <v>0</v>
      </c>
      <c r="J30" s="373">
        <v>3.9554</v>
      </c>
      <c r="K30" s="373">
        <v>-1.4336</v>
      </c>
      <c r="L30" s="373">
        <v>-62.9</v>
      </c>
      <c r="M30" s="373">
        <v>22.5</v>
      </c>
      <c r="N30" s="373">
        <v>27.5</v>
      </c>
      <c r="O30" s="373"/>
      <c r="P30" s="373"/>
      <c r="Q30" s="373"/>
      <c r="R30" s="373"/>
      <c r="S30" s="374">
        <f t="shared" si="1"/>
        <v>1</v>
      </c>
      <c r="T30" s="374">
        <f t="shared" si="2"/>
        <v>0</v>
      </c>
      <c r="U30" s="374">
        <f t="shared" si="3"/>
        <v>0</v>
      </c>
      <c r="V30" s="374">
        <f>IF(S30="","",IF(T30=1,VLOOKUP(M30,'elipse #s'!$A$4:$C$38,2,FALSE),VLOOKUP(M30,'elipse #s'!$A$4:$C$38,3,FALSE)))</f>
        <v>0.28871235390977712</v>
      </c>
      <c r="W30" s="374">
        <f>IF(S30="","",IF(S30=0,"",VLOOKUP(N30,'elipse #s'!$A$4:$C$38,2,FALSE)))</f>
        <v>0.23461436537563965</v>
      </c>
      <c r="X30" s="374">
        <f t="shared" si="4"/>
        <v>5.409798853413747E-2</v>
      </c>
      <c r="Y30" s="374">
        <f t="shared" si="5"/>
        <v>4.0035587220967948</v>
      </c>
      <c r="Z30" s="374">
        <f t="shared" si="6"/>
        <v>-1.4388809368316966</v>
      </c>
    </row>
    <row r="31" spans="1:26">
      <c r="B31" s="385"/>
      <c r="C31" s="385"/>
      <c r="D31" s="379"/>
      <c r="E31" s="379">
        <f t="shared" si="0"/>
        <v>-2.1485000000000001E-2</v>
      </c>
      <c r="F31" s="451">
        <v>5.2149999999999999</v>
      </c>
      <c r="G31" s="373" t="s">
        <v>11</v>
      </c>
      <c r="H31" s="373" t="s">
        <v>10</v>
      </c>
      <c r="I31" s="373"/>
      <c r="J31" s="373"/>
      <c r="K31" s="373"/>
      <c r="L31" s="373"/>
      <c r="M31" s="373"/>
      <c r="N31" s="373"/>
      <c r="O31" s="373">
        <v>-85.94</v>
      </c>
      <c r="P31" s="373">
        <v>-18.11</v>
      </c>
      <c r="Q31" s="373">
        <v>-1.17</v>
      </c>
      <c r="R31" s="373">
        <v>-69</v>
      </c>
      <c r="S31" s="374" t="str">
        <f t="shared" si="1"/>
        <v/>
      </c>
      <c r="T31" s="374" t="str">
        <f t="shared" si="2"/>
        <v/>
      </c>
      <c r="U31" s="374" t="str">
        <f t="shared" si="3"/>
        <v/>
      </c>
      <c r="V31" s="374" t="str">
        <f>IF(S31="","",IF(T31=1,VLOOKUP(M31,'elipse #s'!$A$4:$C$38,2,FALSE),VLOOKUP(M31,'elipse #s'!$A$4:$C$38,3,FALSE)))</f>
        <v/>
      </c>
      <c r="W31" s="374" t="str">
        <f>IF(S31="","",IF(S31=0,"",VLOOKUP(N31,'elipse #s'!$A$4:$C$38,2,FALSE)))</f>
        <v/>
      </c>
      <c r="X31" s="374" t="str">
        <f t="shared" si="4"/>
        <v/>
      </c>
      <c r="Y31" s="374">
        <f t="shared" si="5"/>
        <v>0</v>
      </c>
      <c r="Z31" s="374">
        <f t="shared" si="6"/>
        <v>0</v>
      </c>
    </row>
    <row r="32" spans="1:26">
      <c r="B32" s="385"/>
      <c r="C32" s="385"/>
      <c r="D32" s="379"/>
      <c r="E32" s="379" t="str">
        <f t="shared" si="0"/>
        <v/>
      </c>
      <c r="F32" s="451"/>
      <c r="G32" s="373" t="s">
        <v>128</v>
      </c>
      <c r="H32" s="373"/>
      <c r="I32" s="373">
        <v>0</v>
      </c>
      <c r="J32" s="373">
        <v>2.9784000000000002</v>
      </c>
      <c r="K32" s="373">
        <v>-0.1547</v>
      </c>
      <c r="L32" s="373">
        <v>-9.6999999999999993</v>
      </c>
      <c r="M32" s="373">
        <v>15</v>
      </c>
      <c r="N32" s="373">
        <v>20</v>
      </c>
      <c r="O32" s="373"/>
      <c r="P32" s="373"/>
      <c r="Q32" s="373"/>
      <c r="R32" s="373"/>
      <c r="S32" s="374">
        <f t="shared" si="1"/>
        <v>1</v>
      </c>
      <c r="T32" s="374">
        <f t="shared" si="2"/>
        <v>0</v>
      </c>
      <c r="U32" s="374">
        <f t="shared" si="3"/>
        <v>0</v>
      </c>
      <c r="V32" s="374">
        <f>IF(S32="","",IF(T32=1,VLOOKUP(M32,'elipse #s'!$A$4:$C$38,2,FALSE),VLOOKUP(M32,'elipse #s'!$A$4:$C$38,3,FALSE)))</f>
        <v>0.30185182071533384</v>
      </c>
      <c r="W32" s="374">
        <f>IF(S32="","",IF(S32=0,"",VLOOKUP(N32,'elipse #s'!$A$4:$C$38,2,FALSE)))</f>
        <v>0.24854869819787279</v>
      </c>
      <c r="X32" s="374">
        <f t="shared" si="4"/>
        <v>5.3303122517461055E-2</v>
      </c>
      <c r="Y32" s="374">
        <f t="shared" si="5"/>
        <v>2.9873810100418443</v>
      </c>
      <c r="Z32" s="374">
        <f t="shared" si="6"/>
        <v>-0.13364392722127044</v>
      </c>
    </row>
    <row r="33" spans="2:26">
      <c r="B33" s="385"/>
      <c r="C33" s="385"/>
      <c r="D33" s="379"/>
      <c r="E33" s="379">
        <f t="shared" si="0"/>
        <v>-2.0682499999999999E-2</v>
      </c>
      <c r="F33" s="451">
        <v>5.22</v>
      </c>
      <c r="G33" s="373" t="s">
        <v>11</v>
      </c>
      <c r="H33" s="373" t="s">
        <v>10</v>
      </c>
      <c r="I33" s="373"/>
      <c r="J33" s="373"/>
      <c r="K33" s="373"/>
      <c r="L33" s="373"/>
      <c r="M33" s="373"/>
      <c r="N33" s="373"/>
      <c r="O33" s="373">
        <v>-82.72999999999999</v>
      </c>
      <c r="P33" s="373">
        <v>-16.04</v>
      </c>
      <c r="Q33" s="373">
        <v>-2.31</v>
      </c>
      <c r="R33" s="373">
        <v>-69</v>
      </c>
      <c r="S33" s="374" t="str">
        <f t="shared" si="1"/>
        <v/>
      </c>
      <c r="T33" s="374" t="str">
        <f t="shared" si="2"/>
        <v/>
      </c>
      <c r="U33" s="374" t="str">
        <f t="shared" si="3"/>
        <v/>
      </c>
      <c r="V33" s="374" t="str">
        <f>IF(S33="","",IF(T33=1,VLOOKUP(M33,'elipse #s'!$A$4:$C$38,2,FALSE),VLOOKUP(M33,'elipse #s'!$A$4:$C$38,3,FALSE)))</f>
        <v/>
      </c>
      <c r="W33" s="374" t="str">
        <f>IF(S33="","",IF(S33=0,"",VLOOKUP(N33,'elipse #s'!$A$4:$C$38,2,FALSE)))</f>
        <v/>
      </c>
      <c r="X33" s="374" t="str">
        <f t="shared" si="4"/>
        <v/>
      </c>
      <c r="Y33" s="374">
        <f t="shared" si="5"/>
        <v>0</v>
      </c>
      <c r="Z33" s="374">
        <f t="shared" si="6"/>
        <v>0</v>
      </c>
    </row>
    <row r="34" spans="2:26">
      <c r="B34" s="385"/>
      <c r="C34" s="385"/>
      <c r="D34" s="379"/>
      <c r="E34" s="379" t="str">
        <f t="shared" si="0"/>
        <v/>
      </c>
      <c r="F34" s="451"/>
      <c r="G34" s="373" t="s">
        <v>128</v>
      </c>
      <c r="H34" s="373"/>
      <c r="I34" s="373">
        <v>0</v>
      </c>
      <c r="J34" s="373">
        <v>3.6606999999999998</v>
      </c>
      <c r="K34" s="373">
        <v>-0.56200000000000006</v>
      </c>
      <c r="L34" s="373">
        <v>-33.9</v>
      </c>
      <c r="M34" s="373">
        <v>17.5</v>
      </c>
      <c r="N34" s="373">
        <v>22.5</v>
      </c>
      <c r="O34" s="373"/>
      <c r="P34" s="373"/>
      <c r="Q34" s="373"/>
      <c r="R34" s="373"/>
      <c r="S34" s="374">
        <f t="shared" ref="S34:S47" si="7">IF(G33="","",IF(OR(LEFT(TRIM(H33),2)="16",LEFT(TRIM(H33),2)="13"),1,0))</f>
        <v>1</v>
      </c>
      <c r="T34" s="374">
        <f t="shared" ref="T34:T47" si="8">IF(S34="","",IF(LEFT(TRIM(G33),2)="13",1,0))</f>
        <v>0</v>
      </c>
      <c r="U34" s="374">
        <f t="shared" ref="U34:U47" si="9">IF(S34="","",IF(LEFT(TRIM(H33),3)="1/2",1,0))</f>
        <v>0</v>
      </c>
      <c r="V34" s="374">
        <f>IF(S34="","",IF(T34=1,VLOOKUP(M34,'elipse #s'!$A$4:$C$38,2,FALSE),VLOOKUP(M34,'elipse #s'!$A$4:$C$38,3,FALSE)))</f>
        <v>0.29803654710882094</v>
      </c>
      <c r="W34" s="374">
        <f>IF(S34="","",IF(S34=0,"",VLOOKUP(N34,'elipse #s'!$A$4:$C$38,2,FALSE)))</f>
        <v>0.24436613634923535</v>
      </c>
      <c r="X34" s="374">
        <f t="shared" ref="X34:X47" si="10">IF(S34="","",IF(AND(S34=0,U34=1),K34+V34+E33-$B$6,IF(AND(S34=0,U34=0),K34+V34+E33-$C$6,V34-W34)))</f>
        <v>5.3670410759585591E-2</v>
      </c>
      <c r="Y34" s="374">
        <f t="shared" ref="Y34:Y47" si="11">IF(S34="",0,IF(S34=0,IF(U34=1,MIN(J34,$Y$1),MIN(J34,$Z$1)),X34*SIN(RADIANS(-L34))+J34))</f>
        <v>3.6906344090980898</v>
      </c>
      <c r="Z34" s="374">
        <f t="shared" ref="Z34:Z47" si="12">IF(S34="",0,IF(S34=0,X34-$AB$1,X34*COS(RADIANS(-L34))+K34-$AB$1+E33))</f>
        <v>-0.54813539972342951</v>
      </c>
    </row>
    <row r="35" spans="2:26">
      <c r="B35" s="385"/>
      <c r="C35" s="385"/>
      <c r="D35" s="379"/>
      <c r="E35" s="379">
        <f t="shared" si="0"/>
        <v>-2.0427500000000001E-2</v>
      </c>
      <c r="F35" s="451">
        <v>5.2249999999999996</v>
      </c>
      <c r="G35" s="373" t="s">
        <v>11</v>
      </c>
      <c r="H35" s="373" t="s">
        <v>10</v>
      </c>
      <c r="I35" s="373"/>
      <c r="J35" s="373"/>
      <c r="K35" s="373"/>
      <c r="L35" s="373"/>
      <c r="M35" s="373"/>
      <c r="N35" s="373"/>
      <c r="O35" s="373">
        <v>-81.710000000000008</v>
      </c>
      <c r="P35" s="373">
        <v>-15.56</v>
      </c>
      <c r="Q35" s="373">
        <v>-2.85</v>
      </c>
      <c r="R35" s="373">
        <v>-69</v>
      </c>
      <c r="S35" s="374" t="str">
        <f t="shared" si="7"/>
        <v/>
      </c>
      <c r="T35" s="374" t="str">
        <f t="shared" si="8"/>
        <v/>
      </c>
      <c r="U35" s="374" t="str">
        <f t="shared" si="9"/>
        <v/>
      </c>
      <c r="V35" s="374" t="str">
        <f>IF(S35="","",IF(T35=1,VLOOKUP(M35,'elipse #s'!$A$4:$C$38,2,FALSE),VLOOKUP(M35,'elipse #s'!$A$4:$C$38,3,FALSE)))</f>
        <v/>
      </c>
      <c r="W35" s="374" t="str">
        <f>IF(S35="","",IF(S35=0,"",VLOOKUP(N35,'elipse #s'!$A$4:$C$38,2,FALSE)))</f>
        <v/>
      </c>
      <c r="X35" s="374" t="str">
        <f t="shared" si="10"/>
        <v/>
      </c>
      <c r="Y35" s="374">
        <f t="shared" si="11"/>
        <v>0</v>
      </c>
      <c r="Z35" s="374">
        <f t="shared" si="12"/>
        <v>0</v>
      </c>
    </row>
    <row r="36" spans="2:26">
      <c r="B36" s="385"/>
      <c r="C36" s="385"/>
      <c r="D36" s="379"/>
      <c r="E36" s="379" t="str">
        <f t="shared" si="0"/>
        <v/>
      </c>
      <c r="F36" s="451"/>
      <c r="G36" s="373" t="s">
        <v>128</v>
      </c>
      <c r="H36" s="373"/>
      <c r="I36" s="373">
        <v>0</v>
      </c>
      <c r="J36" s="373">
        <v>3.9537</v>
      </c>
      <c r="K36" s="373">
        <v>-1.2826</v>
      </c>
      <c r="L36" s="373">
        <v>-58.1</v>
      </c>
      <c r="M36" s="373">
        <v>22.5</v>
      </c>
      <c r="N36" s="373">
        <v>27.5</v>
      </c>
      <c r="O36" s="373"/>
      <c r="P36" s="373"/>
      <c r="Q36" s="373"/>
      <c r="R36" s="373"/>
      <c r="S36" s="374">
        <f t="shared" si="7"/>
        <v>1</v>
      </c>
      <c r="T36" s="374">
        <f t="shared" si="8"/>
        <v>0</v>
      </c>
      <c r="U36" s="374">
        <f t="shared" si="9"/>
        <v>0</v>
      </c>
      <c r="V36" s="374">
        <f>IF(S36="","",IF(T36=1,VLOOKUP(M36,'elipse #s'!$A$4:$C$38,2,FALSE),VLOOKUP(M36,'elipse #s'!$A$4:$C$38,3,FALSE)))</f>
        <v>0.28871235390977712</v>
      </c>
      <c r="W36" s="374">
        <f>IF(S36="","",IF(S36=0,"",VLOOKUP(N36,'elipse #s'!$A$4:$C$38,2,FALSE)))</f>
        <v>0.23461436537563965</v>
      </c>
      <c r="X36" s="374">
        <f t="shared" si="10"/>
        <v>5.409798853413747E-2</v>
      </c>
      <c r="Y36" s="374">
        <f t="shared" si="11"/>
        <v>3.9996276606231684</v>
      </c>
      <c r="Z36" s="374">
        <f t="shared" si="12"/>
        <v>-1.2844400490271919</v>
      </c>
    </row>
    <row r="37" spans="2:26">
      <c r="B37" s="385"/>
      <c r="C37" s="385"/>
      <c r="D37" s="379"/>
      <c r="E37" s="379">
        <f t="shared" si="0"/>
        <v>-6.8499999999999991E-2</v>
      </c>
      <c r="F37" s="451">
        <v>3.3029999999999999</v>
      </c>
      <c r="G37" s="373" t="s">
        <v>17</v>
      </c>
      <c r="H37" s="373" t="s">
        <v>114</v>
      </c>
      <c r="I37" s="373"/>
      <c r="J37" s="373"/>
      <c r="K37" s="373"/>
      <c r="L37" s="373"/>
      <c r="M37" s="373"/>
      <c r="N37" s="373"/>
      <c r="O37" s="373">
        <v>-274</v>
      </c>
      <c r="P37" s="373">
        <v>-52</v>
      </c>
      <c r="Q37" s="373">
        <v>0</v>
      </c>
      <c r="R37" s="373">
        <v>-222</v>
      </c>
      <c r="S37" s="374" t="str">
        <f t="shared" si="7"/>
        <v/>
      </c>
      <c r="T37" s="374" t="str">
        <f t="shared" si="8"/>
        <v/>
      </c>
      <c r="U37" s="374" t="str">
        <f t="shared" si="9"/>
        <v/>
      </c>
      <c r="V37" s="374" t="str">
        <f>IF(S37="","",IF(T37=1,VLOOKUP(M37,'elipse #s'!$A$4:$C$38,2,FALSE),VLOOKUP(M37,'elipse #s'!$A$4:$C$38,3,FALSE)))</f>
        <v/>
      </c>
      <c r="W37" s="374" t="str">
        <f>IF(S37="","",IF(S37=0,"",VLOOKUP(N37,'elipse #s'!$A$4:$C$38,2,FALSE)))</f>
        <v/>
      </c>
      <c r="X37" s="374" t="str">
        <f t="shared" si="10"/>
        <v/>
      </c>
      <c r="Y37" s="374">
        <f t="shared" si="11"/>
        <v>0</v>
      </c>
      <c r="Z37" s="374">
        <f t="shared" si="12"/>
        <v>0</v>
      </c>
    </row>
    <row r="38" spans="2:26">
      <c r="B38" s="385"/>
      <c r="C38" s="385"/>
      <c r="D38" s="379"/>
      <c r="E38" s="379" t="str">
        <f t="shared" si="0"/>
        <v/>
      </c>
      <c r="F38" s="451"/>
      <c r="G38" s="373" t="s">
        <v>128</v>
      </c>
      <c r="H38" s="373"/>
      <c r="I38" s="373">
        <v>0</v>
      </c>
      <c r="J38" s="373">
        <v>0.69259999999999999</v>
      </c>
      <c r="K38" s="373">
        <v>-0.57199999999999995</v>
      </c>
      <c r="L38" s="373">
        <v>15</v>
      </c>
      <c r="M38" s="373">
        <v>20</v>
      </c>
      <c r="N38" s="373" t="s">
        <v>128</v>
      </c>
      <c r="O38" s="373"/>
      <c r="P38" s="373"/>
      <c r="Q38" s="373"/>
      <c r="R38" s="373"/>
      <c r="S38" s="374">
        <f t="shared" si="7"/>
        <v>0</v>
      </c>
      <c r="T38" s="374">
        <f t="shared" si="8"/>
        <v>1</v>
      </c>
      <c r="U38" s="374">
        <f t="shared" si="9"/>
        <v>0</v>
      </c>
      <c r="V38" s="374">
        <f>IF(S38="","",IF(T38=1,VLOOKUP(M38,'elipse #s'!$A$4:$C$38,2,FALSE),VLOOKUP(M38,'elipse #s'!$A$4:$C$38,3,FALSE)))</f>
        <v>0.24854869819787279</v>
      </c>
      <c r="W38" s="374" t="str">
        <f>IF(S38="","",IF(S38=0,"",VLOOKUP(N38,'elipse #s'!$A$4:$C$38,2,FALSE)))</f>
        <v/>
      </c>
      <c r="X38" s="374">
        <f t="shared" si="10"/>
        <v>-0.61005130180212719</v>
      </c>
      <c r="Y38" s="374">
        <f t="shared" si="11"/>
        <v>0.69259999999999999</v>
      </c>
      <c r="Z38" s="374">
        <f t="shared" si="12"/>
        <v>-0.6200513018021272</v>
      </c>
    </row>
    <row r="39" spans="2:26">
      <c r="B39" s="385"/>
      <c r="C39" s="385"/>
      <c r="D39" s="379"/>
      <c r="E39" s="379">
        <f t="shared" si="0"/>
        <v>-6.4250000000000002E-2</v>
      </c>
      <c r="F39" s="451">
        <v>3.306</v>
      </c>
      <c r="G39" s="373" t="s">
        <v>17</v>
      </c>
      <c r="H39" s="373" t="s">
        <v>114</v>
      </c>
      <c r="I39" s="373"/>
      <c r="J39" s="373"/>
      <c r="K39" s="373"/>
      <c r="L39" s="373"/>
      <c r="M39" s="373"/>
      <c r="N39" s="373"/>
      <c r="O39" s="373">
        <v>-257</v>
      </c>
      <c r="P39" s="373">
        <v>-35</v>
      </c>
      <c r="Q39" s="373">
        <v>0</v>
      </c>
      <c r="R39" s="373">
        <v>-222</v>
      </c>
      <c r="S39" s="374" t="str">
        <f t="shared" si="7"/>
        <v/>
      </c>
      <c r="T39" s="374" t="str">
        <f t="shared" si="8"/>
        <v/>
      </c>
      <c r="U39" s="374" t="str">
        <f t="shared" si="9"/>
        <v/>
      </c>
      <c r="V39" s="374" t="str">
        <f>IF(S39="","",IF(T39=1,VLOOKUP(M39,'elipse #s'!$A$4:$C$38,2,FALSE),VLOOKUP(M39,'elipse #s'!$A$4:$C$38,3,FALSE)))</f>
        <v/>
      </c>
      <c r="W39" s="374" t="str">
        <f>IF(S39="","",IF(S39=0,"",VLOOKUP(N39,'elipse #s'!$A$4:$C$38,2,FALSE)))</f>
        <v/>
      </c>
      <c r="X39" s="374" t="str">
        <f t="shared" si="10"/>
        <v/>
      </c>
      <c r="Y39" s="374">
        <f t="shared" si="11"/>
        <v>0</v>
      </c>
      <c r="Z39" s="374">
        <f t="shared" si="12"/>
        <v>0</v>
      </c>
    </row>
    <row r="40" spans="2:26">
      <c r="B40" s="385"/>
      <c r="C40" s="385"/>
      <c r="D40" s="379"/>
      <c r="E40" s="379" t="str">
        <f t="shared" si="0"/>
        <v/>
      </c>
      <c r="F40" s="451"/>
      <c r="G40" s="373" t="s">
        <v>128</v>
      </c>
      <c r="H40" s="373"/>
      <c r="I40" s="373">
        <v>0</v>
      </c>
      <c r="J40" s="373">
        <v>1.2825</v>
      </c>
      <c r="K40" s="373">
        <v>-0.42109999999999997</v>
      </c>
      <c r="L40" s="373">
        <v>15</v>
      </c>
      <c r="M40" s="373">
        <v>15</v>
      </c>
      <c r="N40" s="373" t="s">
        <v>128</v>
      </c>
      <c r="O40" s="373"/>
      <c r="P40" s="373"/>
      <c r="Q40" s="373"/>
      <c r="R40" s="373"/>
      <c r="S40" s="374">
        <f t="shared" si="7"/>
        <v>0</v>
      </c>
      <c r="T40" s="374">
        <f t="shared" si="8"/>
        <v>1</v>
      </c>
      <c r="U40" s="374">
        <f t="shared" si="9"/>
        <v>0</v>
      </c>
      <c r="V40" s="374">
        <f>IF(S40="","",IF(T40=1,VLOOKUP(M40,'elipse #s'!$A$4:$C$38,2,FALSE),VLOOKUP(M40,'elipse #s'!$A$4:$C$38,3,FALSE)))</f>
        <v>0.25548738105345858</v>
      </c>
      <c r="W40" s="374" t="str">
        <f>IF(S40="","",IF(S40=0,"",VLOOKUP(N40,'elipse #s'!$A$4:$C$38,2,FALSE)))</f>
        <v/>
      </c>
      <c r="X40" s="374">
        <f t="shared" si="10"/>
        <v>-0.44796261894654138</v>
      </c>
      <c r="Y40" s="374">
        <f t="shared" si="11"/>
        <v>1.2825</v>
      </c>
      <c r="Z40" s="374">
        <f t="shared" si="12"/>
        <v>-0.45796261894654139</v>
      </c>
    </row>
    <row r="41" spans="2:26">
      <c r="B41" s="385"/>
      <c r="C41" s="385"/>
      <c r="D41" s="379"/>
      <c r="E41" s="379">
        <f t="shared" si="0"/>
        <v>-7.775E-2</v>
      </c>
      <c r="F41" s="451">
        <v>4.3049999999999997</v>
      </c>
      <c r="G41" s="373" t="s">
        <v>17</v>
      </c>
      <c r="H41" s="373" t="s">
        <v>114</v>
      </c>
      <c r="I41" s="373"/>
      <c r="J41" s="373"/>
      <c r="K41" s="373"/>
      <c r="L41" s="373"/>
      <c r="M41" s="373"/>
      <c r="N41" s="373"/>
      <c r="O41" s="373">
        <v>-311</v>
      </c>
      <c r="P41" s="373">
        <v>-37</v>
      </c>
      <c r="Q41" s="373">
        <v>0</v>
      </c>
      <c r="R41" s="373">
        <v>-274</v>
      </c>
      <c r="S41" s="374" t="str">
        <f t="shared" si="7"/>
        <v/>
      </c>
      <c r="T41" s="374" t="str">
        <f t="shared" si="8"/>
        <v/>
      </c>
      <c r="U41" s="374" t="str">
        <f t="shared" si="9"/>
        <v/>
      </c>
      <c r="V41" s="374" t="str">
        <f>IF(S41="","",IF(T41=1,VLOOKUP(M41,'elipse #s'!$A$4:$C$38,2,FALSE),VLOOKUP(M41,'elipse #s'!$A$4:$C$38,3,FALSE)))</f>
        <v/>
      </c>
      <c r="W41" s="374" t="str">
        <f>IF(S41="","",IF(S41=0,"",VLOOKUP(N41,'elipse #s'!$A$4:$C$38,2,FALSE)))</f>
        <v/>
      </c>
      <c r="X41" s="374" t="str">
        <f t="shared" si="10"/>
        <v/>
      </c>
      <c r="Y41" s="374">
        <f t="shared" si="11"/>
        <v>0</v>
      </c>
      <c r="Z41" s="374">
        <f t="shared" si="12"/>
        <v>0</v>
      </c>
    </row>
    <row r="42" spans="2:26">
      <c r="B42" s="385"/>
      <c r="C42" s="385"/>
      <c r="D42" s="379"/>
      <c r="E42" s="379" t="str">
        <f t="shared" si="0"/>
        <v/>
      </c>
      <c r="F42" s="451"/>
      <c r="G42" s="373" t="s">
        <v>128</v>
      </c>
      <c r="H42" s="373"/>
      <c r="I42" s="373">
        <v>0</v>
      </c>
      <c r="J42" s="373">
        <v>1.0864</v>
      </c>
      <c r="K42" s="373">
        <v>-0.47360000000000002</v>
      </c>
      <c r="L42" s="373">
        <v>15</v>
      </c>
      <c r="M42" s="373">
        <v>15</v>
      </c>
      <c r="N42" s="373" t="s">
        <v>128</v>
      </c>
      <c r="O42" s="373"/>
      <c r="P42" s="373"/>
      <c r="Q42" s="373"/>
      <c r="R42" s="373"/>
      <c r="S42" s="374">
        <f t="shared" si="7"/>
        <v>0</v>
      </c>
      <c r="T42" s="374">
        <f t="shared" si="8"/>
        <v>1</v>
      </c>
      <c r="U42" s="374">
        <f t="shared" si="9"/>
        <v>0</v>
      </c>
      <c r="V42" s="374">
        <f>IF(S42="","",IF(T42=1,VLOOKUP(M42,'elipse #s'!$A$4:$C$38,2,FALSE),VLOOKUP(M42,'elipse #s'!$A$4:$C$38,3,FALSE)))</f>
        <v>0.25548738105345858</v>
      </c>
      <c r="W42" s="374" t="str">
        <f>IF(S42="","",IF(S42=0,"",VLOOKUP(N42,'elipse #s'!$A$4:$C$38,2,FALSE)))</f>
        <v/>
      </c>
      <c r="X42" s="374">
        <f t="shared" si="10"/>
        <v>-0.51396261894654138</v>
      </c>
      <c r="Y42" s="374">
        <f t="shared" si="11"/>
        <v>1.0864</v>
      </c>
      <c r="Z42" s="374">
        <f t="shared" si="12"/>
        <v>-0.52396261894654139</v>
      </c>
    </row>
    <row r="43" spans="2:26">
      <c r="B43" s="385"/>
      <c r="C43" s="385"/>
      <c r="D43" s="379"/>
      <c r="E43" s="379">
        <f t="shared" si="0"/>
        <v>-7.5249999999999997E-2</v>
      </c>
      <c r="F43" s="451">
        <v>4.3079999999999998</v>
      </c>
      <c r="G43" s="373" t="s">
        <v>17</v>
      </c>
      <c r="H43" s="373" t="s">
        <v>114</v>
      </c>
      <c r="I43" s="373"/>
      <c r="J43" s="373"/>
      <c r="K43" s="373"/>
      <c r="L43" s="373"/>
      <c r="M43" s="373"/>
      <c r="N43" s="373"/>
      <c r="O43" s="373">
        <v>-301</v>
      </c>
      <c r="P43" s="373">
        <v>-27</v>
      </c>
      <c r="Q43" s="373">
        <v>0</v>
      </c>
      <c r="R43" s="373">
        <v>-274</v>
      </c>
      <c r="S43" s="374" t="str">
        <f t="shared" si="7"/>
        <v/>
      </c>
      <c r="T43" s="374" t="str">
        <f t="shared" si="8"/>
        <v/>
      </c>
      <c r="U43" s="374" t="str">
        <f t="shared" si="9"/>
        <v/>
      </c>
      <c r="V43" s="374" t="str">
        <f>IF(S43="","",IF(T43=1,VLOOKUP(M43,'elipse #s'!$A$4:$C$38,2,FALSE),VLOOKUP(M43,'elipse #s'!$A$4:$C$38,3,FALSE)))</f>
        <v/>
      </c>
      <c r="W43" s="374" t="str">
        <f>IF(S43="","",IF(S43=0,"",VLOOKUP(N43,'elipse #s'!$A$4:$C$38,2,FALSE)))</f>
        <v/>
      </c>
      <c r="X43" s="374" t="str">
        <f t="shared" si="10"/>
        <v/>
      </c>
      <c r="Y43" s="374">
        <f t="shared" si="11"/>
        <v>0</v>
      </c>
      <c r="Z43" s="374">
        <f t="shared" si="12"/>
        <v>0</v>
      </c>
    </row>
    <row r="44" spans="2:26">
      <c r="B44" s="385"/>
      <c r="C44" s="385"/>
      <c r="D44" s="379"/>
      <c r="E44" s="379" t="str">
        <f t="shared" si="0"/>
        <v/>
      </c>
      <c r="F44" s="451"/>
      <c r="G44" s="373" t="s">
        <v>128</v>
      </c>
      <c r="H44" s="373"/>
      <c r="I44" s="373">
        <v>0</v>
      </c>
      <c r="J44" s="373">
        <v>1.6747000000000001</v>
      </c>
      <c r="K44" s="373">
        <v>-0.316</v>
      </c>
      <c r="L44" s="373">
        <v>15</v>
      </c>
      <c r="M44" s="373">
        <v>15</v>
      </c>
      <c r="N44" s="373" t="s">
        <v>128</v>
      </c>
      <c r="O44" s="373"/>
      <c r="P44" s="373"/>
      <c r="Q44" s="373"/>
      <c r="R44" s="373"/>
      <c r="S44" s="374">
        <f t="shared" si="7"/>
        <v>0</v>
      </c>
      <c r="T44" s="374">
        <f t="shared" si="8"/>
        <v>1</v>
      </c>
      <c r="U44" s="374">
        <f t="shared" si="9"/>
        <v>0</v>
      </c>
      <c r="V44" s="374">
        <f>IF(S44="","",IF(T44=1,VLOOKUP(M44,'elipse #s'!$A$4:$C$38,2,FALSE),VLOOKUP(M44,'elipse #s'!$A$4:$C$38,3,FALSE)))</f>
        <v>0.25548738105345858</v>
      </c>
      <c r="W44" s="374" t="str">
        <f>IF(S44="","",IF(S44=0,"",VLOOKUP(N44,'elipse #s'!$A$4:$C$38,2,FALSE)))</f>
        <v/>
      </c>
      <c r="X44" s="374">
        <f t="shared" si="10"/>
        <v>-0.35386261894654136</v>
      </c>
      <c r="Y44" s="374">
        <f t="shared" si="11"/>
        <v>1.6747000000000001</v>
      </c>
      <c r="Z44" s="374">
        <f t="shared" si="12"/>
        <v>-0.36386261894654137</v>
      </c>
    </row>
    <row r="45" spans="2:26">
      <c r="B45" s="385"/>
      <c r="C45" s="385"/>
      <c r="D45" s="379"/>
      <c r="E45" s="379">
        <f t="shared" si="0"/>
        <v>-6.7250000000000004E-2</v>
      </c>
      <c r="F45" s="449">
        <v>1.304</v>
      </c>
      <c r="G45" s="374" t="s">
        <v>17</v>
      </c>
      <c r="H45" s="374" t="s">
        <v>114</v>
      </c>
      <c r="O45" s="374">
        <v>-269</v>
      </c>
      <c r="P45" s="374">
        <v>-45</v>
      </c>
      <c r="Q45" s="374">
        <v>0</v>
      </c>
      <c r="R45" s="386">
        <v>-224</v>
      </c>
      <c r="S45" s="374" t="str">
        <f t="shared" si="7"/>
        <v/>
      </c>
      <c r="T45" s="374" t="str">
        <f t="shared" si="8"/>
        <v/>
      </c>
      <c r="U45" s="374" t="str">
        <f t="shared" si="9"/>
        <v/>
      </c>
      <c r="V45" s="374" t="str">
        <f>IF(S45="","",IF(T45=1,VLOOKUP(M45,'elipse #s'!$A$4:$C$38,2,FALSE),VLOOKUP(M45,'elipse #s'!$A$4:$C$38,3,FALSE)))</f>
        <v/>
      </c>
      <c r="W45" s="374" t="str">
        <f>IF(S45="","",IF(S45=0,"",VLOOKUP(N45,'elipse #s'!$A$4:$C$38,2,FALSE)))</f>
        <v/>
      </c>
      <c r="X45" s="374" t="str">
        <f t="shared" si="10"/>
        <v/>
      </c>
      <c r="Y45" s="374">
        <f t="shared" si="11"/>
        <v>0</v>
      </c>
      <c r="Z45" s="374">
        <f t="shared" si="12"/>
        <v>0</v>
      </c>
    </row>
    <row r="46" spans="2:26">
      <c r="B46" s="385"/>
      <c r="C46" s="385"/>
      <c r="D46" s="379"/>
      <c r="E46" s="379" t="str">
        <f t="shared" si="0"/>
        <v/>
      </c>
      <c r="G46" s="374" t="s">
        <v>128</v>
      </c>
      <c r="I46" s="374">
        <v>0</v>
      </c>
      <c r="J46" s="374">
        <v>0.89029999999999998</v>
      </c>
      <c r="K46" s="374">
        <v>-0.5262</v>
      </c>
      <c r="L46" s="374">
        <v>15</v>
      </c>
      <c r="M46" s="374">
        <v>15</v>
      </c>
      <c r="N46" s="374" t="s">
        <v>128</v>
      </c>
      <c r="S46" s="374">
        <f t="shared" si="7"/>
        <v>0</v>
      </c>
      <c r="T46" s="374">
        <f t="shared" si="8"/>
        <v>1</v>
      </c>
      <c r="U46" s="374">
        <f t="shared" si="9"/>
        <v>0</v>
      </c>
      <c r="V46" s="374">
        <f>IF(S46="","",IF(T46=1,VLOOKUP(M46,'elipse #s'!$A$4:$C$38,2,FALSE),VLOOKUP(M46,'elipse #s'!$A$4:$C$38,3,FALSE)))</f>
        <v>0.25548738105345858</v>
      </c>
      <c r="W46" s="374" t="str">
        <f>IF(S46="","",IF(S46=0,"",VLOOKUP(N46,'elipse #s'!$A$4:$C$38,2,FALSE)))</f>
        <v/>
      </c>
      <c r="X46" s="374">
        <f t="shared" si="10"/>
        <v>-0.55606261894654141</v>
      </c>
      <c r="Y46" s="374">
        <f t="shared" si="11"/>
        <v>0.89029999999999998</v>
      </c>
      <c r="Z46" s="374">
        <f t="shared" si="12"/>
        <v>-0.56606261894654142</v>
      </c>
    </row>
    <row r="47" spans="2:26">
      <c r="B47" s="385"/>
      <c r="C47" s="385"/>
      <c r="D47" s="379"/>
      <c r="E47" s="379">
        <f t="shared" si="0"/>
        <v>-6.3E-2</v>
      </c>
      <c r="F47" s="449">
        <v>1.3069999999999999</v>
      </c>
      <c r="G47" s="374" t="s">
        <v>17</v>
      </c>
      <c r="H47" s="374" t="s">
        <v>114</v>
      </c>
      <c r="O47" s="374">
        <v>-252</v>
      </c>
      <c r="P47" s="374">
        <v>-28</v>
      </c>
      <c r="Q47" s="374">
        <v>0</v>
      </c>
      <c r="R47" s="386">
        <v>-224</v>
      </c>
      <c r="S47" s="374" t="str">
        <f t="shared" si="7"/>
        <v/>
      </c>
      <c r="T47" s="374" t="str">
        <f t="shared" si="8"/>
        <v/>
      </c>
      <c r="U47" s="374" t="str">
        <f t="shared" si="9"/>
        <v/>
      </c>
      <c r="V47" s="374" t="str">
        <f>IF(S47="","",IF(T47=1,VLOOKUP(M47,'elipse #s'!$A$4:$C$38,2,FALSE),VLOOKUP(M47,'elipse #s'!$A$4:$C$38,3,FALSE)))</f>
        <v/>
      </c>
      <c r="W47" s="374" t="str">
        <f>IF(S47="","",IF(S47=0,"",VLOOKUP(N47,'elipse #s'!$A$4:$C$38,2,FALSE)))</f>
        <v/>
      </c>
      <c r="X47" s="374" t="str">
        <f t="shared" si="10"/>
        <v/>
      </c>
      <c r="Y47" s="374">
        <f t="shared" si="11"/>
        <v>0</v>
      </c>
      <c r="Z47" s="374">
        <f t="shared" si="12"/>
        <v>0</v>
      </c>
    </row>
    <row r="48" spans="2:26">
      <c r="B48" s="385"/>
      <c r="C48" s="385"/>
      <c r="D48" s="379"/>
      <c r="E48" s="379" t="str">
        <f t="shared" si="0"/>
        <v/>
      </c>
      <c r="G48" s="374" t="s">
        <v>128</v>
      </c>
      <c r="I48" s="374">
        <v>0</v>
      </c>
      <c r="J48" s="374">
        <v>1.4785999999999999</v>
      </c>
      <c r="K48" s="374">
        <v>-0.36849999999999999</v>
      </c>
      <c r="L48" s="374">
        <v>15</v>
      </c>
      <c r="M48" s="374">
        <v>15</v>
      </c>
      <c r="N48" s="374" t="s">
        <v>128</v>
      </c>
      <c r="S48" s="374">
        <f t="shared" ref="S48:S49" si="13">IF(G47="","",IF(OR(LEFT(TRIM(H47),2)="16",LEFT(TRIM(H47),2)="13"),1,0))</f>
        <v>0</v>
      </c>
      <c r="T48" s="374">
        <f t="shared" ref="T48" si="14">IF(S48="","",IF(LEFT(TRIM(G47),2)="13",1,0))</f>
        <v>1</v>
      </c>
      <c r="U48" s="374">
        <f t="shared" ref="U48" si="15">IF(S48="","",IF(LEFT(TRIM(H47),3)="1/2",1,0))</f>
        <v>0</v>
      </c>
      <c r="V48" s="374">
        <f>IF(S48="","",IF(T48=1,VLOOKUP(M48,'elipse #s'!$A$4:$C$38,2,FALSE),VLOOKUP(M48,'elipse #s'!$A$4:$C$38,3,FALSE)))</f>
        <v>0.25548738105345858</v>
      </c>
      <c r="W48" s="374" t="str">
        <f>IF(S48="","",IF(S48=0,"",VLOOKUP(N48,'elipse #s'!$A$4:$C$38,2,FALSE)))</f>
        <v/>
      </c>
      <c r="X48" s="374">
        <f t="shared" ref="X48" si="16">IF(S48="","",IF(AND(S48=0,U48=1),K48+V48+E47-$B$6,IF(AND(S48=0,U48=0),K48+V48+E47-$C$6,V48-W48)))</f>
        <v>-0.39411261894654137</v>
      </c>
      <c r="Y48" s="374">
        <f t="shared" ref="Y48" si="17">IF(S48="",0,IF(S48=0,IF(U48=1,MIN(J48,$Y$1),MIN(J48,$Z$1)),X48*SIN(RADIANS(-L48))+J48))</f>
        <v>1.4785999999999999</v>
      </c>
      <c r="Z48" s="374">
        <f t="shared" ref="Z48" si="18">IF(S48="",0,IF(S48=0,X48-$AB$1,X48*COS(RADIANS(-L48))+K48-$AB$1+E47))</f>
        <v>-0.40411261894654138</v>
      </c>
    </row>
    <row r="49" spans="2:19">
      <c r="B49" s="385"/>
      <c r="C49" s="385"/>
      <c r="D49" s="379"/>
      <c r="S49" s="374" t="str">
        <f t="shared" si="13"/>
        <v/>
      </c>
    </row>
    <row r="50" spans="2:19">
      <c r="B50" s="385"/>
      <c r="C50" s="385"/>
      <c r="D50" s="379"/>
    </row>
    <row r="51" spans="2:19">
      <c r="B51" s="385"/>
      <c r="C51" s="385"/>
      <c r="D51" s="379"/>
    </row>
    <row r="52" spans="2:19">
      <c r="B52" s="385"/>
      <c r="C52" s="385"/>
      <c r="D52" s="379"/>
    </row>
    <row r="53" spans="2:19">
      <c r="B53" s="385"/>
      <c r="C53" s="385"/>
      <c r="D53" s="379"/>
    </row>
    <row r="54" spans="2:19">
      <c r="B54" s="385"/>
      <c r="C54" s="385"/>
      <c r="D54" s="379"/>
    </row>
    <row r="55" spans="2:19">
      <c r="B55" s="385"/>
      <c r="C55" s="385"/>
      <c r="D55" s="379"/>
    </row>
    <row r="56" spans="2:19">
      <c r="B56" s="385"/>
      <c r="C56" s="385"/>
      <c r="D56" s="379"/>
    </row>
    <row r="57" spans="2:19">
      <c r="B57" s="385"/>
      <c r="C57" s="385"/>
      <c r="D57" s="379"/>
    </row>
    <row r="58" spans="2:19">
      <c r="B58" s="385"/>
      <c r="C58" s="385"/>
      <c r="D58" s="379"/>
    </row>
    <row r="59" spans="2:19">
      <c r="B59" s="385"/>
      <c r="C59" s="385"/>
      <c r="D59" s="379"/>
    </row>
    <row r="60" spans="2:19">
      <c r="B60" s="385"/>
      <c r="C60" s="385"/>
      <c r="D60" s="379"/>
    </row>
    <row r="61" spans="2:19">
      <c r="B61" s="385"/>
      <c r="C61" s="385"/>
      <c r="D61" s="379"/>
    </row>
    <row r="62" spans="2:19">
      <c r="B62" s="385"/>
      <c r="C62" s="385"/>
      <c r="D62" s="379"/>
    </row>
    <row r="63" spans="2:19">
      <c r="B63" s="385"/>
      <c r="C63" s="385"/>
      <c r="D63" s="379"/>
    </row>
    <row r="64" spans="2:19">
      <c r="B64" s="385"/>
      <c r="C64" s="385"/>
      <c r="D64" s="379"/>
    </row>
    <row r="65" spans="1:4">
      <c r="B65" s="385"/>
      <c r="C65" s="385"/>
      <c r="D65" s="379"/>
    </row>
    <row r="66" spans="1:4">
      <c r="B66" s="385"/>
      <c r="C66" s="385"/>
      <c r="D66" s="379"/>
    </row>
    <row r="67" spans="1:4">
      <c r="B67" s="385"/>
      <c r="C67" s="385"/>
      <c r="D67" s="379"/>
    </row>
    <row r="68" spans="1:4">
      <c r="B68" s="385"/>
      <c r="C68" s="385"/>
      <c r="D68" s="379"/>
    </row>
    <row r="69" spans="1:4">
      <c r="B69" s="385"/>
      <c r="C69" s="385"/>
      <c r="D69" s="379"/>
    </row>
    <row r="70" spans="1:4">
      <c r="B70" s="385"/>
      <c r="C70" s="385"/>
      <c r="D70" s="379"/>
    </row>
    <row r="71" spans="1:4">
      <c r="B71" s="385"/>
      <c r="C71" s="385"/>
      <c r="D71" s="379"/>
    </row>
    <row r="72" spans="1:4">
      <c r="B72" s="385"/>
      <c r="C72" s="385"/>
      <c r="D72" s="379"/>
    </row>
    <row r="73" spans="1:4">
      <c r="B73" s="385"/>
      <c r="C73" s="385"/>
      <c r="D73" s="379"/>
    </row>
    <row r="74" spans="1:4">
      <c r="A74" s="387"/>
      <c r="B74" s="387"/>
      <c r="C74" s="387"/>
      <c r="D74" s="388"/>
    </row>
    <row r="75" spans="1:4">
      <c r="A75" s="387"/>
      <c r="B75" s="387"/>
      <c r="C75" s="387"/>
      <c r="D75" s="388"/>
    </row>
    <row r="76" spans="1:4">
      <c r="A76" s="387"/>
      <c r="B76" s="387"/>
      <c r="C76" s="387"/>
      <c r="D76" s="388"/>
    </row>
    <row r="77" spans="1:4">
      <c r="A77" s="387"/>
      <c r="B77" s="387"/>
      <c r="C77" s="387"/>
      <c r="D77" s="388"/>
    </row>
    <row r="78" spans="1:4">
      <c r="A78" s="387"/>
      <c r="B78" s="387"/>
      <c r="C78" s="387"/>
      <c r="D78" s="388"/>
    </row>
    <row r="79" spans="1:4">
      <c r="A79" s="387"/>
      <c r="B79" s="387"/>
      <c r="C79" s="387"/>
      <c r="D79" s="388"/>
    </row>
    <row r="80" spans="1:4">
      <c r="A80" s="387"/>
      <c r="B80" s="387"/>
      <c r="C80" s="387"/>
      <c r="D80" s="388"/>
    </row>
    <row r="81" spans="1:4">
      <c r="A81" s="387"/>
      <c r="B81" s="387"/>
      <c r="C81" s="387"/>
      <c r="D81" s="388"/>
    </row>
    <row r="82" spans="1:4">
      <c r="A82" s="387"/>
      <c r="B82" s="387"/>
      <c r="C82" s="387"/>
      <c r="D82" s="388"/>
    </row>
    <row r="83" spans="1:4">
      <c r="A83" s="387"/>
      <c r="B83" s="387"/>
      <c r="C83" s="387"/>
      <c r="D83" s="388"/>
    </row>
    <row r="84" spans="1:4">
      <c r="A84" s="387"/>
      <c r="B84" s="387"/>
      <c r="C84" s="387"/>
      <c r="D84" s="388"/>
    </row>
    <row r="85" spans="1:4">
      <c r="A85" s="387"/>
      <c r="B85" s="387"/>
      <c r="C85" s="387"/>
      <c r="D85" s="388"/>
    </row>
    <row r="86" spans="1:4">
      <c r="A86" s="387"/>
      <c r="B86" s="387"/>
      <c r="C86" s="387"/>
      <c r="D86" s="388"/>
    </row>
    <row r="87" spans="1:4">
      <c r="A87" s="387"/>
      <c r="B87" s="387"/>
      <c r="C87" s="387"/>
      <c r="D87" s="388"/>
    </row>
    <row r="88" spans="1:4">
      <c r="A88" s="387"/>
      <c r="B88" s="387"/>
      <c r="C88" s="387"/>
      <c r="D88" s="388"/>
    </row>
  </sheetData>
  <mergeCells count="2">
    <mergeCell ref="I1:M1"/>
    <mergeCell ref="B3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I38"/>
  <sheetViews>
    <sheetView workbookViewId="0">
      <selection activeCell="J11" sqref="J11"/>
    </sheetView>
  </sheetViews>
  <sheetFormatPr defaultRowHeight="15"/>
  <cols>
    <col min="1" max="16384" width="9.140625" style="389"/>
  </cols>
  <sheetData>
    <row r="1" spans="1:6" ht="15.75" thickBot="1">
      <c r="B1" s="390">
        <v>1313</v>
      </c>
      <c r="C1" s="391">
        <v>1613</v>
      </c>
      <c r="D1" s="392">
        <v>1913</v>
      </c>
      <c r="E1" s="393"/>
    </row>
    <row r="2" spans="1:6" ht="15.75" thickBot="1">
      <c r="B2" s="390">
        <v>0.52900000000000003</v>
      </c>
      <c r="C2" s="391">
        <v>0.625</v>
      </c>
      <c r="D2" s="392">
        <v>0.75</v>
      </c>
      <c r="E2" s="394">
        <v>0.52</v>
      </c>
      <c r="F2" s="395">
        <v>0.315</v>
      </c>
    </row>
    <row r="3" spans="1:6" ht="15.75" thickBot="1">
      <c r="B3" s="396">
        <f>B2/2</f>
        <v>0.26450000000000001</v>
      </c>
      <c r="C3" s="397">
        <f t="shared" ref="C3:D3" si="0">C2/2</f>
        <v>0.3125</v>
      </c>
      <c r="D3" s="398">
        <f t="shared" si="0"/>
        <v>0.375</v>
      </c>
      <c r="E3" s="399"/>
      <c r="F3" s="400"/>
    </row>
    <row r="4" spans="1:6">
      <c r="A4" s="401">
        <v>12</v>
      </c>
      <c r="B4" s="402">
        <f>(B$2/2)*COS(RADIANS($A4))</f>
        <v>0.25872004039409163</v>
      </c>
      <c r="C4" s="403">
        <f t="shared" ref="C4:D4" si="1">(C$2/2)*COS(RADIANS($A4))</f>
        <v>0.30567112522931428</v>
      </c>
      <c r="D4" s="404">
        <f t="shared" si="1"/>
        <v>0.36680535027517713</v>
      </c>
      <c r="E4" s="405">
        <f>$E$2*SIN(RADIANS(A4))</f>
        <v>0.10811407922523486</v>
      </c>
      <c r="F4" s="406">
        <f>$F$2*SIN(RADIANS(A4))</f>
        <v>6.5492182607594193E-2</v>
      </c>
    </row>
    <row r="5" spans="1:6">
      <c r="A5" s="407">
        <v>12.5</v>
      </c>
      <c r="B5" s="408">
        <f t="shared" ref="B5:D27" si="2">(B$2/2)*COS(RADIANS($A5))</f>
        <v>0.25823029388322238</v>
      </c>
      <c r="C5" s="409">
        <f t="shared" si="2"/>
        <v>0.30509250222497919</v>
      </c>
      <c r="D5" s="410">
        <f t="shared" si="2"/>
        <v>0.36611100266997498</v>
      </c>
      <c r="E5" s="411">
        <f t="shared" ref="E5:E38" si="3">$E$2*SIN(RADIANS(A5))</f>
        <v>0.1125485992478135</v>
      </c>
      <c r="F5" s="412">
        <f t="shared" ref="F5:F38" si="4">$F$2*SIN(RADIANS(A5))</f>
        <v>6.8178478390502409E-2</v>
      </c>
    </row>
    <row r="6" spans="1:6">
      <c r="A6" s="413">
        <v>13</v>
      </c>
      <c r="B6" s="414">
        <f t="shared" si="2"/>
        <v>0.25772088213569472</v>
      </c>
      <c r="C6" s="415">
        <f t="shared" si="2"/>
        <v>0.30449064524538599</v>
      </c>
      <c r="D6" s="416">
        <f t="shared" si="2"/>
        <v>0.3653887742944632</v>
      </c>
      <c r="E6" s="405">
        <f t="shared" si="3"/>
        <v>0.1169745482588098</v>
      </c>
      <c r="F6" s="406">
        <f t="shared" si="4"/>
        <v>7.0859582118317471E-2</v>
      </c>
    </row>
    <row r="7" spans="1:6">
      <c r="A7" s="413">
        <v>14</v>
      </c>
      <c r="B7" s="414">
        <f t="shared" si="2"/>
        <v>0.25664321960000108</v>
      </c>
      <c r="C7" s="415">
        <f t="shared" si="2"/>
        <v>0.30321741446124889</v>
      </c>
      <c r="D7" s="416">
        <f t="shared" si="2"/>
        <v>0.36386089735349869</v>
      </c>
      <c r="E7" s="405">
        <f t="shared" si="3"/>
        <v>0.12579938571182722</v>
      </c>
      <c r="F7" s="406">
        <f t="shared" si="4"/>
        <v>7.6205397113895332E-2</v>
      </c>
    </row>
    <row r="8" spans="1:6">
      <c r="A8" s="407">
        <v>15</v>
      </c>
      <c r="B8" s="408">
        <f t="shared" si="2"/>
        <v>0.25548738105345858</v>
      </c>
      <c r="C8" s="409">
        <f t="shared" si="2"/>
        <v>0.30185182071533384</v>
      </c>
      <c r="D8" s="410">
        <f t="shared" si="2"/>
        <v>0.36222218485840063</v>
      </c>
      <c r="E8" s="411">
        <f t="shared" si="3"/>
        <v>0.13458590345331078</v>
      </c>
      <c r="F8" s="412">
        <f t="shared" si="4"/>
        <v>8.1527999207294033E-2</v>
      </c>
    </row>
    <row r="9" spans="1:6">
      <c r="A9" s="413">
        <v>16</v>
      </c>
      <c r="B9" s="414">
        <f t="shared" si="2"/>
        <v>0.25425371857568535</v>
      </c>
      <c r="C9" s="415">
        <f t="shared" si="2"/>
        <v>0.30039427998072465</v>
      </c>
      <c r="D9" s="416">
        <f t="shared" si="2"/>
        <v>0.36047313597686959</v>
      </c>
      <c r="E9" s="405">
        <f t="shared" si="3"/>
        <v>0.14333142502483956</v>
      </c>
      <c r="F9" s="406">
        <f t="shared" si="4"/>
        <v>8.6825767082354732E-2</v>
      </c>
    </row>
    <row r="10" spans="1:6">
      <c r="A10" s="413">
        <v>17</v>
      </c>
      <c r="B10" s="414">
        <f t="shared" si="2"/>
        <v>0.2529426079522229</v>
      </c>
      <c r="C10" s="415">
        <f t="shared" si="2"/>
        <v>0.29884523623844855</v>
      </c>
      <c r="D10" s="416">
        <f t="shared" si="2"/>
        <v>0.35861428348613827</v>
      </c>
      <c r="E10" s="405">
        <f t="shared" si="3"/>
        <v>0.15203328645582312</v>
      </c>
      <c r="F10" s="406">
        <f t="shared" si="4"/>
        <v>9.2097086987662086E-2</v>
      </c>
    </row>
    <row r="11" spans="1:6">
      <c r="A11" s="407">
        <v>17.5</v>
      </c>
      <c r="B11" s="408">
        <f t="shared" si="2"/>
        <v>0.25225813347290604</v>
      </c>
      <c r="C11" s="409">
        <f t="shared" si="2"/>
        <v>0.29803654710882094</v>
      </c>
      <c r="D11" s="410">
        <f t="shared" si="2"/>
        <v>0.35764385653058511</v>
      </c>
      <c r="E11" s="411">
        <f t="shared" si="3"/>
        <v>0.15636701574222203</v>
      </c>
      <c r="F11" s="412">
        <f t="shared" si="4"/>
        <v>9.472232684384603E-2</v>
      </c>
    </row>
    <row r="12" spans="1:6">
      <c r="A12" s="413">
        <v>18</v>
      </c>
      <c r="B12" s="414">
        <f t="shared" si="2"/>
        <v>0.25155444856006814</v>
      </c>
      <c r="C12" s="415">
        <f t="shared" si="2"/>
        <v>0.29720516134223546</v>
      </c>
      <c r="D12" s="416">
        <f t="shared" si="2"/>
        <v>0.35664619361068256</v>
      </c>
      <c r="E12" s="405">
        <f t="shared" si="3"/>
        <v>0.16068883707497264</v>
      </c>
      <c r="F12" s="406">
        <f t="shared" si="4"/>
        <v>9.7340353228108425E-2</v>
      </c>
    </row>
    <row r="13" spans="1:6">
      <c r="A13" s="413">
        <v>19</v>
      </c>
      <c r="B13" s="414">
        <f t="shared" si="2"/>
        <v>0.25008966324601933</v>
      </c>
      <c r="C13" s="415">
        <f t="shared" si="2"/>
        <v>0.29547455487478652</v>
      </c>
      <c r="D13" s="416">
        <f t="shared" si="2"/>
        <v>0.3545694658497438</v>
      </c>
      <c r="E13" s="405">
        <f t="shared" si="3"/>
        <v>0.16929544031772148</v>
      </c>
      <c r="F13" s="406">
        <f t="shared" si="4"/>
        <v>0.10255396865400436</v>
      </c>
    </row>
    <row r="14" spans="1:6">
      <c r="A14" s="407">
        <v>20</v>
      </c>
      <c r="B14" s="408">
        <f t="shared" si="2"/>
        <v>0.24854869819787279</v>
      </c>
      <c r="C14" s="409">
        <f t="shared" si="2"/>
        <v>0.29365394399559641</v>
      </c>
      <c r="D14" s="410">
        <f t="shared" si="2"/>
        <v>0.35238473279471566</v>
      </c>
      <c r="E14" s="411">
        <f t="shared" si="3"/>
        <v>0.17785047452934774</v>
      </c>
      <c r="F14" s="412">
        <f t="shared" si="4"/>
        <v>0.10773634514758565</v>
      </c>
    </row>
    <row r="15" spans="1:6">
      <c r="A15" s="413">
        <v>21</v>
      </c>
      <c r="B15" s="414">
        <f t="shared" si="2"/>
        <v>0.24693202280850987</v>
      </c>
      <c r="C15" s="415">
        <f t="shared" si="2"/>
        <v>0.29174388328037554</v>
      </c>
      <c r="D15" s="416">
        <f t="shared" si="2"/>
        <v>0.35009265993645067</v>
      </c>
      <c r="E15" s="405">
        <f t="shared" si="3"/>
        <v>0.18635133376355614</v>
      </c>
      <c r="F15" s="406">
        <f t="shared" si="4"/>
        <v>0.11288590410676959</v>
      </c>
    </row>
    <row r="16" spans="1:6">
      <c r="A16" s="413">
        <v>22</v>
      </c>
      <c r="B16" s="414">
        <f t="shared" si="2"/>
        <v>0.2452401295329153</v>
      </c>
      <c r="C16" s="415">
        <f t="shared" si="2"/>
        <v>0.28974495455212107</v>
      </c>
      <c r="D16" s="416">
        <f t="shared" si="2"/>
        <v>0.34769394546254528</v>
      </c>
      <c r="E16" s="405">
        <f t="shared" si="3"/>
        <v>0.19479542857627424</v>
      </c>
      <c r="F16" s="406">
        <f t="shared" si="4"/>
        <v>0.11800107692601229</v>
      </c>
    </row>
    <row r="17" spans="1:9">
      <c r="A17" s="407">
        <v>22.5</v>
      </c>
      <c r="B17" s="408">
        <f t="shared" si="2"/>
        <v>0.24436613634923535</v>
      </c>
      <c r="C17" s="409">
        <f t="shared" si="2"/>
        <v>0.28871235390977712</v>
      </c>
      <c r="D17" s="410">
        <f t="shared" si="2"/>
        <v>0.3464548246917325</v>
      </c>
      <c r="E17" s="411">
        <f t="shared" si="3"/>
        <v>0.19899538482984669</v>
      </c>
      <c r="F17" s="412">
        <f t="shared" si="4"/>
        <v>0.12054528119500328</v>
      </c>
    </row>
    <row r="18" spans="1:9">
      <c r="A18" s="413">
        <v>23</v>
      </c>
      <c r="B18" s="414">
        <f t="shared" si="2"/>
        <v>0.24347353373817049</v>
      </c>
      <c r="C18" s="415">
        <f t="shared" si="2"/>
        <v>0.2876577667038876</v>
      </c>
      <c r="D18" s="416">
        <f t="shared" si="2"/>
        <v>0.34518932004466513</v>
      </c>
      <c r="E18" s="405">
        <f t="shared" si="3"/>
        <v>0.20318018681442238</v>
      </c>
      <c r="F18" s="406">
        <f t="shared" si="4"/>
        <v>0.12308030547412124</v>
      </c>
    </row>
    <row r="19" spans="1:9">
      <c r="A19" s="413">
        <v>24</v>
      </c>
      <c r="B19" s="414">
        <f t="shared" si="2"/>
        <v>0.24163277354646795</v>
      </c>
      <c r="C19" s="415">
        <f t="shared" si="2"/>
        <v>0.28548295551331276</v>
      </c>
      <c r="D19" s="416">
        <f t="shared" si="2"/>
        <v>0.34257954661597534</v>
      </c>
      <c r="E19" s="405">
        <f t="shared" si="3"/>
        <v>0.21150305439941611</v>
      </c>
      <c r="F19" s="406">
        <f t="shared" si="4"/>
        <v>0.12812204256887708</v>
      </c>
    </row>
    <row r="20" spans="1:9">
      <c r="A20" s="407">
        <v>25</v>
      </c>
      <c r="B20" s="408">
        <f t="shared" si="2"/>
        <v>0.23971840967119393</v>
      </c>
      <c r="C20" s="409">
        <f t="shared" si="2"/>
        <v>0.28322118344895308</v>
      </c>
      <c r="D20" s="410">
        <f t="shared" si="2"/>
        <v>0.33986542013874371</v>
      </c>
      <c r="E20" s="411">
        <f t="shared" si="3"/>
        <v>0.21976149610516371</v>
      </c>
      <c r="F20" s="412">
        <f t="shared" si="4"/>
        <v>0.13312475244832034</v>
      </c>
    </row>
    <row r="21" spans="1:9">
      <c r="A21" s="413">
        <v>26</v>
      </c>
      <c r="B21" s="414">
        <f t="shared" si="2"/>
        <v>0.23773102524612968</v>
      </c>
      <c r="C21" s="415">
        <f t="shared" si="2"/>
        <v>0.28087313946848969</v>
      </c>
      <c r="D21" s="416">
        <f t="shared" si="2"/>
        <v>0.33704776736218767</v>
      </c>
      <c r="E21" s="405">
        <f t="shared" si="3"/>
        <v>0.22795299633032026</v>
      </c>
      <c r="F21" s="406">
        <f t="shared" si="4"/>
        <v>0.13808691123855937</v>
      </c>
    </row>
    <row r="22" spans="1:9">
      <c r="A22" s="413">
        <v>27</v>
      </c>
      <c r="B22" s="414">
        <f t="shared" si="2"/>
        <v>0.23567122564782331</v>
      </c>
      <c r="C22" s="415">
        <f t="shared" si="2"/>
        <v>0.27843953880886496</v>
      </c>
      <c r="D22" s="416">
        <f t="shared" si="2"/>
        <v>0.33412744657063798</v>
      </c>
      <c r="E22" s="405">
        <f t="shared" si="3"/>
        <v>0.23607505986456431</v>
      </c>
      <c r="F22" s="406">
        <f t="shared" si="4"/>
        <v>0.14300700741795722</v>
      </c>
    </row>
    <row r="23" spans="1:9">
      <c r="A23" s="407">
        <v>27.5</v>
      </c>
      <c r="B23" s="408">
        <f t="shared" si="2"/>
        <v>0.23461436537563965</v>
      </c>
      <c r="C23" s="409">
        <f t="shared" si="2"/>
        <v>0.27719088536819431</v>
      </c>
      <c r="D23" s="410">
        <f t="shared" si="2"/>
        <v>0.33262906244183316</v>
      </c>
      <c r="E23" s="411">
        <f t="shared" si="3"/>
        <v>0.24010927888221764</v>
      </c>
      <c r="F23" s="412">
        <f t="shared" si="4"/>
        <v>0.14545081316903569</v>
      </c>
      <c r="H23" s="417"/>
      <c r="I23" s="417"/>
    </row>
    <row r="24" spans="1:9">
      <c r="A24" s="413">
        <v>28</v>
      </c>
      <c r="B24" s="414">
        <f t="shared" si="2"/>
        <v>0.23353963831118621</v>
      </c>
      <c r="C24" s="415">
        <f t="shared" si="2"/>
        <v>0.27592112276841468</v>
      </c>
      <c r="D24" s="416">
        <f t="shared" si="2"/>
        <v>0.33110534732209762</v>
      </c>
      <c r="E24" s="405">
        <f t="shared" si="3"/>
        <v>0.24412521264866321</v>
      </c>
      <c r="F24" s="406">
        <f t="shared" si="4"/>
        <v>0.1478835422775556</v>
      </c>
    </row>
    <row r="25" spans="1:9">
      <c r="A25" s="413">
        <v>29</v>
      </c>
      <c r="B25" s="414">
        <f t="shared" si="2"/>
        <v>0.23133691253837019</v>
      </c>
      <c r="C25" s="415">
        <f t="shared" si="2"/>
        <v>0.27331865848106118</v>
      </c>
      <c r="D25" s="416">
        <f t="shared" si="2"/>
        <v>0.32798239017727338</v>
      </c>
      <c r="E25" s="405">
        <f t="shared" si="3"/>
        <v>0.25210100252809525</v>
      </c>
      <c r="F25" s="406">
        <f t="shared" si="4"/>
        <v>0.15271503037759618</v>
      </c>
    </row>
    <row r="26" spans="1:9">
      <c r="A26" s="407">
        <v>30</v>
      </c>
      <c r="B26" s="408">
        <f t="shared" si="2"/>
        <v>0.22906371930098404</v>
      </c>
      <c r="C26" s="409">
        <f t="shared" si="2"/>
        <v>0.2706329386826371</v>
      </c>
      <c r="D26" s="410">
        <f t="shared" si="2"/>
        <v>0.3247595264191645</v>
      </c>
      <c r="E26" s="411">
        <f t="shared" si="3"/>
        <v>0.25999999999999995</v>
      </c>
      <c r="F26" s="412">
        <f t="shared" si="4"/>
        <v>0.15749999999999997</v>
      </c>
    </row>
    <row r="27" spans="1:9">
      <c r="A27" s="413">
        <v>31</v>
      </c>
      <c r="B27" s="414">
        <f t="shared" si="2"/>
        <v>0.22672075103570871</v>
      </c>
      <c r="C27" s="415">
        <f t="shared" si="2"/>
        <v>0.26786478146941012</v>
      </c>
      <c r="D27" s="416">
        <f t="shared" si="2"/>
        <v>0.3214377377632921</v>
      </c>
      <c r="E27" s="405">
        <f t="shared" si="3"/>
        <v>0.26781979895322816</v>
      </c>
      <c r="F27" s="406">
        <f t="shared" si="4"/>
        <v>0.16223699359666707</v>
      </c>
    </row>
    <row r="28" spans="1:9">
      <c r="A28" s="413">
        <v>33</v>
      </c>
      <c r="B28" s="414">
        <f t="shared" ref="B28:D38" si="5">(B$2/2)*COS(RADIANS($A28))</f>
        <v>0.22182836522156468</v>
      </c>
      <c r="C28" s="415">
        <f t="shared" si="5"/>
        <v>0.26208455248294504</v>
      </c>
      <c r="D28" s="416">
        <f t="shared" si="5"/>
        <v>0.31450146297953402</v>
      </c>
      <c r="E28" s="405">
        <f t="shared" si="3"/>
        <v>0.28321229820781407</v>
      </c>
      <c r="F28" s="406">
        <f t="shared" si="4"/>
        <v>0.17156129602973352</v>
      </c>
    </row>
    <row r="29" spans="1:9">
      <c r="A29" s="407">
        <v>33.5</v>
      </c>
      <c r="B29" s="408">
        <f t="shared" si="5"/>
        <v>0.220562799936766</v>
      </c>
      <c r="C29" s="409">
        <f t="shared" si="5"/>
        <v>0.26058931939599006</v>
      </c>
      <c r="D29" s="410">
        <f t="shared" si="5"/>
        <v>0.31270718327518809</v>
      </c>
      <c r="E29" s="411">
        <f t="shared" si="3"/>
        <v>0.28700723236227027</v>
      </c>
      <c r="F29" s="412">
        <f t="shared" si="4"/>
        <v>0.17386015037329833</v>
      </c>
    </row>
    <row r="30" spans="1:9">
      <c r="A30" s="413">
        <v>33</v>
      </c>
      <c r="B30" s="414">
        <f t="shared" si="5"/>
        <v>0.22182836522156468</v>
      </c>
      <c r="C30" s="415">
        <f t="shared" si="5"/>
        <v>0.26208455248294504</v>
      </c>
      <c r="D30" s="416">
        <f t="shared" si="5"/>
        <v>0.31450146297953402</v>
      </c>
      <c r="E30" s="405">
        <f t="shared" si="3"/>
        <v>0.28321229820781407</v>
      </c>
      <c r="F30" s="406">
        <f t="shared" si="4"/>
        <v>0.17156129602973352</v>
      </c>
    </row>
    <row r="31" spans="1:9">
      <c r="A31" s="413">
        <v>34</v>
      </c>
      <c r="B31" s="414">
        <f t="shared" si="5"/>
        <v>0.21928043794080851</v>
      </c>
      <c r="C31" s="415">
        <f t="shared" si="5"/>
        <v>0.25907424142345048</v>
      </c>
      <c r="D31" s="416">
        <f t="shared" si="5"/>
        <v>0.31088908970814061</v>
      </c>
      <c r="E31" s="405">
        <f t="shared" si="3"/>
        <v>0.29078030980478842</v>
      </c>
      <c r="F31" s="406">
        <f t="shared" si="4"/>
        <v>0.17614576459328526</v>
      </c>
    </row>
    <row r="32" spans="1:9">
      <c r="A32" s="407">
        <v>35</v>
      </c>
      <c r="B32" s="408">
        <f t="shared" si="5"/>
        <v>0.21666571571443835</v>
      </c>
      <c r="C32" s="409">
        <f t="shared" si="5"/>
        <v>0.25598501384030992</v>
      </c>
      <c r="D32" s="410">
        <f t="shared" si="5"/>
        <v>0.30718201660837191</v>
      </c>
      <c r="E32" s="411">
        <f t="shared" si="3"/>
        <v>0.29825974690254398</v>
      </c>
      <c r="F32" s="412">
        <f t="shared" si="4"/>
        <v>0.1806765774505795</v>
      </c>
    </row>
    <row r="33" spans="1:6">
      <c r="A33" s="413">
        <v>36</v>
      </c>
      <c r="B33" s="414">
        <f t="shared" si="5"/>
        <v>0.21398499501217361</v>
      </c>
      <c r="C33" s="415">
        <f t="shared" si="5"/>
        <v>0.25281781074217108</v>
      </c>
      <c r="D33" s="416">
        <f t="shared" si="5"/>
        <v>0.30338137289060529</v>
      </c>
      <c r="E33" s="405">
        <f t="shared" si="3"/>
        <v>0.30564833119208606</v>
      </c>
      <c r="F33" s="406">
        <f t="shared" si="4"/>
        <v>0.18515235447212905</v>
      </c>
    </row>
    <row r="34" spans="1:6">
      <c r="A34" s="413">
        <v>37</v>
      </c>
      <c r="B34" s="414">
        <f t="shared" si="5"/>
        <v>0.21123909240750896</v>
      </c>
      <c r="C34" s="415">
        <f t="shared" si="5"/>
        <v>0.24957359688977901</v>
      </c>
      <c r="D34" s="416">
        <f t="shared" si="5"/>
        <v>0.29948831626773481</v>
      </c>
      <c r="E34" s="405">
        <f t="shared" si="3"/>
        <v>0.31294381203906513</v>
      </c>
      <c r="F34" s="406">
        <f t="shared" si="4"/>
        <v>0.1895717322928952</v>
      </c>
    </row>
    <row r="35" spans="1:6">
      <c r="A35" s="407">
        <v>37.5</v>
      </c>
      <c r="B35" s="408">
        <f t="shared" si="5"/>
        <v>0.20984195850703172</v>
      </c>
      <c r="C35" s="409">
        <f t="shared" si="5"/>
        <v>0.24792291884101098</v>
      </c>
      <c r="D35" s="410">
        <f t="shared" si="5"/>
        <v>0.29750750260921321</v>
      </c>
      <c r="E35" s="411">
        <f t="shared" si="3"/>
        <v>0.31655594308453477</v>
      </c>
      <c r="F35" s="412">
        <f t="shared" si="4"/>
        <v>0.19175985013774702</v>
      </c>
    </row>
    <row r="36" spans="1:6">
      <c r="A36" s="413">
        <v>38</v>
      </c>
      <c r="B36" s="414">
        <f t="shared" si="5"/>
        <v>0.20842884432897796</v>
      </c>
      <c r="C36" s="415">
        <f t="shared" si="5"/>
        <v>0.24625336050210059</v>
      </c>
      <c r="D36" s="416">
        <f t="shared" si="5"/>
        <v>0.29550403260252073</v>
      </c>
      <c r="E36" s="405">
        <f t="shared" si="3"/>
        <v>0.32014396716934235</v>
      </c>
      <c r="F36" s="406">
        <f t="shared" si="4"/>
        <v>0.19393336472758235</v>
      </c>
    </row>
    <row r="37" spans="1:6">
      <c r="A37" s="413">
        <v>39</v>
      </c>
      <c r="B37" s="414">
        <f t="shared" si="5"/>
        <v>0.20555510680536881</v>
      </c>
      <c r="C37" s="415">
        <f t="shared" si="5"/>
        <v>0.24285811295530341</v>
      </c>
      <c r="D37" s="416">
        <f t="shared" si="5"/>
        <v>0.29142973554636409</v>
      </c>
      <c r="E37" s="405">
        <f t="shared" si="3"/>
        <v>0.32724660334591543</v>
      </c>
      <c r="F37" s="406">
        <f t="shared" si="4"/>
        <v>0.19823592318069877</v>
      </c>
    </row>
    <row r="38" spans="1:6" ht="15.75" thickBot="1">
      <c r="A38" s="418">
        <v>40</v>
      </c>
      <c r="B38" s="419">
        <f t="shared" si="5"/>
        <v>0.20261875520496969</v>
      </c>
      <c r="C38" s="420">
        <f t="shared" si="5"/>
        <v>0.23938888847468062</v>
      </c>
      <c r="D38" s="421">
        <f t="shared" si="5"/>
        <v>0.28726666616961677</v>
      </c>
      <c r="E38" s="422">
        <f t="shared" si="3"/>
        <v>0.33424955703700043</v>
      </c>
      <c r="F38" s="423">
        <f t="shared" si="4"/>
        <v>0.20247809705125985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Sheet1</vt:lpstr>
      <vt:lpstr>CutType</vt:lpstr>
      <vt:lpstr>Helix Depth</vt:lpstr>
      <vt:lpstr>elipse #s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2015-04-14T15:31:36Z</cp:lastPrinted>
  <dcterms:created xsi:type="dcterms:W3CDTF">2003-10-20T20:59:43Z</dcterms:created>
  <dcterms:modified xsi:type="dcterms:W3CDTF">2015-04-28T13:09:09Z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