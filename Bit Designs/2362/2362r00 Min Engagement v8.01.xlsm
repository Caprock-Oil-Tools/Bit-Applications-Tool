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2362\"/>
    </mc:Choice>
  </mc:AlternateContent>
  <xr:revisionPtr revIDLastSave="0" documentId="13_ncr:1_{BC44E3BC-34C0-4245-9C59-130F8B1839D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2" i="1" l="1"/>
  <c r="L28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6" i="1"/>
  <c r="M245" i="1"/>
  <c r="M244" i="1"/>
  <c r="M243" i="1"/>
  <c r="M242" i="1"/>
  <c r="M241" i="1"/>
  <c r="M240" i="1"/>
  <c r="M239" i="1"/>
  <c r="M238" i="1"/>
  <c r="M237" i="1"/>
  <c r="M236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8" i="1"/>
  <c r="M217" i="1"/>
  <c r="M216" i="1"/>
  <c r="M215" i="1"/>
  <c r="M214" i="1"/>
  <c r="M213" i="1"/>
  <c r="M212" i="1"/>
  <c r="M211" i="1"/>
  <c r="M210" i="1"/>
  <c r="M209" i="1"/>
  <c r="M208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0" i="1"/>
  <c r="M189" i="1"/>
  <c r="M188" i="1"/>
  <c r="M187" i="1"/>
  <c r="M186" i="1"/>
  <c r="M185" i="1"/>
  <c r="M184" i="1"/>
  <c r="M183" i="1"/>
  <c r="M182" i="1"/>
  <c r="M181" i="1"/>
  <c r="M180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Z305" i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IS40" i="1"/>
  <c r="V93" i="1"/>
  <c r="IX93" i="1"/>
  <c r="IS16" i="1"/>
  <c r="IS21" i="1"/>
  <c r="IS45" i="1"/>
  <c r="IX29" i="1"/>
  <c r="IX118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13" i="1"/>
  <c r="R49" i="1"/>
  <c r="AD43" i="1"/>
  <c r="V38" i="1"/>
  <c r="V59" i="1"/>
  <c r="V29" i="1"/>
  <c r="V60" i="1"/>
  <c r="Q12" i="1"/>
  <c r="E314" i="1" s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V21" i="1" l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W28" i="1"/>
  <c r="IG28" i="1" s="1"/>
  <c r="IR61" i="1"/>
  <c r="IW58" i="1"/>
  <c r="IG58" i="1" s="1"/>
  <c r="AQ89" i="1"/>
  <c r="IR98" i="1"/>
  <c r="AQ118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7" i="1" l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M247" i="1" l="1"/>
  <c r="M207" i="1"/>
  <c r="M191" i="1"/>
  <c r="M235" i="1"/>
  <c r="M219" i="1"/>
  <c r="M17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<sst xmlns="http://schemas.openxmlformats.org/spreadsheetml/2006/main" count="910" uniqueCount="427">
  <si>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</si>
  <si>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</si>
  <si>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</si>
  <si>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</si>
  <si>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</si>
  <si>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</si>
  <si>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</si>
  <si>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</si>
  <si>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</si>
  <si>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</si>
  <si>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</si>
  <si>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</si>
  <si>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</si>
  <si>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</si>
  <si>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</si>
  <si>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</si>
  <si>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</si>
  <si>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</si>
  <si>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</si>
  <si>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</si>
  <si>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</si>
  <si>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</si>
  <si>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</si>
  <si>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</si>
  <si>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</si>
  <si>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</si>
  <si>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</si>
  <si>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</si>
  <si>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</si>
  <si>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</si>
  <si>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</si>
  <si>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</si>
  <si>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</si>
  <si>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</si>
  <si>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</si>
  <si>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</si>
  <si>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</si>
  <si>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</si>
  <si>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</si>
  <si>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</si>
  <si>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</si>
  <si>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</si>
  <si>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</si>
  <si>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</si>
  <si>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</si>
  <si>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</si>
  <si>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</si>
  <si>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</si>
  <si>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</si>
  <si>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</si>
  <si>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</si>
  <si>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</si>
  <si>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</si>
  <si>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</si>
  <si>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</si>
  <si>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</si>
  <si>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</si>
  <si>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</si>
  <si>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</si>
  <si>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</si>
  <si>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</si>
  <si>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</si>
  <si>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</si>
  <si>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</si>
  <si>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</si>
  <si>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</si>
  <si>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</si>
  <si>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</si>
  <si>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</si>
  <si>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</si>
  <si>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</si>
  <si>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</si>
  <si>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</si>
  <si>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</si>
  <si>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</si>
  <si>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</si>
  <si>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</si>
  <si>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</si>
  <si>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</si>
  <si>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</si>
  <si>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</si>
  <si>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</si>
  <si>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</si>
  <si>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</si>
  <si>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</si>
  <si>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</si>
  <si>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</si>
  <si>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</si>
  <si>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</si>
  <si>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</si>
  <si>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</si>
  <si>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</si>
  <si>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</si>
  <si>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</si>
  <si>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</si>
  <si>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</si>
  <si>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</si>
  <si>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</si>
  <si>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</si>
  <si>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</si>
  <si>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</si>
  <si>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</si>
  <si>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</si>
  <si>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</si>
  <si>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</si>
  <si>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</si>
  <si>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</si>
  <si>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</si>
  <si>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</si>
  <si>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</si>
  <si>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</si>
  <si>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</si>
  <si>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</si>
  <si>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</si>
  <si>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</si>
  <si>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</si>
  <si>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</si>
  <si>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</si>
  <si>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</si>
  <si>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</si>
  <si>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</si>
  <si>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</si>
  <si>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</si>
  <si>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</si>
  <si>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</si>
  <si>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</si>
  <si>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</si>
  <si>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</si>
  <si>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</si>
  <si>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</si>
  <si>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</si>
  <si>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</si>
  <si>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</si>
  <si>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</si>
  <si>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</si>
  <si>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</si>
  <si>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</si>
  <si>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</si>
  <si>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</si>
  <si>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</si>
  <si>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</si>
  <si>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</si>
  <si>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</si>
  <si>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</si>
  <si>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</si>
  <si>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</si>
  <si>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</si>
  <si>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</si>
  <si>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</si>
  <si>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</si>
  <si>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</si>
  <si>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</si>
  <si>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</si>
  <si>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</si>
  <si>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</si>
  <si>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</si>
  <si>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</si>
  <si>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</si>
  <si>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</si>
  <si>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</si>
  <si>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</si>
  <si>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</si>
  <si>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</si>
  <si>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</si>
  <si>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</si>
  <si>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</si>
  <si>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</si>
  <si>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</si>
  <si>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</si>
  <si>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</si>
  <si>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</si>
  <si>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</si>
  <si>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</si>
  <si>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</si>
  <si>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</si>
  <si>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</si>
  <si>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</si>
  <si>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</si>
  <si>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</si>
  <si>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</si>
  <si>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</si>
  <si>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</si>
  <si>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</si>
  <si>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</si>
  <si>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</si>
  <si>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</si>
  <si>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</si>
  <si>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</si>
  <si>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</si>
  <si>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</si>
  <si>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</si>
  <si>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</si>
  <si>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</si>
  <si>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</si>
  <si>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</si>
  <si>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</si>
  <si>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</si>
  <si>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</si>
  <si>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</si>
  <si>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</si>
  <si>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</si>
  <si>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</si>
  <si>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</si>
  <si>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</si>
  <si>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</si>
  <si>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</si>
  <si>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</si>
  <si>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</si>
  <si>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</si>
  <si>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</si>
  <si>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</si>
  <si>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</si>
  <si>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</si>
  <si>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</si>
  <si>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</si>
  <si>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</si>
  <si>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</si>
  <si>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</si>
  <si>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</si>
  <si>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</si>
  <si>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</si>
  <si>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</si>
  <si>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</si>
  <si>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</si>
  <si>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</si>
  <si>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</si>
  <si>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</si>
  <si>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</si>
  <si>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</si>
  <si>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</si>
  <si>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</si>
  <si>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</si>
  <si>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</si>
  <si>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</si>
  <si>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</si>
  <si>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</si>
  <si>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</si>
  <si>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</si>
  <si>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</si>
  <si>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</si>
  <si>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</si>
  <si>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</si>
  <si>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</si>
  <si>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</si>
  <si>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</si>
  <si>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</si>
  <si>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</si>
  <si>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</si>
  <si>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</si>
  <si>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</si>
  <si>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</si>
  <si>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</si>
  <si>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</si>
  <si>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</si>
  <si>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</si>
  <si>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</si>
  <si>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</si>
  <si>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</si>
  <si>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</si>
  <si>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</si>
  <si>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</si>
  <si>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</si>
  <si>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</si>
  <si>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</si>
  <si>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</si>
  <si>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</si>
  <si>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</si>
  <si>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</si>
  <si>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</si>
  <si>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</si>
  <si>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</si>
  <si>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</si>
  <si>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</si>
  <si>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</si>
  <si>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</si>
  <si>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</si>
  <si>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</si>
  <si>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</si>
  <si>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</si>
  <si>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</si>
  <si>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</si>
  <si>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</si>
  <si>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</si>
  <si>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</si>
  <si>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</si>
  <si>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</si>
  <si>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</si>
  <si>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</si>
  <si>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</si>
  <si>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</si>
  <si>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</si>
  <si>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</si>
  <si>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</si>
  <si>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</si>
  <si>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</si>
  <si>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</si>
  <si>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</si>
  <si>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</si>
  <si>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</si>
  <si>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</si>
  <si>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</si>
  <si>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</si>
  <si>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</si>
  <si>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</si>
  <si>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</si>
  <si>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</si>
  <si>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</si>
  <si>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</si>
  <si>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</si>
  <si>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</si>
  <si>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</si>
  <si>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</si>
  <si>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</si>
  <si>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</si>
  <si>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</si>
  <si>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</si>
  <si>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</si>
  <si>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</si>
  <si>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</si>
  <si>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</si>
  <si>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</si>
  <si>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</si>
  <si>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</si>
  <si>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</si>
  <si>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</si>
  <si>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</si>
  <si>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</si>
  <si>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</si>
  <si>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</si>
  <si>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</si>
  <si>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</si>
  <si>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</si>
  <si>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</si>
  <si>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</si>
  <si>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</si>
  <si>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</si>
  <si>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</si>
  <si>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</si>
  <si>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</si>
  <si>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</si>
  <si>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</si>
  <si>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</si>
  <si>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</si>
  <si>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</si>
  <si>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</si>
  <si>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</si>
  <si>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</si>
  <si>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</si>
  <si>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</si>
  <si>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</si>
  <si>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</si>
  <si>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</si>
  <si>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</si>
  <si>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</si>
  <si>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</si>
  <si>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</si>
  <si>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</si>
  <si>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</si>
  <si>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</si>
  <si>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</si>
  <si>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</si>
  <si>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</si>
  <si>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</si>
  <si>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</si>
  <si>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</si>
  <si>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</si>
  <si>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</si>
  <si>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</si>
  <si>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</si>
  <si>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</si>
  <si>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</si>
  <si>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</si>
  <si>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</si>
  <si>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</si>
  <si>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</si>
  <si>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</si>
  <si>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</si>
  <si>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</si>
  <si>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</si>
  <si>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</si>
  <si>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</si>
  <si>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</si>
  <si>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</si>
  <si>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</si>
  <si>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</si>
  <si>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</si>
  <si>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</si>
  <si>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</si>
  <si>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</si>
  <si>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</si>
  <si>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</si>
  <si>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</si>
  <si>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</si>
  <si>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</si>
  <si>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</si>
  <si>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</si>
  <si>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</si>
  <si>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</si>
  <si>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</si>
  <si>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</si>
  <si>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</si>
  <si>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</si>
  <si>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</si>
  <si>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</si>
  <si>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</si>
  <si>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</si>
  <si>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</si>
  <si>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</si>
  <si>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</si>
  <si>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</si>
  <si>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</si>
  <si>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</si>
  <si>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</si>
  <si>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</si>
  <si>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</si>
  <si>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</si>
  <si>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</si>
  <si>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</si>
  <si>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</si>
  <si>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</si>
  <si>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</si>
  <si>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</si>
  <si>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1613 Ripper.par</t>
  </si>
  <si>
    <t>1310.par</t>
  </si>
  <si>
    <t>32193r1.par</t>
  </si>
  <si>
    <t>perp</t>
  </si>
  <si>
    <t>2362r00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</si>
</sst>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ot-dc01.cot-i.com\CapRockDocuments\Engineering\01_Designs\2362\2362r00%20CS%20Placement%20V5.xls" TargetMode="External"/><Relationship Id="rId1" Type="http://schemas.openxmlformats.org/officeDocument/2006/relationships/externalLinkPath" Target="2362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81">
          <cell r="AG281" t="str">
            <v>Perp. to Profile</v>
          </cell>
        </row>
        <row r="282">
          <cell r="AG282">
            <v>-20</v>
          </cell>
          <cell r="AI282" t="str">
            <v>01</v>
          </cell>
        </row>
        <row r="283">
          <cell r="AG283">
            <v>-20</v>
          </cell>
          <cell r="AI283" t="str">
            <v>02</v>
          </cell>
        </row>
        <row r="284">
          <cell r="AG284">
            <v>-20</v>
          </cell>
          <cell r="AI284" t="str">
            <v>03</v>
          </cell>
        </row>
        <row r="285">
          <cell r="AG285">
            <v>-20</v>
          </cell>
          <cell r="AI285" t="str">
            <v>04</v>
          </cell>
        </row>
        <row r="286">
          <cell r="AG286">
            <v>-20</v>
          </cell>
          <cell r="AI286" t="str">
            <v>05</v>
          </cell>
        </row>
        <row r="287">
          <cell r="AG287">
            <v>-16</v>
          </cell>
          <cell r="AI287" t="str">
            <v>06</v>
          </cell>
        </row>
        <row r="288">
          <cell r="AG288">
            <v>-9.9000000000000057</v>
          </cell>
          <cell r="AI288" t="str">
            <v>07</v>
          </cell>
        </row>
        <row r="289">
          <cell r="AG289">
            <v>-3.7999999999999972</v>
          </cell>
          <cell r="AI289" t="str">
            <v>08</v>
          </cell>
        </row>
        <row r="290">
          <cell r="AG290">
            <v>2.0999999999999943</v>
          </cell>
          <cell r="AI290" t="str">
            <v>09</v>
          </cell>
        </row>
        <row r="291">
          <cell r="AG291">
            <v>5.0999999999999943</v>
          </cell>
          <cell r="AI291" t="str">
            <v>10</v>
          </cell>
        </row>
        <row r="292">
          <cell r="AG292">
            <v>8</v>
          </cell>
          <cell r="AI292" t="str">
            <v>11</v>
          </cell>
        </row>
        <row r="293">
          <cell r="AG293">
            <v>10.900000000000006</v>
          </cell>
          <cell r="AI293" t="str">
            <v>12</v>
          </cell>
        </row>
        <row r="294">
          <cell r="AG294">
            <v>13.799999999999997</v>
          </cell>
          <cell r="AI294" t="str">
            <v>13</v>
          </cell>
        </row>
        <row r="295">
          <cell r="AG295">
            <v>16.700000000000003</v>
          </cell>
          <cell r="AI295" t="str">
            <v>14</v>
          </cell>
        </row>
        <row r="296">
          <cell r="AG296">
            <v>19.599999999999994</v>
          </cell>
          <cell r="AI296" t="str">
            <v>15</v>
          </cell>
        </row>
        <row r="297">
          <cell r="AG297">
            <v>22.5</v>
          </cell>
          <cell r="AI297" t="str">
            <v>16</v>
          </cell>
        </row>
        <row r="298">
          <cell r="AG298">
            <v>25.400000000000006</v>
          </cell>
          <cell r="AI298" t="str">
            <v>17</v>
          </cell>
        </row>
        <row r="299">
          <cell r="AG299">
            <v>28.299999999999997</v>
          </cell>
          <cell r="AI299" t="str">
            <v>18</v>
          </cell>
        </row>
        <row r="300">
          <cell r="AG300">
            <v>31.200000000000003</v>
          </cell>
          <cell r="AI300" t="str">
            <v>19</v>
          </cell>
        </row>
        <row r="301">
          <cell r="AG301">
            <v>34.099999999999994</v>
          </cell>
          <cell r="AI301" t="str">
            <v>20</v>
          </cell>
        </row>
        <row r="302">
          <cell r="AG302">
            <v>37</v>
          </cell>
          <cell r="AI302" t="str">
            <v>21</v>
          </cell>
        </row>
        <row r="303">
          <cell r="AG303">
            <v>39.800000000000011</v>
          </cell>
          <cell r="AI303" t="str">
            <v>22</v>
          </cell>
        </row>
        <row r="304">
          <cell r="AG304">
            <v>42.699999999999989</v>
          </cell>
          <cell r="AI304" t="str">
            <v>23</v>
          </cell>
        </row>
        <row r="305">
          <cell r="AG305">
            <v>45.599999999999994</v>
          </cell>
          <cell r="AI305" t="str">
            <v>24</v>
          </cell>
        </row>
        <row r="306">
          <cell r="AG306">
            <v>48.400000000000006</v>
          </cell>
          <cell r="AI306" t="str">
            <v>25</v>
          </cell>
        </row>
        <row r="307">
          <cell r="AG307">
            <v>51.199999999999989</v>
          </cell>
          <cell r="AI307" t="str">
            <v>26</v>
          </cell>
        </row>
        <row r="308">
          <cell r="AG308">
            <v>54.099999999999994</v>
          </cell>
          <cell r="AI308" t="str">
            <v>27</v>
          </cell>
        </row>
        <row r="309">
          <cell r="AG309">
            <v>56.900000000000006</v>
          </cell>
          <cell r="AI309" t="str">
            <v>28</v>
          </cell>
        </row>
        <row r="310">
          <cell r="AG310">
            <v>59.699999999999989</v>
          </cell>
          <cell r="AI310" t="str">
            <v>29</v>
          </cell>
        </row>
        <row r="311">
          <cell r="AG311">
            <v>62.5</v>
          </cell>
          <cell r="AI311" t="str">
            <v>30</v>
          </cell>
        </row>
        <row r="312">
          <cell r="AG312">
            <v>65.300000000000011</v>
          </cell>
          <cell r="AI312" t="str">
            <v>31</v>
          </cell>
        </row>
        <row r="313">
          <cell r="AG313">
            <v>68.099999999999994</v>
          </cell>
          <cell r="AI313" t="str">
            <v>32</v>
          </cell>
        </row>
        <row r="314">
          <cell r="AG314">
            <v>70.900000000000006</v>
          </cell>
          <cell r="AI314" t="str">
            <v>33</v>
          </cell>
        </row>
        <row r="315">
          <cell r="AG315">
            <v>73.699999999999989</v>
          </cell>
          <cell r="AI315" t="str">
            <v>34</v>
          </cell>
        </row>
        <row r="316">
          <cell r="AG316">
            <v>76.5</v>
          </cell>
          <cell r="AI316" t="str">
            <v>35</v>
          </cell>
        </row>
        <row r="317">
          <cell r="AG317">
            <v>79.300000000000011</v>
          </cell>
          <cell r="AI317" t="str">
            <v>36</v>
          </cell>
        </row>
        <row r="318">
          <cell r="AG318">
            <v>82.1</v>
          </cell>
          <cell r="AI318" t="str">
            <v>37</v>
          </cell>
        </row>
        <row r="319">
          <cell r="AG319">
            <v>84.9</v>
          </cell>
          <cell r="AI319" t="str">
            <v>38</v>
          </cell>
        </row>
        <row r="320">
          <cell r="AG320">
            <v>86.1</v>
          </cell>
          <cell r="AI320" t="str">
            <v>39</v>
          </cell>
        </row>
        <row r="321">
          <cell r="AG321">
            <v>86.1</v>
          </cell>
          <cell r="AI321" t="str">
            <v>40</v>
          </cell>
        </row>
        <row r="322">
          <cell r="AG322">
            <v>86.1</v>
          </cell>
          <cell r="AI322" t="str">
            <v>41</v>
          </cell>
        </row>
        <row r="323">
          <cell r="AG323">
            <v>86.1</v>
          </cell>
          <cell r="AI323" t="str">
            <v>42</v>
          </cell>
        </row>
        <row r="324">
          <cell r="AG324">
            <v>86.1</v>
          </cell>
          <cell r="AI324" t="str">
            <v>43</v>
          </cell>
        </row>
        <row r="325">
          <cell r="AG325">
            <v>86.1</v>
          </cell>
          <cell r="AI325" t="str">
            <v>44</v>
          </cell>
        </row>
        <row r="326">
          <cell r="AG326">
            <v>86.1</v>
          </cell>
          <cell r="AI326" t="str">
            <v>45</v>
          </cell>
        </row>
        <row r="327">
          <cell r="AG327">
            <v>90</v>
          </cell>
          <cell r="AI327" t="str">
            <v>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3" t="s">
        <v>77</v>
      </c>
      <c r="D1" s="983"/>
      <c r="E1" s="983"/>
      <c r="F1" s="983"/>
      <c r="G1" s="983"/>
      <c r="H1" s="983"/>
      <c r="I1" s="983"/>
      <c r="J1" s="983"/>
      <c r="K1" s="983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8" t="s">
        <v>80</v>
      </c>
      <c r="B6" s="1008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8">
        <v>9</v>
      </c>
      <c r="D9" s="1002"/>
      <c r="E9" s="1002"/>
      <c r="F9" s="1002"/>
      <c r="G9" s="1002"/>
      <c r="H9" s="1002"/>
      <c r="I9" s="1002"/>
      <c r="J9" s="1002"/>
      <c r="K9" s="999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20"/>
      <c r="C10" s="1021"/>
      <c r="D10" s="1021"/>
      <c r="E10" s="1021"/>
      <c r="F10" s="1021"/>
      <c r="G10" s="102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6"/>
      <c r="B11" s="1009" t="s">
        <v>33</v>
      </c>
      <c r="C11" s="1014" t="s">
        <v>34</v>
      </c>
      <c r="D11" s="1014"/>
      <c r="E11" s="1013" t="s">
        <v>39</v>
      </c>
      <c r="F11" s="1009" t="s">
        <v>35</v>
      </c>
      <c r="G11" s="1009" t="s">
        <v>36</v>
      </c>
      <c r="H11" s="1009" t="s">
        <v>43</v>
      </c>
      <c r="I11" s="1000" t="s">
        <v>67</v>
      </c>
      <c r="J11" s="1014" t="s">
        <v>56</v>
      </c>
      <c r="K11" s="101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3" t="s">
        <v>338</v>
      </c>
      <c r="AN11" s="1002"/>
      <c r="AO11" s="1002"/>
      <c r="AP11" s="1002"/>
      <c r="AQ11" s="1002"/>
      <c r="AR11" s="1024"/>
      <c r="AS11" s="1031" t="s">
        <v>345</v>
      </c>
      <c r="AT11" s="1032"/>
      <c r="AU11" s="1032"/>
      <c r="AV11" s="1033"/>
      <c r="BC11" s="419"/>
    </row>
    <row r="12" spans="1:55" ht="15.75" thickBot="1" x14ac:dyDescent="0.3">
      <c r="A12" s="1015"/>
      <c r="B12" s="1010"/>
      <c r="C12" s="48" t="s">
        <v>8</v>
      </c>
      <c r="D12" s="49" t="s">
        <v>10</v>
      </c>
      <c r="E12" s="1010"/>
      <c r="F12" s="1010"/>
      <c r="G12" s="1010"/>
      <c r="H12" s="1010"/>
      <c r="I12" s="1001"/>
      <c r="J12" s="52" t="s">
        <v>8</v>
      </c>
      <c r="K12" s="53" t="s">
        <v>10</v>
      </c>
      <c r="M12" s="31"/>
      <c r="N12" s="31"/>
      <c r="O12" s="992" t="s">
        <v>46</v>
      </c>
      <c r="P12" s="993"/>
      <c r="Q12" s="1011" t="s">
        <v>45</v>
      </c>
      <c r="R12" s="1012"/>
      <c r="S12" s="1012"/>
      <c r="T12" s="1012"/>
      <c r="U12" s="1012"/>
      <c r="V12" s="1012"/>
      <c r="W12" s="1012"/>
      <c r="X12" s="1012"/>
      <c r="Y12" s="1012"/>
      <c r="Z12" s="1012"/>
      <c r="AA12" s="1012"/>
      <c r="AB12" s="1012"/>
      <c r="AC12" s="1012"/>
      <c r="AD12" s="1012"/>
      <c r="AE12" s="998"/>
      <c r="AF12" s="986" t="s">
        <v>56</v>
      </c>
      <c r="AG12" s="987"/>
      <c r="AH12" s="31"/>
      <c r="AK12" s="1006" t="s">
        <v>346</v>
      </c>
      <c r="AL12" s="1022"/>
      <c r="AM12" s="1025" t="s">
        <v>343</v>
      </c>
      <c r="AN12" s="1026"/>
      <c r="AO12" s="1007"/>
      <c r="AP12" s="1006" t="s">
        <v>371</v>
      </c>
      <c r="AQ12" s="1007"/>
      <c r="AR12" s="743" t="s">
        <v>369</v>
      </c>
      <c r="AS12" s="1028" t="s">
        <v>343</v>
      </c>
      <c r="AT12" s="1007"/>
      <c r="AU12" s="1029" t="s">
        <v>344</v>
      </c>
      <c r="AV12" s="1030"/>
      <c r="AW12" s="1034" t="s">
        <v>342</v>
      </c>
      <c r="AX12" s="1035"/>
      <c r="AZ12" s="1006" t="s">
        <v>60</v>
      </c>
      <c r="BA12" s="1007"/>
      <c r="BC12" s="1027" t="s">
        <v>374</v>
      </c>
    </row>
    <row r="13" spans="1:55" ht="15.75" thickBot="1" x14ac:dyDescent="0.3">
      <c r="A13" s="63" t="s">
        <v>57</v>
      </c>
      <c r="B13" s="1016" t="s">
        <v>97</v>
      </c>
      <c r="C13" s="101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4"/>
      <c r="P13" s="99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7"/>
    </row>
    <row r="14" spans="1:55" x14ac:dyDescent="0.25">
      <c r="A14" s="61" t="s">
        <v>58</v>
      </c>
      <c r="B14" s="1017"/>
      <c r="C14" s="101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99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9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9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9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9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9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9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8" t="s">
        <v>64</v>
      </c>
      <c r="C21" s="1002"/>
      <c r="D21" s="1002"/>
      <c r="E21" s="1002"/>
      <c r="F21" s="999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6"/>
      <c r="C22" s="998" t="s">
        <v>63</v>
      </c>
      <c r="D22" s="999"/>
      <c r="E22" s="1000" t="s">
        <v>60</v>
      </c>
      <c r="F22" s="1000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97"/>
      <c r="C23" s="56" t="s">
        <v>8</v>
      </c>
      <c r="D23" s="56" t="s">
        <v>9</v>
      </c>
      <c r="E23" s="1001"/>
      <c r="F23" s="1001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88">
        <v>0</v>
      </c>
      <c r="E24" s="988">
        <v>2</v>
      </c>
      <c r="F24" s="98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4.8125</v>
      </c>
      <c r="D25" s="989"/>
      <c r="E25" s="989"/>
      <c r="F25" s="98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84" t="s">
        <v>302</v>
      </c>
      <c r="C27" s="984"/>
      <c r="D27" s="984"/>
      <c r="E27" s="984"/>
      <c r="F27" s="984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85" t="s">
        <v>426</v>
      </c>
      <c r="C28" s="985"/>
      <c r="D28" s="985"/>
      <c r="E28" s="985"/>
      <c r="F28" s="985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02" t="s">
        <v>95</v>
      </c>
      <c r="D3" s="1002"/>
      <c r="E3" s="1002"/>
      <c r="F3" s="1002"/>
      <c r="G3" s="1002"/>
      <c r="H3" s="1002"/>
      <c r="I3" s="1002"/>
      <c r="J3" s="1002"/>
      <c r="K3" s="1024"/>
      <c r="L3" s="1082"/>
      <c r="M3" s="1002"/>
      <c r="N3" s="1002"/>
      <c r="O3" s="1002"/>
      <c r="P3" s="1002"/>
      <c r="Q3" s="1002"/>
      <c r="R3" s="999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4" t="s">
        <v>86</v>
      </c>
      <c r="C4" s="1065" t="s">
        <v>82</v>
      </c>
      <c r="D4" s="1002" t="s">
        <v>83</v>
      </c>
      <c r="E4" s="1002"/>
      <c r="F4" s="1002"/>
      <c r="G4" s="1002"/>
      <c r="H4" s="1002"/>
      <c r="I4" s="1002"/>
      <c r="J4" s="1002"/>
      <c r="K4" s="1002"/>
      <c r="L4" s="146" t="s">
        <v>91</v>
      </c>
      <c r="M4" s="998" t="s">
        <v>94</v>
      </c>
      <c r="N4" s="1002"/>
      <c r="O4" s="1002"/>
      <c r="P4" s="1024"/>
      <c r="Q4" s="1002" t="s">
        <v>52</v>
      </c>
      <c r="R4" s="999"/>
      <c r="S4" s="103"/>
      <c r="T4" s="998">
        <v>350</v>
      </c>
      <c r="U4" s="1002"/>
      <c r="V4" s="1002" t="s">
        <v>76</v>
      </c>
      <c r="W4" s="1002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5"/>
      <c r="C5" s="1066"/>
      <c r="D5" s="1050" t="s">
        <v>85</v>
      </c>
      <c r="E5" s="1068" t="s">
        <v>89</v>
      </c>
      <c r="F5" s="1014" t="s">
        <v>34</v>
      </c>
      <c r="G5" s="1014"/>
      <c r="H5" s="1013" t="s">
        <v>39</v>
      </c>
      <c r="I5" s="1009" t="s">
        <v>35</v>
      </c>
      <c r="J5" s="1009" t="s">
        <v>36</v>
      </c>
      <c r="K5" s="1076" t="s">
        <v>67</v>
      </c>
      <c r="L5" s="147" t="s">
        <v>92</v>
      </c>
      <c r="M5" s="1000" t="s">
        <v>90</v>
      </c>
      <c r="N5" s="1000" t="s">
        <v>47</v>
      </c>
      <c r="O5" s="1078" t="s">
        <v>84</v>
      </c>
      <c r="P5" s="1079"/>
      <c r="Q5" s="1080" t="s">
        <v>84</v>
      </c>
      <c r="R5" s="1081"/>
      <c r="S5" s="103"/>
      <c r="T5" s="992" t="s">
        <v>46</v>
      </c>
      <c r="U5" s="1083"/>
      <c r="V5" s="1035" t="s">
        <v>45</v>
      </c>
      <c r="W5" s="987"/>
      <c r="X5" s="987"/>
      <c r="Y5" s="987"/>
      <c r="Z5" s="987"/>
      <c r="AA5" s="987"/>
      <c r="AB5" s="987"/>
      <c r="AC5" s="987"/>
      <c r="AD5" s="987"/>
      <c r="AE5" s="987"/>
      <c r="AF5" s="987"/>
      <c r="AG5" s="987"/>
      <c r="AH5" s="987"/>
      <c r="AI5" s="987"/>
      <c r="AJ5" s="987"/>
      <c r="AK5" s="31"/>
      <c r="AL5" s="31"/>
    </row>
    <row r="6" spans="2:38" ht="15" customHeight="1" thickBot="1" x14ac:dyDescent="0.3">
      <c r="B6" s="1046"/>
      <c r="C6" s="1067"/>
      <c r="D6" s="1051"/>
      <c r="E6" s="1069"/>
      <c r="F6" s="104" t="s">
        <v>8</v>
      </c>
      <c r="G6" s="105" t="s">
        <v>10</v>
      </c>
      <c r="H6" s="1064"/>
      <c r="I6" s="1064"/>
      <c r="J6" s="1064"/>
      <c r="K6" s="1077"/>
      <c r="L6" s="148" t="s">
        <v>93</v>
      </c>
      <c r="M6" s="1075"/>
      <c r="N6" s="107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7"/>
      <c r="U6" s="108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2">
        <f>ROW(Assy.Model!B9)</f>
        <v>9</v>
      </c>
      <c r="D7" s="1041" t="str">
        <f>SUBSTITUTE(ADDRESS(1,COLUMN(Assy.Model!B9),4),"1","")</f>
        <v>B</v>
      </c>
      <c r="E7" s="1055" t="str">
        <f>SUBSTITUTE(ADDRESS(1,COLUMN(Assy.Model!M9),4),"1","")</f>
        <v>M</v>
      </c>
      <c r="F7" s="1058" t="str">
        <f>SUBSTITUTE(ADDRESS(1,COLUMN(Assy.Model!X9),4),"1","")</f>
        <v>X</v>
      </c>
      <c r="G7" s="1047" t="str">
        <f>SUBSTITUTE(ADDRESS(1,COLUMN(Assy.Model!AT9),4),"1","")</f>
        <v>AT</v>
      </c>
      <c r="H7" s="1061" t="str">
        <f>SUBSTITUTE(ADDRESS(1,COLUMN(Assy.Model!H9),4),"1","")</f>
        <v>H</v>
      </c>
      <c r="I7" s="1061" t="str">
        <f>SUBSTITUTE(ADDRESS(1,COLUMN(Assy.Model!AN9),4),"1","")</f>
        <v>AN</v>
      </c>
      <c r="J7" s="1061" t="str">
        <f>SUBSTITUTE(ADDRESS(1,COLUMN(Assy.Model!AO9),4),"1","")</f>
        <v>AO</v>
      </c>
      <c r="K7" s="1070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8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6" t="s">
        <v>81</v>
      </c>
      <c r="C8" s="1053"/>
      <c r="D8" s="1042"/>
      <c r="E8" s="1056"/>
      <c r="F8" s="1059"/>
      <c r="G8" s="1048"/>
      <c r="H8" s="1062"/>
      <c r="I8" s="1062"/>
      <c r="J8" s="1062"/>
      <c r="K8" s="1071"/>
      <c r="L8" s="149" t="s">
        <v>93</v>
      </c>
      <c r="M8" s="1073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9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6"/>
      <c r="C9" s="1053"/>
      <c r="D9" s="1042"/>
      <c r="E9" s="1056"/>
      <c r="F9" s="1059"/>
      <c r="G9" s="1048"/>
      <c r="H9" s="1062"/>
      <c r="I9" s="1062"/>
      <c r="J9" s="1062"/>
      <c r="K9" s="1071"/>
      <c r="L9" s="149" t="s">
        <v>92</v>
      </c>
      <c r="M9" s="1073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9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6"/>
      <c r="C10" s="1053"/>
      <c r="D10" s="1042"/>
      <c r="E10" s="1056"/>
      <c r="F10" s="1059"/>
      <c r="G10" s="1048"/>
      <c r="H10" s="1062"/>
      <c r="I10" s="1062"/>
      <c r="J10" s="1062"/>
      <c r="K10" s="1071"/>
      <c r="L10" s="149" t="s">
        <v>92</v>
      </c>
      <c r="M10" s="1073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9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6"/>
      <c r="C11" s="1053"/>
      <c r="D11" s="1042"/>
      <c r="E11" s="1056"/>
      <c r="F11" s="1059"/>
      <c r="G11" s="1048"/>
      <c r="H11" s="1062"/>
      <c r="I11" s="1062"/>
      <c r="J11" s="1062"/>
      <c r="K11" s="1071"/>
      <c r="L11" s="149" t="s">
        <v>92</v>
      </c>
      <c r="M11" s="1073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9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6"/>
      <c r="C12" s="1053"/>
      <c r="D12" s="1042"/>
      <c r="E12" s="1056"/>
      <c r="F12" s="1059"/>
      <c r="G12" s="1048"/>
      <c r="H12" s="1062"/>
      <c r="I12" s="1062"/>
      <c r="J12" s="1062"/>
      <c r="K12" s="1071"/>
      <c r="L12" s="149" t="s">
        <v>92</v>
      </c>
      <c r="M12" s="1073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9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6"/>
      <c r="C13" s="1053"/>
      <c r="D13" s="1042"/>
      <c r="E13" s="1056"/>
      <c r="F13" s="1059"/>
      <c r="G13" s="1048"/>
      <c r="H13" s="1062"/>
      <c r="I13" s="1062"/>
      <c r="J13" s="1062"/>
      <c r="K13" s="1071"/>
      <c r="L13" s="149" t="s">
        <v>92</v>
      </c>
      <c r="M13" s="1073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9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7"/>
      <c r="C14" s="1054"/>
      <c r="D14" s="1043"/>
      <c r="E14" s="1057"/>
      <c r="F14" s="1060"/>
      <c r="G14" s="1049"/>
      <c r="H14" s="1063"/>
      <c r="I14" s="1063"/>
      <c r="J14" s="1063"/>
      <c r="K14" s="1072"/>
      <c r="L14" s="150" t="s">
        <v>93</v>
      </c>
      <c r="M14" s="1074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0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5" t="str">
        <f>CONCATENATE(Settings!$C$19," ",Settings!$B$28)</f>
        <v>9.625 2362r00</v>
      </c>
      <c r="D1" s="1185"/>
      <c r="E1" s="1185"/>
      <c r="F1" s="1185"/>
      <c r="G1" s="1185"/>
      <c r="H1" s="1185"/>
      <c r="I1" s="1185"/>
      <c r="J1" s="1185"/>
      <c r="K1" s="1185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-1.369999802196503</v>
      </c>
      <c r="W1" s="162">
        <f>360-W14</f>
        <v>1.369999802196503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#NUM!</v>
      </c>
      <c r="FJ1" s="219" t="e">
        <f>DEGREES(ACOS((2-SQRT((EW14-FD14)^2+(EX14-FE14)^2+(EY14-FF14)^2)^2)/2))</f>
        <v>#NUM!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97" t="s">
        <v>306</v>
      </c>
      <c r="C2" s="1198"/>
      <c r="D2" s="1198"/>
      <c r="E2" s="1198"/>
      <c r="F2" s="1198"/>
      <c r="G2" s="1198"/>
      <c r="H2" s="1198"/>
      <c r="I2" s="1198"/>
      <c r="J2" s="1198"/>
      <c r="K2" s="1199"/>
      <c r="L2" s="1134" t="str" cm="1">
        <f t="array" ref="L2">IF(OR($K$9:$K$150="Undefined"),"Undefined Element","")</f>
        <v/>
      </c>
      <c r="M2" s="1205" t="s">
        <v>0</v>
      </c>
      <c r="N2" s="1151" t="s">
        <v>1</v>
      </c>
      <c r="O2" s="1152"/>
      <c r="P2" s="1152"/>
      <c r="Q2" s="1152"/>
      <c r="R2" s="1152"/>
      <c r="S2" s="1152"/>
      <c r="T2" s="1152"/>
      <c r="U2" s="1152"/>
      <c r="V2" s="1152"/>
      <c r="W2" s="1152"/>
      <c r="X2" s="1152"/>
      <c r="Y2" s="1153"/>
      <c r="Z2" s="1151" t="s">
        <v>2</v>
      </c>
      <c r="AA2" s="1152"/>
      <c r="AB2" s="1152"/>
      <c r="AC2" s="1152"/>
      <c r="AD2" s="1152"/>
      <c r="AE2" s="1152"/>
      <c r="AF2" s="1152"/>
      <c r="AG2" s="1152"/>
      <c r="AH2" s="1152"/>
      <c r="AI2" s="1152"/>
      <c r="AJ2" s="1152"/>
      <c r="AK2" s="1152"/>
      <c r="AL2" s="1152"/>
      <c r="AM2" s="1152"/>
      <c r="AN2" s="1152"/>
      <c r="AO2" s="1152"/>
      <c r="AP2" s="1152"/>
      <c r="AQ2" s="1175"/>
      <c r="AS2" s="1159" t="s">
        <v>44</v>
      </c>
      <c r="AT2" s="1160"/>
      <c r="AV2" s="1149" t="s">
        <v>0</v>
      </c>
      <c r="AW2" s="1151" t="s">
        <v>109</v>
      </c>
      <c r="AX2" s="1152"/>
      <c r="AY2" s="1152"/>
      <c r="AZ2" s="1152"/>
      <c r="BA2" s="1152"/>
      <c r="BB2" s="1152"/>
      <c r="BC2" s="1152"/>
      <c r="BD2" s="1152"/>
      <c r="BE2" s="1175"/>
      <c r="BF2" s="1181" t="s">
        <v>115</v>
      </c>
      <c r="BG2" s="1152"/>
      <c r="BH2" s="1152"/>
      <c r="BI2" s="1152"/>
      <c r="BJ2" s="1152"/>
      <c r="BK2" s="1152"/>
      <c r="BL2" s="1152"/>
      <c r="BM2" s="1152"/>
      <c r="BN2" s="1152"/>
      <c r="BO2" s="1152"/>
      <c r="BP2" s="1152"/>
      <c r="BQ2" s="1152"/>
      <c r="BR2" s="1152"/>
      <c r="BS2" s="1152"/>
      <c r="BT2" s="1152"/>
      <c r="BU2" s="1152"/>
      <c r="BV2" s="1152"/>
      <c r="BW2" s="1152"/>
      <c r="BX2" s="1152"/>
      <c r="BY2" s="1152"/>
      <c r="BZ2" s="1152"/>
      <c r="CA2" s="1152"/>
      <c r="CB2" s="1152"/>
      <c r="CC2" s="1152"/>
      <c r="CD2" s="1152"/>
      <c r="CE2" s="1152"/>
      <c r="CF2" s="1152"/>
      <c r="CG2" s="1152"/>
      <c r="CH2" s="1152"/>
      <c r="CI2" s="1152"/>
      <c r="CJ2" s="1152"/>
      <c r="CK2" s="1152"/>
      <c r="CL2" s="1152"/>
      <c r="CM2" s="1152"/>
      <c r="CN2" s="1152"/>
      <c r="CO2" s="1152"/>
      <c r="CP2" s="1152"/>
      <c r="CQ2" s="1152"/>
      <c r="CR2" s="1152"/>
      <c r="CS2" s="1152"/>
      <c r="CT2" s="1152"/>
      <c r="CU2" s="1152"/>
      <c r="CV2" s="1152"/>
      <c r="CW2" s="1152"/>
      <c r="CX2" s="1152"/>
      <c r="CY2" s="1152"/>
      <c r="CZ2" s="1152"/>
      <c r="DA2" s="1152"/>
      <c r="DB2" s="1152"/>
      <c r="DC2" s="1152"/>
      <c r="DD2" s="1152"/>
      <c r="DE2" s="1152"/>
      <c r="DF2" s="1152"/>
      <c r="DG2" s="1152"/>
      <c r="DH2" s="1152"/>
      <c r="DI2" s="1152"/>
      <c r="DJ2" s="1152"/>
      <c r="DK2" s="1152"/>
      <c r="DL2" s="1152"/>
      <c r="DM2" s="1152"/>
      <c r="DN2" s="1152"/>
      <c r="DO2" s="1152"/>
      <c r="DP2" s="1152"/>
      <c r="DQ2" s="1152"/>
      <c r="DR2" s="1152"/>
      <c r="DS2" s="1152"/>
      <c r="DT2" s="1152"/>
      <c r="DU2" s="1152"/>
      <c r="DV2" s="1152"/>
      <c r="DW2" s="1152"/>
      <c r="DX2" s="1152"/>
      <c r="DY2" s="1152"/>
      <c r="DZ2" s="1152"/>
      <c r="EA2" s="1152"/>
      <c r="EB2" s="1152"/>
      <c r="EC2" s="1152"/>
      <c r="ED2" s="1152"/>
      <c r="EE2" s="1152"/>
      <c r="EF2" s="1152"/>
      <c r="EG2" s="1152"/>
      <c r="EH2" s="1152"/>
      <c r="EI2" s="1152"/>
      <c r="EJ2" s="1152"/>
      <c r="EK2" s="1152"/>
      <c r="EL2" s="1152"/>
      <c r="EM2" s="1152"/>
      <c r="EN2" s="1152"/>
      <c r="EO2" s="1152"/>
      <c r="EP2" s="1152"/>
      <c r="EQ2" s="1152"/>
      <c r="ER2" s="1153"/>
      <c r="ES2" s="1384" t="s">
        <v>196</v>
      </c>
      <c r="ET2" s="1385"/>
      <c r="EU2" s="1385"/>
      <c r="EV2" s="1385"/>
      <c r="EW2" s="1385"/>
      <c r="EX2" s="1385"/>
      <c r="EY2" s="1385"/>
      <c r="EZ2" s="1385"/>
      <c r="FA2" s="1385"/>
      <c r="FB2" s="1385"/>
      <c r="FC2" s="1385"/>
      <c r="FD2" s="1385"/>
      <c r="FE2" s="1385"/>
      <c r="FF2" s="1386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6.5384293202589037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16073.63874563647</v>
      </c>
      <c r="GV2" s="309"/>
      <c r="GW2" s="369">
        <v>29500</v>
      </c>
      <c r="GX2" s="309">
        <f>SUM(GX9:GX150)</f>
        <v>2557.1125345833334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359" t="str">
        <f>IFERROR(CONCATENATE("Sum of Lateral Forces = ",ROUND(HE3,0)," lbs @ ",ROUND(HF3,1),"° Relative to Blade 1"),"")</f>
        <v/>
      </c>
      <c r="HX2" s="1359"/>
      <c r="HY2" s="1359"/>
      <c r="HZ2" s="1359"/>
      <c r="IA2" s="1359"/>
      <c r="IB2" s="1359"/>
      <c r="IC2" s="1359"/>
      <c r="ID2" s="1359"/>
      <c r="IE2" s="1359"/>
      <c r="IF2" s="846"/>
      <c r="IN2" s="31"/>
      <c r="IO2" s="323"/>
      <c r="JC2" s="82"/>
      <c r="JD2" s="82"/>
      <c r="JE2" s="82"/>
    </row>
    <row r="3" spans="1:285" ht="15" customHeight="1" x14ac:dyDescent="0.25">
      <c r="B3" s="1200"/>
      <c r="C3" s="1147"/>
      <c r="D3" s="1147"/>
      <c r="E3" s="1147"/>
      <c r="F3" s="1147"/>
      <c r="G3" s="1147"/>
      <c r="H3" s="1147"/>
      <c r="I3" s="1147"/>
      <c r="J3" s="1147"/>
      <c r="K3" s="1201"/>
      <c r="L3" s="1134"/>
      <c r="M3" s="1200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154"/>
      <c r="AA3" s="1155"/>
      <c r="AB3" s="1155"/>
      <c r="AC3" s="1155"/>
      <c r="AD3" s="1155"/>
      <c r="AE3" s="1155"/>
      <c r="AF3" s="1155"/>
      <c r="AG3" s="1155"/>
      <c r="AH3" s="1155"/>
      <c r="AI3" s="1155"/>
      <c r="AJ3" s="1155"/>
      <c r="AK3" s="1155"/>
      <c r="AL3" s="1155"/>
      <c r="AM3" s="1155"/>
      <c r="AN3" s="1155"/>
      <c r="AO3" s="1155"/>
      <c r="AP3" s="1155"/>
      <c r="AQ3" s="1176"/>
      <c r="AS3" s="415">
        <v>100</v>
      </c>
      <c r="AT3" s="412" t="s">
        <v>45</v>
      </c>
      <c r="AV3" s="1150"/>
      <c r="AW3" s="1232"/>
      <c r="AX3" s="1183"/>
      <c r="AY3" s="1183"/>
      <c r="AZ3" s="1183"/>
      <c r="BA3" s="1183"/>
      <c r="BB3" s="1183"/>
      <c r="BC3" s="1183"/>
      <c r="BD3" s="1183"/>
      <c r="BE3" s="1233"/>
      <c r="BF3" s="1182"/>
      <c r="BG3" s="1183"/>
      <c r="BH3" s="1183"/>
      <c r="BI3" s="1183"/>
      <c r="BJ3" s="1183"/>
      <c r="BK3" s="1183"/>
      <c r="BL3" s="1183"/>
      <c r="BM3" s="1183"/>
      <c r="BN3" s="1183"/>
      <c r="BO3" s="1183"/>
      <c r="BP3" s="1183"/>
      <c r="BQ3" s="1183"/>
      <c r="BR3" s="1183"/>
      <c r="BS3" s="1183"/>
      <c r="BT3" s="1183"/>
      <c r="BU3" s="1183"/>
      <c r="BV3" s="1183"/>
      <c r="BW3" s="1183"/>
      <c r="BX3" s="1183"/>
      <c r="BY3" s="1183"/>
      <c r="BZ3" s="1183"/>
      <c r="CA3" s="1183"/>
      <c r="CB3" s="1183"/>
      <c r="CC3" s="1183"/>
      <c r="CD3" s="1183"/>
      <c r="CE3" s="1183"/>
      <c r="CF3" s="1183"/>
      <c r="CG3" s="1183"/>
      <c r="CH3" s="1183"/>
      <c r="CI3" s="1183"/>
      <c r="CJ3" s="1183"/>
      <c r="CK3" s="1183"/>
      <c r="CL3" s="1183"/>
      <c r="CM3" s="1183"/>
      <c r="CN3" s="1183"/>
      <c r="CO3" s="1183"/>
      <c r="CP3" s="1183"/>
      <c r="CQ3" s="1183"/>
      <c r="CR3" s="1183"/>
      <c r="CS3" s="1183"/>
      <c r="CT3" s="1183"/>
      <c r="CU3" s="1183"/>
      <c r="CV3" s="1183"/>
      <c r="CW3" s="1183"/>
      <c r="CX3" s="1183"/>
      <c r="CY3" s="1183"/>
      <c r="CZ3" s="1183"/>
      <c r="DA3" s="1183"/>
      <c r="DB3" s="1183"/>
      <c r="DC3" s="1183"/>
      <c r="DD3" s="1183"/>
      <c r="DE3" s="1183"/>
      <c r="DF3" s="1183"/>
      <c r="DG3" s="1183"/>
      <c r="DH3" s="1183"/>
      <c r="DI3" s="1183"/>
      <c r="DJ3" s="1183"/>
      <c r="DK3" s="1183"/>
      <c r="DL3" s="1183"/>
      <c r="DM3" s="1183"/>
      <c r="DN3" s="1183"/>
      <c r="DO3" s="1183"/>
      <c r="DP3" s="1183"/>
      <c r="DQ3" s="1183"/>
      <c r="DR3" s="1183"/>
      <c r="DS3" s="1183"/>
      <c r="DT3" s="1183"/>
      <c r="DU3" s="1183"/>
      <c r="DV3" s="1183"/>
      <c r="DW3" s="1183"/>
      <c r="DX3" s="1183"/>
      <c r="DY3" s="1183"/>
      <c r="DZ3" s="1183"/>
      <c r="EA3" s="1183"/>
      <c r="EB3" s="1183"/>
      <c r="EC3" s="1183"/>
      <c r="ED3" s="1183"/>
      <c r="EE3" s="1183"/>
      <c r="EF3" s="1183"/>
      <c r="EG3" s="1183"/>
      <c r="EH3" s="1183"/>
      <c r="EI3" s="1183"/>
      <c r="EJ3" s="1183"/>
      <c r="EK3" s="1183"/>
      <c r="EL3" s="1183"/>
      <c r="EM3" s="1183"/>
      <c r="EN3" s="1183"/>
      <c r="EO3" s="1183"/>
      <c r="EP3" s="1183"/>
      <c r="EQ3" s="1183"/>
      <c r="ER3" s="1184"/>
      <c r="ES3" s="1232"/>
      <c r="ET3" s="1183"/>
      <c r="EU3" s="1183"/>
      <c r="EV3" s="1183"/>
      <c r="EW3" s="1183"/>
      <c r="EX3" s="1183"/>
      <c r="EY3" s="1183"/>
      <c r="EZ3" s="1183"/>
      <c r="FA3" s="1183"/>
      <c r="FB3" s="1183"/>
      <c r="FC3" s="1183"/>
      <c r="FD3" s="1183"/>
      <c r="FE3" s="1183"/>
      <c r="FF3" s="118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HX3" s="968">
        <f>($HX$6*$AS$3)/5252.113112</f>
        <v>48.68730889936198</v>
      </c>
      <c r="HZ3" s="968">
        <f>($HZ$6*$AS$3)/5252.113112</f>
        <v>306.04136664367542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2"/>
      <c r="C4" s="1203"/>
      <c r="D4" s="1203"/>
      <c r="E4" s="1203"/>
      <c r="F4" s="1203"/>
      <c r="G4" s="1203"/>
      <c r="H4" s="1203"/>
      <c r="I4" s="1203"/>
      <c r="J4" s="1203"/>
      <c r="K4" s="1204"/>
      <c r="L4" s="1134"/>
      <c r="M4" s="1200"/>
      <c r="N4" s="1209" t="s">
        <v>3</v>
      </c>
      <c r="O4" s="1143"/>
      <c r="P4" s="1143"/>
      <c r="Q4" s="1144" t="s">
        <v>4</v>
      </c>
      <c r="R4" s="1143"/>
      <c r="S4" s="1145"/>
      <c r="T4" s="1218" t="str">
        <f>N4</f>
        <v>Cartesian Coordinates</v>
      </c>
      <c r="U4" s="1189"/>
      <c r="V4" s="1219"/>
      <c r="W4" s="1189" t="str">
        <f>$Q$4</f>
        <v>Polar XY; Cartesian Z</v>
      </c>
      <c r="X4" s="1189"/>
      <c r="Y4" s="1190"/>
      <c r="Z4" s="1209" t="s">
        <v>3</v>
      </c>
      <c r="AA4" s="1143"/>
      <c r="AB4" s="1143"/>
      <c r="AC4" s="1143"/>
      <c r="AD4" s="1143"/>
      <c r="AE4" s="1143"/>
      <c r="AF4" s="1143"/>
      <c r="AG4" s="1142" t="s">
        <v>31</v>
      </c>
      <c r="AH4" s="1143"/>
      <c r="AI4" s="1143"/>
      <c r="AJ4" s="1145"/>
      <c r="AK4" s="1177" t="s">
        <v>32</v>
      </c>
      <c r="AL4" s="1178"/>
      <c r="AM4" s="1178"/>
      <c r="AN4" s="1178"/>
      <c r="AO4" s="1178"/>
      <c r="AP4" s="1178"/>
      <c r="AQ4" s="1179"/>
      <c r="AS4" s="416">
        <v>125</v>
      </c>
      <c r="AT4" s="413" t="s">
        <v>46</v>
      </c>
      <c r="AV4" s="1150"/>
      <c r="AW4" s="1243" t="s">
        <v>112</v>
      </c>
      <c r="AX4" s="1244"/>
      <c r="AY4" s="993"/>
      <c r="AZ4" s="1229"/>
      <c r="BA4" s="1230"/>
      <c r="BB4" s="1234" t="s">
        <v>113</v>
      </c>
      <c r="BC4" s="1189" t="str">
        <f>$Q$4</f>
        <v>Polar XY; Cartesian Z</v>
      </c>
      <c r="BD4" s="1189"/>
      <c r="BE4" s="1237"/>
      <c r="BF4" s="1248" t="s">
        <v>129</v>
      </c>
      <c r="BG4" s="1249"/>
      <c r="BH4" s="1249"/>
      <c r="BI4" s="1249"/>
      <c r="BJ4" s="1249"/>
      <c r="BK4" s="1249"/>
      <c r="BL4" s="1249"/>
      <c r="BM4" s="1249"/>
      <c r="BN4" s="1249"/>
      <c r="BO4" s="1249"/>
      <c r="BP4" s="1249"/>
      <c r="BQ4" s="1249"/>
      <c r="BR4" s="1249"/>
      <c r="BS4" s="1249"/>
      <c r="BT4" s="1249"/>
      <c r="BU4" s="1249"/>
      <c r="BV4" s="1249"/>
      <c r="BW4" s="1249"/>
      <c r="BX4" s="1249"/>
      <c r="BY4" s="1249"/>
      <c r="BZ4" s="1249"/>
      <c r="CA4" s="1249"/>
      <c r="CB4" s="1249"/>
      <c r="CC4" s="1249"/>
      <c r="CD4" s="1249"/>
      <c r="CE4" s="1249"/>
      <c r="CF4" s="1249"/>
      <c r="CG4" s="1249"/>
      <c r="CH4" s="1249"/>
      <c r="CI4" s="1249"/>
      <c r="CJ4" s="1249"/>
      <c r="CK4" s="1249"/>
      <c r="CL4" s="1249"/>
      <c r="CM4" s="1249"/>
      <c r="CN4" s="1250"/>
      <c r="CO4" s="1290" t="s">
        <v>192</v>
      </c>
      <c r="CP4" s="1291"/>
      <c r="CQ4" s="1291"/>
      <c r="CR4" s="1291"/>
      <c r="CS4" s="1291"/>
      <c r="CT4" s="1291"/>
      <c r="CU4" s="1291"/>
      <c r="CV4" s="1291"/>
      <c r="CW4" s="1291"/>
      <c r="CX4" s="1291"/>
      <c r="CY4" s="1291"/>
      <c r="CZ4" s="1291"/>
      <c r="DA4" s="1292"/>
      <c r="DB4" s="1381" t="s">
        <v>389</v>
      </c>
      <c r="DC4" s="1382"/>
      <c r="DD4" s="1382"/>
      <c r="DE4" s="1382"/>
      <c r="DF4" s="1382"/>
      <c r="DG4" s="1382"/>
      <c r="DH4" s="1382"/>
      <c r="DI4" s="1382"/>
      <c r="DJ4" s="1382"/>
      <c r="DK4" s="1382"/>
      <c r="DL4" s="1382"/>
      <c r="DM4" s="1382"/>
      <c r="DN4" s="1382"/>
      <c r="DO4" s="1382"/>
      <c r="DP4" s="1382"/>
      <c r="DQ4" s="1382"/>
      <c r="DR4" s="1382"/>
      <c r="DS4" s="1382"/>
      <c r="DT4" s="1382"/>
      <c r="DU4" s="1382"/>
      <c r="DV4" s="1382"/>
      <c r="DW4" s="1382"/>
      <c r="DX4" s="1382"/>
      <c r="DY4" s="1382"/>
      <c r="DZ4" s="1382"/>
      <c r="EA4" s="1382"/>
      <c r="EB4" s="1382"/>
      <c r="EC4" s="1382"/>
      <c r="ED4" s="1382"/>
      <c r="EE4" s="1382"/>
      <c r="EF4" s="1382"/>
      <c r="EG4" s="1382"/>
      <c r="EH4" s="1382"/>
      <c r="EI4" s="1382"/>
      <c r="EJ4" s="1382"/>
      <c r="EK4" s="1382"/>
      <c r="EL4" s="1382"/>
      <c r="EM4" s="1382"/>
      <c r="EN4" s="1382"/>
      <c r="EO4" s="1382"/>
      <c r="EP4" s="1382"/>
      <c r="EQ4" s="1382"/>
      <c r="ER4" s="1383"/>
      <c r="ES4" s="1266" t="s">
        <v>195</v>
      </c>
      <c r="ET4" s="1267"/>
      <c r="EU4" s="1267"/>
      <c r="EV4" s="1267"/>
      <c r="EW4" s="1267"/>
      <c r="EX4" s="1267"/>
      <c r="EY4" s="1268"/>
      <c r="EZ4" s="1273" t="s">
        <v>200</v>
      </c>
      <c r="FA4" s="1274"/>
      <c r="FB4" s="1274"/>
      <c r="FC4" s="1274"/>
      <c r="FD4" s="1274"/>
      <c r="FE4" s="1274"/>
      <c r="FF4" s="1275"/>
      <c r="FG4" s="325"/>
      <c r="FP4" s="1333" t="s">
        <v>228</v>
      </c>
      <c r="FZ4" s="133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1" t="s">
        <v>235</v>
      </c>
      <c r="GK4" s="1012"/>
      <c r="GL4" s="1012"/>
      <c r="GM4" s="1012"/>
      <c r="GN4" s="1294"/>
      <c r="GO4" s="1296" t="s">
        <v>228</v>
      </c>
      <c r="GP4" s="1300" t="s">
        <v>227</v>
      </c>
      <c r="GR4" s="1305" t="s">
        <v>257</v>
      </c>
      <c r="GS4" s="1082" t="s">
        <v>255</v>
      </c>
      <c r="GT4" s="1002"/>
      <c r="GU4" s="1002"/>
      <c r="GV4" s="1002"/>
      <c r="GW4" s="1002"/>
      <c r="GX4" s="1002"/>
      <c r="GY4" s="1002"/>
      <c r="GZ4" s="1002"/>
      <c r="HA4" s="1343" t="str">
        <f>IFERROR(CONCATENATE("Lateral Forces = ",ROUND(HE3,0)," lbs @ ",ROUND(HF3,1),"° Relative to Blade 1"),"")</f>
        <v/>
      </c>
      <c r="HB4" s="1344"/>
      <c r="HC4" s="1344"/>
      <c r="HD4" s="1344"/>
      <c r="HE4" s="1344"/>
      <c r="HF4" s="1344"/>
      <c r="HG4" s="1344"/>
      <c r="HH4" s="1345"/>
      <c r="HI4" s="1346" t="s">
        <v>0</v>
      </c>
      <c r="HV4" s="847"/>
      <c r="HW4" s="1360" t="str">
        <f>CONCATENATE("Yeield Strength of Rock = ",IF(HW6&gt;1000,(ROUNDDOWN(HW6,-3)/1000),""), IF(HW6&gt;1000,",",""),RIGHT(HW6,3)," psi (Tangential Force)")</f>
        <v>Yeield Strength of Rock = 29,500 psi (Tangential Force)</v>
      </c>
      <c r="HX4" s="1360"/>
      <c r="HY4" s="1360"/>
      <c r="HZ4" s="1360"/>
      <c r="IA4" s="1360"/>
      <c r="IB4" s="1360"/>
      <c r="IC4" s="1360"/>
      <c r="ID4" s="1360"/>
      <c r="IE4" s="1360"/>
      <c r="IF4" s="844"/>
      <c r="IG4" s="1008" t="s">
        <v>372</v>
      </c>
      <c r="IH4" s="1008"/>
      <c r="II4" s="710" cm="1">
        <f t="array" ref="II4">MAX(MOD(IF($II$9:$II$150="",0,($II$9:$II$150*1000)),100))</f>
        <v>45</v>
      </c>
      <c r="IN4" s="31"/>
      <c r="IO4" s="710"/>
    </row>
    <row r="5" spans="1:285" ht="15" customHeight="1" thickBot="1" x14ac:dyDescent="0.3">
      <c r="A5" s="139">
        <v>0.02</v>
      </c>
      <c r="B5" s="1191" t="str">
        <f>CONCATENATE(B7," ; ",E7," ; ",H7)</f>
        <v>Absolute-Point ; Incremental-Vector Point ; Pocket Info.</v>
      </c>
      <c r="C5" s="1192"/>
      <c r="D5" s="1192"/>
      <c r="E5" s="1192"/>
      <c r="F5" s="1192"/>
      <c r="G5" s="1192"/>
      <c r="H5" s="1192"/>
      <c r="I5" s="1192"/>
      <c r="J5" s="1192"/>
      <c r="K5" s="1193"/>
      <c r="L5" s="813" t="str" cm="1">
        <f t="array" ref="L5">IF(OR(IF(LEFT($K$9:$K$150,4)="&lt;&gt;CS",TRUE,FALSE)),"Wrong CS","")</f>
        <v/>
      </c>
      <c r="M5" s="1200"/>
      <c r="N5" s="1228" t="s">
        <v>5</v>
      </c>
      <c r="O5" s="1098"/>
      <c r="P5" s="1098"/>
      <c r="Q5" s="1097" t="s">
        <v>6</v>
      </c>
      <c r="R5" s="1098"/>
      <c r="S5" s="1099"/>
      <c r="T5" s="1139" t="str">
        <f>CONCATENATE("Relative to ",M8,"'s θ about Z Axis")</f>
        <v>Relative to 1.111's θ about Z Axis</v>
      </c>
      <c r="U5" s="1140"/>
      <c r="V5" s="1171"/>
      <c r="W5" s="1140" t="str">
        <f>CONCATENATE("Relative to ",M8,"'s θ about Z Axis")</f>
        <v>Relative to 1.111's θ about Z Axis</v>
      </c>
      <c r="X5" s="1140"/>
      <c r="Y5" s="1220"/>
      <c r="Z5" s="1210" t="str">
        <f>N5</f>
        <v>Relative to World_CS</v>
      </c>
      <c r="AA5" s="1140"/>
      <c r="AB5" s="1140"/>
      <c r="AC5" s="1140"/>
      <c r="AD5" s="1140"/>
      <c r="AE5" s="1140"/>
      <c r="AF5" s="1140"/>
      <c r="AG5" s="1139" t="str">
        <f>N5</f>
        <v>Relative to World_CS</v>
      </c>
      <c r="AH5" s="1140"/>
      <c r="AI5" s="1140"/>
      <c r="AJ5" s="1141"/>
      <c r="AK5" s="1180" t="s">
        <v>7</v>
      </c>
      <c r="AL5" s="1098"/>
      <c r="AM5" s="1098"/>
      <c r="AN5" s="1098"/>
      <c r="AO5" s="1098"/>
      <c r="AP5" s="1098"/>
      <c r="AQ5" s="1099"/>
      <c r="AS5" s="167">
        <f>(((AS4*12)/60)/AS3)</f>
        <v>0.25</v>
      </c>
      <c r="AT5" s="413" t="s">
        <v>47</v>
      </c>
      <c r="AV5" s="1150"/>
      <c r="AW5" s="1245"/>
      <c r="AX5" s="1246"/>
      <c r="AY5" s="1247"/>
      <c r="AZ5" s="1231"/>
      <c r="BA5" s="983"/>
      <c r="BB5" s="1235"/>
      <c r="BC5" s="1240" t="str">
        <f>$W$5</f>
        <v>Relative to 1.111's θ about Z Axis</v>
      </c>
      <c r="BD5" s="1140"/>
      <c r="BE5" s="1141"/>
      <c r="BF5" s="1082" t="s">
        <v>128</v>
      </c>
      <c r="BG5" s="1002"/>
      <c r="BH5" s="1002"/>
      <c r="BI5" s="1002"/>
      <c r="BJ5" s="1002"/>
      <c r="BK5" s="1002"/>
      <c r="BL5" s="1002"/>
      <c r="BM5" s="1002"/>
      <c r="BN5" s="1002"/>
      <c r="BO5" s="1002"/>
      <c r="BP5" s="1002"/>
      <c r="BQ5" s="1002"/>
      <c r="BR5" s="1024"/>
      <c r="BS5" s="1082" t="s">
        <v>130</v>
      </c>
      <c r="BT5" s="1002"/>
      <c r="BU5" s="1002"/>
      <c r="BV5" s="1002"/>
      <c r="BW5" s="1002"/>
      <c r="BX5" s="1002"/>
      <c r="BY5" s="1002"/>
      <c r="BZ5" s="1002"/>
      <c r="CA5" s="1002"/>
      <c r="CB5" s="1002"/>
      <c r="CC5" s="1002"/>
      <c r="CD5" s="1002"/>
      <c r="CE5" s="1024"/>
      <c r="CF5" s="1082" t="s">
        <v>138</v>
      </c>
      <c r="CG5" s="1002"/>
      <c r="CH5" s="1024"/>
      <c r="CI5" s="1082" t="s">
        <v>139</v>
      </c>
      <c r="CJ5" s="1002"/>
      <c r="CK5" s="1002"/>
      <c r="CL5" s="1002"/>
      <c r="CM5" s="1002"/>
      <c r="CN5" s="1024"/>
      <c r="CO5" s="1114" t="s">
        <v>266</v>
      </c>
      <c r="CP5" s="1114" t="s">
        <v>149</v>
      </c>
      <c r="CQ5" s="1244"/>
      <c r="CR5" s="1244"/>
      <c r="CS5" s="1083"/>
      <c r="CT5" s="1244" t="s">
        <v>150</v>
      </c>
      <c r="CU5" s="993"/>
      <c r="CV5" s="1082" t="s">
        <v>161</v>
      </c>
      <c r="CW5" s="1002"/>
      <c r="CX5" s="1002"/>
      <c r="CY5" s="1002"/>
      <c r="CZ5" s="1002"/>
      <c r="DA5" s="1024"/>
      <c r="DB5" s="1082" t="s">
        <v>162</v>
      </c>
      <c r="DC5" s="1002"/>
      <c r="DD5" s="1002"/>
      <c r="DE5" s="1002"/>
      <c r="DF5" s="1002"/>
      <c r="DG5" s="1002"/>
      <c r="DH5" s="1024"/>
      <c r="DI5" s="1124" t="s">
        <v>172</v>
      </c>
      <c r="DJ5" s="1124"/>
      <c r="DK5" s="1125"/>
      <c r="DL5" s="1365" t="s">
        <v>173</v>
      </c>
      <c r="DM5" s="1124"/>
      <c r="DN5" s="1366"/>
      <c r="DO5" s="1128" t="s">
        <v>174</v>
      </c>
      <c r="DP5" s="1129"/>
      <c r="DQ5" s="1129"/>
      <c r="DR5" s="1111" t="s">
        <v>186</v>
      </c>
      <c r="DS5" s="1111"/>
      <c r="DT5" s="1111"/>
      <c r="DU5" s="1111"/>
      <c r="DV5" s="1111"/>
      <c r="DW5" s="1111"/>
      <c r="DX5" s="1114" t="s">
        <v>189</v>
      </c>
      <c r="DY5" s="1044" t="s">
        <v>149</v>
      </c>
      <c r="DZ5" s="1111"/>
      <c r="EA5" s="1111"/>
      <c r="EB5" s="1111"/>
      <c r="EC5" s="1111" t="s">
        <v>150</v>
      </c>
      <c r="ED5" s="1111"/>
      <c r="EE5" s="1305" t="s">
        <v>193</v>
      </c>
      <c r="EF5" s="1305"/>
      <c r="EG5" s="1288"/>
      <c r="EH5" s="1369" t="s">
        <v>194</v>
      </c>
      <c r="EI5" s="1370"/>
      <c r="EJ5" s="1371"/>
      <c r="EK5" s="1111" t="s">
        <v>187</v>
      </c>
      <c r="EL5" s="1114"/>
      <c r="EM5" s="1082" t="s">
        <v>188</v>
      </c>
      <c r="EN5" s="1002"/>
      <c r="EO5" s="1002"/>
      <c r="EP5" s="1002"/>
      <c r="EQ5" s="1002"/>
      <c r="ER5" s="1113"/>
      <c r="ES5" s="1243" t="s">
        <v>201</v>
      </c>
      <c r="ET5" s="1244"/>
      <c r="EU5" s="1083"/>
      <c r="EV5" s="1269" t="s">
        <v>221</v>
      </c>
      <c r="EW5" s="1270"/>
      <c r="EX5" s="1270"/>
      <c r="EY5" s="1271"/>
      <c r="EZ5" s="1315" t="s">
        <v>199</v>
      </c>
      <c r="FA5" s="1078" t="s">
        <v>201</v>
      </c>
      <c r="FB5" s="1283"/>
      <c r="FC5" s="1079"/>
      <c r="FD5" s="1287" t="s">
        <v>221</v>
      </c>
      <c r="FE5" s="1251"/>
      <c r="FF5" s="1252"/>
      <c r="FJ5" s="31" t="s">
        <v>390</v>
      </c>
      <c r="FP5" s="1334"/>
      <c r="FQ5" s="31"/>
      <c r="FR5" s="31"/>
      <c r="FS5" s="31"/>
      <c r="FT5" s="31"/>
      <c r="FZ5" s="1334"/>
      <c r="GJ5" s="1327" t="s">
        <v>262</v>
      </c>
      <c r="GK5" s="1375" t="s">
        <v>260</v>
      </c>
      <c r="GL5" s="1377" t="s">
        <v>110</v>
      </c>
      <c r="GM5" s="1377" t="s">
        <v>111</v>
      </c>
      <c r="GN5" s="1378"/>
      <c r="GO5" s="1297"/>
      <c r="GP5" s="1301"/>
      <c r="GQ5" s="31"/>
      <c r="GR5" s="1134"/>
      <c r="GS5" s="1231" t="s">
        <v>244</v>
      </c>
      <c r="GT5" s="1311"/>
      <c r="GU5" s="1307" t="s">
        <v>245</v>
      </c>
      <c r="GV5" s="1308"/>
      <c r="GW5" s="1309"/>
      <c r="GX5" s="1310"/>
      <c r="GY5" s="1295" t="s">
        <v>107</v>
      </c>
      <c r="GZ5" s="985"/>
      <c r="HA5" s="1340" t="s">
        <v>244</v>
      </c>
      <c r="HB5" s="1341"/>
      <c r="HC5" s="1341"/>
      <c r="HD5" s="1342"/>
      <c r="HE5" s="1349" t="s">
        <v>245</v>
      </c>
      <c r="HF5" s="1341"/>
      <c r="HG5" s="1341"/>
      <c r="HH5" s="1350"/>
      <c r="HI5" s="1347"/>
      <c r="HM5" s="895"/>
      <c r="HS5" s="895"/>
      <c r="HT5" s="895"/>
      <c r="HU5" s="895"/>
      <c r="HV5" s="896"/>
      <c r="HW5" s="1329" t="s">
        <v>245</v>
      </c>
      <c r="HX5" s="1330"/>
      <c r="HY5" s="1339" t="s">
        <v>388</v>
      </c>
      <c r="HZ5" s="1329"/>
      <c r="IA5" s="1329"/>
      <c r="IB5" s="1330"/>
      <c r="IC5" s="1339" t="s">
        <v>254</v>
      </c>
      <c r="ID5" s="1329"/>
      <c r="IE5" s="1330"/>
      <c r="IF5" s="844"/>
    </row>
    <row r="6" spans="1:285" ht="15" customHeight="1" thickBot="1" x14ac:dyDescent="0.4">
      <c r="B6" s="1194"/>
      <c r="C6" s="1195"/>
      <c r="D6" s="1195"/>
      <c r="E6" s="1195"/>
      <c r="F6" s="1195"/>
      <c r="G6" s="1195"/>
      <c r="H6" s="1195"/>
      <c r="I6" s="1195"/>
      <c r="J6" s="1195"/>
      <c r="K6" s="1196"/>
      <c r="L6" s="1134" t="str" cm="1">
        <f t="array" ref="L6">IF(OR($K$9:$K$150="Inactive"),"Inactive Element","")</f>
        <v/>
      </c>
      <c r="M6" s="1200"/>
      <c r="N6" s="1224" t="s">
        <v>8</v>
      </c>
      <c r="O6" s="1226" t="s">
        <v>9</v>
      </c>
      <c r="P6" s="1095" t="s">
        <v>10</v>
      </c>
      <c r="Q6" s="1135" t="s">
        <v>11</v>
      </c>
      <c r="R6" s="1136"/>
      <c r="S6" s="1221" t="s">
        <v>10</v>
      </c>
      <c r="T6" s="1167" t="str">
        <f>N6</f>
        <v>X</v>
      </c>
      <c r="U6" s="1169" t="str">
        <f>O6</f>
        <v>Y</v>
      </c>
      <c r="V6" s="1216" t="str">
        <f>P6</f>
        <v>Z</v>
      </c>
      <c r="W6" s="1207" t="str">
        <f>$Q$6</f>
        <v>Projected XY</v>
      </c>
      <c r="X6" s="1208"/>
      <c r="Y6" s="1165" t="str">
        <f>$S$6</f>
        <v>Z</v>
      </c>
      <c r="Z6" s="1146" t="s">
        <v>12</v>
      </c>
      <c r="AA6" s="1147"/>
      <c r="AB6" s="1147"/>
      <c r="AC6" s="1148"/>
      <c r="AD6" s="1144" t="s">
        <v>13</v>
      </c>
      <c r="AE6" s="1143"/>
      <c r="AF6" s="1143"/>
      <c r="AG6" s="1142" t="s">
        <v>7</v>
      </c>
      <c r="AH6" s="1143"/>
      <c r="AI6" s="1144" t="s">
        <v>14</v>
      </c>
      <c r="AJ6" s="1145"/>
      <c r="AK6" s="1172" t="str">
        <f>AD6</f>
        <v>Unit Vector</v>
      </c>
      <c r="AL6" s="1173"/>
      <c r="AM6" s="1174"/>
      <c r="AN6" s="34" t="s">
        <v>15</v>
      </c>
      <c r="AO6" s="35" t="s">
        <v>16</v>
      </c>
      <c r="AP6" s="680" t="s">
        <v>17</v>
      </c>
      <c r="AQ6" s="1157" t="s">
        <v>108</v>
      </c>
      <c r="AS6" s="168">
        <f>(AS5/360)</f>
        <v>6.9444444444444447E-4</v>
      </c>
      <c r="AT6" s="414" t="s">
        <v>48</v>
      </c>
      <c r="AV6" s="1150"/>
      <c r="AW6" s="1137" t="s">
        <v>105</v>
      </c>
      <c r="AX6" s="1138"/>
      <c r="AY6" s="188" t="s">
        <v>110</v>
      </c>
      <c r="AZ6" s="1241" t="s">
        <v>111</v>
      </c>
      <c r="BA6" s="1242"/>
      <c r="BB6" s="1236"/>
      <c r="BC6" s="1207" t="str">
        <f>$Q$6</f>
        <v>Projected XY</v>
      </c>
      <c r="BD6" s="1208"/>
      <c r="BE6" s="1238" t="str">
        <f>$S$6</f>
        <v>Z</v>
      </c>
      <c r="BF6" s="1028" t="s">
        <v>125</v>
      </c>
      <c r="BG6" s="1026"/>
      <c r="BH6" s="1094"/>
      <c r="BI6" s="1006" t="s">
        <v>126</v>
      </c>
      <c r="BJ6" s="1026"/>
      <c r="BK6" s="1007"/>
      <c r="BL6" s="1029" t="s">
        <v>127</v>
      </c>
      <c r="BM6" s="1026"/>
      <c r="BN6" s="1030"/>
      <c r="BO6" s="1028" t="s">
        <v>135</v>
      </c>
      <c r="BP6" s="1026"/>
      <c r="BQ6" s="1026"/>
      <c r="BR6" s="1030"/>
      <c r="BS6" s="1028" t="s">
        <v>125</v>
      </c>
      <c r="BT6" s="1026"/>
      <c r="BU6" s="1094"/>
      <c r="BV6" s="1006" t="s">
        <v>126</v>
      </c>
      <c r="BW6" s="1026"/>
      <c r="BX6" s="1007"/>
      <c r="BY6" s="1029" t="s">
        <v>127</v>
      </c>
      <c r="BZ6" s="1026"/>
      <c r="CA6" s="1030"/>
      <c r="CB6" s="1028" t="s">
        <v>135</v>
      </c>
      <c r="CC6" s="1026"/>
      <c r="CD6" s="1026"/>
      <c r="CE6" s="1030"/>
      <c r="CF6" s="1034" t="s">
        <v>136</v>
      </c>
      <c r="CG6" s="1117"/>
      <c r="CH6" s="1117"/>
      <c r="CI6" s="1119" t="s">
        <v>137</v>
      </c>
      <c r="CJ6" s="1117"/>
      <c r="CK6" s="1035"/>
      <c r="CL6" s="1116" t="s">
        <v>140</v>
      </c>
      <c r="CM6" s="1117"/>
      <c r="CN6" s="1118"/>
      <c r="CO6" s="1115"/>
      <c r="CP6" s="1115"/>
      <c r="CQ6" s="1108"/>
      <c r="CR6" s="1108"/>
      <c r="CS6" s="1272"/>
      <c r="CT6" s="1108"/>
      <c r="CU6" s="1293"/>
      <c r="CV6" s="1223" t="s">
        <v>147</v>
      </c>
      <c r="CW6" s="1026"/>
      <c r="CX6" s="1007"/>
      <c r="CY6" s="1257" t="s">
        <v>148</v>
      </c>
      <c r="CZ6" s="1258"/>
      <c r="DA6" s="1259"/>
      <c r="DB6" s="1120" t="s">
        <v>175</v>
      </c>
      <c r="DC6" s="1121"/>
      <c r="DD6" s="1122"/>
      <c r="DE6" s="1123" t="s">
        <v>176</v>
      </c>
      <c r="DF6" s="1121"/>
      <c r="DG6" s="1122"/>
      <c r="DH6" s="242" t="s">
        <v>29</v>
      </c>
      <c r="DI6" s="1126"/>
      <c r="DJ6" s="1126"/>
      <c r="DK6" s="1127"/>
      <c r="DL6" s="1367"/>
      <c r="DM6" s="1126"/>
      <c r="DN6" s="1368"/>
      <c r="DO6" s="1130"/>
      <c r="DP6" s="1131"/>
      <c r="DQ6" s="1131"/>
      <c r="DR6" s="1112"/>
      <c r="DS6" s="1112"/>
      <c r="DT6" s="1112"/>
      <c r="DU6" s="1112"/>
      <c r="DV6" s="1112"/>
      <c r="DW6" s="1112"/>
      <c r="DX6" s="1115"/>
      <c r="DY6" s="1335"/>
      <c r="DZ6" s="1112"/>
      <c r="EA6" s="1112"/>
      <c r="EB6" s="1112"/>
      <c r="EC6" s="1112"/>
      <c r="ED6" s="1112"/>
      <c r="EE6" s="1331"/>
      <c r="EF6" s="1331"/>
      <c r="EG6" s="1332"/>
      <c r="EH6" s="1372"/>
      <c r="EI6" s="1373"/>
      <c r="EJ6" s="1374"/>
      <c r="EK6" s="1112"/>
      <c r="EL6" s="1115"/>
      <c r="EM6" s="1277" t="s">
        <v>198</v>
      </c>
      <c r="EN6" s="1263"/>
      <c r="EO6" s="1364"/>
      <c r="EP6" s="1262" t="s">
        <v>197</v>
      </c>
      <c r="EQ6" s="1263"/>
      <c r="ER6" s="1264"/>
      <c r="ES6" s="1107"/>
      <c r="ET6" s="1108"/>
      <c r="EU6" s="1272"/>
      <c r="EV6" s="263" t="s">
        <v>220</v>
      </c>
      <c r="EW6" s="1262" t="s">
        <v>201</v>
      </c>
      <c r="EX6" s="1263"/>
      <c r="EY6" s="1276"/>
      <c r="EZ6" s="1316"/>
      <c r="FA6" s="1284"/>
      <c r="FB6" s="1285"/>
      <c r="FC6" s="1286"/>
      <c r="FD6" s="1277" t="s">
        <v>201</v>
      </c>
      <c r="FE6" s="1263"/>
      <c r="FF6" s="1264"/>
      <c r="FG6" s="1280" t="s">
        <v>223</v>
      </c>
      <c r="FH6" s="1281"/>
      <c r="FI6" s="1282"/>
      <c r="FJ6" s="1278" t="s">
        <v>202</v>
      </c>
      <c r="FK6" s="1114" t="s">
        <v>213</v>
      </c>
      <c r="FL6" s="1244"/>
      <c r="FM6" s="1083"/>
      <c r="FN6" s="1260" t="s">
        <v>203</v>
      </c>
      <c r="FO6" s="1318" t="s">
        <v>226</v>
      </c>
      <c r="FP6" s="1255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80" t="s">
        <v>217</v>
      </c>
      <c r="FV6" s="1283"/>
      <c r="FW6" s="1081"/>
      <c r="FX6" s="1260" t="s">
        <v>218</v>
      </c>
      <c r="FY6" s="1318" t="s">
        <v>226</v>
      </c>
      <c r="FZ6" s="1255" t="s">
        <v>224</v>
      </c>
      <c r="GA6" s="1387" t="s">
        <v>237</v>
      </c>
      <c r="GB6" s="318" t="s">
        <v>206</v>
      </c>
      <c r="GC6" s="319" t="s">
        <v>238</v>
      </c>
      <c r="GD6" s="320" t="s">
        <v>225</v>
      </c>
      <c r="GE6" s="1325"/>
      <c r="GF6" s="1288" t="s">
        <v>256</v>
      </c>
      <c r="GG6" s="318" t="s">
        <v>206</v>
      </c>
      <c r="GH6" s="319" t="s">
        <v>238</v>
      </c>
      <c r="GI6" s="320" t="s">
        <v>225</v>
      </c>
      <c r="GJ6" s="1328"/>
      <c r="GK6" s="1376"/>
      <c r="GL6" s="1379"/>
      <c r="GM6" s="1379"/>
      <c r="GN6" s="1380"/>
      <c r="GO6" s="1298" t="s">
        <v>236</v>
      </c>
      <c r="GP6" s="1302" t="s">
        <v>224</v>
      </c>
      <c r="GQ6" s="1244" t="s">
        <v>202</v>
      </c>
      <c r="GR6" s="1134"/>
      <c r="GS6" s="1313" t="s">
        <v>248</v>
      </c>
      <c r="GT6" s="1314"/>
      <c r="GU6" s="1312" t="s">
        <v>247</v>
      </c>
      <c r="GV6" s="1258"/>
      <c r="GW6" s="1258"/>
      <c r="GX6" s="340" t="s">
        <v>106</v>
      </c>
      <c r="GY6" s="1006" t="s">
        <v>246</v>
      </c>
      <c r="GZ6" s="1094"/>
      <c r="HA6" s="1265" t="s">
        <v>248</v>
      </c>
      <c r="HB6" s="1121"/>
      <c r="HC6" s="1121"/>
      <c r="HD6" s="1122"/>
      <c r="HE6" s="1006" t="s">
        <v>247</v>
      </c>
      <c r="HF6" s="1026"/>
      <c r="HG6" s="1026"/>
      <c r="HH6" s="1030"/>
      <c r="HI6" s="1347"/>
      <c r="HM6" s="901" t="s">
        <v>392</v>
      </c>
      <c r="HN6" s="1253" t="s">
        <v>393</v>
      </c>
      <c r="HO6" s="1253"/>
      <c r="HP6" s="1253"/>
      <c r="HQ6" s="1253"/>
      <c r="HR6" s="1254"/>
      <c r="HS6" s="1245" t="s">
        <v>105</v>
      </c>
      <c r="HT6" s="1246"/>
      <c r="HU6" s="1246"/>
      <c r="HV6" s="1361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#NUM!</v>
      </c>
      <c r="HZ6" s="880">
        <f t="shared" si="0"/>
        <v>16073.63874563647</v>
      </c>
      <c r="IA6" s="881" t="e">
        <f t="shared" si="0"/>
        <v>#NUM!</v>
      </c>
      <c r="IB6" s="882" t="e">
        <f t="shared" si="0"/>
        <v>#NUM!</v>
      </c>
      <c r="IC6" s="889" t="e">
        <f t="shared" si="0"/>
        <v>#NUM!</v>
      </c>
      <c r="ID6" s="890">
        <f t="shared" si="0"/>
        <v>13289.749999999998</v>
      </c>
      <c r="IE6" s="890" t="e">
        <f t="shared" si="0"/>
        <v>#NUM!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1" t="s">
        <v>40</v>
      </c>
      <c r="C7" s="1212"/>
      <c r="D7" s="1213"/>
      <c r="E7" s="1214" t="s">
        <v>41</v>
      </c>
      <c r="F7" s="1212"/>
      <c r="G7" s="1215"/>
      <c r="H7" s="1186" t="s">
        <v>98</v>
      </c>
      <c r="I7" s="1187"/>
      <c r="J7" s="1188"/>
      <c r="K7" s="169"/>
      <c r="L7" s="1134"/>
      <c r="M7" s="1206"/>
      <c r="N7" s="1225"/>
      <c r="O7" s="1227"/>
      <c r="P7" s="1096"/>
      <c r="Q7" s="36" t="s">
        <v>18</v>
      </c>
      <c r="R7" s="2" t="s">
        <v>19</v>
      </c>
      <c r="S7" s="1222"/>
      <c r="T7" s="1168"/>
      <c r="U7" s="1170"/>
      <c r="V7" s="1217"/>
      <c r="W7" s="37" t="str">
        <f>$Q$7</f>
        <v>&lt; θ°</v>
      </c>
      <c r="X7" s="27" t="str">
        <f>$R$7</f>
        <v>r</v>
      </c>
      <c r="Y7" s="116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58"/>
      <c r="AS7" s="1163" t="s">
        <v>54</v>
      </c>
      <c r="AT7" s="1161" t="s">
        <v>53</v>
      </c>
      <c r="AV7" s="1150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36"/>
      <c r="BC7" s="37" t="str">
        <f>$Q$7</f>
        <v>&lt; θ°</v>
      </c>
      <c r="BD7" s="27" t="str">
        <f>$R$7</f>
        <v>r</v>
      </c>
      <c r="BE7" s="1239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1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79"/>
      <c r="FK7" s="358" t="s">
        <v>210</v>
      </c>
      <c r="FL7" s="361" t="s">
        <v>211</v>
      </c>
      <c r="FM7" s="893" t="s">
        <v>212</v>
      </c>
      <c r="FN7" s="1261"/>
      <c r="FO7" s="1319"/>
      <c r="FP7" s="1256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61"/>
      <c r="FY7" s="1319"/>
      <c r="FZ7" s="1256"/>
      <c r="GA7" s="1388"/>
      <c r="GB7" s="212" t="s">
        <v>231</v>
      </c>
      <c r="GC7" s="127" t="s">
        <v>232</v>
      </c>
      <c r="GD7" s="213" t="s">
        <v>233</v>
      </c>
      <c r="GE7" s="1326"/>
      <c r="GF7" s="1289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99"/>
      <c r="GP7" s="1303"/>
      <c r="GQ7" s="1304"/>
      <c r="GR7" s="130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34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132" t="s">
        <v>394</v>
      </c>
      <c r="HP7" s="1133"/>
      <c r="HQ7" s="1251" t="s">
        <v>390</v>
      </c>
      <c r="HR7" s="1252"/>
      <c r="HS7" s="883" t="s">
        <v>29</v>
      </c>
      <c r="HT7" s="884" t="s">
        <v>110</v>
      </c>
      <c r="HU7" s="1362" t="s">
        <v>391</v>
      </c>
      <c r="HV7" s="1363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32" t="s">
        <v>33</v>
      </c>
      <c r="IJ7" s="1336" t="s">
        <v>376</v>
      </c>
      <c r="IK7" s="1028" t="s">
        <v>324</v>
      </c>
      <c r="IL7" s="1029"/>
      <c r="IM7" s="1029"/>
      <c r="IN7" s="1026"/>
      <c r="IO7" s="1026"/>
      <c r="IP7" s="1026"/>
      <c r="IQ7" s="1007"/>
      <c r="IR7" s="1006" t="s">
        <v>320</v>
      </c>
      <c r="IS7" s="1026"/>
      <c r="IT7" s="1026"/>
      <c r="IU7" s="1026"/>
      <c r="IV7" s="1026"/>
      <c r="IW7" s="1006" t="s">
        <v>319</v>
      </c>
      <c r="IX7" s="1026"/>
      <c r="IY7" s="1026"/>
      <c r="IZ7" s="1026"/>
      <c r="JA7" s="1007"/>
      <c r="JC7" s="725"/>
      <c r="JD7" s="1100" t="s">
        <v>355</v>
      </c>
      <c r="JE7" s="1100"/>
      <c r="JF7" s="1100"/>
      <c r="JG7" s="1101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4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89.900000014438206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-0.17330052267437634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64"/>
      <c r="AT8" s="116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338"/>
      <c r="IJ8" s="1337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-8.5370249802008226E-18</v>
      </c>
      <c r="C9" s="641">
        <f t="shared" ref="C9:C40" si="3">IFERROR(R164+($A9*-F9),"")</f>
        <v>0.34210103177671186</v>
      </c>
      <c r="D9" s="642">
        <f t="shared" ref="D9:D40" si="4">IFERROR(S164+($A9*-G9),"")</f>
        <v>-0.65130196432672438</v>
      </c>
      <c r="E9" s="643">
        <f t="shared" ref="E9:E40" si="5">T164</f>
        <v>-0.9271838753345083</v>
      </c>
      <c r="F9" s="641">
        <f t="shared" ref="F9:F40" si="6">U164</f>
        <v>-5.8601365609243353E-2</v>
      </c>
      <c r="G9" s="644">
        <f t="shared" ref="G9:G40" si="7">V164</f>
        <v>0.36999451518693494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-8.5370249802008226E-18</v>
      </c>
      <c r="O9" s="567">
        <f t="shared" ref="O9:O40" si="14">IF(M9="","",C9)</f>
        <v>0.34210103177671186</v>
      </c>
      <c r="P9" s="568">
        <f t="shared" ref="P9:P40" si="15">IF(M9="","",D9)</f>
        <v>-0.65130196432672438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0.34210103177671186</v>
      </c>
      <c r="S9" s="569">
        <f>IF(M9="","",P9)</f>
        <v>-0.65130196432672438</v>
      </c>
      <c r="T9" s="570">
        <f>IF(M9="","",X9*COS(RADIANS(W9)))</f>
        <v>0.34210051072732656</v>
      </c>
      <c r="U9" s="567">
        <f>IF(M9="","",X9*SIN(RADIANS(W9)))</f>
        <v>5.9707854855562033E-4</v>
      </c>
      <c r="V9" s="571">
        <f>IF(M9="","",Y9)</f>
        <v>-0.65130196432672438</v>
      </c>
      <c r="W9" s="526">
        <f t="shared" ref="W9:W13" si="16">IF(M9="","",IF(Q9-$Q$8&lt;0,360+Q9-$Q$8,Q9-$Q$8))</f>
        <v>9.9999985561794347E-2</v>
      </c>
      <c r="X9" s="572">
        <f>IF(M9="","",R9)</f>
        <v>0.34210103177671186</v>
      </c>
      <c r="Y9" s="573">
        <f t="shared" ref="Y9:Y15" si="17">IF(M9="","",S9)</f>
        <v>-0.65130196432672438</v>
      </c>
      <c r="Z9" s="566">
        <f t="shared" ref="Z9:Z40" si="18">IF(M9="","",-E9)</f>
        <v>0.9271838753345083</v>
      </c>
      <c r="AA9" s="567">
        <f t="shared" ref="AA9:AA40" si="19">IF(M9="","",-F9)</f>
        <v>5.8601365609243353E-2</v>
      </c>
      <c r="AB9" s="567">
        <f t="shared" ref="AB9:AB40" si="20">IF(M9="","",-G9)</f>
        <v>-0.36999451518693494</v>
      </c>
      <c r="AC9" s="571">
        <f>IF(M9="","",SQRT(Z9^2+AA9^2+AB9^2))</f>
        <v>1</v>
      </c>
      <c r="AD9" s="574">
        <f>IF(M9="","",Z9*(1/SQRT(Z9^2+AA9^2+AB9^2)))</f>
        <v>0.9271838753345083</v>
      </c>
      <c r="AE9" s="567">
        <f>IF(M9="","",AA9*(1/SQRT(Z9^2+AA9^2+AB9^2)))</f>
        <v>5.8601365609243353E-2</v>
      </c>
      <c r="AF9" s="568">
        <f>IF(M9="","",AB9*(1/SQRT(Z9^2+AA9^2+AB9^2)))</f>
        <v>-0.36999451518693494</v>
      </c>
      <c r="AG9" s="542">
        <f>IF(M9="","",DEGREES(ATAN2(-AF9,AE9)))</f>
        <v>8.9999987005609601</v>
      </c>
      <c r="AH9" s="543">
        <f>IF(M9="","",DEGREES(ACOS(AD9)))</f>
        <v>21.999996823593442</v>
      </c>
      <c r="AI9" s="526">
        <f>IF(M9="","",DEGREES(-ACOS(-AF9)))</f>
        <v>-68.284720978877004</v>
      </c>
      <c r="AJ9" s="544">
        <f>IF(M9="","",DEGREES(ATAN2(-AE9,AD9)))</f>
        <v>93.616489478973648</v>
      </c>
      <c r="AK9" s="570">
        <f>IF(M9="","",(COS(RADIANS((90-$Q$8)-W9))*AD9)+(-SIN(RADIANS((90-$Q$8)-W9))*AE9))</f>
        <v>0.9271838753345083</v>
      </c>
      <c r="AL9" s="567">
        <f>IF(M9="","",(SIN(RADIANS((90-$Q$8)-W9))*AD9)+(COS(RADIANS((90-$Q$8)-W9))*AE9))</f>
        <v>5.8601365609243353E-2</v>
      </c>
      <c r="AM9" s="569">
        <f>IF(M9="","",AF9)</f>
        <v>-0.36999451518693494</v>
      </c>
      <c r="AN9" s="524">
        <f>IF(M9="","",DEGREES(ATAN2(-AM9,AL9)))</f>
        <v>8.9999987005609601</v>
      </c>
      <c r="AO9" s="525">
        <f>IF(ROUND(IF(M9="",0,DEGREES(ACOS(AK9))),4)=90,0,IF(M9="","",DEGREES(ACOS(AK9))))</f>
        <v>21.999996823593442</v>
      </c>
      <c r="AP9" s="722">
        <f>IF(M9="","",DEGREES(ATAN2(AK9,AL9)))</f>
        <v>3.6164894789736506</v>
      </c>
      <c r="AQ9" s="527">
        <f t="shared" ref="AQ9:AQ40" si="21">IF(M9="","",DEGREES(ATAN(($AS$5*SIN(RADIANS(90)))/(($X9*2*PI())-($AS$5*COS(RADIANS(90)))))))</f>
        <v>6.6340920703799329</v>
      </c>
      <c r="AS9" s="931">
        <f>IF(M9="","",W9)</f>
        <v>9.9999985561794347E-2</v>
      </c>
      <c r="AT9" s="927">
        <f t="shared" ref="AT9:AT40" si="22">IF(M9="","",Y9+(((AS9-$AS$9)*$AS$6)*-1))</f>
        <v>-0.65130196432672438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1.5188375774947572E-2</v>
      </c>
      <c r="BB9" s="290">
        <f>IF(ISNUMBER($AV9),$AX9-($AT9+$AS$5),"")</f>
        <v>0.19630196432672439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-8.5370249802008226E-18</v>
      </c>
      <c r="BG9" s="5">
        <f t="shared" ref="BG9:BG40" si="27">IF(ISNUMBER($AV9),O9,"")</f>
        <v>0.34210103177671186</v>
      </c>
      <c r="BH9" s="10">
        <f t="shared" ref="BH9:BH40" si="28">IF(ISNUMBER($AV9),P9,"")</f>
        <v>-0.65130196432672438</v>
      </c>
      <c r="BI9" s="9">
        <f>IF(ISNUMBER($AV9),BF9+0,"")</f>
        <v>-8.5370249802008226E-18</v>
      </c>
      <c r="BJ9" s="5">
        <f t="shared" ref="BJ9:BJ40" si="29">IF(ISNUMBER($AV9),BG9+COS(RADIANS($AG9)),"")</f>
        <v>1.3297893759197033</v>
      </c>
      <c r="BK9" s="8">
        <f t="shared" ref="BK9:BK40" si="30">IF(ISNUMBER($AV9),BH9+SIN(RADIANS($AG9)),"")</f>
        <v>-0.49486752168676107</v>
      </c>
      <c r="BL9" s="173">
        <f t="shared" ref="BL9:BL40" si="31">IF(ISNUMBER($AV9),BF9+SIN(RADIANS($AH9)),"")</f>
        <v>0.3746065420139949</v>
      </c>
      <c r="BM9" s="5">
        <f t="shared" ref="BM9:BM40" si="32">IF(ISNUMBER($AV9),BG9-SIN(RADIANS($AG9))*COS(RADIANS($AH9)),"")</f>
        <v>0.19705753901399684</v>
      </c>
      <c r="BN9" s="6">
        <f t="shared" ref="BN9:BN40" si="33">IF(ISNUMBER($AV9),BH9+COS(RADIANS($AG9))*COS(RADIANS($AH9)),"")</f>
        <v>0.26446674221849786</v>
      </c>
      <c r="BO9" s="4">
        <f>IF(ISNUMBER($AV9),BJ9*BN9-BM9*BK9-BG9*(BN9-BK9)+BH9*(BM9-BJ9),"")</f>
        <v>0.92718387533450852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5.8601365609243311E-2</v>
      </c>
      <c r="BQ9" s="5">
        <f>IF(ISNUMBER($AV9),BF9*(BJ9-BM9)-BG9*(BI9-BL9)+(BI9*BM9-BL9*BJ9),"")</f>
        <v>-0.3699945151869346</v>
      </c>
      <c r="BR9" s="6">
        <f>IF(ISNUMBER($AV9),-(BF9*(BJ9*BN9-BM9*BK9)-BG9*(BI9*BN9-BL9*BK9)+BH9*(BI9*BM9-BL9*BJ9)),"")</f>
        <v>-0.26102574216981095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-5.8601365609243311E-2</v>
      </c>
      <c r="CG9" s="5">
        <f>IF(ISNUMBER($AV9),(BQ9*CB9)-(BO9*CD9),"")</f>
        <v>0.92718387533450852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1.5815030383035544</v>
      </c>
      <c r="CK9" s="8">
        <f>IF(ISNUMBER($AV9),(CC9*BR9-BP9*CE9)/(-CC9*BQ9+BP9*CD9),"")</f>
        <v>-0.45499999999999996</v>
      </c>
      <c r="CL9" s="173">
        <f>IF(ISNUMBER($AV9),CI9+CF9,"")</f>
        <v>-5.8601365609243311E-2</v>
      </c>
      <c r="CM9" s="5">
        <f>IF(ISNUMBER($AV9),CJ9+CG9,"")</f>
        <v>2.508686913638063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0.86310405873158569</v>
      </c>
      <c r="CQ9" s="20">
        <f>IF(ISNUMBER($AV9),2*((CL9-CI9)*(CI9-BF9)+(CM9-CJ9)*(CJ9-BG9)+(CN9-CK9)*(CK9-BH9)),"")</f>
        <v>2.2983071110178472</v>
      </c>
      <c r="CR9" s="20">
        <f>IF(ISNUMBER($AV9),BF9^2+BG9^2+BH9^2+CI9^2+CJ9^2+CK9^2-2*(BF9*CI9+BG9*CJ9+BH9*CK9)-CO9^2,"")</f>
        <v>1.4769955449812937</v>
      </c>
      <c r="CS9" s="25">
        <f>IF(ISNUMBER($AV9),CQ9^2-(4*CP9*CR9),"")</f>
        <v>0.18301217814790416</v>
      </c>
      <c r="CT9" s="24">
        <f>IF(ISNUMBER($AV9),(-CQ9+SQRT(CS9))/(CP9*2),"")</f>
        <v>-1.0835934935357687</v>
      </c>
      <c r="CU9" s="22">
        <f>IF(ISNUMBER($AV9),(-CQ9-SQRT(CS9))/(CP9*2),"")</f>
        <v>-1.5792454628647263</v>
      </c>
      <c r="CV9" s="23">
        <f t="shared" ref="CV9:CX10" si="36">IF(ISNUMBER($AV9),CI9+($CT9*(CL9-CI9)),"")</f>
        <v>6.3500058486486807E-2</v>
      </c>
      <c r="CW9" s="20">
        <f t="shared" si="36"/>
        <v>0.57681262367980168</v>
      </c>
      <c r="CX9" s="25">
        <f t="shared" si="36"/>
        <v>-0.45499999999999996</v>
      </c>
      <c r="CY9" s="24">
        <f t="shared" ref="CY9:DA10" si="37">IF(ISNUMBER($AV9),CI9+($CU9*(CL9-CI9)),"")</f>
        <v>9.2545940756074502E-2</v>
      </c>
      <c r="CZ9" s="20">
        <f t="shared" si="37"/>
        <v>0.11725210994019775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6.3500058486486807E-2</v>
      </c>
      <c r="DM9" s="173">
        <f t="shared" si="39"/>
        <v>0.57681262367980168</v>
      </c>
      <c r="DN9" s="178">
        <f t="shared" si="39"/>
        <v>9.5449999999999999</v>
      </c>
      <c r="DO9" s="9">
        <f t="shared" ref="DO9:DQ10" si="40">IF(ISNUMBER($AV9),CY9-CV9,"")</f>
        <v>2.9045882269587694E-2</v>
      </c>
      <c r="DP9" s="173">
        <f t="shared" si="40"/>
        <v>-0.45956051373960394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0.21203952906542745</v>
      </c>
      <c r="DV9" s="5">
        <f>IF(ISNUMBER($AV9),SUMPRODUCT(DL9:DN9,DO9:DQ9),"")</f>
        <v>-0.26323589044686801</v>
      </c>
      <c r="DW9" s="5">
        <f>IF(ISNUMBER($AV9),SUMPRODUCT(DL9:DN9,DL9:DN9),"")</f>
        <v>91.443770060264157</v>
      </c>
      <c r="DX9" s="167">
        <f>IF(ISNUMBER($AV9),DW9-DH9*DH9,"")</f>
        <v>91.40332885026416</v>
      </c>
      <c r="DY9" s="9">
        <f>IF(ISNUMBER($AV9),DT9*DU9-DS9*DS9,"")</f>
        <v>84.815811626170984</v>
      </c>
      <c r="DZ9" s="5">
        <f>IF(ISNUMBER($AV9),DT9*DV9-DS9*DR9,"")</f>
        <v>-105.29435617874721</v>
      </c>
      <c r="EA9" s="10">
        <f>IF(ISNUMBER($AV9),DT9*DX9-DR9*DR9,"")</f>
        <v>118.52154010565573</v>
      </c>
      <c r="EB9" s="6">
        <f>IF(ISNUMBER($AV9),DZ9*DZ9-DY9*EA9,"")</f>
        <v>1034.4008238519145</v>
      </c>
      <c r="EC9" s="173">
        <f>IF(ISNUMBER($AV9),(-DZ9+SQRT(DZ9^2-DY9*EA9))/DY9,"")</f>
        <v>1.6206466204292249</v>
      </c>
      <c r="ED9" s="5">
        <f>IF(ISNUMBER($AV9),(-DZ9-SQRT(DZ9^2-DY9*EA9))/DY9,"")</f>
        <v>0.86224788143173015</v>
      </c>
      <c r="EE9" s="4">
        <f t="shared" ref="EE9:EG10" si="41">IF(ISNUMBER($AV9),CV9+DO9*$EC9,"")</f>
        <v>0.11057316942407924</v>
      </c>
      <c r="EF9" s="5">
        <f t="shared" si="41"/>
        <v>-0.16797256979500585</v>
      </c>
      <c r="EG9" s="10">
        <f t="shared" si="41"/>
        <v>-0.45499999999999996</v>
      </c>
      <c r="EH9" s="9">
        <f t="shared" ref="EH9:EJ10" si="42">IF(ISNUMBER($AV9),CV9+DO9*$ED9,"")</f>
        <v>8.8544808937754252E-2</v>
      </c>
      <c r="EI9" s="5">
        <f t="shared" si="42"/>
        <v>0.18055754431815069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8.8544808937754252E-2</v>
      </c>
      <c r="EN9" s="5">
        <f t="shared" si="43"/>
        <v>0.18055754431815069</v>
      </c>
      <c r="EO9" s="10">
        <f t="shared" si="43"/>
        <v>-0.45499999999999996</v>
      </c>
      <c r="EP9" s="9">
        <f>IF(ISNUMBER($AV9),IF(DEGREES(ATAN2(EM9,EN9))&lt;0,DEGREES(ATAN2(EM9,EN9))+360,IF(DEGREES(ATAN2(EM9,EN9))&gt;360,DEGREES(ATAN2(EM9,EN9))-360,DEGREES(ATAN2(EM9,EN9)))),"")</f>
        <v>63.876824139185139</v>
      </c>
      <c r="EQ9" s="5">
        <f>IF(ISNUMBER($AV9),SQRT(EM9^2+EN9^2),"")</f>
        <v>0.20110000000006056</v>
      </c>
      <c r="ER9" s="7">
        <f>IF(ISNUMBER($AV9),EO9,"")</f>
        <v>-0.45499999999999996</v>
      </c>
      <c r="ES9" s="274">
        <f>IF(ISNUMBER($AV9),AD9,"")</f>
        <v>0.9271838753345083</v>
      </c>
      <c r="ET9" s="267">
        <f t="shared" ref="ET9:ET40" si="44">IF(ISNUMBER($AV9),AE9,"")</f>
        <v>5.8601365609243353E-2</v>
      </c>
      <c r="EU9" s="273">
        <f t="shared" ref="EU9:EU40" si="45">IF(ISNUMBER($AV9),AF9,"")</f>
        <v>-0.36999451518693494</v>
      </c>
      <c r="EV9" s="174">
        <f t="shared" ref="EV9:EV14" si="46">IF(ISNUMBER($AV9),IF(($EV$1-EP9)&lt;0,(360+($EV$1-EP9)),($EV$1-EP9)),"")</f>
        <v>26.123175860814861</v>
      </c>
      <c r="EW9" s="9">
        <f>IF(ISNUMBER($AV9),(COS(RADIANS($EV9))*ES9)+(-SIN(RADIANS($EV9))*ET9),"")</f>
        <v>0.80666930353244359</v>
      </c>
      <c r="EX9" s="5">
        <f t="shared" ref="EX9:EX40" si="47">IF(ISNUMBER($AV9),(SIN(RADIANS($EV9))*ES9)+(COS(RADIANS($EV9))*ET9),"")</f>
        <v>0.460856478168711</v>
      </c>
      <c r="EY9" s="6">
        <f>IF(ISNUMBER($AV9),EU9,"")</f>
        <v>-0.36999451518693494</v>
      </c>
      <c r="EZ9" s="51">
        <f>IF(ISNUMBER($AV9),DEGREES(ATAN($AS$5/($EQ9*2*PI()))),"")</f>
        <v>11.191737452071676</v>
      </c>
      <c r="FA9" s="266">
        <f>IF(ISNUMBER($AV9),SIN(RADIANS($EP9))*COS(RADIANS($EZ9)),"")</f>
        <v>0.88077528374483594</v>
      </c>
      <c r="FB9" s="267">
        <f>IF(ISNUMBER($AV9),-1*COS(RADIANS($EP9))*COS(RADIANS($EZ9)),"")</f>
        <v>-0.43192921963351583</v>
      </c>
      <c r="FC9" s="268">
        <f t="shared" ref="FC9:FC53" si="48">IF(ISNUMBER($AV9),-1*SIN(RADIANS($EZ9)),"")</f>
        <v>-0.19409288696648727</v>
      </c>
      <c r="FD9" s="4">
        <f>IF(ISNUMBER($AV9),(COS(RADIANS($EV9))*FA9)+(-SIN(RADIANS($EV9))*FB9),"")</f>
        <v>0.98098315542572601</v>
      </c>
      <c r="FE9" s="5">
        <f t="shared" ref="FE9:FE40" si="49">IF(ISNUMBER($AV9),(SIN(RADIANS($EV9))*FA9)+(COS(RADIANS($EV9))*FB9),"")</f>
        <v>-5.5511151231257827E-17</v>
      </c>
      <c r="FF9" s="7">
        <f>IF(ISNUMBER($AV9),FC9,"")</f>
        <v>-0.19409288696648727</v>
      </c>
      <c r="FG9" s="173">
        <f>IF(ISNUMBER($AV9),EW9-FD9,"")</f>
        <v>-0.17431385189328241</v>
      </c>
      <c r="FH9" s="5">
        <f t="shared" ref="FH9:FH40" si="50">IF(ISNUMBER($AV9),EX9-FE9,"")</f>
        <v>0.46085647816871106</v>
      </c>
      <c r="FI9" s="10">
        <f t="shared" ref="FI9:FI40" si="51">IF(ISNUMBER($AV9),EY9-FF9,"")</f>
        <v>-0.17590162822044766</v>
      </c>
      <c r="FJ9" s="279">
        <f>IF(ISNUMBER($AV9),DEGREES(ACOS((2-SQRT((FG9)^2+(FH9)^2+(FI9)^2)^2)/2)),"")</f>
        <v>30.32874734293382</v>
      </c>
      <c r="FK9" s="23">
        <f t="shared" ref="FK9:FK40" si="52">IF(ISNUMBER($AV9),SQRT(ES9^2+ET9^2),"")</f>
        <v>0.92903393841752913</v>
      </c>
      <c r="FL9" s="20">
        <f>IF(ISNUMBER($AV9),SQRT(FA9^2+FB9^2),"")</f>
        <v>0.98098315542572612</v>
      </c>
      <c r="FM9" s="25">
        <f>IF(ISNUMBER($AV9),SQRT(FG9^2+FH9^2),"")</f>
        <v>0.49272102901331583</v>
      </c>
      <c r="FN9" s="24">
        <f>IF(ISNUMBER($AV9),DEGREES(ACOS((FK9^2+FL9^2-FM9^2)/(2*FK9*FL9))),"")</f>
        <v>29.739665339788509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-29.739665339788509</v>
      </c>
      <c r="FQ9" s="173">
        <f>IF(ISNUMBER($AV9),SIN(RADIANS(FN9)),"")</f>
        <v>0.49605989524312888</v>
      </c>
      <c r="FR9" s="10">
        <f>IF(ISNUMBER($AV9),COS(RADIANS(FN9)),"")</f>
        <v>0.86828830484544473</v>
      </c>
      <c r="FS9" s="9">
        <f>IF(ISNUMBER($AV9),FQ9/(FQ9+FR9),"")</f>
        <v>0.36358745898658762</v>
      </c>
      <c r="FT9" s="6">
        <f>IF(ISNUMBER($AV9),FR9/(FQ9+FR9),"")</f>
        <v>0.63641254101341238</v>
      </c>
      <c r="FU9" s="4">
        <f>IF(ISNUMBER($AV9),SQRT(EW9^2+EY9^2),"")</f>
        <v>0.88747467937397095</v>
      </c>
      <c r="FV9" s="5">
        <f>IF(ISNUMBER($AV9),SQRT(FD9^2+FF9^2),"")</f>
        <v>0.99999999999999989</v>
      </c>
      <c r="FW9" s="8">
        <f>IF(ISNUMBER($AV9),SQRT(FG9^2+FI9^2),"")</f>
        <v>0.24764228591352849</v>
      </c>
      <c r="FX9" s="9">
        <f>IF(ISNUMBER($AV9),DEGREES(ACOS((FU9^2+FV9^2-FW9^2)/(2*FU9*FV9))),"")</f>
        <v>13.447737182723374</v>
      </c>
      <c r="FY9" s="10">
        <f t="shared" ref="FY9:FY40" si="55">IF(ISNUMBER($AV9),IF(EU9&lt;FC9,1,-1),"")</f>
        <v>1</v>
      </c>
      <c r="FZ9" s="277">
        <f>IF(ISNUMBER($AV9),FX9*FY9,"")</f>
        <v>13.447737182723374</v>
      </c>
      <c r="GA9" s="177">
        <f>IF(ISNUMBER($AV9),DEGREES(FZ9*SIN(RADIANS(FU9))),"")</f>
        <v>11.93404902809819</v>
      </c>
      <c r="GB9" s="4">
        <f>IF(ISNUMBER($AV9),COS(RADIANS(FP9+90))*COS(RADIANS(FZ9)),"")</f>
        <v>0.48245915072184142</v>
      </c>
      <c r="GC9" s="5">
        <f>IF(ISNUMBER($AV9),SIN(RADIANS(FP9+90))*COS(RADIANS(FZ9)),"")</f>
        <v>0.84448197113802681</v>
      </c>
      <c r="GD9" s="10">
        <f>IF(ISNUMBER($AV9),-SIN(RADIANS(FZ9)),"")</f>
        <v>-0.23255831162870191</v>
      </c>
      <c r="GE9" s="311">
        <f>IF(ISNUMBER($AV9),SUM(ABS(GB9),ABS(GC9),ABS(GD9)),"")</f>
        <v>1.5594994334885701</v>
      </c>
      <c r="GF9" s="341">
        <f>IF(ISNUMBER($AV9),1/GE9,"")</f>
        <v>0.64123139677134688</v>
      </c>
      <c r="GG9" s="303">
        <f t="shared" ref="GG9:GG40" si="56">IF(ISNUMBER($AV9),ABS(GB9)/(ABS($GB9)+ABS($GC9)+ABS($GD9)),"")</f>
        <v>0.30936795510248416</v>
      </c>
      <c r="GH9" s="304">
        <f t="shared" ref="GH9:GH40" si="57">IF(ISNUMBER($AV9),ABS(GC9)/(ABS($GB9)+ABS($GC9)+ABS($GD9)),"")</f>
        <v>0.54150835390105723</v>
      </c>
      <c r="GI9" s="305">
        <f t="shared" ref="GI9:GI40" si="58">IF(ISNUMBER($AV9),ABS(GD9)/(ABS($GB9)+ABS($GC9)+ABS($GD9)),"")</f>
        <v>0.1491236909964587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1.5188375774947572E-2</v>
      </c>
      <c r="GO9" s="4">
        <f>IF(ISNUMBER($AV9),FP9,"")</f>
        <v>-29.739665339788509</v>
      </c>
      <c r="GP9" s="8">
        <f>IF(ISNUMBER($AV9),FZ9,"")</f>
        <v>13.447737182723374</v>
      </c>
      <c r="GQ9" s="177">
        <f>IF(ISNUMBER($AV9),FJ9,"")</f>
        <v>30.32874734293382</v>
      </c>
      <c r="GR9" s="371">
        <f>IF(ISNUMBER($AV9),GS9+GU9+GY9,"")</f>
        <v>450.83785611198687</v>
      </c>
      <c r="GS9" s="342">
        <f t="shared" ref="GS9:GS40" si="61">IF(ISNUMBER($AV9),GU9/GH9*GG9,"")</f>
        <v>139.47478562815334</v>
      </c>
      <c r="GT9" s="343">
        <f t="shared" ref="GT9:GT40" si="62">IF(ISNUMBER($AV9),GS9/$GK9,"")</f>
        <v>1299.4110624771865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67.230605144349823</v>
      </c>
      <c r="GZ9" s="345">
        <f t="shared" ref="GZ9:GZ40" si="67">IF(ISNUMBER($AV9),GY9/$GK9,"")</f>
        <v>626.35114775878117</v>
      </c>
      <c r="HA9" s="342">
        <f t="shared" ref="HA9:HA53" si="68">IF(ISNUMBER($AV9),$FO9*$GS9,"")</f>
        <v>-139.47478562815334</v>
      </c>
      <c r="HB9" s="191">
        <f>IF(ISNUMBER($AV9),$EV9,"")</f>
        <v>26.123175860814861</v>
      </c>
      <c r="HC9" s="362">
        <f>IF(ISNUMBER($AV9),HA9*COS(RADIANS(HB9)),"")</f>
        <v>-125.22737338295515</v>
      </c>
      <c r="HD9" s="365">
        <f>IF(ISNUMBER($AV9),HA9*SIN(RADIANS(HB9)),"")</f>
        <v>-61.411080283815757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116.12317586081485</v>
      </c>
      <c r="HG9" s="362">
        <f>IF(ISNUMBER($AV9),HE9*COS(RADIANS(HF9)),"")</f>
        <v>-1001.4457518071326</v>
      </c>
      <c r="HH9" s="368">
        <f>IF(ISNUMBER($AV9),HE9*SIN(RADIANS(HF9)),"")</f>
        <v>2042.1139068836117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-29.739665339788509</v>
      </c>
      <c r="HN9" s="904">
        <f t="shared" ref="HN9:HN40" si="73">IF(ISNUMBER($HL9),INDEX(AO$9:AO$150,MATCH($HL9,$AV$9:$AV$150,0)),"")</f>
        <v>21.999996823593442</v>
      </c>
      <c r="HO9" s="905"/>
      <c r="HP9" s="906"/>
      <c r="HQ9" s="907">
        <f t="shared" ref="HQ9:HQ40" si="74">IF(ISNUMBER($HL9),INDEX(GQ$9:GQ$150,MATCH($HL9,$AV$9:$AV$150,0)),"")</f>
        <v>30.32874734293382</v>
      </c>
      <c r="HR9" s="908">
        <f t="shared" ref="HR9:HR40" si="75">IF(ISNUMBER($HL9),INDEX(GP$9:GP$150,MATCH($HL9,$AV$9:$AV$150,0)),"")</f>
        <v>13.447737182723374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1.5188375774947572E-2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139.47478562815334</v>
      </c>
      <c r="HZ9" s="862">
        <f t="shared" ref="HZ9:HZ40" si="82">IF(ISNUMBER($HL9),INDEX(GU$9:GU$150,MATCH($HL9,$AV$9:$AV$150,0)),"")</f>
        <v>244.13246533948367</v>
      </c>
      <c r="IA9" s="863">
        <f t="shared" ref="IA9:IA40" si="83">IF(ISNUMBER($HL9),INDEX(GY$9:GY$150,MATCH($HL9,$AV$9:$AV$150,0)),"")</f>
        <v>67.230605144349823</v>
      </c>
      <c r="IB9" s="864">
        <f t="shared" ref="IB9:IB40" si="84">IF(ISNUMBER($HL9),INDEX(GR$9:GR$150,MATCH($HL9,$AV$9:$AV$150,0)),"")</f>
        <v>450.83785611198687</v>
      </c>
      <c r="IC9" s="840">
        <f t="shared" ref="IC9:IC40" si="85">IF(ISNUMBER($HL9),INDEX(GT$9:GT$150,MATCH($HL9,$AV$9:$AV$150,0)),"")</f>
        <v>1299.4110624771865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626.35114775878117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45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0</v>
      </c>
      <c r="C10" s="572">
        <f t="shared" si="3"/>
        <v>1.0375031291094376</v>
      </c>
      <c r="D10" s="576">
        <f t="shared" si="4"/>
        <v>-0.3981012006732213</v>
      </c>
      <c r="E10" s="580">
        <f t="shared" si="5"/>
        <v>-0.96126170705176617</v>
      </c>
      <c r="F10" s="572">
        <f t="shared" si="6"/>
        <v>-1.4425740483648615E-2</v>
      </c>
      <c r="G10" s="579">
        <f t="shared" si="7"/>
        <v>0.27525956580548261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0</v>
      </c>
      <c r="O10" s="572">
        <f t="shared" si="14"/>
        <v>1.0375031291094376</v>
      </c>
      <c r="P10" s="576">
        <f t="shared" si="15"/>
        <v>-0.3981012006732213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101">IF(M10="","",SQRT(N10^2+O10^2))</f>
        <v>1.0375031291094376</v>
      </c>
      <c r="S10" s="577">
        <f t="shared" ref="S10:S105" si="102">IF(M10="","",P10)</f>
        <v>-0.3981012006732213</v>
      </c>
      <c r="T10" s="578">
        <f t="shared" ref="T10:T105" si="103">IF(M10="","",X10*COS(RADIANS(W10)))</f>
        <v>1.037501548902664</v>
      </c>
      <c r="U10" s="572">
        <f t="shared" ref="U10:U105" si="104">IF(M10="","",X10*SIN(RADIANS(W10)))</f>
        <v>1.8107833794985563E-3</v>
      </c>
      <c r="V10" s="579">
        <f>IF(M10="","",Y10)</f>
        <v>-0.3981012006732213</v>
      </c>
      <c r="W10" s="528">
        <f t="shared" si="16"/>
        <v>9.9999985561794347E-2</v>
      </c>
      <c r="X10" s="572">
        <f t="shared" ref="X10:X105" si="105">IF(M10="","",R10)</f>
        <v>1.0375031291094376</v>
      </c>
      <c r="Y10" s="573">
        <f t="shared" si="17"/>
        <v>-0.3981012006732213</v>
      </c>
      <c r="Z10" s="575">
        <f>IF(M10="","",-E10)</f>
        <v>0.96126170705176617</v>
      </c>
      <c r="AA10" s="572">
        <f t="shared" si="19"/>
        <v>1.4425740483648615E-2</v>
      </c>
      <c r="AB10" s="572">
        <f t="shared" si="20"/>
        <v>-0.27525956580548261</v>
      </c>
      <c r="AC10" s="579">
        <f t="shared" ref="AC10:AC105" si="106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7">IF(M10="","",AA10*(1/SQRT(Z10^2+AA10^2+AB10^2)))</f>
        <v>1.4425740483648615E-2</v>
      </c>
      <c r="AF10" s="576">
        <f t="shared" ref="AF10:AF105" si="108">IF(M10="","",AB10*(1/SQRT(Z10^2+AA10^2+AB10^2)))</f>
        <v>-0.27525956580548261</v>
      </c>
      <c r="AG10" s="545">
        <f t="shared" ref="AG10:AG105" si="109">IF(M10="","",DEGREES(ATAN2(-AF10,AE10)))</f>
        <v>2.9999995668536554</v>
      </c>
      <c r="AH10" s="546">
        <f t="shared" ref="AH10:AH105" si="110">IF(M10="","",DEGREES(ACOS(AD10)))</f>
        <v>15.99999768988615</v>
      </c>
      <c r="AI10" s="528">
        <f t="shared" ref="AI10:AI105" si="111">IF(M10="","",DEGREES(-ACOS(-AF10)))</f>
        <v>-74.022516817533798</v>
      </c>
      <c r="AJ10" s="529">
        <f t="shared" ref="AJ10:AJ105" si="112">IF(M10="","",DEGREES(ATAN2(-AE10,AD10)))</f>
        <v>90.859778351430947</v>
      </c>
      <c r="AK10" s="578">
        <f>IF(M10="","",(COS(RADIANS((90-$Q$8)-W10))*AD10)+(-SIN(RADIANS((90-$Q$8)-W10))*AE10))</f>
        <v>0.96126170705176617</v>
      </c>
      <c r="AL10" s="572">
        <f t="shared" ref="AL10:AL105" si="113">IF(M10="","",(SIN(RADIANS((90-$Q$8)-W10))*AD10)+(COS(RADIANS((90-$Q$8)-W10))*AE10))</f>
        <v>1.4425740483648615E-2</v>
      </c>
      <c r="AM10" s="577">
        <f t="shared" ref="AM10:AM105" si="114">IF(M10="","",AF10)</f>
        <v>-0.27525956580548261</v>
      </c>
      <c r="AN10" s="524">
        <f t="shared" ref="AN10:AN105" si="115">IF(M10="","",DEGREES(ATAN2(-AM10,AL10)))</f>
        <v>2.9999995668536554</v>
      </c>
      <c r="AO10" s="525">
        <f t="shared" ref="AO10:AO54" si="116">IF(ROUND(IF(M10="",0,DEGREES(ACOS(AK10))),4)=90,0,IF(M10="","",DEGREES(ACOS(AK10))))</f>
        <v>15.99999768988615</v>
      </c>
      <c r="AP10" s="528">
        <f t="shared" ref="AP10:AP105" si="117">IF(M10="","",DEGREES(ATAN2(AK10,AL10)))</f>
        <v>0.85977835143095427</v>
      </c>
      <c r="AQ10" s="529">
        <f t="shared" si="21"/>
        <v>2.1962439539710812</v>
      </c>
      <c r="AS10" s="932">
        <f>IF($M10="","",IF(AND($W10&lt;($AS$9+180),$W10&gt;($AS$9-180)),$W10,IF($W10&gt;($AS$9+180),$W10-360,IF($W10&lt;($AS$9-180),$W10+360,"Error"))))</f>
        <v>9.9999985561794347E-2</v>
      </c>
      <c r="AT10" s="928">
        <f t="shared" si="22"/>
        <v>-0.3981012006732213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5.1336367110397074E-2</v>
      </c>
      <c r="BB10" s="291">
        <f>IF(ISNUMBER($AV10),$AX10-($AT10+$AS$5),"")</f>
        <v>0.1872012006732213</v>
      </c>
      <c r="BC10" s="9"/>
      <c r="BD10" s="5">
        <f>IF(ISNUMBER(AV10),AW10,"")</f>
        <v>0.93310000000000004</v>
      </c>
      <c r="BE10" s="6">
        <f t="shared" si="25"/>
        <v>-0.2109</v>
      </c>
      <c r="BF10" s="4">
        <f t="shared" si="26"/>
        <v>0</v>
      </c>
      <c r="BG10" s="5">
        <f t="shared" si="27"/>
        <v>1.0375031291094376</v>
      </c>
      <c r="BH10" s="10">
        <f t="shared" si="28"/>
        <v>-0.3981012006732213</v>
      </c>
      <c r="BI10" s="9">
        <f>IF(ISNUMBER($AV10),BF10+0,"")</f>
        <v>0</v>
      </c>
      <c r="BJ10" s="5">
        <f t="shared" si="29"/>
        <v>2.0361326642596627</v>
      </c>
      <c r="BK10" s="8">
        <f t="shared" si="30"/>
        <v>-0.34576525197974683</v>
      </c>
      <c r="BL10" s="173">
        <f t="shared" si="31"/>
        <v>0.27563731705979944</v>
      </c>
      <c r="BM10" s="5">
        <f t="shared" si="32"/>
        <v>0.98719458572817476</v>
      </c>
      <c r="BN10" s="6">
        <f t="shared" si="33"/>
        <v>0.56184313099759553</v>
      </c>
      <c r="BO10" s="4">
        <f>IF(ISNUMBER($AV10),BJ10*BN10-BM10*BK10-BG10*(BN10-BK10)+BH10*(BM10-BJ10),"")</f>
        <v>0.9612617070517665</v>
      </c>
      <c r="BP10" s="5">
        <f t="shared" si="34"/>
        <v>1.4425740483648614E-2</v>
      </c>
      <c r="BQ10" s="5">
        <f>IF(ISNUMBER($AV10),BF10*(BJ10-BM10)-BG10*(BI10-BL10)+(BI10*BM10-BL10*BJ10),"")</f>
        <v>-0.27525956580548278</v>
      </c>
      <c r="BR10" s="6">
        <f>IF(ISNUMBER($AV10),-(BF10*(BJ10*BN10-BM10*BK10)-BG10*(BI10*BN10-BL10*BK10)+BH10*(BI10*BM10-BL10*BJ10)),"")</f>
        <v>-0.1245479145354584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-0.2109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-0.2109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-0.2109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-0.2109</v>
      </c>
      <c r="CF10" s="4">
        <f>IF(ISNUMBER($AV10),(BP10*CD10)-(BQ10*CC10),"")</f>
        <v>-1.4425740483648614E-2</v>
      </c>
      <c r="CG10" s="5">
        <f>IF(ISNUMBER($AV10),(BQ10*CB10)-(BO10*CD10),"")</f>
        <v>0.9612617070517665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4.6095153439405099</v>
      </c>
      <c r="CK10" s="8">
        <f t="shared" ref="CK10:CK73" si="128">IF(ISNUMBER($AV10),(CC10*BR10-BP10*CE10)/(-CC10*BQ10+BP10*CD10),"")</f>
        <v>-0.2109</v>
      </c>
      <c r="CL10" s="173">
        <f t="shared" ref="CL10:CL73" si="129">IF(ISNUMBER($AV10),CI10+CF10,"")</f>
        <v>-1.4425740483648614E-2</v>
      </c>
      <c r="CM10" s="5">
        <f t="shared" ref="CM10:CM73" si="130">IF(ISNUMBER($AV10),CJ10+CG10,"")</f>
        <v>5.5707770509922767</v>
      </c>
      <c r="CN10" s="6">
        <f t="shared" ref="CN10:CN73" si="131">IF(ISNUMBER($AV10),CK10+CH10,"")</f>
        <v>-0.2109</v>
      </c>
      <c r="CO10" s="167">
        <f t="shared" si="35"/>
        <v>0.3125</v>
      </c>
      <c r="CP10" s="4">
        <f>IF(ISNUMBER($AV10),(CL10-CI10)^2+(CM10-CJ10)^2+(CN10-CK10)^2,"")</f>
        <v>0.92423217143257841</v>
      </c>
      <c r="CQ10" s="5">
        <f>IF(ISNUMBER($AV10),2*((CL10-CI10)*(CI10-BF10)+(CM10-CJ10)*(CJ10-BG10)+(CN10-CK10)*(CK10-BH10)),"")</f>
        <v>6.8672771184765571</v>
      </c>
      <c r="CR10" s="5">
        <f>IF(ISNUMBER($AV10),BF10^2+BG10^2+BH10^2+CI10^2+CJ10^2+CK10^2-2*(BF10*CI10+BG10*CJ10+BH10*CK10)-CO10^2,"")</f>
        <v>12.696659302435878</v>
      </c>
      <c r="CS10" s="8">
        <f>IF(ISNUMBER($AV10),CQ10^2-(4*CP10*CR10),"")</f>
        <v>0.22085103383185611</v>
      </c>
      <c r="CT10" s="9">
        <f>IF(ISNUMBER($AV10),(-CQ10+SQRT(CS10))/(CP10*2),"")</f>
        <v>-3.4608886223446826</v>
      </c>
      <c r="CU10" s="6">
        <f>IF(ISNUMBER($AV10),(-CQ10-SQRT(CS10))/(CP10*2),"")</f>
        <v>-3.9693624885121706</v>
      </c>
      <c r="CV10" s="4">
        <f t="shared" si="36"/>
        <v>4.9925881108756565E-2</v>
      </c>
      <c r="CW10" s="5">
        <f t="shared" si="36"/>
        <v>1.2826956389094226</v>
      </c>
      <c r="CX10" s="8">
        <f t="shared" si="36"/>
        <v>-0.2109</v>
      </c>
      <c r="CY10" s="9">
        <f t="shared" si="37"/>
        <v>5.7260993144806226E-2</v>
      </c>
      <c r="CZ10" s="5">
        <f t="shared" si="37"/>
        <v>0.79391918232605141</v>
      </c>
      <c r="DA10" s="6">
        <f t="shared" si="37"/>
        <v>-0.2109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4.9925881108756565E-2</v>
      </c>
      <c r="DM10" s="173">
        <f>IF(ISNUMBER($AV10),CW10-DC10,"")</f>
        <v>1.2826956389094226</v>
      </c>
      <c r="DN10" s="178">
        <f>IF(ISNUMBER($AV10),CX10-DD10,"")</f>
        <v>9.7890999999999995</v>
      </c>
      <c r="DO10" s="9">
        <f t="shared" si="40"/>
        <v>7.3351120360496611E-3</v>
      </c>
      <c r="DP10" s="173">
        <f t="shared" si="40"/>
        <v>-0.48877645658337121</v>
      </c>
      <c r="DQ10" s="11">
        <f t="shared" si="40"/>
        <v>0</v>
      </c>
      <c r="DR10" s="173">
        <f>IF(ISNUMBER($AV10),SUMPRODUCT(DI10:DK10,DL10:DN10),"")</f>
        <v>195.78199999999998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0.23895622837877756</v>
      </c>
      <c r="DV10" s="5">
        <f>IF(ISNUMBER($AV10),SUMPRODUCT(DL10:DN10,DO10:DQ10),"")</f>
        <v>-0.62658521732965977</v>
      </c>
      <c r="DW10" s="5">
        <f>IF(ISNUMBER($AV10),SUMPRODUCT(DL10:DN10,DL10:DN10),"")</f>
        <v>97.474279505681722</v>
      </c>
      <c r="DX10" s="167">
        <f>IF(ISNUMBER($AV10),DW10-DH10*DH10,"")</f>
        <v>96.603603895681715</v>
      </c>
      <c r="DY10" s="9">
        <f>IF(ISNUMBER($AV10),DT10*DU10-DS10*DS10,"")</f>
        <v>95.582491351511024</v>
      </c>
      <c r="DZ10" s="5">
        <f>IF(ISNUMBER($AV10),DT10*DV10-DS10*DR10,"")</f>
        <v>-250.63408693186392</v>
      </c>
      <c r="EA10" s="10">
        <f>IF(ISNUMBER($AV10),DT10*DX10-DR10*DR10,"")</f>
        <v>310.85003427269112</v>
      </c>
      <c r="EB10" s="6">
        <f>IF(ISNUMBER($AV10),DZ10*DZ10-DY10*EA10,"")</f>
        <v>33105.624819682715</v>
      </c>
      <c r="EC10" s="173">
        <f>IF(ISNUMBER($AV10),(-DZ10+SQRT(DZ10^2-DY10*EA10))/DY10,"")</f>
        <v>4.5257619104473283</v>
      </c>
      <c r="ED10" s="5">
        <f>IF(ISNUMBER($AV10),(-DZ10-SQRT(DZ10^2-DY10*EA10))/DY10,"")</f>
        <v>0.71858950554873025</v>
      </c>
      <c r="EE10" s="4">
        <f t="shared" si="41"/>
        <v>8.3122851770373873E-2</v>
      </c>
      <c r="EF10" s="5">
        <f>IF(ISNUMBER($AV10),CW10+DP10*$EC10,"")</f>
        <v>-0.92939023101901119</v>
      </c>
      <c r="EG10" s="10">
        <f>IF(ISNUMBER($AV10),CX10+DQ10*$EC10,"")</f>
        <v>-0.2109</v>
      </c>
      <c r="EH10" s="9">
        <f>IF(ISNUMBER($AV10),CV10+DO10*$ED10,"")</f>
        <v>5.5196815639886029E-2</v>
      </c>
      <c r="EI10" s="5">
        <f>IF(ISNUMBER($AV10),CW10+DP10*$ED10,"")</f>
        <v>0.93146600664931745</v>
      </c>
      <c r="EJ10" s="6">
        <f t="shared" si="42"/>
        <v>-0.2109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5.5196815639886029E-2</v>
      </c>
      <c r="EN10" s="5">
        <f t="shared" si="43"/>
        <v>0.93146600664931745</v>
      </c>
      <c r="EO10" s="10">
        <f t="shared" si="43"/>
        <v>-0.2109</v>
      </c>
      <c r="EP10" s="9">
        <f>IF(ISNUMBER($AV10),IF(DEGREES(ATAN2(EM10,EN10))&lt;0,DEGREES(ATAN2(EM10,EN10))+360,IF(DEGREES(ATAN2(EM10,EN10))&gt;360,DEGREES(ATAN2(EM10,EN10))-360,DEGREES(ATAN2(EM10,EN10)))),"")</f>
        <v>86.608732292986119</v>
      </c>
      <c r="EQ10" s="5">
        <f>IF(ISNUMBER($AV10),SQRT(EM10^2+EN10^2),"")</f>
        <v>0.93310000000000526</v>
      </c>
      <c r="ER10" s="7">
        <f>IF(ISNUMBER($AV10),EO10,"")</f>
        <v>-0.2109</v>
      </c>
      <c r="ES10" s="21">
        <f t="shared" ref="ES10:ES40" si="132">IF(ISNUMBER($AV10),AD10,"")</f>
        <v>0.96126170705176617</v>
      </c>
      <c r="ET10" s="5">
        <f t="shared" si="44"/>
        <v>1.4425740483648615E-2</v>
      </c>
      <c r="EU10" s="10">
        <f t="shared" si="45"/>
        <v>-0.27525956580548261</v>
      </c>
      <c r="EV10" s="174">
        <f t="shared" si="46"/>
        <v>3.3912677070138812</v>
      </c>
      <c r="EW10" s="9">
        <f t="shared" ref="EW10:EW40" si="133">IF(ISNUMBER($AV10),(COS(RADIANS($EV10))*ES10)+(-SIN(RADIANS($EV10))*ET10),"")</f>
        <v>0.95872505484349468</v>
      </c>
      <c r="EX10" s="5">
        <f t="shared" si="47"/>
        <v>7.126317876656478E-2</v>
      </c>
      <c r="EY10" s="6">
        <f>IF(ISNUMBER($AV10),EU10,"")</f>
        <v>-0.27525956580548261</v>
      </c>
      <c r="EZ10" s="51">
        <f>IF(ISNUMBER($AV10),DEGREES(ATAN($AS$5/($EQ10*2*PI()))),"")</f>
        <v>2.4416958528944961</v>
      </c>
      <c r="FA10" s="266">
        <f t="shared" ref="FA10:FA53" si="134">IF(ISNUMBER($AV10),SIN(RADIANS($EP10))*COS(RADIANS($EZ10)),"")</f>
        <v>0.99734253630430114</v>
      </c>
      <c r="FB10" s="267">
        <f t="shared" ref="FB10:FB53" si="135">IF(ISNUMBER($AV10),-1*COS(RADIANS($EP10))*COS(RADIANS($EZ10)),"")</f>
        <v>-5.9100527247614554E-2</v>
      </c>
      <c r="FC10" s="269">
        <f t="shared" si="48"/>
        <v>-4.260273415119855E-2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7.6327832942979512E-17</v>
      </c>
      <c r="FF10" s="7">
        <f>IF(ISNUMBER($AV10),FC10,"")</f>
        <v>-4.260273415119855E-2</v>
      </c>
      <c r="FG10" s="173">
        <f>IF(ISNUMBER($AV10),EW10-FD10,"")</f>
        <v>-4.03670365288884E-2</v>
      </c>
      <c r="FH10" s="5">
        <f t="shared" si="50"/>
        <v>7.1263178766564711E-2</v>
      </c>
      <c r="FI10" s="10">
        <f t="shared" si="51"/>
        <v>-0.23265683165428405</v>
      </c>
      <c r="FJ10" s="279">
        <f>IF(ISNUMBER($AV10),DEGREES(ACOS((2-SQRT((FG10)^2+(FH10)^2+(FI10)^2)^2)/2)),"")</f>
        <v>14.168181175206788</v>
      </c>
      <c r="FK10" s="4">
        <f t="shared" si="52"/>
        <v>0.96136994514732843</v>
      </c>
      <c r="FL10" s="5">
        <f>IF(ISNUMBER($AV10),SQRT(FA10^2+FB10^2),"")</f>
        <v>0.99909209137238308</v>
      </c>
      <c r="FM10" s="8">
        <f>IF(ISNUMBER($AV10),SQRT(FG10^2+FH10^2),"")</f>
        <v>8.1902004163756398E-2</v>
      </c>
      <c r="FN10" s="9">
        <f>IF(ISNUMBER($AV10),DEGREES(ACOS((FK10^2+FL10^2-FM10^2)/(2*FK10*FL10))),"")</f>
        <v>4.251046058444846</v>
      </c>
      <c r="FO10" s="10">
        <f t="shared" si="53"/>
        <v>-1</v>
      </c>
      <c r="FP10" s="277">
        <f t="shared" si="54"/>
        <v>-4.251046058444846</v>
      </c>
      <c r="FQ10" s="173">
        <f>IF(ISNUMBER($AV10),SIN(RADIANS(FN10)),"")</f>
        <v>7.4126697143256315E-2</v>
      </c>
      <c r="FR10" s="10">
        <f>IF(ISNUMBER($AV10),COS(RADIANS(FN10)),"")</f>
        <v>0.99724883192242042</v>
      </c>
      <c r="FS10" s="9">
        <f>IF(ISNUMBER($AV10),FQ10/(FQ10+FR10),"")</f>
        <v>6.9188342586003052E-2</v>
      </c>
      <c r="FT10" s="6">
        <f>IF(ISNUMBER($AV10),FR10/(FQ10+FR10),"")</f>
        <v>0.93081165741399685</v>
      </c>
      <c r="FU10" s="4">
        <f>IF(ISNUMBER($AV10),SQRT(EW10^2+EY10^2),"")</f>
        <v>0.99745754764405126</v>
      </c>
      <c r="FV10" s="5">
        <f>IF(ISNUMBER($AV10),SQRT(FD10^2+FF10^2),"")</f>
        <v>1</v>
      </c>
      <c r="FW10" s="8">
        <f>IF(ISNUMBER($AV10),SQRT(FG10^2+FI10^2),"")</f>
        <v>0.23613279940223145</v>
      </c>
      <c r="FX10" s="9">
        <f>IF(ISNUMBER($AV10),DEGREES(ACOS((FU10^2+FV10^2-FW10^2)/(2*FU10*FV10))),"")</f>
        <v>13.577606781327475</v>
      </c>
      <c r="FY10" s="10">
        <f t="shared" si="55"/>
        <v>1</v>
      </c>
      <c r="FZ10" s="277">
        <f>IF(ISNUMBER($AV10),FX10*FY10,"")</f>
        <v>13.577606781327475</v>
      </c>
      <c r="GA10" s="177">
        <f>IF(ISNUMBER($AV10),DEGREES(FZ10*SIN(RADIANS(FU10))),"")</f>
        <v>13.542402288491035</v>
      </c>
      <c r="GB10" s="4">
        <f>IF(ISNUMBER($AV10),COS(RADIANS(FP10+90))*COS(RADIANS(FZ10)),"")</f>
        <v>7.2055065603408477E-2</v>
      </c>
      <c r="GC10" s="5">
        <f>IF(ISNUMBER($AV10),SIN(RADIANS(FP10+90))*COS(RADIANS(FZ10)),"")</f>
        <v>0.96937854749177355</v>
      </c>
      <c r="GD10" s="10">
        <f>IF(ISNUMBER($AV10),-SIN(RADIANS(FZ10)),"")</f>
        <v>-0.23476221839049774</v>
      </c>
      <c r="GE10" s="311">
        <f>IF(ISNUMBER($AV10),SUM(ABS(GB10),ABS(GC10),ABS(GD10)),"")</f>
        <v>1.2761958314856798</v>
      </c>
      <c r="GF10" s="341">
        <f>IF(ISNUMBER($AV10),1/GE10,"")</f>
        <v>0.78357880141000991</v>
      </c>
      <c r="GG10" s="285">
        <f t="shared" si="56"/>
        <v>5.646082194103845E-2</v>
      </c>
      <c r="GH10" s="286">
        <f t="shared" si="57"/>
        <v>0.75958448035618031</v>
      </c>
      <c r="GI10" s="281">
        <f t="shared" si="58"/>
        <v>0.18395469770278119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5.1336367110397074E-2</v>
      </c>
      <c r="GO10" s="4">
        <f>IF(ISNUMBER($AV10),FP10,"")</f>
        <v>-4.251046058444846</v>
      </c>
      <c r="GP10" s="8">
        <f>IF(ISNUMBER($AV10),FZ10,"")</f>
        <v>13.577606781327475</v>
      </c>
      <c r="GQ10" s="177">
        <f>IF(ISNUMBER($AV10),FJ10,"")</f>
        <v>14.168181175206788</v>
      </c>
      <c r="GR10" s="371">
        <f>IF(ISNUMBER($AV10),GS10+GU10+GY10,"")</f>
        <v>1086.3337005766175</v>
      </c>
      <c r="GS10" s="342">
        <f t="shared" si="61"/>
        <v>61.33529363680578</v>
      </c>
      <c r="GT10" s="343">
        <f t="shared" si="62"/>
        <v>125.42645802693843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199.8361874939153</v>
      </c>
      <c r="GZ10" s="345">
        <f t="shared" si="67"/>
        <v>408.65126254043457</v>
      </c>
      <c r="HA10" s="342">
        <f t="shared" si="68"/>
        <v>-61.33529363680578</v>
      </c>
      <c r="HB10" s="5">
        <f>IF(ISNUMBER($AV10),$EV10,"")</f>
        <v>3.3912677070138812</v>
      </c>
      <c r="HC10" s="343">
        <f>IF(ISNUMBER($AV10),HA10*COS(RADIANS(HB10)),"")</f>
        <v>-61.227886647238719</v>
      </c>
      <c r="HD10" s="345">
        <f>IF(ISNUMBER($AV10),HA10*SIN(RADIANS(HB10)),"")</f>
        <v>-3.628242305314564</v>
      </c>
      <c r="HE10" s="344">
        <f t="shared" si="69"/>
        <v>1687.4</v>
      </c>
      <c r="HF10" s="5">
        <f t="shared" si="70"/>
        <v>93.391267707013881</v>
      </c>
      <c r="HG10" s="343">
        <f>IF(ISNUMBER($AV10),HE10*COS(RADIANS(HF10)),"")</f>
        <v>-99.816854260789924</v>
      </c>
      <c r="HH10" s="349">
        <f>IF(ISNUMBER($AV10),HE10*SIN(RADIANS(HF10)),"")</f>
        <v>1684.4451180152712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-4.251046058444846</v>
      </c>
      <c r="HN10" s="910">
        <f t="shared" si="73"/>
        <v>15.99999768988615</v>
      </c>
      <c r="HO10" s="911"/>
      <c r="HP10" s="912"/>
      <c r="HQ10" s="910">
        <f t="shared" si="74"/>
        <v>14.168181175206788</v>
      </c>
      <c r="HR10" s="913">
        <f t="shared" si="75"/>
        <v>13.577606781327475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0.3356592079101951</v>
      </c>
      <c r="HV10" s="872">
        <f t="shared" si="78"/>
        <v>5.1336367110397074E-2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61.33529363680578</v>
      </c>
      <c r="HZ10" s="868">
        <f t="shared" si="82"/>
        <v>825.16221944589643</v>
      </c>
      <c r="IA10" s="869">
        <f t="shared" si="83"/>
        <v>199.8361874939153</v>
      </c>
      <c r="IB10" s="870">
        <f t="shared" si="84"/>
        <v>1086.3337005766175</v>
      </c>
      <c r="IC10" s="841">
        <f t="shared" si="85"/>
        <v>125.42645802693843</v>
      </c>
      <c r="ID10" s="351">
        <f t="shared" si="86"/>
        <v>1687.4</v>
      </c>
      <c r="IE10" s="843">
        <f t="shared" si="87"/>
        <v>408.65126254043457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8.5370249802008226E-18</v>
      </c>
      <c r="C11" s="572">
        <f t="shared" si="3"/>
        <v>1.7387052439350157</v>
      </c>
      <c r="D11" s="576">
        <f t="shared" si="4"/>
        <v>-0.18020054348483913</v>
      </c>
      <c r="E11" s="580">
        <f t="shared" si="5"/>
        <v>-0.96126170705176617</v>
      </c>
      <c r="F11" s="572">
        <f t="shared" si="6"/>
        <v>0</v>
      </c>
      <c r="G11" s="579">
        <f t="shared" si="7"/>
        <v>0.27563731705979949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8.5370249802008226E-18</v>
      </c>
      <c r="O11" s="572">
        <f t="shared" si="14"/>
        <v>1.7387052439350157</v>
      </c>
      <c r="P11" s="576">
        <f t="shared" si="15"/>
        <v>-0.18020054348483913</v>
      </c>
      <c r="Q11" s="528">
        <f t="shared" ref="Q11:Q73" si="140">IF(M11="","",IF(DEGREES(ATAN2(N11,O11))&lt;0,DEGREES(ATAN2(N11,O11))+360,IF(DEGREES(ATAN2(N11,O11))&gt;360,DEGREES(ATAN2(N11,O11))-360,DEGREES(ATAN2(N11,O11)))))</f>
        <v>90</v>
      </c>
      <c r="R11" s="572">
        <f t="shared" si="101"/>
        <v>1.7387052439350157</v>
      </c>
      <c r="S11" s="577">
        <f t="shared" si="102"/>
        <v>-0.18020054348483913</v>
      </c>
      <c r="T11" s="578">
        <f t="shared" si="103"/>
        <v>1.7387025957369269</v>
      </c>
      <c r="U11" s="572">
        <f t="shared" si="104"/>
        <v>3.0346111440329054E-3</v>
      </c>
      <c r="V11" s="579">
        <f t="shared" ref="V11:V105" si="141">IF(M11="","",Y11)</f>
        <v>-0.18020054348483913</v>
      </c>
      <c r="W11" s="528">
        <f t="shared" si="16"/>
        <v>9.9999985561794347E-2</v>
      </c>
      <c r="X11" s="572">
        <f>IF(M11="","",R11)</f>
        <v>1.7387052439350157</v>
      </c>
      <c r="Y11" s="573">
        <f t="shared" si="17"/>
        <v>-0.18020054348483913</v>
      </c>
      <c r="Z11" s="575">
        <f t="shared" si="18"/>
        <v>0.96126170705176617</v>
      </c>
      <c r="AA11" s="572">
        <f t="shared" si="19"/>
        <v>0</v>
      </c>
      <c r="AB11" s="572">
        <f t="shared" si="20"/>
        <v>-0.27563731705979949</v>
      </c>
      <c r="AC11" s="579">
        <f t="shared" si="106"/>
        <v>1</v>
      </c>
      <c r="AD11" s="580">
        <f t="shared" ref="AD11:AD105" si="142">IF(M11="","",Z11*(1/SQRT(Z11^2+AA11^2+AB11^2)))</f>
        <v>0.96126170705176617</v>
      </c>
      <c r="AE11" s="572">
        <f t="shared" si="107"/>
        <v>0</v>
      </c>
      <c r="AF11" s="576">
        <f t="shared" si="108"/>
        <v>-0.27563731705979949</v>
      </c>
      <c r="AG11" s="545">
        <f>IF(M11="","",DEGREES(ATAN2(-AF11,AE11)))</f>
        <v>0</v>
      </c>
      <c r="AH11" s="546">
        <f t="shared" si="110"/>
        <v>15.99999768988615</v>
      </c>
      <c r="AI11" s="528">
        <f t="shared" si="111"/>
        <v>-74.000002310113857</v>
      </c>
      <c r="AJ11" s="529">
        <f t="shared" si="112"/>
        <v>90</v>
      </c>
      <c r="AK11" s="578">
        <f>IF(M11="","",(COS(RADIANS((90-$Q$8)-W11))*AD11)+(-SIN(RADIANS((90-$Q$8)-W11))*AE11))</f>
        <v>0.96126170705176617</v>
      </c>
      <c r="AL11" s="572">
        <f t="shared" si="113"/>
        <v>0</v>
      </c>
      <c r="AM11" s="577">
        <f t="shared" si="114"/>
        <v>-0.27563731705979949</v>
      </c>
      <c r="AN11" s="524">
        <f>IF(M11="","",DEGREES(ATAN2(-AM11,AL11)))</f>
        <v>0</v>
      </c>
      <c r="AO11" s="525">
        <f>IF(ROUND(IF(M11="",0,DEGREES(ACOS(AK11))),4)=90,0,IF(M11="","",DEGREES(ACOS(AK11))))</f>
        <v>15.99999768988615</v>
      </c>
      <c r="AP11" s="528">
        <f t="shared" si="117"/>
        <v>0</v>
      </c>
      <c r="AQ11" s="529">
        <f>IF(M11="","",DEGREES(ATAN(($AS$5*SIN(RADIANS(90)))/(($X11*2*PI())-($AS$5*COS(RADIANS(90)))))))</f>
        <v>1.3109345667697629</v>
      </c>
      <c r="AS11" s="932">
        <f t="shared" ref="AS11:AS42" si="143">IF(G11="","",IF(AND(W11&lt;(AS10+180),W11&gt;(AS10-180)),W11,IF(W11&gt;(AS10+180),W11-360,IF(W11&lt;(AS10-180),W11+360,"Error"))))</f>
        <v>9.9999985561794347E-2</v>
      </c>
      <c r="AT11" s="928">
        <f t="shared" si="22"/>
        <v>-0.18020054348483913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9.7635293870429185E-2</v>
      </c>
      <c r="BB11" s="291">
        <f t="shared" ref="BB11:BB73" si="145">IF(ISNUMBER($AV11),$AX11-($AT11+$AS$5),"")</f>
        <v>0.15600054348483913</v>
      </c>
      <c r="BC11" s="9"/>
      <c r="BD11" s="5">
        <f t="shared" ref="BD11:BD73" si="146">IF(ISNUMBER(AV11),AW11,"")</f>
        <v>1.6409</v>
      </c>
      <c r="BE11" s="6">
        <f t="shared" si="25"/>
        <v>-2.4199999999999999E-2</v>
      </c>
      <c r="BF11" s="4">
        <f t="shared" si="26"/>
        <v>8.5370249802008226E-18</v>
      </c>
      <c r="BG11" s="5">
        <f t="shared" si="27"/>
        <v>1.7387052439350157</v>
      </c>
      <c r="BH11" s="10">
        <f t="shared" si="28"/>
        <v>-0.18020054348483913</v>
      </c>
      <c r="BI11" s="9">
        <f t="shared" ref="BI11:BI74" si="147">IF(ISNUMBER($AV11),BF11+0,"")</f>
        <v>8.5370249802008226E-18</v>
      </c>
      <c r="BJ11" s="5">
        <f t="shared" si="29"/>
        <v>2.7387052439350157</v>
      </c>
      <c r="BK11" s="8">
        <f t="shared" si="30"/>
        <v>-0.18020054348483913</v>
      </c>
      <c r="BL11" s="173">
        <f t="shared" si="31"/>
        <v>0.27563731705979944</v>
      </c>
      <c r="BM11" s="5">
        <f t="shared" si="32"/>
        <v>1.7387052439350157</v>
      </c>
      <c r="BN11" s="6">
        <f t="shared" si="33"/>
        <v>0.78106116356692701</v>
      </c>
      <c r="BO11" s="4">
        <f t="shared" ref="BO11:BO74" si="148">IF(ISNUMBER($AV11),BJ11*BN11-BM11*BK11-BG11*(BN11-BK11)+BH11*(BM11-BJ11),"")</f>
        <v>0.96126170705176583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1.0000000000000001E-5</v>
      </c>
      <c r="BQ11" s="5">
        <f t="shared" ref="BQ11:BQ74" si="149">IF(ISNUMBER($AV11),BF11*(BJ11-BM11)-BG11*(BI11-BL11)+(BI11*BM11-BL11*BJ11),"")</f>
        <v>-0.27563731705979944</v>
      </c>
      <c r="BR11" s="6">
        <f t="shared" ref="BR11:BR74" si="150">IF(ISNUMBER($AV11),-(BF11*(BJ11*BN11-BM11*BK11)-BG11*(BI11*BN11-BL11*BK11)+BH11*(BI11*BM11-BL11*BJ11)),"")</f>
        <v>-4.9669994338878781E-2</v>
      </c>
      <c r="BS11" s="4">
        <f t="shared" si="118"/>
        <v>0</v>
      </c>
      <c r="BT11" s="5">
        <f t="shared" si="118"/>
        <v>0</v>
      </c>
      <c r="BU11" s="10">
        <f t="shared" si="119"/>
        <v>-2.4199999999999999E-2</v>
      </c>
      <c r="BV11" s="9">
        <f t="shared" si="120"/>
        <v>0</v>
      </c>
      <c r="BW11" s="5">
        <f t="shared" si="121"/>
        <v>1</v>
      </c>
      <c r="BX11" s="8">
        <f t="shared" si="122"/>
        <v>-2.4199999999999999E-2</v>
      </c>
      <c r="BY11" s="173">
        <f t="shared" si="123"/>
        <v>1</v>
      </c>
      <c r="BZ11" s="5">
        <f t="shared" si="124"/>
        <v>0</v>
      </c>
      <c r="CA11" s="6">
        <f t="shared" si="125"/>
        <v>-2.4199999999999999E-2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-2.4199999999999999E-2</v>
      </c>
      <c r="CF11" s="4">
        <f t="shared" ref="CF11:CF74" si="155">IF(ISNUMBER($AV11),(BP11*CD11)-(BQ11*CC11),"")</f>
        <v>-1.0000000000000001E-5</v>
      </c>
      <c r="CG11" s="5">
        <f t="shared" ref="CG11:CG74" si="156">IF(ISNUMBER($AV11),(BQ11*CB11)-(BO11*CD11),"")</f>
        <v>0.96126170705176583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4299.9571266031635</v>
      </c>
      <c r="CK11" s="8">
        <f t="shared" si="128"/>
        <v>-2.4199999999999999E-2</v>
      </c>
      <c r="CL11" s="173">
        <f t="shared" si="129"/>
        <v>-1.0000000000000001E-5</v>
      </c>
      <c r="CM11" s="5">
        <f t="shared" si="130"/>
        <v>4300.9183883102151</v>
      </c>
      <c r="CN11" s="6">
        <f t="shared" si="131"/>
        <v>-2.4199999999999999E-2</v>
      </c>
      <c r="CO11" s="167">
        <f t="shared" si="35"/>
        <v>0.3125</v>
      </c>
      <c r="CP11" s="4">
        <f>IF(ISNUMBER($AV11),(CL11-CI11)^2+(CM11-CJ11)^2+(CN11-CK11)^2,"")</f>
        <v>0.9240240695436841</v>
      </c>
      <c r="CQ11" s="5">
        <f>IF(ISNUMBER($AV11),2*((CL11-CI11)*(CI11-BF11)+(CM11-CJ11)*(CJ11-BG11)+(CN11-CK11)*(CK11-BH11)),"")</f>
        <v>8263.4255539924889</v>
      </c>
      <c r="CR11" s="5">
        <f t="shared" ref="CR11:CR74" si="158">IF(ISNUMBER($AV11),BF11^2+BG11^2+BH11^2+CI11^2+CJ11^2+CK11^2-2*(BF11*CI11+BG11*CJ11+BH11*CK11)-CO11^2,"")</f>
        <v>18474681.524391741</v>
      </c>
      <c r="CS11" s="8">
        <f t="shared" ref="CS11:CS74" si="159">IF(ISNUMBER($AV11),CQ11^2-(4*CP11*CR11),"")</f>
        <v>0.2636081874370575</v>
      </c>
      <c r="CT11" s="9">
        <f t="shared" ref="CT11:CT74" si="160">IF(ISNUMBER($AV11),(-CQ11+SQRT(CS11))/(CP11*2),"")</f>
        <v>-4471.1563250692798</v>
      </c>
      <c r="CU11" s="6">
        <f t="shared" ref="CU11:CU74" si="161">IF(ISNUMBER($AV11),(-CQ11-SQRT(CS11))/(CP11*2),"")</f>
        <v>-4471.7119684733998</v>
      </c>
      <c r="CV11" s="4">
        <f>IF(ISNUMBER($AV11),CI11+($CT11*(CL11-CI11)),"")</f>
        <v>4.4711563250692803E-2</v>
      </c>
      <c r="CW11" s="5">
        <f t="shared" ref="CW11:CW74" si="162">IF(ISNUMBER($AV11),CJ11+($CT11*(CM11-CJ11)),"")</f>
        <v>2.0057650726766951</v>
      </c>
      <c r="CX11" s="8">
        <f t="shared" ref="CX11:CX74" si="163">IF(ISNUMBER($AV11),CK11+($CT11*(CN11-CK11)),"")</f>
        <v>-2.4199999999999999E-2</v>
      </c>
      <c r="CY11" s="9">
        <f t="shared" ref="CY11:CY74" si="164">IF(ISNUMBER($AV11),CI11+($CU11*(CL11-CI11)),"")</f>
        <v>4.4717119684733998E-2</v>
      </c>
      <c r="CZ11" s="5">
        <f t="shared" ref="CZ11:CZ74" si="165">IF(ISNUMBER($AV11),CJ11+($CU11*(CM11-CJ11)),"")</f>
        <v>1.4716463455197299</v>
      </c>
      <c r="DA11" s="6">
        <f t="shared" ref="DA11:DA74" si="166">IF(ISNUMBER($AV11),CK11+($CU11*(CN11-CK11)),"")</f>
        <v>-2.4199999999999999E-2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4.4711563250692803E-2</v>
      </c>
      <c r="DM11" s="173">
        <f t="shared" ref="DM11:DM74" si="176">IF(ISNUMBER($AV11),CW11-DC11,"")</f>
        <v>2.0057650726766951</v>
      </c>
      <c r="DN11" s="178">
        <f t="shared" ref="DN11:DN74" si="177">IF(ISNUMBER($AV11),CX11-DD11,"")</f>
        <v>9.9757999999999996</v>
      </c>
      <c r="DO11" s="9">
        <f t="shared" ref="DO11:DO74" si="178">IF(ISNUMBER($AV11),CY11-CV11,"")</f>
        <v>5.556434041195657E-6</v>
      </c>
      <c r="DP11" s="173">
        <f t="shared" ref="DP11:DP74" si="179">IF(ISNUMBER($AV11),CZ11-CW11,"")</f>
        <v>-0.53411872715696518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199.51599999999999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0.28528281473065059</v>
      </c>
      <c r="DV11" s="5">
        <f t="shared" ref="DV11:DV74" si="185">IF(ISNUMBER($AV11),SUMPRODUCT(DL11:DN11,DO11:DQ11),"")</f>
        <v>-1.0713164391571222</v>
      </c>
      <c r="DW11" s="5">
        <f t="shared" ref="DW11:DW74" si="186">IF(ISNUMBER($AV11),SUMPRODUCT(DL11:DN11,DL11:DN11),"")</f>
        <v>103.54167829065806</v>
      </c>
      <c r="DX11" s="167">
        <f t="shared" ref="DX11:DX74" si="187">IF(ISNUMBER($AV11),DW11-DH11*DH11,"")</f>
        <v>100.84912548065806</v>
      </c>
      <c r="DY11" s="9">
        <f t="shared" ref="DY11:DY74" si="188">IF(ISNUMBER($AV11),DT11*DU11-DS11*DS11,"")</f>
        <v>114.11312589226024</v>
      </c>
      <c r="DZ11" s="5">
        <f t="shared" ref="DZ11:DZ74" si="189">IF(ISNUMBER($AV11),DT11*DV11-DS11*DR11,"")</f>
        <v>-428.52657566284887</v>
      </c>
      <c r="EA11" s="10">
        <f t="shared" ref="EA11:EA74" si="190">IF(ISNUMBER($AV11),DT11*DX11-DR11*DR11,"")</f>
        <v>533.01593626322574</v>
      </c>
      <c r="EB11" s="6">
        <f t="shared" ref="EB11:EB74" si="191">IF(ISNUMBER($AV11),DZ11*DZ11-DY11*EA11,"")</f>
        <v>122810.91141194091</v>
      </c>
      <c r="EC11" s="173">
        <f t="shared" ref="EC11:EC74" si="192">IF(ISNUMBER($AV11),(-DZ11+SQRT(DZ11^2-DY11*EA11))/DY11,"")</f>
        <v>6.8263001934633358</v>
      </c>
      <c r="ED11" s="5">
        <f t="shared" ref="ED11:ED74" si="193">IF(ISNUMBER($AV11),(-DZ11-SQRT(DZ11^2-DY11*EA11))/DY11,"")</f>
        <v>0.68425693679075339</v>
      </c>
      <c r="EE11" s="4">
        <f t="shared" ref="EE11:EE74" si="194">IF(ISNUMBER($AV11),CV11+DO11*$EC11,"")</f>
        <v>4.4749493137463181E-2</v>
      </c>
      <c r="EF11" s="5">
        <f t="shared" ref="EF11:EF74" si="195">IF(ISNUMBER($AV11),CW11+DP11*$EC11,"")</f>
        <v>-1.6402896978472872</v>
      </c>
      <c r="EG11" s="10">
        <f t="shared" ref="EG11:EG74" si="196">IF(ISNUMBER($AV11),CX11+DQ11*$EC11,"")</f>
        <v>-2.4199999999999999E-2</v>
      </c>
      <c r="EH11" s="9">
        <f t="shared" ref="EH11:EH74" si="197">IF(ISNUMBER($AV11),CV11+DO11*$ED11,"")</f>
        <v>4.4715365279229313E-2</v>
      </c>
      <c r="EI11" s="5">
        <f t="shared" ref="EI11:EI74" si="198">IF(ISNUMBER($AV11),CW11+DP11*$ED11,"")</f>
        <v>1.6402906285496939</v>
      </c>
      <c r="EJ11" s="6">
        <f t="shared" ref="EJ11:EJ74" si="199">IF(ISNUMBER($AV11),CX11+DQ11*$ED11,"")</f>
        <v>-2.4199999999999999E-2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4.4715365279229313E-2</v>
      </c>
      <c r="EN11" s="5">
        <f t="shared" ref="EN11:EN74" si="203">IF(ISNUMBER($AV11),IF($EK11=TRUE,EF11,IF($EL11=TRUE,EI11,"")),"")</f>
        <v>1.6402906285496939</v>
      </c>
      <c r="EO11" s="10">
        <f t="shared" ref="EO11:EO74" si="204">IF(ISNUMBER($AV11),IF($EK11=TRUE,EG11,IF($EL11=TRUE,EJ11,"")),"")</f>
        <v>-2.4199999999999999E-2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88.43846736412452</v>
      </c>
      <c r="EQ11" s="5">
        <f t="shared" ref="EQ11:EQ74" si="206">IF(ISNUMBER($AV11),SQRT(EM11^2+EN11^2),"")</f>
        <v>1.6409000000000016</v>
      </c>
      <c r="ER11" s="7">
        <f t="shared" ref="ER11:ER74" si="207">IF(ISNUMBER($AV11),EO11,"")</f>
        <v>-2.4199999999999999E-2</v>
      </c>
      <c r="ES11" s="21">
        <f t="shared" si="132"/>
        <v>0.96126170705176617</v>
      </c>
      <c r="ET11" s="5">
        <f t="shared" si="44"/>
        <v>0</v>
      </c>
      <c r="EU11" s="10">
        <f t="shared" si="45"/>
        <v>-0.27563731705979949</v>
      </c>
      <c r="EV11" s="174">
        <f t="shared" si="46"/>
        <v>1.56153263587548</v>
      </c>
      <c r="EW11" s="9">
        <f t="shared" si="133"/>
        <v>0.96090472890529099</v>
      </c>
      <c r="EX11" s="5">
        <f t="shared" si="47"/>
        <v>2.6194873764248252E-2</v>
      </c>
      <c r="EY11" s="6">
        <f t="shared" ref="EY11:EY74" si="208">IF(ISNUMBER($AV11),EU11,"")</f>
        <v>-0.27563731705979949</v>
      </c>
      <c r="EZ11" s="51">
        <f t="shared" ref="EZ11:EZ74" si="209">IF(ISNUMBER($AV11),DEGREES(ATAN($AS$5/($EQ11*2*PI()))),"")</f>
        <v>1.3890425894206491</v>
      </c>
      <c r="FA11" s="266">
        <f t="shared" si="134"/>
        <v>0.99933488894759637</v>
      </c>
      <c r="FB11" s="267">
        <f t="shared" si="135"/>
        <v>-2.7242504357340405E-2</v>
      </c>
      <c r="FC11" s="269">
        <f t="shared" si="48"/>
        <v>-2.4240991902884257E-2</v>
      </c>
      <c r="FD11" s="4">
        <f t="shared" si="136"/>
        <v>0.99970614398010205</v>
      </c>
      <c r="FE11" s="5">
        <f t="shared" si="49"/>
        <v>-5.8980598183211441E-17</v>
      </c>
      <c r="FF11" s="7">
        <f t="shared" ref="FF11:FF74" si="210">IF(ISNUMBER($AV11),FC11,"")</f>
        <v>-2.4240991902884257E-2</v>
      </c>
      <c r="FG11" s="173">
        <f t="shared" ref="FG11:FG40" si="211">IF(ISNUMBER($AV11),EW11-FD11,"")</f>
        <v>-3.8801415074811052E-2</v>
      </c>
      <c r="FH11" s="5">
        <f t="shared" si="50"/>
        <v>2.6194873764248311E-2</v>
      </c>
      <c r="FI11" s="10">
        <f t="shared" si="51"/>
        <v>-0.25139632515691523</v>
      </c>
      <c r="FJ11" s="279">
        <f t="shared" ref="FJ11:FJ74" si="212">IF(ISNUMBER($AV11),DEGREES(ACOS((2-SQRT((FG11)^2+(FH11)^2+(FI11)^2)^2)/2)),"")</f>
        <v>14.691794738052456</v>
      </c>
      <c r="FK11" s="4">
        <f t="shared" si="52"/>
        <v>0.96126170705176617</v>
      </c>
      <c r="FL11" s="5">
        <f t="shared" ref="FL11:FL73" si="213">IF(ISNUMBER($AV11),SQRT(FA11^2+FB11^2),"")</f>
        <v>0.99970614398010205</v>
      </c>
      <c r="FM11" s="8">
        <f t="shared" ref="FM11:FM73" si="214">IF(ISNUMBER($AV11),SQRT(FG11^2+FH11^2),"")</f>
        <v>4.6815822360956973E-2</v>
      </c>
      <c r="FN11" s="9">
        <f t="shared" ref="FN11:FN73" si="215">IF(ISNUMBER($AV11),DEGREES(ACOS((FK11^2+FL11^2-FM11^2)/(2*FK11*FL11))),"")</f>
        <v>1.5615326358754036</v>
      </c>
      <c r="FO11" s="10">
        <f t="shared" si="53"/>
        <v>-1</v>
      </c>
      <c r="FP11" s="277">
        <f t="shared" si="54"/>
        <v>-1.5615326358754036</v>
      </c>
      <c r="FQ11" s="173">
        <f>IF(ISNUMBER($AV11),SIN(RADIANS(FN11)),"")</f>
        <v>2.7250512084360308E-2</v>
      </c>
      <c r="FR11" s="10">
        <f t="shared" ref="FR11:FR74" si="216">IF(ISNUMBER($AV11),COS(RADIANS(FN11)),"")</f>
        <v>0.99962863583990036</v>
      </c>
      <c r="FS11" s="9">
        <f t="shared" ref="FS11:FS74" si="217">IF(ISNUMBER($AV11),FQ11/(FQ11+FR11),"")</f>
        <v>2.6537214373711499E-2</v>
      </c>
      <c r="FT11" s="6">
        <f t="shared" ref="FT11:FT74" si="218">IF(ISNUMBER($AV11),FR11/(FQ11+FR11),"")</f>
        <v>0.97346278562628841</v>
      </c>
      <c r="FU11" s="4">
        <f t="shared" ref="FU11:FU74" si="219">IF(ISNUMBER($AV11),SQRT(EW11^2+EY11^2),"")</f>
        <v>0.99965685542013627</v>
      </c>
      <c r="FV11" s="5">
        <f t="shared" ref="FV11:FV74" si="220">IF(ISNUMBER($AV11),SQRT(FD11^2+FF11^2),"")</f>
        <v>1</v>
      </c>
      <c r="FW11" s="8">
        <f>IF(ISNUMBER($AV11),SQRT(FG11^2+FI11^2),"")</f>
        <v>0.25437307662999481</v>
      </c>
      <c r="FX11" s="9">
        <f>IF(ISNUMBER($AV11),DEGREES(ACOS((FU11^2+FV11^2-FW11^2)/(2*FU11*FV11))),"")</f>
        <v>14.616594739771664</v>
      </c>
      <c r="FY11" s="10">
        <f t="shared" si="55"/>
        <v>1</v>
      </c>
      <c r="FZ11" s="277">
        <f>IF(ISNUMBER($AV11),FX11*FY11,"")</f>
        <v>14.616594739771664</v>
      </c>
      <c r="GA11" s="177">
        <f t="shared" ref="GA11:GA74" si="221">IF(ISNUMBER($AV11),DEGREES(FZ11*SIN(RADIANS(FU11))),"")</f>
        <v>14.610837831222664</v>
      </c>
      <c r="GB11" s="4">
        <f t="shared" ref="GB11:GB74" si="222">IF(ISNUMBER($AV11),COS(RADIANS(FP11+90))*COS(RADIANS(FZ11)),"")</f>
        <v>2.6368579844757056E-2</v>
      </c>
      <c r="GC11" s="5">
        <f t="shared" ref="GC11:GC74" si="223">IF(ISNUMBER($AV11),SIN(RADIANS(FP11+90))*COS(RADIANS(FZ11)),"")</f>
        <v>0.96727677695193981</v>
      </c>
      <c r="GD11" s="10">
        <f t="shared" ref="GD11:GD74" si="224">IF(ISNUMBER($AV11),-SIN(RADIANS(FZ11)),"")</f>
        <v>-0.25234962802912531</v>
      </c>
      <c r="GE11" s="311">
        <f t="shared" ref="GE11:GE74" si="225">IF(ISNUMBER($AV11),SUM(ABS(GB11),ABS(GC11),ABS(GD11)),"")</f>
        <v>1.2459949848258223</v>
      </c>
      <c r="GF11" s="341">
        <f>IF(ISNUMBER($AV11),1/GE11,"")</f>
        <v>0.8025714486642096</v>
      </c>
      <c r="GG11" s="285">
        <f t="shared" si="56"/>
        <v>2.1162669325224547E-2</v>
      </c>
      <c r="GH11" s="286">
        <f t="shared" si="57"/>
        <v>0.7763087241375658</v>
      </c>
      <c r="GI11" s="281">
        <f t="shared" si="58"/>
        <v>0.20252860653720953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9.7635293870429185E-2</v>
      </c>
      <c r="GO11" s="4">
        <f t="shared" ref="GO11:GO74" si="229">IF(ISNUMBER($AV11),FP11,"")</f>
        <v>-1.5615326358754036</v>
      </c>
      <c r="GP11" s="8">
        <f>IF(ISNUMBER($AV11),FZ11,"")</f>
        <v>14.616594739771664</v>
      </c>
      <c r="GQ11" s="177">
        <f t="shared" ref="GQ11:GQ74" si="230">IF(ISNUMBER($AV11),FJ11,"")</f>
        <v>14.691794738052456</v>
      </c>
      <c r="GR11" s="371">
        <f>IF(ISNUMBER($AV11),GS11+GU11+GY11,"")</f>
        <v>2021.559714198492</v>
      </c>
      <c r="GS11" s="342">
        <f>IF(ISNUMBER($AV11),GU11/GH11*GG11,"")</f>
        <v>42.781599752778135</v>
      </c>
      <c r="GT11" s="343">
        <f t="shared" si="62"/>
        <v>49.77928383357748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409.42367194838016</v>
      </c>
      <c r="GZ11" s="345">
        <f t="shared" si="67"/>
        <v>476.39212399439197</v>
      </c>
      <c r="HA11" s="342">
        <f t="shared" si="68"/>
        <v>-42.781599752778135</v>
      </c>
      <c r="HB11" s="5">
        <f t="shared" ref="HB11:HB74" si="231">IF(ISNUMBER($AV11),$EV11,"")</f>
        <v>1.56153263587548</v>
      </c>
      <c r="HC11" s="343">
        <f t="shared" ref="HC11:HC74" si="232">IF(ISNUMBER($AV11),HA11*COS(RADIANS(HB11)),"")</f>
        <v>-42.765712199918227</v>
      </c>
      <c r="HD11" s="345">
        <f t="shared" ref="HD11:HD74" si="233">IF(ISNUMBER($AV11),HA11*SIN(RADIANS(HB11)),"")</f>
        <v>-1.1658205010514036</v>
      </c>
      <c r="HE11" s="344">
        <f t="shared" si="69"/>
        <v>1826.05</v>
      </c>
      <c r="HF11" s="5">
        <f t="shared" si="70"/>
        <v>91.56153263587548</v>
      </c>
      <c r="HG11" s="343">
        <f t="shared" ref="HG11:HG74" si="234">IF(ISNUMBER($AV11),HE11*COS(RADIANS(HF11)),"")</f>
        <v>-49.760797591648455</v>
      </c>
      <c r="HH11" s="349">
        <f t="shared" ref="HH11:HH74" si="235">IF(ISNUMBER($AV11),HE11*SIN(RADIANS(HF11)),"")</f>
        <v>1825.3718704754499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>
        <f>IF(ISNUMBER($HL11),INDEX(GO$9:GO$150,MATCH($HL11,$AV$9:$AV$150,0)),"")</f>
        <v>-1.5615326358754036</v>
      </c>
      <c r="HN11" s="910">
        <f t="shared" si="73"/>
        <v>15.99999768988615</v>
      </c>
      <c r="HO11" s="911"/>
      <c r="HP11" s="912"/>
      <c r="HQ11" s="910">
        <f t="shared" si="74"/>
        <v>14.691794738052456</v>
      </c>
      <c r="HR11" s="913">
        <f t="shared" si="75"/>
        <v>14.616594739771664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0.63838146813450858</v>
      </c>
      <c r="HV11" s="872">
        <f t="shared" si="78"/>
        <v>9.7635293870429185E-2</v>
      </c>
      <c r="HW11" s="866">
        <f t="shared" si="79"/>
        <v>29500</v>
      </c>
      <c r="HX11" s="867">
        <f t="shared" si="80"/>
        <v>249.69712041666668</v>
      </c>
      <c r="HY11" s="866">
        <f t="shared" si="81"/>
        <v>42.781599752778135</v>
      </c>
      <c r="HZ11" s="868">
        <f t="shared" si="82"/>
        <v>1569.3544424973336</v>
      </c>
      <c r="IA11" s="869">
        <f t="shared" si="83"/>
        <v>409.42367194838016</v>
      </c>
      <c r="IB11" s="870">
        <f t="shared" si="84"/>
        <v>2021.559714198492</v>
      </c>
      <c r="IC11" s="841">
        <f t="shared" si="85"/>
        <v>49.77928383357748</v>
      </c>
      <c r="ID11" s="351">
        <f t="shared" si="86"/>
        <v>1826.05</v>
      </c>
      <c r="IE11" s="843">
        <f t="shared" si="87"/>
        <v>476.39212399439197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4.3034685097150223E-3</v>
      </c>
      <c r="C12" s="572">
        <f t="shared" si="3"/>
        <v>2.4657036810884803</v>
      </c>
      <c r="D12" s="576">
        <f t="shared" si="4"/>
        <v>-0.17330052267437634</v>
      </c>
      <c r="E12" s="580">
        <f t="shared" si="5"/>
        <v>-0.9611742002129503</v>
      </c>
      <c r="F12" s="572">
        <f t="shared" si="6"/>
        <v>5.0976540936288194E-2</v>
      </c>
      <c r="G12" s="579">
        <f t="shared" si="7"/>
        <v>0.27119282645226128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4.3034685097150223E-3</v>
      </c>
      <c r="O12" s="572">
        <f t="shared" si="14"/>
        <v>2.4657036810884803</v>
      </c>
      <c r="P12" s="576">
        <f t="shared" si="15"/>
        <v>-0.17330052267437634</v>
      </c>
      <c r="Q12" s="528">
        <f>IF(M12="","",IF(DEGREES(ATAN2(N12,O12))&lt;0,DEGREES(ATAN2(N12,O12))+360,IF(DEGREES(ATAN2(N12,O12))&gt;360,DEGREES(ATAN2(N12,O12))-360,DEGREES(ATAN2(N12,O12)))))</f>
        <v>89.900000014438206</v>
      </c>
      <c r="R12" s="572">
        <f t="shared" si="101"/>
        <v>2.4657074365736289</v>
      </c>
      <c r="S12" s="577">
        <f t="shared" si="102"/>
        <v>-0.17330052267437634</v>
      </c>
      <c r="T12" s="578">
        <f>IF(M12="","",X12*COS(RADIANS(W12)))</f>
        <v>2.4657074365736289</v>
      </c>
      <c r="U12" s="572">
        <f t="shared" si="104"/>
        <v>0</v>
      </c>
      <c r="V12" s="579">
        <f t="shared" si="141"/>
        <v>-0.17330052267437634</v>
      </c>
      <c r="W12" s="528">
        <f>IF(M12="","",IF(Q12-$Q$8&lt;0,360+Q12-$Q$8,Q12-$Q$8))</f>
        <v>0</v>
      </c>
      <c r="X12" s="572">
        <f t="shared" si="105"/>
        <v>2.4657074365736289</v>
      </c>
      <c r="Y12" s="573">
        <f t="shared" si="17"/>
        <v>-0.17330052267437634</v>
      </c>
      <c r="Z12" s="575">
        <f t="shared" si="18"/>
        <v>0.9611742002129503</v>
      </c>
      <c r="AA12" s="572">
        <f t="shared" si="19"/>
        <v>-5.0976540936288194E-2</v>
      </c>
      <c r="AB12" s="572">
        <f t="shared" si="20"/>
        <v>-0.27119282645226128</v>
      </c>
      <c r="AC12" s="579">
        <f t="shared" si="106"/>
        <v>1</v>
      </c>
      <c r="AD12" s="580">
        <f t="shared" si="142"/>
        <v>0.9611742002129503</v>
      </c>
      <c r="AE12" s="572">
        <f t="shared" si="107"/>
        <v>-5.0976540936288194E-2</v>
      </c>
      <c r="AF12" s="576">
        <f t="shared" si="108"/>
        <v>-0.27119282645226128</v>
      </c>
      <c r="AG12" s="545">
        <f t="shared" si="109"/>
        <v>-10.645754303717887</v>
      </c>
      <c r="AH12" s="546">
        <f t="shared" si="110"/>
        <v>16.018177377028501</v>
      </c>
      <c r="AI12" s="528">
        <f t="shared" si="111"/>
        <v>-74.264740697933149</v>
      </c>
      <c r="AJ12" s="529">
        <f t="shared" si="112"/>
        <v>86.964122851131464</v>
      </c>
      <c r="AK12" s="578">
        <f t="shared" ref="AK12:AK105" si="238">IF(M12="","",(COS(RADIANS((90-$Q$8)-W12))*AD12)+(-SIN(RADIANS((90-$Q$8)-W12))*AE12))</f>
        <v>0.96126170705176617</v>
      </c>
      <c r="AL12" s="572">
        <f>IF(M12="","",(SIN(RADIANS((90-$Q$8)-W12))*AD12)+(COS(RADIANS((90-$Q$8)-W12))*AE12))</f>
        <v>-4.9298898940627174E-2</v>
      </c>
      <c r="AM12" s="577">
        <f t="shared" si="114"/>
        <v>-0.27119282645226128</v>
      </c>
      <c r="AN12" s="524">
        <f>IF(M12="","",DEGREES(ATAN2(-AM12,AL12)))</f>
        <v>-10.303028815456972</v>
      </c>
      <c r="AO12" s="525">
        <f t="shared" si="116"/>
        <v>15.99999768988615</v>
      </c>
      <c r="AP12" s="528">
        <f t="shared" si="117"/>
        <v>-2.9358771633067335</v>
      </c>
      <c r="AQ12" s="529">
        <f t="shared" si="21"/>
        <v>0.92449280498810849</v>
      </c>
      <c r="AS12" s="932">
        <f t="shared" si="143"/>
        <v>0</v>
      </c>
      <c r="AT12" s="928">
        <f>IF(M12="","",Y12+(((AS12-$AS$9)*$AS$6)*-1))</f>
        <v>-0.17323107823995842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0.50500556657283369</v>
      </c>
      <c r="BA12" s="296">
        <f t="shared" si="24"/>
        <v>7.7236526058040628E-2</v>
      </c>
      <c r="BB12" s="291">
        <f t="shared" si="145"/>
        <v>0.24243107823995841</v>
      </c>
      <c r="BC12" s="9"/>
      <c r="BD12" s="5">
        <f t="shared" si="146"/>
        <v>2.3776000000000002</v>
      </c>
      <c r="BE12" s="6">
        <f t="shared" si="25"/>
        <v>6.9130555565582064E-2</v>
      </c>
      <c r="BF12" s="4">
        <f t="shared" si="26"/>
        <v>4.3034685097150223E-3</v>
      </c>
      <c r="BG12" s="5">
        <f t="shared" si="27"/>
        <v>2.4657036810884803</v>
      </c>
      <c r="BH12" s="10">
        <f t="shared" si="28"/>
        <v>-0.17330052267437634</v>
      </c>
      <c r="BI12" s="9">
        <f t="shared" si="147"/>
        <v>4.3034685097150223E-3</v>
      </c>
      <c r="BJ12" s="5">
        <f t="shared" si="29"/>
        <v>3.4484918200553212</v>
      </c>
      <c r="BK12" s="8">
        <f t="shared" si="30"/>
        <v>-0.35803675059433104</v>
      </c>
      <c r="BL12" s="173">
        <f t="shared" si="31"/>
        <v>0.28024577560486713</v>
      </c>
      <c r="BM12" s="5">
        <f t="shared" si="32"/>
        <v>2.6432673772098001</v>
      </c>
      <c r="BN12" s="6">
        <f t="shared" si="33"/>
        <v>0.77133008077585086</v>
      </c>
      <c r="BO12" s="4">
        <f t="shared" si="148"/>
        <v>0.96117420021295041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-5.0976540936288152E-2</v>
      </c>
      <c r="BQ12" s="5">
        <f t="shared" si="149"/>
        <v>-0.27119282645226106</v>
      </c>
      <c r="BR12" s="6">
        <f t="shared" si="150"/>
        <v>7.4558803163078113E-2</v>
      </c>
      <c r="BS12" s="4">
        <f t="shared" si="118"/>
        <v>0</v>
      </c>
      <c r="BT12" s="5">
        <f t="shared" si="118"/>
        <v>0</v>
      </c>
      <c r="BU12" s="10">
        <f t="shared" si="119"/>
        <v>6.9130555565582064E-2</v>
      </c>
      <c r="BV12" s="9">
        <f t="shared" si="120"/>
        <v>0</v>
      </c>
      <c r="BW12" s="5">
        <f t="shared" si="121"/>
        <v>1</v>
      </c>
      <c r="BX12" s="8">
        <f t="shared" si="122"/>
        <v>6.9130555565582064E-2</v>
      </c>
      <c r="BY12" s="173">
        <f t="shared" si="123"/>
        <v>1</v>
      </c>
      <c r="BZ12" s="5">
        <f t="shared" si="124"/>
        <v>0</v>
      </c>
      <c r="CA12" s="6">
        <f t="shared" si="125"/>
        <v>6.9130555565582064E-2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6.9130555565582064E-2</v>
      </c>
      <c r="CF12" s="4">
        <f t="shared" si="155"/>
        <v>5.0976540936288152E-2</v>
      </c>
      <c r="CG12" s="5">
        <f t="shared" si="156"/>
        <v>0.96117420021295041</v>
      </c>
      <c r="CH12" s="5">
        <f t="shared" si="157"/>
        <v>0</v>
      </c>
      <c r="CI12" s="4">
        <f t="shared" si="126"/>
        <v>0</v>
      </c>
      <c r="CJ12" s="5">
        <f t="shared" si="127"/>
        <v>1.0948387509224493</v>
      </c>
      <c r="CK12" s="8">
        <f t="shared" si="128"/>
        <v>6.9130555565582064E-2</v>
      </c>
      <c r="CL12" s="173">
        <f t="shared" si="129"/>
        <v>5.0976540936288152E-2</v>
      </c>
      <c r="CM12" s="5">
        <f t="shared" si="130"/>
        <v>2.0560129511353997</v>
      </c>
      <c r="CN12" s="6">
        <f t="shared" si="131"/>
        <v>6.9130555565582064E-2</v>
      </c>
      <c r="CO12" s="167">
        <f t="shared" si="35"/>
        <v>0.3125</v>
      </c>
      <c r="CP12" s="4">
        <f t="shared" ref="CP12:CP74" si="240">IF(ISNUMBER($AV12),(CL12-CI12)^2+(CM12-CJ12)^2+(CN12-CK12)^2,"")</f>
        <v>0.926454450880834</v>
      </c>
      <c r="CQ12" s="5">
        <f t="shared" ref="CQ12:CQ74" si="241">IF(ISNUMBER($AV12),2*((CL12-CI12)*(CI12-BF12)+(CM12-CJ12)*(CJ12-BG12)+(CN12-CK12)*(CK12-BH12)),"")</f>
        <v>-2.635718757581941</v>
      </c>
      <c r="CR12" s="5">
        <f t="shared" si="158"/>
        <v>1.8404057542969197</v>
      </c>
      <c r="CS12" s="8">
        <f t="shared" si="159"/>
        <v>0.12680495908897171</v>
      </c>
      <c r="CT12" s="9">
        <f t="shared" si="160"/>
        <v>1.6146587639680026</v>
      </c>
      <c r="CU12" s="6">
        <f t="shared" si="161"/>
        <v>1.2302935756489211</v>
      </c>
      <c r="CV12" s="4">
        <f t="shared" ref="CV12:CV74" si="242">IF(ISNUMBER($AV12),CI12+($CT12*(CL12-CI12)),"")</f>
        <v>8.2309718579551314E-2</v>
      </c>
      <c r="CW12" s="5">
        <f t="shared" si="162"/>
        <v>2.6468070969962252</v>
      </c>
      <c r="CX12" s="8">
        <f t="shared" si="163"/>
        <v>6.9130555565582064E-2</v>
      </c>
      <c r="CY12" s="9">
        <f t="shared" si="164"/>
        <v>6.2716110822719551E-2</v>
      </c>
      <c r="CZ12" s="5">
        <f t="shared" si="165"/>
        <v>2.2773651945239317</v>
      </c>
      <c r="DA12" s="6">
        <f t="shared" si="166"/>
        <v>6.9130555565582064E-2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8.2309718579551314E-2</v>
      </c>
      <c r="DM12" s="173">
        <f t="shared" si="176"/>
        <v>2.6468070969962252</v>
      </c>
      <c r="DN12" s="178">
        <f t="shared" si="177"/>
        <v>10.069130555565582</v>
      </c>
      <c r="DO12" s="9">
        <f t="shared" si="178"/>
        <v>-1.9593607756831763E-2</v>
      </c>
      <c r="DP12" s="173">
        <f t="shared" si="179"/>
        <v>-0.36944190247229347</v>
      </c>
      <c r="DQ12" s="11">
        <f t="shared" si="180"/>
        <v>0</v>
      </c>
      <c r="DR12" s="173">
        <f t="shared" si="181"/>
        <v>201.38261111131163</v>
      </c>
      <c r="DS12" s="5">
        <f t="shared" si="182"/>
        <v>0</v>
      </c>
      <c r="DT12" s="5">
        <f t="shared" si="183"/>
        <v>400</v>
      </c>
      <c r="DU12" s="5">
        <f t="shared" si="184"/>
        <v>0.13687122876727617</v>
      </c>
      <c r="DV12" s="5">
        <f t="shared" si="185"/>
        <v>-0.97945419373187659</v>
      </c>
      <c r="DW12" s="5">
        <f t="shared" si="186"/>
        <v>108.39975284350669</v>
      </c>
      <c r="DX12" s="167">
        <f t="shared" si="187"/>
        <v>102.74677108350669</v>
      </c>
      <c r="DY12" s="9">
        <f t="shared" si="188"/>
        <v>54.748491506910469</v>
      </c>
      <c r="DZ12" s="5">
        <f t="shared" si="189"/>
        <v>-391.78167749275065</v>
      </c>
      <c r="EA12" s="10">
        <f t="shared" si="190"/>
        <v>543.7523753928981</v>
      </c>
      <c r="EB12" s="6">
        <f t="shared" si="191"/>
        <v>123723.26051297318</v>
      </c>
      <c r="EC12" s="173">
        <f t="shared" si="192"/>
        <v>13.580736767522902</v>
      </c>
      <c r="ED12" s="5">
        <f t="shared" si="193"/>
        <v>0.73131701548586481</v>
      </c>
      <c r="EE12" s="4">
        <f t="shared" si="194"/>
        <v>-0.18378591069207573</v>
      </c>
      <c r="EF12" s="5">
        <f t="shared" si="195"/>
        <v>-2.3704861313728607</v>
      </c>
      <c r="EG12" s="10">
        <f t="shared" si="196"/>
        <v>6.9130555565582064E-2</v>
      </c>
      <c r="EH12" s="9">
        <f t="shared" si="197"/>
        <v>6.7980579832224414E-2</v>
      </c>
      <c r="EI12" s="5">
        <f t="shared" si="198"/>
        <v>2.3766279474847676</v>
      </c>
      <c r="EJ12" s="6">
        <f t="shared" si="199"/>
        <v>6.9130555565582064E-2</v>
      </c>
      <c r="EK12" s="236" t="b">
        <f t="shared" si="200"/>
        <v>0</v>
      </c>
      <c r="EL12" s="238" t="b">
        <f t="shared" si="201"/>
        <v>1</v>
      </c>
      <c r="EM12" s="4">
        <f t="shared" si="202"/>
        <v>6.7980579832224414E-2</v>
      </c>
      <c r="EN12" s="5">
        <f t="shared" si="203"/>
        <v>2.3766279474847676</v>
      </c>
      <c r="EO12" s="10">
        <f t="shared" si="204"/>
        <v>6.9130555565582064E-2</v>
      </c>
      <c r="EP12" s="9">
        <f t="shared" si="205"/>
        <v>88.361569983295809</v>
      </c>
      <c r="EQ12" s="5">
        <f t="shared" si="206"/>
        <v>2.3775999999999966</v>
      </c>
      <c r="ER12" s="7">
        <f t="shared" si="207"/>
        <v>6.9130555565582064E-2</v>
      </c>
      <c r="ES12" s="21">
        <f t="shared" si="132"/>
        <v>0.9611742002129503</v>
      </c>
      <c r="ET12" s="5">
        <f t="shared" si="44"/>
        <v>-5.0976540936288194E-2</v>
      </c>
      <c r="EU12" s="10">
        <f t="shared" si="45"/>
        <v>-0.27119282645226128</v>
      </c>
      <c r="EV12" s="174">
        <f t="shared" si="46"/>
        <v>1.6384300167041914</v>
      </c>
      <c r="EW12" s="9">
        <f t="shared" si="133"/>
        <v>0.96223876238143946</v>
      </c>
      <c r="EX12" s="5">
        <f t="shared" si="47"/>
        <v>-2.3473709793503029E-2</v>
      </c>
      <c r="EY12" s="6">
        <f t="shared" si="208"/>
        <v>-0.27119282645226128</v>
      </c>
      <c r="EZ12" s="51">
        <f t="shared" si="209"/>
        <v>0.95874573171926036</v>
      </c>
      <c r="FA12" s="266">
        <f t="shared" si="134"/>
        <v>0.99945122164566891</v>
      </c>
      <c r="FB12" s="267">
        <f t="shared" si="135"/>
        <v>-2.858809837417059E-2</v>
      </c>
      <c r="FC12" s="269">
        <f t="shared" si="48"/>
        <v>-1.673248882649955E-2</v>
      </c>
      <c r="FD12" s="4">
        <f t="shared" si="136"/>
        <v>0.99986000210913095</v>
      </c>
      <c r="FE12" s="5">
        <f t="shared" si="49"/>
        <v>6.2450045135165055E-17</v>
      </c>
      <c r="FF12" s="7">
        <f t="shared" si="210"/>
        <v>-1.673248882649955E-2</v>
      </c>
      <c r="FG12" s="173">
        <f t="shared" si="211"/>
        <v>-3.7621239727691491E-2</v>
      </c>
      <c r="FH12" s="5">
        <f t="shared" si="50"/>
        <v>-2.3473709793503092E-2</v>
      </c>
      <c r="FI12" s="10">
        <f t="shared" si="51"/>
        <v>-0.25446033762576176</v>
      </c>
      <c r="FJ12" s="279">
        <f t="shared" si="212"/>
        <v>14.840679225238835</v>
      </c>
      <c r="FK12" s="4">
        <f t="shared" si="52"/>
        <v>0.96252503909292342</v>
      </c>
      <c r="FL12" s="5">
        <f t="shared" si="213"/>
        <v>0.99986000210913095</v>
      </c>
      <c r="FM12" s="8">
        <f t="shared" si="214"/>
        <v>4.434380148474007E-2</v>
      </c>
      <c r="FN12" s="9">
        <f t="shared" si="215"/>
        <v>1.3974471321644473</v>
      </c>
      <c r="FO12" s="10">
        <f t="shared" si="53"/>
        <v>1</v>
      </c>
      <c r="FP12" s="277">
        <f t="shared" si="54"/>
        <v>1.3974471321644473</v>
      </c>
      <c r="FQ12" s="173">
        <f t="shared" ref="FQ12:FQ74" si="243">IF(ISNUMBER($AV12),SIN(RADIANS(FN12)),"")</f>
        <v>2.4387635479723571E-2</v>
      </c>
      <c r="FR12" s="10">
        <f t="shared" si="216"/>
        <v>0.99970257738774893</v>
      </c>
      <c r="FS12" s="9">
        <f t="shared" si="217"/>
        <v>2.3813952299610128E-2</v>
      </c>
      <c r="FT12" s="6">
        <f t="shared" si="218"/>
        <v>0.97618604770038986</v>
      </c>
      <c r="FU12" s="4">
        <f t="shared" si="219"/>
        <v>0.99972445451160719</v>
      </c>
      <c r="FV12" s="5">
        <f t="shared" si="220"/>
        <v>1</v>
      </c>
      <c r="FW12" s="8">
        <f t="shared" ref="FW12:FW74" si="244">IF(ISNUMBER($AV12),SQRT(FG12^2+FI12^2),"")</f>
        <v>0.25722640047877104</v>
      </c>
      <c r="FX12" s="9">
        <f t="shared" ref="FX12:FX74" si="245">IF(ISNUMBER($AV12),DEGREES(ACOS((FU12^2+FV12^2-FW12^2)/(2*FU12*FV12))),"")</f>
        <v>14.780963022433648</v>
      </c>
      <c r="FY12" s="10">
        <f t="shared" si="55"/>
        <v>1</v>
      </c>
      <c r="FZ12" s="277">
        <f t="shared" ref="FZ12:FZ74" si="246">IF(ISNUMBER($AV12),FX12*FY12,"")</f>
        <v>14.780963022433648</v>
      </c>
      <c r="GA12" s="177">
        <f t="shared" si="221"/>
        <v>14.7761404031924</v>
      </c>
      <c r="GB12" s="4">
        <f t="shared" si="222"/>
        <v>-2.3580604946306077E-2</v>
      </c>
      <c r="GC12" s="5">
        <f t="shared" si="223"/>
        <v>0.96662062875198218</v>
      </c>
      <c r="GD12" s="10">
        <f t="shared" si="224"/>
        <v>-0.25512450909602713</v>
      </c>
      <c r="GE12" s="311">
        <f t="shared" si="225"/>
        <v>1.2453257427943154</v>
      </c>
      <c r="GF12" s="341">
        <f t="shared" ref="GF12:GF74" si="247">IF(ISNUMBER($AV12),1/GE12,"")</f>
        <v>0.80300275312397951</v>
      </c>
      <c r="GG12" s="285">
        <f t="shared" si="56"/>
        <v>1.8935290692212708E-2</v>
      </c>
      <c r="GH12" s="286">
        <f t="shared" si="57"/>
        <v>0.77619902611427372</v>
      </c>
      <c r="GI12" s="281">
        <f t="shared" si="58"/>
        <v>0.20486568319351353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8">IF(ISNUMBER($AV12),AZ12,"")</f>
        <v>0.50500556657283369</v>
      </c>
      <c r="GN12" s="280">
        <f t="shared" si="228"/>
        <v>7.7236526058040628E-2</v>
      </c>
      <c r="GO12" s="4">
        <f t="shared" si="229"/>
        <v>1.3974471321644473</v>
      </c>
      <c r="GP12" s="8">
        <f t="shared" ref="GP12:GP74" si="249">IF(ISNUMBER($AV12),FZ12,"")</f>
        <v>14.780963022433648</v>
      </c>
      <c r="GQ12" s="177">
        <f t="shared" si="230"/>
        <v>14.840679225238835</v>
      </c>
      <c r="GR12" s="371">
        <f t="shared" ref="GR12:GR74" si="250">IF(ISNUMBER($AV12),GS12+GU12+GY12,"")</f>
        <v>1599.4248589048223</v>
      </c>
      <c r="GS12" s="342">
        <f t="shared" si="61"/>
        <v>30.285574643714103</v>
      </c>
      <c r="GT12" s="343">
        <f t="shared" si="62"/>
        <v>24.324145887843045</v>
      </c>
      <c r="GU12" s="344">
        <f>IF(ISNUMBER($AV12),$GV12*$GK12,"")</f>
        <v>1241.4720178248826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327.66726643622542</v>
      </c>
      <c r="GZ12" s="345">
        <f t="shared" si="67"/>
        <v>263.16906597378158</v>
      </c>
      <c r="HA12" s="342">
        <f t="shared" si="68"/>
        <v>30.285574643714103</v>
      </c>
      <c r="HB12" s="5">
        <f t="shared" si="231"/>
        <v>1.6384300167041914</v>
      </c>
      <c r="HC12" s="343">
        <f t="shared" si="232"/>
        <v>30.273192759037293</v>
      </c>
      <c r="HD12" s="345">
        <f t="shared" si="233"/>
        <v>0.86592821535658115</v>
      </c>
      <c r="HE12" s="344">
        <f t="shared" si="69"/>
        <v>997.09999999999991</v>
      </c>
      <c r="HF12" s="5">
        <f t="shared" si="70"/>
        <v>91.638430016704191</v>
      </c>
      <c r="HG12" s="343">
        <f t="shared" si="234"/>
        <v>-28.509184114532029</v>
      </c>
      <c r="HH12" s="349">
        <f t="shared" si="235"/>
        <v>996.6923479294519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>
        <f t="shared" si="138"/>
        <v>0.66182326702782379</v>
      </c>
      <c r="HN12" s="910">
        <f t="shared" si="73"/>
        <v>15.999997689886136</v>
      </c>
      <c r="HO12" s="911"/>
      <c r="HP12" s="912"/>
      <c r="HQ12" s="910">
        <f t="shared" si="74"/>
        <v>14.847589540535868</v>
      </c>
      <c r="HR12" s="913">
        <f t="shared" si="75"/>
        <v>14.834240144749884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0.51801723380823927</v>
      </c>
      <c r="HV12" s="872">
        <f t="shared" si="78"/>
        <v>7.9226555558717465E-2</v>
      </c>
      <c r="HW12" s="866">
        <f t="shared" si="79"/>
        <v>29500</v>
      </c>
      <c r="HX12" s="867">
        <f t="shared" si="80"/>
        <v>202.64533333333333</v>
      </c>
      <c r="HY12" s="866">
        <f t="shared" si="81"/>
        <v>14.710373272948617</v>
      </c>
      <c r="HZ12" s="868">
        <f t="shared" si="82"/>
        <v>1273.4590331119214</v>
      </c>
      <c r="IA12" s="869">
        <f t="shared" si="83"/>
        <v>337.29916896835255</v>
      </c>
      <c r="IB12" s="870">
        <f t="shared" si="84"/>
        <v>1625.4685753532226</v>
      </c>
      <c r="IC12" s="841">
        <f t="shared" si="85"/>
        <v>12.540317992082191</v>
      </c>
      <c r="ID12" s="351">
        <f t="shared" si="86"/>
        <v>1085.5999999999999</v>
      </c>
      <c r="IE12" s="843">
        <f t="shared" si="87"/>
        <v>287.54123086098639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3.9324603384725695E-2</v>
      </c>
      <c r="C13" s="572">
        <f t="shared" si="3"/>
        <v>3.1732659161709473</v>
      </c>
      <c r="D13" s="576">
        <f t="shared" si="4"/>
        <v>-0.41060123837333518</v>
      </c>
      <c r="E13" s="580">
        <f t="shared" si="5"/>
        <v>-0.95679515975546048</v>
      </c>
      <c r="F13" s="572">
        <f t="shared" si="6"/>
        <v>0.13589537680660013</v>
      </c>
      <c r="G13" s="579">
        <f t="shared" si="7"/>
        <v>0.2570514906222392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3.9324603384725695E-2</v>
      </c>
      <c r="O13" s="572">
        <f t="shared" si="14"/>
        <v>3.1732659161709473</v>
      </c>
      <c r="P13" s="576">
        <f t="shared" si="15"/>
        <v>-0.41060123837333518</v>
      </c>
      <c r="Q13" s="528">
        <f t="shared" si="140"/>
        <v>89.2900001025113</v>
      </c>
      <c r="R13" s="572">
        <f t="shared" si="101"/>
        <v>3.173509571304868</v>
      </c>
      <c r="S13" s="577">
        <f t="shared" si="102"/>
        <v>-0.41060123837333518</v>
      </c>
      <c r="T13" s="578">
        <f>IF(M13="","",X13*COS(RADIANS(W13)))</f>
        <v>3.1733297173490467</v>
      </c>
      <c r="U13" s="572">
        <f t="shared" si="104"/>
        <v>-3.3786153273577132E-2</v>
      </c>
      <c r="V13" s="579">
        <f t="shared" si="141"/>
        <v>-0.41060123837333518</v>
      </c>
      <c r="W13" s="528">
        <f t="shared" si="16"/>
        <v>359.39000008807307</v>
      </c>
      <c r="X13" s="572">
        <f t="shared" si="105"/>
        <v>3.173509571304868</v>
      </c>
      <c r="Y13" s="573">
        <f t="shared" si="17"/>
        <v>-0.41060123837333518</v>
      </c>
      <c r="Z13" s="575">
        <f t="shared" si="18"/>
        <v>0.95679515975546048</v>
      </c>
      <c r="AA13" s="572">
        <f t="shared" si="19"/>
        <v>-0.13589537680660013</v>
      </c>
      <c r="AB13" s="572">
        <f t="shared" si="20"/>
        <v>-0.2570514906222392</v>
      </c>
      <c r="AC13" s="579">
        <f t="shared" si="106"/>
        <v>1</v>
      </c>
      <c r="AD13" s="580">
        <f>IF(M13="","",Z13*(1/SQRT(Z13^2+AA13^2+AB13^2)))</f>
        <v>0.95679515975546048</v>
      </c>
      <c r="AE13" s="572">
        <f t="shared" si="107"/>
        <v>-0.13589537680660013</v>
      </c>
      <c r="AF13" s="576">
        <f t="shared" si="108"/>
        <v>-0.2570514906222392</v>
      </c>
      <c r="AG13" s="545">
        <f>IF(M13="","",DEGREES(ATAN2(-AF13,AE13)))</f>
        <v>-27.864058861481542</v>
      </c>
      <c r="AH13" s="546">
        <f t="shared" si="110"/>
        <v>16.903630948426972</v>
      </c>
      <c r="AI13" s="528">
        <f t="shared" si="111"/>
        <v>-75.104820317824974</v>
      </c>
      <c r="AJ13" s="529">
        <f t="shared" si="112"/>
        <v>81.916243647673355</v>
      </c>
      <c r="AK13" s="578">
        <f t="shared" si="238"/>
        <v>0.95840564922370286</v>
      </c>
      <c r="AL13" s="572">
        <f t="shared" si="113"/>
        <v>-0.12402879788572334</v>
      </c>
      <c r="AM13" s="577">
        <f t="shared" si="114"/>
        <v>-0.2570514906222392</v>
      </c>
      <c r="AN13" s="524">
        <f t="shared" si="115"/>
        <v>-25.757572038642298</v>
      </c>
      <c r="AO13" s="525">
        <f t="shared" si="116"/>
        <v>16.583330938996543</v>
      </c>
      <c r="AP13" s="528">
        <f t="shared" si="117"/>
        <v>-7.3737564548378822</v>
      </c>
      <c r="AQ13" s="529">
        <f t="shared" si="21"/>
        <v>0.71832371624909963</v>
      </c>
      <c r="AS13" s="932">
        <f t="shared" si="143"/>
        <v>-0.60999991192693415</v>
      </c>
      <c r="AT13" s="928">
        <f t="shared" si="22"/>
        <v>-0.410108182888968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0.62579355018473959</v>
      </c>
      <c r="BA13" s="296">
        <f t="shared" si="24"/>
        <v>9.5710073403372037E-2</v>
      </c>
      <c r="BB13" s="291">
        <f t="shared" si="145"/>
        <v>0.29960818288896801</v>
      </c>
      <c r="BC13" s="9"/>
      <c r="BD13" s="5">
        <f t="shared" si="146"/>
        <v>3.1920000000000002</v>
      </c>
      <c r="BE13" s="6">
        <f t="shared" si="25"/>
        <v>-0.11099305548436716</v>
      </c>
      <c r="BF13" s="4">
        <f t="shared" si="26"/>
        <v>3.9324603384725695E-2</v>
      </c>
      <c r="BG13" s="5">
        <f t="shared" si="27"/>
        <v>3.1732659161709473</v>
      </c>
      <c r="BH13" s="10">
        <f t="shared" si="28"/>
        <v>-0.41060123837333518</v>
      </c>
      <c r="BI13" s="9">
        <f t="shared" si="147"/>
        <v>3.9324603384725695E-2</v>
      </c>
      <c r="BJ13" s="5">
        <f t="shared" si="29"/>
        <v>4.0573249006186511</v>
      </c>
      <c r="BK13" s="8">
        <f t="shared" si="30"/>
        <v>-0.87797658220021491</v>
      </c>
      <c r="BL13" s="173">
        <f t="shared" si="31"/>
        <v>0.33008743159445886</v>
      </c>
      <c r="BM13" s="5">
        <f t="shared" si="32"/>
        <v>3.6204483829335499</v>
      </c>
      <c r="BN13" s="6">
        <f t="shared" si="33"/>
        <v>0.43526211888455602</v>
      </c>
      <c r="BO13" s="4">
        <f t="shared" si="148"/>
        <v>0.95679515975546037</v>
      </c>
      <c r="BP13" s="5">
        <f t="shared" si="239"/>
        <v>-0.13589537680659997</v>
      </c>
      <c r="BQ13" s="5">
        <f t="shared" si="149"/>
        <v>-0.25705149062223909</v>
      </c>
      <c r="BR13" s="6">
        <f t="shared" si="150"/>
        <v>0.28806091683257989</v>
      </c>
      <c r="BS13" s="4">
        <f t="shared" si="118"/>
        <v>0</v>
      </c>
      <c r="BT13" s="5">
        <f t="shared" si="118"/>
        <v>0</v>
      </c>
      <c r="BU13" s="10">
        <f t="shared" si="119"/>
        <v>-0.11099305548436716</v>
      </c>
      <c r="BV13" s="9">
        <f t="shared" si="120"/>
        <v>0</v>
      </c>
      <c r="BW13" s="5">
        <f t="shared" si="121"/>
        <v>1</v>
      </c>
      <c r="BX13" s="8">
        <f t="shared" si="122"/>
        <v>-0.11099305548436716</v>
      </c>
      <c r="BY13" s="173">
        <f t="shared" si="123"/>
        <v>1</v>
      </c>
      <c r="BZ13" s="5">
        <f t="shared" si="124"/>
        <v>0</v>
      </c>
      <c r="CA13" s="6">
        <f t="shared" si="125"/>
        <v>-0.11099305548436716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-0.11099305548436716</v>
      </c>
      <c r="CF13" s="4">
        <f t="shared" si="155"/>
        <v>0.13589537680659997</v>
      </c>
      <c r="CG13" s="5">
        <f t="shared" si="156"/>
        <v>0.95679515975546037</v>
      </c>
      <c r="CH13" s="5">
        <f t="shared" si="157"/>
        <v>0</v>
      </c>
      <c r="CI13" s="4">
        <f t="shared" si="126"/>
        <v>0</v>
      </c>
      <c r="CJ13" s="5">
        <f t="shared" si="127"/>
        <v>2.3296734196050854</v>
      </c>
      <c r="CK13" s="8">
        <f t="shared" si="128"/>
        <v>-0.11099305548436716</v>
      </c>
      <c r="CL13" s="173">
        <f t="shared" si="129"/>
        <v>0.13589537680659997</v>
      </c>
      <c r="CM13" s="5">
        <f t="shared" si="130"/>
        <v>3.2864685793605459</v>
      </c>
      <c r="CN13" s="6">
        <f t="shared" si="131"/>
        <v>-0.11099305548436716</v>
      </c>
      <c r="CO13" s="167">
        <f t="shared" si="35"/>
        <v>0.3125</v>
      </c>
      <c r="CP13" s="4">
        <f t="shared" si="240"/>
        <v>0.93392453116888496</v>
      </c>
      <c r="CQ13" s="5">
        <f t="shared" si="241"/>
        <v>-1.624978498629958</v>
      </c>
      <c r="CR13" s="5">
        <f t="shared" si="158"/>
        <v>0.70530353794761957</v>
      </c>
      <c r="CS13" s="8">
        <f t="shared" si="159"/>
        <v>5.7540169717267275E-3</v>
      </c>
      <c r="CT13" s="9">
        <f t="shared" si="160"/>
        <v>0.91058414187093817</v>
      </c>
      <c r="CU13" s="6">
        <f t="shared" si="161"/>
        <v>0.82936212187711966</v>
      </c>
      <c r="CV13" s="4">
        <f t="shared" si="242"/>
        <v>0.12374417507366563</v>
      </c>
      <c r="CW13" s="5">
        <f t="shared" si="162"/>
        <v>3.2009159190972785</v>
      </c>
      <c r="CX13" s="8">
        <f t="shared" si="163"/>
        <v>-0.11099305548436716</v>
      </c>
      <c r="CY13" s="9">
        <f t="shared" si="164"/>
        <v>0.11270647806161246</v>
      </c>
      <c r="CZ13" s="5">
        <f t="shared" si="165"/>
        <v>3.123203083501632</v>
      </c>
      <c r="DA13" s="6">
        <f t="shared" si="166"/>
        <v>-0.11099305548436716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0.12374417507366563</v>
      </c>
      <c r="DM13" s="173">
        <f t="shared" si="176"/>
        <v>3.2009159190972785</v>
      </c>
      <c r="DN13" s="178">
        <f t="shared" si="177"/>
        <v>9.8890069445156321</v>
      </c>
      <c r="DO13" s="9">
        <f t="shared" si="178"/>
        <v>-1.1037697012053163E-2</v>
      </c>
      <c r="DP13" s="173">
        <f t="shared" si="179"/>
        <v>-7.7712835595646457E-2</v>
      </c>
      <c r="DQ13" s="11">
        <f t="shared" si="180"/>
        <v>0</v>
      </c>
      <c r="DR13" s="173">
        <f t="shared" si="181"/>
        <v>197.78013889031263</v>
      </c>
      <c r="DS13" s="5">
        <f t="shared" si="182"/>
        <v>0</v>
      </c>
      <c r="DT13" s="5">
        <f t="shared" si="183"/>
        <v>400</v>
      </c>
      <c r="DU13" s="5">
        <f t="shared" si="184"/>
        <v>6.1611155716458617E-3</v>
      </c>
      <c r="DV13" s="5">
        <f t="shared" si="185"/>
        <v>-0.25011810328776396</v>
      </c>
      <c r="DW13" s="5">
        <f t="shared" si="186"/>
        <v>108.05363369067344</v>
      </c>
      <c r="DX13" s="167">
        <f t="shared" si="187"/>
        <v>97.864769690673441</v>
      </c>
      <c r="DY13" s="9">
        <f t="shared" si="188"/>
        <v>2.4644462286583448</v>
      </c>
      <c r="DZ13" s="5">
        <f t="shared" si="189"/>
        <v>-100.04724131510558</v>
      </c>
      <c r="EA13" s="10">
        <f t="shared" si="190"/>
        <v>28.92453679801838</v>
      </c>
      <c r="EB13" s="6">
        <f t="shared" si="191"/>
        <v>9938.1675291354022</v>
      </c>
      <c r="EC13" s="173">
        <f t="shared" si="192"/>
        <v>81.04765981421771</v>
      </c>
      <c r="ED13" s="5">
        <f t="shared" si="193"/>
        <v>0.14481267853514521</v>
      </c>
      <c r="EE13" s="4">
        <f t="shared" si="194"/>
        <v>-0.77083533749162636</v>
      </c>
      <c r="EF13" s="5">
        <f t="shared" si="195"/>
        <v>-3.0975275434569047</v>
      </c>
      <c r="EG13" s="10">
        <f t="shared" si="196"/>
        <v>-0.11099305548436716</v>
      </c>
      <c r="EH13" s="9">
        <f t="shared" si="197"/>
        <v>0.12214577660449084</v>
      </c>
      <c r="EI13" s="5">
        <f t="shared" si="198"/>
        <v>3.1896621152181117</v>
      </c>
      <c r="EJ13" s="6">
        <f t="shared" si="199"/>
        <v>-0.11099305548436716</v>
      </c>
      <c r="EK13" s="236" t="b">
        <f t="shared" si="200"/>
        <v>0</v>
      </c>
      <c r="EL13" s="238" t="b">
        <f t="shared" si="201"/>
        <v>1</v>
      </c>
      <c r="EM13" s="4">
        <f t="shared" si="202"/>
        <v>0.12214577660449084</v>
      </c>
      <c r="EN13" s="5">
        <f t="shared" si="203"/>
        <v>3.1896621152181117</v>
      </c>
      <c r="EO13" s="10">
        <f t="shared" si="204"/>
        <v>-0.11099305548436716</v>
      </c>
      <c r="EP13" s="9">
        <f t="shared" si="205"/>
        <v>87.80697162151057</v>
      </c>
      <c r="EQ13" s="5">
        <f t="shared" si="206"/>
        <v>3.1919999999999988</v>
      </c>
      <c r="ER13" s="7">
        <f t="shared" si="207"/>
        <v>-0.11099305548436716</v>
      </c>
      <c r="ES13" s="21">
        <f t="shared" si="132"/>
        <v>0.95679515975546048</v>
      </c>
      <c r="ET13" s="5">
        <f t="shared" si="44"/>
        <v>-0.13589537680660013</v>
      </c>
      <c r="EU13" s="10">
        <f t="shared" si="45"/>
        <v>-0.2570514906222392</v>
      </c>
      <c r="EV13" s="174">
        <f t="shared" si="46"/>
        <v>2.19302837848943</v>
      </c>
      <c r="EW13" s="9">
        <f t="shared" si="133"/>
        <v>0.96129458628855147</v>
      </c>
      <c r="EX13" s="5">
        <f t="shared" si="47"/>
        <v>-9.9182909521790208E-2</v>
      </c>
      <c r="EY13" s="6">
        <f t="shared" si="208"/>
        <v>-0.2570514906222392</v>
      </c>
      <c r="EZ13" s="51">
        <f t="shared" si="209"/>
        <v>0.7141630853638723</v>
      </c>
      <c r="FA13" s="266">
        <f t="shared" si="134"/>
        <v>0.99918995601062244</v>
      </c>
      <c r="FB13" s="267">
        <f t="shared" si="135"/>
        <v>-3.8263248188587194E-2</v>
      </c>
      <c r="FC13" s="269">
        <f t="shared" si="48"/>
        <v>-1.2464174483257899E-2</v>
      </c>
      <c r="FD13" s="4">
        <f t="shared" si="136"/>
        <v>0.99992231916006913</v>
      </c>
      <c r="FE13" s="5">
        <f t="shared" si="49"/>
        <v>-1.2490009027033011E-16</v>
      </c>
      <c r="FF13" s="7">
        <f t="shared" si="210"/>
        <v>-1.2464174483257899E-2</v>
      </c>
      <c r="FG13" s="173">
        <f t="shared" si="211"/>
        <v>-3.8627732871517662E-2</v>
      </c>
      <c r="FH13" s="5">
        <f t="shared" si="50"/>
        <v>-9.9182909521790083E-2</v>
      </c>
      <c r="FI13" s="10">
        <f t="shared" si="51"/>
        <v>-0.2445873161389813</v>
      </c>
      <c r="FJ13" s="279">
        <f t="shared" si="212"/>
        <v>15.328976161845729</v>
      </c>
      <c r="FK13" s="4">
        <f t="shared" si="52"/>
        <v>0.96639770859045659</v>
      </c>
      <c r="FL13" s="5">
        <f t="shared" si="213"/>
        <v>0.99992231916006913</v>
      </c>
      <c r="FM13" s="8">
        <f t="shared" si="214"/>
        <v>0.10643942544001693</v>
      </c>
      <c r="FN13" s="9">
        <f t="shared" si="215"/>
        <v>5.8907279738371958</v>
      </c>
      <c r="FO13" s="10">
        <f t="shared" si="53"/>
        <v>1</v>
      </c>
      <c r="FP13" s="277">
        <f t="shared" si="54"/>
        <v>5.8907279738371958</v>
      </c>
      <c r="FQ13" s="173">
        <f t="shared" si="243"/>
        <v>0.10263156528635978</v>
      </c>
      <c r="FR13" s="10">
        <f t="shared" si="216"/>
        <v>0.9947194387398246</v>
      </c>
      <c r="FS13" s="9">
        <f t="shared" si="217"/>
        <v>9.3526651827723517E-2</v>
      </c>
      <c r="FT13" s="6">
        <f t="shared" si="218"/>
        <v>0.90647334817227643</v>
      </c>
      <c r="FU13" s="4">
        <f t="shared" si="219"/>
        <v>0.99506921892840827</v>
      </c>
      <c r="FV13" s="5">
        <f t="shared" si="220"/>
        <v>1</v>
      </c>
      <c r="FW13" s="8">
        <f t="shared" si="244"/>
        <v>0.24761877344592292</v>
      </c>
      <c r="FX13" s="9">
        <f t="shared" si="245"/>
        <v>14.256547655051014</v>
      </c>
      <c r="FY13" s="10">
        <f t="shared" si="55"/>
        <v>1</v>
      </c>
      <c r="FZ13" s="277">
        <f t="shared" si="246"/>
        <v>14.256547655051014</v>
      </c>
      <c r="GA13" s="177">
        <f t="shared" si="221"/>
        <v>14.185538605663154</v>
      </c>
      <c r="GB13" s="4">
        <f t="shared" si="222"/>
        <v>-9.9470797717799181E-2</v>
      </c>
      <c r="GC13" s="5">
        <f t="shared" si="223"/>
        <v>0.96408483881909579</v>
      </c>
      <c r="GD13" s="10">
        <f t="shared" si="224"/>
        <v>-0.24626405332598322</v>
      </c>
      <c r="GE13" s="311">
        <f t="shared" si="225"/>
        <v>1.3098196898628782</v>
      </c>
      <c r="GF13" s="341">
        <f t="shared" si="247"/>
        <v>0.76346386280441969</v>
      </c>
      <c r="GG13" s="285">
        <f t="shared" si="56"/>
        <v>7.5942359461868017E-2</v>
      </c>
      <c r="GH13" s="286">
        <f t="shared" si="57"/>
        <v>0.73604393511600319</v>
      </c>
      <c r="GI13" s="281">
        <f t="shared" si="58"/>
        <v>0.18801370542212875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8"/>
        <v>0.62579355018473959</v>
      </c>
      <c r="GN13" s="280">
        <f t="shared" si="228"/>
        <v>9.5710073403372037E-2</v>
      </c>
      <c r="GO13" s="4">
        <f t="shared" si="229"/>
        <v>5.8907279738371958</v>
      </c>
      <c r="GP13" s="8">
        <f t="shared" si="249"/>
        <v>14.256547655051014</v>
      </c>
      <c r="GQ13" s="177">
        <f t="shared" si="230"/>
        <v>15.328976161845729</v>
      </c>
      <c r="GR13" s="371">
        <f t="shared" si="250"/>
        <v>2090.1050478212182</v>
      </c>
      <c r="GS13" s="342">
        <f t="shared" si="61"/>
        <v>158.72750885470379</v>
      </c>
      <c r="GT13" s="343">
        <f t="shared" si="62"/>
        <v>94.963553551578741</v>
      </c>
      <c r="GU13" s="344">
        <f t="shared" si="63"/>
        <v>1538.4091442041515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>
        <f t="shared" si="66"/>
        <v>392.96839476236283</v>
      </c>
      <c r="GZ13" s="345">
        <f t="shared" si="67"/>
        <v>235.10527865874519</v>
      </c>
      <c r="HA13" s="342">
        <f t="shared" si="68"/>
        <v>158.72750885470379</v>
      </c>
      <c r="HB13" s="5">
        <f t="shared" si="231"/>
        <v>2.19302837848943</v>
      </c>
      <c r="HC13" s="343">
        <f t="shared" si="232"/>
        <v>158.61125364561286</v>
      </c>
      <c r="HD13" s="345">
        <f t="shared" si="233"/>
        <v>6.0739018914642688</v>
      </c>
      <c r="HE13" s="344">
        <f t="shared" si="69"/>
        <v>920.4</v>
      </c>
      <c r="HF13" s="5">
        <f t="shared" si="70"/>
        <v>92.19302837848943</v>
      </c>
      <c r="HG13" s="343">
        <f t="shared" si="234"/>
        <v>-35.22022956979108</v>
      </c>
      <c r="HH13" s="349">
        <f t="shared" si="235"/>
        <v>919.72588059108739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>
        <f t="shared" si="138"/>
        <v>1.3974471321644473</v>
      </c>
      <c r="HN13" s="910">
        <f t="shared" si="73"/>
        <v>15.99999768988615</v>
      </c>
      <c r="HO13" s="911"/>
      <c r="HP13" s="912"/>
      <c r="HQ13" s="910">
        <f t="shared" si="74"/>
        <v>14.840679225238835</v>
      </c>
      <c r="HR13" s="913">
        <f t="shared" si="75"/>
        <v>14.780963022433648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0.50500556657283369</v>
      </c>
      <c r="HV13" s="872">
        <f t="shared" si="78"/>
        <v>7.7236526058040628E-2</v>
      </c>
      <c r="HW13" s="866">
        <f t="shared" si="79"/>
        <v>29500</v>
      </c>
      <c r="HX13" s="867">
        <f t="shared" si="80"/>
        <v>197.55874666666668</v>
      </c>
      <c r="HY13" s="866">
        <f t="shared" si="81"/>
        <v>30.285574643714103</v>
      </c>
      <c r="HZ13" s="868">
        <f>IF(ISNUMBER($HL13),INDEX(GU$9:GU$150,MATCH($HL13,$AV$9:$AV$150,0)),"")</f>
        <v>1241.4720178248826</v>
      </c>
      <c r="IA13" s="869">
        <f t="shared" si="83"/>
        <v>327.66726643622542</v>
      </c>
      <c r="IB13" s="870">
        <f t="shared" si="84"/>
        <v>1599.4248589048223</v>
      </c>
      <c r="IC13" s="841">
        <f t="shared" si="85"/>
        <v>24.324145887843045</v>
      </c>
      <c r="ID13" s="351">
        <f t="shared" si="86"/>
        <v>997.09999999999991</v>
      </c>
      <c r="IE13" s="843">
        <f t="shared" si="87"/>
        <v>263.16906597378158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9.6711503097395971E-2</v>
      </c>
      <c r="C14" s="572">
        <f t="shared" si="3"/>
        <v>3.7686706705708866</v>
      </c>
      <c r="D14" s="576">
        <f t="shared" si="4"/>
        <v>-0.86050259527582806</v>
      </c>
      <c r="E14" s="580">
        <f t="shared" si="5"/>
        <v>-0.93308125780712914</v>
      </c>
      <c r="F14" s="572">
        <f t="shared" si="6"/>
        <v>0.25025885196680336</v>
      </c>
      <c r="G14" s="579">
        <f t="shared" si="7"/>
        <v>0.25832125994838978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9.6711503097395971E-2</v>
      </c>
      <c r="O14" s="572">
        <f t="shared" si="14"/>
        <v>3.7686706705708866</v>
      </c>
      <c r="P14" s="576">
        <f t="shared" si="15"/>
        <v>-0.86050259527582806</v>
      </c>
      <c r="Q14" s="528">
        <f t="shared" si="140"/>
        <v>88.530000212241717</v>
      </c>
      <c r="R14" s="572">
        <f t="shared" si="101"/>
        <v>3.7699113700526929</v>
      </c>
      <c r="S14" s="577">
        <f>IF(M14="","",P14)</f>
        <v>-0.86050259527582806</v>
      </c>
      <c r="T14" s="578">
        <f t="shared" si="103"/>
        <v>3.7688337238656162</v>
      </c>
      <c r="U14" s="572">
        <f t="shared" si="104"/>
        <v>-9.0133788924038893E-2</v>
      </c>
      <c r="V14" s="579">
        <f t="shared" si="141"/>
        <v>-0.86050259527582806</v>
      </c>
      <c r="W14" s="528">
        <f>IF(M14="","",IF(Q14-$Q$8&lt;0,360+Q14-$Q$8,Q14-$Q$8))</f>
        <v>358.6300001978035</v>
      </c>
      <c r="X14" s="572">
        <f t="shared" si="105"/>
        <v>3.7699113700526929</v>
      </c>
      <c r="Y14" s="573">
        <f t="shared" si="17"/>
        <v>-0.86050259527582806</v>
      </c>
      <c r="Z14" s="575">
        <f t="shared" si="18"/>
        <v>0.93308125780712914</v>
      </c>
      <c r="AA14" s="572">
        <f t="shared" si="19"/>
        <v>-0.25025885196680336</v>
      </c>
      <c r="AB14" s="572">
        <f t="shared" si="20"/>
        <v>-0.25832125994838978</v>
      </c>
      <c r="AC14" s="579">
        <f t="shared" si="106"/>
        <v>1</v>
      </c>
      <c r="AD14" s="580">
        <f>IF(M14="","",Z14*(1/SQRT(Z14^2+AA14^2+AB14^2)))</f>
        <v>0.93308125780712914</v>
      </c>
      <c r="AE14" s="572">
        <f t="shared" si="107"/>
        <v>-0.25025885196680336</v>
      </c>
      <c r="AF14" s="576">
        <f t="shared" si="108"/>
        <v>-0.25832125994838978</v>
      </c>
      <c r="AG14" s="545">
        <f t="shared" si="109"/>
        <v>-44.091778761887781</v>
      </c>
      <c r="AH14" s="546">
        <f t="shared" si="110"/>
        <v>21.079662721528166</v>
      </c>
      <c r="AI14" s="528">
        <f t="shared" si="111"/>
        <v>-75.02952506291345</v>
      </c>
      <c r="AJ14" s="529">
        <f t="shared" si="112"/>
        <v>74.986223270006462</v>
      </c>
      <c r="AK14" s="578">
        <f>IF(M14="","",(COS(RADIANS((90-$Q$8)-W14))*AD14)+(-SIN(RADIANS((90-$Q$8)-W14))*AE14))</f>
        <v>0.93919419629347123</v>
      </c>
      <c r="AL14" s="572">
        <f t="shared" si="113"/>
        <v>-0.22623967005663978</v>
      </c>
      <c r="AM14" s="577">
        <f t="shared" si="114"/>
        <v>-0.25832125994838978</v>
      </c>
      <c r="AN14" s="524">
        <f t="shared" si="115"/>
        <v>-41.212115261827954</v>
      </c>
      <c r="AO14" s="525">
        <f t="shared" si="116"/>
        <v>20.08333043365915</v>
      </c>
      <c r="AP14" s="528">
        <f>IF(M14="","",DEGREES(ATAN2(AK14,AL14)))</f>
        <v>-13.543776942235242</v>
      </c>
      <c r="AQ14" s="529">
        <f t="shared" si="21"/>
        <v>0.60469378860458078</v>
      </c>
      <c r="AS14" s="932">
        <f t="shared" si="143"/>
        <v>-1.369999802196503</v>
      </c>
      <c r="AT14" s="928">
        <f>IF(M14="","",Y14+(((AS14-$AS$9)*$AS$6)*-1))</f>
        <v>-0.8594817620898848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0.62263622932338236</v>
      </c>
      <c r="BA14" s="296">
        <f t="shared" si="24"/>
        <v>9.5227186656921411E-2</v>
      </c>
      <c r="BB14" s="291">
        <f>IF(ISNUMBER($AV14),$AX14-($AT14+$AS$5),"")</f>
        <v>0.31248176208988482</v>
      </c>
      <c r="BC14" s="9"/>
      <c r="BD14" s="5">
        <f t="shared" si="146"/>
        <v>3.9011999999999998</v>
      </c>
      <c r="BE14" s="6">
        <f>IF(ISNUMBER(AV14),Y14+BB14,"")</f>
        <v>-0.5480208331859433</v>
      </c>
      <c r="BF14" s="4">
        <f t="shared" si="26"/>
        <v>9.6711503097395971E-2</v>
      </c>
      <c r="BG14" s="5">
        <f t="shared" si="27"/>
        <v>3.7686706705708866</v>
      </c>
      <c r="BH14" s="10">
        <f t="shared" si="28"/>
        <v>-0.86050259527582806</v>
      </c>
      <c r="BI14" s="9">
        <f t="shared" si="147"/>
        <v>9.6711503097395971E-2</v>
      </c>
      <c r="BJ14" s="5">
        <f t="shared" si="29"/>
        <v>4.4868968158493301</v>
      </c>
      <c r="BK14" s="8">
        <f t="shared" si="30"/>
        <v>-1.5563123424326699</v>
      </c>
      <c r="BL14" s="173">
        <f t="shared" si="31"/>
        <v>0.45637713438438143</v>
      </c>
      <c r="BM14" s="5">
        <f t="shared" si="32"/>
        <v>4.4179177046424529</v>
      </c>
      <c r="BN14" s="6">
        <f t="shared" si="33"/>
        <v>-0.19033924024945204</v>
      </c>
      <c r="BO14" s="4">
        <f t="shared" si="148"/>
        <v>0.93308125780713003</v>
      </c>
      <c r="BP14" s="5">
        <f t="shared" si="239"/>
        <v>-0.2502588519668032</v>
      </c>
      <c r="BQ14" s="5">
        <f t="shared" si="149"/>
        <v>-0.25832125994838928</v>
      </c>
      <c r="BR14" s="6">
        <f t="shared" si="150"/>
        <v>0.63061738990298521</v>
      </c>
      <c r="BS14" s="4">
        <f t="shared" si="118"/>
        <v>0</v>
      </c>
      <c r="BT14" s="5">
        <f t="shared" si="118"/>
        <v>0</v>
      </c>
      <c r="BU14" s="10">
        <f t="shared" si="119"/>
        <v>-0.5480208331859433</v>
      </c>
      <c r="BV14" s="9">
        <f t="shared" si="120"/>
        <v>0</v>
      </c>
      <c r="BW14" s="5">
        <f t="shared" si="121"/>
        <v>1</v>
      </c>
      <c r="BX14" s="8">
        <f t="shared" si="122"/>
        <v>-0.5480208331859433</v>
      </c>
      <c r="BY14" s="173">
        <f t="shared" si="123"/>
        <v>1</v>
      </c>
      <c r="BZ14" s="5">
        <f t="shared" si="124"/>
        <v>0</v>
      </c>
      <c r="CA14" s="6">
        <f t="shared" si="125"/>
        <v>-0.5480208331859433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-0.5480208331859433</v>
      </c>
      <c r="CF14" s="4">
        <f t="shared" si="155"/>
        <v>0.2502588519668032</v>
      </c>
      <c r="CG14" s="5">
        <f t="shared" si="156"/>
        <v>0.93308125780713003</v>
      </c>
      <c r="CH14" s="5">
        <f t="shared" si="157"/>
        <v>0</v>
      </c>
      <c r="CI14" s="4">
        <f t="shared" si="126"/>
        <v>0</v>
      </c>
      <c r="CJ14" s="5">
        <f t="shared" si="127"/>
        <v>3.085536499272258</v>
      </c>
      <c r="CK14" s="8">
        <f t="shared" si="128"/>
        <v>-0.5480208331859433</v>
      </c>
      <c r="CL14" s="173">
        <f t="shared" si="129"/>
        <v>0.2502588519668032</v>
      </c>
      <c r="CM14" s="5">
        <f t="shared" si="130"/>
        <v>4.0186177570793884</v>
      </c>
      <c r="CN14" s="6">
        <f t="shared" si="131"/>
        <v>-0.5480208331859433</v>
      </c>
      <c r="CO14" s="167">
        <f t="shared" si="35"/>
        <v>0.3125</v>
      </c>
      <c r="CP14" s="4">
        <f t="shared" si="240"/>
        <v>0.93327012665867881</v>
      </c>
      <c r="CQ14" s="5">
        <f t="shared" si="241"/>
        <v>-1.3232452030869883</v>
      </c>
      <c r="CR14" s="5">
        <f t="shared" si="158"/>
        <v>0.47601401246601682</v>
      </c>
      <c r="CS14" s="8">
        <f t="shared" si="159"/>
        <v>-2.602076332913672E-2</v>
      </c>
      <c r="CT14" s="9" t="e">
        <f t="shared" si="160"/>
        <v>#NUM!</v>
      </c>
      <c r="CU14" s="6" t="e">
        <f t="shared" si="161"/>
        <v>#NUM!</v>
      </c>
      <c r="CV14" s="4" t="e">
        <f>IF(ISNUMBER($AV14),CI14+($CT14*(CL14-CI14)),"")</f>
        <v>#NUM!</v>
      </c>
      <c r="CW14" s="5" t="e">
        <f t="shared" si="162"/>
        <v>#NUM!</v>
      </c>
      <c r="CX14" s="8" t="e">
        <f t="shared" si="163"/>
        <v>#NUM!</v>
      </c>
      <c r="CY14" s="9" t="e">
        <f t="shared" si="164"/>
        <v>#NUM!</v>
      </c>
      <c r="CZ14" s="5" t="e">
        <f t="shared" si="165"/>
        <v>#NUM!</v>
      </c>
      <c r="DA14" s="6" t="e">
        <f t="shared" si="166"/>
        <v>#NUM!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 t="e">
        <f t="shared" si="175"/>
        <v>#NUM!</v>
      </c>
      <c r="DM14" s="173" t="e">
        <f t="shared" si="176"/>
        <v>#NUM!</v>
      </c>
      <c r="DN14" s="178" t="e">
        <f t="shared" si="177"/>
        <v>#NUM!</v>
      </c>
      <c r="DO14" s="9" t="e">
        <f t="shared" si="178"/>
        <v>#NUM!</v>
      </c>
      <c r="DP14" s="173" t="e">
        <f t="shared" si="179"/>
        <v>#NUM!</v>
      </c>
      <c r="DQ14" s="11" t="e">
        <f t="shared" si="180"/>
        <v>#NUM!</v>
      </c>
      <c r="DR14" s="173" t="e">
        <f t="shared" si="181"/>
        <v>#NUM!</v>
      </c>
      <c r="DS14" s="5" t="e">
        <f t="shared" si="182"/>
        <v>#NUM!</v>
      </c>
      <c r="DT14" s="5">
        <f t="shared" si="183"/>
        <v>400</v>
      </c>
      <c r="DU14" s="5" t="e">
        <f t="shared" si="184"/>
        <v>#NUM!</v>
      </c>
      <c r="DV14" s="5" t="e">
        <f t="shared" si="185"/>
        <v>#NUM!</v>
      </c>
      <c r="DW14" s="5" t="e">
        <f t="shared" si="186"/>
        <v>#NUM!</v>
      </c>
      <c r="DX14" s="167" t="e">
        <f t="shared" si="187"/>
        <v>#NUM!</v>
      </c>
      <c r="DY14" s="9" t="e">
        <f t="shared" si="188"/>
        <v>#NUM!</v>
      </c>
      <c r="DZ14" s="5" t="e">
        <f t="shared" si="189"/>
        <v>#NUM!</v>
      </c>
      <c r="EA14" s="10" t="e">
        <f t="shared" si="190"/>
        <v>#NUM!</v>
      </c>
      <c r="EB14" s="6" t="e">
        <f t="shared" si="191"/>
        <v>#NUM!</v>
      </c>
      <c r="EC14" s="173" t="e">
        <f t="shared" si="192"/>
        <v>#NUM!</v>
      </c>
      <c r="ED14" s="5" t="e">
        <f t="shared" si="193"/>
        <v>#NUM!</v>
      </c>
      <c r="EE14" s="4" t="e">
        <f t="shared" si="194"/>
        <v>#NUM!</v>
      </c>
      <c r="EF14" s="5" t="e">
        <f t="shared" si="195"/>
        <v>#NUM!</v>
      </c>
      <c r="EG14" s="10" t="e">
        <f t="shared" si="196"/>
        <v>#NUM!</v>
      </c>
      <c r="EH14" s="9" t="e">
        <f t="shared" si="197"/>
        <v>#NUM!</v>
      </c>
      <c r="EI14" s="5" t="e">
        <f t="shared" si="198"/>
        <v>#NUM!</v>
      </c>
      <c r="EJ14" s="6" t="e">
        <f t="shared" si="199"/>
        <v>#NUM!</v>
      </c>
      <c r="EK14" s="236" t="e">
        <f t="shared" si="200"/>
        <v>#NUM!</v>
      </c>
      <c r="EL14" s="238" t="e">
        <f t="shared" si="201"/>
        <v>#NUM!</v>
      </c>
      <c r="EM14" s="4" t="e">
        <f t="shared" si="202"/>
        <v>#NUM!</v>
      </c>
      <c r="EN14" s="5" t="e">
        <f t="shared" si="203"/>
        <v>#NUM!</v>
      </c>
      <c r="EO14" s="10" t="e">
        <f t="shared" si="204"/>
        <v>#NUM!</v>
      </c>
      <c r="EP14" s="9" t="e">
        <f>IF(ISNUMBER($AV14),IF(DEGREES(ATAN2(EM14,EN14))&lt;0,DEGREES(ATAN2(EM14,EN14))+360,IF(DEGREES(ATAN2(EM14,EN14))&gt;360,DEGREES(ATAN2(EM14,EN14))-360,DEGREES(ATAN2(EM14,EN14)))),"")</f>
        <v>#NUM!</v>
      </c>
      <c r="EQ14" s="5" t="e">
        <f t="shared" si="206"/>
        <v>#NUM!</v>
      </c>
      <c r="ER14" s="7" t="e">
        <f t="shared" si="207"/>
        <v>#NUM!</v>
      </c>
      <c r="ES14" s="21">
        <f>IF(ISNUMBER($AV14),AD14,"")</f>
        <v>0.93308125780712914</v>
      </c>
      <c r="ET14" s="5">
        <f t="shared" si="44"/>
        <v>-0.25025885196680336</v>
      </c>
      <c r="EU14" s="10">
        <f t="shared" si="45"/>
        <v>-0.25832125994838978</v>
      </c>
      <c r="EV14" s="174" t="e">
        <f t="shared" si="46"/>
        <v>#NUM!</v>
      </c>
      <c r="EW14" s="9" t="e">
        <f>IF(ISNUMBER($AV14),(COS(RADIANS($EV14))*ES14)+(-SIN(RADIANS($EV14))*ET14),"")</f>
        <v>#NUM!</v>
      </c>
      <c r="EX14" s="5" t="e">
        <f t="shared" si="47"/>
        <v>#NUM!</v>
      </c>
      <c r="EY14" s="6">
        <f t="shared" si="208"/>
        <v>-0.25832125994838978</v>
      </c>
      <c r="EZ14" s="51" t="e">
        <f>IF(ISNUMBER($AV14),DEGREES(ATAN($AS$5/($EQ14*2*PI()))),"")</f>
        <v>#NUM!</v>
      </c>
      <c r="FA14" s="266" t="e">
        <f>IF(ISNUMBER($AV14),SIN(RADIANS($EP14))*COS(RADIANS($EZ14)),"")</f>
        <v>#NUM!</v>
      </c>
      <c r="FB14" s="267" t="e">
        <f>IF(ISNUMBER($AV14),-1*COS(RADIANS($EP14))*COS(RADIANS($EZ14)),"")</f>
        <v>#NUM!</v>
      </c>
      <c r="FC14" s="269" t="e">
        <f>IF(ISNUMBER($AV14),-1*SIN(RADIANS($EZ14)),"")</f>
        <v>#NUM!</v>
      </c>
      <c r="FD14" s="4" t="e">
        <f>IF(ISNUMBER($AV14),(COS(RADIANS($EV14))*FA14)+(-SIN(RADIANS($EV14))*FB14),"")</f>
        <v>#NUM!</v>
      </c>
      <c r="FE14" s="5" t="e">
        <f t="shared" si="49"/>
        <v>#NUM!</v>
      </c>
      <c r="FF14" s="7" t="e">
        <f t="shared" si="210"/>
        <v>#NUM!</v>
      </c>
      <c r="FG14" s="173" t="e">
        <f>IF(ISNUMBER($AV14),EW14-FD14,"")</f>
        <v>#NUM!</v>
      </c>
      <c r="FH14" s="5" t="e">
        <f>IF(ISNUMBER($AV14),EX14-FE14,"")</f>
        <v>#NUM!</v>
      </c>
      <c r="FI14" s="10" t="e">
        <f>IF(ISNUMBER($AV14),EY14-FF14,"")</f>
        <v>#NUM!</v>
      </c>
      <c r="FJ14" s="967" t="e">
        <f>IF(ISNUMBER($AV14),DEGREES(ACOS((2-SQRT((FG14)^2+(FH14)^2+(FI14)^2)^2)/2)),"")</f>
        <v>#NUM!</v>
      </c>
      <c r="FK14" s="4">
        <f t="shared" si="52"/>
        <v>0.9660590699634658</v>
      </c>
      <c r="FL14" s="5" t="e">
        <f t="shared" si="213"/>
        <v>#NUM!</v>
      </c>
      <c r="FM14" s="8" t="e">
        <f t="shared" si="214"/>
        <v>#NUM!</v>
      </c>
      <c r="FN14" s="9" t="e">
        <f>IF(ISNUMBER($AV14),DEGREES(ACOS((FK14^2+FL14^2-FM14^2)/(2*FK14*FL14))),"")</f>
        <v>#NUM!</v>
      </c>
      <c r="FO14" s="10" t="e">
        <f t="shared" si="53"/>
        <v>#NUM!</v>
      </c>
      <c r="FP14" s="277" t="e">
        <f>IF(ISNUMBER($AV14),FN14*FO14,"")</f>
        <v>#NUM!</v>
      </c>
      <c r="FQ14" s="173" t="e">
        <f t="shared" si="243"/>
        <v>#NUM!</v>
      </c>
      <c r="FR14" s="10" t="e">
        <f t="shared" si="216"/>
        <v>#NUM!</v>
      </c>
      <c r="FS14" s="9" t="e">
        <f t="shared" si="217"/>
        <v>#NUM!</v>
      </c>
      <c r="FT14" s="6" t="e">
        <f t="shared" si="218"/>
        <v>#NUM!</v>
      </c>
      <c r="FU14" s="4" t="e">
        <f t="shared" si="219"/>
        <v>#NUM!</v>
      </c>
      <c r="FV14" s="5" t="e">
        <f t="shared" si="220"/>
        <v>#NUM!</v>
      </c>
      <c r="FW14" s="8" t="e">
        <f t="shared" si="244"/>
        <v>#NUM!</v>
      </c>
      <c r="FX14" s="9" t="e">
        <f t="shared" si="245"/>
        <v>#NUM!</v>
      </c>
      <c r="FY14" s="10" t="e">
        <f t="shared" si="55"/>
        <v>#NUM!</v>
      </c>
      <c r="FZ14" s="277" t="e">
        <f t="shared" si="246"/>
        <v>#NUM!</v>
      </c>
      <c r="GA14" s="177" t="e">
        <f t="shared" si="221"/>
        <v>#NUM!</v>
      </c>
      <c r="GB14" s="4" t="e">
        <f>IF(ISNUMBER($AV14),COS(RADIANS(FP14+90))*COS(RADIANS(FZ14)),"")</f>
        <v>#NUM!</v>
      </c>
      <c r="GC14" s="5" t="e">
        <f t="shared" si="223"/>
        <v>#NUM!</v>
      </c>
      <c r="GD14" s="10" t="e">
        <f t="shared" si="224"/>
        <v>#NUM!</v>
      </c>
      <c r="GE14" s="311" t="e">
        <f t="shared" si="225"/>
        <v>#NUM!</v>
      </c>
      <c r="GF14" s="341" t="e">
        <f>IF(ISNUMBER($AV14),1/GE14,"")</f>
        <v>#NUM!</v>
      </c>
      <c r="GG14" s="285" t="e">
        <f>IF(ISNUMBER($AV14),ABS(GB14)/(ABS($GB14)+ABS($GC14)+ABS($GD14)),"")</f>
        <v>#NUM!</v>
      </c>
      <c r="GH14" s="286" t="e">
        <f>IF(ISNUMBER($AV14),ABS(GC14)/(ABS($GB14)+ABS($GC14)+ABS($GD14)),"")</f>
        <v>#NUM!</v>
      </c>
      <c r="GI14" s="281" t="e">
        <f t="shared" si="58"/>
        <v>#NUM!</v>
      </c>
      <c r="GJ14" s="167">
        <f t="shared" si="226"/>
        <v>3.9011999999999998</v>
      </c>
      <c r="GK14" s="174">
        <f t="shared" si="59"/>
        <v>2.0427697812446928</v>
      </c>
      <c r="GL14" s="174">
        <f t="shared" si="227"/>
        <v>2.5399999999999999E-2</v>
      </c>
      <c r="GM14" s="177">
        <f t="shared" si="248"/>
        <v>0.62263622932338236</v>
      </c>
      <c r="GN14" s="280">
        <f t="shared" si="228"/>
        <v>9.5227186656921411E-2</v>
      </c>
      <c r="GO14" s="4" t="e">
        <f t="shared" si="229"/>
        <v>#NUM!</v>
      </c>
      <c r="GP14" s="8" t="e">
        <f t="shared" si="249"/>
        <v>#NUM!</v>
      </c>
      <c r="GQ14" s="177" t="e">
        <f t="shared" si="230"/>
        <v>#NUM!</v>
      </c>
      <c r="GR14" s="371" t="e">
        <f t="shared" si="250"/>
        <v>#NUM!</v>
      </c>
      <c r="GS14" s="342" t="e">
        <f>IF(ISNUMBER($AV14),GU14/GH14*GG14,"")</f>
        <v>#NUM!</v>
      </c>
      <c r="GT14" s="343" t="e">
        <f t="shared" si="62"/>
        <v>#NUM!</v>
      </c>
      <c r="GU14" s="344">
        <f t="shared" si="63"/>
        <v>1530.6473970866482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 t="e">
        <f t="shared" si="66"/>
        <v>#NUM!</v>
      </c>
      <c r="GZ14" s="345" t="e">
        <f t="shared" si="67"/>
        <v>#NUM!</v>
      </c>
      <c r="HA14" s="342" t="e">
        <f t="shared" si="68"/>
        <v>#NUM!</v>
      </c>
      <c r="HB14" s="5" t="e">
        <f t="shared" si="231"/>
        <v>#NUM!</v>
      </c>
      <c r="HC14" s="343" t="e">
        <f t="shared" si="232"/>
        <v>#NUM!</v>
      </c>
      <c r="HD14" s="345" t="e">
        <f t="shared" si="233"/>
        <v>#NUM!</v>
      </c>
      <c r="HE14" s="344" t="e">
        <f t="shared" si="69"/>
        <v>#NUM!</v>
      </c>
      <c r="HF14" s="5" t="e">
        <f t="shared" si="70"/>
        <v>#NUM!</v>
      </c>
      <c r="HG14" s="343" t="e">
        <f t="shared" si="234"/>
        <v>#NUM!</v>
      </c>
      <c r="HH14" s="349" t="e">
        <f t="shared" si="235"/>
        <v>#NUM!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>
        <f t="shared" si="138"/>
        <v>4.993133613924269</v>
      </c>
      <c r="HN14" s="910">
        <f t="shared" si="73"/>
        <v>15.99999768988615</v>
      </c>
      <c r="HO14" s="911"/>
      <c r="HP14" s="912"/>
      <c r="HQ14" s="910">
        <f t="shared" si="74"/>
        <v>14.781625914327511</v>
      </c>
      <c r="HR14" s="913">
        <f t="shared" si="75"/>
        <v>13.986957993151938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0.64858223875515797</v>
      </c>
      <c r="HV14" s="872">
        <f t="shared" si="78"/>
        <v>9.919541941756066E-2</v>
      </c>
      <c r="HW14" s="866">
        <f t="shared" si="79"/>
        <v>29500</v>
      </c>
      <c r="HX14" s="867">
        <f t="shared" si="80"/>
        <v>253.74021833333336</v>
      </c>
      <c r="HY14" s="866">
        <f t="shared" si="81"/>
        <v>139.30212788901895</v>
      </c>
      <c r="HZ14" s="868">
        <f t="shared" si="82"/>
        <v>1594.4313369397632</v>
      </c>
      <c r="IA14" s="869">
        <f t="shared" si="83"/>
        <v>398.66378214942256</v>
      </c>
      <c r="IB14" s="870">
        <f t="shared" si="84"/>
        <v>2132.3972469782047</v>
      </c>
      <c r="IC14" s="841">
        <f t="shared" si="85"/>
        <v>86.856804198712354</v>
      </c>
      <c r="ID14" s="351">
        <f t="shared" si="86"/>
        <v>994.15</v>
      </c>
      <c r="IE14" s="843">
        <f t="shared" si="87"/>
        <v>248.57238429880508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0.15489797368983607</v>
      </c>
      <c r="C15" s="572">
        <f t="shared" si="3"/>
        <v>4.2042601956542063</v>
      </c>
      <c r="D15" s="576">
        <f t="shared" si="4"/>
        <v>-1.4668044238821429</v>
      </c>
      <c r="E15" s="580">
        <f t="shared" si="5"/>
        <v>-0.90355081379068958</v>
      </c>
      <c r="F15" s="572">
        <f t="shared" si="6"/>
        <v>0.36778034128887577</v>
      </c>
      <c r="G15" s="579">
        <f t="shared" si="7"/>
        <v>0.21984891962350184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0.15489797368983607</v>
      </c>
      <c r="O15" s="572">
        <f t="shared" si="14"/>
        <v>4.2042601956542063</v>
      </c>
      <c r="P15" s="576">
        <f t="shared" si="15"/>
        <v>-1.4668044238821429</v>
      </c>
      <c r="Q15" s="528">
        <f t="shared" si="140"/>
        <v>87.890000304646264</v>
      </c>
      <c r="R15" s="572">
        <f t="shared" si="101"/>
        <v>4.2071126886518693</v>
      </c>
      <c r="S15" s="577">
        <f t="shared" si="102"/>
        <v>-1.4668044238821429</v>
      </c>
      <c r="T15" s="578">
        <f t="shared" si="103"/>
        <v>4.2045241399914843</v>
      </c>
      <c r="U15" s="572">
        <f t="shared" si="104"/>
        <v>-0.1475599242492131</v>
      </c>
      <c r="V15" s="579">
        <f t="shared" si="141"/>
        <v>-1.4668044238821429</v>
      </c>
      <c r="W15" s="528">
        <f t="shared" ref="W15:W78" si="253">IF(M15="","",IF(Q15-$Q$8&lt;0,360+Q15-$Q$8,Q15-$Q$8))</f>
        <v>357.99000029020806</v>
      </c>
      <c r="X15" s="572">
        <f>IF(M15="","",R15)</f>
        <v>4.2071126886518693</v>
      </c>
      <c r="Y15" s="573">
        <f t="shared" si="17"/>
        <v>-1.4668044238821429</v>
      </c>
      <c r="Z15" s="575">
        <f t="shared" si="18"/>
        <v>0.90355081379068958</v>
      </c>
      <c r="AA15" s="572">
        <f t="shared" si="19"/>
        <v>-0.36778034128887577</v>
      </c>
      <c r="AB15" s="572">
        <f t="shared" si="20"/>
        <v>-0.21984891962350184</v>
      </c>
      <c r="AC15" s="579">
        <f t="shared" si="106"/>
        <v>1</v>
      </c>
      <c r="AD15" s="580">
        <f t="shared" si="142"/>
        <v>0.90355081379068958</v>
      </c>
      <c r="AE15" s="572">
        <f t="shared" si="107"/>
        <v>-0.36778034128887577</v>
      </c>
      <c r="AF15" s="576">
        <f t="shared" si="108"/>
        <v>-0.21984891962350184</v>
      </c>
      <c r="AG15" s="545">
        <f t="shared" si="109"/>
        <v>-59.130184847728458</v>
      </c>
      <c r="AH15" s="546">
        <f t="shared" si="110"/>
        <v>25.371196156743505</v>
      </c>
      <c r="AI15" s="528">
        <f t="shared" si="111"/>
        <v>-77.299840524767617</v>
      </c>
      <c r="AJ15" s="529">
        <f t="shared" si="112"/>
        <v>67.851764149888893</v>
      </c>
      <c r="AK15" s="578">
        <f t="shared" si="238"/>
        <v>0.91647917138043156</v>
      </c>
      <c r="AL15" s="572">
        <f t="shared" si="113"/>
        <v>-0.33426393907542112</v>
      </c>
      <c r="AM15" s="577">
        <f t="shared" si="114"/>
        <v>-0.21984891962350184</v>
      </c>
      <c r="AN15" s="524">
        <f>IF(M15="","",DEGREES(ATAN2(-AM15,AL15)))</f>
        <v>-56.666658485013478</v>
      </c>
      <c r="AO15" s="525">
        <f t="shared" si="116"/>
        <v>23.583329928321742</v>
      </c>
      <c r="AP15" s="528">
        <f t="shared" si="117"/>
        <v>-20.038236154757367</v>
      </c>
      <c r="AQ15" s="529">
        <f t="shared" si="21"/>
        <v>0.54185823744102424</v>
      </c>
      <c r="AS15" s="932">
        <f t="shared" si="143"/>
        <v>-2.0099997097919413</v>
      </c>
      <c r="AT15" s="928">
        <f t="shared" si="22"/>
        <v>-1.4653391463159251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0.49984359073586371</v>
      </c>
      <c r="BA15" s="296">
        <f t="shared" si="24"/>
        <v>7.6447043510454477E-2</v>
      </c>
      <c r="BB15" s="291">
        <f t="shared" si="145"/>
        <v>0.28603914631592509</v>
      </c>
      <c r="BC15" s="9"/>
      <c r="BD15" s="5">
        <f t="shared" si="146"/>
        <v>4.4440999999999997</v>
      </c>
      <c r="BE15" s="6">
        <f t="shared" si="25"/>
        <v>-1.1807652775662179</v>
      </c>
      <c r="BF15" s="4">
        <f t="shared" si="26"/>
        <v>0.15489797368983607</v>
      </c>
      <c r="BG15" s="5">
        <f t="shared" si="27"/>
        <v>4.2042601956542063</v>
      </c>
      <c r="BH15" s="10">
        <f t="shared" si="28"/>
        <v>-1.4668044238821429</v>
      </c>
      <c r="BI15" s="9">
        <f t="shared" si="147"/>
        <v>0.15489797368983607</v>
      </c>
      <c r="BJ15" s="5">
        <f t="shared" si="29"/>
        <v>4.7173493264437125</v>
      </c>
      <c r="BK15" s="8">
        <f t="shared" si="30"/>
        <v>-2.3251397568759962</v>
      </c>
      <c r="BL15" s="173">
        <f t="shared" si="31"/>
        <v>0.5833789264732504</v>
      </c>
      <c r="BM15" s="5">
        <f t="shared" si="32"/>
        <v>4.9798097842861049</v>
      </c>
      <c r="BN15" s="6">
        <f t="shared" si="33"/>
        <v>-1.0032023222101267</v>
      </c>
      <c r="BO15" s="4">
        <f t="shared" si="148"/>
        <v>0.90355081379069058</v>
      </c>
      <c r="BP15" s="5">
        <f t="shared" si="239"/>
        <v>-0.36778034128887549</v>
      </c>
      <c r="BQ15" s="5">
        <f t="shared" si="149"/>
        <v>-0.21984891962350139</v>
      </c>
      <c r="BR15" s="6">
        <f t="shared" si="150"/>
        <v>1.0838106915534964</v>
      </c>
      <c r="BS15" s="4">
        <f t="shared" si="118"/>
        <v>0</v>
      </c>
      <c r="BT15" s="5">
        <f t="shared" si="118"/>
        <v>0</v>
      </c>
      <c r="BU15" s="10">
        <f t="shared" si="119"/>
        <v>-1.1807652775662179</v>
      </c>
      <c r="BV15" s="9">
        <f t="shared" si="120"/>
        <v>0</v>
      </c>
      <c r="BW15" s="5">
        <f t="shared" si="121"/>
        <v>1</v>
      </c>
      <c r="BX15" s="8">
        <f t="shared" si="122"/>
        <v>-1.1807652775662179</v>
      </c>
      <c r="BY15" s="173">
        <f t="shared" si="123"/>
        <v>1</v>
      </c>
      <c r="BZ15" s="5">
        <f t="shared" si="124"/>
        <v>0</v>
      </c>
      <c r="CA15" s="6">
        <f t="shared" si="125"/>
        <v>-1.1807652775662179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-1.1807652775662179</v>
      </c>
      <c r="CF15" s="4">
        <f t="shared" si="155"/>
        <v>0.36778034128887549</v>
      </c>
      <c r="CG15" s="5">
        <f t="shared" si="156"/>
        <v>0.90355081379069058</v>
      </c>
      <c r="CH15" s="5">
        <f t="shared" si="157"/>
        <v>0</v>
      </c>
      <c r="CI15" s="4">
        <f t="shared" si="126"/>
        <v>0</v>
      </c>
      <c r="CJ15" s="5">
        <f t="shared" si="127"/>
        <v>3.6527255846450757</v>
      </c>
      <c r="CK15" s="8">
        <f t="shared" si="128"/>
        <v>-1.1807652775662179</v>
      </c>
      <c r="CL15" s="173">
        <f t="shared" si="129"/>
        <v>0.36778034128887549</v>
      </c>
      <c r="CM15" s="5">
        <f t="shared" si="130"/>
        <v>4.5562763984357666</v>
      </c>
      <c r="CN15" s="6">
        <f t="shared" si="131"/>
        <v>-1.1807652775662179</v>
      </c>
      <c r="CO15" s="167">
        <f t="shared" si="35"/>
        <v>0.3125</v>
      </c>
      <c r="CP15" s="4">
        <f t="shared" si="240"/>
        <v>0.95166645254038151</v>
      </c>
      <c r="CQ15" s="5">
        <f t="shared" si="241"/>
        <v>-1.1106159524792705</v>
      </c>
      <c r="CR15" s="5">
        <f t="shared" si="158"/>
        <v>0.31234595261935283</v>
      </c>
      <c r="CS15" s="8">
        <f t="shared" si="159"/>
        <v>4.4471135123014705E-2</v>
      </c>
      <c r="CT15" s="9">
        <f t="shared" si="160"/>
        <v>0.69430720849248828</v>
      </c>
      <c r="CU15" s="6">
        <f t="shared" si="161"/>
        <v>0.47271507070479624</v>
      </c>
      <c r="CV15" s="4">
        <f t="shared" si="242"/>
        <v>0.25535254209869379</v>
      </c>
      <c r="CW15" s="5">
        <f t="shared" si="162"/>
        <v>4.2800674278992066</v>
      </c>
      <c r="CX15" s="8">
        <f t="shared" si="163"/>
        <v>-1.1807652775662179</v>
      </c>
      <c r="CY15" s="9">
        <f t="shared" si="164"/>
        <v>0.17385531003620486</v>
      </c>
      <c r="CZ15" s="5">
        <f t="shared" si="165"/>
        <v>4.0798476714715184</v>
      </c>
      <c r="DA15" s="6">
        <f t="shared" si="166"/>
        <v>-1.1807652775662179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0.25535254209869379</v>
      </c>
      <c r="DM15" s="173">
        <f t="shared" si="176"/>
        <v>4.2800674278992066</v>
      </c>
      <c r="DN15" s="178">
        <f t="shared" si="177"/>
        <v>8.8192347224337819</v>
      </c>
      <c r="DO15" s="9">
        <f t="shared" si="178"/>
        <v>-8.1497232062488933E-2</v>
      </c>
      <c r="DP15" s="173">
        <f t="shared" si="179"/>
        <v>-0.20021975642768819</v>
      </c>
      <c r="DQ15" s="11">
        <f t="shared" si="180"/>
        <v>0</v>
      </c>
      <c r="DR15" s="173">
        <f t="shared" si="181"/>
        <v>176.38469444867565</v>
      </c>
      <c r="DS15" s="5">
        <f t="shared" si="182"/>
        <v>0</v>
      </c>
      <c r="DT15" s="5">
        <f t="shared" si="183"/>
        <v>400</v>
      </c>
      <c r="DU15" s="5">
        <f t="shared" si="184"/>
        <v>4.6729749697809964E-2</v>
      </c>
      <c r="DV15" s="5">
        <f t="shared" si="185"/>
        <v>-0.87776458328922469</v>
      </c>
      <c r="DW15" s="5">
        <f t="shared" si="186"/>
        <v>96.163083197501663</v>
      </c>
      <c r="DX15" s="167">
        <f t="shared" si="187"/>
        <v>76.413058387501664</v>
      </c>
      <c r="DY15" s="9">
        <f t="shared" si="188"/>
        <v>18.691899879123987</v>
      </c>
      <c r="DZ15" s="5">
        <f t="shared" si="189"/>
        <v>-351.10583331568989</v>
      </c>
      <c r="EA15" s="10">
        <f t="shared" si="190"/>
        <v>-546.33708075200411</v>
      </c>
      <c r="EB15" s="6">
        <f t="shared" si="191"/>
        <v>133487.38420197435</v>
      </c>
      <c r="EC15" s="173">
        <f t="shared" si="192"/>
        <v>38.330244200092636</v>
      </c>
      <c r="ED15" s="5">
        <f t="shared" si="193"/>
        <v>-0.76254529455529196</v>
      </c>
      <c r="EE15" s="4">
        <f t="shared" si="194"/>
        <v>-2.8684562644881262</v>
      </c>
      <c r="EF15" s="5">
        <f t="shared" si="195"/>
        <v>-3.3944047296571487</v>
      </c>
      <c r="EG15" s="10">
        <f t="shared" si="196"/>
        <v>-1.1807652775662179</v>
      </c>
      <c r="EH15" s="9">
        <f t="shared" si="197"/>
        <v>0.31749787292722542</v>
      </c>
      <c r="EI15" s="5">
        <f t="shared" si="198"/>
        <v>4.4327440610401467</v>
      </c>
      <c r="EJ15" s="6">
        <f t="shared" si="199"/>
        <v>-1.1807652775662179</v>
      </c>
      <c r="EK15" s="236" t="b">
        <f t="shared" si="200"/>
        <v>0</v>
      </c>
      <c r="EL15" s="238" t="b">
        <f t="shared" si="201"/>
        <v>0</v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e">
        <f t="shared" si="205"/>
        <v>#VALUE!</v>
      </c>
      <c r="EQ15" s="5" t="e">
        <f t="shared" si="206"/>
        <v>#VALUE!</v>
      </c>
      <c r="ER15" s="7" t="str">
        <f t="shared" si="207"/>
        <v/>
      </c>
      <c r="ES15" s="21">
        <f t="shared" si="132"/>
        <v>0.90355081379068958</v>
      </c>
      <c r="ET15" s="5">
        <f t="shared" si="44"/>
        <v>-0.36778034128887577</v>
      </c>
      <c r="EU15" s="10">
        <f t="shared" si="45"/>
        <v>-0.21984891962350184</v>
      </c>
      <c r="EV15" s="174" t="e">
        <f t="shared" ref="EV15:EV40" si="254">IF(ISNUMBER($AV15),IF(($EV$1-EP15)&lt;0,(360+($EV$1-EP15)),($EV$1-EP15)),"")</f>
        <v>#VALUE!</v>
      </c>
      <c r="EW15" s="9" t="e">
        <f>IF(ISNUMBER($AV15),(COS(RADIANS($EV15))*ES15)+(-SIN(RADIANS($EV15))*ET15),"")</f>
        <v>#VALUE!</v>
      </c>
      <c r="EX15" s="5" t="e">
        <f t="shared" si="47"/>
        <v>#VALUE!</v>
      </c>
      <c r="EY15" s="6">
        <f t="shared" si="208"/>
        <v>-0.21984891962350184</v>
      </c>
      <c r="EZ15" s="51" t="e">
        <f>IF(ISNUMBER($AV15),DEGREES(ATAN($AS$5/($EQ15*2*PI()))),"")</f>
        <v>#VALUE!</v>
      </c>
      <c r="FA15" s="266" t="e">
        <f t="shared" si="134"/>
        <v>#VALUE!</v>
      </c>
      <c r="FB15" s="267" t="e">
        <f t="shared" si="135"/>
        <v>#VALUE!</v>
      </c>
      <c r="FC15" s="269" t="e">
        <f t="shared" si="48"/>
        <v>#VALUE!</v>
      </c>
      <c r="FD15" s="4" t="e">
        <f t="shared" si="136"/>
        <v>#VALUE!</v>
      </c>
      <c r="FE15" s="5" t="e">
        <f t="shared" si="49"/>
        <v>#VALUE!</v>
      </c>
      <c r="FF15" s="7" t="e">
        <f t="shared" si="210"/>
        <v>#VALUE!</v>
      </c>
      <c r="FG15" s="173" t="e">
        <f t="shared" si="211"/>
        <v>#VALUE!</v>
      </c>
      <c r="FH15" s="5" t="e">
        <f t="shared" si="50"/>
        <v>#VALUE!</v>
      </c>
      <c r="FI15" s="10" t="e">
        <f t="shared" si="51"/>
        <v>#VALUE!</v>
      </c>
      <c r="FJ15" s="279" t="e">
        <f t="shared" si="212"/>
        <v>#VALUE!</v>
      </c>
      <c r="FK15" s="4">
        <f t="shared" si="52"/>
        <v>0.97553393202921412</v>
      </c>
      <c r="FL15" s="5" t="e">
        <f t="shared" si="213"/>
        <v>#VALUE!</v>
      </c>
      <c r="FM15" s="8" t="e">
        <f t="shared" si="214"/>
        <v>#VALUE!</v>
      </c>
      <c r="FN15" s="9" t="e">
        <f t="shared" si="215"/>
        <v>#VALUE!</v>
      </c>
      <c r="FO15" s="10" t="e">
        <f t="shared" si="53"/>
        <v>#VALUE!</v>
      </c>
      <c r="FP15" s="277" t="e">
        <f t="shared" si="54"/>
        <v>#VALUE!</v>
      </c>
      <c r="FQ15" s="173" t="e">
        <f>IF(ISNUMBER($AV15),SIN(RADIANS(FN15)),"")</f>
        <v>#VALUE!</v>
      </c>
      <c r="FR15" s="10" t="e">
        <f t="shared" si="216"/>
        <v>#VALUE!</v>
      </c>
      <c r="FS15" s="9" t="e">
        <f>IF(ISNUMBER($AV15),FQ15/(FQ15+FR15),"")</f>
        <v>#VALUE!</v>
      </c>
      <c r="FT15" s="6" t="e">
        <f t="shared" si="218"/>
        <v>#VALUE!</v>
      </c>
      <c r="FU15" s="4" t="e">
        <f t="shared" si="219"/>
        <v>#VALUE!</v>
      </c>
      <c r="FV15" s="5" t="e">
        <f t="shared" si="220"/>
        <v>#VALUE!</v>
      </c>
      <c r="FW15" s="8" t="e">
        <f t="shared" si="244"/>
        <v>#VALUE!</v>
      </c>
      <c r="FX15" s="9" t="e">
        <f t="shared" si="245"/>
        <v>#VALUE!</v>
      </c>
      <c r="FY15" s="10" t="e">
        <f t="shared" si="55"/>
        <v>#VALUE!</v>
      </c>
      <c r="FZ15" s="277" t="e">
        <f t="shared" si="246"/>
        <v>#VALUE!</v>
      </c>
      <c r="GA15" s="177" t="e">
        <f t="shared" si="221"/>
        <v>#VALUE!</v>
      </c>
      <c r="GB15" s="4" t="e">
        <f t="shared" si="222"/>
        <v>#VALUE!</v>
      </c>
      <c r="GC15" s="5" t="e">
        <f t="shared" si="223"/>
        <v>#VALUE!</v>
      </c>
      <c r="GD15" s="10" t="e">
        <f t="shared" si="224"/>
        <v>#VALUE!</v>
      </c>
      <c r="GE15" s="311" t="e">
        <f t="shared" si="225"/>
        <v>#VALUE!</v>
      </c>
      <c r="GF15" s="341" t="e">
        <f t="shared" si="247"/>
        <v>#VALUE!</v>
      </c>
      <c r="GG15" s="285" t="e">
        <f t="shared" si="56"/>
        <v>#VALUE!</v>
      </c>
      <c r="GH15" s="286" t="e">
        <f t="shared" si="57"/>
        <v>#VALUE!</v>
      </c>
      <c r="GI15" s="281" t="e">
        <f t="shared" si="58"/>
        <v>#VALUE!</v>
      </c>
      <c r="GJ15" s="167">
        <f t="shared" si="226"/>
        <v>4.4440999999999997</v>
      </c>
      <c r="GK15" s="174">
        <f t="shared" si="59"/>
        <v>2.3270185788448035</v>
      </c>
      <c r="GL15" s="174">
        <f t="shared" si="227"/>
        <v>1.7899999999999999E-2</v>
      </c>
      <c r="GM15" s="177">
        <f t="shared" si="248"/>
        <v>0.49984359073586371</v>
      </c>
      <c r="GN15" s="280">
        <f t="shared" si="228"/>
        <v>7.6447043510454477E-2</v>
      </c>
      <c r="GO15" s="4" t="e">
        <f t="shared" si="229"/>
        <v>#VALUE!</v>
      </c>
      <c r="GP15" s="8" t="e">
        <f t="shared" si="249"/>
        <v>#VALUE!</v>
      </c>
      <c r="GQ15" s="177" t="e">
        <f t="shared" si="230"/>
        <v>#VALUE!</v>
      </c>
      <c r="GR15" s="371" t="e">
        <f t="shared" si="250"/>
        <v>#VALUE!</v>
      </c>
      <c r="GS15" s="342" t="e">
        <f t="shared" si="61"/>
        <v>#VALUE!</v>
      </c>
      <c r="GT15" s="343" t="e">
        <f t="shared" si="62"/>
        <v>#VALUE!</v>
      </c>
      <c r="GU15" s="344">
        <f>IF(ISNUMBER($AV15),$GV15*$GK15,"")</f>
        <v>1228.7821605589984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 t="e">
        <f t="shared" si="66"/>
        <v>#VALUE!</v>
      </c>
      <c r="GZ15" s="345" t="e">
        <f t="shared" si="67"/>
        <v>#VALUE!</v>
      </c>
      <c r="HA15" s="342" t="e">
        <f t="shared" si="68"/>
        <v>#VALUE!</v>
      </c>
      <c r="HB15" s="5" t="e">
        <f t="shared" si="231"/>
        <v>#VALUE!</v>
      </c>
      <c r="HC15" s="343" t="e">
        <f t="shared" si="232"/>
        <v>#VALUE!</v>
      </c>
      <c r="HD15" s="345" t="e">
        <f t="shared" si="233"/>
        <v>#VALUE!</v>
      </c>
      <c r="HE15" s="344" t="e">
        <f t="shared" si="69"/>
        <v>#VALUE!</v>
      </c>
      <c r="HF15" s="5" t="e">
        <f t="shared" si="70"/>
        <v>#VALUE!</v>
      </c>
      <c r="HG15" s="343" t="e">
        <f t="shared" si="234"/>
        <v>#VALUE!</v>
      </c>
      <c r="HH15" s="349" t="e">
        <f t="shared" si="235"/>
        <v>#VALUE!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>
        <f t="shared" si="138"/>
        <v>5.8907279738371958</v>
      </c>
      <c r="HN15" s="910">
        <f t="shared" si="73"/>
        <v>16.583330938996543</v>
      </c>
      <c r="HO15" s="911"/>
      <c r="HP15" s="912"/>
      <c r="HQ15" s="910">
        <f t="shared" si="74"/>
        <v>15.328976161845729</v>
      </c>
      <c r="HR15" s="913">
        <f t="shared" si="75"/>
        <v>14.256547655051014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0.62579355018473959</v>
      </c>
      <c r="HV15" s="872">
        <f t="shared" si="78"/>
        <v>9.5710073403372037E-2</v>
      </c>
      <c r="HW15" s="866">
        <f t="shared" si="79"/>
        <v>29500</v>
      </c>
      <c r="HX15" s="867">
        <f t="shared" si="80"/>
        <v>244.82640000000001</v>
      </c>
      <c r="HY15" s="866">
        <f t="shared" si="81"/>
        <v>158.72750885470379</v>
      </c>
      <c r="HZ15" s="868">
        <f t="shared" si="82"/>
        <v>1538.4091442041515</v>
      </c>
      <c r="IA15" s="869">
        <f t="shared" si="83"/>
        <v>392.96839476236283</v>
      </c>
      <c r="IB15" s="870">
        <f t="shared" si="84"/>
        <v>2090.1050478212182</v>
      </c>
      <c r="IC15" s="841">
        <f t="shared" si="85"/>
        <v>94.963553551578741</v>
      </c>
      <c r="ID15" s="351">
        <f t="shared" si="86"/>
        <v>920.4</v>
      </c>
      <c r="IE15" s="843">
        <f t="shared" si="87"/>
        <v>235.10527865874519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0.19535573665639469</v>
      </c>
      <c r="C16" s="572">
        <f t="shared" si="3"/>
        <v>4.4565337209402855</v>
      </c>
      <c r="D16" s="576">
        <f t="shared" si="4"/>
        <v>-2.1703065456445421</v>
      </c>
      <c r="E16" s="580">
        <f t="shared" si="5"/>
        <v>-0.87051531020896489</v>
      </c>
      <c r="F16" s="572">
        <f t="shared" si="6"/>
        <v>0.47187508988400673</v>
      </c>
      <c r="G16" s="579">
        <f t="shared" si="7"/>
        <v>0.1397747982962253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0.19535573665639469</v>
      </c>
      <c r="O16" s="572">
        <f t="shared" si="14"/>
        <v>4.4565337209402855</v>
      </c>
      <c r="P16" s="576">
        <f t="shared" si="15"/>
        <v>-2.1703065456445421</v>
      </c>
      <c r="Q16" s="528">
        <f>IF(M16="","",IF(DEGREES(ATAN2(N16,O16))&lt;0,DEGREES(ATAN2(N16,O16))+360,IF(DEGREES(ATAN2(N16,O16))&gt;360,DEGREES(ATAN2(N16,O16))-360,DEGREES(ATAN2(N16,O16)))))</f>
        <v>87.490000362399101</v>
      </c>
      <c r="R16" s="572">
        <f t="shared" si="101"/>
        <v>4.460813453813377</v>
      </c>
      <c r="S16" s="577">
        <f t="shared" si="102"/>
        <v>-2.1703065456445421</v>
      </c>
      <c r="T16" s="578">
        <f t="shared" si="103"/>
        <v>4.4568678931143513</v>
      </c>
      <c r="U16" s="572">
        <f t="shared" si="104"/>
        <v>-0.18757732551903719</v>
      </c>
      <c r="V16" s="579">
        <f t="shared" si="141"/>
        <v>-2.1703065456445421</v>
      </c>
      <c r="W16" s="528">
        <f>IF(M16="","",IF(Q16-$Q$8&lt;0,360+Q16-$Q$8,Q16-$Q$8))</f>
        <v>357.59000034796088</v>
      </c>
      <c r="X16" s="572">
        <f t="shared" si="105"/>
        <v>4.460813453813377</v>
      </c>
      <c r="Y16" s="573">
        <f t="shared" ref="Y16:Y75" si="255">IF(M16="","",S16)</f>
        <v>-2.1703065456445421</v>
      </c>
      <c r="Z16" s="575">
        <f t="shared" si="18"/>
        <v>0.87051531020896489</v>
      </c>
      <c r="AA16" s="572">
        <f t="shared" si="19"/>
        <v>-0.47187508988400673</v>
      </c>
      <c r="AB16" s="572">
        <f t="shared" si="20"/>
        <v>-0.1397747982962253</v>
      </c>
      <c r="AC16" s="579">
        <f t="shared" si="106"/>
        <v>1</v>
      </c>
      <c r="AD16" s="580">
        <f t="shared" si="142"/>
        <v>0.87051531020896489</v>
      </c>
      <c r="AE16" s="572">
        <f t="shared" si="107"/>
        <v>-0.47187508988400673</v>
      </c>
      <c r="AF16" s="576">
        <f t="shared" si="108"/>
        <v>-0.1397747982962253</v>
      </c>
      <c r="AG16" s="545">
        <f t="shared" si="109"/>
        <v>-73.500108419395858</v>
      </c>
      <c r="AH16" s="546">
        <f t="shared" si="110"/>
        <v>29.481422811390665</v>
      </c>
      <c r="AI16" s="528">
        <f t="shared" si="111"/>
        <v>-81.965184990599454</v>
      </c>
      <c r="AJ16" s="529">
        <f t="shared" si="112"/>
        <v>61.539469033954802</v>
      </c>
      <c r="AK16" s="578">
        <f t="shared" si="238"/>
        <v>0.89034531066075351</v>
      </c>
      <c r="AL16" s="572">
        <f t="shared" si="113"/>
        <v>-0.43329924249374852</v>
      </c>
      <c r="AM16" s="577">
        <f t="shared" si="114"/>
        <v>-0.1397747982962253</v>
      </c>
      <c r="AN16" s="524">
        <f t="shared" si="115"/>
        <v>-72.121201708198925</v>
      </c>
      <c r="AO16" s="525">
        <f t="shared" si="116"/>
        <v>27.083329422984274</v>
      </c>
      <c r="AP16" s="528">
        <f t="shared" si="117"/>
        <v>-25.950531328444253</v>
      </c>
      <c r="AQ16" s="529">
        <f t="shared" si="21"/>
        <v>0.51104270565355459</v>
      </c>
      <c r="AS16" s="932">
        <f t="shared" si="143"/>
        <v>-2.4099996520391187</v>
      </c>
      <c r="AT16" s="928">
        <f t="shared" si="22"/>
        <v>-2.1685634903406523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0.28575908439073006</v>
      </c>
      <c r="BA16" s="296">
        <f t="shared" si="24"/>
        <v>4.3704545907581181E-2</v>
      </c>
      <c r="BB16" s="291">
        <f t="shared" si="145"/>
        <v>0.22256349034065237</v>
      </c>
      <c r="BC16" s="9"/>
      <c r="BD16" s="5">
        <f t="shared" si="146"/>
        <v>4.7872000000000003</v>
      </c>
      <c r="BE16" s="6">
        <f t="shared" si="25"/>
        <v>-1.9477430553038897</v>
      </c>
      <c r="BF16" s="4">
        <f t="shared" si="26"/>
        <v>0.19535573665639469</v>
      </c>
      <c r="BG16" s="5">
        <f t="shared" si="27"/>
        <v>4.4565337209402855</v>
      </c>
      <c r="BH16" s="10">
        <f t="shared" si="28"/>
        <v>-2.1703065456445421</v>
      </c>
      <c r="BI16" s="9">
        <f t="shared" si="147"/>
        <v>0.19535573665639469</v>
      </c>
      <c r="BJ16" s="5">
        <f t="shared" si="29"/>
        <v>4.7405472512926732</v>
      </c>
      <c r="BK16" s="8">
        <f t="shared" si="30"/>
        <v>-3.1291268179462772</v>
      </c>
      <c r="BL16" s="173">
        <f t="shared" si="31"/>
        <v>0.68749707274978711</v>
      </c>
      <c r="BM16" s="5">
        <f t="shared" si="32"/>
        <v>5.2912014477176745</v>
      </c>
      <c r="BN16" s="6">
        <f t="shared" si="33"/>
        <v>-1.9230684191662903</v>
      </c>
      <c r="BO16" s="4">
        <f t="shared" si="148"/>
        <v>0.87051531020896378</v>
      </c>
      <c r="BP16" s="5">
        <f t="shared" si="239"/>
        <v>-0.47187508988400628</v>
      </c>
      <c r="BQ16" s="5">
        <f t="shared" si="149"/>
        <v>-0.13977479829622563</v>
      </c>
      <c r="BR16" s="6">
        <f t="shared" si="150"/>
        <v>1.6295129307848164</v>
      </c>
      <c r="BS16" s="4">
        <f t="shared" si="118"/>
        <v>0</v>
      </c>
      <c r="BT16" s="5">
        <f t="shared" si="118"/>
        <v>0</v>
      </c>
      <c r="BU16" s="10">
        <f t="shared" si="119"/>
        <v>-1.9477430553038897</v>
      </c>
      <c r="BV16" s="9">
        <f t="shared" si="120"/>
        <v>0</v>
      </c>
      <c r="BW16" s="5">
        <f t="shared" si="121"/>
        <v>1</v>
      </c>
      <c r="BX16" s="8">
        <f t="shared" si="122"/>
        <v>-1.9477430553038897</v>
      </c>
      <c r="BY16" s="173">
        <f t="shared" si="123"/>
        <v>1</v>
      </c>
      <c r="BZ16" s="5">
        <f t="shared" si="124"/>
        <v>0</v>
      </c>
      <c r="CA16" s="6">
        <f t="shared" si="125"/>
        <v>-1.9477430553038897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-1.9477430553038897</v>
      </c>
      <c r="CF16" s="4">
        <f t="shared" si="155"/>
        <v>0.47187508988400628</v>
      </c>
      <c r="CG16" s="5">
        <f t="shared" si="156"/>
        <v>0.87051531020896378</v>
      </c>
      <c r="CH16" s="5">
        <f t="shared" si="157"/>
        <v>0</v>
      </c>
      <c r="CI16" s="4">
        <f t="shared" si="126"/>
        <v>0</v>
      </c>
      <c r="CJ16" s="5">
        <f t="shared" si="127"/>
        <v>4.0302155469581393</v>
      </c>
      <c r="CK16" s="8">
        <f t="shared" si="128"/>
        <v>-1.9477430553038897</v>
      </c>
      <c r="CL16" s="173">
        <f t="shared" si="129"/>
        <v>0.47187508988400628</v>
      </c>
      <c r="CM16" s="5">
        <f t="shared" si="130"/>
        <v>4.9007308571671029</v>
      </c>
      <c r="CN16" s="6">
        <f t="shared" si="131"/>
        <v>-1.9477430553038897</v>
      </c>
      <c r="CO16" s="167">
        <f t="shared" si="35"/>
        <v>0.3125</v>
      </c>
      <c r="CP16" s="4">
        <f t="shared" si="240"/>
        <v>0.98046300576124712</v>
      </c>
      <c r="CQ16" s="5">
        <f t="shared" si="241"/>
        <v>-0.92660000653175889</v>
      </c>
      <c r="CR16" s="5">
        <f>IF(ISNUMBER($AV16),BF16^2+BG16^2+BH16^2+CI16^2+CJ16^2+CK16^2-2*(BF16*CI16+BG16*CJ16+BH16*CK16)-CO16^2,"")</f>
        <v>0.17178930654465319</v>
      </c>
      <c r="CS16" s="8">
        <f t="shared" si="159"/>
        <v>0.18485533269501186</v>
      </c>
      <c r="CT16" s="9">
        <f t="shared" si="160"/>
        <v>0.69178952020460138</v>
      </c>
      <c r="CU16" s="6">
        <f t="shared" si="161"/>
        <v>0.2532741906004094</v>
      </c>
      <c r="CV16" s="4">
        <f t="shared" si="242"/>
        <v>0.32643824202735988</v>
      </c>
      <c r="CW16" s="5">
        <f t="shared" si="162"/>
        <v>4.632428915738358</v>
      </c>
      <c r="CX16" s="8">
        <f t="shared" si="163"/>
        <v>-1.9477430553038897</v>
      </c>
      <c r="CY16" s="9">
        <f t="shared" si="164"/>
        <v>0.11951378145486713</v>
      </c>
      <c r="CZ16" s="5">
        <f t="shared" si="165"/>
        <v>4.2506946075565786</v>
      </c>
      <c r="DA16" s="6">
        <f t="shared" si="166"/>
        <v>-1.9477430553038897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0.32643824202735988</v>
      </c>
      <c r="DM16" s="173">
        <f t="shared" si="176"/>
        <v>4.632428915738358</v>
      </c>
      <c r="DN16" s="178">
        <f t="shared" si="177"/>
        <v>8.0522569446961096</v>
      </c>
      <c r="DO16" s="9">
        <f t="shared" si="178"/>
        <v>-0.20692446057249275</v>
      </c>
      <c r="DP16" s="173">
        <f t="shared" si="179"/>
        <v>-0.38173430818177945</v>
      </c>
      <c r="DQ16" s="11">
        <f t="shared" si="180"/>
        <v>0</v>
      </c>
      <c r="DR16" s="173">
        <f t="shared" si="181"/>
        <v>161.0451388939222</v>
      </c>
      <c r="DS16" s="5">
        <f t="shared" si="182"/>
        <v>0</v>
      </c>
      <c r="DT16" s="5">
        <f t="shared" si="183"/>
        <v>400</v>
      </c>
      <c r="DU16" s="5">
        <f t="shared" si="184"/>
        <v>0.18853881442623888</v>
      </c>
      <c r="DV16" s="5">
        <f t="shared" si="185"/>
        <v>-1.8359051044923969</v>
      </c>
      <c r="DW16" s="5">
        <f t="shared" si="186"/>
        <v>86.40480148863351</v>
      </c>
      <c r="DX16" s="167">
        <f t="shared" si="187"/>
        <v>63.487517648633506</v>
      </c>
      <c r="DY16" s="9">
        <f t="shared" si="188"/>
        <v>75.415525770495549</v>
      </c>
      <c r="DZ16" s="5">
        <f t="shared" si="189"/>
        <v>-734.36204179695869</v>
      </c>
      <c r="EA16" s="10">
        <f t="shared" si="190"/>
        <v>-540.52970190929045</v>
      </c>
      <c r="EB16" s="6">
        <f t="shared" si="191"/>
        <v>580051.94009625644</v>
      </c>
      <c r="EC16" s="173">
        <f t="shared" si="192"/>
        <v>19.836412153596861</v>
      </c>
      <c r="ED16" s="5">
        <f t="shared" si="193"/>
        <v>-0.36132305770516127</v>
      </c>
      <c r="EE16" s="4">
        <f t="shared" si="194"/>
        <v>-3.7782006425493093</v>
      </c>
      <c r="EF16" s="5">
        <f t="shared" si="195"/>
        <v>-2.9398101545235811</v>
      </c>
      <c r="EG16" s="10">
        <f t="shared" si="196"/>
        <v>-1.9477430553038897</v>
      </c>
      <c r="EH16" s="9">
        <f t="shared" si="197"/>
        <v>0.40120482083540404</v>
      </c>
      <c r="EI16" s="5">
        <f t="shared" si="198"/>
        <v>4.7703583232015632</v>
      </c>
      <c r="EJ16" s="6">
        <f t="shared" si="199"/>
        <v>-1.9477430553038897</v>
      </c>
      <c r="EK16" s="236" t="b">
        <f t="shared" si="200"/>
        <v>0</v>
      </c>
      <c r="EL16" s="238" t="b">
        <f t="shared" si="201"/>
        <v>0</v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e">
        <f t="shared" si="205"/>
        <v>#VALUE!</v>
      </c>
      <c r="EQ16" s="5" t="e">
        <f t="shared" si="206"/>
        <v>#VALUE!</v>
      </c>
      <c r="ER16" s="7" t="str">
        <f t="shared" si="207"/>
        <v/>
      </c>
      <c r="ES16" s="21">
        <f t="shared" si="132"/>
        <v>0.87051531020896489</v>
      </c>
      <c r="ET16" s="5">
        <f t="shared" si="44"/>
        <v>-0.47187508988400673</v>
      </c>
      <c r="EU16" s="10">
        <f t="shared" si="45"/>
        <v>-0.1397747982962253</v>
      </c>
      <c r="EV16" s="174" t="e">
        <f t="shared" si="254"/>
        <v>#VALUE!</v>
      </c>
      <c r="EW16" s="9" t="e">
        <f t="shared" si="133"/>
        <v>#VALUE!</v>
      </c>
      <c r="EX16" s="5" t="e">
        <f t="shared" si="47"/>
        <v>#VALUE!</v>
      </c>
      <c r="EY16" s="6">
        <f t="shared" si="208"/>
        <v>-0.1397747982962253</v>
      </c>
      <c r="EZ16" s="51" t="e">
        <f t="shared" si="209"/>
        <v>#VALUE!</v>
      </c>
      <c r="FA16" s="266" t="e">
        <f>IF(ISNUMBER($AV16),SIN(RADIANS($EP16))*COS(RADIANS($EZ16)),"")</f>
        <v>#VALUE!</v>
      </c>
      <c r="FB16" s="267" t="e">
        <f t="shared" si="135"/>
        <v>#VALUE!</v>
      </c>
      <c r="FC16" s="269" t="e">
        <f t="shared" si="48"/>
        <v>#VALUE!</v>
      </c>
      <c r="FD16" s="4" t="e">
        <f t="shared" si="136"/>
        <v>#VALUE!</v>
      </c>
      <c r="FE16" s="5" t="e">
        <f t="shared" si="49"/>
        <v>#VALUE!</v>
      </c>
      <c r="FF16" s="7" t="e">
        <f t="shared" si="210"/>
        <v>#VALUE!</v>
      </c>
      <c r="FG16" s="173" t="e">
        <f t="shared" si="211"/>
        <v>#VALUE!</v>
      </c>
      <c r="FH16" s="5" t="e">
        <f t="shared" si="50"/>
        <v>#VALUE!</v>
      </c>
      <c r="FI16" s="10" t="e">
        <f t="shared" si="51"/>
        <v>#VALUE!</v>
      </c>
      <c r="FJ16" s="279" t="e">
        <f t="shared" si="212"/>
        <v>#VALUE!</v>
      </c>
      <c r="FK16" s="4">
        <f t="shared" si="52"/>
        <v>0.99018331927035097</v>
      </c>
      <c r="FL16" s="5" t="e">
        <f t="shared" si="213"/>
        <v>#VALUE!</v>
      </c>
      <c r="FM16" s="8" t="e">
        <f t="shared" si="214"/>
        <v>#VALUE!</v>
      </c>
      <c r="FN16" s="9" t="e">
        <f t="shared" si="215"/>
        <v>#VALUE!</v>
      </c>
      <c r="FO16" s="10" t="e">
        <f t="shared" si="53"/>
        <v>#VALUE!</v>
      </c>
      <c r="FP16" s="277" t="e">
        <f t="shared" si="54"/>
        <v>#VALUE!</v>
      </c>
      <c r="FQ16" s="173" t="e">
        <f t="shared" si="243"/>
        <v>#VALUE!</v>
      </c>
      <c r="FR16" s="10" t="e">
        <f t="shared" si="216"/>
        <v>#VALUE!</v>
      </c>
      <c r="FS16" s="9" t="e">
        <f t="shared" si="217"/>
        <v>#VALUE!</v>
      </c>
      <c r="FT16" s="6" t="e">
        <f t="shared" si="218"/>
        <v>#VALUE!</v>
      </c>
      <c r="FU16" s="4" t="e">
        <f t="shared" si="219"/>
        <v>#VALUE!</v>
      </c>
      <c r="FV16" s="5" t="e">
        <f t="shared" si="220"/>
        <v>#VALUE!</v>
      </c>
      <c r="FW16" s="8" t="e">
        <f t="shared" si="244"/>
        <v>#VALUE!</v>
      </c>
      <c r="FX16" s="9" t="e">
        <f t="shared" si="245"/>
        <v>#VALUE!</v>
      </c>
      <c r="FY16" s="10" t="e">
        <f t="shared" si="55"/>
        <v>#VALUE!</v>
      </c>
      <c r="FZ16" s="277" t="e">
        <f t="shared" si="246"/>
        <v>#VALUE!</v>
      </c>
      <c r="GA16" s="177" t="e">
        <f t="shared" si="221"/>
        <v>#VALUE!</v>
      </c>
      <c r="GB16" s="4" t="e">
        <f t="shared" si="222"/>
        <v>#VALUE!</v>
      </c>
      <c r="GC16" s="5" t="e">
        <f t="shared" si="223"/>
        <v>#VALUE!</v>
      </c>
      <c r="GD16" s="10" t="e">
        <f t="shared" si="224"/>
        <v>#VALUE!</v>
      </c>
      <c r="GE16" s="311" t="e">
        <f t="shared" si="225"/>
        <v>#VALUE!</v>
      </c>
      <c r="GF16" s="341" t="e">
        <f t="shared" si="247"/>
        <v>#VALUE!</v>
      </c>
      <c r="GG16" s="285" t="e">
        <f t="shared" si="56"/>
        <v>#VALUE!</v>
      </c>
      <c r="GH16" s="286" t="e">
        <f t="shared" si="57"/>
        <v>#VALUE!</v>
      </c>
      <c r="GI16" s="281" t="e">
        <f t="shared" si="58"/>
        <v>#VALUE!</v>
      </c>
      <c r="GJ16" s="167">
        <f t="shared" si="226"/>
        <v>4.7872000000000003</v>
      </c>
      <c r="GK16" s="174">
        <f t="shared" si="59"/>
        <v>2.5066586350064042</v>
      </c>
      <c r="GL16" s="174">
        <f t="shared" si="227"/>
        <v>9.4999999999999998E-3</v>
      </c>
      <c r="GM16" s="177">
        <f t="shared" si="248"/>
        <v>0.28575908439073006</v>
      </c>
      <c r="GN16" s="280">
        <f t="shared" si="228"/>
        <v>4.3704545907581181E-2</v>
      </c>
      <c r="GO16" s="4" t="e">
        <f t="shared" si="229"/>
        <v>#VALUE!</v>
      </c>
      <c r="GP16" s="8" t="e">
        <f t="shared" si="249"/>
        <v>#VALUE!</v>
      </c>
      <c r="GQ16" s="177" t="e">
        <f t="shared" si="230"/>
        <v>#VALUE!</v>
      </c>
      <c r="GR16" s="371" t="e">
        <f t="shared" si="250"/>
        <v>#VALUE!</v>
      </c>
      <c r="GS16" s="342" t="e">
        <f t="shared" si="61"/>
        <v>#VALUE!</v>
      </c>
      <c r="GT16" s="343" t="e">
        <f t="shared" si="62"/>
        <v>#VALUE!</v>
      </c>
      <c r="GU16" s="344">
        <f t="shared" si="63"/>
        <v>702.49108246054482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 t="e">
        <f t="shared" si="66"/>
        <v>#VALUE!</v>
      </c>
      <c r="GZ16" s="345" t="e">
        <f t="shared" si="67"/>
        <v>#VALUE!</v>
      </c>
      <c r="HA16" s="342" t="e">
        <f t="shared" si="68"/>
        <v>#VALUE!</v>
      </c>
      <c r="HB16" s="5" t="e">
        <f t="shared" si="231"/>
        <v>#VALUE!</v>
      </c>
      <c r="HC16" s="343" t="e">
        <f t="shared" si="232"/>
        <v>#VALUE!</v>
      </c>
      <c r="HD16" s="345" t="e">
        <f t="shared" si="233"/>
        <v>#VALUE!</v>
      </c>
      <c r="HE16" s="344" t="e">
        <f t="shared" si="69"/>
        <v>#VALUE!</v>
      </c>
      <c r="HF16" s="5" t="e">
        <f t="shared" si="70"/>
        <v>#VALUE!</v>
      </c>
      <c r="HG16" s="343" t="e">
        <f t="shared" si="234"/>
        <v>#VALUE!</v>
      </c>
      <c r="HH16" s="349" t="e">
        <f t="shared" si="235"/>
        <v>#VALUE!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 t="e">
        <f t="shared" si="138"/>
        <v>#NUM!</v>
      </c>
      <c r="HN16" s="910">
        <f t="shared" si="73"/>
        <v>19.499997184548718</v>
      </c>
      <c r="HO16" s="911"/>
      <c r="HP16" s="912"/>
      <c r="HQ16" s="910" t="e">
        <f t="shared" si="74"/>
        <v>#NUM!</v>
      </c>
      <c r="HR16" s="913" t="e">
        <f t="shared" si="75"/>
        <v>#NUM!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0.66747686211606239</v>
      </c>
      <c r="HV16" s="872">
        <f t="shared" si="78"/>
        <v>0.10208519958270837</v>
      </c>
      <c r="HW16" s="866">
        <f t="shared" si="79"/>
        <v>29500</v>
      </c>
      <c r="HX16" s="867">
        <f t="shared" si="80"/>
        <v>261.13990000000001</v>
      </c>
      <c r="HY16" s="866" t="e">
        <f t="shared" si="81"/>
        <v>#NUM!</v>
      </c>
      <c r="HZ16" s="868">
        <f t="shared" si="82"/>
        <v>1640.8806193686535</v>
      </c>
      <c r="IA16" s="869" t="e">
        <f t="shared" si="83"/>
        <v>#NUM!</v>
      </c>
      <c r="IB16" s="870" t="e">
        <f t="shared" si="84"/>
        <v>#NUM!</v>
      </c>
      <c r="IC16" s="841" t="e">
        <f t="shared" si="85"/>
        <v>#NUM!</v>
      </c>
      <c r="ID16" s="351">
        <f t="shared" si="86"/>
        <v>826</v>
      </c>
      <c r="IE16" s="843" t="e">
        <f t="shared" si="87"/>
        <v>#NUM!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0.21351996760658545</v>
      </c>
      <c r="C17" s="572">
        <f t="shared" si="3"/>
        <v>4.5615191832140027</v>
      </c>
      <c r="D17" s="576">
        <f t="shared" si="4"/>
        <v>-2.9732089671982447</v>
      </c>
      <c r="E17" s="580">
        <f t="shared" si="5"/>
        <v>-0.84178831871285331</v>
      </c>
      <c r="F17" s="572">
        <f t="shared" si="6"/>
        <v>0.5380458965588093</v>
      </c>
      <c r="G17" s="579">
        <f t="shared" si="7"/>
        <v>4.3577972357774823E-2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0.21351996760658545</v>
      </c>
      <c r="O17" s="572">
        <f t="shared" si="14"/>
        <v>4.5615191832140027</v>
      </c>
      <c r="P17" s="576">
        <f t="shared" si="15"/>
        <v>-2.9732089671982447</v>
      </c>
      <c r="Q17" s="528">
        <f>IF(M17="","",IF(DEGREES(ATAN2(N17,O17))&lt;0,DEGREES(ATAN2(N17,O17))+360,IF(DEGREES(ATAN2(N17,O17))&gt;360,DEGREES(ATAN2(N17,O17))-360,DEGREES(ATAN2(N17,O17)))))</f>
        <v>87.320000386944088</v>
      </c>
      <c r="R17" s="572">
        <f>IF(M17="","",SQRT(N17^2+O17^2))</f>
        <v>4.5665137726055374</v>
      </c>
      <c r="S17" s="577">
        <f>IF(M17="","",P17)</f>
        <v>-2.9732089671982447</v>
      </c>
      <c r="T17" s="578">
        <f>IF(M17="","",X17*COS(RADIANS(W17)))</f>
        <v>4.5618848980290965</v>
      </c>
      <c r="U17" s="572">
        <f>IF(M17="","",X17*SIN(RADIANS(W17)))</f>
        <v>-0.20555829472467388</v>
      </c>
      <c r="V17" s="579">
        <f>IF(M17="","",Y17)</f>
        <v>-2.9732089671982447</v>
      </c>
      <c r="W17" s="528">
        <f t="shared" si="253"/>
        <v>357.42000037250591</v>
      </c>
      <c r="X17" s="572">
        <f>IF(M17="","",R17)</f>
        <v>4.5665137726055374</v>
      </c>
      <c r="Y17" s="573">
        <f t="shared" si="255"/>
        <v>-2.9732089671982447</v>
      </c>
      <c r="Z17" s="575">
        <f t="shared" si="18"/>
        <v>0.84178831871285331</v>
      </c>
      <c r="AA17" s="572">
        <f t="shared" si="19"/>
        <v>-0.5380458965588093</v>
      </c>
      <c r="AB17" s="572">
        <f t="shared" si="20"/>
        <v>-4.3577972357774823E-2</v>
      </c>
      <c r="AC17" s="579">
        <f>IF(M17="","",SQRT(Z17^2+AA17^2+AB17^2))</f>
        <v>1</v>
      </c>
      <c r="AD17" s="580">
        <f>IF(M17="","",Z17*(1/SQRT(Z17^2+AA17^2+AB17^2)))</f>
        <v>0.84178831871285331</v>
      </c>
      <c r="AE17" s="572">
        <f>IF(M17="","",AA17*(1/SQRT(Z17^2+AA17^2+AB17^2)))</f>
        <v>-0.5380458965588093</v>
      </c>
      <c r="AF17" s="576">
        <f>IF(M17="","",AB17*(1/SQRT(Z17^2+AA17^2+AB17^2)))</f>
        <v>-4.3577972357774823E-2</v>
      </c>
      <c r="AG17" s="545">
        <f>IF(M17="","",DEGREES(ATAN2(-AF17,AE17)))</f>
        <v>-85.369548094195181</v>
      </c>
      <c r="AH17" s="546">
        <f>IF(M17="","",DEGREES(ACOS(AD17)))</f>
        <v>32.670553746155143</v>
      </c>
      <c r="AI17" s="528">
        <f>IF(M17="","",DEGREES(-ACOS(-AF17)))</f>
        <v>-87.502375163624507</v>
      </c>
      <c r="AJ17" s="529">
        <f>IF(M17="","",DEGREES(ATAN2(-AE17,AD17)))</f>
        <v>57.414503767891759</v>
      </c>
      <c r="AK17" s="578">
        <f>IF(M17="","",(COS(RADIANS((90-$Q$8)-W17))*AD17)+(-SIN(RADIANS((90-$Q$8)-W17))*AE17))</f>
        <v>0.86602544158358541</v>
      </c>
      <c r="AL17" s="572">
        <f>IF(M17="","",(SIN(RADIANS((90-$Q$8)-W17))*AD17)+(COS(RADIANS((90-$Q$8)-W17))*AE17))</f>
        <v>-0.49809727449077751</v>
      </c>
      <c r="AM17" s="577">
        <f>IF(M17="","",AF17)</f>
        <v>-4.3577972357774823E-2</v>
      </c>
      <c r="AN17" s="524">
        <f>IF(M17="","",DEGREES(ATAN2(-AM17,AL17)))</f>
        <v>-84.999987727520178</v>
      </c>
      <c r="AO17" s="525">
        <f t="shared" si="116"/>
        <v>29.99999566853656</v>
      </c>
      <c r="AP17" s="528">
        <f>IF(M17="","",DEGREES(ATAN2(AK17,AL17)))</f>
        <v>-29.905496619052336</v>
      </c>
      <c r="AQ17" s="529">
        <f t="shared" si="21"/>
        <v>0.49921429268422735</v>
      </c>
      <c r="AS17" s="932">
        <f t="shared" si="143"/>
        <v>-2.5799996274940895</v>
      </c>
      <c r="AT17" s="928">
        <f t="shared" si="22"/>
        <v>-2.9713478563558446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0.142309746051199</v>
      </c>
      <c r="BA17" s="296">
        <f t="shared" si="24"/>
        <v>2.1765127231743776E-2</v>
      </c>
      <c r="BB17" s="190">
        <f t="shared" si="145"/>
        <v>0.20274785635584447</v>
      </c>
      <c r="BC17" s="9"/>
      <c r="BD17" s="5">
        <f t="shared" si="146"/>
        <v>4.9236000000000004</v>
      </c>
      <c r="BE17" s="6">
        <f t="shared" si="25"/>
        <v>-2.7704611108424002</v>
      </c>
      <c r="BF17" s="4">
        <f t="shared" si="26"/>
        <v>0.21351996760658545</v>
      </c>
      <c r="BG17" s="5">
        <f t="shared" si="27"/>
        <v>4.5615191832140027</v>
      </c>
      <c r="BH17" s="10">
        <f t="shared" si="28"/>
        <v>-2.9732089671982447</v>
      </c>
      <c r="BI17" s="9">
        <f t="shared" si="147"/>
        <v>0.21351996760658545</v>
      </c>
      <c r="BJ17" s="5">
        <f t="shared" si="29"/>
        <v>4.6422478702294621</v>
      </c>
      <c r="BK17" s="8">
        <f t="shared" si="30"/>
        <v>-3.9699450802656706</v>
      </c>
      <c r="BL17" s="173">
        <f t="shared" si="31"/>
        <v>0.75332773568573019</v>
      </c>
      <c r="BM17" s="5">
        <f t="shared" si="32"/>
        <v>5.4005600000334155</v>
      </c>
      <c r="BN17" s="6">
        <f t="shared" si="33"/>
        <v>-2.9052525014836053</v>
      </c>
      <c r="BO17" s="4">
        <f t="shared" si="148"/>
        <v>0.84178831871285364</v>
      </c>
      <c r="BP17" s="5">
        <f t="shared" si="239"/>
        <v>-0.53804589655880952</v>
      </c>
      <c r="BQ17" s="5">
        <f t="shared" si="149"/>
        <v>-4.3577972357774275E-2</v>
      </c>
      <c r="BR17" s="6">
        <f t="shared" si="150"/>
        <v>2.1450016458729646</v>
      </c>
      <c r="BS17" s="4">
        <f t="shared" si="118"/>
        <v>0</v>
      </c>
      <c r="BT17" s="5">
        <f t="shared" si="118"/>
        <v>0</v>
      </c>
      <c r="BU17" s="10">
        <f t="shared" si="119"/>
        <v>-2.7704611108424002</v>
      </c>
      <c r="BV17" s="9">
        <f t="shared" si="120"/>
        <v>0</v>
      </c>
      <c r="BW17" s="5">
        <f t="shared" si="121"/>
        <v>1</v>
      </c>
      <c r="BX17" s="8">
        <f t="shared" si="122"/>
        <v>-2.7704611108424002</v>
      </c>
      <c r="BY17" s="173">
        <f t="shared" si="123"/>
        <v>1</v>
      </c>
      <c r="BZ17" s="5">
        <f t="shared" si="124"/>
        <v>0</v>
      </c>
      <c r="CA17" s="6">
        <f t="shared" si="125"/>
        <v>-2.7704611108424002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-2.7704611108424002</v>
      </c>
      <c r="CF17" s="4">
        <f t="shared" si="155"/>
        <v>0.53804589655880952</v>
      </c>
      <c r="CG17" s="5">
        <f t="shared" si="156"/>
        <v>0.84178831871285364</v>
      </c>
      <c r="CH17" s="5">
        <f t="shared" si="157"/>
        <v>0</v>
      </c>
      <c r="CI17" s="4">
        <f t="shared" si="126"/>
        <v>0</v>
      </c>
      <c r="CJ17" s="5">
        <f t="shared" si="127"/>
        <v>4.2110398723799092</v>
      </c>
      <c r="CK17" s="8">
        <f t="shared" si="128"/>
        <v>-2.7704611108424002</v>
      </c>
      <c r="CL17" s="173">
        <f t="shared" si="129"/>
        <v>0.53804589655880952</v>
      </c>
      <c r="CM17" s="5">
        <f t="shared" si="130"/>
        <v>5.0528281910927628</v>
      </c>
      <c r="CN17" s="6">
        <f t="shared" si="131"/>
        <v>-2.7704611108424002</v>
      </c>
      <c r="CO17" s="167">
        <f t="shared" si="35"/>
        <v>0.3125</v>
      </c>
      <c r="CP17" s="4">
        <f t="shared" si="240"/>
        <v>0.99810096032518603</v>
      </c>
      <c r="CQ17" s="5">
        <f t="shared" si="241"/>
        <v>-0.81982586442952887</v>
      </c>
      <c r="CR17" s="5">
        <f t="shared" si="158"/>
        <v>0.11187696714634399</v>
      </c>
      <c r="CS17" s="8">
        <f t="shared" si="159"/>
        <v>0.22545641459948335</v>
      </c>
      <c r="CT17" s="9">
        <f t="shared" si="160"/>
        <v>0.64855581970891196</v>
      </c>
      <c r="CU17" s="6">
        <f t="shared" si="161"/>
        <v>0.1728298887693423</v>
      </c>
      <c r="CV17" s="4">
        <f t="shared" si="242"/>
        <v>0.34895279748371516</v>
      </c>
      <c r="CW17" s="5">
        <f t="shared" si="162"/>
        <v>4.7569865854441105</v>
      </c>
      <c r="CX17" s="8">
        <f t="shared" si="163"/>
        <v>-2.7704611108424002</v>
      </c>
      <c r="CY17" s="9">
        <f t="shared" si="164"/>
        <v>9.2990412455060109E-2</v>
      </c>
      <c r="CZ17" s="5">
        <f t="shared" si="165"/>
        <v>4.3565260538703834</v>
      </c>
      <c r="DA17" s="6">
        <f t="shared" si="166"/>
        <v>-2.7704611108424002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0.34895279748371516</v>
      </c>
      <c r="DM17" s="173">
        <f t="shared" si="176"/>
        <v>4.7569865854441105</v>
      </c>
      <c r="DN17" s="178">
        <f t="shared" si="177"/>
        <v>7.2295388891575998</v>
      </c>
      <c r="DO17" s="9">
        <f t="shared" si="178"/>
        <v>-0.25596238502865504</v>
      </c>
      <c r="DP17" s="173">
        <f t="shared" si="179"/>
        <v>-0.40046053157372707</v>
      </c>
      <c r="DQ17" s="11">
        <f t="shared" si="180"/>
        <v>0</v>
      </c>
      <c r="DR17" s="173">
        <f t="shared" si="181"/>
        <v>144.59077778315199</v>
      </c>
      <c r="DS17" s="5">
        <f t="shared" si="182"/>
        <v>0</v>
      </c>
      <c r="DT17" s="5">
        <f t="shared" si="183"/>
        <v>400</v>
      </c>
      <c r="DU17" s="5">
        <f t="shared" si="184"/>
        <v>0.2258853798978695</v>
      </c>
      <c r="DV17" s="5">
        <f t="shared" si="185"/>
        <v>-1.9943041670023904</v>
      </c>
      <c r="DW17" s="5">
        <f t="shared" si="186"/>
        <v>75.016921978809023</v>
      </c>
      <c r="DX17" s="167">
        <f t="shared" si="187"/>
        <v>50.775085018809023</v>
      </c>
      <c r="DY17" s="9">
        <f t="shared" si="188"/>
        <v>90.354151959147799</v>
      </c>
      <c r="DZ17" s="5">
        <f t="shared" si="189"/>
        <v>-797.7216668009562</v>
      </c>
      <c r="EA17" s="10">
        <f t="shared" si="190"/>
        <v>-596.45901241323008</v>
      </c>
      <c r="EB17" s="6">
        <f t="shared" si="191"/>
        <v>690252.40592868393</v>
      </c>
      <c r="EC17" s="173">
        <f t="shared" si="192"/>
        <v>18.0239195920139</v>
      </c>
      <c r="ED17" s="5">
        <f t="shared" si="193"/>
        <v>-0.36625473646562468</v>
      </c>
      <c r="EE17" s="4">
        <f t="shared" si="194"/>
        <v>-4.2644926488528654</v>
      </c>
      <c r="EF17" s="5">
        <f t="shared" si="195"/>
        <v>-2.4608818354158899</v>
      </c>
      <c r="EG17" s="10">
        <f t="shared" si="196"/>
        <v>-2.7704611108424002</v>
      </c>
      <c r="EH17" s="9">
        <f t="shared" si="197"/>
        <v>0.44270023335749797</v>
      </c>
      <c r="EI17" s="5">
        <f t="shared" si="198"/>
        <v>4.9036571519005294</v>
      </c>
      <c r="EJ17" s="6">
        <f t="shared" si="199"/>
        <v>-2.7704611108424002</v>
      </c>
      <c r="EK17" s="236" t="b">
        <f t="shared" si="200"/>
        <v>0</v>
      </c>
      <c r="EL17" s="238" t="b">
        <f t="shared" si="201"/>
        <v>0</v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e">
        <f t="shared" si="205"/>
        <v>#VALUE!</v>
      </c>
      <c r="EQ17" s="5" t="e">
        <f t="shared" si="206"/>
        <v>#VALUE!</v>
      </c>
      <c r="ER17" s="7" t="str">
        <f t="shared" si="207"/>
        <v/>
      </c>
      <c r="ES17" s="21">
        <f t="shared" si="132"/>
        <v>0.84178831871285331</v>
      </c>
      <c r="ET17" s="5">
        <f t="shared" si="44"/>
        <v>-0.5380458965588093</v>
      </c>
      <c r="EU17" s="10">
        <f t="shared" si="45"/>
        <v>-4.3577972357774823E-2</v>
      </c>
      <c r="EV17" s="174" t="e">
        <f t="shared" si="254"/>
        <v>#VALUE!</v>
      </c>
      <c r="EW17" s="9" t="e">
        <f t="shared" si="133"/>
        <v>#VALUE!</v>
      </c>
      <c r="EX17" s="5" t="e">
        <f t="shared" si="47"/>
        <v>#VALUE!</v>
      </c>
      <c r="EY17" s="6">
        <f t="shared" si="208"/>
        <v>-4.3577972357774823E-2</v>
      </c>
      <c r="EZ17" s="51" t="e">
        <f t="shared" si="209"/>
        <v>#VALUE!</v>
      </c>
      <c r="FA17" s="266" t="e">
        <f t="shared" si="134"/>
        <v>#VALUE!</v>
      </c>
      <c r="FB17" s="267" t="e">
        <f t="shared" si="135"/>
        <v>#VALUE!</v>
      </c>
      <c r="FC17" s="269" t="e">
        <f t="shared" si="48"/>
        <v>#VALUE!</v>
      </c>
      <c r="FD17" s="4" t="e">
        <f t="shared" si="136"/>
        <v>#VALUE!</v>
      </c>
      <c r="FE17" s="5" t="e">
        <f t="shared" si="49"/>
        <v>#VALUE!</v>
      </c>
      <c r="FF17" s="7" t="e">
        <f t="shared" si="210"/>
        <v>#VALUE!</v>
      </c>
      <c r="FG17" s="173" t="e">
        <f t="shared" si="211"/>
        <v>#VALUE!</v>
      </c>
      <c r="FH17" s="5" t="e">
        <f t="shared" si="50"/>
        <v>#VALUE!</v>
      </c>
      <c r="FI17" s="10" t="e">
        <f t="shared" si="51"/>
        <v>#VALUE!</v>
      </c>
      <c r="FJ17" s="279" t="e">
        <f t="shared" si="212"/>
        <v>#VALUE!</v>
      </c>
      <c r="FK17" s="4">
        <f t="shared" si="52"/>
        <v>0.99905002894008532</v>
      </c>
      <c r="FL17" s="5" t="e">
        <f t="shared" si="213"/>
        <v>#VALUE!</v>
      </c>
      <c r="FM17" s="8" t="e">
        <f t="shared" si="214"/>
        <v>#VALUE!</v>
      </c>
      <c r="FN17" s="9" t="e">
        <f t="shared" si="215"/>
        <v>#VALUE!</v>
      </c>
      <c r="FO17" s="10" t="e">
        <f t="shared" si="53"/>
        <v>#VALUE!</v>
      </c>
      <c r="FP17" s="277" t="e">
        <f t="shared" si="54"/>
        <v>#VALUE!</v>
      </c>
      <c r="FQ17" s="173" t="e">
        <f t="shared" si="243"/>
        <v>#VALUE!</v>
      </c>
      <c r="FR17" s="10" t="e">
        <f t="shared" si="216"/>
        <v>#VALUE!</v>
      </c>
      <c r="FS17" s="9" t="e">
        <f t="shared" si="217"/>
        <v>#VALUE!</v>
      </c>
      <c r="FT17" s="6" t="e">
        <f t="shared" si="218"/>
        <v>#VALUE!</v>
      </c>
      <c r="FU17" s="4" t="e">
        <f t="shared" si="219"/>
        <v>#VALUE!</v>
      </c>
      <c r="FV17" s="5" t="e">
        <f t="shared" si="220"/>
        <v>#VALUE!</v>
      </c>
      <c r="FW17" s="8" t="e">
        <f t="shared" si="244"/>
        <v>#VALUE!</v>
      </c>
      <c r="FX17" s="9" t="e">
        <f t="shared" si="245"/>
        <v>#VALUE!</v>
      </c>
      <c r="FY17" s="10" t="e">
        <f t="shared" si="55"/>
        <v>#VALUE!</v>
      </c>
      <c r="FZ17" s="277" t="e">
        <f t="shared" si="246"/>
        <v>#VALUE!</v>
      </c>
      <c r="GA17" s="177" t="e">
        <f t="shared" si="221"/>
        <v>#VALUE!</v>
      </c>
      <c r="GB17" s="4" t="e">
        <f t="shared" si="222"/>
        <v>#VALUE!</v>
      </c>
      <c r="GC17" s="5" t="e">
        <f t="shared" si="223"/>
        <v>#VALUE!</v>
      </c>
      <c r="GD17" s="10" t="e">
        <f t="shared" si="224"/>
        <v>#VALUE!</v>
      </c>
      <c r="GE17" s="311" t="e">
        <f t="shared" si="225"/>
        <v>#VALUE!</v>
      </c>
      <c r="GF17" s="341" t="e">
        <f t="shared" si="247"/>
        <v>#VALUE!</v>
      </c>
      <c r="GG17" s="285" t="e">
        <f t="shared" si="56"/>
        <v>#VALUE!</v>
      </c>
      <c r="GH17" s="286" t="e">
        <f t="shared" si="57"/>
        <v>#VALUE!</v>
      </c>
      <c r="GI17" s="281" t="e">
        <f t="shared" si="58"/>
        <v>#VALUE!</v>
      </c>
      <c r="GJ17" s="167">
        <f t="shared" si="226"/>
        <v>4.9236000000000004</v>
      </c>
      <c r="GK17" s="174">
        <f t="shared" si="59"/>
        <v>2.5780751096231702</v>
      </c>
      <c r="GL17" s="174">
        <f t="shared" si="227"/>
        <v>4.5999999999999999E-3</v>
      </c>
      <c r="GM17" s="177">
        <f t="shared" si="248"/>
        <v>0.142309746051199</v>
      </c>
      <c r="GN17" s="280">
        <f t="shared" si="228"/>
        <v>2.1765127231743776E-2</v>
      </c>
      <c r="GO17" s="4" t="e">
        <f t="shared" si="229"/>
        <v>#VALUE!</v>
      </c>
      <c r="GP17" s="8" t="e">
        <f t="shared" si="249"/>
        <v>#VALUE!</v>
      </c>
      <c r="GQ17" s="177" t="e">
        <f t="shared" si="230"/>
        <v>#VALUE!</v>
      </c>
      <c r="GR17" s="371" t="e">
        <f t="shared" si="250"/>
        <v>#VALUE!</v>
      </c>
      <c r="GS17" s="342" t="e">
        <f t="shared" si="61"/>
        <v>#VALUE!</v>
      </c>
      <c r="GT17" s="343" t="e">
        <f t="shared" si="62"/>
        <v>#VALUE!</v>
      </c>
      <c r="GU17" s="344">
        <f t="shared" si="63"/>
        <v>349.84479237586419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 t="e">
        <f t="shared" si="66"/>
        <v>#VALUE!</v>
      </c>
      <c r="GZ17" s="345" t="e">
        <f t="shared" si="67"/>
        <v>#VALUE!</v>
      </c>
      <c r="HA17" s="342" t="e">
        <f t="shared" si="68"/>
        <v>#VALUE!</v>
      </c>
      <c r="HB17" s="5" t="e">
        <f t="shared" si="231"/>
        <v>#VALUE!</v>
      </c>
      <c r="HC17" s="343" t="e">
        <f t="shared" si="232"/>
        <v>#VALUE!</v>
      </c>
      <c r="HD17" s="345" t="e">
        <f t="shared" si="233"/>
        <v>#VALUE!</v>
      </c>
      <c r="HE17" s="344" t="e">
        <f t="shared" si="69"/>
        <v>#VALUE!</v>
      </c>
      <c r="HF17" s="5" t="e">
        <f t="shared" si="70"/>
        <v>#VALUE!</v>
      </c>
      <c r="HG17" s="343" t="e">
        <f t="shared" si="234"/>
        <v>#VALUE!</v>
      </c>
      <c r="HH17" s="349" t="e">
        <f t="shared" si="235"/>
        <v>#VALUE!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 t="e">
        <f t="shared" si="138"/>
        <v>#NUM!</v>
      </c>
      <c r="HN17" s="910">
        <f t="shared" si="73"/>
        <v>20.08333043365915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0.62263622932338236</v>
      </c>
      <c r="HV17" s="872">
        <f t="shared" si="78"/>
        <v>9.5227186656921411E-2</v>
      </c>
      <c r="HW17" s="866">
        <f t="shared" si="79"/>
        <v>29500</v>
      </c>
      <c r="HX17" s="867">
        <f t="shared" si="80"/>
        <v>243.59742999999997</v>
      </c>
      <c r="HY17" s="866" t="e">
        <f t="shared" si="81"/>
        <v>#NUM!</v>
      </c>
      <c r="HZ17" s="868">
        <f t="shared" si="82"/>
        <v>1530.6473970866482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749.3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0.8381381202961008</v>
      </c>
      <c r="C18" s="572">
        <f t="shared" si="3"/>
        <v>2.323857928648235</v>
      </c>
      <c r="D18" s="576">
        <f t="shared" si="4"/>
        <v>-0.15854402215631855</v>
      </c>
      <c r="E18" s="580">
        <f t="shared" si="5"/>
        <v>-0.88752089451991345</v>
      </c>
      <c r="F18" s="572">
        <f t="shared" si="6"/>
        <v>0.37250652701852954</v>
      </c>
      <c r="G18" s="579">
        <f t="shared" si="7"/>
        <v>0.27119282645226128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0.8381381202961008</v>
      </c>
      <c r="O18" s="572">
        <f t="shared" si="14"/>
        <v>2.323857928648235</v>
      </c>
      <c r="P18" s="576">
        <f t="shared" si="15"/>
        <v>-0.15854402215631855</v>
      </c>
      <c r="Q18" s="528">
        <f t="shared" si="140"/>
        <v>70.167315445704716</v>
      </c>
      <c r="R18" s="572">
        <f>IF(M18="","",SQRT(N18^2+O18^2))</f>
        <v>2.4703828005462527</v>
      </c>
      <c r="S18" s="577">
        <f>IF(M18="","",P18)</f>
        <v>-0.15854402215631855</v>
      </c>
      <c r="T18" s="578">
        <f>IF(M18="","",X18*COS(RADIANS(W18)))</f>
        <v>2.3253172152368125</v>
      </c>
      <c r="U18" s="572">
        <f>IF(M18="","",X18*SIN(RADIANS(W18)))</f>
        <v>-0.83408094916384579</v>
      </c>
      <c r="V18" s="579">
        <f>IF(M18="","",Y18)</f>
        <v>-0.15854402215631855</v>
      </c>
      <c r="W18" s="528">
        <f t="shared" si="253"/>
        <v>340.26731543126652</v>
      </c>
      <c r="X18" s="572">
        <f>IF(M18="","",R18)</f>
        <v>2.4703828005462527</v>
      </c>
      <c r="Y18" s="573">
        <f t="shared" si="255"/>
        <v>-0.15854402215631855</v>
      </c>
      <c r="Z18" s="575">
        <f t="shared" si="18"/>
        <v>0.88752089451991345</v>
      </c>
      <c r="AA18" s="572">
        <f t="shared" si="19"/>
        <v>-0.37250652701852954</v>
      </c>
      <c r="AB18" s="572">
        <f t="shared" si="20"/>
        <v>-0.27119282645226128</v>
      </c>
      <c r="AC18" s="579">
        <f>IF(M18="","",SQRT(Z18^2+AA18^2+AB18^2))</f>
        <v>1</v>
      </c>
      <c r="AD18" s="580">
        <f>IF(M18="","",Z18*(1/SQRT(Z18^2+AA18^2+AB18^2)))</f>
        <v>0.88752089451991345</v>
      </c>
      <c r="AE18" s="572">
        <f>IF(M18="","",AA18*(1/SQRT(Z18^2+AA18^2+AB18^2)))</f>
        <v>-0.37250652701852954</v>
      </c>
      <c r="AF18" s="576">
        <f>IF(M18="","",AB18*(1/SQRT(Z18^2+AA18^2+AB18^2)))</f>
        <v>-0.27119282645226128</v>
      </c>
      <c r="AG18" s="545">
        <f>IF(M18="","",DEGREES(ATAN2(-AF18,AE18)))</f>
        <v>-53.944570072459783</v>
      </c>
      <c r="AH18" s="546">
        <f>IF(M18="","",DEGREES(ACOS(AD18)))</f>
        <v>27.436642060313599</v>
      </c>
      <c r="AI18" s="528">
        <f>IF(M18="","",DEGREES(-ACOS(-AF18)))</f>
        <v>-74.264740697933149</v>
      </c>
      <c r="AJ18" s="529">
        <f>IF(M18="","",DEGREES(ATAN2(-AE18,AD18)))</f>
        <v>67.231438282397974</v>
      </c>
      <c r="AK18" s="578">
        <f>IF(M18="","",(COS(RADIANS((90-$Q$8)-W18))*AD18)+(-SIN(RADIANS((90-$Q$8)-W18))*AE18))</f>
        <v>0.96126170705176628</v>
      </c>
      <c r="AL18" s="572">
        <f>IF(M18="","",(SIN(RADIANS((90-$Q$8)-W18))*AD18)+(COS(RADIANS((90-$Q$8)-W18))*AE18))</f>
        <v>-4.9298898940627223E-2</v>
      </c>
      <c r="AM18" s="577">
        <f>IF(M18="","",AF18)</f>
        <v>-0.27119282645226128</v>
      </c>
      <c r="AN18" s="524">
        <f>IF(M18="","",DEGREES(ATAN2(-AM18,AL18)))</f>
        <v>-10.303028815456981</v>
      </c>
      <c r="AO18" s="525">
        <f t="shared" si="116"/>
        <v>15.999997689886136</v>
      </c>
      <c r="AP18" s="528">
        <f>IF(M18="","",DEGREES(ATAN2(AK18,AL18)))</f>
        <v>-2.9358771633067358</v>
      </c>
      <c r="AQ18" s="529">
        <f t="shared" si="21"/>
        <v>0.92274344359445537</v>
      </c>
      <c r="AS18" s="932">
        <f t="shared" si="143"/>
        <v>-19.732684568733475</v>
      </c>
      <c r="AT18" s="928">
        <f t="shared" si="22"/>
        <v>-0.14477132454916905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 t="e">
        <f t="shared" si="138"/>
        <v>#VALUE!</v>
      </c>
      <c r="HN18" s="910">
        <f t="shared" si="73"/>
        <v>22.999996679211336</v>
      </c>
      <c r="HO18" s="911"/>
      <c r="HP18" s="912"/>
      <c r="HQ18" s="910" t="e">
        <f t="shared" si="74"/>
        <v>#VALUE!</v>
      </c>
      <c r="HR18" s="913" t="e">
        <f t="shared" si="75"/>
        <v>#VALUE!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0.55428414415141136</v>
      </c>
      <c r="HV18" s="872">
        <f t="shared" si="78"/>
        <v>8.4773286825017363E-2</v>
      </c>
      <c r="HW18" s="866">
        <f t="shared" si="79"/>
        <v>29500</v>
      </c>
      <c r="HX18" s="867">
        <f t="shared" si="80"/>
        <v>216.85794166666665</v>
      </c>
      <c r="HY18" s="866" t="e">
        <f t="shared" si="81"/>
        <v>#VALUE!</v>
      </c>
      <c r="HZ18" s="868">
        <f t="shared" si="82"/>
        <v>1362.6151877055529</v>
      </c>
      <c r="IA18" s="869" t="e">
        <f t="shared" si="83"/>
        <v>#VALUE!</v>
      </c>
      <c r="IB18" s="870" t="e">
        <f t="shared" si="84"/>
        <v>#VALUE!</v>
      </c>
      <c r="IC18" s="841" t="e">
        <f t="shared" si="85"/>
        <v>#VALUE!</v>
      </c>
      <c r="ID18" s="351">
        <f t="shared" si="86"/>
        <v>595.9</v>
      </c>
      <c r="IE18" s="843" t="e">
        <f t="shared" si="87"/>
        <v>#VALUE!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19.732684568733475</v>
      </c>
      <c r="IO18" s="702">
        <v>3.0714194728234601E-2</v>
      </c>
      <c r="IP18" s="5">
        <f t="shared" si="91"/>
        <v>0.54</v>
      </c>
      <c r="IQ18" s="714">
        <v>270</v>
      </c>
      <c r="IR18" s="9">
        <f t="shared" si="139"/>
        <v>-2.4657074365736289</v>
      </c>
      <c r="IS18" s="5">
        <f t="shared" si="92"/>
        <v>-0.17330052267437634</v>
      </c>
      <c r="IT18" s="5">
        <f t="shared" si="93"/>
        <v>0.3125</v>
      </c>
      <c r="IU18" s="5">
        <f t="shared" si="94"/>
        <v>0.30039428345367691</v>
      </c>
      <c r="IV18" s="670">
        <f t="shared" si="95"/>
        <v>10.303028815456972</v>
      </c>
      <c r="IW18" s="9">
        <f t="shared" si="96"/>
        <v>-2.4703828005462527</v>
      </c>
      <c r="IX18" s="5">
        <f t="shared" si="97"/>
        <v>-0.15854402215631855</v>
      </c>
      <c r="IY18" s="5">
        <f t="shared" si="98"/>
        <v>0.26450000000000001</v>
      </c>
      <c r="IZ18" s="5">
        <f t="shared" si="99"/>
        <v>0.25425372151519221</v>
      </c>
      <c r="JA18" s="705">
        <f t="shared" si="100"/>
        <v>10.303028815456981</v>
      </c>
    </row>
    <row r="19" spans="1:271" ht="15" customHeight="1" thickBot="1" x14ac:dyDescent="0.3">
      <c r="A19" s="75">
        <f t="shared" si="1"/>
        <v>0</v>
      </c>
      <c r="B19" s="578">
        <f t="shared" si="2"/>
        <v>0.87348514115742504</v>
      </c>
      <c r="C19" s="572">
        <f t="shared" si="3"/>
        <v>3.0626846189436416</v>
      </c>
      <c r="D19" s="576">
        <f t="shared" si="4"/>
        <v>-0.3956304515276296</v>
      </c>
      <c r="E19" s="580">
        <f t="shared" si="5"/>
        <v>-0.88763760455314766</v>
      </c>
      <c r="F19" s="572">
        <f t="shared" si="6"/>
        <v>0.38213088615294455</v>
      </c>
      <c r="G19" s="579">
        <f t="shared" si="7"/>
        <v>0.25705149062223925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0.87348514115742504</v>
      </c>
      <c r="O19" s="572">
        <f t="shared" si="14"/>
        <v>3.0626846189436416</v>
      </c>
      <c r="P19" s="576">
        <f t="shared" si="15"/>
        <v>-0.3956304515276296</v>
      </c>
      <c r="Q19" s="528">
        <f t="shared" si="140"/>
        <v>74.081720776830679</v>
      </c>
      <c r="R19" s="572">
        <f>IF(M19="","",SQRT(N19^2+O19^2))</f>
        <v>3.1848097850478867</v>
      </c>
      <c r="S19" s="577">
        <f>IF(M19="","",P19)</f>
        <v>-0.3956304515276296</v>
      </c>
      <c r="T19" s="578">
        <f>IF(M19="","",X19*COS(RADIANS(W19)))</f>
        <v>3.0642044723846817</v>
      </c>
      <c r="U19" s="572">
        <f>IF(M19="","",X19*SIN(RADIANS(W19)))</f>
        <v>-0.86813842119473172</v>
      </c>
      <c r="V19" s="579">
        <f>IF(M19="","",Y19)</f>
        <v>-0.3956304515276296</v>
      </c>
      <c r="W19" s="528">
        <f t="shared" si="253"/>
        <v>344.1817207623925</v>
      </c>
      <c r="X19" s="572">
        <f>IF(M19="","",R19)</f>
        <v>3.1848097850478867</v>
      </c>
      <c r="Y19" s="573">
        <f t="shared" si="255"/>
        <v>-0.3956304515276296</v>
      </c>
      <c r="Z19" s="575">
        <f t="shared" si="18"/>
        <v>0.88763760455314766</v>
      </c>
      <c r="AA19" s="572">
        <f t="shared" si="19"/>
        <v>-0.38213088615294455</v>
      </c>
      <c r="AB19" s="572">
        <f t="shared" si="20"/>
        <v>-0.25705149062223925</v>
      </c>
      <c r="AC19" s="579">
        <f>IF(M19="","",SQRT(Z19^2+AA19^2+AB19^2))</f>
        <v>1</v>
      </c>
      <c r="AD19" s="580">
        <f>IF(M19="","",Z19*(1/SQRT(Z19^2+AA19^2+AB19^2)))</f>
        <v>0.88763760455314766</v>
      </c>
      <c r="AE19" s="572">
        <f>IF(M19="","",AA19*(1/SQRT(Z19^2+AA19^2+AB19^2)))</f>
        <v>-0.38213088615294455</v>
      </c>
      <c r="AF19" s="576">
        <f>IF(M19="","",AB19*(1/SQRT(Z19^2+AA19^2+AB19^2)))</f>
        <v>-0.25705149062223925</v>
      </c>
      <c r="AG19" s="545">
        <f>IF(M19="","",DEGREES(ATAN2(-AF19,AE19)))</f>
        <v>-56.072099674823363</v>
      </c>
      <c r="AH19" s="546">
        <f>IF(M19="","",DEGREES(ACOS(AD19)))</f>
        <v>27.422125791497766</v>
      </c>
      <c r="AI19" s="528">
        <f>IF(M19="","",DEGREES(-ACOS(-AF19)))</f>
        <v>-75.104820317824974</v>
      </c>
      <c r="AJ19" s="529">
        <f>IF(M19="","",DEGREES(ATAN2(-AE19,AD19)))</f>
        <v>66.707964321992733</v>
      </c>
      <c r="AK19" s="578">
        <f>IF(M19="","",(COS(RADIANS((90-$Q$8)-W19))*AD19)+(-SIN(RADIANS((90-$Q$8)-W19))*AE19))</f>
        <v>0.95840564922370253</v>
      </c>
      <c r="AL19" s="572">
        <f>IF(M19="","",(SIN(RADIANS((90-$Q$8)-W19))*AD19)+(COS(RADIANS((90-$Q$8)-W19))*AE19))</f>
        <v>-0.1240287978857246</v>
      </c>
      <c r="AM19" s="577">
        <f>IF(M19="","",AF19)</f>
        <v>-0.25705149062223925</v>
      </c>
      <c r="AN19" s="524">
        <f>IF(M19="","",DEGREES(ATAN2(-AM19,AL19)))</f>
        <v>-25.757572038642522</v>
      </c>
      <c r="AO19" s="525">
        <f t="shared" si="116"/>
        <v>16.583330938996621</v>
      </c>
      <c r="AP19" s="528">
        <f>IF(M19="","",DEGREES(ATAN2(AK19,AL19)))</f>
        <v>-7.3737564548379586</v>
      </c>
      <c r="AQ19" s="529">
        <f t="shared" si="21"/>
        <v>0.71577525462835556</v>
      </c>
      <c r="AS19" s="932">
        <f t="shared" si="143"/>
        <v>-15.818279237607499</v>
      </c>
      <c r="AT19" s="928">
        <f t="shared" si="22"/>
        <v>-0.38457609095598427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 t="e">
        <f t="shared" si="138"/>
        <v>#VALUE!</v>
      </c>
      <c r="HN19" s="910">
        <f t="shared" si="73"/>
        <v>23.583329928321742</v>
      </c>
      <c r="HO19" s="911"/>
      <c r="HP19" s="912"/>
      <c r="HQ19" s="910" t="e">
        <f t="shared" si="74"/>
        <v>#VALUE!</v>
      </c>
      <c r="HR19" s="913" t="e">
        <f t="shared" si="75"/>
        <v>#VALUE!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0.49984359073586371</v>
      </c>
      <c r="HV19" s="872">
        <f t="shared" si="78"/>
        <v>7.6447043510454477E-2</v>
      </c>
      <c r="HW19" s="866">
        <f t="shared" si="79"/>
        <v>29500</v>
      </c>
      <c r="HX19" s="867">
        <f t="shared" si="80"/>
        <v>195.55891708333328</v>
      </c>
      <c r="HY19" s="866" t="e">
        <f t="shared" si="81"/>
        <v>#VALUE!</v>
      </c>
      <c r="HZ19" s="868">
        <f t="shared" si="82"/>
        <v>1228.7821605589984</v>
      </c>
      <c r="IA19" s="869" t="e">
        <f t="shared" si="83"/>
        <v>#VALUE!</v>
      </c>
      <c r="IB19" s="870" t="e">
        <f t="shared" si="84"/>
        <v>#VALUE!</v>
      </c>
      <c r="IC19" s="841" t="e">
        <f t="shared" si="85"/>
        <v>#VALUE!</v>
      </c>
      <c r="ID19" s="351">
        <f t="shared" si="86"/>
        <v>528.04999999999995</v>
      </c>
      <c r="IE19" s="843" t="e">
        <f t="shared" si="87"/>
        <v>#VALUE!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15.208279325680564</v>
      </c>
      <c r="IO19" s="702">
        <v>2.7358860482313199E-2</v>
      </c>
      <c r="IP19" s="5">
        <f t="shared" si="91"/>
        <v>0.68</v>
      </c>
      <c r="IQ19" s="714">
        <v>340</v>
      </c>
      <c r="IR19" s="9">
        <f t="shared" si="139"/>
        <v>-3.173509571304868</v>
      </c>
      <c r="IS19" s="5">
        <f t="shared" si="92"/>
        <v>-0.41060123837333518</v>
      </c>
      <c r="IT19" s="5">
        <f t="shared" si="93"/>
        <v>0.3125</v>
      </c>
      <c r="IU19" s="5">
        <f t="shared" si="94"/>
        <v>0.29950176538240714</v>
      </c>
      <c r="IV19" s="670">
        <f t="shared" si="95"/>
        <v>25.757572038642298</v>
      </c>
      <c r="IW19" s="9">
        <f t="shared" si="96"/>
        <v>-3.1848097850478867</v>
      </c>
      <c r="IX19" s="5">
        <f t="shared" si="97"/>
        <v>-0.3956304515276296</v>
      </c>
      <c r="IY19" s="5">
        <f t="shared" si="98"/>
        <v>0.26450000000000001</v>
      </c>
      <c r="IZ19" s="5">
        <f t="shared" si="99"/>
        <v>0.25349829421966935</v>
      </c>
      <c r="JA19" s="705">
        <f t="shared" si="100"/>
        <v>25.757572038642522</v>
      </c>
      <c r="JD19" s="1102" t="s">
        <v>356</v>
      </c>
      <c r="JE19" s="1103"/>
      <c r="JF19" s="1103"/>
      <c r="JG19" s="1103"/>
      <c r="JH19" s="1103"/>
      <c r="JI19" s="1103"/>
      <c r="JJ19" s="1103"/>
      <c r="JK19" s="1104"/>
    </row>
    <row r="20" spans="1:271" ht="15" customHeight="1" x14ac:dyDescent="0.25">
      <c r="A20" s="75">
        <f t="shared" si="1"/>
        <v>0</v>
      </c>
      <c r="B20" s="578">
        <f t="shared" si="2"/>
        <v>0.93061377612749752</v>
      </c>
      <c r="C20" s="572">
        <f t="shared" si="3"/>
        <v>3.6702938823870275</v>
      </c>
      <c r="D20" s="576">
        <f t="shared" si="4"/>
        <v>-0.84872209297056067</v>
      </c>
      <c r="E20" s="580">
        <f t="shared" si="5"/>
        <v>-0.85478185254458594</v>
      </c>
      <c r="F20" s="572">
        <f t="shared" si="6"/>
        <v>0.4501312155573331</v>
      </c>
      <c r="G20" s="579">
        <f t="shared" si="7"/>
        <v>0.25832125994838984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0.93061377612749752</v>
      </c>
      <c r="O20" s="572">
        <f t="shared" si="14"/>
        <v>3.6702938823870275</v>
      </c>
      <c r="P20" s="576">
        <f t="shared" si="15"/>
        <v>-0.84872209297056067</v>
      </c>
      <c r="Q20" s="528">
        <f t="shared" si="140"/>
        <v>75.772323846007566</v>
      </c>
      <c r="R20" s="572">
        <f>IF(M20="","",SQRT(N20^2+O20^2))</f>
        <v>3.7864362114534451</v>
      </c>
      <c r="S20" s="577">
        <f>IF(M20="","",P20)</f>
        <v>-0.84872209297056067</v>
      </c>
      <c r="T20" s="578">
        <f>IF(M20="","",X20*COS(RADIANS(W20)))</f>
        <v>3.671912518599461</v>
      </c>
      <c r="U20" s="572">
        <f>IF(M20="","",X20*SIN(RADIANS(W20)))</f>
        <v>-0.92420649162320889</v>
      </c>
      <c r="V20" s="579">
        <f>IF(M20="","",Y20)</f>
        <v>-0.84872209297056067</v>
      </c>
      <c r="W20" s="528">
        <f t="shared" si="253"/>
        <v>345.87232383156936</v>
      </c>
      <c r="X20" s="572">
        <f>IF(M20="","",R20)</f>
        <v>3.7864362114534451</v>
      </c>
      <c r="Y20" s="573">
        <f t="shared" si="255"/>
        <v>-0.84872209297056067</v>
      </c>
      <c r="Z20" s="575">
        <f t="shared" si="18"/>
        <v>0.85478185254458594</v>
      </c>
      <c r="AA20" s="572">
        <f t="shared" si="19"/>
        <v>-0.4501312155573331</v>
      </c>
      <c r="AB20" s="572">
        <f t="shared" si="20"/>
        <v>-0.25832125994838984</v>
      </c>
      <c r="AC20" s="579">
        <f>IF(M20="","",SQRT(Z20^2+AA20^2+AB20^2))</f>
        <v>1</v>
      </c>
      <c r="AD20" s="580">
        <f>IF(M20="","",Z20*(1/SQRT(Z20^2+AA20^2+AB20^2)))</f>
        <v>0.85478185254458594</v>
      </c>
      <c r="AE20" s="572">
        <f>IF(M20="","",AA20*(1/SQRT(Z20^2+AA20^2+AB20^2)))</f>
        <v>-0.4501312155573331</v>
      </c>
      <c r="AF20" s="576">
        <f>IF(M20="","",AB20*(1/SQRT(Z20^2+AA20^2+AB20^2)))</f>
        <v>-0.25832125994838984</v>
      </c>
      <c r="AG20" s="545">
        <f>IF(M20="","",DEGREES(ATAN2(-AF20,AE20)))</f>
        <v>-60.149351941746204</v>
      </c>
      <c r="AH20" s="546">
        <f>IF(M20="","",DEGREES(ACOS(AD20)))</f>
        <v>31.2643568547923</v>
      </c>
      <c r="AI20" s="528">
        <f>IF(M20="","",DEGREES(-ACOS(-AF20)))</f>
        <v>-75.029525062913436</v>
      </c>
      <c r="AJ20" s="529">
        <f>IF(M20="","",DEGREES(ATAN2(-AE20,AD20)))</f>
        <v>62.228546903772319</v>
      </c>
      <c r="AK20" s="578">
        <f>IF(M20="","",(COS(RADIANS((90-$Q$8)-W20))*AD20)+(-SIN(RADIANS((90-$Q$8)-W20))*AE20))</f>
        <v>0.93919419629347134</v>
      </c>
      <c r="AL20" s="572">
        <f>IF(M20="","",(SIN(RADIANS((90-$Q$8)-W20))*AD20)+(COS(RADIANS((90-$Q$8)-W20))*AE20))</f>
        <v>-0.2262396700566397</v>
      </c>
      <c r="AM20" s="577">
        <f>IF(M20="","",AF20)</f>
        <v>-0.25832125994838984</v>
      </c>
      <c r="AN20" s="524">
        <f>IF(M20="","",DEGREES(ATAN2(-AM20,AL20)))</f>
        <v>-41.212115261827932</v>
      </c>
      <c r="AO20" s="525">
        <f t="shared" si="116"/>
        <v>20.083330433659125</v>
      </c>
      <c r="AP20" s="528">
        <f>IF(M20="","",DEGREES(ATAN2(AK20,AL20)))</f>
        <v>-13.543776942235237</v>
      </c>
      <c r="AQ20" s="529">
        <f t="shared" si="21"/>
        <v>0.60205496643638212</v>
      </c>
      <c r="AS20" s="932">
        <f t="shared" si="143"/>
        <v>-14.127676168430639</v>
      </c>
      <c r="AT20" s="928">
        <f t="shared" si="22"/>
        <v>-0.83884176230806595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 t="e">
        <f t="shared" si="138"/>
        <v>#VALUE!</v>
      </c>
      <c r="HN20" s="910">
        <f t="shared" si="73"/>
        <v>26.499996173873903</v>
      </c>
      <c r="HO20" s="911"/>
      <c r="HP20" s="912"/>
      <c r="HQ20" s="910" t="e">
        <f t="shared" si="74"/>
        <v>#VALUE!</v>
      </c>
      <c r="HR20" s="913" t="e">
        <f t="shared" si="75"/>
        <v>#VALUE!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0.33986680407179559</v>
      </c>
      <c r="HV20" s="872">
        <f t="shared" si="78"/>
        <v>5.1979884988393177E-2</v>
      </c>
      <c r="HW20" s="866">
        <f t="shared" si="79"/>
        <v>29500</v>
      </c>
      <c r="HX20" s="867">
        <f t="shared" si="80"/>
        <v>132.97021749999999</v>
      </c>
      <c r="HY20" s="866" t="e">
        <f t="shared" si="81"/>
        <v>#VALUE!</v>
      </c>
      <c r="HZ20" s="868">
        <f t="shared" si="82"/>
        <v>835.5058933431643</v>
      </c>
      <c r="IA20" s="869" t="e">
        <f t="shared" si="83"/>
        <v>#VALUE!</v>
      </c>
      <c r="IB20" s="870" t="e">
        <f t="shared" si="84"/>
        <v>#VALUE!</v>
      </c>
      <c r="IC20" s="841" t="e">
        <f t="shared" si="85"/>
        <v>#VALUE!</v>
      </c>
      <c r="ID20" s="351">
        <f t="shared" si="86"/>
        <v>336.3</v>
      </c>
      <c r="IE20" s="843" t="e">
        <f t="shared" si="87"/>
        <v>#VALUE!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12.757676366234136</v>
      </c>
      <c r="IO20" s="702">
        <v>2.4975798806906101E-2</v>
      </c>
      <c r="IP20" s="5">
        <f t="shared" si="91"/>
        <v>0.82</v>
      </c>
      <c r="IQ20" s="714">
        <v>410</v>
      </c>
      <c r="IR20" s="9">
        <f t="shared" si="139"/>
        <v>-3.7699113700526929</v>
      </c>
      <c r="IS20" s="5">
        <f t="shared" si="92"/>
        <v>-0.86050259527582806</v>
      </c>
      <c r="IT20" s="5">
        <f t="shared" si="93"/>
        <v>0.3125</v>
      </c>
      <c r="IU20" s="5">
        <f t="shared" si="94"/>
        <v>0.29349818634170977</v>
      </c>
      <c r="IV20" s="670">
        <f t="shared" si="95"/>
        <v>41.212115261827954</v>
      </c>
      <c r="IW20" s="9">
        <f t="shared" si="96"/>
        <v>-3.7864362114534451</v>
      </c>
      <c r="IX20" s="5">
        <f t="shared" si="97"/>
        <v>-0.84872209297056067</v>
      </c>
      <c r="IY20" s="5">
        <f t="shared" si="98"/>
        <v>0.26450000000000001</v>
      </c>
      <c r="IZ20" s="5">
        <f t="shared" si="99"/>
        <v>0.2484168649196232</v>
      </c>
      <c r="JA20" s="705">
        <f t="shared" si="100"/>
        <v>41.212115261827932</v>
      </c>
      <c r="JC20" s="31"/>
      <c r="JD20" s="1105" t="s">
        <v>360</v>
      </c>
      <c r="JE20" s="1106"/>
      <c r="JF20" s="1106"/>
      <c r="JG20" s="1106"/>
      <c r="JH20" s="1320" t="s">
        <v>361</v>
      </c>
      <c r="JI20" s="1321"/>
      <c r="JJ20" s="1321"/>
      <c r="JK20" s="1322"/>
    </row>
    <row r="21" spans="1:271" ht="15" customHeight="1" x14ac:dyDescent="0.25">
      <c r="A21" s="75">
        <f t="shared" si="1"/>
        <v>0</v>
      </c>
      <c r="B21" s="578">
        <f t="shared" si="2"/>
        <v>0.98846006943635933</v>
      </c>
      <c r="C21" s="572">
        <f t="shared" si="3"/>
        <v>4.1099638003729035</v>
      </c>
      <c r="D21" s="576">
        <f t="shared" si="4"/>
        <v>-1.4599616872913928</v>
      </c>
      <c r="E21" s="580">
        <f t="shared" si="5"/>
        <v>-0.81290799346988196</v>
      </c>
      <c r="F21" s="572">
        <f t="shared" si="6"/>
        <v>0.53930237037597895</v>
      </c>
      <c r="G21" s="579">
        <f t="shared" si="7"/>
        <v>0.21984891962350162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0.98846006943635933</v>
      </c>
      <c r="O21" s="572">
        <f t="shared" si="14"/>
        <v>4.1099638003729035</v>
      </c>
      <c r="P21" s="576">
        <f t="shared" si="15"/>
        <v>-1.4599616872913928</v>
      </c>
      <c r="Q21" s="528">
        <f t="shared" si="140"/>
        <v>76.477000613770102</v>
      </c>
      <c r="R21" s="572">
        <f>IF(M21="","",SQRT(N21^2+O21^2))</f>
        <v>4.2271569345419167</v>
      </c>
      <c r="S21" s="577">
        <f>IF(M21="","",P21)</f>
        <v>-1.4599616872913928</v>
      </c>
      <c r="T21" s="578">
        <f>IF(M21="","",X21*COS(RADIANS(W21)))</f>
        <v>4.1116827276921182</v>
      </c>
      <c r="U21" s="572">
        <f>IF(M21="","",X21*SIN(RADIANS(W21)))</f>
        <v>-0.98128532855847828</v>
      </c>
      <c r="V21" s="579">
        <f>IF(M21="","",Y21)</f>
        <v>-1.4599616872913928</v>
      </c>
      <c r="W21" s="528">
        <f t="shared" si="253"/>
        <v>346.57700059933188</v>
      </c>
      <c r="X21" s="572">
        <f>IF(M21="","",R21)</f>
        <v>4.2271569345419167</v>
      </c>
      <c r="Y21" s="573">
        <f t="shared" si="255"/>
        <v>-1.4599616872913928</v>
      </c>
      <c r="Z21" s="575">
        <f t="shared" si="18"/>
        <v>0.81290799346988196</v>
      </c>
      <c r="AA21" s="572">
        <f t="shared" si="19"/>
        <v>-0.53930237037597895</v>
      </c>
      <c r="AB21" s="572">
        <f t="shared" si="20"/>
        <v>-0.21984891962350162</v>
      </c>
      <c r="AC21" s="579">
        <f>IF(M21="","",SQRT(Z21^2+AA21^2+AB21^2))</f>
        <v>1</v>
      </c>
      <c r="AD21" s="580">
        <f>IF(M21="","",Z21*(1/SQRT(Z21^2+AA21^2+AB21^2)))</f>
        <v>0.81290799346988196</v>
      </c>
      <c r="AE21" s="572">
        <f>IF(M21="","",AA21*(1/SQRT(Z21^2+AA21^2+AB21^2)))</f>
        <v>-0.53930237037597895</v>
      </c>
      <c r="AF21" s="576">
        <f>IF(M21="","",AB21*(1/SQRT(Z21^2+AA21^2+AB21^2)))</f>
        <v>-0.21984891962350162</v>
      </c>
      <c r="AG21" s="545">
        <f>IF(M21="","",DEGREES(ATAN2(-AF21,AE21)))</f>
        <v>-67.821524003225974</v>
      </c>
      <c r="AH21" s="546">
        <f>IF(M21="","",DEGREES(ACOS(AD21)))</f>
        <v>35.618968871226052</v>
      </c>
      <c r="AI21" s="528">
        <f>IF(M21="","",DEGREES(-ACOS(-AF21)))</f>
        <v>-77.299840524767632</v>
      </c>
      <c r="AJ21" s="529">
        <f>IF(M21="","",DEGREES(ATAN2(-AE21,AD21)))</f>
        <v>56.438764459012745</v>
      </c>
      <c r="AK21" s="578">
        <f>IF(M21="","",(COS(RADIANS((90-$Q$8)-W21))*AD21)+(-SIN(RADIANS((90-$Q$8)-W21))*AE21))</f>
        <v>0.91647917138043178</v>
      </c>
      <c r="AL21" s="572">
        <f>IF(M21="","",(SIN(RADIANS((90-$Q$8)-W21))*AD21)+(COS(RADIANS((90-$Q$8)-W21))*AE21))</f>
        <v>-0.33426393907542035</v>
      </c>
      <c r="AM21" s="577">
        <f>IF(M21="","",AF21)</f>
        <v>-0.21984891962350162</v>
      </c>
      <c r="AN21" s="524">
        <f>IF(M21="","",DEGREES(ATAN2(-AM21,AL21)))</f>
        <v>-56.66665848501345</v>
      </c>
      <c r="AO21" s="525">
        <f>IF(ROUND(IF(M21="",0,DEGREES(ACOS(AK21))),4)=90,0,IF(M21="","",DEGREES(ACOS(AK21))))</f>
        <v>23.583329928321717</v>
      </c>
      <c r="AP21" s="528">
        <f>IF(M21="","",DEGREES(ATAN2(AK21,AL21)))</f>
        <v>-20.038236154757318</v>
      </c>
      <c r="AQ21" s="529">
        <f t="shared" si="21"/>
        <v>0.53928901729565915</v>
      </c>
      <c r="AS21" s="932">
        <f t="shared" si="143"/>
        <v>-13.422999400668118</v>
      </c>
      <c r="AT21" s="928">
        <f t="shared" si="22"/>
        <v>-1.4505707154953997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 t="e">
        <f t="shared" si="138"/>
        <v>#VALUE!</v>
      </c>
      <c r="HN21" s="910">
        <f t="shared" si="73"/>
        <v>27.083329422984274</v>
      </c>
      <c r="HO21" s="911"/>
      <c r="HP21" s="912"/>
      <c r="HQ21" s="910" t="e">
        <f t="shared" si="74"/>
        <v>#VALUE!</v>
      </c>
      <c r="HR21" s="913" t="e">
        <f t="shared" si="75"/>
        <v>#VALUE!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0.28575908439073006</v>
      </c>
      <c r="HV21" s="872">
        <f t="shared" si="78"/>
        <v>4.3704545907581181E-2</v>
      </c>
      <c r="HW21" s="866">
        <f t="shared" si="79"/>
        <v>29500</v>
      </c>
      <c r="HX21" s="867">
        <f t="shared" si="80"/>
        <v>111.80106666666667</v>
      </c>
      <c r="HY21" s="866" t="e">
        <f t="shared" si="81"/>
        <v>#VALUE!</v>
      </c>
      <c r="HZ21" s="868">
        <f t="shared" si="82"/>
        <v>702.49108246054482</v>
      </c>
      <c r="IA21" s="869" t="e">
        <f t="shared" si="83"/>
        <v>#VALUE!</v>
      </c>
      <c r="IB21" s="870" t="e">
        <f t="shared" si="84"/>
        <v>#VALUE!</v>
      </c>
      <c r="IC21" s="841" t="e">
        <f t="shared" si="85"/>
        <v>#VALUE!</v>
      </c>
      <c r="ID21" s="351">
        <f t="shared" si="86"/>
        <v>280.25</v>
      </c>
      <c r="IE21" s="843" t="e">
        <f t="shared" si="87"/>
        <v>#VALUE!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11.412999690876177</v>
      </c>
      <c r="IO21" s="702">
        <v>2.3078836701124102E-2</v>
      </c>
      <c r="IP21" s="5">
        <f t="shared" si="91"/>
        <v>1</v>
      </c>
      <c r="IQ21" s="714">
        <v>500</v>
      </c>
      <c r="IR21" s="9">
        <f t="shared" si="139"/>
        <v>-4.2071126886518693</v>
      </c>
      <c r="IS21" s="5">
        <f t="shared" si="92"/>
        <v>-1.4668044238821429</v>
      </c>
      <c r="IT21" s="5">
        <f t="shared" si="93"/>
        <v>0.3125</v>
      </c>
      <c r="IU21" s="5">
        <f t="shared" si="94"/>
        <v>0.28639974105638488</v>
      </c>
      <c r="IV21" s="670">
        <f t="shared" si="95"/>
        <v>56.666658485013478</v>
      </c>
      <c r="IW21" s="9">
        <f t="shared" si="96"/>
        <v>-4.2271569345419167</v>
      </c>
      <c r="IX21" s="5">
        <f t="shared" si="97"/>
        <v>-1.4599616872913928</v>
      </c>
      <c r="IY21" s="5">
        <f t="shared" si="98"/>
        <v>0.26450000000000001</v>
      </c>
      <c r="IZ21" s="5">
        <f t="shared" si="99"/>
        <v>0.24240874083012423</v>
      </c>
      <c r="JA21" s="705">
        <f t="shared" si="100"/>
        <v>56.66665848501345</v>
      </c>
      <c r="JC21" s="708"/>
      <c r="JD21" s="1107"/>
      <c r="JE21" s="1108"/>
      <c r="JF21" s="1108"/>
      <c r="JG21" s="1108"/>
      <c r="JH21" s="1323" t="s">
        <v>349</v>
      </c>
      <c r="JI21" s="1324"/>
      <c r="JJ21" s="1109" t="s">
        <v>362</v>
      </c>
      <c r="JK21" s="1110"/>
    </row>
    <row r="22" spans="1:271" ht="15" customHeight="1" thickBot="1" x14ac:dyDescent="0.3">
      <c r="A22" s="75">
        <f t="shared" si="1"/>
        <v>0</v>
      </c>
      <c r="B22" s="578">
        <f t="shared" si="2"/>
        <v>1.1215409815072199</v>
      </c>
      <c r="C22" s="572">
        <f t="shared" si="3"/>
        <v>4.3398758797397523</v>
      </c>
      <c r="D22" s="576">
        <f t="shared" si="4"/>
        <v>-2.1699817400013464</v>
      </c>
      <c r="E22" s="580">
        <f t="shared" si="5"/>
        <v>-0.75361101594447666</v>
      </c>
      <c r="F22" s="572">
        <f t="shared" si="6"/>
        <v>0.64228766328521636</v>
      </c>
      <c r="G22" s="579">
        <f t="shared" si="7"/>
        <v>0.13977479829622516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1.1215409815072199</v>
      </c>
      <c r="O22" s="572">
        <f t="shared" si="14"/>
        <v>4.3398758797397523</v>
      </c>
      <c r="P22" s="576">
        <f t="shared" si="15"/>
        <v>-2.1699817400013464</v>
      </c>
      <c r="Q22" s="528">
        <f t="shared" si="140"/>
        <v>75.510237111306552</v>
      </c>
      <c r="R22" s="572">
        <f t="shared" si="101"/>
        <v>4.4824520995485351</v>
      </c>
      <c r="S22" s="577">
        <f t="shared" si="102"/>
        <v>-2.1699817400013464</v>
      </c>
      <c r="T22" s="578">
        <f t="shared" si="103"/>
        <v>4.3418267267402957</v>
      </c>
      <c r="U22" s="572">
        <f t="shared" si="104"/>
        <v>-1.1139647659197833</v>
      </c>
      <c r="V22" s="579">
        <f t="shared" si="141"/>
        <v>-2.1699817400013464</v>
      </c>
      <c r="W22" s="528">
        <f t="shared" si="253"/>
        <v>345.61023709686833</v>
      </c>
      <c r="X22" s="572">
        <f t="shared" si="105"/>
        <v>4.4824520995485351</v>
      </c>
      <c r="Y22" s="573">
        <f t="shared" si="255"/>
        <v>-2.1699817400013464</v>
      </c>
      <c r="Z22" s="575">
        <f t="shared" si="18"/>
        <v>0.75361101594447666</v>
      </c>
      <c r="AA22" s="572">
        <f t="shared" si="19"/>
        <v>-0.64228766328521636</v>
      </c>
      <c r="AB22" s="572">
        <f t="shared" si="20"/>
        <v>-0.13977479829622516</v>
      </c>
      <c r="AC22" s="579">
        <f t="shared" si="106"/>
        <v>1</v>
      </c>
      <c r="AD22" s="580">
        <f t="shared" si="142"/>
        <v>0.75361101594447666</v>
      </c>
      <c r="AE22" s="572">
        <f t="shared" si="107"/>
        <v>-0.64228766328521636</v>
      </c>
      <c r="AF22" s="576">
        <f t="shared" si="108"/>
        <v>-0.13977479829622516</v>
      </c>
      <c r="AG22" s="545">
        <f t="shared" si="109"/>
        <v>-77.722701501492381</v>
      </c>
      <c r="AH22" s="546">
        <f t="shared" si="110"/>
        <v>41.095849026763283</v>
      </c>
      <c r="AI22" s="528">
        <f t="shared" si="111"/>
        <v>-81.965184990599454</v>
      </c>
      <c r="AJ22" s="529">
        <f t="shared" si="112"/>
        <v>49.559705782862231</v>
      </c>
      <c r="AK22" s="578">
        <f t="shared" si="238"/>
        <v>0.89034531066075329</v>
      </c>
      <c r="AL22" s="572">
        <f t="shared" si="113"/>
        <v>-0.43329924249374896</v>
      </c>
      <c r="AM22" s="577">
        <f t="shared" si="114"/>
        <v>-0.13977479829622516</v>
      </c>
      <c r="AN22" s="524">
        <f t="shared" si="115"/>
        <v>-72.121201708198967</v>
      </c>
      <c r="AO22" s="525">
        <f t="shared" si="116"/>
        <v>27.083329422984299</v>
      </c>
      <c r="AP22" s="528">
        <f t="shared" si="117"/>
        <v>-25.950531328444281</v>
      </c>
      <c r="AQ22" s="529">
        <f t="shared" si="21"/>
        <v>0.50857582155294578</v>
      </c>
      <c r="AS22" s="932">
        <f t="shared" si="143"/>
        <v>-14.389762903131668</v>
      </c>
      <c r="AT22" s="928">
        <f t="shared" si="22"/>
        <v>-2.1599194046619759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 t="e">
        <f t="shared" si="138"/>
        <v>#VALUE!</v>
      </c>
      <c r="HN22" s="910">
        <f t="shared" si="73"/>
        <v>29.99999566853651</v>
      </c>
      <c r="HO22" s="911"/>
      <c r="HP22" s="912"/>
      <c r="HQ22" s="910" t="e">
        <f t="shared" si="74"/>
        <v>#VALUE!</v>
      </c>
      <c r="HR22" s="913" t="e">
        <f t="shared" si="75"/>
        <v>#VALUE!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5.5505472558756881E-2</v>
      </c>
      <c r="HV22" s="872">
        <f t="shared" si="78"/>
        <v>8.4891141037155109E-3</v>
      </c>
      <c r="HW22" s="866">
        <f t="shared" si="79"/>
        <v>29500</v>
      </c>
      <c r="HX22" s="867">
        <f t="shared" si="80"/>
        <v>21.716130000000003</v>
      </c>
      <c r="HY22" s="866" t="e">
        <f t="shared" si="81"/>
        <v>#VALUE!</v>
      </c>
      <c r="HZ22" s="868">
        <f t="shared" si="82"/>
        <v>136.45095337361067</v>
      </c>
      <c r="IA22" s="869" t="e">
        <f t="shared" si="83"/>
        <v>#VALUE!</v>
      </c>
      <c r="IB22" s="870" t="e">
        <f t="shared" si="84"/>
        <v>#VALUE!</v>
      </c>
      <c r="IC22" s="841" t="e">
        <f t="shared" si="85"/>
        <v>#VALUE!</v>
      </c>
      <c r="ID22" s="351">
        <f t="shared" si="86"/>
        <v>53.1</v>
      </c>
      <c r="IE22" s="843" t="e">
        <f t="shared" si="87"/>
        <v>#VALUE!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11.97976325109255</v>
      </c>
      <c r="IO22" s="702">
        <v>2.1504205974742799E-2</v>
      </c>
      <c r="IP22" s="5">
        <f t="shared" si="91"/>
        <v>1.1200000000000001</v>
      </c>
      <c r="IQ22" s="714">
        <v>560</v>
      </c>
      <c r="IR22" s="9">
        <f t="shared" si="139"/>
        <v>-4.460813453813377</v>
      </c>
      <c r="IS22" s="5">
        <f t="shared" si="92"/>
        <v>-2.1703065456445421</v>
      </c>
      <c r="IT22" s="5">
        <f t="shared" si="93"/>
        <v>0.3125</v>
      </c>
      <c r="IU22" s="5">
        <f t="shared" si="94"/>
        <v>0.2782329095814855</v>
      </c>
      <c r="IV22" s="670">
        <f t="shared" si="95"/>
        <v>72.121201708198925</v>
      </c>
      <c r="IW22" s="9">
        <f t="shared" si="96"/>
        <v>-4.4824520995485351</v>
      </c>
      <c r="IX22" s="5">
        <f t="shared" si="97"/>
        <v>-2.1699817400013464</v>
      </c>
      <c r="IY22" s="5">
        <f t="shared" si="98"/>
        <v>0.26450000000000001</v>
      </c>
      <c r="IZ22" s="5">
        <f t="shared" si="99"/>
        <v>0.23549633466976927</v>
      </c>
      <c r="JA22" s="705">
        <f t="shared" si="100"/>
        <v>72.121201708198967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1.6777449933107127</v>
      </c>
      <c r="C23" s="572">
        <f t="shared" si="3"/>
        <v>4.2210318838143603</v>
      </c>
      <c r="D23" s="576">
        <f t="shared" si="4"/>
        <v>-2.9911631507505914</v>
      </c>
      <c r="E23" s="580">
        <f t="shared" si="5"/>
        <v>0.36850981319058806</v>
      </c>
      <c r="F23" s="572">
        <f t="shared" si="6"/>
        <v>0.92713235752620371</v>
      </c>
      <c r="G23" s="579">
        <f t="shared" si="7"/>
        <v>6.8015507129929209E-2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1.6777449933107127</v>
      </c>
      <c r="O23" s="572">
        <f t="shared" si="14"/>
        <v>4.2210318838143603</v>
      </c>
      <c r="P23" s="576">
        <f t="shared" si="15"/>
        <v>-2.9911631507505914</v>
      </c>
      <c r="Q23" s="528">
        <f t="shared" si="140"/>
        <v>68.323529279227202</v>
      </c>
      <c r="R23" s="572">
        <f t="shared" si="101"/>
        <v>4.5422393625563782</v>
      </c>
      <c r="S23" s="577">
        <f t="shared" si="102"/>
        <v>-2.9911631507505914</v>
      </c>
      <c r="T23" s="578">
        <f t="shared" si="103"/>
        <v>4.2239536703234304</v>
      </c>
      <c r="U23" s="572">
        <f t="shared" si="104"/>
        <v>-1.6703753523438356</v>
      </c>
      <c r="V23" s="579">
        <f t="shared" si="141"/>
        <v>-2.9911631507505914</v>
      </c>
      <c r="W23" s="528">
        <f t="shared" si="253"/>
        <v>338.42352926478901</v>
      </c>
      <c r="X23" s="572">
        <f t="shared" si="105"/>
        <v>4.5422393625563782</v>
      </c>
      <c r="Y23" s="573">
        <f t="shared" si="255"/>
        <v>-2.9911631507505914</v>
      </c>
      <c r="Z23" s="575">
        <f t="shared" si="18"/>
        <v>-0.36850981319058806</v>
      </c>
      <c r="AA23" s="572">
        <f t="shared" si="19"/>
        <v>-0.92713235752620371</v>
      </c>
      <c r="AB23" s="572">
        <f t="shared" si="20"/>
        <v>-6.8015507129929209E-2</v>
      </c>
      <c r="AC23" s="579">
        <f t="shared" si="106"/>
        <v>1</v>
      </c>
      <c r="AD23" s="580">
        <f t="shared" si="142"/>
        <v>-0.36850981319058806</v>
      </c>
      <c r="AE23" s="572">
        <f t="shared" si="107"/>
        <v>-0.92713235752620371</v>
      </c>
      <c r="AF23" s="576">
        <f t="shared" si="108"/>
        <v>-6.8015507129929209E-2</v>
      </c>
      <c r="AG23" s="545">
        <f t="shared" si="109"/>
        <v>-85.804231275172725</v>
      </c>
      <c r="AH23" s="546">
        <f t="shared" si="110"/>
        <v>111.62374292417122</v>
      </c>
      <c r="AI23" s="528">
        <f t="shared" si="111"/>
        <v>-86.099987568699845</v>
      </c>
      <c r="AJ23" s="529">
        <f t="shared" si="112"/>
        <v>-21.676470720772802</v>
      </c>
      <c r="AK23" s="578">
        <f t="shared" si="238"/>
        <v>-5.5511151231257827E-17</v>
      </c>
      <c r="AL23" s="572">
        <f t="shared" si="113"/>
        <v>-0.99768426407850019</v>
      </c>
      <c r="AM23" s="577">
        <f t="shared" si="114"/>
        <v>-6.8015507129929209E-2</v>
      </c>
      <c r="AN23" s="524">
        <f t="shared" si="115"/>
        <v>-86.099987568699845</v>
      </c>
      <c r="AO23" s="525">
        <f t="shared" si="116"/>
        <v>0</v>
      </c>
      <c r="AP23" s="528">
        <f t="shared" si="117"/>
        <v>-90</v>
      </c>
      <c r="AQ23" s="529">
        <f t="shared" si="21"/>
        <v>0.50188203281416477</v>
      </c>
      <c r="AS23" s="932">
        <f t="shared" si="143"/>
        <v>-21.576470735210989</v>
      </c>
      <c r="AT23" s="928">
        <f t="shared" si="22"/>
        <v>-2.976110046083388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 t="e">
        <f t="shared" si="138"/>
        <v>#VALUE!</v>
      </c>
      <c r="HN23" s="910">
        <f t="shared" si="73"/>
        <v>29.99999566853656</v>
      </c>
      <c r="HO23" s="911"/>
      <c r="HP23" s="912"/>
      <c r="HQ23" s="910" t="e">
        <f t="shared" si="74"/>
        <v>#VALUE!</v>
      </c>
      <c r="HR23" s="913" t="e">
        <f t="shared" si="75"/>
        <v>#VALUE!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0.142309746051199</v>
      </c>
      <c r="HV23" s="872">
        <f t="shared" si="78"/>
        <v>2.1765127231743776E-2</v>
      </c>
      <c r="HW23" s="866">
        <f t="shared" si="79"/>
        <v>29500</v>
      </c>
      <c r="HX23" s="867">
        <f t="shared" si="80"/>
        <v>55.677710000000005</v>
      </c>
      <c r="HY23" s="866" t="e">
        <f t="shared" si="81"/>
        <v>#VALUE!</v>
      </c>
      <c r="HZ23" s="868">
        <f t="shared" si="82"/>
        <v>349.84479237586419</v>
      </c>
      <c r="IA23" s="869" t="e">
        <f t="shared" si="83"/>
        <v>#VALUE!</v>
      </c>
      <c r="IB23" s="870" t="e">
        <f t="shared" si="84"/>
        <v>#VALUE!</v>
      </c>
      <c r="IC23" s="841" t="e">
        <f t="shared" si="85"/>
        <v>#VALUE!</v>
      </c>
      <c r="ID23" s="351">
        <f t="shared" si="86"/>
        <v>135.69999999999999</v>
      </c>
      <c r="IE23" s="843" t="e">
        <f t="shared" si="87"/>
        <v>#VALUE!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18.9964711077169</v>
      </c>
      <c r="IO23" s="702">
        <v>3.0299281050427201E-2</v>
      </c>
      <c r="IP23" s="5">
        <f t="shared" si="91"/>
        <v>1.44</v>
      </c>
      <c r="IQ23" s="714">
        <v>720</v>
      </c>
      <c r="IR23" s="9">
        <f t="shared" si="139"/>
        <v>-4.5665137726055374</v>
      </c>
      <c r="IS23" s="5">
        <f t="shared" si="92"/>
        <v>-2.9732089671982447</v>
      </c>
      <c r="IT23" s="5">
        <f t="shared" si="93"/>
        <v>0.3125</v>
      </c>
      <c r="IU23" s="5">
        <f t="shared" si="94"/>
        <v>0.27063295049487046</v>
      </c>
      <c r="IV23" s="670">
        <f t="shared" si="95"/>
        <v>84.999987727520178</v>
      </c>
      <c r="IW23" s="9">
        <f t="shared" si="96"/>
        <v>-4.5422393625563782</v>
      </c>
      <c r="IX23" s="5">
        <f t="shared" si="97"/>
        <v>-2.9911631507505914</v>
      </c>
      <c r="IY23" s="5">
        <f t="shared" si="98"/>
        <v>0.255</v>
      </c>
      <c r="IZ23" s="5">
        <f t="shared" si="99"/>
        <v>0.255</v>
      </c>
      <c r="JA23" s="705">
        <f t="shared" si="100"/>
        <v>86.099987568699845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</v>
      </c>
      <c r="B24" s="578">
        <f t="shared" si="2"/>
        <v>2.0287089663494524</v>
      </c>
      <c r="C24" s="572">
        <f t="shared" si="3"/>
        <v>1.1693859773424773</v>
      </c>
      <c r="D24" s="576">
        <f t="shared" si="4"/>
        <v>-0.15750047502143275</v>
      </c>
      <c r="E24" s="580">
        <f t="shared" si="5"/>
        <v>-0.44793969533977313</v>
      </c>
      <c r="F24" s="572">
        <f t="shared" si="6"/>
        <v>0.85132112696320994</v>
      </c>
      <c r="G24" s="579">
        <f t="shared" si="7"/>
        <v>0.27313434080137472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2.0287089663494524</v>
      </c>
      <c r="O24" s="572">
        <f t="shared" si="14"/>
        <v>1.1693859773424773</v>
      </c>
      <c r="P24" s="576">
        <f t="shared" si="15"/>
        <v>-0.15750047502143275</v>
      </c>
      <c r="Q24" s="528">
        <f t="shared" si="140"/>
        <v>29.959956691140636</v>
      </c>
      <c r="R24" s="572">
        <f t="shared" si="101"/>
        <v>2.3416070622868999</v>
      </c>
      <c r="S24" s="577">
        <f t="shared" si="102"/>
        <v>-0.15750047502143275</v>
      </c>
      <c r="T24" s="578">
        <f t="shared" si="103"/>
        <v>1.1729249590606479</v>
      </c>
      <c r="U24" s="572">
        <f t="shared" si="104"/>
        <v>-2.0266649142284137</v>
      </c>
      <c r="V24" s="579">
        <f t="shared" si="141"/>
        <v>-0.15750047502143275</v>
      </c>
      <c r="W24" s="528">
        <f t="shared" si="253"/>
        <v>300.05995667670243</v>
      </c>
      <c r="X24" s="572">
        <f t="shared" si="105"/>
        <v>2.3416070622868999</v>
      </c>
      <c r="Y24" s="573">
        <f t="shared" si="255"/>
        <v>-0.15750047502143275</v>
      </c>
      <c r="Z24" s="575">
        <f t="shared" si="18"/>
        <v>0.44793969533977313</v>
      </c>
      <c r="AA24" s="572">
        <f t="shared" si="19"/>
        <v>-0.85132112696320994</v>
      </c>
      <c r="AB24" s="572">
        <f t="shared" si="20"/>
        <v>-0.27313434080137472</v>
      </c>
      <c r="AC24" s="579">
        <f t="shared" si="106"/>
        <v>1</v>
      </c>
      <c r="AD24" s="580">
        <f t="shared" si="142"/>
        <v>0.44793969533977313</v>
      </c>
      <c r="AE24" s="572">
        <f t="shared" si="107"/>
        <v>-0.85132112696320994</v>
      </c>
      <c r="AF24" s="576">
        <f t="shared" si="108"/>
        <v>-0.27313434080137472</v>
      </c>
      <c r="AG24" s="545">
        <f t="shared" si="109"/>
        <v>-72.211896516528284</v>
      </c>
      <c r="AH24" s="546">
        <f t="shared" si="110"/>
        <v>63.388426413931036</v>
      </c>
      <c r="AI24" s="528">
        <f t="shared" si="111"/>
        <v>-74.149136139806785</v>
      </c>
      <c r="AJ24" s="529">
        <f t="shared" si="112"/>
        <v>27.752002098763928</v>
      </c>
      <c r="AK24" s="578">
        <f>IF(M24="","",(COS(RADIANS((90-$Q$8)-W24))*AD24)+(-SIN(RADIANS((90-$Q$8)-W24))*AE24))</f>
        <v>0.96126170705176628</v>
      </c>
      <c r="AL24" s="572">
        <f t="shared" si="113"/>
        <v>-3.7061603188784431E-2</v>
      </c>
      <c r="AM24" s="577">
        <f t="shared" si="114"/>
        <v>-0.27313434080137472</v>
      </c>
      <c r="AN24" s="524">
        <f t="shared" si="115"/>
        <v>-7.7272716115927498</v>
      </c>
      <c r="AO24" s="525">
        <f t="shared" si="116"/>
        <v>15.999997689886136</v>
      </c>
      <c r="AP24" s="528">
        <f t="shared" si="117"/>
        <v>-2.2079545923766961</v>
      </c>
      <c r="AQ24" s="529">
        <f t="shared" si="21"/>
        <v>0.97347983699321383</v>
      </c>
      <c r="AS24" s="932">
        <f t="shared" si="143"/>
        <v>-59.940043323297573</v>
      </c>
      <c r="AT24" s="928">
        <f t="shared" si="22"/>
        <v>-0.11580600050139152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0.51801723380823927</v>
      </c>
      <c r="BA24" s="296">
        <f t="shared" si="24"/>
        <v>7.9226555558717465E-2</v>
      </c>
      <c r="BB24" s="190">
        <f t="shared" si="145"/>
        <v>0.22660600050139151</v>
      </c>
      <c r="BC24" s="9"/>
      <c r="BD24" s="5">
        <f t="shared" si="146"/>
        <v>2.2400000000000002</v>
      </c>
      <c r="BE24" s="6">
        <f t="shared" si="25"/>
        <v>6.9105525479958768E-2</v>
      </c>
      <c r="BF24" s="4">
        <f t="shared" si="26"/>
        <v>2.0287089663494524</v>
      </c>
      <c r="BG24" s="5">
        <f t="shared" si="27"/>
        <v>1.1693859773424773</v>
      </c>
      <c r="BH24" s="10">
        <f t="shared" si="28"/>
        <v>-0.15750047502143275</v>
      </c>
      <c r="BI24" s="9">
        <f t="shared" si="147"/>
        <v>2.0287089663494524</v>
      </c>
      <c r="BJ24" s="5">
        <f t="shared" si="29"/>
        <v>1.4748835818706849</v>
      </c>
      <c r="BK24" s="8">
        <f t="shared" si="30"/>
        <v>-1.1096933197895118</v>
      </c>
      <c r="BL24" s="173">
        <f t="shared" si="31"/>
        <v>2.9227727388729292</v>
      </c>
      <c r="BM24" s="5">
        <f t="shared" si="32"/>
        <v>1.5959109501326025</v>
      </c>
      <c r="BN24" s="6">
        <f t="shared" si="33"/>
        <v>-2.0655971122036904E-2</v>
      </c>
      <c r="BO24" s="4">
        <f t="shared" si="148"/>
        <v>0.44793969533977324</v>
      </c>
      <c r="BP24" s="5">
        <f t="shared" si="239"/>
        <v>-0.85132112696321005</v>
      </c>
      <c r="BQ24" s="5">
        <f t="shared" si="149"/>
        <v>-0.27313434080137433</v>
      </c>
      <c r="BR24" s="6">
        <f t="shared" si="150"/>
        <v>4.3764923345650658E-2</v>
      </c>
      <c r="BS24" s="4">
        <f t="shared" si="118"/>
        <v>0</v>
      </c>
      <c r="BT24" s="5">
        <f t="shared" si="118"/>
        <v>0</v>
      </c>
      <c r="BU24" s="10">
        <f t="shared" si="119"/>
        <v>6.9105525479958768E-2</v>
      </c>
      <c r="BV24" s="9">
        <f t="shared" si="120"/>
        <v>0</v>
      </c>
      <c r="BW24" s="5">
        <f t="shared" si="121"/>
        <v>1</v>
      </c>
      <c r="BX24" s="8">
        <f t="shared" si="122"/>
        <v>6.9105525479958768E-2</v>
      </c>
      <c r="BY24" s="173">
        <f t="shared" si="123"/>
        <v>1</v>
      </c>
      <c r="BZ24" s="5">
        <f t="shared" si="124"/>
        <v>0</v>
      </c>
      <c r="CA24" s="6">
        <f t="shared" si="125"/>
        <v>6.9105525479958768E-2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6.9105525479958768E-2</v>
      </c>
      <c r="CF24" s="4">
        <f t="shared" si="155"/>
        <v>0.85132112696321005</v>
      </c>
      <c r="CG24" s="5">
        <f t="shared" si="156"/>
        <v>0.44793969533977324</v>
      </c>
      <c r="CH24" s="5">
        <f t="shared" si="157"/>
        <v>0</v>
      </c>
      <c r="CI24" s="4">
        <f t="shared" si="126"/>
        <v>0</v>
      </c>
      <c r="CJ24" s="5">
        <f t="shared" si="127"/>
        <v>2.9236712692348302E-2</v>
      </c>
      <c r="CK24" s="8">
        <f t="shared" si="128"/>
        <v>6.9105525479958768E-2</v>
      </c>
      <c r="CL24" s="173">
        <f t="shared" si="129"/>
        <v>0.85132112696321005</v>
      </c>
      <c r="CM24" s="5">
        <f t="shared" si="130"/>
        <v>0.47717640803212152</v>
      </c>
      <c r="CN24" s="6">
        <f t="shared" si="131"/>
        <v>6.9105525479958768E-2</v>
      </c>
      <c r="CO24" s="167">
        <f t="shared" si="35"/>
        <v>0.3125</v>
      </c>
      <c r="CP24" s="4">
        <f t="shared" si="240"/>
        <v>0.92539763187499879</v>
      </c>
      <c r="CQ24" s="5">
        <f t="shared" si="241"/>
        <v>-4.4756018355244604</v>
      </c>
      <c r="CR24" s="5">
        <f t="shared" si="158"/>
        <v>5.3692944452921303</v>
      </c>
      <c r="CS24" s="8">
        <f t="shared" si="159"/>
        <v>0.15608233209822941</v>
      </c>
      <c r="CT24" s="9">
        <f t="shared" si="160"/>
        <v>2.6316656934092384</v>
      </c>
      <c r="CU24" s="6">
        <f t="shared" si="161"/>
        <v>2.2047437389946447</v>
      </c>
      <c r="CV24" s="4">
        <f t="shared" si="242"/>
        <v>2.2403926039035706</v>
      </c>
      <c r="CW24" s="5">
        <f t="shared" si="162"/>
        <v>1.2080642416342156</v>
      </c>
      <c r="CX24" s="8">
        <f t="shared" si="163"/>
        <v>6.9105525479958768E-2</v>
      </c>
      <c r="CY24" s="9">
        <f t="shared" si="164"/>
        <v>1.8769449245460024</v>
      </c>
      <c r="CZ24" s="5">
        <f t="shared" si="165"/>
        <v>1.0168289514398821</v>
      </c>
      <c r="DA24" s="6">
        <f t="shared" si="166"/>
        <v>6.9105525479958768E-2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2.2403926039035706</v>
      </c>
      <c r="DM24" s="173">
        <f t="shared" si="176"/>
        <v>1.2080642416342156</v>
      </c>
      <c r="DN24" s="178">
        <f t="shared" si="177"/>
        <v>10.069105525479959</v>
      </c>
      <c r="DO24" s="9">
        <f t="shared" si="178"/>
        <v>-0.36344767935756828</v>
      </c>
      <c r="DP24" s="173">
        <f t="shared" si="179"/>
        <v>-0.1912352901943335</v>
      </c>
      <c r="DQ24" s="11">
        <f t="shared" si="180"/>
        <v>0</v>
      </c>
      <c r="DR24" s="173">
        <f t="shared" si="181"/>
        <v>201.38211050959916</v>
      </c>
      <c r="DS24" s="5">
        <f t="shared" si="182"/>
        <v>0</v>
      </c>
      <c r="DT24" s="5">
        <f t="shared" si="183"/>
        <v>400</v>
      </c>
      <c r="DU24" s="5">
        <f t="shared" si="184"/>
        <v>0.16866515184611272</v>
      </c>
      <c r="DV24" s="5">
        <f t="shared" si="185"/>
        <v>-1.0452900085609289</v>
      </c>
      <c r="DW24" s="5">
        <f t="shared" si="186"/>
        <v>107.8656643147921</v>
      </c>
      <c r="DX24" s="167">
        <f t="shared" si="187"/>
        <v>102.8480643147921</v>
      </c>
      <c r="DY24" s="9">
        <f t="shared" si="188"/>
        <v>67.466060738445094</v>
      </c>
      <c r="DZ24" s="5">
        <f t="shared" si="189"/>
        <v>-418.11600342437157</v>
      </c>
      <c r="EA24" s="10">
        <f t="shared" si="190"/>
        <v>584.47129261643568</v>
      </c>
      <c r="EB24" s="6">
        <f t="shared" si="191"/>
        <v>135389.01659203114</v>
      </c>
      <c r="EC24" s="173">
        <f t="shared" si="192"/>
        <v>11.651317120729267</v>
      </c>
      <c r="ED24" s="5">
        <f t="shared" si="193"/>
        <v>0.74353738382937606</v>
      </c>
      <c r="EE24" s="4">
        <f t="shared" si="194"/>
        <v>-1.9942515650845856</v>
      </c>
      <c r="EF24" s="5">
        <f t="shared" si="195"/>
        <v>-1.0200787690946522</v>
      </c>
      <c r="EG24" s="10">
        <f t="shared" si="196"/>
        <v>6.9105525479958768E-2</v>
      </c>
      <c r="EH24" s="9">
        <f t="shared" si="197"/>
        <v>1.9701556672351863</v>
      </c>
      <c r="EI24" s="5">
        <f t="shared" si="198"/>
        <v>1.0658736542672693</v>
      </c>
      <c r="EJ24" s="6">
        <f t="shared" si="199"/>
        <v>6.9105525479958768E-2</v>
      </c>
      <c r="EK24" s="236" t="b">
        <f t="shared" si="200"/>
        <v>0</v>
      </c>
      <c r="EL24" s="238" t="b">
        <f t="shared" si="201"/>
        <v>1</v>
      </c>
      <c r="EM24" s="4">
        <f t="shared" si="202"/>
        <v>1.9701556672351863</v>
      </c>
      <c r="EN24" s="5">
        <f t="shared" si="203"/>
        <v>1.0658736542672693</v>
      </c>
      <c r="EO24" s="10">
        <f t="shared" si="204"/>
        <v>6.9105525479958768E-2</v>
      </c>
      <c r="EP24" s="9">
        <f t="shared" si="205"/>
        <v>28.41382536579162</v>
      </c>
      <c r="EQ24" s="5">
        <f t="shared" si="206"/>
        <v>2.2399999999999967</v>
      </c>
      <c r="ER24" s="7">
        <f t="shared" si="207"/>
        <v>6.9105525479958768E-2</v>
      </c>
      <c r="ES24" s="21">
        <f t="shared" si="132"/>
        <v>0.44793969533977313</v>
      </c>
      <c r="ET24" s="5">
        <f t="shared" si="44"/>
        <v>-0.85132112696320994</v>
      </c>
      <c r="EU24" s="10">
        <f t="shared" si="45"/>
        <v>-0.27313434080137472</v>
      </c>
      <c r="EV24" s="174">
        <f t="shared" si="254"/>
        <v>61.586174634208376</v>
      </c>
      <c r="EW24" s="9">
        <f t="shared" si="133"/>
        <v>0.96191172450303053</v>
      </c>
      <c r="EX24" s="5">
        <f t="shared" si="47"/>
        <v>-1.1111531784799122E-2</v>
      </c>
      <c r="EY24" s="6">
        <f t="shared" si="208"/>
        <v>-0.27313434080137472</v>
      </c>
      <c r="EZ24" s="51">
        <f t="shared" si="209"/>
        <v>1.0176280858688151</v>
      </c>
      <c r="FA24" s="266">
        <f t="shared" si="134"/>
        <v>0.47576140305622239</v>
      </c>
      <c r="FB24" s="267">
        <f t="shared" si="135"/>
        <v>-0.87939505843902288</v>
      </c>
      <c r="FC24" s="269">
        <f t="shared" si="48"/>
        <v>-1.7760026886297939E-2</v>
      </c>
      <c r="FD24" s="4">
        <f t="shared" si="136"/>
        <v>0.99984227828442918</v>
      </c>
      <c r="FE24" s="5">
        <f t="shared" si="49"/>
        <v>-1.1102230246251565E-16</v>
      </c>
      <c r="FF24" s="7">
        <f t="shared" si="210"/>
        <v>-1.7760026886297939E-2</v>
      </c>
      <c r="FG24" s="173">
        <f t="shared" si="211"/>
        <v>-3.7930553781398646E-2</v>
      </c>
      <c r="FH24" s="5">
        <f t="shared" si="50"/>
        <v>-1.1111531784799011E-2</v>
      </c>
      <c r="FI24" s="10">
        <f t="shared" si="51"/>
        <v>-0.25537431391507676</v>
      </c>
      <c r="FJ24" s="279">
        <f t="shared" si="212"/>
        <v>14.847589540535868</v>
      </c>
      <c r="FK24" s="4">
        <f t="shared" si="52"/>
        <v>0.96197589984105036</v>
      </c>
      <c r="FL24" s="5">
        <f t="shared" si="213"/>
        <v>0.99984227828442906</v>
      </c>
      <c r="FM24" s="8">
        <f t="shared" si="214"/>
        <v>3.9524587901307383E-2</v>
      </c>
      <c r="FN24" s="9">
        <f t="shared" si="215"/>
        <v>0.66182326702782379</v>
      </c>
      <c r="FO24" s="10">
        <f t="shared" si="53"/>
        <v>1</v>
      </c>
      <c r="FP24" s="277">
        <f t="shared" si="54"/>
        <v>0.66182326702782379</v>
      </c>
      <c r="FQ24" s="173">
        <f t="shared" si="243"/>
        <v>1.1550738211463742E-2</v>
      </c>
      <c r="FR24" s="10">
        <f t="shared" si="216"/>
        <v>0.99993328799813952</v>
      </c>
      <c r="FS24" s="9">
        <f t="shared" si="217"/>
        <v>1.1419595279965557E-2</v>
      </c>
      <c r="FT24" s="6">
        <f t="shared" si="218"/>
        <v>0.9885804047200345</v>
      </c>
      <c r="FU24" s="4">
        <f t="shared" si="219"/>
        <v>0.99993826502509431</v>
      </c>
      <c r="FV24" s="5">
        <f t="shared" si="220"/>
        <v>1</v>
      </c>
      <c r="FW24" s="8">
        <f t="shared" si="244"/>
        <v>0.25817584534142562</v>
      </c>
      <c r="FX24" s="9">
        <f t="shared" si="245"/>
        <v>14.834240144749884</v>
      </c>
      <c r="FY24" s="10">
        <f t="shared" si="55"/>
        <v>1</v>
      </c>
      <c r="FZ24" s="277">
        <f t="shared" si="246"/>
        <v>14.834240144749884</v>
      </c>
      <c r="GA24" s="177">
        <f t="shared" si="221"/>
        <v>14.832571376255482</v>
      </c>
      <c r="GB24" s="4">
        <f t="shared" si="222"/>
        <v>-1.1165758584005508E-2</v>
      </c>
      <c r="GC24" s="5">
        <f t="shared" si="223"/>
        <v>0.96660607222638062</v>
      </c>
      <c r="GD24" s="10">
        <f t="shared" si="224"/>
        <v>-0.25602348909881817</v>
      </c>
      <c r="GE24" s="311">
        <f t="shared" si="225"/>
        <v>1.2337953199092042</v>
      </c>
      <c r="GF24" s="341">
        <f t="shared" si="247"/>
        <v>0.81050720801371712</v>
      </c>
      <c r="GG24" s="285">
        <f t="shared" si="56"/>
        <v>9.0499278152774993E-3</v>
      </c>
      <c r="GH24" s="286">
        <f t="shared" si="57"/>
        <v>0.78344118884930913</v>
      </c>
      <c r="GI24" s="281">
        <f t="shared" si="58"/>
        <v>0.20750888333541345</v>
      </c>
      <c r="GJ24" s="167">
        <f t="shared" si="226"/>
        <v>2.2400000000000002</v>
      </c>
      <c r="GK24" s="174">
        <f t="shared" si="59"/>
        <v>1.1730462722106867</v>
      </c>
      <c r="GL24" s="174">
        <f t="shared" si="227"/>
        <v>3.6799999999999999E-2</v>
      </c>
      <c r="GM24" s="177">
        <f t="shared" si="248"/>
        <v>0.51801723380823927</v>
      </c>
      <c r="GN24" s="280">
        <f t="shared" si="228"/>
        <v>7.9226555558717465E-2</v>
      </c>
      <c r="GO24" s="4">
        <f t="shared" si="229"/>
        <v>0.66182326702782379</v>
      </c>
      <c r="GP24" s="8">
        <f t="shared" si="249"/>
        <v>14.834240144749884</v>
      </c>
      <c r="GQ24" s="177">
        <f t="shared" si="230"/>
        <v>14.847589540535868</v>
      </c>
      <c r="GR24" s="371">
        <f t="shared" si="250"/>
        <v>1625.4685753532226</v>
      </c>
      <c r="GS24" s="342">
        <f t="shared" si="61"/>
        <v>14.710373272948617</v>
      </c>
      <c r="GT24" s="343">
        <f t="shared" si="62"/>
        <v>12.540317992082191</v>
      </c>
      <c r="GU24" s="344">
        <f t="shared" si="63"/>
        <v>1273.4590331119214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>
        <f t="shared" si="66"/>
        <v>337.29916896835255</v>
      </c>
      <c r="GZ24" s="345">
        <f t="shared" si="67"/>
        <v>287.54123086098639</v>
      </c>
      <c r="HA24" s="342">
        <f t="shared" si="68"/>
        <v>14.710373272948617</v>
      </c>
      <c r="HB24" s="5">
        <f t="shared" si="231"/>
        <v>61.586174634208376</v>
      </c>
      <c r="HC24" s="343">
        <f t="shared" si="232"/>
        <v>6.9997318375327415</v>
      </c>
      <c r="HD24" s="363">
        <f t="shared" si="233"/>
        <v>12.938270210198562</v>
      </c>
      <c r="HE24" s="344">
        <f t="shared" si="69"/>
        <v>1085.5999999999999</v>
      </c>
      <c r="HF24" s="5">
        <f t="shared" si="70"/>
        <v>151.58617463420836</v>
      </c>
      <c r="HG24" s="343">
        <f t="shared" si="234"/>
        <v>-954.82187158505417</v>
      </c>
      <c r="HH24" s="349">
        <f t="shared" si="235"/>
        <v>516.56805315738825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</v>
      </c>
      <c r="B25" s="578">
        <f t="shared" si="2"/>
        <v>2.6670550272381015</v>
      </c>
      <c r="C25" s="572">
        <f t="shared" si="3"/>
        <v>1.5034189643129248</v>
      </c>
      <c r="D25" s="576">
        <f t="shared" si="4"/>
        <v>-0.3550010706832295</v>
      </c>
      <c r="E25" s="580">
        <f t="shared" si="5"/>
        <v>-0.37751099253095</v>
      </c>
      <c r="F25" s="572">
        <f t="shared" si="6"/>
        <v>0.89066423780287196</v>
      </c>
      <c r="G25" s="579">
        <f t="shared" si="7"/>
        <v>0.25338245009733079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2.6670550272381015</v>
      </c>
      <c r="O25" s="572">
        <f t="shared" si="14"/>
        <v>1.5034189643129248</v>
      </c>
      <c r="P25" s="576">
        <f t="shared" si="15"/>
        <v>-0.3550010706832295</v>
      </c>
      <c r="Q25" s="528">
        <f t="shared" si="140"/>
        <v>29.409956770550796</v>
      </c>
      <c r="R25" s="572">
        <f>IF(M25="","",SQRT(N25^2+O25^2))</f>
        <v>3.0616092338134497</v>
      </c>
      <c r="S25" s="577">
        <f>IF(M25="","",P25)</f>
        <v>-0.3550010706832295</v>
      </c>
      <c r="T25" s="578">
        <f>IF(M25="","",X25*COS(RADIANS(W25)))</f>
        <v>1.5080715605965087</v>
      </c>
      <c r="U25" s="572">
        <f>IF(M25="","",X25*SIN(RADIANS(W25)))</f>
        <v>-2.6644270056978088</v>
      </c>
      <c r="V25" s="579">
        <f>IF(M25="","",Y25)</f>
        <v>-0.3550010706832295</v>
      </c>
      <c r="W25" s="528">
        <f t="shared" si="253"/>
        <v>299.50995675611262</v>
      </c>
      <c r="X25" s="572">
        <f>IF(M25="","",R25)</f>
        <v>3.0616092338134497</v>
      </c>
      <c r="Y25" s="573">
        <f t="shared" si="255"/>
        <v>-0.3550010706832295</v>
      </c>
      <c r="Z25" s="575">
        <f t="shared" si="18"/>
        <v>0.37751099253095</v>
      </c>
      <c r="AA25" s="572">
        <f t="shared" si="19"/>
        <v>-0.89066423780287196</v>
      </c>
      <c r="AB25" s="572">
        <f t="shared" si="20"/>
        <v>-0.25338245009733079</v>
      </c>
      <c r="AC25" s="579">
        <f>IF(M25="","",SQRT(Z25^2+AA25^2+AB25^2))</f>
        <v>1</v>
      </c>
      <c r="AD25" s="580">
        <f>IF(M25="","",Z25*(1/SQRT(Z25^2+AA25^2+AB25^2)))</f>
        <v>0.37751099253095</v>
      </c>
      <c r="AE25" s="572">
        <f>IF(M25="","",AA25*(1/SQRT(Z25^2+AA25^2+AB25^2)))</f>
        <v>-0.89066423780287196</v>
      </c>
      <c r="AF25" s="576">
        <f>IF(M25="","",AB25*(1/SQRT(Z25^2+AA25^2+AB25^2)))</f>
        <v>-0.25338245009733079</v>
      </c>
      <c r="AG25" s="545">
        <f>IF(M25="","",DEGREES(ATAN2(-AF25,AE25)))</f>
        <v>-74.119633245912652</v>
      </c>
      <c r="AH25" s="546">
        <f>IF(M25="","",DEGREES(ACOS(AD25)))</f>
        <v>67.820407223560764</v>
      </c>
      <c r="AI25" s="528">
        <f>IF(M25="","",DEGREES(-ACOS(-AF25)))</f>
        <v>-75.32224115754758</v>
      </c>
      <c r="AJ25" s="529">
        <f>IF(M25="","",DEGREES(ATAN2(-AE25,AD25)))</f>
        <v>22.969820527790819</v>
      </c>
      <c r="AK25" s="578">
        <f>IF(M25="","",(COS(RADIANS((90-$Q$8)-W25))*AD25)+(-SIN(RADIANS((90-$Q$8)-W25))*AE25))</f>
        <v>0.96126170705176617</v>
      </c>
      <c r="AL25" s="572">
        <f>IF(M25="","",(SIN(RADIANS((90-$Q$8)-W25))*AD25)+(COS(RADIANS((90-$Q$8)-W25))*AE25))</f>
        <v>-0.10850467519235391</v>
      </c>
      <c r="AM25" s="577">
        <f>IF(M25="","",AF25)</f>
        <v>-0.25338245009733079</v>
      </c>
      <c r="AN25" s="524">
        <f>IF(M25="","",DEGREES(ATAN2(-AM25,AL25)))</f>
        <v>-23.181814834778312</v>
      </c>
      <c r="AO25" s="525">
        <f>IF(ROUND(IF(M25="",0,DEGREES(ACOS(AK25))),4)=90,0,IF(M25="","",DEGREES(ACOS(AK25))))</f>
        <v>15.99999768988615</v>
      </c>
      <c r="AP25" s="528">
        <f>IF(M25="","",DEGREES(ATAN2(AK25,AL25)))</f>
        <v>-6.4401362427599951</v>
      </c>
      <c r="AQ25" s="529">
        <f t="shared" si="21"/>
        <v>0.74457519718640297</v>
      </c>
      <c r="AS25" s="932">
        <f t="shared" si="143"/>
        <v>-60.490043243887385</v>
      </c>
      <c r="AT25" s="928">
        <f t="shared" si="22"/>
        <v>-0.31292465177388978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0.64858223875515797</v>
      </c>
      <c r="BA25" s="296">
        <f t="shared" si="24"/>
        <v>9.919541941756066E-2</v>
      </c>
      <c r="BB25" s="190">
        <f t="shared" si="145"/>
        <v>0.29332465177388978</v>
      </c>
      <c r="BC25" s="9"/>
      <c r="BD25" s="5">
        <f t="shared" si="146"/>
        <v>3.0628000000000002</v>
      </c>
      <c r="BE25" s="6">
        <f t="shared" si="25"/>
        <v>-6.1676418909339725E-2</v>
      </c>
      <c r="BF25" s="4">
        <f t="shared" si="26"/>
        <v>2.6670550272381015</v>
      </c>
      <c r="BG25" s="5">
        <f t="shared" si="27"/>
        <v>1.5034189643129248</v>
      </c>
      <c r="BH25" s="10">
        <f t="shared" si="28"/>
        <v>-0.3550010706832295</v>
      </c>
      <c r="BI25" s="9">
        <f t="shared" si="147"/>
        <v>2.6670550272381015</v>
      </c>
      <c r="BJ25" s="5">
        <f t="shared" si="29"/>
        <v>1.7770486120496478</v>
      </c>
      <c r="BK25" s="8">
        <f t="shared" si="30"/>
        <v>-1.3168361999436848</v>
      </c>
      <c r="BL25" s="173">
        <f t="shared" si="31"/>
        <v>3.5930601300956919</v>
      </c>
      <c r="BM25" s="5">
        <f t="shared" si="32"/>
        <v>1.866522298611174</v>
      </c>
      <c r="BN25" s="6">
        <f t="shared" si="33"/>
        <v>-0.25170287078024489</v>
      </c>
      <c r="BO25" s="4">
        <f t="shared" si="148"/>
        <v>0.37751099253095005</v>
      </c>
      <c r="BP25" s="5">
        <f t="shared" si="239"/>
        <v>-0.89066423780287129</v>
      </c>
      <c r="BQ25" s="5">
        <f t="shared" si="149"/>
        <v>-0.25338245009733074</v>
      </c>
      <c r="BR25" s="6">
        <f t="shared" si="150"/>
        <v>0.24224787440394541</v>
      </c>
      <c r="BS25" s="4">
        <f t="shared" si="118"/>
        <v>0</v>
      </c>
      <c r="BT25" s="5">
        <f t="shared" si="118"/>
        <v>0</v>
      </c>
      <c r="BU25" s="10">
        <f t="shared" si="119"/>
        <v>-6.1676418909339725E-2</v>
      </c>
      <c r="BV25" s="9">
        <f t="shared" si="120"/>
        <v>0</v>
      </c>
      <c r="BW25" s="5">
        <f t="shared" si="121"/>
        <v>1</v>
      </c>
      <c r="BX25" s="8">
        <f t="shared" si="122"/>
        <v>-6.1676418909339725E-2</v>
      </c>
      <c r="BY25" s="173">
        <f t="shared" si="123"/>
        <v>1</v>
      </c>
      <c r="BZ25" s="5">
        <f t="shared" si="124"/>
        <v>0</v>
      </c>
      <c r="CA25" s="6">
        <f t="shared" si="125"/>
        <v>-6.1676418909339725E-2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-6.1676418909339725E-2</v>
      </c>
      <c r="CF25" s="4">
        <f t="shared" si="155"/>
        <v>0.89066423780287129</v>
      </c>
      <c r="CG25" s="5">
        <f t="shared" si="156"/>
        <v>0.37751099253095005</v>
      </c>
      <c r="CH25" s="5">
        <f t="shared" si="157"/>
        <v>0</v>
      </c>
      <c r="CI25" s="4">
        <f t="shared" si="126"/>
        <v>0</v>
      </c>
      <c r="CJ25" s="5">
        <f t="shared" si="127"/>
        <v>0.28953177369797828</v>
      </c>
      <c r="CK25" s="8">
        <f t="shared" si="128"/>
        <v>-6.1676418909339725E-2</v>
      </c>
      <c r="CL25" s="173">
        <f t="shared" si="129"/>
        <v>0.89066423780287129</v>
      </c>
      <c r="CM25" s="5">
        <f t="shared" si="130"/>
        <v>0.66704276622892833</v>
      </c>
      <c r="CN25" s="6">
        <f t="shared" si="131"/>
        <v>-6.1676418909339725E-2</v>
      </c>
      <c r="CO25" s="167">
        <f t="shared" si="35"/>
        <v>0.3125</v>
      </c>
      <c r="CP25" s="4">
        <f t="shared" si="240"/>
        <v>0.93579733398267273</v>
      </c>
      <c r="CQ25" s="5">
        <f t="shared" si="241"/>
        <v>-5.6674125823259898</v>
      </c>
      <c r="CR25" s="5">
        <f t="shared" si="158"/>
        <v>8.5750877311933529</v>
      </c>
      <c r="CS25" s="8">
        <f t="shared" si="159"/>
        <v>2.1388428233883872E-2</v>
      </c>
      <c r="CT25" s="9">
        <f t="shared" si="160"/>
        <v>3.1062604063725585</v>
      </c>
      <c r="CU25" s="6">
        <f t="shared" si="161"/>
        <v>2.9499788844640276</v>
      </c>
      <c r="CV25" s="4">
        <f t="shared" si="242"/>
        <v>2.7666350572590521</v>
      </c>
      <c r="CW25" s="5">
        <f t="shared" si="162"/>
        <v>1.4621792227672752</v>
      </c>
      <c r="CX25" s="8">
        <f t="shared" si="163"/>
        <v>-6.1676418909339725E-2</v>
      </c>
      <c r="CY25" s="9">
        <f t="shared" si="164"/>
        <v>2.6274406946657178</v>
      </c>
      <c r="CZ25" s="5">
        <f t="shared" si="165"/>
        <v>1.4031812303173381</v>
      </c>
      <c r="DA25" s="6">
        <f t="shared" si="166"/>
        <v>-6.1676418909339725E-2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2.7666350572590521</v>
      </c>
      <c r="DM25" s="173">
        <f t="shared" si="176"/>
        <v>1.4621792227672752</v>
      </c>
      <c r="DN25" s="178">
        <f t="shared" si="177"/>
        <v>9.9383235810906605</v>
      </c>
      <c r="DO25" s="9">
        <f t="shared" si="178"/>
        <v>-0.13919436259333429</v>
      </c>
      <c r="DP25" s="173">
        <f t="shared" si="179"/>
        <v>-5.8997992449937087E-2</v>
      </c>
      <c r="DQ25" s="11">
        <f t="shared" si="180"/>
        <v>0</v>
      </c>
      <c r="DR25" s="173">
        <f t="shared" si="181"/>
        <v>198.7664716218132</v>
      </c>
      <c r="DS25" s="5">
        <f t="shared" si="182"/>
        <v>0</v>
      </c>
      <c r="DT25" s="5">
        <f t="shared" si="183"/>
        <v>400</v>
      </c>
      <c r="DU25" s="5">
        <f t="shared" si="184"/>
        <v>2.285583369088745E-2</v>
      </c>
      <c r="DV25" s="5">
        <f t="shared" si="185"/>
        <v>-0.47136564206882525</v>
      </c>
      <c r="DW25" s="5">
        <f t="shared" si="186"/>
        <v>108.5625132220098</v>
      </c>
      <c r="DX25" s="167">
        <f t="shared" si="187"/>
        <v>99.181769382009804</v>
      </c>
      <c r="DY25" s="9">
        <f t="shared" si="188"/>
        <v>9.1423334763549811</v>
      </c>
      <c r="DZ25" s="5">
        <f t="shared" si="189"/>
        <v>-188.5462568275301</v>
      </c>
      <c r="EA25" s="10">
        <f t="shared" si="190"/>
        <v>164.59751181885076</v>
      </c>
      <c r="EB25" s="6">
        <f t="shared" si="191"/>
        <v>34044.885621246729</v>
      </c>
      <c r="EC25" s="173">
        <f t="shared" si="192"/>
        <v>40.805645519704257</v>
      </c>
      <c r="ED25" s="5">
        <f t="shared" si="193"/>
        <v>0.44121061722652732</v>
      </c>
      <c r="EE25" s="4">
        <f t="shared" si="194"/>
        <v>-2.9132807610657285</v>
      </c>
      <c r="EF25" s="5">
        <f t="shared" si="195"/>
        <v>-0.94527194351904553</v>
      </c>
      <c r="EG25" s="10">
        <f t="shared" si="196"/>
        <v>-6.1676418909339725E-2</v>
      </c>
      <c r="EH25" s="9">
        <f t="shared" si="197"/>
        <v>2.7052210266247942</v>
      </c>
      <c r="EI25" s="5">
        <f t="shared" si="198"/>
        <v>1.4361486821033125</v>
      </c>
      <c r="EJ25" s="6">
        <f t="shared" si="199"/>
        <v>-6.1676418909339725E-2</v>
      </c>
      <c r="EK25" s="236" t="b">
        <f t="shared" si="200"/>
        <v>0</v>
      </c>
      <c r="EL25" s="238" t="b">
        <f t="shared" si="201"/>
        <v>1</v>
      </c>
      <c r="EM25" s="4">
        <f t="shared" si="202"/>
        <v>2.7052210266247942</v>
      </c>
      <c r="EN25" s="5">
        <f t="shared" si="203"/>
        <v>1.4361486821033125</v>
      </c>
      <c r="EO25" s="10">
        <f t="shared" si="204"/>
        <v>-6.1676418909339725E-2</v>
      </c>
      <c r="EP25" s="9">
        <f t="shared" si="205"/>
        <v>27.962954141715159</v>
      </c>
      <c r="EQ25" s="5">
        <f t="shared" si="206"/>
        <v>3.062799999999998</v>
      </c>
      <c r="ER25" s="7">
        <f t="shared" si="207"/>
        <v>-6.1676418909339725E-2</v>
      </c>
      <c r="ES25" s="21">
        <f t="shared" si="132"/>
        <v>0.37751099253095</v>
      </c>
      <c r="ET25" s="5">
        <f t="shared" si="44"/>
        <v>-0.89066423780287196</v>
      </c>
      <c r="EU25" s="10">
        <f t="shared" si="45"/>
        <v>-0.25338245009733079</v>
      </c>
      <c r="EV25" s="174">
        <f t="shared" si="254"/>
        <v>62.037045858284841</v>
      </c>
      <c r="EW25" s="9">
        <f t="shared" si="133"/>
        <v>0.96369516069280214</v>
      </c>
      <c r="EX25" s="5">
        <f t="shared" si="47"/>
        <v>-8.4196028647128274E-2</v>
      </c>
      <c r="EY25" s="6">
        <f t="shared" si="208"/>
        <v>-0.25338245009733079</v>
      </c>
      <c r="EZ25" s="51">
        <f t="shared" si="209"/>
        <v>0.74428575118596052</v>
      </c>
      <c r="FA25" s="266">
        <f t="shared" si="134"/>
        <v>0.46886101327248225</v>
      </c>
      <c r="FB25" s="267">
        <f t="shared" si="135"/>
        <v>-0.88317643394117784</v>
      </c>
      <c r="FC25" s="269">
        <f t="shared" si="48"/>
        <v>-1.2989871594649809E-2</v>
      </c>
      <c r="FD25" s="4">
        <f t="shared" si="136"/>
        <v>0.99991562805866496</v>
      </c>
      <c r="FE25" s="5">
        <f t="shared" si="49"/>
        <v>0</v>
      </c>
      <c r="FF25" s="7">
        <f t="shared" si="210"/>
        <v>-1.2989871594649809E-2</v>
      </c>
      <c r="FG25" s="173">
        <f t="shared" si="211"/>
        <v>-3.6220467365862818E-2</v>
      </c>
      <c r="FH25" s="5">
        <f t="shared" si="50"/>
        <v>-8.4196028647128274E-2</v>
      </c>
      <c r="FI25" s="10">
        <f t="shared" si="51"/>
        <v>-0.24039257850268098</v>
      </c>
      <c r="FJ25" s="279">
        <f t="shared" si="212"/>
        <v>14.781625914327511</v>
      </c>
      <c r="FK25" s="4">
        <f t="shared" si="52"/>
        <v>0.96736618401858243</v>
      </c>
      <c r="FL25" s="5">
        <f t="shared" si="213"/>
        <v>0.99991562805866496</v>
      </c>
      <c r="FM25" s="8">
        <f t="shared" si="214"/>
        <v>9.1656388190619748E-2</v>
      </c>
      <c r="FN25" s="9">
        <f t="shared" si="215"/>
        <v>4.993133613924269</v>
      </c>
      <c r="FO25" s="10">
        <f t="shared" si="53"/>
        <v>1</v>
      </c>
      <c r="FP25" s="277">
        <f t="shared" si="54"/>
        <v>4.993133613924269</v>
      </c>
      <c r="FQ25" s="173">
        <f t="shared" si="243"/>
        <v>8.7036357108705567E-2</v>
      </c>
      <c r="FR25" s="10">
        <f t="shared" si="216"/>
        <v>0.99620513577337366</v>
      </c>
      <c r="FS25" s="9">
        <f t="shared" si="217"/>
        <v>8.0348064287249624E-2</v>
      </c>
      <c r="FT25" s="6">
        <f t="shared" si="218"/>
        <v>0.91965193571275028</v>
      </c>
      <c r="FU25" s="4">
        <f t="shared" si="219"/>
        <v>0.99644921032637279</v>
      </c>
      <c r="FV25" s="5">
        <f t="shared" si="220"/>
        <v>1</v>
      </c>
      <c r="FW25" s="8">
        <f t="shared" si="244"/>
        <v>0.24310597289118416</v>
      </c>
      <c r="FX25" s="9">
        <f t="shared" si="245"/>
        <v>13.986957993151938</v>
      </c>
      <c r="FY25" s="10">
        <f t="shared" si="55"/>
        <v>1</v>
      </c>
      <c r="FZ25" s="277">
        <f t="shared" si="246"/>
        <v>13.986957993151938</v>
      </c>
      <c r="GA25" s="177">
        <f t="shared" si="221"/>
        <v>13.936590683472543</v>
      </c>
      <c r="GB25" s="4">
        <f t="shared" si="222"/>
        <v>-8.4455796037651645E-2</v>
      </c>
      <c r="GC25" s="5">
        <f t="shared" si="223"/>
        <v>0.96666841942218396</v>
      </c>
      <c r="GD25" s="10">
        <f t="shared" si="224"/>
        <v>-0.24170102483742859</v>
      </c>
      <c r="GE25" s="311">
        <f t="shared" si="225"/>
        <v>1.2928252402972642</v>
      </c>
      <c r="GF25" s="341">
        <f t="shared" si="247"/>
        <v>0.77349974987343706</v>
      </c>
      <c r="GG25" s="285">
        <f t="shared" si="56"/>
        <v>6.5326537110485569E-2</v>
      </c>
      <c r="GH25" s="286">
        <f t="shared" si="57"/>
        <v>0.74771778063361005</v>
      </c>
      <c r="GI25" s="281">
        <f t="shared" si="58"/>
        <v>0.18695568225590439</v>
      </c>
      <c r="GJ25" s="167">
        <f t="shared" si="226"/>
        <v>3.0628000000000002</v>
      </c>
      <c r="GK25" s="174">
        <f t="shared" si="59"/>
        <v>1.6038136467733877</v>
      </c>
      <c r="GL25" s="174">
        <f t="shared" si="227"/>
        <v>3.3700000000000001E-2</v>
      </c>
      <c r="GM25" s="177">
        <f t="shared" si="248"/>
        <v>0.64858223875515797</v>
      </c>
      <c r="GN25" s="280">
        <f t="shared" si="228"/>
        <v>9.919541941756066E-2</v>
      </c>
      <c r="GO25" s="4">
        <f t="shared" si="229"/>
        <v>4.993133613924269</v>
      </c>
      <c r="GP25" s="8">
        <f t="shared" si="249"/>
        <v>13.986957993151938</v>
      </c>
      <c r="GQ25" s="177">
        <f t="shared" si="230"/>
        <v>14.781625914327511</v>
      </c>
      <c r="GR25" s="371">
        <f t="shared" si="250"/>
        <v>2132.3972469782047</v>
      </c>
      <c r="GS25" s="342">
        <f t="shared" si="61"/>
        <v>139.30212788901895</v>
      </c>
      <c r="GT25" s="343">
        <f t="shared" si="62"/>
        <v>86.856804198712354</v>
      </c>
      <c r="GU25" s="344">
        <f t="shared" si="63"/>
        <v>1594.4313369397632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>
        <f t="shared" si="66"/>
        <v>398.66378214942256</v>
      </c>
      <c r="GZ25" s="345">
        <f t="shared" si="67"/>
        <v>248.57238429880508</v>
      </c>
      <c r="HA25" s="342">
        <f t="shared" si="68"/>
        <v>139.30212788901895</v>
      </c>
      <c r="HB25" s="5">
        <f t="shared" si="231"/>
        <v>62.037045858284841</v>
      </c>
      <c r="HC25" s="343">
        <f t="shared" si="232"/>
        <v>65.318847911062349</v>
      </c>
      <c r="HD25" s="363">
        <f t="shared" si="233"/>
        <v>123.03873756658956</v>
      </c>
      <c r="HE25" s="344">
        <f t="shared" si="69"/>
        <v>994.15</v>
      </c>
      <c r="HF25" s="5">
        <f t="shared" si="70"/>
        <v>152.03704585828484</v>
      </c>
      <c r="HG25" s="343">
        <f t="shared" si="234"/>
        <v>-878.0839374490796</v>
      </c>
      <c r="HH25" s="349">
        <f t="shared" si="235"/>
        <v>466.15750695866825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12</v>
      </c>
      <c r="JE25" s="5"/>
      <c r="JF25" s="5"/>
      <c r="JG25" s="10"/>
      <c r="JH25" s="236" t="str">
        <v/>
      </c>
      <c r="JI25" s="744">
        <v>6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</v>
      </c>
      <c r="B26" s="578">
        <f t="shared" si="2"/>
        <v>3.2300642111005198</v>
      </c>
      <c r="C26" s="572">
        <f t="shared" si="3"/>
        <v>1.7647434378327898</v>
      </c>
      <c r="D26" s="576">
        <f t="shared" si="4"/>
        <v>-0.773102331676632</v>
      </c>
      <c r="E26" s="580">
        <f t="shared" si="5"/>
        <v>-0.26905343652732516</v>
      </c>
      <c r="F26" s="572">
        <f t="shared" si="6"/>
        <v>0.92715827880259272</v>
      </c>
      <c r="G26" s="579">
        <f t="shared" si="7"/>
        <v>0.26074465352265697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3.2300642111005198</v>
      </c>
      <c r="O26" s="572">
        <f t="shared" si="14"/>
        <v>1.7647434378327898</v>
      </c>
      <c r="P26" s="576">
        <f t="shared" si="15"/>
        <v>-0.773102331676632</v>
      </c>
      <c r="Q26" s="528">
        <f t="shared" si="140"/>
        <v>28.649956880281206</v>
      </c>
      <c r="R26" s="572">
        <f>IF(M26="","",SQRT(N26^2+O26^2))</f>
        <v>3.6807111010246802</v>
      </c>
      <c r="S26" s="577">
        <f>IF(M26="","",P26)</f>
        <v>-0.773102331676632</v>
      </c>
      <c r="T26" s="578">
        <f>IF(M26="","",X26*COS(RADIANS(W26)))</f>
        <v>1.7703782718536336</v>
      </c>
      <c r="U26" s="572">
        <f>IF(M26="","",X26*SIN(RADIANS(W26)))</f>
        <v>-3.2269792350981832</v>
      </c>
      <c r="V26" s="579">
        <f>IF(M26="","",Y26)</f>
        <v>-0.773102331676632</v>
      </c>
      <c r="W26" s="528">
        <f t="shared" si="253"/>
        <v>298.74995686584299</v>
      </c>
      <c r="X26" s="572">
        <f>IF(M26="","",R26)</f>
        <v>3.6807111010246802</v>
      </c>
      <c r="Y26" s="573">
        <f t="shared" si="255"/>
        <v>-0.773102331676632</v>
      </c>
      <c r="Z26" s="575">
        <f t="shared" si="18"/>
        <v>0.26905343652732516</v>
      </c>
      <c r="AA26" s="572">
        <f t="shared" si="19"/>
        <v>-0.92715827880259272</v>
      </c>
      <c r="AB26" s="572">
        <f t="shared" si="20"/>
        <v>-0.26074465352265697</v>
      </c>
      <c r="AC26" s="579">
        <f>IF(M26="","",SQRT(Z26^2+AA26^2+AB26^2))</f>
        <v>1</v>
      </c>
      <c r="AD26" s="580">
        <f>IF(M26="","",Z26*(1/SQRT(Z26^2+AA26^2+AB26^2)))</f>
        <v>0.26905343652732516</v>
      </c>
      <c r="AE26" s="572">
        <f>IF(M26="","",AA26*(1/SQRT(Z26^2+AA26^2+AB26^2)))</f>
        <v>-0.92715827880259272</v>
      </c>
      <c r="AF26" s="576">
        <f>IF(M26="","",AB26*(1/SQRT(Z26^2+AA26^2+AB26^2)))</f>
        <v>-0.26074465352265697</v>
      </c>
      <c r="AG26" s="545">
        <f>IF(M26="","",DEGREES(ATAN2(-AF26,AE26)))</f>
        <v>-74.292428057234972</v>
      </c>
      <c r="AH26" s="546">
        <f>IF(M26="","",DEGREES(ACOS(AD26)))</f>
        <v>74.39205141853104</v>
      </c>
      <c r="AI26" s="528">
        <f>IF(M26="","",DEGREES(-ACOS(-AF26)))</f>
        <v>-74.885748171885325</v>
      </c>
      <c r="AJ26" s="529">
        <f>IF(M26="","",DEGREES(ATAN2(-AE26,AD26)))</f>
        <v>16.182278602876249</v>
      </c>
      <c r="AK26" s="578">
        <f>IF(M26="","",(COS(RADIANS((90-$Q$8)-W26))*AD26)+(-SIN(RADIANS((90-$Q$8)-W26))*AE26))</f>
        <v>0.94264150749507736</v>
      </c>
      <c r="AL26" s="572">
        <f>IF(M26="","",(SIN(RADIANS((90-$Q$8)-W26))*AD26)+(COS(RADIANS((90-$Q$8)-W26))*AE26))</f>
        <v>-0.20842076193785875</v>
      </c>
      <c r="AM26" s="577">
        <f>IF(M26="","",AF26)</f>
        <v>-0.26074465352265697</v>
      </c>
      <c r="AN26" s="524">
        <f>IF(M26="","",DEGREES(ATAN2(-AM26,AL26)))</f>
        <v>-38.636358057963655</v>
      </c>
      <c r="AO26" s="525">
        <f t="shared" si="116"/>
        <v>19.499997184548718</v>
      </c>
      <c r="AP26" s="528">
        <f>IF(M26="","",DEGREES(ATAN2(AK26,AL26)))</f>
        <v>-12.467678277404922</v>
      </c>
      <c r="AQ26" s="529">
        <f t="shared" si="21"/>
        <v>0.61934712464814712</v>
      </c>
      <c r="AS26" s="932">
        <f t="shared" si="143"/>
        <v>-61.250043134157011</v>
      </c>
      <c r="AT26" s="928">
        <f t="shared" si="22"/>
        <v>-0.73049813506571615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0.66747686211606239</v>
      </c>
      <c r="BA26" s="296">
        <f t="shared" si="24"/>
        <v>0.10208519958270837</v>
      </c>
      <c r="BB26" s="190">
        <f t="shared" si="145"/>
        <v>0.31309813506571615</v>
      </c>
      <c r="BC26" s="9"/>
      <c r="BD26" s="5">
        <f t="shared" si="146"/>
        <v>3.7938000000000001</v>
      </c>
      <c r="BE26" s="6">
        <f t="shared" si="25"/>
        <v>-0.46000419661091585</v>
      </c>
      <c r="BF26" s="4">
        <f t="shared" si="26"/>
        <v>3.2300642111005198</v>
      </c>
      <c r="BG26" s="5">
        <f t="shared" si="27"/>
        <v>1.7647434378327898</v>
      </c>
      <c r="BH26" s="10">
        <f t="shared" si="28"/>
        <v>-0.773102331676632</v>
      </c>
      <c r="BI26" s="9">
        <f t="shared" si="147"/>
        <v>3.2300642111005198</v>
      </c>
      <c r="BJ26" s="5">
        <f t="shared" si="29"/>
        <v>2.0354711062926443</v>
      </c>
      <c r="BK26" s="8">
        <f t="shared" si="30"/>
        <v>-1.7357583084047106</v>
      </c>
      <c r="BL26" s="173">
        <f t="shared" si="31"/>
        <v>4.1931894616743151</v>
      </c>
      <c r="BM26" s="5">
        <f t="shared" si="32"/>
        <v>2.0237493365650483</v>
      </c>
      <c r="BN26" s="6">
        <f t="shared" si="33"/>
        <v>-0.7002621221144778</v>
      </c>
      <c r="BO26" s="4">
        <f t="shared" si="148"/>
        <v>0.2690534365273255</v>
      </c>
      <c r="BP26" s="5">
        <f t="shared" si="239"/>
        <v>-0.92715827880259283</v>
      </c>
      <c r="BQ26" s="5">
        <f t="shared" si="149"/>
        <v>-0.26074465352265763</v>
      </c>
      <c r="BR26" s="6">
        <f t="shared" si="150"/>
        <v>0.56555431253811772</v>
      </c>
      <c r="BS26" s="4">
        <f t="shared" si="118"/>
        <v>0</v>
      </c>
      <c r="BT26" s="5">
        <f t="shared" si="118"/>
        <v>0</v>
      </c>
      <c r="BU26" s="10">
        <f t="shared" si="119"/>
        <v>-0.46000419661091585</v>
      </c>
      <c r="BV26" s="9">
        <f t="shared" si="120"/>
        <v>0</v>
      </c>
      <c r="BW26" s="5">
        <f t="shared" si="121"/>
        <v>1</v>
      </c>
      <c r="BX26" s="8">
        <f t="shared" si="122"/>
        <v>-0.46000419661091585</v>
      </c>
      <c r="BY26" s="173">
        <f t="shared" si="123"/>
        <v>1</v>
      </c>
      <c r="BZ26" s="5">
        <f t="shared" si="124"/>
        <v>0</v>
      </c>
      <c r="CA26" s="6">
        <f t="shared" si="125"/>
        <v>-0.46000419661091585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-0.46000419661091585</v>
      </c>
      <c r="CF26" s="4">
        <f t="shared" si="155"/>
        <v>0.92715827880259283</v>
      </c>
      <c r="CG26" s="5">
        <f t="shared" si="156"/>
        <v>0.2690534365273255</v>
      </c>
      <c r="CH26" s="5">
        <f t="shared" si="157"/>
        <v>0</v>
      </c>
      <c r="CI26" s="4">
        <f t="shared" si="126"/>
        <v>0</v>
      </c>
      <c r="CJ26" s="5">
        <f t="shared" si="127"/>
        <v>0.73935374690037492</v>
      </c>
      <c r="CK26" s="8">
        <f t="shared" si="128"/>
        <v>-0.46000419661091585</v>
      </c>
      <c r="CL26" s="173">
        <f t="shared" si="129"/>
        <v>0.92715827880259283</v>
      </c>
      <c r="CM26" s="5">
        <f t="shared" si="130"/>
        <v>1.0084071834277004</v>
      </c>
      <c r="CN26" s="6">
        <f t="shared" si="131"/>
        <v>-0.46000419661091585</v>
      </c>
      <c r="CO26" s="167">
        <f t="shared" si="35"/>
        <v>0.3125</v>
      </c>
      <c r="CP26" s="4">
        <f t="shared" si="240"/>
        <v>0.93201222565935005</v>
      </c>
      <c r="CQ26" s="5">
        <f t="shared" si="241"/>
        <v>-6.5413307890217425</v>
      </c>
      <c r="CR26" s="5">
        <f t="shared" si="158"/>
        <v>11.485113018284524</v>
      </c>
      <c r="CS26" s="8">
        <f t="shared" si="159"/>
        <v>-2.8054493078329301E-2</v>
      </c>
      <c r="CT26" s="9" t="e">
        <f t="shared" si="160"/>
        <v>#NUM!</v>
      </c>
      <c r="CU26" s="6" t="e">
        <f t="shared" si="161"/>
        <v>#NUM!</v>
      </c>
      <c r="CV26" s="4" t="e">
        <f t="shared" si="242"/>
        <v>#NUM!</v>
      </c>
      <c r="CW26" s="5" t="e">
        <f t="shared" si="162"/>
        <v>#NUM!</v>
      </c>
      <c r="CX26" s="8" t="e">
        <f t="shared" si="163"/>
        <v>#NUM!</v>
      </c>
      <c r="CY26" s="9" t="e">
        <f t="shared" si="164"/>
        <v>#NUM!</v>
      </c>
      <c r="CZ26" s="5" t="e">
        <f t="shared" si="165"/>
        <v>#NUM!</v>
      </c>
      <c r="DA26" s="6" t="e">
        <f t="shared" si="166"/>
        <v>#NUM!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 t="e">
        <f t="shared" si="175"/>
        <v>#NUM!</v>
      </c>
      <c r="DM26" s="173" t="e">
        <f t="shared" si="176"/>
        <v>#NUM!</v>
      </c>
      <c r="DN26" s="178" t="e">
        <f t="shared" si="177"/>
        <v>#NUM!</v>
      </c>
      <c r="DO26" s="9" t="e">
        <f t="shared" si="178"/>
        <v>#NUM!</v>
      </c>
      <c r="DP26" s="173" t="e">
        <f t="shared" si="179"/>
        <v>#NUM!</v>
      </c>
      <c r="DQ26" s="11" t="e">
        <f t="shared" si="180"/>
        <v>#NUM!</v>
      </c>
      <c r="DR26" s="173" t="e">
        <f t="shared" si="181"/>
        <v>#NUM!</v>
      </c>
      <c r="DS26" s="5" t="e">
        <f t="shared" si="182"/>
        <v>#NUM!</v>
      </c>
      <c r="DT26" s="5">
        <f t="shared" si="183"/>
        <v>400</v>
      </c>
      <c r="DU26" s="5" t="e">
        <f t="shared" si="184"/>
        <v>#NUM!</v>
      </c>
      <c r="DV26" s="5" t="e">
        <f t="shared" si="185"/>
        <v>#NUM!</v>
      </c>
      <c r="DW26" s="5" t="e">
        <f t="shared" si="186"/>
        <v>#NUM!</v>
      </c>
      <c r="DX26" s="167" t="e">
        <f t="shared" si="187"/>
        <v>#NUM!</v>
      </c>
      <c r="DY26" s="9" t="e">
        <f t="shared" si="188"/>
        <v>#NUM!</v>
      </c>
      <c r="DZ26" s="5" t="e">
        <f t="shared" si="189"/>
        <v>#NUM!</v>
      </c>
      <c r="EA26" s="10" t="e">
        <f t="shared" si="190"/>
        <v>#NUM!</v>
      </c>
      <c r="EB26" s="6" t="e">
        <f t="shared" si="191"/>
        <v>#NUM!</v>
      </c>
      <c r="EC26" s="173" t="e">
        <f t="shared" si="192"/>
        <v>#NUM!</v>
      </c>
      <c r="ED26" s="5" t="e">
        <f t="shared" si="193"/>
        <v>#NUM!</v>
      </c>
      <c r="EE26" s="4" t="e">
        <f t="shared" si="194"/>
        <v>#NUM!</v>
      </c>
      <c r="EF26" s="5" t="e">
        <f t="shared" si="195"/>
        <v>#NUM!</v>
      </c>
      <c r="EG26" s="10" t="e">
        <f t="shared" si="196"/>
        <v>#NUM!</v>
      </c>
      <c r="EH26" s="9" t="e">
        <f t="shared" si="197"/>
        <v>#NUM!</v>
      </c>
      <c r="EI26" s="5" t="e">
        <f t="shared" si="198"/>
        <v>#NUM!</v>
      </c>
      <c r="EJ26" s="6" t="e">
        <f t="shared" si="199"/>
        <v>#NUM!</v>
      </c>
      <c r="EK26" s="236" t="e">
        <f t="shared" si="200"/>
        <v>#NUM!</v>
      </c>
      <c r="EL26" s="238" t="e">
        <f t="shared" si="201"/>
        <v>#NUM!</v>
      </c>
      <c r="EM26" s="4" t="e">
        <f t="shared" si="202"/>
        <v>#NUM!</v>
      </c>
      <c r="EN26" s="5" t="e">
        <f t="shared" si="203"/>
        <v>#NUM!</v>
      </c>
      <c r="EO26" s="10" t="e">
        <f t="shared" si="204"/>
        <v>#NUM!</v>
      </c>
      <c r="EP26" s="9" t="e">
        <f t="shared" si="205"/>
        <v>#NUM!</v>
      </c>
      <c r="EQ26" s="5" t="e">
        <f t="shared" si="206"/>
        <v>#NUM!</v>
      </c>
      <c r="ER26" s="7" t="e">
        <f t="shared" si="207"/>
        <v>#NUM!</v>
      </c>
      <c r="ES26" s="21">
        <f t="shared" si="132"/>
        <v>0.26905343652732516</v>
      </c>
      <c r="ET26" s="5">
        <f t="shared" si="44"/>
        <v>-0.92715827880259272</v>
      </c>
      <c r="EU26" s="10">
        <f t="shared" si="45"/>
        <v>-0.26074465352265697</v>
      </c>
      <c r="EV26" s="174" t="e">
        <f t="shared" si="254"/>
        <v>#NUM!</v>
      </c>
      <c r="EW26" s="9" t="e">
        <f t="shared" si="133"/>
        <v>#NUM!</v>
      </c>
      <c r="EX26" s="5" t="e">
        <f t="shared" si="47"/>
        <v>#NUM!</v>
      </c>
      <c r="EY26" s="6">
        <f t="shared" si="208"/>
        <v>-0.26074465352265697</v>
      </c>
      <c r="EZ26" s="51" t="e">
        <f t="shared" si="209"/>
        <v>#NUM!</v>
      </c>
      <c r="FA26" s="266" t="e">
        <f t="shared" si="134"/>
        <v>#NUM!</v>
      </c>
      <c r="FB26" s="267" t="e">
        <f t="shared" si="135"/>
        <v>#NUM!</v>
      </c>
      <c r="FC26" s="269" t="e">
        <f t="shared" si="48"/>
        <v>#NUM!</v>
      </c>
      <c r="FD26" s="4" t="e">
        <f t="shared" si="136"/>
        <v>#NUM!</v>
      </c>
      <c r="FE26" s="5" t="e">
        <f t="shared" si="49"/>
        <v>#NUM!</v>
      </c>
      <c r="FF26" s="7" t="e">
        <f t="shared" si="210"/>
        <v>#NUM!</v>
      </c>
      <c r="FG26" s="173" t="e">
        <f t="shared" si="211"/>
        <v>#NUM!</v>
      </c>
      <c r="FH26" s="5" t="e">
        <f t="shared" si="50"/>
        <v>#NUM!</v>
      </c>
      <c r="FI26" s="10" t="e">
        <f t="shared" si="51"/>
        <v>#NUM!</v>
      </c>
      <c r="FJ26" s="279" t="e">
        <f t="shared" si="212"/>
        <v>#NUM!</v>
      </c>
      <c r="FK26" s="4">
        <f t="shared" si="52"/>
        <v>0.96540780277525706</v>
      </c>
      <c r="FL26" s="5" t="e">
        <f t="shared" si="213"/>
        <v>#NUM!</v>
      </c>
      <c r="FM26" s="8" t="e">
        <f t="shared" si="214"/>
        <v>#NUM!</v>
      </c>
      <c r="FN26" s="9" t="e">
        <f t="shared" si="215"/>
        <v>#NUM!</v>
      </c>
      <c r="FO26" s="10" t="e">
        <f t="shared" si="53"/>
        <v>#NUM!</v>
      </c>
      <c r="FP26" s="277" t="e">
        <f t="shared" si="54"/>
        <v>#NUM!</v>
      </c>
      <c r="FQ26" s="173" t="e">
        <f t="shared" si="243"/>
        <v>#NUM!</v>
      </c>
      <c r="FR26" s="10" t="e">
        <f t="shared" si="216"/>
        <v>#NUM!</v>
      </c>
      <c r="FS26" s="9" t="e">
        <f>IF(ISNUMBER($AV26),FQ26/(FQ26+FR26),"")</f>
        <v>#NUM!</v>
      </c>
      <c r="FT26" s="6" t="e">
        <f t="shared" si="218"/>
        <v>#NUM!</v>
      </c>
      <c r="FU26" s="4" t="e">
        <f t="shared" si="219"/>
        <v>#NUM!</v>
      </c>
      <c r="FV26" s="5" t="e">
        <f t="shared" si="220"/>
        <v>#NUM!</v>
      </c>
      <c r="FW26" s="8" t="e">
        <f t="shared" si="244"/>
        <v>#NUM!</v>
      </c>
      <c r="FX26" s="9" t="e">
        <f t="shared" si="245"/>
        <v>#NUM!</v>
      </c>
      <c r="FY26" s="10" t="e">
        <f t="shared" si="55"/>
        <v>#NUM!</v>
      </c>
      <c r="FZ26" s="277" t="e">
        <f t="shared" si="246"/>
        <v>#NUM!</v>
      </c>
      <c r="GA26" s="177" t="e">
        <f t="shared" si="221"/>
        <v>#NUM!</v>
      </c>
      <c r="GB26" s="4" t="e">
        <f t="shared" si="222"/>
        <v>#NUM!</v>
      </c>
      <c r="GC26" s="5" t="e">
        <f t="shared" si="223"/>
        <v>#NUM!</v>
      </c>
      <c r="GD26" s="10" t="e">
        <f t="shared" si="224"/>
        <v>#NUM!</v>
      </c>
      <c r="GE26" s="311" t="e">
        <f t="shared" si="225"/>
        <v>#NUM!</v>
      </c>
      <c r="GF26" s="341" t="e">
        <f>IF(ISNUMBER($AV26),1/GE26,"")</f>
        <v>#NUM!</v>
      </c>
      <c r="GG26" s="285" t="e">
        <f t="shared" si="56"/>
        <v>#NUM!</v>
      </c>
      <c r="GH26" s="286" t="e">
        <f t="shared" si="57"/>
        <v>#NUM!</v>
      </c>
      <c r="GI26" s="281" t="e">
        <f t="shared" si="58"/>
        <v>#NUM!</v>
      </c>
      <c r="GJ26" s="167">
        <f t="shared" si="226"/>
        <v>3.7938000000000001</v>
      </c>
      <c r="GK26" s="174">
        <f t="shared" si="59"/>
        <v>1.9865382801073286</v>
      </c>
      <c r="GL26" s="174">
        <f t="shared" si="227"/>
        <v>2.8000000000000001E-2</v>
      </c>
      <c r="GM26" s="177">
        <f t="shared" si="248"/>
        <v>0.66747686211606239</v>
      </c>
      <c r="GN26" s="280">
        <f t="shared" si="228"/>
        <v>0.10208519958270837</v>
      </c>
      <c r="GO26" s="4" t="e">
        <f t="shared" si="229"/>
        <v>#NUM!</v>
      </c>
      <c r="GP26" s="8" t="e">
        <f t="shared" si="249"/>
        <v>#NUM!</v>
      </c>
      <c r="GQ26" s="177" t="e">
        <f t="shared" si="230"/>
        <v>#NUM!</v>
      </c>
      <c r="GR26" s="371" t="e">
        <f t="shared" si="250"/>
        <v>#NUM!</v>
      </c>
      <c r="GS26" s="342" t="e">
        <f t="shared" si="61"/>
        <v>#NUM!</v>
      </c>
      <c r="GT26" s="343" t="e">
        <f t="shared" si="62"/>
        <v>#NUM!</v>
      </c>
      <c r="GU26" s="344">
        <f t="shared" si="63"/>
        <v>1640.8806193686535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 t="e">
        <f t="shared" si="66"/>
        <v>#NUM!</v>
      </c>
      <c r="GZ26" s="345" t="e">
        <f t="shared" si="67"/>
        <v>#NUM!</v>
      </c>
      <c r="HA26" s="342" t="e">
        <f t="shared" si="68"/>
        <v>#NUM!</v>
      </c>
      <c r="HB26" s="5" t="e">
        <f t="shared" si="231"/>
        <v>#NUM!</v>
      </c>
      <c r="HC26" s="343" t="e">
        <f t="shared" si="232"/>
        <v>#NUM!</v>
      </c>
      <c r="HD26" s="363" t="e">
        <f t="shared" si="233"/>
        <v>#NUM!</v>
      </c>
      <c r="HE26" s="344" t="e">
        <f t="shared" si="69"/>
        <v>#NUM!</v>
      </c>
      <c r="HF26" s="5" t="e">
        <f t="shared" si="70"/>
        <v>#NUM!</v>
      </c>
      <c r="HG26" s="343" t="e">
        <f t="shared" si="234"/>
        <v>#NUM!</v>
      </c>
      <c r="HH26" s="349" t="e">
        <f t="shared" si="235"/>
        <v>#NUM!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3.6618339894594771</v>
      </c>
      <c r="C27" s="572">
        <f t="shared" si="3"/>
        <v>1.9453888544640032</v>
      </c>
      <c r="D27" s="576">
        <f t="shared" si="4"/>
        <v>-1.3575040942323482</v>
      </c>
      <c r="E27" s="580">
        <f t="shared" si="5"/>
        <v>-0.15238632571612393</v>
      </c>
      <c r="F27" s="572">
        <f t="shared" si="6"/>
        <v>0.96138556007208975</v>
      </c>
      <c r="G27" s="579">
        <f t="shared" si="7"/>
        <v>0.22916416085333627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3.6618339894594771</v>
      </c>
      <c r="O27" s="572">
        <f t="shared" si="14"/>
        <v>1.9453888544640032</v>
      </c>
      <c r="P27" s="576">
        <f t="shared" si="15"/>
        <v>-1.3575040942323482</v>
      </c>
      <c r="Q27" s="528">
        <f t="shared" si="140"/>
        <v>27.979956977017228</v>
      </c>
      <c r="R27" s="572">
        <f t="shared" si="101"/>
        <v>4.1465125058817165</v>
      </c>
      <c r="S27" s="577">
        <f t="shared" si="102"/>
        <v>-1.3575040942323482</v>
      </c>
      <c r="T27" s="578">
        <f t="shared" si="103"/>
        <v>1.9517769932792004</v>
      </c>
      <c r="U27" s="572">
        <f t="shared" si="104"/>
        <v>-3.6584330703102212</v>
      </c>
      <c r="V27" s="579">
        <f t="shared" si="141"/>
        <v>-1.3575040942323482</v>
      </c>
      <c r="W27" s="528">
        <f t="shared" si="253"/>
        <v>298.07995696257905</v>
      </c>
      <c r="X27" s="572">
        <f t="shared" si="105"/>
        <v>4.1465125058817165</v>
      </c>
      <c r="Y27" s="573">
        <f t="shared" si="255"/>
        <v>-1.3575040942323482</v>
      </c>
      <c r="Z27" s="575">
        <f t="shared" si="18"/>
        <v>0.15238632571612393</v>
      </c>
      <c r="AA27" s="572">
        <f t="shared" si="19"/>
        <v>-0.96138556007208975</v>
      </c>
      <c r="AB27" s="572">
        <f t="shared" si="20"/>
        <v>-0.22916416085333627</v>
      </c>
      <c r="AC27" s="579">
        <f t="shared" si="106"/>
        <v>1</v>
      </c>
      <c r="AD27" s="580">
        <f t="shared" si="142"/>
        <v>0.15238632571612393</v>
      </c>
      <c r="AE27" s="572">
        <f t="shared" si="107"/>
        <v>-0.96138556007208975</v>
      </c>
      <c r="AF27" s="576">
        <f t="shared" si="108"/>
        <v>-0.22916416085333627</v>
      </c>
      <c r="AG27" s="545">
        <f t="shared" si="109"/>
        <v>-76.592679198968298</v>
      </c>
      <c r="AH27" s="546">
        <f t="shared" si="110"/>
        <v>81.234756960294149</v>
      </c>
      <c r="AI27" s="528">
        <f t="shared" si="111"/>
        <v>-76.752132592137642</v>
      </c>
      <c r="AJ27" s="529">
        <f t="shared" si="112"/>
        <v>9.0068492912707505</v>
      </c>
      <c r="AK27" s="578">
        <f t="shared" si="238"/>
        <v>0.92050487609870546</v>
      </c>
      <c r="AL27" s="572">
        <f t="shared" si="113"/>
        <v>-0.3164720532035859</v>
      </c>
      <c r="AM27" s="577">
        <f t="shared" si="114"/>
        <v>-0.22916416085333627</v>
      </c>
      <c r="AN27" s="524">
        <f t="shared" si="115"/>
        <v>-54.090901281149257</v>
      </c>
      <c r="AO27" s="525">
        <f t="shared" si="116"/>
        <v>22.999996679211336</v>
      </c>
      <c r="AP27" s="528">
        <f t="shared" si="117"/>
        <v>-18.973107685746495</v>
      </c>
      <c r="AQ27" s="529">
        <f t="shared" si="21"/>
        <v>0.54977686958508953</v>
      </c>
      <c r="AS27" s="932">
        <f t="shared" si="143"/>
        <v>-61.920043037420953</v>
      </c>
      <c r="AT27" s="928">
        <f t="shared" si="22"/>
        <v>-1.3144346199108323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0.55428414415141136</v>
      </c>
      <c r="BA27" s="296">
        <f t="shared" si="24"/>
        <v>8.4773286825017363E-2</v>
      </c>
      <c r="BB27" s="190">
        <f t="shared" si="145"/>
        <v>0.29313461991083234</v>
      </c>
      <c r="BC27" s="9"/>
      <c r="BD27" s="5">
        <f t="shared" si="146"/>
        <v>4.367</v>
      </c>
      <c r="BE27" s="6">
        <f t="shared" si="25"/>
        <v>-1.064369474321516</v>
      </c>
      <c r="BF27" s="4">
        <f t="shared" si="26"/>
        <v>3.6618339894594771</v>
      </c>
      <c r="BG27" s="5">
        <f t="shared" si="27"/>
        <v>1.9453888544640032</v>
      </c>
      <c r="BH27" s="10">
        <f t="shared" si="28"/>
        <v>-1.3575040942323482</v>
      </c>
      <c r="BI27" s="9">
        <f>IF(ISNUMBER($AV27),BF27+0,"")</f>
        <v>3.6618339894594771</v>
      </c>
      <c r="BJ27" s="5">
        <f t="shared" si="29"/>
        <v>2.1772610496652662</v>
      </c>
      <c r="BK27" s="8">
        <f t="shared" si="30"/>
        <v>-2.330250353589097</v>
      </c>
      <c r="BL27" s="173">
        <f t="shared" si="31"/>
        <v>4.650154993857714</v>
      </c>
      <c r="BM27" s="5">
        <f t="shared" si="32"/>
        <v>2.093622082781482</v>
      </c>
      <c r="BN27" s="6">
        <f t="shared" si="33"/>
        <v>-1.3221699423698958</v>
      </c>
      <c r="BO27" s="4">
        <f t="shared" si="148"/>
        <v>0.15238632571612359</v>
      </c>
      <c r="BP27" s="5">
        <f t="shared" si="239"/>
        <v>-0.9613855600720902</v>
      </c>
      <c r="BQ27" s="5">
        <f t="shared" si="149"/>
        <v>-0.22916416085333591</v>
      </c>
      <c r="BR27" s="6">
        <f t="shared" si="150"/>
        <v>1.0011640397610098</v>
      </c>
      <c r="BS27" s="4">
        <f t="shared" si="118"/>
        <v>0</v>
      </c>
      <c r="BT27" s="5">
        <f t="shared" si="118"/>
        <v>0</v>
      </c>
      <c r="BU27" s="10">
        <f t="shared" si="119"/>
        <v>-1.064369474321516</v>
      </c>
      <c r="BV27" s="9">
        <f t="shared" si="120"/>
        <v>0</v>
      </c>
      <c r="BW27" s="5">
        <f t="shared" si="121"/>
        <v>1</v>
      </c>
      <c r="BX27" s="8">
        <f t="shared" si="122"/>
        <v>-1.064369474321516</v>
      </c>
      <c r="BY27" s="173">
        <f t="shared" si="123"/>
        <v>1</v>
      </c>
      <c r="BZ27" s="5">
        <f t="shared" si="124"/>
        <v>0</v>
      </c>
      <c r="CA27" s="6">
        <f t="shared" si="125"/>
        <v>-1.064369474321516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-1.064369474321516</v>
      </c>
      <c r="CF27" s="4">
        <f t="shared" si="155"/>
        <v>0.9613855600720902</v>
      </c>
      <c r="CG27" s="5">
        <f t="shared" si="156"/>
        <v>0.15238632571612359</v>
      </c>
      <c r="CH27" s="5">
        <f t="shared" si="157"/>
        <v>0</v>
      </c>
      <c r="CI27" s="4">
        <f t="shared" si="126"/>
        <v>0</v>
      </c>
      <c r="CJ27" s="5">
        <f t="shared" si="127"/>
        <v>1.2950884940360901</v>
      </c>
      <c r="CK27" s="8">
        <f t="shared" si="128"/>
        <v>-1.064369474321516</v>
      </c>
      <c r="CL27" s="173">
        <f t="shared" si="129"/>
        <v>0.9613855600720902</v>
      </c>
      <c r="CM27" s="5">
        <f t="shared" si="130"/>
        <v>1.4474748197522136</v>
      </c>
      <c r="CN27" s="6">
        <f t="shared" si="131"/>
        <v>-1.064369474321516</v>
      </c>
      <c r="CO27" s="167">
        <f t="shared" si="35"/>
        <v>0.3125</v>
      </c>
      <c r="CP27" s="4">
        <f t="shared" si="240"/>
        <v>0.94748378738038697</v>
      </c>
      <c r="CQ27" s="5">
        <f t="shared" si="241"/>
        <v>-7.2390624067699934</v>
      </c>
      <c r="CR27" s="5">
        <f t="shared" si="158"/>
        <v>13.820190380523648</v>
      </c>
      <c r="CS27" s="8">
        <f>IF(ISNUMBER($AV27),CQ27^2-(4*CP27*CR27),"")</f>
        <v>2.6399232884422474E-2</v>
      </c>
      <c r="CT27" s="9">
        <f t="shared" si="160"/>
        <v>3.9058931207015246</v>
      </c>
      <c r="CU27" s="6">
        <f t="shared" si="161"/>
        <v>3.7344090176439013</v>
      </c>
      <c r="CV27" s="4">
        <f t="shared" si="242"/>
        <v>3.7550692454273595</v>
      </c>
      <c r="CW27" s="5">
        <f t="shared" si="162"/>
        <v>1.8902931953396789</v>
      </c>
      <c r="CX27" s="8">
        <f t="shared" si="163"/>
        <v>-1.064369474321516</v>
      </c>
      <c r="CY27" s="9">
        <f t="shared" si="164"/>
        <v>3.590206904965846</v>
      </c>
      <c r="CZ27" s="5">
        <f t="shared" si="165"/>
        <v>1.8641613629560025</v>
      </c>
      <c r="DA27" s="6">
        <f t="shared" si="166"/>
        <v>-1.064369474321516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3.7550692454273595</v>
      </c>
      <c r="DM27" s="173">
        <f t="shared" si="176"/>
        <v>1.8902931953396789</v>
      </c>
      <c r="DN27" s="178">
        <f t="shared" si="177"/>
        <v>8.9356305256784836</v>
      </c>
      <c r="DO27" s="9">
        <f t="shared" si="178"/>
        <v>-0.16486234046151349</v>
      </c>
      <c r="DP27" s="173">
        <f t="shared" si="179"/>
        <v>-2.6131832383676334E-2</v>
      </c>
      <c r="DQ27" s="11">
        <f t="shared" si="180"/>
        <v>0</v>
      </c>
      <c r="DR27" s="173">
        <f t="shared" si="181"/>
        <v>178.71261051356967</v>
      </c>
      <c r="DS27" s="5">
        <f t="shared" si="182"/>
        <v>0</v>
      </c>
      <c r="DT27" s="5">
        <f t="shared" si="183"/>
        <v>400</v>
      </c>
      <c r="DU27" s="5">
        <f t="shared" si="184"/>
        <v>2.7862463966176546E-2</v>
      </c>
      <c r="DV27" s="5">
        <f t="shared" si="185"/>
        <v>-0.66846632933282435</v>
      </c>
      <c r="DW27" s="5">
        <f t="shared" si="186"/>
        <v>97.51924629373903</v>
      </c>
      <c r="DX27" s="167">
        <f t="shared" si="187"/>
        <v>78.448557293739029</v>
      </c>
      <c r="DY27" s="9">
        <f t="shared" si="188"/>
        <v>11.144985586470618</v>
      </c>
      <c r="DZ27" s="5">
        <f t="shared" si="189"/>
        <v>-267.38653173312974</v>
      </c>
      <c r="EA27" s="10">
        <f t="shared" si="190"/>
        <v>-558.77423907924094</v>
      </c>
      <c r="EB27" s="6">
        <f t="shared" si="191"/>
        <v>77723.088192901225</v>
      </c>
      <c r="EC27" s="173">
        <f t="shared" si="192"/>
        <v>49.006356798770234</v>
      </c>
      <c r="ED27" s="5">
        <f t="shared" si="193"/>
        <v>-1.0230678732606573</v>
      </c>
      <c r="EE27" s="4">
        <f t="shared" si="194"/>
        <v>-4.3242334339099049</v>
      </c>
      <c r="EF27" s="5">
        <f t="shared" si="195"/>
        <v>0.60966729373957795</v>
      </c>
      <c r="EG27" s="10">
        <f t="shared" si="196"/>
        <v>-1.064369474321516</v>
      </c>
      <c r="EH27" s="9">
        <f t="shared" si="197"/>
        <v>3.9237346094640944</v>
      </c>
      <c r="EI27" s="5">
        <f t="shared" si="198"/>
        <v>1.9170278335208506</v>
      </c>
      <c r="EJ27" s="6">
        <f t="shared" si="199"/>
        <v>-1.064369474321516</v>
      </c>
      <c r="EK27" s="236" t="b">
        <f t="shared" si="200"/>
        <v>0</v>
      </c>
      <c r="EL27" s="238" t="b">
        <f t="shared" si="201"/>
        <v>0</v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e">
        <f t="shared" si="205"/>
        <v>#VALUE!</v>
      </c>
      <c r="EQ27" s="5" t="e">
        <f t="shared" si="206"/>
        <v>#VALUE!</v>
      </c>
      <c r="ER27" s="7" t="str">
        <f t="shared" si="207"/>
        <v/>
      </c>
      <c r="ES27" s="21">
        <f t="shared" si="132"/>
        <v>0.15238632571612393</v>
      </c>
      <c r="ET27" s="5">
        <f t="shared" si="44"/>
        <v>-0.96138556007208975</v>
      </c>
      <c r="EU27" s="10">
        <f t="shared" si="45"/>
        <v>-0.22916416085333627</v>
      </c>
      <c r="EV27" s="174" t="e">
        <f t="shared" si="254"/>
        <v>#VALUE!</v>
      </c>
      <c r="EW27" s="9" t="e">
        <f t="shared" si="133"/>
        <v>#VALUE!</v>
      </c>
      <c r="EX27" s="5" t="e">
        <f t="shared" si="47"/>
        <v>#VALUE!</v>
      </c>
      <c r="EY27" s="6">
        <f t="shared" si="208"/>
        <v>-0.22916416085333627</v>
      </c>
      <c r="EZ27" s="51" t="e">
        <f t="shared" si="209"/>
        <v>#VALUE!</v>
      </c>
      <c r="FA27" s="266" t="e">
        <f t="shared" si="134"/>
        <v>#VALUE!</v>
      </c>
      <c r="FB27" s="267" t="e">
        <f t="shared" si="135"/>
        <v>#VALUE!</v>
      </c>
      <c r="FC27" s="269" t="e">
        <f t="shared" si="48"/>
        <v>#VALUE!</v>
      </c>
      <c r="FD27" s="4" t="e">
        <f t="shared" si="136"/>
        <v>#VALUE!</v>
      </c>
      <c r="FE27" s="5" t="e">
        <f t="shared" si="49"/>
        <v>#VALUE!</v>
      </c>
      <c r="FF27" s="7" t="e">
        <f t="shared" si="210"/>
        <v>#VALUE!</v>
      </c>
      <c r="FG27" s="173" t="e">
        <f t="shared" si="211"/>
        <v>#VALUE!</v>
      </c>
      <c r="FH27" s="5" t="e">
        <f t="shared" si="50"/>
        <v>#VALUE!</v>
      </c>
      <c r="FI27" s="10" t="e">
        <f t="shared" si="51"/>
        <v>#VALUE!</v>
      </c>
      <c r="FJ27" s="279" t="e">
        <f t="shared" si="212"/>
        <v>#VALUE!</v>
      </c>
      <c r="FK27" s="4">
        <f t="shared" si="52"/>
        <v>0.97338778879765397</v>
      </c>
      <c r="FL27" s="5" t="e">
        <f t="shared" si="213"/>
        <v>#VALUE!</v>
      </c>
      <c r="FM27" s="8" t="e">
        <f t="shared" si="214"/>
        <v>#VALUE!</v>
      </c>
      <c r="FN27" s="9" t="e">
        <f t="shared" si="215"/>
        <v>#VALUE!</v>
      </c>
      <c r="FO27" s="10" t="e">
        <f t="shared" si="53"/>
        <v>#VALUE!</v>
      </c>
      <c r="FP27" s="277" t="e">
        <f t="shared" si="54"/>
        <v>#VALUE!</v>
      </c>
      <c r="FQ27" s="173" t="e">
        <f t="shared" si="243"/>
        <v>#VALUE!</v>
      </c>
      <c r="FR27" s="10" t="e">
        <f t="shared" si="216"/>
        <v>#VALUE!</v>
      </c>
      <c r="FS27" s="9" t="e">
        <f t="shared" si="217"/>
        <v>#VALUE!</v>
      </c>
      <c r="FT27" s="6" t="e">
        <f t="shared" si="218"/>
        <v>#VALUE!</v>
      </c>
      <c r="FU27" s="4" t="e">
        <f t="shared" si="219"/>
        <v>#VALUE!</v>
      </c>
      <c r="FV27" s="5" t="e">
        <f t="shared" si="220"/>
        <v>#VALUE!</v>
      </c>
      <c r="FW27" s="8" t="e">
        <f t="shared" si="244"/>
        <v>#VALUE!</v>
      </c>
      <c r="FX27" s="9" t="e">
        <f t="shared" si="245"/>
        <v>#VALUE!</v>
      </c>
      <c r="FY27" s="10" t="e">
        <f t="shared" si="55"/>
        <v>#VALUE!</v>
      </c>
      <c r="FZ27" s="277" t="e">
        <f t="shared" si="246"/>
        <v>#VALUE!</v>
      </c>
      <c r="GA27" s="177" t="e">
        <f t="shared" si="221"/>
        <v>#VALUE!</v>
      </c>
      <c r="GB27" s="4" t="e">
        <f t="shared" si="222"/>
        <v>#VALUE!</v>
      </c>
      <c r="GC27" s="5" t="e">
        <f t="shared" si="223"/>
        <v>#VALUE!</v>
      </c>
      <c r="GD27" s="10" t="e">
        <f t="shared" si="224"/>
        <v>#VALUE!</v>
      </c>
      <c r="GE27" s="311" t="e">
        <f t="shared" si="225"/>
        <v>#VALUE!</v>
      </c>
      <c r="GF27" s="341" t="e">
        <f t="shared" si="247"/>
        <v>#VALUE!</v>
      </c>
      <c r="GG27" s="285" t="e">
        <f t="shared" si="56"/>
        <v>#VALUE!</v>
      </c>
      <c r="GH27" s="286" t="e">
        <f t="shared" si="57"/>
        <v>#VALUE!</v>
      </c>
      <c r="GI27" s="281" t="e">
        <f t="shared" si="58"/>
        <v>#VALUE!</v>
      </c>
      <c r="GJ27" s="167">
        <f t="shared" si="226"/>
        <v>4.367</v>
      </c>
      <c r="GK27" s="174">
        <f t="shared" si="59"/>
        <v>2.2866507597005419</v>
      </c>
      <c r="GL27" s="174">
        <f t="shared" si="227"/>
        <v>2.0199999999999999E-2</v>
      </c>
      <c r="GM27" s="177">
        <f t="shared" si="248"/>
        <v>0.55428414415141136</v>
      </c>
      <c r="GN27" s="280">
        <f t="shared" si="228"/>
        <v>8.4773286825017363E-2</v>
      </c>
      <c r="GO27" s="4" t="e">
        <f t="shared" si="229"/>
        <v>#VALUE!</v>
      </c>
      <c r="GP27" s="8" t="e">
        <f t="shared" si="249"/>
        <v>#VALUE!</v>
      </c>
      <c r="GQ27" s="177" t="e">
        <f t="shared" si="230"/>
        <v>#VALUE!</v>
      </c>
      <c r="GR27" s="371" t="e">
        <f t="shared" si="250"/>
        <v>#VALUE!</v>
      </c>
      <c r="GS27" s="342" t="e">
        <f t="shared" si="61"/>
        <v>#VALUE!</v>
      </c>
      <c r="GT27" s="343" t="e">
        <f t="shared" si="62"/>
        <v>#VALUE!</v>
      </c>
      <c r="GU27" s="344">
        <f t="shared" si="63"/>
        <v>1362.6151877055529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 t="e">
        <f t="shared" si="66"/>
        <v>#VALUE!</v>
      </c>
      <c r="GZ27" s="345" t="e">
        <f t="shared" si="67"/>
        <v>#VALUE!</v>
      </c>
      <c r="HA27" s="342" t="e">
        <f t="shared" si="68"/>
        <v>#VALUE!</v>
      </c>
      <c r="HB27" s="5" t="e">
        <f t="shared" si="231"/>
        <v>#VALUE!</v>
      </c>
      <c r="HC27" s="343" t="e">
        <f t="shared" si="232"/>
        <v>#VALUE!</v>
      </c>
      <c r="HD27" s="363" t="e">
        <f t="shared" si="233"/>
        <v>#VALUE!</v>
      </c>
      <c r="HE27" s="344" t="e">
        <f t="shared" si="69"/>
        <v>#VALUE!</v>
      </c>
      <c r="HF27" s="5" t="e">
        <f t="shared" si="70"/>
        <v>#VALUE!</v>
      </c>
      <c r="HG27" s="343" t="e">
        <f t="shared" si="234"/>
        <v>#VALUE!</v>
      </c>
      <c r="HH27" s="349" t="e">
        <f t="shared" si="235"/>
        <v>#VALUE!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3.9299959796113471</v>
      </c>
      <c r="C28" s="572">
        <f t="shared" si="3"/>
        <v>2.0484387504607753</v>
      </c>
      <c r="D28" s="576">
        <f t="shared" si="4"/>
        <v>-2.0487061788978349</v>
      </c>
      <c r="E28" s="580">
        <f t="shared" si="5"/>
        <v>-4.2922648157002537E-2</v>
      </c>
      <c r="F28" s="572">
        <f t="shared" si="6"/>
        <v>0.9868350507654885</v>
      </c>
      <c r="G28" s="579">
        <f t="shared" si="7"/>
        <v>0.15593020507863856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82">
        <f>9.625/2</f>
        <v>4.8125</v>
      </c>
      <c r="M28" s="164">
        <f t="shared" si="12"/>
        <v>2.1339999999999999</v>
      </c>
      <c r="N28" s="575">
        <f t="shared" si="13"/>
        <v>3.9299959796113471</v>
      </c>
      <c r="O28" s="572">
        <f t="shared" si="14"/>
        <v>2.0484387504607753</v>
      </c>
      <c r="P28" s="576">
        <f t="shared" si="15"/>
        <v>-2.0487061788978349</v>
      </c>
      <c r="Q28" s="528">
        <f t="shared" si="140"/>
        <v>27.529957041989178</v>
      </c>
      <c r="R28" s="572">
        <f t="shared" si="101"/>
        <v>4.4318133663491128</v>
      </c>
      <c r="S28" s="577">
        <f t="shared" si="102"/>
        <v>-2.0487061788978349</v>
      </c>
      <c r="T28" s="578">
        <f t="shared" si="103"/>
        <v>2.0552947629825833</v>
      </c>
      <c r="U28" s="572">
        <f t="shared" si="104"/>
        <v>-3.9264147961476286</v>
      </c>
      <c r="V28" s="579">
        <f t="shared" si="141"/>
        <v>-2.0487061788978349</v>
      </c>
      <c r="W28" s="528">
        <f t="shared" si="253"/>
        <v>297.62995702755097</v>
      </c>
      <c r="X28" s="572">
        <f t="shared" si="105"/>
        <v>4.4318133663491128</v>
      </c>
      <c r="Y28" s="573">
        <f t="shared" si="255"/>
        <v>-2.0487061788978349</v>
      </c>
      <c r="Z28" s="575">
        <f t="shared" si="18"/>
        <v>4.2922648157002537E-2</v>
      </c>
      <c r="AA28" s="572">
        <f t="shared" si="19"/>
        <v>-0.9868350507654885</v>
      </c>
      <c r="AB28" s="572">
        <f t="shared" si="20"/>
        <v>-0.15593020507863856</v>
      </c>
      <c r="AC28" s="579">
        <f t="shared" si="106"/>
        <v>1</v>
      </c>
      <c r="AD28" s="580">
        <f t="shared" si="142"/>
        <v>4.2922648157002537E-2</v>
      </c>
      <c r="AE28" s="572">
        <f t="shared" si="107"/>
        <v>-0.9868350507654885</v>
      </c>
      <c r="AF28" s="576">
        <f t="shared" si="108"/>
        <v>-0.15593020507863856</v>
      </c>
      <c r="AG28" s="545">
        <f t="shared" si="109"/>
        <v>-81.020907462043397</v>
      </c>
      <c r="AH28" s="546">
        <f t="shared" si="110"/>
        <v>87.539957642363959</v>
      </c>
      <c r="AI28" s="528">
        <f t="shared" si="111"/>
        <v>-81.029250928253845</v>
      </c>
      <c r="AJ28" s="529">
        <f t="shared" si="112"/>
        <v>2.4905251226812357</v>
      </c>
      <c r="AK28" s="578">
        <f t="shared" si="238"/>
        <v>0.89493439139844277</v>
      </c>
      <c r="AL28" s="572">
        <f t="shared" si="113"/>
        <v>-0.41806483496753588</v>
      </c>
      <c r="AM28" s="577">
        <f t="shared" si="114"/>
        <v>-0.15593020507863856</v>
      </c>
      <c r="AN28" s="524">
        <f t="shared" si="115"/>
        <v>-69.545444504334753</v>
      </c>
      <c r="AO28" s="525">
        <f t="shared" si="116"/>
        <v>26.499996173873903</v>
      </c>
      <c r="AP28" s="528">
        <f t="shared" si="117"/>
        <v>-25.039431919307951</v>
      </c>
      <c r="AQ28" s="529">
        <f t="shared" si="21"/>
        <v>0.5143865940795036</v>
      </c>
      <c r="AS28" s="932">
        <f t="shared" si="143"/>
        <v>-62.370042972449028</v>
      </c>
      <c r="AT28" s="928">
        <f t="shared" si="22"/>
        <v>-2.0053242046214383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0.33986680407179559</v>
      </c>
      <c r="BA28" s="296">
        <f t="shared" si="24"/>
        <v>5.1979884988393177E-2</v>
      </c>
      <c r="BB28" s="190">
        <f t="shared" si="145"/>
        <v>0.23632420462143844</v>
      </c>
      <c r="BC28" s="9"/>
      <c r="BD28" s="5">
        <f t="shared" si="146"/>
        <v>4.7446999999999999</v>
      </c>
      <c r="BE28" s="6">
        <f t="shared" si="25"/>
        <v>-1.8123819742763965</v>
      </c>
      <c r="BF28" s="4">
        <f t="shared" si="26"/>
        <v>3.9299959796113471</v>
      </c>
      <c r="BG28" s="5">
        <f t="shared" si="27"/>
        <v>2.0484387504607753</v>
      </c>
      <c r="BH28" s="10">
        <f t="shared" si="28"/>
        <v>-2.0487061788978349</v>
      </c>
      <c r="BI28" s="9">
        <f t="shared" si="147"/>
        <v>3.9299959796113471</v>
      </c>
      <c r="BJ28" s="5">
        <f t="shared" si="29"/>
        <v>2.2045127936174889</v>
      </c>
      <c r="BK28" s="8">
        <f t="shared" si="30"/>
        <v>-3.0364515373038952</v>
      </c>
      <c r="BL28" s="173">
        <f t="shared" si="31"/>
        <v>4.9290743780742456</v>
      </c>
      <c r="BM28" s="5">
        <f t="shared" si="32"/>
        <v>2.0908353969483513</v>
      </c>
      <c r="BN28" s="6">
        <f t="shared" si="33"/>
        <v>-2.0420070676569786</v>
      </c>
      <c r="BO28" s="4">
        <f t="shared" si="148"/>
        <v>4.2922648157002641E-2</v>
      </c>
      <c r="BP28" s="5">
        <f t="shared" si="239"/>
        <v>-0.98683505076548705</v>
      </c>
      <c r="BQ28" s="5">
        <f t="shared" si="149"/>
        <v>-0.15593020507863908</v>
      </c>
      <c r="BR28" s="6">
        <f t="shared" si="150"/>
        <v>1.5333301489882416</v>
      </c>
      <c r="BS28" s="4">
        <f t="shared" si="118"/>
        <v>0</v>
      </c>
      <c r="BT28" s="5">
        <f t="shared" si="118"/>
        <v>0</v>
      </c>
      <c r="BU28" s="10">
        <f t="shared" si="119"/>
        <v>-1.8123819742763965</v>
      </c>
      <c r="BV28" s="9">
        <f t="shared" si="120"/>
        <v>0</v>
      </c>
      <c r="BW28" s="5">
        <f t="shared" si="121"/>
        <v>1</v>
      </c>
      <c r="BX28" s="8">
        <f t="shared" si="122"/>
        <v>-1.8123819742763965</v>
      </c>
      <c r="BY28" s="173">
        <f t="shared" si="123"/>
        <v>1</v>
      </c>
      <c r="BZ28" s="5">
        <f t="shared" si="124"/>
        <v>0</v>
      </c>
      <c r="CA28" s="6">
        <f t="shared" si="125"/>
        <v>-1.8123819742763965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-1.8123819742763965</v>
      </c>
      <c r="CF28" s="4">
        <f t="shared" si="155"/>
        <v>0.98683505076548705</v>
      </c>
      <c r="CG28" s="5">
        <f t="shared" si="156"/>
        <v>4.2922648157002641E-2</v>
      </c>
      <c r="CH28" s="5">
        <f t="shared" si="157"/>
        <v>0</v>
      </c>
      <c r="CI28" s="4">
        <f t="shared" si="126"/>
        <v>0</v>
      </c>
      <c r="CJ28" s="5">
        <f t="shared" si="127"/>
        <v>1.8401608663062479</v>
      </c>
      <c r="CK28" s="8">
        <f t="shared" si="128"/>
        <v>-1.8123819742763965</v>
      </c>
      <c r="CL28" s="173">
        <f t="shared" si="129"/>
        <v>0.98683505076548705</v>
      </c>
      <c r="CM28" s="5">
        <f t="shared" si="130"/>
        <v>1.8830835144632505</v>
      </c>
      <c r="CN28" s="6">
        <f t="shared" si="131"/>
        <v>-1.8123819742763965</v>
      </c>
      <c r="CO28" s="167">
        <f t="shared" si="35"/>
        <v>0.3125</v>
      </c>
      <c r="CP28" s="4">
        <f t="shared" si="240"/>
        <v>0.97568577114413135</v>
      </c>
      <c r="CQ28" s="5">
        <f t="shared" si="241"/>
        <v>-7.7743952407767472</v>
      </c>
      <c r="CR28" s="5">
        <f t="shared" si="158"/>
        <v>15.446440956479194</v>
      </c>
      <c r="CS28" s="8">
        <f t="shared" si="159"/>
        <v>0.15773073559335415</v>
      </c>
      <c r="CT28" s="9">
        <f t="shared" si="160"/>
        <v>4.1875923438892491</v>
      </c>
      <c r="CU28" s="6">
        <f t="shared" si="161"/>
        <v>3.7805419373559865</v>
      </c>
      <c r="CV28" s="4">
        <f t="shared" si="242"/>
        <v>4.1324629032671121</v>
      </c>
      <c r="CW28" s="5">
        <f t="shared" si="162"/>
        <v>2.0199034191079641</v>
      </c>
      <c r="CX28" s="8">
        <f t="shared" si="163"/>
        <v>-1.8123819742763965</v>
      </c>
      <c r="CY28" s="9">
        <f t="shared" si="164"/>
        <v>3.7307712946717477</v>
      </c>
      <c r="CZ28" s="5">
        <f t="shared" si="165"/>
        <v>2.0024317377261722</v>
      </c>
      <c r="DA28" s="6">
        <f t="shared" si="166"/>
        <v>-1.8123819742763965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4.1324629032671121</v>
      </c>
      <c r="DM28" s="173">
        <f t="shared" si="176"/>
        <v>2.0199034191079641</v>
      </c>
      <c r="DN28" s="178">
        <f t="shared" si="177"/>
        <v>8.1876180257236033</v>
      </c>
      <c r="DO28" s="9">
        <f t="shared" si="178"/>
        <v>-0.40169160859536435</v>
      </c>
      <c r="DP28" s="173">
        <f t="shared" si="179"/>
        <v>-1.7471681381791893E-2</v>
      </c>
      <c r="DQ28" s="11">
        <f t="shared" si="180"/>
        <v>0</v>
      </c>
      <c r="DR28" s="173">
        <f t="shared" si="181"/>
        <v>163.75236051447206</v>
      </c>
      <c r="DS28" s="5">
        <f t="shared" si="182"/>
        <v>0</v>
      </c>
      <c r="DT28" s="5">
        <f t="shared" si="183"/>
        <v>400</v>
      </c>
      <c r="DU28" s="5">
        <f t="shared" si="184"/>
        <v>0.16166140806623824</v>
      </c>
      <c r="DV28" s="5">
        <f t="shared" si="185"/>
        <v>-1.6952667800346823</v>
      </c>
      <c r="DW28" s="5">
        <f t="shared" si="186"/>
        <v>88.194348404556962</v>
      </c>
      <c r="DX28" s="167">
        <f t="shared" si="187"/>
        <v>65.68217031455697</v>
      </c>
      <c r="DY28" s="9">
        <f t="shared" si="188"/>
        <v>64.664563226495304</v>
      </c>
      <c r="DZ28" s="5">
        <f t="shared" si="189"/>
        <v>-678.10671201387299</v>
      </c>
      <c r="EA28" s="10">
        <f t="shared" si="190"/>
        <v>-541.96744823884001</v>
      </c>
      <c r="EB28" s="6">
        <f t="shared" si="191"/>
        <v>494874.8012016085</v>
      </c>
      <c r="EC28" s="173">
        <f t="shared" si="192"/>
        <v>21.365335610631302</v>
      </c>
      <c r="ED28" s="5">
        <f t="shared" si="193"/>
        <v>-0.39228087464789541</v>
      </c>
      <c r="EE28" s="4">
        <f t="shared" si="194"/>
        <v>-4.4498131263471974</v>
      </c>
      <c r="EF28" s="5">
        <f t="shared" si="195"/>
        <v>1.6466150827039618</v>
      </c>
      <c r="EG28" s="10">
        <f t="shared" si="196"/>
        <v>-1.8123819742763965</v>
      </c>
      <c r="EH28" s="9">
        <f t="shared" si="197"/>
        <v>4.2900388388256214</v>
      </c>
      <c r="EI28" s="5">
        <f t="shared" si="198"/>
        <v>2.0267572255619828</v>
      </c>
      <c r="EJ28" s="6">
        <f t="shared" si="199"/>
        <v>-1.8123819742763965</v>
      </c>
      <c r="EK28" s="236" t="b">
        <f t="shared" si="200"/>
        <v>0</v>
      </c>
      <c r="EL28" s="238" t="b">
        <f t="shared" si="201"/>
        <v>0</v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e">
        <f t="shared" si="205"/>
        <v>#VALUE!</v>
      </c>
      <c r="EQ28" s="5" t="e">
        <f t="shared" si="206"/>
        <v>#VALUE!</v>
      </c>
      <c r="ER28" s="7" t="str">
        <f t="shared" si="207"/>
        <v/>
      </c>
      <c r="ES28" s="21">
        <f t="shared" si="132"/>
        <v>4.2922648157002537E-2</v>
      </c>
      <c r="ET28" s="5">
        <f t="shared" si="44"/>
        <v>-0.9868350507654885</v>
      </c>
      <c r="EU28" s="10">
        <f t="shared" si="45"/>
        <v>-0.15593020507863856</v>
      </c>
      <c r="EV28" s="174" t="e">
        <f t="shared" si="254"/>
        <v>#VALUE!</v>
      </c>
      <c r="EW28" s="9" t="e">
        <f t="shared" si="133"/>
        <v>#VALUE!</v>
      </c>
      <c r="EX28" s="5" t="e">
        <f t="shared" si="47"/>
        <v>#VALUE!</v>
      </c>
      <c r="EY28" s="6">
        <f t="shared" si="208"/>
        <v>-0.15593020507863856</v>
      </c>
      <c r="EZ28" s="51" t="e">
        <f t="shared" si="209"/>
        <v>#VALUE!</v>
      </c>
      <c r="FA28" s="266" t="e">
        <f t="shared" si="134"/>
        <v>#VALUE!</v>
      </c>
      <c r="FB28" s="267" t="e">
        <f t="shared" si="135"/>
        <v>#VALUE!</v>
      </c>
      <c r="FC28" s="269" t="e">
        <f t="shared" si="48"/>
        <v>#VALUE!</v>
      </c>
      <c r="FD28" s="4" t="e">
        <f t="shared" si="136"/>
        <v>#VALUE!</v>
      </c>
      <c r="FE28" s="5" t="e">
        <f t="shared" si="49"/>
        <v>#VALUE!</v>
      </c>
      <c r="FF28" s="7" t="e">
        <f t="shared" si="210"/>
        <v>#VALUE!</v>
      </c>
      <c r="FG28" s="173" t="e">
        <f t="shared" si="211"/>
        <v>#VALUE!</v>
      </c>
      <c r="FH28" s="5" t="e">
        <f t="shared" si="50"/>
        <v>#VALUE!</v>
      </c>
      <c r="FI28" s="10" t="e">
        <f t="shared" si="51"/>
        <v>#VALUE!</v>
      </c>
      <c r="FJ28" s="279" t="e">
        <f t="shared" si="212"/>
        <v>#VALUE!</v>
      </c>
      <c r="FK28" s="4">
        <f t="shared" si="52"/>
        <v>0.98776807558461521</v>
      </c>
      <c r="FL28" s="5" t="e">
        <f t="shared" si="213"/>
        <v>#VALUE!</v>
      </c>
      <c r="FM28" s="8" t="e">
        <f t="shared" si="214"/>
        <v>#VALUE!</v>
      </c>
      <c r="FN28" s="9" t="e">
        <f t="shared" si="215"/>
        <v>#VALUE!</v>
      </c>
      <c r="FO28" s="10" t="e">
        <f t="shared" si="53"/>
        <v>#VALUE!</v>
      </c>
      <c r="FP28" s="277" t="e">
        <f t="shared" si="54"/>
        <v>#VALUE!</v>
      </c>
      <c r="FQ28" s="173" t="e">
        <f t="shared" si="243"/>
        <v>#VALUE!</v>
      </c>
      <c r="FR28" s="10" t="e">
        <f t="shared" si="216"/>
        <v>#VALUE!</v>
      </c>
      <c r="FS28" s="9" t="e">
        <f t="shared" si="217"/>
        <v>#VALUE!</v>
      </c>
      <c r="FT28" s="6" t="e">
        <f t="shared" si="218"/>
        <v>#VALUE!</v>
      </c>
      <c r="FU28" s="4" t="e">
        <f t="shared" si="219"/>
        <v>#VALUE!</v>
      </c>
      <c r="FV28" s="5" t="e">
        <f t="shared" si="220"/>
        <v>#VALUE!</v>
      </c>
      <c r="FW28" s="8" t="e">
        <f t="shared" si="244"/>
        <v>#VALUE!</v>
      </c>
      <c r="FX28" s="9" t="e">
        <f t="shared" si="245"/>
        <v>#VALUE!</v>
      </c>
      <c r="FY28" s="10" t="e">
        <f t="shared" si="55"/>
        <v>#VALUE!</v>
      </c>
      <c r="FZ28" s="277" t="e">
        <f t="shared" si="246"/>
        <v>#VALUE!</v>
      </c>
      <c r="GA28" s="177" t="e">
        <f t="shared" si="221"/>
        <v>#VALUE!</v>
      </c>
      <c r="GB28" s="4" t="e">
        <f t="shared" si="222"/>
        <v>#VALUE!</v>
      </c>
      <c r="GC28" s="5" t="e">
        <f t="shared" si="223"/>
        <v>#VALUE!</v>
      </c>
      <c r="GD28" s="10" t="e">
        <f t="shared" si="224"/>
        <v>#VALUE!</v>
      </c>
      <c r="GE28" s="311" t="e">
        <f t="shared" si="225"/>
        <v>#VALUE!</v>
      </c>
      <c r="GF28" s="341" t="e">
        <f t="shared" si="247"/>
        <v>#VALUE!</v>
      </c>
      <c r="GG28" s="285" t="e">
        <f t="shared" si="56"/>
        <v>#VALUE!</v>
      </c>
      <c r="GH28" s="286" t="e">
        <f t="shared" si="57"/>
        <v>#VALUE!</v>
      </c>
      <c r="GI28" s="281" t="e">
        <f t="shared" si="58"/>
        <v>#VALUE!</v>
      </c>
      <c r="GJ28" s="167">
        <f t="shared" si="226"/>
        <v>4.7446999999999999</v>
      </c>
      <c r="GK28" s="174">
        <f t="shared" si="59"/>
        <v>2.4844064625131259</v>
      </c>
      <c r="GL28" s="174">
        <f t="shared" si="227"/>
        <v>1.14E-2</v>
      </c>
      <c r="GM28" s="177">
        <f t="shared" si="248"/>
        <v>0.33986680407179559</v>
      </c>
      <c r="GN28" s="280">
        <f t="shared" si="228"/>
        <v>5.1979884988393177E-2</v>
      </c>
      <c r="GO28" s="4" t="e">
        <f t="shared" si="229"/>
        <v>#VALUE!</v>
      </c>
      <c r="GP28" s="8" t="e">
        <f t="shared" si="249"/>
        <v>#VALUE!</v>
      </c>
      <c r="GQ28" s="177" t="e">
        <f t="shared" si="230"/>
        <v>#VALUE!</v>
      </c>
      <c r="GR28" s="371" t="e">
        <f t="shared" si="250"/>
        <v>#VALUE!</v>
      </c>
      <c r="GS28" s="342" t="e">
        <f t="shared" si="61"/>
        <v>#VALUE!</v>
      </c>
      <c r="GT28" s="343" t="e">
        <f t="shared" si="62"/>
        <v>#VALUE!</v>
      </c>
      <c r="GU28" s="344">
        <f t="shared" si="63"/>
        <v>835.5058933431643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 t="e">
        <f t="shared" si="66"/>
        <v>#VALUE!</v>
      </c>
      <c r="GZ28" s="345" t="e">
        <f t="shared" si="67"/>
        <v>#VALUE!</v>
      </c>
      <c r="HA28" s="342" t="e">
        <f t="shared" si="68"/>
        <v>#VALUE!</v>
      </c>
      <c r="HB28" s="5" t="e">
        <f t="shared" si="231"/>
        <v>#VALUE!</v>
      </c>
      <c r="HC28" s="343" t="e">
        <f t="shared" si="232"/>
        <v>#VALUE!</v>
      </c>
      <c r="HD28" s="363" t="e">
        <f t="shared" si="233"/>
        <v>#VALUE!</v>
      </c>
      <c r="HE28" s="344" t="e">
        <f t="shared" si="69"/>
        <v>#VALUE!</v>
      </c>
      <c r="HF28" s="5" t="e">
        <f t="shared" si="70"/>
        <v>#VALUE!</v>
      </c>
      <c r="HG28" s="343" t="e">
        <f t="shared" si="234"/>
        <v>#VALUE!</v>
      </c>
      <c r="HH28" s="349" t="e">
        <f t="shared" si="235"/>
        <v>#VALUE!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4.0571530607393322</v>
      </c>
      <c r="C29" s="572">
        <f t="shared" si="3"/>
        <v>2.0958428083063687</v>
      </c>
      <c r="D29" s="576">
        <f t="shared" si="4"/>
        <v>-2.8482085901971086</v>
      </c>
      <c r="E29" s="580">
        <f t="shared" si="5"/>
        <v>4.5068009961446887E-2</v>
      </c>
      <c r="F29" s="572">
        <f t="shared" si="6"/>
        <v>0.9980329828233635</v>
      </c>
      <c r="G29" s="579">
        <f t="shared" si="7"/>
        <v>4.3577972357774789E-2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4.0571530607393322</v>
      </c>
      <c r="O29" s="572">
        <f t="shared" si="14"/>
        <v>2.0958428083063687</v>
      </c>
      <c r="P29" s="576">
        <f t="shared" si="15"/>
        <v>-2.8482085901971086</v>
      </c>
      <c r="Q29" s="528">
        <f t="shared" si="140"/>
        <v>27.319957072309421</v>
      </c>
      <c r="R29" s="572">
        <f>IF(M29="","",SQRT(N29^2+O29^2))</f>
        <v>4.5665137726055374</v>
      </c>
      <c r="S29" s="577">
        <f>IF(M29="","",P29)</f>
        <v>-2.8482085901971086</v>
      </c>
      <c r="T29" s="578">
        <f>IF(M29="","",X29*COS(RADIANS(W29)))</f>
        <v>2.1029206794562794</v>
      </c>
      <c r="U29" s="572">
        <f>IF(M29="","",X29*SIN(RADIANS(W29)))</f>
        <v>-4.0534889479695382</v>
      </c>
      <c r="V29" s="579">
        <f>IF(M29="","",Y29)</f>
        <v>-2.8482085901971086</v>
      </c>
      <c r="W29" s="528">
        <f t="shared" si="253"/>
        <v>297.41995705787122</v>
      </c>
      <c r="X29" s="572">
        <f>IF(M29="","",R29)</f>
        <v>4.5665137726055374</v>
      </c>
      <c r="Y29" s="573">
        <f t="shared" si="255"/>
        <v>-2.8482085901971086</v>
      </c>
      <c r="Z29" s="575">
        <f t="shared" si="18"/>
        <v>-4.5068009961446887E-2</v>
      </c>
      <c r="AA29" s="572">
        <f t="shared" si="19"/>
        <v>-0.9980329828233635</v>
      </c>
      <c r="AB29" s="572">
        <f t="shared" si="20"/>
        <v>-4.3577972357774789E-2</v>
      </c>
      <c r="AC29" s="579">
        <f>IF(M29="","",SQRT(Z29^2+AA29^2+AB29^2))</f>
        <v>1</v>
      </c>
      <c r="AD29" s="580">
        <f>IF(M29="","",Z29*(1/SQRT(Z29^2+AA29^2+AB29^2)))</f>
        <v>-4.5068009961446887E-2</v>
      </c>
      <c r="AE29" s="572">
        <f>IF(M29="","",AA29*(1/SQRT(Z29^2+AA29^2+AB29^2)))</f>
        <v>-0.9980329828233635</v>
      </c>
      <c r="AF29" s="576">
        <f>IF(M29="","",AB29*(1/SQRT(Z29^2+AA29^2+AB29^2)))</f>
        <v>-4.3577972357774789E-2</v>
      </c>
      <c r="AG29" s="545">
        <f>IF(M29="","",DEGREES(ATAN2(-AF29,AE29)))</f>
        <v>-87.49983318555536</v>
      </c>
      <c r="AH29" s="546">
        <f>IF(M29="","",DEGREES(ACOS(AD29)))</f>
        <v>92.583081692782613</v>
      </c>
      <c r="AI29" s="528">
        <f>IF(M29="","",DEGREES(-ACOS(-AF29)))</f>
        <v>-87.502375163624507</v>
      </c>
      <c r="AJ29" s="529">
        <f>IF(M29="","",DEGREES(ATAN2(-AE29,AD29)))</f>
        <v>-2.5855395467428948</v>
      </c>
      <c r="AK29" s="578">
        <f>IF(M29="","",(COS(RADIANS((90-$Q$8)-W29))*AD29)+(-SIN(RADIANS((90-$Q$8)-W29))*AE29))</f>
        <v>0.86602544158358585</v>
      </c>
      <c r="AL29" s="572">
        <f>IF(M29="","",(SIN(RADIANS((90-$Q$8)-W29))*AD29)+(COS(RADIANS((90-$Q$8)-W29))*AE29))</f>
        <v>-0.49809727449077701</v>
      </c>
      <c r="AM29" s="577">
        <f>IF(M29="","",AF29)</f>
        <v>-4.3577972357774789E-2</v>
      </c>
      <c r="AN29" s="524">
        <f>IF(M29="","",DEGREES(ATAN2(-AM29,AL29)))</f>
        <v>-84.999987727520178</v>
      </c>
      <c r="AO29" s="525">
        <f t="shared" si="116"/>
        <v>29.99999566853651</v>
      </c>
      <c r="AP29" s="528">
        <f>IF(M29="","",DEGREES(ATAN2(AK29,AL29)))</f>
        <v>-29.905496619052304</v>
      </c>
      <c r="AQ29" s="529">
        <f t="shared" si="21"/>
        <v>0.49921429268422735</v>
      </c>
      <c r="AS29" s="932">
        <f t="shared" si="143"/>
        <v>-62.580042942128784</v>
      </c>
      <c r="AT29" s="928">
        <f t="shared" si="22"/>
        <v>-2.8046807826084348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5.5505472558756881E-2</v>
      </c>
      <c r="BA29" s="296">
        <f t="shared" si="24"/>
        <v>8.4891141037155109E-3</v>
      </c>
      <c r="BB29" s="190">
        <f t="shared" si="145"/>
        <v>0.20598078260843478</v>
      </c>
      <c r="BC29" s="9"/>
      <c r="BD29" s="5">
        <f t="shared" si="146"/>
        <v>4.9076000000000004</v>
      </c>
      <c r="BE29" s="6">
        <f t="shared" si="25"/>
        <v>-2.6422278075886738</v>
      </c>
      <c r="BF29" s="4">
        <f t="shared" si="26"/>
        <v>4.0571530607393322</v>
      </c>
      <c r="BG29" s="5">
        <f t="shared" si="27"/>
        <v>2.0958428083063687</v>
      </c>
      <c r="BH29" s="10">
        <f t="shared" si="28"/>
        <v>-2.8482085901971086</v>
      </c>
      <c r="BI29" s="9">
        <f t="shared" si="147"/>
        <v>4.0571530607393322</v>
      </c>
      <c r="BJ29" s="5">
        <f t="shared" si="29"/>
        <v>2.139465104361753</v>
      </c>
      <c r="BK29" s="8">
        <f t="shared" si="30"/>
        <v>-3.8472566847785741</v>
      </c>
      <c r="BL29" s="173">
        <f t="shared" si="31"/>
        <v>5.0561369817701536</v>
      </c>
      <c r="BM29" s="5">
        <f t="shared" si="32"/>
        <v>2.0508176988278066</v>
      </c>
      <c r="BN29" s="6">
        <f t="shared" si="33"/>
        <v>-2.8501745602702737</v>
      </c>
      <c r="BO29" s="4">
        <f t="shared" si="148"/>
        <v>-4.5068009961447053E-2</v>
      </c>
      <c r="BP29" s="5">
        <f t="shared" si="239"/>
        <v>-0.99803298282336206</v>
      </c>
      <c r="BQ29" s="5">
        <f t="shared" si="149"/>
        <v>-4.3577972357775163E-2</v>
      </c>
      <c r="BR29" s="6">
        <f t="shared" si="150"/>
        <v>2.1504489088466245</v>
      </c>
      <c r="BS29" s="4">
        <f t="shared" si="118"/>
        <v>0</v>
      </c>
      <c r="BT29" s="5">
        <f t="shared" si="118"/>
        <v>0</v>
      </c>
      <c r="BU29" s="10">
        <f t="shared" si="119"/>
        <v>-2.6422278075886738</v>
      </c>
      <c r="BV29" s="9">
        <f t="shared" si="120"/>
        <v>0</v>
      </c>
      <c r="BW29" s="5">
        <f t="shared" si="121"/>
        <v>1</v>
      </c>
      <c r="BX29" s="8">
        <f t="shared" si="122"/>
        <v>-2.6422278075886738</v>
      </c>
      <c r="BY29" s="173">
        <f t="shared" si="123"/>
        <v>1</v>
      </c>
      <c r="BZ29" s="5">
        <f t="shared" si="124"/>
        <v>0</v>
      </c>
      <c r="CA29" s="6">
        <f t="shared" si="125"/>
        <v>-2.6422278075886738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-2.6422278075886738</v>
      </c>
      <c r="CF29" s="4">
        <f t="shared" si="155"/>
        <v>0.99803298282336206</v>
      </c>
      <c r="CG29" s="5">
        <f t="shared" si="156"/>
        <v>-4.5068009961447053E-2</v>
      </c>
      <c r="CH29" s="5">
        <f t="shared" si="157"/>
        <v>0</v>
      </c>
      <c r="CI29" s="4">
        <f t="shared" si="126"/>
        <v>0</v>
      </c>
      <c r="CJ29" s="5">
        <f t="shared" si="127"/>
        <v>2.2700570804779172</v>
      </c>
      <c r="CK29" s="8">
        <f t="shared" si="128"/>
        <v>-2.6422278075886738</v>
      </c>
      <c r="CL29" s="173">
        <f t="shared" si="129"/>
        <v>0.99803298282336206</v>
      </c>
      <c r="CM29" s="5">
        <f t="shared" si="130"/>
        <v>2.2249890705164703</v>
      </c>
      <c r="CN29" s="6">
        <f t="shared" si="131"/>
        <v>-2.6422278075886738</v>
      </c>
      <c r="CO29" s="167">
        <f t="shared" si="35"/>
        <v>0.3125</v>
      </c>
      <c r="CP29" s="4">
        <f t="shared" si="240"/>
        <v>0.99810096032518247</v>
      </c>
      <c r="CQ29" s="5">
        <f t="shared" si="241"/>
        <v>-8.1140481230685246</v>
      </c>
      <c r="CR29" s="5">
        <f t="shared" si="158"/>
        <v>16.435613403698778</v>
      </c>
      <c r="CS29" s="8">
        <f t="shared" si="159"/>
        <v>0.22017085641108736</v>
      </c>
      <c r="CT29" s="9">
        <f t="shared" si="160"/>
        <v>4.2998013920616813</v>
      </c>
      <c r="CU29" s="6">
        <f t="shared" si="161"/>
        <v>3.8296849481027029</v>
      </c>
      <c r="CV29" s="4">
        <f t="shared" si="242"/>
        <v>4.291343608867364</v>
      </c>
      <c r="CW29" s="5">
        <f t="shared" si="162"/>
        <v>2.0762735885082382</v>
      </c>
      <c r="CX29" s="8">
        <f t="shared" si="163"/>
        <v>-2.6422278075886738</v>
      </c>
      <c r="CY29" s="9">
        <f t="shared" si="164"/>
        <v>3.822151892028673</v>
      </c>
      <c r="CZ29" s="5">
        <f t="shared" si="165"/>
        <v>2.0974608010876215</v>
      </c>
      <c r="DA29" s="6">
        <f t="shared" si="166"/>
        <v>-2.6422278075886738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4.291343608867364</v>
      </c>
      <c r="DM29" s="173">
        <f t="shared" si="176"/>
        <v>2.0762735885082382</v>
      </c>
      <c r="DN29" s="178">
        <f t="shared" si="177"/>
        <v>7.3577721924113266</v>
      </c>
      <c r="DO29" s="9">
        <f t="shared" si="178"/>
        <v>-0.46919171683869099</v>
      </c>
      <c r="DP29" s="173">
        <f t="shared" si="179"/>
        <v>2.1187212579383274E-2</v>
      </c>
      <c r="DQ29" s="11">
        <f t="shared" si="180"/>
        <v>0</v>
      </c>
      <c r="DR29" s="173">
        <f t="shared" si="181"/>
        <v>147.15544384822653</v>
      </c>
      <c r="DS29" s="5">
        <f t="shared" si="182"/>
        <v>0</v>
      </c>
      <c r="DT29" s="5">
        <f t="shared" si="183"/>
        <v>400</v>
      </c>
      <c r="DU29" s="5">
        <f t="shared" si="184"/>
        <v>0.22058976512692235</v>
      </c>
      <c r="DV29" s="5">
        <f t="shared" si="185"/>
        <v>-1.9694724254965394</v>
      </c>
      <c r="DW29" s="5">
        <f t="shared" si="186"/>
        <v>76.863353619125036</v>
      </c>
      <c r="DX29" s="167">
        <f t="shared" si="187"/>
        <v>52.778815859125032</v>
      </c>
      <c r="DY29" s="9">
        <f t="shared" si="188"/>
        <v>88.235906050768946</v>
      </c>
      <c r="DZ29" s="5">
        <f t="shared" si="189"/>
        <v>-787.78897019861574</v>
      </c>
      <c r="EA29" s="10">
        <f t="shared" si="190"/>
        <v>-543.19831051853544</v>
      </c>
      <c r="EB29" s="6">
        <f t="shared" si="191"/>
        <v>668541.05666044541</v>
      </c>
      <c r="EC29" s="173">
        <f t="shared" si="192"/>
        <v>18.194776277347138</v>
      </c>
      <c r="ED29" s="5">
        <f t="shared" si="193"/>
        <v>-0.33835012481599502</v>
      </c>
      <c r="EE29" s="4">
        <f t="shared" si="194"/>
        <v>-4.2454947101970264</v>
      </c>
      <c r="EF29" s="5">
        <f t="shared" si="195"/>
        <v>2.4617701813307118</v>
      </c>
      <c r="EG29" s="10">
        <f t="shared" si="196"/>
        <v>-2.6422278075886738</v>
      </c>
      <c r="EH29" s="9">
        <f t="shared" si="197"/>
        <v>4.4500946848223659</v>
      </c>
      <c r="EI29" s="5">
        <f t="shared" si="198"/>
        <v>2.0691048924875006</v>
      </c>
      <c r="EJ29" s="6">
        <f t="shared" si="199"/>
        <v>-2.6422278075886738</v>
      </c>
      <c r="EK29" s="236" t="b">
        <f t="shared" si="200"/>
        <v>0</v>
      </c>
      <c r="EL29" s="238" t="b">
        <f t="shared" si="201"/>
        <v>0</v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e">
        <f t="shared" si="205"/>
        <v>#VALUE!</v>
      </c>
      <c r="EQ29" s="5" t="e">
        <f t="shared" si="206"/>
        <v>#VALUE!</v>
      </c>
      <c r="ER29" s="7" t="str">
        <f t="shared" si="207"/>
        <v/>
      </c>
      <c r="ES29" s="21">
        <f t="shared" si="132"/>
        <v>-4.5068009961446887E-2</v>
      </c>
      <c r="ET29" s="5">
        <f t="shared" si="44"/>
        <v>-0.9980329828233635</v>
      </c>
      <c r="EU29" s="10">
        <f t="shared" si="45"/>
        <v>-4.3577972357774789E-2</v>
      </c>
      <c r="EV29" s="174" t="e">
        <f t="shared" si="254"/>
        <v>#VALUE!</v>
      </c>
      <c r="EW29" s="9" t="e">
        <f t="shared" si="133"/>
        <v>#VALUE!</v>
      </c>
      <c r="EX29" s="5" t="e">
        <f t="shared" si="47"/>
        <v>#VALUE!</v>
      </c>
      <c r="EY29" s="6">
        <f t="shared" si="208"/>
        <v>-4.3577972357774789E-2</v>
      </c>
      <c r="EZ29" s="51" t="e">
        <f t="shared" si="209"/>
        <v>#VALUE!</v>
      </c>
      <c r="FA29" s="266" t="e">
        <f t="shared" si="134"/>
        <v>#VALUE!</v>
      </c>
      <c r="FB29" s="267" t="e">
        <f t="shared" si="135"/>
        <v>#VALUE!</v>
      </c>
      <c r="FC29" s="269" t="e">
        <f t="shared" si="48"/>
        <v>#VALUE!</v>
      </c>
      <c r="FD29" s="4" t="e">
        <f t="shared" si="136"/>
        <v>#VALUE!</v>
      </c>
      <c r="FE29" s="5" t="e">
        <f t="shared" si="49"/>
        <v>#VALUE!</v>
      </c>
      <c r="FF29" s="7" t="e">
        <f t="shared" si="210"/>
        <v>#VALUE!</v>
      </c>
      <c r="FG29" s="173" t="e">
        <f t="shared" si="211"/>
        <v>#VALUE!</v>
      </c>
      <c r="FH29" s="5" t="e">
        <f t="shared" si="50"/>
        <v>#VALUE!</v>
      </c>
      <c r="FI29" s="10" t="e">
        <f t="shared" si="51"/>
        <v>#VALUE!</v>
      </c>
      <c r="FJ29" s="279" t="e">
        <f t="shared" si="212"/>
        <v>#VALUE!</v>
      </c>
      <c r="FK29" s="4">
        <f t="shared" si="52"/>
        <v>0.99905002894008532</v>
      </c>
      <c r="FL29" s="5" t="e">
        <f t="shared" si="213"/>
        <v>#VALUE!</v>
      </c>
      <c r="FM29" s="8" t="e">
        <f t="shared" si="214"/>
        <v>#VALUE!</v>
      </c>
      <c r="FN29" s="9" t="e">
        <f t="shared" si="215"/>
        <v>#VALUE!</v>
      </c>
      <c r="FO29" s="10" t="e">
        <f t="shared" si="53"/>
        <v>#VALUE!</v>
      </c>
      <c r="FP29" s="277" t="e">
        <f t="shared" si="54"/>
        <v>#VALUE!</v>
      </c>
      <c r="FQ29" s="173" t="e">
        <f t="shared" si="243"/>
        <v>#VALUE!</v>
      </c>
      <c r="FR29" s="10" t="e">
        <f t="shared" si="216"/>
        <v>#VALUE!</v>
      </c>
      <c r="FS29" s="9" t="e">
        <f t="shared" si="217"/>
        <v>#VALUE!</v>
      </c>
      <c r="FT29" s="6" t="e">
        <f t="shared" si="218"/>
        <v>#VALUE!</v>
      </c>
      <c r="FU29" s="4" t="e">
        <f t="shared" si="219"/>
        <v>#VALUE!</v>
      </c>
      <c r="FV29" s="5" t="e">
        <f t="shared" si="220"/>
        <v>#VALUE!</v>
      </c>
      <c r="FW29" s="8" t="e">
        <f t="shared" si="244"/>
        <v>#VALUE!</v>
      </c>
      <c r="FX29" s="9" t="e">
        <f t="shared" si="245"/>
        <v>#VALUE!</v>
      </c>
      <c r="FY29" s="10" t="e">
        <f t="shared" si="55"/>
        <v>#VALUE!</v>
      </c>
      <c r="FZ29" s="277" t="e">
        <f t="shared" si="246"/>
        <v>#VALUE!</v>
      </c>
      <c r="GA29" s="177" t="e">
        <f t="shared" si="221"/>
        <v>#VALUE!</v>
      </c>
      <c r="GB29" s="4" t="e">
        <f t="shared" si="222"/>
        <v>#VALUE!</v>
      </c>
      <c r="GC29" s="5" t="e">
        <f t="shared" si="223"/>
        <v>#VALUE!</v>
      </c>
      <c r="GD29" s="10" t="e">
        <f t="shared" si="224"/>
        <v>#VALUE!</v>
      </c>
      <c r="GE29" s="311" t="e">
        <f t="shared" si="225"/>
        <v>#VALUE!</v>
      </c>
      <c r="GF29" s="341" t="e">
        <f t="shared" si="247"/>
        <v>#VALUE!</v>
      </c>
      <c r="GG29" s="285" t="e">
        <f t="shared" si="56"/>
        <v>#VALUE!</v>
      </c>
      <c r="GH29" s="286" t="e">
        <f t="shared" si="57"/>
        <v>#VALUE!</v>
      </c>
      <c r="GI29" s="281" t="e">
        <f t="shared" si="58"/>
        <v>#VALUE!</v>
      </c>
      <c r="GJ29" s="167">
        <f t="shared" si="226"/>
        <v>4.9076000000000004</v>
      </c>
      <c r="GK29" s="174">
        <f t="shared" si="59"/>
        <v>2.569697803646152</v>
      </c>
      <c r="GL29" s="174">
        <f t="shared" si="227"/>
        <v>1.8E-3</v>
      </c>
      <c r="GM29" s="177">
        <f t="shared" si="248"/>
        <v>5.5505472558756881E-2</v>
      </c>
      <c r="GN29" s="280">
        <f t="shared" si="228"/>
        <v>8.4891141037155109E-3</v>
      </c>
      <c r="GO29" s="4" t="e">
        <f t="shared" si="229"/>
        <v>#VALUE!</v>
      </c>
      <c r="GP29" s="8" t="e">
        <f t="shared" si="249"/>
        <v>#VALUE!</v>
      </c>
      <c r="GQ29" s="177" t="e">
        <f t="shared" si="230"/>
        <v>#VALUE!</v>
      </c>
      <c r="GR29" s="371" t="e">
        <f t="shared" si="250"/>
        <v>#VALUE!</v>
      </c>
      <c r="GS29" s="342" t="e">
        <f t="shared" si="61"/>
        <v>#VALUE!</v>
      </c>
      <c r="GT29" s="343" t="e">
        <f t="shared" si="62"/>
        <v>#VALUE!</v>
      </c>
      <c r="GU29" s="344">
        <f t="shared" si="63"/>
        <v>136.45095337361067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 t="e">
        <f t="shared" si="66"/>
        <v>#VALUE!</v>
      </c>
      <c r="GZ29" s="345" t="e">
        <f t="shared" si="67"/>
        <v>#VALUE!</v>
      </c>
      <c r="HA29" s="342" t="e">
        <f t="shared" si="68"/>
        <v>#VALUE!</v>
      </c>
      <c r="HB29" s="5" t="e">
        <f t="shared" si="231"/>
        <v>#VALUE!</v>
      </c>
      <c r="HC29" s="343" t="e">
        <f t="shared" si="232"/>
        <v>#VALUE!</v>
      </c>
      <c r="HD29" s="363" t="e">
        <f t="shared" si="233"/>
        <v>#VALUE!</v>
      </c>
      <c r="HE29" s="344" t="e">
        <f t="shared" si="69"/>
        <v>#VALUE!</v>
      </c>
      <c r="HF29" s="5" t="e">
        <f t="shared" si="70"/>
        <v>#VALUE!</v>
      </c>
      <c r="HG29" s="343" t="e">
        <f t="shared" si="234"/>
        <v>#VALUE!</v>
      </c>
      <c r="HH29" s="349" t="e">
        <f t="shared" si="235"/>
        <v>#VALUE!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</v>
      </c>
      <c r="B30" s="578">
        <f t="shared" si="2"/>
        <v>2.9888015638059051</v>
      </c>
      <c r="C30" s="572">
        <f t="shared" si="3"/>
        <v>0.72481278680744388</v>
      </c>
      <c r="D30" s="576">
        <f t="shared" si="4"/>
        <v>-0.33148520540360066</v>
      </c>
      <c r="E30" s="580">
        <f t="shared" si="5"/>
        <v>-8.2926883455973224E-2</v>
      </c>
      <c r="F30" s="572">
        <f t="shared" si="6"/>
        <v>0.94053004823359132</v>
      </c>
      <c r="G30" s="579">
        <f t="shared" si="7"/>
        <v>0.32943339291880858</v>
      </c>
      <c r="H30" s="580">
        <f t="shared" si="8"/>
        <v>0.26450000000000001</v>
      </c>
      <c r="I30" s="572">
        <f t="shared" si="9"/>
        <v>0.39400000000000002</v>
      </c>
      <c r="J30" s="483">
        <f t="shared" si="10"/>
        <v>2.2160000000000002</v>
      </c>
      <c r="K30" s="806">
        <f t="shared" si="11"/>
        <v>1310</v>
      </c>
      <c r="L30" s="82"/>
      <c r="M30" s="164">
        <f t="shared" si="12"/>
        <v>2.2160000000000002</v>
      </c>
      <c r="N30" s="575">
        <f t="shared" si="13"/>
        <v>2.9888015638059051</v>
      </c>
      <c r="O30" s="572">
        <f t="shared" si="14"/>
        <v>0.72481278680744388</v>
      </c>
      <c r="P30" s="576">
        <f t="shared" si="15"/>
        <v>-0.33148520540360066</v>
      </c>
      <c r="Q30" s="528">
        <f t="shared" si="140"/>
        <v>13.631608774084313</v>
      </c>
      <c r="R30" s="572">
        <f>IF(M30="","",SQRT(N30^2+O30^2))</f>
        <v>3.0754330367816816</v>
      </c>
      <c r="S30" s="577">
        <f>IF(M30="","",P30)</f>
        <v>-0.33148520540360066</v>
      </c>
      <c r="T30" s="578">
        <f>IF(M30="","",X30*COS(RADIANS(W30)))</f>
        <v>0.73002812225123093</v>
      </c>
      <c r="U30" s="572">
        <f>IF(M30="","",X30*SIN(RADIANS(W30)))</f>
        <v>-2.9875319754691394</v>
      </c>
      <c r="V30" s="579">
        <f>IF(M30="","",Y30)</f>
        <v>-0.33148520540360066</v>
      </c>
      <c r="W30" s="528">
        <f t="shared" si="253"/>
        <v>283.73160875964612</v>
      </c>
      <c r="X30" s="572">
        <f>IF(M30="","",R30)</f>
        <v>3.0754330367816816</v>
      </c>
      <c r="Y30" s="573">
        <f t="shared" si="255"/>
        <v>-0.33148520540360066</v>
      </c>
      <c r="Z30" s="575">
        <f t="shared" si="18"/>
        <v>8.2926883455973224E-2</v>
      </c>
      <c r="AA30" s="572">
        <f t="shared" si="19"/>
        <v>-0.94053004823359132</v>
      </c>
      <c r="AB30" s="572">
        <f t="shared" si="20"/>
        <v>-0.32943339291880858</v>
      </c>
      <c r="AC30" s="579">
        <f>IF(M30="","",SQRT(Z30^2+AA30^2+AB30^2))</f>
        <v>1</v>
      </c>
      <c r="AD30" s="580">
        <f>IF(M30="","",Z30*(1/SQRT(Z30^2+AA30^2+AB30^2)))</f>
        <v>8.2926883455973224E-2</v>
      </c>
      <c r="AE30" s="572">
        <f>IF(M30="","",AA30*(1/SQRT(Z30^2+AA30^2+AB30^2)))</f>
        <v>-0.94053004823359132</v>
      </c>
      <c r="AF30" s="576">
        <f>IF(M30="","",AB30*(1/SQRT(Z30^2+AA30^2+AB30^2)))</f>
        <v>-0.32943339291880858</v>
      </c>
      <c r="AG30" s="545">
        <f>IF(M30="","",DEGREES(ATAN2(-AF30,AE30)))</f>
        <v>-70.696502536618084</v>
      </c>
      <c r="AH30" s="546">
        <f>IF(M30="","",DEGREES(ACOS(AD30)))</f>
        <v>85.243176901720062</v>
      </c>
      <c r="AI30" s="528">
        <f>IF(M30="","",DEGREES(-ACOS(-AF30)))</f>
        <v>-70.765611634315817</v>
      </c>
      <c r="AJ30" s="529">
        <f>IF(M30="","",DEGREES(ATAN2(-AE30,AD30)))</f>
        <v>5.0387599744415033</v>
      </c>
      <c r="AK30" s="578">
        <f>IF(M30="","",(COS(RADIANS((90-$Q$8)-W30))*AD30)+(-SIN(RADIANS((90-$Q$8)-W30))*AE30))</f>
        <v>0.93358044546160579</v>
      </c>
      <c r="AL30" s="572">
        <f>IF(M30="","",(SIN(RADIANS((90-$Q$8)-W30))*AD30)+(COS(RADIANS((90-$Q$8)-W30))*AE30))</f>
        <v>-0.14107158282840704</v>
      </c>
      <c r="AM30" s="577">
        <f>IF(M30="","",AF30)</f>
        <v>-0.32943339291880858</v>
      </c>
      <c r="AN30" s="524">
        <f>IF(M30="","",DEGREES(ATAN2(-AM30,AL30)))</f>
        <v>-23.181814834778248</v>
      </c>
      <c r="AO30" s="525">
        <f>IF(ROUND(IF(M30="",0,DEGREES(ACOS(AK30))),4)=90,0,IF(M30="","",DEGREES(ACOS(AK30))))</f>
        <v>20.999996967975548</v>
      </c>
      <c r="AP30" s="528">
        <f>IF(M30="","",DEGREES(ATAN2(AK30,AL30)))</f>
        <v>-8.5928487996428125</v>
      </c>
      <c r="AQ30" s="529">
        <f t="shared" si="21"/>
        <v>0.74122877093837736</v>
      </c>
      <c r="AS30" s="932">
        <f t="shared" si="143"/>
        <v>-76.268391240353878</v>
      </c>
      <c r="AT30" s="928">
        <f t="shared" si="22"/>
        <v>-0.27845160038560368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>Nose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2.2160000000000002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2.1160000000000001</v>
      </c>
      <c r="IK30" s="677" cm="1">
        <f t="array" ref="IK30">IFERROR(ROUND(VALUE(IF($IJ30&lt;1,$IJ30+LARGE((IF($M$9:$M$150="",0,$M$9:$M$150)-MOD(IF($M$9:$M$150="",0,$M$9:$M$150),1)),1),$IJ30)),4),"")</f>
        <v>2.1160000000000001</v>
      </c>
      <c r="IL30" s="482">
        <f t="shared" si="88"/>
        <v>1613</v>
      </c>
      <c r="IM30" s="482">
        <f t="shared" si="237"/>
        <v>1310</v>
      </c>
      <c r="IN30" s="670">
        <f t="shared" si="90"/>
        <v>15.778347996466493</v>
      </c>
      <c r="IO30" s="702">
        <v>2.76207423265089E-2</v>
      </c>
      <c r="IP30" s="5">
        <f t="shared" si="91"/>
        <v>0.64</v>
      </c>
      <c r="IQ30" s="714">
        <v>320</v>
      </c>
      <c r="IR30" s="9">
        <f t="shared" si="139"/>
        <v>-3.0616092338134497</v>
      </c>
      <c r="IS30" s="5">
        <f t="shared" si="92"/>
        <v>-0.3550010706832295</v>
      </c>
      <c r="IT30" s="5">
        <f t="shared" si="93"/>
        <v>0.3125</v>
      </c>
      <c r="IU30" s="5">
        <f t="shared" si="94"/>
        <v>0.30039428345367691</v>
      </c>
      <c r="IV30" s="670">
        <f t="shared" si="95"/>
        <v>23.181814834778312</v>
      </c>
      <c r="IW30" s="9">
        <f t="shared" si="96"/>
        <v>-3.0754330367816816</v>
      </c>
      <c r="IX30" s="5">
        <f t="shared" si="97"/>
        <v>-0.33148520540360066</v>
      </c>
      <c r="IY30" s="5">
        <f t="shared" si="98"/>
        <v>0.26450000000000001</v>
      </c>
      <c r="IZ30" s="5">
        <f t="shared" si="99"/>
        <v>0.24693202782459475</v>
      </c>
      <c r="JA30" s="705">
        <f t="shared" si="100"/>
        <v>23.181814834778248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12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</v>
      </c>
      <c r="B31" s="578">
        <f t="shared" si="2"/>
        <v>3.5668644978133472</v>
      </c>
      <c r="C31" s="572">
        <f t="shared" si="3"/>
        <v>0.99438976404703416</v>
      </c>
      <c r="D31" s="576">
        <f t="shared" si="4"/>
        <v>-0.75262813141487839</v>
      </c>
      <c r="E31" s="580">
        <f t="shared" si="5"/>
        <v>5.0478042243669854E-3</v>
      </c>
      <c r="F31" s="572">
        <f t="shared" si="6"/>
        <v>0.94606862033136518</v>
      </c>
      <c r="G31" s="579">
        <f t="shared" si="7"/>
        <v>0.3239269752534043</v>
      </c>
      <c r="H31" s="580">
        <f t="shared" si="8"/>
        <v>0.26450000000000001</v>
      </c>
      <c r="I31" s="572">
        <f t="shared" si="9"/>
        <v>0.52</v>
      </c>
      <c r="J31" s="483">
        <f t="shared" si="10"/>
        <v>2.222</v>
      </c>
      <c r="K31" s="806">
        <f t="shared" si="11"/>
        <v>1313</v>
      </c>
      <c r="L31" s="309"/>
      <c r="M31" s="164">
        <f t="shared" si="12"/>
        <v>2.222</v>
      </c>
      <c r="N31" s="575">
        <f t="shared" si="13"/>
        <v>3.5668644978133472</v>
      </c>
      <c r="O31" s="572">
        <f t="shared" si="14"/>
        <v>0.99438976404703416</v>
      </c>
      <c r="P31" s="576">
        <f t="shared" si="15"/>
        <v>-0.75262813141487839</v>
      </c>
      <c r="Q31" s="528">
        <f t="shared" si="140"/>
        <v>15.577694265003869</v>
      </c>
      <c r="R31" s="572">
        <f>IF(M31="","",SQRT(N31^2+O31^2))</f>
        <v>3.7028817627089818</v>
      </c>
      <c r="S31" s="577">
        <f>IF(M31="","",P31)</f>
        <v>-0.75262813141487839</v>
      </c>
      <c r="T31" s="578">
        <f>IF(M31="","",X31*COS(RADIANS(W31)))</f>
        <v>1.0006135983921556</v>
      </c>
      <c r="U31" s="572">
        <f>IF(M31="","",X31*SIN(RADIANS(W31)))</f>
        <v>-3.5651235287596248</v>
      </c>
      <c r="V31" s="579">
        <f>IF(M31="","",Y31)</f>
        <v>-0.75262813141487839</v>
      </c>
      <c r="W31" s="528">
        <f t="shared" si="253"/>
        <v>285.67769425056565</v>
      </c>
      <c r="X31" s="572">
        <f>IF(M31="","",R31)</f>
        <v>3.7028817627089818</v>
      </c>
      <c r="Y31" s="573">
        <f t="shared" si="255"/>
        <v>-0.75262813141487839</v>
      </c>
      <c r="Z31" s="575">
        <f t="shared" si="18"/>
        <v>-5.0478042243669854E-3</v>
      </c>
      <c r="AA31" s="572">
        <f t="shared" si="19"/>
        <v>-0.94606862033136518</v>
      </c>
      <c r="AB31" s="572">
        <f t="shared" si="20"/>
        <v>-0.3239269752534043</v>
      </c>
      <c r="AC31" s="579">
        <f>IF(M31="","",SQRT(Z31^2+AA31^2+AB31^2))</f>
        <v>1</v>
      </c>
      <c r="AD31" s="580">
        <f>IF(M31="","",Z31*(1/SQRT(Z31^2+AA31^2+AB31^2)))</f>
        <v>-5.0478042243669854E-3</v>
      </c>
      <c r="AE31" s="572">
        <f>IF(M31="","",AA31*(1/SQRT(Z31^2+AA31^2+AB31^2)))</f>
        <v>-0.94606862033136518</v>
      </c>
      <c r="AF31" s="576">
        <f>IF(M31="","",AB31*(1/SQRT(Z31^2+AA31^2+AB31^2)))</f>
        <v>-0.3239269752534043</v>
      </c>
      <c r="AG31" s="545">
        <f>IF(M31="","",DEGREES(ATAN2(-AF31,AE31)))</f>
        <v>-71.099171281592035</v>
      </c>
      <c r="AH31" s="546">
        <f>IF(M31="","",DEGREES(ACOS(AD31)))</f>
        <v>90.28921910610633</v>
      </c>
      <c r="AI31" s="528">
        <f>IF(M31="","",DEGREES(-ACOS(-AF31)))</f>
        <v>-71.099421215144588</v>
      </c>
      <c r="AJ31" s="529">
        <f>IF(M31="","",DEGREES(ATAN2(-AE31,AD31)))</f>
        <v>-0.30570206768695507</v>
      </c>
      <c r="AK31" s="578">
        <f>IF(M31="","",(COS(RADIANS((90-$Q$8)-W31))*AD31)+(-SIN(RADIANS((90-$Q$8)-W31))*AE31))</f>
        <v>0.90996129647912627</v>
      </c>
      <c r="AL31" s="572">
        <f>IF(M31="","",(SIN(RADIANS((90-$Q$8)-W31))*AD31)+(COS(RADIANS((90-$Q$8)-W31))*AE31))</f>
        <v>-0.25892422368949575</v>
      </c>
      <c r="AM31" s="577">
        <f>IF(M31="","",AF31)</f>
        <v>-0.3239269752534043</v>
      </c>
      <c r="AN31" s="524">
        <f>IF(M31="","",DEGREES(ATAN2(-AM31,AL31)))</f>
        <v>-38.636358057963676</v>
      </c>
      <c r="AO31" s="525">
        <f t="shared" si="116"/>
        <v>24.499996462638151</v>
      </c>
      <c r="AP31" s="528">
        <f>IF(M31="","",DEGREES(ATAN2(AK31,AL31)))</f>
        <v>-15.883396332690797</v>
      </c>
      <c r="AQ31" s="529">
        <f t="shared" si="21"/>
        <v>0.61563912736384629</v>
      </c>
      <c r="AS31" s="932">
        <f t="shared" si="143"/>
        <v>-74.322305749434349</v>
      </c>
      <c r="AT31" s="928">
        <f t="shared" si="22"/>
        <v>-0.7009459746544644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2.222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2.1219999999999999</v>
      </c>
      <c r="IK31" s="677" cm="1">
        <f t="array" ref="IK31">IFERROR(ROUND(VALUE(IF($IJ31&lt;1,$IJ31+LARGE((IF($M$9:$M$150="",0,$M$9:$M$150)-MOD(IF($M$9:$M$150="",0,$M$9:$M$150),1)),1),$IJ31)),4),"")</f>
        <v>2.1219999999999999</v>
      </c>
      <c r="IL31" s="482">
        <f t="shared" si="88"/>
        <v>1613</v>
      </c>
      <c r="IM31" s="482">
        <f t="shared" si="237"/>
        <v>1313</v>
      </c>
      <c r="IN31" s="670">
        <f t="shared" si="90"/>
        <v>13.072262615277339</v>
      </c>
      <c r="IO31" s="702">
        <v>2.5026045087191601E-2</v>
      </c>
      <c r="IP31" s="5">
        <f t="shared" si="91"/>
        <v>0.78</v>
      </c>
      <c r="IQ31" s="714">
        <v>390</v>
      </c>
      <c r="IR31" s="9">
        <f t="shared" si="139"/>
        <v>-3.6807111010246802</v>
      </c>
      <c r="IS31" s="5">
        <f t="shared" si="92"/>
        <v>-0.773102331676632</v>
      </c>
      <c r="IT31" s="5">
        <f t="shared" si="93"/>
        <v>0.3125</v>
      </c>
      <c r="IU31" s="5">
        <f t="shared" si="94"/>
        <v>0.29457547109221166</v>
      </c>
      <c r="IV31" s="670">
        <f t="shared" si="95"/>
        <v>38.636358057963655</v>
      </c>
      <c r="IW31" s="9">
        <f t="shared" si="96"/>
        <v>-3.7028817627089818</v>
      </c>
      <c r="IX31" s="5">
        <f t="shared" si="97"/>
        <v>-0.75262813141487839</v>
      </c>
      <c r="IY31" s="5">
        <f t="shared" si="98"/>
        <v>0.26450000000000001</v>
      </c>
      <c r="IZ31" s="5">
        <f t="shared" si="99"/>
        <v>0.24068476291872892</v>
      </c>
      <c r="JA31" s="705">
        <f t="shared" si="100"/>
        <v>38.636358057963676</v>
      </c>
    </row>
    <row r="32" spans="1:271" ht="15" customHeight="1" x14ac:dyDescent="0.25">
      <c r="A32" s="75">
        <f t="shared" si="1"/>
        <v>0</v>
      </c>
      <c r="B32" s="578">
        <f t="shared" si="2"/>
        <v>4.0055845916661017</v>
      </c>
      <c r="C32" s="572">
        <f t="shared" si="3"/>
        <v>1.1787456231784676</v>
      </c>
      <c r="D32" s="576">
        <f t="shared" si="4"/>
        <v>-1.3430046030575307</v>
      </c>
      <c r="E32" s="580">
        <f t="shared" si="5"/>
        <v>0.11551978440125452</v>
      </c>
      <c r="F32" s="572">
        <f t="shared" si="6"/>
        <v>0.95437939843823139</v>
      </c>
      <c r="G32" s="579">
        <f t="shared" si="7"/>
        <v>0.27534549796313634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2.2280000000000002</v>
      </c>
      <c r="K32" s="806">
        <f t="shared" si="11"/>
        <v>1313</v>
      </c>
      <c r="L32" s="309"/>
      <c r="M32" s="164">
        <f t="shared" si="12"/>
        <v>2.2280000000000002</v>
      </c>
      <c r="N32" s="575">
        <f t="shared" si="13"/>
        <v>4.0055845916661017</v>
      </c>
      <c r="O32" s="572">
        <f t="shared" si="14"/>
        <v>1.1787456231784676</v>
      </c>
      <c r="P32" s="576">
        <f t="shared" si="15"/>
        <v>-1.3430046030575307</v>
      </c>
      <c r="Q32" s="528">
        <f t="shared" si="140"/>
        <v>16.397867023404491</v>
      </c>
      <c r="R32" s="572">
        <f t="shared" si="101"/>
        <v>4.1754220343763198</v>
      </c>
      <c r="S32" s="577">
        <f t="shared" si="102"/>
        <v>-1.3430046030575307</v>
      </c>
      <c r="T32" s="578">
        <f t="shared" si="103"/>
        <v>1.1857348872476476</v>
      </c>
      <c r="U32" s="572">
        <f t="shared" si="104"/>
        <v>-4.0035211929399219</v>
      </c>
      <c r="V32" s="579">
        <f t="shared" si="141"/>
        <v>-1.3430046030575307</v>
      </c>
      <c r="W32" s="528">
        <f t="shared" si="253"/>
        <v>286.4978670089663</v>
      </c>
      <c r="X32" s="572">
        <f t="shared" si="105"/>
        <v>4.1754220343763198</v>
      </c>
      <c r="Y32" s="573">
        <f t="shared" si="255"/>
        <v>-1.3430046030575307</v>
      </c>
      <c r="Z32" s="575">
        <f t="shared" si="18"/>
        <v>-0.11551978440125452</v>
      </c>
      <c r="AA32" s="572">
        <f t="shared" si="19"/>
        <v>-0.95437939843823139</v>
      </c>
      <c r="AB32" s="572">
        <f t="shared" si="20"/>
        <v>-0.27534549796313634</v>
      </c>
      <c r="AC32" s="579">
        <f t="shared" si="106"/>
        <v>1</v>
      </c>
      <c r="AD32" s="580">
        <f t="shared" si="142"/>
        <v>-0.11551978440125452</v>
      </c>
      <c r="AE32" s="572">
        <f t="shared" si="107"/>
        <v>-0.95437939843823139</v>
      </c>
      <c r="AF32" s="576">
        <f t="shared" si="108"/>
        <v>-0.27534549796313634</v>
      </c>
      <c r="AG32" s="545">
        <f t="shared" si="109"/>
        <v>-73.906759018771254</v>
      </c>
      <c r="AH32" s="546">
        <f t="shared" si="110"/>
        <v>96.633606315587187</v>
      </c>
      <c r="AI32" s="528">
        <f t="shared" si="111"/>
        <v>-74.017395362474119</v>
      </c>
      <c r="AJ32" s="529">
        <f t="shared" si="112"/>
        <v>-6.9016086001582222</v>
      </c>
      <c r="AK32" s="578">
        <f t="shared" si="238"/>
        <v>0.88294762598409327</v>
      </c>
      <c r="AL32" s="572">
        <f t="shared" si="113"/>
        <v>-0.38024774360998737</v>
      </c>
      <c r="AM32" s="577">
        <f t="shared" si="114"/>
        <v>-0.27534549796313634</v>
      </c>
      <c r="AN32" s="524">
        <f t="shared" si="115"/>
        <v>-54.090901281149193</v>
      </c>
      <c r="AO32" s="525">
        <f t="shared" si="116"/>
        <v>27.999995957300708</v>
      </c>
      <c r="AP32" s="528">
        <f t="shared" si="117"/>
        <v>-23.299475623562699</v>
      </c>
      <c r="AQ32" s="529">
        <f t="shared" si="21"/>
        <v>0.54597058976725321</v>
      </c>
      <c r="AS32" s="932">
        <f t="shared" si="143"/>
        <v>-73.502132991033704</v>
      </c>
      <c r="AT32" s="928">
        <f t="shared" si="22"/>
        <v>-1.2918920107126728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2.2280000000000002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2.1280000000000001</v>
      </c>
      <c r="IK32" s="677" cm="1">
        <f t="array" ref="IK32">IFERROR(ROUND(VALUE(IF($IJ32&lt;1,$IJ32+LARGE((IF($M$9:$M$150="",0,$M$9:$M$150)-MOD(IF($M$9:$M$150="",0,$M$9:$M$150),1)),1),$IJ32)),4),"")</f>
        <v>2.1280000000000001</v>
      </c>
      <c r="IL32" s="482">
        <f t="shared" si="88"/>
        <v>1613</v>
      </c>
      <c r="IM32" s="482">
        <f t="shared" si="237"/>
        <v>1313</v>
      </c>
      <c r="IN32" s="670">
        <f t="shared" si="90"/>
        <v>11.582089953612751</v>
      </c>
      <c r="IO32" s="702">
        <v>2.3001003918093701E-2</v>
      </c>
      <c r="IP32" s="5">
        <f t="shared" si="91"/>
        <v>0.94</v>
      </c>
      <c r="IQ32" s="714">
        <v>470</v>
      </c>
      <c r="IR32" s="9">
        <f t="shared" si="139"/>
        <v>-4.1465125058817165</v>
      </c>
      <c r="IS32" s="5">
        <f t="shared" si="92"/>
        <v>-1.3575040942323482</v>
      </c>
      <c r="IT32" s="5">
        <f t="shared" si="93"/>
        <v>0.3125</v>
      </c>
      <c r="IU32" s="5">
        <f t="shared" si="94"/>
        <v>0.28765777378084545</v>
      </c>
      <c r="IV32" s="670">
        <f t="shared" si="95"/>
        <v>54.090901281149257</v>
      </c>
      <c r="IW32" s="9">
        <f t="shared" si="96"/>
        <v>-4.1754220343763198</v>
      </c>
      <c r="IX32" s="5">
        <f t="shared" si="97"/>
        <v>-1.3430046030575307</v>
      </c>
      <c r="IY32" s="5">
        <f t="shared" si="98"/>
        <v>0.26450000000000001</v>
      </c>
      <c r="IZ32" s="5">
        <f t="shared" si="99"/>
        <v>0.23353964707279268</v>
      </c>
      <c r="JA32" s="705">
        <f t="shared" si="100"/>
        <v>54.090901281149193</v>
      </c>
    </row>
    <row r="33" spans="1:269" ht="15" customHeight="1" x14ac:dyDescent="0.25">
      <c r="A33" s="75">
        <f t="shared" si="1"/>
        <v>0</v>
      </c>
      <c r="B33" s="578">
        <f t="shared" si="2"/>
        <v>4.3528687870933034</v>
      </c>
      <c r="C33" s="572">
        <f t="shared" si="3"/>
        <v>0.7584723107840543</v>
      </c>
      <c r="D33" s="576">
        <f t="shared" si="4"/>
        <v>-2.0683932127485183</v>
      </c>
      <c r="E33" s="580">
        <f t="shared" si="5"/>
        <v>0.94555812386576266</v>
      </c>
      <c r="F33" s="572">
        <f t="shared" si="6"/>
        <v>0.16476022831554446</v>
      </c>
      <c r="G33" s="579">
        <f t="shared" si="7"/>
        <v>0.2806668871756498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2.234</v>
      </c>
      <c r="K33" s="806" t="str">
        <f t="shared" si="11"/>
        <v>CPS-32193r1</v>
      </c>
      <c r="L33" s="309"/>
      <c r="M33" s="164">
        <f t="shared" si="12"/>
        <v>2.234</v>
      </c>
      <c r="N33" s="575">
        <f t="shared" si="13"/>
        <v>4.3528687870933034</v>
      </c>
      <c r="O33" s="572">
        <f t="shared" si="14"/>
        <v>0.7584723107840543</v>
      </c>
      <c r="P33" s="576">
        <f t="shared" si="15"/>
        <v>-2.0683932127485183</v>
      </c>
      <c r="Q33" s="528">
        <f t="shared" si="140"/>
        <v>9.8843526899197958</v>
      </c>
      <c r="R33" s="572">
        <f t="shared" si="101"/>
        <v>4.418455264442227</v>
      </c>
      <c r="S33" s="577">
        <f t="shared" si="102"/>
        <v>-2.0683932127485183</v>
      </c>
      <c r="T33" s="578">
        <f t="shared" si="103"/>
        <v>0.76606833983554223</v>
      </c>
      <c r="U33" s="572">
        <f t="shared" si="104"/>
        <v>-4.3515383742509783</v>
      </c>
      <c r="V33" s="579">
        <f t="shared" si="141"/>
        <v>-2.0683932127485183</v>
      </c>
      <c r="W33" s="528">
        <f t="shared" si="253"/>
        <v>279.9843526754816</v>
      </c>
      <c r="X33" s="572">
        <f t="shared" si="105"/>
        <v>4.418455264442227</v>
      </c>
      <c r="Y33" s="573">
        <f t="shared" si="255"/>
        <v>-2.0683932127485183</v>
      </c>
      <c r="Z33" s="575">
        <f t="shared" si="18"/>
        <v>-0.94555812386576266</v>
      </c>
      <c r="AA33" s="572">
        <f t="shared" si="19"/>
        <v>-0.16476022831554446</v>
      </c>
      <c r="AB33" s="572">
        <f t="shared" si="20"/>
        <v>-0.2806668871756498</v>
      </c>
      <c r="AC33" s="579">
        <f t="shared" si="106"/>
        <v>1</v>
      </c>
      <c r="AD33" s="580">
        <f t="shared" si="142"/>
        <v>-0.94555812386576266</v>
      </c>
      <c r="AE33" s="572">
        <f t="shared" si="107"/>
        <v>-0.16476022831554446</v>
      </c>
      <c r="AF33" s="576">
        <f t="shared" si="108"/>
        <v>-0.2806668871756498</v>
      </c>
      <c r="AG33" s="545">
        <f t="shared" si="109"/>
        <v>-30.414264856476954</v>
      </c>
      <c r="AH33" s="546">
        <f t="shared" si="110"/>
        <v>161.00696121094671</v>
      </c>
      <c r="AI33" s="528">
        <f t="shared" si="111"/>
        <v>-73.699989359038085</v>
      </c>
      <c r="AJ33" s="529">
        <f t="shared" si="112"/>
        <v>-80.115647310080206</v>
      </c>
      <c r="AK33" s="578">
        <f t="shared" si="238"/>
        <v>-2.4980018054066022E-16</v>
      </c>
      <c r="AL33" s="572">
        <f t="shared" si="113"/>
        <v>-0.9598052398497996</v>
      </c>
      <c r="AM33" s="577">
        <f t="shared" si="114"/>
        <v>-0.2806668871756498</v>
      </c>
      <c r="AN33" s="524">
        <f t="shared" si="115"/>
        <v>-73.699989359038099</v>
      </c>
      <c r="AO33" s="525">
        <f t="shared" si="116"/>
        <v>0</v>
      </c>
      <c r="AP33" s="528">
        <f t="shared" si="117"/>
        <v>-90.000000000000014</v>
      </c>
      <c r="AQ33" s="529">
        <f t="shared" si="21"/>
        <v>0.51594163022878037</v>
      </c>
      <c r="AS33" s="932">
        <f t="shared" si="143"/>
        <v>-80.015647324518397</v>
      </c>
      <c r="AT33" s="928">
        <f t="shared" si="22"/>
        <v>-2.0127573465609627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2.234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2.1339999999999999</v>
      </c>
      <c r="IK33" s="677" cm="1">
        <f t="array" ref="IK33">IFERROR(ROUND(VALUE(IF($IJ33&lt;1,$IJ33+LARGE((IF($M$9:$M$150="",0,$M$9:$M$150)-MOD(IF($M$9:$M$150="",0,$M$9:$M$150),1)),1),$IJ33)),4),"")</f>
        <v>2.1339999999999999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17.64560435206937</v>
      </c>
      <c r="IO33" s="702">
        <v>3.4101024298971598E-2</v>
      </c>
      <c r="IP33" s="5">
        <f t="shared" si="91"/>
        <v>1.28</v>
      </c>
      <c r="IQ33" s="714">
        <v>640</v>
      </c>
      <c r="IR33" s="9">
        <f t="shared" si="139"/>
        <v>-4.4318133663491128</v>
      </c>
      <c r="IS33" s="5">
        <f t="shared" si="92"/>
        <v>-2.0487061788978349</v>
      </c>
      <c r="IT33" s="5">
        <f t="shared" si="93"/>
        <v>0.3125</v>
      </c>
      <c r="IU33" s="5">
        <f t="shared" si="94"/>
        <v>0.27966699731201339</v>
      </c>
      <c r="IV33" s="670">
        <f t="shared" si="95"/>
        <v>69.545444504334753</v>
      </c>
      <c r="IW33" s="9">
        <f t="shared" si="96"/>
        <v>-4.418455264442227</v>
      </c>
      <c r="IX33" s="5">
        <f t="shared" si="97"/>
        <v>-2.0683932127485183</v>
      </c>
      <c r="IY33" s="5">
        <f t="shared" si="98"/>
        <v>0.255</v>
      </c>
      <c r="IZ33" s="5">
        <f t="shared" si="99"/>
        <v>0.255</v>
      </c>
      <c r="JA33" s="705">
        <f t="shared" si="100"/>
        <v>73.699989359038099</v>
      </c>
    </row>
    <row r="34" spans="1:269" ht="15" customHeight="1" x14ac:dyDescent="0.25">
      <c r="A34" s="75">
        <f t="shared" si="1"/>
        <v>0</v>
      </c>
      <c r="B34" s="578">
        <f t="shared" si="2"/>
        <v>4.4912343365050802</v>
      </c>
      <c r="C34" s="572">
        <f t="shared" si="3"/>
        <v>0.67878756717719779</v>
      </c>
      <c r="D34" s="576">
        <f t="shared" si="4"/>
        <v>-2.8659369985070411</v>
      </c>
      <c r="E34" s="580">
        <f t="shared" si="5"/>
        <v>0.98648121910033915</v>
      </c>
      <c r="F34" s="572">
        <f t="shared" si="6"/>
        <v>0.14909290778627746</v>
      </c>
      <c r="G34" s="579">
        <f t="shared" si="7"/>
        <v>6.8015507129929126E-2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2.2400000000000002</v>
      </c>
      <c r="K34" s="806" t="str">
        <f t="shared" si="11"/>
        <v>CPS-32193r1</v>
      </c>
      <c r="L34" s="309"/>
      <c r="M34" s="164">
        <f t="shared" si="12"/>
        <v>2.2400000000000002</v>
      </c>
      <c r="N34" s="575">
        <f t="shared" si="13"/>
        <v>4.4912343365050802</v>
      </c>
      <c r="O34" s="572">
        <f t="shared" si="14"/>
        <v>0.67878756717719779</v>
      </c>
      <c r="P34" s="576">
        <f t="shared" si="15"/>
        <v>-2.8659369985070411</v>
      </c>
      <c r="Q34" s="528">
        <f t="shared" si="140"/>
        <v>8.5944153992455163</v>
      </c>
      <c r="R34" s="572">
        <f>IF(M34="","",SQRT(N34^2+O34^2))</f>
        <v>4.5422393625563782</v>
      </c>
      <c r="S34" s="577">
        <f>IF(M34="","",P34)</f>
        <v>-2.8659369985070411</v>
      </c>
      <c r="T34" s="578">
        <f>IF(M34="","",X34*COS(RADIANS(W34)))</f>
        <v>0.68662521087880746</v>
      </c>
      <c r="U34" s="572">
        <f>IF(M34="","",X34*SIN(RADIANS(W34)))</f>
        <v>-4.4900427889433532</v>
      </c>
      <c r="V34" s="579">
        <f>IF(M34="","",Y34)</f>
        <v>-2.8659369985070411</v>
      </c>
      <c r="W34" s="528">
        <f t="shared" si="253"/>
        <v>278.69441538480731</v>
      </c>
      <c r="X34" s="572">
        <f>IF(M34="","",R34)</f>
        <v>4.5422393625563782</v>
      </c>
      <c r="Y34" s="573">
        <f t="shared" si="255"/>
        <v>-2.8659369985070411</v>
      </c>
      <c r="Z34" s="575">
        <f t="shared" si="18"/>
        <v>-0.98648121910033915</v>
      </c>
      <c r="AA34" s="572">
        <f t="shared" si="19"/>
        <v>-0.14909290778627746</v>
      </c>
      <c r="AB34" s="572">
        <f t="shared" si="20"/>
        <v>-6.8015507129929126E-2</v>
      </c>
      <c r="AC34" s="579">
        <f>IF(M34="","",SQRT(Z34^2+AA34^2+AB34^2))</f>
        <v>1</v>
      </c>
      <c r="AD34" s="580">
        <f>IF(M34="","",Z34*(1/SQRT(Z34^2+AA34^2+AB34^2)))</f>
        <v>-0.98648121910033915</v>
      </c>
      <c r="AE34" s="572">
        <f>IF(M34="","",AA34*(1/SQRT(Z34^2+AA34^2+AB34^2)))</f>
        <v>-0.14909290778627746</v>
      </c>
      <c r="AF34" s="576">
        <f>IF(M34="","",AB34*(1/SQRT(Z34^2+AA34^2+AB34^2)))</f>
        <v>-6.8015507129929126E-2</v>
      </c>
      <c r="AG34" s="545">
        <f>IF(M34="","",DEGREES(ATAN2(-AF34,AE34)))</f>
        <v>-65.477743829056791</v>
      </c>
      <c r="AH34" s="546">
        <f>IF(M34="","",DEGREES(ACOS(AD34)))</f>
        <v>170.56815026518669</v>
      </c>
      <c r="AI34" s="528">
        <f>IF(M34="","",DEGREES(-ACOS(-AF34)))</f>
        <v>-86.099987568699859</v>
      </c>
      <c r="AJ34" s="529">
        <f>IF(M34="","",DEGREES(ATAN2(-AE34,AD34)))</f>
        <v>-81.405584600754494</v>
      </c>
      <c r="AK34" s="578">
        <f>IF(M34="","",(COS(RADIANS((90-$Q$8)-W34))*AD34)+(-SIN(RADIANS((90-$Q$8)-W34))*AE34))</f>
        <v>1.1102230246251565E-16</v>
      </c>
      <c r="AL34" s="572">
        <f>IF(M34="","",(SIN(RADIANS((90-$Q$8)-W34))*AD34)+(COS(RADIANS((90-$Q$8)-W34))*AE34))</f>
        <v>-0.9976842640785003</v>
      </c>
      <c r="AM34" s="577">
        <f>IF(M34="","",AF34)</f>
        <v>-6.8015507129929126E-2</v>
      </c>
      <c r="AN34" s="524">
        <f>IF(M34="","",DEGREES(ATAN2(-AM34,AL34)))</f>
        <v>-86.099987568699859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0.50188203281416477</v>
      </c>
      <c r="AS34" s="932">
        <f t="shared" si="143"/>
        <v>-81.305584615192686</v>
      </c>
      <c r="AT34" s="928">
        <f t="shared" si="22"/>
        <v>-2.8094053425342951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>Gage</v>
      </c>
      <c r="II34" s="788">
        <f t="shared" si="236"/>
        <v>2.2400000000000002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2.14</v>
      </c>
      <c r="IK34" s="677" cm="1">
        <f t="array" ref="IK34">IFERROR(ROUND(VALUE(IF($IJ34&lt;1,$IJ34+LARGE((IF($M$9:$M$150="",0,$M$9:$M$150)-MOD(IF($M$9:$M$150="",0,$M$9:$M$150),1)),1),$IJ34)),4),"")</f>
        <v>2.14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18.725541673063901</v>
      </c>
      <c r="IO34" s="702">
        <v>3.032960033209E-2</v>
      </c>
      <c r="IP34" s="5">
        <f t="shared" si="91"/>
        <v>1.46</v>
      </c>
      <c r="IQ34" s="714">
        <v>730</v>
      </c>
      <c r="IR34" s="9">
        <f t="shared" si="139"/>
        <v>-4.5665137726055374</v>
      </c>
      <c r="IS34" s="5">
        <f t="shared" si="92"/>
        <v>-2.8482085901971086</v>
      </c>
      <c r="IT34" s="5">
        <f t="shared" si="93"/>
        <v>0.3125</v>
      </c>
      <c r="IU34" s="5">
        <f t="shared" si="94"/>
        <v>0.27063295049487057</v>
      </c>
      <c r="IV34" s="670">
        <f t="shared" si="95"/>
        <v>84.999987727520178</v>
      </c>
      <c r="IW34" s="9">
        <f t="shared" si="96"/>
        <v>-4.5422393625563782</v>
      </c>
      <c r="IX34" s="5">
        <f t="shared" si="97"/>
        <v>-2.8659369985070411</v>
      </c>
      <c r="IY34" s="5">
        <f t="shared" si="98"/>
        <v>0.255</v>
      </c>
      <c r="IZ34" s="5">
        <f t="shared" si="99"/>
        <v>0.255</v>
      </c>
      <c r="JA34" s="705">
        <f t="shared" si="100"/>
        <v>86.099987568699859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0.4701125811435603</v>
      </c>
      <c r="C35" s="572">
        <f t="shared" si="3"/>
        <v>-0.32917678801268213</v>
      </c>
      <c r="D35" s="576">
        <f t="shared" si="4"/>
        <v>-0.56680170947395592</v>
      </c>
      <c r="E35" s="580">
        <f t="shared" si="5"/>
        <v>0.5144509851664314</v>
      </c>
      <c r="F35" s="572">
        <f t="shared" si="6"/>
        <v>0.79404263607168069</v>
      </c>
      <c r="G35" s="579">
        <f t="shared" si="7"/>
        <v>0.3237846135344063</v>
      </c>
      <c r="H35" s="580">
        <f t="shared" si="8"/>
        <v>0.3125</v>
      </c>
      <c r="I35" s="572">
        <f t="shared" si="9"/>
        <v>0.52</v>
      </c>
      <c r="J35" s="483">
        <f t="shared" si="10"/>
        <v>3.1019999999999999</v>
      </c>
      <c r="K35" s="806">
        <f t="shared" si="11"/>
        <v>1613</v>
      </c>
      <c r="L35" s="309"/>
      <c r="M35" s="164">
        <f t="shared" si="12"/>
        <v>3.1019999999999999</v>
      </c>
      <c r="N35" s="575">
        <f t="shared" si="13"/>
        <v>0.4701125811435603</v>
      </c>
      <c r="O35" s="572">
        <f t="shared" si="14"/>
        <v>-0.32917678801268213</v>
      </c>
      <c r="P35" s="576">
        <f t="shared" si="15"/>
        <v>-0.56680170947395592</v>
      </c>
      <c r="Q35" s="528">
        <f t="shared" si="140"/>
        <v>324.9999660702029</v>
      </c>
      <c r="R35" s="572">
        <f>IF(M35="","",SQRT(N35^2+O35^2))</f>
        <v>0.57390173088762053</v>
      </c>
      <c r="S35" s="577">
        <f>IF(M35="","",P35)</f>
        <v>-0.56680170947395592</v>
      </c>
      <c r="T35" s="578">
        <f>IF(M35="","",X35*COS(RADIANS(W35)))</f>
        <v>-0.32835578594346498</v>
      </c>
      <c r="U35" s="572">
        <f>IF(M35="","",X35*SIN(RADIANS(W35)))</f>
        <v>-0.47068638662410472</v>
      </c>
      <c r="V35" s="579">
        <f>IF(M35="","",Y35)</f>
        <v>-0.56680170947395592</v>
      </c>
      <c r="W35" s="528">
        <f t="shared" si="253"/>
        <v>235.0999660557647</v>
      </c>
      <c r="X35" s="572">
        <f>IF(M35="","",R35)</f>
        <v>0.57390173088762053</v>
      </c>
      <c r="Y35" s="573">
        <f t="shared" si="255"/>
        <v>-0.56680170947395592</v>
      </c>
      <c r="Z35" s="575">
        <f t="shared" si="18"/>
        <v>-0.5144509851664314</v>
      </c>
      <c r="AA35" s="572">
        <f t="shared" si="19"/>
        <v>-0.79404263607168069</v>
      </c>
      <c r="AB35" s="572">
        <f t="shared" si="20"/>
        <v>-0.3237846135344063</v>
      </c>
      <c r="AC35" s="579">
        <f>IF(M35="","",SQRT(Z35^2+AA35^2+AB35^2))</f>
        <v>1</v>
      </c>
      <c r="AD35" s="580">
        <f>IF(M35="","",Z35*(1/SQRT(Z35^2+AA35^2+AB35^2)))</f>
        <v>-0.5144509851664314</v>
      </c>
      <c r="AE35" s="572">
        <f>IF(M35="","",AA35*(1/SQRT(Z35^2+AA35^2+AB35^2)))</f>
        <v>-0.79404263607168069</v>
      </c>
      <c r="AF35" s="576">
        <f>IF(M35="","",AB35*(1/SQRT(Z35^2+AA35^2+AB35^2)))</f>
        <v>-0.3237846135344063</v>
      </c>
      <c r="AG35" s="545">
        <f>IF(M35="","",DEGREES(ATAN2(-AF35,AE35)))</f>
        <v>-67.815971950738671</v>
      </c>
      <c r="AH35" s="546">
        <f>IF(M35="","",DEGREES(ACOS(AD35)))</f>
        <v>120.96076512916447</v>
      </c>
      <c r="AI35" s="528">
        <f>IF(M35="","",DEGREES(-ACOS(-AF35)))</f>
        <v>-71.108042576545301</v>
      </c>
      <c r="AJ35" s="529">
        <f>IF(M35="","",DEGREES(ATAN2(-AE35,AD35)))</f>
        <v>-32.938732552859364</v>
      </c>
      <c r="AK35" s="578">
        <f>IF(M35="","",(COS(RADIANS((90-$Q$8)-W35))*AD35)+(-SIN(RADIANS((90-$Q$8)-W35))*AE35))</f>
        <v>0.9455185911871683</v>
      </c>
      <c r="AL35" s="572">
        <f>IF(M35="","",(SIN(RADIANS((90-$Q$8)-W35))*AD35)+(COS(RADIANS((90-$Q$8)-W35))*AE35))</f>
        <v>3.4031129246733072E-2</v>
      </c>
      <c r="AM35" s="577">
        <f>IF(M35="","",AF35)</f>
        <v>-0.3237846135344063</v>
      </c>
      <c r="AN35" s="524">
        <f>IF(M35="","",DEGREES(ATAN2(-AM35,AL35)))</f>
        <v>5.9999991337073313</v>
      </c>
      <c r="AO35" s="525">
        <f t="shared" si="116"/>
        <v>18.999997256739782</v>
      </c>
      <c r="AP35" s="528">
        <f>IF(M35="","",DEGREES(ATAN2(AK35,AL35)))</f>
        <v>2.0613013769377559</v>
      </c>
      <c r="AQ35" s="529">
        <f t="shared" si="21"/>
        <v>3.9659829703374783</v>
      </c>
      <c r="AS35" s="932">
        <f t="shared" si="143"/>
        <v>-124.9000339442353</v>
      </c>
      <c r="AT35" s="928">
        <f t="shared" si="22"/>
        <v>-0.47999613035604127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3.1019999999999999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1613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</v>
      </c>
      <c r="B36" s="578">
        <f t="shared" si="2"/>
        <v>1.0398343099906524</v>
      </c>
      <c r="C36" s="572">
        <f t="shared" si="3"/>
        <v>-0.72810074003014214</v>
      </c>
      <c r="D36" s="576">
        <f t="shared" si="4"/>
        <v>-0.31370094612205351</v>
      </c>
      <c r="E36" s="580">
        <f t="shared" si="5"/>
        <v>0.54347761705023778</v>
      </c>
      <c r="F36" s="572">
        <f t="shared" si="6"/>
        <v>0.79293674776548795</v>
      </c>
      <c r="G36" s="579">
        <f t="shared" si="7"/>
        <v>0.27546940630219946</v>
      </c>
      <c r="H36" s="580">
        <f t="shared" si="8"/>
        <v>0.3125</v>
      </c>
      <c r="I36" s="572">
        <f t="shared" si="9"/>
        <v>0.52</v>
      </c>
      <c r="J36" s="483">
        <f t="shared" si="10"/>
        <v>3.105</v>
      </c>
      <c r="K36" s="806">
        <f t="shared" si="11"/>
        <v>1613</v>
      </c>
      <c r="L36" s="309"/>
      <c r="M36" s="164">
        <f t="shared" si="12"/>
        <v>3.105</v>
      </c>
      <c r="N36" s="575">
        <f t="shared" si="13"/>
        <v>1.0398343099906524</v>
      </c>
      <c r="O36" s="572">
        <f t="shared" si="14"/>
        <v>-0.72810074003014214</v>
      </c>
      <c r="P36" s="576">
        <f t="shared" si="15"/>
        <v>-0.31370094612205351</v>
      </c>
      <c r="Q36" s="528">
        <f t="shared" si="140"/>
        <v>324.9999660702029</v>
      </c>
      <c r="R36" s="572">
        <f>IF(M36="","",SQRT(N36^2+O36^2))</f>
        <v>1.2694038285219471</v>
      </c>
      <c r="S36" s="577">
        <f>IF(M36="","",P36)</f>
        <v>-0.31370094612205351</v>
      </c>
      <c r="T36" s="578">
        <f>IF(M36="","",X36*COS(RADIANS(W36)))</f>
        <v>-0.72628477901487098</v>
      </c>
      <c r="U36" s="572">
        <f>IF(M36="","",X36*SIN(RADIANS(W36)))</f>
        <v>-1.0411035009246183</v>
      </c>
      <c r="V36" s="579">
        <f>IF(M36="","",Y36)</f>
        <v>-0.31370094612205351</v>
      </c>
      <c r="W36" s="528">
        <f t="shared" si="253"/>
        <v>235.0999660557647</v>
      </c>
      <c r="X36" s="572">
        <f>IF(M36="","",R36)</f>
        <v>1.2694038285219471</v>
      </c>
      <c r="Y36" s="573">
        <f t="shared" si="255"/>
        <v>-0.31370094612205351</v>
      </c>
      <c r="Z36" s="575">
        <f t="shared" si="18"/>
        <v>-0.54347761705023778</v>
      </c>
      <c r="AA36" s="572">
        <f t="shared" si="19"/>
        <v>-0.79293674776548795</v>
      </c>
      <c r="AB36" s="572">
        <f t="shared" si="20"/>
        <v>-0.27546940630219946</v>
      </c>
      <c r="AC36" s="579">
        <f>IF(M36="","",SQRT(Z36^2+AA36^2+AB36^2))</f>
        <v>1</v>
      </c>
      <c r="AD36" s="580">
        <f>IF(M36="","",Z36*(1/SQRT(Z36^2+AA36^2+AB36^2)))</f>
        <v>-0.54347761705023778</v>
      </c>
      <c r="AE36" s="572">
        <f>IF(M36="","",AA36*(1/SQRT(Z36^2+AA36^2+AB36^2)))</f>
        <v>-0.79293674776548795</v>
      </c>
      <c r="AF36" s="576">
        <f>IF(M36="","",AB36*(1/SQRT(Z36^2+AA36^2+AB36^2)))</f>
        <v>-0.27546940630219946</v>
      </c>
      <c r="AG36" s="545">
        <f>IF(M36="","",DEGREES(ATAN2(-AF36,AE36)))</f>
        <v>-70.842568003684391</v>
      </c>
      <c r="AH36" s="546">
        <f>IF(M36="","",DEGREES(ACOS(AD36)))</f>
        <v>122.92069058348667</v>
      </c>
      <c r="AI36" s="528">
        <f>IF(M36="","",DEGREES(-ACOS(-AF36)))</f>
        <v>-74.010010341015558</v>
      </c>
      <c r="AJ36" s="529">
        <f>IF(M36="","",DEGREES(ATAN2(-AE36,AD36)))</f>
        <v>-34.426678923814308</v>
      </c>
      <c r="AK36" s="578">
        <f>IF(M36="","",(COS(RADIANS((90-$Q$8)-W36))*AD36)+(-SIN(RADIANS((90-$Q$8)-W36))*AE36))</f>
        <v>0.96126170705176639</v>
      </c>
      <c r="AL36" s="572">
        <f>IF(M36="","",(SIN(RADIANS((90-$Q$8)-W36))*AD36)+(COS(RADIANS((90-$Q$8)-W36))*AE36))</f>
        <v>9.6196022494798306E-3</v>
      </c>
      <c r="AM36" s="577">
        <f>IF(M36="","",AF36)</f>
        <v>-0.27546940630219946</v>
      </c>
      <c r="AN36" s="524">
        <f>IF(M36="","",DEGREES(ATAN2(-AM36,AL36)))</f>
        <v>1.9999997112357091</v>
      </c>
      <c r="AO36" s="525">
        <f t="shared" si="116"/>
        <v>15.999997689886111</v>
      </c>
      <c r="AP36" s="528">
        <f>IF(M36="","",DEGREES(ATAN2(AK36,AL36)))</f>
        <v>0.57335500598280809</v>
      </c>
      <c r="AQ36" s="529">
        <f t="shared" si="21"/>
        <v>1.7953155887057626</v>
      </c>
      <c r="AS36" s="932">
        <f t="shared" si="143"/>
        <v>-124.9000339442353</v>
      </c>
      <c r="AT36" s="928">
        <f t="shared" si="22"/>
        <v>-0.22689536700413887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3.105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1613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</v>
      </c>
      <c r="B37" s="578">
        <f t="shared" si="2"/>
        <v>1.6194678043575865</v>
      </c>
      <c r="C37" s="572">
        <f t="shared" si="3"/>
        <v>-1.1339649937289995</v>
      </c>
      <c r="D37" s="576">
        <f t="shared" si="4"/>
        <v>-0.15160045722697912</v>
      </c>
      <c r="E37" s="580">
        <f t="shared" si="5"/>
        <v>0.56150454674230432</v>
      </c>
      <c r="F37" s="572">
        <f t="shared" si="6"/>
        <v>0.78031413979500941</v>
      </c>
      <c r="G37" s="579">
        <f t="shared" si="7"/>
        <v>0.27535883356757246</v>
      </c>
      <c r="H37" s="580">
        <f t="shared" si="8"/>
        <v>0.3125</v>
      </c>
      <c r="I37" s="572">
        <f t="shared" si="9"/>
        <v>0.52</v>
      </c>
      <c r="J37" s="483">
        <f t="shared" si="10"/>
        <v>3.1080000000000001</v>
      </c>
      <c r="K37" s="806">
        <f t="shared" si="11"/>
        <v>1613</v>
      </c>
      <c r="L37" s="309"/>
      <c r="M37" s="164">
        <f t="shared" si="12"/>
        <v>3.1080000000000001</v>
      </c>
      <c r="N37" s="575">
        <f t="shared" si="13"/>
        <v>1.6194678043575865</v>
      </c>
      <c r="O37" s="572">
        <f t="shared" si="14"/>
        <v>-1.1339649937289995</v>
      </c>
      <c r="P37" s="576">
        <f t="shared" si="15"/>
        <v>-0.15160045722697912</v>
      </c>
      <c r="Q37" s="528">
        <f t="shared" si="140"/>
        <v>324.99996607020285</v>
      </c>
      <c r="R37" s="572">
        <f t="shared" si="101"/>
        <v>1.9770059626499845</v>
      </c>
      <c r="S37" s="577">
        <f t="shared" si="102"/>
        <v>-0.15160045722697912</v>
      </c>
      <c r="T37" s="578">
        <f t="shared" si="103"/>
        <v>-1.1311367639139767</v>
      </c>
      <c r="U37" s="572">
        <f t="shared" si="104"/>
        <v>-1.6214444787521427</v>
      </c>
      <c r="V37" s="579">
        <f t="shared" si="141"/>
        <v>-0.15160045722697912</v>
      </c>
      <c r="W37" s="528">
        <f t="shared" si="253"/>
        <v>235.09996605576464</v>
      </c>
      <c r="X37" s="572">
        <f t="shared" si="105"/>
        <v>1.9770059626499845</v>
      </c>
      <c r="Y37" s="573">
        <f t="shared" si="255"/>
        <v>-0.15160045722697912</v>
      </c>
      <c r="Z37" s="575">
        <f t="shared" si="18"/>
        <v>-0.56150454674230432</v>
      </c>
      <c r="AA37" s="572">
        <f t="shared" si="19"/>
        <v>-0.78031413979500941</v>
      </c>
      <c r="AB37" s="572">
        <f t="shared" si="20"/>
        <v>-0.27535883356757246</v>
      </c>
      <c r="AC37" s="579">
        <f t="shared" si="106"/>
        <v>1</v>
      </c>
      <c r="AD37" s="580">
        <f t="shared" si="142"/>
        <v>-0.56150454674230432</v>
      </c>
      <c r="AE37" s="572">
        <f t="shared" si="107"/>
        <v>-0.78031413979500941</v>
      </c>
      <c r="AF37" s="576">
        <f t="shared" si="108"/>
        <v>-0.27535883356757246</v>
      </c>
      <c r="AG37" s="545">
        <f t="shared" si="109"/>
        <v>-70.562978960433597</v>
      </c>
      <c r="AH37" s="546">
        <f t="shared" si="110"/>
        <v>124.15991116184222</v>
      </c>
      <c r="AI37" s="528">
        <f t="shared" si="111"/>
        <v>-74.016600564455103</v>
      </c>
      <c r="AJ37" s="529">
        <f t="shared" si="112"/>
        <v>-35.73833069071722</v>
      </c>
      <c r="AK37" s="578">
        <f t="shared" si="238"/>
        <v>0.96126170705176617</v>
      </c>
      <c r="AL37" s="572">
        <f t="shared" si="113"/>
        <v>-1.2387224557196763E-2</v>
      </c>
      <c r="AM37" s="577">
        <f t="shared" si="114"/>
        <v>-0.27535883356757246</v>
      </c>
      <c r="AN37" s="524">
        <f t="shared" si="115"/>
        <v>-2.5757572038640517</v>
      </c>
      <c r="AO37" s="525">
        <f t="shared" si="116"/>
        <v>15.99999768988615</v>
      </c>
      <c r="AP37" s="528">
        <f t="shared" si="117"/>
        <v>-0.73829676092004681</v>
      </c>
      <c r="AQ37" s="529">
        <f t="shared" si="21"/>
        <v>1.1529651158188146</v>
      </c>
      <c r="AS37" s="932">
        <f t="shared" si="143"/>
        <v>-124.90003394423536</v>
      </c>
      <c r="AT37" s="928">
        <f t="shared" si="22"/>
        <v>-6.4794878109064424E-2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3.1080000000000001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2.2128313486880726</v>
      </c>
      <c r="C38" s="572">
        <f t="shared" si="3"/>
        <v>-1.5644557271060562</v>
      </c>
      <c r="D38" s="576">
        <f t="shared" si="4"/>
        <v>-0.22590068131645466</v>
      </c>
      <c r="E38" s="580">
        <f t="shared" si="5"/>
        <v>0.61490002874022676</v>
      </c>
      <c r="F38" s="572">
        <f t="shared" si="6"/>
        <v>0.74250720114108915</v>
      </c>
      <c r="G38" s="579">
        <f t="shared" si="7"/>
        <v>0.26567086951507235</v>
      </c>
      <c r="H38" s="580">
        <f t="shared" si="8"/>
        <v>0.3125</v>
      </c>
      <c r="I38" s="572">
        <f t="shared" si="9"/>
        <v>0.52</v>
      </c>
      <c r="J38" s="483">
        <f t="shared" si="10"/>
        <v>3.113</v>
      </c>
      <c r="K38" s="806">
        <f t="shared" si="11"/>
        <v>1613</v>
      </c>
      <c r="L38" s="309"/>
      <c r="M38" s="164">
        <f t="shared" si="12"/>
        <v>3.113</v>
      </c>
      <c r="N38" s="575">
        <f t="shared" si="13"/>
        <v>2.2128313486880726</v>
      </c>
      <c r="O38" s="572">
        <f t="shared" si="14"/>
        <v>-1.5644557271060562</v>
      </c>
      <c r="P38" s="576">
        <f t="shared" si="15"/>
        <v>-0.22590068131645466</v>
      </c>
      <c r="Q38" s="528">
        <f t="shared" si="140"/>
        <v>324.73996610774225</v>
      </c>
      <c r="R38" s="572">
        <f t="shared" si="101"/>
        <v>2.7100081733846513</v>
      </c>
      <c r="S38" s="577">
        <f t="shared" si="102"/>
        <v>-0.22590068131645466</v>
      </c>
      <c r="T38" s="578">
        <f t="shared" si="103"/>
        <v>-1.5605912275408191</v>
      </c>
      <c r="U38" s="572">
        <f t="shared" si="104"/>
        <v>-2.2155584669185</v>
      </c>
      <c r="V38" s="579">
        <f t="shared" si="141"/>
        <v>-0.22590068131645466</v>
      </c>
      <c r="W38" s="528">
        <f t="shared" si="253"/>
        <v>234.83996609330404</v>
      </c>
      <c r="X38" s="572">
        <f t="shared" si="105"/>
        <v>2.7100081733846513</v>
      </c>
      <c r="Y38" s="573">
        <f t="shared" si="255"/>
        <v>-0.22590068131645466</v>
      </c>
      <c r="Z38" s="575">
        <f t="shared" si="18"/>
        <v>-0.61490002874022676</v>
      </c>
      <c r="AA38" s="572">
        <f t="shared" si="19"/>
        <v>-0.74250720114108915</v>
      </c>
      <c r="AB38" s="572">
        <f t="shared" si="20"/>
        <v>-0.26567086951507235</v>
      </c>
      <c r="AC38" s="579">
        <f t="shared" si="106"/>
        <v>1</v>
      </c>
      <c r="AD38" s="580">
        <f t="shared" si="142"/>
        <v>-0.61490002874022676</v>
      </c>
      <c r="AE38" s="572">
        <f t="shared" si="107"/>
        <v>-0.74250720114108915</v>
      </c>
      <c r="AF38" s="576">
        <f t="shared" si="108"/>
        <v>-0.26567086951507235</v>
      </c>
      <c r="AG38" s="545">
        <f t="shared" si="109"/>
        <v>-70.312667952071848</v>
      </c>
      <c r="AH38" s="546">
        <f t="shared" si="110"/>
        <v>127.94465655912408</v>
      </c>
      <c r="AI38" s="528">
        <f t="shared" si="111"/>
        <v>-74.593180223992206</v>
      </c>
      <c r="AJ38" s="529">
        <f t="shared" si="112"/>
        <v>-39.629520385323517</v>
      </c>
      <c r="AK38" s="578">
        <f t="shared" si="238"/>
        <v>0.96126170705176617</v>
      </c>
      <c r="AL38" s="572">
        <f t="shared" si="113"/>
        <v>-7.3450116725774561E-2</v>
      </c>
      <c r="AM38" s="577">
        <f t="shared" si="114"/>
        <v>-0.26567086951507235</v>
      </c>
      <c r="AN38" s="524">
        <f t="shared" si="115"/>
        <v>-15.454543223185555</v>
      </c>
      <c r="AO38" s="525">
        <f t="shared" si="116"/>
        <v>15.99999768988615</v>
      </c>
      <c r="AP38" s="528">
        <f t="shared" si="117"/>
        <v>-4.36948649306576</v>
      </c>
      <c r="AQ38" s="529">
        <f t="shared" si="21"/>
        <v>0.84116456380235427</v>
      </c>
      <c r="AS38" s="932">
        <f t="shared" si="143"/>
        <v>-125.16003390669596</v>
      </c>
      <c r="AT38" s="928">
        <f t="shared" si="22"/>
        <v>-0.13891454666905345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3.113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2.7420225056937557</v>
      </c>
      <c r="C39" s="572">
        <f t="shared" si="3"/>
        <v>-1.9892751345179338</v>
      </c>
      <c r="D39" s="576">
        <f t="shared" si="4"/>
        <v>-0.53950162713690775</v>
      </c>
      <c r="E39" s="580">
        <f t="shared" si="5"/>
        <v>0.68602435738458867</v>
      </c>
      <c r="F39" s="572">
        <f t="shared" si="6"/>
        <v>0.67893483297099366</v>
      </c>
      <c r="G39" s="579">
        <f t="shared" si="7"/>
        <v>0.26156848750128753</v>
      </c>
      <c r="H39" s="580">
        <f t="shared" si="8"/>
        <v>0.3125</v>
      </c>
      <c r="I39" s="572">
        <f t="shared" si="9"/>
        <v>0.52</v>
      </c>
      <c r="J39" s="483">
        <f t="shared" si="10"/>
        <v>3.1190000000000002</v>
      </c>
      <c r="K39" s="806">
        <f t="shared" si="11"/>
        <v>1613</v>
      </c>
      <c r="L39" s="309"/>
      <c r="M39" s="164">
        <f t="shared" si="12"/>
        <v>3.1190000000000002</v>
      </c>
      <c r="N39" s="575">
        <f t="shared" si="13"/>
        <v>2.7420225056937557</v>
      </c>
      <c r="O39" s="572">
        <f t="shared" si="14"/>
        <v>-1.9892751345179338</v>
      </c>
      <c r="P39" s="576">
        <f t="shared" si="15"/>
        <v>-0.53950162713690775</v>
      </c>
      <c r="Q39" s="528">
        <f t="shared" si="140"/>
        <v>324.03996620880969</v>
      </c>
      <c r="R39" s="572">
        <f t="shared" si="101"/>
        <v>3.3876102170324152</v>
      </c>
      <c r="S39" s="577">
        <f t="shared" si="102"/>
        <v>-0.53950162713690775</v>
      </c>
      <c r="T39" s="578">
        <f t="shared" si="103"/>
        <v>-1.9844863757121394</v>
      </c>
      <c r="U39" s="572">
        <f t="shared" si="104"/>
        <v>-2.7454902671754828</v>
      </c>
      <c r="V39" s="579">
        <f t="shared" si="141"/>
        <v>-0.53950162713690775</v>
      </c>
      <c r="W39" s="528">
        <f t="shared" si="253"/>
        <v>234.13996619437148</v>
      </c>
      <c r="X39" s="572">
        <f t="shared" si="105"/>
        <v>3.3876102170324152</v>
      </c>
      <c r="Y39" s="573">
        <f t="shared" si="255"/>
        <v>-0.53950162713690775</v>
      </c>
      <c r="Z39" s="575">
        <f t="shared" si="18"/>
        <v>-0.68602435738458867</v>
      </c>
      <c r="AA39" s="572">
        <f t="shared" si="19"/>
        <v>-0.67893483297099366</v>
      </c>
      <c r="AB39" s="572">
        <f t="shared" si="20"/>
        <v>-0.26156848750128753</v>
      </c>
      <c r="AC39" s="579">
        <f t="shared" si="106"/>
        <v>1</v>
      </c>
      <c r="AD39" s="580">
        <f t="shared" si="142"/>
        <v>-0.68602435738458867</v>
      </c>
      <c r="AE39" s="572">
        <f t="shared" si="107"/>
        <v>-0.67893483297099366</v>
      </c>
      <c r="AF39" s="576">
        <f t="shared" si="108"/>
        <v>-0.26156848750128753</v>
      </c>
      <c r="AG39" s="545">
        <f t="shared" si="109"/>
        <v>-68.930170769847223</v>
      </c>
      <c r="AH39" s="546">
        <f t="shared" si="110"/>
        <v>133.31622039383217</v>
      </c>
      <c r="AI39" s="528">
        <f t="shared" si="111"/>
        <v>-74.836848985001666</v>
      </c>
      <c r="AJ39" s="529">
        <f t="shared" si="112"/>
        <v>-45.297588512454176</v>
      </c>
      <c r="AK39" s="578">
        <f t="shared" si="238"/>
        <v>0.95239581327955081</v>
      </c>
      <c r="AL39" s="572">
        <f t="shared" si="113"/>
        <v>-0.1566018556527089</v>
      </c>
      <c r="AM39" s="577">
        <f t="shared" si="114"/>
        <v>-0.26156848750128753</v>
      </c>
      <c r="AN39" s="524">
        <f t="shared" si="115"/>
        <v>-30.909086446370907</v>
      </c>
      <c r="AO39" s="525">
        <f t="shared" si="116"/>
        <v>17.74999743721742</v>
      </c>
      <c r="AP39" s="528">
        <f t="shared" si="117"/>
        <v>-9.3375547212638565</v>
      </c>
      <c r="AQ39" s="529">
        <f t="shared" si="21"/>
        <v>0.67292919265376783</v>
      </c>
      <c r="AS39" s="932">
        <f t="shared" si="143"/>
        <v>-125.86003380562852</v>
      </c>
      <c r="AT39" s="928">
        <f t="shared" si="22"/>
        <v>-0.45202938144858112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3.1190000000000002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3.1545046349089891</v>
      </c>
      <c r="C40" s="572">
        <f t="shared" si="3"/>
        <v>-2.3521547387147623</v>
      </c>
      <c r="D40" s="576">
        <f t="shared" si="4"/>
        <v>-1.0483031616823373</v>
      </c>
      <c r="E40" s="580">
        <f t="shared" si="5"/>
        <v>0.76740745897939355</v>
      </c>
      <c r="F40" s="572">
        <f t="shared" si="6"/>
        <v>0.5903645821984328</v>
      </c>
      <c r="G40" s="579">
        <f t="shared" si="7"/>
        <v>0.25011087938844329</v>
      </c>
      <c r="H40" s="580">
        <f t="shared" si="8"/>
        <v>0.3125</v>
      </c>
      <c r="I40" s="572">
        <f t="shared" si="9"/>
        <v>0.52</v>
      </c>
      <c r="J40" s="483">
        <f t="shared" si="10"/>
        <v>3.125</v>
      </c>
      <c r="K40" s="806">
        <f t="shared" si="11"/>
        <v>1613</v>
      </c>
      <c r="L40" s="309"/>
      <c r="M40" s="164">
        <f t="shared" si="12"/>
        <v>3.125</v>
      </c>
      <c r="N40" s="575">
        <f t="shared" si="13"/>
        <v>3.1545046349089891</v>
      </c>
      <c r="O40" s="572">
        <f t="shared" si="14"/>
        <v>-2.3521547387147623</v>
      </c>
      <c r="P40" s="576">
        <f t="shared" si="15"/>
        <v>-1.0483031616823373</v>
      </c>
      <c r="Q40" s="528">
        <f t="shared" si="140"/>
        <v>323.28996631709629</v>
      </c>
      <c r="R40" s="572">
        <f t="shared" si="101"/>
        <v>3.9349118676941934</v>
      </c>
      <c r="S40" s="577">
        <f t="shared" si="102"/>
        <v>-1.0483031616823373</v>
      </c>
      <c r="T40" s="578">
        <f t="shared" si="103"/>
        <v>-2.346645510555422</v>
      </c>
      <c r="U40" s="572">
        <f t="shared" si="104"/>
        <v>-3.1586051121200147</v>
      </c>
      <c r="V40" s="579">
        <f t="shared" si="141"/>
        <v>-1.0483031616823373</v>
      </c>
      <c r="W40" s="528">
        <f t="shared" si="253"/>
        <v>233.38996630265808</v>
      </c>
      <c r="X40" s="572">
        <f t="shared" si="105"/>
        <v>3.9349118676941934</v>
      </c>
      <c r="Y40" s="573">
        <f t="shared" si="255"/>
        <v>-1.0483031616823373</v>
      </c>
      <c r="Z40" s="575">
        <f t="shared" si="18"/>
        <v>-0.76740745897939355</v>
      </c>
      <c r="AA40" s="572">
        <f t="shared" si="19"/>
        <v>-0.5903645821984328</v>
      </c>
      <c r="AB40" s="572">
        <f t="shared" si="20"/>
        <v>-0.25011087938844329</v>
      </c>
      <c r="AC40" s="579">
        <f t="shared" si="106"/>
        <v>1</v>
      </c>
      <c r="AD40" s="580">
        <f t="shared" si="142"/>
        <v>-0.76740745897939355</v>
      </c>
      <c r="AE40" s="572">
        <f t="shared" si="107"/>
        <v>-0.5903645821984328</v>
      </c>
      <c r="AF40" s="576">
        <f t="shared" si="108"/>
        <v>-0.25011087938844329</v>
      </c>
      <c r="AG40" s="545">
        <f t="shared" si="109"/>
        <v>-67.039814764594425</v>
      </c>
      <c r="AH40" s="546">
        <f t="shared" si="110"/>
        <v>140.12164833372071</v>
      </c>
      <c r="AI40" s="528">
        <f t="shared" si="111"/>
        <v>-75.515926448463645</v>
      </c>
      <c r="AJ40" s="529">
        <f t="shared" si="112"/>
        <v>-52.429008688103892</v>
      </c>
      <c r="AK40" s="578">
        <f t="shared" si="238"/>
        <v>0.93200788869091755</v>
      </c>
      <c r="AL40" s="572">
        <f t="shared" si="113"/>
        <v>-0.26230867966851146</v>
      </c>
      <c r="AM40" s="577">
        <f t="shared" si="114"/>
        <v>-0.25011087938844329</v>
      </c>
      <c r="AN40" s="524">
        <f t="shared" si="115"/>
        <v>-46.363629669556452</v>
      </c>
      <c r="AO40" s="525">
        <f t="shared" si="116"/>
        <v>21.249996931880013</v>
      </c>
      <c r="AP40" s="528">
        <f t="shared" si="117"/>
        <v>-15.718975005200161</v>
      </c>
      <c r="AQ40" s="529">
        <f t="shared" si="21"/>
        <v>0.57933926223048593</v>
      </c>
      <c r="AS40" s="932">
        <f t="shared" si="143"/>
        <v>-126.61003369734192</v>
      </c>
      <c r="AT40" s="928">
        <f t="shared" si="22"/>
        <v>-0.96031008273587637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3.125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3.4316389230220281</v>
      </c>
      <c r="C41" s="572">
        <f t="shared" ref="C41:C54" si="258">IFERROR(R196+($A41*-F41),"")</f>
        <v>-2.612318958163157</v>
      </c>
      <c r="D41" s="576">
        <f t="shared" ref="D41:D54" si="259">IFERROR(S196+($A41*-G41),"")</f>
        <v>-1.6933051070082035</v>
      </c>
      <c r="E41" s="580">
        <f t="shared" ref="E41:E54" si="260">T196</f>
        <v>0.84370312617439136</v>
      </c>
      <c r="F41" s="572">
        <f t="shared" ref="F41:F54" si="261">U196</f>
        <v>0.49907061091148541</v>
      </c>
      <c r="G41" s="579">
        <f t="shared" ref="G41:G54" si="262">V196</f>
        <v>0.19772091494830785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3.1309999999999998</v>
      </c>
      <c r="K41" s="806">
        <f t="shared" ref="K41:K54" si="266">Z196</f>
        <v>1613</v>
      </c>
      <c r="L41" s="309"/>
      <c r="M41" s="164">
        <f t="shared" ref="M41:M72" si="267">IF(J41="","",VALUE(J41))</f>
        <v>3.1309999999999998</v>
      </c>
      <c r="N41" s="575">
        <f t="shared" ref="N41:N72" si="268">IF(M41="","",B41)</f>
        <v>3.4316389230220281</v>
      </c>
      <c r="O41" s="572">
        <f t="shared" ref="O41:O72" si="269">IF(M41="","",C41)</f>
        <v>-2.612318958163157</v>
      </c>
      <c r="P41" s="576">
        <f t="shared" ref="P41:P72" si="270">IF(M41="","",D41)</f>
        <v>-1.6933051070082035</v>
      </c>
      <c r="Q41" s="528">
        <f t="shared" si="140"/>
        <v>322.71996639939408</v>
      </c>
      <c r="R41" s="572">
        <f t="shared" si="101"/>
        <v>4.3128130074440314</v>
      </c>
      <c r="S41" s="577">
        <f t="shared" si="102"/>
        <v>-1.6933051070082035</v>
      </c>
      <c r="T41" s="578">
        <f t="shared" si="103"/>
        <v>-2.6063256434868962</v>
      </c>
      <c r="U41" s="572">
        <f t="shared" si="104"/>
        <v>-3.4361930500600586</v>
      </c>
      <c r="V41" s="579">
        <f t="shared" si="141"/>
        <v>-1.6933051070082035</v>
      </c>
      <c r="W41" s="528">
        <f t="shared" si="253"/>
        <v>232.81996638495588</v>
      </c>
      <c r="X41" s="572">
        <f t="shared" si="105"/>
        <v>4.3128130074440314</v>
      </c>
      <c r="Y41" s="573">
        <f t="shared" si="255"/>
        <v>-1.6933051070082035</v>
      </c>
      <c r="Z41" s="575">
        <f t="shared" ref="Z41:Z72" si="271">IF(M41="","",-E41)</f>
        <v>-0.84370312617439136</v>
      </c>
      <c r="AA41" s="572">
        <f t="shared" ref="AA41:AA72" si="272">IF(M41="","",-F41)</f>
        <v>-0.49907061091148541</v>
      </c>
      <c r="AB41" s="572">
        <f t="shared" ref="AB41:AB72" si="273">IF(M41="","",-G41)</f>
        <v>-0.19772091494830785</v>
      </c>
      <c r="AC41" s="579">
        <f t="shared" si="106"/>
        <v>1</v>
      </c>
      <c r="AD41" s="580">
        <f t="shared" si="142"/>
        <v>-0.84370312617439136</v>
      </c>
      <c r="AE41" s="572">
        <f t="shared" si="107"/>
        <v>-0.49907061091148541</v>
      </c>
      <c r="AF41" s="576">
        <f t="shared" si="108"/>
        <v>-0.19772091494830785</v>
      </c>
      <c r="AG41" s="545">
        <f t="shared" si="109"/>
        <v>-68.387606915051677</v>
      </c>
      <c r="AH41" s="546">
        <f t="shared" si="110"/>
        <v>147.53325166765308</v>
      </c>
      <c r="AI41" s="528">
        <f t="shared" si="111"/>
        <v>-78.596284111568053</v>
      </c>
      <c r="AJ41" s="529">
        <f t="shared" si="112"/>
        <v>-59.394668487813995</v>
      </c>
      <c r="AK41" s="578">
        <f t="shared" si="238"/>
        <v>0.90814319993630011</v>
      </c>
      <c r="AL41" s="572">
        <f t="shared" si="113"/>
        <v>-0.36902895306664157</v>
      </c>
      <c r="AM41" s="577">
        <f t="shared" si="114"/>
        <v>-0.19772091494830785</v>
      </c>
      <c r="AN41" s="524">
        <f t="shared" si="115"/>
        <v>-61.818172892741991</v>
      </c>
      <c r="AO41" s="525">
        <f t="shared" si="116"/>
        <v>24.749996426542594</v>
      </c>
      <c r="AP41" s="528">
        <f t="shared" si="117"/>
        <v>-22.114634887208087</v>
      </c>
      <c r="AQ41" s="529">
        <f t="shared" ref="AQ41:AQ72" si="274">IF(M41="","",DEGREES(ATAN(($AS$5*SIN(RADIANS(90)))/(($X41*2*PI())-($AS$5*COS(RADIANS(90)))))))</f>
        <v>0.5285789002980209</v>
      </c>
      <c r="AS41" s="932">
        <f t="shared" si="143"/>
        <v>-127.18003361504412</v>
      </c>
      <c r="AT41" s="928">
        <f t="shared" ref="AT41:AT72" si="275">IF(M41="","",Y41+(((AS41-$AS$9)*$AS$6)*-1))</f>
        <v>-1.6049161947855604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3.1309999999999998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</v>
      </c>
      <c r="B42" s="578">
        <f t="shared" si="257"/>
        <v>3.5683312521460833</v>
      </c>
      <c r="C42" s="572">
        <f t="shared" si="258"/>
        <v>-2.7460045747777593</v>
      </c>
      <c r="D42" s="576">
        <f t="shared" si="259"/>
        <v>-2.416707288789183</v>
      </c>
      <c r="E42" s="580">
        <f t="shared" si="260"/>
        <v>0.90311836597710105</v>
      </c>
      <c r="F42" s="572">
        <f t="shared" si="261"/>
        <v>0.41653744632549067</v>
      </c>
      <c r="G42" s="579">
        <f t="shared" si="262"/>
        <v>0.10427738414196087</v>
      </c>
      <c r="H42" s="580">
        <f t="shared" si="263"/>
        <v>0.3125</v>
      </c>
      <c r="I42" s="572">
        <f t="shared" si="264"/>
        <v>0.52</v>
      </c>
      <c r="J42" s="483">
        <f t="shared" si="265"/>
        <v>3.137</v>
      </c>
      <c r="K42" s="806">
        <f t="shared" si="266"/>
        <v>1613</v>
      </c>
      <c r="L42" s="309"/>
      <c r="M42" s="164">
        <f t="shared" si="267"/>
        <v>3.137</v>
      </c>
      <c r="N42" s="575">
        <f t="shared" si="268"/>
        <v>3.5683312521460833</v>
      </c>
      <c r="O42" s="572">
        <f t="shared" si="269"/>
        <v>-2.7460045747777593</v>
      </c>
      <c r="P42" s="576">
        <f t="shared" si="270"/>
        <v>-2.416707288789183</v>
      </c>
      <c r="Q42" s="528">
        <f t="shared" si="140"/>
        <v>322.41996644270876</v>
      </c>
      <c r="R42" s="572">
        <f t="shared" ref="R42:R47" si="439">IF(M42="","",SQRT(N42^2+O42^2))</f>
        <v>4.5026135798825573</v>
      </c>
      <c r="S42" s="577">
        <f t="shared" ref="S42:S47" si="440">IF(M42="","",P42)</f>
        <v>-2.416707288789183</v>
      </c>
      <c r="T42" s="578">
        <f t="shared" ref="T42:T47" si="441">IF(M42="","",X42*COS(RADIANS(W42)))</f>
        <v>-2.7397724835217927</v>
      </c>
      <c r="U42" s="572">
        <f t="shared" ref="U42:U47" si="442">IF(M42="","",X42*SIN(RADIANS(W42)))</f>
        <v>-3.5731184962550078</v>
      </c>
      <c r="V42" s="579">
        <f t="shared" ref="V42:V47" si="443">IF(M42="","",Y42)</f>
        <v>-2.416707288789183</v>
      </c>
      <c r="W42" s="528">
        <f t="shared" si="253"/>
        <v>232.51996642827055</v>
      </c>
      <c r="X42" s="572">
        <f t="shared" ref="X42:X47" si="444">IF(M42="","",R42)</f>
        <v>4.5026135798825573</v>
      </c>
      <c r="Y42" s="573">
        <f t="shared" si="255"/>
        <v>-2.416707288789183</v>
      </c>
      <c r="Z42" s="575">
        <f t="shared" si="271"/>
        <v>-0.90311836597710105</v>
      </c>
      <c r="AA42" s="572">
        <f t="shared" si="272"/>
        <v>-0.41653744632549067</v>
      </c>
      <c r="AB42" s="572">
        <f t="shared" si="273"/>
        <v>-0.10427738414196087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-0.90311836597710105</v>
      </c>
      <c r="AE42" s="572">
        <f t="shared" ref="AE42:AE47" si="447">IF(M42="","",AA42*(1/SQRT(Z42^2+AA42^2+AB42^2)))</f>
        <v>-0.41653744632549067</v>
      </c>
      <c r="AF42" s="576">
        <f t="shared" ref="AF42:AF47" si="448">IF(M42="","",AB42*(1/SQRT(Z42^2+AA42^2+AB42^2)))</f>
        <v>-0.10427738414196087</v>
      </c>
      <c r="AG42" s="545">
        <f t="shared" ref="AG42:AG47" si="449">IF(M42="","",DEGREES(ATAN2(-AF42,AE42)))</f>
        <v>-75.945242155536448</v>
      </c>
      <c r="AH42" s="546">
        <f t="shared" ref="AH42:AH47" si="450">IF(M42="","",DEGREES(ACOS(AD42)))</f>
        <v>154.5710390155669</v>
      </c>
      <c r="AI42" s="528">
        <f t="shared" ref="AI42:AI47" si="451">IF(M42="","",DEGREES(-ACOS(-AF42)))</f>
        <v>-84.014464823337505</v>
      </c>
      <c r="AJ42" s="529">
        <f t="shared" ref="AJ42:AJ47" si="452">IF(M42="","",DEGREES(ATAN2(-AE42,AD42)))</f>
        <v>-65.239841051939891</v>
      </c>
      <c r="AK42" s="578">
        <f t="shared" ref="AK42:AK47" si="453">IF(M42="","",(COS(RADIANS((90-$Q$8)-W42))*AD42)+(-SIN(RADIANS((90-$Q$8)-W42))*AE42))</f>
        <v>0.88089077190025245</v>
      </c>
      <c r="AL42" s="572">
        <f t="shared" ref="AL42:AL47" si="454">IF(M42="","",(SIN(RADIANS((90-$Q$8)-W42))*AD42)+(COS(RADIANS((90-$Q$8)-W42))*AE42))</f>
        <v>-0.46169002061717512</v>
      </c>
      <c r="AM42" s="577">
        <f t="shared" ref="AM42:AM47" si="455">IF(M42="","",AF42)</f>
        <v>-0.10427738414196087</v>
      </c>
      <c r="AN42" s="524">
        <f t="shared" ref="AN42:AN47" si="456">IF(M42="","",DEGREES(ATAN2(-AM42,AL42)))</f>
        <v>-77.272716115927437</v>
      </c>
      <c r="AO42" s="525">
        <f t="shared" si="116"/>
        <v>28.249995921205201</v>
      </c>
      <c r="AP42" s="528">
        <f t="shared" ref="AP42:AP47" si="457">IF(M42="","",DEGREES(ATAN2(AK42,AL42)))</f>
        <v>-27.659807494648629</v>
      </c>
      <c r="AQ42" s="529">
        <f t="shared" si="274"/>
        <v>0.50629867600637046</v>
      </c>
      <c r="AS42" s="932">
        <f t="shared" si="143"/>
        <v>-127.48003357172945</v>
      </c>
      <c r="AT42" s="928">
        <f t="shared" si="275"/>
        <v>-2.3281100432632864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3.137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</v>
      </c>
      <c r="B43" s="578">
        <f t="shared" si="257"/>
        <v>3.6141060889210723</v>
      </c>
      <c r="C43" s="572">
        <f t="shared" si="258"/>
        <v>-2.7912873756422316</v>
      </c>
      <c r="D43" s="576">
        <f t="shared" si="259"/>
        <v>-3.2232097212005186</v>
      </c>
      <c r="E43" s="580">
        <f t="shared" si="260"/>
        <v>0.92357156568542642</v>
      </c>
      <c r="F43" s="572">
        <f t="shared" si="261"/>
        <v>0.38094162726401443</v>
      </c>
      <c r="G43" s="579">
        <f t="shared" si="262"/>
        <v>4.3577972357774691E-2</v>
      </c>
      <c r="H43" s="580">
        <f t="shared" si="263"/>
        <v>0.3125</v>
      </c>
      <c r="I43" s="572">
        <f t="shared" si="264"/>
        <v>0.52</v>
      </c>
      <c r="J43" s="483">
        <f t="shared" si="265"/>
        <v>3.1429999999999998</v>
      </c>
      <c r="K43" s="806">
        <f t="shared" si="266"/>
        <v>1613</v>
      </c>
      <c r="L43" s="309"/>
      <c r="M43" s="164">
        <f t="shared" si="267"/>
        <v>3.1429999999999998</v>
      </c>
      <c r="N43" s="575">
        <f t="shared" si="268"/>
        <v>3.6141060889210723</v>
      </c>
      <c r="O43" s="572">
        <f t="shared" si="269"/>
        <v>-2.7912873756422316</v>
      </c>
      <c r="P43" s="576">
        <f t="shared" si="270"/>
        <v>-3.2232097212005186</v>
      </c>
      <c r="Q43" s="528">
        <f t="shared" si="140"/>
        <v>322.31996645714696</v>
      </c>
      <c r="R43" s="572">
        <f t="shared" si="439"/>
        <v>4.5665137726055383</v>
      </c>
      <c r="S43" s="577">
        <f t="shared" si="440"/>
        <v>-3.2232097212005186</v>
      </c>
      <c r="T43" s="578">
        <f t="shared" si="441"/>
        <v>-2.7849753233071199</v>
      </c>
      <c r="U43" s="572">
        <f t="shared" si="442"/>
        <v>-3.6189722966563957</v>
      </c>
      <c r="V43" s="579">
        <f t="shared" si="443"/>
        <v>-3.2232097212005186</v>
      </c>
      <c r="W43" s="528">
        <f t="shared" si="253"/>
        <v>232.41996644270876</v>
      </c>
      <c r="X43" s="572">
        <f t="shared" si="444"/>
        <v>4.5665137726055383</v>
      </c>
      <c r="Y43" s="573">
        <f t="shared" si="255"/>
        <v>-3.2232097212005186</v>
      </c>
      <c r="Z43" s="575">
        <f t="shared" si="271"/>
        <v>-0.92357156568542642</v>
      </c>
      <c r="AA43" s="572">
        <f t="shared" si="272"/>
        <v>-0.38094162726401443</v>
      </c>
      <c r="AB43" s="572">
        <f t="shared" si="273"/>
        <v>-4.3577972357774691E-2</v>
      </c>
      <c r="AC43" s="579">
        <f t="shared" si="445"/>
        <v>1</v>
      </c>
      <c r="AD43" s="580">
        <f t="shared" si="446"/>
        <v>-0.92357156568542642</v>
      </c>
      <c r="AE43" s="572">
        <f t="shared" si="447"/>
        <v>-0.38094162726401443</v>
      </c>
      <c r="AF43" s="576">
        <f t="shared" si="448"/>
        <v>-4.3577972357774691E-2</v>
      </c>
      <c r="AG43" s="545">
        <f t="shared" si="449"/>
        <v>-83.473994446324539</v>
      </c>
      <c r="AH43" s="546">
        <f t="shared" si="450"/>
        <v>157.45393557190076</v>
      </c>
      <c r="AI43" s="528">
        <f t="shared" si="451"/>
        <v>-87.502375163624521</v>
      </c>
      <c r="AJ43" s="529">
        <f t="shared" si="452"/>
        <v>-67.585530161905382</v>
      </c>
      <c r="AK43" s="578">
        <f t="shared" si="453"/>
        <v>0.86602544158358574</v>
      </c>
      <c r="AL43" s="572">
        <f t="shared" si="454"/>
        <v>-0.49809727449077706</v>
      </c>
      <c r="AM43" s="577">
        <f t="shared" si="455"/>
        <v>-4.3577972357774691E-2</v>
      </c>
      <c r="AN43" s="524">
        <f t="shared" si="456"/>
        <v>-84.999987727520192</v>
      </c>
      <c r="AO43" s="525">
        <f t="shared" si="116"/>
        <v>29.99999566853651</v>
      </c>
      <c r="AP43" s="528">
        <f t="shared" si="457"/>
        <v>-29.905496619052304</v>
      </c>
      <c r="AQ43" s="529">
        <f t="shared" si="274"/>
        <v>0.49921429268422735</v>
      </c>
      <c r="AS43" s="932">
        <f t="shared" ref="AS43:AS74" si="461">IF(G43="","",IF(AND(W43&lt;(AS42+180),W43&gt;(AS42-180)),W43,IF(W43&gt;(AS42+180),W43-360,IF(W43&lt;(AS42-180),W43+360,"Error"))))</f>
        <v>-127.58003355729124</v>
      </c>
      <c r="AT43" s="928">
        <f t="shared" si="275"/>
        <v>-3.1345430312402041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3.1429999999999998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</v>
      </c>
      <c r="B44" s="578">
        <f t="shared" si="257"/>
        <v>1.6294167331873406</v>
      </c>
      <c r="C44" s="572">
        <f t="shared" si="258"/>
        <v>-2.1741546989866811</v>
      </c>
      <c r="D44" s="576">
        <f t="shared" si="259"/>
        <v>-0.21064431748317111</v>
      </c>
      <c r="E44" s="580">
        <f t="shared" si="260"/>
        <v>0.81326230291726842</v>
      </c>
      <c r="F44" s="572">
        <f t="shared" si="261"/>
        <v>0.51770977945641194</v>
      </c>
      <c r="G44" s="579">
        <f t="shared" si="262"/>
        <v>0.26567086951507241</v>
      </c>
      <c r="H44" s="580">
        <f t="shared" si="263"/>
        <v>0.26450000000000001</v>
      </c>
      <c r="I44" s="572">
        <f t="shared" si="264"/>
        <v>0.39400000000000002</v>
      </c>
      <c r="J44" s="483">
        <f t="shared" si="265"/>
        <v>3.2130000000000001</v>
      </c>
      <c r="K44" s="806">
        <f t="shared" si="266"/>
        <v>1310</v>
      </c>
      <c r="L44" s="309"/>
      <c r="M44" s="164">
        <f t="shared" si="267"/>
        <v>3.2130000000000001</v>
      </c>
      <c r="N44" s="575">
        <f t="shared" si="268"/>
        <v>1.6294167331873406</v>
      </c>
      <c r="O44" s="572">
        <f t="shared" si="269"/>
        <v>-2.1741546989866811</v>
      </c>
      <c r="P44" s="576">
        <f t="shared" si="270"/>
        <v>-0.21064431748317111</v>
      </c>
      <c r="Q44" s="528">
        <f t="shared" si="140"/>
        <v>306.84966504355913</v>
      </c>
      <c r="R44" s="572">
        <f t="shared" si="439"/>
        <v>2.7169739685018643</v>
      </c>
      <c r="S44" s="577">
        <f t="shared" si="440"/>
        <v>-0.21064431748317111</v>
      </c>
      <c r="T44" s="578">
        <f t="shared" si="441"/>
        <v>-2.1713075207278068</v>
      </c>
      <c r="U44" s="572">
        <f t="shared" si="442"/>
        <v>-1.6332088647652006</v>
      </c>
      <c r="V44" s="579">
        <f t="shared" si="443"/>
        <v>-0.21064431748317111</v>
      </c>
      <c r="W44" s="528">
        <f t="shared" si="253"/>
        <v>216.94966502912092</v>
      </c>
      <c r="X44" s="572">
        <f t="shared" si="444"/>
        <v>2.7169739685018643</v>
      </c>
      <c r="Y44" s="573">
        <f t="shared" si="255"/>
        <v>-0.21064431748317111</v>
      </c>
      <c r="Z44" s="575">
        <f t="shared" si="271"/>
        <v>-0.81326230291726842</v>
      </c>
      <c r="AA44" s="572">
        <f t="shared" si="272"/>
        <v>-0.51770977945641194</v>
      </c>
      <c r="AB44" s="572">
        <f t="shared" si="273"/>
        <v>-0.26567086951507241</v>
      </c>
      <c r="AC44" s="579">
        <f t="shared" si="445"/>
        <v>1</v>
      </c>
      <c r="AD44" s="580">
        <f t="shared" si="446"/>
        <v>-0.81326230291726842</v>
      </c>
      <c r="AE44" s="572">
        <f t="shared" si="447"/>
        <v>-0.51770977945641194</v>
      </c>
      <c r="AF44" s="576">
        <f t="shared" si="448"/>
        <v>-0.26567086951507241</v>
      </c>
      <c r="AG44" s="545">
        <f t="shared" si="449"/>
        <v>-62.8346637428482</v>
      </c>
      <c r="AH44" s="546">
        <f t="shared" si="450"/>
        <v>144.41590293199886</v>
      </c>
      <c r="AI44" s="528">
        <f t="shared" si="451"/>
        <v>-74.593180223992206</v>
      </c>
      <c r="AJ44" s="529">
        <f t="shared" si="452"/>
        <v>-57.519821449506622</v>
      </c>
      <c r="AK44" s="578">
        <f t="shared" si="453"/>
        <v>0.96126170705176628</v>
      </c>
      <c r="AL44" s="572">
        <f t="shared" si="454"/>
        <v>-7.3450116725774617E-2</v>
      </c>
      <c r="AM44" s="577">
        <f t="shared" si="455"/>
        <v>-0.26567086951507241</v>
      </c>
      <c r="AN44" s="524">
        <f t="shared" si="456"/>
        <v>-15.454543223185564</v>
      </c>
      <c r="AO44" s="525">
        <f t="shared" si="116"/>
        <v>15.999997689886136</v>
      </c>
      <c r="AP44" s="528">
        <f t="shared" si="457"/>
        <v>-4.3694864930657618</v>
      </c>
      <c r="AQ44" s="529">
        <f t="shared" si="274"/>
        <v>0.83900828942587447</v>
      </c>
      <c r="AS44" s="932">
        <f t="shared" si="461"/>
        <v>-143.05033497087908</v>
      </c>
      <c r="AT44" s="928">
        <f t="shared" si="275"/>
        <v>-0.11123436265230939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3.2130000000000001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3.113</v>
      </c>
      <c r="IK44" s="677" cm="1">
        <f t="array" ref="IK44">IFERROR(ROUND(VALUE(IF($IJ44&lt;1,$IJ44+LARGE((IF($M$9:$M$150="",0,$M$9:$M$150)-MOD(IF($M$9:$M$150="",0,$M$9:$M$150),1)),1),$IJ44)),4),"")</f>
        <v>3.113</v>
      </c>
      <c r="IL44" s="482">
        <f t="shared" si="426"/>
        <v>1613</v>
      </c>
      <c r="IM44" s="482">
        <f t="shared" si="237"/>
        <v>1310</v>
      </c>
      <c r="IN44" s="670">
        <f t="shared" si="427"/>
        <v>17.89030106418312</v>
      </c>
      <c r="IO44" s="702">
        <v>2.94443463736818E-2</v>
      </c>
      <c r="IP44" s="5">
        <f t="shared" si="428"/>
        <v>0.57999999999999996</v>
      </c>
      <c r="IQ44" s="714">
        <v>290</v>
      </c>
      <c r="IR44" s="9">
        <f t="shared" si="429"/>
        <v>-2.7100081733846513</v>
      </c>
      <c r="IS44" s="5">
        <f t="shared" si="430"/>
        <v>-0.22590068131645466</v>
      </c>
      <c r="IT44" s="5">
        <f t="shared" si="431"/>
        <v>0.3125</v>
      </c>
      <c r="IU44" s="5">
        <f t="shared" si="432"/>
        <v>0.30039428345367691</v>
      </c>
      <c r="IV44" s="670">
        <f t="shared" si="433"/>
        <v>15.454543223185555</v>
      </c>
      <c r="IW44" s="9">
        <f t="shared" si="434"/>
        <v>-2.7169739685018643</v>
      </c>
      <c r="IX44" s="5">
        <f t="shared" si="435"/>
        <v>-0.21064431748317111</v>
      </c>
      <c r="IY44" s="5">
        <f t="shared" si="436"/>
        <v>0.26450000000000001</v>
      </c>
      <c r="IZ44" s="5">
        <f t="shared" si="437"/>
        <v>0.25425372151519221</v>
      </c>
      <c r="JA44" s="705">
        <f t="shared" si="438"/>
        <v>15.454543223185564</v>
      </c>
    </row>
    <row r="45" spans="1:269" ht="15" customHeight="1" x14ac:dyDescent="0.25">
      <c r="A45" s="75">
        <f t="shared" si="256"/>
        <v>0</v>
      </c>
      <c r="B45" s="578">
        <f t="shared" si="257"/>
        <v>2.1775292622057516</v>
      </c>
      <c r="C45" s="572">
        <f t="shared" si="258"/>
        <v>-2.6122670937719219</v>
      </c>
      <c r="D45" s="576">
        <f t="shared" si="259"/>
        <v>-0.52534193776732396</v>
      </c>
      <c r="E45" s="580">
        <f t="shared" si="260"/>
        <v>0.83183403080432317</v>
      </c>
      <c r="F45" s="572">
        <f t="shared" si="261"/>
        <v>0.4895243319204074</v>
      </c>
      <c r="G45" s="579">
        <f t="shared" si="262"/>
        <v>0.26156848750128775</v>
      </c>
      <c r="H45" s="580">
        <f t="shared" si="263"/>
        <v>0.26450000000000001</v>
      </c>
      <c r="I45" s="572">
        <f t="shared" si="264"/>
        <v>0.52</v>
      </c>
      <c r="J45" s="483">
        <f t="shared" si="265"/>
        <v>3.2189999999999999</v>
      </c>
      <c r="K45" s="806">
        <f t="shared" si="266"/>
        <v>1313</v>
      </c>
      <c r="L45" s="309"/>
      <c r="M45" s="164">
        <f t="shared" si="267"/>
        <v>3.2189999999999999</v>
      </c>
      <c r="N45" s="575">
        <f t="shared" si="268"/>
        <v>2.1775292622057516</v>
      </c>
      <c r="O45" s="572">
        <f t="shared" si="269"/>
        <v>-2.6122670937719219</v>
      </c>
      <c r="P45" s="576">
        <f t="shared" si="270"/>
        <v>-0.52534193776732396</v>
      </c>
      <c r="Q45" s="528">
        <f t="shared" si="140"/>
        <v>309.81385465502558</v>
      </c>
      <c r="R45" s="572">
        <f t="shared" si="439"/>
        <v>3.4008194684466755</v>
      </c>
      <c r="S45" s="577">
        <f t="shared" si="440"/>
        <v>-0.52534193776732396</v>
      </c>
      <c r="T45" s="578">
        <f t="shared" si="441"/>
        <v>-2.608462612023593</v>
      </c>
      <c r="U45" s="572">
        <f t="shared" si="442"/>
        <v>-2.1820852088406135</v>
      </c>
      <c r="V45" s="579">
        <f t="shared" si="443"/>
        <v>-0.52534193776732396</v>
      </c>
      <c r="W45" s="528">
        <f t="shared" si="253"/>
        <v>219.91385464058737</v>
      </c>
      <c r="X45" s="572">
        <f t="shared" si="444"/>
        <v>3.4008194684466755</v>
      </c>
      <c r="Y45" s="573">
        <f t="shared" si="255"/>
        <v>-0.52534193776732396</v>
      </c>
      <c r="Z45" s="575">
        <f t="shared" si="271"/>
        <v>-0.83183403080432317</v>
      </c>
      <c r="AA45" s="572">
        <f t="shared" si="272"/>
        <v>-0.4895243319204074</v>
      </c>
      <c r="AB45" s="572">
        <f t="shared" si="273"/>
        <v>-0.26156848750128775</v>
      </c>
      <c r="AC45" s="579">
        <f t="shared" si="445"/>
        <v>1</v>
      </c>
      <c r="AD45" s="580">
        <f t="shared" si="446"/>
        <v>-0.83183403080432317</v>
      </c>
      <c r="AE45" s="572">
        <f t="shared" si="447"/>
        <v>-0.4895243319204074</v>
      </c>
      <c r="AF45" s="576">
        <f t="shared" si="448"/>
        <v>-0.26156848750128775</v>
      </c>
      <c r="AG45" s="545">
        <f t="shared" si="449"/>
        <v>-61.882986107195052</v>
      </c>
      <c r="AH45" s="546">
        <f t="shared" si="450"/>
        <v>146.28760083063946</v>
      </c>
      <c r="AI45" s="528">
        <f t="shared" si="451"/>
        <v>-74.836848985001666</v>
      </c>
      <c r="AJ45" s="529">
        <f t="shared" si="452"/>
        <v>-59.523700066238334</v>
      </c>
      <c r="AK45" s="578">
        <f t="shared" si="453"/>
        <v>0.9523958132795507</v>
      </c>
      <c r="AL45" s="572">
        <f t="shared" si="454"/>
        <v>-0.15660185565270962</v>
      </c>
      <c r="AM45" s="577">
        <f t="shared" si="455"/>
        <v>-0.26156848750128775</v>
      </c>
      <c r="AN45" s="524">
        <f t="shared" si="456"/>
        <v>-30.909086446370996</v>
      </c>
      <c r="AO45" s="525">
        <f t="shared" si="116"/>
        <v>17.749997437217445</v>
      </c>
      <c r="AP45" s="528">
        <f t="shared" si="457"/>
        <v>-9.3375547212638992</v>
      </c>
      <c r="AQ45" s="529">
        <f t="shared" si="274"/>
        <v>0.67031568190380386</v>
      </c>
      <c r="AS45" s="932">
        <f t="shared" si="461"/>
        <v>-140.08614535941263</v>
      </c>
      <c r="AT45" s="928">
        <f t="shared" si="275"/>
        <v>-0.42799044794442509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>Nose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3.2189999999999999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3.1190000000000002</v>
      </c>
      <c r="IK45" s="677" cm="1">
        <f t="array" ref="IK45">IFERROR(ROUND(VALUE(IF($IJ45&lt;1,$IJ45+LARGE((IF($M$9:$M$150="",0,$M$9:$M$150)-MOD(IF($M$9:$M$150="",0,$M$9:$M$150),1)),1),$IJ45)),4),"")</f>
        <v>3.1190000000000002</v>
      </c>
      <c r="IL45" s="482">
        <f t="shared" si="426"/>
        <v>1613</v>
      </c>
      <c r="IM45" s="482">
        <f t="shared" si="237"/>
        <v>1313</v>
      </c>
      <c r="IN45" s="670">
        <f t="shared" si="427"/>
        <v>14.226111553784108</v>
      </c>
      <c r="IO45" s="702">
        <v>2.6487742354027899E-2</v>
      </c>
      <c r="IP45" s="5">
        <f t="shared" si="428"/>
        <v>0.72</v>
      </c>
      <c r="IQ45" s="714">
        <v>360</v>
      </c>
      <c r="IR45" s="9">
        <f t="shared" si="429"/>
        <v>-3.3876102170324152</v>
      </c>
      <c r="IS45" s="5">
        <f t="shared" si="430"/>
        <v>-0.53950162713690775</v>
      </c>
      <c r="IT45" s="5">
        <f t="shared" si="431"/>
        <v>0.3125</v>
      </c>
      <c r="IU45" s="5">
        <f t="shared" si="432"/>
        <v>0.29762369164985963</v>
      </c>
      <c r="IV45" s="670">
        <f t="shared" si="433"/>
        <v>30.909086446370907</v>
      </c>
      <c r="IW45" s="9">
        <f t="shared" si="434"/>
        <v>-3.4008194684466755</v>
      </c>
      <c r="IX45" s="5">
        <f t="shared" si="435"/>
        <v>-0.52534193776732396</v>
      </c>
      <c r="IY45" s="5">
        <f t="shared" si="436"/>
        <v>0.26450000000000001</v>
      </c>
      <c r="IZ45" s="5">
        <f t="shared" si="437"/>
        <v>0.2519086926124412</v>
      </c>
      <c r="JA45" s="705">
        <f t="shared" si="438"/>
        <v>30.909086446370996</v>
      </c>
    </row>
    <row r="46" spans="1:269" ht="15" customHeight="1" x14ac:dyDescent="0.25">
      <c r="A46" s="75">
        <f t="shared" si="256"/>
        <v>0</v>
      </c>
      <c r="B46" s="578">
        <f t="shared" si="257"/>
        <v>2.5972185933794902</v>
      </c>
      <c r="C46" s="572">
        <f t="shared" si="258"/>
        <v>-2.9797982947737398</v>
      </c>
      <c r="D46" s="576">
        <f t="shared" si="259"/>
        <v>-1.0380187806695818</v>
      </c>
      <c r="E46" s="580">
        <f t="shared" si="260"/>
        <v>0.87493822857638981</v>
      </c>
      <c r="F46" s="572">
        <f t="shared" si="261"/>
        <v>0.41464158521203415</v>
      </c>
      <c r="G46" s="579">
        <f t="shared" si="262"/>
        <v>0.2501108793884434</v>
      </c>
      <c r="H46" s="580">
        <f t="shared" si="263"/>
        <v>0.26450000000000001</v>
      </c>
      <c r="I46" s="572">
        <f t="shared" si="264"/>
        <v>0.52</v>
      </c>
      <c r="J46" s="483">
        <f t="shared" si="265"/>
        <v>3.2250000000000001</v>
      </c>
      <c r="K46" s="806">
        <f t="shared" si="266"/>
        <v>1313</v>
      </c>
      <c r="L46" s="309"/>
      <c r="M46" s="164">
        <f t="shared" si="267"/>
        <v>3.2250000000000001</v>
      </c>
      <c r="N46" s="575">
        <f t="shared" si="268"/>
        <v>2.5972185933794902</v>
      </c>
      <c r="O46" s="572">
        <f t="shared" si="269"/>
        <v>-2.9797982947737398</v>
      </c>
      <c r="P46" s="576">
        <f t="shared" si="270"/>
        <v>-1.0380187806695818</v>
      </c>
      <c r="Q46" s="528">
        <f t="shared" si="140"/>
        <v>311.07569514748678</v>
      </c>
      <c r="R46" s="572">
        <f t="shared" si="439"/>
        <v>3.9528144782335315</v>
      </c>
      <c r="S46" s="577">
        <f t="shared" si="440"/>
        <v>-1.0380187806695818</v>
      </c>
      <c r="T46" s="578">
        <f t="shared" si="441"/>
        <v>-2.9752607576548806</v>
      </c>
      <c r="U46" s="572">
        <f t="shared" si="442"/>
        <v>-2.6024153633291385</v>
      </c>
      <c r="V46" s="579">
        <f t="shared" si="443"/>
        <v>-1.0380187806695818</v>
      </c>
      <c r="W46" s="528">
        <f t="shared" si="253"/>
        <v>221.17569513304858</v>
      </c>
      <c r="X46" s="572">
        <f t="shared" si="444"/>
        <v>3.9528144782335315</v>
      </c>
      <c r="Y46" s="573">
        <f t="shared" si="255"/>
        <v>-1.0380187806695818</v>
      </c>
      <c r="Z46" s="575">
        <f t="shared" si="271"/>
        <v>-0.87493822857638981</v>
      </c>
      <c r="AA46" s="572">
        <f t="shared" si="272"/>
        <v>-0.41464158521203415</v>
      </c>
      <c r="AB46" s="572">
        <f t="shared" si="273"/>
        <v>-0.2501108793884434</v>
      </c>
      <c r="AC46" s="579">
        <f t="shared" si="445"/>
        <v>1</v>
      </c>
      <c r="AD46" s="580">
        <f t="shared" si="446"/>
        <v>-0.87493822857638981</v>
      </c>
      <c r="AE46" s="572">
        <f t="shared" si="447"/>
        <v>-0.41464158521203415</v>
      </c>
      <c r="AF46" s="576">
        <f t="shared" si="448"/>
        <v>-0.2501108793884434</v>
      </c>
      <c r="AG46" s="545">
        <f t="shared" si="449"/>
        <v>-58.901713872957664</v>
      </c>
      <c r="AH46" s="546">
        <f t="shared" si="450"/>
        <v>151.03766584432427</v>
      </c>
      <c r="AI46" s="528">
        <f t="shared" si="451"/>
        <v>-75.515926448463631</v>
      </c>
      <c r="AJ46" s="529">
        <f t="shared" si="452"/>
        <v>-64.643279857713409</v>
      </c>
      <c r="AK46" s="578">
        <f t="shared" si="453"/>
        <v>0.93200788869091733</v>
      </c>
      <c r="AL46" s="572">
        <f t="shared" si="454"/>
        <v>-0.2623086796685119</v>
      </c>
      <c r="AM46" s="577">
        <f t="shared" si="455"/>
        <v>-0.2501108793884434</v>
      </c>
      <c r="AN46" s="524">
        <f t="shared" si="456"/>
        <v>-46.363629669556488</v>
      </c>
      <c r="AO46" s="525">
        <f t="shared" si="116"/>
        <v>21.249996931880052</v>
      </c>
      <c r="AP46" s="528">
        <f t="shared" si="457"/>
        <v>-15.718975005200193</v>
      </c>
      <c r="AQ46" s="529">
        <f t="shared" si="274"/>
        <v>0.57671556635137022</v>
      </c>
      <c r="AS46" s="932">
        <f t="shared" si="461"/>
        <v>-138.82430486695142</v>
      </c>
      <c r="AT46" s="928">
        <f t="shared" si="275"/>
        <v>-0.94154356896644753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3.2250000000000001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3.125</v>
      </c>
      <c r="IK46" s="677" cm="1">
        <f t="array" ref="IK46">IFERROR(ROUND(VALUE(IF($IJ46&lt;1,$IJ46+LARGE((IF($M$9:$M$150="",0,$M$9:$M$150)-MOD(IF($M$9:$M$150="",0,$M$9:$M$150),1)),1),$IJ46)),4),"")</f>
        <v>3.125</v>
      </c>
      <c r="IL46" s="482">
        <f t="shared" si="426"/>
        <v>1613</v>
      </c>
      <c r="IM46" s="482">
        <f t="shared" si="237"/>
        <v>1313</v>
      </c>
      <c r="IN46" s="670">
        <f t="shared" si="427"/>
        <v>12.214271169609503</v>
      </c>
      <c r="IO46" s="702">
        <v>2.43049261866807E-2</v>
      </c>
      <c r="IP46" s="5">
        <f t="shared" si="428"/>
        <v>0.88</v>
      </c>
      <c r="IQ46" s="714">
        <v>440</v>
      </c>
      <c r="IR46" s="9">
        <f t="shared" si="429"/>
        <v>-3.9349118676941934</v>
      </c>
      <c r="IS46" s="5">
        <f t="shared" si="430"/>
        <v>-1.0483031616823373</v>
      </c>
      <c r="IT46" s="5">
        <f t="shared" si="431"/>
        <v>0.3125</v>
      </c>
      <c r="IU46" s="5">
        <f t="shared" si="432"/>
        <v>0.29125246521591175</v>
      </c>
      <c r="IV46" s="670">
        <f t="shared" si="433"/>
        <v>46.363629669556452</v>
      </c>
      <c r="IW46" s="9">
        <f t="shared" si="434"/>
        <v>-3.9528144782335315</v>
      </c>
      <c r="IX46" s="5">
        <f t="shared" si="435"/>
        <v>-1.0380187806695818</v>
      </c>
      <c r="IY46" s="5">
        <f t="shared" si="436"/>
        <v>0.26450000000000001</v>
      </c>
      <c r="IZ46" s="5">
        <f t="shared" si="437"/>
        <v>0.24651608655874765</v>
      </c>
      <c r="JA46" s="705">
        <f t="shared" si="438"/>
        <v>46.363629669556488</v>
      </c>
    </row>
    <row r="47" spans="1:269" ht="15" customHeight="1" x14ac:dyDescent="0.25">
      <c r="A47" s="75">
        <f t="shared" si="256"/>
        <v>0</v>
      </c>
      <c r="B47" s="578">
        <f t="shared" si="257"/>
        <v>2.8766468482426362</v>
      </c>
      <c r="C47" s="572">
        <f t="shared" si="258"/>
        <v>-3.2411503102300312</v>
      </c>
      <c r="D47" s="576">
        <f t="shared" si="259"/>
        <v>-1.6883469508029398</v>
      </c>
      <c r="E47" s="580">
        <f t="shared" si="260"/>
        <v>0.92417108685447202</v>
      </c>
      <c r="F47" s="572">
        <f t="shared" si="261"/>
        <v>0.32682448196888209</v>
      </c>
      <c r="G47" s="579">
        <f t="shared" si="262"/>
        <v>0.19772091494830776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3.2309999999999999</v>
      </c>
      <c r="K47" s="806">
        <f t="shared" si="266"/>
        <v>1313</v>
      </c>
      <c r="L47" s="309"/>
      <c r="M47" s="164">
        <f t="shared" si="267"/>
        <v>3.2309999999999999</v>
      </c>
      <c r="N47" s="575">
        <f t="shared" si="268"/>
        <v>2.8766468482426362</v>
      </c>
      <c r="O47" s="572">
        <f t="shared" si="269"/>
        <v>-3.2411503102300312</v>
      </c>
      <c r="P47" s="576">
        <f t="shared" si="270"/>
        <v>-1.6883469508029398</v>
      </c>
      <c r="Q47" s="528">
        <f t="shared" si="140"/>
        <v>311.59030048245762</v>
      </c>
      <c r="R47" s="572">
        <f t="shared" si="439"/>
        <v>4.3336073221980458</v>
      </c>
      <c r="S47" s="577">
        <f t="shared" si="440"/>
        <v>-1.6883469508029398</v>
      </c>
      <c r="T47" s="578">
        <f t="shared" si="441"/>
        <v>-3.2361246810604736</v>
      </c>
      <c r="U47" s="572">
        <f t="shared" si="442"/>
        <v>-2.8822993376191457</v>
      </c>
      <c r="V47" s="579">
        <f t="shared" si="443"/>
        <v>-1.6883469508029398</v>
      </c>
      <c r="W47" s="528">
        <f t="shared" si="253"/>
        <v>221.69030046801942</v>
      </c>
      <c r="X47" s="572">
        <f t="shared" si="444"/>
        <v>4.3336073221980458</v>
      </c>
      <c r="Y47" s="573">
        <f t="shared" si="255"/>
        <v>-1.6883469508029398</v>
      </c>
      <c r="Z47" s="575">
        <f t="shared" si="271"/>
        <v>-0.92417108685447202</v>
      </c>
      <c r="AA47" s="572">
        <f t="shared" si="272"/>
        <v>-0.32682448196888209</v>
      </c>
      <c r="AB47" s="572">
        <f t="shared" si="273"/>
        <v>-0.19772091494830776</v>
      </c>
      <c r="AC47" s="579">
        <f t="shared" si="445"/>
        <v>1</v>
      </c>
      <c r="AD47" s="580">
        <f t="shared" si="446"/>
        <v>-0.92417108685447202</v>
      </c>
      <c r="AE47" s="572">
        <f t="shared" si="447"/>
        <v>-0.32682448196888209</v>
      </c>
      <c r="AF47" s="576">
        <f t="shared" si="448"/>
        <v>-0.19772091494830776</v>
      </c>
      <c r="AG47" s="545">
        <f t="shared" si="449"/>
        <v>-58.827075237142616</v>
      </c>
      <c r="AH47" s="546">
        <f t="shared" si="450"/>
        <v>157.54369205614577</v>
      </c>
      <c r="AI47" s="528">
        <f t="shared" si="451"/>
        <v>-78.596284111568053</v>
      </c>
      <c r="AJ47" s="529">
        <f t="shared" si="452"/>
        <v>-70.524334404750476</v>
      </c>
      <c r="AK47" s="578">
        <f t="shared" si="453"/>
        <v>0.90814319993629999</v>
      </c>
      <c r="AL47" s="572">
        <f t="shared" si="454"/>
        <v>-0.36902895306664152</v>
      </c>
      <c r="AM47" s="577">
        <f t="shared" si="455"/>
        <v>-0.19772091494830776</v>
      </c>
      <c r="AN47" s="524">
        <f t="shared" si="456"/>
        <v>-61.818172892741991</v>
      </c>
      <c r="AO47" s="525">
        <f t="shared" si="116"/>
        <v>24.749996426542609</v>
      </c>
      <c r="AP47" s="528">
        <f t="shared" si="457"/>
        <v>-22.114634887208084</v>
      </c>
      <c r="AQ47" s="529">
        <f t="shared" si="274"/>
        <v>0.52604271830122196</v>
      </c>
      <c r="AS47" s="932">
        <f t="shared" si="461"/>
        <v>-138.30969953198058</v>
      </c>
      <c r="AT47" s="928">
        <f t="shared" si="275"/>
        <v>-1.5922291039157577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Taper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3.2309999999999999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3.1309999999999998</v>
      </c>
      <c r="IK47" s="677" cm="1">
        <f t="array" ref="IK47">IFERROR(ROUND(VALUE(IF($IJ47&lt;1,$IJ47+LARGE((IF($M$9:$M$150="",0,$M$9:$M$150)-MOD(IF($M$9:$M$150="",0,$M$9:$M$150),1)),1),$IJ47)),4),"")</f>
        <v>3.1309999999999998</v>
      </c>
      <c r="IL47" s="482">
        <f t="shared" si="426"/>
        <v>1613</v>
      </c>
      <c r="IM47" s="482">
        <f t="shared" si="237"/>
        <v>1313</v>
      </c>
      <c r="IN47" s="670">
        <f t="shared" si="427"/>
        <v>11.12966591693646</v>
      </c>
      <c r="IO47" s="702">
        <v>2.2507690800536499E-2</v>
      </c>
      <c r="IP47" s="5">
        <f t="shared" si="428"/>
        <v>1.08</v>
      </c>
      <c r="IQ47" s="714">
        <v>540</v>
      </c>
      <c r="IR47" s="9">
        <f t="shared" si="429"/>
        <v>-4.3128130074440314</v>
      </c>
      <c r="IS47" s="5">
        <f t="shared" si="430"/>
        <v>-1.6933051070082035</v>
      </c>
      <c r="IT47" s="5">
        <f t="shared" si="431"/>
        <v>0.3125</v>
      </c>
      <c r="IU47" s="5">
        <f t="shared" si="432"/>
        <v>0.2837947499800938</v>
      </c>
      <c r="IV47" s="670">
        <f t="shared" si="433"/>
        <v>61.818172892741991</v>
      </c>
      <c r="IW47" s="9">
        <f t="shared" si="434"/>
        <v>-4.3336073221980458</v>
      </c>
      <c r="IX47" s="5">
        <f t="shared" si="435"/>
        <v>-1.6883469508029398</v>
      </c>
      <c r="IY47" s="5">
        <f t="shared" si="436"/>
        <v>0.26450000000000001</v>
      </c>
      <c r="IZ47" s="5">
        <f t="shared" si="437"/>
        <v>0.24020387638315138</v>
      </c>
      <c r="JA47" s="705">
        <f t="shared" si="438"/>
        <v>61.818172892741991</v>
      </c>
    </row>
    <row r="48" spans="1:269" ht="15" customHeight="1" x14ac:dyDescent="0.25">
      <c r="A48" s="75">
        <f t="shared" si="256"/>
        <v>0</v>
      </c>
      <c r="B48" s="578">
        <f t="shared" si="257"/>
        <v>2.9048696836067851</v>
      </c>
      <c r="C48" s="572">
        <f t="shared" si="258"/>
        <v>-3.4686402467474924</v>
      </c>
      <c r="D48" s="576">
        <f t="shared" si="259"/>
        <v>-2.4187286791456386</v>
      </c>
      <c r="E48" s="580">
        <f t="shared" si="260"/>
        <v>0.97177353428110613</v>
      </c>
      <c r="F48" s="572">
        <f t="shared" si="261"/>
        <v>0.21161858431460587</v>
      </c>
      <c r="G48" s="579">
        <f t="shared" si="262"/>
        <v>0.10427738414196071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3.2370000000000001</v>
      </c>
      <c r="K48" s="806">
        <f t="shared" si="266"/>
        <v>1313</v>
      </c>
      <c r="L48" s="309"/>
      <c r="M48" s="164">
        <f t="shared" si="267"/>
        <v>3.2370000000000001</v>
      </c>
      <c r="N48" s="575">
        <f t="shared" si="268"/>
        <v>2.9048696836067851</v>
      </c>
      <c r="O48" s="572">
        <f t="shared" si="269"/>
        <v>-3.4686402467474924</v>
      </c>
      <c r="P48" s="576">
        <f t="shared" si="270"/>
        <v>-2.4187286791456386</v>
      </c>
      <c r="Q48" s="528">
        <f t="shared" si="140"/>
        <v>309.94504265887997</v>
      </c>
      <c r="R48" s="572">
        <f t="shared" si="101"/>
        <v>4.5243489078644554</v>
      </c>
      <c r="S48" s="577">
        <f t="shared" si="102"/>
        <v>-2.4187286791456386</v>
      </c>
      <c r="T48" s="578">
        <f t="shared" si="103"/>
        <v>-3.4635650129831217</v>
      </c>
      <c r="U48" s="572">
        <f t="shared" si="104"/>
        <v>-2.9109191745793148</v>
      </c>
      <c r="V48" s="579">
        <f t="shared" si="141"/>
        <v>-2.4187286791456386</v>
      </c>
      <c r="W48" s="528">
        <f t="shared" si="253"/>
        <v>220.04504264444176</v>
      </c>
      <c r="X48" s="572">
        <f t="shared" si="105"/>
        <v>4.5243489078644554</v>
      </c>
      <c r="Y48" s="573">
        <f t="shared" si="255"/>
        <v>-2.4187286791456386</v>
      </c>
      <c r="Z48" s="575">
        <f t="shared" si="271"/>
        <v>-0.97177353428110613</v>
      </c>
      <c r="AA48" s="572">
        <f t="shared" si="272"/>
        <v>-0.21161858431460587</v>
      </c>
      <c r="AB48" s="572">
        <f t="shared" si="273"/>
        <v>-0.10427738414196071</v>
      </c>
      <c r="AC48" s="579">
        <f t="shared" si="106"/>
        <v>1</v>
      </c>
      <c r="AD48" s="580">
        <f t="shared" si="142"/>
        <v>-0.97177353428110613</v>
      </c>
      <c r="AE48" s="572">
        <f t="shared" si="107"/>
        <v>-0.21161858431460587</v>
      </c>
      <c r="AF48" s="576">
        <f t="shared" si="108"/>
        <v>-0.10427738414196071</v>
      </c>
      <c r="AG48" s="545">
        <f t="shared" si="109"/>
        <v>-63.767720218519472</v>
      </c>
      <c r="AH48" s="546">
        <f t="shared" si="110"/>
        <v>166.3543961368745</v>
      </c>
      <c r="AI48" s="528">
        <f t="shared" si="111"/>
        <v>-84.014464823337519</v>
      </c>
      <c r="AJ48" s="529">
        <f t="shared" si="112"/>
        <v>-77.714764835768662</v>
      </c>
      <c r="AK48" s="578">
        <f t="shared" si="238"/>
        <v>0.88089077190025256</v>
      </c>
      <c r="AL48" s="572">
        <f t="shared" si="113"/>
        <v>-0.4616900206171749</v>
      </c>
      <c r="AM48" s="577">
        <f t="shared" si="114"/>
        <v>-0.10427738414196071</v>
      </c>
      <c r="AN48" s="524">
        <f t="shared" si="115"/>
        <v>-77.272716115927437</v>
      </c>
      <c r="AO48" s="525">
        <f t="shared" si="116"/>
        <v>28.249995921205187</v>
      </c>
      <c r="AP48" s="528">
        <f t="shared" si="117"/>
        <v>-27.659807494648614</v>
      </c>
      <c r="AQ48" s="529">
        <f t="shared" si="274"/>
        <v>0.50386650305243375</v>
      </c>
      <c r="AS48" s="932">
        <f t="shared" si="461"/>
        <v>-139.95495735555824</v>
      </c>
      <c r="AT48" s="928">
        <f t="shared" si="275"/>
        <v>-2.3214682921031939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3.2370000000000001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3.137</v>
      </c>
      <c r="IK48" s="677" cm="1">
        <f t="array" ref="IK48">IFERROR(ROUND(VALUE(IF($IJ48&lt;1,$IJ48+LARGE((IF($M$9:$M$150="",0,$M$9:$M$150)-MOD(IF($M$9:$M$150="",0,$M$9:$M$150),1)),1),$IJ48)),4),"")</f>
        <v>3.137</v>
      </c>
      <c r="IL48" s="482">
        <f t="shared" si="426"/>
        <v>1613</v>
      </c>
      <c r="IM48" s="482">
        <f t="shared" si="237"/>
        <v>1313</v>
      </c>
      <c r="IN48" s="670">
        <f t="shared" si="427"/>
        <v>12.474923783828785</v>
      </c>
      <c r="IO48" s="702">
        <v>2.0926458475654601E-2</v>
      </c>
      <c r="IP48" s="5">
        <f t="shared" si="428"/>
        <v>1.1599999999999999</v>
      </c>
      <c r="IQ48" s="714">
        <v>580</v>
      </c>
      <c r="IR48" s="9">
        <f t="shared" si="429"/>
        <v>-4.5026135798825573</v>
      </c>
      <c r="IS48" s="5">
        <f t="shared" si="430"/>
        <v>-2.416707288789183</v>
      </c>
      <c r="IT48" s="5">
        <f t="shared" si="431"/>
        <v>0.3125</v>
      </c>
      <c r="IU48" s="5">
        <f t="shared" si="432"/>
        <v>0.27527836621882895</v>
      </c>
      <c r="IV48" s="670">
        <f t="shared" si="433"/>
        <v>77.272716115927437</v>
      </c>
      <c r="IW48" s="9">
        <f t="shared" si="434"/>
        <v>-4.5243489078644554</v>
      </c>
      <c r="IX48" s="5">
        <f t="shared" si="435"/>
        <v>-2.4187286791456386</v>
      </c>
      <c r="IY48" s="5">
        <f t="shared" si="436"/>
        <v>0.26450000000000001</v>
      </c>
      <c r="IZ48" s="5">
        <f t="shared" si="437"/>
        <v>0.23299560916761683</v>
      </c>
      <c r="JA48" s="705">
        <f t="shared" si="438"/>
        <v>77.272716115927437</v>
      </c>
    </row>
    <row r="49" spans="1:261" ht="15" customHeight="1" x14ac:dyDescent="0.25">
      <c r="A49" s="75">
        <f t="shared" si="256"/>
        <v>0</v>
      </c>
      <c r="B49" s="578">
        <f t="shared" si="257"/>
        <v>2.4592556432417925</v>
      </c>
      <c r="C49" s="572">
        <f t="shared" si="258"/>
        <v>-3.8189003794207532</v>
      </c>
      <c r="D49" s="576">
        <f t="shared" si="259"/>
        <v>-3.2416165665476178</v>
      </c>
      <c r="E49" s="580">
        <f t="shared" si="260"/>
        <v>0.54016542519408728</v>
      </c>
      <c r="F49" s="572">
        <f t="shared" si="261"/>
        <v>-0.83880582032717776</v>
      </c>
      <c r="G49" s="579">
        <f t="shared" si="262"/>
        <v>6.8015507129929251E-2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3.2429999999999999</v>
      </c>
      <c r="K49" s="806" t="str">
        <f t="shared" si="266"/>
        <v>CPS-32193r1</v>
      </c>
      <c r="L49" s="309"/>
      <c r="M49" s="164">
        <f t="shared" si="267"/>
        <v>3.2429999999999999</v>
      </c>
      <c r="N49" s="575">
        <f t="shared" si="268"/>
        <v>2.4592556432417925</v>
      </c>
      <c r="O49" s="572">
        <f t="shared" si="269"/>
        <v>-3.8189003794207532</v>
      </c>
      <c r="P49" s="576">
        <f t="shared" si="270"/>
        <v>-3.2416165665476178</v>
      </c>
      <c r="Q49" s="528">
        <f t="shared" si="140"/>
        <v>302.7803029124276</v>
      </c>
      <c r="R49" s="572">
        <f t="shared" si="101"/>
        <v>4.5422393625563782</v>
      </c>
      <c r="S49" s="577">
        <f t="shared" si="102"/>
        <v>-3.2416165665476178</v>
      </c>
      <c r="T49" s="578">
        <f t="shared" si="103"/>
        <v>-3.8146023548925805</v>
      </c>
      <c r="U49" s="572">
        <f t="shared" si="104"/>
        <v>-2.4659171317796855</v>
      </c>
      <c r="V49" s="579">
        <f t="shared" si="141"/>
        <v>-3.2416165665476178</v>
      </c>
      <c r="W49" s="528">
        <f t="shared" si="253"/>
        <v>212.8803028979894</v>
      </c>
      <c r="X49" s="572">
        <f t="shared" si="105"/>
        <v>4.5422393625563782</v>
      </c>
      <c r="Y49" s="573">
        <f t="shared" si="255"/>
        <v>-3.2416165665476178</v>
      </c>
      <c r="Z49" s="575">
        <f t="shared" si="271"/>
        <v>-0.54016542519408728</v>
      </c>
      <c r="AA49" s="572">
        <f t="shared" si="272"/>
        <v>0.83880582032717776</v>
      </c>
      <c r="AB49" s="572">
        <f t="shared" si="273"/>
        <v>-6.8015507129929251E-2</v>
      </c>
      <c r="AC49" s="579">
        <f t="shared" si="106"/>
        <v>1</v>
      </c>
      <c r="AD49" s="580">
        <f t="shared" si="142"/>
        <v>-0.54016542519408728</v>
      </c>
      <c r="AE49" s="572">
        <f t="shared" si="107"/>
        <v>0.83880582032717776</v>
      </c>
      <c r="AF49" s="576">
        <f t="shared" si="108"/>
        <v>-6.8015507129929251E-2</v>
      </c>
      <c r="AG49" s="545">
        <f t="shared" si="109"/>
        <v>85.364249904344362</v>
      </c>
      <c r="AH49" s="546">
        <f t="shared" si="110"/>
        <v>122.69490076518969</v>
      </c>
      <c r="AI49" s="528">
        <f t="shared" si="111"/>
        <v>-86.099987568699845</v>
      </c>
      <c r="AJ49" s="529">
        <f t="shared" si="112"/>
        <v>-147.21969708757243</v>
      </c>
      <c r="AK49" s="578">
        <f t="shared" si="238"/>
        <v>-1.1102230246251565E-16</v>
      </c>
      <c r="AL49" s="572">
        <f t="shared" si="113"/>
        <v>-0.99768426407850042</v>
      </c>
      <c r="AM49" s="577">
        <f t="shared" si="114"/>
        <v>-6.8015507129929251E-2</v>
      </c>
      <c r="AN49" s="524">
        <f t="shared" si="115"/>
        <v>-86.099987568699845</v>
      </c>
      <c r="AO49" s="525">
        <f t="shared" si="116"/>
        <v>0</v>
      </c>
      <c r="AP49" s="528">
        <f t="shared" si="117"/>
        <v>-90</v>
      </c>
      <c r="AQ49" s="529">
        <f t="shared" si="274"/>
        <v>0.50188203281416477</v>
      </c>
      <c r="AS49" s="932">
        <f t="shared" si="461"/>
        <v>-147.1196971020106</v>
      </c>
      <c r="AT49" s="928">
        <f t="shared" si="275"/>
        <v>-3.1393806657923591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>Gage</v>
      </c>
      <c r="II49" s="788">
        <f t="shared" si="236"/>
        <v>3.2429999999999999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3.1429999999999998</v>
      </c>
      <c r="IK49" s="677" cm="1">
        <f t="array" ref="IK49">IFERROR(ROUND(VALUE(IF($IJ49&lt;1,$IJ49+LARGE((IF($M$9:$M$150="",0,$M$9:$M$150)-MOD(IF($M$9:$M$150="",0,$M$9:$M$150),1)),1),$IJ49)),4),"")</f>
        <v>3.1429999999999998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19.53966354471936</v>
      </c>
      <c r="IO49" s="702">
        <v>3.02379912901353E-2</v>
      </c>
      <c r="IP49" s="5">
        <f t="shared" si="428"/>
        <v>1.42</v>
      </c>
      <c r="IQ49" s="714">
        <v>710</v>
      </c>
      <c r="IR49" s="9">
        <f t="shared" si="429"/>
        <v>-4.5665137726055383</v>
      </c>
      <c r="IS49" s="5">
        <f t="shared" si="430"/>
        <v>-3.2232097212005186</v>
      </c>
      <c r="IT49" s="5">
        <f t="shared" si="431"/>
        <v>0.3125</v>
      </c>
      <c r="IU49" s="5">
        <f t="shared" si="432"/>
        <v>0.27063295049487057</v>
      </c>
      <c r="IV49" s="670">
        <f t="shared" si="433"/>
        <v>84.999987727520192</v>
      </c>
      <c r="IW49" s="9">
        <f t="shared" si="434"/>
        <v>-4.5422393625563782</v>
      </c>
      <c r="IX49" s="5">
        <f t="shared" si="435"/>
        <v>-3.2416165665476178</v>
      </c>
      <c r="IY49" s="5">
        <f t="shared" si="436"/>
        <v>0.255</v>
      </c>
      <c r="IZ49" s="5">
        <f t="shared" si="437"/>
        <v>0.255</v>
      </c>
      <c r="JA49" s="705">
        <f t="shared" si="438"/>
        <v>86.099987568699845</v>
      </c>
    </row>
    <row r="50" spans="1:261" ht="15" customHeight="1" x14ac:dyDescent="0.25">
      <c r="A50" s="75">
        <f t="shared" si="256"/>
        <v>0</v>
      </c>
      <c r="B50" s="578">
        <f t="shared" si="257"/>
        <v>-0.2782108523476241</v>
      </c>
      <c r="C50" s="572">
        <f t="shared" si="258"/>
        <v>-2.5735134326874971</v>
      </c>
      <c r="D50" s="576">
        <f t="shared" si="259"/>
        <v>-0.19620059174098481</v>
      </c>
      <c r="E50" s="580">
        <f t="shared" si="260"/>
        <v>0.94909027737450435</v>
      </c>
      <c r="F50" s="572">
        <f t="shared" si="261"/>
        <v>-0.16439637481141023</v>
      </c>
      <c r="G50" s="579">
        <f t="shared" si="262"/>
        <v>0.26870332588572998</v>
      </c>
      <c r="H50" s="580">
        <f t="shared" si="263"/>
        <v>0.3125</v>
      </c>
      <c r="I50" s="572">
        <f t="shared" si="264"/>
        <v>0.52</v>
      </c>
      <c r="J50" s="483">
        <f t="shared" si="265"/>
        <v>4.1120000000000001</v>
      </c>
      <c r="K50" s="806">
        <f t="shared" si="266"/>
        <v>1613</v>
      </c>
      <c r="L50" s="309"/>
      <c r="M50" s="164">
        <f t="shared" si="267"/>
        <v>4.1120000000000001</v>
      </c>
      <c r="N50" s="575">
        <f t="shared" si="268"/>
        <v>-0.2782108523476241</v>
      </c>
      <c r="O50" s="572">
        <f t="shared" si="269"/>
        <v>-2.5735134326874971</v>
      </c>
      <c r="P50" s="576">
        <f t="shared" si="270"/>
        <v>-0.19620059174098481</v>
      </c>
      <c r="Q50" s="528">
        <f t="shared" si="140"/>
        <v>263.82997490205685</v>
      </c>
      <c r="R50" s="572">
        <f t="shared" si="101"/>
        <v>2.5885078069395457</v>
      </c>
      <c r="S50" s="577">
        <f t="shared" si="102"/>
        <v>-0.19620059174098481</v>
      </c>
      <c r="T50" s="578">
        <f t="shared" si="103"/>
        <v>-2.5739950822267113</v>
      </c>
      <c r="U50" s="572">
        <f t="shared" si="104"/>
        <v>0.27371880326291553</v>
      </c>
      <c r="V50" s="579">
        <f t="shared" si="141"/>
        <v>-0.19620059174098481</v>
      </c>
      <c r="W50" s="528">
        <f t="shared" si="253"/>
        <v>173.92997488761864</v>
      </c>
      <c r="X50" s="572">
        <f t="shared" si="105"/>
        <v>2.5885078069395457</v>
      </c>
      <c r="Y50" s="573">
        <f t="shared" si="255"/>
        <v>-0.19620059174098481</v>
      </c>
      <c r="Z50" s="575">
        <f t="shared" si="271"/>
        <v>-0.94909027737450435</v>
      </c>
      <c r="AA50" s="572">
        <f t="shared" si="272"/>
        <v>0.16439637481141023</v>
      </c>
      <c r="AB50" s="572">
        <f t="shared" si="273"/>
        <v>-0.26870332588572998</v>
      </c>
      <c r="AC50" s="579">
        <f t="shared" si="106"/>
        <v>1</v>
      </c>
      <c r="AD50" s="580">
        <f t="shared" si="142"/>
        <v>-0.94909027737450435</v>
      </c>
      <c r="AE50" s="572">
        <f t="shared" si="107"/>
        <v>0.16439637481141023</v>
      </c>
      <c r="AF50" s="576">
        <f t="shared" si="108"/>
        <v>-0.26870332588572998</v>
      </c>
      <c r="AG50" s="545">
        <f t="shared" si="109"/>
        <v>31.458865799964983</v>
      </c>
      <c r="AH50" s="546">
        <f t="shared" si="110"/>
        <v>161.6389327156397</v>
      </c>
      <c r="AI50" s="528">
        <f t="shared" si="111"/>
        <v>-74.412878246737918</v>
      </c>
      <c r="AJ50" s="529">
        <f t="shared" si="112"/>
        <v>-99.826964150765605</v>
      </c>
      <c r="AK50" s="578">
        <f t="shared" si="238"/>
        <v>0.96126170705176628</v>
      </c>
      <c r="AL50" s="572">
        <f t="shared" si="113"/>
        <v>-6.1436578793676422E-2</v>
      </c>
      <c r="AM50" s="577">
        <f t="shared" si="114"/>
        <v>-0.26870332588572998</v>
      </c>
      <c r="AN50" s="524">
        <f t="shared" si="115"/>
        <v>-12.878786019321156</v>
      </c>
      <c r="AO50" s="525">
        <f t="shared" si="116"/>
        <v>15.999997689886136</v>
      </c>
      <c r="AP50" s="528">
        <f t="shared" si="117"/>
        <v>-3.6569390528224575</v>
      </c>
      <c r="AQ50" s="529">
        <f t="shared" si="274"/>
        <v>0.8806413881979297</v>
      </c>
      <c r="AS50" s="932">
        <f t="shared" si="461"/>
        <v>-186.07002511238136</v>
      </c>
      <c r="AT50" s="928">
        <f t="shared" si="275"/>
        <v>-6.691585208963538E-2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4.1120000000000001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1613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-0.39091520962849075</v>
      </c>
      <c r="C51" s="572">
        <f t="shared" si="258"/>
        <v>-3.2589482313910185</v>
      </c>
      <c r="D51" s="576">
        <f t="shared" si="259"/>
        <v>-0.47220142415949584</v>
      </c>
      <c r="E51" s="580">
        <f t="shared" si="260"/>
        <v>0.93196677183146215</v>
      </c>
      <c r="F51" s="572">
        <f t="shared" si="261"/>
        <v>-0.25287414284512266</v>
      </c>
      <c r="G51" s="579">
        <f t="shared" si="262"/>
        <v>0.25979338729534251</v>
      </c>
      <c r="H51" s="580">
        <f t="shared" si="263"/>
        <v>0.3125</v>
      </c>
      <c r="I51" s="572">
        <f t="shared" si="264"/>
        <v>0.52</v>
      </c>
      <c r="J51" s="483">
        <f t="shared" si="265"/>
        <v>4.1180000000000003</v>
      </c>
      <c r="K51" s="806">
        <f t="shared" si="266"/>
        <v>1613</v>
      </c>
      <c r="L51" s="309"/>
      <c r="M51" s="164">
        <f t="shared" si="267"/>
        <v>4.1180000000000003</v>
      </c>
      <c r="N51" s="575">
        <f t="shared" si="268"/>
        <v>-0.39091520962849075</v>
      </c>
      <c r="O51" s="572">
        <f t="shared" si="269"/>
        <v>-3.2589482313910185</v>
      </c>
      <c r="P51" s="576">
        <f t="shared" si="270"/>
        <v>-0.47220142415949584</v>
      </c>
      <c r="Q51" s="528">
        <f t="shared" si="140"/>
        <v>263.1599749987929</v>
      </c>
      <c r="R51" s="572">
        <f t="shared" si="101"/>
        <v>3.2823098994466586</v>
      </c>
      <c r="S51" s="577">
        <f t="shared" si="102"/>
        <v>-0.47220142415949584</v>
      </c>
      <c r="T51" s="578">
        <f t="shared" si="103"/>
        <v>-3.2596255430372221</v>
      </c>
      <c r="U51" s="572">
        <f t="shared" si="104"/>
        <v>0.38522668026089435</v>
      </c>
      <c r="V51" s="579">
        <f t="shared" si="141"/>
        <v>-0.47220142415949584</v>
      </c>
      <c r="W51" s="528">
        <f t="shared" si="253"/>
        <v>173.2599749843547</v>
      </c>
      <c r="X51" s="572">
        <f t="shared" si="105"/>
        <v>3.2823098994466586</v>
      </c>
      <c r="Y51" s="573">
        <f t="shared" si="255"/>
        <v>-0.47220142415949584</v>
      </c>
      <c r="Z51" s="575">
        <f t="shared" si="271"/>
        <v>-0.93196677183146215</v>
      </c>
      <c r="AA51" s="572">
        <f t="shared" si="272"/>
        <v>0.25287414284512266</v>
      </c>
      <c r="AB51" s="572">
        <f t="shared" si="273"/>
        <v>-0.25979338729534251</v>
      </c>
      <c r="AC51" s="579">
        <f t="shared" si="106"/>
        <v>1</v>
      </c>
      <c r="AD51" s="580">
        <f t="shared" si="142"/>
        <v>-0.93196677183146215</v>
      </c>
      <c r="AE51" s="572">
        <f t="shared" si="107"/>
        <v>0.25287414284512266</v>
      </c>
      <c r="AF51" s="576">
        <f t="shared" si="108"/>
        <v>-0.25979338729534251</v>
      </c>
      <c r="AG51" s="545">
        <f t="shared" si="109"/>
        <v>44.226751428370072</v>
      </c>
      <c r="AH51" s="546">
        <f t="shared" si="110"/>
        <v>158.7435040832743</v>
      </c>
      <c r="AI51" s="528">
        <f t="shared" si="111"/>
        <v>-74.942197164795886</v>
      </c>
      <c r="AJ51" s="529">
        <f t="shared" si="112"/>
        <v>-105.18078300855095</v>
      </c>
      <c r="AK51" s="578">
        <f t="shared" si="238"/>
        <v>0.95545024918699983</v>
      </c>
      <c r="AL51" s="572">
        <f t="shared" si="113"/>
        <v>-0.14007932483458083</v>
      </c>
      <c r="AM51" s="577">
        <f t="shared" si="114"/>
        <v>-0.25979338729534251</v>
      </c>
      <c r="AN51" s="524">
        <f t="shared" si="115"/>
        <v>-28.333329242506757</v>
      </c>
      <c r="AO51" s="525">
        <f t="shared" si="116"/>
        <v>17.166664188107028</v>
      </c>
      <c r="AP51" s="528">
        <f t="shared" si="117"/>
        <v>-8.3407580073438581</v>
      </c>
      <c r="AQ51" s="529">
        <f t="shared" si="274"/>
        <v>0.69451546173348844</v>
      </c>
      <c r="AS51" s="932">
        <f t="shared" si="461"/>
        <v>-186.7400250156453</v>
      </c>
      <c r="AT51" s="928">
        <f t="shared" si="275"/>
        <v>-0.34245140679754649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4.1180000000000003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6"/>
        <v>1613</v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>
        <f t="shared" si="256"/>
        <v>0</v>
      </c>
      <c r="B52" s="578">
        <f t="shared" si="257"/>
        <v>-0.50914503326965821</v>
      </c>
      <c r="C52" s="572">
        <f t="shared" si="258"/>
        <v>-3.8209387659649354</v>
      </c>
      <c r="D52" s="576">
        <f t="shared" si="259"/>
        <v>-0.95230287214546228</v>
      </c>
      <c r="E52" s="580">
        <f t="shared" si="260"/>
        <v>0.89519378052445009</v>
      </c>
      <c r="F52" s="572">
        <f t="shared" si="261"/>
        <v>-0.36566892735573131</v>
      </c>
      <c r="G52" s="579">
        <f t="shared" si="262"/>
        <v>0.25478290931075354</v>
      </c>
      <c r="H52" s="580">
        <f t="shared" si="263"/>
        <v>0.3125</v>
      </c>
      <c r="I52" s="572">
        <f t="shared" si="264"/>
        <v>0.52</v>
      </c>
      <c r="J52" s="483">
        <f t="shared" si="265"/>
        <v>4.1239999999999997</v>
      </c>
      <c r="K52" s="806">
        <f t="shared" si="266"/>
        <v>1613</v>
      </c>
      <c r="L52" s="309"/>
      <c r="M52" s="164">
        <f t="shared" si="267"/>
        <v>4.1239999999999997</v>
      </c>
      <c r="N52" s="575">
        <f t="shared" si="268"/>
        <v>-0.50914503326965821</v>
      </c>
      <c r="O52" s="572">
        <f t="shared" si="269"/>
        <v>-3.8209387659649354</v>
      </c>
      <c r="P52" s="576">
        <f t="shared" si="270"/>
        <v>-0.95230287214546228</v>
      </c>
      <c r="Q52" s="528">
        <f t="shared" si="140"/>
        <v>262.4099751070795</v>
      </c>
      <c r="R52" s="572">
        <f t="shared" si="101"/>
        <v>3.8547116258102636</v>
      </c>
      <c r="S52" s="577">
        <f t="shared" si="102"/>
        <v>-0.95230287214546228</v>
      </c>
      <c r="T52" s="578">
        <f t="shared" si="103"/>
        <v>-3.8218215714861734</v>
      </c>
      <c r="U52" s="572">
        <f t="shared" si="104"/>
        <v>0.50247546594809978</v>
      </c>
      <c r="V52" s="579">
        <f t="shared" si="141"/>
        <v>-0.95230287214546228</v>
      </c>
      <c r="W52" s="528">
        <f t="shared" si="253"/>
        <v>172.5099750926413</v>
      </c>
      <c r="X52" s="572">
        <f t="shared" si="105"/>
        <v>3.8547116258102636</v>
      </c>
      <c r="Y52" s="573">
        <f t="shared" si="255"/>
        <v>-0.95230287214546228</v>
      </c>
      <c r="Z52" s="575">
        <f t="shared" si="271"/>
        <v>-0.89519378052445009</v>
      </c>
      <c r="AA52" s="572">
        <f t="shared" si="272"/>
        <v>0.36566892735573131</v>
      </c>
      <c r="AB52" s="572">
        <f t="shared" si="273"/>
        <v>-0.25478290931075354</v>
      </c>
      <c r="AC52" s="579">
        <f t="shared" si="106"/>
        <v>1</v>
      </c>
      <c r="AD52" s="580">
        <f t="shared" si="142"/>
        <v>-0.89519378052445009</v>
      </c>
      <c r="AE52" s="572">
        <f t="shared" si="107"/>
        <v>0.36566892735573131</v>
      </c>
      <c r="AF52" s="576">
        <f t="shared" si="108"/>
        <v>-0.25478290931075354</v>
      </c>
      <c r="AG52" s="545">
        <f t="shared" si="109"/>
        <v>55.132819405822922</v>
      </c>
      <c r="AH52" s="546">
        <f t="shared" si="110"/>
        <v>153.5333311508362</v>
      </c>
      <c r="AI52" s="528">
        <f t="shared" si="111"/>
        <v>-75.239278107019473</v>
      </c>
      <c r="AJ52" s="529">
        <f t="shared" si="112"/>
        <v>-112.21904221426134</v>
      </c>
      <c r="AK52" s="578">
        <f t="shared" si="238"/>
        <v>0.9356495342197404</v>
      </c>
      <c r="AL52" s="572">
        <f t="shared" si="113"/>
        <v>-0.24422452423442492</v>
      </c>
      <c r="AM52" s="577">
        <f t="shared" si="114"/>
        <v>-0.25478290931075354</v>
      </c>
      <c r="AN52" s="524">
        <f t="shared" si="115"/>
        <v>-43.787872465692246</v>
      </c>
      <c r="AO52" s="525">
        <f t="shared" si="116"/>
        <v>20.666663682769606</v>
      </c>
      <c r="AP52" s="528">
        <f t="shared" si="117"/>
        <v>-14.629017321340829</v>
      </c>
      <c r="AQ52" s="529">
        <f t="shared" si="274"/>
        <v>0.59139201405762343</v>
      </c>
      <c r="AS52" s="932">
        <f t="shared" si="461"/>
        <v>-187.4900249073587</v>
      </c>
      <c r="AT52" s="928">
        <f t="shared" si="275"/>
        <v>-0.82203202152537858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4.1239999999999997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</v>
      </c>
      <c r="B53" s="578">
        <f t="shared" si="257"/>
        <v>-0.60795949000727023</v>
      </c>
      <c r="C53" s="572">
        <f t="shared" si="258"/>
        <v>-4.2189336453478878</v>
      </c>
      <c r="D53" s="576">
        <f t="shared" si="259"/>
        <v>-1.5789047619767611</v>
      </c>
      <c r="E53" s="580">
        <f t="shared" si="260"/>
        <v>0.85285271761345771</v>
      </c>
      <c r="F53" s="572">
        <f t="shared" si="261"/>
        <v>-0.47833891656223271</v>
      </c>
      <c r="G53" s="579">
        <f t="shared" si="262"/>
        <v>0.20936600240108075</v>
      </c>
      <c r="H53" s="580">
        <f t="shared" si="263"/>
        <v>0.3125</v>
      </c>
      <c r="I53" s="572">
        <f t="shared" si="264"/>
        <v>0.52</v>
      </c>
      <c r="J53" s="483">
        <f t="shared" si="265"/>
        <v>4.13</v>
      </c>
      <c r="K53" s="806">
        <f t="shared" si="266"/>
        <v>1613</v>
      </c>
      <c r="L53" s="309"/>
      <c r="M53" s="164">
        <f t="shared" si="267"/>
        <v>4.13</v>
      </c>
      <c r="N53" s="575">
        <f t="shared" si="268"/>
        <v>-0.60795949000727023</v>
      </c>
      <c r="O53" s="572">
        <f t="shared" si="269"/>
        <v>-4.2189336453478878</v>
      </c>
      <c r="P53" s="576">
        <f t="shared" si="270"/>
        <v>-1.5789047619767611</v>
      </c>
      <c r="Q53" s="528">
        <f t="shared" si="140"/>
        <v>261.79997519515257</v>
      </c>
      <c r="R53" s="572">
        <f t="shared" ref="R53:R58" si="464">IF(M53="","",SQRT(N53^2+O53^2))</f>
        <v>4.2625128557387741</v>
      </c>
      <c r="S53" s="577">
        <f t="shared" ref="S53:S58" si="465">IF(M53="","",P53)</f>
        <v>-1.5789047619767611</v>
      </c>
      <c r="T53" s="578">
        <f t="shared" ref="T53:T58" si="466">IF(M53="","",X53*COS(RADIANS(W53)))</f>
        <v>-4.2199883083379932</v>
      </c>
      <c r="U53" s="572">
        <f t="shared" ref="U53:U58" si="467">IF(M53="","",X53*SIN(RADIANS(W53)))</f>
        <v>0.60059514053059448</v>
      </c>
      <c r="V53" s="579">
        <f t="shared" ref="V53:V58" si="468">IF(M53="","",Y53)</f>
        <v>-1.5789047619767611</v>
      </c>
      <c r="W53" s="528">
        <f t="shared" si="253"/>
        <v>171.89997518071436</v>
      </c>
      <c r="X53" s="572">
        <f t="shared" ref="X53:X58" si="469">IF(M53="","",R53)</f>
        <v>4.2625128557387741</v>
      </c>
      <c r="Y53" s="573">
        <f t="shared" si="255"/>
        <v>-1.5789047619767611</v>
      </c>
      <c r="Z53" s="575">
        <f t="shared" si="271"/>
        <v>-0.85285271761345771</v>
      </c>
      <c r="AA53" s="572">
        <f t="shared" si="272"/>
        <v>0.47833891656223271</v>
      </c>
      <c r="AB53" s="572">
        <f t="shared" si="273"/>
        <v>-0.20936600240108075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-0.85285271761345771</v>
      </c>
      <c r="AE53" s="572">
        <f t="shared" ref="AE53:AE58" si="472">IF(M53="","",AA53*(1/SQRT(Z53^2+AA53^2+AB53^2)))</f>
        <v>0.47833891656223271</v>
      </c>
      <c r="AF53" s="576">
        <f t="shared" ref="AF53:AF58" si="473">IF(M53="","",AB53*(1/SQRT(Z53^2+AA53^2+AB53^2)))</f>
        <v>-0.20936600240108075</v>
      </c>
      <c r="AG53" s="545">
        <f t="shared" ref="AG53:AG58" si="474">IF(M53="","",DEGREES(ATAN2(-AF53,AE53)))</f>
        <v>66.361300474340112</v>
      </c>
      <c r="AH53" s="546">
        <f t="shared" ref="AH53:AH58" si="475">IF(M53="","",DEGREES(ACOS(AD53)))</f>
        <v>148.52331575775241</v>
      </c>
      <c r="AI53" s="528">
        <f t="shared" ref="AI53:AI58" si="476">IF(M53="","",DEGREES(-ACOS(-AF53)))</f>
        <v>-77.914799037112886</v>
      </c>
      <c r="AJ53" s="529">
        <f t="shared" ref="AJ53:AJ58" si="477">IF(M53="","",DEGREES(ATAN2(-AE53,AD53)))</f>
        <v>-119.28672936836739</v>
      </c>
      <c r="AK53" s="578">
        <f t="shared" ref="AK53:AK58" si="478">IF(M53="","",(COS(RADIANS((90-$Q$8)-W53))*AD53)+(-SIN(RADIANS((90-$Q$8)-W53))*AE53))</f>
        <v>0.91235847028444361</v>
      </c>
      <c r="AL53" s="572">
        <f t="shared" ref="AL53:AL58" si="479">IF(M53="","",(SIN(RADIANS((90-$Q$8)-W53))*AD53)+(COS(RADIANS((90-$Q$8)-W53))*AE53))</f>
        <v>-0.35180662122652118</v>
      </c>
      <c r="AM53" s="577">
        <f t="shared" ref="AM53:AM58" si="480">IF(M53="","",AF53)</f>
        <v>-0.20936600240108075</v>
      </c>
      <c r="AN53" s="524">
        <f t="shared" ref="AN53:AN58" si="481">IF(M53="","",DEGREES(ATAN2(-AM53,AL53)))</f>
        <v>-59.242415688877728</v>
      </c>
      <c r="AO53" s="525">
        <f t="shared" si="116"/>
        <v>24.166663177432174</v>
      </c>
      <c r="AP53" s="528">
        <f t="shared" ref="AP53:AP58" si="482">IF(M53="","",DEGREES(ATAN2(AK53,AL53)))</f>
        <v>-21.086704563519984</v>
      </c>
      <c r="AQ53" s="529">
        <f t="shared" si="274"/>
        <v>0.53481608114282342</v>
      </c>
      <c r="AS53" s="932">
        <f t="shared" si="461"/>
        <v>-188.10002481928564</v>
      </c>
      <c r="AT53" s="928">
        <f t="shared" si="275"/>
        <v>-1.4482103003067281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-0.66671058929384008</v>
      </c>
      <c r="C54" s="572">
        <f t="shared" si="258"/>
        <v>-4.4345757016029603</v>
      </c>
      <c r="D54" s="576">
        <f t="shared" si="259"/>
        <v>-2.2930069157088577</v>
      </c>
      <c r="E54" s="580">
        <f t="shared" si="260"/>
        <v>0.80923593109028547</v>
      </c>
      <c r="F54" s="572">
        <f t="shared" si="261"/>
        <v>-0.57456019333525232</v>
      </c>
      <c r="G54" s="579">
        <f t="shared" si="262"/>
        <v>0.12254710142225463</v>
      </c>
      <c r="H54" s="580">
        <f t="shared" si="263"/>
        <v>0.3125</v>
      </c>
      <c r="I54" s="572">
        <f t="shared" si="264"/>
        <v>0.52</v>
      </c>
      <c r="J54" s="483">
        <f t="shared" si="265"/>
        <v>4.1360000000000001</v>
      </c>
      <c r="K54" s="806">
        <f t="shared" si="266"/>
        <v>1613</v>
      </c>
      <c r="L54" s="309"/>
      <c r="M54" s="164">
        <f t="shared" si="267"/>
        <v>4.1360000000000001</v>
      </c>
      <c r="N54" s="575">
        <f t="shared" si="268"/>
        <v>-0.66671058929384008</v>
      </c>
      <c r="O54" s="572">
        <f t="shared" si="269"/>
        <v>-4.4345757016029603</v>
      </c>
      <c r="P54" s="576">
        <f t="shared" si="270"/>
        <v>-2.2930069157088577</v>
      </c>
      <c r="Q54" s="528">
        <f t="shared" si="140"/>
        <v>261.44997524568635</v>
      </c>
      <c r="R54" s="572">
        <f t="shared" si="464"/>
        <v>4.4844135249911918</v>
      </c>
      <c r="S54" s="577">
        <f t="shared" si="465"/>
        <v>-2.2930069157088577</v>
      </c>
      <c r="T54" s="578">
        <f t="shared" si="466"/>
        <v>-4.4357325760969175</v>
      </c>
      <c r="U54" s="572">
        <f t="shared" si="467"/>
        <v>0.65896978419084506</v>
      </c>
      <c r="V54" s="579">
        <f t="shared" si="468"/>
        <v>-2.2930069157088577</v>
      </c>
      <c r="W54" s="528">
        <f t="shared" si="253"/>
        <v>171.54997523124814</v>
      </c>
      <c r="X54" s="572">
        <f t="shared" si="469"/>
        <v>4.4844135249911918</v>
      </c>
      <c r="Y54" s="573">
        <f t="shared" si="255"/>
        <v>-2.2930069157088577</v>
      </c>
      <c r="Z54" s="575">
        <f t="shared" si="271"/>
        <v>-0.80923593109028547</v>
      </c>
      <c r="AA54" s="572">
        <f t="shared" si="272"/>
        <v>0.57456019333525232</v>
      </c>
      <c r="AB54" s="572">
        <f t="shared" si="273"/>
        <v>-0.12254710142225463</v>
      </c>
      <c r="AC54" s="579">
        <f t="shared" si="470"/>
        <v>1</v>
      </c>
      <c r="AD54" s="580">
        <f t="shared" si="471"/>
        <v>-0.80923593109028547</v>
      </c>
      <c r="AE54" s="572">
        <f t="shared" si="472"/>
        <v>0.57456019333525232</v>
      </c>
      <c r="AF54" s="576">
        <f t="shared" si="473"/>
        <v>-0.12254710142225463</v>
      </c>
      <c r="AG54" s="545">
        <f t="shared" si="474"/>
        <v>77.959879950210677</v>
      </c>
      <c r="AH54" s="546">
        <f t="shared" si="475"/>
        <v>144.02134685613862</v>
      </c>
      <c r="AI54" s="528">
        <f t="shared" si="476"/>
        <v>-82.960874056154054</v>
      </c>
      <c r="AJ54" s="529">
        <f t="shared" si="477"/>
        <v>-125.37487810543382</v>
      </c>
      <c r="AK54" s="578">
        <f t="shared" si="478"/>
        <v>0.88566394241444457</v>
      </c>
      <c r="AL54" s="572">
        <f t="shared" si="479"/>
        <v>-0.44786335978723169</v>
      </c>
      <c r="AM54" s="577">
        <f t="shared" si="480"/>
        <v>-0.12254710142225463</v>
      </c>
      <c r="AN54" s="524">
        <f t="shared" si="481"/>
        <v>-74.696958912063238</v>
      </c>
      <c r="AO54" s="525">
        <f t="shared" si="116"/>
        <v>27.666662672094795</v>
      </c>
      <c r="AP54" s="528">
        <f t="shared" si="482"/>
        <v>-26.824853351120172</v>
      </c>
      <c r="AQ54" s="529">
        <f t="shared" si="274"/>
        <v>0.5083533886330035</v>
      </c>
      <c r="AS54" s="932">
        <f t="shared" si="461"/>
        <v>-188.45002476875186</v>
      </c>
      <c r="AT54" s="928">
        <f t="shared" si="275"/>
        <v>-2.1620693985183621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4.1360000000000001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-0.68916085261733517</v>
      </c>
      <c r="C55" s="572">
        <f t="shared" ref="C55:C118" si="516">IFERROR(R210+($A55*-F55),"")</f>
        <v>-4.5142114875818349</v>
      </c>
      <c r="D55" s="576">
        <f t="shared" ref="D55:D118" si="517">IFERROR(S210+($A55*-G55),"")</f>
        <v>-3.0982093441993821</v>
      </c>
      <c r="E55" s="580">
        <f t="shared" ref="E55:E118" si="518">T210</f>
        <v>0.78093553028431195</v>
      </c>
      <c r="F55" s="572">
        <f t="shared" ref="F55:F118" si="519">U210</f>
        <v>-0.62308960660947132</v>
      </c>
      <c r="G55" s="579">
        <f t="shared" ref="G55:G118" si="520">V210</f>
        <v>4.3577972357774754E-2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4.1420000000000003</v>
      </c>
      <c r="K55" s="806">
        <f t="shared" ref="K55:K118" si="524">Z210</f>
        <v>1613</v>
      </c>
      <c r="L55" s="309"/>
      <c r="M55" s="164">
        <f t="shared" si="267"/>
        <v>4.1420000000000003</v>
      </c>
      <c r="N55" s="575">
        <f t="shared" si="268"/>
        <v>-0.68916085261733517</v>
      </c>
      <c r="O55" s="572">
        <f t="shared" si="269"/>
        <v>-4.5142114875818349</v>
      </c>
      <c r="P55" s="576">
        <f t="shared" si="270"/>
        <v>-3.0982093441993821</v>
      </c>
      <c r="Q55" s="528">
        <f t="shared" si="140"/>
        <v>261.31997526445599</v>
      </c>
      <c r="R55" s="572">
        <f t="shared" si="464"/>
        <v>4.5665137726055374</v>
      </c>
      <c r="S55" s="577">
        <f t="shared" si="465"/>
        <v>-3.0982093441993821</v>
      </c>
      <c r="T55" s="578">
        <f t="shared" si="466"/>
        <v>-4.5154074238593624</v>
      </c>
      <c r="U55" s="572">
        <f t="shared" si="467"/>
        <v>0.68128102274451408</v>
      </c>
      <c r="V55" s="579">
        <f t="shared" si="468"/>
        <v>-3.0982093441993821</v>
      </c>
      <c r="W55" s="528">
        <f t="shared" si="253"/>
        <v>171.41997525001779</v>
      </c>
      <c r="X55" s="572">
        <f t="shared" si="469"/>
        <v>4.5665137726055374</v>
      </c>
      <c r="Y55" s="573">
        <f t="shared" si="255"/>
        <v>-3.0982093441993821</v>
      </c>
      <c r="Z55" s="575">
        <f t="shared" si="271"/>
        <v>-0.78093553028431195</v>
      </c>
      <c r="AA55" s="572">
        <f t="shared" si="272"/>
        <v>0.62308960660947132</v>
      </c>
      <c r="AB55" s="572">
        <f t="shared" si="273"/>
        <v>-4.3577972357774754E-2</v>
      </c>
      <c r="AC55" s="579">
        <f t="shared" si="470"/>
        <v>1</v>
      </c>
      <c r="AD55" s="580">
        <f t="shared" si="471"/>
        <v>-0.78093553028431195</v>
      </c>
      <c r="AE55" s="572">
        <f t="shared" si="472"/>
        <v>0.62308960660947132</v>
      </c>
      <c r="AF55" s="576">
        <f t="shared" si="473"/>
        <v>-4.3577972357774754E-2</v>
      </c>
      <c r="AG55" s="545">
        <f t="shared" si="474"/>
        <v>85.999331761331064</v>
      </c>
      <c r="AH55" s="546">
        <f t="shared" si="475"/>
        <v>141.34631165650273</v>
      </c>
      <c r="AI55" s="528">
        <f t="shared" si="476"/>
        <v>-87.502375163624521</v>
      </c>
      <c r="AJ55" s="529">
        <f t="shared" si="477"/>
        <v>-128.58552135459632</v>
      </c>
      <c r="AK55" s="578">
        <f t="shared" si="478"/>
        <v>0.86602544158358552</v>
      </c>
      <c r="AL55" s="572">
        <f t="shared" si="479"/>
        <v>-0.49809727449077745</v>
      </c>
      <c r="AM55" s="577">
        <f t="shared" si="480"/>
        <v>-4.3577972357774754E-2</v>
      </c>
      <c r="AN55" s="524">
        <f t="shared" si="481"/>
        <v>-84.999987727520192</v>
      </c>
      <c r="AO55" s="525">
        <f>IF(ROUND(IF(M55="",0,DEGREES(ACOS(AK55))),4)=90,0,IF(M55="","",DEGREES(ACOS(AK55))))</f>
        <v>29.999995668536549</v>
      </c>
      <c r="AP55" s="528">
        <f t="shared" si="482"/>
        <v>-29.905496619052329</v>
      </c>
      <c r="AQ55" s="529">
        <f t="shared" si="274"/>
        <v>0.49921429268422735</v>
      </c>
      <c r="AS55" s="932">
        <f t="shared" si="461"/>
        <v>-188.58002474998221</v>
      </c>
      <c r="AT55" s="928">
        <f t="shared" si="275"/>
        <v>-2.9671815492441431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4.1420000000000003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515"/>
        <v>-1.210853442614513</v>
      </c>
      <c r="C56" s="572">
        <f t="shared" si="516"/>
        <v>-3.0688043178458559</v>
      </c>
      <c r="D56" s="576">
        <f t="shared" si="517"/>
        <v>-0.4493189237442195</v>
      </c>
      <c r="E56" s="580">
        <f t="shared" si="518"/>
        <v>0.79573383782892082</v>
      </c>
      <c r="F56" s="572">
        <f t="shared" si="519"/>
        <v>-0.50647415436729903</v>
      </c>
      <c r="G56" s="579">
        <f t="shared" si="520"/>
        <v>0.33210177700817289</v>
      </c>
      <c r="H56" s="580">
        <f t="shared" si="521"/>
        <v>0.26450000000000001</v>
      </c>
      <c r="I56" s="572">
        <f t="shared" si="522"/>
        <v>0.39400000000000002</v>
      </c>
      <c r="J56" s="483">
        <f t="shared" si="523"/>
        <v>4.218</v>
      </c>
      <c r="K56" s="806">
        <f t="shared" si="524"/>
        <v>1310</v>
      </c>
      <c r="L56" s="309"/>
      <c r="M56" s="164">
        <f t="shared" si="267"/>
        <v>4.218</v>
      </c>
      <c r="N56" s="575">
        <f t="shared" si="268"/>
        <v>-1.210853442614513</v>
      </c>
      <c r="O56" s="572">
        <f t="shared" si="269"/>
        <v>-3.0688043178458559</v>
      </c>
      <c r="P56" s="576">
        <f t="shared" si="270"/>
        <v>-0.4493189237442195</v>
      </c>
      <c r="Q56" s="528">
        <f t="shared" si="140"/>
        <v>248.46737075273612</v>
      </c>
      <c r="R56" s="572">
        <f t="shared" si="464"/>
        <v>3.2990492570922285</v>
      </c>
      <c r="S56" s="577">
        <f t="shared" si="465"/>
        <v>-0.4493189237442195</v>
      </c>
      <c r="T56" s="578">
        <f t="shared" si="466"/>
        <v>-3.0709129803473396</v>
      </c>
      <c r="U56" s="572">
        <f t="shared" si="467"/>
        <v>1.2054955279282478</v>
      </c>
      <c r="V56" s="579">
        <f t="shared" si="468"/>
        <v>-0.4493189237442195</v>
      </c>
      <c r="W56" s="528">
        <f t="shared" si="253"/>
        <v>158.56737073829791</v>
      </c>
      <c r="X56" s="572">
        <f t="shared" si="469"/>
        <v>3.2990492570922285</v>
      </c>
      <c r="Y56" s="573">
        <f t="shared" si="255"/>
        <v>-0.4493189237442195</v>
      </c>
      <c r="Z56" s="575">
        <f t="shared" si="271"/>
        <v>-0.79573383782892082</v>
      </c>
      <c r="AA56" s="572">
        <f t="shared" si="272"/>
        <v>0.50647415436729903</v>
      </c>
      <c r="AB56" s="572">
        <f t="shared" si="273"/>
        <v>-0.33210177700817289</v>
      </c>
      <c r="AC56" s="579">
        <f t="shared" si="470"/>
        <v>1</v>
      </c>
      <c r="AD56" s="580">
        <f t="shared" si="471"/>
        <v>-0.79573383782892082</v>
      </c>
      <c r="AE56" s="572">
        <f t="shared" si="472"/>
        <v>0.50647415436729903</v>
      </c>
      <c r="AF56" s="576">
        <f t="shared" si="473"/>
        <v>-0.33210177700817289</v>
      </c>
      <c r="AG56" s="545">
        <f t="shared" si="474"/>
        <v>56.74661618724268</v>
      </c>
      <c r="AH56" s="546">
        <f t="shared" si="475"/>
        <v>142.7246235161858</v>
      </c>
      <c r="AI56" s="528">
        <f t="shared" si="476"/>
        <v>-70.603605454294964</v>
      </c>
      <c r="AJ56" s="529">
        <f t="shared" si="477"/>
        <v>-122.4762183621189</v>
      </c>
      <c r="AK56" s="578">
        <f t="shared" si="478"/>
        <v>0.92609026804565597</v>
      </c>
      <c r="AL56" s="572">
        <f t="shared" si="479"/>
        <v>-0.17906765520087342</v>
      </c>
      <c r="AM56" s="577">
        <f t="shared" si="480"/>
        <v>-0.33210177700817289</v>
      </c>
      <c r="AN56" s="524">
        <f t="shared" si="481"/>
        <v>-28.33332924250675</v>
      </c>
      <c r="AO56" s="525">
        <f t="shared" ref="AO56:AO119" si="525">IF(ROUND(IF(M56="",0,DEGREES(ACOS(AK56))),4)=90,0,IF(M56="","",DEGREES(ACOS(AK56))))</f>
        <v>22.16666346619645</v>
      </c>
      <c r="AP56" s="528">
        <f t="shared" si="482"/>
        <v>-10.943589114855</v>
      </c>
      <c r="AQ56" s="529">
        <f t="shared" si="274"/>
        <v>0.69099183668823583</v>
      </c>
      <c r="AS56" s="932">
        <f t="shared" si="461"/>
        <v>-201.43262926170209</v>
      </c>
      <c r="AT56" s="928">
        <f t="shared" si="275"/>
        <v>-0.30936570898917515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>Nose</v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4.218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4.1180000000000003</v>
      </c>
      <c r="IK56" s="677" cm="1">
        <f t="array" ref="IK56">IFERROR(ROUND(VALUE(IF($IJ56&lt;1,$IJ56+LARGE((IF($M$9:$M$150="",0,$M$9:$M$150)-MOD(IF($M$9:$M$150="",0,$M$9:$M$150),1)),1),$IJ56)),4),"")</f>
        <v>4.1180000000000003</v>
      </c>
      <c r="IL56" s="482">
        <f t="shared" si="426"/>
        <v>1613</v>
      </c>
      <c r="IM56" s="482">
        <f t="shared" si="237"/>
        <v>1310</v>
      </c>
      <c r="IN56" s="670">
        <f t="shared" si="427"/>
        <v>14.692604246056788</v>
      </c>
      <c r="IO56" s="702">
        <v>2.66734200082893E-2</v>
      </c>
      <c r="IP56" s="5">
        <f t="shared" si="428"/>
        <v>0.7</v>
      </c>
      <c r="IQ56" s="714">
        <v>350</v>
      </c>
      <c r="IR56" s="9">
        <f t="shared" si="429"/>
        <v>-3.2823098994466586</v>
      </c>
      <c r="IS56" s="5">
        <f t="shared" si="430"/>
        <v>-0.47220142415949584</v>
      </c>
      <c r="IT56" s="5">
        <f t="shared" si="431"/>
        <v>0.3125</v>
      </c>
      <c r="IU56" s="5">
        <f t="shared" si="432"/>
        <v>0.29857820287093745</v>
      </c>
      <c r="IV56" s="670">
        <f t="shared" si="433"/>
        <v>28.333329242506757</v>
      </c>
      <c r="IW56" s="9">
        <f t="shared" si="434"/>
        <v>-3.2990492570922285</v>
      </c>
      <c r="IX56" s="5">
        <f t="shared" si="435"/>
        <v>-0.4493189237442195</v>
      </c>
      <c r="IY56" s="5">
        <f t="shared" si="436"/>
        <v>0.26450000000000001</v>
      </c>
      <c r="IZ56" s="5">
        <f t="shared" si="437"/>
        <v>0.24495087589807601</v>
      </c>
      <c r="JA56" s="705">
        <f t="shared" si="438"/>
        <v>28.33332924250675</v>
      </c>
    </row>
    <row r="57" spans="1:261" ht="15" customHeight="1" x14ac:dyDescent="0.25">
      <c r="A57" s="75">
        <f t="shared" si="256"/>
        <v>0</v>
      </c>
      <c r="B57" s="578">
        <f t="shared" si="515"/>
        <v>-1.3307868813239423</v>
      </c>
      <c r="C57" s="572">
        <f t="shared" si="516"/>
        <v>-3.6439399532167349</v>
      </c>
      <c r="D57" s="576">
        <f t="shared" si="517"/>
        <v>-0.93353713129578708</v>
      </c>
      <c r="E57" s="580">
        <f t="shared" si="518"/>
        <v>0.74381672765028306</v>
      </c>
      <c r="F57" s="572">
        <f t="shared" si="519"/>
        <v>-0.59073352672918611</v>
      </c>
      <c r="G57" s="579">
        <f t="shared" si="520"/>
        <v>0.31268286819991059</v>
      </c>
      <c r="H57" s="580">
        <f t="shared" si="521"/>
        <v>0.26450000000000001</v>
      </c>
      <c r="I57" s="572">
        <f t="shared" si="522"/>
        <v>0.52</v>
      </c>
      <c r="J57" s="483">
        <f t="shared" si="523"/>
        <v>4.2240000000000002</v>
      </c>
      <c r="K57" s="806">
        <f t="shared" si="524"/>
        <v>1313</v>
      </c>
      <c r="L57" s="309"/>
      <c r="M57" s="164">
        <f t="shared" si="267"/>
        <v>4.2240000000000002</v>
      </c>
      <c r="N57" s="575">
        <f t="shared" si="268"/>
        <v>-1.3307868813239423</v>
      </c>
      <c r="O57" s="572">
        <f t="shared" si="269"/>
        <v>-3.6439399532167349</v>
      </c>
      <c r="P57" s="576">
        <f t="shared" si="270"/>
        <v>-0.93353713129578708</v>
      </c>
      <c r="Q57" s="528">
        <f t="shared" si="140"/>
        <v>249.93752890923741</v>
      </c>
      <c r="R57" s="572">
        <f t="shared" si="464"/>
        <v>3.8793417104133896</v>
      </c>
      <c r="S57" s="577">
        <f t="shared" si="465"/>
        <v>-0.93353713129578708</v>
      </c>
      <c r="T57" s="578">
        <f t="shared" si="466"/>
        <v>-3.6462570629394038</v>
      </c>
      <c r="U57" s="572">
        <f t="shared" si="467"/>
        <v>1.3244249835749844</v>
      </c>
      <c r="V57" s="579">
        <f t="shared" si="468"/>
        <v>-0.93353713129578708</v>
      </c>
      <c r="W57" s="528">
        <f t="shared" si="253"/>
        <v>160.03752889479921</v>
      </c>
      <c r="X57" s="572">
        <f t="shared" si="469"/>
        <v>3.8793417104133896</v>
      </c>
      <c r="Y57" s="573">
        <f t="shared" si="255"/>
        <v>-0.93353713129578708</v>
      </c>
      <c r="Z57" s="575">
        <f t="shared" si="271"/>
        <v>-0.74381672765028306</v>
      </c>
      <c r="AA57" s="572">
        <f t="shared" si="272"/>
        <v>0.59073352672918611</v>
      </c>
      <c r="AB57" s="572">
        <f t="shared" si="273"/>
        <v>-0.31268286819991059</v>
      </c>
      <c r="AC57" s="579">
        <f t="shared" si="470"/>
        <v>1</v>
      </c>
      <c r="AD57" s="580">
        <f t="shared" si="471"/>
        <v>-0.74381672765028306</v>
      </c>
      <c r="AE57" s="572">
        <f t="shared" si="472"/>
        <v>0.59073352672918611</v>
      </c>
      <c r="AF57" s="576">
        <f t="shared" si="473"/>
        <v>-0.31268286819991059</v>
      </c>
      <c r="AG57" s="545">
        <f t="shared" si="474"/>
        <v>62.107154210558924</v>
      </c>
      <c r="AH57" s="546">
        <f t="shared" si="475"/>
        <v>138.05756522733418</v>
      </c>
      <c r="AI57" s="528">
        <f t="shared" si="476"/>
        <v>-71.779012804070405</v>
      </c>
      <c r="AJ57" s="529">
        <f t="shared" si="477"/>
        <v>-128.45633265449138</v>
      </c>
      <c r="AK57" s="578">
        <f t="shared" si="478"/>
        <v>0.90132918945998819</v>
      </c>
      <c r="AL57" s="572">
        <f t="shared" si="479"/>
        <v>-0.29972506762311052</v>
      </c>
      <c r="AM57" s="577">
        <f t="shared" si="480"/>
        <v>-0.31268286819991059</v>
      </c>
      <c r="AN57" s="524">
        <f t="shared" si="481"/>
        <v>-43.787872465692196</v>
      </c>
      <c r="AO57" s="525">
        <f t="shared" si="525"/>
        <v>25.666662960858993</v>
      </c>
      <c r="AP57" s="528">
        <f t="shared" si="482"/>
        <v>-18.393861563728802</v>
      </c>
      <c r="AQ57" s="529">
        <f t="shared" si="274"/>
        <v>0.58763750833995276</v>
      </c>
      <c r="AS57" s="932">
        <f t="shared" si="461"/>
        <v>-199.96247110520079</v>
      </c>
      <c r="AT57" s="928">
        <f t="shared" si="275"/>
        <v>-0.79460485970497974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>Taper</v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4.2240000000000002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4.1239999999999997</v>
      </c>
      <c r="IK57" s="677" cm="1">
        <f t="array" ref="IK57">IFERROR(ROUND(VALUE(IF($IJ57&lt;1,$IJ57+LARGE((IF($M$9:$M$150="",0,$M$9:$M$150)-MOD(IF($M$9:$M$150="",0,$M$9:$M$150),1)),1),$IJ57)),4),"")</f>
        <v>4.1239999999999997</v>
      </c>
      <c r="IL57" s="482">
        <f t="shared" si="426"/>
        <v>1613</v>
      </c>
      <c r="IM57" s="482">
        <f t="shared" si="237"/>
        <v>1313</v>
      </c>
      <c r="IN57" s="670">
        <f t="shared" si="427"/>
        <v>12.472446197842089</v>
      </c>
      <c r="IO57" s="702">
        <v>2.4303198841873801E-2</v>
      </c>
      <c r="IP57" s="5">
        <f t="shared" si="428"/>
        <v>0.82</v>
      </c>
      <c r="IQ57" s="714">
        <v>410</v>
      </c>
      <c r="IR57" s="9">
        <f t="shared" si="429"/>
        <v>-3.8547116258102636</v>
      </c>
      <c r="IS57" s="5">
        <f t="shared" si="430"/>
        <v>-0.95230287214546228</v>
      </c>
      <c r="IT57" s="5">
        <f t="shared" si="431"/>
        <v>0.3125</v>
      </c>
      <c r="IU57" s="5">
        <f t="shared" si="432"/>
        <v>0.29239047944366886</v>
      </c>
      <c r="IV57" s="670">
        <f t="shared" si="433"/>
        <v>43.787872465692246</v>
      </c>
      <c r="IW57" s="9">
        <f t="shared" si="434"/>
        <v>-3.8793417104133896</v>
      </c>
      <c r="IX57" s="5">
        <f t="shared" si="435"/>
        <v>-0.93353713129578708</v>
      </c>
      <c r="IY57" s="5">
        <f t="shared" si="436"/>
        <v>0.26450000000000001</v>
      </c>
      <c r="IZ57" s="5">
        <f t="shared" si="437"/>
        <v>0.23840157061216688</v>
      </c>
      <c r="JA57" s="705">
        <f t="shared" si="438"/>
        <v>43.787872465692196</v>
      </c>
    </row>
    <row r="58" spans="1:261" ht="15" customHeight="1" x14ac:dyDescent="0.25">
      <c r="A58" s="75">
        <f t="shared" si="256"/>
        <v>0</v>
      </c>
      <c r="B58" s="578">
        <f t="shared" si="515"/>
        <v>-1.8265127597627218</v>
      </c>
      <c r="C58" s="572">
        <f t="shared" si="516"/>
        <v>-3.8436639229299838</v>
      </c>
      <c r="D58" s="576">
        <f t="shared" si="517"/>
        <v>-1.5973824278898709</v>
      </c>
      <c r="E58" s="580">
        <f t="shared" si="518"/>
        <v>-0.38070936332628158</v>
      </c>
      <c r="F58" s="572">
        <f t="shared" si="519"/>
        <v>-0.80115446066140239</v>
      </c>
      <c r="G58" s="579">
        <f t="shared" si="520"/>
        <v>0.46174875293609086</v>
      </c>
      <c r="H58" s="580">
        <f t="shared" si="521"/>
        <v>0.255</v>
      </c>
      <c r="I58" s="572">
        <f t="shared" si="522"/>
        <v>0.41499999999999992</v>
      </c>
      <c r="J58" s="483">
        <f t="shared" si="523"/>
        <v>4.2300000000000004</v>
      </c>
      <c r="K58" s="806" t="str">
        <f t="shared" si="524"/>
        <v>CPS-32193r1</v>
      </c>
      <c r="L58" s="309"/>
      <c r="M58" s="164">
        <f t="shared" si="267"/>
        <v>4.2300000000000004</v>
      </c>
      <c r="N58" s="575">
        <f t="shared" si="268"/>
        <v>-1.8265127597627218</v>
      </c>
      <c r="O58" s="572">
        <f t="shared" si="269"/>
        <v>-3.8436639229299838</v>
      </c>
      <c r="P58" s="576">
        <f t="shared" si="270"/>
        <v>-1.5973824278898709</v>
      </c>
      <c r="Q58" s="528">
        <f t="shared" si="140"/>
        <v>244.58288842191428</v>
      </c>
      <c r="R58" s="572">
        <f t="shared" si="464"/>
        <v>4.2555729595448772</v>
      </c>
      <c r="S58" s="577">
        <f t="shared" si="465"/>
        <v>-1.5973824278898709</v>
      </c>
      <c r="T58" s="578">
        <f t="shared" si="466"/>
        <v>-3.8468459327682449</v>
      </c>
      <c r="U58" s="572">
        <f t="shared" si="467"/>
        <v>1.819801523121122</v>
      </c>
      <c r="V58" s="579">
        <f t="shared" si="468"/>
        <v>-1.5973824278898709</v>
      </c>
      <c r="W58" s="528">
        <f t="shared" si="253"/>
        <v>154.68288840747607</v>
      </c>
      <c r="X58" s="572">
        <f t="shared" si="469"/>
        <v>4.2555729595448772</v>
      </c>
      <c r="Y58" s="573">
        <f t="shared" si="255"/>
        <v>-1.5973824278898709</v>
      </c>
      <c r="Z58" s="575">
        <f t="shared" si="271"/>
        <v>0.38070936332628158</v>
      </c>
      <c r="AA58" s="572">
        <f t="shared" si="272"/>
        <v>0.80115446066140239</v>
      </c>
      <c r="AB58" s="572">
        <f t="shared" si="273"/>
        <v>-0.46174875293609086</v>
      </c>
      <c r="AC58" s="579">
        <f t="shared" si="470"/>
        <v>1</v>
      </c>
      <c r="AD58" s="580">
        <f t="shared" si="471"/>
        <v>0.38070936332628158</v>
      </c>
      <c r="AE58" s="572">
        <f t="shared" si="472"/>
        <v>0.80115446066140239</v>
      </c>
      <c r="AF58" s="576">
        <f t="shared" si="473"/>
        <v>-0.46174875293609086</v>
      </c>
      <c r="AG58" s="545">
        <f t="shared" si="474"/>
        <v>60.042820593495406</v>
      </c>
      <c r="AH58" s="546">
        <f t="shared" si="475"/>
        <v>67.62237082649763</v>
      </c>
      <c r="AI58" s="528">
        <f t="shared" si="476"/>
        <v>-62.499990976117786</v>
      </c>
      <c r="AJ58" s="529">
        <f t="shared" si="477"/>
        <v>154.58288842191428</v>
      </c>
      <c r="AK58" s="578">
        <f t="shared" si="478"/>
        <v>2.7755575615628914E-16</v>
      </c>
      <c r="AL58" s="572">
        <f t="shared" si="479"/>
        <v>-0.88701076045444061</v>
      </c>
      <c r="AM58" s="577">
        <f t="shared" si="480"/>
        <v>-0.46174875293609086</v>
      </c>
      <c r="AN58" s="524">
        <f t="shared" si="481"/>
        <v>-62.499990976117786</v>
      </c>
      <c r="AO58" s="525">
        <f t="shared" si="525"/>
        <v>0</v>
      </c>
      <c r="AP58" s="528">
        <f t="shared" si="482"/>
        <v>-89.999999999999986</v>
      </c>
      <c r="AQ58" s="529">
        <f t="shared" si="274"/>
        <v>0.53568819683835589</v>
      </c>
      <c r="AS58" s="932">
        <f t="shared" si="461"/>
        <v>-205.31711159252393</v>
      </c>
      <c r="AT58" s="928">
        <f t="shared" si="275"/>
        <v>-1.4547316559606447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Taper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4.2300000000000004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4.13</v>
      </c>
      <c r="IK58" s="677" cm="1">
        <f t="array" ref="IK58">IFERROR(ROUND(VALUE(IF($IJ58&lt;1,$IJ58+LARGE((IF($M$9:$M$150="",0,$M$9:$M$150)-MOD(IF($M$9:$M$150="",0,$M$9:$M$150),1)),1),$IJ58)),4),"")</f>
        <v>4.13</v>
      </c>
      <c r="IL58" s="482">
        <f t="shared" si="426"/>
        <v>1613</v>
      </c>
      <c r="IM58" s="482" t="str">
        <f t="shared" si="237"/>
        <v>CPS-32193r1</v>
      </c>
      <c r="IN58" s="670">
        <f t="shared" si="427"/>
        <v>17.217086773238293</v>
      </c>
      <c r="IO58" s="702">
        <v>3.6361323977222103E-2</v>
      </c>
      <c r="IP58" s="5">
        <f t="shared" si="428"/>
        <v>1.18</v>
      </c>
      <c r="IQ58" s="714">
        <v>590</v>
      </c>
      <c r="IR58" s="9">
        <f t="shared" si="429"/>
        <v>-4.2625128557387741</v>
      </c>
      <c r="IS58" s="5">
        <f t="shared" si="430"/>
        <v>-1.5789047619767611</v>
      </c>
      <c r="IT58" s="5">
        <f t="shared" si="431"/>
        <v>0.3125</v>
      </c>
      <c r="IU58" s="5">
        <f t="shared" si="432"/>
        <v>0.28511202196388863</v>
      </c>
      <c r="IV58" s="670">
        <f t="shared" si="433"/>
        <v>59.242415688877728</v>
      </c>
      <c r="IW58" s="9">
        <f t="shared" si="434"/>
        <v>-4.2555729595448772</v>
      </c>
      <c r="IX58" s="5">
        <f t="shared" si="435"/>
        <v>-1.5973824278898709</v>
      </c>
      <c r="IY58" s="5">
        <f t="shared" si="436"/>
        <v>0.255</v>
      </c>
      <c r="IZ58" s="5">
        <f t="shared" si="437"/>
        <v>0.255</v>
      </c>
      <c r="JA58" s="705">
        <f t="shared" si="438"/>
        <v>62.499990976117786</v>
      </c>
    </row>
    <row r="59" spans="1:261" ht="15" customHeight="1" x14ac:dyDescent="0.25">
      <c r="A59" s="75">
        <f t="shared" si="256"/>
        <v>0</v>
      </c>
      <c r="B59" s="578">
        <f t="shared" si="515"/>
        <v>-1.9954966120101612</v>
      </c>
      <c r="C59" s="572">
        <f t="shared" si="516"/>
        <v>-3.9970877184486651</v>
      </c>
      <c r="D59" s="576">
        <f t="shared" si="517"/>
        <v>-2.3126134161895604</v>
      </c>
      <c r="E59" s="580">
        <f t="shared" si="518"/>
        <v>-0.43890151946025152</v>
      </c>
      <c r="F59" s="572">
        <f t="shared" si="519"/>
        <v>-0.87914349865811636</v>
      </c>
      <c r="G59" s="579">
        <f t="shared" si="520"/>
        <v>0.1856668117425655</v>
      </c>
      <c r="H59" s="580">
        <f t="shared" si="521"/>
        <v>0.255</v>
      </c>
      <c r="I59" s="572">
        <f t="shared" si="522"/>
        <v>0.41499999999999992</v>
      </c>
      <c r="J59" s="483">
        <f t="shared" si="523"/>
        <v>4.2359999999999998</v>
      </c>
      <c r="K59" s="806" t="str">
        <f t="shared" si="524"/>
        <v>CPS-32193r1</v>
      </c>
      <c r="L59" s="309"/>
      <c r="M59" s="164">
        <f t="shared" si="267"/>
        <v>4.2359999999999998</v>
      </c>
      <c r="N59" s="575">
        <f t="shared" si="268"/>
        <v>-1.9954966120101612</v>
      </c>
      <c r="O59" s="572">
        <f t="shared" si="269"/>
        <v>-3.9970877184486651</v>
      </c>
      <c r="P59" s="576">
        <f t="shared" si="270"/>
        <v>-2.3126134161895604</v>
      </c>
      <c r="Q59" s="528">
        <f t="shared" si="140"/>
        <v>243.46990380082099</v>
      </c>
      <c r="R59" s="572">
        <f t="shared" si="101"/>
        <v>4.4675179862555883</v>
      </c>
      <c r="S59" s="577">
        <f t="shared" si="102"/>
        <v>-2.3126134161895604</v>
      </c>
      <c r="T59" s="578">
        <f t="shared" si="103"/>
        <v>-4.0005644268773732</v>
      </c>
      <c r="U59" s="572">
        <f t="shared" si="104"/>
        <v>1.9885173431279142</v>
      </c>
      <c r="V59" s="579">
        <f t="shared" si="141"/>
        <v>-2.3126134161895604</v>
      </c>
      <c r="W59" s="528">
        <f t="shared" si="253"/>
        <v>153.56990378638278</v>
      </c>
      <c r="X59" s="572">
        <f t="shared" si="105"/>
        <v>4.4675179862555883</v>
      </c>
      <c r="Y59" s="573">
        <f t="shared" si="255"/>
        <v>-2.3126134161895604</v>
      </c>
      <c r="Z59" s="575">
        <f t="shared" si="271"/>
        <v>0.43890151946025152</v>
      </c>
      <c r="AA59" s="572">
        <f t="shared" si="272"/>
        <v>0.87914349865811636</v>
      </c>
      <c r="AB59" s="572">
        <f t="shared" si="273"/>
        <v>-0.1856668117425655</v>
      </c>
      <c r="AC59" s="579">
        <f t="shared" si="106"/>
        <v>1</v>
      </c>
      <c r="AD59" s="580">
        <f t="shared" si="142"/>
        <v>0.43890151946025152</v>
      </c>
      <c r="AE59" s="572">
        <f t="shared" si="107"/>
        <v>0.87914349865811636</v>
      </c>
      <c r="AF59" s="576">
        <f t="shared" si="108"/>
        <v>-0.1856668117425655</v>
      </c>
      <c r="AG59" s="545">
        <f t="shared" si="109"/>
        <v>78.074903419088315</v>
      </c>
      <c r="AH59" s="546">
        <f t="shared" si="110"/>
        <v>63.966185254846458</v>
      </c>
      <c r="AI59" s="528">
        <f t="shared" si="111"/>
        <v>-79.299988550498256</v>
      </c>
      <c r="AJ59" s="529">
        <f t="shared" si="112"/>
        <v>153.46990380082102</v>
      </c>
      <c r="AK59" s="578">
        <f t="shared" si="238"/>
        <v>6.106226635438361E-16</v>
      </c>
      <c r="AL59" s="572">
        <f t="shared" si="113"/>
        <v>-0.9826127594415569</v>
      </c>
      <c r="AM59" s="577">
        <f t="shared" si="114"/>
        <v>-0.1856668117425655</v>
      </c>
      <c r="AN59" s="524">
        <f t="shared" si="115"/>
        <v>-79.29998855049827</v>
      </c>
      <c r="AO59" s="525">
        <f t="shared" si="525"/>
        <v>0</v>
      </c>
      <c r="AP59" s="528">
        <f t="shared" si="117"/>
        <v>-89.999999999999957</v>
      </c>
      <c r="AQ59" s="529">
        <f t="shared" si="274"/>
        <v>0.51027580978400733</v>
      </c>
      <c r="AS59" s="932">
        <f t="shared" si="461"/>
        <v>-206.43009621361722</v>
      </c>
      <c r="AT59" s="928">
        <f t="shared" si="275"/>
        <v>-2.169189738273464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4.2359999999999998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4.1360000000000001</v>
      </c>
      <c r="IK59" s="677" cm="1">
        <f t="array" ref="IK59">IFERROR(ROUND(VALUE(IF($IJ59&lt;1,$IJ59+LARGE((IF($M$9:$M$150="",0,$M$9:$M$150)-MOD(IF($M$9:$M$150="",0,$M$9:$M$150),1)),1),$IJ59)),4),"")</f>
        <v>4.1360000000000001</v>
      </c>
      <c r="IL59" s="482">
        <f t="shared" si="426"/>
        <v>1613</v>
      </c>
      <c r="IM59" s="482" t="str">
        <f t="shared" si="237"/>
        <v>CPS-32193r1</v>
      </c>
      <c r="IN59" s="670">
        <f t="shared" si="427"/>
        <v>17.980071444865359</v>
      </c>
      <c r="IO59" s="702">
        <v>3.2901975800391302E-2</v>
      </c>
      <c r="IP59" s="5">
        <f t="shared" si="428"/>
        <v>1.34</v>
      </c>
      <c r="IQ59" s="714">
        <v>670</v>
      </c>
      <c r="IR59" s="9">
        <f t="shared" si="429"/>
        <v>-4.4844135249911918</v>
      </c>
      <c r="IS59" s="5">
        <f t="shared" si="430"/>
        <v>-2.2930069157088577</v>
      </c>
      <c r="IT59" s="5">
        <f t="shared" si="431"/>
        <v>0.3125</v>
      </c>
      <c r="IU59" s="5">
        <f t="shared" si="432"/>
        <v>0.27676998200451391</v>
      </c>
      <c r="IV59" s="670">
        <f t="shared" si="433"/>
        <v>74.696958912063238</v>
      </c>
      <c r="IW59" s="9">
        <f t="shared" si="434"/>
        <v>-4.4675179862555883</v>
      </c>
      <c r="IX59" s="5">
        <f t="shared" si="435"/>
        <v>-2.3126134161895604</v>
      </c>
      <c r="IY59" s="5">
        <f t="shared" si="436"/>
        <v>0.255</v>
      </c>
      <c r="IZ59" s="5">
        <f t="shared" si="437"/>
        <v>0.255</v>
      </c>
      <c r="JA59" s="705">
        <f t="shared" si="438"/>
        <v>79.29998855049827</v>
      </c>
    </row>
    <row r="60" spans="1:261" ht="15" customHeight="1" x14ac:dyDescent="0.25">
      <c r="A60" s="75">
        <f t="shared" si="256"/>
        <v>0</v>
      </c>
      <c r="B60" s="578">
        <f t="shared" si="515"/>
        <v>-2.1288021547231875</v>
      </c>
      <c r="C60" s="572">
        <f t="shared" si="516"/>
        <v>-4.0124979517505661</v>
      </c>
      <c r="D60" s="576">
        <f t="shared" si="517"/>
        <v>-3.1163896711291712</v>
      </c>
      <c r="E60" s="580">
        <f t="shared" si="518"/>
        <v>-0.46758267048005364</v>
      </c>
      <c r="F60" s="572">
        <f t="shared" si="519"/>
        <v>-0.88132873381990684</v>
      </c>
      <c r="G60" s="579">
        <f t="shared" si="520"/>
        <v>6.8015507129929126E-2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4.242</v>
      </c>
      <c r="K60" s="806" t="str">
        <f t="shared" si="524"/>
        <v>CPS-32193r1</v>
      </c>
      <c r="L60" s="309"/>
      <c r="M60" s="164">
        <f t="shared" si="267"/>
        <v>4.242</v>
      </c>
      <c r="N60" s="575">
        <f t="shared" si="268"/>
        <v>-2.1288021547231875</v>
      </c>
      <c r="O60" s="572">
        <f t="shared" si="269"/>
        <v>-4.0124979517505661</v>
      </c>
      <c r="P60" s="576">
        <f t="shared" si="270"/>
        <v>-3.1163896711291712</v>
      </c>
      <c r="Q60" s="528">
        <f t="shared" si="140"/>
        <v>242.05213296144757</v>
      </c>
      <c r="R60" s="572">
        <f t="shared" si="101"/>
        <v>4.5422393625563782</v>
      </c>
      <c r="S60" s="577">
        <f t="shared" si="102"/>
        <v>-3.1163896711291712</v>
      </c>
      <c r="T60" s="578">
        <f t="shared" si="103"/>
        <v>-4.0162072986195962</v>
      </c>
      <c r="U60" s="572">
        <f t="shared" si="104"/>
        <v>2.1217957868916746</v>
      </c>
      <c r="V60" s="579">
        <f t="shared" si="141"/>
        <v>-3.1163896711291712</v>
      </c>
      <c r="W60" s="528">
        <f t="shared" si="253"/>
        <v>152.15213294700936</v>
      </c>
      <c r="X60" s="572">
        <f t="shared" si="105"/>
        <v>4.5422393625563782</v>
      </c>
      <c r="Y60" s="573">
        <f t="shared" si="255"/>
        <v>-3.1163896711291712</v>
      </c>
      <c r="Z60" s="575">
        <f t="shared" si="271"/>
        <v>0.46758267048005364</v>
      </c>
      <c r="AA60" s="572">
        <f t="shared" si="272"/>
        <v>0.88132873381990684</v>
      </c>
      <c r="AB60" s="572">
        <f t="shared" si="273"/>
        <v>-6.8015507129929126E-2</v>
      </c>
      <c r="AC60" s="579">
        <f t="shared" si="106"/>
        <v>1</v>
      </c>
      <c r="AD60" s="580">
        <f t="shared" si="142"/>
        <v>0.46758267048005364</v>
      </c>
      <c r="AE60" s="572">
        <f t="shared" si="107"/>
        <v>0.88132873381990684</v>
      </c>
      <c r="AF60" s="576">
        <f t="shared" si="108"/>
        <v>-6.8015507129929126E-2</v>
      </c>
      <c r="AG60" s="545">
        <f t="shared" si="109"/>
        <v>85.587012774566091</v>
      </c>
      <c r="AH60" s="546">
        <f t="shared" si="110"/>
        <v>62.122503484466137</v>
      </c>
      <c r="AI60" s="528">
        <f t="shared" si="111"/>
        <v>-86.099987568699859</v>
      </c>
      <c r="AJ60" s="529">
        <f t="shared" si="112"/>
        <v>152.0521329614476</v>
      </c>
      <c r="AK60" s="578">
        <f t="shared" si="238"/>
        <v>3.8857805861880479E-16</v>
      </c>
      <c r="AL60" s="572">
        <f t="shared" si="113"/>
        <v>-0.99768426407850019</v>
      </c>
      <c r="AM60" s="577">
        <f t="shared" si="114"/>
        <v>-6.8015507129929126E-2</v>
      </c>
      <c r="AN60" s="524">
        <f t="shared" si="115"/>
        <v>-86.099987568699859</v>
      </c>
      <c r="AO60" s="525">
        <f t="shared" si="525"/>
        <v>0</v>
      </c>
      <c r="AP60" s="528">
        <f t="shared" si="117"/>
        <v>-89.999999999999986</v>
      </c>
      <c r="AQ60" s="529">
        <f t="shared" si="274"/>
        <v>0.50188203281416477</v>
      </c>
      <c r="AS60" s="932">
        <f t="shared" si="461"/>
        <v>-207.84786705299064</v>
      </c>
      <c r="AT60" s="928">
        <f t="shared" si="275"/>
        <v>-2.9719814301301763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>Gage</v>
      </c>
      <c r="II60" s="788">
        <f t="shared" si="236"/>
        <v>4.242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4.1420000000000003</v>
      </c>
      <c r="IK60" s="677" cm="1">
        <f t="array" ref="IK60">IFERROR(ROUND(VALUE(IF($IJ60&lt;1,$IJ60+LARGE((IF($M$9:$M$150="",0,$M$9:$M$150)-MOD(IF($M$9:$M$150="",0,$M$9:$M$150),1)),1),$IJ60)),4),"")</f>
        <v>4.1420000000000003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19.267842303008422</v>
      </c>
      <c r="IO60" s="702">
        <v>3.0269530862700199E-2</v>
      </c>
      <c r="IP60" s="5">
        <f t="shared" si="428"/>
        <v>1.44</v>
      </c>
      <c r="IQ60" s="714">
        <v>720</v>
      </c>
      <c r="IR60" s="9">
        <f t="shared" si="429"/>
        <v>-4.5665137726055374</v>
      </c>
      <c r="IS60" s="5">
        <f t="shared" si="430"/>
        <v>-3.0982093441993821</v>
      </c>
      <c r="IT60" s="5">
        <f t="shared" si="431"/>
        <v>0.3125</v>
      </c>
      <c r="IU60" s="5">
        <f t="shared" si="432"/>
        <v>0.27063295049487046</v>
      </c>
      <c r="IV60" s="670">
        <f t="shared" si="433"/>
        <v>84.999987727520192</v>
      </c>
      <c r="IW60" s="9">
        <f t="shared" si="434"/>
        <v>-4.5422393625563782</v>
      </c>
      <c r="IX60" s="5">
        <f t="shared" si="435"/>
        <v>-3.1163896711291712</v>
      </c>
      <c r="IY60" s="5">
        <f t="shared" si="436"/>
        <v>0.255</v>
      </c>
      <c r="IZ60" s="5">
        <f t="shared" si="437"/>
        <v>0.255</v>
      </c>
      <c r="JA60" s="705">
        <f t="shared" si="438"/>
        <v>86.099987568699859</v>
      </c>
    </row>
    <row r="61" spans="1:261" ht="15" customHeight="1" x14ac:dyDescent="0.25">
      <c r="A61" s="75">
        <f t="shared" si="256"/>
        <v>0</v>
      </c>
      <c r="B61" s="578">
        <f t="shared" si="515"/>
        <v>-0.73021448501798869</v>
      </c>
      <c r="C61" s="572">
        <f t="shared" si="516"/>
        <v>-0.34050434883485409</v>
      </c>
      <c r="D61" s="576">
        <f t="shared" si="517"/>
        <v>-0.48250145522438886</v>
      </c>
      <c r="E61" s="580">
        <f t="shared" si="518"/>
        <v>0.42263558843564686</v>
      </c>
      <c r="F61" s="572">
        <f t="shared" si="519"/>
        <v>-0.85808736037299527</v>
      </c>
      <c r="G61" s="579">
        <f t="shared" si="520"/>
        <v>0.29165946128277759</v>
      </c>
      <c r="H61" s="580">
        <f t="shared" si="521"/>
        <v>0.3125</v>
      </c>
      <c r="I61" s="572">
        <f t="shared" si="522"/>
        <v>0.52</v>
      </c>
      <c r="J61" s="483">
        <f t="shared" si="523"/>
        <v>5.1029999999999998</v>
      </c>
      <c r="K61" s="806">
        <f t="shared" si="524"/>
        <v>1613</v>
      </c>
      <c r="L61" s="309"/>
      <c r="M61" s="164">
        <f t="shared" si="267"/>
        <v>5.1029999999999998</v>
      </c>
      <c r="N61" s="575">
        <f t="shared" si="268"/>
        <v>-0.73021448501798869</v>
      </c>
      <c r="O61" s="572">
        <f t="shared" si="269"/>
        <v>-0.34050434883485409</v>
      </c>
      <c r="P61" s="576">
        <f t="shared" si="270"/>
        <v>-0.48250145522438886</v>
      </c>
      <c r="Q61" s="528">
        <f t="shared" si="140"/>
        <v>204.99998339605673</v>
      </c>
      <c r="R61" s="572">
        <f t="shared" si="101"/>
        <v>0.80570242999852892</v>
      </c>
      <c r="S61" s="577">
        <f t="shared" si="102"/>
        <v>-0.48250145522438886</v>
      </c>
      <c r="T61" s="578">
        <f t="shared" si="103"/>
        <v>-0.34177829408723687</v>
      </c>
      <c r="U61" s="572">
        <f t="shared" si="104"/>
        <v>0.72961908102540229</v>
      </c>
      <c r="V61" s="579">
        <f t="shared" si="141"/>
        <v>-0.48250145522438886</v>
      </c>
      <c r="W61" s="528">
        <f t="shared" si="253"/>
        <v>115.09998338161853</v>
      </c>
      <c r="X61" s="572">
        <f t="shared" si="105"/>
        <v>0.80570242999852892</v>
      </c>
      <c r="Y61" s="573">
        <f t="shared" si="255"/>
        <v>-0.48250145522438886</v>
      </c>
      <c r="Z61" s="575">
        <f t="shared" si="271"/>
        <v>-0.42263558843564686</v>
      </c>
      <c r="AA61" s="572">
        <f t="shared" si="272"/>
        <v>0.85808736037299527</v>
      </c>
      <c r="AB61" s="572">
        <f t="shared" si="273"/>
        <v>-0.29165946128277759</v>
      </c>
      <c r="AC61" s="579">
        <f t="shared" si="106"/>
        <v>1</v>
      </c>
      <c r="AD61" s="580">
        <f t="shared" si="142"/>
        <v>-0.42263558843564686</v>
      </c>
      <c r="AE61" s="572">
        <f t="shared" si="107"/>
        <v>0.85808736037299527</v>
      </c>
      <c r="AF61" s="576">
        <f t="shared" si="108"/>
        <v>-0.29165946128277759</v>
      </c>
      <c r="AG61" s="545">
        <f t="shared" si="109"/>
        <v>71.227368118778998</v>
      </c>
      <c r="AH61" s="546">
        <f t="shared" si="110"/>
        <v>115.00109537944259</v>
      </c>
      <c r="AI61" s="528">
        <f t="shared" si="111"/>
        <v>-73.042668303728448</v>
      </c>
      <c r="AJ61" s="529">
        <f t="shared" si="112"/>
        <v>-153.77827260076276</v>
      </c>
      <c r="AK61" s="578">
        <f t="shared" si="238"/>
        <v>0.95630476848795665</v>
      </c>
      <c r="AL61" s="572">
        <f t="shared" si="113"/>
        <v>2.0394813346429452E-2</v>
      </c>
      <c r="AM61" s="577">
        <f t="shared" si="114"/>
        <v>-0.29165946128277759</v>
      </c>
      <c r="AN61" s="524">
        <f t="shared" si="115"/>
        <v>3.999999422471447</v>
      </c>
      <c r="AO61" s="525">
        <f t="shared" si="525"/>
        <v>16.999997545504019</v>
      </c>
      <c r="AP61" s="528">
        <f t="shared" si="117"/>
        <v>1.2217440031804705</v>
      </c>
      <c r="AQ61" s="529">
        <f t="shared" si="274"/>
        <v>2.8271927834046653</v>
      </c>
      <c r="AS61" s="932">
        <f t="shared" si="461"/>
        <v>-244.90001661838147</v>
      </c>
      <c r="AT61" s="928">
        <f t="shared" si="275"/>
        <v>-0.31236255480498382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5.1029999999999998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-1.3621848963411161</v>
      </c>
      <c r="C62" s="572">
        <f t="shared" si="516"/>
        <v>-0.63519676839864203</v>
      </c>
      <c r="D62" s="576">
        <f t="shared" si="517"/>
        <v>-0.23440070695253198</v>
      </c>
      <c r="E62" s="580">
        <f t="shared" si="518"/>
        <v>0.41060632406907893</v>
      </c>
      <c r="F62" s="572">
        <f t="shared" si="519"/>
        <v>-0.86916607004295754</v>
      </c>
      <c r="G62" s="579">
        <f t="shared" si="520"/>
        <v>0.27559533617345428</v>
      </c>
      <c r="H62" s="580">
        <f t="shared" si="521"/>
        <v>0.3125</v>
      </c>
      <c r="I62" s="572">
        <f t="shared" si="522"/>
        <v>0.52</v>
      </c>
      <c r="J62" s="483">
        <f t="shared" si="523"/>
        <v>5.1059999999999999</v>
      </c>
      <c r="K62" s="806">
        <f t="shared" si="524"/>
        <v>1613</v>
      </c>
      <c r="L62" s="309"/>
      <c r="M62" s="164">
        <f t="shared" si="267"/>
        <v>5.1059999999999999</v>
      </c>
      <c r="N62" s="575">
        <f t="shared" si="268"/>
        <v>-1.3621848963411161</v>
      </c>
      <c r="O62" s="572">
        <f t="shared" si="269"/>
        <v>-0.63519676839864203</v>
      </c>
      <c r="P62" s="576">
        <f t="shared" si="270"/>
        <v>-0.23440070695253198</v>
      </c>
      <c r="Q62" s="528">
        <f t="shared" si="140"/>
        <v>204.99998339605673</v>
      </c>
      <c r="R62" s="572">
        <f t="shared" si="101"/>
        <v>1.5030045330616721</v>
      </c>
      <c r="S62" s="577">
        <f t="shared" si="102"/>
        <v>-0.23440070695253198</v>
      </c>
      <c r="T62" s="578">
        <f t="shared" si="103"/>
        <v>-0.63757326053508401</v>
      </c>
      <c r="U62" s="572">
        <f t="shared" si="104"/>
        <v>1.3610741948382523</v>
      </c>
      <c r="V62" s="579">
        <f t="shared" si="141"/>
        <v>-0.23440070695253198</v>
      </c>
      <c r="W62" s="528">
        <f t="shared" si="253"/>
        <v>115.09998338161853</v>
      </c>
      <c r="X62" s="572">
        <f t="shared" si="105"/>
        <v>1.5030045330616721</v>
      </c>
      <c r="Y62" s="573">
        <f t="shared" si="255"/>
        <v>-0.23440070695253198</v>
      </c>
      <c r="Z62" s="575">
        <f t="shared" si="271"/>
        <v>-0.41060632406907893</v>
      </c>
      <c r="AA62" s="572">
        <f t="shared" si="272"/>
        <v>0.86916607004295754</v>
      </c>
      <c r="AB62" s="572">
        <f t="shared" si="273"/>
        <v>-0.27559533617345428</v>
      </c>
      <c r="AC62" s="579">
        <f t="shared" si="106"/>
        <v>1</v>
      </c>
      <c r="AD62" s="580">
        <f t="shared" si="142"/>
        <v>-0.41060632406907893</v>
      </c>
      <c r="AE62" s="572">
        <f t="shared" si="107"/>
        <v>0.86916607004295754</v>
      </c>
      <c r="AF62" s="576">
        <f t="shared" si="108"/>
        <v>-0.27559533617345428</v>
      </c>
      <c r="AG62" s="545">
        <f t="shared" si="109"/>
        <v>72.407210390070475</v>
      </c>
      <c r="AH62" s="546">
        <f t="shared" si="110"/>
        <v>114.24292882225677</v>
      </c>
      <c r="AI62" s="528">
        <f t="shared" si="111"/>
        <v>-74.00250455537153</v>
      </c>
      <c r="AJ62" s="529">
        <f t="shared" si="112"/>
        <v>-154.71328825451914</v>
      </c>
      <c r="AK62" s="578">
        <f t="shared" si="238"/>
        <v>0.96126170705176628</v>
      </c>
      <c r="AL62" s="572">
        <f t="shared" si="113"/>
        <v>4.8105337921249824E-3</v>
      </c>
      <c r="AM62" s="577">
        <f t="shared" si="114"/>
        <v>-0.27559533617345428</v>
      </c>
      <c r="AN62" s="524">
        <f t="shared" si="115"/>
        <v>0.99999985561780147</v>
      </c>
      <c r="AO62" s="525">
        <f t="shared" si="525"/>
        <v>15.999997689886136</v>
      </c>
      <c r="AP62" s="528">
        <f t="shared" si="117"/>
        <v>0.28672834942411218</v>
      </c>
      <c r="AQ62" s="529">
        <f t="shared" si="274"/>
        <v>1.5164254362636154</v>
      </c>
      <c r="AS62" s="932">
        <f t="shared" si="461"/>
        <v>-244.90001661838147</v>
      </c>
      <c r="AT62" s="928">
        <f t="shared" si="275"/>
        <v>-6.4261806533126936E-2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5.1059999999999999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6"/>
        <v>1613</v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>
        <f t="shared" si="256"/>
        <v>0</v>
      </c>
      <c r="B63" s="578">
        <f t="shared" si="515"/>
        <v>-2.0093635544230977</v>
      </c>
      <c r="C63" s="572">
        <f t="shared" si="516"/>
        <v>-0.93655398212415497</v>
      </c>
      <c r="D63" s="576">
        <f t="shared" si="517"/>
        <v>-0.14870044848055242</v>
      </c>
      <c r="E63" s="580">
        <f t="shared" si="518"/>
        <v>0.38366202090144369</v>
      </c>
      <c r="F63" s="572">
        <f t="shared" si="519"/>
        <v>-0.88172561315597242</v>
      </c>
      <c r="G63" s="579">
        <f t="shared" si="520"/>
        <v>0.27452394580900369</v>
      </c>
      <c r="H63" s="580">
        <f t="shared" si="521"/>
        <v>0.3125</v>
      </c>
      <c r="I63" s="572">
        <f t="shared" si="522"/>
        <v>0.52</v>
      </c>
      <c r="J63" s="483">
        <f t="shared" si="523"/>
        <v>5.109</v>
      </c>
      <c r="K63" s="806">
        <f t="shared" si="524"/>
        <v>1613</v>
      </c>
      <c r="L63" s="309"/>
      <c r="M63" s="164">
        <f t="shared" si="267"/>
        <v>5.109</v>
      </c>
      <c r="N63" s="575">
        <f t="shared" si="268"/>
        <v>-2.0093635544230977</v>
      </c>
      <c r="O63" s="572">
        <f t="shared" si="269"/>
        <v>-0.93655398212415497</v>
      </c>
      <c r="P63" s="576">
        <f t="shared" si="270"/>
        <v>-0.14870044848055242</v>
      </c>
      <c r="Q63" s="528">
        <f t="shared" si="140"/>
        <v>204.98998339750054</v>
      </c>
      <c r="R63" s="572">
        <f t="shared" si="101"/>
        <v>2.216906686190566</v>
      </c>
      <c r="S63" s="577">
        <f t="shared" si="102"/>
        <v>-0.14870044848055242</v>
      </c>
      <c r="T63" s="578">
        <f t="shared" si="103"/>
        <v>-0.94005955437423139</v>
      </c>
      <c r="U63" s="572">
        <f t="shared" si="104"/>
        <v>2.0077258999938605</v>
      </c>
      <c r="V63" s="579">
        <f t="shared" si="141"/>
        <v>-0.14870044848055242</v>
      </c>
      <c r="W63" s="528">
        <f t="shared" si="253"/>
        <v>115.08998338306233</v>
      </c>
      <c r="X63" s="572">
        <f t="shared" si="105"/>
        <v>2.216906686190566</v>
      </c>
      <c r="Y63" s="573">
        <f t="shared" si="255"/>
        <v>-0.14870044848055242</v>
      </c>
      <c r="Z63" s="575">
        <f t="shared" si="271"/>
        <v>-0.38366202090144369</v>
      </c>
      <c r="AA63" s="572">
        <f t="shared" si="272"/>
        <v>0.88172561315597242</v>
      </c>
      <c r="AB63" s="572">
        <f t="shared" si="273"/>
        <v>-0.27452394580900369</v>
      </c>
      <c r="AC63" s="579">
        <f t="shared" si="106"/>
        <v>1</v>
      </c>
      <c r="AD63" s="580">
        <f t="shared" si="142"/>
        <v>-0.38366202090144369</v>
      </c>
      <c r="AE63" s="572">
        <f t="shared" si="107"/>
        <v>0.88172561315597242</v>
      </c>
      <c r="AF63" s="576">
        <f t="shared" si="108"/>
        <v>-0.27452394580900369</v>
      </c>
      <c r="AG63" s="545">
        <f t="shared" si="109"/>
        <v>72.706101458505088</v>
      </c>
      <c r="AH63" s="546">
        <f t="shared" si="110"/>
        <v>112.56070197124338</v>
      </c>
      <c r="AI63" s="528">
        <f t="shared" si="111"/>
        <v>-74.066353541831532</v>
      </c>
      <c r="AJ63" s="529">
        <f t="shared" si="112"/>
        <v>-156.48487409615018</v>
      </c>
      <c r="AK63" s="578">
        <f t="shared" si="238"/>
        <v>0.96126170705176617</v>
      </c>
      <c r="AL63" s="572">
        <f t="shared" si="113"/>
        <v>-2.474941884933185E-2</v>
      </c>
      <c r="AM63" s="577">
        <f t="shared" si="114"/>
        <v>-0.27452394580900369</v>
      </c>
      <c r="AN63" s="524">
        <f t="shared" si="115"/>
        <v>-5.1515144077284702</v>
      </c>
      <c r="AO63" s="525">
        <f t="shared" si="525"/>
        <v>15.99999768988615</v>
      </c>
      <c r="AP63" s="528">
        <f t="shared" si="117"/>
        <v>-1.4748574936507219</v>
      </c>
      <c r="AQ63" s="529">
        <f t="shared" si="274"/>
        <v>1.0282263602832762</v>
      </c>
      <c r="AS63" s="932">
        <f t="shared" si="461"/>
        <v>-244.91001661693767</v>
      </c>
      <c r="AT63" s="928">
        <f t="shared" si="275"/>
        <v>2.1445396382294452E-2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5.109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</v>
      </c>
      <c r="B64" s="578">
        <f t="shared" si="515"/>
        <v>-2.6808420968345419</v>
      </c>
      <c r="C64" s="572">
        <f t="shared" si="516"/>
        <v>-1.223424812456553</v>
      </c>
      <c r="D64" s="576">
        <f t="shared" si="517"/>
        <v>-0.30550092139077856</v>
      </c>
      <c r="E64" s="580">
        <f t="shared" si="518"/>
        <v>0.31083399689652047</v>
      </c>
      <c r="F64" s="572">
        <f t="shared" si="519"/>
        <v>-0.91477693526361892</v>
      </c>
      <c r="G64" s="579">
        <f t="shared" si="520"/>
        <v>0.25800268425548367</v>
      </c>
      <c r="H64" s="580">
        <f t="shared" si="521"/>
        <v>0.3125</v>
      </c>
      <c r="I64" s="572">
        <f t="shared" si="522"/>
        <v>0.52</v>
      </c>
      <c r="J64" s="483">
        <f t="shared" si="523"/>
        <v>5.1150000000000002</v>
      </c>
      <c r="K64" s="806">
        <f t="shared" si="524"/>
        <v>1613</v>
      </c>
      <c r="L64" s="309"/>
      <c r="M64" s="164">
        <f t="shared" si="267"/>
        <v>5.1150000000000002</v>
      </c>
      <c r="N64" s="575">
        <f t="shared" si="268"/>
        <v>-2.6808420968345419</v>
      </c>
      <c r="O64" s="572">
        <f t="shared" si="269"/>
        <v>-1.223424812456553</v>
      </c>
      <c r="P64" s="576">
        <f t="shared" si="270"/>
        <v>-0.30550092139077856</v>
      </c>
      <c r="Q64" s="528">
        <f t="shared" si="140"/>
        <v>204.5299834639163</v>
      </c>
      <c r="R64" s="572">
        <f t="shared" si="101"/>
        <v>2.9468088875756053</v>
      </c>
      <c r="S64" s="577">
        <f t="shared" si="102"/>
        <v>-0.30550092139077856</v>
      </c>
      <c r="T64" s="578">
        <f t="shared" si="103"/>
        <v>-1.2281018981555596</v>
      </c>
      <c r="U64" s="572">
        <f t="shared" si="104"/>
        <v>2.678702735960317</v>
      </c>
      <c r="V64" s="579">
        <f t="shared" si="141"/>
        <v>-0.30550092139077856</v>
      </c>
      <c r="W64" s="528">
        <f t="shared" si="253"/>
        <v>114.62998344947809</v>
      </c>
      <c r="X64" s="572">
        <f t="shared" si="105"/>
        <v>2.9468088875756053</v>
      </c>
      <c r="Y64" s="573">
        <f t="shared" si="255"/>
        <v>-0.30550092139077856</v>
      </c>
      <c r="Z64" s="575">
        <f t="shared" si="271"/>
        <v>-0.31083399689652047</v>
      </c>
      <c r="AA64" s="572">
        <f t="shared" si="272"/>
        <v>0.91477693526361892</v>
      </c>
      <c r="AB64" s="572">
        <f t="shared" si="273"/>
        <v>-0.25800268425548367</v>
      </c>
      <c r="AC64" s="579">
        <f t="shared" si="106"/>
        <v>1</v>
      </c>
      <c r="AD64" s="580">
        <f t="shared" si="142"/>
        <v>-0.31083399689652047</v>
      </c>
      <c r="AE64" s="572">
        <f t="shared" si="107"/>
        <v>0.91477693526361892</v>
      </c>
      <c r="AF64" s="576">
        <f t="shared" si="108"/>
        <v>-0.25800268425548367</v>
      </c>
      <c r="AG64" s="545">
        <f t="shared" si="109"/>
        <v>74.249483284938705</v>
      </c>
      <c r="AH64" s="546">
        <f t="shared" si="110"/>
        <v>108.1094981951898</v>
      </c>
      <c r="AI64" s="528">
        <f t="shared" si="111"/>
        <v>-75.048418564211872</v>
      </c>
      <c r="AJ64" s="529">
        <f t="shared" si="112"/>
        <v>-161.23264374937111</v>
      </c>
      <c r="AK64" s="578">
        <f t="shared" si="238"/>
        <v>0.96126170705176628</v>
      </c>
      <c r="AL64" s="572">
        <f t="shared" si="113"/>
        <v>-9.7007966028000159E-2</v>
      </c>
      <c r="AM64" s="577">
        <f t="shared" si="114"/>
        <v>-0.25800268425548367</v>
      </c>
      <c r="AN64" s="524">
        <f t="shared" si="115"/>
        <v>-20.606057630913952</v>
      </c>
      <c r="AO64" s="525">
        <f t="shared" si="525"/>
        <v>15.999997689886136</v>
      </c>
      <c r="AP64" s="528">
        <f t="shared" si="117"/>
        <v>-5.7626272132874163</v>
      </c>
      <c r="AQ64" s="529">
        <f t="shared" si="274"/>
        <v>0.77357853638344876</v>
      </c>
      <c r="AS64" s="932">
        <f t="shared" si="461"/>
        <v>-245.37001655052191</v>
      </c>
      <c r="AT64" s="928">
        <f t="shared" si="275"/>
        <v>-0.13503563212960931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5.1150000000000002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</v>
      </c>
      <c r="B65" s="578">
        <f t="shared" si="515"/>
        <v>-3.2824757220124856</v>
      </c>
      <c r="C65" s="572">
        <f t="shared" si="516"/>
        <v>-1.4463746906987636</v>
      </c>
      <c r="D65" s="576">
        <f t="shared" si="517"/>
        <v>-0.69020208164947761</v>
      </c>
      <c r="E65" s="580">
        <f t="shared" si="518"/>
        <v>0.20681655256742612</v>
      </c>
      <c r="F65" s="572">
        <f t="shared" si="519"/>
        <v>-0.94262574418762268</v>
      </c>
      <c r="G65" s="579">
        <f t="shared" si="520"/>
        <v>0.26207559973957101</v>
      </c>
      <c r="H65" s="580">
        <f t="shared" si="521"/>
        <v>0.3125</v>
      </c>
      <c r="I65" s="572">
        <f t="shared" si="522"/>
        <v>0.52</v>
      </c>
      <c r="J65" s="483">
        <f t="shared" si="523"/>
        <v>5.1210000000000004</v>
      </c>
      <c r="K65" s="806">
        <f t="shared" si="524"/>
        <v>1613</v>
      </c>
      <c r="L65" s="309"/>
      <c r="M65" s="164">
        <f t="shared" si="267"/>
        <v>5.1210000000000004</v>
      </c>
      <c r="N65" s="575">
        <f t="shared" si="268"/>
        <v>-3.2824757220124856</v>
      </c>
      <c r="O65" s="572">
        <f t="shared" si="269"/>
        <v>-1.4463746906987636</v>
      </c>
      <c r="P65" s="576">
        <f t="shared" si="270"/>
        <v>-0.69020208164947761</v>
      </c>
      <c r="Q65" s="528">
        <f t="shared" si="140"/>
        <v>203.77998357220289</v>
      </c>
      <c r="R65" s="572">
        <f t="shared" si="101"/>
        <v>3.5870108184246297</v>
      </c>
      <c r="S65" s="577">
        <f t="shared" si="102"/>
        <v>-0.69020208164947761</v>
      </c>
      <c r="T65" s="578">
        <f t="shared" si="103"/>
        <v>-1.4521014849061644</v>
      </c>
      <c r="U65" s="572">
        <f t="shared" si="104"/>
        <v>3.2799463241078572</v>
      </c>
      <c r="V65" s="579">
        <f t="shared" si="141"/>
        <v>-0.69020208164947761</v>
      </c>
      <c r="W65" s="528">
        <f t="shared" si="253"/>
        <v>113.87998355776469</v>
      </c>
      <c r="X65" s="572">
        <f t="shared" si="105"/>
        <v>3.5870108184246297</v>
      </c>
      <c r="Y65" s="573">
        <f t="shared" si="255"/>
        <v>-0.69020208164947761</v>
      </c>
      <c r="Z65" s="575">
        <f t="shared" si="271"/>
        <v>-0.20681655256742612</v>
      </c>
      <c r="AA65" s="572">
        <f t="shared" si="272"/>
        <v>0.94262574418762268</v>
      </c>
      <c r="AB65" s="572">
        <f t="shared" si="273"/>
        <v>-0.26207559973957101</v>
      </c>
      <c r="AC65" s="579">
        <f t="shared" si="106"/>
        <v>1</v>
      </c>
      <c r="AD65" s="580">
        <f t="shared" si="142"/>
        <v>-0.20681655256742612</v>
      </c>
      <c r="AE65" s="572">
        <f t="shared" si="107"/>
        <v>0.94262574418762268</v>
      </c>
      <c r="AF65" s="576">
        <f t="shared" si="108"/>
        <v>-0.26207559973957101</v>
      </c>
      <c r="AG65" s="545">
        <f t="shared" si="109"/>
        <v>74.462622521500975</v>
      </c>
      <c r="AH65" s="546">
        <f t="shared" si="110"/>
        <v>101.93585901724767</v>
      </c>
      <c r="AI65" s="528">
        <f t="shared" si="111"/>
        <v>-74.806743395261748</v>
      </c>
      <c r="AJ65" s="529">
        <f t="shared" si="112"/>
        <v>-167.62511711833949</v>
      </c>
      <c r="AK65" s="578">
        <f t="shared" si="238"/>
        <v>0.94599111049829654</v>
      </c>
      <c r="AL65" s="572">
        <f t="shared" si="113"/>
        <v>-0.1908329082714621</v>
      </c>
      <c r="AM65" s="577">
        <f t="shared" si="114"/>
        <v>-0.26207559973957101</v>
      </c>
      <c r="AN65" s="524">
        <f t="shared" si="115"/>
        <v>-36.060600854099476</v>
      </c>
      <c r="AO65" s="525">
        <f t="shared" si="525"/>
        <v>18.916663935438272</v>
      </c>
      <c r="AP65" s="528">
        <f t="shared" si="117"/>
        <v>-11.405100690542378</v>
      </c>
      <c r="AQ65" s="529">
        <f t="shared" si="274"/>
        <v>0.63552446680920738</v>
      </c>
      <c r="AS65" s="932">
        <f t="shared" si="461"/>
        <v>-246.12001644223531</v>
      </c>
      <c r="AT65" s="928">
        <f t="shared" si="275"/>
        <v>-0.51921595913017404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5.1210000000000004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</v>
      </c>
      <c r="B66" s="578">
        <f t="shared" si="515"/>
        <v>-3.7542699837961635</v>
      </c>
      <c r="C66" s="572">
        <f t="shared" si="516"/>
        <v>-1.5997819084519997</v>
      </c>
      <c r="D66" s="576">
        <f t="shared" si="517"/>
        <v>-1.2511037733289805</v>
      </c>
      <c r="E66" s="580">
        <f t="shared" si="518"/>
        <v>8.7783748694418226E-2</v>
      </c>
      <c r="F66" s="572">
        <f t="shared" si="519"/>
        <v>-0.96745945664570865</v>
      </c>
      <c r="G66" s="579">
        <f t="shared" si="520"/>
        <v>0.23731037316549294</v>
      </c>
      <c r="H66" s="580">
        <f t="shared" si="521"/>
        <v>0.3125</v>
      </c>
      <c r="I66" s="572">
        <f t="shared" si="522"/>
        <v>0.52</v>
      </c>
      <c r="J66" s="483">
        <f t="shared" si="523"/>
        <v>5.1269999999999998</v>
      </c>
      <c r="K66" s="806">
        <f t="shared" si="524"/>
        <v>1613</v>
      </c>
      <c r="L66" s="309"/>
      <c r="M66" s="164">
        <f t="shared" si="267"/>
        <v>5.1269999999999998</v>
      </c>
      <c r="N66" s="575">
        <f t="shared" si="268"/>
        <v>-3.7542699837961635</v>
      </c>
      <c r="O66" s="572">
        <f t="shared" si="269"/>
        <v>-1.5997819084519997</v>
      </c>
      <c r="P66" s="576">
        <f t="shared" si="270"/>
        <v>-1.2511037733289805</v>
      </c>
      <c r="Q66" s="528">
        <f t="shared" si="140"/>
        <v>203.07998367327036</v>
      </c>
      <c r="R66" s="572">
        <f t="shared" si="101"/>
        <v>4.0809123080315226</v>
      </c>
      <c r="S66" s="577">
        <f t="shared" si="102"/>
        <v>-1.2511037733289805</v>
      </c>
      <c r="T66" s="578">
        <f t="shared" si="103"/>
        <v>-1.6063319047960425</v>
      </c>
      <c r="U66" s="572">
        <f t="shared" si="104"/>
        <v>3.7514721213781517</v>
      </c>
      <c r="V66" s="579">
        <f t="shared" si="141"/>
        <v>-1.2511037733289805</v>
      </c>
      <c r="W66" s="528">
        <f t="shared" si="253"/>
        <v>113.17998365883216</v>
      </c>
      <c r="X66" s="572">
        <f t="shared" si="105"/>
        <v>4.0809123080315226</v>
      </c>
      <c r="Y66" s="573">
        <f t="shared" si="255"/>
        <v>-1.2511037733289805</v>
      </c>
      <c r="Z66" s="575">
        <f t="shared" si="271"/>
        <v>-8.7783748694418226E-2</v>
      </c>
      <c r="AA66" s="572">
        <f t="shared" si="272"/>
        <v>0.96745945664570865</v>
      </c>
      <c r="AB66" s="572">
        <f t="shared" si="273"/>
        <v>-0.23731037316549294</v>
      </c>
      <c r="AC66" s="579">
        <f t="shared" si="106"/>
        <v>1</v>
      </c>
      <c r="AD66" s="580">
        <f t="shared" si="142"/>
        <v>-8.7783748694418226E-2</v>
      </c>
      <c r="AE66" s="572">
        <f t="shared" si="107"/>
        <v>0.96745945664570865</v>
      </c>
      <c r="AF66" s="576">
        <f t="shared" si="108"/>
        <v>-0.23731037316549294</v>
      </c>
      <c r="AG66" s="545">
        <f t="shared" si="109"/>
        <v>76.217900174126228</v>
      </c>
      <c r="AH66" s="546">
        <f t="shared" si="110"/>
        <v>95.036120534500711</v>
      </c>
      <c r="AI66" s="528">
        <f t="shared" si="111"/>
        <v>-76.27214940199049</v>
      </c>
      <c r="AJ66" s="529">
        <f t="shared" si="112"/>
        <v>-174.81538692608572</v>
      </c>
      <c r="AK66" s="578">
        <f t="shared" si="238"/>
        <v>0.92443516716042518</v>
      </c>
      <c r="AL66" s="572">
        <f t="shared" si="113"/>
        <v>-0.29850194053830076</v>
      </c>
      <c r="AM66" s="577">
        <f t="shared" si="114"/>
        <v>-0.23731037316549294</v>
      </c>
      <c r="AN66" s="524">
        <f t="shared" si="115"/>
        <v>-51.515144077284944</v>
      </c>
      <c r="AO66" s="525">
        <f t="shared" si="525"/>
        <v>22.416663430100879</v>
      </c>
      <c r="AP66" s="528">
        <f t="shared" si="117"/>
        <v>-17.895370599356077</v>
      </c>
      <c r="AQ66" s="529">
        <f t="shared" si="274"/>
        <v>0.55861391417957873</v>
      </c>
      <c r="AS66" s="932">
        <f t="shared" si="461"/>
        <v>-246.82001634116784</v>
      </c>
      <c r="AT66" s="928">
        <f t="shared" si="275"/>
        <v>-1.0796315397687515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5.1269999999999998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</v>
      </c>
      <c r="B67" s="578">
        <f t="shared" si="515"/>
        <v>-4.0600322144473946</v>
      </c>
      <c r="C67" s="572">
        <f t="shared" si="516"/>
        <v>-1.6891956132211836</v>
      </c>
      <c r="D67" s="576">
        <f t="shared" si="517"/>
        <v>-1.928505816373542</v>
      </c>
      <c r="E67" s="580">
        <f t="shared" si="518"/>
        <v>-2.5866683765371809E-2</v>
      </c>
      <c r="F67" s="572">
        <f t="shared" si="519"/>
        <v>-0.98493366699216434</v>
      </c>
      <c r="G67" s="579">
        <f t="shared" si="520"/>
        <v>0.17098709394673867</v>
      </c>
      <c r="H67" s="580">
        <f t="shared" si="521"/>
        <v>0.3125</v>
      </c>
      <c r="I67" s="572">
        <f t="shared" si="522"/>
        <v>0.52</v>
      </c>
      <c r="J67" s="483">
        <f t="shared" si="523"/>
        <v>5.133</v>
      </c>
      <c r="K67" s="806">
        <f t="shared" si="524"/>
        <v>1613</v>
      </c>
      <c r="L67" s="309"/>
      <c r="M67" s="164">
        <f t="shared" si="267"/>
        <v>5.133</v>
      </c>
      <c r="N67" s="575">
        <f t="shared" si="268"/>
        <v>-4.0600322144473946</v>
      </c>
      <c r="O67" s="572">
        <f t="shared" si="269"/>
        <v>-1.6891956132211836</v>
      </c>
      <c r="P67" s="576">
        <f t="shared" si="270"/>
        <v>-1.928505816373542</v>
      </c>
      <c r="Q67" s="528">
        <f t="shared" si="140"/>
        <v>202.58998374401762</v>
      </c>
      <c r="R67" s="572">
        <f>IF(M67="","",SQRT(N67^2+O67^2))</f>
        <v>4.3974132625984002</v>
      </c>
      <c r="S67" s="577">
        <f>IF(M67="","",P67)</f>
        <v>-1.928505816373542</v>
      </c>
      <c r="T67" s="578">
        <f>IF(M67="","",X67*COS(RADIANS(W67)))</f>
        <v>-1.6962791287977654</v>
      </c>
      <c r="U67" s="572">
        <f>IF(M67="","",X67*SIN(RADIANS(W67)))</f>
        <v>4.0570778300744239</v>
      </c>
      <c r="V67" s="579">
        <f>IF(M67="","",Y67)</f>
        <v>-1.928505816373542</v>
      </c>
      <c r="W67" s="528">
        <f t="shared" si="253"/>
        <v>112.68998372957941</v>
      </c>
      <c r="X67" s="572">
        <f>IF(M67="","",R67)</f>
        <v>4.3974132625984002</v>
      </c>
      <c r="Y67" s="573">
        <f t="shared" si="255"/>
        <v>-1.928505816373542</v>
      </c>
      <c r="Z67" s="575">
        <f t="shared" si="271"/>
        <v>2.5866683765371809E-2</v>
      </c>
      <c r="AA67" s="572">
        <f t="shared" si="272"/>
        <v>0.98493366699216434</v>
      </c>
      <c r="AB67" s="572">
        <f t="shared" si="273"/>
        <v>-0.17098709394673867</v>
      </c>
      <c r="AC67" s="579">
        <f>IF(M67="","",SQRT(Z67^2+AA67^2+AB67^2))</f>
        <v>1</v>
      </c>
      <c r="AD67" s="580">
        <f>IF(M67="","",Z67*(1/SQRT(Z67^2+AA67^2+AB67^2)))</f>
        <v>2.5866683765371809E-2</v>
      </c>
      <c r="AE67" s="572">
        <f>IF(M67="","",AA67*(1/SQRT(Z67^2+AA67^2+AB67^2)))</f>
        <v>0.98493366699216434</v>
      </c>
      <c r="AF67" s="576">
        <f>IF(M67="","",AB67*(1/SQRT(Z67^2+AA67^2+AB67^2)))</f>
        <v>-0.17098709394673867</v>
      </c>
      <c r="AG67" s="545">
        <f>IF(M67="","",DEGREES(ATAN2(-AF67,AE67)))</f>
        <v>80.151456131699618</v>
      </c>
      <c r="AH67" s="546">
        <f>IF(M67="","",DEGREES(ACOS(AD67)))</f>
        <v>88.517782870610176</v>
      </c>
      <c r="AI67" s="528">
        <f>IF(M67="","",DEGREES(-ACOS(-AF67)))</f>
        <v>-80.154784266943707</v>
      </c>
      <c r="AJ67" s="529">
        <f>IF(M67="","",DEGREES(ATAN2(-AE67,AD67)))</f>
        <v>178.4956233390181</v>
      </c>
      <c r="AK67" s="578">
        <f>IF(M67="","",(COS(RADIANS((90-$Q$8)-W67))*AD67)+(-SIN(RADIANS((90-$Q$8)-W67))*AE67))</f>
        <v>0.8994307089527136</v>
      </c>
      <c r="AL67" s="572">
        <f>IF(M67="","",(SIN(RADIANS((90-$Q$8)-W67))*AD67)+(COS(RADIANS((90-$Q$8)-W67))*AE67))</f>
        <v>-0.40222855877780289</v>
      </c>
      <c r="AM67" s="577">
        <f>IF(M67="","",AF67)</f>
        <v>-0.17098709394673867</v>
      </c>
      <c r="AN67" s="524">
        <f>IF(M67="","",DEGREES(ATAN2(-AM67,AL67)))</f>
        <v>-66.969687300470483</v>
      </c>
      <c r="AO67" s="525">
        <f t="shared" si="525"/>
        <v>25.916662924763472</v>
      </c>
      <c r="AP67" s="528">
        <f>IF(M67="","",DEGREES(ATAN2(AK67,AL67)))</f>
        <v>-24.094360404999517</v>
      </c>
      <c r="AQ67" s="529">
        <f t="shared" si="274"/>
        <v>0.51841032102335594</v>
      </c>
      <c r="AS67" s="932">
        <f t="shared" si="461"/>
        <v>-247.31001627042059</v>
      </c>
      <c r="AT67" s="928">
        <f t="shared" si="275"/>
        <v>-1.7566933050846654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5.133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</v>
      </c>
      <c r="B68" s="578">
        <f t="shared" si="515"/>
        <v>-4.18175818435527</v>
      </c>
      <c r="C68" s="572">
        <f t="shared" si="516"/>
        <v>-1.7227411766083005</v>
      </c>
      <c r="D68" s="576">
        <f t="shared" si="517"/>
        <v>-2.6659080403786497</v>
      </c>
      <c r="E68" s="580">
        <f t="shared" si="518"/>
        <v>-0.1183675624088753</v>
      </c>
      <c r="F68" s="572">
        <f t="shared" si="519"/>
        <v>-0.99085629570414679</v>
      </c>
      <c r="G68" s="579">
        <f t="shared" si="520"/>
        <v>6.475277162282389E-2</v>
      </c>
      <c r="H68" s="580">
        <f t="shared" si="521"/>
        <v>0.3125</v>
      </c>
      <c r="I68" s="572">
        <f t="shared" si="522"/>
        <v>0.52</v>
      </c>
      <c r="J68" s="483">
        <f t="shared" si="523"/>
        <v>5.1390000000000002</v>
      </c>
      <c r="K68" s="806">
        <f t="shared" si="524"/>
        <v>1613</v>
      </c>
      <c r="L68" s="309"/>
      <c r="M68" s="164">
        <f t="shared" si="267"/>
        <v>5.1390000000000002</v>
      </c>
      <c r="N68" s="575">
        <f t="shared" si="268"/>
        <v>-4.18175818435527</v>
      </c>
      <c r="O68" s="572">
        <f t="shared" si="269"/>
        <v>-1.7227411766083005</v>
      </c>
      <c r="P68" s="576">
        <f t="shared" si="270"/>
        <v>-2.6659080403786497</v>
      </c>
      <c r="Q68" s="528">
        <f t="shared" si="140"/>
        <v>202.38998377289403</v>
      </c>
      <c r="R68" s="572">
        <f>IF(M68="","",SQRT(N68^2+O68^2))</f>
        <v>4.5227136405043415</v>
      </c>
      <c r="S68" s="577">
        <f>IF(M68="","",P68)</f>
        <v>-2.6659080403786497</v>
      </c>
      <c r="T68" s="578">
        <f>IF(M68="","",X68*COS(RADIANS(W68)))</f>
        <v>-1.7300370928495683</v>
      </c>
      <c r="U68" s="572">
        <f>IF(M68="","",X68*SIN(RADIANS(W68)))</f>
        <v>4.1787450665682693</v>
      </c>
      <c r="V68" s="579">
        <f>IF(M68="","",Y68)</f>
        <v>-2.6659080403786497</v>
      </c>
      <c r="W68" s="528">
        <f t="shared" si="253"/>
        <v>112.48998375845582</v>
      </c>
      <c r="X68" s="572">
        <f>IF(M68="","",R68)</f>
        <v>4.5227136405043415</v>
      </c>
      <c r="Y68" s="573">
        <f t="shared" si="255"/>
        <v>-2.6659080403786497</v>
      </c>
      <c r="Z68" s="575">
        <f t="shared" si="271"/>
        <v>0.1183675624088753</v>
      </c>
      <c r="AA68" s="572">
        <f t="shared" si="272"/>
        <v>0.99085629570414679</v>
      </c>
      <c r="AB68" s="572">
        <f t="shared" si="273"/>
        <v>-6.475277162282389E-2</v>
      </c>
      <c r="AC68" s="579">
        <f>IF(M68="","",SQRT(Z68^2+AA68^2+AB68^2))</f>
        <v>1</v>
      </c>
      <c r="AD68" s="580">
        <f>IF(M68="","",Z68*(1/SQRT(Z68^2+AA68^2+AB68^2)))</f>
        <v>0.1183675624088753</v>
      </c>
      <c r="AE68" s="572">
        <f>IF(M68="","",AA68*(1/SQRT(Z68^2+AA68^2+AB68^2)))</f>
        <v>0.99085629570414679</v>
      </c>
      <c r="AF68" s="576">
        <f>IF(M68="","",AB68*(1/SQRT(Z68^2+AA68^2+AB68^2)))</f>
        <v>-6.475277162282389E-2</v>
      </c>
      <c r="AG68" s="545">
        <f>IF(M68="","",DEGREES(ATAN2(-AF68,AE68)))</f>
        <v>86.261019322120688</v>
      </c>
      <c r="AH68" s="546">
        <f>IF(M68="","",DEGREES(ACOS(AD68)))</f>
        <v>83.202100676918903</v>
      </c>
      <c r="AI68" s="528">
        <f>IF(M68="","",DEGREES(-ACOS(-AF68)))</f>
        <v>-86.28734190473206</v>
      </c>
      <c r="AJ68" s="529">
        <f>IF(M68="","",DEGREES(ATAN2(-AE68,AD68)))</f>
        <v>173.18773649648696</v>
      </c>
      <c r="AK68" s="578">
        <f>IF(M68="","",(COS(RADIANS((90-$Q$8)-W68))*AD68)+(-SIN(RADIANS((90-$Q$8)-W68))*AE68))</f>
        <v>0.87107101255805397</v>
      </c>
      <c r="AL68" s="572">
        <f>IF(M68="","",(SIN(RADIANS((90-$Q$8)-W68))*AD68)+(COS(RADIANS((90-$Q$8)-W68))*AE68))</f>
        <v>-0.48686997201331805</v>
      </c>
      <c r="AM68" s="577">
        <f>IF(M68="","",AF68)</f>
        <v>-6.475277162282389E-2</v>
      </c>
      <c r="AN68" s="524">
        <f>IF(M68="","",DEGREES(ATAN2(-AM68,AL68)))</f>
        <v>-82.424230523655964</v>
      </c>
      <c r="AO68" s="525">
        <f t="shared" si="525"/>
        <v>29.416662419426054</v>
      </c>
      <c r="AP68" s="528">
        <f>IF(M68="","",DEGREES(ATAN2(AK68,AL68)))</f>
        <v>-29.202247276407039</v>
      </c>
      <c r="AQ68" s="529">
        <f t="shared" si="274"/>
        <v>0.50404867552852095</v>
      </c>
      <c r="AS68" s="932">
        <f t="shared" si="461"/>
        <v>-247.51001624154418</v>
      </c>
      <c r="AT68" s="928">
        <f t="shared" si="275"/>
        <v>-2.4939566402209374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5.1390000000000002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515"/>
        <v>-4.2243782965996832</v>
      </c>
      <c r="C69" s="572">
        <f t="shared" si="516"/>
        <v>-1.7342652745798841</v>
      </c>
      <c r="D69" s="576">
        <f t="shared" si="517"/>
        <v>-3.473210475202793</v>
      </c>
      <c r="E69" s="580">
        <f t="shared" si="518"/>
        <v>-0.13188035681091378</v>
      </c>
      <c r="F69" s="572">
        <f t="shared" si="519"/>
        <v>-0.99030729160832254</v>
      </c>
      <c r="G69" s="579">
        <f t="shared" si="520"/>
        <v>4.3577972357774948E-2</v>
      </c>
      <c r="H69" s="580">
        <f t="shared" si="521"/>
        <v>0.3125</v>
      </c>
      <c r="I69" s="572">
        <f t="shared" si="522"/>
        <v>0.52</v>
      </c>
      <c r="J69" s="483">
        <f t="shared" si="523"/>
        <v>5.1449999999999996</v>
      </c>
      <c r="K69" s="806">
        <f t="shared" si="524"/>
        <v>1613</v>
      </c>
      <c r="L69" s="309"/>
      <c r="M69" s="164">
        <f t="shared" si="267"/>
        <v>5.1449999999999996</v>
      </c>
      <c r="N69" s="575">
        <f t="shared" si="268"/>
        <v>-4.2243782965996832</v>
      </c>
      <c r="O69" s="572">
        <f t="shared" si="269"/>
        <v>-1.7342652745798841</v>
      </c>
      <c r="P69" s="576">
        <f t="shared" si="270"/>
        <v>-3.473210475202793</v>
      </c>
      <c r="Q69" s="528">
        <f t="shared" si="140"/>
        <v>202.31998378300077</v>
      </c>
      <c r="R69" s="572">
        <f t="shared" si="101"/>
        <v>4.56651377260554</v>
      </c>
      <c r="S69" s="577">
        <f t="shared" si="102"/>
        <v>-3.473210475202793</v>
      </c>
      <c r="T69" s="578">
        <f t="shared" si="103"/>
        <v>-1.7416355593490742</v>
      </c>
      <c r="U69" s="572">
        <f t="shared" si="104"/>
        <v>4.2213450005663979</v>
      </c>
      <c r="V69" s="579">
        <f t="shared" si="141"/>
        <v>-3.473210475202793</v>
      </c>
      <c r="W69" s="528">
        <f t="shared" si="253"/>
        <v>112.41998376856256</v>
      </c>
      <c r="X69" s="572">
        <f t="shared" si="105"/>
        <v>4.56651377260554</v>
      </c>
      <c r="Y69" s="573">
        <f t="shared" si="255"/>
        <v>-3.473210475202793</v>
      </c>
      <c r="Z69" s="575">
        <f t="shared" si="271"/>
        <v>0.13188035681091378</v>
      </c>
      <c r="AA69" s="572">
        <f t="shared" si="272"/>
        <v>0.99030729160832254</v>
      </c>
      <c r="AB69" s="572">
        <f t="shared" si="273"/>
        <v>-4.3577972357774948E-2</v>
      </c>
      <c r="AC69" s="579">
        <f t="shared" si="106"/>
        <v>1</v>
      </c>
      <c r="AD69" s="580">
        <f t="shared" si="142"/>
        <v>0.13188035681091378</v>
      </c>
      <c r="AE69" s="572">
        <f t="shared" si="107"/>
        <v>0.99030729160832254</v>
      </c>
      <c r="AF69" s="576">
        <f t="shared" si="108"/>
        <v>-4.3577972357774948E-2</v>
      </c>
      <c r="AG69" s="545">
        <f t="shared" si="109"/>
        <v>87.480353656430268</v>
      </c>
      <c r="AH69" s="546">
        <f t="shared" si="110"/>
        <v>82.421735519475661</v>
      </c>
      <c r="AI69" s="528">
        <f t="shared" si="111"/>
        <v>-87.502375163624507</v>
      </c>
      <c r="AJ69" s="529">
        <f t="shared" si="112"/>
        <v>172.41448716394848</v>
      </c>
      <c r="AK69" s="578">
        <f t="shared" si="238"/>
        <v>0.86602544158358585</v>
      </c>
      <c r="AL69" s="572">
        <f t="shared" si="113"/>
        <v>-0.49809727449077673</v>
      </c>
      <c r="AM69" s="577">
        <f t="shared" si="114"/>
        <v>-4.3577972357774948E-2</v>
      </c>
      <c r="AN69" s="524">
        <f t="shared" si="115"/>
        <v>-84.999987727520178</v>
      </c>
      <c r="AO69" s="525">
        <f t="shared" si="525"/>
        <v>29.99999566853651</v>
      </c>
      <c r="AP69" s="528">
        <f t="shared" si="117"/>
        <v>-29.905496619052286</v>
      </c>
      <c r="AQ69" s="529">
        <f t="shared" si="274"/>
        <v>0.49921429268422707</v>
      </c>
      <c r="AS69" s="932">
        <f t="shared" si="461"/>
        <v>-247.58001623143744</v>
      </c>
      <c r="AT69" s="928">
        <f t="shared" si="275"/>
        <v>-3.301210463940988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5.1449999999999996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515"/>
        <v>-2.9263736381242742</v>
      </c>
      <c r="C70" s="572">
        <f t="shared" si="516"/>
        <v>-0.41752316726026184</v>
      </c>
      <c r="D70" s="576">
        <f t="shared" si="517"/>
        <v>-0.29014942426360768</v>
      </c>
      <c r="E70" s="580">
        <f t="shared" si="518"/>
        <v>3.9738540836717601E-2</v>
      </c>
      <c r="F70" s="572">
        <f t="shared" si="519"/>
        <v>-0.96532660964521955</v>
      </c>
      <c r="G70" s="579">
        <f t="shared" si="520"/>
        <v>0.25800268425548356</v>
      </c>
      <c r="H70" s="580">
        <f t="shared" si="521"/>
        <v>0.26450000000000001</v>
      </c>
      <c r="I70" s="572">
        <f t="shared" si="522"/>
        <v>0.39400000000000002</v>
      </c>
      <c r="J70" s="483">
        <f t="shared" si="523"/>
        <v>5.2149999999999999</v>
      </c>
      <c r="K70" s="806">
        <f t="shared" si="524"/>
        <v>1310</v>
      </c>
      <c r="L70" s="309"/>
      <c r="M70" s="164">
        <f t="shared" si="267"/>
        <v>5.2149999999999999</v>
      </c>
      <c r="N70" s="575">
        <f t="shared" si="268"/>
        <v>-2.9263736381242742</v>
      </c>
      <c r="O70" s="572">
        <f t="shared" si="269"/>
        <v>-0.41752316726026184</v>
      </c>
      <c r="P70" s="576">
        <f t="shared" si="270"/>
        <v>-0.29014942426360768</v>
      </c>
      <c r="Q70" s="528">
        <f t="shared" si="140"/>
        <v>188.11992868658453</v>
      </c>
      <c r="R70" s="572">
        <f t="shared" si="101"/>
        <v>2.9560088404989151</v>
      </c>
      <c r="S70" s="577">
        <f t="shared" si="102"/>
        <v>-0.29014942426360768</v>
      </c>
      <c r="T70" s="578">
        <f t="shared" si="103"/>
        <v>-0.4226300135188637</v>
      </c>
      <c r="U70" s="572">
        <f t="shared" si="104"/>
        <v>2.925640466082732</v>
      </c>
      <c r="V70" s="579">
        <f t="shared" si="141"/>
        <v>-0.29014942426360768</v>
      </c>
      <c r="W70" s="528">
        <f t="shared" si="253"/>
        <v>98.219928672146324</v>
      </c>
      <c r="X70" s="572">
        <f t="shared" si="105"/>
        <v>2.9560088404989151</v>
      </c>
      <c r="Y70" s="573">
        <f t="shared" si="255"/>
        <v>-0.29014942426360768</v>
      </c>
      <c r="Z70" s="575">
        <f t="shared" si="271"/>
        <v>-3.9738540836717601E-2</v>
      </c>
      <c r="AA70" s="572">
        <f t="shared" si="272"/>
        <v>0.96532660964521955</v>
      </c>
      <c r="AB70" s="572">
        <f t="shared" si="273"/>
        <v>-0.25800268425548356</v>
      </c>
      <c r="AC70" s="579">
        <f t="shared" si="106"/>
        <v>1</v>
      </c>
      <c r="AD70" s="580">
        <f t="shared" si="142"/>
        <v>-3.9738540836717601E-2</v>
      </c>
      <c r="AE70" s="572">
        <f t="shared" si="107"/>
        <v>0.96532660964521955</v>
      </c>
      <c r="AF70" s="576">
        <f t="shared" si="108"/>
        <v>-0.25800268425548356</v>
      </c>
      <c r="AG70" s="545">
        <f t="shared" si="109"/>
        <v>75.036323011378386</v>
      </c>
      <c r="AH70" s="546">
        <f t="shared" si="110"/>
        <v>92.277450348931325</v>
      </c>
      <c r="AI70" s="528">
        <f t="shared" si="111"/>
        <v>-75.048418564211872</v>
      </c>
      <c r="AJ70" s="529">
        <f t="shared" si="112"/>
        <v>-177.64269852670287</v>
      </c>
      <c r="AK70" s="578">
        <f t="shared" si="238"/>
        <v>0.96126170705176628</v>
      </c>
      <c r="AL70" s="572">
        <f t="shared" si="113"/>
        <v>-9.7007966028000076E-2</v>
      </c>
      <c r="AM70" s="577">
        <f t="shared" si="114"/>
        <v>-0.25800268425548356</v>
      </c>
      <c r="AN70" s="524">
        <f t="shared" si="115"/>
        <v>-20.606057630913941</v>
      </c>
      <c r="AO70" s="525">
        <f t="shared" si="525"/>
        <v>15.999997689886136</v>
      </c>
      <c r="AP70" s="528">
        <f t="shared" si="117"/>
        <v>-5.7626272132874119</v>
      </c>
      <c r="AQ70" s="529">
        <f t="shared" si="274"/>
        <v>0.77117122785610093</v>
      </c>
      <c r="AS70" s="932">
        <f t="shared" si="461"/>
        <v>-261.78007132785365</v>
      </c>
      <c r="AT70" s="928">
        <f t="shared" si="275"/>
        <v>-0.10828826362929139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5.2149999999999999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5.1150000000000002</v>
      </c>
      <c r="IK70" s="677" cm="1">
        <f t="array" ref="IK70">IFERROR(ROUND(VALUE(IF($IJ70&lt;1,$IJ70+LARGE((IF($M$9:$M$150="",0,$M$9:$M$150)-MOD(IF($M$9:$M$150="",0,$M$9:$M$150),1)),1),$IJ70)),4),"")</f>
        <v>5.1150000000000002</v>
      </c>
      <c r="IL70" s="482">
        <f t="shared" si="426"/>
        <v>1613</v>
      </c>
      <c r="IM70" s="482">
        <f t="shared" si="237"/>
        <v>1310</v>
      </c>
      <c r="IN70" s="670">
        <f t="shared" si="427"/>
        <v>16.410054777331766</v>
      </c>
      <c r="IO70" s="702">
        <v>2.8335971219074701E-2</v>
      </c>
      <c r="IP70" s="5">
        <f t="shared" si="428"/>
        <v>0.62</v>
      </c>
      <c r="IQ70" s="714">
        <v>310</v>
      </c>
      <c r="IR70" s="9">
        <f t="shared" si="429"/>
        <v>-2.9468088875756053</v>
      </c>
      <c r="IS70" s="5">
        <f t="shared" si="430"/>
        <v>-0.30550092139077856</v>
      </c>
      <c r="IT70" s="5">
        <f t="shared" si="431"/>
        <v>0.3125</v>
      </c>
      <c r="IU70" s="5">
        <f t="shared" si="432"/>
        <v>0.30039428345367697</v>
      </c>
      <c r="IV70" s="670">
        <f t="shared" si="433"/>
        <v>20.606057630913952</v>
      </c>
      <c r="IW70" s="9">
        <f t="shared" si="434"/>
        <v>-2.9560088404989151</v>
      </c>
      <c r="IX70" s="5">
        <f t="shared" si="435"/>
        <v>-0.29014942426360768</v>
      </c>
      <c r="IY70" s="5">
        <f t="shared" si="436"/>
        <v>0.26450000000000001</v>
      </c>
      <c r="IZ70" s="5">
        <f t="shared" si="437"/>
        <v>0.25425372151519221</v>
      </c>
      <c r="JA70" s="705">
        <f t="shared" si="438"/>
        <v>20.606057630913941</v>
      </c>
    </row>
    <row r="71" spans="1:261" ht="15" customHeight="1" x14ac:dyDescent="0.25">
      <c r="A71" s="75">
        <f t="shared" si="256"/>
        <v>0</v>
      </c>
      <c r="B71" s="578">
        <f t="shared" si="515"/>
        <v>-3.5432454469572789</v>
      </c>
      <c r="C71" s="572">
        <f t="shared" si="516"/>
        <v>-0.64774723221564723</v>
      </c>
      <c r="D71" s="576">
        <f t="shared" si="517"/>
        <v>-0.67711826798192776</v>
      </c>
      <c r="E71" s="580">
        <f t="shared" si="518"/>
        <v>-1.7602802438026189E-2</v>
      </c>
      <c r="F71" s="572">
        <f t="shared" si="519"/>
        <v>-0.96488679199555427</v>
      </c>
      <c r="G71" s="579">
        <f t="shared" si="520"/>
        <v>0.26207559973957112</v>
      </c>
      <c r="H71" s="580">
        <f t="shared" si="521"/>
        <v>0.26450000000000001</v>
      </c>
      <c r="I71" s="572">
        <f t="shared" si="522"/>
        <v>0.52</v>
      </c>
      <c r="J71" s="483">
        <f t="shared" si="523"/>
        <v>5.2210000000000001</v>
      </c>
      <c r="K71" s="806">
        <f t="shared" si="524"/>
        <v>1313</v>
      </c>
      <c r="L71" s="309"/>
      <c r="M71" s="164">
        <f t="shared" si="267"/>
        <v>5.2210000000000001</v>
      </c>
      <c r="N71" s="575">
        <f t="shared" si="268"/>
        <v>-3.5432454469572789</v>
      </c>
      <c r="O71" s="572">
        <f t="shared" si="269"/>
        <v>-0.64774723221564723</v>
      </c>
      <c r="P71" s="576">
        <f t="shared" si="270"/>
        <v>-0.67711826798192776</v>
      </c>
      <c r="Q71" s="528">
        <f t="shared" si="140"/>
        <v>190.35994759353869</v>
      </c>
      <c r="R71" s="572">
        <f t="shared" si="101"/>
        <v>3.6019667924935841</v>
      </c>
      <c r="S71" s="577">
        <f t="shared" si="102"/>
        <v>-0.67711826798192776</v>
      </c>
      <c r="T71" s="578">
        <f t="shared" si="103"/>
        <v>-0.65393037153376854</v>
      </c>
      <c r="U71" s="572">
        <f t="shared" si="104"/>
        <v>3.5421095188336889</v>
      </c>
      <c r="V71" s="579">
        <f t="shared" si="141"/>
        <v>-0.67711826798192776</v>
      </c>
      <c r="W71" s="528">
        <f t="shared" si="253"/>
        <v>100.45994757910049</v>
      </c>
      <c r="X71" s="572">
        <f t="shared" si="105"/>
        <v>3.6019667924935841</v>
      </c>
      <c r="Y71" s="573">
        <f t="shared" si="255"/>
        <v>-0.67711826798192776</v>
      </c>
      <c r="Z71" s="575">
        <f t="shared" si="271"/>
        <v>1.7602802438026189E-2</v>
      </c>
      <c r="AA71" s="572">
        <f t="shared" si="272"/>
        <v>0.96488679199555427</v>
      </c>
      <c r="AB71" s="572">
        <f t="shared" si="273"/>
        <v>-0.26207559973957112</v>
      </c>
      <c r="AC71" s="579">
        <f t="shared" si="106"/>
        <v>1</v>
      </c>
      <c r="AD71" s="580">
        <f t="shared" si="142"/>
        <v>1.7602802438026189E-2</v>
      </c>
      <c r="AE71" s="572">
        <f t="shared" si="107"/>
        <v>0.96488679199555427</v>
      </c>
      <c r="AF71" s="576">
        <f t="shared" si="108"/>
        <v>-0.26207559973957112</v>
      </c>
      <c r="AG71" s="545">
        <f t="shared" si="109"/>
        <v>74.804332170707781</v>
      </c>
      <c r="AH71" s="546">
        <f t="shared" si="110"/>
        <v>88.991381619935893</v>
      </c>
      <c r="AI71" s="528">
        <f t="shared" si="111"/>
        <v>-74.806743395261734</v>
      </c>
      <c r="AJ71" s="529">
        <f t="shared" si="112"/>
        <v>178.95484690299634</v>
      </c>
      <c r="AK71" s="578">
        <f t="shared" si="238"/>
        <v>0.94599111049829632</v>
      </c>
      <c r="AL71" s="572">
        <f t="shared" si="113"/>
        <v>-0.19083290827146182</v>
      </c>
      <c r="AM71" s="577">
        <f t="shared" si="114"/>
        <v>-0.26207559973957112</v>
      </c>
      <c r="AN71" s="524">
        <f t="shared" si="115"/>
        <v>-36.060600854099427</v>
      </c>
      <c r="AO71" s="525">
        <f t="shared" si="525"/>
        <v>18.916663935438311</v>
      </c>
      <c r="AP71" s="528">
        <f t="shared" si="117"/>
        <v>-11.405100690542366</v>
      </c>
      <c r="AQ71" s="529">
        <f t="shared" si="274"/>
        <v>0.63288587704559696</v>
      </c>
      <c r="AS71" s="932">
        <f t="shared" si="461"/>
        <v>-259.54005242089954</v>
      </c>
      <c r="AT71" s="928">
        <f t="shared" si="275"/>
        <v>-0.49681267603299628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>Nose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5.2210000000000001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5.1210000000000004</v>
      </c>
      <c r="IK71" s="677" cm="1">
        <f t="array" ref="IK71">IFERROR(ROUND(VALUE(IF($IJ71&lt;1,$IJ71+LARGE((IF($M$9:$M$150="",0,$M$9:$M$150)-MOD(IF($M$9:$M$150="",0,$M$9:$M$150),1)),1),$IJ71)),4),"")</f>
        <v>5.1210000000000004</v>
      </c>
      <c r="IL71" s="482">
        <f t="shared" si="426"/>
        <v>1613</v>
      </c>
      <c r="IM71" s="482">
        <f t="shared" si="237"/>
        <v>1313</v>
      </c>
      <c r="IN71" s="670">
        <f t="shared" si="427"/>
        <v>13.420035978664203</v>
      </c>
      <c r="IO71" s="702">
        <v>2.56991746007409E-2</v>
      </c>
      <c r="IP71" s="5">
        <f t="shared" si="428"/>
        <v>0.76</v>
      </c>
      <c r="IQ71" s="714">
        <v>380</v>
      </c>
      <c r="IR71" s="9">
        <f t="shared" si="429"/>
        <v>-3.5870108184246297</v>
      </c>
      <c r="IS71" s="5">
        <f t="shared" si="430"/>
        <v>-0.69020208164947761</v>
      </c>
      <c r="IT71" s="5">
        <f t="shared" si="431"/>
        <v>0.3125</v>
      </c>
      <c r="IU71" s="5">
        <f t="shared" si="432"/>
        <v>0.29562222203071764</v>
      </c>
      <c r="IV71" s="670">
        <f t="shared" si="433"/>
        <v>36.060600854099476</v>
      </c>
      <c r="IW71" s="9">
        <f t="shared" si="434"/>
        <v>-3.6019667924935841</v>
      </c>
      <c r="IX71" s="5">
        <f t="shared" si="435"/>
        <v>-0.67711826798192776</v>
      </c>
      <c r="IY71" s="5">
        <f t="shared" si="436"/>
        <v>0.26450000000000001</v>
      </c>
      <c r="IZ71" s="5">
        <f t="shared" si="437"/>
        <v>0.25021464872679938</v>
      </c>
      <c r="JA71" s="705">
        <f t="shared" si="438"/>
        <v>36.060600854099427</v>
      </c>
    </row>
    <row r="72" spans="1:261" ht="15" customHeight="1" x14ac:dyDescent="0.25">
      <c r="A72" s="75">
        <f t="shared" si="256"/>
        <v>0</v>
      </c>
      <c r="B72" s="578">
        <f t="shared" si="515"/>
        <v>-4.0203838374216705</v>
      </c>
      <c r="C72" s="572">
        <f t="shared" si="516"/>
        <v>-0.80401388166366228</v>
      </c>
      <c r="D72" s="576">
        <f t="shared" si="517"/>
        <v>-1.2424757076059998</v>
      </c>
      <c r="E72" s="580">
        <f t="shared" si="518"/>
        <v>-0.11142309651040137</v>
      </c>
      <c r="F72" s="572">
        <f t="shared" si="519"/>
        <v>-0.96502263204138816</v>
      </c>
      <c r="G72" s="579">
        <f t="shared" si="520"/>
        <v>0.23731037316549297</v>
      </c>
      <c r="H72" s="580">
        <f t="shared" si="521"/>
        <v>0.26450000000000001</v>
      </c>
      <c r="I72" s="572">
        <f t="shared" si="522"/>
        <v>0.52</v>
      </c>
      <c r="J72" s="483">
        <f t="shared" si="523"/>
        <v>5.2270000000000003</v>
      </c>
      <c r="K72" s="806">
        <f t="shared" si="524"/>
        <v>1313</v>
      </c>
      <c r="L72" s="309"/>
      <c r="M72" s="164">
        <f t="shared" si="267"/>
        <v>5.2270000000000003</v>
      </c>
      <c r="N72" s="575">
        <f t="shared" si="268"/>
        <v>-4.0203838374216705</v>
      </c>
      <c r="O72" s="572">
        <f t="shared" si="269"/>
        <v>-0.80401388166366228</v>
      </c>
      <c r="P72" s="576">
        <f t="shared" si="270"/>
        <v>-1.2424757076059998</v>
      </c>
      <c r="Q72" s="528">
        <f t="shared" si="140"/>
        <v>191.30907073489007</v>
      </c>
      <c r="R72" s="572">
        <f t="shared" si="101"/>
        <v>4.0999907953688464</v>
      </c>
      <c r="S72" s="577">
        <f t="shared" si="102"/>
        <v>-1.2424757076059998</v>
      </c>
      <c r="T72" s="578">
        <f t="shared" si="103"/>
        <v>-0.8110295460212944</v>
      </c>
      <c r="U72" s="572">
        <f t="shared" si="104"/>
        <v>4.0189744459986008</v>
      </c>
      <c r="V72" s="579">
        <f t="shared" si="141"/>
        <v>-1.2424757076059998</v>
      </c>
      <c r="W72" s="528">
        <f t="shared" si="253"/>
        <v>101.40907072045187</v>
      </c>
      <c r="X72" s="572">
        <f t="shared" si="105"/>
        <v>4.0999907953688464</v>
      </c>
      <c r="Y72" s="573">
        <f t="shared" si="255"/>
        <v>-1.2424757076059998</v>
      </c>
      <c r="Z72" s="575">
        <f t="shared" si="271"/>
        <v>0.11142309651040137</v>
      </c>
      <c r="AA72" s="572">
        <f t="shared" si="272"/>
        <v>0.96502263204138816</v>
      </c>
      <c r="AB72" s="572">
        <f t="shared" si="273"/>
        <v>-0.23731037316549297</v>
      </c>
      <c r="AC72" s="579">
        <f t="shared" si="106"/>
        <v>1</v>
      </c>
      <c r="AD72" s="580">
        <f t="shared" si="142"/>
        <v>0.11142309651040137</v>
      </c>
      <c r="AE72" s="572">
        <f t="shared" si="107"/>
        <v>0.96502263204138816</v>
      </c>
      <c r="AF72" s="576">
        <f t="shared" si="108"/>
        <v>-0.23731037316549297</v>
      </c>
      <c r="AG72" s="545">
        <f t="shared" si="109"/>
        <v>76.1844301330256</v>
      </c>
      <c r="AH72" s="546">
        <f t="shared" si="110"/>
        <v>83.602642654370769</v>
      </c>
      <c r="AI72" s="528">
        <f t="shared" si="111"/>
        <v>-76.27214940199049</v>
      </c>
      <c r="AJ72" s="529">
        <f t="shared" si="112"/>
        <v>173.41370013553399</v>
      </c>
      <c r="AK72" s="578">
        <f t="shared" si="238"/>
        <v>0.92443516716042529</v>
      </c>
      <c r="AL72" s="572">
        <f t="shared" si="113"/>
        <v>-0.29850194053830076</v>
      </c>
      <c r="AM72" s="577">
        <f t="shared" si="114"/>
        <v>-0.23731037316549297</v>
      </c>
      <c r="AN72" s="524">
        <f t="shared" si="115"/>
        <v>-51.515144077284944</v>
      </c>
      <c r="AO72" s="525">
        <f t="shared" si="525"/>
        <v>22.416663430100865</v>
      </c>
      <c r="AP72" s="528">
        <f t="shared" si="117"/>
        <v>-17.895370599356074</v>
      </c>
      <c r="AQ72" s="529">
        <f t="shared" si="274"/>
        <v>0.5560146796037565</v>
      </c>
      <c r="AS72" s="932">
        <f t="shared" si="461"/>
        <v>-258.59092927954816</v>
      </c>
      <c r="AT72" s="928">
        <f t="shared" si="275"/>
        <v>-1.0628292289496735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5.2270000000000003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5.1269999999999998</v>
      </c>
      <c r="IK72" s="677" cm="1">
        <f t="array" ref="IK72">IFERROR(ROUND(VALUE(IF($IJ72&lt;1,$IJ72+LARGE((IF($M$9:$M$150="",0,$M$9:$M$150)-MOD(IF($M$9:$M$150="",0,$M$9:$M$150),1)),1),$IJ72)),4),"")</f>
        <v>5.1269999999999998</v>
      </c>
      <c r="IL72" s="482">
        <f t="shared" si="426"/>
        <v>1613</v>
      </c>
      <c r="IM72" s="482">
        <f t="shared" si="237"/>
        <v>1313</v>
      </c>
      <c r="IN72" s="670">
        <f t="shared" si="427"/>
        <v>11.770912938380292</v>
      </c>
      <c r="IO72" s="702">
        <v>2.36755515336141E-2</v>
      </c>
      <c r="IP72" s="5">
        <f t="shared" si="428"/>
        <v>0.94</v>
      </c>
      <c r="IQ72" s="714">
        <v>470</v>
      </c>
      <c r="IR72" s="9">
        <f t="shared" si="429"/>
        <v>-4.0809123080315226</v>
      </c>
      <c r="IS72" s="5">
        <f t="shared" si="430"/>
        <v>-1.2511037733289805</v>
      </c>
      <c r="IT72" s="5">
        <f t="shared" si="431"/>
        <v>0.3125</v>
      </c>
      <c r="IU72" s="5">
        <f t="shared" si="432"/>
        <v>0.28888598973763285</v>
      </c>
      <c r="IV72" s="670">
        <f t="shared" si="433"/>
        <v>51.515144077284944</v>
      </c>
      <c r="IW72" s="9">
        <f t="shared" si="434"/>
        <v>-4.0999907953688464</v>
      </c>
      <c r="IX72" s="5">
        <f t="shared" si="435"/>
        <v>-1.2424757076059998</v>
      </c>
      <c r="IY72" s="5">
        <f t="shared" si="436"/>
        <v>0.26450000000000001</v>
      </c>
      <c r="IZ72" s="5">
        <f t="shared" si="437"/>
        <v>0.24451310171393251</v>
      </c>
      <c r="JA72" s="705">
        <f t="shared" si="438"/>
        <v>51.515144077284944</v>
      </c>
    </row>
    <row r="73" spans="1:261" ht="15" customHeight="1" x14ac:dyDescent="0.25">
      <c r="A73" s="75">
        <f t="shared" si="256"/>
        <v>0</v>
      </c>
      <c r="B73" s="578">
        <f t="shared" si="515"/>
        <v>-4.3367183037436821</v>
      </c>
      <c r="C73" s="572">
        <f t="shared" si="516"/>
        <v>-0.84742522469382142</v>
      </c>
      <c r="D73" s="576">
        <f t="shared" si="517"/>
        <v>-1.9258476353316005</v>
      </c>
      <c r="E73" s="580">
        <f t="shared" si="518"/>
        <v>-0.22226967064671976</v>
      </c>
      <c r="F73" s="572">
        <f t="shared" si="519"/>
        <v>-0.95987478725834241</v>
      </c>
      <c r="G73" s="579">
        <f t="shared" si="520"/>
        <v>0.17098709394673869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5.2329999999999997</v>
      </c>
      <c r="K73" s="806">
        <f t="shared" si="524"/>
        <v>1313</v>
      </c>
      <c r="L73" s="309"/>
      <c r="M73" s="164">
        <f t="shared" ref="M73:M104" si="526">IF(J73="","",VALUE(J73))</f>
        <v>5.2329999999999997</v>
      </c>
      <c r="N73" s="575">
        <f t="shared" ref="N73:N104" si="527">IF(M73="","",B73)</f>
        <v>-4.3367183037436821</v>
      </c>
      <c r="O73" s="572">
        <f t="shared" ref="O73:O104" si="528">IF(M73="","",C73)</f>
        <v>-0.84742522469382142</v>
      </c>
      <c r="P73" s="576">
        <f t="shared" ref="P73:P104" si="529">IF(M73="","",D73)</f>
        <v>-1.9258476353316005</v>
      </c>
      <c r="Q73" s="528">
        <f t="shared" si="140"/>
        <v>191.0566738437395</v>
      </c>
      <c r="R73" s="572">
        <f>IF(M73="","",SQRT(N73^2+O73^2))</f>
        <v>4.4187390913554569</v>
      </c>
      <c r="S73" s="577">
        <f>IF(M73="","",P73)</f>
        <v>-1.9258476353316005</v>
      </c>
      <c r="T73" s="578">
        <f>IF(M73="","",X73*COS(RADIANS(W73)))</f>
        <v>-0.8549929303697017</v>
      </c>
      <c r="U73" s="572">
        <f>IF(M73="","",X73*SIN(RADIANS(W73)))</f>
        <v>4.3352326634784761</v>
      </c>
      <c r="V73" s="579">
        <f>IF(M73="","",Y73)</f>
        <v>-1.9258476353316005</v>
      </c>
      <c r="W73" s="528">
        <f t="shared" si="253"/>
        <v>101.1566738293013</v>
      </c>
      <c r="X73" s="572">
        <f>IF(M73="","",R73)</f>
        <v>4.4187390913554569</v>
      </c>
      <c r="Y73" s="573">
        <f t="shared" si="255"/>
        <v>-1.9258476353316005</v>
      </c>
      <c r="Z73" s="575">
        <f t="shared" ref="Z73:Z104" si="530">IF(M73="","",-E73)</f>
        <v>0.22226967064671976</v>
      </c>
      <c r="AA73" s="572">
        <f t="shared" ref="AA73:AA104" si="531">IF(M73="","",-F73)</f>
        <v>0.95987478725834241</v>
      </c>
      <c r="AB73" s="572">
        <f t="shared" ref="AB73:AB104" si="532">IF(M73="","",-G73)</f>
        <v>-0.17098709394673869</v>
      </c>
      <c r="AC73" s="579">
        <f>IF(M73="","",SQRT(Z73^2+AA73^2+AB73^2))</f>
        <v>1</v>
      </c>
      <c r="AD73" s="580">
        <f>IF(M73="","",Z73*(1/SQRT(Z73^2+AA73^2+AB73^2)))</f>
        <v>0.22226967064671976</v>
      </c>
      <c r="AE73" s="572">
        <f>IF(M73="","",AA73*(1/SQRT(Z73^2+AA73^2+AB73^2)))</f>
        <v>0.95987478725834241</v>
      </c>
      <c r="AF73" s="576">
        <f>IF(M73="","",AB73*(1/SQRT(Z73^2+AA73^2+AB73^2)))</f>
        <v>-0.17098709394673869</v>
      </c>
      <c r="AG73" s="545">
        <f>IF(M73="","",DEGREES(ATAN2(-AF73,AE73)))</f>
        <v>79.899574604688141</v>
      </c>
      <c r="AH73" s="546">
        <f>IF(M73="","",DEGREES(ACOS(AD73)))</f>
        <v>77.15762326429595</v>
      </c>
      <c r="AI73" s="528">
        <f>IF(M73="","",DEGREES(-ACOS(-AF73)))</f>
        <v>-80.154784266943707</v>
      </c>
      <c r="AJ73" s="529">
        <f>IF(M73="","",DEGREES(ATAN2(-AE73,AD73)))</f>
        <v>166.96231343873998</v>
      </c>
      <c r="AK73" s="578">
        <f>IF(M73="","",(COS(RADIANS((90-$Q$8)-W73))*AD73)+(-SIN(RADIANS((90-$Q$8)-W73))*AE73))</f>
        <v>0.8994307089527136</v>
      </c>
      <c r="AL73" s="572">
        <f>IF(M73="","",(SIN(RADIANS((90-$Q$8)-W73))*AD73)+(COS(RADIANS((90-$Q$8)-W73))*AE73))</f>
        <v>-0.40222855877780284</v>
      </c>
      <c r="AM73" s="577">
        <f>IF(M73="","",AF73)</f>
        <v>-0.17098709394673869</v>
      </c>
      <c r="AN73" s="524">
        <f>IF(M73="","",DEGREES(ATAN2(-AM73,AL73)))</f>
        <v>-66.969687300470468</v>
      </c>
      <c r="AO73" s="525">
        <f t="shared" si="525"/>
        <v>25.916662924763472</v>
      </c>
      <c r="AP73" s="528">
        <f>IF(M73="","",DEGREES(ATAN2(AK73,AL73)))</f>
        <v>-24.094360404999513</v>
      </c>
      <c r="AQ73" s="529">
        <f t="shared" ref="AQ73:AQ104" si="533">IF(M73="","",DEGREES(ATAN(($AS$5*SIN(RADIANS(90)))/(($X73*2*PI())-($AS$5*COS(RADIANS(90)))))))</f>
        <v>0.51590849176960873</v>
      </c>
      <c r="AS73" s="932">
        <f t="shared" si="461"/>
        <v>-258.84332617069867</v>
      </c>
      <c r="AT73" s="928">
        <f t="shared" ref="AT73:AT104" si="534">IF(M73="","",Y73+(((AS73-$AS$9)*$AS$6)*-1))</f>
        <v>-1.7460258810564198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5.2329999999999997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5.133</v>
      </c>
      <c r="IK73" s="677" cm="1">
        <f t="array" ref="IK73">IFERROR(ROUND(VALUE(IF($IJ73&lt;1,$IJ73+LARGE((IF($M$9:$M$150="",0,$M$9:$M$150)-MOD(IF($M$9:$M$150="",0,$M$9:$M$150),1)),1),$IJ73)),4),"")</f>
        <v>5.133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11.533309900278113</v>
      </c>
      <c r="IO73" s="702">
        <v>2.2030951517491001E-2</v>
      </c>
      <c r="IP73" s="5">
        <f t="shared" ref="IP73:IP104" si="598">IF(ISNUMBER($IK73),(($IQ73*12)/60)/$AS$3,"")</f>
        <v>1.1000000000000001</v>
      </c>
      <c r="IQ73" s="714">
        <v>550</v>
      </c>
      <c r="IR73" s="9">
        <f t="shared" ref="IR73:IR104" si="599">IF(ISNUMBER($IK73),(INDEX($X$9:$X$150,MATCH($IK73,$M$9:$M$150,0))*-1),"")</f>
        <v>-4.3974132625984002</v>
      </c>
      <c r="IS73" s="5">
        <f t="shared" ref="IS73:IS104" si="600">IF(ISNUMBER($IK73),INDEX($Y$9:$Y$150,MATCH($IK73,$M$9:$M$150,0)),"")</f>
        <v>-1.928505816373542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0.28107209654772303</v>
      </c>
      <c r="IV73" s="670">
        <f t="shared" ref="IV73:IV104" si="603">IF(ISNUMBER($IK73),(-1*INDEX($AN$9:$AN$150,MATCH($IK73,$M$9:$M$150,0))),"")</f>
        <v>66.969687300470483</v>
      </c>
      <c r="IW73" s="9">
        <f t="shared" ref="IW73:IW104" si="604">IF(ISNUMBER($IK73),-$X73,"")</f>
        <v>-4.4187390913554569</v>
      </c>
      <c r="IX73" s="5">
        <f t="shared" ref="IX73:IX104" si="605">IF(ISNUMBER($IK73),$Y73,"")</f>
        <v>-1.9258476353316005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0.23789942251799276</v>
      </c>
      <c r="JA73" s="705">
        <f t="shared" ref="JA73:JA104" si="608">IF(ISNUMBER($IK73),(-1*$AN73),"")</f>
        <v>66.969687300470468</v>
      </c>
    </row>
    <row r="74" spans="1:261" ht="15" customHeight="1" x14ac:dyDescent="0.25">
      <c r="A74" s="75">
        <f t="shared" si="256"/>
        <v>0</v>
      </c>
      <c r="B74" s="578">
        <f t="shared" si="515"/>
        <v>-4.4906637508582499</v>
      </c>
      <c r="C74" s="572">
        <f t="shared" si="516"/>
        <v>-0.29430700205959726</v>
      </c>
      <c r="D74" s="576">
        <f t="shared" si="517"/>
        <v>-2.6844229958771715</v>
      </c>
      <c r="E74" s="580">
        <f t="shared" si="518"/>
        <v>-0.99554853105750463</v>
      </c>
      <c r="F74" s="572">
        <f t="shared" si="519"/>
        <v>-6.5245789895619119E-2</v>
      </c>
      <c r="G74" s="579">
        <f t="shared" si="520"/>
        <v>6.8015507129929181E-2</v>
      </c>
      <c r="H74" s="580">
        <f t="shared" si="521"/>
        <v>0.255</v>
      </c>
      <c r="I74" s="572">
        <f t="shared" si="522"/>
        <v>0.41499999999999992</v>
      </c>
      <c r="J74" s="483">
        <f t="shared" si="523"/>
        <v>5.2389999999999999</v>
      </c>
      <c r="K74" s="806" t="str">
        <f t="shared" si="524"/>
        <v>CPS-32193r1</v>
      </c>
      <c r="L74" s="309"/>
      <c r="M74" s="164">
        <f t="shared" si="526"/>
        <v>5.2389999999999999</v>
      </c>
      <c r="N74" s="575">
        <f t="shared" si="527"/>
        <v>-4.4906637508582499</v>
      </c>
      <c r="O74" s="572">
        <f t="shared" si="528"/>
        <v>-0.29430700205959726</v>
      </c>
      <c r="P74" s="576">
        <f t="shared" si="529"/>
        <v>-2.6844229958771715</v>
      </c>
      <c r="Q74" s="528">
        <f t="shared" ref="Q74:Q129" si="609">IF(M74="","",IF(DEGREES(ATAN2(N74,O74))&lt;0,DEGREES(ATAN2(N74,O74))+360,IF(DEGREES(ATAN2(N74,O74))&gt;360,DEGREES(ATAN2(N74,O74))-360,DEGREES(ATAN2(N74,O74)))))</f>
        <v>183.74966142406493</v>
      </c>
      <c r="R74" s="572">
        <f>IF(M74="","",SQRT(N74^2+O74^2))</f>
        <v>4.5002974940256557</v>
      </c>
      <c r="S74" s="577">
        <f>IF(M74="","",P74)</f>
        <v>-2.6844229958771715</v>
      </c>
      <c r="T74" s="578">
        <f>IF(M74="","",X74*COS(RADIANS(W74)))</f>
        <v>-0.30214423549910863</v>
      </c>
      <c r="U74" s="572">
        <f>IF(M74="","",X74*SIN(RADIANS(W74)))</f>
        <v>4.490143248905123</v>
      </c>
      <c r="V74" s="579">
        <f>IF(M74="","",Y74)</f>
        <v>-2.6844229958771715</v>
      </c>
      <c r="W74" s="528">
        <f t="shared" si="253"/>
        <v>93.849661409626719</v>
      </c>
      <c r="X74" s="572">
        <f>IF(M74="","",R74)</f>
        <v>4.5002974940256557</v>
      </c>
      <c r="Y74" s="573">
        <f t="shared" si="255"/>
        <v>-2.6844229958771715</v>
      </c>
      <c r="Z74" s="575">
        <f t="shared" si="530"/>
        <v>0.99554853105750463</v>
      </c>
      <c r="AA74" s="572">
        <f t="shared" si="531"/>
        <v>6.5245789895619119E-2</v>
      </c>
      <c r="AB74" s="572">
        <f t="shared" si="532"/>
        <v>-6.8015507129929181E-2</v>
      </c>
      <c r="AC74" s="579">
        <f>IF(M74="","",SQRT(Z74^2+AA74^2+AB74^2))</f>
        <v>1</v>
      </c>
      <c r="AD74" s="580">
        <f>IF(M74="","",Z74*(1/SQRT(Z74^2+AA74^2+AB74^2)))</f>
        <v>0.99554853105750463</v>
      </c>
      <c r="AE74" s="572">
        <f>IF(M74="","",AA74*(1/SQRT(Z74^2+AA74^2+AB74^2)))</f>
        <v>6.5245789895619119E-2</v>
      </c>
      <c r="AF74" s="576">
        <f>IF(M74="","",AB74*(1/SQRT(Z74^2+AA74^2+AB74^2)))</f>
        <v>-6.8015507129929181E-2</v>
      </c>
      <c r="AG74" s="545">
        <f>IF(M74="","",DEGREES(ATAN2(-AF74,AE74)))</f>
        <v>43.809329739932956</v>
      </c>
      <c r="AH74" s="546">
        <f>IF(M74="","",DEGREES(ACOS(AD74)))</f>
        <v>5.4081725531936016</v>
      </c>
      <c r="AI74" s="528">
        <f>IF(M74="","",DEGREES(-ACOS(-AF74)))</f>
        <v>-86.099987568699845</v>
      </c>
      <c r="AJ74" s="529">
        <f>IF(M74="","",DEGREES(ATAN2(-AE74,AD74)))</f>
        <v>93.749661424064911</v>
      </c>
      <c r="AK74" s="578">
        <f>IF(M74="","",(COS(RADIANS((90-$Q$8)-W74))*AD74)+(-SIN(RADIANS((90-$Q$8)-W74))*AE74))</f>
        <v>-1.5265566588595902E-16</v>
      </c>
      <c r="AL74" s="572">
        <f>IF(M74="","",(SIN(RADIANS((90-$Q$8)-W74))*AD74)+(COS(RADIANS((90-$Q$8)-W74))*AE74))</f>
        <v>-0.9976842640785003</v>
      </c>
      <c r="AM74" s="577">
        <f>IF(M74="","",AF74)</f>
        <v>-6.8015507129929181E-2</v>
      </c>
      <c r="AN74" s="524">
        <f>IF(M74="","",DEGREES(ATAN2(-AM74,AL74)))</f>
        <v>-86.099987568699859</v>
      </c>
      <c r="AO74" s="525">
        <f t="shared" si="525"/>
        <v>0</v>
      </c>
      <c r="AP74" s="528">
        <f>IF(M74="","",DEGREES(ATAN2(AK74,AL74)))</f>
        <v>-90</v>
      </c>
      <c r="AQ74" s="529">
        <f t="shared" si="533"/>
        <v>0.50655922991750146</v>
      </c>
      <c r="AS74" s="932">
        <f t="shared" si="461"/>
        <v>-266.15033859037328</v>
      </c>
      <c r="AT74" s="928">
        <f t="shared" si="534"/>
        <v>-2.4995269274216612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5.2389999999999999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5.1390000000000002</v>
      </c>
      <c r="IK74" s="677" cm="1">
        <f t="array" ref="IK74">IFERROR(ROUND(VALUE(IF($IJ74&lt;1,$IJ74+LARGE((IF($M$9:$M$150="",0,$M$9:$M$150)-MOD(IF($M$9:$M$150="",0,$M$9:$M$150),1)),1),$IJ74)),4),"")</f>
        <v>5.1390000000000002</v>
      </c>
      <c r="IL74" s="482">
        <f t="shared" si="596"/>
        <v>1613</v>
      </c>
      <c r="IM74" s="482" t="str">
        <f t="shared" si="237"/>
        <v>CPS-32193r1</v>
      </c>
      <c r="IN74" s="670">
        <f t="shared" si="597"/>
        <v>18.640322348829102</v>
      </c>
      <c r="IO74" s="702">
        <v>3.0986460499071999E-2</v>
      </c>
      <c r="IP74" s="5">
        <f t="shared" si="598"/>
        <v>1.42</v>
      </c>
      <c r="IQ74" s="714">
        <v>710</v>
      </c>
      <c r="IR74" s="9">
        <f t="shared" si="599"/>
        <v>-4.5227136405043415</v>
      </c>
      <c r="IS74" s="5">
        <f t="shared" si="600"/>
        <v>-2.6659080403786497</v>
      </c>
      <c r="IT74" s="5">
        <f t="shared" si="601"/>
        <v>0.3125</v>
      </c>
      <c r="IU74" s="5">
        <f t="shared" si="602"/>
        <v>0.27220969142439189</v>
      </c>
      <c r="IV74" s="670">
        <f t="shared" si="603"/>
        <v>82.424230523655964</v>
      </c>
      <c r="IW74" s="9">
        <f t="shared" si="604"/>
        <v>-4.5002974940256557</v>
      </c>
      <c r="IX74" s="5">
        <f t="shared" si="605"/>
        <v>-2.6844229958771715</v>
      </c>
      <c r="IY74" s="5">
        <f t="shared" si="606"/>
        <v>0.255</v>
      </c>
      <c r="IZ74" s="5">
        <f t="shared" si="607"/>
        <v>0.255</v>
      </c>
      <c r="JA74" s="705">
        <f t="shared" si="608"/>
        <v>86.099987568699859</v>
      </c>
    </row>
    <row r="75" spans="1:261" ht="15" customHeight="1" x14ac:dyDescent="0.25">
      <c r="A75" s="75">
        <f t="shared" si="256"/>
        <v>0</v>
      </c>
      <c r="B75" s="578">
        <f t="shared" si="515"/>
        <v>-4.5387830823400126</v>
      </c>
      <c r="C75" s="572">
        <f t="shared" si="516"/>
        <v>-0.17716251923207604</v>
      </c>
      <c r="D75" s="576">
        <f t="shared" si="517"/>
        <v>-3.4920715105824707</v>
      </c>
      <c r="E75" s="580">
        <f t="shared" si="518"/>
        <v>-0.99692510629114583</v>
      </c>
      <c r="F75" s="572">
        <f t="shared" si="519"/>
        <v>-3.8913021422735096E-2</v>
      </c>
      <c r="G75" s="579">
        <f t="shared" si="520"/>
        <v>6.801550712992907E-2</v>
      </c>
      <c r="H75" s="580">
        <f t="shared" si="521"/>
        <v>0.255</v>
      </c>
      <c r="I75" s="572">
        <f t="shared" si="522"/>
        <v>0.41499999999999992</v>
      </c>
      <c r="J75" s="483">
        <f t="shared" si="523"/>
        <v>5.2450000000000001</v>
      </c>
      <c r="K75" s="806" t="str">
        <f t="shared" si="524"/>
        <v>CPS-32193r1</v>
      </c>
      <c r="L75" s="309"/>
      <c r="M75" s="164">
        <f t="shared" si="526"/>
        <v>5.2450000000000001</v>
      </c>
      <c r="N75" s="575">
        <f t="shared" si="527"/>
        <v>-4.5387830823400126</v>
      </c>
      <c r="O75" s="572">
        <f t="shared" si="528"/>
        <v>-0.17716251923207604</v>
      </c>
      <c r="P75" s="576">
        <f t="shared" si="529"/>
        <v>-3.4920715105824707</v>
      </c>
      <c r="Q75" s="528">
        <f t="shared" si="609"/>
        <v>182.235293921683</v>
      </c>
      <c r="R75" s="572">
        <f>IF(M75="","",SQRT(N75^2+O75^2))</f>
        <v>4.5422393625563773</v>
      </c>
      <c r="S75" s="577">
        <f>IF(M75="","",P75)</f>
        <v>-3.4920715105824707</v>
      </c>
      <c r="T75" s="578">
        <f>IF(M75="","",X75*COS(RADIANS(W75)))</f>
        <v>-0.18508391511479788</v>
      </c>
      <c r="U75" s="572">
        <f>IF(M75="","",X75*SIN(RADIANS(W75)))</f>
        <v>4.538466962656261</v>
      </c>
      <c r="V75" s="579">
        <f>IF(M75="","",Y75)</f>
        <v>-3.4920715105824707</v>
      </c>
      <c r="W75" s="528">
        <f t="shared" si="253"/>
        <v>92.33529390724479</v>
      </c>
      <c r="X75" s="572">
        <f>IF(M75="","",R75)</f>
        <v>4.5422393625563773</v>
      </c>
      <c r="Y75" s="573">
        <f t="shared" si="255"/>
        <v>-3.4920715105824707</v>
      </c>
      <c r="Z75" s="575">
        <f t="shared" si="530"/>
        <v>0.99692510629114583</v>
      </c>
      <c r="AA75" s="572">
        <f t="shared" si="531"/>
        <v>3.8913021422735096E-2</v>
      </c>
      <c r="AB75" s="572">
        <f t="shared" si="532"/>
        <v>-6.801550712992907E-2</v>
      </c>
      <c r="AC75" s="579">
        <f>IF(M75="","",SQRT(Z75^2+AA75^2+AB75^2))</f>
        <v>1</v>
      </c>
      <c r="AD75" s="580">
        <f>IF(M75="","",Z75*(1/SQRT(Z75^2+AA75^2+AB75^2)))</f>
        <v>0.99692510629114583</v>
      </c>
      <c r="AE75" s="572">
        <f>IF(M75="","",AA75*(1/SQRT(Z75^2+AA75^2+AB75^2)))</f>
        <v>3.8913021422735096E-2</v>
      </c>
      <c r="AF75" s="576">
        <f>IF(M75="","",AB75*(1/SQRT(Z75^2+AA75^2+AB75^2)))</f>
        <v>-6.801550712992907E-2</v>
      </c>
      <c r="AG75" s="545">
        <f>IF(M75="","",DEGREES(ATAN2(-AF75,AE75)))</f>
        <v>29.774730050818299</v>
      </c>
      <c r="AH75" s="546">
        <f>IF(M75="","",DEGREES(ACOS(AD75)))</f>
        <v>4.4943204111510759</v>
      </c>
      <c r="AI75" s="528">
        <f>IF(M75="","",DEGREES(-ACOS(-AF75)))</f>
        <v>-86.099987568699859</v>
      </c>
      <c r="AJ75" s="529">
        <f>IF(M75="","",DEGREES(ATAN2(-AE75,AD75)))</f>
        <v>92.235293921682981</v>
      </c>
      <c r="AK75" s="578">
        <f>IF(M75="","",(COS(RADIANS((90-$Q$8)-W75))*AD75)+(-SIN(RADIANS((90-$Q$8)-W75))*AE75))</f>
        <v>-6.9388939039072284E-17</v>
      </c>
      <c r="AL75" s="572">
        <f>IF(M75="","",(SIN(RADIANS((90-$Q$8)-W75))*AD75)+(COS(RADIANS((90-$Q$8)-W75))*AE75))</f>
        <v>-0.99768426407850019</v>
      </c>
      <c r="AM75" s="577">
        <f>IF(M75="","",AF75)</f>
        <v>-6.801550712992907E-2</v>
      </c>
      <c r="AN75" s="524">
        <f>IF(M75="","",DEGREES(ATAN2(-AM75,AL75)))</f>
        <v>-86.099987568699859</v>
      </c>
      <c r="AO75" s="525">
        <f t="shared" si="525"/>
        <v>0</v>
      </c>
      <c r="AP75" s="528">
        <f>IF(M75="","",DEGREES(ATAN2(AK75,AL75)))</f>
        <v>-90</v>
      </c>
      <c r="AQ75" s="529">
        <f t="shared" si="533"/>
        <v>0.50188203281416499</v>
      </c>
      <c r="AS75" s="932">
        <f t="shared" ref="AS75:AS106" si="632">IF(G75="","",IF(AND(W75&lt;(AS74+180),W75&gt;(AS74-180)),W75,IF(W75&gt;(AS74+180),W75-360,IF(W75&lt;(AS74-180),W75+360,"Error"))))</f>
        <v>-267.66470609275518</v>
      </c>
      <c r="AT75" s="928">
        <f t="shared" si="534"/>
        <v>-3.306123798028084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>Gage</v>
      </c>
      <c r="II75" s="788">
        <f t="shared" ref="II75:II138" si="731">$M75</f>
        <v>5.2450000000000001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5.1449999999999996</v>
      </c>
      <c r="IK75" s="677" cm="1">
        <f t="array" ref="IK75">IFERROR(ROUND(VALUE(IF($IJ75&lt;1,$IJ75+LARGE((IF($M$9:$M$150="",0,$M$9:$M$150)-MOD(IF($M$9:$M$150="",0,$M$9:$M$150),1)),1),$IJ75)),4),"")</f>
        <v>5.1449999999999996</v>
      </c>
      <c r="IL75" s="482">
        <f t="shared" si="596"/>
        <v>1613</v>
      </c>
      <c r="IM75" s="482" t="str">
        <f t="shared" ref="IM75:IM138" si="732">IF(ISNUMBER($IK75),INDEX($K$9:$K$150,MATCH($II75,$M$9:$M$150,0)),"")</f>
        <v>CPS-32193r1</v>
      </c>
      <c r="IN75" s="670">
        <f t="shared" si="597"/>
        <v>20.08468986131777</v>
      </c>
      <c r="IO75" s="702">
        <v>3.0175120627589699E-2</v>
      </c>
      <c r="IP75" s="5">
        <f t="shared" si="598"/>
        <v>1.38</v>
      </c>
      <c r="IQ75" s="714">
        <v>690</v>
      </c>
      <c r="IR75" s="9">
        <f t="shared" si="599"/>
        <v>-4.56651377260554</v>
      </c>
      <c r="IS75" s="5">
        <f t="shared" si="600"/>
        <v>-3.473210475202793</v>
      </c>
      <c r="IT75" s="5">
        <f t="shared" si="601"/>
        <v>0.3125</v>
      </c>
      <c r="IU75" s="5">
        <f t="shared" si="602"/>
        <v>0.27063295049487057</v>
      </c>
      <c r="IV75" s="670">
        <f t="shared" si="603"/>
        <v>84.999987727520178</v>
      </c>
      <c r="IW75" s="9">
        <f t="shared" si="604"/>
        <v>-4.5422393625563773</v>
      </c>
      <c r="IX75" s="5">
        <f t="shared" si="605"/>
        <v>-3.4920715105824707</v>
      </c>
      <c r="IY75" s="5">
        <f t="shared" si="606"/>
        <v>0.255</v>
      </c>
      <c r="IZ75" s="5">
        <f t="shared" si="607"/>
        <v>0.255</v>
      </c>
      <c r="JA75" s="705">
        <f t="shared" si="608"/>
        <v>86.099987568699859</v>
      </c>
    </row>
    <row r="76" spans="1:261" ht="15" customHeight="1" x14ac:dyDescent="0.25">
      <c r="A76" s="75">
        <f t="shared" si="256"/>
        <v>0</v>
      </c>
      <c r="B76" s="578">
        <f t="shared" si="515"/>
        <v>-2.3357809104344738</v>
      </c>
      <c r="C76" s="572">
        <f t="shared" si="516"/>
        <v>1.5969489914471684</v>
      </c>
      <c r="D76" s="576">
        <f t="shared" si="517"/>
        <v>-0.26240079140078654</v>
      </c>
      <c r="E76" s="580">
        <f t="shared" si="518"/>
        <v>-0.61295578230065662</v>
      </c>
      <c r="F76" s="572">
        <f t="shared" si="519"/>
        <v>-0.74537773521120332</v>
      </c>
      <c r="G76" s="579">
        <f t="shared" si="520"/>
        <v>0.2621015848780916</v>
      </c>
      <c r="H76" s="580">
        <f t="shared" si="521"/>
        <v>0.3125</v>
      </c>
      <c r="I76" s="572">
        <f t="shared" si="522"/>
        <v>0.52</v>
      </c>
      <c r="J76" s="483">
        <f t="shared" si="523"/>
        <v>6.1139999999999999</v>
      </c>
      <c r="K76" s="806">
        <f t="shared" si="524"/>
        <v>1613</v>
      </c>
      <c r="L76" s="309"/>
      <c r="M76" s="164">
        <f t="shared" si="526"/>
        <v>6.1139999999999999</v>
      </c>
      <c r="N76" s="575">
        <f t="shared" si="527"/>
        <v>-2.3357809104344738</v>
      </c>
      <c r="O76" s="572">
        <f t="shared" si="528"/>
        <v>1.5969489914471684</v>
      </c>
      <c r="P76" s="576">
        <f t="shared" si="529"/>
        <v>-0.26240079140078654</v>
      </c>
      <c r="Q76" s="528">
        <f t="shared" si="609"/>
        <v>145.63999196657912</v>
      </c>
      <c r="R76" s="572">
        <f t="shared" si="101"/>
        <v>2.8295085337977381</v>
      </c>
      <c r="S76" s="577">
        <f t="shared" si="102"/>
        <v>-0.26240079140078654</v>
      </c>
      <c r="T76" s="578">
        <f t="shared" si="103"/>
        <v>1.5928698550651779</v>
      </c>
      <c r="U76" s="572">
        <f t="shared" si="104"/>
        <v>2.3385645528098782</v>
      </c>
      <c r="V76" s="579">
        <f t="shared" si="141"/>
        <v>-0.26240079140078654</v>
      </c>
      <c r="W76" s="528">
        <f t="shared" si="253"/>
        <v>55.739991952140912</v>
      </c>
      <c r="X76" s="572">
        <f t="shared" si="105"/>
        <v>2.8295085337977381</v>
      </c>
      <c r="Y76" s="573">
        <f t="shared" ref="Y76:Y129" si="733">IF(M76="","",S76)</f>
        <v>-0.26240079140078654</v>
      </c>
      <c r="Z76" s="575">
        <f t="shared" si="530"/>
        <v>0.61295578230065662</v>
      </c>
      <c r="AA76" s="572">
        <f t="shared" si="531"/>
        <v>0.74537773521120332</v>
      </c>
      <c r="AB76" s="572">
        <f t="shared" si="532"/>
        <v>-0.2621015848780916</v>
      </c>
      <c r="AC76" s="579">
        <f t="shared" si="106"/>
        <v>1</v>
      </c>
      <c r="AD76" s="580">
        <f t="shared" si="142"/>
        <v>0.61295578230065662</v>
      </c>
      <c r="AE76" s="572">
        <f t="shared" si="107"/>
        <v>0.74537773521120332</v>
      </c>
      <c r="AF76" s="576">
        <f t="shared" si="108"/>
        <v>-0.2621015848780916</v>
      </c>
      <c r="AG76" s="545">
        <f t="shared" si="109"/>
        <v>70.626494183508612</v>
      </c>
      <c r="AH76" s="546">
        <f t="shared" si="110"/>
        <v>52.196466500126718</v>
      </c>
      <c r="AI76" s="528">
        <f t="shared" si="111"/>
        <v>-74.805200627212997</v>
      </c>
      <c r="AJ76" s="529">
        <f t="shared" si="112"/>
        <v>140.56808671154653</v>
      </c>
      <c r="AK76" s="578">
        <f t="shared" si="238"/>
        <v>0.96126170705176617</v>
      </c>
      <c r="AL76" s="572">
        <f t="shared" si="113"/>
        <v>-8.5315237562331392E-2</v>
      </c>
      <c r="AM76" s="577">
        <f t="shared" si="114"/>
        <v>-0.2621015848780916</v>
      </c>
      <c r="AN76" s="524">
        <f t="shared" si="115"/>
        <v>-18.030300427049777</v>
      </c>
      <c r="AO76" s="525">
        <f t="shared" si="525"/>
        <v>15.99999768988615</v>
      </c>
      <c r="AP76" s="528">
        <f t="shared" si="117"/>
        <v>-5.0719052550325605</v>
      </c>
      <c r="AQ76" s="529">
        <f t="shared" si="533"/>
        <v>0.80564393316925864</v>
      </c>
      <c r="AS76" s="932">
        <f t="shared" si="632"/>
        <v>-304.26000804785906</v>
      </c>
      <c r="AT76" s="928">
        <f t="shared" si="534"/>
        <v>-5.1039674710910948E-2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6.1139999999999999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</v>
      </c>
      <c r="B77" s="578">
        <f t="shared" si="515"/>
        <v>-2.8551282759401388</v>
      </c>
      <c r="C77" s="572">
        <f t="shared" si="516"/>
        <v>2.0058739888520307</v>
      </c>
      <c r="D77" s="576">
        <f t="shared" si="517"/>
        <v>-0.61230184670236976</v>
      </c>
      <c r="E77" s="580">
        <f t="shared" si="518"/>
        <v>-0.68768273508872402</v>
      </c>
      <c r="F77" s="572">
        <f t="shared" si="519"/>
        <v>-0.67695644427518464</v>
      </c>
      <c r="G77" s="579">
        <f t="shared" si="520"/>
        <v>0.26234029125391839</v>
      </c>
      <c r="H77" s="580">
        <f t="shared" si="521"/>
        <v>0.3125</v>
      </c>
      <c r="I77" s="572">
        <f t="shared" si="522"/>
        <v>0.52</v>
      </c>
      <c r="J77" s="483">
        <f t="shared" si="523"/>
        <v>6.12</v>
      </c>
      <c r="K77" s="806">
        <f t="shared" si="524"/>
        <v>1613</v>
      </c>
      <c r="L77" s="309"/>
      <c r="M77" s="164">
        <f t="shared" si="526"/>
        <v>6.12</v>
      </c>
      <c r="N77" s="575">
        <f t="shared" si="527"/>
        <v>-2.8551282759401388</v>
      </c>
      <c r="O77" s="572">
        <f t="shared" si="528"/>
        <v>2.0058739888520307</v>
      </c>
      <c r="P77" s="576">
        <f t="shared" si="529"/>
        <v>-0.61230184670236976</v>
      </c>
      <c r="Q77" s="528">
        <f t="shared" si="609"/>
        <v>144.90999207197802</v>
      </c>
      <c r="R77" s="572">
        <f t="shared" si="101"/>
        <v>3.4893105237605417</v>
      </c>
      <c r="S77" s="577">
        <f t="shared" si="102"/>
        <v>-0.61230184670236976</v>
      </c>
      <c r="T77" s="578">
        <f t="shared" si="103"/>
        <v>2.0008877980840922</v>
      </c>
      <c r="U77" s="572">
        <f t="shared" si="104"/>
        <v>2.8586248355991484</v>
      </c>
      <c r="V77" s="579">
        <f t="shared" si="141"/>
        <v>-0.61230184670236976</v>
      </c>
      <c r="W77" s="528">
        <f t="shared" si="253"/>
        <v>55.009992057539819</v>
      </c>
      <c r="X77" s="572">
        <f t="shared" si="105"/>
        <v>3.4893105237605417</v>
      </c>
      <c r="Y77" s="573">
        <f t="shared" si="733"/>
        <v>-0.61230184670236976</v>
      </c>
      <c r="Z77" s="575">
        <f t="shared" si="530"/>
        <v>0.68768273508872402</v>
      </c>
      <c r="AA77" s="572">
        <f t="shared" si="531"/>
        <v>0.67695644427518464</v>
      </c>
      <c r="AB77" s="572">
        <f t="shared" si="532"/>
        <v>-0.26234029125391839</v>
      </c>
      <c r="AC77" s="579">
        <f t="shared" si="106"/>
        <v>1</v>
      </c>
      <c r="AD77" s="580">
        <f t="shared" si="142"/>
        <v>0.68768273508872402</v>
      </c>
      <c r="AE77" s="572">
        <f t="shared" si="107"/>
        <v>0.67695644427518464</v>
      </c>
      <c r="AF77" s="576">
        <f t="shared" si="108"/>
        <v>-0.26234029125391839</v>
      </c>
      <c r="AG77" s="545">
        <f t="shared" si="109"/>
        <v>68.817203110830121</v>
      </c>
      <c r="AH77" s="546">
        <f t="shared" si="110"/>
        <v>46.553043968001042</v>
      </c>
      <c r="AI77" s="528">
        <f t="shared" si="111"/>
        <v>-74.791027822601308</v>
      </c>
      <c r="AJ77" s="529">
        <f t="shared" si="112"/>
        <v>134.54965492220552</v>
      </c>
      <c r="AK77" s="578">
        <f t="shared" si="238"/>
        <v>0.94924265810467368</v>
      </c>
      <c r="AL77" s="572">
        <f t="shared" si="113"/>
        <v>-0.17353946991731567</v>
      </c>
      <c r="AM77" s="577">
        <f t="shared" si="114"/>
        <v>-0.26234029125391839</v>
      </c>
      <c r="AN77" s="524">
        <f t="shared" si="115"/>
        <v>-33.484843650235277</v>
      </c>
      <c r="AO77" s="525">
        <f t="shared" si="525"/>
        <v>18.33333068632788</v>
      </c>
      <c r="AP77" s="528">
        <f t="shared" si="117"/>
        <v>-10.360337149772501</v>
      </c>
      <c r="AQ77" s="529">
        <f t="shared" si="533"/>
        <v>0.65331755765508559</v>
      </c>
      <c r="AS77" s="932">
        <f t="shared" si="632"/>
        <v>-304.99000794246018</v>
      </c>
      <c r="AT77" s="928">
        <f t="shared" si="534"/>
        <v>-0.40043378564124338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6.12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-3.2518807501985538</v>
      </c>
      <c r="C78" s="572">
        <f t="shared" si="516"/>
        <v>2.347057042647624</v>
      </c>
      <c r="D78" s="576">
        <f t="shared" si="517"/>
        <v>-1.1479034620768422</v>
      </c>
      <c r="E78" s="580">
        <f t="shared" si="518"/>
        <v>-0.77064592947556021</v>
      </c>
      <c r="F78" s="572">
        <f t="shared" si="519"/>
        <v>-0.58858056970525707</v>
      </c>
      <c r="G78" s="579">
        <f t="shared" si="520"/>
        <v>0.24429032798738728</v>
      </c>
      <c r="H78" s="580">
        <f t="shared" si="521"/>
        <v>0.3125</v>
      </c>
      <c r="I78" s="572">
        <f t="shared" si="522"/>
        <v>0.52</v>
      </c>
      <c r="J78" s="483">
        <f t="shared" si="523"/>
        <v>6.1260000000000003</v>
      </c>
      <c r="K78" s="806">
        <f t="shared" si="524"/>
        <v>1613</v>
      </c>
      <c r="L78" s="309"/>
      <c r="M78" s="164">
        <f t="shared" si="526"/>
        <v>6.1260000000000003</v>
      </c>
      <c r="N78" s="575">
        <f t="shared" si="527"/>
        <v>-3.2518807501985538</v>
      </c>
      <c r="O78" s="572">
        <f t="shared" si="528"/>
        <v>2.347057042647624</v>
      </c>
      <c r="P78" s="576">
        <f t="shared" si="529"/>
        <v>-1.1479034620768422</v>
      </c>
      <c r="Q78" s="528">
        <f t="shared" si="609"/>
        <v>144.17999217737699</v>
      </c>
      <c r="R78" s="572">
        <f>IF(M78="","",SQRT(N78^2+O78^2))</f>
        <v>4.0104120954028808</v>
      </c>
      <c r="S78" s="577">
        <f>IF(M78="","",P78)</f>
        <v>-1.1479034620768422</v>
      </c>
      <c r="T78" s="578">
        <f>IF(M78="","",X78*COS(RADIANS(W78)))</f>
        <v>2.3413778689808762</v>
      </c>
      <c r="U78" s="572">
        <f>IF(M78="","",X78*SIN(RADIANS(W78)))</f>
        <v>3.255972181945094</v>
      </c>
      <c r="V78" s="579">
        <f>IF(M78="","",Y78)</f>
        <v>-1.1479034620768422</v>
      </c>
      <c r="W78" s="528">
        <f t="shared" si="253"/>
        <v>54.279992162938782</v>
      </c>
      <c r="X78" s="572">
        <f>IF(M78="","",R78)</f>
        <v>4.0104120954028808</v>
      </c>
      <c r="Y78" s="573">
        <f t="shared" si="733"/>
        <v>-1.1479034620768422</v>
      </c>
      <c r="Z78" s="575">
        <f t="shared" si="530"/>
        <v>0.77064592947556021</v>
      </c>
      <c r="AA78" s="572">
        <f t="shared" si="531"/>
        <v>0.58858056970525707</v>
      </c>
      <c r="AB78" s="572">
        <f t="shared" si="532"/>
        <v>-0.24429032798738728</v>
      </c>
      <c r="AC78" s="579">
        <f>IF(M78="","",SQRT(Z78^2+AA78^2+AB78^2))</f>
        <v>1</v>
      </c>
      <c r="AD78" s="580">
        <f>IF(M78="","",Z78*(1/SQRT(Z78^2+AA78^2+AB78^2)))</f>
        <v>0.77064592947556021</v>
      </c>
      <c r="AE78" s="572">
        <f>IF(M78="","",AA78*(1/SQRT(Z78^2+AA78^2+AB78^2)))</f>
        <v>0.58858056970525707</v>
      </c>
      <c r="AF78" s="576">
        <f>IF(M78="","",AB78*(1/SQRT(Z78^2+AA78^2+AB78^2)))</f>
        <v>-0.24429032798738728</v>
      </c>
      <c r="AG78" s="545">
        <f>IF(M78="","",DEGREES(ATAN2(-AF78,AE78)))</f>
        <v>67.459109223844592</v>
      </c>
      <c r="AH78" s="546">
        <f>IF(M78="","",DEGREES(ACOS(AD78)))</f>
        <v>39.588071762624303</v>
      </c>
      <c r="AI78" s="528">
        <f>IF(M78="","",DEGREES(-ACOS(-AF78)))</f>
        <v>-75.860101791876261</v>
      </c>
      <c r="AJ78" s="529">
        <f>IF(M78="","",DEGREES(ATAN2(-AE78,AD78)))</f>
        <v>127.37076966685268</v>
      </c>
      <c r="AK78" s="578">
        <f>IF(M78="","",(COS(RADIANS((90-$Q$8)-W78))*AD78)+(-SIN(RADIANS((90-$Q$8)-W78))*AE78))</f>
        <v>0.92826963717672006</v>
      </c>
      <c r="AL78" s="572">
        <f>IF(M78="","",(SIN(RADIANS((90-$Q$8)-W78))*AD78)+(COS(RADIANS((90-$Q$8)-W78))*AE78))</f>
        <v>-0.2804241721885179</v>
      </c>
      <c r="AM78" s="577">
        <f>IF(M78="","",AF78)</f>
        <v>-0.24429032798738728</v>
      </c>
      <c r="AN78" s="524">
        <f>IF(M78="","",DEGREES(ATAN2(-AM78,AL78)))</f>
        <v>-48.939386873420744</v>
      </c>
      <c r="AO78" s="525">
        <f t="shared" si="525"/>
        <v>21.833330180990448</v>
      </c>
      <c r="AP78" s="528">
        <f>IF(M78="","",DEGREES(ATAN2(AK78,AL78)))</f>
        <v>-16.809222510524293</v>
      </c>
      <c r="AQ78" s="529">
        <f t="shared" si="533"/>
        <v>0.56843331352521254</v>
      </c>
      <c r="AS78" s="932">
        <f t="shared" si="632"/>
        <v>-305.72000783706119</v>
      </c>
      <c r="AT78" s="928">
        <f t="shared" si="534"/>
        <v>-0.93552845664446516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6.1260000000000003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</v>
      </c>
      <c r="B79" s="578">
        <f t="shared" si="515"/>
        <v>-3.5097512607738137</v>
      </c>
      <c r="C79" s="572">
        <f t="shared" si="516"/>
        <v>2.5828879036799415</v>
      </c>
      <c r="D79" s="576">
        <f t="shared" si="517"/>
        <v>-1.8099054586748633</v>
      </c>
      <c r="E79" s="580">
        <f t="shared" si="518"/>
        <v>-0.84649296030008236</v>
      </c>
      <c r="F79" s="572">
        <f t="shared" si="519"/>
        <v>-0.4992524710156645</v>
      </c>
      <c r="G79" s="579">
        <f t="shared" si="520"/>
        <v>0.1849233309973527</v>
      </c>
      <c r="H79" s="580">
        <f t="shared" si="521"/>
        <v>0.3125</v>
      </c>
      <c r="I79" s="572">
        <f t="shared" si="522"/>
        <v>0.52</v>
      </c>
      <c r="J79" s="483">
        <f t="shared" si="523"/>
        <v>6.1319999999999997</v>
      </c>
      <c r="K79" s="806">
        <f t="shared" si="524"/>
        <v>1613</v>
      </c>
      <c r="L79" s="309"/>
      <c r="M79" s="164">
        <f t="shared" si="526"/>
        <v>6.1319999999999997</v>
      </c>
      <c r="N79" s="575">
        <f t="shared" si="527"/>
        <v>-3.5097512607738137</v>
      </c>
      <c r="O79" s="572">
        <f t="shared" si="528"/>
        <v>2.5828879036799415</v>
      </c>
      <c r="P79" s="576">
        <f t="shared" si="529"/>
        <v>-1.8099054586748633</v>
      </c>
      <c r="Q79" s="528">
        <f t="shared" si="609"/>
        <v>143.64999225389948</v>
      </c>
      <c r="R79" s="572">
        <f>IF(M79="","",SQRT(N79^2+O79^2))</f>
        <v>4.3577131428628411</v>
      </c>
      <c r="S79" s="577">
        <f>IF(M79="","",P79)</f>
        <v>-1.8099054586748633</v>
      </c>
      <c r="T79" s="578">
        <f>IF(M79="","",X79*COS(RADIANS(W79)))</f>
        <v>2.5767583021705929</v>
      </c>
      <c r="U79" s="572">
        <f>IF(M79="","",X79*SIN(RADIANS(W79)))</f>
        <v>3.5142539019932046</v>
      </c>
      <c r="V79" s="579">
        <f>IF(M79="","",Y79)</f>
        <v>-1.8099054586748633</v>
      </c>
      <c r="W79" s="528">
        <f t="shared" ref="W79:W129" si="735">IF(M79="","",IF(Q79-$Q$8&lt;0,360+Q79-$Q$8,Q79-$Q$8))</f>
        <v>53.749992239461278</v>
      </c>
      <c r="X79" s="572">
        <f>IF(M79="","",R79)</f>
        <v>4.3577131428628411</v>
      </c>
      <c r="Y79" s="573">
        <f t="shared" si="733"/>
        <v>-1.8099054586748633</v>
      </c>
      <c r="Z79" s="575">
        <f t="shared" si="530"/>
        <v>0.84649296030008236</v>
      </c>
      <c r="AA79" s="572">
        <f t="shared" si="531"/>
        <v>0.4992524710156645</v>
      </c>
      <c r="AB79" s="572">
        <f t="shared" si="532"/>
        <v>-0.1849233309973527</v>
      </c>
      <c r="AC79" s="579">
        <f>IF(M79="","",SQRT(Z79^2+AA79^2+AB79^2))</f>
        <v>1</v>
      </c>
      <c r="AD79" s="580">
        <f>IF(M79="","",Z79*(1/SQRT(Z79^2+AA79^2+AB79^2)))</f>
        <v>0.84649296030008236</v>
      </c>
      <c r="AE79" s="572">
        <f>IF(M79="","",AA79*(1/SQRT(Z79^2+AA79^2+AB79^2)))</f>
        <v>0.4992524710156645</v>
      </c>
      <c r="AF79" s="576">
        <f>IF(M79="","",AB79*(1/SQRT(Z79^2+AA79^2+AB79^2)))</f>
        <v>-0.1849233309973527</v>
      </c>
      <c r="AG79" s="545">
        <f>IF(M79="","",DEGREES(ATAN2(-AF79,AE79)))</f>
        <v>69.675348543942903</v>
      </c>
      <c r="AH79" s="546">
        <f>IF(M79="","",DEGREES(ACOS(AD79)))</f>
        <v>32.167751198198999</v>
      </c>
      <c r="AI79" s="528">
        <f>IF(M79="","",DEGREES(-ACOS(-AF79)))</f>
        <v>-79.343337538020705</v>
      </c>
      <c r="AJ79" s="529">
        <f>IF(M79="","",DEGREES(ATAN2(-AE79,AD79)))</f>
        <v>120.5316480558763</v>
      </c>
      <c r="AK79" s="578">
        <f>IF(M79="","",(COS(RADIANS((90-$Q$8)-W79))*AD79)+(-SIN(RADIANS((90-$Q$8)-W79))*AE79))</f>
        <v>0.90383379726400392</v>
      </c>
      <c r="AL79" s="572">
        <f>IF(M79="","",(SIN(RADIANS((90-$Q$8)-W79))*AD79)+(COS(RADIANS((90-$Q$8)-W79))*AE79))</f>
        <v>-0.38585985613454932</v>
      </c>
      <c r="AM79" s="577">
        <f>IF(M79="","",AF79)</f>
        <v>-0.1849233309973527</v>
      </c>
      <c r="AN79" s="524">
        <f>IF(M79="","",DEGREES(ATAN2(-AM79,AL79)))</f>
        <v>-64.393930096606184</v>
      </c>
      <c r="AO79" s="525">
        <f t="shared" si="525"/>
        <v>25.333329675653026</v>
      </c>
      <c r="AP79" s="528">
        <f>IF(M79="","",DEGREES(ATAN2(AK79,AL79)))</f>
        <v>-23.118344198023181</v>
      </c>
      <c r="AQ79" s="529">
        <f t="shared" si="533"/>
        <v>0.52313293871662248</v>
      </c>
      <c r="AS79" s="932">
        <f t="shared" si="632"/>
        <v>-306.25000776053872</v>
      </c>
      <c r="AT79" s="928">
        <f t="shared" si="534"/>
        <v>-1.5971623977400713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6.1319999999999997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</v>
      </c>
      <c r="B80" s="578">
        <f t="shared" si="515"/>
        <v>-3.6249723163799521</v>
      </c>
      <c r="C80" s="572">
        <f t="shared" si="516"/>
        <v>2.6921427852277366</v>
      </c>
      <c r="D80" s="576">
        <f t="shared" si="517"/>
        <v>-2.5410076636791135</v>
      </c>
      <c r="E80" s="580">
        <f t="shared" si="518"/>
        <v>-0.90341705445689569</v>
      </c>
      <c r="F80" s="572">
        <f t="shared" si="519"/>
        <v>-0.42025307132114964</v>
      </c>
      <c r="G80" s="579">
        <f t="shared" si="520"/>
        <v>8.4999892715034525E-2</v>
      </c>
      <c r="H80" s="580">
        <f t="shared" si="521"/>
        <v>0.3125</v>
      </c>
      <c r="I80" s="572">
        <f t="shared" si="522"/>
        <v>0.52</v>
      </c>
      <c r="J80" s="483">
        <f t="shared" si="523"/>
        <v>6.1379999999999999</v>
      </c>
      <c r="K80" s="806">
        <f t="shared" si="524"/>
        <v>1613</v>
      </c>
      <c r="L80" s="309"/>
      <c r="M80" s="164">
        <f t="shared" si="526"/>
        <v>6.1379999999999999</v>
      </c>
      <c r="N80" s="575">
        <f t="shared" si="527"/>
        <v>-3.6249723163799521</v>
      </c>
      <c r="O80" s="572">
        <f t="shared" si="528"/>
        <v>2.6921427852277366</v>
      </c>
      <c r="P80" s="576">
        <f t="shared" si="529"/>
        <v>-2.5410076636791135</v>
      </c>
      <c r="Q80" s="528">
        <f t="shared" si="609"/>
        <v>143.39999228999505</v>
      </c>
      <c r="R80" s="572">
        <f t="shared" si="101"/>
        <v>4.5153136181858722</v>
      </c>
      <c r="S80" s="577">
        <f t="shared" si="102"/>
        <v>-2.5410076636791135</v>
      </c>
      <c r="T80" s="578">
        <f t="shared" si="103"/>
        <v>2.6858119187661122</v>
      </c>
      <c r="U80" s="572">
        <f t="shared" si="104"/>
        <v>3.6296654677240827</v>
      </c>
      <c r="V80" s="579">
        <f t="shared" si="141"/>
        <v>-2.5410076636791135</v>
      </c>
      <c r="W80" s="528">
        <f t="shared" si="735"/>
        <v>53.499992275556849</v>
      </c>
      <c r="X80" s="572">
        <f t="shared" si="105"/>
        <v>4.5153136181858722</v>
      </c>
      <c r="Y80" s="573">
        <f t="shared" si="733"/>
        <v>-2.5410076636791135</v>
      </c>
      <c r="Z80" s="575">
        <f t="shared" si="530"/>
        <v>0.90341705445689569</v>
      </c>
      <c r="AA80" s="572">
        <f t="shared" si="531"/>
        <v>0.42025307132114964</v>
      </c>
      <c r="AB80" s="572">
        <f t="shared" si="532"/>
        <v>-8.4999892715034525E-2</v>
      </c>
      <c r="AC80" s="579">
        <f t="shared" si="106"/>
        <v>1</v>
      </c>
      <c r="AD80" s="580">
        <f t="shared" si="142"/>
        <v>0.90341705445689569</v>
      </c>
      <c r="AE80" s="572">
        <f t="shared" si="107"/>
        <v>0.42025307132114964</v>
      </c>
      <c r="AF80" s="576">
        <f t="shared" si="108"/>
        <v>-8.4999892715034525E-2</v>
      </c>
      <c r="AG80" s="545">
        <f t="shared" si="109"/>
        <v>78.565678311587632</v>
      </c>
      <c r="AH80" s="546">
        <f t="shared" si="110"/>
        <v>25.38907635546698</v>
      </c>
      <c r="AI80" s="528">
        <f t="shared" si="111"/>
        <v>-85.123981299689731</v>
      </c>
      <c r="AJ80" s="529">
        <f t="shared" si="112"/>
        <v>114.94698634596912</v>
      </c>
      <c r="AK80" s="578">
        <f t="shared" si="238"/>
        <v>0.87602629387454711</v>
      </c>
      <c r="AL80" s="572">
        <f t="shared" si="113"/>
        <v>-0.47471354591886106</v>
      </c>
      <c r="AM80" s="577">
        <f t="shared" si="114"/>
        <v>-8.4999892715034525E-2</v>
      </c>
      <c r="AN80" s="524">
        <f t="shared" si="115"/>
        <v>-79.848473319791708</v>
      </c>
      <c r="AO80" s="525">
        <f t="shared" si="525"/>
        <v>28.833329170315658</v>
      </c>
      <c r="AP80" s="528">
        <f t="shared" si="117"/>
        <v>-28.453005944025932</v>
      </c>
      <c r="AQ80" s="529">
        <f t="shared" si="533"/>
        <v>0.50487470420455927</v>
      </c>
      <c r="AS80" s="932">
        <f t="shared" si="632"/>
        <v>-306.50000772444315</v>
      </c>
      <c r="AT80" s="928">
        <f t="shared" si="534"/>
        <v>-2.3280909916582768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6.1379999999999999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</v>
      </c>
      <c r="B81" s="578">
        <f t="shared" si="515"/>
        <v>-3.6622715552436618</v>
      </c>
      <c r="C81" s="572">
        <f t="shared" si="516"/>
        <v>2.7277857487437056</v>
      </c>
      <c r="D81" s="576">
        <f t="shared" si="517"/>
        <v>-3.3482100982016556</v>
      </c>
      <c r="E81" s="580">
        <f t="shared" si="518"/>
        <v>-0.91678237407886598</v>
      </c>
      <c r="F81" s="572">
        <f t="shared" si="519"/>
        <v>-0.39700256788023841</v>
      </c>
      <c r="G81" s="579">
        <f t="shared" si="520"/>
        <v>4.3577972357774809E-2</v>
      </c>
      <c r="H81" s="580">
        <f t="shared" si="521"/>
        <v>0.3125</v>
      </c>
      <c r="I81" s="572">
        <f t="shared" si="522"/>
        <v>0.52</v>
      </c>
      <c r="J81" s="483">
        <f t="shared" si="523"/>
        <v>6.1440000000000001</v>
      </c>
      <c r="K81" s="806">
        <f t="shared" si="524"/>
        <v>1613</v>
      </c>
      <c r="L81" s="309"/>
      <c r="M81" s="164">
        <f t="shared" si="526"/>
        <v>6.1440000000000001</v>
      </c>
      <c r="N81" s="575">
        <f t="shared" si="527"/>
        <v>-3.6622715552436618</v>
      </c>
      <c r="O81" s="572">
        <f t="shared" si="528"/>
        <v>2.7277857487437056</v>
      </c>
      <c r="P81" s="576">
        <f t="shared" si="529"/>
        <v>-3.3482100982016556</v>
      </c>
      <c r="Q81" s="528">
        <f t="shared" si="609"/>
        <v>143.31999230154557</v>
      </c>
      <c r="R81" s="572">
        <f t="shared" si="101"/>
        <v>4.5665137726055409</v>
      </c>
      <c r="S81" s="577">
        <f t="shared" si="102"/>
        <v>-3.3482100982016556</v>
      </c>
      <c r="T81" s="578">
        <f t="shared" si="103"/>
        <v>2.7213897285845592</v>
      </c>
      <c r="U81" s="572">
        <f t="shared" si="104"/>
        <v>3.6670268584441197</v>
      </c>
      <c r="V81" s="579">
        <f t="shared" si="141"/>
        <v>-3.3482100982016556</v>
      </c>
      <c r="W81" s="528">
        <f t="shared" si="735"/>
        <v>53.419992287107362</v>
      </c>
      <c r="X81" s="572">
        <f t="shared" si="105"/>
        <v>4.5665137726055409</v>
      </c>
      <c r="Y81" s="573">
        <f t="shared" si="733"/>
        <v>-3.3482100982016556</v>
      </c>
      <c r="Z81" s="575">
        <f t="shared" si="530"/>
        <v>0.91678237407886598</v>
      </c>
      <c r="AA81" s="572">
        <f t="shared" si="531"/>
        <v>0.39700256788023841</v>
      </c>
      <c r="AB81" s="572">
        <f t="shared" si="532"/>
        <v>-4.3577972357774809E-2</v>
      </c>
      <c r="AC81" s="579">
        <f t="shared" si="106"/>
        <v>1</v>
      </c>
      <c r="AD81" s="580">
        <f t="shared" si="142"/>
        <v>0.91678237407886598</v>
      </c>
      <c r="AE81" s="572">
        <f t="shared" si="107"/>
        <v>0.39700256788023841</v>
      </c>
      <c r="AF81" s="576">
        <f t="shared" si="108"/>
        <v>-4.3577972357774809E-2</v>
      </c>
      <c r="AG81" s="545">
        <f t="shared" si="109"/>
        <v>83.735864851141059</v>
      </c>
      <c r="AH81" s="546">
        <f t="shared" si="110"/>
        <v>23.539870525665112</v>
      </c>
      <c r="AI81" s="528">
        <f t="shared" si="111"/>
        <v>-87.502375163624507</v>
      </c>
      <c r="AJ81" s="529">
        <f t="shared" si="112"/>
        <v>113.4144956824933</v>
      </c>
      <c r="AK81" s="578">
        <f t="shared" si="238"/>
        <v>0.86602544158358596</v>
      </c>
      <c r="AL81" s="572">
        <f t="shared" si="113"/>
        <v>-0.49809727449077668</v>
      </c>
      <c r="AM81" s="577">
        <f t="shared" si="114"/>
        <v>-4.3577972357774809E-2</v>
      </c>
      <c r="AN81" s="524">
        <f t="shared" si="115"/>
        <v>-84.999987727520178</v>
      </c>
      <c r="AO81" s="525">
        <f t="shared" si="525"/>
        <v>29.999995668536499</v>
      </c>
      <c r="AP81" s="528">
        <f t="shared" si="117"/>
        <v>-29.905496619052279</v>
      </c>
      <c r="AQ81" s="529">
        <f t="shared" si="533"/>
        <v>0.49921429268422707</v>
      </c>
      <c r="AS81" s="932">
        <f t="shared" si="632"/>
        <v>-306.58000771289267</v>
      </c>
      <c r="AT81" s="928">
        <f t="shared" si="534"/>
        <v>-3.1352378706332846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6.1440000000000001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</v>
      </c>
      <c r="B82" s="578">
        <f t="shared" si="515"/>
        <v>-2.3069424331752697</v>
      </c>
      <c r="C82" s="572">
        <f t="shared" si="516"/>
        <v>2.6438584549919533</v>
      </c>
      <c r="D82" s="576">
        <f t="shared" si="517"/>
        <v>-0.5904447393374449</v>
      </c>
      <c r="E82" s="580">
        <f t="shared" si="518"/>
        <v>-0.83553353053876267</v>
      </c>
      <c r="F82" s="572">
        <f t="shared" si="519"/>
        <v>-0.43904119752598897</v>
      </c>
      <c r="G82" s="579">
        <f t="shared" si="520"/>
        <v>0.33034307351657316</v>
      </c>
      <c r="H82" s="580">
        <f t="shared" si="521"/>
        <v>0.26450000000000001</v>
      </c>
      <c r="I82" s="572">
        <f t="shared" si="522"/>
        <v>0.39400000000000002</v>
      </c>
      <c r="J82" s="483">
        <f t="shared" si="523"/>
        <v>6.22</v>
      </c>
      <c r="K82" s="806">
        <f t="shared" si="524"/>
        <v>1310</v>
      </c>
      <c r="L82" s="309"/>
      <c r="M82" s="164">
        <f t="shared" si="526"/>
        <v>6.22</v>
      </c>
      <c r="N82" s="575">
        <f t="shared" si="527"/>
        <v>-2.3069424331752697</v>
      </c>
      <c r="O82" s="572">
        <f t="shared" si="528"/>
        <v>2.6438584549919533</v>
      </c>
      <c r="P82" s="576">
        <f t="shared" si="529"/>
        <v>-0.5904447393374449</v>
      </c>
      <c r="Q82" s="528">
        <f t="shared" si="609"/>
        <v>131.10686248058516</v>
      </c>
      <c r="R82" s="572">
        <f t="shared" si="101"/>
        <v>3.5088418203186462</v>
      </c>
      <c r="S82" s="577">
        <f t="shared" si="102"/>
        <v>-0.5904447393374449</v>
      </c>
      <c r="T82" s="578">
        <f t="shared" si="103"/>
        <v>2.6398280566816541</v>
      </c>
      <c r="U82" s="572">
        <f t="shared" si="104"/>
        <v>2.3115533199935996</v>
      </c>
      <c r="V82" s="579">
        <f t="shared" si="141"/>
        <v>-0.5904447393374449</v>
      </c>
      <c r="W82" s="528">
        <f t="shared" si="735"/>
        <v>41.206862466146958</v>
      </c>
      <c r="X82" s="572">
        <f t="shared" si="105"/>
        <v>3.5088418203186462</v>
      </c>
      <c r="Y82" s="573">
        <f t="shared" si="733"/>
        <v>-0.5904447393374449</v>
      </c>
      <c r="Z82" s="575">
        <f t="shared" si="530"/>
        <v>0.83553353053876267</v>
      </c>
      <c r="AA82" s="572">
        <f t="shared" si="531"/>
        <v>0.43904119752598897</v>
      </c>
      <c r="AB82" s="572">
        <f t="shared" si="532"/>
        <v>-0.33034307351657316</v>
      </c>
      <c r="AC82" s="579">
        <f t="shared" si="106"/>
        <v>1</v>
      </c>
      <c r="AD82" s="580">
        <f t="shared" si="142"/>
        <v>0.83553353053876267</v>
      </c>
      <c r="AE82" s="572">
        <f t="shared" si="107"/>
        <v>0.43904119752598897</v>
      </c>
      <c r="AF82" s="576">
        <f t="shared" si="108"/>
        <v>-0.33034307351657316</v>
      </c>
      <c r="AG82" s="545">
        <f t="shared" si="109"/>
        <v>53.041491040698133</v>
      </c>
      <c r="AH82" s="546">
        <f t="shared" si="110"/>
        <v>33.328566025127635</v>
      </c>
      <c r="AI82" s="528">
        <f t="shared" si="111"/>
        <v>-70.710400026604646</v>
      </c>
      <c r="AJ82" s="529">
        <f t="shared" si="112"/>
        <v>117.72022414904023</v>
      </c>
      <c r="AK82" s="578">
        <f t="shared" si="238"/>
        <v>0.91821613016923864</v>
      </c>
      <c r="AL82" s="572">
        <f t="shared" si="113"/>
        <v>-0.21852366479777841</v>
      </c>
      <c r="AM82" s="577">
        <f t="shared" si="114"/>
        <v>-0.33034307351657316</v>
      </c>
      <c r="AN82" s="524">
        <f t="shared" si="115"/>
        <v>-33.48484365023522</v>
      </c>
      <c r="AO82" s="525">
        <f t="shared" si="525"/>
        <v>23.333329964417302</v>
      </c>
      <c r="AP82" s="528">
        <f t="shared" si="117"/>
        <v>-13.38663833154493</v>
      </c>
      <c r="AQ82" s="529">
        <f t="shared" si="533"/>
        <v>0.64968130306393002</v>
      </c>
      <c r="AS82" s="932">
        <f t="shared" si="632"/>
        <v>-318.79313753385304</v>
      </c>
      <c r="AT82" s="928">
        <f t="shared" si="534"/>
        <v>-0.368991171615629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Nose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6.22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0.12</v>
      </c>
      <c r="IK82" s="677" cm="1">
        <f t="array" ref="IK82">IFERROR(ROUND(VALUE(IF($IJ82&lt;1,$IJ82+LARGE((IF($M$9:$M$150="",0,$M$9:$M$150)-MOD(IF($M$9:$M$150="",0,$M$9:$M$150),1)),1),$IJ82)),4),"")</f>
        <v>6.12</v>
      </c>
      <c r="IL82" s="482">
        <f t="shared" si="596"/>
        <v>1613</v>
      </c>
      <c r="IM82" s="482">
        <f t="shared" si="732"/>
        <v>1310</v>
      </c>
      <c r="IN82" s="670">
        <f t="shared" si="597"/>
        <v>13.80312959139286</v>
      </c>
      <c r="IO82" s="702">
        <v>2.5813483605318099E-2</v>
      </c>
      <c r="IP82" s="5">
        <f t="shared" si="598"/>
        <v>0.74</v>
      </c>
      <c r="IQ82" s="714">
        <v>370</v>
      </c>
      <c r="IR82" s="9">
        <f t="shared" si="599"/>
        <v>-3.4893105237605417</v>
      </c>
      <c r="IS82" s="5">
        <f t="shared" si="600"/>
        <v>-0.61230184670236976</v>
      </c>
      <c r="IT82" s="5">
        <f t="shared" si="601"/>
        <v>0.3125</v>
      </c>
      <c r="IU82" s="5">
        <f t="shared" si="602"/>
        <v>0.2966383306577105</v>
      </c>
      <c r="IV82" s="670">
        <f t="shared" si="603"/>
        <v>33.484843650235277</v>
      </c>
      <c r="IW82" s="9">
        <f t="shared" si="604"/>
        <v>-3.5088418203186462</v>
      </c>
      <c r="IX82" s="5">
        <f t="shared" si="605"/>
        <v>-0.5904447393374449</v>
      </c>
      <c r="IY82" s="5">
        <f t="shared" si="606"/>
        <v>0.26450000000000001</v>
      </c>
      <c r="IZ82" s="5">
        <f t="shared" si="607"/>
        <v>0.24286816642976364</v>
      </c>
      <c r="JA82" s="705">
        <f t="shared" si="608"/>
        <v>33.48484365023522</v>
      </c>
    </row>
    <row r="83" spans="1:261" ht="15" customHeight="1" x14ac:dyDescent="0.25">
      <c r="A83" s="75">
        <f t="shared" si="256"/>
        <v>0</v>
      </c>
      <c r="B83" s="578">
        <f t="shared" si="515"/>
        <v>-2.7118886936907076</v>
      </c>
      <c r="C83" s="572">
        <f t="shared" si="516"/>
        <v>2.990889567863543</v>
      </c>
      <c r="D83" s="576">
        <f t="shared" si="517"/>
        <v>-1.131139543919532</v>
      </c>
      <c r="E83" s="580">
        <f t="shared" si="518"/>
        <v>-0.88966941254554699</v>
      </c>
      <c r="F83" s="572">
        <f t="shared" si="519"/>
        <v>-0.34723802294916367</v>
      </c>
      <c r="G83" s="579">
        <f t="shared" si="520"/>
        <v>0.29650310588460543</v>
      </c>
      <c r="H83" s="580">
        <f t="shared" si="521"/>
        <v>0.26450000000000001</v>
      </c>
      <c r="I83" s="572">
        <f t="shared" si="522"/>
        <v>0.52</v>
      </c>
      <c r="J83" s="483">
        <f t="shared" si="523"/>
        <v>6.226</v>
      </c>
      <c r="K83" s="806">
        <f t="shared" si="524"/>
        <v>1313</v>
      </c>
      <c r="L83" s="309"/>
      <c r="M83" s="164">
        <f t="shared" si="526"/>
        <v>6.226</v>
      </c>
      <c r="N83" s="575">
        <f t="shared" si="527"/>
        <v>-2.7118886936907076</v>
      </c>
      <c r="O83" s="572">
        <f t="shared" si="528"/>
        <v>2.990889567863543</v>
      </c>
      <c r="P83" s="576">
        <f t="shared" si="529"/>
        <v>-1.131139543919532</v>
      </c>
      <c r="Q83" s="528">
        <f t="shared" si="609"/>
        <v>132.19911310567068</v>
      </c>
      <c r="R83" s="572">
        <f t="shared" si="101"/>
        <v>4.0372962108473622</v>
      </c>
      <c r="S83" s="577">
        <f t="shared" si="102"/>
        <v>-1.131139543919532</v>
      </c>
      <c r="T83" s="578">
        <f t="shared" si="103"/>
        <v>2.9861518769018223</v>
      </c>
      <c r="U83" s="572">
        <f t="shared" si="104"/>
        <v>2.7171046468986417</v>
      </c>
      <c r="V83" s="579">
        <f t="shared" si="141"/>
        <v>-1.131139543919532</v>
      </c>
      <c r="W83" s="528">
        <f t="shared" si="735"/>
        <v>42.299113091232471</v>
      </c>
      <c r="X83" s="572">
        <f t="shared" si="105"/>
        <v>4.0372962108473622</v>
      </c>
      <c r="Y83" s="573">
        <f t="shared" si="733"/>
        <v>-1.131139543919532</v>
      </c>
      <c r="Z83" s="575">
        <f t="shared" si="530"/>
        <v>0.88966941254554699</v>
      </c>
      <c r="AA83" s="572">
        <f t="shared" si="531"/>
        <v>0.34723802294916367</v>
      </c>
      <c r="AB83" s="572">
        <f t="shared" si="532"/>
        <v>-0.29650310588460543</v>
      </c>
      <c r="AC83" s="579">
        <f t="shared" si="106"/>
        <v>1</v>
      </c>
      <c r="AD83" s="580">
        <f t="shared" si="142"/>
        <v>0.88966941254554699</v>
      </c>
      <c r="AE83" s="572">
        <f t="shared" si="107"/>
        <v>0.34723802294916367</v>
      </c>
      <c r="AF83" s="576">
        <f t="shared" si="108"/>
        <v>-0.29650310588460543</v>
      </c>
      <c r="AG83" s="545">
        <f t="shared" si="109"/>
        <v>49.506314983762948</v>
      </c>
      <c r="AH83" s="546">
        <f t="shared" si="110"/>
        <v>27.168265227428691</v>
      </c>
      <c r="AI83" s="528">
        <f t="shared" si="111"/>
        <v>-72.752307912817457</v>
      </c>
      <c r="AJ83" s="529">
        <f t="shared" si="112"/>
        <v>111.32070444660803</v>
      </c>
      <c r="AK83" s="578">
        <f t="shared" si="238"/>
        <v>0.89232338801541489</v>
      </c>
      <c r="AL83" s="572">
        <f t="shared" si="113"/>
        <v>-0.34035992625671119</v>
      </c>
      <c r="AM83" s="577">
        <f t="shared" si="114"/>
        <v>-0.29650310588460543</v>
      </c>
      <c r="AN83" s="524">
        <f t="shared" si="115"/>
        <v>-48.939386873420737</v>
      </c>
      <c r="AO83" s="525">
        <f t="shared" si="525"/>
        <v>26.833329459079881</v>
      </c>
      <c r="AP83" s="528">
        <f t="shared" si="117"/>
        <v>-20.878408659062639</v>
      </c>
      <c r="AQ83" s="529">
        <f t="shared" si="533"/>
        <v>0.56464839577928538</v>
      </c>
      <c r="AS83" s="932">
        <f t="shared" si="632"/>
        <v>-317.70088690876753</v>
      </c>
      <c r="AT83" s="928">
        <f t="shared" si="534"/>
        <v>-0.91044448357624774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6.226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0.126</v>
      </c>
      <c r="IK83" s="677" cm="1">
        <f t="array" ref="IK83">IFERROR(ROUND(VALUE(IF($IJ83&lt;1,$IJ83+LARGE((IF($M$9:$M$150="",0,$M$9:$M$150)-MOD(IF($M$9:$M$150="",0,$M$9:$M$150),1)),1),$IJ83)),4),"")</f>
        <v>6.1260000000000003</v>
      </c>
      <c r="IL83" s="482">
        <f t="shared" si="596"/>
        <v>1613</v>
      </c>
      <c r="IM83" s="482">
        <f t="shared" si="732"/>
        <v>1313</v>
      </c>
      <c r="IN83" s="670">
        <f t="shared" si="597"/>
        <v>11.980879071706312</v>
      </c>
      <c r="IO83" s="702">
        <v>2.3631529149540802E-2</v>
      </c>
      <c r="IP83" s="5">
        <f t="shared" si="598"/>
        <v>0.88</v>
      </c>
      <c r="IQ83" s="714">
        <v>440</v>
      </c>
      <c r="IR83" s="9">
        <f t="shared" si="599"/>
        <v>-4.0104120954028808</v>
      </c>
      <c r="IS83" s="5">
        <f t="shared" si="600"/>
        <v>-1.1479034620768422</v>
      </c>
      <c r="IT83" s="5">
        <f t="shared" si="601"/>
        <v>0.3125</v>
      </c>
      <c r="IU83" s="5">
        <f t="shared" si="602"/>
        <v>0.29008426161772505</v>
      </c>
      <c r="IV83" s="670">
        <f t="shared" si="603"/>
        <v>48.939386873420744</v>
      </c>
      <c r="IW83" s="9">
        <f t="shared" si="604"/>
        <v>-4.0372962108473622</v>
      </c>
      <c r="IX83" s="5">
        <f t="shared" si="605"/>
        <v>-1.131139543919532</v>
      </c>
      <c r="IY83" s="5">
        <f t="shared" si="606"/>
        <v>0.26450000000000001</v>
      </c>
      <c r="IZ83" s="5">
        <f t="shared" si="607"/>
        <v>0.23601953613007728</v>
      </c>
      <c r="JA83" s="705">
        <f t="shared" si="608"/>
        <v>48.939386873420737</v>
      </c>
    </row>
    <row r="84" spans="1:261" ht="15" customHeight="1" x14ac:dyDescent="0.25">
      <c r="A84" s="75">
        <f t="shared" si="256"/>
        <v>0</v>
      </c>
      <c r="B84" s="578">
        <f t="shared" si="515"/>
        <v>-2.5713330420730136</v>
      </c>
      <c r="C84" s="572">
        <f t="shared" si="516"/>
        <v>3.505808714722026</v>
      </c>
      <c r="D84" s="576">
        <f t="shared" si="517"/>
        <v>-1.8292000839123381</v>
      </c>
      <c r="E84" s="580">
        <f t="shared" si="518"/>
        <v>-0.54874504093998222</v>
      </c>
      <c r="F84" s="572">
        <f t="shared" si="519"/>
        <v>0.74817035180200475</v>
      </c>
      <c r="G84" s="579">
        <f t="shared" si="520"/>
        <v>0.3729879418000559</v>
      </c>
      <c r="H84" s="580">
        <f t="shared" si="521"/>
        <v>0.255</v>
      </c>
      <c r="I84" s="572">
        <f t="shared" si="522"/>
        <v>0.41499999999999992</v>
      </c>
      <c r="J84" s="483">
        <f t="shared" si="523"/>
        <v>6.2320000000000002</v>
      </c>
      <c r="K84" s="806" t="str">
        <f t="shared" si="524"/>
        <v>CPS-32193r1</v>
      </c>
      <c r="L84" s="309"/>
      <c r="M84" s="164">
        <f t="shared" si="526"/>
        <v>6.2320000000000002</v>
      </c>
      <c r="N84" s="575">
        <f t="shared" si="527"/>
        <v>-2.5713330420730136</v>
      </c>
      <c r="O84" s="572">
        <f t="shared" si="528"/>
        <v>3.505808714722026</v>
      </c>
      <c r="P84" s="576">
        <f t="shared" si="529"/>
        <v>-1.8292000839123381</v>
      </c>
      <c r="Q84" s="528">
        <f t="shared" si="609"/>
        <v>126.25815928157932</v>
      </c>
      <c r="R84" s="572">
        <f t="shared" si="101"/>
        <v>4.3476946026000221</v>
      </c>
      <c r="S84" s="577">
        <f t="shared" si="102"/>
        <v>-1.8292000839123381</v>
      </c>
      <c r="T84" s="578">
        <f t="shared" si="103"/>
        <v>3.5013155552243571</v>
      </c>
      <c r="U84" s="572">
        <f t="shared" si="104"/>
        <v>2.577447912222731</v>
      </c>
      <c r="V84" s="579">
        <f t="shared" si="141"/>
        <v>-1.8292000839123381</v>
      </c>
      <c r="W84" s="528">
        <f t="shared" si="735"/>
        <v>36.358159267141119</v>
      </c>
      <c r="X84" s="572">
        <f t="shared" si="105"/>
        <v>4.3476946026000221</v>
      </c>
      <c r="Y84" s="573">
        <f t="shared" si="733"/>
        <v>-1.8292000839123381</v>
      </c>
      <c r="Z84" s="575">
        <f t="shared" si="530"/>
        <v>0.54874504093998222</v>
      </c>
      <c r="AA84" s="572">
        <f t="shared" si="531"/>
        <v>-0.74817035180200475</v>
      </c>
      <c r="AB84" s="572">
        <f t="shared" si="532"/>
        <v>-0.3729879418000559</v>
      </c>
      <c r="AC84" s="579">
        <f t="shared" si="106"/>
        <v>1</v>
      </c>
      <c r="AD84" s="580">
        <f t="shared" si="142"/>
        <v>0.54874504093998222</v>
      </c>
      <c r="AE84" s="572">
        <f t="shared" si="107"/>
        <v>-0.74817035180200475</v>
      </c>
      <c r="AF84" s="576">
        <f t="shared" si="108"/>
        <v>-0.3729879418000559</v>
      </c>
      <c r="AG84" s="545">
        <f t="shared" si="109"/>
        <v>-63.502210247923202</v>
      </c>
      <c r="AH84" s="546">
        <f t="shared" si="110"/>
        <v>56.719039933399458</v>
      </c>
      <c r="AI84" s="528">
        <f t="shared" si="111"/>
        <v>-68.099990167577928</v>
      </c>
      <c r="AJ84" s="529">
        <f t="shared" si="112"/>
        <v>36.25815928157931</v>
      </c>
      <c r="AK84" s="578">
        <f t="shared" si="238"/>
        <v>-1.6653345369377348E-16</v>
      </c>
      <c r="AL84" s="572">
        <f t="shared" si="113"/>
        <v>-0.92783618989116734</v>
      </c>
      <c r="AM84" s="577">
        <f t="shared" si="114"/>
        <v>-0.3729879418000559</v>
      </c>
      <c r="AN84" s="524">
        <f t="shared" si="115"/>
        <v>-68.099990167577928</v>
      </c>
      <c r="AO84" s="525">
        <f t="shared" si="525"/>
        <v>0</v>
      </c>
      <c r="AP84" s="528">
        <f t="shared" si="117"/>
        <v>-90.000000000000014</v>
      </c>
      <c r="AQ84" s="529">
        <f t="shared" si="533"/>
        <v>0.52433834447993599</v>
      </c>
      <c r="AS84" s="932">
        <f t="shared" si="632"/>
        <v>-323.6418407328589</v>
      </c>
      <c r="AT84" s="928">
        <f t="shared" si="534"/>
        <v>-1.6043793611912127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6.2320000000000002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0.13200000000000001</v>
      </c>
      <c r="IK84" s="677" cm="1">
        <f t="array" ref="IK84">IFERROR(ROUND(VALUE(IF($IJ84&lt;1,$IJ84+LARGE((IF($M$9:$M$150="",0,$M$9:$M$150)-MOD(IF($M$9:$M$150="",0,$M$9:$M$150),1)),1),$IJ84)),4),"")</f>
        <v>6.1319999999999997</v>
      </c>
      <c r="IL84" s="482">
        <f t="shared" si="596"/>
        <v>1613</v>
      </c>
      <c r="IM84" s="482" t="str">
        <f t="shared" si="732"/>
        <v>CPS-32193r1</v>
      </c>
      <c r="IN84" s="670">
        <f t="shared" si="597"/>
        <v>17.391832972320159</v>
      </c>
      <c r="IO84" s="702">
        <v>3.5251363291728802E-2</v>
      </c>
      <c r="IP84" s="5">
        <f t="shared" si="598"/>
        <v>1.24</v>
      </c>
      <c r="IQ84" s="714">
        <v>620</v>
      </c>
      <c r="IR84" s="9">
        <f t="shared" si="599"/>
        <v>-4.3577131428628411</v>
      </c>
      <c r="IS84" s="5">
        <f t="shared" si="600"/>
        <v>-1.8099054586748633</v>
      </c>
      <c r="IT84" s="5">
        <f t="shared" si="601"/>
        <v>0.3125</v>
      </c>
      <c r="IU84" s="5">
        <f t="shared" si="602"/>
        <v>0.28244806164500125</v>
      </c>
      <c r="IV84" s="670">
        <f t="shared" si="603"/>
        <v>64.393930096606184</v>
      </c>
      <c r="IW84" s="9">
        <f t="shared" si="604"/>
        <v>-4.3476946026000221</v>
      </c>
      <c r="IX84" s="5">
        <f t="shared" si="605"/>
        <v>-1.8292000839123381</v>
      </c>
      <c r="IY84" s="5">
        <f t="shared" si="606"/>
        <v>0.255</v>
      </c>
      <c r="IZ84" s="5">
        <f t="shared" si="607"/>
        <v>0.255</v>
      </c>
      <c r="JA84" s="705">
        <f t="shared" si="608"/>
        <v>68.099990167577928</v>
      </c>
    </row>
    <row r="85" spans="1:261" ht="15" customHeight="1" x14ac:dyDescent="0.25">
      <c r="A85" s="75">
        <f t="shared" si="256"/>
        <v>0</v>
      </c>
      <c r="B85" s="578">
        <f t="shared" si="515"/>
        <v>-2.5781789693426949</v>
      </c>
      <c r="C85" s="572">
        <f t="shared" si="516"/>
        <v>3.6818204793621847</v>
      </c>
      <c r="D85" s="576">
        <f t="shared" si="517"/>
        <v>-2.5600212145340144</v>
      </c>
      <c r="E85" s="580">
        <f t="shared" si="518"/>
        <v>-0.57132656778701074</v>
      </c>
      <c r="F85" s="572">
        <f t="shared" si="519"/>
        <v>0.81589442885658725</v>
      </c>
      <c r="G85" s="579">
        <f t="shared" si="520"/>
        <v>8.8894509962637966E-2</v>
      </c>
      <c r="H85" s="580">
        <f t="shared" si="521"/>
        <v>0.255</v>
      </c>
      <c r="I85" s="572">
        <f t="shared" si="522"/>
        <v>0.41499999999999992</v>
      </c>
      <c r="J85" s="483">
        <f t="shared" si="523"/>
        <v>6.2380000000000004</v>
      </c>
      <c r="K85" s="806" t="str">
        <f t="shared" si="524"/>
        <v>CPS-32193r1</v>
      </c>
      <c r="L85" s="309"/>
      <c r="M85" s="164">
        <f t="shared" si="526"/>
        <v>6.2380000000000004</v>
      </c>
      <c r="N85" s="575">
        <f t="shared" si="527"/>
        <v>-2.5781789693426949</v>
      </c>
      <c r="O85" s="572">
        <f t="shared" si="528"/>
        <v>3.6818204793621847</v>
      </c>
      <c r="P85" s="576">
        <f t="shared" si="529"/>
        <v>-2.5600212145340144</v>
      </c>
      <c r="Q85" s="528">
        <f t="shared" si="609"/>
        <v>125.00146725321591</v>
      </c>
      <c r="R85" s="572">
        <f t="shared" si="101"/>
        <v>4.494753479359213</v>
      </c>
      <c r="S85" s="577">
        <f t="shared" si="102"/>
        <v>-2.5600212145340144</v>
      </c>
      <c r="T85" s="578">
        <f t="shared" si="103"/>
        <v>3.6773151033940845</v>
      </c>
      <c r="U85" s="572">
        <f t="shared" si="104"/>
        <v>2.5846010273466784</v>
      </c>
      <c r="V85" s="579">
        <f t="shared" si="141"/>
        <v>-2.5600212145340144</v>
      </c>
      <c r="W85" s="528">
        <f t="shared" si="735"/>
        <v>35.101467238777701</v>
      </c>
      <c r="X85" s="572">
        <f t="shared" si="105"/>
        <v>4.494753479359213</v>
      </c>
      <c r="Y85" s="573">
        <f t="shared" si="733"/>
        <v>-2.5600212145340144</v>
      </c>
      <c r="Z85" s="575">
        <f t="shared" si="530"/>
        <v>0.57132656778701074</v>
      </c>
      <c r="AA85" s="572">
        <f t="shared" si="531"/>
        <v>-0.81589442885658725</v>
      </c>
      <c r="AB85" s="572">
        <f t="shared" si="532"/>
        <v>-8.8894509962637966E-2</v>
      </c>
      <c r="AC85" s="579">
        <f t="shared" si="106"/>
        <v>1</v>
      </c>
      <c r="AD85" s="580">
        <f t="shared" si="142"/>
        <v>0.57132656778701074</v>
      </c>
      <c r="AE85" s="572">
        <f t="shared" si="107"/>
        <v>-0.81589442885658725</v>
      </c>
      <c r="AF85" s="576">
        <f t="shared" si="108"/>
        <v>-8.8894509962637966E-2</v>
      </c>
      <c r="AG85" s="545">
        <f t="shared" si="109"/>
        <v>-83.781954451188199</v>
      </c>
      <c r="AH85" s="546">
        <f t="shared" si="110"/>
        <v>55.157216742365065</v>
      </c>
      <c r="AI85" s="528">
        <f t="shared" si="111"/>
        <v>-84.899987741958412</v>
      </c>
      <c r="AJ85" s="529">
        <f t="shared" si="112"/>
        <v>35.001467253215921</v>
      </c>
      <c r="AK85" s="578">
        <f t="shared" si="238"/>
        <v>3.3306690738754696E-16</v>
      </c>
      <c r="AL85" s="572">
        <f t="shared" si="113"/>
        <v>-0.99604104639241786</v>
      </c>
      <c r="AM85" s="577">
        <f t="shared" si="114"/>
        <v>-8.8894509962637966E-2</v>
      </c>
      <c r="AN85" s="524">
        <f t="shared" si="115"/>
        <v>-84.899987741958427</v>
      </c>
      <c r="AO85" s="525">
        <f t="shared" si="525"/>
        <v>0</v>
      </c>
      <c r="AP85" s="528">
        <f t="shared" si="117"/>
        <v>-89.999999999999986</v>
      </c>
      <c r="AQ85" s="529">
        <f t="shared" si="533"/>
        <v>0.50718400838403888</v>
      </c>
      <c r="AS85" s="932">
        <f t="shared" si="632"/>
        <v>-324.89853276122233</v>
      </c>
      <c r="AT85" s="928">
        <f t="shared" si="534"/>
        <v>-2.3343277890154144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6.2380000000000004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0.13800000000000001</v>
      </c>
      <c r="IK85" s="677" cm="1">
        <f t="array" ref="IK85">IFERROR(ROUND(VALUE(IF($IJ85&lt;1,$IJ85+LARGE((IF($M$9:$M$150="",0,$M$9:$M$150)-MOD(IF($M$9:$M$150="",0,$M$9:$M$150),1)),1),$IJ85)),4),"")</f>
        <v>6.1379999999999999</v>
      </c>
      <c r="IL85" s="482">
        <f t="shared" si="596"/>
        <v>1613</v>
      </c>
      <c r="IM85" s="482" t="str">
        <f t="shared" si="732"/>
        <v>CPS-32193r1</v>
      </c>
      <c r="IN85" s="670">
        <f t="shared" si="597"/>
        <v>18.398525036779148</v>
      </c>
      <c r="IO85" s="702">
        <v>3.1644183588993298E-2</v>
      </c>
      <c r="IP85" s="5">
        <f t="shared" si="598"/>
        <v>1.4</v>
      </c>
      <c r="IQ85" s="714">
        <v>700</v>
      </c>
      <c r="IR85" s="9">
        <f t="shared" si="599"/>
        <v>-4.5153136181858722</v>
      </c>
      <c r="IS85" s="5">
        <f t="shared" si="600"/>
        <v>-2.5410076636791135</v>
      </c>
      <c r="IT85" s="5">
        <f t="shared" si="601"/>
        <v>0.3125</v>
      </c>
      <c r="IU85" s="5">
        <f t="shared" si="602"/>
        <v>0.27375821683579599</v>
      </c>
      <c r="IV85" s="670">
        <f t="shared" si="603"/>
        <v>79.848473319791708</v>
      </c>
      <c r="IW85" s="9">
        <f t="shared" si="604"/>
        <v>-4.494753479359213</v>
      </c>
      <c r="IX85" s="5">
        <f t="shared" si="605"/>
        <v>-2.5600212145340144</v>
      </c>
      <c r="IY85" s="5">
        <f t="shared" si="606"/>
        <v>0.255</v>
      </c>
      <c r="IZ85" s="5">
        <f t="shared" si="607"/>
        <v>0.255</v>
      </c>
      <c r="JA85" s="705">
        <f t="shared" si="608"/>
        <v>84.899987741958427</v>
      </c>
    </row>
    <row r="86" spans="1:261" ht="15" customHeight="1" x14ac:dyDescent="0.25">
      <c r="A86" s="75">
        <f t="shared" si="256"/>
        <v>0</v>
      </c>
      <c r="B86" s="578">
        <f t="shared" si="515"/>
        <v>-2.5075619836817564</v>
      </c>
      <c r="C86" s="572">
        <f t="shared" si="516"/>
        <v>3.787356772836509</v>
      </c>
      <c r="D86" s="576">
        <f t="shared" si="517"/>
        <v>-3.3668438440020725</v>
      </c>
      <c r="E86" s="580">
        <f t="shared" si="518"/>
        <v>-0.55077571493563193</v>
      </c>
      <c r="F86" s="572">
        <f t="shared" si="519"/>
        <v>0.83187739639144065</v>
      </c>
      <c r="G86" s="579">
        <f t="shared" si="520"/>
        <v>6.8015507129929431E-2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6.2439999999999998</v>
      </c>
      <c r="K86" s="806" t="str">
        <f t="shared" si="524"/>
        <v>CPS-32193r1</v>
      </c>
      <c r="L86" s="309"/>
      <c r="M86" s="164">
        <f t="shared" si="526"/>
        <v>6.2439999999999998</v>
      </c>
      <c r="N86" s="575">
        <f t="shared" si="527"/>
        <v>-2.5075619836817564</v>
      </c>
      <c r="O86" s="572">
        <f t="shared" si="528"/>
        <v>3.787356772836509</v>
      </c>
      <c r="P86" s="576">
        <f t="shared" si="529"/>
        <v>-3.3668438440020725</v>
      </c>
      <c r="Q86" s="528">
        <f t="shared" si="609"/>
        <v>123.50804907335601</v>
      </c>
      <c r="R86" s="572">
        <f t="shared" si="101"/>
        <v>4.5422393625563773</v>
      </c>
      <c r="S86" s="577">
        <f t="shared" si="102"/>
        <v>-3.3668438440020725</v>
      </c>
      <c r="T86" s="578">
        <f t="shared" si="103"/>
        <v>3.7829744859379217</v>
      </c>
      <c r="U86" s="572">
        <f t="shared" si="104"/>
        <v>2.5141683447015399</v>
      </c>
      <c r="V86" s="579">
        <f t="shared" si="141"/>
        <v>-3.3668438440020725</v>
      </c>
      <c r="W86" s="528">
        <f t="shared" si="735"/>
        <v>33.6080490589178</v>
      </c>
      <c r="X86" s="572">
        <f t="shared" si="105"/>
        <v>4.5422393625563773</v>
      </c>
      <c r="Y86" s="573">
        <f t="shared" si="733"/>
        <v>-3.3668438440020725</v>
      </c>
      <c r="Z86" s="575">
        <f t="shared" si="530"/>
        <v>0.55077571493563193</v>
      </c>
      <c r="AA86" s="572">
        <f t="shared" si="531"/>
        <v>-0.83187739639144065</v>
      </c>
      <c r="AB86" s="572">
        <f t="shared" si="532"/>
        <v>-6.8015507129929431E-2</v>
      </c>
      <c r="AC86" s="579">
        <f t="shared" si="106"/>
        <v>1</v>
      </c>
      <c r="AD86" s="580">
        <f t="shared" si="142"/>
        <v>0.55077571493563193</v>
      </c>
      <c r="AE86" s="572">
        <f t="shared" si="107"/>
        <v>-0.83187739639144065</v>
      </c>
      <c r="AF86" s="576">
        <f t="shared" si="108"/>
        <v>-6.8015507129929431E-2</v>
      </c>
      <c r="AG86" s="545">
        <f t="shared" si="109"/>
        <v>-85.325810694304252</v>
      </c>
      <c r="AH86" s="546">
        <f t="shared" si="110"/>
        <v>56.579753456520514</v>
      </c>
      <c r="AI86" s="528">
        <f t="shared" si="111"/>
        <v>-86.099987568699831</v>
      </c>
      <c r="AJ86" s="529">
        <f t="shared" si="112"/>
        <v>33.508049073356005</v>
      </c>
      <c r="AK86" s="578">
        <f t="shared" si="238"/>
        <v>1.1102230246251565E-16</v>
      </c>
      <c r="AL86" s="572">
        <f t="shared" si="113"/>
        <v>-0.99768426407850019</v>
      </c>
      <c r="AM86" s="577">
        <f t="shared" si="114"/>
        <v>-6.8015507129929431E-2</v>
      </c>
      <c r="AN86" s="524">
        <f t="shared" si="115"/>
        <v>-86.099987568699831</v>
      </c>
      <c r="AO86" s="525">
        <f t="shared" si="525"/>
        <v>0</v>
      </c>
      <c r="AP86" s="528">
        <f t="shared" si="117"/>
        <v>-90</v>
      </c>
      <c r="AQ86" s="529">
        <f t="shared" si="533"/>
        <v>0.50188203281416499</v>
      </c>
      <c r="AS86" s="932">
        <f t="shared" si="632"/>
        <v>-326.3919509410822</v>
      </c>
      <c r="AT86" s="928">
        <f t="shared" si="534"/>
        <v>-3.1401133225252362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>Gage</v>
      </c>
      <c r="II86" s="788">
        <f t="shared" si="731"/>
        <v>6.2439999999999998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0.14399999999999999</v>
      </c>
      <c r="IK86" s="677" cm="1">
        <f t="array" ref="IK86">IFERROR(ROUND(VALUE(IF($IJ86&lt;1,$IJ86+LARGE((IF($M$9:$M$150="",0,$M$9:$M$150)-MOD(IF($M$9:$M$150="",0,$M$9:$M$150),1)),1),$IJ86)),4),"")</f>
        <v>6.1440000000000001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19.811943228189563</v>
      </c>
      <c r="IO86" s="702">
        <v>3.02071402019869E-2</v>
      </c>
      <c r="IP86" s="5">
        <f t="shared" si="598"/>
        <v>1.4</v>
      </c>
      <c r="IQ86" s="714">
        <v>700</v>
      </c>
      <c r="IR86" s="9">
        <f t="shared" si="599"/>
        <v>-4.5665137726055409</v>
      </c>
      <c r="IS86" s="5">
        <f t="shared" si="600"/>
        <v>-3.3482100982016556</v>
      </c>
      <c r="IT86" s="5">
        <f t="shared" si="601"/>
        <v>0.3125</v>
      </c>
      <c r="IU86" s="5">
        <f t="shared" si="602"/>
        <v>0.27063295049487063</v>
      </c>
      <c r="IV86" s="670">
        <f t="shared" si="603"/>
        <v>84.999987727520178</v>
      </c>
      <c r="IW86" s="9">
        <f t="shared" si="604"/>
        <v>-4.5422393625563773</v>
      </c>
      <c r="IX86" s="5">
        <f t="shared" si="605"/>
        <v>-3.3668438440020725</v>
      </c>
      <c r="IY86" s="5">
        <f t="shared" si="606"/>
        <v>0.255</v>
      </c>
      <c r="IZ86" s="5">
        <f t="shared" si="607"/>
        <v>0.255</v>
      </c>
      <c r="JA86" s="705">
        <f t="shared" si="608"/>
        <v>86.099987568699831</v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6.5384293202589037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5" t="s">
        <v>42</v>
      </c>
      <c r="C157" s="1086"/>
      <c r="D157" s="1086"/>
      <c r="E157" s="1086"/>
      <c r="F157" s="1086"/>
      <c r="G157" s="1086"/>
      <c r="H157" s="1086"/>
      <c r="I157" s="1086"/>
      <c r="J157" s="1086"/>
      <c r="K157" s="1086"/>
      <c r="L157" s="1086"/>
      <c r="M157" s="1086"/>
      <c r="N157" s="1086"/>
      <c r="O157" s="1087"/>
      <c r="BC157" t="s">
        <v>101</v>
      </c>
      <c r="BD157" s="219">
        <v>0</v>
      </c>
    </row>
    <row r="158" spans="1:261" ht="15" customHeight="1" x14ac:dyDescent="0.25">
      <c r="B158" s="1088"/>
      <c r="C158" s="1089"/>
      <c r="D158" s="1089"/>
      <c r="E158" s="1089"/>
      <c r="F158" s="1089"/>
      <c r="G158" s="1089"/>
      <c r="H158" s="1089"/>
      <c r="I158" s="1089"/>
      <c r="J158" s="1089"/>
      <c r="K158" s="1089"/>
      <c r="L158" s="1089"/>
      <c r="M158" s="1089"/>
      <c r="N158" s="1089"/>
      <c r="O158" s="1090"/>
      <c r="BC158" t="s">
        <v>102</v>
      </c>
      <c r="BD158" s="219">
        <v>0.01</v>
      </c>
    </row>
    <row r="159" spans="1:261" ht="15" customHeight="1" x14ac:dyDescent="0.25">
      <c r="B159" s="1088"/>
      <c r="C159" s="1089"/>
      <c r="D159" s="1089"/>
      <c r="E159" s="1089"/>
      <c r="F159" s="1089"/>
      <c r="G159" s="1089"/>
      <c r="H159" s="1089"/>
      <c r="I159" s="1089"/>
      <c r="J159" s="1089"/>
      <c r="K159" s="1089"/>
      <c r="L159" s="1089"/>
      <c r="M159" s="1089"/>
      <c r="N159" s="1089"/>
      <c r="O159" s="1090"/>
      <c r="AJ159" s="31" t="s">
        <v>349</v>
      </c>
      <c r="AU159"/>
    </row>
    <row r="160" spans="1:261" ht="15" customHeight="1" x14ac:dyDescent="0.25">
      <c r="B160" s="1091" t="str">
        <f>CONCATENATE(B162," ; ",E162," ; ",H163)</f>
        <v>Absolute-Point ; Incremental-Vector Point ; Radius</v>
      </c>
      <c r="C160" s="1092"/>
      <c r="D160" s="1092"/>
      <c r="E160" s="1092"/>
      <c r="F160" s="1092"/>
      <c r="G160" s="1092"/>
      <c r="H160" s="1092"/>
      <c r="I160" s="1092"/>
      <c r="J160" s="1092"/>
      <c r="K160" s="1092"/>
      <c r="L160" s="1092"/>
      <c r="M160" s="1092"/>
      <c r="N160" s="1092"/>
      <c r="O160" s="1093"/>
      <c r="AJ160" s="82">
        <f>COUNT(_xlfn.ANCHORARRAY($AJ$164))</f>
        <v>468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91"/>
      <c r="C161" s="1092"/>
      <c r="D161" s="1092"/>
      <c r="E161" s="1092"/>
      <c r="F161" s="1092"/>
      <c r="G161" s="1092"/>
      <c r="H161" s="1092"/>
      <c r="I161" s="1092"/>
      <c r="J161" s="1092"/>
      <c r="K161" s="1092"/>
      <c r="L161" s="1092"/>
      <c r="M161" s="1092"/>
      <c r="N161" s="1092"/>
      <c r="O161" s="109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355" t="s">
        <v>40</v>
      </c>
      <c r="C162" s="1187"/>
      <c r="D162" s="1356"/>
      <c r="E162" s="1186" t="s">
        <v>41</v>
      </c>
      <c r="F162" s="1187"/>
      <c r="G162" s="1188"/>
      <c r="H162" s="1006" t="s">
        <v>305</v>
      </c>
      <c r="I162" s="1026"/>
      <c r="J162" s="1007"/>
      <c r="K162" s="1006" t="s">
        <v>386</v>
      </c>
      <c r="L162" s="1094"/>
      <c r="M162" s="937"/>
      <c r="N162" s="1357" t="s">
        <v>398</v>
      </c>
      <c r="O162" s="1358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-8.5370249802008226E-18</v>
      </c>
      <c r="C164" s="646">
        <v>0.34210103177671186</v>
      </c>
      <c r="D164" s="647">
        <v>-0.65130196432672438</v>
      </c>
      <c r="E164" s="648">
        <v>-0.9271838753345083</v>
      </c>
      <c r="F164" s="646">
        <v>-5.8601365609243353E-2</v>
      </c>
      <c r="G164" s="649">
        <v>0.36999451518693494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80">
        <f>IFERROR(INDEX([1]List!$AG$1:$AG$65536,MATCH(RIGHT((J164*1000),2),[1]List!$AI$1:$AI$65536,0))*-1,"")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-8.5370249802008226E-18</v>
      </c>
      <c r="R164" s="162">
        <f t="shared" ref="R164:R195" si="1060">IFERROR(INDEX(C$164:C$305,MATCH($Y164,$J$164:$J$305,0)),"")</f>
        <v>0.34210103177671186</v>
      </c>
      <c r="S164" s="162">
        <f t="shared" ref="S164:S195" si="1061">IFERROR(INDEX(D$164:D$305,MATCH($Y164,$J$164:$J$305,0)),"")</f>
        <v>-0.65130196432672438</v>
      </c>
      <c r="T164" s="162">
        <f t="shared" ref="T164:T195" si="1062">IFERROR(IF($N164="Y",-1*INDEX(E$164:E$305,MATCH($Y164,$J$164:$J$305,0)),INDEX(E$164:E$305,MATCH($Y164,$J$164:$J$305,0))),"")</f>
        <v>-0.9271838753345083</v>
      </c>
      <c r="U164" s="162">
        <f t="shared" ref="U164:U195" si="1063">IFERROR(IF($N164="Y",-1*INDEX(F$164:F$305,MATCH($Y164,$J$164:$J$305,0)),INDEX(F$164:F$305,MATCH($Y164,$J$164:$J$305,0))),"")</f>
        <v>-5.8601365609243353E-2</v>
      </c>
      <c r="V164" s="162">
        <f t="shared" ref="V164:V195" si="1064">IFERROR(IF($N164="Y",-1*INDEX(G$164:G$305,MATCH($Y164,$J$164:$J$305,0)),INDEX(G$164:G$305,MATCH($Y164,$J$164:$J$305,0))),"")</f>
        <v>0.36999451518693494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1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31">ROUNDDOWN((_xlfn.ANCHORARRAY(AJ164)*1000),0)/1000</f>
        <v>6.2439999999999998</v>
      </c>
      <c r="AF164" s="166" cm="1">
        <f t="array" ref="AF164:AF631">ROUNDDOWN(_xlfn.ANCHORARRAY(AJ164),0)</f>
        <v>6</v>
      </c>
      <c r="AG164" s="82" cm="1">
        <f t="array" ref="AG164:AG631">VALUE(RIGHT(ROUNDDOWN(_xlfn.ANCHORARRAY(AJ164)*10,0),1))</f>
        <v>2</v>
      </c>
      <c r="AH164" s="82" cm="1">
        <f t="array" ref="AH164:AH631">VALUE(LEFT(RIGHT((_xlfn.ANCHORARRAY($AJ$164)*100000),2),1))</f>
        <v>1</v>
      </c>
      <c r="AI164" s="82" cm="1">
        <f t="array" ref="AI164:AI631">MOD(_xlfn.ANCHORARRAY($AJ$164)*10000,1)*10</f>
        <v>0.99999999998544808</v>
      </c>
      <c r="AJ164" s="166" cm="1">
        <f t="array" ref="AJ164:AJ63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31">IF(_xlfn.ANCHORARRAY($AH$164)=1,"Base",_xlfn.ANCHORARRAY($AJ$164)-0.0001)</f>
        <v>Base</v>
      </c>
      <c r="AL164" s="162" cm="1">
        <f t="array" ref="AL164:AL631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31">IF(_xlfn.ANCHORARRAY($AH$164)=1,-INDEX($R$9:$R$150,MATCH(_xlfn.ANCHORARRAY($AE$164),$M$9:$M$150,0)),0)</f>
        <v>-4.5422393625563773</v>
      </c>
      <c r="AN164" s="162" cm="1">
        <f t="array" ref="AN164:AN631">IF(_xlfn.ANCHORARRAY($AH$164)=1,INDEX($AT$9:$AT$150,MATCH(_xlfn.ANCHORARRAY($AE$164),$M$9:$M$150,0))+((_xlfn.ANCHORARRAY($AI$164)-1)*-AS5),0)</f>
        <v>-3.1401133225215982</v>
      </c>
      <c r="AO164" s="162" cm="1">
        <f t="array" ref="AO164:AO631">IF(_xlfn.ANCHORARRAY($AH$164)=1,-INDEX($AN$9:$AN$150,MATCH(_xlfn.ANCHORARRAY($AE$164),$M$9:$M$150,0)),IF(_xlfn.ANCHORARRAY($AH$164)=2,_xlfn.ANCHORARRAY($AY$164),0))</f>
        <v>86.099987568699831</v>
      </c>
      <c r="AP164" s="162" cm="1">
        <f t="array" ref="AP164:AP631">IF(_xlfn.ANCHORARRAY($AH$164)=1,-INDEX($AO$9:$AO$150,MATCH(_xlfn.ANCHORARRAY($AE$164),$M$9:$M$150,0)),0)</f>
        <v>0</v>
      </c>
      <c r="AQ164" s="162" cm="1">
        <f t="array" ref="AQ164:AQ631">IF(_xlfn.ANCHORARRAY($AJ$164)="value",0,0)</f>
        <v>0</v>
      </c>
      <c r="AR164" s="710" t="str" cm="1">
        <f t="array" ref="AR164:AR631">INDEX($L$164:$L$305,MATCH(_xlfn.ANCHORARRAY($AE$164),$J$164:$J$305,0))</f>
        <v>32193r1.par</v>
      </c>
      <c r="AV164" s="82" t="str" cm="1">
        <f t="array" ref="AV164:AV631">INDEX(Settings!$C$3:$K$4,_xlfn.ANCHORARRAY(Assy.Model!$AG$164),_xlfn.ANCHORARRAY(Assy.Model!$AF$164))</f>
        <v>188,121,255</v>
      </c>
      <c r="AW164" s="947" cm="1">
        <f t="array" ref="AW164:AW631">-INDEX($M$164:$M$305,MATCH(_xlfn.ANCHORARRAY($AE$164),$J$164:$J$305,0))</f>
        <v>86.1</v>
      </c>
      <c r="AX164" s="947" cm="1">
        <f t="array" ref="AX164:AX631">-INDEX($AN$9:$AN$150,MATCH(_xlfn.ANCHORARRAY($AE$164),$M$9:$M$150,0))</f>
        <v>86.099987568699831</v>
      </c>
      <c r="AY164" s="947" cm="1">
        <f t="array" ref="AY164:AY63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1.0375031291094376</v>
      </c>
      <c r="D165" s="652">
        <v>-0.3981012006732213</v>
      </c>
      <c r="E165" s="653">
        <v>-0.96126170705176617</v>
      </c>
      <c r="F165" s="651">
        <v>-1.4425740483648615E-2</v>
      </c>
      <c r="G165" s="654">
        <v>0.27525956580548261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81">
        <f>IFERROR(INDEX([1]List!$AG$1:$AG$65536,MATCH(RIGHT((J165*1000),2),[1]List!$AI$1:$AI$65536,0))*-1,"")</f>
        <v>20</v>
      </c>
      <c r="N165" s="941"/>
      <c r="O165" s="942"/>
      <c r="P165">
        <f>-0.0514</f>
        <v>-5.1400000000000001E-2</v>
      </c>
      <c r="Q165" s="162">
        <f t="shared" si="1059"/>
        <v>0</v>
      </c>
      <c r="R165" s="162">
        <f t="shared" si="1060"/>
        <v>1.0375031291094376</v>
      </c>
      <c r="S165" s="162">
        <f t="shared" si="1061"/>
        <v>-0.3981012006732213</v>
      </c>
      <c r="T165" s="162">
        <f t="shared" si="1062"/>
        <v>-0.96126170705176617</v>
      </c>
      <c r="U165" s="162">
        <f t="shared" si="1063"/>
        <v>-1.4425740483648615E-2</v>
      </c>
      <c r="V165" s="162">
        <f t="shared" si="1064"/>
        <v>0.27525956580548261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-4.494753479359213</v>
      </c>
      <c r="AN165" s="162">
        <v>-2.3343277890299663</v>
      </c>
      <c r="AO165" s="162">
        <v>84.899987741958427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84.9</v>
      </c>
      <c r="AX165" s="947">
        <v>84.899987741958427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1.7387052439350157</v>
      </c>
      <c r="D166" s="652">
        <v>-0.18020054348483913</v>
      </c>
      <c r="E166" s="653">
        <v>-0.96126170705176617</v>
      </c>
      <c r="F166" s="651">
        <v>0</v>
      </c>
      <c r="G166" s="654">
        <v>0.27563731705979949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81">
        <f>IFERROR(INDEX([1]List!$AG$1:$AG$65536,MATCH(RIGHT((J166*1000),2),[1]List!$AI$1:$AI$65536,0))*-1,"")</f>
        <v>9.9000000000000057</v>
      </c>
      <c r="N166" s="941"/>
      <c r="O166" s="942"/>
      <c r="Q166" s="162">
        <f t="shared" si="1059"/>
        <v>8.5370249802008226E-18</v>
      </c>
      <c r="R166" s="162">
        <f t="shared" si="1060"/>
        <v>1.7387052439350157</v>
      </c>
      <c r="S166" s="162">
        <f t="shared" si="1061"/>
        <v>-0.18020054348483913</v>
      </c>
      <c r="T166" s="162">
        <f t="shared" si="1062"/>
        <v>-0.96126170705176617</v>
      </c>
      <c r="U166" s="162">
        <f t="shared" si="1063"/>
        <v>0</v>
      </c>
      <c r="V166" s="162">
        <f t="shared" si="1064"/>
        <v>0.27563731705979949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-4.3476946026000221</v>
      </c>
      <c r="AN166" s="162">
        <v>-1.6043793612057646</v>
      </c>
      <c r="AO166" s="162">
        <v>68.099990167577928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68.099999999999994</v>
      </c>
      <c r="AX166" s="947">
        <v>68.099990167577928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4.3034685097150223E-3</v>
      </c>
      <c r="C167" s="651">
        <v>2.4657036810884803</v>
      </c>
      <c r="D167" s="652">
        <v>-0.17330052267437634</v>
      </c>
      <c r="E167" s="653">
        <v>-0.9611742002129503</v>
      </c>
      <c r="F167" s="651">
        <v>5.0976540936288194E-2</v>
      </c>
      <c r="G167" s="654">
        <v>0.27119282645226128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81">
        <f>IFERROR(INDEX([1]List!$AG$1:$AG$65536,MATCH(RIGHT((J167*1000),2),[1]List!$AI$1:$AI$65536,0))*-1,"")</f>
        <v>-8</v>
      </c>
      <c r="N167" s="941"/>
      <c r="O167" s="942"/>
      <c r="Q167" s="162">
        <f t="shared" si="1059"/>
        <v>4.3034685097150223E-3</v>
      </c>
      <c r="R167" s="162">
        <f t="shared" si="1060"/>
        <v>2.4657036810884803</v>
      </c>
      <c r="S167" s="162">
        <f t="shared" si="1061"/>
        <v>-0.17330052267437634</v>
      </c>
      <c r="T167" s="162">
        <f t="shared" si="1062"/>
        <v>-0.9611742002129503</v>
      </c>
      <c r="U167" s="162">
        <f t="shared" si="1063"/>
        <v>5.0976540936288194E-2</v>
      </c>
      <c r="V167" s="162">
        <f t="shared" si="1064"/>
        <v>0.27119282645226128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-4.0372962108473622</v>
      </c>
      <c r="AN167" s="162">
        <v>-0.91044448359079966</v>
      </c>
      <c r="AO167" s="162">
        <v>48.939386873420737</v>
      </c>
      <c r="AP167" s="162">
        <v>-26.833329459079881</v>
      </c>
      <c r="AQ167" s="162">
        <v>0</v>
      </c>
      <c r="AR167" s="710" t="str">
        <v>1313.par</v>
      </c>
      <c r="AV167" s="82" t="str">
        <v>188,121,255</v>
      </c>
      <c r="AW167" s="947">
        <v>51.199999999999989</v>
      </c>
      <c r="AX167" s="947">
        <v>48.939386873420737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3.9324603384725695E-2</v>
      </c>
      <c r="C168" s="651">
        <v>3.1732659161709473</v>
      </c>
      <c r="D168" s="652">
        <v>-0.41060123837333518</v>
      </c>
      <c r="E168" s="653">
        <v>-0.95679515975546048</v>
      </c>
      <c r="F168" s="651">
        <v>0.13589537680660013</v>
      </c>
      <c r="G168" s="654">
        <v>0.2570514906222392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81">
        <f>IFERROR(INDEX([1]List!$AG$1:$AG$65536,MATCH(RIGHT((J168*1000),2),[1]List!$AI$1:$AI$65536,0))*-1,"")</f>
        <v>-25.400000000000006</v>
      </c>
      <c r="N168" s="941"/>
      <c r="O168" s="942"/>
      <c r="Q168" s="162">
        <f t="shared" si="1059"/>
        <v>3.9324603384725695E-2</v>
      </c>
      <c r="R168" s="162">
        <f t="shared" si="1060"/>
        <v>3.1732659161709473</v>
      </c>
      <c r="S168" s="162">
        <f t="shared" si="1061"/>
        <v>-0.41060123837333518</v>
      </c>
      <c r="T168" s="162">
        <f t="shared" si="1062"/>
        <v>-0.95679515975546048</v>
      </c>
      <c r="U168" s="162">
        <f t="shared" si="1063"/>
        <v>0.13589537680660013</v>
      </c>
      <c r="V168" s="162">
        <f t="shared" si="1064"/>
        <v>0.2570514906222392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-3.5088418203186462</v>
      </c>
      <c r="AN168" s="162">
        <v>-0.36899117161199102</v>
      </c>
      <c r="AO168" s="162">
        <v>33.48484365023522</v>
      </c>
      <c r="AP168" s="162">
        <v>-23.333329964417302</v>
      </c>
      <c r="AQ168" s="162">
        <v>0</v>
      </c>
      <c r="AR168" s="710" t="str">
        <v>1310.par</v>
      </c>
      <c r="AV168" s="82" t="str">
        <v>188,121,255</v>
      </c>
      <c r="AW168" s="947">
        <v>34.099999999999994</v>
      </c>
      <c r="AX168" s="947">
        <v>33.48484365023522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9.6711503097395971E-2</v>
      </c>
      <c r="C169" s="651">
        <v>3.7686706705708866</v>
      </c>
      <c r="D169" s="652">
        <v>-0.86050259527582806</v>
      </c>
      <c r="E169" s="653">
        <v>-0.93308125780712914</v>
      </c>
      <c r="F169" s="651">
        <v>0.25025885196680336</v>
      </c>
      <c r="G169" s="654">
        <v>0.25832125994838978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422</v>
      </c>
      <c r="M169" s="981">
        <f>IFERROR(INDEX([1]List!$AG$1:$AG$65536,MATCH(RIGHT((J169*1000),2),[1]List!$AI$1:$AI$65536,0))*-1,"")</f>
        <v>-42.699999999999989</v>
      </c>
      <c r="N169" s="941"/>
      <c r="O169" s="942"/>
      <c r="Q169" s="162">
        <f t="shared" si="1059"/>
        <v>9.6711503097395971E-2</v>
      </c>
      <c r="R169" s="162">
        <f t="shared" si="1060"/>
        <v>3.7686706705708866</v>
      </c>
      <c r="S169" s="162">
        <f t="shared" si="1061"/>
        <v>-0.86050259527582806</v>
      </c>
      <c r="T169" s="162">
        <f t="shared" si="1062"/>
        <v>-0.93308125780712914</v>
      </c>
      <c r="U169" s="162">
        <f t="shared" si="1063"/>
        <v>0.25025885196680336</v>
      </c>
      <c r="V169" s="162">
        <f t="shared" si="1064"/>
        <v>0.25832125994838978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-4.5665137726055409</v>
      </c>
      <c r="AN169" s="162">
        <v>-3.1352378706478365</v>
      </c>
      <c r="AO169" s="162">
        <v>84.999987727520178</v>
      </c>
      <c r="AP169" s="162">
        <v>-29.999995668536499</v>
      </c>
      <c r="AQ169" s="162">
        <v>0</v>
      </c>
      <c r="AR169" s="710" t="str">
        <v>1613.par</v>
      </c>
      <c r="AV169" s="82" t="str">
        <v>127,0,255</v>
      </c>
      <c r="AW169" s="947">
        <v>86.1</v>
      </c>
      <c r="AX169" s="947">
        <v>84.999987727520178</v>
      </c>
      <c r="AY169" s="947">
        <v>0</v>
      </c>
    </row>
    <row r="170" spans="2:58" x14ac:dyDescent="0.25">
      <c r="B170" s="650">
        <v>0.15489797368983607</v>
      </c>
      <c r="C170" s="651">
        <v>4.2042601956542063</v>
      </c>
      <c r="D170" s="652">
        <v>-1.4668044238821429</v>
      </c>
      <c r="E170" s="653">
        <v>-0.90355081379068958</v>
      </c>
      <c r="F170" s="651">
        <v>0.36778034128887577</v>
      </c>
      <c r="G170" s="654">
        <v>0.21984891962350184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422</v>
      </c>
      <c r="M170" s="981">
        <f>IFERROR(INDEX([1]List!$AG$1:$AG$65536,MATCH(RIGHT((J170*1000),2),[1]List!$AI$1:$AI$65536,0))*-1,"")</f>
        <v>-59.699999999999989</v>
      </c>
      <c r="N170" s="941"/>
      <c r="O170" s="942"/>
      <c r="Q170" s="162">
        <f t="shared" si="1059"/>
        <v>0.15489797368983607</v>
      </c>
      <c r="R170" s="162">
        <f t="shared" si="1060"/>
        <v>4.2042601956542063</v>
      </c>
      <c r="S170" s="162">
        <f t="shared" si="1061"/>
        <v>-1.4668044238821429</v>
      </c>
      <c r="T170" s="162">
        <f t="shared" si="1062"/>
        <v>-0.90355081379068958</v>
      </c>
      <c r="U170" s="162">
        <f t="shared" si="1063"/>
        <v>0.36778034128887577</v>
      </c>
      <c r="V170" s="162">
        <f t="shared" si="1064"/>
        <v>0.21984891962350184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-4.5153136181858722</v>
      </c>
      <c r="AN170" s="162">
        <v>-2.3280909916546388</v>
      </c>
      <c r="AO170" s="162">
        <v>79.848473319791708</v>
      </c>
      <c r="AP170" s="162">
        <v>-28.833329170315658</v>
      </c>
      <c r="AQ170" s="162">
        <v>0</v>
      </c>
      <c r="AR170" s="710" t="str">
        <v>1613.par</v>
      </c>
      <c r="AV170" s="82" t="str">
        <v>127,0,255</v>
      </c>
      <c r="AW170" s="947">
        <v>84.9</v>
      </c>
      <c r="AX170" s="947">
        <v>79.848473319791708</v>
      </c>
      <c r="AY170" s="947">
        <v>0</v>
      </c>
    </row>
    <row r="171" spans="2:58" x14ac:dyDescent="0.25">
      <c r="B171" s="650">
        <v>0.19535573665639469</v>
      </c>
      <c r="C171" s="651">
        <v>4.4565337209402855</v>
      </c>
      <c r="D171" s="652">
        <v>-2.1703065456445421</v>
      </c>
      <c r="E171" s="653">
        <v>-0.87051531020896489</v>
      </c>
      <c r="F171" s="651">
        <v>0.47187508988400673</v>
      </c>
      <c r="G171" s="654">
        <v>0.1397747982962253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422</v>
      </c>
      <c r="M171" s="981">
        <f>IFERROR(INDEX([1]List!$AG$1:$AG$65536,MATCH(RIGHT((J171*1000),2),[1]List!$AI$1:$AI$65536,0))*-1,"")</f>
        <v>-76.5</v>
      </c>
      <c r="N171" s="941"/>
      <c r="O171" s="942"/>
      <c r="Q171" s="162">
        <f t="shared" si="1059"/>
        <v>0.19535573665639469</v>
      </c>
      <c r="R171" s="162">
        <f t="shared" si="1060"/>
        <v>4.4565337209402855</v>
      </c>
      <c r="S171" s="162">
        <f t="shared" si="1061"/>
        <v>-2.1703065456445421</v>
      </c>
      <c r="T171" s="162">
        <f t="shared" si="1062"/>
        <v>-0.87051531020896489</v>
      </c>
      <c r="U171" s="162">
        <f t="shared" si="1063"/>
        <v>0.47187508988400673</v>
      </c>
      <c r="V171" s="162">
        <f t="shared" si="1064"/>
        <v>0.1397747982962253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-4.3577131428628411</v>
      </c>
      <c r="AN171" s="162">
        <v>-1.5971623977364333</v>
      </c>
      <c r="AO171" s="162">
        <v>64.393930096606184</v>
      </c>
      <c r="AP171" s="162">
        <v>-25.333329675653026</v>
      </c>
      <c r="AQ171" s="162">
        <v>0</v>
      </c>
      <c r="AR171" s="710" t="str">
        <v>1613.par</v>
      </c>
      <c r="AV171" s="82" t="str">
        <v>127,0,255</v>
      </c>
      <c r="AW171" s="947">
        <v>68.099999999999994</v>
      </c>
      <c r="AX171" s="947">
        <v>64.393930096606184</v>
      </c>
      <c r="AY171" s="947">
        <v>0</v>
      </c>
    </row>
    <row r="172" spans="2:58" x14ac:dyDescent="0.25">
      <c r="B172" s="650">
        <v>0.21351996760658545</v>
      </c>
      <c r="C172" s="651">
        <v>4.5615191832140027</v>
      </c>
      <c r="D172" s="652">
        <v>-2.9732089671982447</v>
      </c>
      <c r="E172" s="653">
        <v>-0.84178831871285331</v>
      </c>
      <c r="F172" s="651">
        <v>0.5380458965588093</v>
      </c>
      <c r="G172" s="654">
        <v>4.3577972357774823E-2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81">
        <f>IFERROR(INDEX([1]List!$AG$1:$AG$65536,MATCH(RIGHT((J172*1000),2),[1]List!$AI$1:$AI$65536,0))*-1,"")</f>
        <v>-86.1</v>
      </c>
      <c r="N172" s="941"/>
      <c r="O172" s="942"/>
      <c r="Q172" s="162">
        <f t="shared" si="1059"/>
        <v>0.21351996760658545</v>
      </c>
      <c r="R172" s="162">
        <f t="shared" si="1060"/>
        <v>4.5615191832140027</v>
      </c>
      <c r="S172" s="162">
        <f t="shared" si="1061"/>
        <v>-2.9732089671982447</v>
      </c>
      <c r="T172" s="162">
        <f t="shared" si="1062"/>
        <v>-0.84178831871285331</v>
      </c>
      <c r="U172" s="162">
        <f t="shared" si="1063"/>
        <v>0.5380458965588093</v>
      </c>
      <c r="V172" s="162">
        <f t="shared" si="1064"/>
        <v>4.3577972357774823E-2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-4.0104120954028808</v>
      </c>
      <c r="AN172" s="162">
        <v>-0.93552845665901707</v>
      </c>
      <c r="AO172" s="162">
        <v>48.939386873420744</v>
      </c>
      <c r="AP172" s="162">
        <v>-21.833330180990448</v>
      </c>
      <c r="AQ172" s="162">
        <v>0</v>
      </c>
      <c r="AR172" s="710" t="str">
        <v>1613.par</v>
      </c>
      <c r="AV172" s="82" t="str">
        <v>127,0,255</v>
      </c>
      <c r="AW172" s="947">
        <v>51.199999999999989</v>
      </c>
      <c r="AX172" s="947">
        <v>48.939386873420744</v>
      </c>
      <c r="AY172" s="947">
        <v>0</v>
      </c>
    </row>
    <row r="173" spans="2:58" x14ac:dyDescent="0.25">
      <c r="B173" s="650">
        <v>0.8381381202961008</v>
      </c>
      <c r="C173" s="651">
        <v>2.323857928648235</v>
      </c>
      <c r="D173" s="652">
        <v>-0.15854402215631855</v>
      </c>
      <c r="E173" s="653">
        <v>-0.88752089451991345</v>
      </c>
      <c r="F173" s="651">
        <v>0.37250652701852954</v>
      </c>
      <c r="G173" s="654">
        <v>0.27119282645226128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423</v>
      </c>
      <c r="M173" s="981">
        <f>IFERROR(INDEX([1]List!$AG$1:$AG$65536,MATCH(RIGHT((J173*1000),2),[1]List!$AI$1:$AI$65536,0))*-1,"")</f>
        <v>-8</v>
      </c>
      <c r="N173" s="941"/>
      <c r="O173" s="942"/>
      <c r="Q173" s="162">
        <f t="shared" si="1059"/>
        <v>0.8381381202961008</v>
      </c>
      <c r="R173" s="162">
        <f t="shared" si="1060"/>
        <v>2.323857928648235</v>
      </c>
      <c r="S173" s="162">
        <f t="shared" si="1061"/>
        <v>-0.15854402215631855</v>
      </c>
      <c r="T173" s="162">
        <f t="shared" si="1062"/>
        <v>-0.88752089451991345</v>
      </c>
      <c r="U173" s="162">
        <f t="shared" si="1063"/>
        <v>0.37250652701852954</v>
      </c>
      <c r="V173" s="162">
        <f t="shared" si="1064"/>
        <v>0.27119282645226128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-3.4893105237605417</v>
      </c>
      <c r="AN173" s="162">
        <v>-0.40043378565579529</v>
      </c>
      <c r="AO173" s="162">
        <v>33.484843650235277</v>
      </c>
      <c r="AP173" s="162">
        <v>-18.33333068632788</v>
      </c>
      <c r="AQ173" s="162">
        <v>0</v>
      </c>
      <c r="AR173" s="710" t="str">
        <v>1613.par</v>
      </c>
      <c r="AV173" s="82" t="str">
        <v>127,0,255</v>
      </c>
      <c r="AW173" s="947">
        <v>34.099999999999994</v>
      </c>
      <c r="AX173" s="947">
        <v>33.484843650235277</v>
      </c>
      <c r="AY173" s="947">
        <v>0</v>
      </c>
    </row>
    <row r="174" spans="2:58" x14ac:dyDescent="0.25">
      <c r="B174" s="650">
        <v>0.87348514115742504</v>
      </c>
      <c r="C174" s="651">
        <v>3.0626846189436416</v>
      </c>
      <c r="D174" s="652">
        <v>-0.3956304515276296</v>
      </c>
      <c r="E174" s="653">
        <v>-0.88763760455314766</v>
      </c>
      <c r="F174" s="651">
        <v>0.38213088615294455</v>
      </c>
      <c r="G174" s="654">
        <v>0.25705149062223925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81">
        <f>IFERROR(INDEX([1]List!$AG$1:$AG$65536,MATCH(RIGHT((J174*1000),2),[1]List!$AI$1:$AI$65536,0))*-1,"")</f>
        <v>-25.400000000000006</v>
      </c>
      <c r="N174" s="941"/>
      <c r="O174" s="942"/>
      <c r="Q174" s="162">
        <f t="shared" si="1059"/>
        <v>0.87348514115742504</v>
      </c>
      <c r="R174" s="162">
        <f t="shared" si="1060"/>
        <v>3.0626846189436416</v>
      </c>
      <c r="S174" s="162">
        <f t="shared" si="1061"/>
        <v>-0.3956304515276296</v>
      </c>
      <c r="T174" s="162">
        <f t="shared" si="1062"/>
        <v>-0.88763760455314766</v>
      </c>
      <c r="U174" s="162">
        <f t="shared" si="1063"/>
        <v>0.38213088615294455</v>
      </c>
      <c r="V174" s="162">
        <f t="shared" si="1064"/>
        <v>0.25705149062223925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-2.8295085337977381</v>
      </c>
      <c r="AN174" s="162">
        <v>-5.103967470727297E-2</v>
      </c>
      <c r="AO174" s="162">
        <v>18.030300427049777</v>
      </c>
      <c r="AP174" s="162">
        <v>-15.99999768988615</v>
      </c>
      <c r="AQ174" s="162">
        <v>0</v>
      </c>
      <c r="AR174" s="710" t="str">
        <v>1613.par</v>
      </c>
      <c r="AV174" s="82" t="str">
        <v>127,0,255</v>
      </c>
      <c r="AW174" s="947">
        <v>16.700000000000003</v>
      </c>
      <c r="AX174" s="947">
        <v>18.030300427049777</v>
      </c>
      <c r="AY174" s="947">
        <v>0</v>
      </c>
    </row>
    <row r="175" spans="2:58" x14ac:dyDescent="0.25">
      <c r="B175" s="650">
        <v>0.93061377612749752</v>
      </c>
      <c r="C175" s="651">
        <v>3.6702938823870275</v>
      </c>
      <c r="D175" s="652">
        <v>-0.84872209297056067</v>
      </c>
      <c r="E175" s="653">
        <v>-0.85478185254458594</v>
      </c>
      <c r="F175" s="651">
        <v>0.4501312155573331</v>
      </c>
      <c r="G175" s="654">
        <v>0.25832125994838984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81">
        <f>IFERROR(INDEX([1]List!$AG$1:$AG$65536,MATCH(RIGHT((J175*1000),2),[1]List!$AI$1:$AI$65536,0))*-1,"")</f>
        <v>-42.699999999999989</v>
      </c>
      <c r="N175" s="941"/>
      <c r="O175" s="942"/>
      <c r="Q175" s="162">
        <f t="shared" si="1059"/>
        <v>0.93061377612749752</v>
      </c>
      <c r="R175" s="162">
        <f t="shared" si="1060"/>
        <v>3.6702938823870275</v>
      </c>
      <c r="S175" s="162">
        <f t="shared" si="1061"/>
        <v>-0.84872209297056067</v>
      </c>
      <c r="T175" s="162">
        <f t="shared" si="1062"/>
        <v>-0.85478185254458594</v>
      </c>
      <c r="U175" s="162">
        <f t="shared" si="1063"/>
        <v>0.4501312155573331</v>
      </c>
      <c r="V175" s="162">
        <f t="shared" si="1064"/>
        <v>0.25832125994838984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-4.5422393625563773</v>
      </c>
      <c r="AN175" s="162">
        <v>-3.3061237980426359</v>
      </c>
      <c r="AO175" s="162">
        <v>86.099987568699859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86.1</v>
      </c>
      <c r="AX175" s="947">
        <v>86.099987568699859</v>
      </c>
      <c r="AY175" s="947">
        <v>0</v>
      </c>
    </row>
    <row r="176" spans="2:58" x14ac:dyDescent="0.25">
      <c r="B176" s="650">
        <v>0.98846006943635933</v>
      </c>
      <c r="C176" s="651">
        <v>4.1099638003729035</v>
      </c>
      <c r="D176" s="652">
        <v>-1.4599616872913928</v>
      </c>
      <c r="E176" s="653">
        <v>-0.81290799346988196</v>
      </c>
      <c r="F176" s="651">
        <v>0.53930237037597895</v>
      </c>
      <c r="G176" s="654">
        <v>0.21984891962350162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81">
        <f>IFERROR(INDEX([1]List!$AG$1:$AG$65536,MATCH(RIGHT((J176*1000),2),[1]List!$AI$1:$AI$65536,0))*-1,"")</f>
        <v>-59.699999999999989</v>
      </c>
      <c r="N176" s="941"/>
      <c r="O176" s="942"/>
      <c r="Q176" s="162">
        <f t="shared" si="1059"/>
        <v>0.98846006943635933</v>
      </c>
      <c r="R176" s="162">
        <f t="shared" si="1060"/>
        <v>4.1099638003729035</v>
      </c>
      <c r="S176" s="162">
        <f t="shared" si="1061"/>
        <v>-1.4599616872913928</v>
      </c>
      <c r="T176" s="162">
        <f t="shared" si="1062"/>
        <v>-0.81290799346988196</v>
      </c>
      <c r="U176" s="162">
        <f t="shared" si="1063"/>
        <v>0.53930237037597895</v>
      </c>
      <c r="V176" s="162">
        <f t="shared" si="1064"/>
        <v>0.21984891962350162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-4.5002974940256557</v>
      </c>
      <c r="AN176" s="162">
        <v>-2.4995269274180232</v>
      </c>
      <c r="AO176" s="162">
        <v>86.099987568699859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86.1</v>
      </c>
      <c r="AX176" s="947">
        <v>86.099987568699859</v>
      </c>
      <c r="AY176" s="947">
        <v>0</v>
      </c>
    </row>
    <row r="177" spans="2:51" x14ac:dyDescent="0.25">
      <c r="B177" s="650">
        <v>1.1215409815072199</v>
      </c>
      <c r="C177" s="651">
        <v>4.3398758797397523</v>
      </c>
      <c r="D177" s="652">
        <v>-2.1699817400013464</v>
      </c>
      <c r="E177" s="653">
        <v>-0.75361101594447666</v>
      </c>
      <c r="F177" s="651">
        <v>0.64228766328521636</v>
      </c>
      <c r="G177" s="654">
        <v>0.13977479829622516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81">
        <f>IFERROR(INDEX([1]List!$AG$1:$AG$65536,MATCH(RIGHT((J177*1000),2),[1]List!$AI$1:$AI$65536,0))*-1,"")</f>
        <v>-76.5</v>
      </c>
      <c r="N177" s="941"/>
      <c r="O177" s="942"/>
      <c r="Q177" s="162">
        <f t="shared" si="1059"/>
        <v>1.1215409815072199</v>
      </c>
      <c r="R177" s="162">
        <f t="shared" si="1060"/>
        <v>4.3398758797397523</v>
      </c>
      <c r="S177" s="162">
        <f t="shared" si="1061"/>
        <v>-2.1699817400013464</v>
      </c>
      <c r="T177" s="162">
        <f t="shared" si="1062"/>
        <v>-0.75361101594447666</v>
      </c>
      <c r="U177" s="162">
        <f t="shared" si="1063"/>
        <v>0.64228766328521636</v>
      </c>
      <c r="V177" s="162">
        <f t="shared" si="1064"/>
        <v>0.13977479829622516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-4.4187390913554569</v>
      </c>
      <c r="AN177" s="162">
        <v>-1.7460258810527818</v>
      </c>
      <c r="AO177" s="162">
        <v>66.969687300470468</v>
      </c>
      <c r="AP177" s="162">
        <v>-25.916662924763472</v>
      </c>
      <c r="AQ177" s="162">
        <v>0</v>
      </c>
      <c r="AR177" s="710" t="str">
        <v>1313.par</v>
      </c>
      <c r="AV177" s="82" t="str">
        <v>121,188,255</v>
      </c>
      <c r="AW177" s="947">
        <v>70.900000000000006</v>
      </c>
      <c r="AX177" s="947">
        <v>66.969687300470468</v>
      </c>
      <c r="AY177" s="947">
        <v>0</v>
      </c>
    </row>
    <row r="178" spans="2:51" x14ac:dyDescent="0.25">
      <c r="B178" s="650">
        <v>1.6777449933107127</v>
      </c>
      <c r="C178" s="651">
        <v>4.2210318838143603</v>
      </c>
      <c r="D178" s="652">
        <v>-2.9911631507505914</v>
      </c>
      <c r="E178" s="653">
        <v>0.36850981319058806</v>
      </c>
      <c r="F178" s="651">
        <v>0.92713235752620371</v>
      </c>
      <c r="G178" s="654">
        <v>6.8015507129929209E-2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424</v>
      </c>
      <c r="M178" s="981">
        <f>IFERROR(INDEX([1]List!$AG$1:$AG$65536,MATCH(RIGHT((J178*1000),2),[1]List!$AI$1:$AI$65536,0))*-1,"")</f>
        <v>-86.1</v>
      </c>
      <c r="N178" s="941"/>
      <c r="O178" s="942"/>
      <c r="Q178" s="162">
        <f t="shared" si="1059"/>
        <v>1.6777449933107127</v>
      </c>
      <c r="R178" s="162">
        <f t="shared" si="1060"/>
        <v>4.2210318838143603</v>
      </c>
      <c r="S178" s="162">
        <f t="shared" si="1061"/>
        <v>-2.9911631507505914</v>
      </c>
      <c r="T178" s="162">
        <f t="shared" si="1062"/>
        <v>0.36850981319058806</v>
      </c>
      <c r="U178" s="162">
        <f t="shared" si="1063"/>
        <v>0.92713235752620371</v>
      </c>
      <c r="V178" s="162">
        <f t="shared" si="1064"/>
        <v>6.8015507129929209E-2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-4.0999907953688464</v>
      </c>
      <c r="AN178" s="162">
        <v>-1.0628292289642254</v>
      </c>
      <c r="AO178" s="162">
        <v>51.515144077284944</v>
      </c>
      <c r="AP178" s="162">
        <v>-22.416663430100865</v>
      </c>
      <c r="AQ178" s="162">
        <v>0</v>
      </c>
      <c r="AR178" s="710" t="str">
        <v>1313.par</v>
      </c>
      <c r="AV178" s="82" t="str">
        <v>121,188,255</v>
      </c>
      <c r="AW178" s="947">
        <v>54.099999999999994</v>
      </c>
      <c r="AX178" s="947">
        <v>51.515144077284944</v>
      </c>
      <c r="AY178" s="947">
        <v>0</v>
      </c>
    </row>
    <row r="179" spans="2:51" x14ac:dyDescent="0.25">
      <c r="B179" s="650">
        <v>0.82785663456732483</v>
      </c>
      <c r="C179" s="651">
        <v>4.5554014862104815</v>
      </c>
      <c r="D179" s="652">
        <v>-8.3750252590761782</v>
      </c>
      <c r="E179" s="653">
        <v>-0.64051398257964287</v>
      </c>
      <c r="F179" s="651">
        <v>0.75979148359612747</v>
      </c>
      <c r="G179" s="654">
        <v>-0.11161872412261604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81">
        <f>IFERROR(INDEX([1]List!$AG$1:$AG$65536,MATCH(RIGHT((J179*1000),2),[1]List!$AI$1:$AI$65536,0))*-1,"")</f>
        <v>-90</v>
      </c>
      <c r="N179" s="941"/>
      <c r="O179" s="942" t="s">
        <v>9</v>
      </c>
      <c r="Q179" s="162">
        <f t="shared" si="1059"/>
        <v>2.0287089663494524</v>
      </c>
      <c r="R179" s="162">
        <f t="shared" si="1060"/>
        <v>1.1693859773424773</v>
      </c>
      <c r="S179" s="162">
        <f t="shared" si="1061"/>
        <v>-0.15750047502143275</v>
      </c>
      <c r="T179" s="162">
        <f t="shared" si="1062"/>
        <v>-0.44793969533977313</v>
      </c>
      <c r="U179" s="162">
        <f t="shared" si="1063"/>
        <v>0.85132112696320994</v>
      </c>
      <c r="V179" s="162">
        <f t="shared" si="1064"/>
        <v>0.27313434080137472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-3.6019667924935841</v>
      </c>
      <c r="AN179" s="162">
        <v>-0.4968126760475482</v>
      </c>
      <c r="AO179" s="162">
        <v>36.060600854099427</v>
      </c>
      <c r="AP179" s="162">
        <v>-18.916663935438311</v>
      </c>
      <c r="AQ179" s="162">
        <v>0</v>
      </c>
      <c r="AR179" s="710" t="str">
        <v>1313.par</v>
      </c>
      <c r="AV179" s="82" t="str">
        <v>121,188,255</v>
      </c>
      <c r="AW179" s="947">
        <v>37</v>
      </c>
      <c r="AX179" s="947">
        <v>36.060600854099427</v>
      </c>
      <c r="AY179" s="947">
        <v>0</v>
      </c>
    </row>
    <row r="180" spans="2:51" x14ac:dyDescent="0.25">
      <c r="B180" s="650">
        <v>2.0287089663494524</v>
      </c>
      <c r="C180" s="651">
        <v>1.1693859773424773</v>
      </c>
      <c r="D180" s="652">
        <v>-0.15750047502143275</v>
      </c>
      <c r="E180" s="653">
        <v>-0.44793969533977313</v>
      </c>
      <c r="F180" s="651">
        <v>0.85132112696320994</v>
      </c>
      <c r="G180" s="654">
        <v>0.27313434080137472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81">
        <f>IFERROR(INDEX([1]List!$AG$1:$AG$65536,MATCH(RIGHT((J180*1000),2),[1]List!$AI$1:$AI$65536,0))*-1,"")</f>
        <v>-5.0999999999999943</v>
      </c>
      <c r="N180" s="941"/>
      <c r="O180" s="942"/>
      <c r="Q180" s="162">
        <f t="shared" si="1059"/>
        <v>2.6670550272381015</v>
      </c>
      <c r="R180" s="162">
        <f t="shared" si="1060"/>
        <v>1.5034189643129248</v>
      </c>
      <c r="S180" s="162">
        <f t="shared" si="1061"/>
        <v>-0.3550010706832295</v>
      </c>
      <c r="T180" s="162">
        <f t="shared" si="1062"/>
        <v>-0.37751099253095</v>
      </c>
      <c r="U180" s="162">
        <f t="shared" si="1063"/>
        <v>0.89066423780287196</v>
      </c>
      <c r="V180" s="162">
        <f t="shared" si="1064"/>
        <v>0.25338245009733079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-2.9560088404989151</v>
      </c>
      <c r="AN180" s="162">
        <v>-0.10828826362565341</v>
      </c>
      <c r="AO180" s="162">
        <v>20.606057630913941</v>
      </c>
      <c r="AP180" s="162">
        <v>-15.999997689886136</v>
      </c>
      <c r="AQ180" s="162">
        <v>0</v>
      </c>
      <c r="AR180" s="710" t="str">
        <v>1310.par</v>
      </c>
      <c r="AV180" s="82" t="str">
        <v>121,188,255</v>
      </c>
      <c r="AW180" s="947">
        <v>19.599999999999994</v>
      </c>
      <c r="AX180" s="947">
        <v>20.606057630913941</v>
      </c>
      <c r="AY180" s="947">
        <v>0</v>
      </c>
    </row>
    <row r="181" spans="2:51" x14ac:dyDescent="0.25">
      <c r="B181" s="650">
        <v>2.6670550272381015</v>
      </c>
      <c r="C181" s="651">
        <v>1.5034189643129248</v>
      </c>
      <c r="D181" s="652">
        <v>-0.3550010706832295</v>
      </c>
      <c r="E181" s="653">
        <v>-0.37751099253095</v>
      </c>
      <c r="F181" s="651">
        <v>0.89066423780287196</v>
      </c>
      <c r="G181" s="654">
        <v>0.25338245009733079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81">
        <f>IFERROR(INDEX([1]List!$AG$1:$AG$65536,MATCH(RIGHT((J181*1000),2),[1]List!$AI$1:$AI$65536,0))*-1,"")</f>
        <v>-22.5</v>
      </c>
      <c r="N181" s="941"/>
      <c r="O181" s="942"/>
      <c r="Q181" s="162">
        <f t="shared" si="1059"/>
        <v>3.2300642111005198</v>
      </c>
      <c r="R181" s="162">
        <f t="shared" si="1060"/>
        <v>1.7647434378327898</v>
      </c>
      <c r="S181" s="162">
        <f t="shared" si="1061"/>
        <v>-0.773102331676632</v>
      </c>
      <c r="T181" s="162">
        <f t="shared" si="1062"/>
        <v>-0.26905343652732516</v>
      </c>
      <c r="U181" s="162">
        <f t="shared" si="1063"/>
        <v>0.92715827880259272</v>
      </c>
      <c r="V181" s="162">
        <f t="shared" si="1064"/>
        <v>0.26074465352265697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-4.56651377260554</v>
      </c>
      <c r="AN181" s="162">
        <v>-3.3012104639373501</v>
      </c>
      <c r="AO181" s="162">
        <v>84.999987727520178</v>
      </c>
      <c r="AP181" s="162">
        <v>-29.99999566853651</v>
      </c>
      <c r="AQ181" s="162">
        <v>0</v>
      </c>
      <c r="AR181" s="710" t="str">
        <v>1613.par</v>
      </c>
      <c r="AV181" s="82" t="str">
        <v>0,102,204</v>
      </c>
      <c r="AW181" s="947">
        <v>86.1</v>
      </c>
      <c r="AX181" s="947">
        <v>84.999987727520178</v>
      </c>
      <c r="AY181" s="947">
        <v>0</v>
      </c>
    </row>
    <row r="182" spans="2:51" x14ac:dyDescent="0.25">
      <c r="B182" s="650">
        <v>3.2300642111005198</v>
      </c>
      <c r="C182" s="651">
        <v>1.7647434378327898</v>
      </c>
      <c r="D182" s="652">
        <v>-0.773102331676632</v>
      </c>
      <c r="E182" s="653">
        <v>-0.26905343652732516</v>
      </c>
      <c r="F182" s="651">
        <v>0.92715827880259272</v>
      </c>
      <c r="G182" s="654">
        <v>0.26074465352265697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81">
        <f>IFERROR(INDEX([1]List!$AG$1:$AG$65536,MATCH(RIGHT((J182*1000),2),[1]List!$AI$1:$AI$65536,0))*-1,"")</f>
        <v>-39.800000000000011</v>
      </c>
      <c r="N182" s="941"/>
      <c r="O182" s="942"/>
      <c r="Q182" s="162">
        <f t="shared" si="1059"/>
        <v>3.6618339894594771</v>
      </c>
      <c r="R182" s="162">
        <f t="shared" si="1060"/>
        <v>1.9453888544640032</v>
      </c>
      <c r="S182" s="162">
        <f t="shared" si="1061"/>
        <v>-1.3575040942323482</v>
      </c>
      <c r="T182" s="162">
        <f t="shared" si="1062"/>
        <v>-0.15238632571612393</v>
      </c>
      <c r="U182" s="162">
        <f t="shared" si="1063"/>
        <v>0.96138556007208975</v>
      </c>
      <c r="V182" s="162">
        <f t="shared" si="1064"/>
        <v>0.22916416085333627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-4.5227136405043415</v>
      </c>
      <c r="AN182" s="162">
        <v>-2.4939566402354894</v>
      </c>
      <c r="AO182" s="162">
        <v>82.424230523655964</v>
      </c>
      <c r="AP182" s="162">
        <v>-29.416662419426054</v>
      </c>
      <c r="AQ182" s="162">
        <v>0</v>
      </c>
      <c r="AR182" s="710" t="str">
        <v>1613.par</v>
      </c>
      <c r="AV182" s="82" t="str">
        <v>0,102,204</v>
      </c>
      <c r="AW182" s="947">
        <v>86.1</v>
      </c>
      <c r="AX182" s="947">
        <v>82.424230523655964</v>
      </c>
      <c r="AY182" s="947">
        <v>0</v>
      </c>
    </row>
    <row r="183" spans="2:51" x14ac:dyDescent="0.25">
      <c r="B183" s="650">
        <v>3.6618339894594771</v>
      </c>
      <c r="C183" s="651">
        <v>1.9453888544640032</v>
      </c>
      <c r="D183" s="652">
        <v>-1.3575040942323482</v>
      </c>
      <c r="E183" s="653">
        <v>-0.15238632571612393</v>
      </c>
      <c r="F183" s="651">
        <v>0.96138556007208975</v>
      </c>
      <c r="G183" s="654">
        <v>0.22916416085333627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81">
        <f>IFERROR(INDEX([1]List!$AG$1:$AG$65536,MATCH(RIGHT((J183*1000),2),[1]List!$AI$1:$AI$65536,0))*-1,"")</f>
        <v>-56.900000000000006</v>
      </c>
      <c r="N183" s="941"/>
      <c r="O183" s="942"/>
      <c r="Q183" s="162">
        <f t="shared" si="1059"/>
        <v>3.9299959796113471</v>
      </c>
      <c r="R183" s="162">
        <f t="shared" si="1060"/>
        <v>2.0484387504607753</v>
      </c>
      <c r="S183" s="162">
        <f t="shared" si="1061"/>
        <v>-2.0487061788978349</v>
      </c>
      <c r="T183" s="162">
        <f t="shared" si="1062"/>
        <v>-4.2922648157002537E-2</v>
      </c>
      <c r="U183" s="162">
        <f t="shared" si="1063"/>
        <v>0.9868350507654885</v>
      </c>
      <c r="V183" s="162">
        <f t="shared" si="1064"/>
        <v>0.15593020507863856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-4.3974132625984002</v>
      </c>
      <c r="AN183" s="162">
        <v>-1.7566933050992173</v>
      </c>
      <c r="AO183" s="162">
        <v>66.969687300470483</v>
      </c>
      <c r="AP183" s="162">
        <v>-25.916662924763472</v>
      </c>
      <c r="AQ183" s="162">
        <v>0</v>
      </c>
      <c r="AR183" s="710" t="str">
        <v>1613 Ripper.par</v>
      </c>
      <c r="AV183" s="82" t="str">
        <v>0,102,204</v>
      </c>
      <c r="AW183" s="947">
        <v>70.900000000000006</v>
      </c>
      <c r="AX183" s="947">
        <v>66.969687300470483</v>
      </c>
      <c r="AY183" s="947">
        <v>0</v>
      </c>
    </row>
    <row r="184" spans="2:51" x14ac:dyDescent="0.25">
      <c r="B184" s="650">
        <v>3.9299959796113471</v>
      </c>
      <c r="C184" s="651">
        <v>2.0484387504607753</v>
      </c>
      <c r="D184" s="652">
        <v>-2.0487061788978349</v>
      </c>
      <c r="E184" s="653">
        <v>-4.2922648157002537E-2</v>
      </c>
      <c r="F184" s="651">
        <v>0.9868350507654885</v>
      </c>
      <c r="G184" s="654">
        <v>0.15593020507863856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81">
        <f>IFERROR(INDEX([1]List!$AG$1:$AG$65536,MATCH(RIGHT((J184*1000),2),[1]List!$AI$1:$AI$65536,0))*-1,"")</f>
        <v>-73.699999999999989</v>
      </c>
      <c r="N184" s="941"/>
      <c r="O184" s="942"/>
      <c r="Q184" s="162">
        <f t="shared" si="1059"/>
        <v>4.0571530607393322</v>
      </c>
      <c r="R184" s="162">
        <f t="shared" si="1060"/>
        <v>2.0958428083063687</v>
      </c>
      <c r="S184" s="162">
        <f t="shared" si="1061"/>
        <v>-2.8482085901971086</v>
      </c>
      <c r="T184" s="162">
        <f t="shared" si="1062"/>
        <v>4.5068009961446887E-2</v>
      </c>
      <c r="U184" s="162">
        <f t="shared" si="1063"/>
        <v>0.9980329828233635</v>
      </c>
      <c r="V184" s="162">
        <f t="shared" si="1064"/>
        <v>4.3577972357774789E-2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-4.0809123080315226</v>
      </c>
      <c r="AN184" s="162">
        <v>-1.0796315397651135</v>
      </c>
      <c r="AO184" s="162">
        <v>51.515144077284944</v>
      </c>
      <c r="AP184" s="162">
        <v>-22.416663430100879</v>
      </c>
      <c r="AQ184" s="162">
        <v>0</v>
      </c>
      <c r="AR184" s="710" t="str">
        <v>1613 Ripper.par</v>
      </c>
      <c r="AV184" s="82" t="str">
        <v>0,102,204</v>
      </c>
      <c r="AW184" s="947">
        <v>54.099999999999994</v>
      </c>
      <c r="AX184" s="947">
        <v>51.515144077284944</v>
      </c>
      <c r="AY184" s="947">
        <v>0</v>
      </c>
    </row>
    <row r="185" spans="2:51" x14ac:dyDescent="0.25">
      <c r="B185" s="650">
        <v>4.0571530607393322</v>
      </c>
      <c r="C185" s="651">
        <v>2.0958428083063687</v>
      </c>
      <c r="D185" s="652">
        <v>-2.8482085901971086</v>
      </c>
      <c r="E185" s="653">
        <v>4.5068009961446887E-2</v>
      </c>
      <c r="F185" s="651">
        <v>0.9980329828233635</v>
      </c>
      <c r="G185" s="654">
        <v>4.3577972357774789E-2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81">
        <f>IFERROR(INDEX([1]List!$AG$1:$AG$65536,MATCH(RIGHT((J185*1000),2),[1]List!$AI$1:$AI$65536,0))*-1,"")</f>
        <v>-86.1</v>
      </c>
      <c r="N185" s="941"/>
      <c r="O185" s="942"/>
      <c r="Q185" s="162">
        <f t="shared" si="1059"/>
        <v>2.9888015638059051</v>
      </c>
      <c r="R185" s="162">
        <f t="shared" si="1060"/>
        <v>0.72481278680744388</v>
      </c>
      <c r="S185" s="162">
        <f t="shared" si="1061"/>
        <v>-0.33148520540360066</v>
      </c>
      <c r="T185" s="162">
        <f t="shared" si="1062"/>
        <v>-8.2926883455973224E-2</v>
      </c>
      <c r="U185" s="162">
        <f t="shared" si="1063"/>
        <v>0.94053004823359132</v>
      </c>
      <c r="V185" s="162">
        <f t="shared" si="1064"/>
        <v>0.32943339291880858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65"/>
        <v>0.39400000000000002</v>
      </c>
      <c r="Y185" s="75">
        <v>2.2160000000000002</v>
      </c>
      <c r="Z185" s="917">
        <f t="shared" si="1066"/>
        <v>1310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-3.5870108184246297</v>
      </c>
      <c r="AN185" s="162">
        <v>-0.51921595914472596</v>
      </c>
      <c r="AO185" s="162">
        <v>36.060600854099476</v>
      </c>
      <c r="AP185" s="162">
        <v>-18.916663935438272</v>
      </c>
      <c r="AQ185" s="162">
        <v>0</v>
      </c>
      <c r="AR185" s="710" t="str">
        <v>1613 Ripper.par</v>
      </c>
      <c r="AV185" s="82" t="str">
        <v>0,102,204</v>
      </c>
      <c r="AW185" s="947">
        <v>37</v>
      </c>
      <c r="AX185" s="947">
        <v>36.060600854099476</v>
      </c>
      <c r="AY185" s="947">
        <v>0</v>
      </c>
    </row>
    <row r="186" spans="2:51" x14ac:dyDescent="0.25">
      <c r="B186" s="650">
        <v>2.9888015638059051</v>
      </c>
      <c r="C186" s="651">
        <v>0.72481278680744388</v>
      </c>
      <c r="D186" s="652">
        <v>-0.33148520540360066</v>
      </c>
      <c r="E186" s="653">
        <v>-8.2926883455973224E-2</v>
      </c>
      <c r="F186" s="651">
        <v>0.94053004823359132</v>
      </c>
      <c r="G186" s="654">
        <v>0.32943339291880858</v>
      </c>
      <c r="H186" s="653">
        <v>0.26600000000000001</v>
      </c>
      <c r="I186" s="920">
        <v>0.39400000000000002</v>
      </c>
      <c r="J186" s="924">
        <v>2.2160000000000002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1310</v>
      </c>
      <c r="L186" s="940" t="s">
        <v>423</v>
      </c>
      <c r="M186" s="981">
        <f>IFERROR(INDEX([1]List!$AG$1:$AG$65536,MATCH(RIGHT((J186*1000),2),[1]List!$AI$1:$AI$65536,0))*-1,"")</f>
        <v>-22.5</v>
      </c>
      <c r="N186" s="941"/>
      <c r="O186" s="942"/>
      <c r="Q186" s="162">
        <f t="shared" si="1059"/>
        <v>3.5668644978133472</v>
      </c>
      <c r="R186" s="162">
        <f t="shared" si="1060"/>
        <v>0.99438976404703416</v>
      </c>
      <c r="S186" s="162">
        <f t="shared" si="1061"/>
        <v>-0.75262813141487839</v>
      </c>
      <c r="T186" s="162">
        <f t="shared" si="1062"/>
        <v>5.0478042243669854E-3</v>
      </c>
      <c r="U186" s="162">
        <f t="shared" si="1063"/>
        <v>0.94606862033136518</v>
      </c>
      <c r="V186" s="162">
        <f t="shared" si="1064"/>
        <v>0.3239269752534043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0.52</v>
      </c>
      <c r="Y186" s="75">
        <v>2.222</v>
      </c>
      <c r="Z186" s="917">
        <f t="shared" si="1066"/>
        <v>1313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-2.9468088875756053</v>
      </c>
      <c r="AN186" s="162">
        <v>-0.13503563214416123</v>
      </c>
      <c r="AO186" s="162">
        <v>20.606057630913952</v>
      </c>
      <c r="AP186" s="162">
        <v>-15.999997689886136</v>
      </c>
      <c r="AQ186" s="162">
        <v>0</v>
      </c>
      <c r="AR186" s="710" t="str">
        <v>1613 Ripper.par</v>
      </c>
      <c r="AV186" s="82" t="str">
        <v>0,102,204</v>
      </c>
      <c r="AW186" s="947">
        <v>19.599999999999994</v>
      </c>
      <c r="AX186" s="947">
        <v>20.606057630913952</v>
      </c>
      <c r="AY186" s="947">
        <v>0</v>
      </c>
    </row>
    <row r="187" spans="2:51" x14ac:dyDescent="0.25">
      <c r="B187" s="650">
        <v>3.5668644978133472</v>
      </c>
      <c r="C187" s="651">
        <v>0.99438976404703416</v>
      </c>
      <c r="D187" s="652">
        <v>-0.75262813141487839</v>
      </c>
      <c r="E187" s="653">
        <v>5.0478042243669854E-3</v>
      </c>
      <c r="F187" s="651">
        <v>0.94606862033136518</v>
      </c>
      <c r="G187" s="654">
        <v>0.3239269752534043</v>
      </c>
      <c r="H187" s="653">
        <v>0.26600000000000001</v>
      </c>
      <c r="I187" s="920">
        <v>0.52</v>
      </c>
      <c r="J187" s="924">
        <v>2.222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40" t="s">
        <v>420</v>
      </c>
      <c r="M187" s="981">
        <f>IFERROR(INDEX([1]List!$AG$1:$AG$65536,MATCH(RIGHT((J187*1000),2),[1]List!$AI$1:$AI$65536,0))*-1,"")</f>
        <v>-39.800000000000011</v>
      </c>
      <c r="N187" s="941"/>
      <c r="O187" s="942"/>
      <c r="Q187" s="162">
        <f t="shared" si="1059"/>
        <v>4.0055845916661017</v>
      </c>
      <c r="R187" s="162">
        <f t="shared" si="1060"/>
        <v>1.1787456231784676</v>
      </c>
      <c r="S187" s="162">
        <f t="shared" si="1061"/>
        <v>-1.3430046030575307</v>
      </c>
      <c r="T187" s="162">
        <f t="shared" si="1062"/>
        <v>0.11551978440125452</v>
      </c>
      <c r="U187" s="162">
        <f t="shared" si="1063"/>
        <v>0.95437939843823139</v>
      </c>
      <c r="V187" s="162">
        <f t="shared" si="1064"/>
        <v>0.27534549796313634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2.2280000000000002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-2.216906686190566</v>
      </c>
      <c r="AN187" s="162">
        <v>2.1445396367742536E-2</v>
      </c>
      <c r="AO187" s="162">
        <v>5.1515144077284702</v>
      </c>
      <c r="AP187" s="162">
        <v>-15.99999768988615</v>
      </c>
      <c r="AQ187" s="162">
        <v>0</v>
      </c>
      <c r="AR187" s="710" t="str">
        <v>1613 Ripper.par</v>
      </c>
      <c r="AV187" s="82" t="str">
        <v>0,102,204</v>
      </c>
      <c r="AW187" s="947">
        <v>2.0999999999999943</v>
      </c>
      <c r="AX187" s="947">
        <v>5.1515144077284702</v>
      </c>
      <c r="AY187" s="947">
        <v>0</v>
      </c>
    </row>
    <row r="188" spans="2:51" x14ac:dyDescent="0.25">
      <c r="B188" s="650">
        <v>4.0055845916661017</v>
      </c>
      <c r="C188" s="651">
        <v>1.1787456231784676</v>
      </c>
      <c r="D188" s="652">
        <v>-1.3430046030575307</v>
      </c>
      <c r="E188" s="653">
        <v>0.11551978440125452</v>
      </c>
      <c r="F188" s="651">
        <v>0.95437939843823139</v>
      </c>
      <c r="G188" s="654">
        <v>0.27534549796313634</v>
      </c>
      <c r="H188" s="653">
        <v>0.26600000000000001</v>
      </c>
      <c r="I188" s="920">
        <v>0.52</v>
      </c>
      <c r="J188" s="924">
        <v>2.2280000000000002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81">
        <f>IFERROR(INDEX([1]List!$AG$1:$AG$65536,MATCH(RIGHT((J188*1000),2),[1]List!$AI$1:$AI$65536,0))*-1,"")</f>
        <v>-56.900000000000006</v>
      </c>
      <c r="N188" s="941"/>
      <c r="O188" s="942"/>
      <c r="Q188" s="162">
        <f t="shared" si="1059"/>
        <v>4.3528687870933034</v>
      </c>
      <c r="R188" s="162">
        <f t="shared" si="1060"/>
        <v>0.7584723107840543</v>
      </c>
      <c r="S188" s="162">
        <f t="shared" si="1061"/>
        <v>-2.0683932127485183</v>
      </c>
      <c r="T188" s="162">
        <f t="shared" si="1062"/>
        <v>0.94555812386576266</v>
      </c>
      <c r="U188" s="162">
        <f t="shared" si="1063"/>
        <v>0.16476022831554446</v>
      </c>
      <c r="V188" s="162">
        <f t="shared" si="1064"/>
        <v>0.2806668871756498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2.234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-1.5030045330616721</v>
      </c>
      <c r="AN188" s="162">
        <v>-6.4261806529488957E-2</v>
      </c>
      <c r="AO188" s="162">
        <v>-0.99999985561780147</v>
      </c>
      <c r="AP188" s="162">
        <v>-15.999997689886136</v>
      </c>
      <c r="AQ188" s="162">
        <v>0</v>
      </c>
      <c r="AR188" s="710" t="str">
        <v>1613.par</v>
      </c>
      <c r="AV188" s="82" t="str">
        <v>0,102,204</v>
      </c>
      <c r="AW188" s="947">
        <v>-16</v>
      </c>
      <c r="AX188" s="947">
        <v>-0.99999985561780147</v>
      </c>
      <c r="AY188" s="947">
        <v>0</v>
      </c>
    </row>
    <row r="189" spans="2:51" x14ac:dyDescent="0.25">
      <c r="B189" s="650">
        <v>4.3528687870933034</v>
      </c>
      <c r="C189" s="651">
        <v>0.7584723107840543</v>
      </c>
      <c r="D189" s="652">
        <v>-2.0683932127485183</v>
      </c>
      <c r="E189" s="653">
        <v>0.94555812386576266</v>
      </c>
      <c r="F189" s="651">
        <v>0.16476022831554446</v>
      </c>
      <c r="G189" s="654">
        <v>0.2806668871756498</v>
      </c>
      <c r="H189" s="653">
        <v>0.25700000000000001</v>
      </c>
      <c r="I189" s="920">
        <v>0.41499999999999992</v>
      </c>
      <c r="J189" s="924">
        <v>2.234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424</v>
      </c>
      <c r="M189" s="981">
        <f>IFERROR(INDEX([1]List!$AG$1:$AG$65536,MATCH(RIGHT((J189*1000),2),[1]List!$AI$1:$AI$65536,0))*-1,"")</f>
        <v>-73.699999999999989</v>
      </c>
      <c r="N189" s="941"/>
      <c r="O189" s="942"/>
      <c r="Q189" s="162">
        <f t="shared" si="1059"/>
        <v>4.4912343365050802</v>
      </c>
      <c r="R189" s="162">
        <f t="shared" si="1060"/>
        <v>0.67878756717719779</v>
      </c>
      <c r="S189" s="162">
        <f t="shared" si="1061"/>
        <v>-2.8659369985070411</v>
      </c>
      <c r="T189" s="162">
        <f t="shared" si="1062"/>
        <v>0.98648121910033915</v>
      </c>
      <c r="U189" s="162">
        <f t="shared" si="1063"/>
        <v>0.14909290778627746</v>
      </c>
      <c r="V189" s="162">
        <f t="shared" si="1064"/>
        <v>6.8015507129929126E-2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2.2400000000000002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-0.80570242999852892</v>
      </c>
      <c r="AN189" s="162">
        <v>-0.31236255480134584</v>
      </c>
      <c r="AO189" s="162">
        <v>-3.999999422471447</v>
      </c>
      <c r="AP189" s="162">
        <v>-16.999997545504019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-3.999999422471447</v>
      </c>
      <c r="AY189" s="947">
        <v>0</v>
      </c>
    </row>
    <row r="190" spans="2:51" x14ac:dyDescent="0.25">
      <c r="B190" s="650">
        <v>4.4912343365050802</v>
      </c>
      <c r="C190" s="651">
        <v>0.67878756717719779</v>
      </c>
      <c r="D190" s="652">
        <v>-2.8659369985070411</v>
      </c>
      <c r="E190" s="653">
        <v>0.98648121910033915</v>
      </c>
      <c r="F190" s="651">
        <v>0.14909290778627746</v>
      </c>
      <c r="G190" s="654">
        <v>6.8015507129929126E-2</v>
      </c>
      <c r="H190" s="653">
        <v>0.25700000000000001</v>
      </c>
      <c r="I190" s="920">
        <v>0.41499999999999992</v>
      </c>
      <c r="J190" s="924">
        <v>2.2400000000000002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424</v>
      </c>
      <c r="M190" s="981">
        <f>IFERROR(INDEX([1]List!$AG$1:$AG$65536,MATCH(RIGHT((J190*1000),2),[1]List!$AI$1:$AI$65536,0))*-1,"")</f>
        <v>-86.1</v>
      </c>
      <c r="N190" s="941"/>
      <c r="O190" s="942"/>
      <c r="Q190" s="162">
        <f t="shared" si="1059"/>
        <v>0.4701125811435603</v>
      </c>
      <c r="R190" s="162">
        <f t="shared" si="1060"/>
        <v>-0.32917678801268213</v>
      </c>
      <c r="S190" s="162">
        <f t="shared" si="1061"/>
        <v>-0.56680170947395592</v>
      </c>
      <c r="T190" s="162">
        <f t="shared" si="1062"/>
        <v>0.5144509851664314</v>
      </c>
      <c r="U190" s="162">
        <f t="shared" si="1063"/>
        <v>0.79404263607168069</v>
      </c>
      <c r="V190" s="162">
        <f t="shared" si="1064"/>
        <v>0.3237846135344063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65"/>
        <v>0.52</v>
      </c>
      <c r="Y190" s="75">
        <v>3.1019999999999999</v>
      </c>
      <c r="Z190" s="917">
        <f t="shared" si="1066"/>
        <v>1613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-4.5422393625563782</v>
      </c>
      <c r="AN190" s="162">
        <v>-2.9719814301447283</v>
      </c>
      <c r="AO190" s="162">
        <v>86.099987568699859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86.1</v>
      </c>
      <c r="AX190" s="947">
        <v>86.099987568699859</v>
      </c>
      <c r="AY190" s="947">
        <v>0</v>
      </c>
    </row>
    <row r="191" spans="2:51" x14ac:dyDescent="0.25">
      <c r="B191" s="650">
        <v>4.3590229086829657</v>
      </c>
      <c r="C191" s="651">
        <v>1.5607525715317245</v>
      </c>
      <c r="D191" s="652">
        <v>-8.3750252590761818</v>
      </c>
      <c r="E191" s="653">
        <v>0.33774244162292205</v>
      </c>
      <c r="F191" s="651">
        <v>0.93459686686390431</v>
      </c>
      <c r="G191" s="654">
        <v>-0.11161872412261609</v>
      </c>
      <c r="H191" s="653">
        <v>0.26600000000000001</v>
      </c>
      <c r="I191" s="920">
        <v>0.52</v>
      </c>
      <c r="J191" s="924">
        <v>2.399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940" t="s">
        <v>420</v>
      </c>
      <c r="M191" s="981">
        <f>IFERROR(INDEX([1]List!$AG$1:$AG$65536,MATCH(RIGHT((J191*1000),2),[1]List!$AI$1:$AI$65536,0))*-1,"")</f>
        <v>-90</v>
      </c>
      <c r="N191" s="941"/>
      <c r="O191" s="942" t="s">
        <v>9</v>
      </c>
      <c r="Q191" s="162">
        <f t="shared" si="1059"/>
        <v>1.0398343099906524</v>
      </c>
      <c r="R191" s="162">
        <f t="shared" si="1060"/>
        <v>-0.72810074003014214</v>
      </c>
      <c r="S191" s="162">
        <f t="shared" si="1061"/>
        <v>-0.31370094612205351</v>
      </c>
      <c r="T191" s="162">
        <f t="shared" si="1062"/>
        <v>0.54347761705023778</v>
      </c>
      <c r="U191" s="162">
        <f t="shared" si="1063"/>
        <v>0.79293674776548795</v>
      </c>
      <c r="V191" s="162">
        <f t="shared" si="1064"/>
        <v>0.27546940630219946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65"/>
        <v>0.52</v>
      </c>
      <c r="Y191" s="75">
        <v>3.105</v>
      </c>
      <c r="Z191" s="917">
        <f t="shared" si="1066"/>
        <v>1613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-4.4675179862555883</v>
      </c>
      <c r="AN191" s="162">
        <v>-2.169189738269826</v>
      </c>
      <c r="AO191" s="162">
        <v>79.29998855049827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79.300000000000011</v>
      </c>
      <c r="AX191" s="947">
        <v>79.29998855049827</v>
      </c>
      <c r="AY191" s="947">
        <v>0</v>
      </c>
    </row>
    <row r="192" spans="2:51" x14ac:dyDescent="0.25">
      <c r="B192" s="650">
        <v>0.4701125811435603</v>
      </c>
      <c r="C192" s="651">
        <v>-0.32917678801268213</v>
      </c>
      <c r="D192" s="652">
        <v>-0.56680170947395592</v>
      </c>
      <c r="E192" s="653">
        <v>0.5144509851664314</v>
      </c>
      <c r="F192" s="651">
        <v>0.79404263607168069</v>
      </c>
      <c r="G192" s="654">
        <v>0.3237846135344063</v>
      </c>
      <c r="H192" s="653">
        <v>0.314</v>
      </c>
      <c r="I192" s="920">
        <v>0.52</v>
      </c>
      <c r="J192" s="924">
        <v>3.1019999999999999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419</v>
      </c>
      <c r="M192" s="981">
        <f>IFERROR(INDEX([1]List!$AG$1:$AG$65536,MATCH(RIGHT((J192*1000),2),[1]List!$AI$1:$AI$65536,0))*-1,"")</f>
        <v>20</v>
      </c>
      <c r="N192" s="941"/>
      <c r="O192" s="942"/>
      <c r="Q192" s="162">
        <f t="shared" si="1059"/>
        <v>1.6194678043575865</v>
      </c>
      <c r="R192" s="162">
        <f t="shared" si="1060"/>
        <v>-1.1339649937289995</v>
      </c>
      <c r="S192" s="162">
        <f t="shared" si="1061"/>
        <v>-0.15160045722697912</v>
      </c>
      <c r="T192" s="162">
        <f t="shared" si="1062"/>
        <v>0.56150454674230432</v>
      </c>
      <c r="U192" s="162">
        <f t="shared" si="1063"/>
        <v>0.78031413979500941</v>
      </c>
      <c r="V192" s="162">
        <f t="shared" si="1064"/>
        <v>0.27535883356757246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3.1080000000000001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-4.2555729595448772</v>
      </c>
      <c r="AN192" s="162">
        <v>-1.4547316559751966</v>
      </c>
      <c r="AO192" s="162">
        <v>62.499990976117786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62.5</v>
      </c>
      <c r="AX192" s="947">
        <v>62.499990976117786</v>
      </c>
      <c r="AY192" s="947">
        <v>0</v>
      </c>
    </row>
    <row r="193" spans="2:51" x14ac:dyDescent="0.25">
      <c r="B193" s="650">
        <v>1.0398343099906524</v>
      </c>
      <c r="C193" s="651">
        <v>-0.72810074003014214</v>
      </c>
      <c r="D193" s="652">
        <v>-0.31370094612205351</v>
      </c>
      <c r="E193" s="653">
        <v>0.54347761705023778</v>
      </c>
      <c r="F193" s="651">
        <v>0.79293674776548795</v>
      </c>
      <c r="G193" s="654">
        <v>0.27546940630219946</v>
      </c>
      <c r="H193" s="653">
        <v>0.314</v>
      </c>
      <c r="I193" s="920">
        <v>0.52</v>
      </c>
      <c r="J193" s="924">
        <v>3.105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419</v>
      </c>
      <c r="M193" s="981">
        <f>IFERROR(INDEX([1]List!$AG$1:$AG$65536,MATCH(RIGHT((J193*1000),2),[1]List!$AI$1:$AI$65536,0))*-1,"")</f>
        <v>20</v>
      </c>
      <c r="N193" s="941"/>
      <c r="O193" s="942"/>
      <c r="Q193" s="162">
        <f t="shared" si="1059"/>
        <v>2.2128313486880726</v>
      </c>
      <c r="R193" s="162">
        <f t="shared" si="1060"/>
        <v>-1.5644557271060562</v>
      </c>
      <c r="S193" s="162">
        <f t="shared" si="1061"/>
        <v>-0.22590068131645466</v>
      </c>
      <c r="T193" s="162">
        <f t="shared" si="1062"/>
        <v>0.61490002874022676</v>
      </c>
      <c r="U193" s="162">
        <f t="shared" si="1063"/>
        <v>0.74250720114108915</v>
      </c>
      <c r="V193" s="162">
        <f t="shared" si="1064"/>
        <v>0.26567086951507235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3.113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-3.8793417104133896</v>
      </c>
      <c r="AN193" s="162">
        <v>-0.79460485971953165</v>
      </c>
      <c r="AO193" s="162">
        <v>43.787872465692196</v>
      </c>
      <c r="AP193" s="162">
        <v>-25.666662960858993</v>
      </c>
      <c r="AQ193" s="162">
        <v>0</v>
      </c>
      <c r="AR193" s="710" t="str">
        <v>1313.par</v>
      </c>
      <c r="AV193" s="82" t="str">
        <v>91,255,255</v>
      </c>
      <c r="AW193" s="947">
        <v>45.599999999999994</v>
      </c>
      <c r="AX193" s="947">
        <v>43.787872465692196</v>
      </c>
      <c r="AY193" s="947">
        <v>0</v>
      </c>
    </row>
    <row r="194" spans="2:51" x14ac:dyDescent="0.25">
      <c r="B194" s="650">
        <v>1.6194678043575865</v>
      </c>
      <c r="C194" s="651">
        <v>-1.1339649937289995</v>
      </c>
      <c r="D194" s="652">
        <v>-0.15160045722697912</v>
      </c>
      <c r="E194" s="653">
        <v>0.56150454674230432</v>
      </c>
      <c r="F194" s="651">
        <v>0.78031413979500941</v>
      </c>
      <c r="G194" s="654">
        <v>0.27535883356757246</v>
      </c>
      <c r="H194" s="653">
        <v>0.314</v>
      </c>
      <c r="I194" s="920">
        <v>0.52</v>
      </c>
      <c r="J194" s="924">
        <v>3.1080000000000001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81">
        <f>IFERROR(INDEX([1]List!$AG$1:$AG$65536,MATCH(RIGHT((J194*1000),2),[1]List!$AI$1:$AI$65536,0))*-1,"")</f>
        <v>3.7999999999999972</v>
      </c>
      <c r="N194" s="941"/>
      <c r="O194" s="942"/>
      <c r="P194">
        <v>-9.5899999999999999E-2</v>
      </c>
      <c r="Q194" s="162">
        <f t="shared" si="1059"/>
        <v>2.7420225056937557</v>
      </c>
      <c r="R194" s="162">
        <f t="shared" si="1060"/>
        <v>-1.9892751345179338</v>
      </c>
      <c r="S194" s="162">
        <f t="shared" si="1061"/>
        <v>-0.53950162713690775</v>
      </c>
      <c r="T194" s="162">
        <f t="shared" si="1062"/>
        <v>0.68602435738458867</v>
      </c>
      <c r="U194" s="162">
        <f t="shared" si="1063"/>
        <v>0.67893483297099366</v>
      </c>
      <c r="V194" s="162">
        <f t="shared" si="1064"/>
        <v>0.26156848750128753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3.1190000000000002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-3.2990492570922285</v>
      </c>
      <c r="AN194" s="162">
        <v>-0.30936570900372706</v>
      </c>
      <c r="AO194" s="162">
        <v>28.33332924250675</v>
      </c>
      <c r="AP194" s="162">
        <v>-22.16666346619645</v>
      </c>
      <c r="AQ194" s="162">
        <v>0</v>
      </c>
      <c r="AR194" s="710" t="str">
        <v>1310.par</v>
      </c>
      <c r="AV194" s="82" t="str">
        <v>91,255,255</v>
      </c>
      <c r="AW194" s="947">
        <v>28.299999999999997</v>
      </c>
      <c r="AX194" s="947">
        <v>28.33332924250675</v>
      </c>
      <c r="AY194" s="947">
        <v>0</v>
      </c>
    </row>
    <row r="195" spans="2:51" x14ac:dyDescent="0.25">
      <c r="B195" s="650">
        <v>2.2128313486880726</v>
      </c>
      <c r="C195" s="651">
        <v>-1.5644557271060562</v>
      </c>
      <c r="D195" s="652">
        <v>-0.22590068131645466</v>
      </c>
      <c r="E195" s="653">
        <v>0.61490002874022676</v>
      </c>
      <c r="F195" s="651">
        <v>0.74250720114108915</v>
      </c>
      <c r="G195" s="654">
        <v>0.26567086951507235</v>
      </c>
      <c r="H195" s="653">
        <v>0.314</v>
      </c>
      <c r="I195" s="920">
        <v>0.52</v>
      </c>
      <c r="J195" s="924">
        <v>3.113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422</v>
      </c>
      <c r="M195" s="981">
        <f>IFERROR(INDEX([1]List!$AG$1:$AG$65536,MATCH(RIGHT((J195*1000),2),[1]List!$AI$1:$AI$65536,0))*-1,"")</f>
        <v>-13.799999999999997</v>
      </c>
      <c r="N195" s="941"/>
      <c r="O195" s="942"/>
      <c r="P195">
        <f>-0.0291</f>
        <v>-2.9100000000000001E-2</v>
      </c>
      <c r="Q195" s="162">
        <f t="shared" si="1059"/>
        <v>3.1545046349089891</v>
      </c>
      <c r="R195" s="162">
        <f t="shared" si="1060"/>
        <v>-2.3521547387147623</v>
      </c>
      <c r="S195" s="162">
        <f t="shared" si="1061"/>
        <v>-1.0483031616823373</v>
      </c>
      <c r="T195" s="162">
        <f t="shared" si="1062"/>
        <v>0.76740745897939355</v>
      </c>
      <c r="U195" s="162">
        <f t="shared" si="1063"/>
        <v>0.5903645821984328</v>
      </c>
      <c r="V195" s="162">
        <f t="shared" si="1064"/>
        <v>0.25011087938844329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3.125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-4.5665137726055374</v>
      </c>
      <c r="AN195" s="162">
        <v>-2.967181549258695</v>
      </c>
      <c r="AO195" s="162">
        <v>84.999987727520192</v>
      </c>
      <c r="AP195" s="162">
        <v>-29.999995668536549</v>
      </c>
      <c r="AQ195" s="162">
        <v>0</v>
      </c>
      <c r="AR195" s="710" t="str">
        <v>1613.par</v>
      </c>
      <c r="AV195" s="82" t="str">
        <v>0,204,204</v>
      </c>
      <c r="AW195" s="947">
        <v>86.1</v>
      </c>
      <c r="AX195" s="947">
        <v>84.999987727520192</v>
      </c>
      <c r="AY195" s="947">
        <v>0</v>
      </c>
    </row>
    <row r="196" spans="2:51" x14ac:dyDescent="0.25">
      <c r="B196" s="650">
        <v>2.7420225056937557</v>
      </c>
      <c r="C196" s="651">
        <v>-1.9892751345179338</v>
      </c>
      <c r="D196" s="652">
        <v>-0.53950162713690775</v>
      </c>
      <c r="E196" s="653">
        <v>0.68602435738458867</v>
      </c>
      <c r="F196" s="651">
        <v>0.67893483297099366</v>
      </c>
      <c r="G196" s="654">
        <v>0.26156848750128753</v>
      </c>
      <c r="H196" s="653">
        <v>0.314</v>
      </c>
      <c r="I196" s="920">
        <v>0.52</v>
      </c>
      <c r="J196" s="924">
        <v>3.1190000000000002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81">
        <f>IFERROR(INDEX([1]List!$AG$1:$AG$65536,MATCH(RIGHT((J196*1000),2),[1]List!$AI$1:$AI$65536,0))*-1,"")</f>
        <v>-31.200000000000003</v>
      </c>
      <c r="N196" s="941"/>
      <c r="O196" s="942"/>
      <c r="Q196" s="162">
        <f t="shared" ref="Q196:Q209" si="1067">IFERROR(INDEX(B$164:B$305,MATCH($Y196,$J$164:$J$305,0)),"")</f>
        <v>3.4316389230220281</v>
      </c>
      <c r="R196" s="162">
        <f t="shared" ref="R196:R209" si="1068">IFERROR(INDEX(C$164:C$305,MATCH($Y196,$J$164:$J$305,0)),"")</f>
        <v>-2.612318958163157</v>
      </c>
      <c r="S196" s="162">
        <f t="shared" ref="S196:S209" si="1069">IFERROR(INDEX(D$164:D$305,MATCH($Y196,$J$164:$J$305,0)),"")</f>
        <v>-1.6933051070082035</v>
      </c>
      <c r="T196" s="162">
        <f t="shared" ref="T196:T209" si="1070">IFERROR(IF($N196="Y",-1*INDEX(E$164:E$305,MATCH($Y196,$J$164:$J$305,0)),INDEX(E$164:E$305,MATCH($Y196,$J$164:$J$305,0))),"")</f>
        <v>0.84370312617439136</v>
      </c>
      <c r="U196" s="162">
        <f t="shared" ref="U196:U209" si="1071">IFERROR(IF($N196="Y",-1*INDEX(F$164:F$305,MATCH($Y196,$J$164:$J$305,0)),INDEX(F$164:F$305,MATCH($Y196,$J$164:$J$305,0))),"")</f>
        <v>0.49907061091148541</v>
      </c>
      <c r="V196" s="162">
        <f t="shared" ref="V196:V209" si="1072">IFERROR(IF($N196="Y",-1*INDEX(G$164:G$305,MATCH($Y196,$J$164:$J$305,0)),INDEX(G$164:G$305,MATCH($Y196,$J$164:$J$305,0))),"")</f>
        <v>0.19772091494830785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3">IFERROR(INDEX(I$164:I$305,MATCH($Y196,$J$164:$J$305,0)),"")</f>
        <v>0.52</v>
      </c>
      <c r="Y196" s="75">
        <v>3.1309999999999998</v>
      </c>
      <c r="Z196" s="917">
        <f t="shared" ref="Z196:Z209" si="1074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-4.4844135249911918</v>
      </c>
      <c r="AN196" s="162">
        <v>-2.162069398532914</v>
      </c>
      <c r="AO196" s="162">
        <v>74.696958912063238</v>
      </c>
      <c r="AP196" s="162">
        <v>-27.666662672094795</v>
      </c>
      <c r="AQ196" s="162">
        <v>0</v>
      </c>
      <c r="AR196" s="710" t="str">
        <v>1613.par</v>
      </c>
      <c r="AV196" s="82" t="str">
        <v>0,204,204</v>
      </c>
      <c r="AW196" s="947">
        <v>79.300000000000011</v>
      </c>
      <c r="AX196" s="947">
        <v>74.696958912063238</v>
      </c>
      <c r="AY196" s="947">
        <v>0</v>
      </c>
    </row>
    <row r="197" spans="2:51" x14ac:dyDescent="0.25">
      <c r="B197" s="650">
        <v>3.1545046349089891</v>
      </c>
      <c r="C197" s="651">
        <v>-2.3521547387147623</v>
      </c>
      <c r="D197" s="652">
        <v>-1.0483031616823373</v>
      </c>
      <c r="E197" s="653">
        <v>0.76740745897939355</v>
      </c>
      <c r="F197" s="651">
        <v>0.5903645821984328</v>
      </c>
      <c r="G197" s="654">
        <v>0.25011087938844329</v>
      </c>
      <c r="H197" s="653">
        <v>0.314</v>
      </c>
      <c r="I197" s="920">
        <v>0.52</v>
      </c>
      <c r="J197" s="924">
        <v>3.125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81">
        <f>IFERROR(INDEX([1]List!$AG$1:$AG$65536,MATCH(RIGHT((J197*1000),2),[1]List!$AI$1:$AI$65536,0))*-1,"")</f>
        <v>-48.400000000000006</v>
      </c>
      <c r="N197" s="941"/>
      <c r="O197" s="942"/>
      <c r="Q197" s="162">
        <f t="shared" si="1067"/>
        <v>3.5683312521460833</v>
      </c>
      <c r="R197" s="162">
        <f t="shared" si="1068"/>
        <v>-2.7460045747777593</v>
      </c>
      <c r="S197" s="162">
        <f t="shared" si="1069"/>
        <v>-2.416707288789183</v>
      </c>
      <c r="T197" s="162">
        <f t="shared" si="1070"/>
        <v>0.90311836597710105</v>
      </c>
      <c r="U197" s="162">
        <f t="shared" si="1071"/>
        <v>0.41653744632549067</v>
      </c>
      <c r="V197" s="162">
        <f t="shared" si="1072"/>
        <v>0.10427738414196087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3"/>
        <v>0.52</v>
      </c>
      <c r="Y197" s="75">
        <v>3.137</v>
      </c>
      <c r="Z197" s="917">
        <f t="shared" si="1074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-4.2625128557387741</v>
      </c>
      <c r="AN197" s="162">
        <v>-1.4482103003030902</v>
      </c>
      <c r="AO197" s="162">
        <v>59.242415688877728</v>
      </c>
      <c r="AP197" s="162">
        <v>-24.166663177432174</v>
      </c>
      <c r="AQ197" s="162">
        <v>0</v>
      </c>
      <c r="AR197" s="710" t="str">
        <v>1613.par</v>
      </c>
      <c r="AV197" s="82" t="str">
        <v>0,204,204</v>
      </c>
      <c r="AW197" s="947">
        <v>62.5</v>
      </c>
      <c r="AX197" s="947">
        <v>59.242415688877728</v>
      </c>
      <c r="AY197" s="947">
        <v>0</v>
      </c>
    </row>
    <row r="198" spans="2:51" x14ac:dyDescent="0.25">
      <c r="B198" s="650">
        <v>3.4316389230220281</v>
      </c>
      <c r="C198" s="651">
        <v>-2.612318958163157</v>
      </c>
      <c r="D198" s="652">
        <v>-1.6933051070082035</v>
      </c>
      <c r="E198" s="653">
        <v>0.84370312617439136</v>
      </c>
      <c r="F198" s="651">
        <v>0.49907061091148541</v>
      </c>
      <c r="G198" s="654">
        <v>0.19772091494830785</v>
      </c>
      <c r="H198" s="653">
        <v>0.314</v>
      </c>
      <c r="I198" s="920">
        <v>0.52</v>
      </c>
      <c r="J198" s="924">
        <v>3.1309999999999998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81">
        <f>IFERROR(INDEX([1]List!$AG$1:$AG$65536,MATCH(RIGHT((J198*1000),2),[1]List!$AI$1:$AI$65536,0))*-1,"")</f>
        <v>-65.300000000000011</v>
      </c>
      <c r="N198" s="941"/>
      <c r="O198" s="942"/>
      <c r="Q198" s="162">
        <f t="shared" si="1067"/>
        <v>3.6141060889210723</v>
      </c>
      <c r="R198" s="162">
        <f t="shared" si="1068"/>
        <v>-2.7912873756422316</v>
      </c>
      <c r="S198" s="162">
        <f t="shared" si="1069"/>
        <v>-3.2232097212005186</v>
      </c>
      <c r="T198" s="162">
        <f t="shared" si="1070"/>
        <v>0.92357156568542642</v>
      </c>
      <c r="U198" s="162">
        <f t="shared" si="1071"/>
        <v>0.38094162726401443</v>
      </c>
      <c r="V198" s="162">
        <f t="shared" si="1072"/>
        <v>4.3577972357774691E-2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3"/>
        <v>0.52</v>
      </c>
      <c r="Y198" s="75">
        <v>3.1429999999999998</v>
      </c>
      <c r="Z198" s="917">
        <f t="shared" si="1074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-3.8547116258102636</v>
      </c>
      <c r="AN198" s="162">
        <v>-0.8220320215217406</v>
      </c>
      <c r="AO198" s="162">
        <v>43.787872465692246</v>
      </c>
      <c r="AP198" s="162">
        <v>-20.666663682769606</v>
      </c>
      <c r="AQ198" s="162">
        <v>0</v>
      </c>
      <c r="AR198" s="710" t="str">
        <v>1613.par</v>
      </c>
      <c r="AV198" s="82" t="str">
        <v>0,204,204</v>
      </c>
      <c r="AW198" s="947">
        <v>45.599999999999994</v>
      </c>
      <c r="AX198" s="947">
        <v>43.787872465692246</v>
      </c>
      <c r="AY198" s="947">
        <v>0</v>
      </c>
    </row>
    <row r="199" spans="2:51" x14ac:dyDescent="0.25">
      <c r="B199" s="650">
        <v>3.5683312521460833</v>
      </c>
      <c r="C199" s="651">
        <v>-2.7460045747777593</v>
      </c>
      <c r="D199" s="652">
        <v>-2.416707288789183</v>
      </c>
      <c r="E199" s="653">
        <v>0.90311836597710105</v>
      </c>
      <c r="F199" s="651">
        <v>0.41653744632549067</v>
      </c>
      <c r="G199" s="654">
        <v>0.10427738414196087</v>
      </c>
      <c r="H199" s="653">
        <v>0.314</v>
      </c>
      <c r="I199" s="920">
        <v>0.52</v>
      </c>
      <c r="J199" s="924">
        <v>3.137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81">
        <f>IFERROR(INDEX([1]List!$AG$1:$AG$65536,MATCH(RIGHT((J199*1000),2),[1]List!$AI$1:$AI$65536,0))*-1,"")</f>
        <v>-82.1</v>
      </c>
      <c r="N199" s="941"/>
      <c r="O199" s="942"/>
      <c r="Q199" s="162">
        <f t="shared" si="1067"/>
        <v>1.6294167331873406</v>
      </c>
      <c r="R199" s="162">
        <f t="shared" si="1068"/>
        <v>-2.1741546989866811</v>
      </c>
      <c r="S199" s="162">
        <f t="shared" si="1069"/>
        <v>-0.21064431748317111</v>
      </c>
      <c r="T199" s="162">
        <f t="shared" si="1070"/>
        <v>0.81326230291726842</v>
      </c>
      <c r="U199" s="162">
        <f t="shared" si="1071"/>
        <v>0.51770977945641194</v>
      </c>
      <c r="V199" s="162">
        <f t="shared" si="1072"/>
        <v>0.26567086951507241</v>
      </c>
      <c r="W199" s="162">
        <f>IFERROR(IF(ISNUMBER(MATCH($Z199,Settings!$AK$28:$AK$36,0)),INDEX(Settings!$AO$14:$AO$36,MATCH($Z199,Settings!$AK$14:$AK$36,0))/2,INDEX(Settings!$AM$14:$AM$36,MATCH($Z199,Settings!$AK$14:$AK$36,0))/2),"")</f>
        <v>0.26450000000000001</v>
      </c>
      <c r="X199" s="162">
        <f t="shared" si="1073"/>
        <v>0.39400000000000002</v>
      </c>
      <c r="Y199" s="75">
        <v>3.2130000000000001</v>
      </c>
      <c r="Z199" s="917">
        <f t="shared" si="1074"/>
        <v>1310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-3.2823098994466586</v>
      </c>
      <c r="AN199" s="162">
        <v>-0.3424514068120984</v>
      </c>
      <c r="AO199" s="162">
        <v>28.333329242506757</v>
      </c>
      <c r="AP199" s="162">
        <v>-17.166664188107028</v>
      </c>
      <c r="AQ199" s="162">
        <v>0</v>
      </c>
      <c r="AR199" s="710" t="str">
        <v>1613.par</v>
      </c>
      <c r="AV199" s="82" t="str">
        <v>0,204,204</v>
      </c>
      <c r="AW199" s="947">
        <v>28.299999999999997</v>
      </c>
      <c r="AX199" s="947">
        <v>28.333329242506757</v>
      </c>
      <c r="AY199" s="947">
        <v>0</v>
      </c>
    </row>
    <row r="200" spans="2:51" x14ac:dyDescent="0.25">
      <c r="B200" s="650">
        <v>3.6141060889210723</v>
      </c>
      <c r="C200" s="651">
        <v>-2.7912873756422316</v>
      </c>
      <c r="D200" s="652">
        <v>-3.2232097212005186</v>
      </c>
      <c r="E200" s="653">
        <v>0.92357156568542642</v>
      </c>
      <c r="F200" s="651">
        <v>0.38094162726401443</v>
      </c>
      <c r="G200" s="654">
        <v>4.3577972357774691E-2</v>
      </c>
      <c r="H200" s="653">
        <v>0.314</v>
      </c>
      <c r="I200" s="920">
        <v>0.52</v>
      </c>
      <c r="J200" s="924">
        <v>3.1429999999999998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419</v>
      </c>
      <c r="M200" s="981">
        <f>IFERROR(INDEX([1]List!$AG$1:$AG$65536,MATCH(RIGHT((J200*1000),2),[1]List!$AI$1:$AI$65536,0))*-1,"")</f>
        <v>-86.1</v>
      </c>
      <c r="N200" s="941"/>
      <c r="O200" s="942"/>
      <c r="Q200" s="162">
        <f t="shared" si="1067"/>
        <v>2.1775292622057516</v>
      </c>
      <c r="R200" s="162">
        <f t="shared" si="1068"/>
        <v>-2.6122670937719219</v>
      </c>
      <c r="S200" s="162">
        <f t="shared" si="1069"/>
        <v>-0.52534193776732396</v>
      </c>
      <c r="T200" s="162">
        <f t="shared" si="1070"/>
        <v>0.83183403080432317</v>
      </c>
      <c r="U200" s="162">
        <f t="shared" si="1071"/>
        <v>0.4895243319204074</v>
      </c>
      <c r="V200" s="162">
        <f t="shared" si="1072"/>
        <v>0.26156848750128775</v>
      </c>
      <c r="W200" s="162">
        <f>IFERROR(IF(ISNUMBER(MATCH($Z200,Settings!$AK$28:$AK$36,0)),INDEX(Settings!$AO$14:$AO$36,MATCH($Z200,Settings!$AK$14:$AK$36,0))/2,INDEX(Settings!$AM$14:$AM$36,MATCH($Z200,Settings!$AK$14:$AK$36,0))/2),"")</f>
        <v>0.26450000000000001</v>
      </c>
      <c r="X200" s="162">
        <f t="shared" si="1073"/>
        <v>0.52</v>
      </c>
      <c r="Y200" s="75">
        <v>3.2189999999999999</v>
      </c>
      <c r="Z200" s="917">
        <f t="shared" si="1074"/>
        <v>1313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-2.5885078069395457</v>
      </c>
      <c r="AN200" s="162">
        <v>-6.6915852104187296E-2</v>
      </c>
      <c r="AO200" s="162">
        <v>12.878786019321156</v>
      </c>
      <c r="AP200" s="162">
        <v>-15.999997689886136</v>
      </c>
      <c r="AQ200" s="162">
        <v>0</v>
      </c>
      <c r="AR200" s="710" t="str">
        <v>1613.par</v>
      </c>
      <c r="AV200" s="82" t="str">
        <v>0,204,204</v>
      </c>
      <c r="AW200" s="947">
        <v>10.900000000000006</v>
      </c>
      <c r="AX200" s="947">
        <v>12.878786019321156</v>
      </c>
      <c r="AY200" s="947">
        <v>0</v>
      </c>
    </row>
    <row r="201" spans="2:51" x14ac:dyDescent="0.25">
      <c r="B201" s="650">
        <v>1.6294167331873406</v>
      </c>
      <c r="C201" s="651">
        <v>-2.1741546989866811</v>
      </c>
      <c r="D201" s="652">
        <v>-0.21064431748317111</v>
      </c>
      <c r="E201" s="653">
        <v>0.81326230291726842</v>
      </c>
      <c r="F201" s="651">
        <v>0.51770977945641194</v>
      </c>
      <c r="G201" s="654">
        <v>0.26567086951507241</v>
      </c>
      <c r="H201" s="653">
        <v>0.26600000000000001</v>
      </c>
      <c r="I201" s="920">
        <v>0.39400000000000002</v>
      </c>
      <c r="J201" s="924">
        <v>3.2130000000000001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1310</v>
      </c>
      <c r="L201" s="940" t="s">
        <v>423</v>
      </c>
      <c r="M201" s="981">
        <f>IFERROR(INDEX([1]List!$AG$1:$AG$65536,MATCH(RIGHT((J201*1000),2),[1]List!$AI$1:$AI$65536,0))*-1,"")</f>
        <v>-13.799999999999997</v>
      </c>
      <c r="N201" s="941"/>
      <c r="O201" s="942"/>
      <c r="Q201" s="162">
        <f t="shared" si="1067"/>
        <v>2.5972185933794902</v>
      </c>
      <c r="R201" s="162">
        <f t="shared" si="1068"/>
        <v>-2.9797982947737398</v>
      </c>
      <c r="S201" s="162">
        <f t="shared" si="1069"/>
        <v>-1.0380187806695818</v>
      </c>
      <c r="T201" s="162">
        <f t="shared" si="1070"/>
        <v>0.87493822857638981</v>
      </c>
      <c r="U201" s="162">
        <f t="shared" si="1071"/>
        <v>0.41464158521203415</v>
      </c>
      <c r="V201" s="162">
        <f t="shared" si="1072"/>
        <v>0.2501108793884434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3"/>
        <v>0.52</v>
      </c>
      <c r="Y201" s="75">
        <v>3.2250000000000001</v>
      </c>
      <c r="Z201" s="917">
        <f t="shared" si="1074"/>
        <v>1313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-4.5422393625563782</v>
      </c>
      <c r="AN201" s="162">
        <v>-3.1393806657887211</v>
      </c>
      <c r="AO201" s="162">
        <v>86.099987568699845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86.1</v>
      </c>
      <c r="AX201" s="947">
        <v>86.099987568699845</v>
      </c>
      <c r="AY201" s="947">
        <v>0</v>
      </c>
    </row>
    <row r="202" spans="2:51" x14ac:dyDescent="0.25">
      <c r="B202" s="650">
        <v>2.1775292622057516</v>
      </c>
      <c r="C202" s="651">
        <v>-2.6122670937719219</v>
      </c>
      <c r="D202" s="652">
        <v>-0.52534193776732396</v>
      </c>
      <c r="E202" s="653">
        <v>0.83183403080432317</v>
      </c>
      <c r="F202" s="651">
        <v>0.4895243319204074</v>
      </c>
      <c r="G202" s="654">
        <v>0.26156848750128775</v>
      </c>
      <c r="H202" s="653">
        <v>0.26600000000000001</v>
      </c>
      <c r="I202" s="920">
        <v>0.52</v>
      </c>
      <c r="J202" s="924">
        <v>3.2189999999999999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1313</v>
      </c>
      <c r="L202" s="940" t="s">
        <v>420</v>
      </c>
      <c r="M202" s="981">
        <f>IFERROR(INDEX([1]List!$AG$1:$AG$65536,MATCH(RIGHT((J202*1000),2),[1]List!$AI$1:$AI$65536,0))*-1,"")</f>
        <v>-31.200000000000003</v>
      </c>
      <c r="N202" s="941"/>
      <c r="O202" s="942"/>
      <c r="Q202" s="162">
        <f t="shared" si="1067"/>
        <v>2.8766468482426362</v>
      </c>
      <c r="R202" s="162">
        <f t="shared" si="1068"/>
        <v>-3.2411503102300312</v>
      </c>
      <c r="S202" s="162">
        <f t="shared" si="1069"/>
        <v>-1.6883469508029398</v>
      </c>
      <c r="T202" s="162">
        <f t="shared" si="1070"/>
        <v>0.92417108685447202</v>
      </c>
      <c r="U202" s="162">
        <f t="shared" si="1071"/>
        <v>0.32682448196888209</v>
      </c>
      <c r="V202" s="162">
        <f t="shared" si="1072"/>
        <v>0.19772091494830776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3"/>
        <v>0.52</v>
      </c>
      <c r="Y202" s="75">
        <v>3.2309999999999999</v>
      </c>
      <c r="Z202" s="917">
        <f t="shared" si="1074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-4.5243489078644554</v>
      </c>
      <c r="AN202" s="162">
        <v>-2.321468292099556</v>
      </c>
      <c r="AO202" s="162">
        <v>77.272716115927437</v>
      </c>
      <c r="AP202" s="162">
        <v>-28.249995921205187</v>
      </c>
      <c r="AQ202" s="162">
        <v>0</v>
      </c>
      <c r="AR202" s="710" t="str">
        <v>1313.par</v>
      </c>
      <c r="AV202" s="82" t="str">
        <v>97,255,97</v>
      </c>
      <c r="AW202" s="947">
        <v>82.1</v>
      </c>
      <c r="AX202" s="947">
        <v>77.272716115927437</v>
      </c>
      <c r="AY202" s="947">
        <v>0</v>
      </c>
    </row>
    <row r="203" spans="2:51" x14ac:dyDescent="0.25">
      <c r="B203" s="650">
        <v>2.5972185933794902</v>
      </c>
      <c r="C203" s="651">
        <v>-2.9797982947737398</v>
      </c>
      <c r="D203" s="652">
        <v>-1.0380187806695818</v>
      </c>
      <c r="E203" s="653">
        <v>0.87493822857638981</v>
      </c>
      <c r="F203" s="651">
        <v>0.41464158521203415</v>
      </c>
      <c r="G203" s="654">
        <v>0.2501108793884434</v>
      </c>
      <c r="H203" s="653">
        <v>0.26600000000000001</v>
      </c>
      <c r="I203" s="920">
        <v>0.52</v>
      </c>
      <c r="J203" s="924">
        <v>3.2250000000000001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940" t="s">
        <v>420</v>
      </c>
      <c r="M203" s="981">
        <f>IFERROR(INDEX([1]List!$AG$1:$AG$65536,MATCH(RIGHT((J203*1000),2),[1]List!$AI$1:$AI$65536,0))*-1,"")</f>
        <v>-48.400000000000006</v>
      </c>
      <c r="N203" s="941"/>
      <c r="O203" s="942"/>
      <c r="Q203" s="162">
        <f t="shared" si="1067"/>
        <v>2.9048696836067851</v>
      </c>
      <c r="R203" s="162">
        <f t="shared" si="1068"/>
        <v>-3.4686402467474924</v>
      </c>
      <c r="S203" s="162">
        <f t="shared" si="1069"/>
        <v>-2.4187286791456386</v>
      </c>
      <c r="T203" s="162">
        <f t="shared" si="1070"/>
        <v>0.97177353428110613</v>
      </c>
      <c r="U203" s="162">
        <f t="shared" si="1071"/>
        <v>0.21161858431460587</v>
      </c>
      <c r="V203" s="162">
        <f t="shared" si="1072"/>
        <v>0.10427738414196071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3"/>
        <v>0.52</v>
      </c>
      <c r="Y203" s="75">
        <v>3.2370000000000001</v>
      </c>
      <c r="Z203" s="917">
        <f t="shared" si="1074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-4.3336073221980458</v>
      </c>
      <c r="AN203" s="162">
        <v>-1.5922291039121197</v>
      </c>
      <c r="AO203" s="162">
        <v>61.818172892741991</v>
      </c>
      <c r="AP203" s="162">
        <v>-24.749996426542609</v>
      </c>
      <c r="AQ203" s="162">
        <v>0</v>
      </c>
      <c r="AR203" s="710" t="str">
        <v>1313.par</v>
      </c>
      <c r="AV203" s="82" t="str">
        <v>97,255,97</v>
      </c>
      <c r="AW203" s="947">
        <v>65.300000000000011</v>
      </c>
      <c r="AX203" s="947">
        <v>61.818172892741991</v>
      </c>
      <c r="AY203" s="947">
        <v>0</v>
      </c>
    </row>
    <row r="204" spans="2:51" x14ac:dyDescent="0.25">
      <c r="B204" s="650">
        <v>2.8766468482426362</v>
      </c>
      <c r="C204" s="651">
        <v>-3.2411503102300312</v>
      </c>
      <c r="D204" s="652">
        <v>-1.6883469508029398</v>
      </c>
      <c r="E204" s="653">
        <v>0.92417108685447202</v>
      </c>
      <c r="F204" s="651">
        <v>0.32682448196888209</v>
      </c>
      <c r="G204" s="654">
        <v>0.19772091494830776</v>
      </c>
      <c r="H204" s="653">
        <v>0.26600000000000001</v>
      </c>
      <c r="I204" s="920">
        <v>0.52</v>
      </c>
      <c r="J204" s="924">
        <v>3.2309999999999999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81">
        <f>IFERROR(INDEX([1]List!$AG$1:$AG$65536,MATCH(RIGHT((J204*1000),2),[1]List!$AI$1:$AI$65536,0))*-1,"")</f>
        <v>-65.300000000000011</v>
      </c>
      <c r="N204" s="941"/>
      <c r="O204" s="942"/>
      <c r="Q204" s="162">
        <f t="shared" si="1067"/>
        <v>2.4592556432417925</v>
      </c>
      <c r="R204" s="162">
        <f t="shared" si="1068"/>
        <v>-3.8189003794207532</v>
      </c>
      <c r="S204" s="162">
        <f t="shared" si="1069"/>
        <v>-3.2416165665476178</v>
      </c>
      <c r="T204" s="162">
        <f t="shared" si="1070"/>
        <v>0.54016542519408728</v>
      </c>
      <c r="U204" s="162">
        <f t="shared" si="1071"/>
        <v>-0.83880582032717776</v>
      </c>
      <c r="V204" s="162">
        <f t="shared" si="1072"/>
        <v>6.8015507129929251E-2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3"/>
        <v>0.41499999999999992</v>
      </c>
      <c r="Y204" s="75">
        <v>3.2429999999999999</v>
      </c>
      <c r="Z204" s="917" t="str">
        <f t="shared" si="1074"/>
        <v>CPS-32193r1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-3.9528144782335315</v>
      </c>
      <c r="AN204" s="162">
        <v>-0.94154356896280955</v>
      </c>
      <c r="AO204" s="162">
        <v>46.363629669556488</v>
      </c>
      <c r="AP204" s="162">
        <v>-21.249996931880052</v>
      </c>
      <c r="AQ204" s="162">
        <v>0</v>
      </c>
      <c r="AR204" s="710" t="str">
        <v>1313.par</v>
      </c>
      <c r="AV204" s="82" t="str">
        <v>97,255,97</v>
      </c>
      <c r="AW204" s="947">
        <v>48.400000000000006</v>
      </c>
      <c r="AX204" s="947">
        <v>46.363629669556488</v>
      </c>
      <c r="AY204" s="947">
        <v>0</v>
      </c>
    </row>
    <row r="205" spans="2:51" x14ac:dyDescent="0.25">
      <c r="B205" s="650">
        <v>2.9048696836067851</v>
      </c>
      <c r="C205" s="651">
        <v>-3.4686402467474924</v>
      </c>
      <c r="D205" s="652">
        <v>-2.4187286791456386</v>
      </c>
      <c r="E205" s="653">
        <v>0.97177353428110613</v>
      </c>
      <c r="F205" s="651">
        <v>0.21161858431460587</v>
      </c>
      <c r="G205" s="654">
        <v>0.10427738414196071</v>
      </c>
      <c r="H205" s="653">
        <v>0.26600000000000001</v>
      </c>
      <c r="I205" s="920">
        <v>0.52</v>
      </c>
      <c r="J205" s="924">
        <v>3.2370000000000001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81">
        <f>IFERROR(INDEX([1]List!$AG$1:$AG$65536,MATCH(RIGHT((J205*1000),2),[1]List!$AI$1:$AI$65536,0))*-1,"")</f>
        <v>-82.1</v>
      </c>
      <c r="N205" s="941"/>
      <c r="O205" s="942"/>
      <c r="Q205" s="162">
        <f t="shared" si="1067"/>
        <v>-0.2782108523476241</v>
      </c>
      <c r="R205" s="162">
        <f t="shared" si="1068"/>
        <v>-2.5735134326874971</v>
      </c>
      <c r="S205" s="162">
        <f t="shared" si="1069"/>
        <v>-0.19620059174098481</v>
      </c>
      <c r="T205" s="162">
        <f t="shared" si="1070"/>
        <v>0.94909027737450435</v>
      </c>
      <c r="U205" s="162">
        <f t="shared" si="1071"/>
        <v>-0.16439637481141023</v>
      </c>
      <c r="V205" s="162">
        <f t="shared" si="1072"/>
        <v>0.26870332588572998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73"/>
        <v>0.52</v>
      </c>
      <c r="Y205" s="75">
        <v>4.1120000000000001</v>
      </c>
      <c r="Z205" s="917">
        <f t="shared" si="1074"/>
        <v>1613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-3.4008194684466755</v>
      </c>
      <c r="AN205" s="162">
        <v>-0.42799044794078711</v>
      </c>
      <c r="AO205" s="162">
        <v>30.909086446370996</v>
      </c>
      <c r="AP205" s="162">
        <v>-17.749997437217445</v>
      </c>
      <c r="AQ205" s="162">
        <v>0</v>
      </c>
      <c r="AR205" s="710" t="str">
        <v>1313.par</v>
      </c>
      <c r="AV205" s="82" t="str">
        <v>97,255,97</v>
      </c>
      <c r="AW205" s="947">
        <v>31.200000000000003</v>
      </c>
      <c r="AX205" s="947">
        <v>30.909086446370996</v>
      </c>
      <c r="AY205" s="947">
        <v>0</v>
      </c>
    </row>
    <row r="206" spans="2:51" x14ac:dyDescent="0.25">
      <c r="B206" s="650">
        <v>2.4592556432417925</v>
      </c>
      <c r="C206" s="651">
        <v>-3.8189003794207532</v>
      </c>
      <c r="D206" s="652">
        <v>-3.2416165665476178</v>
      </c>
      <c r="E206" s="653">
        <v>0.54016542519408728</v>
      </c>
      <c r="F206" s="651">
        <v>-0.83880582032717776</v>
      </c>
      <c r="G206" s="654">
        <v>6.8015507129929251E-2</v>
      </c>
      <c r="H206" s="653">
        <v>0.25700000000000001</v>
      </c>
      <c r="I206" s="920">
        <v>0.41499999999999992</v>
      </c>
      <c r="J206" s="924">
        <v>3.2429999999999999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40" t="s">
        <v>424</v>
      </c>
      <c r="M206" s="981">
        <f>IFERROR(INDEX([1]List!$AG$1:$AG$65536,MATCH(RIGHT((J206*1000),2),[1]List!$AI$1:$AI$65536,0))*-1,"")</f>
        <v>-86.1</v>
      </c>
      <c r="N206" s="941"/>
      <c r="O206" s="942"/>
      <c r="Q206" s="162">
        <f t="shared" si="1067"/>
        <v>-0.39091520962849075</v>
      </c>
      <c r="R206" s="162">
        <f t="shared" si="1068"/>
        <v>-3.2589482313910185</v>
      </c>
      <c r="S206" s="162">
        <f t="shared" si="1069"/>
        <v>-0.47220142415949584</v>
      </c>
      <c r="T206" s="162">
        <f t="shared" si="1070"/>
        <v>0.93196677183146215</v>
      </c>
      <c r="U206" s="162">
        <f t="shared" si="1071"/>
        <v>-0.25287414284512266</v>
      </c>
      <c r="V206" s="162">
        <f t="shared" si="1072"/>
        <v>0.25979338729534251</v>
      </c>
      <c r="W206" s="162">
        <f>IFERROR(IF(ISNUMBER(MATCH($Z206,Settings!$AK$28:$AK$36,0)),INDEX(Settings!$AO$14:$AO$36,MATCH($Z206,Settings!$AK$14:$AK$36,0))/2,INDEX(Settings!$AM$14:$AM$36,MATCH($Z206,Settings!$AK$14:$AK$36,0))/2),"")</f>
        <v>0.3125</v>
      </c>
      <c r="X206" s="162">
        <f t="shared" si="1073"/>
        <v>0.52</v>
      </c>
      <c r="Y206" s="75">
        <v>4.1180000000000003</v>
      </c>
      <c r="Z206" s="917">
        <f t="shared" si="1074"/>
        <v>1613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-2.7169739685018643</v>
      </c>
      <c r="AN206" s="162">
        <v>-0.11123436264867141</v>
      </c>
      <c r="AO206" s="162">
        <v>15.454543223185564</v>
      </c>
      <c r="AP206" s="162">
        <v>-15.999997689886136</v>
      </c>
      <c r="AQ206" s="162">
        <v>0</v>
      </c>
      <c r="AR206" s="710" t="str">
        <v>1310.par</v>
      </c>
      <c r="AV206" s="82" t="str">
        <v>97,255,97</v>
      </c>
      <c r="AW206" s="947">
        <v>13.799999999999997</v>
      </c>
      <c r="AX206" s="947">
        <v>15.454543223185564</v>
      </c>
      <c r="AY206" s="947">
        <v>0</v>
      </c>
    </row>
    <row r="207" spans="2:51" x14ac:dyDescent="0.25">
      <c r="B207" s="650">
        <v>3.2567254328280599</v>
      </c>
      <c r="C207" s="651">
        <v>-3.2910133337828746</v>
      </c>
      <c r="D207" s="652">
        <v>-8.37502525907618</v>
      </c>
      <c r="E207" s="653">
        <v>0.98976852721546871</v>
      </c>
      <c r="F207" s="651">
        <v>8.8879260567139878E-2</v>
      </c>
      <c r="G207" s="654">
        <v>-0.11161872412261632</v>
      </c>
      <c r="H207" s="653">
        <v>0.26600000000000001</v>
      </c>
      <c r="I207" s="920">
        <v>0.52</v>
      </c>
      <c r="J207" s="924">
        <v>3.399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81">
        <f>IFERROR(INDEX([1]List!$AG$1:$AG$65536,MATCH(RIGHT((J207*1000),2),[1]List!$AI$1:$AI$65536,0))*-1,"")</f>
        <v>-90</v>
      </c>
      <c r="N207" s="941"/>
      <c r="O207" s="942" t="s">
        <v>9</v>
      </c>
      <c r="Q207" s="162">
        <f t="shared" si="1067"/>
        <v>-0.50914503326965821</v>
      </c>
      <c r="R207" s="162">
        <f t="shared" si="1068"/>
        <v>-3.8209387659649354</v>
      </c>
      <c r="S207" s="162">
        <f t="shared" si="1069"/>
        <v>-0.95230287214546228</v>
      </c>
      <c r="T207" s="162">
        <f t="shared" si="1070"/>
        <v>0.89519378052445009</v>
      </c>
      <c r="U207" s="162">
        <f t="shared" si="1071"/>
        <v>-0.36566892735573131</v>
      </c>
      <c r="V207" s="162">
        <f t="shared" si="1072"/>
        <v>0.25478290931075354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3"/>
        <v>0.52</v>
      </c>
      <c r="Y207" s="75">
        <v>4.1239999999999997</v>
      </c>
      <c r="Z207" s="917">
        <f t="shared" si="1074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-4.5665137726055383</v>
      </c>
      <c r="AN207" s="162">
        <v>-3.1345430312274711</v>
      </c>
      <c r="AO207" s="162">
        <v>84.999987727520192</v>
      </c>
      <c r="AP207" s="162">
        <v>-29.99999566853651</v>
      </c>
      <c r="AQ207" s="162">
        <v>0</v>
      </c>
      <c r="AR207" s="710" t="str">
        <v>1613.par</v>
      </c>
      <c r="AV207" s="82" t="str">
        <v>0,204,0</v>
      </c>
      <c r="AW207" s="947">
        <v>86.1</v>
      </c>
      <c r="AX207" s="947">
        <v>84.999987727520192</v>
      </c>
      <c r="AY207" s="947">
        <v>0</v>
      </c>
    </row>
    <row r="208" spans="2:51" x14ac:dyDescent="0.25">
      <c r="B208" s="650">
        <v>-0.2782108523476241</v>
      </c>
      <c r="C208" s="651">
        <v>-2.5735134326874971</v>
      </c>
      <c r="D208" s="652">
        <v>-0.19620059174098481</v>
      </c>
      <c r="E208" s="653">
        <v>0.94909027737450435</v>
      </c>
      <c r="F208" s="651">
        <v>-0.16439637481141023</v>
      </c>
      <c r="G208" s="654">
        <v>0.26870332588572998</v>
      </c>
      <c r="H208" s="653">
        <v>0.314</v>
      </c>
      <c r="I208" s="920">
        <v>0.52</v>
      </c>
      <c r="J208" s="924">
        <v>4.1120000000000001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940" t="s">
        <v>419</v>
      </c>
      <c r="M208" s="981">
        <f>IFERROR(INDEX([1]List!$AG$1:$AG$65536,MATCH(RIGHT((J208*1000),2),[1]List!$AI$1:$AI$65536,0))*-1,"")</f>
        <v>-10.900000000000006</v>
      </c>
      <c r="N208" s="941"/>
      <c r="O208" s="942"/>
      <c r="Q208" s="162">
        <f t="shared" si="1067"/>
        <v>-0.60795949000727023</v>
      </c>
      <c r="R208" s="162">
        <f t="shared" si="1068"/>
        <v>-4.2189336453478878</v>
      </c>
      <c r="S208" s="162">
        <f t="shared" si="1069"/>
        <v>-1.5789047619767611</v>
      </c>
      <c r="T208" s="162">
        <f t="shared" si="1070"/>
        <v>0.85285271761345771</v>
      </c>
      <c r="U208" s="162">
        <f t="shared" si="1071"/>
        <v>-0.47833891656223271</v>
      </c>
      <c r="V208" s="162">
        <f t="shared" si="1072"/>
        <v>0.20936600240108075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3"/>
        <v>0.52</v>
      </c>
      <c r="Y208" s="75">
        <v>4.13</v>
      </c>
      <c r="Z208" s="917">
        <f t="shared" si="1074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-4.5026135798825573</v>
      </c>
      <c r="AN208" s="162">
        <v>-2.3281100432596484</v>
      </c>
      <c r="AO208" s="162">
        <v>77.272716115927437</v>
      </c>
      <c r="AP208" s="162">
        <v>-28.249995921205201</v>
      </c>
      <c r="AQ208" s="162">
        <v>0</v>
      </c>
      <c r="AR208" s="710" t="str">
        <v>1613 Ripper.par</v>
      </c>
      <c r="AV208" s="82" t="str">
        <v>0,204,0</v>
      </c>
      <c r="AW208" s="947">
        <v>82.1</v>
      </c>
      <c r="AX208" s="947">
        <v>77.272716115927437</v>
      </c>
      <c r="AY208" s="947">
        <v>0</v>
      </c>
    </row>
    <row r="209" spans="2:51" x14ac:dyDescent="0.25">
      <c r="B209" s="650">
        <v>-0.39091520962849075</v>
      </c>
      <c r="C209" s="651">
        <v>-3.2589482313910185</v>
      </c>
      <c r="D209" s="652">
        <v>-0.47220142415949584</v>
      </c>
      <c r="E209" s="653">
        <v>0.93196677183146215</v>
      </c>
      <c r="F209" s="651">
        <v>-0.25287414284512266</v>
      </c>
      <c r="G209" s="654">
        <v>0.25979338729534251</v>
      </c>
      <c r="H209" s="653">
        <v>0.314</v>
      </c>
      <c r="I209" s="920">
        <v>0.52</v>
      </c>
      <c r="J209" s="924">
        <v>4.1180000000000003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940" t="s">
        <v>419</v>
      </c>
      <c r="M209" s="981">
        <f>IFERROR(INDEX([1]List!$AG$1:$AG$65536,MATCH(RIGHT((J209*1000),2),[1]List!$AI$1:$AI$65536,0))*-1,"")</f>
        <v>-28.299999999999997</v>
      </c>
      <c r="N209" s="941"/>
      <c r="O209" s="942"/>
      <c r="Q209" s="162">
        <f t="shared" si="1067"/>
        <v>-0.66671058929384008</v>
      </c>
      <c r="R209" s="162">
        <f t="shared" si="1068"/>
        <v>-4.4345757016029603</v>
      </c>
      <c r="S209" s="162">
        <f t="shared" si="1069"/>
        <v>-2.2930069157088577</v>
      </c>
      <c r="T209" s="162">
        <f t="shared" si="1070"/>
        <v>0.80923593109028547</v>
      </c>
      <c r="U209" s="162">
        <f t="shared" si="1071"/>
        <v>-0.57456019333525232</v>
      </c>
      <c r="V209" s="162">
        <f t="shared" si="1072"/>
        <v>0.12254710142225463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3"/>
        <v>0.52</v>
      </c>
      <c r="Y209" s="75">
        <v>4.1360000000000001</v>
      </c>
      <c r="Z209" s="917">
        <f t="shared" si="1074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-4.3128130074440314</v>
      </c>
      <c r="AN209" s="162">
        <v>-1.6049161947728274</v>
      </c>
      <c r="AO209" s="162">
        <v>61.818172892741991</v>
      </c>
      <c r="AP209" s="162">
        <v>-24.749996426542594</v>
      </c>
      <c r="AQ209" s="162">
        <v>0</v>
      </c>
      <c r="AR209" s="710" t="str">
        <v>1613 Ripper.par</v>
      </c>
      <c r="AV209" s="82" t="str">
        <v>0,204,0</v>
      </c>
      <c r="AW209" s="947">
        <v>65.300000000000011</v>
      </c>
      <c r="AX209" s="947">
        <v>61.818172892741991</v>
      </c>
      <c r="AY209" s="947">
        <v>0</v>
      </c>
    </row>
    <row r="210" spans="2:51" x14ac:dyDescent="0.25">
      <c r="B210" s="650">
        <v>-0.50914503326965821</v>
      </c>
      <c r="C210" s="651">
        <v>-3.8209387659649354</v>
      </c>
      <c r="D210" s="652">
        <v>-0.95230287214546228</v>
      </c>
      <c r="E210" s="653">
        <v>0.89519378052445009</v>
      </c>
      <c r="F210" s="651">
        <v>-0.36566892735573131</v>
      </c>
      <c r="G210" s="654">
        <v>0.25478290931075354</v>
      </c>
      <c r="H210" s="653">
        <v>0.314</v>
      </c>
      <c r="I210" s="920">
        <v>0.52</v>
      </c>
      <c r="J210" s="924">
        <v>4.1239999999999997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81">
        <f>IFERROR(INDEX([1]List!$AG$1:$AG$65536,MATCH(RIGHT((J210*1000),2),[1]List!$AI$1:$AI$65536,0))*-1,"")</f>
        <v>-45.599999999999994</v>
      </c>
      <c r="N210" s="941"/>
      <c r="O210" s="942"/>
      <c r="Q210" s="162">
        <f t="shared" ref="Q210:Q273" si="1075">IFERROR(INDEX(B$164:B$305,MATCH($Y210,$J$164:$J$305,0)),"")</f>
        <v>-0.68916085261733517</v>
      </c>
      <c r="R210" s="162">
        <f t="shared" ref="R210:R273" si="1076">IFERROR(INDEX(C$164:C$305,MATCH($Y210,$J$164:$J$305,0)),"")</f>
        <v>-4.5142114875818349</v>
      </c>
      <c r="S210" s="162">
        <f t="shared" ref="S210:S273" si="1077">IFERROR(INDEX(D$164:D$305,MATCH($Y210,$J$164:$J$305,0)),"")</f>
        <v>-3.0982093441993821</v>
      </c>
      <c r="T210" s="162">
        <f t="shared" ref="T210:T273" si="1078">IFERROR(IF($N210="Y",-1*INDEX(E$164:E$305,MATCH($Y210,$J$164:$J$305,0)),INDEX(E$164:E$305,MATCH($Y210,$J$164:$J$305,0))),"")</f>
        <v>0.78093553028431195</v>
      </c>
      <c r="U210" s="162">
        <f t="shared" ref="U210:U273" si="1079">IFERROR(IF($N210="Y",-1*INDEX(F$164:F$305,MATCH($Y210,$J$164:$J$305,0)),INDEX(F$164:F$305,MATCH($Y210,$J$164:$J$305,0))),"")</f>
        <v>-0.62308960660947132</v>
      </c>
      <c r="V210" s="162">
        <f t="shared" ref="V210:V273" si="1080">IFERROR(IF($N210="Y",-1*INDEX(G$164:G$305,MATCH($Y210,$J$164:$J$305,0)),INDEX(G$164:G$305,MATCH($Y210,$J$164:$J$305,0))),"")</f>
        <v>4.3577972357774754E-2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1">IFERROR(INDEX(I$164:I$305,MATCH($Y210,$J$164:$J$305,0)),"")</f>
        <v>0.52</v>
      </c>
      <c r="Y210" s="75">
        <v>4.1420000000000003</v>
      </c>
      <c r="Z210" s="917">
        <f t="shared" ref="Z210:Z273" si="1082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-3.9349118676941934</v>
      </c>
      <c r="AN210" s="162">
        <v>-0.96031008273223839</v>
      </c>
      <c r="AO210" s="162">
        <v>46.363629669556452</v>
      </c>
      <c r="AP210" s="162">
        <v>-21.249996931880013</v>
      </c>
      <c r="AQ210" s="162">
        <v>0</v>
      </c>
      <c r="AR210" s="710" t="str">
        <v>1613 Ripper.par</v>
      </c>
      <c r="AV210" s="82" t="str">
        <v>0,204,0</v>
      </c>
      <c r="AW210" s="947">
        <v>48.400000000000006</v>
      </c>
      <c r="AX210" s="947">
        <v>46.363629669556452</v>
      </c>
      <c r="AY210" s="947">
        <v>0</v>
      </c>
    </row>
    <row r="211" spans="2:51" x14ac:dyDescent="0.25">
      <c r="B211" s="650">
        <v>-0.60795949000727023</v>
      </c>
      <c r="C211" s="651">
        <v>-4.2189336453478878</v>
      </c>
      <c r="D211" s="652">
        <v>-1.5789047619767611</v>
      </c>
      <c r="E211" s="653">
        <v>0.85285271761345771</v>
      </c>
      <c r="F211" s="651">
        <v>-0.47833891656223271</v>
      </c>
      <c r="G211" s="654">
        <v>0.20936600240108075</v>
      </c>
      <c r="H211" s="653">
        <v>0.314</v>
      </c>
      <c r="I211" s="920">
        <v>0.52</v>
      </c>
      <c r="J211" s="924">
        <v>4.13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81">
        <f>IFERROR(INDEX([1]List!$AG$1:$AG$65536,MATCH(RIGHT((J211*1000),2),[1]List!$AI$1:$AI$65536,0))*-1,"")</f>
        <v>-62.5</v>
      </c>
      <c r="N211" s="941"/>
      <c r="O211" s="942"/>
      <c r="Q211" s="162">
        <f t="shared" si="1075"/>
        <v>-1.210853442614513</v>
      </c>
      <c r="R211" s="162">
        <f t="shared" si="1076"/>
        <v>-3.0688043178458559</v>
      </c>
      <c r="S211" s="162">
        <f t="shared" si="1077"/>
        <v>-0.4493189237442195</v>
      </c>
      <c r="T211" s="162">
        <f t="shared" si="1078"/>
        <v>0.79573383782892082</v>
      </c>
      <c r="U211" s="162">
        <f t="shared" si="1079"/>
        <v>-0.50647415436729903</v>
      </c>
      <c r="V211" s="162">
        <f t="shared" si="1080"/>
        <v>0.33210177700817289</v>
      </c>
      <c r="W211" s="162">
        <f>IFERROR(IF(ISNUMBER(MATCH($Z211,Settings!$AK$28:$AK$36,0)),INDEX(Settings!$AO$14:$AO$36,MATCH($Z211,Settings!$AK$14:$AK$36,0))/2,INDEX(Settings!$AM$14:$AM$36,MATCH($Z211,Settings!$AK$14:$AK$36,0))/2),"")</f>
        <v>0.26450000000000001</v>
      </c>
      <c r="X211" s="162">
        <f t="shared" si="1081"/>
        <v>0.39400000000000002</v>
      </c>
      <c r="Y211" s="75">
        <v>4.218</v>
      </c>
      <c r="Z211" s="917">
        <f t="shared" si="1082"/>
        <v>1310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-3.3876102170324152</v>
      </c>
      <c r="AN211" s="162">
        <v>-0.45202938145403809</v>
      </c>
      <c r="AO211" s="162">
        <v>30.909086446370907</v>
      </c>
      <c r="AP211" s="162">
        <v>-17.74999743721742</v>
      </c>
      <c r="AQ211" s="162">
        <v>0</v>
      </c>
      <c r="AR211" s="710" t="str">
        <v>1613 Ripper.par</v>
      </c>
      <c r="AV211" s="82" t="str">
        <v>0,204,0</v>
      </c>
      <c r="AW211" s="947">
        <v>31.200000000000003</v>
      </c>
      <c r="AX211" s="947">
        <v>30.909086446370907</v>
      </c>
      <c r="AY211" s="947">
        <v>0</v>
      </c>
    </row>
    <row r="212" spans="2:51" x14ac:dyDescent="0.25">
      <c r="B212" s="650">
        <v>-0.66671058929384008</v>
      </c>
      <c r="C212" s="651">
        <v>-4.4345757016029603</v>
      </c>
      <c r="D212" s="652">
        <v>-2.2930069157088577</v>
      </c>
      <c r="E212" s="653">
        <v>0.80923593109028547</v>
      </c>
      <c r="F212" s="651">
        <v>-0.57456019333525232</v>
      </c>
      <c r="G212" s="654">
        <v>0.12254710142225463</v>
      </c>
      <c r="H212" s="653">
        <v>0.314</v>
      </c>
      <c r="I212" s="920">
        <v>0.52</v>
      </c>
      <c r="J212" s="924">
        <v>4.1360000000000001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81">
        <f>IFERROR(INDEX([1]List!$AG$1:$AG$65536,MATCH(RIGHT((J212*1000),2),[1]List!$AI$1:$AI$65536,0))*-1,"")</f>
        <v>-79.300000000000011</v>
      </c>
      <c r="N212" s="941"/>
      <c r="O212" s="942"/>
      <c r="Q212" s="162">
        <f t="shared" si="1075"/>
        <v>-1.3307868813239423</v>
      </c>
      <c r="R212" s="162">
        <f t="shared" si="1076"/>
        <v>-3.6439399532167349</v>
      </c>
      <c r="S212" s="162">
        <f t="shared" si="1077"/>
        <v>-0.93353713129578708</v>
      </c>
      <c r="T212" s="162">
        <f t="shared" si="1078"/>
        <v>0.74381672765028306</v>
      </c>
      <c r="U212" s="162">
        <f t="shared" si="1079"/>
        <v>-0.59073352672918611</v>
      </c>
      <c r="V212" s="162">
        <f t="shared" si="1080"/>
        <v>0.31268286819991059</v>
      </c>
      <c r="W212" s="162">
        <f>IFERROR(IF(ISNUMBER(MATCH($Z212,Settings!$AK$28:$AK$36,0)),INDEX(Settings!$AO$14:$AO$36,MATCH($Z212,Settings!$AK$14:$AK$36,0))/2,INDEX(Settings!$AM$14:$AM$36,MATCH($Z212,Settings!$AK$14:$AK$36,0))/2),"")</f>
        <v>0.26450000000000001</v>
      </c>
      <c r="X212" s="162">
        <f t="shared" si="1081"/>
        <v>0.52</v>
      </c>
      <c r="Y212" s="75">
        <v>4.2240000000000002</v>
      </c>
      <c r="Z212" s="917">
        <f t="shared" si="1082"/>
        <v>1313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-2.7100081733846513</v>
      </c>
      <c r="AN212" s="162">
        <v>-0.13891454666541547</v>
      </c>
      <c r="AO212" s="162">
        <v>15.454543223185555</v>
      </c>
      <c r="AP212" s="162">
        <v>-15.99999768988615</v>
      </c>
      <c r="AQ212" s="162">
        <v>0</v>
      </c>
      <c r="AR212" s="710" t="str">
        <v>1613 Ripper.par</v>
      </c>
      <c r="AV212" s="82" t="str">
        <v>0,204,0</v>
      </c>
      <c r="AW212" s="947">
        <v>13.799999999999997</v>
      </c>
      <c r="AX212" s="947">
        <v>15.454543223185555</v>
      </c>
      <c r="AY212" s="947">
        <v>0</v>
      </c>
    </row>
    <row r="213" spans="2:51" x14ac:dyDescent="0.25">
      <c r="B213" s="650">
        <v>-0.68916085261733517</v>
      </c>
      <c r="C213" s="651">
        <v>-4.5142114875818349</v>
      </c>
      <c r="D213" s="652">
        <v>-3.0982093441993821</v>
      </c>
      <c r="E213" s="653">
        <v>0.78093553028431195</v>
      </c>
      <c r="F213" s="651">
        <v>-0.62308960660947132</v>
      </c>
      <c r="G213" s="654">
        <v>4.3577972357774754E-2</v>
      </c>
      <c r="H213" s="653">
        <v>0.314</v>
      </c>
      <c r="I213" s="920">
        <v>0.52</v>
      </c>
      <c r="J213" s="924">
        <v>4.1420000000000003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81">
        <f>IFERROR(INDEX([1]List!$AG$1:$AG$65536,MATCH(RIGHT((J213*1000),2),[1]List!$AI$1:$AI$65536,0))*-1,"")</f>
        <v>-86.1</v>
      </c>
      <c r="N213" s="941"/>
      <c r="O213" s="942"/>
      <c r="Q213" s="162">
        <f t="shared" si="1075"/>
        <v>-1.8265127597627218</v>
      </c>
      <c r="R213" s="162">
        <f t="shared" si="1076"/>
        <v>-3.8436639229299838</v>
      </c>
      <c r="S213" s="162">
        <f t="shared" si="1077"/>
        <v>-1.5973824278898709</v>
      </c>
      <c r="T213" s="162">
        <f t="shared" si="1078"/>
        <v>-0.38070936332628158</v>
      </c>
      <c r="U213" s="162">
        <f t="shared" si="1079"/>
        <v>-0.80115446066140239</v>
      </c>
      <c r="V213" s="162">
        <f t="shared" si="1080"/>
        <v>0.46174875293609086</v>
      </c>
      <c r="W213" s="162">
        <f>IFERROR(IF(ISNUMBER(MATCH($Z213,Settings!$AK$28:$AK$36,0)),INDEX(Settings!$AO$14:$AO$36,MATCH($Z213,Settings!$AK$14:$AK$36,0))/2,INDEX(Settings!$AM$14:$AM$36,MATCH($Z213,Settings!$AK$14:$AK$36,0))/2),"")</f>
        <v>0.255</v>
      </c>
      <c r="X213" s="162">
        <f t="shared" si="1081"/>
        <v>0.41499999999999992</v>
      </c>
      <c r="Y213" s="75">
        <v>4.2300000000000004</v>
      </c>
      <c r="Z213" s="917" t="str">
        <f t="shared" si="1082"/>
        <v>CPS-32193r1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-1.9770059626499845</v>
      </c>
      <c r="AN213" s="162">
        <v>-6.4794878105426446E-2</v>
      </c>
      <c r="AO213" s="162">
        <v>2.5757572038640517</v>
      </c>
      <c r="AP213" s="162">
        <v>-15.99999768988615</v>
      </c>
      <c r="AQ213" s="162">
        <v>0</v>
      </c>
      <c r="AR213" s="710" t="str">
        <v>1613.par</v>
      </c>
      <c r="AV213" s="82" t="str">
        <v>0,204,0</v>
      </c>
      <c r="AW213" s="947">
        <v>-3.7999999999999972</v>
      </c>
      <c r="AX213" s="947">
        <v>2.5757572038640517</v>
      </c>
      <c r="AY213" s="947">
        <v>0</v>
      </c>
    </row>
    <row r="214" spans="2:51" x14ac:dyDescent="0.25">
      <c r="B214" s="650">
        <v>-1.210853442614513</v>
      </c>
      <c r="C214" s="651">
        <v>-3.0688043178458559</v>
      </c>
      <c r="D214" s="652">
        <v>-0.4493189237442195</v>
      </c>
      <c r="E214" s="653">
        <v>0.79573383782892082</v>
      </c>
      <c r="F214" s="651">
        <v>-0.50647415436729903</v>
      </c>
      <c r="G214" s="654">
        <v>0.33210177700817289</v>
      </c>
      <c r="H214" s="653">
        <v>0.26600000000000001</v>
      </c>
      <c r="I214" s="920">
        <v>0.39400000000000002</v>
      </c>
      <c r="J214" s="924">
        <v>4.218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1310</v>
      </c>
      <c r="L214" s="940" t="s">
        <v>423</v>
      </c>
      <c r="M214" s="981">
        <f>IFERROR(INDEX([1]List!$AG$1:$AG$65536,MATCH(RIGHT((J214*1000),2),[1]List!$AI$1:$AI$65536,0))*-1,"")</f>
        <v>-28.299999999999997</v>
      </c>
      <c r="N214" s="941"/>
      <c r="O214" s="942"/>
      <c r="Q214" s="162">
        <f t="shared" si="1075"/>
        <v>-1.9954966120101612</v>
      </c>
      <c r="R214" s="162">
        <f t="shared" si="1076"/>
        <v>-3.9970877184486651</v>
      </c>
      <c r="S214" s="162">
        <f t="shared" si="1077"/>
        <v>-2.3126134161895604</v>
      </c>
      <c r="T214" s="162">
        <f t="shared" si="1078"/>
        <v>-0.43890151946025152</v>
      </c>
      <c r="U214" s="162">
        <f t="shared" si="1079"/>
        <v>-0.87914349865811636</v>
      </c>
      <c r="V214" s="162">
        <f t="shared" si="1080"/>
        <v>0.1856668117425655</v>
      </c>
      <c r="W214" s="162">
        <f>IFERROR(IF(ISNUMBER(MATCH($Z214,Settings!$AK$28:$AK$36,0)),INDEX(Settings!$AO$14:$AO$36,MATCH($Z214,Settings!$AK$14:$AK$36,0))/2,INDEX(Settings!$AM$14:$AM$36,MATCH($Z214,Settings!$AK$14:$AK$36,0))/2),"")</f>
        <v>0.255</v>
      </c>
      <c r="X214" s="162">
        <f t="shared" si="1081"/>
        <v>0.41499999999999992</v>
      </c>
      <c r="Y214" s="75">
        <v>4.2359999999999998</v>
      </c>
      <c r="Z214" s="917" t="str">
        <f t="shared" si="1082"/>
        <v>CPS-32193r1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-1.2694038285219471</v>
      </c>
      <c r="AN214" s="162">
        <v>-0.22689536700050089</v>
      </c>
      <c r="AO214" s="162">
        <v>-1.9999997112357091</v>
      </c>
      <c r="AP214" s="162">
        <v>-15.999997689886111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-1.9999997112357091</v>
      </c>
      <c r="AY214" s="947">
        <v>0</v>
      </c>
    </row>
    <row r="215" spans="2:51" x14ac:dyDescent="0.25">
      <c r="B215" s="650">
        <v>-1.3307868813239423</v>
      </c>
      <c r="C215" s="651">
        <v>-3.6439399532167349</v>
      </c>
      <c r="D215" s="652">
        <v>-0.93353713129578708</v>
      </c>
      <c r="E215" s="653">
        <v>0.74381672765028306</v>
      </c>
      <c r="F215" s="651">
        <v>-0.59073352672918611</v>
      </c>
      <c r="G215" s="654">
        <v>0.31268286819991059</v>
      </c>
      <c r="H215" s="653">
        <v>0.26600000000000001</v>
      </c>
      <c r="I215" s="920">
        <v>0.52</v>
      </c>
      <c r="J215" s="924">
        <v>4.2240000000000002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940" t="s">
        <v>420</v>
      </c>
      <c r="M215" s="981">
        <f>IFERROR(INDEX([1]List!$AG$1:$AG$65536,MATCH(RIGHT((J215*1000),2),[1]List!$AI$1:$AI$65536,0))*-1,"")</f>
        <v>-45.599999999999994</v>
      </c>
      <c r="N215" s="941"/>
      <c r="O215" s="942"/>
      <c r="Q215" s="162">
        <f t="shared" si="1075"/>
        <v>-2.1288021547231875</v>
      </c>
      <c r="R215" s="162">
        <f t="shared" si="1076"/>
        <v>-4.0124979517505661</v>
      </c>
      <c r="S215" s="162">
        <f t="shared" si="1077"/>
        <v>-3.1163896711291712</v>
      </c>
      <c r="T215" s="162">
        <f t="shared" si="1078"/>
        <v>-0.46758267048005364</v>
      </c>
      <c r="U215" s="162">
        <f t="shared" si="1079"/>
        <v>-0.88132873381990684</v>
      </c>
      <c r="V215" s="162">
        <f t="shared" si="1080"/>
        <v>6.8015507129929126E-2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1"/>
        <v>0.41499999999999992</v>
      </c>
      <c r="Y215" s="75">
        <v>4.242</v>
      </c>
      <c r="Z215" s="917" t="str">
        <f t="shared" si="1082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-0.57390173088762053</v>
      </c>
      <c r="AN215" s="162">
        <v>-0.47999613035240329</v>
      </c>
      <c r="AO215" s="162">
        <v>-5.9999991337073313</v>
      </c>
      <c r="AP215" s="162">
        <v>-18.999997256739782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-5.9999991337073313</v>
      </c>
      <c r="AY215" s="947">
        <v>0</v>
      </c>
    </row>
    <row r="216" spans="2:51" x14ac:dyDescent="0.25">
      <c r="B216" s="650">
        <v>-1.8265127597627218</v>
      </c>
      <c r="C216" s="651">
        <v>-3.8436639229299838</v>
      </c>
      <c r="D216" s="652">
        <v>-1.5973824278898709</v>
      </c>
      <c r="E216" s="653">
        <v>-0.38070936332628158</v>
      </c>
      <c r="F216" s="651">
        <v>-0.80115446066140239</v>
      </c>
      <c r="G216" s="654">
        <v>0.46174875293609086</v>
      </c>
      <c r="H216" s="653">
        <v>0.25700000000000001</v>
      </c>
      <c r="I216" s="920">
        <v>0.41499999999999992</v>
      </c>
      <c r="J216" s="924">
        <v>4.2300000000000004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40" t="s">
        <v>424</v>
      </c>
      <c r="M216" s="981">
        <f>IFERROR(INDEX([1]List!$AG$1:$AG$65536,MATCH(RIGHT((J216*1000),2),[1]List!$AI$1:$AI$65536,0))*-1,"")</f>
        <v>-62.5</v>
      </c>
      <c r="N216" s="941"/>
      <c r="O216" s="942"/>
      <c r="Q216" s="162">
        <f t="shared" si="1075"/>
        <v>-0.73021448501798869</v>
      </c>
      <c r="R216" s="162">
        <f t="shared" si="1076"/>
        <v>-0.34050434883485409</v>
      </c>
      <c r="S216" s="162">
        <f t="shared" si="1077"/>
        <v>-0.48250145522438886</v>
      </c>
      <c r="T216" s="162">
        <f t="shared" si="1078"/>
        <v>0.42263558843564686</v>
      </c>
      <c r="U216" s="162">
        <f t="shared" si="1079"/>
        <v>-0.85808736037299527</v>
      </c>
      <c r="V216" s="162">
        <f t="shared" si="1080"/>
        <v>0.29165946128277759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1"/>
        <v>0.52</v>
      </c>
      <c r="Y216" s="75">
        <v>5.1029999999999998</v>
      </c>
      <c r="Z216" s="917">
        <f t="shared" si="1082"/>
        <v>1613</v>
      </c>
      <c r="AA216" s="82"/>
      <c r="AB216" s="75"/>
      <c r="AC216" s="75"/>
      <c r="AD216" s="166"/>
      <c r="AE216" s="75">
        <v>2.2400000000000002</v>
      </c>
      <c r="AF216" s="82">
        <v>2</v>
      </c>
      <c r="AG216" s="82">
        <v>2</v>
      </c>
      <c r="AH216" s="82">
        <v>1</v>
      </c>
      <c r="AI216" s="82">
        <v>1.0000000000218279</v>
      </c>
      <c r="AJ216" s="166">
        <v>2.24011</v>
      </c>
      <c r="AK216" s="82" t="str">
        <v>Base</v>
      </c>
      <c r="AL216" s="162">
        <v>-20.25</v>
      </c>
      <c r="AM216" s="162">
        <v>-4.5422393625563782</v>
      </c>
      <c r="AN216" s="162">
        <v>-2.809405342539752</v>
      </c>
      <c r="AO216" s="162">
        <v>86.099987568699859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86.1</v>
      </c>
      <c r="AX216" s="947">
        <v>86.099987568699859</v>
      </c>
      <c r="AY216" s="947">
        <v>0</v>
      </c>
    </row>
    <row r="217" spans="2:51" x14ac:dyDescent="0.25">
      <c r="B217" s="650">
        <v>-1.9954966120101612</v>
      </c>
      <c r="C217" s="651">
        <v>-3.9970877184486651</v>
      </c>
      <c r="D217" s="652">
        <v>-2.3126134161895604</v>
      </c>
      <c r="E217" s="653">
        <v>-0.43890151946025152</v>
      </c>
      <c r="F217" s="651">
        <v>-0.87914349865811636</v>
      </c>
      <c r="G217" s="654">
        <v>0.1856668117425655</v>
      </c>
      <c r="H217" s="653">
        <v>0.25700000000000001</v>
      </c>
      <c r="I217" s="920">
        <v>0.41499999999999992</v>
      </c>
      <c r="J217" s="924">
        <v>4.2359999999999998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424</v>
      </c>
      <c r="M217" s="981">
        <f>IFERROR(INDEX([1]List!$AG$1:$AG$65536,MATCH(RIGHT((J217*1000),2),[1]List!$AI$1:$AI$65536,0))*-1,"")</f>
        <v>-79.300000000000011</v>
      </c>
      <c r="N217" s="941"/>
      <c r="O217" s="942"/>
      <c r="Q217" s="162">
        <f t="shared" si="1075"/>
        <v>-1.3621848963411161</v>
      </c>
      <c r="R217" s="162">
        <f t="shared" si="1076"/>
        <v>-0.63519676839864203</v>
      </c>
      <c r="S217" s="162">
        <f t="shared" si="1077"/>
        <v>-0.23440070695253198</v>
      </c>
      <c r="T217" s="162">
        <f t="shared" si="1078"/>
        <v>0.41060632406907893</v>
      </c>
      <c r="U217" s="162">
        <f t="shared" si="1079"/>
        <v>-0.86916607004295754</v>
      </c>
      <c r="V217" s="162">
        <f t="shared" si="1080"/>
        <v>0.27559533617345428</v>
      </c>
      <c r="W217" s="162">
        <f>IFERROR(IF(ISNUMBER(MATCH($Z217,Settings!$AK$28:$AK$36,0)),INDEX(Settings!$AO$14:$AO$36,MATCH($Z217,Settings!$AK$14:$AK$36,0))/2,INDEX(Settings!$AM$14:$AM$36,MATCH($Z217,Settings!$AK$14:$AK$36,0))/2),"")</f>
        <v>0.3125</v>
      </c>
      <c r="X217" s="162">
        <f t="shared" si="1081"/>
        <v>0.52</v>
      </c>
      <c r="Y217" s="75">
        <v>5.1059999999999999</v>
      </c>
      <c r="Z217" s="917">
        <f t="shared" si="1082"/>
        <v>1613</v>
      </c>
      <c r="AA217" s="82"/>
      <c r="AB217" s="75"/>
      <c r="AC217" s="75"/>
      <c r="AD217" s="166"/>
      <c r="AE217" s="75">
        <v>2.234</v>
      </c>
      <c r="AF217" s="82">
        <v>2</v>
      </c>
      <c r="AG217" s="82">
        <v>2</v>
      </c>
      <c r="AH217" s="82">
        <v>1</v>
      </c>
      <c r="AI217" s="82">
        <v>0.99999999998544808</v>
      </c>
      <c r="AJ217" s="166">
        <v>2.2341099999999998</v>
      </c>
      <c r="AK217" s="82" t="str">
        <v>Base</v>
      </c>
      <c r="AL217" s="162">
        <v>-20.25</v>
      </c>
      <c r="AM217" s="162">
        <v>-4.418455264442227</v>
      </c>
      <c r="AN217" s="162">
        <v>-2.0127573465573247</v>
      </c>
      <c r="AO217" s="162">
        <v>73.699989359038099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73.699999999999989</v>
      </c>
      <c r="AX217" s="947">
        <v>73.699989359038099</v>
      </c>
      <c r="AY217" s="947">
        <v>0</v>
      </c>
    </row>
    <row r="218" spans="2:51" x14ac:dyDescent="0.25">
      <c r="B218" s="650">
        <v>-2.1288021547231875</v>
      </c>
      <c r="C218" s="651">
        <v>-4.0124979517505661</v>
      </c>
      <c r="D218" s="652">
        <v>-3.1163896711291712</v>
      </c>
      <c r="E218" s="653">
        <v>-0.46758267048005364</v>
      </c>
      <c r="F218" s="651">
        <v>-0.88132873381990684</v>
      </c>
      <c r="G218" s="654">
        <v>6.8015507129929126E-2</v>
      </c>
      <c r="H218" s="653">
        <v>0.25700000000000001</v>
      </c>
      <c r="I218" s="920">
        <v>0.41499999999999992</v>
      </c>
      <c r="J218" s="924">
        <v>4.242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424</v>
      </c>
      <c r="M218" s="981">
        <f>IFERROR(INDEX([1]List!$AG$1:$AG$65536,MATCH(RIGHT((J218*1000),2),[1]List!$AI$1:$AI$65536,0))*-1,"")</f>
        <v>-86.1</v>
      </c>
      <c r="N218" s="941"/>
      <c r="O218" s="942"/>
      <c r="Q218" s="162">
        <f t="shared" si="1075"/>
        <v>-2.0093635544230977</v>
      </c>
      <c r="R218" s="162">
        <f t="shared" si="1076"/>
        <v>-0.93655398212415497</v>
      </c>
      <c r="S218" s="162">
        <f t="shared" si="1077"/>
        <v>-0.14870044848055242</v>
      </c>
      <c r="T218" s="162">
        <f t="shared" si="1078"/>
        <v>0.38366202090144369</v>
      </c>
      <c r="U218" s="162">
        <f t="shared" si="1079"/>
        <v>-0.88172561315597242</v>
      </c>
      <c r="V218" s="162">
        <f t="shared" si="1080"/>
        <v>0.27452394580900369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1"/>
        <v>0.52</v>
      </c>
      <c r="Y218" s="75">
        <v>5.109</v>
      </c>
      <c r="Z218" s="917">
        <f t="shared" si="1082"/>
        <v>1613</v>
      </c>
      <c r="AA218" s="82"/>
      <c r="AB218" s="75"/>
      <c r="AC218" s="75"/>
      <c r="AD218" s="166"/>
      <c r="AE218" s="75">
        <v>2.2280000000000002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2.22811</v>
      </c>
      <c r="AK218" s="82" t="str">
        <v>Base</v>
      </c>
      <c r="AL218" s="162">
        <v>-20.25</v>
      </c>
      <c r="AM218" s="162">
        <v>-4.1754220343763198</v>
      </c>
      <c r="AN218" s="162">
        <v>-1.2918920107090348</v>
      </c>
      <c r="AO218" s="162">
        <v>54.090901281149193</v>
      </c>
      <c r="AP218" s="162">
        <v>-27.999995957300708</v>
      </c>
      <c r="AQ218" s="162">
        <v>0</v>
      </c>
      <c r="AR218" s="710" t="str">
        <v>1313.par</v>
      </c>
      <c r="AV218" s="82" t="str">
        <v>255,255,91</v>
      </c>
      <c r="AW218" s="947">
        <v>56.900000000000006</v>
      </c>
      <c r="AX218" s="947">
        <v>54.090901281149193</v>
      </c>
      <c r="AY218" s="947">
        <v>0</v>
      </c>
    </row>
    <row r="219" spans="2:51" x14ac:dyDescent="0.25">
      <c r="B219" s="650">
        <v>-1.2994926147463983</v>
      </c>
      <c r="C219" s="651">
        <v>-4.4439113686239695</v>
      </c>
      <c r="D219" s="652">
        <v>-8.3750252590761818</v>
      </c>
      <c r="E219" s="653">
        <v>0.55758498310348781</v>
      </c>
      <c r="F219" s="651">
        <v>-0.8225814531356288</v>
      </c>
      <c r="G219" s="654">
        <v>-0.11161872412261623</v>
      </c>
      <c r="H219" s="653">
        <v>0.26600000000000001</v>
      </c>
      <c r="I219" s="920">
        <v>0.52</v>
      </c>
      <c r="J219" s="924">
        <v>4.399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940" t="s">
        <v>420</v>
      </c>
      <c r="M219" s="981">
        <f>IFERROR(INDEX([1]List!$AG$1:$AG$65536,MATCH(RIGHT((J219*1000),2),[1]List!$AI$1:$AI$65536,0))*-1,"")</f>
        <v>-90</v>
      </c>
      <c r="N219" s="941"/>
      <c r="O219" s="942" t="s">
        <v>9</v>
      </c>
      <c r="Q219" s="162">
        <f t="shared" si="1075"/>
        <v>-2.6808420968345419</v>
      </c>
      <c r="R219" s="162">
        <f t="shared" si="1076"/>
        <v>-1.223424812456553</v>
      </c>
      <c r="S219" s="162">
        <f t="shared" si="1077"/>
        <v>-0.30550092139077856</v>
      </c>
      <c r="T219" s="162">
        <f t="shared" si="1078"/>
        <v>0.31083399689652047</v>
      </c>
      <c r="U219" s="162">
        <f t="shared" si="1079"/>
        <v>-0.91477693526361892</v>
      </c>
      <c r="V219" s="162">
        <f t="shared" si="1080"/>
        <v>0.25800268425548367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1"/>
        <v>0.52</v>
      </c>
      <c r="Y219" s="75">
        <v>5.1150000000000002</v>
      </c>
      <c r="Z219" s="917">
        <f t="shared" si="1082"/>
        <v>1613</v>
      </c>
      <c r="AA219" s="82"/>
      <c r="AB219" s="75"/>
      <c r="AC219" s="75"/>
      <c r="AD219" s="166"/>
      <c r="AE219" s="75">
        <v>2.222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2.2221099999999998</v>
      </c>
      <c r="AK219" s="82" t="str">
        <v>Base</v>
      </c>
      <c r="AL219" s="162">
        <v>-20.25</v>
      </c>
      <c r="AM219" s="162">
        <v>-3.7028817627089818</v>
      </c>
      <c r="AN219" s="162">
        <v>-0.70094597465082642</v>
      </c>
      <c r="AO219" s="162">
        <v>38.636358057963676</v>
      </c>
      <c r="AP219" s="162">
        <v>-24.499996462638151</v>
      </c>
      <c r="AQ219" s="162">
        <v>0</v>
      </c>
      <c r="AR219" s="710" t="str">
        <v>1313.par</v>
      </c>
      <c r="AV219" s="82" t="str">
        <v>255,255,91</v>
      </c>
      <c r="AW219" s="947">
        <v>39.800000000000011</v>
      </c>
      <c r="AX219" s="947">
        <v>38.636358057963676</v>
      </c>
      <c r="AY219" s="947">
        <v>0</v>
      </c>
    </row>
    <row r="220" spans="2:51" x14ac:dyDescent="0.25">
      <c r="B220" s="650">
        <v>-0.73021448501798869</v>
      </c>
      <c r="C220" s="651">
        <v>-0.34050434883485409</v>
      </c>
      <c r="D220" s="652">
        <v>-0.48250145522438886</v>
      </c>
      <c r="E220" s="653">
        <v>0.42263558843564686</v>
      </c>
      <c r="F220" s="651">
        <v>-0.85808736037299527</v>
      </c>
      <c r="G220" s="654">
        <v>0.29165946128277759</v>
      </c>
      <c r="H220" s="653">
        <v>0.314</v>
      </c>
      <c r="I220" s="920">
        <v>0.52</v>
      </c>
      <c r="J220" s="924">
        <v>5.1029999999999998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940" t="s">
        <v>419</v>
      </c>
      <c r="M220" s="981">
        <f>IFERROR(INDEX([1]List!$AG$1:$AG$65536,MATCH(RIGHT((J220*1000),2),[1]List!$AI$1:$AI$65536,0))*-1,"")</f>
        <v>20</v>
      </c>
      <c r="N220" s="941"/>
      <c r="O220" s="942"/>
      <c r="Q220" s="162">
        <f t="shared" si="1075"/>
        <v>-3.2824757220124856</v>
      </c>
      <c r="R220" s="162">
        <f t="shared" si="1076"/>
        <v>-1.4463746906987636</v>
      </c>
      <c r="S220" s="162">
        <f t="shared" si="1077"/>
        <v>-0.69020208164947761</v>
      </c>
      <c r="T220" s="162">
        <f t="shared" si="1078"/>
        <v>0.20681655256742612</v>
      </c>
      <c r="U220" s="162">
        <f t="shared" si="1079"/>
        <v>-0.94262574418762268</v>
      </c>
      <c r="V220" s="162">
        <f t="shared" si="1080"/>
        <v>0.26207559973957101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1"/>
        <v>0.52</v>
      </c>
      <c r="Y220" s="75">
        <v>5.1210000000000004</v>
      </c>
      <c r="Z220" s="917">
        <f t="shared" si="1082"/>
        <v>1613</v>
      </c>
      <c r="AA220" s="82"/>
      <c r="AB220" s="75"/>
      <c r="AC220" s="75"/>
      <c r="AD220" s="166"/>
      <c r="AE220" s="75">
        <v>2.2160000000000002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2.21611</v>
      </c>
      <c r="AK220" s="82" t="str">
        <v>Base</v>
      </c>
      <c r="AL220" s="162">
        <v>-20.25</v>
      </c>
      <c r="AM220" s="162">
        <v>-3.0754330367816816</v>
      </c>
      <c r="AN220" s="162">
        <v>-0.2784516003819657</v>
      </c>
      <c r="AO220" s="162">
        <v>23.181814834778248</v>
      </c>
      <c r="AP220" s="162">
        <v>-20.999996967975548</v>
      </c>
      <c r="AQ220" s="162">
        <v>0</v>
      </c>
      <c r="AR220" s="710" t="str">
        <v>1310.par</v>
      </c>
      <c r="AV220" s="82" t="str">
        <v>255,255,91</v>
      </c>
      <c r="AW220" s="947">
        <v>22.5</v>
      </c>
      <c r="AX220" s="947">
        <v>23.181814834778248</v>
      </c>
      <c r="AY220" s="947">
        <v>0</v>
      </c>
    </row>
    <row r="221" spans="2:51" x14ac:dyDescent="0.25">
      <c r="B221" s="650">
        <v>-1.3621848963411161</v>
      </c>
      <c r="C221" s="651">
        <v>-0.63519676839864203</v>
      </c>
      <c r="D221" s="652">
        <v>-0.23440070695253198</v>
      </c>
      <c r="E221" s="653">
        <v>0.41060632406907893</v>
      </c>
      <c r="F221" s="651">
        <v>-0.86916607004295754</v>
      </c>
      <c r="G221" s="654">
        <v>0.27559533617345428</v>
      </c>
      <c r="H221" s="653">
        <v>0.314</v>
      </c>
      <c r="I221" s="920">
        <v>0.52</v>
      </c>
      <c r="J221" s="924">
        <v>5.1059999999999999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940" t="s">
        <v>419</v>
      </c>
      <c r="M221" s="981">
        <f>IFERROR(INDEX([1]List!$AG$1:$AG$65536,MATCH(RIGHT((J221*1000),2),[1]List!$AI$1:$AI$65536,0))*-1,"")</f>
        <v>16</v>
      </c>
      <c r="N221" s="941"/>
      <c r="O221" s="942"/>
      <c r="Q221" s="162">
        <f t="shared" si="1075"/>
        <v>-3.7542699837961635</v>
      </c>
      <c r="R221" s="162">
        <f t="shared" si="1076"/>
        <v>-1.5997819084519997</v>
      </c>
      <c r="S221" s="162">
        <f t="shared" si="1077"/>
        <v>-1.2511037733289805</v>
      </c>
      <c r="T221" s="162">
        <f t="shared" si="1078"/>
        <v>8.7783748694418226E-2</v>
      </c>
      <c r="U221" s="162">
        <f t="shared" si="1079"/>
        <v>-0.96745945664570865</v>
      </c>
      <c r="V221" s="162">
        <f t="shared" si="1080"/>
        <v>0.23731037316549294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1"/>
        <v>0.52</v>
      </c>
      <c r="Y221" s="75">
        <v>5.1269999999999998</v>
      </c>
      <c r="Z221" s="917">
        <f t="shared" si="1082"/>
        <v>1613</v>
      </c>
      <c r="AA221" s="82"/>
      <c r="AB221" s="75"/>
      <c r="AC221" s="75"/>
      <c r="AD221" s="166"/>
      <c r="AE221" s="75">
        <v>2.14</v>
      </c>
      <c r="AF221" s="82">
        <v>2</v>
      </c>
      <c r="AG221" s="82">
        <v>1</v>
      </c>
      <c r="AH221" s="82">
        <v>1</v>
      </c>
      <c r="AI221" s="82">
        <v>0.99999999998544808</v>
      </c>
      <c r="AJ221" s="166">
        <v>2.14011</v>
      </c>
      <c r="AK221" s="82" t="str">
        <v>Base</v>
      </c>
      <c r="AL221" s="162">
        <v>-19.5</v>
      </c>
      <c r="AM221" s="162">
        <v>-4.5665137726055374</v>
      </c>
      <c r="AN221" s="162">
        <v>-2.8046807826047968</v>
      </c>
      <c r="AO221" s="162">
        <v>84.999987727520178</v>
      </c>
      <c r="AP221" s="162">
        <v>-29.99999566853651</v>
      </c>
      <c r="AQ221" s="162">
        <v>0</v>
      </c>
      <c r="AR221" s="710" t="str">
        <v>1613.par</v>
      </c>
      <c r="AV221" s="82" t="str">
        <v>204,204,0</v>
      </c>
      <c r="AW221" s="947">
        <v>86.1</v>
      </c>
      <c r="AX221" s="947">
        <v>84.999987727520178</v>
      </c>
      <c r="AY221" s="947">
        <v>0</v>
      </c>
    </row>
    <row r="222" spans="2:51" x14ac:dyDescent="0.25">
      <c r="B222" s="650">
        <v>-2.0093635544230977</v>
      </c>
      <c r="C222" s="651">
        <v>-0.93655398212415497</v>
      </c>
      <c r="D222" s="652">
        <v>-0.14870044848055242</v>
      </c>
      <c r="E222" s="653">
        <v>0.38366202090144369</v>
      </c>
      <c r="F222" s="651">
        <v>-0.88172561315597242</v>
      </c>
      <c r="G222" s="654">
        <v>0.27452394580900369</v>
      </c>
      <c r="H222" s="653">
        <v>0.314</v>
      </c>
      <c r="I222" s="920">
        <v>0.52</v>
      </c>
      <c r="J222" s="924">
        <v>5.109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422</v>
      </c>
      <c r="M222" s="981">
        <f>IFERROR(INDEX([1]List!$AG$1:$AG$65536,MATCH(RIGHT((J222*1000),2),[1]List!$AI$1:$AI$65536,0))*-1,"")</f>
        <v>-2.0999999999999943</v>
      </c>
      <c r="N222" s="941"/>
      <c r="O222" s="942"/>
      <c r="P222">
        <f>-0.0737</f>
        <v>-7.3700000000000002E-2</v>
      </c>
      <c r="Q222" s="162">
        <f t="shared" si="1075"/>
        <v>-4.0600322144473946</v>
      </c>
      <c r="R222" s="162">
        <f t="shared" si="1076"/>
        <v>-1.6891956132211836</v>
      </c>
      <c r="S222" s="162">
        <f t="shared" si="1077"/>
        <v>-1.928505816373542</v>
      </c>
      <c r="T222" s="162">
        <f t="shared" si="1078"/>
        <v>-2.5866683765371809E-2</v>
      </c>
      <c r="U222" s="162">
        <f t="shared" si="1079"/>
        <v>-0.98493366699216434</v>
      </c>
      <c r="V222" s="162">
        <f t="shared" si="1080"/>
        <v>0.17098709394673867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1"/>
        <v>0.52</v>
      </c>
      <c r="Y222" s="75">
        <v>5.133</v>
      </c>
      <c r="Z222" s="917">
        <f t="shared" si="1082"/>
        <v>1613</v>
      </c>
      <c r="AA222" s="82"/>
      <c r="AB222" s="75"/>
      <c r="AC222" s="75"/>
      <c r="AD222" s="166"/>
      <c r="AE222" s="75">
        <v>2.1339999999999999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2.1341099999999997</v>
      </c>
      <c r="AK222" s="82" t="str">
        <v>Base</v>
      </c>
      <c r="AL222" s="162">
        <v>-19.5</v>
      </c>
      <c r="AM222" s="162">
        <v>-4.4318133663491128</v>
      </c>
      <c r="AN222" s="162">
        <v>-2.0053242046178004</v>
      </c>
      <c r="AO222" s="162">
        <v>69.545444504334753</v>
      </c>
      <c r="AP222" s="162">
        <v>-26.499996173873903</v>
      </c>
      <c r="AQ222" s="162">
        <v>0</v>
      </c>
      <c r="AR222" s="710" t="str">
        <v>1613.par</v>
      </c>
      <c r="AV222" s="82" t="str">
        <v>204,204,0</v>
      </c>
      <c r="AW222" s="947">
        <v>73.699999999999989</v>
      </c>
      <c r="AX222" s="947">
        <v>69.545444504334753</v>
      </c>
      <c r="AY222" s="947">
        <v>0</v>
      </c>
    </row>
    <row r="223" spans="2:51" x14ac:dyDescent="0.25">
      <c r="B223" s="650">
        <v>-2.6808420968345419</v>
      </c>
      <c r="C223" s="651">
        <v>-1.223424812456553</v>
      </c>
      <c r="D223" s="652">
        <v>-0.30550092139077856</v>
      </c>
      <c r="E223" s="653">
        <v>0.31083399689652047</v>
      </c>
      <c r="F223" s="651">
        <v>-0.91477693526361892</v>
      </c>
      <c r="G223" s="654">
        <v>0.25800268425548367</v>
      </c>
      <c r="H223" s="653">
        <v>0.314</v>
      </c>
      <c r="I223" s="920">
        <v>0.52</v>
      </c>
      <c r="J223" s="924">
        <v>5.1150000000000002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422</v>
      </c>
      <c r="M223" s="981">
        <f>IFERROR(INDEX([1]List!$AG$1:$AG$65536,MATCH(RIGHT((J223*1000),2),[1]List!$AI$1:$AI$65536,0))*-1,"")</f>
        <v>-19.599999999999994</v>
      </c>
      <c r="N223" s="941"/>
      <c r="O223" s="942"/>
      <c r="P223">
        <f>-0.007</f>
        <v>-7.0000000000000001E-3</v>
      </c>
      <c r="Q223" s="162">
        <f t="shared" si="1075"/>
        <v>-4.18175818435527</v>
      </c>
      <c r="R223" s="162">
        <f t="shared" si="1076"/>
        <v>-1.7227411766083005</v>
      </c>
      <c r="S223" s="162">
        <f t="shared" si="1077"/>
        <v>-2.6659080403786497</v>
      </c>
      <c r="T223" s="162">
        <f t="shared" si="1078"/>
        <v>-0.1183675624088753</v>
      </c>
      <c r="U223" s="162">
        <f t="shared" si="1079"/>
        <v>-0.99085629570414679</v>
      </c>
      <c r="V223" s="162">
        <f t="shared" si="1080"/>
        <v>6.475277162282389E-2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1"/>
        <v>0.52</v>
      </c>
      <c r="Y223" s="75">
        <v>5.1390000000000002</v>
      </c>
      <c r="Z223" s="917">
        <f t="shared" si="1082"/>
        <v>1613</v>
      </c>
      <c r="AA223" s="82"/>
      <c r="AB223" s="75"/>
      <c r="AC223" s="75"/>
      <c r="AD223" s="166"/>
      <c r="AE223" s="75">
        <v>2.1280000000000001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2.1281099999999999</v>
      </c>
      <c r="AK223" s="82" t="str">
        <v>Base</v>
      </c>
      <c r="AL223" s="162">
        <v>-19.5</v>
      </c>
      <c r="AM223" s="162">
        <v>-4.1465125058817165</v>
      </c>
      <c r="AN223" s="162">
        <v>-1.3144346199071943</v>
      </c>
      <c r="AO223" s="162">
        <v>54.090901281149257</v>
      </c>
      <c r="AP223" s="162">
        <v>-22.999996679211336</v>
      </c>
      <c r="AQ223" s="162">
        <v>0</v>
      </c>
      <c r="AR223" s="710" t="str">
        <v>1613.par</v>
      </c>
      <c r="AV223" s="82" t="str">
        <v>204,204,0</v>
      </c>
      <c r="AW223" s="947">
        <v>56.900000000000006</v>
      </c>
      <c r="AX223" s="947">
        <v>54.090901281149257</v>
      </c>
      <c r="AY223" s="947">
        <v>0</v>
      </c>
    </row>
    <row r="224" spans="2:51" x14ac:dyDescent="0.25">
      <c r="B224" s="650">
        <v>-3.2824757220124856</v>
      </c>
      <c r="C224" s="651">
        <v>-1.4463746906987636</v>
      </c>
      <c r="D224" s="652">
        <v>-0.69020208164947761</v>
      </c>
      <c r="E224" s="653">
        <v>0.20681655256742612</v>
      </c>
      <c r="F224" s="651">
        <v>-0.94262574418762268</v>
      </c>
      <c r="G224" s="654">
        <v>0.26207559973957101</v>
      </c>
      <c r="H224" s="653">
        <v>0.314</v>
      </c>
      <c r="I224" s="920">
        <v>0.52</v>
      </c>
      <c r="J224" s="924">
        <v>5.1210000000000004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81">
        <f>IFERROR(INDEX([1]List!$AG$1:$AG$65536,MATCH(RIGHT((J224*1000),2),[1]List!$AI$1:$AI$65536,0))*-1,"")</f>
        <v>-37</v>
      </c>
      <c r="N224" s="941"/>
      <c r="O224" s="942"/>
      <c r="Q224" s="162">
        <f t="shared" si="1075"/>
        <v>-4.2243782965996832</v>
      </c>
      <c r="R224" s="162">
        <f t="shared" si="1076"/>
        <v>-1.7342652745798841</v>
      </c>
      <c r="S224" s="162">
        <f t="shared" si="1077"/>
        <v>-3.473210475202793</v>
      </c>
      <c r="T224" s="162">
        <f t="shared" si="1078"/>
        <v>-0.13188035681091378</v>
      </c>
      <c r="U224" s="162">
        <f t="shared" si="1079"/>
        <v>-0.99030729160832254</v>
      </c>
      <c r="V224" s="162">
        <f t="shared" si="1080"/>
        <v>4.3577972357774948E-2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1"/>
        <v>0.52</v>
      </c>
      <c r="Y224" s="75">
        <v>5.1449999999999996</v>
      </c>
      <c r="Z224" s="917">
        <f t="shared" si="1082"/>
        <v>1613</v>
      </c>
      <c r="AA224" s="82"/>
      <c r="AB224" s="75"/>
      <c r="AC224" s="75"/>
      <c r="AD224" s="166"/>
      <c r="AE224" s="75">
        <v>2.1219999999999999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2.1221099999999997</v>
      </c>
      <c r="AK224" s="82" t="str">
        <v>Base</v>
      </c>
      <c r="AL224" s="162">
        <v>-19.5</v>
      </c>
      <c r="AM224" s="162">
        <v>-3.6807111010246802</v>
      </c>
      <c r="AN224" s="162">
        <v>-0.73049813506207817</v>
      </c>
      <c r="AO224" s="162">
        <v>38.636358057963655</v>
      </c>
      <c r="AP224" s="162">
        <v>-19.499997184548718</v>
      </c>
      <c r="AQ224" s="162">
        <v>0</v>
      </c>
      <c r="AR224" s="710" t="str">
        <v>1613.par</v>
      </c>
      <c r="AV224" s="82" t="str">
        <v>204,204,0</v>
      </c>
      <c r="AW224" s="947">
        <v>39.800000000000011</v>
      </c>
      <c r="AX224" s="947">
        <v>38.636358057963655</v>
      </c>
      <c r="AY224" s="947">
        <v>0</v>
      </c>
    </row>
    <row r="225" spans="2:51" x14ac:dyDescent="0.25">
      <c r="B225" s="650">
        <v>-3.7542699837961635</v>
      </c>
      <c r="C225" s="651">
        <v>-1.5997819084519997</v>
      </c>
      <c r="D225" s="652">
        <v>-1.2511037733289805</v>
      </c>
      <c r="E225" s="653">
        <v>8.7783748694418226E-2</v>
      </c>
      <c r="F225" s="651">
        <v>-0.96745945664570865</v>
      </c>
      <c r="G225" s="654">
        <v>0.23731037316549294</v>
      </c>
      <c r="H225" s="653">
        <v>0.314</v>
      </c>
      <c r="I225" s="920">
        <v>0.52</v>
      </c>
      <c r="J225" s="924">
        <v>5.1269999999999998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81">
        <f>IFERROR(INDEX([1]List!$AG$1:$AG$65536,MATCH(RIGHT((J225*1000),2),[1]List!$AI$1:$AI$65536,0))*-1,"")</f>
        <v>-54.099999999999994</v>
      </c>
      <c r="N225" s="941"/>
      <c r="O225" s="942"/>
      <c r="Q225" s="162">
        <f t="shared" si="1075"/>
        <v>-2.9263736381242742</v>
      </c>
      <c r="R225" s="162">
        <f t="shared" si="1076"/>
        <v>-0.41752316726026184</v>
      </c>
      <c r="S225" s="162">
        <f t="shared" si="1077"/>
        <v>-0.29014942426360768</v>
      </c>
      <c r="T225" s="162">
        <f t="shared" si="1078"/>
        <v>3.9738540836717601E-2</v>
      </c>
      <c r="U225" s="162">
        <f t="shared" si="1079"/>
        <v>-0.96532660964521955</v>
      </c>
      <c r="V225" s="162">
        <f t="shared" si="1080"/>
        <v>0.25800268425548356</v>
      </c>
      <c r="W225" s="162">
        <f>IFERROR(IF(ISNUMBER(MATCH($Z225,Settings!$AK$28:$AK$36,0)),INDEX(Settings!$AO$14:$AO$36,MATCH($Z225,Settings!$AK$14:$AK$36,0))/2,INDEX(Settings!$AM$14:$AM$36,MATCH($Z225,Settings!$AK$14:$AK$36,0))/2),"")</f>
        <v>0.26450000000000001</v>
      </c>
      <c r="X225" s="162">
        <f t="shared" si="1081"/>
        <v>0.39400000000000002</v>
      </c>
      <c r="Y225" s="75">
        <v>5.2149999999999999</v>
      </c>
      <c r="Z225" s="917">
        <f t="shared" si="1082"/>
        <v>1310</v>
      </c>
      <c r="AA225" s="82"/>
      <c r="AB225" s="75"/>
      <c r="AC225" s="75"/>
      <c r="AD225" s="166"/>
      <c r="AE225" s="75">
        <v>2.1160000000000001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2.1161099999999999</v>
      </c>
      <c r="AK225" s="82" t="str">
        <v>Base</v>
      </c>
      <c r="AL225" s="162">
        <v>-19.5</v>
      </c>
      <c r="AM225" s="162">
        <v>-3.0616092338134497</v>
      </c>
      <c r="AN225" s="162">
        <v>-0.3129246517702518</v>
      </c>
      <c r="AO225" s="162">
        <v>23.181814834778312</v>
      </c>
      <c r="AP225" s="162">
        <v>-15.99999768988615</v>
      </c>
      <c r="AQ225" s="162">
        <v>0</v>
      </c>
      <c r="AR225" s="710" t="str">
        <v>1613.par</v>
      </c>
      <c r="AV225" s="82" t="str">
        <v>204,204,0</v>
      </c>
      <c r="AW225" s="947">
        <v>22.5</v>
      </c>
      <c r="AX225" s="947">
        <v>23.181814834778312</v>
      </c>
      <c r="AY225" s="947">
        <v>0</v>
      </c>
    </row>
    <row r="226" spans="2:51" x14ac:dyDescent="0.25">
      <c r="B226" s="650">
        <v>-4.0600322144473946</v>
      </c>
      <c r="C226" s="651">
        <v>-1.6891956132211836</v>
      </c>
      <c r="D226" s="652">
        <v>-1.928505816373542</v>
      </c>
      <c r="E226" s="653">
        <v>-2.5866683765371809E-2</v>
      </c>
      <c r="F226" s="651">
        <v>-0.98493366699216434</v>
      </c>
      <c r="G226" s="654">
        <v>0.17098709394673867</v>
      </c>
      <c r="H226" s="653">
        <v>0.314</v>
      </c>
      <c r="I226" s="920">
        <v>0.52</v>
      </c>
      <c r="J226" s="924">
        <v>5.133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81">
        <f>IFERROR(INDEX([1]List!$AG$1:$AG$65536,MATCH(RIGHT((J226*1000),2),[1]List!$AI$1:$AI$65536,0))*-1,"")</f>
        <v>-70.900000000000006</v>
      </c>
      <c r="N226" s="941"/>
      <c r="O226" s="942"/>
      <c r="Q226" s="162">
        <f t="shared" si="1075"/>
        <v>-3.5432454469572789</v>
      </c>
      <c r="R226" s="162">
        <f t="shared" si="1076"/>
        <v>-0.64774723221564723</v>
      </c>
      <c r="S226" s="162">
        <f t="shared" si="1077"/>
        <v>-0.67711826798192776</v>
      </c>
      <c r="T226" s="162">
        <f t="shared" si="1078"/>
        <v>-1.7602802438026189E-2</v>
      </c>
      <c r="U226" s="162">
        <f t="shared" si="1079"/>
        <v>-0.96488679199555427</v>
      </c>
      <c r="V226" s="162">
        <f t="shared" si="1080"/>
        <v>0.26207559973957112</v>
      </c>
      <c r="W226" s="162">
        <f>IFERROR(IF(ISNUMBER(MATCH($Z226,Settings!$AK$28:$AK$36,0)),INDEX(Settings!$AO$14:$AO$36,MATCH($Z226,Settings!$AK$14:$AK$36,0))/2,INDEX(Settings!$AM$14:$AM$36,MATCH($Z226,Settings!$AK$14:$AK$36,0))/2),"")</f>
        <v>0.26450000000000001</v>
      </c>
      <c r="X226" s="162">
        <f t="shared" si="1081"/>
        <v>0.52</v>
      </c>
      <c r="Y226" s="75">
        <v>5.2210000000000001</v>
      </c>
      <c r="Z226" s="917">
        <f t="shared" si="1082"/>
        <v>1313</v>
      </c>
      <c r="AA226" s="82"/>
      <c r="AB226" s="75"/>
      <c r="AC226" s="75"/>
      <c r="AD226" s="166"/>
      <c r="AE226" s="75">
        <v>2.11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2.1101099999999997</v>
      </c>
      <c r="AK226" s="82" t="str">
        <v>Base</v>
      </c>
      <c r="AL226" s="162">
        <v>-19.5</v>
      </c>
      <c r="AM226" s="162">
        <v>-2.3416070622868999</v>
      </c>
      <c r="AN226" s="162">
        <v>-0.11580600049775354</v>
      </c>
      <c r="AO226" s="162">
        <v>7.7272716115927498</v>
      </c>
      <c r="AP226" s="162">
        <v>-15.999997689886136</v>
      </c>
      <c r="AQ226" s="162">
        <v>0</v>
      </c>
      <c r="AR226" s="710" t="str">
        <v>1613.par</v>
      </c>
      <c r="AV226" s="82" t="str">
        <v>204,204,0</v>
      </c>
      <c r="AW226" s="947">
        <v>5.0999999999999943</v>
      </c>
      <c r="AX226" s="947">
        <v>7.7272716115927498</v>
      </c>
      <c r="AY226" s="947">
        <v>0</v>
      </c>
    </row>
    <row r="227" spans="2:51" x14ac:dyDescent="0.25">
      <c r="B227" s="650">
        <v>-4.18175818435527</v>
      </c>
      <c r="C227" s="651">
        <v>-1.7227411766083005</v>
      </c>
      <c r="D227" s="652">
        <v>-2.6659080403786497</v>
      </c>
      <c r="E227" s="653">
        <v>-0.1183675624088753</v>
      </c>
      <c r="F227" s="651">
        <v>-0.99085629570414679</v>
      </c>
      <c r="G227" s="654">
        <v>6.475277162282389E-2</v>
      </c>
      <c r="H227" s="653">
        <v>0.314</v>
      </c>
      <c r="I227" s="920">
        <v>0.52</v>
      </c>
      <c r="J227" s="924">
        <v>5.1390000000000002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419</v>
      </c>
      <c r="M227" s="981">
        <f>IFERROR(INDEX([1]List!$AG$1:$AG$65536,MATCH(RIGHT((J227*1000),2),[1]List!$AI$1:$AI$65536,0))*-1,"")</f>
        <v>-86.1</v>
      </c>
      <c r="N227" s="941"/>
      <c r="O227" s="942"/>
      <c r="Q227" s="162">
        <f t="shared" si="1075"/>
        <v>-4.0203838374216705</v>
      </c>
      <c r="R227" s="162">
        <f t="shared" si="1076"/>
        <v>-0.80401388166366228</v>
      </c>
      <c r="S227" s="162">
        <f t="shared" si="1077"/>
        <v>-1.2424757076059998</v>
      </c>
      <c r="T227" s="162">
        <f t="shared" si="1078"/>
        <v>-0.11142309651040137</v>
      </c>
      <c r="U227" s="162">
        <f t="shared" si="1079"/>
        <v>-0.96502263204138816</v>
      </c>
      <c r="V227" s="162">
        <f t="shared" si="1080"/>
        <v>0.23731037316549297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1"/>
        <v>0.52</v>
      </c>
      <c r="Y227" s="75">
        <v>5.2270000000000003</v>
      </c>
      <c r="Z227" s="917">
        <f t="shared" si="1082"/>
        <v>1313</v>
      </c>
      <c r="AA227" s="82"/>
      <c r="AB227" s="75"/>
      <c r="AC227" s="75"/>
      <c r="AD227" s="166"/>
      <c r="AE227" s="75">
        <v>1.2410000000000001</v>
      </c>
      <c r="AF227" s="82">
        <v>1</v>
      </c>
      <c r="AG227" s="82">
        <v>2</v>
      </c>
      <c r="AH227" s="82">
        <v>1</v>
      </c>
      <c r="AI227" s="82">
        <v>1.0000000000218279</v>
      </c>
      <c r="AJ227" s="166">
        <v>1.2411100000000002</v>
      </c>
      <c r="AK227" s="82" t="str">
        <v>Base</v>
      </c>
      <c r="AL227" s="162">
        <v>-18.75</v>
      </c>
      <c r="AM227" s="162">
        <v>-4.5422393625563782</v>
      </c>
      <c r="AN227" s="162">
        <v>-2.976110046088845</v>
      </c>
      <c r="AO227" s="162">
        <v>86.099987568699845</v>
      </c>
      <c r="AP227" s="162">
        <v>0</v>
      </c>
      <c r="AQ227" s="162">
        <v>0</v>
      </c>
      <c r="AR227" s="710" t="str">
        <v>32193r1.par</v>
      </c>
      <c r="AV227" s="82" t="str">
        <v>255,188,121</v>
      </c>
      <c r="AW227" s="947">
        <v>86.1</v>
      </c>
      <c r="AX227" s="947">
        <v>86.099987568699845</v>
      </c>
      <c r="AY227" s="947">
        <v>0</v>
      </c>
    </row>
    <row r="228" spans="2:51" x14ac:dyDescent="0.25">
      <c r="B228" s="650">
        <v>-4.2243782965996832</v>
      </c>
      <c r="C228" s="651">
        <v>-1.7342652745798841</v>
      </c>
      <c r="D228" s="652">
        <v>-3.473210475202793</v>
      </c>
      <c r="E228" s="653">
        <v>-0.13188035681091378</v>
      </c>
      <c r="F228" s="651">
        <v>-0.99030729160832254</v>
      </c>
      <c r="G228" s="654">
        <v>4.3577972357774948E-2</v>
      </c>
      <c r="H228" s="653">
        <v>0.314</v>
      </c>
      <c r="I228" s="920">
        <v>0.52</v>
      </c>
      <c r="J228" s="924">
        <v>5.1449999999999996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419</v>
      </c>
      <c r="M228" s="981">
        <f>IFERROR(INDEX([1]List!$AG$1:$AG$65536,MATCH(RIGHT((J228*1000),2),[1]List!$AI$1:$AI$65536,0))*-1,"")</f>
        <v>-86.1</v>
      </c>
      <c r="N228" s="941"/>
      <c r="O228" s="942"/>
      <c r="Q228" s="162">
        <f t="shared" si="1075"/>
        <v>-4.3367183037436821</v>
      </c>
      <c r="R228" s="162">
        <f t="shared" si="1076"/>
        <v>-0.84742522469382142</v>
      </c>
      <c r="S228" s="162">
        <f t="shared" si="1077"/>
        <v>-1.9258476353316005</v>
      </c>
      <c r="T228" s="162">
        <f t="shared" si="1078"/>
        <v>-0.22226967064671976</v>
      </c>
      <c r="U228" s="162">
        <f t="shared" si="1079"/>
        <v>-0.95987478725834241</v>
      </c>
      <c r="V228" s="162">
        <f t="shared" si="1080"/>
        <v>0.17098709394673869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1"/>
        <v>0.52</v>
      </c>
      <c r="Y228" s="75">
        <v>5.2329999999999997</v>
      </c>
      <c r="Z228" s="917">
        <f t="shared" si="1082"/>
        <v>1313</v>
      </c>
      <c r="AA228" s="82"/>
      <c r="AB228" s="75"/>
      <c r="AC228" s="75"/>
      <c r="AD228" s="166"/>
      <c r="AE228" s="75">
        <v>1.2350000000000001</v>
      </c>
      <c r="AF228" s="82">
        <v>1</v>
      </c>
      <c r="AG228" s="82">
        <v>2</v>
      </c>
      <c r="AH228" s="82">
        <v>1</v>
      </c>
      <c r="AI228" s="82">
        <v>1.0000000000218279</v>
      </c>
      <c r="AJ228" s="166">
        <v>1.2351100000000002</v>
      </c>
      <c r="AK228" s="82" t="str">
        <v>Base</v>
      </c>
      <c r="AL228" s="162">
        <v>-18.75</v>
      </c>
      <c r="AM228" s="162">
        <v>-4.4824520995485351</v>
      </c>
      <c r="AN228" s="162">
        <v>-2.1599194046674328</v>
      </c>
      <c r="AO228" s="162">
        <v>72.121201708198967</v>
      </c>
      <c r="AP228" s="162">
        <v>-27.083329422984299</v>
      </c>
      <c r="AQ228" s="162">
        <v>0</v>
      </c>
      <c r="AR228" s="710" t="str">
        <v>1313.par</v>
      </c>
      <c r="AV228" s="82" t="str">
        <v>255,188,121</v>
      </c>
      <c r="AW228" s="947">
        <v>76.5</v>
      </c>
      <c r="AX228" s="947">
        <v>72.121201708198967</v>
      </c>
      <c r="AY228" s="947">
        <v>0</v>
      </c>
    </row>
    <row r="229" spans="2:51" x14ac:dyDescent="0.25">
      <c r="B229" s="650">
        <v>-2.9263736381242742</v>
      </c>
      <c r="C229" s="651">
        <v>-0.41752316726026184</v>
      </c>
      <c r="D229" s="652">
        <v>-0.29014942426360768</v>
      </c>
      <c r="E229" s="653">
        <v>3.9738540836717601E-2</v>
      </c>
      <c r="F229" s="651">
        <v>-0.96532660964521955</v>
      </c>
      <c r="G229" s="654">
        <v>0.25800268425548356</v>
      </c>
      <c r="H229" s="653">
        <v>0.26600000000000001</v>
      </c>
      <c r="I229" s="920">
        <v>0.39400000000000002</v>
      </c>
      <c r="J229" s="924">
        <v>5.2149999999999999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1310</v>
      </c>
      <c r="L229" s="940" t="s">
        <v>423</v>
      </c>
      <c r="M229" s="981">
        <f>IFERROR(INDEX([1]List!$AG$1:$AG$65536,MATCH(RIGHT((J229*1000),2),[1]List!$AI$1:$AI$65536,0))*-1,"")</f>
        <v>-19.599999999999994</v>
      </c>
      <c r="N229" s="941"/>
      <c r="O229" s="942"/>
      <c r="Q229" s="162">
        <f t="shared" si="1075"/>
        <v>-4.4906637508582499</v>
      </c>
      <c r="R229" s="162">
        <f t="shared" si="1076"/>
        <v>-0.29430700205959726</v>
      </c>
      <c r="S229" s="162">
        <f t="shared" si="1077"/>
        <v>-2.6844229958771715</v>
      </c>
      <c r="T229" s="162">
        <f t="shared" si="1078"/>
        <v>-0.99554853105750463</v>
      </c>
      <c r="U229" s="162">
        <f t="shared" si="1079"/>
        <v>-6.5245789895619119E-2</v>
      </c>
      <c r="V229" s="162">
        <f t="shared" si="1080"/>
        <v>6.8015507129929181E-2</v>
      </c>
      <c r="W229" s="162">
        <f>IFERROR(IF(ISNUMBER(MATCH($Z229,Settings!$AK$28:$AK$36,0)),INDEX(Settings!$AO$14:$AO$36,MATCH($Z229,Settings!$AK$14:$AK$36,0))/2,INDEX(Settings!$AM$14:$AM$36,MATCH($Z229,Settings!$AK$14:$AK$36,0))/2),"")</f>
        <v>0.255</v>
      </c>
      <c r="X229" s="162">
        <f t="shared" si="1081"/>
        <v>0.41499999999999992</v>
      </c>
      <c r="Y229" s="75">
        <v>5.2389999999999999</v>
      </c>
      <c r="Z229" s="917" t="str">
        <f t="shared" si="1082"/>
        <v>CPS-32193r1</v>
      </c>
      <c r="AA229" s="82"/>
      <c r="AB229" s="75"/>
      <c r="AC229" s="75"/>
      <c r="AD229" s="166"/>
      <c r="AE229" s="75">
        <v>1.2290000000000001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1.2291100000000001</v>
      </c>
      <c r="AK229" s="82" t="str">
        <v>Base</v>
      </c>
      <c r="AL229" s="162">
        <v>-18.75</v>
      </c>
      <c r="AM229" s="162">
        <v>-4.2271569345419167</v>
      </c>
      <c r="AN229" s="162">
        <v>-1.4505707155008567</v>
      </c>
      <c r="AO229" s="162">
        <v>56.66665848501345</v>
      </c>
      <c r="AP229" s="162">
        <v>-23.583329928321717</v>
      </c>
      <c r="AQ229" s="162">
        <v>0</v>
      </c>
      <c r="AR229" s="710" t="str">
        <v>1313.par</v>
      </c>
      <c r="AV229" s="82" t="str">
        <v>255,188,121</v>
      </c>
      <c r="AW229" s="947">
        <v>59.699999999999989</v>
      </c>
      <c r="AX229" s="947">
        <v>56.66665848501345</v>
      </c>
      <c r="AY229" s="947">
        <v>0</v>
      </c>
    </row>
    <row r="230" spans="2:51" x14ac:dyDescent="0.25">
      <c r="B230" s="650">
        <v>-3.5432454469572789</v>
      </c>
      <c r="C230" s="651">
        <v>-0.64774723221564723</v>
      </c>
      <c r="D230" s="652">
        <v>-0.67711826798192776</v>
      </c>
      <c r="E230" s="653">
        <v>-1.7602802438026189E-2</v>
      </c>
      <c r="F230" s="651">
        <v>-0.96488679199555427</v>
      </c>
      <c r="G230" s="654">
        <v>0.26207559973957112</v>
      </c>
      <c r="H230" s="653">
        <v>0.26600000000000001</v>
      </c>
      <c r="I230" s="920">
        <v>0.52</v>
      </c>
      <c r="J230" s="924">
        <v>5.2210000000000001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1313</v>
      </c>
      <c r="L230" s="940" t="s">
        <v>420</v>
      </c>
      <c r="M230" s="981">
        <f>IFERROR(INDEX([1]List!$AG$1:$AG$65536,MATCH(RIGHT((J230*1000),2),[1]List!$AI$1:$AI$65536,0))*-1,"")</f>
        <v>-37</v>
      </c>
      <c r="N230" s="941"/>
      <c r="O230" s="942"/>
      <c r="Q230" s="162">
        <f t="shared" si="1075"/>
        <v>-4.5387830823400126</v>
      </c>
      <c r="R230" s="162">
        <f t="shared" si="1076"/>
        <v>-0.17716251923207604</v>
      </c>
      <c r="S230" s="162">
        <f t="shared" si="1077"/>
        <v>-3.4920715105824707</v>
      </c>
      <c r="T230" s="162">
        <f t="shared" si="1078"/>
        <v>-0.99692510629114583</v>
      </c>
      <c r="U230" s="162">
        <f t="shared" si="1079"/>
        <v>-3.8913021422735096E-2</v>
      </c>
      <c r="V230" s="162">
        <f t="shared" si="1080"/>
        <v>6.801550712992907E-2</v>
      </c>
      <c r="W230" s="162">
        <f>IFERROR(IF(ISNUMBER(MATCH($Z230,Settings!$AK$28:$AK$36,0)),INDEX(Settings!$AO$14:$AO$36,MATCH($Z230,Settings!$AK$14:$AK$36,0))/2,INDEX(Settings!$AM$14:$AM$36,MATCH($Z230,Settings!$AK$14:$AK$36,0))/2),"")</f>
        <v>0.255</v>
      </c>
      <c r="X230" s="162">
        <f t="shared" si="1081"/>
        <v>0.41499999999999992</v>
      </c>
      <c r="Y230" s="75">
        <v>5.2450000000000001</v>
      </c>
      <c r="Z230" s="917" t="str">
        <f t="shared" si="1082"/>
        <v>CPS-32193r1</v>
      </c>
      <c r="AA230" s="82"/>
      <c r="AB230" s="75"/>
      <c r="AC230" s="75"/>
      <c r="AD230" s="166"/>
      <c r="AE230" s="75">
        <v>1.2230000000000001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1.2231100000000001</v>
      </c>
      <c r="AK230" s="82" t="str">
        <v>Base</v>
      </c>
      <c r="AL230" s="162">
        <v>-18.75</v>
      </c>
      <c r="AM230" s="162">
        <v>-3.7864362114534451</v>
      </c>
      <c r="AN230" s="162">
        <v>-0.83884176231352292</v>
      </c>
      <c r="AO230" s="162">
        <v>41.212115261827932</v>
      </c>
      <c r="AP230" s="162">
        <v>-20.083330433659125</v>
      </c>
      <c r="AQ230" s="162">
        <v>0</v>
      </c>
      <c r="AR230" s="710" t="str">
        <v>1313.par</v>
      </c>
      <c r="AV230" s="82" t="str">
        <v>255,188,121</v>
      </c>
      <c r="AW230" s="947">
        <v>42.699999999999989</v>
      </c>
      <c r="AX230" s="947">
        <v>41.212115261827932</v>
      </c>
      <c r="AY230" s="947">
        <v>0</v>
      </c>
    </row>
    <row r="231" spans="2:51" x14ac:dyDescent="0.25">
      <c r="B231" s="650">
        <v>-4.0203838374216705</v>
      </c>
      <c r="C231" s="651">
        <v>-0.80401388166366228</v>
      </c>
      <c r="D231" s="652">
        <v>-1.2424757076059998</v>
      </c>
      <c r="E231" s="653">
        <v>-0.11142309651040137</v>
      </c>
      <c r="F231" s="651">
        <v>-0.96502263204138816</v>
      </c>
      <c r="G231" s="654">
        <v>0.23731037316549297</v>
      </c>
      <c r="H231" s="653">
        <v>0.26600000000000001</v>
      </c>
      <c r="I231" s="920">
        <v>0.52</v>
      </c>
      <c r="J231" s="924">
        <v>5.2270000000000003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1313</v>
      </c>
      <c r="L231" s="940" t="s">
        <v>420</v>
      </c>
      <c r="M231" s="981">
        <f>IFERROR(INDEX([1]List!$AG$1:$AG$65536,MATCH(RIGHT((J231*1000),2),[1]List!$AI$1:$AI$65536,0))*-1,"")</f>
        <v>-54.099999999999994</v>
      </c>
      <c r="N231" s="941"/>
      <c r="O231" s="942"/>
      <c r="Q231" s="162">
        <f t="shared" si="1075"/>
        <v>-2.3357809104344738</v>
      </c>
      <c r="R231" s="162">
        <f t="shared" si="1076"/>
        <v>1.5969489914471684</v>
      </c>
      <c r="S231" s="162">
        <f t="shared" si="1077"/>
        <v>-0.26240079140078654</v>
      </c>
      <c r="T231" s="162">
        <f t="shared" si="1078"/>
        <v>-0.61295578230065662</v>
      </c>
      <c r="U231" s="162">
        <f t="shared" si="1079"/>
        <v>-0.74537773521120332</v>
      </c>
      <c r="V231" s="162">
        <f t="shared" si="1080"/>
        <v>0.2621015848780916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1"/>
        <v>0.52</v>
      </c>
      <c r="Y231" s="75">
        <v>6.1139999999999999</v>
      </c>
      <c r="Z231" s="917">
        <f t="shared" si="1082"/>
        <v>1613</v>
      </c>
      <c r="AA231" s="82"/>
      <c r="AB231" s="75"/>
      <c r="AC231" s="75"/>
      <c r="AD231" s="166"/>
      <c r="AE231" s="75">
        <v>1.2170000000000001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1.2171100000000001</v>
      </c>
      <c r="AK231" s="82" t="str">
        <v>Base</v>
      </c>
      <c r="AL231" s="162">
        <v>-18.75</v>
      </c>
      <c r="AM231" s="162">
        <v>-3.1848097850478867</v>
      </c>
      <c r="AN231" s="162">
        <v>-0.38457609096144124</v>
      </c>
      <c r="AO231" s="162">
        <v>25.757572038642522</v>
      </c>
      <c r="AP231" s="162">
        <v>-16.583330938996621</v>
      </c>
      <c r="AQ231" s="162">
        <v>0</v>
      </c>
      <c r="AR231" s="710" t="str">
        <v>1313.par</v>
      </c>
      <c r="AV231" s="82" t="str">
        <v>255,188,121</v>
      </c>
      <c r="AW231" s="947">
        <v>25.400000000000006</v>
      </c>
      <c r="AX231" s="947">
        <v>25.757572038642522</v>
      </c>
      <c r="AY231" s="947">
        <v>0</v>
      </c>
    </row>
    <row r="232" spans="2:51" x14ac:dyDescent="0.25">
      <c r="B232" s="650">
        <v>-4.3367183037436821</v>
      </c>
      <c r="C232" s="651">
        <v>-0.84742522469382142</v>
      </c>
      <c r="D232" s="652">
        <v>-1.9258476353316005</v>
      </c>
      <c r="E232" s="653">
        <v>-0.22226967064671976</v>
      </c>
      <c r="F232" s="651">
        <v>-0.95987478725834241</v>
      </c>
      <c r="G232" s="654">
        <v>0.17098709394673869</v>
      </c>
      <c r="H232" s="653">
        <v>0.26600000000000001</v>
      </c>
      <c r="I232" s="920">
        <v>0.52</v>
      </c>
      <c r="J232" s="924">
        <v>5.2329999999999997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81">
        <f>IFERROR(INDEX([1]List!$AG$1:$AG$65536,MATCH(RIGHT((J232*1000),2),[1]List!$AI$1:$AI$65536,0))*-1,"")</f>
        <v>-70.900000000000006</v>
      </c>
      <c r="N232" s="941"/>
      <c r="O232" s="942"/>
      <c r="Q232" s="162">
        <f t="shared" si="1075"/>
        <v>-2.8551282759401388</v>
      </c>
      <c r="R232" s="162">
        <f t="shared" si="1076"/>
        <v>2.0058739888520307</v>
      </c>
      <c r="S232" s="162">
        <f t="shared" si="1077"/>
        <v>-0.61230184670236976</v>
      </c>
      <c r="T232" s="162">
        <f t="shared" si="1078"/>
        <v>-0.68768273508872402</v>
      </c>
      <c r="U232" s="162">
        <f t="shared" si="1079"/>
        <v>-0.67695644427518464</v>
      </c>
      <c r="V232" s="162">
        <f t="shared" si="1080"/>
        <v>0.26234029125391839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1"/>
        <v>0.52</v>
      </c>
      <c r="Y232" s="75">
        <v>6.12</v>
      </c>
      <c r="Z232" s="917">
        <f t="shared" si="1082"/>
        <v>1613</v>
      </c>
      <c r="AA232" s="82"/>
      <c r="AB232" s="75"/>
      <c r="AC232" s="75"/>
      <c r="AD232" s="166"/>
      <c r="AE232" s="75">
        <v>1.2110000000000001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1.2111100000000001</v>
      </c>
      <c r="AK232" s="82" t="str">
        <v>Base</v>
      </c>
      <c r="AL232" s="162">
        <v>-18.75</v>
      </c>
      <c r="AM232" s="162">
        <v>-2.4703828005462527</v>
      </c>
      <c r="AN232" s="162">
        <v>-0.14477132455462602</v>
      </c>
      <c r="AO232" s="162">
        <v>10.303028815456981</v>
      </c>
      <c r="AP232" s="162">
        <v>-15.999997689886136</v>
      </c>
      <c r="AQ232" s="162">
        <v>0</v>
      </c>
      <c r="AR232" s="710" t="str">
        <v>1310.par</v>
      </c>
      <c r="AV232" s="82" t="str">
        <v>255,188,121</v>
      </c>
      <c r="AW232" s="947">
        <v>8</v>
      </c>
      <c r="AX232" s="947">
        <v>10.303028815456981</v>
      </c>
      <c r="AY232" s="947">
        <v>0</v>
      </c>
    </row>
    <row r="233" spans="2:51" x14ac:dyDescent="0.25">
      <c r="B233" s="650">
        <v>-4.4906637508582499</v>
      </c>
      <c r="C233" s="651">
        <v>-0.29430700205959726</v>
      </c>
      <c r="D233" s="652">
        <v>-2.6844229958771715</v>
      </c>
      <c r="E233" s="653">
        <v>-0.99554853105750463</v>
      </c>
      <c r="F233" s="651">
        <v>-6.5245789895619119E-2</v>
      </c>
      <c r="G233" s="654">
        <v>6.8015507129929181E-2</v>
      </c>
      <c r="H233" s="653">
        <v>0.25700000000000001</v>
      </c>
      <c r="I233" s="920">
        <v>0.41499999999999992</v>
      </c>
      <c r="J233" s="924">
        <v>5.2389999999999999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424</v>
      </c>
      <c r="M233" s="981">
        <f>IFERROR(INDEX([1]List!$AG$1:$AG$65536,MATCH(RIGHT((J233*1000),2),[1]List!$AI$1:$AI$65536,0))*-1,"")</f>
        <v>-86.1</v>
      </c>
      <c r="N233" s="941"/>
      <c r="O233" s="942"/>
      <c r="Q233" s="162">
        <f t="shared" si="1075"/>
        <v>-3.2518807501985538</v>
      </c>
      <c r="R233" s="162">
        <f t="shared" si="1076"/>
        <v>2.347057042647624</v>
      </c>
      <c r="S233" s="162">
        <f t="shared" si="1077"/>
        <v>-1.1479034620768422</v>
      </c>
      <c r="T233" s="162">
        <f t="shared" si="1078"/>
        <v>-0.77064592947556021</v>
      </c>
      <c r="U233" s="162">
        <f t="shared" si="1079"/>
        <v>-0.58858056970525707</v>
      </c>
      <c r="V233" s="162">
        <f t="shared" si="1080"/>
        <v>0.24429032798738728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1"/>
        <v>0.52</v>
      </c>
      <c r="Y233" s="75">
        <v>6.1260000000000003</v>
      </c>
      <c r="Z233" s="917">
        <f t="shared" si="1082"/>
        <v>1613</v>
      </c>
      <c r="AA233" s="82"/>
      <c r="AB233" s="75"/>
      <c r="AC233" s="75"/>
      <c r="AD233" s="166"/>
      <c r="AE233" s="75">
        <v>1.141</v>
      </c>
      <c r="AF233" s="82">
        <v>1</v>
      </c>
      <c r="AG233" s="82">
        <v>1</v>
      </c>
      <c r="AH233" s="82">
        <v>1</v>
      </c>
      <c r="AI233" s="82">
        <v>1.000000000003638</v>
      </c>
      <c r="AJ233" s="166">
        <v>1.1411100000000001</v>
      </c>
      <c r="AK233" s="82" t="str">
        <v>Base</v>
      </c>
      <c r="AL233" s="162">
        <v>-18</v>
      </c>
      <c r="AM233" s="162">
        <v>-4.5665137726055374</v>
      </c>
      <c r="AN233" s="162">
        <v>-2.9713478563567541</v>
      </c>
      <c r="AO233" s="162">
        <v>84.999987727520178</v>
      </c>
      <c r="AP233" s="162">
        <v>-29.99999566853656</v>
      </c>
      <c r="AQ233" s="162">
        <v>0</v>
      </c>
      <c r="AR233" s="710" t="str">
        <v>1613.par</v>
      </c>
      <c r="AV233" s="82" t="str">
        <v>255,127,0</v>
      </c>
      <c r="AW233" s="947">
        <v>86.1</v>
      </c>
      <c r="AX233" s="947">
        <v>84.999987727520178</v>
      </c>
      <c r="AY233" s="947">
        <v>0</v>
      </c>
    </row>
    <row r="234" spans="2:51" x14ac:dyDescent="0.25">
      <c r="B234" s="650">
        <v>-4.5387830823400126</v>
      </c>
      <c r="C234" s="651">
        <v>-0.17716251923207604</v>
      </c>
      <c r="D234" s="652">
        <v>-3.4920715105824707</v>
      </c>
      <c r="E234" s="653">
        <v>-0.99692510629114583</v>
      </c>
      <c r="F234" s="651">
        <v>-3.8913021422735096E-2</v>
      </c>
      <c r="G234" s="654">
        <v>6.801550712992907E-2</v>
      </c>
      <c r="H234" s="653">
        <v>0.25700000000000001</v>
      </c>
      <c r="I234" s="920">
        <v>0.41499999999999992</v>
      </c>
      <c r="J234" s="924">
        <v>5.2450000000000001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40" t="s">
        <v>424</v>
      </c>
      <c r="M234" s="981">
        <f>IFERROR(INDEX([1]List!$AG$1:$AG$65536,MATCH(RIGHT((J234*1000),2),[1]List!$AI$1:$AI$65536,0))*-1,"")</f>
        <v>-86.1</v>
      </c>
      <c r="N234" s="941"/>
      <c r="O234" s="942"/>
      <c r="Q234" s="162">
        <f t="shared" si="1075"/>
        <v>-3.5097512607738137</v>
      </c>
      <c r="R234" s="162">
        <f t="shared" si="1076"/>
        <v>2.5828879036799415</v>
      </c>
      <c r="S234" s="162">
        <f t="shared" si="1077"/>
        <v>-1.8099054586748633</v>
      </c>
      <c r="T234" s="162">
        <f t="shared" si="1078"/>
        <v>-0.84649296030008236</v>
      </c>
      <c r="U234" s="162">
        <f t="shared" si="1079"/>
        <v>-0.4992524710156645</v>
      </c>
      <c r="V234" s="162">
        <f t="shared" si="1080"/>
        <v>0.1849233309973527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1"/>
        <v>0.52</v>
      </c>
      <c r="Y234" s="75">
        <v>6.1319999999999997</v>
      </c>
      <c r="Z234" s="917">
        <f t="shared" si="1082"/>
        <v>1613</v>
      </c>
      <c r="AA234" s="82"/>
      <c r="AB234" s="75"/>
      <c r="AC234" s="75"/>
      <c r="AD234" s="166"/>
      <c r="AE234" s="75">
        <v>1.135</v>
      </c>
      <c r="AF234" s="82">
        <v>1</v>
      </c>
      <c r="AG234" s="82">
        <v>1</v>
      </c>
      <c r="AH234" s="82">
        <v>1</v>
      </c>
      <c r="AI234" s="82">
        <v>1.000000000003638</v>
      </c>
      <c r="AJ234" s="166">
        <v>1.1351100000000001</v>
      </c>
      <c r="AK234" s="82" t="str">
        <v>Base</v>
      </c>
      <c r="AL234" s="162">
        <v>-18</v>
      </c>
      <c r="AM234" s="162">
        <v>-4.460813453813377</v>
      </c>
      <c r="AN234" s="162">
        <v>-2.1685634903415618</v>
      </c>
      <c r="AO234" s="162">
        <v>72.121201708198925</v>
      </c>
      <c r="AP234" s="162">
        <v>-27.083329422984274</v>
      </c>
      <c r="AQ234" s="162">
        <v>0</v>
      </c>
      <c r="AR234" s="710" t="str">
        <v>1613 Ripper.par</v>
      </c>
      <c r="AV234" s="82" t="str">
        <v>255,127,0</v>
      </c>
      <c r="AW234" s="947">
        <v>76.5</v>
      </c>
      <c r="AX234" s="947">
        <v>72.121201708198925</v>
      </c>
      <c r="AY234" s="947">
        <v>0</v>
      </c>
    </row>
    <row r="235" spans="2:51" x14ac:dyDescent="0.25">
      <c r="B235" s="650">
        <v>-4.4784635123812588</v>
      </c>
      <c r="C235" s="651">
        <v>-1.1749016453454786</v>
      </c>
      <c r="D235" s="652">
        <v>-8.3750252590761818</v>
      </c>
      <c r="E235" s="653">
        <v>-0.41791229344798464</v>
      </c>
      <c r="F235" s="651">
        <v>-0.90160444509235038</v>
      </c>
      <c r="G235" s="654">
        <v>-0.11161872412261609</v>
      </c>
      <c r="H235" s="653">
        <v>0.26600000000000001</v>
      </c>
      <c r="I235" s="920">
        <v>0.52</v>
      </c>
      <c r="J235" s="924">
        <v>5.399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420</v>
      </c>
      <c r="M235" s="981">
        <f>IFERROR(INDEX([1]List!$AG$1:$AG$65536,MATCH(RIGHT((J235*1000),2),[1]List!$AI$1:$AI$65536,0))*-1,"")</f>
        <v>-90</v>
      </c>
      <c r="N235" s="941"/>
      <c r="O235" s="942" t="s">
        <v>9</v>
      </c>
      <c r="Q235" s="162">
        <f t="shared" si="1075"/>
        <v>-3.6249723163799521</v>
      </c>
      <c r="R235" s="162">
        <f t="shared" si="1076"/>
        <v>2.6921427852277366</v>
      </c>
      <c r="S235" s="162">
        <f t="shared" si="1077"/>
        <v>-2.5410076636791135</v>
      </c>
      <c r="T235" s="162">
        <f t="shared" si="1078"/>
        <v>-0.90341705445689569</v>
      </c>
      <c r="U235" s="162">
        <f t="shared" si="1079"/>
        <v>-0.42025307132114964</v>
      </c>
      <c r="V235" s="162">
        <f t="shared" si="1080"/>
        <v>8.4999892715034525E-2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1"/>
        <v>0.52</v>
      </c>
      <c r="Y235" s="75">
        <v>6.1379999999999999</v>
      </c>
      <c r="Z235" s="917">
        <f t="shared" si="1082"/>
        <v>1613</v>
      </c>
      <c r="AA235" s="82"/>
      <c r="AB235" s="75"/>
      <c r="AC235" s="75"/>
      <c r="AD235" s="166"/>
      <c r="AE235" s="75">
        <v>1.129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1.1291100000000001</v>
      </c>
      <c r="AK235" s="82" t="str">
        <v>Base</v>
      </c>
      <c r="AL235" s="162">
        <v>-18</v>
      </c>
      <c r="AM235" s="162">
        <v>-4.2071126886518693</v>
      </c>
      <c r="AN235" s="162">
        <v>-1.4653391463168346</v>
      </c>
      <c r="AO235" s="162">
        <v>56.666658485013478</v>
      </c>
      <c r="AP235" s="162">
        <v>-23.583329928321742</v>
      </c>
      <c r="AQ235" s="162">
        <v>0</v>
      </c>
      <c r="AR235" s="710" t="str">
        <v>1613 Ripper.par</v>
      </c>
      <c r="AV235" s="82" t="str">
        <v>255,127,0</v>
      </c>
      <c r="AW235" s="947">
        <v>59.699999999999989</v>
      </c>
      <c r="AX235" s="947">
        <v>56.666658485013478</v>
      </c>
      <c r="AY235" s="947">
        <v>0</v>
      </c>
    </row>
    <row r="236" spans="2:51" x14ac:dyDescent="0.25">
      <c r="B236" s="650">
        <v>-2.3357809104344738</v>
      </c>
      <c r="C236" s="651">
        <v>1.5969489914471684</v>
      </c>
      <c r="D236" s="652">
        <v>-0.26240079140078654</v>
      </c>
      <c r="E236" s="653">
        <v>-0.61295578230065662</v>
      </c>
      <c r="F236" s="651">
        <v>-0.74537773521120332</v>
      </c>
      <c r="G236" s="654">
        <v>0.2621015848780916</v>
      </c>
      <c r="H236" s="653">
        <v>0.314</v>
      </c>
      <c r="I236" s="920">
        <v>0.52</v>
      </c>
      <c r="J236" s="924">
        <v>6.1139999999999999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940" t="s">
        <v>419</v>
      </c>
      <c r="M236" s="981">
        <f>IFERROR(INDEX([1]List!$AG$1:$AG$65536,MATCH(RIGHT((J236*1000),2),[1]List!$AI$1:$AI$65536,0))*-1,"")</f>
        <v>-16.700000000000003</v>
      </c>
      <c r="N236" s="941"/>
      <c r="O236" s="942"/>
      <c r="Q236" s="162">
        <f t="shared" si="1075"/>
        <v>-3.6622715552436618</v>
      </c>
      <c r="R236" s="162">
        <f t="shared" si="1076"/>
        <v>2.7277857487437056</v>
      </c>
      <c r="S236" s="162">
        <f t="shared" si="1077"/>
        <v>-3.3482100982016556</v>
      </c>
      <c r="T236" s="162">
        <f t="shared" si="1078"/>
        <v>-0.91678237407886598</v>
      </c>
      <c r="U236" s="162">
        <f t="shared" si="1079"/>
        <v>-0.39700256788023841</v>
      </c>
      <c r="V236" s="162">
        <f t="shared" si="1080"/>
        <v>4.3577972357774809E-2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1"/>
        <v>0.52</v>
      </c>
      <c r="Y236" s="75">
        <v>6.1440000000000001</v>
      </c>
      <c r="Z236" s="917">
        <f t="shared" si="1082"/>
        <v>1613</v>
      </c>
      <c r="AA236" s="82"/>
      <c r="AB236" s="75"/>
      <c r="AC236" s="75"/>
      <c r="AD236" s="166"/>
      <c r="AE236" s="75">
        <v>1.123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1.1231100000000001</v>
      </c>
      <c r="AK236" s="82" t="str">
        <v>Base</v>
      </c>
      <c r="AL236" s="162">
        <v>-18</v>
      </c>
      <c r="AM236" s="162">
        <v>-3.7699113700526929</v>
      </c>
      <c r="AN236" s="162">
        <v>-0.8594817620907943</v>
      </c>
      <c r="AO236" s="162">
        <v>41.212115261827954</v>
      </c>
      <c r="AP236" s="162">
        <v>-20.08333043365915</v>
      </c>
      <c r="AQ236" s="162">
        <v>0</v>
      </c>
      <c r="AR236" s="710" t="str">
        <v>1613 Ripper.par</v>
      </c>
      <c r="AV236" s="82" t="str">
        <v>255,127,0</v>
      </c>
      <c r="AW236" s="947">
        <v>42.699999999999989</v>
      </c>
      <c r="AX236" s="947">
        <v>41.212115261827954</v>
      </c>
      <c r="AY236" s="947">
        <v>0</v>
      </c>
    </row>
    <row r="237" spans="2:51" x14ac:dyDescent="0.25">
      <c r="B237" s="650">
        <v>-2.8551282759401388</v>
      </c>
      <c r="C237" s="651">
        <v>2.0058739888520307</v>
      </c>
      <c r="D237" s="652">
        <v>-0.61230184670236976</v>
      </c>
      <c r="E237" s="653">
        <v>-0.68768273508872402</v>
      </c>
      <c r="F237" s="651">
        <v>-0.67695644427518464</v>
      </c>
      <c r="G237" s="654">
        <v>0.26234029125391839</v>
      </c>
      <c r="H237" s="653">
        <v>0.314</v>
      </c>
      <c r="I237" s="920">
        <v>0.52</v>
      </c>
      <c r="J237" s="924">
        <v>6.12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940" t="s">
        <v>419</v>
      </c>
      <c r="M237" s="981">
        <f>IFERROR(INDEX([1]List!$AG$1:$AG$65536,MATCH(RIGHT((J237*1000),2),[1]List!$AI$1:$AI$65536,0))*-1,"")</f>
        <v>-34.099999999999994</v>
      </c>
      <c r="N237" s="941"/>
      <c r="O237" s="942"/>
      <c r="Q237" s="162">
        <f t="shared" si="1075"/>
        <v>-2.3069424331752697</v>
      </c>
      <c r="R237" s="162">
        <f t="shared" si="1076"/>
        <v>2.6438584549919533</v>
      </c>
      <c r="S237" s="162">
        <f t="shared" si="1077"/>
        <v>-0.5904447393374449</v>
      </c>
      <c r="T237" s="162">
        <f t="shared" si="1078"/>
        <v>-0.83553353053876267</v>
      </c>
      <c r="U237" s="162">
        <f t="shared" si="1079"/>
        <v>-0.43904119752598897</v>
      </c>
      <c r="V237" s="162">
        <f t="shared" si="1080"/>
        <v>0.33034307351657316</v>
      </c>
      <c r="W237" s="162">
        <f>IFERROR(IF(ISNUMBER(MATCH($Z237,Settings!$AK$28:$AK$36,0)),INDEX(Settings!$AO$14:$AO$36,MATCH($Z237,Settings!$AK$14:$AK$36,0))/2,INDEX(Settings!$AM$14:$AM$36,MATCH($Z237,Settings!$AK$14:$AK$36,0))/2),"")</f>
        <v>0.26450000000000001</v>
      </c>
      <c r="X237" s="162">
        <f t="shared" si="1081"/>
        <v>0.39400000000000002</v>
      </c>
      <c r="Y237" s="75">
        <v>6.22</v>
      </c>
      <c r="Z237" s="917">
        <f t="shared" si="1082"/>
        <v>1310</v>
      </c>
      <c r="AA237" s="82"/>
      <c r="AB237" s="75"/>
      <c r="AC237" s="75"/>
      <c r="AD237" s="166"/>
      <c r="AE237" s="75">
        <v>1.117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1.11711</v>
      </c>
      <c r="AK237" s="82" t="str">
        <v>Base</v>
      </c>
      <c r="AL237" s="162">
        <v>-18</v>
      </c>
      <c r="AM237" s="162">
        <v>-3.173509571304868</v>
      </c>
      <c r="AN237" s="162">
        <v>-0.41010818288987749</v>
      </c>
      <c r="AO237" s="162">
        <v>25.757572038642298</v>
      </c>
      <c r="AP237" s="162">
        <v>-16.583330938996543</v>
      </c>
      <c r="AQ237" s="162">
        <v>0</v>
      </c>
      <c r="AR237" s="710" t="str">
        <v>1613 Ripper.par</v>
      </c>
      <c r="AV237" s="82" t="str">
        <v>255,127,0</v>
      </c>
      <c r="AW237" s="947">
        <v>25.400000000000006</v>
      </c>
      <c r="AX237" s="947">
        <v>25.757572038642298</v>
      </c>
      <c r="AY237" s="947">
        <v>0</v>
      </c>
    </row>
    <row r="238" spans="2:51" x14ac:dyDescent="0.25">
      <c r="B238" s="650">
        <v>-3.2518807501985538</v>
      </c>
      <c r="C238" s="651">
        <v>2.347057042647624</v>
      </c>
      <c r="D238" s="652">
        <v>-1.1479034620768422</v>
      </c>
      <c r="E238" s="653">
        <v>-0.77064592947556021</v>
      </c>
      <c r="F238" s="651">
        <v>-0.58858056970525707</v>
      </c>
      <c r="G238" s="654">
        <v>0.24429032798738728</v>
      </c>
      <c r="H238" s="653">
        <v>0.314</v>
      </c>
      <c r="I238" s="920">
        <v>0.52</v>
      </c>
      <c r="J238" s="924">
        <v>6.1260000000000003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81">
        <f>IFERROR(INDEX([1]List!$AG$1:$AG$65536,MATCH(RIGHT((J238*1000),2),[1]List!$AI$1:$AI$65536,0))*-1,"")</f>
        <v>-51.199999999999989</v>
      </c>
      <c r="N238" s="941"/>
      <c r="O238" s="942"/>
      <c r="Q238" s="162">
        <f t="shared" si="1075"/>
        <v>-2.7118886936907076</v>
      </c>
      <c r="R238" s="162">
        <f t="shared" si="1076"/>
        <v>2.990889567863543</v>
      </c>
      <c r="S238" s="162">
        <f t="shared" si="1077"/>
        <v>-1.131139543919532</v>
      </c>
      <c r="T238" s="162">
        <f t="shared" si="1078"/>
        <v>-0.88966941254554699</v>
      </c>
      <c r="U238" s="162">
        <f t="shared" si="1079"/>
        <v>-0.34723802294916367</v>
      </c>
      <c r="V238" s="162">
        <f t="shared" si="1080"/>
        <v>0.29650310588460543</v>
      </c>
      <c r="W238" s="162">
        <f>IFERROR(IF(ISNUMBER(MATCH($Z238,Settings!$AK$28:$AK$36,0)),INDEX(Settings!$AO$14:$AO$36,MATCH($Z238,Settings!$AK$14:$AK$36,0))/2,INDEX(Settings!$AM$14:$AM$36,MATCH($Z238,Settings!$AK$14:$AK$36,0))/2),"")</f>
        <v>0.26450000000000001</v>
      </c>
      <c r="X238" s="162">
        <f t="shared" si="1081"/>
        <v>0.52</v>
      </c>
      <c r="Y238" s="75">
        <v>6.226</v>
      </c>
      <c r="Z238" s="917">
        <f t="shared" si="1082"/>
        <v>1313</v>
      </c>
      <c r="AA238" s="82"/>
      <c r="AB238" s="75"/>
      <c r="AC238" s="75"/>
      <c r="AD238" s="166"/>
      <c r="AE238" s="75">
        <v>1.111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1.11111</v>
      </c>
      <c r="AK238" s="82" t="str">
        <v>Base</v>
      </c>
      <c r="AL238" s="162">
        <v>-18</v>
      </c>
      <c r="AM238" s="162">
        <v>-2.4657074365736289</v>
      </c>
      <c r="AN238" s="162">
        <v>-0.17323107824086792</v>
      </c>
      <c r="AO238" s="162">
        <v>10.303028815456972</v>
      </c>
      <c r="AP238" s="162">
        <v>-15.99999768988615</v>
      </c>
      <c r="AQ238" s="162">
        <v>0</v>
      </c>
      <c r="AR238" s="710" t="str">
        <v>1613 Ripper.par</v>
      </c>
      <c r="AV238" s="82" t="str">
        <v>255,127,0</v>
      </c>
      <c r="AW238" s="947">
        <v>8</v>
      </c>
      <c r="AX238" s="947">
        <v>10.303028815456972</v>
      </c>
      <c r="AY238" s="947">
        <v>0</v>
      </c>
    </row>
    <row r="239" spans="2:51" x14ac:dyDescent="0.25">
      <c r="B239" s="650">
        <v>-3.5097512607738137</v>
      </c>
      <c r="C239" s="651">
        <v>2.5828879036799415</v>
      </c>
      <c r="D239" s="652">
        <v>-1.8099054586748633</v>
      </c>
      <c r="E239" s="653">
        <v>-0.84649296030008236</v>
      </c>
      <c r="F239" s="651">
        <v>-0.4992524710156645</v>
      </c>
      <c r="G239" s="654">
        <v>0.1849233309973527</v>
      </c>
      <c r="H239" s="653">
        <v>0.314</v>
      </c>
      <c r="I239" s="920">
        <v>0.52</v>
      </c>
      <c r="J239" s="924">
        <v>6.1319999999999997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81">
        <f>IFERROR(INDEX([1]List!$AG$1:$AG$65536,MATCH(RIGHT((J239*1000),2),[1]List!$AI$1:$AI$65536,0))*-1,"")</f>
        <v>-68.099999999999994</v>
      </c>
      <c r="N239" s="941"/>
      <c r="O239" s="942"/>
      <c r="Q239" s="162">
        <f t="shared" si="1075"/>
        <v>-2.5713330420730136</v>
      </c>
      <c r="R239" s="162">
        <f t="shared" si="1076"/>
        <v>3.505808714722026</v>
      </c>
      <c r="S239" s="162">
        <f t="shared" si="1077"/>
        <v>-1.8292000839123381</v>
      </c>
      <c r="T239" s="162">
        <f t="shared" si="1078"/>
        <v>-0.54874504093998222</v>
      </c>
      <c r="U239" s="162">
        <f t="shared" si="1079"/>
        <v>0.74817035180200475</v>
      </c>
      <c r="V239" s="162">
        <f t="shared" si="1080"/>
        <v>0.3729879418000559</v>
      </c>
      <c r="W239" s="162">
        <f>IFERROR(IF(ISNUMBER(MATCH($Z239,Settings!$AK$28:$AK$36,0)),INDEX(Settings!$AO$14:$AO$36,MATCH($Z239,Settings!$AK$14:$AK$36,0))/2,INDEX(Settings!$AM$14:$AM$36,MATCH($Z239,Settings!$AK$14:$AK$36,0))/2),"")</f>
        <v>0.255</v>
      </c>
      <c r="X239" s="162">
        <f t="shared" si="1081"/>
        <v>0.41499999999999992</v>
      </c>
      <c r="Y239" s="75">
        <v>6.2320000000000002</v>
      </c>
      <c r="Z239" s="917" t="str">
        <f t="shared" si="1082"/>
        <v>CPS-32193r1</v>
      </c>
      <c r="AA239" s="82"/>
      <c r="AB239" s="75"/>
      <c r="AC239" s="75"/>
      <c r="AD239" s="166"/>
      <c r="AE239" s="75">
        <v>1.107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1.10711</v>
      </c>
      <c r="AK239" s="82" t="str">
        <v>Base</v>
      </c>
      <c r="AL239" s="162">
        <v>-18</v>
      </c>
      <c r="AM239" s="162">
        <v>-1.7387052439350157</v>
      </c>
      <c r="AN239" s="162">
        <v>-0.18020054348574863</v>
      </c>
      <c r="AO239" s="162">
        <v>0</v>
      </c>
      <c r="AP239" s="162">
        <v>-15.99999768988615</v>
      </c>
      <c r="AQ239" s="162">
        <v>0</v>
      </c>
      <c r="AR239" s="710" t="str">
        <v>1613.par</v>
      </c>
      <c r="AV239" s="82" t="str">
        <v>255,127,0</v>
      </c>
      <c r="AW239" s="947">
        <v>-9.9000000000000057</v>
      </c>
      <c r="AX239" s="947">
        <v>0</v>
      </c>
      <c r="AY239" s="947">
        <v>0</v>
      </c>
    </row>
    <row r="240" spans="2:51" x14ac:dyDescent="0.25">
      <c r="B240" s="650">
        <v>-3.6249723163799521</v>
      </c>
      <c r="C240" s="651">
        <v>2.6921427852277366</v>
      </c>
      <c r="D240" s="652">
        <v>-2.5410076636791135</v>
      </c>
      <c r="E240" s="653">
        <v>-0.90341705445689569</v>
      </c>
      <c r="F240" s="651">
        <v>-0.42025307132114964</v>
      </c>
      <c r="G240" s="654">
        <v>8.4999892715034525E-2</v>
      </c>
      <c r="H240" s="653">
        <v>0.314</v>
      </c>
      <c r="I240" s="920">
        <v>0.52</v>
      </c>
      <c r="J240" s="924">
        <v>6.1379999999999999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81">
        <f>IFERROR(INDEX([1]List!$AG$1:$AG$65536,MATCH(RIGHT((J240*1000),2),[1]List!$AI$1:$AI$65536,0))*-1,"")</f>
        <v>-84.9</v>
      </c>
      <c r="N240" s="941"/>
      <c r="O240" s="942"/>
      <c r="Q240" s="162">
        <f t="shared" si="1075"/>
        <v>-2.5781789693426949</v>
      </c>
      <c r="R240" s="162">
        <f t="shared" si="1076"/>
        <v>3.6818204793621847</v>
      </c>
      <c r="S240" s="162">
        <f t="shared" si="1077"/>
        <v>-2.5600212145340144</v>
      </c>
      <c r="T240" s="162">
        <f t="shared" si="1078"/>
        <v>-0.57132656778701074</v>
      </c>
      <c r="U240" s="162">
        <f t="shared" si="1079"/>
        <v>0.81589442885658725</v>
      </c>
      <c r="V240" s="162">
        <f t="shared" si="1080"/>
        <v>8.8894509962637966E-2</v>
      </c>
      <c r="W240" s="162">
        <f>IFERROR(IF(ISNUMBER(MATCH($Z240,Settings!$AK$28:$AK$36,0)),INDEX(Settings!$AO$14:$AO$36,MATCH($Z240,Settings!$AK$14:$AK$36,0))/2,INDEX(Settings!$AM$14:$AM$36,MATCH($Z240,Settings!$AK$14:$AK$36,0))/2),"")</f>
        <v>0.255</v>
      </c>
      <c r="X240" s="162">
        <f t="shared" si="1081"/>
        <v>0.41499999999999992</v>
      </c>
      <c r="Y240" s="75">
        <v>6.2380000000000004</v>
      </c>
      <c r="Z240" s="917" t="str">
        <f t="shared" si="1082"/>
        <v>CPS-32193r1</v>
      </c>
      <c r="AA240" s="82"/>
      <c r="AB240" s="75"/>
      <c r="AC240" s="75"/>
      <c r="AD240" s="166"/>
      <c r="AE240" s="75">
        <v>1.1040000000000001</v>
      </c>
      <c r="AF240" s="82">
        <v>1</v>
      </c>
      <c r="AG240" s="82">
        <v>1</v>
      </c>
      <c r="AH240" s="82">
        <v>1</v>
      </c>
      <c r="AI240" s="82">
        <v>1.0000000000218279</v>
      </c>
      <c r="AJ240" s="166">
        <v>1.1041100000000001</v>
      </c>
      <c r="AK240" s="82" t="str">
        <v>Base</v>
      </c>
      <c r="AL240" s="162">
        <v>-18</v>
      </c>
      <c r="AM240" s="162">
        <v>-1.0375031291094376</v>
      </c>
      <c r="AN240" s="162">
        <v>-0.39810120067867827</v>
      </c>
      <c r="AO240" s="162">
        <v>-2.9999995668536554</v>
      </c>
      <c r="AP240" s="162">
        <v>-15.99999768988615</v>
      </c>
      <c r="AQ240" s="162">
        <v>0</v>
      </c>
      <c r="AR240" s="710" t="str">
        <v>1613.par</v>
      </c>
      <c r="AV240" s="82" t="str">
        <v>255,127,0</v>
      </c>
      <c r="AW240" s="947">
        <v>-20</v>
      </c>
      <c r="AX240" s="947">
        <v>-2.9999995668536554</v>
      </c>
      <c r="AY240" s="947">
        <v>0</v>
      </c>
    </row>
    <row r="241" spans="2:51" x14ac:dyDescent="0.25">
      <c r="B241" s="650">
        <v>-3.6622715552436618</v>
      </c>
      <c r="C241" s="651">
        <v>2.7277857487437056</v>
      </c>
      <c r="D241" s="652">
        <v>-3.3482100982016556</v>
      </c>
      <c r="E241" s="653">
        <v>-0.91678237407886598</v>
      </c>
      <c r="F241" s="651">
        <v>-0.39700256788023841</v>
      </c>
      <c r="G241" s="654">
        <v>4.3577972357774809E-2</v>
      </c>
      <c r="H241" s="653">
        <v>0.314</v>
      </c>
      <c r="I241" s="920">
        <v>0.52</v>
      </c>
      <c r="J241" s="924">
        <v>6.1440000000000001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81">
        <f>IFERROR(INDEX([1]List!$AG$1:$AG$65536,MATCH(RIGHT((J241*1000),2),[1]List!$AI$1:$AI$65536,0))*-1,"")</f>
        <v>-86.1</v>
      </c>
      <c r="N241" s="941"/>
      <c r="O241" s="942"/>
      <c r="Q241" s="162">
        <f t="shared" si="1075"/>
        <v>-2.5075619836817564</v>
      </c>
      <c r="R241" s="162">
        <f t="shared" si="1076"/>
        <v>3.787356772836509</v>
      </c>
      <c r="S241" s="162">
        <f t="shared" si="1077"/>
        <v>-3.3668438440020725</v>
      </c>
      <c r="T241" s="162">
        <f t="shared" si="1078"/>
        <v>-0.55077571493563193</v>
      </c>
      <c r="U241" s="162">
        <f t="shared" si="1079"/>
        <v>0.83187739639144065</v>
      </c>
      <c r="V241" s="162">
        <f t="shared" si="1080"/>
        <v>6.8015507129929431E-2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1"/>
        <v>0.41499999999999992</v>
      </c>
      <c r="Y241" s="75">
        <v>6.2439999999999998</v>
      </c>
      <c r="Z241" s="917" t="str">
        <f t="shared" si="1082"/>
        <v>CPS-32193r1</v>
      </c>
      <c r="AA241" s="82"/>
      <c r="AB241" s="75"/>
      <c r="AC241" s="75"/>
      <c r="AD241" s="166"/>
      <c r="AE241" s="75">
        <v>1.101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1.10111</v>
      </c>
      <c r="AK241" s="82" t="str">
        <v>Base</v>
      </c>
      <c r="AL241" s="162">
        <v>-18</v>
      </c>
      <c r="AM241" s="162">
        <v>-0.34210103177671186</v>
      </c>
      <c r="AN241" s="162">
        <v>-0.65130196432763388</v>
      </c>
      <c r="AO241" s="162">
        <v>-8.9999987005609601</v>
      </c>
      <c r="AP241" s="162">
        <v>-21.999996823593442</v>
      </c>
      <c r="AQ241" s="162">
        <v>0</v>
      </c>
      <c r="AR241" s="710" t="str">
        <v>1613.par</v>
      </c>
      <c r="AV241" s="82" t="str">
        <v>255,127,0</v>
      </c>
      <c r="AW241" s="947">
        <v>-20</v>
      </c>
      <c r="AX241" s="947">
        <v>-8.9999987005609601</v>
      </c>
      <c r="AY241" s="947">
        <v>0</v>
      </c>
    </row>
    <row r="242" spans="2:51" x14ac:dyDescent="0.25">
      <c r="B242" s="650">
        <v>-2.3069424331752697</v>
      </c>
      <c r="C242" s="651">
        <v>2.6438584549919533</v>
      </c>
      <c r="D242" s="652">
        <v>-0.5904447393374449</v>
      </c>
      <c r="E242" s="653">
        <v>-0.83553353053876267</v>
      </c>
      <c r="F242" s="651">
        <v>-0.43904119752598897</v>
      </c>
      <c r="G242" s="654">
        <v>0.33034307351657316</v>
      </c>
      <c r="H242" s="653">
        <v>0.26600000000000001</v>
      </c>
      <c r="I242" s="920">
        <v>0.39400000000000002</v>
      </c>
      <c r="J242" s="924">
        <v>6.22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1310</v>
      </c>
      <c r="L242" s="940" t="s">
        <v>423</v>
      </c>
      <c r="M242" s="981">
        <f>IFERROR(INDEX([1]List!$AG$1:$AG$65536,MATCH(RIGHT((J242*1000),2),[1]List!$AI$1:$AI$65536,0))*-1,"")</f>
        <v>-34.099999999999994</v>
      </c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6.2439999999999998</v>
      </c>
      <c r="AF242" s="82">
        <v>6</v>
      </c>
      <c r="AG242" s="82">
        <v>2</v>
      </c>
      <c r="AH242" s="82">
        <v>2</v>
      </c>
      <c r="AI242" s="82">
        <v>0.99999999998544808</v>
      </c>
      <c r="AJ242" s="166">
        <v>6.2442099999999998</v>
      </c>
      <c r="AK242" s="82">
        <v>6.24411</v>
      </c>
      <c r="AL242" s="162">
        <v>0</v>
      </c>
      <c r="AM242" s="162">
        <v>0</v>
      </c>
      <c r="AN242" s="162">
        <v>0</v>
      </c>
      <c r="AO242" s="162">
        <v>1.2431300163484593E-5</v>
      </c>
      <c r="AP242" s="162">
        <v>0</v>
      </c>
      <c r="AQ242" s="162">
        <v>0</v>
      </c>
      <c r="AR242" s="710" t="str">
        <v>32193r1.par</v>
      </c>
      <c r="AV242" s="82" t="str">
        <v>188,121,255</v>
      </c>
      <c r="AW242" s="947">
        <v>86.1</v>
      </c>
      <c r="AX242" s="947">
        <v>86.099987568699831</v>
      </c>
      <c r="AY242" s="947">
        <v>1.2431300163484593E-5</v>
      </c>
    </row>
    <row r="243" spans="2:51" x14ac:dyDescent="0.25">
      <c r="B243" s="650">
        <v>-2.7118886936907076</v>
      </c>
      <c r="C243" s="651">
        <v>2.990889567863543</v>
      </c>
      <c r="D243" s="652">
        <v>-1.131139543919532</v>
      </c>
      <c r="E243" s="653">
        <v>-0.88966941254554699</v>
      </c>
      <c r="F243" s="651">
        <v>-0.34723802294916367</v>
      </c>
      <c r="G243" s="654">
        <v>0.29650310588460543</v>
      </c>
      <c r="H243" s="653">
        <v>0.26600000000000001</v>
      </c>
      <c r="I243" s="920">
        <v>0.52</v>
      </c>
      <c r="J243" s="924">
        <v>6.226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1313</v>
      </c>
      <c r="L243" s="940" t="s">
        <v>420</v>
      </c>
      <c r="M243" s="981">
        <f>IFERROR(INDEX([1]List!$AG$1:$AG$65536,MATCH(RIGHT((J243*1000),2),[1]List!$AI$1:$AI$65536,0))*-1,"")</f>
        <v>-51.199999999999989</v>
      </c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6.2380000000000004</v>
      </c>
      <c r="AF243" s="82">
        <v>6</v>
      </c>
      <c r="AG243" s="82">
        <v>2</v>
      </c>
      <c r="AH243" s="82">
        <v>2</v>
      </c>
      <c r="AI243" s="82">
        <v>1.0000000000582077</v>
      </c>
      <c r="AJ243" s="166">
        <v>6.2382100000000005</v>
      </c>
      <c r="AK243" s="82">
        <v>6.2381100000000007</v>
      </c>
      <c r="AL243" s="162">
        <v>0</v>
      </c>
      <c r="AM243" s="162">
        <v>0</v>
      </c>
      <c r="AN243" s="162">
        <v>0</v>
      </c>
      <c r="AO243" s="162">
        <v>1.2258041579116252E-5</v>
      </c>
      <c r="AP243" s="162">
        <v>0</v>
      </c>
      <c r="AQ243" s="162">
        <v>0</v>
      </c>
      <c r="AR243" s="710" t="str">
        <v>32193r1.par</v>
      </c>
      <c r="AV243" s="82" t="str">
        <v>188,121,255</v>
      </c>
      <c r="AW243" s="947">
        <v>84.9</v>
      </c>
      <c r="AX243" s="947">
        <v>84.899987741958427</v>
      </c>
      <c r="AY243" s="947">
        <v>1.2258041579116252E-5</v>
      </c>
    </row>
    <row r="244" spans="2:51" x14ac:dyDescent="0.25">
      <c r="B244" s="650">
        <v>-2.5713330420730136</v>
      </c>
      <c r="C244" s="651">
        <v>3.505808714722026</v>
      </c>
      <c r="D244" s="652">
        <v>-1.8292000839123381</v>
      </c>
      <c r="E244" s="653">
        <v>-0.54874504093998222</v>
      </c>
      <c r="F244" s="651">
        <v>0.74817035180200475</v>
      </c>
      <c r="G244" s="654">
        <v>0.3729879418000559</v>
      </c>
      <c r="H244" s="653">
        <v>0.25700000000000001</v>
      </c>
      <c r="I244" s="920">
        <v>0.41499999999999992</v>
      </c>
      <c r="J244" s="924">
        <v>6.2320000000000002</v>
      </c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CPS-32193r1</v>
      </c>
      <c r="L244" s="940" t="s">
        <v>424</v>
      </c>
      <c r="M244" s="981">
        <f>IFERROR(INDEX([1]List!$AG$1:$AG$65536,MATCH(RIGHT((J244*1000),2),[1]List!$AI$1:$AI$65536,0))*-1,"")</f>
        <v>-68.099999999999994</v>
      </c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6.2320000000000002</v>
      </c>
      <c r="AF244" s="82">
        <v>6</v>
      </c>
      <c r="AG244" s="82">
        <v>2</v>
      </c>
      <c r="AH244" s="82">
        <v>2</v>
      </c>
      <c r="AI244" s="82">
        <v>1.0000000000582077</v>
      </c>
      <c r="AJ244" s="166">
        <v>6.2322100000000002</v>
      </c>
      <c r="AK244" s="82">
        <v>6.2321100000000005</v>
      </c>
      <c r="AL244" s="162">
        <v>0</v>
      </c>
      <c r="AM244" s="162">
        <v>0</v>
      </c>
      <c r="AN244" s="162">
        <v>0</v>
      </c>
      <c r="AO244" s="162">
        <v>9.8324220658696504E-6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68.099999999999994</v>
      </c>
      <c r="AX244" s="947">
        <v>68.099990167577928</v>
      </c>
      <c r="AY244" s="947">
        <v>9.8324220658696504E-6</v>
      </c>
    </row>
    <row r="245" spans="2:51" x14ac:dyDescent="0.25">
      <c r="B245" s="650">
        <v>-2.5781789693426949</v>
      </c>
      <c r="C245" s="651">
        <v>3.6818204793621847</v>
      </c>
      <c r="D245" s="652">
        <v>-2.5600212145340144</v>
      </c>
      <c r="E245" s="653">
        <v>-0.57132656778701074</v>
      </c>
      <c r="F245" s="651">
        <v>0.81589442885658725</v>
      </c>
      <c r="G245" s="654">
        <v>8.8894509962637966E-2</v>
      </c>
      <c r="H245" s="653">
        <v>0.25700000000000001</v>
      </c>
      <c r="I245" s="920">
        <v>0.41499999999999992</v>
      </c>
      <c r="J245" s="924">
        <v>6.2380000000000004</v>
      </c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CPS-32193r1</v>
      </c>
      <c r="L245" s="940" t="s">
        <v>424</v>
      </c>
      <c r="M245" s="981">
        <f>IFERROR(INDEX([1]List!$AG$1:$AG$65536,MATCH(RIGHT((J245*1000),2),[1]List!$AI$1:$AI$65536,0))*-1,"")</f>
        <v>-84.9</v>
      </c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6.226</v>
      </c>
      <c r="AF245" s="82">
        <v>6</v>
      </c>
      <c r="AG245" s="82">
        <v>2</v>
      </c>
      <c r="AH245" s="82">
        <v>2</v>
      </c>
      <c r="AI245" s="82">
        <v>0.99999999998544808</v>
      </c>
      <c r="AJ245" s="166">
        <v>6.22621</v>
      </c>
      <c r="AK245" s="82">
        <v>6.2261100000000003</v>
      </c>
      <c r="AL245" s="162">
        <v>0</v>
      </c>
      <c r="AM245" s="162">
        <v>0</v>
      </c>
      <c r="AN245" s="162">
        <v>0</v>
      </c>
      <c r="AO245" s="162">
        <v>2.2606131265792513</v>
      </c>
      <c r="AP245" s="162">
        <v>0</v>
      </c>
      <c r="AQ245" s="162">
        <v>0</v>
      </c>
      <c r="AR245" s="710" t="str">
        <v>1313.par</v>
      </c>
      <c r="AV245" s="82" t="str">
        <v>188,121,255</v>
      </c>
      <c r="AW245" s="947">
        <v>51.199999999999989</v>
      </c>
      <c r="AX245" s="947">
        <v>48.939386873420737</v>
      </c>
      <c r="AY245" s="947">
        <v>2.2606131265792513</v>
      </c>
    </row>
    <row r="246" spans="2:51" x14ac:dyDescent="0.25">
      <c r="B246" s="650">
        <v>-2.5075619836817564</v>
      </c>
      <c r="C246" s="651">
        <v>3.787356772836509</v>
      </c>
      <c r="D246" s="652">
        <v>-3.3668438440020725</v>
      </c>
      <c r="E246" s="653">
        <v>-0.55077571493563193</v>
      </c>
      <c r="F246" s="651">
        <v>0.83187739639144065</v>
      </c>
      <c r="G246" s="654">
        <v>6.8015507129929431E-2</v>
      </c>
      <c r="H246" s="653">
        <v>0.25700000000000001</v>
      </c>
      <c r="I246" s="920">
        <v>0.41499999999999992</v>
      </c>
      <c r="J246" s="924">
        <v>6.2439999999999998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424</v>
      </c>
      <c r="M246" s="981">
        <f>IFERROR(INDEX([1]List!$AG$1:$AG$65536,MATCH(RIGHT((J246*1000),2),[1]List!$AI$1:$AI$65536,0))*-1,"")</f>
        <v>-86.1</v>
      </c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6.22</v>
      </c>
      <c r="AF246" s="82">
        <v>6</v>
      </c>
      <c r="AG246" s="82">
        <v>2</v>
      </c>
      <c r="AH246" s="82">
        <v>2</v>
      </c>
      <c r="AI246" s="82">
        <v>0.99999999998544808</v>
      </c>
      <c r="AJ246" s="166">
        <v>6.2202099999999998</v>
      </c>
      <c r="AK246" s="82">
        <v>6.22011</v>
      </c>
      <c r="AL246" s="162">
        <v>0</v>
      </c>
      <c r="AM246" s="162">
        <v>0</v>
      </c>
      <c r="AN246" s="162">
        <v>0</v>
      </c>
      <c r="AO246" s="162">
        <v>0.61515634976477429</v>
      </c>
      <c r="AP246" s="162">
        <v>0</v>
      </c>
      <c r="AQ246" s="162">
        <v>0</v>
      </c>
      <c r="AR246" s="710" t="str">
        <v>1310.par</v>
      </c>
      <c r="AV246" s="82" t="str">
        <v>188,121,255</v>
      </c>
      <c r="AW246" s="947">
        <v>34.099999999999994</v>
      </c>
      <c r="AX246" s="947">
        <v>33.48484365023522</v>
      </c>
      <c r="AY246" s="947">
        <v>0.61515634976477429</v>
      </c>
    </row>
    <row r="247" spans="2:51" x14ac:dyDescent="0.25">
      <c r="B247" s="650">
        <v>-3.313666978674723</v>
      </c>
      <c r="C247" s="651">
        <v>3.2336729059084699</v>
      </c>
      <c r="D247" s="652">
        <v>-8.37502525907618</v>
      </c>
      <c r="E247" s="653">
        <v>-0.98806657581900059</v>
      </c>
      <c r="F247" s="651">
        <v>-0.10614001212810766</v>
      </c>
      <c r="G247" s="654">
        <v>-0.11161872412261596</v>
      </c>
      <c r="H247" s="653">
        <v>0.26600000000000001</v>
      </c>
      <c r="I247" s="920">
        <v>0.52</v>
      </c>
      <c r="J247" s="924">
        <v>6.399</v>
      </c>
      <c r="K247" s="790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1313</v>
      </c>
      <c r="L247" s="940" t="s">
        <v>420</v>
      </c>
      <c r="M247" s="981">
        <f>IFERROR(INDEX([1]List!$AG$1:$AG$65536,MATCH(RIGHT((J247*1000),2),[1]List!$AI$1:$AI$65536,0))*-1,"")</f>
        <v>-90</v>
      </c>
      <c r="N247" s="941"/>
      <c r="O247" s="942" t="s">
        <v>9</v>
      </c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6.1440000000000001</v>
      </c>
      <c r="AF247" s="82">
        <v>6</v>
      </c>
      <c r="AG247" s="82">
        <v>1</v>
      </c>
      <c r="AH247" s="82">
        <v>2</v>
      </c>
      <c r="AI247" s="82">
        <v>0.99999999998544808</v>
      </c>
      <c r="AJ247" s="166">
        <v>6.1442100000000002</v>
      </c>
      <c r="AK247" s="82">
        <v>6.1441100000000004</v>
      </c>
      <c r="AL247" s="162">
        <v>0</v>
      </c>
      <c r="AM247" s="162">
        <v>0</v>
      </c>
      <c r="AN247" s="162">
        <v>0</v>
      </c>
      <c r="AO247" s="162">
        <v>1.100012272479816</v>
      </c>
      <c r="AP247" s="162">
        <v>0</v>
      </c>
      <c r="AQ247" s="162">
        <v>0</v>
      </c>
      <c r="AR247" s="710" t="str">
        <v>1613.par</v>
      </c>
      <c r="AV247" s="82" t="str">
        <v>127,0,255</v>
      </c>
      <c r="AW247" s="947">
        <v>86.1</v>
      </c>
      <c r="AX247" s="947">
        <v>84.999987727520178</v>
      </c>
      <c r="AY247" s="947">
        <v>1.100012272479816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 t="str">
        <f>IFERROR(INDEX([1]List!$AG$1:$AG$65536,MATCH(RIGHT((J248*1000),2),[1]List!$AI$1:$AI$65536,0))*-1,"")</f>
        <v/>
      </c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6.1379999999999999</v>
      </c>
      <c r="AF248" s="82">
        <v>6</v>
      </c>
      <c r="AG248" s="82">
        <v>1</v>
      </c>
      <c r="AH248" s="82">
        <v>2</v>
      </c>
      <c r="AI248" s="82">
        <v>0.99999999998544808</v>
      </c>
      <c r="AJ248" s="166">
        <v>6.1382099999999999</v>
      </c>
      <c r="AK248" s="82">
        <v>6.1381100000000002</v>
      </c>
      <c r="AL248" s="162">
        <v>0</v>
      </c>
      <c r="AM248" s="162">
        <v>0</v>
      </c>
      <c r="AN248" s="162">
        <v>0</v>
      </c>
      <c r="AO248" s="162">
        <v>5.0515266802082976</v>
      </c>
      <c r="AP248" s="162">
        <v>0</v>
      </c>
      <c r="AQ248" s="162">
        <v>0</v>
      </c>
      <c r="AR248" s="710" t="str">
        <v>1613.par</v>
      </c>
      <c r="AV248" s="82" t="str">
        <v>127,0,255</v>
      </c>
      <c r="AW248" s="947">
        <v>84.9</v>
      </c>
      <c r="AX248" s="947">
        <v>79.848473319791708</v>
      </c>
      <c r="AY248" s="947">
        <v>5.0515266802082976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 t="str">
        <f>IFERROR(INDEX([1]List!$AG$1:$AG$65536,MATCH(RIGHT((J249*1000),2),[1]List!$AI$1:$AI$65536,0))*-1,"")</f>
        <v/>
      </c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6.1319999999999997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6.1322099999999997</v>
      </c>
      <c r="AK249" s="82">
        <v>6.1321099999999999</v>
      </c>
      <c r="AL249" s="162">
        <v>0</v>
      </c>
      <c r="AM249" s="162">
        <v>0</v>
      </c>
      <c r="AN249" s="162">
        <v>0</v>
      </c>
      <c r="AO249" s="162">
        <v>3.7060699033938107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68.099999999999994</v>
      </c>
      <c r="AX249" s="947">
        <v>64.393930096606184</v>
      </c>
      <c r="AY249" s="947">
        <v>3.7060699033938107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81" t="str">
        <f>IFERROR(INDEX([1]List!$AG$1:$AG$65536,MATCH(RIGHT((J250*1000),2),[1]List!$AI$1:$AI$65536,0))*-1,"")</f>
        <v/>
      </c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6.1260000000000003</v>
      </c>
      <c r="AF250" s="82">
        <v>6</v>
      </c>
      <c r="AG250" s="82">
        <v>1</v>
      </c>
      <c r="AH250" s="82">
        <v>2</v>
      </c>
      <c r="AI250" s="82">
        <v>1.0000000000582077</v>
      </c>
      <c r="AJ250" s="166">
        <v>6.1262100000000004</v>
      </c>
      <c r="AK250" s="82">
        <v>6.1261100000000006</v>
      </c>
      <c r="AL250" s="162">
        <v>0</v>
      </c>
      <c r="AM250" s="162">
        <v>0</v>
      </c>
      <c r="AN250" s="162">
        <v>0</v>
      </c>
      <c r="AO250" s="162">
        <v>2.2606131265792442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51.199999999999989</v>
      </c>
      <c r="AX250" s="947">
        <v>48.939386873420744</v>
      </c>
      <c r="AY250" s="947">
        <v>2.2606131265792442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81" t="str">
        <f>IFERROR(INDEX([1]List!$AG$1:$AG$65536,MATCH(RIGHT((J251*1000),2),[1]List!$AI$1:$AI$65536,0))*-1,"")</f>
        <v/>
      </c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6.12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6.1202100000000002</v>
      </c>
      <c r="AK251" s="82">
        <v>6.1201100000000004</v>
      </c>
      <c r="AL251" s="162">
        <v>0</v>
      </c>
      <c r="AM251" s="162">
        <v>0</v>
      </c>
      <c r="AN251" s="162">
        <v>0</v>
      </c>
      <c r="AO251" s="162">
        <v>0.61515634976471745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34.099999999999994</v>
      </c>
      <c r="AX251" s="947">
        <v>33.484843650235277</v>
      </c>
      <c r="AY251" s="947">
        <v>0.61515634976471745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81" t="str">
        <f>IFERROR(INDEX([1]List!$AG$1:$AG$65536,MATCH(RIGHT((J252*1000),2),[1]List!$AI$1:$AI$65536,0))*-1,"")</f>
        <v/>
      </c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6.1139999999999999</v>
      </c>
      <c r="AF252" s="82">
        <v>6</v>
      </c>
      <c r="AG252" s="82">
        <v>1</v>
      </c>
      <c r="AH252" s="82">
        <v>2</v>
      </c>
      <c r="AI252" s="82">
        <v>0.99999999998544808</v>
      </c>
      <c r="AJ252" s="166">
        <v>6.1142099999999999</v>
      </c>
      <c r="AK252" s="82">
        <v>6.1141100000000002</v>
      </c>
      <c r="AL252" s="162">
        <v>0</v>
      </c>
      <c r="AM252" s="162">
        <v>0</v>
      </c>
      <c r="AN252" s="162">
        <v>0</v>
      </c>
      <c r="AO252" s="162">
        <v>-1.3303004270497745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16.700000000000003</v>
      </c>
      <c r="AX252" s="947">
        <v>18.030300427049777</v>
      </c>
      <c r="AY252" s="947">
        <v>-1.3303004270497745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81" t="str">
        <f>IFERROR(INDEX([1]List!$AG$1:$AG$65536,MATCH(RIGHT((J253*1000),2),[1]List!$AI$1:$AI$65536,0))*-1,"")</f>
        <v/>
      </c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5.2450000000000001</v>
      </c>
      <c r="AF253" s="82">
        <v>5</v>
      </c>
      <c r="AG253" s="82">
        <v>2</v>
      </c>
      <c r="AH253" s="82">
        <v>2</v>
      </c>
      <c r="AI253" s="82">
        <v>0.99999999998544808</v>
      </c>
      <c r="AJ253" s="166">
        <v>5.2452100000000002</v>
      </c>
      <c r="AK253" s="82">
        <v>5.2451100000000004</v>
      </c>
      <c r="AL253" s="162">
        <v>0</v>
      </c>
      <c r="AM253" s="162">
        <v>0</v>
      </c>
      <c r="AN253" s="162">
        <v>0</v>
      </c>
      <c r="AO253" s="162">
        <v>1.2431300135062884E-5</v>
      </c>
      <c r="AP253" s="162">
        <v>0</v>
      </c>
      <c r="AQ253" s="162">
        <v>0</v>
      </c>
      <c r="AR253" s="710" t="str">
        <v>32193r1.par</v>
      </c>
      <c r="AV253" s="82" t="str">
        <v>121,188,255</v>
      </c>
      <c r="AW253" s="947">
        <v>86.1</v>
      </c>
      <c r="AX253" s="947">
        <v>86.099987568699859</v>
      </c>
      <c r="AY253" s="947">
        <v>1.2431300135062884E-5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81" t="str">
        <f>IFERROR(INDEX([1]List!$AG$1:$AG$65536,MATCH(RIGHT((J254*1000),2),[1]List!$AI$1:$AI$65536,0))*-1,"")</f>
        <v/>
      </c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5.2389999999999999</v>
      </c>
      <c r="AF254" s="82">
        <v>5</v>
      </c>
      <c r="AG254" s="82">
        <v>2</v>
      </c>
      <c r="AH254" s="82">
        <v>2</v>
      </c>
      <c r="AI254" s="82">
        <v>0.99999999998544808</v>
      </c>
      <c r="AJ254" s="166">
        <v>5.2392099999999999</v>
      </c>
      <c r="AK254" s="82">
        <v>5.2391100000000002</v>
      </c>
      <c r="AL254" s="162">
        <v>0</v>
      </c>
      <c r="AM254" s="162">
        <v>0</v>
      </c>
      <c r="AN254" s="162">
        <v>0</v>
      </c>
      <c r="AO254" s="162">
        <v>1.2431300135062884E-5</v>
      </c>
      <c r="AP254" s="162">
        <v>0</v>
      </c>
      <c r="AQ254" s="162">
        <v>0</v>
      </c>
      <c r="AR254" s="710" t="str">
        <v>32193r1.par</v>
      </c>
      <c r="AV254" s="82" t="str">
        <v>121,188,255</v>
      </c>
      <c r="AW254" s="947">
        <v>86.1</v>
      </c>
      <c r="AX254" s="947">
        <v>86.099987568699859</v>
      </c>
      <c r="AY254" s="947">
        <v>1.2431300135062884E-5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81" t="str">
        <f>IFERROR(INDEX([1]List!$AG$1:$AG$65536,MATCH(RIGHT((J255*1000),2),[1]List!$AI$1:$AI$65536,0))*-1,"")</f>
        <v/>
      </c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5.2329999999999997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5.2332099999999997</v>
      </c>
      <c r="AK255" s="82">
        <v>5.2331099999999999</v>
      </c>
      <c r="AL255" s="162">
        <v>0</v>
      </c>
      <c r="AM255" s="162">
        <v>0</v>
      </c>
      <c r="AN255" s="162">
        <v>0</v>
      </c>
      <c r="AO255" s="162">
        <v>3.9303126995295372</v>
      </c>
      <c r="AP255" s="162">
        <v>0</v>
      </c>
      <c r="AQ255" s="162">
        <v>0</v>
      </c>
      <c r="AR255" s="710" t="str">
        <v>1313.par</v>
      </c>
      <c r="AV255" s="82" t="str">
        <v>121,188,255</v>
      </c>
      <c r="AW255" s="947">
        <v>70.900000000000006</v>
      </c>
      <c r="AX255" s="947">
        <v>66.969687300470468</v>
      </c>
      <c r="AY255" s="947">
        <v>3.9303126995295372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81" t="str">
        <f>IFERROR(INDEX([1]List!$AG$1:$AG$65536,MATCH(RIGHT((J256*1000),2),[1]List!$AI$1:$AI$65536,0))*-1,"")</f>
        <v/>
      </c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5.2270000000000003</v>
      </c>
      <c r="AF256" s="82">
        <v>5</v>
      </c>
      <c r="AG256" s="82">
        <v>2</v>
      </c>
      <c r="AH256" s="82">
        <v>2</v>
      </c>
      <c r="AI256" s="82">
        <v>1.0000000000582077</v>
      </c>
      <c r="AJ256" s="166">
        <v>5.2272100000000004</v>
      </c>
      <c r="AK256" s="82">
        <v>5.2271100000000006</v>
      </c>
      <c r="AL256" s="162">
        <v>0</v>
      </c>
      <c r="AM256" s="162">
        <v>0</v>
      </c>
      <c r="AN256" s="162">
        <v>0</v>
      </c>
      <c r="AO256" s="162">
        <v>2.5848559227150503</v>
      </c>
      <c r="AP256" s="162">
        <v>0</v>
      </c>
      <c r="AQ256" s="162">
        <v>0</v>
      </c>
      <c r="AR256" s="710" t="str">
        <v>1313.par</v>
      </c>
      <c r="AV256" s="82" t="str">
        <v>121,188,255</v>
      </c>
      <c r="AW256" s="947">
        <v>54.099999999999994</v>
      </c>
      <c r="AX256" s="947">
        <v>51.515144077284944</v>
      </c>
      <c r="AY256" s="947">
        <v>2.5848559227150503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81" t="str">
        <f>IFERROR(INDEX([1]List!$AG$1:$AG$65536,MATCH(RIGHT((J257*1000),2),[1]List!$AI$1:$AI$65536,0))*-1,"")</f>
        <v/>
      </c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5.2210000000000001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5.2212100000000001</v>
      </c>
      <c r="AK257" s="82">
        <v>5.2211100000000004</v>
      </c>
      <c r="AL257" s="162">
        <v>0</v>
      </c>
      <c r="AM257" s="162">
        <v>0</v>
      </c>
      <c r="AN257" s="162">
        <v>0</v>
      </c>
      <c r="AO257" s="162">
        <v>0.93939914590057327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37</v>
      </c>
      <c r="AX257" s="947">
        <v>36.060600854099427</v>
      </c>
      <c r="AY257" s="947">
        <v>0.93939914590057327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81" t="str">
        <f>IFERROR(INDEX([1]List!$AG$1:$AG$65536,MATCH(RIGHT((J258*1000),2),[1]List!$AI$1:$AI$65536,0))*-1,"")</f>
        <v/>
      </c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5.2149999999999999</v>
      </c>
      <c r="AF258" s="82">
        <v>5</v>
      </c>
      <c r="AG258" s="82">
        <v>2</v>
      </c>
      <c r="AH258" s="82">
        <v>2</v>
      </c>
      <c r="AI258" s="82">
        <v>0.99999999998544808</v>
      </c>
      <c r="AJ258" s="166">
        <v>5.2152099999999999</v>
      </c>
      <c r="AK258" s="82">
        <v>5.2151100000000001</v>
      </c>
      <c r="AL258" s="162">
        <v>0</v>
      </c>
      <c r="AM258" s="162">
        <v>0</v>
      </c>
      <c r="AN258" s="162">
        <v>0</v>
      </c>
      <c r="AO258" s="162">
        <v>-1.0060576309139471</v>
      </c>
      <c r="AP258" s="162">
        <v>0</v>
      </c>
      <c r="AQ258" s="162">
        <v>0</v>
      </c>
      <c r="AR258" s="710" t="str">
        <v>1310.par</v>
      </c>
      <c r="AV258" s="82" t="str">
        <v>121,188,255</v>
      </c>
      <c r="AW258" s="947">
        <v>19.599999999999994</v>
      </c>
      <c r="AX258" s="947">
        <v>20.606057630913941</v>
      </c>
      <c r="AY258" s="947">
        <v>-1.0060576309139471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81" t="str">
        <f>IFERROR(INDEX([1]List!$AG$1:$AG$65536,MATCH(RIGHT((J259*1000),2),[1]List!$AI$1:$AI$65536,0))*-1,"")</f>
        <v/>
      </c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5.1449999999999996</v>
      </c>
      <c r="AF259" s="82">
        <v>5</v>
      </c>
      <c r="AG259" s="82">
        <v>1</v>
      </c>
      <c r="AH259" s="82">
        <v>2</v>
      </c>
      <c r="AI259" s="82">
        <v>0.99999999998544808</v>
      </c>
      <c r="AJ259" s="166">
        <v>5.1452099999999996</v>
      </c>
      <c r="AK259" s="82">
        <v>5.1451099999999999</v>
      </c>
      <c r="AL259" s="162">
        <v>0</v>
      </c>
      <c r="AM259" s="162">
        <v>0</v>
      </c>
      <c r="AN259" s="162">
        <v>0</v>
      </c>
      <c r="AO259" s="162">
        <v>1.100012272479816</v>
      </c>
      <c r="AP259" s="162">
        <v>0</v>
      </c>
      <c r="AQ259" s="162">
        <v>0</v>
      </c>
      <c r="AR259" s="710" t="str">
        <v>1613.par</v>
      </c>
      <c r="AV259" s="82" t="str">
        <v>0,102,204</v>
      </c>
      <c r="AW259" s="947">
        <v>86.1</v>
      </c>
      <c r="AX259" s="947">
        <v>84.999987727520178</v>
      </c>
      <c r="AY259" s="947">
        <v>1.100012272479816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81" t="str">
        <f>IFERROR(INDEX([1]List!$AG$1:$AG$65536,MATCH(RIGHT((J260*1000),2),[1]List!$AI$1:$AI$65536,0))*-1,"")</f>
        <v/>
      </c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5.1390000000000002</v>
      </c>
      <c r="AF260" s="82">
        <v>5</v>
      </c>
      <c r="AG260" s="82">
        <v>1</v>
      </c>
      <c r="AH260" s="82">
        <v>2</v>
      </c>
      <c r="AI260" s="82">
        <v>1.0000000000582077</v>
      </c>
      <c r="AJ260" s="166">
        <v>5.1392100000000003</v>
      </c>
      <c r="AK260" s="82">
        <v>5.1391100000000005</v>
      </c>
      <c r="AL260" s="162">
        <v>0</v>
      </c>
      <c r="AM260" s="162">
        <v>0</v>
      </c>
      <c r="AN260" s="162">
        <v>0</v>
      </c>
      <c r="AO260" s="162">
        <v>3.6757694763440298</v>
      </c>
      <c r="AP260" s="162">
        <v>0</v>
      </c>
      <c r="AQ260" s="162">
        <v>0</v>
      </c>
      <c r="AR260" s="710" t="str">
        <v>1613.par</v>
      </c>
      <c r="AV260" s="82" t="str">
        <v>0,102,204</v>
      </c>
      <c r="AW260" s="947">
        <v>86.1</v>
      </c>
      <c r="AX260" s="947">
        <v>82.424230523655964</v>
      </c>
      <c r="AY260" s="947">
        <v>3.6757694763440298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81" t="str">
        <f>IFERROR(INDEX([1]List!$AG$1:$AG$65536,MATCH(RIGHT((J261*1000),2),[1]List!$AI$1:$AI$65536,0))*-1,"")</f>
        <v/>
      </c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5.133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5.1332100000000001</v>
      </c>
      <c r="AK261" s="82">
        <v>5.1331100000000003</v>
      </c>
      <c r="AL261" s="162">
        <v>0</v>
      </c>
      <c r="AM261" s="162">
        <v>0</v>
      </c>
      <c r="AN261" s="162">
        <v>0</v>
      </c>
      <c r="AO261" s="162">
        <v>3.930312699529523</v>
      </c>
      <c r="AP261" s="162">
        <v>0</v>
      </c>
      <c r="AQ261" s="162">
        <v>0</v>
      </c>
      <c r="AR261" s="710" t="str">
        <v>1613 Ripper.par</v>
      </c>
      <c r="AV261" s="82" t="str">
        <v>0,102,204</v>
      </c>
      <c r="AW261" s="947">
        <v>70.900000000000006</v>
      </c>
      <c r="AX261" s="947">
        <v>66.969687300470483</v>
      </c>
      <c r="AY261" s="947">
        <v>3.930312699529523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81" t="str">
        <f>IFERROR(INDEX([1]List!$AG$1:$AG$65536,MATCH(RIGHT((J262*1000),2),[1]List!$AI$1:$AI$65536,0))*-1,"")</f>
        <v/>
      </c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5.1269999999999998</v>
      </c>
      <c r="AF262" s="82">
        <v>5</v>
      </c>
      <c r="AG262" s="82">
        <v>1</v>
      </c>
      <c r="AH262" s="82">
        <v>2</v>
      </c>
      <c r="AI262" s="82">
        <v>0.99999999998544808</v>
      </c>
      <c r="AJ262" s="166">
        <v>5.1272099999999998</v>
      </c>
      <c r="AK262" s="82">
        <v>5.1271100000000001</v>
      </c>
      <c r="AL262" s="162">
        <v>0</v>
      </c>
      <c r="AM262" s="162">
        <v>0</v>
      </c>
      <c r="AN262" s="162">
        <v>0</v>
      </c>
      <c r="AO262" s="162">
        <v>2.5848559227150503</v>
      </c>
      <c r="AP262" s="162">
        <v>0</v>
      </c>
      <c r="AQ262" s="162">
        <v>0</v>
      </c>
      <c r="AR262" s="710" t="str">
        <v>1613 Ripper.par</v>
      </c>
      <c r="AV262" s="82" t="str">
        <v>0,102,204</v>
      </c>
      <c r="AW262" s="947">
        <v>54.099999999999994</v>
      </c>
      <c r="AX262" s="947">
        <v>51.515144077284944</v>
      </c>
      <c r="AY262" s="947">
        <v>2.5848559227150503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81" t="str">
        <f>IFERROR(INDEX([1]List!$AG$1:$AG$65536,MATCH(RIGHT((J263*1000),2),[1]List!$AI$1:$AI$65536,0))*-1,"")</f>
        <v/>
      </c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5.1210000000000004</v>
      </c>
      <c r="AF263" s="82">
        <v>5</v>
      </c>
      <c r="AG263" s="82">
        <v>1</v>
      </c>
      <c r="AH263" s="82">
        <v>2</v>
      </c>
      <c r="AI263" s="82">
        <v>1.0000000000582077</v>
      </c>
      <c r="AJ263" s="166">
        <v>5.1212100000000005</v>
      </c>
      <c r="AK263" s="82">
        <v>5.1211100000000007</v>
      </c>
      <c r="AL263" s="162">
        <v>0</v>
      </c>
      <c r="AM263" s="162">
        <v>0</v>
      </c>
      <c r="AN263" s="162">
        <v>0</v>
      </c>
      <c r="AO263" s="162">
        <v>0.93939914590052354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37</v>
      </c>
      <c r="AX263" s="947">
        <v>36.060600854099476</v>
      </c>
      <c r="AY263" s="947">
        <v>0.93939914590052354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81" t="str">
        <f>IFERROR(INDEX([1]List!$AG$1:$AG$65536,MATCH(RIGHT((J264*1000),2),[1]List!$AI$1:$AI$65536,0))*-1,"")</f>
        <v/>
      </c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5.1150000000000002</v>
      </c>
      <c r="AF264" s="82">
        <v>5</v>
      </c>
      <c r="AG264" s="82">
        <v>1</v>
      </c>
      <c r="AH264" s="82">
        <v>2</v>
      </c>
      <c r="AI264" s="82">
        <v>1.0000000000582077</v>
      </c>
      <c r="AJ264" s="166">
        <v>5.1152100000000003</v>
      </c>
      <c r="AK264" s="82">
        <v>5.1151100000000005</v>
      </c>
      <c r="AL264" s="162">
        <v>0</v>
      </c>
      <c r="AM264" s="162">
        <v>0</v>
      </c>
      <c r="AN264" s="162">
        <v>0</v>
      </c>
      <c r="AO264" s="162">
        <v>-1.0060576309139577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19.599999999999994</v>
      </c>
      <c r="AX264" s="947">
        <v>20.606057630913952</v>
      </c>
      <c r="AY264" s="947">
        <v>-1.0060576309139577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81" t="str">
        <f>IFERROR(INDEX([1]List!$AG$1:$AG$65536,MATCH(RIGHT((J265*1000),2),[1]List!$AI$1:$AI$65536,0))*-1,"")</f>
        <v/>
      </c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5.109</v>
      </c>
      <c r="AF265" s="82">
        <v>5</v>
      </c>
      <c r="AG265" s="82">
        <v>1</v>
      </c>
      <c r="AH265" s="82">
        <v>2</v>
      </c>
      <c r="AI265" s="82">
        <v>0.99999999998544808</v>
      </c>
      <c r="AJ265" s="166">
        <v>5.10921</v>
      </c>
      <c r="AK265" s="82">
        <v>5.1091100000000003</v>
      </c>
      <c r="AL265" s="162">
        <v>0</v>
      </c>
      <c r="AM265" s="162">
        <v>0</v>
      </c>
      <c r="AN265" s="162">
        <v>0</v>
      </c>
      <c r="AO265" s="162">
        <v>-3.0515144077284759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2.0999999999999943</v>
      </c>
      <c r="AX265" s="947">
        <v>5.1515144077284702</v>
      </c>
      <c r="AY265" s="947">
        <v>-3.0515144077284759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81" t="str">
        <f>IFERROR(INDEX([1]List!$AG$1:$AG$65536,MATCH(RIGHT((J266*1000),2),[1]List!$AI$1:$AI$65536,0))*-1,"")</f>
        <v/>
      </c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5.1059999999999999</v>
      </c>
      <c r="AF266" s="82">
        <v>5</v>
      </c>
      <c r="AG266" s="82">
        <v>1</v>
      </c>
      <c r="AH266" s="82">
        <v>2</v>
      </c>
      <c r="AI266" s="82">
        <v>0.99999999998544808</v>
      </c>
      <c r="AJ266" s="166">
        <v>5.1062099999999999</v>
      </c>
      <c r="AK266" s="82">
        <v>5.1061100000000001</v>
      </c>
      <c r="AL266" s="162">
        <v>0</v>
      </c>
      <c r="AM266" s="162">
        <v>0</v>
      </c>
      <c r="AN266" s="162">
        <v>0</v>
      </c>
      <c r="AO266" s="162">
        <v>-15.000000144382199</v>
      </c>
      <c r="AP266" s="162">
        <v>0</v>
      </c>
      <c r="AQ266" s="162">
        <v>0</v>
      </c>
      <c r="AR266" s="710" t="str">
        <v>1613.par</v>
      </c>
      <c r="AV266" s="82" t="str">
        <v>0,102,204</v>
      </c>
      <c r="AW266" s="947">
        <v>-16</v>
      </c>
      <c r="AX266" s="947">
        <v>-0.99999985561780147</v>
      </c>
      <c r="AY266" s="947">
        <v>-15.000000144382199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81" t="str">
        <f>IFERROR(INDEX([1]List!$AG$1:$AG$65536,MATCH(RIGHT((J267*1000),2),[1]List!$AI$1:$AI$65536,0))*-1,"")</f>
        <v/>
      </c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5.1029999999999998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5.1032099999999998</v>
      </c>
      <c r="AK267" s="82">
        <v>5.10311</v>
      </c>
      <c r="AL267" s="162">
        <v>0</v>
      </c>
      <c r="AM267" s="162">
        <v>0</v>
      </c>
      <c r="AN267" s="162">
        <v>0</v>
      </c>
      <c r="AO267" s="162">
        <v>-16.000000577528553</v>
      </c>
      <c r="AP267" s="162">
        <v>0</v>
      </c>
      <c r="AQ267" s="162">
        <v>0</v>
      </c>
      <c r="AR267" s="710" t="str">
        <v>1613.par</v>
      </c>
      <c r="AV267" s="82" t="str">
        <v>0,102,204</v>
      </c>
      <c r="AW267" s="947">
        <v>-20</v>
      </c>
      <c r="AX267" s="947">
        <v>-3.999999422471447</v>
      </c>
      <c r="AY267" s="947">
        <v>-16.000000577528553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81" t="str">
        <f>IFERROR(INDEX([1]List!$AG$1:$AG$65536,MATCH(RIGHT((J268*1000),2),[1]List!$AI$1:$AI$65536,0))*-1,"")</f>
        <v/>
      </c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4.242</v>
      </c>
      <c r="AF268" s="82">
        <v>4</v>
      </c>
      <c r="AG268" s="82">
        <v>2</v>
      </c>
      <c r="AH268" s="82">
        <v>2</v>
      </c>
      <c r="AI268" s="82">
        <v>0.99999999998544808</v>
      </c>
      <c r="AJ268" s="166">
        <v>4.24221</v>
      </c>
      <c r="AK268" s="82">
        <v>4.2421100000000003</v>
      </c>
      <c r="AL268" s="162">
        <v>0</v>
      </c>
      <c r="AM268" s="162">
        <v>0</v>
      </c>
      <c r="AN268" s="162">
        <v>0</v>
      </c>
      <c r="AO268" s="162">
        <v>1.2431300135062884E-5</v>
      </c>
      <c r="AP268" s="162">
        <v>0</v>
      </c>
      <c r="AQ268" s="162">
        <v>0</v>
      </c>
      <c r="AR268" s="710" t="str">
        <v>32193r1.par</v>
      </c>
      <c r="AV268" s="82" t="str">
        <v>91,255,255</v>
      </c>
      <c r="AW268" s="947">
        <v>86.1</v>
      </c>
      <c r="AX268" s="947">
        <v>86.099987568699859</v>
      </c>
      <c r="AY268" s="947">
        <v>1.2431300135062884E-5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81" t="str">
        <f>IFERROR(INDEX([1]List!$AG$1:$AG$65536,MATCH(RIGHT((J269*1000),2),[1]List!$AI$1:$AI$65536,0))*-1,"")</f>
        <v/>
      </c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4.2359999999999998</v>
      </c>
      <c r="AF269" s="82">
        <v>4</v>
      </c>
      <c r="AG269" s="82">
        <v>2</v>
      </c>
      <c r="AH269" s="82">
        <v>2</v>
      </c>
      <c r="AI269" s="82">
        <v>0.99999999998544808</v>
      </c>
      <c r="AJ269" s="166">
        <v>4.2362099999999998</v>
      </c>
      <c r="AK269" s="82">
        <v>4.23611</v>
      </c>
      <c r="AL269" s="162">
        <v>0</v>
      </c>
      <c r="AM269" s="162">
        <v>0</v>
      </c>
      <c r="AN269" s="162">
        <v>0</v>
      </c>
      <c r="AO269" s="162">
        <v>1.1449501741367385E-5</v>
      </c>
      <c r="AP269" s="162">
        <v>0</v>
      </c>
      <c r="AQ269" s="162">
        <v>0</v>
      </c>
      <c r="AR269" s="710" t="str">
        <v>32193r1.par</v>
      </c>
      <c r="AV269" s="82" t="str">
        <v>91,255,255</v>
      </c>
      <c r="AW269" s="947">
        <v>79.300000000000011</v>
      </c>
      <c r="AX269" s="947">
        <v>79.29998855049827</v>
      </c>
      <c r="AY269" s="947">
        <v>1.1449501741367385E-5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81" t="str">
        <f>IFERROR(INDEX([1]List!$AG$1:$AG$65536,MATCH(RIGHT((J270*1000),2),[1]List!$AI$1:$AI$65536,0))*-1,"")</f>
        <v/>
      </c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4.2300000000000004</v>
      </c>
      <c r="AF270" s="82">
        <v>4</v>
      </c>
      <c r="AG270" s="82">
        <v>2</v>
      </c>
      <c r="AH270" s="82">
        <v>2</v>
      </c>
      <c r="AI270" s="82">
        <v>1.0000000000582077</v>
      </c>
      <c r="AJ270" s="166">
        <v>4.2302100000000005</v>
      </c>
      <c r="AK270" s="82">
        <v>4.2301100000000007</v>
      </c>
      <c r="AL270" s="162">
        <v>0</v>
      </c>
      <c r="AM270" s="162">
        <v>0</v>
      </c>
      <c r="AN270" s="162">
        <v>0</v>
      </c>
      <c r="AO270" s="162">
        <v>9.0238822139099284E-6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62.5</v>
      </c>
      <c r="AX270" s="947">
        <v>62.499990976117786</v>
      </c>
      <c r="AY270" s="947">
        <v>9.0238822139099284E-6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81" t="str">
        <f>IFERROR(INDEX([1]List!$AG$1:$AG$65536,MATCH(RIGHT((J271*1000),2),[1]List!$AI$1:$AI$65536,0))*-1,"")</f>
        <v/>
      </c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4.2240000000000002</v>
      </c>
      <c r="AF271" s="82">
        <v>4</v>
      </c>
      <c r="AG271" s="82">
        <v>2</v>
      </c>
      <c r="AH271" s="82">
        <v>2</v>
      </c>
      <c r="AI271" s="82">
        <v>1.0000000000582077</v>
      </c>
      <c r="AJ271" s="166">
        <v>4.2242100000000002</v>
      </c>
      <c r="AK271" s="82">
        <v>4.2241100000000005</v>
      </c>
      <c r="AL271" s="162">
        <v>0</v>
      </c>
      <c r="AM271" s="162">
        <v>0</v>
      </c>
      <c r="AN271" s="162">
        <v>0</v>
      </c>
      <c r="AO271" s="162">
        <v>1.8121275343077983</v>
      </c>
      <c r="AP271" s="162">
        <v>0</v>
      </c>
      <c r="AQ271" s="162">
        <v>0</v>
      </c>
      <c r="AR271" s="710" t="str">
        <v>1313.par</v>
      </c>
      <c r="AV271" s="82" t="str">
        <v>91,255,255</v>
      </c>
      <c r="AW271" s="947">
        <v>45.599999999999994</v>
      </c>
      <c r="AX271" s="947">
        <v>43.787872465692196</v>
      </c>
      <c r="AY271" s="947">
        <v>1.8121275343077983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81" t="str">
        <f>IFERROR(INDEX([1]List!$AG$1:$AG$65536,MATCH(RIGHT((J272*1000),2),[1]List!$AI$1:$AI$65536,0))*-1,"")</f>
        <v/>
      </c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4.218</v>
      </c>
      <c r="AF272" s="82">
        <v>4</v>
      </c>
      <c r="AG272" s="82">
        <v>2</v>
      </c>
      <c r="AH272" s="82">
        <v>2</v>
      </c>
      <c r="AI272" s="82">
        <v>0.99999999998544808</v>
      </c>
      <c r="AJ272" s="166">
        <v>4.21821</v>
      </c>
      <c r="AK272" s="82">
        <v>4.2181100000000002</v>
      </c>
      <c r="AL272" s="162">
        <v>0</v>
      </c>
      <c r="AM272" s="162">
        <v>0</v>
      </c>
      <c r="AN272" s="162">
        <v>0</v>
      </c>
      <c r="AO272" s="162">
        <v>-3.3329242506752621E-2</v>
      </c>
      <c r="AP272" s="162">
        <v>0</v>
      </c>
      <c r="AQ272" s="162">
        <v>0</v>
      </c>
      <c r="AR272" s="710" t="str">
        <v>1310.par</v>
      </c>
      <c r="AV272" s="82" t="str">
        <v>91,255,255</v>
      </c>
      <c r="AW272" s="947">
        <v>28.299999999999997</v>
      </c>
      <c r="AX272" s="947">
        <v>28.33332924250675</v>
      </c>
      <c r="AY272" s="947">
        <v>-3.3329242506752621E-2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81" t="str">
        <f>IFERROR(INDEX([1]List!$AG$1:$AG$65536,MATCH(RIGHT((J273*1000),2),[1]List!$AI$1:$AI$65536,0))*-1,"")</f>
        <v/>
      </c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4.1420000000000003</v>
      </c>
      <c r="AF273" s="82">
        <v>4</v>
      </c>
      <c r="AG273" s="82">
        <v>1</v>
      </c>
      <c r="AH273" s="82">
        <v>2</v>
      </c>
      <c r="AI273" s="82">
        <v>1.0000000000582077</v>
      </c>
      <c r="AJ273" s="166">
        <v>4.1422100000000004</v>
      </c>
      <c r="AK273" s="82">
        <v>4.1421100000000006</v>
      </c>
      <c r="AL273" s="162">
        <v>0</v>
      </c>
      <c r="AM273" s="162">
        <v>0</v>
      </c>
      <c r="AN273" s="162">
        <v>0</v>
      </c>
      <c r="AO273" s="162">
        <v>1.1000122724798018</v>
      </c>
      <c r="AP273" s="162">
        <v>0</v>
      </c>
      <c r="AQ273" s="162">
        <v>0</v>
      </c>
      <c r="AR273" s="710" t="str">
        <v>1613.par</v>
      </c>
      <c r="AV273" s="82" t="str">
        <v>0,204,204</v>
      </c>
      <c r="AW273" s="947">
        <v>86.1</v>
      </c>
      <c r="AX273" s="947">
        <v>84.999987727520192</v>
      </c>
      <c r="AY273" s="947">
        <v>1.1000122724798018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81" t="str">
        <f>IFERROR(INDEX([1]List!$AG$1:$AG$65536,MATCH(RIGHT((J274*1000),2),[1]List!$AI$1:$AI$65536,0))*-1,"")</f>
        <v/>
      </c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4.1360000000000001</v>
      </c>
      <c r="AF274" s="82">
        <v>4</v>
      </c>
      <c r="AG274" s="82">
        <v>1</v>
      </c>
      <c r="AH274" s="82">
        <v>2</v>
      </c>
      <c r="AI274" s="82">
        <v>0.99999999998544808</v>
      </c>
      <c r="AJ274" s="166">
        <v>4.1362100000000002</v>
      </c>
      <c r="AK274" s="82">
        <v>4.1361100000000004</v>
      </c>
      <c r="AL274" s="162">
        <v>0</v>
      </c>
      <c r="AM274" s="162">
        <v>0</v>
      </c>
      <c r="AN274" s="162">
        <v>0</v>
      </c>
      <c r="AO274" s="162">
        <v>4.6030410879367736</v>
      </c>
      <c r="AP274" s="162">
        <v>0</v>
      </c>
      <c r="AQ274" s="162">
        <v>0</v>
      </c>
      <c r="AR274" s="710" t="str">
        <v>1613.par</v>
      </c>
      <c r="AV274" s="82" t="str">
        <v>0,204,204</v>
      </c>
      <c r="AW274" s="947">
        <v>79.300000000000011</v>
      </c>
      <c r="AX274" s="947">
        <v>74.696958912063238</v>
      </c>
      <c r="AY274" s="947">
        <v>4.6030410879367736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81" t="str">
        <f>IFERROR(INDEX([1]List!$AG$1:$AG$65536,MATCH(RIGHT((J275*1000),2),[1]List!$AI$1:$AI$65536,0))*-1,"")</f>
        <v/>
      </c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4.13</v>
      </c>
      <c r="AF275" s="82">
        <v>4</v>
      </c>
      <c r="AG275" s="82">
        <v>1</v>
      </c>
      <c r="AH275" s="82">
        <v>2</v>
      </c>
      <c r="AI275" s="82">
        <v>0.99999999998544808</v>
      </c>
      <c r="AJ275" s="166">
        <v>4.1302099999999999</v>
      </c>
      <c r="AK275" s="82">
        <v>4.1301100000000002</v>
      </c>
      <c r="AL275" s="162">
        <v>0</v>
      </c>
      <c r="AM275" s="162">
        <v>0</v>
      </c>
      <c r="AN275" s="162">
        <v>0</v>
      </c>
      <c r="AO275" s="162">
        <v>3.2575843111222724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62.5</v>
      </c>
      <c r="AX275" s="947">
        <v>59.242415688877728</v>
      </c>
      <c r="AY275" s="947">
        <v>3.2575843111222724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81" t="str">
        <f>IFERROR(INDEX([1]List!$AG$1:$AG$65536,MATCH(RIGHT((J276*1000),2),[1]List!$AI$1:$AI$65536,0))*-1,"")</f>
        <v/>
      </c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4.1239999999999997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4.1242099999999997</v>
      </c>
      <c r="AK276" s="82">
        <v>4.1241099999999999</v>
      </c>
      <c r="AL276" s="162">
        <v>0</v>
      </c>
      <c r="AM276" s="162">
        <v>0</v>
      </c>
      <c r="AN276" s="162">
        <v>0</v>
      </c>
      <c r="AO276" s="162">
        <v>1.8121275343077485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45.599999999999994</v>
      </c>
      <c r="AX276" s="947">
        <v>43.787872465692246</v>
      </c>
      <c r="AY276" s="947">
        <v>1.8121275343077485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81" t="str">
        <f>IFERROR(INDEX([1]List!$AG$1:$AG$65536,MATCH(RIGHT((J277*1000),2),[1]List!$AI$1:$AI$65536,0))*-1,"")</f>
        <v/>
      </c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4.1180000000000003</v>
      </c>
      <c r="AF277" s="82">
        <v>4</v>
      </c>
      <c r="AG277" s="82">
        <v>1</v>
      </c>
      <c r="AH277" s="82">
        <v>2</v>
      </c>
      <c r="AI277" s="82">
        <v>1.0000000000582077</v>
      </c>
      <c r="AJ277" s="166">
        <v>4.1182100000000004</v>
      </c>
      <c r="AK277" s="82">
        <v>4.1181100000000006</v>
      </c>
      <c r="AL277" s="162">
        <v>0</v>
      </c>
      <c r="AM277" s="162">
        <v>0</v>
      </c>
      <c r="AN277" s="162">
        <v>0</v>
      </c>
      <c r="AO277" s="162">
        <v>-3.3329242506759726E-2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28.299999999999997</v>
      </c>
      <c r="AX277" s="947">
        <v>28.333329242506757</v>
      </c>
      <c r="AY277" s="947">
        <v>-3.3329242506759726E-2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81" t="str">
        <f>IFERROR(INDEX([1]List!$AG$1:$AG$65536,MATCH(RIGHT((J278*1000),2),[1]List!$AI$1:$AI$65536,0))*-1,"")</f>
        <v/>
      </c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4.1120000000000001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4.1122100000000001</v>
      </c>
      <c r="AK278" s="82">
        <v>4.1121100000000004</v>
      </c>
      <c r="AL278" s="162">
        <v>0</v>
      </c>
      <c r="AM278" s="162">
        <v>0</v>
      </c>
      <c r="AN278" s="162">
        <v>0</v>
      </c>
      <c r="AO278" s="162">
        <v>-1.9787860193211504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10.900000000000006</v>
      </c>
      <c r="AX278" s="947">
        <v>12.878786019321156</v>
      </c>
      <c r="AY278" s="947">
        <v>-1.9787860193211504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IFERROR(INDEX([1]List!$AG$1:$AG$65536,MATCH(RIGHT((J279*1000),2),[1]List!$AI$1:$AI$65536,0))*-1,"")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3.2429999999999999</v>
      </c>
      <c r="AF279" s="82">
        <v>3</v>
      </c>
      <c r="AG279" s="82">
        <v>2</v>
      </c>
      <c r="AH279" s="82">
        <v>2</v>
      </c>
      <c r="AI279" s="82">
        <v>0.99999999998544808</v>
      </c>
      <c r="AJ279" s="166">
        <v>3.2432099999999999</v>
      </c>
      <c r="AK279" s="82">
        <v>3.2431099999999997</v>
      </c>
      <c r="AL279" s="162">
        <v>0</v>
      </c>
      <c r="AM279" s="162">
        <v>0</v>
      </c>
      <c r="AN279" s="162">
        <v>0</v>
      </c>
      <c r="AO279" s="162">
        <v>1.2431300149273738E-5</v>
      </c>
      <c r="AP279" s="162">
        <v>0</v>
      </c>
      <c r="AQ279" s="162">
        <v>0</v>
      </c>
      <c r="AR279" s="710" t="str">
        <v>32193r1.par</v>
      </c>
      <c r="AV279" s="82" t="str">
        <v>97,255,97</v>
      </c>
      <c r="AW279" s="947">
        <v>86.1</v>
      </c>
      <c r="AX279" s="947">
        <v>86.099987568699845</v>
      </c>
      <c r="AY279" s="947">
        <v>1.2431300149273738E-5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IFERROR(INDEX([1]List!$AG$1:$AG$65536,MATCH(RIGHT((J280*1000),2),[1]List!$AI$1:$AI$65536,0))*-1,"")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3.2370000000000001</v>
      </c>
      <c r="AF280" s="82">
        <v>3</v>
      </c>
      <c r="AG280" s="82">
        <v>2</v>
      </c>
      <c r="AH280" s="82">
        <v>2</v>
      </c>
      <c r="AI280" s="82">
        <v>1.0000000000218279</v>
      </c>
      <c r="AJ280" s="166">
        <v>3.2372100000000001</v>
      </c>
      <c r="AK280" s="82">
        <v>3.2371099999999999</v>
      </c>
      <c r="AL280" s="162">
        <v>0</v>
      </c>
      <c r="AM280" s="162">
        <v>0</v>
      </c>
      <c r="AN280" s="162">
        <v>0</v>
      </c>
      <c r="AO280" s="162">
        <v>4.8272838840725569</v>
      </c>
      <c r="AP280" s="162">
        <v>0</v>
      </c>
      <c r="AQ280" s="162">
        <v>0</v>
      </c>
      <c r="AR280" s="710" t="str">
        <v>1313.par</v>
      </c>
      <c r="AV280" s="82" t="str">
        <v>97,255,97</v>
      </c>
      <c r="AW280" s="947">
        <v>82.1</v>
      </c>
      <c r="AX280" s="947">
        <v>77.272716115927437</v>
      </c>
      <c r="AY280" s="947">
        <v>4.8272838840725569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IFERROR(INDEX([1]List!$AG$1:$AG$65536,MATCH(RIGHT((J281*1000),2),[1]List!$AI$1:$AI$65536,0))*-1,"")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3.2309999999999999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3.2312099999999999</v>
      </c>
      <c r="AK281" s="82">
        <v>3.2311099999999997</v>
      </c>
      <c r="AL281" s="162">
        <v>0</v>
      </c>
      <c r="AM281" s="162">
        <v>0</v>
      </c>
      <c r="AN281" s="162">
        <v>0</v>
      </c>
      <c r="AO281" s="162">
        <v>3.4818271072580202</v>
      </c>
      <c r="AP281" s="162">
        <v>0</v>
      </c>
      <c r="AQ281" s="162">
        <v>0</v>
      </c>
      <c r="AR281" s="710" t="str">
        <v>1313.par</v>
      </c>
      <c r="AV281" s="82" t="str">
        <v>97,255,97</v>
      </c>
      <c r="AW281" s="947">
        <v>65.300000000000011</v>
      </c>
      <c r="AX281" s="947">
        <v>61.818172892741991</v>
      </c>
      <c r="AY281" s="947">
        <v>3.4818271072580202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IFERROR(INDEX([1]List!$AG$1:$AG$65536,MATCH(RIGHT((J282*1000),2),[1]List!$AI$1:$AI$65536,0))*-1,"")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3.2250000000000001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3.2252100000000001</v>
      </c>
      <c r="AK282" s="82">
        <v>3.2251099999999999</v>
      </c>
      <c r="AL282" s="162">
        <v>0</v>
      </c>
      <c r="AM282" s="162">
        <v>0</v>
      </c>
      <c r="AN282" s="162">
        <v>0</v>
      </c>
      <c r="AO282" s="162">
        <v>2.0363703304435177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48.400000000000006</v>
      </c>
      <c r="AX282" s="947">
        <v>46.363629669556488</v>
      </c>
      <c r="AY282" s="947">
        <v>2.0363703304435177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IFERROR(INDEX([1]List!$AG$1:$AG$65536,MATCH(RIGHT((J283*1000),2),[1]List!$AI$1:$AI$65536,0))*-1,"")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3.2189999999999999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3.2192099999999999</v>
      </c>
      <c r="AK283" s="82">
        <v>3.2191099999999997</v>
      </c>
      <c r="AL283" s="162">
        <v>0</v>
      </c>
      <c r="AM283" s="162">
        <v>0</v>
      </c>
      <c r="AN283" s="162">
        <v>0</v>
      </c>
      <c r="AO283" s="162">
        <v>0.29091355362900728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31.200000000000003</v>
      </c>
      <c r="AX283" s="947">
        <v>30.909086446370996</v>
      </c>
      <c r="AY283" s="947">
        <v>0.29091355362900728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IFERROR(INDEX([1]List!$AG$1:$AG$65536,MATCH(RIGHT((J284*1000),2),[1]List!$AI$1:$AI$65536,0))*-1,"")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3.2130000000000001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3.2132100000000001</v>
      </c>
      <c r="AK284" s="82">
        <v>3.2131099999999999</v>
      </c>
      <c r="AL284" s="162">
        <v>0</v>
      </c>
      <c r="AM284" s="162">
        <v>0</v>
      </c>
      <c r="AN284" s="162">
        <v>0</v>
      </c>
      <c r="AO284" s="162">
        <v>-1.6545432231855663</v>
      </c>
      <c r="AP284" s="162">
        <v>0</v>
      </c>
      <c r="AQ284" s="162">
        <v>0</v>
      </c>
      <c r="AR284" s="710" t="str">
        <v>1310.par</v>
      </c>
      <c r="AV284" s="82" t="str">
        <v>97,255,97</v>
      </c>
      <c r="AW284" s="947">
        <v>13.799999999999997</v>
      </c>
      <c r="AX284" s="947">
        <v>15.454543223185564</v>
      </c>
      <c r="AY284" s="947">
        <v>-1.6545432231855663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IFERROR(INDEX([1]List!$AG$1:$AG$65536,MATCH(RIGHT((J285*1000),2),[1]List!$AI$1:$AI$65536,0))*-1,"")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3.1429999999999998</v>
      </c>
      <c r="AF285" s="82">
        <v>3</v>
      </c>
      <c r="AG285" s="82">
        <v>1</v>
      </c>
      <c r="AH285" s="82">
        <v>2</v>
      </c>
      <c r="AI285" s="82">
        <v>0.99999999998544808</v>
      </c>
      <c r="AJ285" s="166">
        <v>3.1432099999999998</v>
      </c>
      <c r="AK285" s="82">
        <v>3.1431099999999996</v>
      </c>
      <c r="AL285" s="162">
        <v>0</v>
      </c>
      <c r="AM285" s="162">
        <v>0</v>
      </c>
      <c r="AN285" s="162">
        <v>0</v>
      </c>
      <c r="AO285" s="162">
        <v>1.1000122724798018</v>
      </c>
      <c r="AP285" s="162">
        <v>0</v>
      </c>
      <c r="AQ285" s="162">
        <v>0</v>
      </c>
      <c r="AR285" s="710" t="str">
        <v>1613.par</v>
      </c>
      <c r="AV285" s="82" t="str">
        <v>0,204,0</v>
      </c>
      <c r="AW285" s="947">
        <v>86.1</v>
      </c>
      <c r="AX285" s="947">
        <v>84.999987727520192</v>
      </c>
      <c r="AY285" s="947">
        <v>1.1000122724798018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IFERROR(INDEX([1]List!$AG$1:$AG$65536,MATCH(RIGHT((J286*1000),2),[1]List!$AI$1:$AI$65536,0))*-1,"")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3.137</v>
      </c>
      <c r="AF286" s="82">
        <v>3</v>
      </c>
      <c r="AG286" s="82">
        <v>1</v>
      </c>
      <c r="AH286" s="82">
        <v>2</v>
      </c>
      <c r="AI286" s="82">
        <v>1.0000000000218279</v>
      </c>
      <c r="AJ286" s="166">
        <v>3.1372100000000001</v>
      </c>
      <c r="AK286" s="82">
        <v>3.1371099999999998</v>
      </c>
      <c r="AL286" s="162">
        <v>0</v>
      </c>
      <c r="AM286" s="162">
        <v>0</v>
      </c>
      <c r="AN286" s="162">
        <v>0</v>
      </c>
      <c r="AO286" s="162">
        <v>4.8272838840725569</v>
      </c>
      <c r="AP286" s="162">
        <v>0</v>
      </c>
      <c r="AQ286" s="162">
        <v>0</v>
      </c>
      <c r="AR286" s="710" t="str">
        <v>1613 Ripper.par</v>
      </c>
      <c r="AV286" s="82" t="str">
        <v>0,204,0</v>
      </c>
      <c r="AW286" s="947">
        <v>82.1</v>
      </c>
      <c r="AX286" s="947">
        <v>77.272716115927437</v>
      </c>
      <c r="AY286" s="947">
        <v>4.8272838840725569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IFERROR(INDEX([1]List!$AG$1:$AG$65536,MATCH(RIGHT((J287*1000),2),[1]List!$AI$1:$AI$65536,0))*-1,"")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3.1309999999999998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3.1312099999999998</v>
      </c>
      <c r="AK287" s="82">
        <v>3.1311099999999996</v>
      </c>
      <c r="AL287" s="162">
        <v>0</v>
      </c>
      <c r="AM287" s="162">
        <v>0</v>
      </c>
      <c r="AN287" s="162">
        <v>0</v>
      </c>
      <c r="AO287" s="162">
        <v>3.4818271072580202</v>
      </c>
      <c r="AP287" s="162">
        <v>0</v>
      </c>
      <c r="AQ287" s="162">
        <v>0</v>
      </c>
      <c r="AR287" s="710" t="str">
        <v>1613 Ripper.par</v>
      </c>
      <c r="AV287" s="82" t="str">
        <v>0,204,0</v>
      </c>
      <c r="AW287" s="947">
        <v>65.300000000000011</v>
      </c>
      <c r="AX287" s="947">
        <v>61.818172892741991</v>
      </c>
      <c r="AY287" s="947">
        <v>3.4818271072580202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IFERROR(INDEX([1]List!$AG$1:$AG$65536,MATCH(RIGHT((J288*1000),2),[1]List!$AI$1:$AI$65536,0))*-1,"")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3.125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3.12521</v>
      </c>
      <c r="AK288" s="82">
        <v>3.1251099999999998</v>
      </c>
      <c r="AL288" s="162">
        <v>0</v>
      </c>
      <c r="AM288" s="162">
        <v>0</v>
      </c>
      <c r="AN288" s="162">
        <v>0</v>
      </c>
      <c r="AO288" s="162">
        <v>2.0363703304435532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48.400000000000006</v>
      </c>
      <c r="AX288" s="947">
        <v>46.363629669556452</v>
      </c>
      <c r="AY288" s="947">
        <v>2.0363703304435532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IFERROR(INDEX([1]List!$AG$1:$AG$65536,MATCH(RIGHT((J289*1000),2),[1]List!$AI$1:$AI$65536,0))*-1,"")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3.1190000000000002</v>
      </c>
      <c r="AF289" s="82">
        <v>3</v>
      </c>
      <c r="AG289" s="82">
        <v>1</v>
      </c>
      <c r="AH289" s="82">
        <v>2</v>
      </c>
      <c r="AI289" s="82">
        <v>1.0000000000218279</v>
      </c>
      <c r="AJ289" s="166">
        <v>3.1192100000000003</v>
      </c>
      <c r="AK289" s="82">
        <v>3.11911</v>
      </c>
      <c r="AL289" s="162">
        <v>0</v>
      </c>
      <c r="AM289" s="162">
        <v>0</v>
      </c>
      <c r="AN289" s="162">
        <v>0</v>
      </c>
      <c r="AO289" s="162">
        <v>0.2909135536290961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31.200000000000003</v>
      </c>
      <c r="AX289" s="947">
        <v>30.909086446370907</v>
      </c>
      <c r="AY289" s="947">
        <v>0.2909135536290961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IFERROR(INDEX([1]List!$AG$1:$AG$65536,MATCH(RIGHT((J290*1000),2),[1]List!$AI$1:$AI$65536,0))*-1,"")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3.113</v>
      </c>
      <c r="AF290" s="82">
        <v>3</v>
      </c>
      <c r="AG290" s="82">
        <v>1</v>
      </c>
      <c r="AH290" s="82">
        <v>2</v>
      </c>
      <c r="AI290" s="82">
        <v>0.99999999998544808</v>
      </c>
      <c r="AJ290" s="166">
        <v>3.11321</v>
      </c>
      <c r="AK290" s="82">
        <v>3.1131099999999998</v>
      </c>
      <c r="AL290" s="162">
        <v>0</v>
      </c>
      <c r="AM290" s="162">
        <v>0</v>
      </c>
      <c r="AN290" s="162">
        <v>0</v>
      </c>
      <c r="AO290" s="162">
        <v>-1.6545432231855575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13.799999999999997</v>
      </c>
      <c r="AX290" s="947">
        <v>15.454543223185555</v>
      </c>
      <c r="AY290" s="947">
        <v>-1.6545432231855575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IFERROR(INDEX([1]List!$AG$1:$AG$65536,MATCH(RIGHT((J291*1000),2),[1]List!$AI$1:$AI$65536,0))*-1,"")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3.1080000000000001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3.1082100000000001</v>
      </c>
      <c r="AK291" s="82">
        <v>3.1081099999999999</v>
      </c>
      <c r="AL291" s="162">
        <v>0</v>
      </c>
      <c r="AM291" s="162">
        <v>0</v>
      </c>
      <c r="AN291" s="162">
        <v>0</v>
      </c>
      <c r="AO291" s="162">
        <v>-6.3757572038640493</v>
      </c>
      <c r="AP291" s="162">
        <v>0</v>
      </c>
      <c r="AQ291" s="162">
        <v>0</v>
      </c>
      <c r="AR291" s="710" t="str">
        <v>1613.par</v>
      </c>
      <c r="AV291" s="82" t="str">
        <v>0,204,0</v>
      </c>
      <c r="AW291" s="947">
        <v>-3.7999999999999972</v>
      </c>
      <c r="AX291" s="947">
        <v>2.5757572038640517</v>
      </c>
      <c r="AY291" s="947">
        <v>-6.3757572038640493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IFERROR(INDEX([1]List!$AG$1:$AG$65536,MATCH(RIGHT((J292*1000),2),[1]List!$AI$1:$AI$65536,0))*-1,"")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3.105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3.10521</v>
      </c>
      <c r="AK292" s="82">
        <v>3.1051099999999998</v>
      </c>
      <c r="AL292" s="162">
        <v>0</v>
      </c>
      <c r="AM292" s="162">
        <v>0</v>
      </c>
      <c r="AN292" s="162">
        <v>0</v>
      </c>
      <c r="AO292" s="162">
        <v>-18.000000288764291</v>
      </c>
      <c r="AP292" s="162">
        <v>0</v>
      </c>
      <c r="AQ292" s="162">
        <v>0</v>
      </c>
      <c r="AR292" s="710" t="str">
        <v>1613.par</v>
      </c>
      <c r="AV292" s="82" t="str">
        <v>0,204,0</v>
      </c>
      <c r="AW292" s="947">
        <v>-20</v>
      </c>
      <c r="AX292" s="947">
        <v>-1.9999997112357091</v>
      </c>
      <c r="AY292" s="947">
        <v>-18.000000288764291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IFERROR(INDEX([1]List!$AG$1:$AG$65536,MATCH(RIGHT((J293*1000),2),[1]List!$AI$1:$AI$65536,0))*-1,"")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3.1019999999999999</v>
      </c>
      <c r="AF293" s="82">
        <v>3</v>
      </c>
      <c r="AG293" s="82">
        <v>1</v>
      </c>
      <c r="AH293" s="82">
        <v>2</v>
      </c>
      <c r="AI293" s="82">
        <v>0.99999999998544808</v>
      </c>
      <c r="AJ293" s="166">
        <v>3.1022099999999999</v>
      </c>
      <c r="AK293" s="82">
        <v>3.1021099999999997</v>
      </c>
      <c r="AL293" s="162">
        <v>0</v>
      </c>
      <c r="AM293" s="162">
        <v>0</v>
      </c>
      <c r="AN293" s="162">
        <v>0</v>
      </c>
      <c r="AO293" s="162">
        <v>-14.00000086629267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-20</v>
      </c>
      <c r="AX293" s="947">
        <v>-5.9999991337073313</v>
      </c>
      <c r="AY293" s="947">
        <v>-14.00000086629267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IFERROR(INDEX([1]List!$AG$1:$AG$65536,MATCH(RIGHT((J294*1000),2),[1]List!$AI$1:$AI$65536,0))*-1,"")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2.2400000000000002</v>
      </c>
      <c r="AF294" s="82">
        <v>2</v>
      </c>
      <c r="AG294" s="82">
        <v>2</v>
      </c>
      <c r="AH294" s="82">
        <v>2</v>
      </c>
      <c r="AI294" s="82">
        <v>1.0000000000218279</v>
      </c>
      <c r="AJ294" s="166">
        <v>2.2402100000000003</v>
      </c>
      <c r="AK294" s="82">
        <v>2.24011</v>
      </c>
      <c r="AL294" s="162">
        <v>0</v>
      </c>
      <c r="AM294" s="162">
        <v>0</v>
      </c>
      <c r="AN294" s="162">
        <v>0</v>
      </c>
      <c r="AO294" s="162">
        <v>1.2431300135062884E-5</v>
      </c>
      <c r="AP294" s="162">
        <v>0</v>
      </c>
      <c r="AQ294" s="162">
        <v>0</v>
      </c>
      <c r="AR294" s="710" t="str">
        <v>32193r1.par</v>
      </c>
      <c r="AV294" s="82" t="str">
        <v>255,255,91</v>
      </c>
      <c r="AW294" s="947">
        <v>86.1</v>
      </c>
      <c r="AX294" s="947">
        <v>86.099987568699859</v>
      </c>
      <c r="AY294" s="947">
        <v>1.2431300135062884E-5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IFERROR(INDEX([1]List!$AG$1:$AG$65536,MATCH(RIGHT((J295*1000),2),[1]List!$AI$1:$AI$65536,0))*-1,"")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2.234</v>
      </c>
      <c r="AF295" s="82">
        <v>2</v>
      </c>
      <c r="AG295" s="82">
        <v>2</v>
      </c>
      <c r="AH295" s="82">
        <v>2</v>
      </c>
      <c r="AI295" s="82">
        <v>0.99999999998544808</v>
      </c>
      <c r="AJ295" s="166">
        <v>2.23421</v>
      </c>
      <c r="AK295" s="82">
        <v>2.2341099999999998</v>
      </c>
      <c r="AL295" s="162">
        <v>0</v>
      </c>
      <c r="AM295" s="162">
        <v>0</v>
      </c>
      <c r="AN295" s="162">
        <v>0</v>
      </c>
      <c r="AO295" s="162">
        <v>1.0640961889407663E-5</v>
      </c>
      <c r="AP295" s="162">
        <v>0</v>
      </c>
      <c r="AQ295" s="162">
        <v>0</v>
      </c>
      <c r="AR295" s="710" t="str">
        <v>32193r1.par</v>
      </c>
      <c r="AV295" s="82" t="str">
        <v>255,255,91</v>
      </c>
      <c r="AW295" s="947">
        <v>73.699999999999989</v>
      </c>
      <c r="AX295" s="947">
        <v>73.699989359038099</v>
      </c>
      <c r="AY295" s="947">
        <v>1.0640961889407663E-5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IFERROR(INDEX([1]List!$AG$1:$AG$65536,MATCH(RIGHT((J296*1000),2),[1]List!$AI$1:$AI$65536,0))*-1,"")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2.2280000000000002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2.2282100000000002</v>
      </c>
      <c r="AK296" s="82">
        <v>2.22811</v>
      </c>
      <c r="AL296" s="162">
        <v>0</v>
      </c>
      <c r="AM296" s="162">
        <v>0</v>
      </c>
      <c r="AN296" s="162">
        <v>0</v>
      </c>
      <c r="AO296" s="162">
        <v>2.8090987188508123</v>
      </c>
      <c r="AP296" s="162">
        <v>0</v>
      </c>
      <c r="AQ296" s="162">
        <v>0</v>
      </c>
      <c r="AR296" s="710" t="str">
        <v>1313.par</v>
      </c>
      <c r="AV296" s="82" t="str">
        <v>255,255,91</v>
      </c>
      <c r="AW296" s="947">
        <v>56.900000000000006</v>
      </c>
      <c r="AX296" s="947">
        <v>54.090901281149193</v>
      </c>
      <c r="AY296" s="947">
        <v>2.8090987188508123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IFERROR(INDEX([1]List!$AG$1:$AG$65536,MATCH(RIGHT((J297*1000),2),[1]List!$AI$1:$AI$65536,0))*-1,"")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2.222</v>
      </c>
      <c r="AF297" s="82">
        <v>2</v>
      </c>
      <c r="AG297" s="82">
        <v>2</v>
      </c>
      <c r="AH297" s="82">
        <v>2</v>
      </c>
      <c r="AI297" s="82">
        <v>0.99999999998544808</v>
      </c>
      <c r="AJ297" s="166">
        <v>2.22221</v>
      </c>
      <c r="AK297" s="82">
        <v>2.2221099999999998</v>
      </c>
      <c r="AL297" s="162">
        <v>0</v>
      </c>
      <c r="AM297" s="162">
        <v>0</v>
      </c>
      <c r="AN297" s="162">
        <v>0</v>
      </c>
      <c r="AO297" s="162">
        <v>1.1636419420363353</v>
      </c>
      <c r="AP297" s="162">
        <v>0</v>
      </c>
      <c r="AQ297" s="162">
        <v>0</v>
      </c>
      <c r="AR297" s="710" t="str">
        <v>1313.par</v>
      </c>
      <c r="AV297" s="82" t="str">
        <v>255,255,91</v>
      </c>
      <c r="AW297" s="947">
        <v>39.800000000000011</v>
      </c>
      <c r="AX297" s="947">
        <v>38.636358057963676</v>
      </c>
      <c r="AY297" s="947">
        <v>1.1636419420363353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IFERROR(INDEX([1]List!$AG$1:$AG$65536,MATCH(RIGHT((J298*1000),2),[1]List!$AI$1:$AI$65536,0))*-1,"")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2.2160000000000002</v>
      </c>
      <c r="AF298" s="82">
        <v>2</v>
      </c>
      <c r="AG298" s="82">
        <v>2</v>
      </c>
      <c r="AH298" s="82">
        <v>2</v>
      </c>
      <c r="AI298" s="82">
        <v>1.0000000000218279</v>
      </c>
      <c r="AJ298" s="166">
        <v>2.2162100000000002</v>
      </c>
      <c r="AK298" s="82">
        <v>2.21611</v>
      </c>
      <c r="AL298" s="162">
        <v>0</v>
      </c>
      <c r="AM298" s="162">
        <v>0</v>
      </c>
      <c r="AN298" s="162">
        <v>0</v>
      </c>
      <c r="AO298" s="162">
        <v>-0.68181483477824756</v>
      </c>
      <c r="AP298" s="162">
        <v>0</v>
      </c>
      <c r="AQ298" s="162">
        <v>0</v>
      </c>
      <c r="AR298" s="710" t="str">
        <v>1310.par</v>
      </c>
      <c r="AV298" s="82" t="str">
        <v>255,255,91</v>
      </c>
      <c r="AW298" s="947">
        <v>22.5</v>
      </c>
      <c r="AX298" s="947">
        <v>23.181814834778248</v>
      </c>
      <c r="AY298" s="947">
        <v>-0.68181483477824756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IFERROR(INDEX([1]List!$AG$1:$AG$65536,MATCH(RIGHT((J299*1000),2),[1]List!$AI$1:$AI$65536,0))*-1,"")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2.14</v>
      </c>
      <c r="AF299" s="82">
        <v>2</v>
      </c>
      <c r="AG299" s="82">
        <v>1</v>
      </c>
      <c r="AH299" s="82">
        <v>2</v>
      </c>
      <c r="AI299" s="82">
        <v>1.0000000000218279</v>
      </c>
      <c r="AJ299" s="166">
        <v>2.1402100000000002</v>
      </c>
      <c r="AK299" s="82">
        <v>2.14011</v>
      </c>
      <c r="AL299" s="162">
        <v>0</v>
      </c>
      <c r="AM299" s="162">
        <v>0</v>
      </c>
      <c r="AN299" s="162">
        <v>0</v>
      </c>
      <c r="AO299" s="162">
        <v>1.100012272479816</v>
      </c>
      <c r="AP299" s="162">
        <v>0</v>
      </c>
      <c r="AQ299" s="162">
        <v>0</v>
      </c>
      <c r="AR299" s="710" t="str">
        <v>1613.par</v>
      </c>
      <c r="AV299" s="82" t="str">
        <v>204,204,0</v>
      </c>
      <c r="AW299" s="947">
        <v>86.1</v>
      </c>
      <c r="AX299" s="947">
        <v>84.999987727520178</v>
      </c>
      <c r="AY299" s="947">
        <v>1.100012272479816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IFERROR(INDEX([1]List!$AG$1:$AG$65536,MATCH(RIGHT((J300*1000),2),[1]List!$AI$1:$AI$65536,0))*-1,"")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2.1339999999999999</v>
      </c>
      <c r="AF300" s="82">
        <v>2</v>
      </c>
      <c r="AG300" s="82">
        <v>1</v>
      </c>
      <c r="AH300" s="82">
        <v>2</v>
      </c>
      <c r="AI300" s="82">
        <v>0.99999999998544808</v>
      </c>
      <c r="AJ300" s="166">
        <v>2.1342099999999999</v>
      </c>
      <c r="AK300" s="82">
        <v>2.1341099999999997</v>
      </c>
      <c r="AL300" s="162">
        <v>0</v>
      </c>
      <c r="AM300" s="162">
        <v>0</v>
      </c>
      <c r="AN300" s="162">
        <v>0</v>
      </c>
      <c r="AO300" s="162">
        <v>4.1545554956652353</v>
      </c>
      <c r="AP300" s="162">
        <v>0</v>
      </c>
      <c r="AQ300" s="162">
        <v>0</v>
      </c>
      <c r="AR300" s="710" t="str">
        <v>1613.par</v>
      </c>
      <c r="AV300" s="82" t="str">
        <v>204,204,0</v>
      </c>
      <c r="AW300" s="947">
        <v>73.699999999999989</v>
      </c>
      <c r="AX300" s="947">
        <v>69.545444504334753</v>
      </c>
      <c r="AY300" s="947">
        <v>4.1545554956652353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IFERROR(INDEX([1]List!$AG$1:$AG$65536,MATCH(RIGHT((J301*1000),2),[1]List!$AI$1:$AI$65536,0))*-1,"")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2.1280000000000001</v>
      </c>
      <c r="AF301" s="82">
        <v>2</v>
      </c>
      <c r="AG301" s="82">
        <v>1</v>
      </c>
      <c r="AH301" s="82">
        <v>2</v>
      </c>
      <c r="AI301" s="82">
        <v>1.0000000000218279</v>
      </c>
      <c r="AJ301" s="166">
        <v>2.1282100000000002</v>
      </c>
      <c r="AK301" s="82">
        <v>2.1281099999999999</v>
      </c>
      <c r="AL301" s="162">
        <v>0</v>
      </c>
      <c r="AM301" s="162">
        <v>0</v>
      </c>
      <c r="AN301" s="162">
        <v>0</v>
      </c>
      <c r="AO301" s="162">
        <v>2.8090987188507484</v>
      </c>
      <c r="AP301" s="162">
        <v>0</v>
      </c>
      <c r="AQ301" s="162">
        <v>0</v>
      </c>
      <c r="AR301" s="710" t="str">
        <v>1613.par</v>
      </c>
      <c r="AV301" s="82" t="str">
        <v>204,204,0</v>
      </c>
      <c r="AW301" s="947">
        <v>56.900000000000006</v>
      </c>
      <c r="AX301" s="947">
        <v>54.090901281149257</v>
      </c>
      <c r="AY301" s="947">
        <v>2.8090987188507484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IFERROR(INDEX([1]List!$AG$1:$AG$65536,MATCH(RIGHT((J302*1000),2),[1]List!$AI$1:$AI$65536,0))*-1,"")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2.1219999999999999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2.1222099999999999</v>
      </c>
      <c r="AK302" s="82">
        <v>2.1221099999999997</v>
      </c>
      <c r="AL302" s="162">
        <v>0</v>
      </c>
      <c r="AM302" s="162">
        <v>0</v>
      </c>
      <c r="AN302" s="162">
        <v>0</v>
      </c>
      <c r="AO302" s="162">
        <v>1.1636419420363566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39.800000000000011</v>
      </c>
      <c r="AX302" s="947">
        <v>38.636358057963655</v>
      </c>
      <c r="AY302" s="947">
        <v>1.1636419420363566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IFERROR(INDEX([1]List!$AG$1:$AG$65536,MATCH(RIGHT((J303*1000),2),[1]List!$AI$1:$AI$65536,0))*-1,"")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2.1160000000000001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2.1162100000000001</v>
      </c>
      <c r="AK303" s="82">
        <v>2.1161099999999999</v>
      </c>
      <c r="AL303" s="162">
        <v>0</v>
      </c>
      <c r="AM303" s="162">
        <v>0</v>
      </c>
      <c r="AN303" s="162">
        <v>0</v>
      </c>
      <c r="AO303" s="162">
        <v>-0.68181483477831151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22.5</v>
      </c>
      <c r="AX303" s="947">
        <v>23.181814834778312</v>
      </c>
      <c r="AY303" s="947">
        <v>-0.68181483477831151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IFERROR(INDEX([1]List!$AG$1:$AG$65536,MATCH(RIGHT((J304*1000),2),[1]List!$AI$1:$AI$65536,0))*-1,"")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2.11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2.1102099999999999</v>
      </c>
      <c r="AK304" s="82">
        <v>2.1101099999999997</v>
      </c>
      <c r="AL304" s="162">
        <v>0</v>
      </c>
      <c r="AM304" s="162">
        <v>0</v>
      </c>
      <c r="AN304" s="162">
        <v>0</v>
      </c>
      <c r="AO304" s="162">
        <v>-2.6272716115927555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5.0999999999999943</v>
      </c>
      <c r="AX304" s="947">
        <v>7.7272716115927498</v>
      </c>
      <c r="AY304" s="947">
        <v>-2.6272716115927555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IFERROR(INDEX([1]List!$AG$1:$AG$65536,MATCH(RIGHT((J305*1000),2),[1]List!$AI$1:$AI$65536,0))*-1,"")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1.2410000000000001</v>
      </c>
      <c r="AF305" s="82">
        <v>1</v>
      </c>
      <c r="AG305" s="82">
        <v>2</v>
      </c>
      <c r="AH305" s="82">
        <v>2</v>
      </c>
      <c r="AI305" s="82">
        <v>1.0000000000218279</v>
      </c>
      <c r="AJ305" s="166">
        <v>1.2412100000000001</v>
      </c>
      <c r="AK305" s="82">
        <v>1.2411100000000002</v>
      </c>
      <c r="AL305" s="162">
        <v>0</v>
      </c>
      <c r="AM305" s="162">
        <v>0</v>
      </c>
      <c r="AN305" s="162">
        <v>0</v>
      </c>
      <c r="AO305" s="162">
        <v>1.2431300149273738E-5</v>
      </c>
      <c r="AP305" s="162">
        <v>0</v>
      </c>
      <c r="AQ305" s="162">
        <v>0</v>
      </c>
      <c r="AR305" s="710" t="str">
        <v>32193r1.par</v>
      </c>
      <c r="AV305" s="82" t="str">
        <v>255,188,121</v>
      </c>
      <c r="AW305" s="947">
        <v>86.1</v>
      </c>
      <c r="AX305" s="947">
        <v>86.099987568699845</v>
      </c>
      <c r="AY305" s="947">
        <v>1.2431300149273738E-5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1.2350000000000001</v>
      </c>
      <c r="AF306" s="82">
        <v>1</v>
      </c>
      <c r="AG306" s="82">
        <v>2</v>
      </c>
      <c r="AH306" s="82">
        <v>2</v>
      </c>
      <c r="AI306" s="82">
        <v>1.0000000000218279</v>
      </c>
      <c r="AJ306" s="166">
        <v>1.2352100000000001</v>
      </c>
      <c r="AK306" s="82">
        <v>1.2351100000000002</v>
      </c>
      <c r="AL306" s="162">
        <v>0</v>
      </c>
      <c r="AM306" s="162">
        <v>0</v>
      </c>
      <c r="AN306" s="162">
        <v>0</v>
      </c>
      <c r="AO306" s="162">
        <v>4.3787982918010329</v>
      </c>
      <c r="AP306" s="162">
        <v>0</v>
      </c>
      <c r="AQ306" s="162">
        <v>0</v>
      </c>
      <c r="AR306" s="710" t="str">
        <v>1313.par</v>
      </c>
      <c r="AV306" s="82" t="str">
        <v>255,188,121</v>
      </c>
      <c r="AW306" s="947">
        <v>76.5</v>
      </c>
      <c r="AX306" s="947">
        <v>72.121201708198967</v>
      </c>
      <c r="AY306" s="947">
        <v>4.3787982918010329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1.2290000000000001</v>
      </c>
      <c r="AF307" s="82">
        <v>1</v>
      </c>
      <c r="AG307" s="82">
        <v>2</v>
      </c>
      <c r="AH307" s="82">
        <v>2</v>
      </c>
      <c r="AI307" s="82">
        <v>1.0000000000218279</v>
      </c>
      <c r="AJ307" s="166">
        <v>1.2292100000000001</v>
      </c>
      <c r="AK307" s="82">
        <v>1.2291100000000001</v>
      </c>
      <c r="AL307" s="162">
        <v>0</v>
      </c>
      <c r="AM307" s="162">
        <v>0</v>
      </c>
      <c r="AN307" s="162">
        <v>0</v>
      </c>
      <c r="AO307" s="162">
        <v>3.0333415149865388</v>
      </c>
      <c r="AP307" s="162">
        <v>0</v>
      </c>
      <c r="AQ307" s="162">
        <v>0</v>
      </c>
      <c r="AR307" s="710" t="str">
        <v>1313.par</v>
      </c>
      <c r="AV307" s="82" t="str">
        <v>255,188,121</v>
      </c>
      <c r="AW307" s="947">
        <v>59.699999999999989</v>
      </c>
      <c r="AX307" s="947">
        <v>56.66665848501345</v>
      </c>
      <c r="AY307" s="947">
        <v>3.0333415149865388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1.2230000000000001</v>
      </c>
      <c r="AF308" s="82">
        <v>1</v>
      </c>
      <c r="AG308" s="82">
        <v>2</v>
      </c>
      <c r="AH308" s="82">
        <v>2</v>
      </c>
      <c r="AI308" s="82">
        <v>1.0000000000218279</v>
      </c>
      <c r="AJ308" s="166">
        <v>1.2232100000000001</v>
      </c>
      <c r="AK308" s="82">
        <v>1.2231100000000001</v>
      </c>
      <c r="AL308" s="162">
        <v>0</v>
      </c>
      <c r="AM308" s="162">
        <v>0</v>
      </c>
      <c r="AN308" s="162">
        <v>0</v>
      </c>
      <c r="AO308" s="162">
        <v>1.4878847381720561</v>
      </c>
      <c r="AP308" s="162">
        <v>0</v>
      </c>
      <c r="AQ308" s="162">
        <v>0</v>
      </c>
      <c r="AR308" s="710" t="str">
        <v>1313.par</v>
      </c>
      <c r="AV308" s="82" t="str">
        <v>255,188,121</v>
      </c>
      <c r="AW308" s="947">
        <v>42.699999999999989</v>
      </c>
      <c r="AX308" s="947">
        <v>41.212115261827932</v>
      </c>
      <c r="AY308" s="947">
        <v>1.4878847381720561</v>
      </c>
    </row>
    <row r="309" spans="2:51" x14ac:dyDescent="0.25">
      <c r="E309" s="1351" t="s">
        <v>11</v>
      </c>
      <c r="F309" s="1352"/>
      <c r="G309" s="1353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1.2170000000000001</v>
      </c>
      <c r="AF309" s="82">
        <v>1</v>
      </c>
      <c r="AG309" s="82">
        <v>2</v>
      </c>
      <c r="AH309" s="82">
        <v>2</v>
      </c>
      <c r="AI309" s="82">
        <v>1.000000000003638</v>
      </c>
      <c r="AJ309" s="166">
        <v>1.2172100000000001</v>
      </c>
      <c r="AK309" s="82">
        <v>1.2171100000000001</v>
      </c>
      <c r="AL309" s="162">
        <v>0</v>
      </c>
      <c r="AM309" s="162">
        <v>0</v>
      </c>
      <c r="AN309" s="162">
        <v>0</v>
      </c>
      <c r="AO309" s="162">
        <v>-0.35757203864251608</v>
      </c>
      <c r="AP309" s="162">
        <v>0</v>
      </c>
      <c r="AQ309" s="162">
        <v>0</v>
      </c>
      <c r="AR309" s="710" t="str">
        <v>1313.par</v>
      </c>
      <c r="AV309" s="82" t="str">
        <v>255,188,121</v>
      </c>
      <c r="AW309" s="947">
        <v>25.400000000000006</v>
      </c>
      <c r="AX309" s="947">
        <v>25.757572038642522</v>
      </c>
      <c r="AY309" s="947">
        <v>-0.35757203864251608</v>
      </c>
    </row>
    <row r="310" spans="2:51" ht="15.75" thickBot="1" x14ac:dyDescent="0.3">
      <c r="E310" s="975" t="s">
        <v>18</v>
      </c>
      <c r="F310" s="976" t="s">
        <v>19</v>
      </c>
      <c r="G310" s="1354"/>
      <c r="H310" s="977" t="s">
        <v>26</v>
      </c>
      <c r="I310" s="978" t="s">
        <v>27</v>
      </c>
      <c r="J310" s="31" t="s">
        <v>425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1.2110000000000001</v>
      </c>
      <c r="AF310" s="82">
        <v>1</v>
      </c>
      <c r="AG310" s="82">
        <v>2</v>
      </c>
      <c r="AH310" s="82">
        <v>2</v>
      </c>
      <c r="AI310" s="82">
        <v>1.000000000003638</v>
      </c>
      <c r="AJ310" s="166">
        <v>1.2112100000000001</v>
      </c>
      <c r="AK310" s="82">
        <v>1.2111100000000001</v>
      </c>
      <c r="AL310" s="162">
        <v>0</v>
      </c>
      <c r="AM310" s="162">
        <v>0</v>
      </c>
      <c r="AN310" s="162">
        <v>0</v>
      </c>
      <c r="AO310" s="162">
        <v>-2.3030288154569813</v>
      </c>
      <c r="AP310" s="162">
        <v>0</v>
      </c>
      <c r="AQ310" s="162">
        <v>0</v>
      </c>
      <c r="AR310" s="710" t="str">
        <v>1310.par</v>
      </c>
      <c r="AV310" s="82" t="str">
        <v>255,188,121</v>
      </c>
      <c r="AW310" s="947">
        <v>8</v>
      </c>
      <c r="AX310" s="947">
        <v>10.303028815456981</v>
      </c>
      <c r="AY310" s="947">
        <v>-2.3030288154569813</v>
      </c>
    </row>
    <row r="311" spans="2:51" ht="15.75" thickTop="1" x14ac:dyDescent="0.25">
      <c r="D311" s="163">
        <v>1.101</v>
      </c>
      <c r="E311">
        <f>INDEX($Q$9:$Q$150,MATCH($D311,$M$9:$M$150,0))</f>
        <v>90</v>
      </c>
      <c r="F311">
        <f>INDEX($R$9:$R$150,MATCH($D311,$M$9:$M$150,0))</f>
        <v>0.34210103177671186</v>
      </c>
      <c r="G311">
        <f>INDEX($S$9:$S$150,MATCH($D311,$M$9:$M$150,0))</f>
        <v>-0.65130196432672438</v>
      </c>
      <c r="H311">
        <f>INDEX($AN$9:$AN$150,MATCH($D311,$M$9:$M$150,0))</f>
        <v>8.9999987005609601</v>
      </c>
      <c r="I311">
        <f>INDEX($AO$9:$AO$150,MATCH($D311,$M$9:$M$150,0))</f>
        <v>21.999996823593442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1.141</v>
      </c>
      <c r="AF311" s="82">
        <v>1</v>
      </c>
      <c r="AG311" s="82">
        <v>1</v>
      </c>
      <c r="AH311" s="82">
        <v>2</v>
      </c>
      <c r="AI311" s="82">
        <v>1.000000000003638</v>
      </c>
      <c r="AJ311" s="166">
        <v>1.1412100000000001</v>
      </c>
      <c r="AK311" s="82">
        <v>1.1411100000000001</v>
      </c>
      <c r="AL311" s="162">
        <v>0</v>
      </c>
      <c r="AM311" s="162">
        <v>0</v>
      </c>
      <c r="AN311" s="162">
        <v>0</v>
      </c>
      <c r="AO311" s="162">
        <v>1.100012272479816</v>
      </c>
      <c r="AP311" s="162">
        <v>0</v>
      </c>
      <c r="AQ311" s="162">
        <v>0</v>
      </c>
      <c r="AR311" s="710" t="str">
        <v>1613.par</v>
      </c>
      <c r="AV311" s="82" t="str">
        <v>255,127,0</v>
      </c>
      <c r="AW311" s="947">
        <v>86.1</v>
      </c>
      <c r="AX311" s="947">
        <v>84.999987727520178</v>
      </c>
      <c r="AY311" s="947">
        <v>1.100012272479816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90</v>
      </c>
      <c r="F312">
        <f t="shared" ref="F312:F357" si="1092">INDEX($R$9:$R$150,MATCH($D312,$M$9:$M$150,0))</f>
        <v>1.0375031291094376</v>
      </c>
      <c r="G312">
        <f t="shared" ref="G312:G357" si="1093">INDEX($S$9:$S$150,MATCH($D312,$M$9:$M$150,0))</f>
        <v>-0.3981012006732213</v>
      </c>
      <c r="H312">
        <f t="shared" ref="H312:H357" si="1094">INDEX($AN$9:$AN$150,MATCH($D312,$M$9:$M$150,0))</f>
        <v>2.9999995668536554</v>
      </c>
      <c r="I312">
        <f t="shared" ref="I312:I357" si="1095">INDEX($AO$9:$AO$150,MATCH($D312,$M$9:$M$150,0))</f>
        <v>15.99999768988615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1.135</v>
      </c>
      <c r="AF312" s="82">
        <v>1</v>
      </c>
      <c r="AG312" s="82">
        <v>1</v>
      </c>
      <c r="AH312" s="82">
        <v>2</v>
      </c>
      <c r="AI312" s="82">
        <v>1.000000000003638</v>
      </c>
      <c r="AJ312" s="166">
        <v>1.1352100000000001</v>
      </c>
      <c r="AK312" s="82">
        <v>1.1351100000000001</v>
      </c>
      <c r="AL312" s="162">
        <v>0</v>
      </c>
      <c r="AM312" s="162">
        <v>0</v>
      </c>
      <c r="AN312" s="162">
        <v>0</v>
      </c>
      <c r="AO312" s="162">
        <v>4.3787982918010755</v>
      </c>
      <c r="AP312" s="162">
        <v>0</v>
      </c>
      <c r="AQ312" s="162">
        <v>0</v>
      </c>
      <c r="AR312" s="710" t="str">
        <v>1613 Ripper.par</v>
      </c>
      <c r="AV312" s="82" t="str">
        <v>255,127,0</v>
      </c>
      <c r="AW312" s="947">
        <v>76.5</v>
      </c>
      <c r="AX312" s="947">
        <v>72.121201708198925</v>
      </c>
      <c r="AY312" s="947">
        <v>4.3787982918010755</v>
      </c>
    </row>
    <row r="313" spans="2:51" x14ac:dyDescent="0.25">
      <c r="D313" s="164">
        <v>1.107</v>
      </c>
      <c r="E313">
        <f t="shared" si="1091"/>
        <v>90</v>
      </c>
      <c r="F313">
        <f t="shared" si="1092"/>
        <v>1.7387052439350157</v>
      </c>
      <c r="G313">
        <f t="shared" si="1093"/>
        <v>-0.18020054348483913</v>
      </c>
      <c r="H313">
        <f t="shared" si="1094"/>
        <v>0</v>
      </c>
      <c r="I313">
        <f t="shared" si="1095"/>
        <v>15.99999768988615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1.129</v>
      </c>
      <c r="AF313" s="82">
        <v>1</v>
      </c>
      <c r="AG313" s="82">
        <v>1</v>
      </c>
      <c r="AH313" s="82">
        <v>2</v>
      </c>
      <c r="AI313" s="82">
        <v>1.000000000003638</v>
      </c>
      <c r="AJ313" s="166">
        <v>1.12921</v>
      </c>
      <c r="AK313" s="82">
        <v>1.1291100000000001</v>
      </c>
      <c r="AL313" s="162">
        <v>0</v>
      </c>
      <c r="AM313" s="162">
        <v>0</v>
      </c>
      <c r="AN313" s="162">
        <v>0</v>
      </c>
      <c r="AO313" s="162">
        <v>3.0333415149865104</v>
      </c>
      <c r="AP313" s="162">
        <v>0</v>
      </c>
      <c r="AQ313" s="162">
        <v>0</v>
      </c>
      <c r="AR313" s="710" t="str">
        <v>1613 Ripper.par</v>
      </c>
      <c r="AV313" s="82" t="str">
        <v>255,127,0</v>
      </c>
      <c r="AW313" s="947">
        <v>59.699999999999989</v>
      </c>
      <c r="AX313" s="947">
        <v>56.666658485013478</v>
      </c>
      <c r="AY313" s="947">
        <v>3.0333415149865104</v>
      </c>
    </row>
    <row r="314" spans="2:51" x14ac:dyDescent="0.25">
      <c r="D314" s="164">
        <v>1.111</v>
      </c>
      <c r="E314">
        <f t="shared" si="1091"/>
        <v>89.900000014438206</v>
      </c>
      <c r="F314">
        <f t="shared" si="1092"/>
        <v>2.4657074365736289</v>
      </c>
      <c r="G314">
        <f t="shared" si="1093"/>
        <v>-0.17330052267437634</v>
      </c>
      <c r="H314">
        <f t="shared" si="1094"/>
        <v>-10.303028815456972</v>
      </c>
      <c r="I314">
        <f t="shared" si="1095"/>
        <v>15.99999768988615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1.123</v>
      </c>
      <c r="AF314" s="82">
        <v>1</v>
      </c>
      <c r="AG314" s="82">
        <v>1</v>
      </c>
      <c r="AH314" s="82">
        <v>2</v>
      </c>
      <c r="AI314" s="82">
        <v>1.000000000003638</v>
      </c>
      <c r="AJ314" s="166">
        <v>1.12321</v>
      </c>
      <c r="AK314" s="82">
        <v>1.1231100000000001</v>
      </c>
      <c r="AL314" s="162">
        <v>0</v>
      </c>
      <c r="AM314" s="162">
        <v>0</v>
      </c>
      <c r="AN314" s="162">
        <v>0</v>
      </c>
      <c r="AO314" s="162">
        <v>1.4878847381720348</v>
      </c>
      <c r="AP314" s="162">
        <v>0</v>
      </c>
      <c r="AQ314" s="162">
        <v>0</v>
      </c>
      <c r="AR314" s="710" t="str">
        <v>1613 Ripper.par</v>
      </c>
      <c r="AV314" s="82" t="str">
        <v>255,127,0</v>
      </c>
      <c r="AW314" s="947">
        <v>42.699999999999989</v>
      </c>
      <c r="AX314" s="947">
        <v>41.212115261827954</v>
      </c>
      <c r="AY314" s="947">
        <v>1.4878847381720348</v>
      </c>
    </row>
    <row r="315" spans="2:51" x14ac:dyDescent="0.25">
      <c r="D315" s="164">
        <v>1.117</v>
      </c>
      <c r="E315">
        <f t="shared" si="1091"/>
        <v>89.2900001025113</v>
      </c>
      <c r="F315">
        <f t="shared" si="1092"/>
        <v>3.173509571304868</v>
      </c>
      <c r="G315">
        <f t="shared" si="1093"/>
        <v>-0.41060123837333518</v>
      </c>
      <c r="H315">
        <f t="shared" si="1094"/>
        <v>-25.757572038642298</v>
      </c>
      <c r="I315">
        <f t="shared" si="1095"/>
        <v>16.583330938996543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1.117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1.11721</v>
      </c>
      <c r="AK315" s="82">
        <v>1.11711</v>
      </c>
      <c r="AL315" s="162">
        <v>0</v>
      </c>
      <c r="AM315" s="162">
        <v>0</v>
      </c>
      <c r="AN315" s="162">
        <v>0</v>
      </c>
      <c r="AO315" s="162">
        <v>-0.35757203864229226</v>
      </c>
      <c r="AP315" s="162">
        <v>0</v>
      </c>
      <c r="AQ315" s="162">
        <v>0</v>
      </c>
      <c r="AR315" s="710" t="str">
        <v>1613 Ripper.par</v>
      </c>
      <c r="AV315" s="82" t="str">
        <v>255,127,0</v>
      </c>
      <c r="AW315" s="947">
        <v>25.400000000000006</v>
      </c>
      <c r="AX315" s="947">
        <v>25.757572038642298</v>
      </c>
      <c r="AY315" s="947">
        <v>-0.35757203864229226</v>
      </c>
    </row>
    <row r="316" spans="2:51" x14ac:dyDescent="0.25">
      <c r="D316" s="164">
        <v>1.123</v>
      </c>
      <c r="E316">
        <f t="shared" si="1091"/>
        <v>88.530000212241717</v>
      </c>
      <c r="F316">
        <f t="shared" si="1092"/>
        <v>3.7699113700526929</v>
      </c>
      <c r="G316">
        <f t="shared" si="1093"/>
        <v>-0.86050259527582806</v>
      </c>
      <c r="H316">
        <f t="shared" si="1094"/>
        <v>-41.212115261827954</v>
      </c>
      <c r="I316">
        <f t="shared" si="1095"/>
        <v>20.08333043365915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1.111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1.11121</v>
      </c>
      <c r="AK316" s="82">
        <v>1.11111</v>
      </c>
      <c r="AL316" s="162">
        <v>0</v>
      </c>
      <c r="AM316" s="162">
        <v>0</v>
      </c>
      <c r="AN316" s="162">
        <v>0</v>
      </c>
      <c r="AO316" s="162">
        <v>-2.3030288154569725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</v>
      </c>
      <c r="AX316" s="947">
        <v>10.303028815456972</v>
      </c>
      <c r="AY316" s="947">
        <v>-2.3030288154569725</v>
      </c>
    </row>
    <row r="317" spans="2:51" x14ac:dyDescent="0.25">
      <c r="D317" s="164">
        <v>1.129</v>
      </c>
      <c r="E317">
        <f t="shared" si="1091"/>
        <v>87.890000304646264</v>
      </c>
      <c r="F317">
        <f t="shared" si="1092"/>
        <v>4.2071126886518693</v>
      </c>
      <c r="G317">
        <f t="shared" si="1093"/>
        <v>-1.4668044238821429</v>
      </c>
      <c r="H317">
        <f t="shared" si="1094"/>
        <v>-56.666658485013478</v>
      </c>
      <c r="I317">
        <f t="shared" si="1095"/>
        <v>23.583329928321742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1.107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1.10721</v>
      </c>
      <c r="AK317" s="82">
        <v>1.10711</v>
      </c>
      <c r="AL317" s="162">
        <v>0</v>
      </c>
      <c r="AM317" s="162">
        <v>0</v>
      </c>
      <c r="AN317" s="162">
        <v>0</v>
      </c>
      <c r="AO317" s="162">
        <v>-9.9000000000000057</v>
      </c>
      <c r="AP317" s="162">
        <v>0</v>
      </c>
      <c r="AQ317" s="162">
        <v>0</v>
      </c>
      <c r="AR317" s="710" t="str">
        <v>1613.par</v>
      </c>
      <c r="AV317" s="82" t="str">
        <v>255,127,0</v>
      </c>
      <c r="AW317" s="947">
        <v>-9.9000000000000057</v>
      </c>
      <c r="AX317" s="947">
        <v>0</v>
      </c>
      <c r="AY317" s="947">
        <v>-9.9000000000000057</v>
      </c>
    </row>
    <row r="318" spans="2:51" x14ac:dyDescent="0.25">
      <c r="D318" s="164">
        <v>1.135</v>
      </c>
      <c r="E318">
        <f t="shared" si="1091"/>
        <v>87.490000362399101</v>
      </c>
      <c r="F318">
        <f t="shared" si="1092"/>
        <v>4.460813453813377</v>
      </c>
      <c r="G318">
        <f t="shared" si="1093"/>
        <v>-2.1703065456445421</v>
      </c>
      <c r="H318">
        <f t="shared" si="1094"/>
        <v>-72.121201708198925</v>
      </c>
      <c r="I318">
        <f t="shared" si="1095"/>
        <v>27.083329422984274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1.1040000000000001</v>
      </c>
      <c r="AF318" s="82">
        <v>1</v>
      </c>
      <c r="AG318" s="82">
        <v>1</v>
      </c>
      <c r="AH318" s="82">
        <v>2</v>
      </c>
      <c r="AI318" s="82">
        <v>1.0000000000218279</v>
      </c>
      <c r="AJ318" s="166">
        <v>1.1042100000000001</v>
      </c>
      <c r="AK318" s="82">
        <v>1.1041100000000001</v>
      </c>
      <c r="AL318" s="162">
        <v>0</v>
      </c>
      <c r="AM318" s="162">
        <v>0</v>
      </c>
      <c r="AN318" s="162">
        <v>0</v>
      </c>
      <c r="AO318" s="162">
        <v>-17.000000433146344</v>
      </c>
      <c r="AP318" s="162">
        <v>0</v>
      </c>
      <c r="AQ318" s="162">
        <v>0</v>
      </c>
      <c r="AR318" s="710" t="str">
        <v>1613.par</v>
      </c>
      <c r="AV318" s="82" t="str">
        <v>255,127,0</v>
      </c>
      <c r="AW318" s="947">
        <v>-20</v>
      </c>
      <c r="AX318" s="947">
        <v>-2.9999995668536554</v>
      </c>
      <c r="AY318" s="947">
        <v>-17.000000433146344</v>
      </c>
    </row>
    <row r="319" spans="2:51" x14ac:dyDescent="0.25">
      <c r="D319" s="164">
        <v>1.141</v>
      </c>
      <c r="E319">
        <f t="shared" si="1091"/>
        <v>87.320000386944088</v>
      </c>
      <c r="F319">
        <f t="shared" si="1092"/>
        <v>4.5665137726055374</v>
      </c>
      <c r="G319">
        <f t="shared" si="1093"/>
        <v>-2.9732089671982447</v>
      </c>
      <c r="H319">
        <f t="shared" si="1094"/>
        <v>-84.999987727520178</v>
      </c>
      <c r="I319">
        <f t="shared" si="1095"/>
        <v>29.99999566853656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1.101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1.10121</v>
      </c>
      <c r="AK319" s="82">
        <v>1.10111</v>
      </c>
      <c r="AL319" s="162">
        <v>0</v>
      </c>
      <c r="AM319" s="162">
        <v>0</v>
      </c>
      <c r="AN319" s="162">
        <v>0</v>
      </c>
      <c r="AO319" s="162">
        <v>-11.00000129943904</v>
      </c>
      <c r="AP319" s="162">
        <v>0</v>
      </c>
      <c r="AQ319" s="162">
        <v>0</v>
      </c>
      <c r="AR319" s="710" t="str">
        <v>1613.par</v>
      </c>
      <c r="AV319" s="82" t="str">
        <v>255,127,0</v>
      </c>
      <c r="AW319" s="947">
        <v>-20</v>
      </c>
      <c r="AX319" s="947">
        <v>-8.9999987005609601</v>
      </c>
      <c r="AY319" s="947">
        <v>-11.00000129943904</v>
      </c>
    </row>
    <row r="320" spans="2:51" x14ac:dyDescent="0.25">
      <c r="D320" s="164">
        <v>2.11</v>
      </c>
      <c r="E320">
        <f t="shared" si="1091"/>
        <v>29.959956691140636</v>
      </c>
      <c r="F320">
        <f t="shared" si="1092"/>
        <v>2.3416070622868999</v>
      </c>
      <c r="G320">
        <f t="shared" si="1093"/>
        <v>-0.15750047502143275</v>
      </c>
      <c r="H320">
        <f t="shared" si="1094"/>
        <v>-7.7272716115927498</v>
      </c>
      <c r="I320">
        <f t="shared" si="1095"/>
        <v>15.999997689886136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6.2439999999999998</v>
      </c>
      <c r="AF320" s="82">
        <v>6</v>
      </c>
      <c r="AG320" s="82">
        <v>2</v>
      </c>
      <c r="AH320" s="82">
        <v>1</v>
      </c>
      <c r="AI320" s="82">
        <v>1.9999999999708962</v>
      </c>
      <c r="AJ320" s="166">
        <v>6.2441199999999997</v>
      </c>
      <c r="AK320" s="82" t="str">
        <v>Base</v>
      </c>
      <c r="AL320" s="162">
        <v>-17.25</v>
      </c>
      <c r="AM320" s="162">
        <v>-4.5422393625563773</v>
      </c>
      <c r="AN320" s="162">
        <v>-3.3901133225179603</v>
      </c>
      <c r="AO320" s="162">
        <v>86.099987568699831</v>
      </c>
      <c r="AP320" s="162">
        <v>0</v>
      </c>
      <c r="AQ320" s="162">
        <v>0</v>
      </c>
      <c r="AR320" s="710" t="str">
        <v>32193r1.par</v>
      </c>
      <c r="AV320" s="82" t="str">
        <v>188,121,255</v>
      </c>
      <c r="AW320" s="947">
        <v>86.1</v>
      </c>
      <c r="AX320" s="947">
        <v>86.099987568699831</v>
      </c>
      <c r="AY320" s="947">
        <v>0</v>
      </c>
    </row>
    <row r="321" spans="4:51" x14ac:dyDescent="0.25">
      <c r="D321" s="164">
        <v>2.1160000000000001</v>
      </c>
      <c r="E321">
        <f t="shared" si="1091"/>
        <v>29.409956770550796</v>
      </c>
      <c r="F321">
        <f t="shared" si="1092"/>
        <v>3.0616092338134497</v>
      </c>
      <c r="G321">
        <f t="shared" si="1093"/>
        <v>-0.3550010706832295</v>
      </c>
      <c r="H321">
        <f t="shared" si="1094"/>
        <v>-23.181814834778312</v>
      </c>
      <c r="I321">
        <f t="shared" si="1095"/>
        <v>15.99999768988615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6.2380000000000004</v>
      </c>
      <c r="AF321" s="82">
        <v>6</v>
      </c>
      <c r="AG321" s="82">
        <v>2</v>
      </c>
      <c r="AH321" s="82">
        <v>1</v>
      </c>
      <c r="AI321" s="82">
        <v>2.0000000000436557</v>
      </c>
      <c r="AJ321" s="166">
        <v>6.2381200000000003</v>
      </c>
      <c r="AK321" s="82" t="str">
        <v>Base</v>
      </c>
      <c r="AL321" s="162">
        <v>-17.25</v>
      </c>
      <c r="AM321" s="162">
        <v>-4.494753479359213</v>
      </c>
      <c r="AN321" s="162">
        <v>-2.5843277890263283</v>
      </c>
      <c r="AO321" s="162">
        <v>84.899987741958427</v>
      </c>
      <c r="AP321" s="162">
        <v>0</v>
      </c>
      <c r="AQ321" s="162">
        <v>0</v>
      </c>
      <c r="AR321" s="710" t="str">
        <v>32193r1.par</v>
      </c>
      <c r="AV321" s="82" t="str">
        <v>188,121,255</v>
      </c>
      <c r="AW321" s="947">
        <v>84.9</v>
      </c>
      <c r="AX321" s="947">
        <v>84.899987741958427</v>
      </c>
      <c r="AY321" s="947">
        <v>0</v>
      </c>
    </row>
    <row r="322" spans="4:51" x14ac:dyDescent="0.25">
      <c r="D322" s="164">
        <v>2.1219999999999999</v>
      </c>
      <c r="E322">
        <f>INDEX($Q$9:$Q$150,MATCH($D322,$M$9:$M$150,0))</f>
        <v>28.649956880281206</v>
      </c>
      <c r="F322">
        <f t="shared" si="1092"/>
        <v>3.6807111010246802</v>
      </c>
      <c r="G322">
        <f t="shared" si="1093"/>
        <v>-0.773102331676632</v>
      </c>
      <c r="H322">
        <f t="shared" si="1094"/>
        <v>-38.636358057963655</v>
      </c>
      <c r="I322">
        <f t="shared" si="1095"/>
        <v>19.499997184548718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6.2320000000000002</v>
      </c>
      <c r="AF322" s="82">
        <v>6</v>
      </c>
      <c r="AG322" s="82">
        <v>2</v>
      </c>
      <c r="AH322" s="82">
        <v>1</v>
      </c>
      <c r="AI322" s="82">
        <v>2.0000000000436557</v>
      </c>
      <c r="AJ322" s="166">
        <v>6.2321200000000001</v>
      </c>
      <c r="AK322" s="82" t="str">
        <v>Base</v>
      </c>
      <c r="AL322" s="162">
        <v>-17.25</v>
      </c>
      <c r="AM322" s="162">
        <v>-4.3476946026000221</v>
      </c>
      <c r="AN322" s="162">
        <v>-1.8543793612021267</v>
      </c>
      <c r="AO322" s="162">
        <v>68.099990167577928</v>
      </c>
      <c r="AP322" s="162">
        <v>0</v>
      </c>
      <c r="AQ322" s="162">
        <v>0</v>
      </c>
      <c r="AR322" s="710" t="str">
        <v>32193r1.par</v>
      </c>
      <c r="AV322" s="82" t="str">
        <v>188,121,255</v>
      </c>
      <c r="AW322" s="947">
        <v>68.099999999999994</v>
      </c>
      <c r="AX322" s="947">
        <v>68.099990167577928</v>
      </c>
      <c r="AY322" s="947">
        <v>0</v>
      </c>
    </row>
    <row r="323" spans="4:51" x14ac:dyDescent="0.25">
      <c r="D323" s="164">
        <v>2.1280000000000001</v>
      </c>
      <c r="E323">
        <f t="shared" si="1091"/>
        <v>27.979956977017228</v>
      </c>
      <c r="F323">
        <f t="shared" si="1092"/>
        <v>4.1465125058817165</v>
      </c>
      <c r="G323">
        <f t="shared" si="1093"/>
        <v>-1.3575040942323482</v>
      </c>
      <c r="H323">
        <f t="shared" si="1094"/>
        <v>-54.090901281149257</v>
      </c>
      <c r="I323">
        <f t="shared" si="1095"/>
        <v>22.999996679211336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6.226</v>
      </c>
      <c r="AF323" s="82">
        <v>6</v>
      </c>
      <c r="AG323" s="82">
        <v>2</v>
      </c>
      <c r="AH323" s="82">
        <v>1</v>
      </c>
      <c r="AI323" s="82">
        <v>1.9999999999708962</v>
      </c>
      <c r="AJ323" s="166">
        <v>6.2261199999999999</v>
      </c>
      <c r="AK323" s="82" t="str">
        <v>Base</v>
      </c>
      <c r="AL323" s="162">
        <v>-17.25</v>
      </c>
      <c r="AM323" s="162">
        <v>-4.0372962108473622</v>
      </c>
      <c r="AN323" s="162">
        <v>-1.1604444835689718</v>
      </c>
      <c r="AO323" s="162">
        <v>48.939386873420737</v>
      </c>
      <c r="AP323" s="162">
        <v>-26.833329459079881</v>
      </c>
      <c r="AQ323" s="162">
        <v>0</v>
      </c>
      <c r="AR323" s="710" t="str">
        <v>1313.par</v>
      </c>
      <c r="AV323" s="82" t="str">
        <v>188,121,255</v>
      </c>
      <c r="AW323" s="947">
        <v>51.199999999999989</v>
      </c>
      <c r="AX323" s="947">
        <v>48.939386873420737</v>
      </c>
      <c r="AY323" s="947">
        <v>0</v>
      </c>
    </row>
    <row r="324" spans="4:51" x14ac:dyDescent="0.25">
      <c r="D324" s="164">
        <v>2.1339999999999999</v>
      </c>
      <c r="E324">
        <f t="shared" si="1091"/>
        <v>27.529957041989178</v>
      </c>
      <c r="F324">
        <f t="shared" si="1092"/>
        <v>4.4318133663491128</v>
      </c>
      <c r="G324">
        <f t="shared" si="1093"/>
        <v>-2.0487061788978349</v>
      </c>
      <c r="H324">
        <f t="shared" si="1094"/>
        <v>-69.545444504334753</v>
      </c>
      <c r="I324">
        <f t="shared" si="1095"/>
        <v>26.499996173873903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6.22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6.2201199999999996</v>
      </c>
      <c r="AK324" s="82" t="str">
        <v>Base</v>
      </c>
      <c r="AL324" s="162">
        <v>-17.25</v>
      </c>
      <c r="AM324" s="162">
        <v>-3.5088418203186462</v>
      </c>
      <c r="AN324" s="162">
        <v>-0.61899117160835304</v>
      </c>
      <c r="AO324" s="162">
        <v>33.48484365023522</v>
      </c>
      <c r="AP324" s="162">
        <v>-23.333329964417302</v>
      </c>
      <c r="AQ324" s="162">
        <v>0</v>
      </c>
      <c r="AR324" s="710" t="str">
        <v>1310.par</v>
      </c>
      <c r="AV324" s="82" t="str">
        <v>188,121,255</v>
      </c>
      <c r="AW324" s="947">
        <v>34.099999999999994</v>
      </c>
      <c r="AX324" s="947">
        <v>33.48484365023522</v>
      </c>
      <c r="AY324" s="947">
        <v>0</v>
      </c>
    </row>
    <row r="325" spans="4:51" x14ac:dyDescent="0.25">
      <c r="D325" s="164">
        <v>2.14</v>
      </c>
      <c r="E325">
        <f t="shared" si="1091"/>
        <v>27.319957072309421</v>
      </c>
      <c r="F325">
        <f t="shared" si="1092"/>
        <v>4.5665137726055374</v>
      </c>
      <c r="G325">
        <f t="shared" si="1093"/>
        <v>-2.8482085901971086</v>
      </c>
      <c r="H325">
        <f t="shared" si="1094"/>
        <v>-84.999987727520178</v>
      </c>
      <c r="I325">
        <f t="shared" si="1095"/>
        <v>29.99999566853651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6.1440000000000001</v>
      </c>
      <c r="AF325" s="82">
        <v>6</v>
      </c>
      <c r="AG325" s="82">
        <v>1</v>
      </c>
      <c r="AH325" s="82">
        <v>1</v>
      </c>
      <c r="AI325" s="82">
        <v>1.9999999999708962</v>
      </c>
      <c r="AJ325" s="166">
        <v>6.14412</v>
      </c>
      <c r="AK325" s="82" t="str">
        <v>Base</v>
      </c>
      <c r="AL325" s="162">
        <v>-16.5</v>
      </c>
      <c r="AM325" s="162">
        <v>-4.5665137726055409</v>
      </c>
      <c r="AN325" s="162">
        <v>-3.3852378706260087</v>
      </c>
      <c r="AO325" s="162">
        <v>84.999987727520178</v>
      </c>
      <c r="AP325" s="162">
        <v>-29.999995668536499</v>
      </c>
      <c r="AQ325" s="162">
        <v>0</v>
      </c>
      <c r="AR325" s="710" t="str">
        <v>1613.par</v>
      </c>
      <c r="AV325" s="82" t="str">
        <v>127,0,255</v>
      </c>
      <c r="AW325" s="947">
        <v>86.1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6.1379999999999999</v>
      </c>
      <c r="AF326" s="82">
        <v>6</v>
      </c>
      <c r="AG326" s="82">
        <v>1</v>
      </c>
      <c r="AH326" s="82">
        <v>1</v>
      </c>
      <c r="AI326" s="82">
        <v>1.9999999999708962</v>
      </c>
      <c r="AJ326" s="166">
        <v>6.1381199999999998</v>
      </c>
      <c r="AK326" s="82" t="str">
        <v>Base</v>
      </c>
      <c r="AL326" s="162">
        <v>-16.5</v>
      </c>
      <c r="AM326" s="162">
        <v>-4.5153136181858722</v>
      </c>
      <c r="AN326" s="162">
        <v>-2.5780909916510009</v>
      </c>
      <c r="AO326" s="162">
        <v>79.848473319791708</v>
      </c>
      <c r="AP326" s="162">
        <v>-28.833329170315658</v>
      </c>
      <c r="AQ326" s="162">
        <v>0</v>
      </c>
      <c r="AR326" s="710" t="str">
        <v>1613.par</v>
      </c>
      <c r="AV326" s="82" t="str">
        <v>127,0,255</v>
      </c>
      <c r="AW326" s="947">
        <v>84.9</v>
      </c>
      <c r="AX326" s="947">
        <v>79.848473319791708</v>
      </c>
      <c r="AY326" s="947">
        <v>0</v>
      </c>
    </row>
    <row r="327" spans="4:51" x14ac:dyDescent="0.25">
      <c r="D327" s="164">
        <v>3.1019999999999999</v>
      </c>
      <c r="E327">
        <f t="shared" si="1091"/>
        <v>324.9999660702029</v>
      </c>
      <c r="F327">
        <f t="shared" si="1092"/>
        <v>0.57390173088762053</v>
      </c>
      <c r="G327">
        <f t="shared" si="1093"/>
        <v>-0.56680170947395592</v>
      </c>
      <c r="H327">
        <f t="shared" si="1094"/>
        <v>5.9999991337073313</v>
      </c>
      <c r="I327">
        <f t="shared" si="1095"/>
        <v>18.999997256739782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6.1319999999999997</v>
      </c>
      <c r="AF327" s="82">
        <v>6</v>
      </c>
      <c r="AG327" s="82">
        <v>1</v>
      </c>
      <c r="AH327" s="82">
        <v>1</v>
      </c>
      <c r="AI327" s="82">
        <v>1.9999999999708962</v>
      </c>
      <c r="AJ327" s="166">
        <v>6.1321199999999996</v>
      </c>
      <c r="AK327" s="82" t="str">
        <v>Base</v>
      </c>
      <c r="AL327" s="162">
        <v>-16.5</v>
      </c>
      <c r="AM327" s="162">
        <v>-4.3577131428628411</v>
      </c>
      <c r="AN327" s="162">
        <v>-1.8471623977327953</v>
      </c>
      <c r="AO327" s="162">
        <v>64.393930096606184</v>
      </c>
      <c r="AP327" s="162">
        <v>-25.333329675653026</v>
      </c>
      <c r="AQ327" s="162">
        <v>0</v>
      </c>
      <c r="AR327" s="710" t="str">
        <v>1613.par</v>
      </c>
      <c r="AV327" s="82" t="str">
        <v>127,0,255</v>
      </c>
      <c r="AW327" s="947">
        <v>68.099999999999994</v>
      </c>
      <c r="AX327" s="947">
        <v>64.393930096606184</v>
      </c>
      <c r="AY327" s="947">
        <v>0</v>
      </c>
    </row>
    <row r="328" spans="4:51" x14ac:dyDescent="0.25">
      <c r="D328" s="164">
        <v>3.105</v>
      </c>
      <c r="E328">
        <f t="shared" si="1091"/>
        <v>324.9999660702029</v>
      </c>
      <c r="F328">
        <f t="shared" si="1092"/>
        <v>1.2694038285219471</v>
      </c>
      <c r="G328">
        <f t="shared" si="1093"/>
        <v>-0.31370094612205351</v>
      </c>
      <c r="H328">
        <f t="shared" si="1094"/>
        <v>1.9999997112357091</v>
      </c>
      <c r="I328">
        <f t="shared" si="1095"/>
        <v>15.999997689886111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6.1260000000000003</v>
      </c>
      <c r="AF328" s="82">
        <v>6</v>
      </c>
      <c r="AG328" s="82">
        <v>1</v>
      </c>
      <c r="AH328" s="82">
        <v>1</v>
      </c>
      <c r="AI328" s="82">
        <v>2.0000000000436557</v>
      </c>
      <c r="AJ328" s="166">
        <v>6.1261200000000002</v>
      </c>
      <c r="AK328" s="82" t="str">
        <v>Base</v>
      </c>
      <c r="AL328" s="162">
        <v>-16.5</v>
      </c>
      <c r="AM328" s="162">
        <v>-4.0104120954028808</v>
      </c>
      <c r="AN328" s="162">
        <v>-1.185528456655379</v>
      </c>
      <c r="AO328" s="162">
        <v>48.939386873420744</v>
      </c>
      <c r="AP328" s="162">
        <v>-21.833330180990448</v>
      </c>
      <c r="AQ328" s="162">
        <v>0</v>
      </c>
      <c r="AR328" s="710" t="str">
        <v>1613.par</v>
      </c>
      <c r="AV328" s="82" t="str">
        <v>127,0,255</v>
      </c>
      <c r="AW328" s="947">
        <v>51.199999999999989</v>
      </c>
      <c r="AX328" s="947">
        <v>48.939386873420744</v>
      </c>
      <c r="AY328" s="947">
        <v>0</v>
      </c>
    </row>
    <row r="329" spans="4:51" x14ac:dyDescent="0.25">
      <c r="D329" s="164">
        <v>3.1080000000000001</v>
      </c>
      <c r="E329">
        <f t="shared" si="1091"/>
        <v>324.99996607020285</v>
      </c>
      <c r="F329">
        <f t="shared" si="1092"/>
        <v>1.9770059626499845</v>
      </c>
      <c r="G329">
        <f t="shared" si="1093"/>
        <v>-0.15160045722697912</v>
      </c>
      <c r="H329">
        <f t="shared" si="1094"/>
        <v>-2.5757572038640517</v>
      </c>
      <c r="I329">
        <f t="shared" si="1095"/>
        <v>15.99999768988615</v>
      </c>
      <c r="J329" s="971">
        <v>82.9</v>
      </c>
      <c r="AA329" s="82"/>
      <c r="AB329" s="75"/>
      <c r="AC329" s="75"/>
      <c r="AD329" s="166"/>
      <c r="AE329" s="75">
        <v>6.12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6.12012</v>
      </c>
      <c r="AK329" s="82" t="str">
        <v>Base</v>
      </c>
      <c r="AL329" s="162">
        <v>-16.5</v>
      </c>
      <c r="AM329" s="162">
        <v>-3.4893105237605417</v>
      </c>
      <c r="AN329" s="162">
        <v>-0.65043378563396748</v>
      </c>
      <c r="AO329" s="162">
        <v>33.484843650235277</v>
      </c>
      <c r="AP329" s="162">
        <v>-18.33333068632788</v>
      </c>
      <c r="AQ329" s="162">
        <v>0</v>
      </c>
      <c r="AR329" s="710" t="str">
        <v>1613.par</v>
      </c>
      <c r="AV329" s="82" t="str">
        <v>127,0,255</v>
      </c>
      <c r="AW329" s="947">
        <v>34.099999999999994</v>
      </c>
      <c r="AX329" s="947">
        <v>33.484843650235277</v>
      </c>
      <c r="AY329" s="947">
        <v>0</v>
      </c>
    </row>
    <row r="330" spans="4:51" x14ac:dyDescent="0.25">
      <c r="D330" s="164">
        <v>3.113</v>
      </c>
      <c r="E330">
        <f t="shared" si="1091"/>
        <v>324.73996610774225</v>
      </c>
      <c r="F330">
        <f t="shared" si="1092"/>
        <v>2.7100081733846513</v>
      </c>
      <c r="G330">
        <f t="shared" si="1093"/>
        <v>-0.22590068131645466</v>
      </c>
      <c r="H330">
        <f t="shared" si="1094"/>
        <v>-15.454543223185555</v>
      </c>
      <c r="I330">
        <f t="shared" si="1095"/>
        <v>15.99999768988615</v>
      </c>
      <c r="J330" s="971">
        <v>101.6</v>
      </c>
      <c r="AA330" s="82"/>
      <c r="AB330" s="75"/>
      <c r="AC330" s="75"/>
      <c r="AD330" s="166"/>
      <c r="AE330" s="75">
        <v>6.1139999999999999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6.1141199999999998</v>
      </c>
      <c r="AK330" s="82" t="str">
        <v>Base</v>
      </c>
      <c r="AL330" s="162">
        <v>-16.5</v>
      </c>
      <c r="AM330" s="162">
        <v>-2.8295085337977381</v>
      </c>
      <c r="AN330" s="162">
        <v>-0.30103967470363502</v>
      </c>
      <c r="AO330" s="162">
        <v>18.030300427049777</v>
      </c>
      <c r="AP330" s="162">
        <v>-15.99999768988615</v>
      </c>
      <c r="AQ330" s="162">
        <v>0</v>
      </c>
      <c r="AR330" s="710" t="str">
        <v>1613.par</v>
      </c>
      <c r="AV330" s="82" t="str">
        <v>127,0,255</v>
      </c>
      <c r="AW330" s="947">
        <v>16.700000000000003</v>
      </c>
      <c r="AX330" s="947">
        <v>18.030300427049777</v>
      </c>
      <c r="AY330" s="947">
        <v>0</v>
      </c>
    </row>
    <row r="331" spans="4:51" x14ac:dyDescent="0.25">
      <c r="D331" s="164">
        <v>3.1190000000000002</v>
      </c>
      <c r="E331">
        <f t="shared" si="1091"/>
        <v>324.03996620880969</v>
      </c>
      <c r="F331">
        <f t="shared" si="1092"/>
        <v>3.3876102170324152</v>
      </c>
      <c r="G331">
        <f t="shared" si="1093"/>
        <v>-0.53950162713690775</v>
      </c>
      <c r="H331">
        <f t="shared" si="1094"/>
        <v>-30.909086446370907</v>
      </c>
      <c r="I331">
        <f t="shared" si="1095"/>
        <v>17.74999743721742</v>
      </c>
      <c r="J331" s="971">
        <v>120.7</v>
      </c>
      <c r="AA331" s="82"/>
      <c r="AB331" s="75"/>
      <c r="AC331" s="75"/>
      <c r="AD331" s="166"/>
      <c r="AE331" s="75">
        <v>5.2450000000000001</v>
      </c>
      <c r="AF331" s="82">
        <v>5</v>
      </c>
      <c r="AG331" s="82">
        <v>2</v>
      </c>
      <c r="AH331" s="82">
        <v>1</v>
      </c>
      <c r="AI331" s="82">
        <v>1.9999999999708962</v>
      </c>
      <c r="AJ331" s="166">
        <v>5.24512</v>
      </c>
      <c r="AK331" s="82" t="str">
        <v>Base</v>
      </c>
      <c r="AL331" s="162">
        <v>-15.75</v>
      </c>
      <c r="AM331" s="162">
        <v>-4.5422393625563773</v>
      </c>
      <c r="AN331" s="162">
        <v>-3.556123798020808</v>
      </c>
      <c r="AO331" s="162">
        <v>86.099987568699859</v>
      </c>
      <c r="AP331" s="162">
        <v>0</v>
      </c>
      <c r="AQ331" s="162">
        <v>0</v>
      </c>
      <c r="AR331" s="710" t="str">
        <v>32193r1.par</v>
      </c>
      <c r="AV331" s="82" t="str">
        <v>121,188,255</v>
      </c>
      <c r="AW331" s="947">
        <v>86.1</v>
      </c>
      <c r="AX331" s="947">
        <v>86.099987568699859</v>
      </c>
      <c r="AY331" s="947">
        <v>0</v>
      </c>
    </row>
    <row r="332" spans="4:51" x14ac:dyDescent="0.25">
      <c r="D332" s="164">
        <v>3.125</v>
      </c>
      <c r="E332">
        <f t="shared" si="1091"/>
        <v>323.28996631709629</v>
      </c>
      <c r="F332">
        <f t="shared" si="1092"/>
        <v>3.9349118676941934</v>
      </c>
      <c r="G332">
        <f t="shared" si="1093"/>
        <v>-1.0483031616823373</v>
      </c>
      <c r="H332">
        <f t="shared" si="1094"/>
        <v>-46.363629669556452</v>
      </c>
      <c r="I332">
        <f t="shared" si="1095"/>
        <v>21.249996931880013</v>
      </c>
      <c r="J332" s="971">
        <v>139.80000000000001</v>
      </c>
      <c r="AA332" s="82"/>
      <c r="AB332" s="75"/>
      <c r="AC332" s="75"/>
      <c r="AD332" s="166"/>
      <c r="AE332" s="75">
        <v>5.2389999999999999</v>
      </c>
      <c r="AF332" s="82">
        <v>5</v>
      </c>
      <c r="AG332" s="82">
        <v>2</v>
      </c>
      <c r="AH332" s="82">
        <v>1</v>
      </c>
      <c r="AI332" s="82">
        <v>1.9999999999708962</v>
      </c>
      <c r="AJ332" s="166">
        <v>5.2391199999999998</v>
      </c>
      <c r="AK332" s="82" t="str">
        <v>Base</v>
      </c>
      <c r="AL332" s="162">
        <v>-15.75</v>
      </c>
      <c r="AM332" s="162">
        <v>-4.5002974940256557</v>
      </c>
      <c r="AN332" s="162">
        <v>-2.7495269274143852</v>
      </c>
      <c r="AO332" s="162">
        <v>86.099987568699859</v>
      </c>
      <c r="AP332" s="162">
        <v>0</v>
      </c>
      <c r="AQ332" s="162">
        <v>0</v>
      </c>
      <c r="AR332" s="710" t="str">
        <v>32193r1.par</v>
      </c>
      <c r="AV332" s="82" t="str">
        <v>121,188,255</v>
      </c>
      <c r="AW332" s="947">
        <v>86.1</v>
      </c>
      <c r="AX332" s="947">
        <v>86.099987568699859</v>
      </c>
      <c r="AY332" s="947">
        <v>0</v>
      </c>
    </row>
    <row r="333" spans="4:51" x14ac:dyDescent="0.25">
      <c r="D333" s="164">
        <v>3.1309999999999998</v>
      </c>
      <c r="E333">
        <f t="shared" si="1091"/>
        <v>322.71996639939408</v>
      </c>
      <c r="F333">
        <f t="shared" si="1092"/>
        <v>4.3128130074440314</v>
      </c>
      <c r="G333">
        <f t="shared" si="1093"/>
        <v>-1.6933051070082035</v>
      </c>
      <c r="H333">
        <f t="shared" si="1094"/>
        <v>-61.818172892741991</v>
      </c>
      <c r="I333">
        <f t="shared" si="1095"/>
        <v>24.749996426542594</v>
      </c>
      <c r="J333" s="971">
        <v>158.69999999999999</v>
      </c>
      <c r="AA333" s="82"/>
      <c r="AB333" s="75"/>
      <c r="AC333" s="75"/>
      <c r="AD333" s="166"/>
      <c r="AE333" s="75">
        <v>5.2329999999999997</v>
      </c>
      <c r="AF333" s="82">
        <v>5</v>
      </c>
      <c r="AG333" s="82">
        <v>2</v>
      </c>
      <c r="AH333" s="82">
        <v>1</v>
      </c>
      <c r="AI333" s="82">
        <v>1.9999999999708962</v>
      </c>
      <c r="AJ333" s="166">
        <v>5.2331199999999995</v>
      </c>
      <c r="AK333" s="82" t="str">
        <v>Base</v>
      </c>
      <c r="AL333" s="162">
        <v>-15.75</v>
      </c>
      <c r="AM333" s="162">
        <v>-4.4187390913554569</v>
      </c>
      <c r="AN333" s="162">
        <v>-1.9960258810491438</v>
      </c>
      <c r="AO333" s="162">
        <v>66.969687300470468</v>
      </c>
      <c r="AP333" s="162">
        <v>-25.916662924763472</v>
      </c>
      <c r="AQ333" s="162">
        <v>0</v>
      </c>
      <c r="AR333" s="710" t="str">
        <v>1313.par</v>
      </c>
      <c r="AV333" s="82" t="str">
        <v>121,188,255</v>
      </c>
      <c r="AW333" s="947">
        <v>70.900000000000006</v>
      </c>
      <c r="AX333" s="947">
        <v>66.969687300470468</v>
      </c>
      <c r="AY333" s="947">
        <v>0</v>
      </c>
    </row>
    <row r="334" spans="4:51" x14ac:dyDescent="0.25">
      <c r="D334" s="164">
        <v>3.137</v>
      </c>
      <c r="E334">
        <f t="shared" si="1091"/>
        <v>322.41996644270876</v>
      </c>
      <c r="F334">
        <f t="shared" si="1092"/>
        <v>4.5026135798825573</v>
      </c>
      <c r="G334">
        <f t="shared" si="1093"/>
        <v>-2.416707288789183</v>
      </c>
      <c r="H334">
        <f t="shared" si="1094"/>
        <v>-77.272716115927437</v>
      </c>
      <c r="I334">
        <f t="shared" si="1095"/>
        <v>28.249995921205201</v>
      </c>
      <c r="J334" s="971">
        <v>175</v>
      </c>
      <c r="AA334" s="82"/>
      <c r="AB334" s="75"/>
      <c r="AC334" s="75"/>
      <c r="AD334" s="166"/>
      <c r="AE334" s="75">
        <v>5.2270000000000003</v>
      </c>
      <c r="AF334" s="82">
        <v>5</v>
      </c>
      <c r="AG334" s="82">
        <v>2</v>
      </c>
      <c r="AH334" s="82">
        <v>1</v>
      </c>
      <c r="AI334" s="82">
        <v>2.0000000000436557</v>
      </c>
      <c r="AJ334" s="166">
        <v>5.2271200000000002</v>
      </c>
      <c r="AK334" s="82" t="str">
        <v>Base</v>
      </c>
      <c r="AL334" s="162">
        <v>-15.75</v>
      </c>
      <c r="AM334" s="162">
        <v>-4.0999907953688464</v>
      </c>
      <c r="AN334" s="162">
        <v>-1.3128292289605874</v>
      </c>
      <c r="AO334" s="162">
        <v>51.515144077284944</v>
      </c>
      <c r="AP334" s="162">
        <v>-22.416663430100865</v>
      </c>
      <c r="AQ334" s="162">
        <v>0</v>
      </c>
      <c r="AR334" s="710" t="str">
        <v>1313.par</v>
      </c>
      <c r="AV334" s="82" t="str">
        <v>121,188,255</v>
      </c>
      <c r="AW334" s="947">
        <v>54.099999999999994</v>
      </c>
      <c r="AX334" s="947">
        <v>51.515144077284944</v>
      </c>
      <c r="AY334" s="947">
        <v>0</v>
      </c>
    </row>
    <row r="335" spans="4:51" x14ac:dyDescent="0.25">
      <c r="D335" s="164">
        <v>3.1429999999999998</v>
      </c>
      <c r="E335">
        <f t="shared" si="1091"/>
        <v>322.31996645714696</v>
      </c>
      <c r="F335">
        <f t="shared" si="1092"/>
        <v>4.5665137726055383</v>
      </c>
      <c r="G335">
        <f t="shared" si="1093"/>
        <v>-3.2232097212005186</v>
      </c>
      <c r="H335">
        <f t="shared" si="1094"/>
        <v>-84.999987727520192</v>
      </c>
      <c r="I335">
        <f t="shared" si="1095"/>
        <v>29.99999566853651</v>
      </c>
      <c r="J335" s="971">
        <v>175</v>
      </c>
      <c r="AA335" s="82"/>
      <c r="AB335" s="75"/>
      <c r="AC335" s="75"/>
      <c r="AD335" s="166"/>
      <c r="AE335" s="75">
        <v>5.2210000000000001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5.22112</v>
      </c>
      <c r="AK335" s="82" t="str">
        <v>Base</v>
      </c>
      <c r="AL335" s="162">
        <v>-15.75</v>
      </c>
      <c r="AM335" s="162">
        <v>-3.6019667924935841</v>
      </c>
      <c r="AN335" s="162">
        <v>-0.74681267602572032</v>
      </c>
      <c r="AO335" s="162">
        <v>36.060600854099427</v>
      </c>
      <c r="AP335" s="162">
        <v>-18.916663935438311</v>
      </c>
      <c r="AQ335" s="162">
        <v>0</v>
      </c>
      <c r="AR335" s="710" t="str">
        <v>1313.par</v>
      </c>
      <c r="AV335" s="82" t="str">
        <v>121,188,255</v>
      </c>
      <c r="AW335" s="947">
        <v>37</v>
      </c>
      <c r="AX335" s="947">
        <v>36.060600854099427</v>
      </c>
      <c r="AY335" s="947">
        <v>0</v>
      </c>
    </row>
    <row r="336" spans="4:51" x14ac:dyDescent="0.25">
      <c r="D336" s="164">
        <v>4.1120000000000001</v>
      </c>
      <c r="E336">
        <f t="shared" si="1091"/>
        <v>263.82997490205685</v>
      </c>
      <c r="F336">
        <f t="shared" si="1092"/>
        <v>2.5885078069395457</v>
      </c>
      <c r="G336">
        <f t="shared" si="1093"/>
        <v>-0.19620059174098481</v>
      </c>
      <c r="H336">
        <f t="shared" si="1094"/>
        <v>-12.878786019321156</v>
      </c>
      <c r="I336">
        <f t="shared" si="1095"/>
        <v>15.999997689886136</v>
      </c>
      <c r="J336" s="971">
        <v>98.5</v>
      </c>
      <c r="AA336" s="82"/>
      <c r="AB336" s="75"/>
      <c r="AC336" s="75"/>
      <c r="AD336" s="166"/>
      <c r="AE336" s="75">
        <v>5.2149999999999999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5.2151199999999998</v>
      </c>
      <c r="AK336" s="82" t="str">
        <v>Base</v>
      </c>
      <c r="AL336" s="162">
        <v>-15.75</v>
      </c>
      <c r="AM336" s="162">
        <v>-2.9560088404989151</v>
      </c>
      <c r="AN336" s="162">
        <v>-0.35828826362201543</v>
      </c>
      <c r="AO336" s="162">
        <v>20.606057630913941</v>
      </c>
      <c r="AP336" s="162">
        <v>-15.999997689886136</v>
      </c>
      <c r="AQ336" s="162">
        <v>0</v>
      </c>
      <c r="AR336" s="710" t="str">
        <v>1310.par</v>
      </c>
      <c r="AV336" s="82" t="str">
        <v>121,188,255</v>
      </c>
      <c r="AW336" s="947">
        <v>19.599999999999994</v>
      </c>
      <c r="AX336" s="947">
        <v>20.606057630913941</v>
      </c>
      <c r="AY336" s="947">
        <v>0</v>
      </c>
    </row>
    <row r="337" spans="4:51" x14ac:dyDescent="0.25">
      <c r="D337" s="164">
        <v>4.1180000000000003</v>
      </c>
      <c r="E337">
        <f t="shared" si="1091"/>
        <v>263.1599749987929</v>
      </c>
      <c r="F337">
        <f t="shared" si="1092"/>
        <v>3.2823098994466586</v>
      </c>
      <c r="G337">
        <f t="shared" si="1093"/>
        <v>-0.47220142415949584</v>
      </c>
      <c r="H337">
        <f t="shared" si="1094"/>
        <v>-28.333329242506757</v>
      </c>
      <c r="I337">
        <f t="shared" si="1095"/>
        <v>17.166664188107028</v>
      </c>
      <c r="J337" s="971">
        <v>117.5</v>
      </c>
      <c r="AA337" s="82"/>
      <c r="AB337" s="75"/>
      <c r="AC337" s="75"/>
      <c r="AD337" s="166"/>
      <c r="AE337" s="75">
        <v>5.1449999999999996</v>
      </c>
      <c r="AF337" s="82">
        <v>5</v>
      </c>
      <c r="AG337" s="82">
        <v>1</v>
      </c>
      <c r="AH337" s="82">
        <v>1</v>
      </c>
      <c r="AI337" s="82">
        <v>1.9999999999708962</v>
      </c>
      <c r="AJ337" s="166">
        <v>5.1451199999999995</v>
      </c>
      <c r="AK337" s="82" t="str">
        <v>Base</v>
      </c>
      <c r="AL337" s="162">
        <v>-15</v>
      </c>
      <c r="AM337" s="162">
        <v>-4.56651377260554</v>
      </c>
      <c r="AN337" s="162">
        <v>-3.5512104639337121</v>
      </c>
      <c r="AO337" s="162">
        <v>84.999987727520178</v>
      </c>
      <c r="AP337" s="162">
        <v>-29.99999566853651</v>
      </c>
      <c r="AQ337" s="162">
        <v>0</v>
      </c>
      <c r="AR337" s="710" t="str">
        <v>1613.par</v>
      </c>
      <c r="AV337" s="82" t="str">
        <v>0,102,204</v>
      </c>
      <c r="AW337" s="947">
        <v>86.1</v>
      </c>
      <c r="AX337" s="947">
        <v>84.999987727520178</v>
      </c>
      <c r="AY337" s="947">
        <v>0</v>
      </c>
    </row>
    <row r="338" spans="4:51" x14ac:dyDescent="0.25">
      <c r="D338" s="164">
        <v>4.1239999999999997</v>
      </c>
      <c r="E338">
        <f t="shared" si="1091"/>
        <v>262.4099751070795</v>
      </c>
      <c r="F338">
        <f t="shared" si="1092"/>
        <v>3.8547116258102636</v>
      </c>
      <c r="G338">
        <f t="shared" si="1093"/>
        <v>-0.95230287214546228</v>
      </c>
      <c r="H338">
        <f t="shared" si="1094"/>
        <v>-43.787872465692246</v>
      </c>
      <c r="I338">
        <f t="shared" si="1095"/>
        <v>20.666663682769606</v>
      </c>
      <c r="J338" s="971">
        <v>136.6</v>
      </c>
      <c r="AA338" s="82"/>
      <c r="AB338" s="75"/>
      <c r="AC338" s="75"/>
      <c r="AD338" s="166"/>
      <c r="AE338" s="75">
        <v>5.1390000000000002</v>
      </c>
      <c r="AF338" s="82">
        <v>5</v>
      </c>
      <c r="AG338" s="82">
        <v>1</v>
      </c>
      <c r="AH338" s="82">
        <v>1</v>
      </c>
      <c r="AI338" s="82">
        <v>2.0000000000436557</v>
      </c>
      <c r="AJ338" s="166">
        <v>5.1391200000000001</v>
      </c>
      <c r="AK338" s="82" t="str">
        <v>Base</v>
      </c>
      <c r="AL338" s="162">
        <v>-15</v>
      </c>
      <c r="AM338" s="162">
        <v>-4.5227136405043415</v>
      </c>
      <c r="AN338" s="162">
        <v>-2.7439566402318514</v>
      </c>
      <c r="AO338" s="162">
        <v>82.424230523655964</v>
      </c>
      <c r="AP338" s="162">
        <v>-29.416662419426054</v>
      </c>
      <c r="AQ338" s="162">
        <v>0</v>
      </c>
      <c r="AR338" s="710" t="str">
        <v>1613.par</v>
      </c>
      <c r="AV338" s="82" t="str">
        <v>0,102,204</v>
      </c>
      <c r="AW338" s="947">
        <v>86.1</v>
      </c>
      <c r="AX338" s="947">
        <v>82.424230523655964</v>
      </c>
      <c r="AY338" s="947">
        <v>0</v>
      </c>
    </row>
    <row r="339" spans="4:51" x14ac:dyDescent="0.25">
      <c r="D339" s="164">
        <v>4.13</v>
      </c>
      <c r="E339">
        <f t="shared" si="1091"/>
        <v>261.79997519515257</v>
      </c>
      <c r="F339">
        <f t="shared" si="1092"/>
        <v>4.2625128557387741</v>
      </c>
      <c r="G339">
        <f t="shared" si="1093"/>
        <v>-1.5789047619767611</v>
      </c>
      <c r="H339">
        <f t="shared" si="1094"/>
        <v>-59.242415688877728</v>
      </c>
      <c r="I339">
        <f t="shared" si="1095"/>
        <v>24.166663177432174</v>
      </c>
      <c r="J339" s="971">
        <v>155.5</v>
      </c>
      <c r="AA339" s="82"/>
      <c r="AB339" s="75"/>
      <c r="AC339" s="75"/>
      <c r="AD339" s="166"/>
      <c r="AE339" s="75">
        <v>5.133</v>
      </c>
      <c r="AF339" s="82">
        <v>5</v>
      </c>
      <c r="AG339" s="82">
        <v>1</v>
      </c>
      <c r="AH339" s="82">
        <v>1</v>
      </c>
      <c r="AI339" s="82">
        <v>1.9999999999708962</v>
      </c>
      <c r="AJ339" s="166">
        <v>5.1331199999999999</v>
      </c>
      <c r="AK339" s="82" t="str">
        <v>Base</v>
      </c>
      <c r="AL339" s="162">
        <v>-15</v>
      </c>
      <c r="AM339" s="162">
        <v>-4.3974132625984002</v>
      </c>
      <c r="AN339" s="162">
        <v>-2.0066933050773894</v>
      </c>
      <c r="AO339" s="162">
        <v>66.969687300470483</v>
      </c>
      <c r="AP339" s="162">
        <v>-25.916662924763472</v>
      </c>
      <c r="AQ339" s="162">
        <v>0</v>
      </c>
      <c r="AR339" s="710" t="str">
        <v>1613 Ripper.par</v>
      </c>
      <c r="AV339" s="82" t="str">
        <v>0,102,204</v>
      </c>
      <c r="AW339" s="947">
        <v>70.900000000000006</v>
      </c>
      <c r="AX339" s="947">
        <v>66.969687300470483</v>
      </c>
      <c r="AY339" s="947">
        <v>0</v>
      </c>
    </row>
    <row r="340" spans="4:51" x14ac:dyDescent="0.25">
      <c r="D340" s="164">
        <v>4.1360000000000001</v>
      </c>
      <c r="E340">
        <f t="shared" si="1091"/>
        <v>261.44997524568635</v>
      </c>
      <c r="F340">
        <f t="shared" si="1092"/>
        <v>4.4844135249911918</v>
      </c>
      <c r="G340">
        <f t="shared" si="1093"/>
        <v>-2.2930069157088577</v>
      </c>
      <c r="H340">
        <f t="shared" si="1094"/>
        <v>-74.696958912063238</v>
      </c>
      <c r="I340">
        <f t="shared" si="1095"/>
        <v>27.666662672094795</v>
      </c>
      <c r="J340" s="971">
        <v>174.1</v>
      </c>
      <c r="AA340" s="82"/>
      <c r="AB340" s="75"/>
      <c r="AC340" s="75"/>
      <c r="AD340" s="166"/>
      <c r="AE340" s="75">
        <v>5.1269999999999998</v>
      </c>
      <c r="AF340" s="82">
        <v>5</v>
      </c>
      <c r="AG340" s="82">
        <v>1</v>
      </c>
      <c r="AH340" s="82">
        <v>1</v>
      </c>
      <c r="AI340" s="82">
        <v>1.9999999999708962</v>
      </c>
      <c r="AJ340" s="166">
        <v>5.1271199999999997</v>
      </c>
      <c r="AK340" s="82" t="str">
        <v>Base</v>
      </c>
      <c r="AL340" s="162">
        <v>-15</v>
      </c>
      <c r="AM340" s="162">
        <v>-4.0809123080315226</v>
      </c>
      <c r="AN340" s="162">
        <v>-1.3296315397614755</v>
      </c>
      <c r="AO340" s="162">
        <v>51.515144077284944</v>
      </c>
      <c r="AP340" s="162">
        <v>-22.416663430100879</v>
      </c>
      <c r="AQ340" s="162">
        <v>0</v>
      </c>
      <c r="AR340" s="710" t="str">
        <v>1613 Ripper.par</v>
      </c>
      <c r="AV340" s="82" t="str">
        <v>0,102,204</v>
      </c>
      <c r="AW340" s="947">
        <v>54.099999999999994</v>
      </c>
      <c r="AX340" s="947">
        <v>51.515144077284944</v>
      </c>
      <c r="AY340" s="947">
        <v>0</v>
      </c>
    </row>
    <row r="341" spans="4:51" x14ac:dyDescent="0.25">
      <c r="D341" s="164">
        <v>4.1420000000000003</v>
      </c>
      <c r="E341">
        <f t="shared" si="1091"/>
        <v>261.31997526445599</v>
      </c>
      <c r="F341">
        <f t="shared" si="1092"/>
        <v>4.5665137726055374</v>
      </c>
      <c r="G341">
        <f t="shared" si="1093"/>
        <v>-3.0982093441993821</v>
      </c>
      <c r="H341">
        <f t="shared" si="1094"/>
        <v>-84.999987727520192</v>
      </c>
      <c r="I341">
        <f t="shared" si="1095"/>
        <v>29.999995668536549</v>
      </c>
      <c r="J341" s="971">
        <v>175</v>
      </c>
      <c r="AA341" s="82"/>
      <c r="AB341" s="75"/>
      <c r="AC341" s="75"/>
      <c r="AD341" s="166"/>
      <c r="AE341" s="75">
        <v>5.1210000000000004</v>
      </c>
      <c r="AF341" s="82">
        <v>5</v>
      </c>
      <c r="AG341" s="82">
        <v>1</v>
      </c>
      <c r="AH341" s="82">
        <v>1</v>
      </c>
      <c r="AI341" s="82">
        <v>2.0000000000436557</v>
      </c>
      <c r="AJ341" s="166">
        <v>5.1211200000000003</v>
      </c>
      <c r="AK341" s="82" t="str">
        <v>Base</v>
      </c>
      <c r="AL341" s="162">
        <v>-15</v>
      </c>
      <c r="AM341" s="162">
        <v>-3.5870108184246297</v>
      </c>
      <c r="AN341" s="162">
        <v>-0.76921595914108798</v>
      </c>
      <c r="AO341" s="162">
        <v>36.060600854099476</v>
      </c>
      <c r="AP341" s="162">
        <v>-18.916663935438272</v>
      </c>
      <c r="AQ341" s="162">
        <v>0</v>
      </c>
      <c r="AR341" s="710" t="str">
        <v>1613 Ripper.par</v>
      </c>
      <c r="AV341" s="82" t="str">
        <v>0,102,204</v>
      </c>
      <c r="AW341" s="947">
        <v>37</v>
      </c>
      <c r="AX341" s="947">
        <v>36.060600854099476</v>
      </c>
      <c r="AY341" s="947">
        <v>0</v>
      </c>
    </row>
    <row r="342" spans="4:51" x14ac:dyDescent="0.25">
      <c r="D342" s="164">
        <v>5.1029999999999998</v>
      </c>
      <c r="E342">
        <f t="shared" si="1091"/>
        <v>204.99998339605673</v>
      </c>
      <c r="F342">
        <f t="shared" si="1092"/>
        <v>0.80570242999852892</v>
      </c>
      <c r="G342">
        <f t="shared" si="1093"/>
        <v>-0.48250145522438886</v>
      </c>
      <c r="H342">
        <f t="shared" si="1094"/>
        <v>3.999999422471447</v>
      </c>
      <c r="I342">
        <f t="shared" si="1095"/>
        <v>16.999997545504019</v>
      </c>
      <c r="J342" s="971">
        <v>70</v>
      </c>
      <c r="AA342" s="82"/>
      <c r="AB342" s="75"/>
      <c r="AC342" s="75"/>
      <c r="AD342" s="166"/>
      <c r="AE342" s="75">
        <v>5.1150000000000002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5.1151200000000001</v>
      </c>
      <c r="AK342" s="82" t="str">
        <v>Base</v>
      </c>
      <c r="AL342" s="162">
        <v>-15</v>
      </c>
      <c r="AM342" s="162">
        <v>-2.9468088875756053</v>
      </c>
      <c r="AN342" s="162">
        <v>-0.38503563214052328</v>
      </c>
      <c r="AO342" s="162">
        <v>20.606057630913952</v>
      </c>
      <c r="AP342" s="162">
        <v>-15.999997689886136</v>
      </c>
      <c r="AQ342" s="162">
        <v>0</v>
      </c>
      <c r="AR342" s="710" t="str">
        <v>1613 Ripper.par</v>
      </c>
      <c r="AV342" s="82" t="str">
        <v>0,102,204</v>
      </c>
      <c r="AW342" s="947">
        <v>19.599999999999994</v>
      </c>
      <c r="AX342" s="947">
        <v>20.606057630913952</v>
      </c>
      <c r="AY342" s="947">
        <v>0</v>
      </c>
    </row>
    <row r="343" spans="4:51" x14ac:dyDescent="0.25">
      <c r="D343" s="164">
        <v>5.1059999999999999</v>
      </c>
      <c r="E343">
        <f t="shared" si="1091"/>
        <v>204.99998339605673</v>
      </c>
      <c r="F343">
        <f t="shared" si="1092"/>
        <v>1.5030045330616721</v>
      </c>
      <c r="G343">
        <f t="shared" si="1093"/>
        <v>-0.23440070695253198</v>
      </c>
      <c r="H343">
        <f t="shared" si="1094"/>
        <v>0.99999985561780147</v>
      </c>
      <c r="I343">
        <f t="shared" si="1095"/>
        <v>15.999997689886136</v>
      </c>
      <c r="J343" s="971">
        <v>70.599999999999994</v>
      </c>
      <c r="AA343" s="82"/>
      <c r="AB343" s="75"/>
      <c r="AC343" s="75"/>
      <c r="AD343" s="166"/>
      <c r="AE343" s="75">
        <v>5.109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5.1091199999999999</v>
      </c>
      <c r="AK343" s="82" t="str">
        <v>Base</v>
      </c>
      <c r="AL343" s="162">
        <v>-15</v>
      </c>
      <c r="AM343" s="162">
        <v>-2.216906686190566</v>
      </c>
      <c r="AN343" s="162">
        <v>-0.22855460361042959</v>
      </c>
      <c r="AO343" s="162">
        <v>5.1515144077284702</v>
      </c>
      <c r="AP343" s="162">
        <v>-15.99999768988615</v>
      </c>
      <c r="AQ343" s="162">
        <v>0</v>
      </c>
      <c r="AR343" s="710" t="str">
        <v>1613 Ripper.par</v>
      </c>
      <c r="AV343" s="82" t="str">
        <v>0,102,204</v>
      </c>
      <c r="AW343" s="947">
        <v>2.0999999999999943</v>
      </c>
      <c r="AX343" s="947">
        <v>5.1515144077284702</v>
      </c>
      <c r="AY343" s="947">
        <v>0</v>
      </c>
    </row>
    <row r="344" spans="4:51" x14ac:dyDescent="0.25">
      <c r="D344" s="164">
        <v>5.109</v>
      </c>
      <c r="E344">
        <f t="shared" si="1091"/>
        <v>204.98998339750054</v>
      </c>
      <c r="F344">
        <f t="shared" si="1092"/>
        <v>2.216906686190566</v>
      </c>
      <c r="G344">
        <f t="shared" si="1093"/>
        <v>-0.14870044848055242</v>
      </c>
      <c r="H344">
        <f t="shared" si="1094"/>
        <v>-5.1515144077284702</v>
      </c>
      <c r="I344">
        <f t="shared" si="1095"/>
        <v>15.99999768988615</v>
      </c>
      <c r="J344" s="971">
        <v>89</v>
      </c>
      <c r="AA344" s="82"/>
      <c r="AB344" s="75"/>
      <c r="AC344" s="75"/>
      <c r="AD344" s="166"/>
      <c r="AE344" s="75">
        <v>5.1059999999999999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5.1061199999999998</v>
      </c>
      <c r="AK344" s="82" t="str">
        <v>Base</v>
      </c>
      <c r="AL344" s="162">
        <v>-15</v>
      </c>
      <c r="AM344" s="162">
        <v>-1.5030045330616721</v>
      </c>
      <c r="AN344" s="162">
        <v>-0.31426180652585101</v>
      </c>
      <c r="AO344" s="162">
        <v>-0.99999985561780147</v>
      </c>
      <c r="AP344" s="162">
        <v>-15.999997689886136</v>
      </c>
      <c r="AQ344" s="162">
        <v>0</v>
      </c>
      <c r="AR344" s="710" t="str">
        <v>1613.par</v>
      </c>
      <c r="AV344" s="82" t="str">
        <v>0,102,204</v>
      </c>
      <c r="AW344" s="947">
        <v>-16</v>
      </c>
      <c r="AX344" s="947">
        <v>-0.99999985561780147</v>
      </c>
      <c r="AY344" s="947">
        <v>0</v>
      </c>
    </row>
    <row r="345" spans="4:51" x14ac:dyDescent="0.25">
      <c r="D345" s="164">
        <v>5.1150000000000002</v>
      </c>
      <c r="E345">
        <f t="shared" si="1091"/>
        <v>204.5299834639163</v>
      </c>
      <c r="F345">
        <f t="shared" si="1092"/>
        <v>2.9468088875756053</v>
      </c>
      <c r="G345">
        <f t="shared" si="1093"/>
        <v>-0.30550092139077856</v>
      </c>
      <c r="H345">
        <f t="shared" si="1094"/>
        <v>-20.606057630913952</v>
      </c>
      <c r="I345">
        <f t="shared" si="1095"/>
        <v>15.999997689886136</v>
      </c>
      <c r="J345" s="971">
        <v>108</v>
      </c>
      <c r="AA345" s="82"/>
      <c r="AB345" s="75"/>
      <c r="AC345" s="75"/>
      <c r="AD345" s="166"/>
      <c r="AE345" s="75">
        <v>5.1029999999999998</v>
      </c>
      <c r="AF345" s="82">
        <v>5</v>
      </c>
      <c r="AG345" s="82">
        <v>1</v>
      </c>
      <c r="AH345" s="82">
        <v>1</v>
      </c>
      <c r="AI345" s="82">
        <v>1.9999999999708962</v>
      </c>
      <c r="AJ345" s="166">
        <v>5.1031199999999997</v>
      </c>
      <c r="AK345" s="82" t="str">
        <v>Base</v>
      </c>
      <c r="AL345" s="162">
        <v>-15</v>
      </c>
      <c r="AM345" s="162">
        <v>-0.80570242999852892</v>
      </c>
      <c r="AN345" s="162">
        <v>-0.5623625547977078</v>
      </c>
      <c r="AO345" s="162">
        <v>-3.999999422471447</v>
      </c>
      <c r="AP345" s="162">
        <v>-16.999997545504019</v>
      </c>
      <c r="AQ345" s="162">
        <v>0</v>
      </c>
      <c r="AR345" s="710" t="str">
        <v>1613.par</v>
      </c>
      <c r="AV345" s="82" t="str">
        <v>0,102,204</v>
      </c>
      <c r="AW345" s="947">
        <v>-20</v>
      </c>
      <c r="AX345" s="947">
        <v>-3.999999422471447</v>
      </c>
      <c r="AY345" s="947">
        <v>0</v>
      </c>
    </row>
    <row r="346" spans="4:51" x14ac:dyDescent="0.25">
      <c r="D346" s="164">
        <v>5.1210000000000004</v>
      </c>
      <c r="E346">
        <f t="shared" si="1091"/>
        <v>203.77998357220289</v>
      </c>
      <c r="F346">
        <f t="shared" si="1092"/>
        <v>3.5870108184246297</v>
      </c>
      <c r="G346">
        <f t="shared" si="1093"/>
        <v>-0.69020208164947761</v>
      </c>
      <c r="H346">
        <f t="shared" si="1094"/>
        <v>-36.060600854099476</v>
      </c>
      <c r="I346">
        <f t="shared" si="1095"/>
        <v>18.916663935438272</v>
      </c>
      <c r="J346" s="971">
        <v>127.1</v>
      </c>
      <c r="AA346" s="82"/>
      <c r="AB346" s="75"/>
      <c r="AC346" s="75"/>
      <c r="AD346" s="166"/>
      <c r="AE346" s="75">
        <v>4.242</v>
      </c>
      <c r="AF346" s="82">
        <v>4</v>
      </c>
      <c r="AG346" s="82">
        <v>2</v>
      </c>
      <c r="AH346" s="82">
        <v>1</v>
      </c>
      <c r="AI346" s="82">
        <v>1.9999999999708962</v>
      </c>
      <c r="AJ346" s="166">
        <v>4.2421199999999999</v>
      </c>
      <c r="AK346" s="82" t="str">
        <v>Base</v>
      </c>
      <c r="AL346" s="162">
        <v>-14.25</v>
      </c>
      <c r="AM346" s="162">
        <v>-4.5422393625563782</v>
      </c>
      <c r="AN346" s="162">
        <v>-3.2219814301229004</v>
      </c>
      <c r="AO346" s="162">
        <v>86.099987568699859</v>
      </c>
      <c r="AP346" s="162">
        <v>0</v>
      </c>
      <c r="AQ346" s="162">
        <v>0</v>
      </c>
      <c r="AR346" s="710" t="str">
        <v>32193r1.par</v>
      </c>
      <c r="AV346" s="82" t="str">
        <v>91,255,255</v>
      </c>
      <c r="AW346" s="947">
        <v>86.1</v>
      </c>
      <c r="AX346" s="947">
        <v>86.099987568699859</v>
      </c>
      <c r="AY346" s="947">
        <v>0</v>
      </c>
    </row>
    <row r="347" spans="4:51" x14ac:dyDescent="0.25">
      <c r="D347" s="164">
        <v>5.1269999999999998</v>
      </c>
      <c r="E347">
        <f t="shared" si="1091"/>
        <v>203.07998367327036</v>
      </c>
      <c r="F347">
        <f t="shared" si="1092"/>
        <v>4.0809123080315226</v>
      </c>
      <c r="G347">
        <f t="shared" si="1093"/>
        <v>-1.2511037733289805</v>
      </c>
      <c r="H347">
        <f t="shared" si="1094"/>
        <v>-51.515144077284944</v>
      </c>
      <c r="I347">
        <f t="shared" si="1095"/>
        <v>22.416663430100879</v>
      </c>
      <c r="J347" s="971">
        <v>146.1</v>
      </c>
      <c r="AA347" s="82"/>
      <c r="AB347" s="75"/>
      <c r="AC347" s="75"/>
      <c r="AD347" s="166"/>
      <c r="AE347" s="75">
        <v>4.2359999999999998</v>
      </c>
      <c r="AF347" s="82">
        <v>4</v>
      </c>
      <c r="AG347" s="82">
        <v>2</v>
      </c>
      <c r="AH347" s="82">
        <v>1</v>
      </c>
      <c r="AI347" s="82">
        <v>1.9999999999708962</v>
      </c>
      <c r="AJ347" s="166">
        <v>4.2361199999999997</v>
      </c>
      <c r="AK347" s="82" t="str">
        <v>Base</v>
      </c>
      <c r="AL347" s="162">
        <v>-14.25</v>
      </c>
      <c r="AM347" s="162">
        <v>-4.4675179862555883</v>
      </c>
      <c r="AN347" s="162">
        <v>-2.419189738266188</v>
      </c>
      <c r="AO347" s="162">
        <v>79.29998855049827</v>
      </c>
      <c r="AP347" s="162">
        <v>0</v>
      </c>
      <c r="AQ347" s="162">
        <v>0</v>
      </c>
      <c r="AR347" s="710" t="str">
        <v>32193r1.par</v>
      </c>
      <c r="AV347" s="82" t="str">
        <v>91,255,255</v>
      </c>
      <c r="AW347" s="947">
        <v>79.300000000000011</v>
      </c>
      <c r="AX347" s="947">
        <v>79.29998855049827</v>
      </c>
      <c r="AY347" s="947">
        <v>0</v>
      </c>
    </row>
    <row r="348" spans="4:51" x14ac:dyDescent="0.25">
      <c r="D348" s="164">
        <v>5.133</v>
      </c>
      <c r="E348">
        <f t="shared" si="1091"/>
        <v>202.58998374401762</v>
      </c>
      <c r="F348">
        <f t="shared" si="1092"/>
        <v>4.3974132625984002</v>
      </c>
      <c r="G348">
        <f t="shared" si="1093"/>
        <v>-1.928505816373542</v>
      </c>
      <c r="H348">
        <f t="shared" si="1094"/>
        <v>-66.969687300470483</v>
      </c>
      <c r="I348">
        <f t="shared" si="1095"/>
        <v>25.916662924763472</v>
      </c>
      <c r="J348" s="971">
        <v>164.9</v>
      </c>
      <c r="AA348" s="82"/>
      <c r="AB348" s="75"/>
      <c r="AC348" s="75"/>
      <c r="AD348" s="166"/>
      <c r="AE348" s="75">
        <v>4.2300000000000004</v>
      </c>
      <c r="AF348" s="82">
        <v>4</v>
      </c>
      <c r="AG348" s="82">
        <v>2</v>
      </c>
      <c r="AH348" s="82">
        <v>1</v>
      </c>
      <c r="AI348" s="82">
        <v>2.0000000000436557</v>
      </c>
      <c r="AJ348" s="166">
        <v>4.2301200000000003</v>
      </c>
      <c r="AK348" s="82" t="str">
        <v>Base</v>
      </c>
      <c r="AL348" s="162">
        <v>-14.25</v>
      </c>
      <c r="AM348" s="162">
        <v>-4.2555729595448772</v>
      </c>
      <c r="AN348" s="162">
        <v>-1.7047316559715586</v>
      </c>
      <c r="AO348" s="162">
        <v>62.499990976117786</v>
      </c>
      <c r="AP348" s="162">
        <v>0</v>
      </c>
      <c r="AQ348" s="162">
        <v>0</v>
      </c>
      <c r="AR348" s="710" t="str">
        <v>32193r1.par</v>
      </c>
      <c r="AV348" s="82" t="str">
        <v>91,255,255</v>
      </c>
      <c r="AW348" s="947">
        <v>62.5</v>
      </c>
      <c r="AX348" s="947">
        <v>62.499990976117786</v>
      </c>
      <c r="AY348" s="947">
        <v>0</v>
      </c>
    </row>
    <row r="349" spans="4:51" x14ac:dyDescent="0.25">
      <c r="D349" s="164">
        <v>5.1390000000000002</v>
      </c>
      <c r="E349">
        <f t="shared" si="1091"/>
        <v>202.38998377289403</v>
      </c>
      <c r="F349">
        <f t="shared" si="1092"/>
        <v>4.5227136405043415</v>
      </c>
      <c r="G349">
        <f t="shared" si="1093"/>
        <v>-2.6659080403786497</v>
      </c>
      <c r="H349">
        <f t="shared" si="1094"/>
        <v>-82.424230523655964</v>
      </c>
      <c r="I349">
        <f t="shared" si="1095"/>
        <v>29.416662419426054</v>
      </c>
      <c r="J349" s="971">
        <v>175</v>
      </c>
      <c r="AA349" s="82"/>
      <c r="AB349" s="75"/>
      <c r="AC349" s="75"/>
      <c r="AD349" s="166"/>
      <c r="AE349" s="75">
        <v>4.2240000000000002</v>
      </c>
      <c r="AF349" s="82">
        <v>4</v>
      </c>
      <c r="AG349" s="82">
        <v>2</v>
      </c>
      <c r="AH349" s="82">
        <v>1</v>
      </c>
      <c r="AI349" s="82">
        <v>2.0000000000436557</v>
      </c>
      <c r="AJ349" s="166">
        <v>4.2241200000000001</v>
      </c>
      <c r="AK349" s="82" t="str">
        <v>Base</v>
      </c>
      <c r="AL349" s="162">
        <v>-14.25</v>
      </c>
      <c r="AM349" s="162">
        <v>-3.8793417104133896</v>
      </c>
      <c r="AN349" s="162">
        <v>-1.0446048597158937</v>
      </c>
      <c r="AO349" s="162">
        <v>43.787872465692196</v>
      </c>
      <c r="AP349" s="162">
        <v>-25.666662960858993</v>
      </c>
      <c r="AQ349" s="162">
        <v>0</v>
      </c>
      <c r="AR349" s="710" t="str">
        <v>1313.par</v>
      </c>
      <c r="AV349" s="82" t="str">
        <v>91,255,255</v>
      </c>
      <c r="AW349" s="947">
        <v>45.599999999999994</v>
      </c>
      <c r="AX349" s="947">
        <v>43.787872465692196</v>
      </c>
      <c r="AY349" s="947">
        <v>0</v>
      </c>
    </row>
    <row r="350" spans="4:51" x14ac:dyDescent="0.25">
      <c r="D350" s="164">
        <v>5.1449999999999996</v>
      </c>
      <c r="E350">
        <f t="shared" si="1091"/>
        <v>202.31998378300077</v>
      </c>
      <c r="F350">
        <f t="shared" si="1092"/>
        <v>4.56651377260554</v>
      </c>
      <c r="G350">
        <f t="shared" si="1093"/>
        <v>-3.473210475202793</v>
      </c>
      <c r="H350">
        <f t="shared" si="1094"/>
        <v>-84.999987727520178</v>
      </c>
      <c r="I350">
        <f t="shared" si="1095"/>
        <v>29.99999566853651</v>
      </c>
      <c r="J350" s="971">
        <v>175</v>
      </c>
      <c r="AA350" s="82"/>
      <c r="AB350" s="75"/>
      <c r="AC350" s="75"/>
      <c r="AD350" s="166"/>
      <c r="AE350" s="75">
        <v>4.218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4.2181199999999999</v>
      </c>
      <c r="AK350" s="82" t="str">
        <v>Base</v>
      </c>
      <c r="AL350" s="162">
        <v>-14.25</v>
      </c>
      <c r="AM350" s="162">
        <v>-3.2990492570922285</v>
      </c>
      <c r="AN350" s="162">
        <v>-0.55936570898189919</v>
      </c>
      <c r="AO350" s="162">
        <v>28.33332924250675</v>
      </c>
      <c r="AP350" s="162">
        <v>-22.16666346619645</v>
      </c>
      <c r="AQ350" s="162">
        <v>0</v>
      </c>
      <c r="AR350" s="710" t="str">
        <v>1310.par</v>
      </c>
      <c r="AV350" s="82" t="str">
        <v>91,255,255</v>
      </c>
      <c r="AW350" s="947">
        <v>28.299999999999997</v>
      </c>
      <c r="AX350" s="947">
        <v>28.33332924250675</v>
      </c>
      <c r="AY350" s="947">
        <v>0</v>
      </c>
    </row>
    <row r="351" spans="4:51" x14ac:dyDescent="0.25">
      <c r="D351" s="164">
        <v>6.1139999999999999</v>
      </c>
      <c r="E351">
        <f t="shared" si="1091"/>
        <v>145.63999196657912</v>
      </c>
      <c r="F351">
        <f t="shared" si="1092"/>
        <v>2.8295085337977381</v>
      </c>
      <c r="G351">
        <f t="shared" si="1093"/>
        <v>-0.26240079140078654</v>
      </c>
      <c r="H351">
        <f t="shared" si="1094"/>
        <v>-18.030300427049777</v>
      </c>
      <c r="I351">
        <f t="shared" si="1095"/>
        <v>15.99999768988615</v>
      </c>
      <c r="J351" s="971">
        <v>104.8</v>
      </c>
      <c r="AA351" s="82"/>
      <c r="AB351" s="75"/>
      <c r="AC351" s="75"/>
      <c r="AD351" s="166"/>
      <c r="AE351" s="75">
        <v>4.1420000000000003</v>
      </c>
      <c r="AF351" s="82">
        <v>4</v>
      </c>
      <c r="AG351" s="82">
        <v>1</v>
      </c>
      <c r="AH351" s="82">
        <v>1</v>
      </c>
      <c r="AI351" s="82">
        <v>2.0000000000436557</v>
      </c>
      <c r="AJ351" s="166">
        <v>4.1421200000000002</v>
      </c>
      <c r="AK351" s="82" t="str">
        <v>Base</v>
      </c>
      <c r="AL351" s="162">
        <v>-13.5</v>
      </c>
      <c r="AM351" s="162">
        <v>-4.5665137726055374</v>
      </c>
      <c r="AN351" s="162">
        <v>-3.2171815492550571</v>
      </c>
      <c r="AO351" s="162">
        <v>84.999987727520192</v>
      </c>
      <c r="AP351" s="162">
        <v>-29.999995668536549</v>
      </c>
      <c r="AQ351" s="162">
        <v>0</v>
      </c>
      <c r="AR351" s="710" t="str">
        <v>1613.par</v>
      </c>
      <c r="AV351" s="82" t="str">
        <v>0,204,204</v>
      </c>
      <c r="AW351" s="947">
        <v>86.1</v>
      </c>
      <c r="AX351" s="947">
        <v>84.999987727520192</v>
      </c>
      <c r="AY351" s="947">
        <v>0</v>
      </c>
    </row>
    <row r="352" spans="4:51" x14ac:dyDescent="0.25">
      <c r="D352" s="164">
        <v>6.12</v>
      </c>
      <c r="E352">
        <f t="shared" si="1091"/>
        <v>144.90999207197802</v>
      </c>
      <c r="F352">
        <f t="shared" si="1092"/>
        <v>3.4893105237605417</v>
      </c>
      <c r="G352">
        <f t="shared" si="1093"/>
        <v>-0.61230184670236976</v>
      </c>
      <c r="H352">
        <f t="shared" si="1094"/>
        <v>-33.484843650235277</v>
      </c>
      <c r="I352">
        <f t="shared" si="1095"/>
        <v>18.33333068632788</v>
      </c>
      <c r="J352" s="971">
        <v>123.9</v>
      </c>
      <c r="AA352" s="82"/>
      <c r="AB352" s="75"/>
      <c r="AC352" s="75"/>
      <c r="AD352" s="166"/>
      <c r="AE352" s="75">
        <v>4.1360000000000001</v>
      </c>
      <c r="AF352" s="82">
        <v>4</v>
      </c>
      <c r="AG352" s="82">
        <v>1</v>
      </c>
      <c r="AH352" s="82">
        <v>1</v>
      </c>
      <c r="AI352" s="82">
        <v>1.9999999999708962</v>
      </c>
      <c r="AJ352" s="166">
        <v>4.13612</v>
      </c>
      <c r="AK352" s="82" t="str">
        <v>Base</v>
      </c>
      <c r="AL352" s="162">
        <v>-13.5</v>
      </c>
      <c r="AM352" s="162">
        <v>-4.4844135249911918</v>
      </c>
      <c r="AN352" s="162">
        <v>-2.4120693985110861</v>
      </c>
      <c r="AO352" s="162">
        <v>74.696958912063238</v>
      </c>
      <c r="AP352" s="162">
        <v>-27.666662672094795</v>
      </c>
      <c r="AQ352" s="162">
        <v>0</v>
      </c>
      <c r="AR352" s="710" t="str">
        <v>1613.par</v>
      </c>
      <c r="AV352" s="82" t="str">
        <v>0,204,204</v>
      </c>
      <c r="AW352" s="947">
        <v>79.300000000000011</v>
      </c>
      <c r="AX352" s="947">
        <v>74.696958912063238</v>
      </c>
      <c r="AY352" s="947">
        <v>0</v>
      </c>
    </row>
    <row r="353" spans="4:51" x14ac:dyDescent="0.25">
      <c r="D353" s="164">
        <v>6.1260000000000003</v>
      </c>
      <c r="E353">
        <f t="shared" si="1091"/>
        <v>144.17999217737699</v>
      </c>
      <c r="F353">
        <f t="shared" si="1092"/>
        <v>4.0104120954028808</v>
      </c>
      <c r="G353">
        <f t="shared" si="1093"/>
        <v>-1.1479034620768422</v>
      </c>
      <c r="H353">
        <f t="shared" si="1094"/>
        <v>-48.939386873420744</v>
      </c>
      <c r="I353">
        <f t="shared" si="1095"/>
        <v>21.833330180990448</v>
      </c>
      <c r="J353" s="971">
        <v>142.9</v>
      </c>
      <c r="AA353" s="82"/>
      <c r="AB353" s="75"/>
      <c r="AC353" s="75"/>
      <c r="AD353" s="166"/>
      <c r="AE353" s="75">
        <v>4.13</v>
      </c>
      <c r="AF353" s="82">
        <v>4</v>
      </c>
      <c r="AG353" s="82">
        <v>1</v>
      </c>
      <c r="AH353" s="82">
        <v>1</v>
      </c>
      <c r="AI353" s="82">
        <v>1.9999999999708962</v>
      </c>
      <c r="AJ353" s="166">
        <v>4.1301199999999998</v>
      </c>
      <c r="AK353" s="82" t="str">
        <v>Base</v>
      </c>
      <c r="AL353" s="162">
        <v>-13.5</v>
      </c>
      <c r="AM353" s="162">
        <v>-4.2625128557387741</v>
      </c>
      <c r="AN353" s="162">
        <v>-1.6982103002994522</v>
      </c>
      <c r="AO353" s="162">
        <v>59.242415688877728</v>
      </c>
      <c r="AP353" s="162">
        <v>-24.166663177432174</v>
      </c>
      <c r="AQ353" s="162">
        <v>0</v>
      </c>
      <c r="AR353" s="710" t="str">
        <v>1613.par</v>
      </c>
      <c r="AV353" s="82" t="str">
        <v>0,204,204</v>
      </c>
      <c r="AW353" s="947">
        <v>62.5</v>
      </c>
      <c r="AX353" s="947">
        <v>59.242415688877728</v>
      </c>
      <c r="AY353" s="947">
        <v>0</v>
      </c>
    </row>
    <row r="354" spans="4:51" x14ac:dyDescent="0.25">
      <c r="D354" s="164">
        <v>6.1319999999999997</v>
      </c>
      <c r="E354">
        <f t="shared" si="1091"/>
        <v>143.64999225389948</v>
      </c>
      <c r="F354">
        <f t="shared" si="1092"/>
        <v>4.3577131428628411</v>
      </c>
      <c r="G354">
        <f t="shared" si="1093"/>
        <v>-1.8099054586748633</v>
      </c>
      <c r="H354">
        <f t="shared" si="1094"/>
        <v>-64.393930096606184</v>
      </c>
      <c r="I354">
        <f t="shared" si="1095"/>
        <v>25.333329675653026</v>
      </c>
      <c r="J354" s="971">
        <v>161.80000000000001</v>
      </c>
      <c r="AA354" s="82"/>
      <c r="AB354" s="75"/>
      <c r="AC354" s="75"/>
      <c r="AD354" s="166"/>
      <c r="AE354" s="75">
        <v>4.1239999999999997</v>
      </c>
      <c r="AF354" s="82">
        <v>4</v>
      </c>
      <c r="AG354" s="82">
        <v>1</v>
      </c>
      <c r="AH354" s="82">
        <v>1</v>
      </c>
      <c r="AI354" s="82">
        <v>1.9999999999708962</v>
      </c>
      <c r="AJ354" s="166">
        <v>4.1241199999999996</v>
      </c>
      <c r="AK354" s="82" t="str">
        <v>Base</v>
      </c>
      <c r="AL354" s="162">
        <v>-13.5</v>
      </c>
      <c r="AM354" s="162">
        <v>-3.8547116258102636</v>
      </c>
      <c r="AN354" s="162">
        <v>-1.0720320215181025</v>
      </c>
      <c r="AO354" s="162">
        <v>43.787872465692246</v>
      </c>
      <c r="AP354" s="162">
        <v>-20.666663682769606</v>
      </c>
      <c r="AQ354" s="162">
        <v>0</v>
      </c>
      <c r="AR354" s="710" t="str">
        <v>1613.par</v>
      </c>
      <c r="AV354" s="82" t="str">
        <v>0,204,204</v>
      </c>
      <c r="AW354" s="947">
        <v>45.599999999999994</v>
      </c>
      <c r="AX354" s="947">
        <v>43.787872465692246</v>
      </c>
      <c r="AY354" s="947">
        <v>0</v>
      </c>
    </row>
    <row r="355" spans="4:51" x14ac:dyDescent="0.25">
      <c r="D355" s="164">
        <v>6.1379999999999999</v>
      </c>
      <c r="E355">
        <f t="shared" si="1091"/>
        <v>143.39999228999505</v>
      </c>
      <c r="F355">
        <f t="shared" si="1092"/>
        <v>4.5153136181858722</v>
      </c>
      <c r="G355">
        <f t="shared" si="1093"/>
        <v>-2.5410076636791135</v>
      </c>
      <c r="H355">
        <f t="shared" si="1094"/>
        <v>-79.848473319791708</v>
      </c>
      <c r="I355">
        <f t="shared" si="1095"/>
        <v>28.833329170315658</v>
      </c>
      <c r="J355" s="971">
        <v>175</v>
      </c>
      <c r="AA355" s="82"/>
      <c r="AB355" s="75"/>
      <c r="AC355" s="75"/>
      <c r="AD355" s="166"/>
      <c r="AE355" s="75">
        <v>4.1180000000000003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4.1181200000000002</v>
      </c>
      <c r="AK355" s="82" t="str">
        <v>Base</v>
      </c>
      <c r="AL355" s="162">
        <v>-13.5</v>
      </c>
      <c r="AM355" s="162">
        <v>-3.2823098994466586</v>
      </c>
      <c r="AN355" s="162">
        <v>-0.59245140680846042</v>
      </c>
      <c r="AO355" s="162">
        <v>28.333329242506757</v>
      </c>
      <c r="AP355" s="162">
        <v>-17.166664188107028</v>
      </c>
      <c r="AQ355" s="162">
        <v>0</v>
      </c>
      <c r="AR355" s="710" t="str">
        <v>1613.par</v>
      </c>
      <c r="AV355" s="82" t="str">
        <v>0,204,204</v>
      </c>
      <c r="AW355" s="947">
        <v>28.299999999999997</v>
      </c>
      <c r="AX355" s="947">
        <v>28.333329242506757</v>
      </c>
      <c r="AY355" s="947">
        <v>0</v>
      </c>
    </row>
    <row r="356" spans="4:51" x14ac:dyDescent="0.25">
      <c r="D356" s="164">
        <v>6.1440000000000001</v>
      </c>
      <c r="E356">
        <f t="shared" si="1091"/>
        <v>143.31999230154557</v>
      </c>
      <c r="F356">
        <f t="shared" si="1092"/>
        <v>4.5665137726055409</v>
      </c>
      <c r="G356">
        <f t="shared" si="1093"/>
        <v>-3.3482100982016556</v>
      </c>
      <c r="H356">
        <f t="shared" si="1094"/>
        <v>-84.999987727520178</v>
      </c>
      <c r="I356">
        <f t="shared" si="1095"/>
        <v>29.999995668536499</v>
      </c>
      <c r="J356" s="971">
        <v>175</v>
      </c>
      <c r="AA356" s="82"/>
      <c r="AB356" s="75"/>
      <c r="AC356" s="75"/>
      <c r="AD356" s="166"/>
      <c r="AE356" s="75">
        <v>4.1120000000000001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4.11212</v>
      </c>
      <c r="AK356" s="82" t="str">
        <v>Base</v>
      </c>
      <c r="AL356" s="162">
        <v>-13.5</v>
      </c>
      <c r="AM356" s="162">
        <v>-2.5885078069395457</v>
      </c>
      <c r="AN356" s="162">
        <v>-0.31691585208235939</v>
      </c>
      <c r="AO356" s="162">
        <v>12.878786019321156</v>
      </c>
      <c r="AP356" s="162">
        <v>-15.999997689886136</v>
      </c>
      <c r="AQ356" s="162">
        <v>0</v>
      </c>
      <c r="AR356" s="710" t="str">
        <v>1613.par</v>
      </c>
      <c r="AV356" s="82" t="str">
        <v>0,204,204</v>
      </c>
      <c r="AW356" s="947">
        <v>10.900000000000006</v>
      </c>
      <c r="AX356" s="947">
        <v>12.878786019321156</v>
      </c>
      <c r="AY356" s="947">
        <v>0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3.2429999999999999</v>
      </c>
      <c r="AF357" s="82">
        <v>3</v>
      </c>
      <c r="AG357" s="82">
        <v>2</v>
      </c>
      <c r="AH357" s="82">
        <v>1</v>
      </c>
      <c r="AI357" s="82">
        <v>1.9999999999708962</v>
      </c>
      <c r="AJ357" s="166">
        <v>3.2431199999999998</v>
      </c>
      <c r="AK357" s="82" t="str">
        <v>Base</v>
      </c>
      <c r="AL357" s="162">
        <v>-12.75</v>
      </c>
      <c r="AM357" s="162">
        <v>-4.5422393625563782</v>
      </c>
      <c r="AN357" s="162">
        <v>-3.3893806657850831</v>
      </c>
      <c r="AO357" s="162">
        <v>86.099987568699845</v>
      </c>
      <c r="AP357" s="162">
        <v>0</v>
      </c>
      <c r="AQ357" s="162">
        <v>0</v>
      </c>
      <c r="AR357" s="710" t="str">
        <v>32193r1.par</v>
      </c>
      <c r="AV357" s="82" t="str">
        <v>97,255,97</v>
      </c>
      <c r="AW357" s="947">
        <v>86.1</v>
      </c>
      <c r="AX357" s="947">
        <v>86.099987568699845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3.2370000000000001</v>
      </c>
      <c r="AF358" s="82">
        <v>3</v>
      </c>
      <c r="AG358" s="82">
        <v>2</v>
      </c>
      <c r="AH358" s="82">
        <v>1</v>
      </c>
      <c r="AI358" s="82">
        <v>2.000000000007276</v>
      </c>
      <c r="AJ358" s="166">
        <v>3.23712</v>
      </c>
      <c r="AK358" s="82" t="str">
        <v>Base</v>
      </c>
      <c r="AL358" s="162">
        <v>-12.75</v>
      </c>
      <c r="AM358" s="162">
        <v>-4.5243489078644554</v>
      </c>
      <c r="AN358" s="162">
        <v>-2.5714682921050129</v>
      </c>
      <c r="AO358" s="162">
        <v>77.272716115927437</v>
      </c>
      <c r="AP358" s="162">
        <v>-28.249995921205187</v>
      </c>
      <c r="AQ358" s="162">
        <v>0</v>
      </c>
      <c r="AR358" s="710" t="str">
        <v>1313.par</v>
      </c>
      <c r="AV358" s="82" t="str">
        <v>97,255,97</v>
      </c>
      <c r="AW358" s="947">
        <v>82.1</v>
      </c>
      <c r="AX358" s="947">
        <v>77.272716115927437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3.2309999999999999</v>
      </c>
      <c r="AF359" s="82">
        <v>3</v>
      </c>
      <c r="AG359" s="82">
        <v>2</v>
      </c>
      <c r="AH359" s="82">
        <v>1</v>
      </c>
      <c r="AI359" s="82">
        <v>1.9999999999708962</v>
      </c>
      <c r="AJ359" s="166">
        <v>3.2311199999999998</v>
      </c>
      <c r="AK359" s="82" t="str">
        <v>Base</v>
      </c>
      <c r="AL359" s="162">
        <v>-12.75</v>
      </c>
      <c r="AM359" s="162">
        <v>-4.3336073221980458</v>
      </c>
      <c r="AN359" s="162">
        <v>-1.8422291039084817</v>
      </c>
      <c r="AO359" s="162">
        <v>61.818172892741991</v>
      </c>
      <c r="AP359" s="162">
        <v>-24.749996426542609</v>
      </c>
      <c r="AQ359" s="162">
        <v>0</v>
      </c>
      <c r="AR359" s="710" t="str">
        <v>1313.par</v>
      </c>
      <c r="AV359" s="82" t="str">
        <v>97,255,97</v>
      </c>
      <c r="AW359" s="947">
        <v>65.300000000000011</v>
      </c>
      <c r="AX359" s="947">
        <v>61.818172892741991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3.2250000000000001</v>
      </c>
      <c r="AF360" s="82">
        <v>3</v>
      </c>
      <c r="AG360" s="82">
        <v>2</v>
      </c>
      <c r="AH360" s="82">
        <v>1</v>
      </c>
      <c r="AI360" s="82">
        <v>2.000000000007276</v>
      </c>
      <c r="AJ360" s="166">
        <v>3.22512</v>
      </c>
      <c r="AK360" s="82" t="str">
        <v>Base</v>
      </c>
      <c r="AL360" s="162">
        <v>-12.75</v>
      </c>
      <c r="AM360" s="162">
        <v>-3.9528144782335315</v>
      </c>
      <c r="AN360" s="162">
        <v>-1.1915435689682665</v>
      </c>
      <c r="AO360" s="162">
        <v>46.363629669556488</v>
      </c>
      <c r="AP360" s="162">
        <v>-21.249996931880052</v>
      </c>
      <c r="AQ360" s="162">
        <v>0</v>
      </c>
      <c r="AR360" s="710" t="str">
        <v>1313.par</v>
      </c>
      <c r="AV360" s="82" t="str">
        <v>97,255,97</v>
      </c>
      <c r="AW360" s="947">
        <v>48.400000000000006</v>
      </c>
      <c r="AX360" s="947">
        <v>46.363629669556488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3.2189999999999999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3.2191199999999998</v>
      </c>
      <c r="AK361" s="82" t="str">
        <v>Base</v>
      </c>
      <c r="AL361" s="162">
        <v>-12.75</v>
      </c>
      <c r="AM361" s="162">
        <v>-3.4008194684466755</v>
      </c>
      <c r="AN361" s="162">
        <v>-0.67799044793714913</v>
      </c>
      <c r="AO361" s="162">
        <v>30.909086446370996</v>
      </c>
      <c r="AP361" s="162">
        <v>-17.749997437217445</v>
      </c>
      <c r="AQ361" s="162">
        <v>0</v>
      </c>
      <c r="AR361" s="710" t="str">
        <v>1313.par</v>
      </c>
      <c r="AV361" s="82" t="str">
        <v>97,255,97</v>
      </c>
      <c r="AW361" s="947">
        <v>31.200000000000003</v>
      </c>
      <c r="AX361" s="947">
        <v>30.909086446370996</v>
      </c>
      <c r="AY361" s="947">
        <v>0</v>
      </c>
    </row>
    <row r="362" spans="4:51" x14ac:dyDescent="0.25">
      <c r="AE362">
        <v>3.2130000000000001</v>
      </c>
      <c r="AF362" s="82">
        <v>3</v>
      </c>
      <c r="AG362">
        <v>2</v>
      </c>
      <c r="AH362">
        <v>1</v>
      </c>
      <c r="AI362">
        <v>2.000000000007276</v>
      </c>
      <c r="AJ362">
        <v>3.21312</v>
      </c>
      <c r="AK362" t="str">
        <v>Base</v>
      </c>
      <c r="AL362">
        <v>-12.75</v>
      </c>
      <c r="AM362">
        <v>-2.7169739685018643</v>
      </c>
      <c r="AN362">
        <v>-0.36123436265412839</v>
      </c>
      <c r="AO362">
        <v>15.454543223185564</v>
      </c>
      <c r="AP362">
        <v>-15.999997689886136</v>
      </c>
      <c r="AQ362">
        <v>0</v>
      </c>
      <c r="AR362" t="str">
        <v>1310.par</v>
      </c>
      <c r="AV362" t="str">
        <v>97,255,97</v>
      </c>
      <c r="AW362" s="31">
        <v>13.799999999999997</v>
      </c>
      <c r="AX362" s="31">
        <v>15.454543223185564</v>
      </c>
      <c r="AY362" s="31">
        <v>0</v>
      </c>
    </row>
    <row r="363" spans="4:51" x14ac:dyDescent="0.25">
      <c r="AE363">
        <v>3.1429999999999998</v>
      </c>
      <c r="AF363" s="82">
        <v>3</v>
      </c>
      <c r="AG363">
        <v>1</v>
      </c>
      <c r="AH363">
        <v>1</v>
      </c>
      <c r="AI363">
        <v>1.9999999999708962</v>
      </c>
      <c r="AJ363">
        <v>3.1431199999999997</v>
      </c>
      <c r="AK363" t="str">
        <v>Base</v>
      </c>
      <c r="AL363">
        <v>-12</v>
      </c>
      <c r="AM363">
        <v>-4.5665137726055383</v>
      </c>
      <c r="AN363">
        <v>-3.3845430312329281</v>
      </c>
      <c r="AO363">
        <v>84.999987727520192</v>
      </c>
      <c r="AP363">
        <v>-29.99999566853651</v>
      </c>
      <c r="AQ363">
        <v>0</v>
      </c>
      <c r="AR363" t="str">
        <v>1613.par</v>
      </c>
      <c r="AV363" t="str">
        <v>0,204,0</v>
      </c>
      <c r="AW363" s="31">
        <v>86.1</v>
      </c>
      <c r="AX363" s="31">
        <v>84.999987727520192</v>
      </c>
      <c r="AY363" s="31">
        <v>0</v>
      </c>
    </row>
    <row r="364" spans="4:51" x14ac:dyDescent="0.25">
      <c r="AE364">
        <v>3.137</v>
      </c>
      <c r="AF364" s="82">
        <v>3</v>
      </c>
      <c r="AG364">
        <v>1</v>
      </c>
      <c r="AH364">
        <v>1</v>
      </c>
      <c r="AI364">
        <v>2.000000000007276</v>
      </c>
      <c r="AJ364">
        <v>3.1371199999999999</v>
      </c>
      <c r="AK364" t="str">
        <v>Base</v>
      </c>
      <c r="AL364">
        <v>-12</v>
      </c>
      <c r="AM364">
        <v>-4.5026135798825573</v>
      </c>
      <c r="AN364">
        <v>-2.5781100432651054</v>
      </c>
      <c r="AO364">
        <v>77.272716115927437</v>
      </c>
      <c r="AP364">
        <v>-28.249995921205201</v>
      </c>
      <c r="AQ364">
        <v>0</v>
      </c>
      <c r="AR364" t="str">
        <v>1613 Ripper.par</v>
      </c>
      <c r="AV364" t="str">
        <v>0,204,0</v>
      </c>
      <c r="AW364" s="31">
        <v>82.1</v>
      </c>
      <c r="AX364" s="31">
        <v>77.272716115927437</v>
      </c>
      <c r="AY364" s="31">
        <v>0</v>
      </c>
    </row>
    <row r="365" spans="4:51" x14ac:dyDescent="0.25">
      <c r="AE365">
        <v>3.1309999999999998</v>
      </c>
      <c r="AF365" s="82">
        <v>3</v>
      </c>
      <c r="AG365">
        <v>1</v>
      </c>
      <c r="AH365">
        <v>1</v>
      </c>
      <c r="AI365">
        <v>1.9999999999708962</v>
      </c>
      <c r="AJ365">
        <v>3.1311199999999997</v>
      </c>
      <c r="AK365" t="str">
        <v>Base</v>
      </c>
      <c r="AL365">
        <v>-12</v>
      </c>
      <c r="AM365">
        <v>-4.3128130074440314</v>
      </c>
      <c r="AN365">
        <v>-1.8549161947782844</v>
      </c>
      <c r="AO365">
        <v>61.818172892741991</v>
      </c>
      <c r="AP365">
        <v>-24.749996426542594</v>
      </c>
      <c r="AQ365">
        <v>0</v>
      </c>
      <c r="AR365" t="str">
        <v>1613 Ripper.par</v>
      </c>
      <c r="AV365" t="str">
        <v>0,204,0</v>
      </c>
      <c r="AW365" s="31">
        <v>65.300000000000011</v>
      </c>
      <c r="AX365" s="31">
        <v>61.818172892741991</v>
      </c>
      <c r="AY365" s="31">
        <v>0</v>
      </c>
    </row>
    <row r="366" spans="4:51" x14ac:dyDescent="0.25">
      <c r="AE366">
        <v>3.125</v>
      </c>
      <c r="AF366" s="82">
        <v>3</v>
      </c>
      <c r="AG366">
        <v>1</v>
      </c>
      <c r="AH366">
        <v>1</v>
      </c>
      <c r="AI366">
        <v>2.000000000007276</v>
      </c>
      <c r="AJ366">
        <v>3.1251199999999999</v>
      </c>
      <c r="AK366" t="str">
        <v>Base</v>
      </c>
      <c r="AL366">
        <v>-12</v>
      </c>
      <c r="AM366">
        <v>-3.9349118676941934</v>
      </c>
      <c r="AN366">
        <v>-1.2103100827376954</v>
      </c>
      <c r="AO366">
        <v>46.363629669556452</v>
      </c>
      <c r="AP366">
        <v>-21.249996931880013</v>
      </c>
      <c r="AQ366">
        <v>0</v>
      </c>
      <c r="AR366" t="str">
        <v>1613 Ripper.par</v>
      </c>
      <c r="AV366" t="str">
        <v>0,204,0</v>
      </c>
      <c r="AW366" s="31">
        <v>48.400000000000006</v>
      </c>
      <c r="AX366" s="31">
        <v>46.363629669556452</v>
      </c>
      <c r="AY366" s="31">
        <v>0</v>
      </c>
    </row>
    <row r="367" spans="4:51" x14ac:dyDescent="0.25">
      <c r="AE367">
        <v>3.1190000000000002</v>
      </c>
      <c r="AF367" s="82">
        <v>3</v>
      </c>
      <c r="AG367">
        <v>1</v>
      </c>
      <c r="AH367">
        <v>1</v>
      </c>
      <c r="AI367">
        <v>2.000000000007276</v>
      </c>
      <c r="AJ367">
        <v>3.1191200000000001</v>
      </c>
      <c r="AK367" t="str">
        <v>Base</v>
      </c>
      <c r="AL367">
        <v>-12</v>
      </c>
      <c r="AM367">
        <v>-3.3876102170324152</v>
      </c>
      <c r="AN367">
        <v>-0.70202938145040017</v>
      </c>
      <c r="AO367">
        <v>30.909086446370907</v>
      </c>
      <c r="AP367">
        <v>-17.74999743721742</v>
      </c>
      <c r="AQ367">
        <v>0</v>
      </c>
      <c r="AR367" t="str">
        <v>1613 Ripper.par</v>
      </c>
      <c r="AV367" t="str">
        <v>0,204,0</v>
      </c>
      <c r="AW367" s="31">
        <v>31.200000000000003</v>
      </c>
      <c r="AX367" s="31">
        <v>30.909086446370907</v>
      </c>
      <c r="AY367" s="31">
        <v>0</v>
      </c>
    </row>
    <row r="368" spans="4:51" x14ac:dyDescent="0.25">
      <c r="AE368">
        <v>3.113</v>
      </c>
      <c r="AF368" s="82">
        <v>3</v>
      </c>
      <c r="AG368">
        <v>1</v>
      </c>
      <c r="AH368">
        <v>1</v>
      </c>
      <c r="AI368">
        <v>1.9999999999708962</v>
      </c>
      <c r="AJ368">
        <v>3.1131199999999999</v>
      </c>
      <c r="AK368" t="str">
        <v>Base</v>
      </c>
      <c r="AL368">
        <v>-12</v>
      </c>
      <c r="AM368">
        <v>-2.7100081733846513</v>
      </c>
      <c r="AN368">
        <v>-0.38891454666177749</v>
      </c>
      <c r="AO368">
        <v>15.454543223185555</v>
      </c>
      <c r="AP368">
        <v>-15.99999768988615</v>
      </c>
      <c r="AQ368">
        <v>0</v>
      </c>
      <c r="AR368" t="str">
        <v>1613 Ripper.par</v>
      </c>
      <c r="AV368" t="str">
        <v>0,204,0</v>
      </c>
      <c r="AW368" s="31">
        <v>13.799999999999997</v>
      </c>
      <c r="AX368" s="31">
        <v>15.454543223185555</v>
      </c>
      <c r="AY368" s="31">
        <v>0</v>
      </c>
    </row>
    <row r="369" spans="31:51" x14ac:dyDescent="0.25">
      <c r="AE369">
        <v>3.1080000000000001</v>
      </c>
      <c r="AF369" s="82">
        <v>3</v>
      </c>
      <c r="AG369">
        <v>1</v>
      </c>
      <c r="AH369">
        <v>1</v>
      </c>
      <c r="AI369">
        <v>2.000000000007276</v>
      </c>
      <c r="AJ369">
        <v>3.10812</v>
      </c>
      <c r="AK369" t="str">
        <v>Base</v>
      </c>
      <c r="AL369">
        <v>-12</v>
      </c>
      <c r="AM369">
        <v>-1.9770059626499845</v>
      </c>
      <c r="AN369">
        <v>-0.31479487811088341</v>
      </c>
      <c r="AO369">
        <v>2.5757572038640517</v>
      </c>
      <c r="AP369">
        <v>-15.99999768988615</v>
      </c>
      <c r="AQ369">
        <v>0</v>
      </c>
      <c r="AR369" t="str">
        <v>1613.par</v>
      </c>
      <c r="AV369" t="str">
        <v>0,204,0</v>
      </c>
      <c r="AW369" s="31">
        <v>-3.7999999999999972</v>
      </c>
      <c r="AX369" s="31">
        <v>2.5757572038640517</v>
      </c>
      <c r="AY369" s="31">
        <v>0</v>
      </c>
    </row>
    <row r="370" spans="31:51" x14ac:dyDescent="0.25">
      <c r="AE370">
        <v>3.105</v>
      </c>
      <c r="AF370" s="82">
        <v>3</v>
      </c>
      <c r="AG370">
        <v>1</v>
      </c>
      <c r="AH370">
        <v>1</v>
      </c>
      <c r="AI370">
        <v>1.9999999999708962</v>
      </c>
      <c r="AJ370">
        <v>3.1051199999999999</v>
      </c>
      <c r="AK370" t="str">
        <v>Base</v>
      </c>
      <c r="AL370">
        <v>-12</v>
      </c>
      <c r="AM370">
        <v>-1.2694038285219471</v>
      </c>
      <c r="AN370">
        <v>-0.47689536699686291</v>
      </c>
      <c r="AO370">
        <v>-1.9999997112357091</v>
      </c>
      <c r="AP370">
        <v>-15.999997689886111</v>
      </c>
      <c r="AQ370">
        <v>0</v>
      </c>
      <c r="AR370" t="str">
        <v>1613.par</v>
      </c>
      <c r="AV370" t="str">
        <v>0,204,0</v>
      </c>
      <c r="AW370" s="31">
        <v>-20</v>
      </c>
      <c r="AX370" s="31">
        <v>-1.9999997112357091</v>
      </c>
      <c r="AY370" s="31">
        <v>0</v>
      </c>
    </row>
    <row r="371" spans="31:51" x14ac:dyDescent="0.25">
      <c r="AE371">
        <v>3.1019999999999999</v>
      </c>
      <c r="AF371" s="82">
        <v>3</v>
      </c>
      <c r="AG371">
        <v>1</v>
      </c>
      <c r="AH371">
        <v>1</v>
      </c>
      <c r="AI371">
        <v>1.9999999999708962</v>
      </c>
      <c r="AJ371">
        <v>3.1021199999999998</v>
      </c>
      <c r="AK371" t="str">
        <v>Base</v>
      </c>
      <c r="AL371">
        <v>-12</v>
      </c>
      <c r="AM371">
        <v>-0.57390173088762053</v>
      </c>
      <c r="AN371">
        <v>-0.72999613034876532</v>
      </c>
      <c r="AO371">
        <v>-5.9999991337073313</v>
      </c>
      <c r="AP371">
        <v>-18.999997256739782</v>
      </c>
      <c r="AQ371">
        <v>0</v>
      </c>
      <c r="AR371" t="str">
        <v>1613.par</v>
      </c>
      <c r="AV371" t="str">
        <v>0,204,0</v>
      </c>
      <c r="AW371" s="31">
        <v>-20</v>
      </c>
      <c r="AX371" s="31">
        <v>-5.9999991337073313</v>
      </c>
      <c r="AY371" s="31">
        <v>0</v>
      </c>
    </row>
    <row r="372" spans="31:51" x14ac:dyDescent="0.25">
      <c r="AE372">
        <v>2.2400000000000002</v>
      </c>
      <c r="AF372" s="82">
        <v>2</v>
      </c>
      <c r="AG372">
        <v>2</v>
      </c>
      <c r="AH372">
        <v>1</v>
      </c>
      <c r="AI372">
        <v>2.000000000007276</v>
      </c>
      <c r="AJ372">
        <v>2.2401200000000001</v>
      </c>
      <c r="AK372" t="str">
        <v>Base</v>
      </c>
      <c r="AL372">
        <v>-11.25</v>
      </c>
      <c r="AM372">
        <v>-4.5422393625563782</v>
      </c>
      <c r="AN372">
        <v>-3.0594053425361141</v>
      </c>
      <c r="AO372">
        <v>86.099987568699859</v>
      </c>
      <c r="AP372">
        <v>0</v>
      </c>
      <c r="AQ372">
        <v>0</v>
      </c>
      <c r="AR372" t="str">
        <v>32193r1.par</v>
      </c>
      <c r="AV372" t="str">
        <v>255,255,91</v>
      </c>
      <c r="AW372" s="31">
        <v>86.1</v>
      </c>
      <c r="AX372" s="31">
        <v>86.099987568699859</v>
      </c>
      <c r="AY372" s="31">
        <v>0</v>
      </c>
    </row>
    <row r="373" spans="31:51" x14ac:dyDescent="0.25">
      <c r="AE373">
        <v>2.234</v>
      </c>
      <c r="AF373" s="82">
        <v>2</v>
      </c>
      <c r="AG373">
        <v>2</v>
      </c>
      <c r="AH373">
        <v>1</v>
      </c>
      <c r="AI373">
        <v>1.9999999999708962</v>
      </c>
      <c r="AJ373">
        <v>2.2341199999999999</v>
      </c>
      <c r="AK373" t="str">
        <v>Base</v>
      </c>
      <c r="AL373">
        <v>-11.25</v>
      </c>
      <c r="AM373">
        <v>-4.418455264442227</v>
      </c>
      <c r="AN373">
        <v>-2.2627573465536868</v>
      </c>
      <c r="AO373">
        <v>73.699989359038099</v>
      </c>
      <c r="AP373">
        <v>0</v>
      </c>
      <c r="AQ373">
        <v>0</v>
      </c>
      <c r="AR373" t="str">
        <v>32193r1.par</v>
      </c>
      <c r="AV373" t="str">
        <v>255,255,91</v>
      </c>
      <c r="AW373" s="31">
        <v>73.699999999999989</v>
      </c>
      <c r="AX373" s="31">
        <v>73.699989359038099</v>
      </c>
      <c r="AY373" s="31">
        <v>0</v>
      </c>
    </row>
    <row r="374" spans="31:51" x14ac:dyDescent="0.25">
      <c r="AE374">
        <v>2.2280000000000002</v>
      </c>
      <c r="AF374">
        <v>2</v>
      </c>
      <c r="AG374">
        <v>2</v>
      </c>
      <c r="AH374">
        <v>1</v>
      </c>
      <c r="AI374">
        <v>2.000000000007276</v>
      </c>
      <c r="AJ374">
        <v>2.2281200000000001</v>
      </c>
      <c r="AK374" t="str">
        <v>Base</v>
      </c>
      <c r="AL374">
        <v>-11.25</v>
      </c>
      <c r="AM374">
        <v>-4.1754220343763198</v>
      </c>
      <c r="AN374">
        <v>-1.5418920107144918</v>
      </c>
      <c r="AO374">
        <v>54.090901281149193</v>
      </c>
      <c r="AP374">
        <v>-27.999995957300708</v>
      </c>
      <c r="AQ374">
        <v>0</v>
      </c>
      <c r="AR374" t="str">
        <v>1313.par</v>
      </c>
      <c r="AV374" t="str">
        <v>255,255,91</v>
      </c>
      <c r="AW374" s="31">
        <v>56.900000000000006</v>
      </c>
      <c r="AX374" s="31">
        <v>54.090901281149193</v>
      </c>
      <c r="AY374" s="31">
        <v>0</v>
      </c>
    </row>
    <row r="375" spans="31:51" x14ac:dyDescent="0.25">
      <c r="AE375">
        <v>2.222</v>
      </c>
      <c r="AF375">
        <v>2</v>
      </c>
      <c r="AG375">
        <v>2</v>
      </c>
      <c r="AH375">
        <v>1</v>
      </c>
      <c r="AI375">
        <v>1.9999999999708962</v>
      </c>
      <c r="AJ375">
        <v>2.2221199999999999</v>
      </c>
      <c r="AK375" t="str">
        <v>Base</v>
      </c>
      <c r="AL375">
        <v>-11.25</v>
      </c>
      <c r="AM375">
        <v>-3.7028817627089818</v>
      </c>
      <c r="AN375">
        <v>-0.95094597464718844</v>
      </c>
      <c r="AO375">
        <v>38.636358057963676</v>
      </c>
      <c r="AP375">
        <v>-24.499996462638151</v>
      </c>
      <c r="AQ375">
        <v>0</v>
      </c>
      <c r="AR375" t="str">
        <v>1313.par</v>
      </c>
      <c r="AV375" t="str">
        <v>255,255,91</v>
      </c>
      <c r="AW375" s="31">
        <v>39.800000000000011</v>
      </c>
      <c r="AX375" s="31">
        <v>38.636358057963676</v>
      </c>
      <c r="AY375" s="31">
        <v>0</v>
      </c>
    </row>
    <row r="376" spans="31:51" x14ac:dyDescent="0.25">
      <c r="AE376">
        <v>2.2160000000000002</v>
      </c>
      <c r="AF376">
        <v>2</v>
      </c>
      <c r="AG376">
        <v>2</v>
      </c>
      <c r="AH376">
        <v>1</v>
      </c>
      <c r="AI376">
        <v>2.000000000007276</v>
      </c>
      <c r="AJ376">
        <v>2.2161200000000001</v>
      </c>
      <c r="AK376" t="str">
        <v>Base</v>
      </c>
      <c r="AL376">
        <v>-11.25</v>
      </c>
      <c r="AM376">
        <v>-3.0754330367816816</v>
      </c>
      <c r="AN376">
        <v>-0.52845160038742267</v>
      </c>
      <c r="AO376">
        <v>23.181814834778248</v>
      </c>
      <c r="AP376">
        <v>-20.999996967975548</v>
      </c>
      <c r="AQ376">
        <v>0</v>
      </c>
      <c r="AR376" t="str">
        <v>1310.par</v>
      </c>
      <c r="AV376" t="str">
        <v>255,255,91</v>
      </c>
      <c r="AW376" s="31">
        <v>22.5</v>
      </c>
      <c r="AX376" s="31">
        <v>23.181814834778248</v>
      </c>
      <c r="AY376" s="31">
        <v>0</v>
      </c>
    </row>
    <row r="377" spans="31:51" x14ac:dyDescent="0.25">
      <c r="AE377">
        <v>2.14</v>
      </c>
      <c r="AF377">
        <v>2</v>
      </c>
      <c r="AG377">
        <v>1</v>
      </c>
      <c r="AH377">
        <v>1</v>
      </c>
      <c r="AI377">
        <v>2.000000000007276</v>
      </c>
      <c r="AJ377">
        <v>2.14012</v>
      </c>
      <c r="AK377" t="str">
        <v>Base</v>
      </c>
      <c r="AL377">
        <v>-10.5</v>
      </c>
      <c r="AM377">
        <v>-4.5665137726055374</v>
      </c>
      <c r="AN377">
        <v>-3.0546807826102538</v>
      </c>
      <c r="AO377">
        <v>84.999987727520178</v>
      </c>
      <c r="AP377">
        <v>-29.99999566853651</v>
      </c>
      <c r="AQ377">
        <v>0</v>
      </c>
      <c r="AR377" t="str">
        <v>1613.par</v>
      </c>
      <c r="AV377" t="str">
        <v>204,204,0</v>
      </c>
      <c r="AW377" s="31">
        <v>86.1</v>
      </c>
      <c r="AX377" s="31">
        <v>84.999987727520178</v>
      </c>
      <c r="AY377" s="31">
        <v>0</v>
      </c>
    </row>
    <row r="378" spans="31:51" x14ac:dyDescent="0.25">
      <c r="AE378">
        <v>2.1339999999999999</v>
      </c>
      <c r="AF378">
        <v>2</v>
      </c>
      <c r="AG378">
        <v>1</v>
      </c>
      <c r="AH378">
        <v>1</v>
      </c>
      <c r="AI378">
        <v>1.9999999999708962</v>
      </c>
      <c r="AJ378">
        <v>2.1341199999999998</v>
      </c>
      <c r="AK378" t="str">
        <v>Base</v>
      </c>
      <c r="AL378">
        <v>-10.5</v>
      </c>
      <c r="AM378">
        <v>-4.4318133663491128</v>
      </c>
      <c r="AN378">
        <v>-2.2553242046141624</v>
      </c>
      <c r="AO378">
        <v>69.545444504334753</v>
      </c>
      <c r="AP378">
        <v>-26.499996173873903</v>
      </c>
      <c r="AQ378">
        <v>0</v>
      </c>
      <c r="AR378" t="str">
        <v>1613.par</v>
      </c>
      <c r="AV378" t="str">
        <v>204,204,0</v>
      </c>
      <c r="AW378" s="31">
        <v>73.699999999999989</v>
      </c>
      <c r="AX378" s="31">
        <v>69.545444504334753</v>
      </c>
      <c r="AY378" s="31">
        <v>0</v>
      </c>
    </row>
    <row r="379" spans="31:51" x14ac:dyDescent="0.25">
      <c r="AE379">
        <v>2.1280000000000001</v>
      </c>
      <c r="AF379">
        <v>2</v>
      </c>
      <c r="AG379">
        <v>1</v>
      </c>
      <c r="AH379">
        <v>1</v>
      </c>
      <c r="AI379">
        <v>2.000000000007276</v>
      </c>
      <c r="AJ379">
        <v>2.12812</v>
      </c>
      <c r="AK379" t="str">
        <v>Base</v>
      </c>
      <c r="AL379">
        <v>-10.5</v>
      </c>
      <c r="AM379">
        <v>-4.1465125058817165</v>
      </c>
      <c r="AN379">
        <v>-1.5644346199126513</v>
      </c>
      <c r="AO379">
        <v>54.090901281149257</v>
      </c>
      <c r="AP379">
        <v>-22.999996679211336</v>
      </c>
      <c r="AQ379">
        <v>0</v>
      </c>
      <c r="AR379" t="str">
        <v>1613.par</v>
      </c>
      <c r="AV379" t="str">
        <v>204,204,0</v>
      </c>
      <c r="AW379" s="31">
        <v>56.900000000000006</v>
      </c>
      <c r="AX379" s="31">
        <v>54.090901281149257</v>
      </c>
      <c r="AY379" s="31">
        <v>0</v>
      </c>
    </row>
    <row r="380" spans="31:51" x14ac:dyDescent="0.25">
      <c r="AE380">
        <v>2.1219999999999999</v>
      </c>
      <c r="AF380">
        <v>2</v>
      </c>
      <c r="AG380">
        <v>1</v>
      </c>
      <c r="AH380">
        <v>1</v>
      </c>
      <c r="AI380">
        <v>1.9999999999708962</v>
      </c>
      <c r="AJ380">
        <v>2.1221199999999998</v>
      </c>
      <c r="AK380" t="str">
        <v>Base</v>
      </c>
      <c r="AL380">
        <v>-10.5</v>
      </c>
      <c r="AM380">
        <v>-3.6807111010246802</v>
      </c>
      <c r="AN380">
        <v>-0.98049813505844019</v>
      </c>
      <c r="AO380">
        <v>38.636358057963655</v>
      </c>
      <c r="AP380">
        <v>-19.499997184548718</v>
      </c>
      <c r="AQ380">
        <v>0</v>
      </c>
      <c r="AR380" t="str">
        <v>1613.par</v>
      </c>
      <c r="AV380" t="str">
        <v>204,204,0</v>
      </c>
      <c r="AW380" s="31">
        <v>39.800000000000011</v>
      </c>
      <c r="AX380" s="31">
        <v>38.636358057963655</v>
      </c>
      <c r="AY380" s="31">
        <v>0</v>
      </c>
    </row>
    <row r="381" spans="31:51" x14ac:dyDescent="0.25">
      <c r="AE381">
        <v>2.1160000000000001</v>
      </c>
      <c r="AF381">
        <v>2</v>
      </c>
      <c r="AG381">
        <v>1</v>
      </c>
      <c r="AH381">
        <v>1</v>
      </c>
      <c r="AI381">
        <v>2.000000000007276</v>
      </c>
      <c r="AJ381">
        <v>2.11612</v>
      </c>
      <c r="AK381" t="str">
        <v>Base</v>
      </c>
      <c r="AL381">
        <v>-10.5</v>
      </c>
      <c r="AM381">
        <v>-3.0616092338134497</v>
      </c>
      <c r="AN381">
        <v>-0.56292465177570872</v>
      </c>
      <c r="AO381">
        <v>23.181814834778312</v>
      </c>
      <c r="AP381">
        <v>-15.99999768988615</v>
      </c>
      <c r="AQ381">
        <v>0</v>
      </c>
      <c r="AR381" t="str">
        <v>1613.par</v>
      </c>
      <c r="AV381" t="str">
        <v>204,204,0</v>
      </c>
      <c r="AW381" s="31">
        <v>22.5</v>
      </c>
      <c r="AX381" s="31">
        <v>23.181814834778312</v>
      </c>
      <c r="AY381" s="31">
        <v>0</v>
      </c>
    </row>
    <row r="382" spans="31:51" x14ac:dyDescent="0.25">
      <c r="AE382">
        <v>2.11</v>
      </c>
      <c r="AF382">
        <v>2</v>
      </c>
      <c r="AG382">
        <v>1</v>
      </c>
      <c r="AH382">
        <v>1</v>
      </c>
      <c r="AI382">
        <v>1.9999999999708962</v>
      </c>
      <c r="AJ382">
        <v>2.1101199999999998</v>
      </c>
      <c r="AK382" t="str">
        <v>Base</v>
      </c>
      <c r="AL382">
        <v>-10.5</v>
      </c>
      <c r="AM382">
        <v>-2.3416070622868999</v>
      </c>
      <c r="AN382">
        <v>-0.36580600049411555</v>
      </c>
      <c r="AO382">
        <v>7.7272716115927498</v>
      </c>
      <c r="AP382">
        <v>-15.999997689886136</v>
      </c>
      <c r="AQ382">
        <v>0</v>
      </c>
      <c r="AR382" t="str">
        <v>1613.par</v>
      </c>
      <c r="AV382" t="str">
        <v>204,204,0</v>
      </c>
      <c r="AW382" s="31">
        <v>5.0999999999999943</v>
      </c>
      <c r="AX382" s="31">
        <v>7.7272716115927498</v>
      </c>
      <c r="AY382" s="31">
        <v>0</v>
      </c>
    </row>
    <row r="383" spans="31:51" x14ac:dyDescent="0.25">
      <c r="AE383">
        <v>1.2410000000000001</v>
      </c>
      <c r="AF383">
        <v>1</v>
      </c>
      <c r="AG383">
        <v>2</v>
      </c>
      <c r="AH383">
        <v>1</v>
      </c>
      <c r="AI383">
        <v>2.000000000007276</v>
      </c>
      <c r="AJ383">
        <v>1.24112</v>
      </c>
      <c r="AK383" t="str">
        <v>Base</v>
      </c>
      <c r="AL383">
        <v>-9.75</v>
      </c>
      <c r="AM383">
        <v>-4.5422393625563782</v>
      </c>
      <c r="AN383">
        <v>-3.226110046085207</v>
      </c>
      <c r="AO383">
        <v>86.099987568699845</v>
      </c>
      <c r="AP383">
        <v>0</v>
      </c>
      <c r="AQ383">
        <v>0</v>
      </c>
      <c r="AR383" t="str">
        <v>32193r1.par</v>
      </c>
      <c r="AV383" t="str">
        <v>255,188,121</v>
      </c>
      <c r="AW383" s="31">
        <v>86.1</v>
      </c>
      <c r="AX383" s="31">
        <v>86.099987568699845</v>
      </c>
      <c r="AY383" s="31">
        <v>0</v>
      </c>
    </row>
    <row r="384" spans="31:51" x14ac:dyDescent="0.25">
      <c r="AE384">
        <v>1.2350000000000001</v>
      </c>
      <c r="AF384">
        <v>1</v>
      </c>
      <c r="AG384">
        <v>2</v>
      </c>
      <c r="AH384">
        <v>1</v>
      </c>
      <c r="AI384">
        <v>2.000000000007276</v>
      </c>
      <c r="AJ384">
        <v>1.23512</v>
      </c>
      <c r="AK384" t="str">
        <v>Base</v>
      </c>
      <c r="AL384">
        <v>-9.75</v>
      </c>
      <c r="AM384">
        <v>-4.4824520995485351</v>
      </c>
      <c r="AN384">
        <v>-2.4099194046637948</v>
      </c>
      <c r="AO384">
        <v>72.121201708198967</v>
      </c>
      <c r="AP384">
        <v>-27.083329422984299</v>
      </c>
      <c r="AQ384">
        <v>0</v>
      </c>
      <c r="AR384" t="str">
        <v>1313.par</v>
      </c>
      <c r="AV384" t="str">
        <v>255,188,121</v>
      </c>
      <c r="AW384" s="31">
        <v>76.5</v>
      </c>
      <c r="AX384" s="31">
        <v>72.121201708198967</v>
      </c>
      <c r="AY384" s="31">
        <v>0</v>
      </c>
    </row>
    <row r="385" spans="31:51" x14ac:dyDescent="0.25">
      <c r="AE385">
        <v>1.2290000000000001</v>
      </c>
      <c r="AF385">
        <v>1</v>
      </c>
      <c r="AG385">
        <v>2</v>
      </c>
      <c r="AH385">
        <v>1</v>
      </c>
      <c r="AI385">
        <v>2.000000000007276</v>
      </c>
      <c r="AJ385">
        <v>1.22912</v>
      </c>
      <c r="AK385" t="str">
        <v>Base</v>
      </c>
      <c r="AL385">
        <v>-9.75</v>
      </c>
      <c r="AM385">
        <v>-4.2271569345419167</v>
      </c>
      <c r="AN385">
        <v>-1.7005707154972187</v>
      </c>
      <c r="AO385">
        <v>56.66665848501345</v>
      </c>
      <c r="AP385">
        <v>-23.583329928321717</v>
      </c>
      <c r="AQ385">
        <v>0</v>
      </c>
      <c r="AR385" t="str">
        <v>1313.par</v>
      </c>
      <c r="AV385" t="str">
        <v>255,188,121</v>
      </c>
      <c r="AW385" s="31">
        <v>59.699999999999989</v>
      </c>
      <c r="AX385" s="31">
        <v>56.66665848501345</v>
      </c>
      <c r="AY385" s="31">
        <v>0</v>
      </c>
    </row>
    <row r="386" spans="31:51" x14ac:dyDescent="0.25">
      <c r="AE386">
        <v>1.2230000000000001</v>
      </c>
      <c r="AF386">
        <v>1</v>
      </c>
      <c r="AG386">
        <v>2</v>
      </c>
      <c r="AH386">
        <v>1</v>
      </c>
      <c r="AI386">
        <v>2.000000000007276</v>
      </c>
      <c r="AJ386">
        <v>1.22312</v>
      </c>
      <c r="AK386" t="str">
        <v>Base</v>
      </c>
      <c r="AL386">
        <v>-9.75</v>
      </c>
      <c r="AM386">
        <v>-3.7864362114534451</v>
      </c>
      <c r="AN386">
        <v>-1.0888417623098849</v>
      </c>
      <c r="AO386">
        <v>41.212115261827932</v>
      </c>
      <c r="AP386">
        <v>-20.083330433659125</v>
      </c>
      <c r="AQ386">
        <v>0</v>
      </c>
      <c r="AR386" t="str">
        <v>1313.par</v>
      </c>
      <c r="AV386" t="str">
        <v>255,188,121</v>
      </c>
      <c r="AW386" s="31">
        <v>42.699999999999989</v>
      </c>
      <c r="AX386" s="31">
        <v>41.212115261827932</v>
      </c>
      <c r="AY386" s="31">
        <v>0</v>
      </c>
    </row>
    <row r="387" spans="31:51" x14ac:dyDescent="0.25">
      <c r="AE387">
        <v>1.2170000000000001</v>
      </c>
      <c r="AF387">
        <v>1</v>
      </c>
      <c r="AG387">
        <v>2</v>
      </c>
      <c r="AH387">
        <v>1</v>
      </c>
      <c r="AI387">
        <v>1.9999999999890861</v>
      </c>
      <c r="AJ387">
        <v>1.21712</v>
      </c>
      <c r="AK387" t="str">
        <v>Base</v>
      </c>
      <c r="AL387">
        <v>-9.75</v>
      </c>
      <c r="AM387">
        <v>-3.1848097850478867</v>
      </c>
      <c r="AN387">
        <v>-0.63457609095325584</v>
      </c>
      <c r="AO387">
        <v>25.757572038642522</v>
      </c>
      <c r="AP387">
        <v>-16.583330938996621</v>
      </c>
      <c r="AQ387">
        <v>0</v>
      </c>
      <c r="AR387" t="str">
        <v>1313.par</v>
      </c>
      <c r="AV387" t="str">
        <v>255,188,121</v>
      </c>
      <c r="AW387" s="31">
        <v>25.400000000000006</v>
      </c>
      <c r="AX387" s="31">
        <v>25.757572038642522</v>
      </c>
      <c r="AY387" s="31">
        <v>0</v>
      </c>
    </row>
    <row r="388" spans="31:51" x14ac:dyDescent="0.25">
      <c r="AE388">
        <v>1.2110000000000001</v>
      </c>
      <c r="AF388">
        <v>1</v>
      </c>
      <c r="AG388">
        <v>2</v>
      </c>
      <c r="AH388">
        <v>1</v>
      </c>
      <c r="AI388">
        <v>1.9999999999890861</v>
      </c>
      <c r="AJ388">
        <v>1.21112</v>
      </c>
      <c r="AK388" t="str">
        <v>Base</v>
      </c>
      <c r="AL388">
        <v>-9.75</v>
      </c>
      <c r="AM388">
        <v>-2.4703828005462527</v>
      </c>
      <c r="AN388">
        <v>-0.39477132454644059</v>
      </c>
      <c r="AO388">
        <v>10.303028815456981</v>
      </c>
      <c r="AP388">
        <v>-15.999997689886136</v>
      </c>
      <c r="AQ388">
        <v>0</v>
      </c>
      <c r="AR388" t="str">
        <v>1310.par</v>
      </c>
      <c r="AV388" t="str">
        <v>255,188,121</v>
      </c>
      <c r="AW388" s="31">
        <v>8</v>
      </c>
      <c r="AX388" s="31">
        <v>10.303028815456981</v>
      </c>
      <c r="AY388" s="31">
        <v>0</v>
      </c>
    </row>
    <row r="389" spans="31:51" x14ac:dyDescent="0.25">
      <c r="AE389">
        <v>1.141</v>
      </c>
      <c r="AF389">
        <v>1</v>
      </c>
      <c r="AG389">
        <v>1</v>
      </c>
      <c r="AH389">
        <v>1</v>
      </c>
      <c r="AI389">
        <v>1.9999999999890861</v>
      </c>
      <c r="AJ389">
        <v>1.1411199999999999</v>
      </c>
      <c r="AK389" t="str">
        <v>Base</v>
      </c>
      <c r="AL389">
        <v>-9</v>
      </c>
      <c r="AM389">
        <v>-4.5665137726055374</v>
      </c>
      <c r="AN389">
        <v>-3.2213478563531162</v>
      </c>
      <c r="AO389">
        <v>84.999987727520178</v>
      </c>
      <c r="AP389">
        <v>-29.99999566853656</v>
      </c>
      <c r="AQ389">
        <v>0</v>
      </c>
      <c r="AR389" t="str">
        <v>1613.par</v>
      </c>
      <c r="AV389" t="str">
        <v>255,127,0</v>
      </c>
      <c r="AW389" s="31">
        <v>86.1</v>
      </c>
      <c r="AX389" s="31">
        <v>84.999987727520178</v>
      </c>
      <c r="AY389" s="31">
        <v>0</v>
      </c>
    </row>
    <row r="390" spans="31:51" x14ac:dyDescent="0.25">
      <c r="AE390">
        <v>1.135</v>
      </c>
      <c r="AF390">
        <v>1</v>
      </c>
      <c r="AG390">
        <v>1</v>
      </c>
      <c r="AH390">
        <v>1</v>
      </c>
      <c r="AI390">
        <v>1.9999999999890861</v>
      </c>
      <c r="AJ390">
        <v>1.1351199999999999</v>
      </c>
      <c r="AK390" t="str">
        <v>Base</v>
      </c>
      <c r="AL390">
        <v>-9</v>
      </c>
      <c r="AM390">
        <v>-4.460813453813377</v>
      </c>
      <c r="AN390">
        <v>-2.4185634903379238</v>
      </c>
      <c r="AO390">
        <v>72.121201708198925</v>
      </c>
      <c r="AP390">
        <v>-27.083329422984274</v>
      </c>
      <c r="AQ390">
        <v>0</v>
      </c>
      <c r="AR390" t="str">
        <v>1613 Ripper.par</v>
      </c>
      <c r="AV390" t="str">
        <v>255,127,0</v>
      </c>
      <c r="AW390" s="31">
        <v>76.5</v>
      </c>
      <c r="AX390" s="31">
        <v>72.121201708198925</v>
      </c>
      <c r="AY390" s="31">
        <v>0</v>
      </c>
    </row>
    <row r="391" spans="31:51" x14ac:dyDescent="0.25">
      <c r="AE391">
        <v>1.129</v>
      </c>
      <c r="AF391">
        <v>1</v>
      </c>
      <c r="AG391">
        <v>1</v>
      </c>
      <c r="AH391">
        <v>1</v>
      </c>
      <c r="AI391">
        <v>1.9999999999890861</v>
      </c>
      <c r="AJ391">
        <v>1.1291199999999999</v>
      </c>
      <c r="AK391" t="str">
        <v>Base</v>
      </c>
      <c r="AL391">
        <v>-9</v>
      </c>
      <c r="AM391">
        <v>-4.2071126886518693</v>
      </c>
      <c r="AN391">
        <v>-1.7153391463131966</v>
      </c>
      <c r="AO391">
        <v>56.666658485013478</v>
      </c>
      <c r="AP391">
        <v>-23.583329928321742</v>
      </c>
      <c r="AQ391">
        <v>0</v>
      </c>
      <c r="AR391" t="str">
        <v>1613 Ripper.par</v>
      </c>
      <c r="AV391" t="str">
        <v>255,127,0</v>
      </c>
      <c r="AW391" s="31">
        <v>59.699999999999989</v>
      </c>
      <c r="AX391" s="31">
        <v>56.666658485013478</v>
      </c>
      <c r="AY391" s="31">
        <v>0</v>
      </c>
    </row>
    <row r="392" spans="31:51" x14ac:dyDescent="0.25">
      <c r="AE392">
        <v>1.123</v>
      </c>
      <c r="AF392">
        <v>1</v>
      </c>
      <c r="AG392">
        <v>1</v>
      </c>
      <c r="AH392">
        <v>1</v>
      </c>
      <c r="AI392">
        <v>1.9999999999890861</v>
      </c>
      <c r="AJ392">
        <v>1.1231199999999999</v>
      </c>
      <c r="AK392" t="str">
        <v>Base</v>
      </c>
      <c r="AL392">
        <v>-9</v>
      </c>
      <c r="AM392">
        <v>-3.7699113700526929</v>
      </c>
      <c r="AN392">
        <v>-1.1094817620871562</v>
      </c>
      <c r="AO392">
        <v>41.212115261827954</v>
      </c>
      <c r="AP392">
        <v>-20.08333043365915</v>
      </c>
      <c r="AQ392">
        <v>0</v>
      </c>
      <c r="AR392" t="str">
        <v>1613 Ripper.par</v>
      </c>
      <c r="AV392" t="str">
        <v>255,127,0</v>
      </c>
      <c r="AW392" s="31">
        <v>42.699999999999989</v>
      </c>
      <c r="AX392" s="31">
        <v>41.212115261827954</v>
      </c>
      <c r="AY392" s="31">
        <v>0</v>
      </c>
    </row>
    <row r="393" spans="31:51" x14ac:dyDescent="0.25">
      <c r="AE393">
        <v>1.117</v>
      </c>
      <c r="AF393">
        <v>1</v>
      </c>
      <c r="AG393">
        <v>1</v>
      </c>
      <c r="AH393">
        <v>1</v>
      </c>
      <c r="AI393">
        <v>1.9999999999890861</v>
      </c>
      <c r="AJ393">
        <v>1.1171199999999999</v>
      </c>
      <c r="AK393" t="str">
        <v>Base</v>
      </c>
      <c r="AL393">
        <v>-9</v>
      </c>
      <c r="AM393">
        <v>-3.173509571304868</v>
      </c>
      <c r="AN393">
        <v>-0.66010818288623951</v>
      </c>
      <c r="AO393">
        <v>25.757572038642298</v>
      </c>
      <c r="AP393">
        <v>-16.583330938996543</v>
      </c>
      <c r="AQ393">
        <v>0</v>
      </c>
      <c r="AR393" t="str">
        <v>1613 Ripper.par</v>
      </c>
      <c r="AV393" t="str">
        <v>255,127,0</v>
      </c>
      <c r="AW393" s="31">
        <v>25.400000000000006</v>
      </c>
      <c r="AX393" s="31">
        <v>25.757572038642298</v>
      </c>
      <c r="AY393" s="31">
        <v>0</v>
      </c>
    </row>
    <row r="394" spans="31:51" x14ac:dyDescent="0.25">
      <c r="AE394">
        <v>1.111</v>
      </c>
      <c r="AF394">
        <v>1</v>
      </c>
      <c r="AG394">
        <v>1</v>
      </c>
      <c r="AH394">
        <v>1</v>
      </c>
      <c r="AI394">
        <v>1.9999999999890861</v>
      </c>
      <c r="AJ394">
        <v>1.1111199999999999</v>
      </c>
      <c r="AK394" t="str">
        <v>Base</v>
      </c>
      <c r="AL394">
        <v>-9</v>
      </c>
      <c r="AM394">
        <v>-2.4657074365736289</v>
      </c>
      <c r="AN394">
        <v>-0.42323107823722994</v>
      </c>
      <c r="AO394">
        <v>10.303028815456972</v>
      </c>
      <c r="AP394">
        <v>-15.99999768988615</v>
      </c>
      <c r="AQ394">
        <v>0</v>
      </c>
      <c r="AR394" t="str">
        <v>1613 Ripper.par</v>
      </c>
      <c r="AV394" t="str">
        <v>255,127,0</v>
      </c>
      <c r="AW394" s="31">
        <v>8</v>
      </c>
      <c r="AX394" s="31">
        <v>10.303028815456972</v>
      </c>
      <c r="AY394" s="31">
        <v>0</v>
      </c>
    </row>
    <row r="395" spans="31:51" x14ac:dyDescent="0.25">
      <c r="AE395">
        <v>1.107</v>
      </c>
      <c r="AF395">
        <v>1</v>
      </c>
      <c r="AG395">
        <v>1</v>
      </c>
      <c r="AH395">
        <v>1</v>
      </c>
      <c r="AI395">
        <v>1.9999999999890861</v>
      </c>
      <c r="AJ395">
        <v>1.1071199999999999</v>
      </c>
      <c r="AK395" t="str">
        <v>Base</v>
      </c>
      <c r="AL395">
        <v>-9</v>
      </c>
      <c r="AM395">
        <v>-1.7387052439350157</v>
      </c>
      <c r="AN395">
        <v>-0.43020054348211068</v>
      </c>
      <c r="AO395">
        <v>0</v>
      </c>
      <c r="AP395">
        <v>-15.99999768988615</v>
      </c>
      <c r="AQ395">
        <v>0</v>
      </c>
      <c r="AR395" t="str">
        <v>1613.par</v>
      </c>
      <c r="AV395" t="str">
        <v>255,127,0</v>
      </c>
      <c r="AW395" s="31">
        <v>-9.9000000000000057</v>
      </c>
      <c r="AX395" s="31">
        <v>0</v>
      </c>
      <c r="AY395" s="31">
        <v>0</v>
      </c>
    </row>
    <row r="396" spans="31:51" x14ac:dyDescent="0.25">
      <c r="AE396">
        <v>1.1040000000000001</v>
      </c>
      <c r="AF396">
        <v>1</v>
      </c>
      <c r="AG396">
        <v>1</v>
      </c>
      <c r="AH396">
        <v>1</v>
      </c>
      <c r="AI396">
        <v>2.000000000007276</v>
      </c>
      <c r="AJ396">
        <v>1.10412</v>
      </c>
      <c r="AK396" t="str">
        <v>Base</v>
      </c>
      <c r="AL396">
        <v>-9</v>
      </c>
      <c r="AM396">
        <v>-1.0375031291094376</v>
      </c>
      <c r="AN396">
        <v>-0.64810120067504029</v>
      </c>
      <c r="AO396">
        <v>-2.9999995668536554</v>
      </c>
      <c r="AP396">
        <v>-15.99999768988615</v>
      </c>
      <c r="AQ396">
        <v>0</v>
      </c>
      <c r="AR396" t="str">
        <v>1613.par</v>
      </c>
      <c r="AV396" t="str">
        <v>255,127,0</v>
      </c>
      <c r="AW396" s="31">
        <v>-20</v>
      </c>
      <c r="AX396" s="31">
        <v>-2.9999995668536554</v>
      </c>
      <c r="AY396" s="31">
        <v>0</v>
      </c>
    </row>
    <row r="397" spans="31:51" x14ac:dyDescent="0.25">
      <c r="AE397">
        <v>1.101</v>
      </c>
      <c r="AF397">
        <v>1</v>
      </c>
      <c r="AG397">
        <v>1</v>
      </c>
      <c r="AH397">
        <v>1</v>
      </c>
      <c r="AI397">
        <v>1.9999999999890861</v>
      </c>
      <c r="AJ397">
        <v>1.1011199999999999</v>
      </c>
      <c r="AK397" t="str">
        <v>Base</v>
      </c>
      <c r="AL397">
        <v>-9</v>
      </c>
      <c r="AM397">
        <v>-0.34210103177671186</v>
      </c>
      <c r="AN397">
        <v>-0.9013019643239959</v>
      </c>
      <c r="AO397">
        <v>-8.9999987005609601</v>
      </c>
      <c r="AP397">
        <v>-21.999996823593442</v>
      </c>
      <c r="AQ397">
        <v>0</v>
      </c>
      <c r="AR397" t="str">
        <v>1613.par</v>
      </c>
      <c r="AV397" t="str">
        <v>255,127,0</v>
      </c>
      <c r="AW397" s="31">
        <v>-20</v>
      </c>
      <c r="AX397" s="31">
        <v>-8.9999987005609601</v>
      </c>
      <c r="AY397" s="31">
        <v>0</v>
      </c>
    </row>
    <row r="398" spans="31:51" x14ac:dyDescent="0.25">
      <c r="AE398">
        <v>6.2439999999999998</v>
      </c>
      <c r="AF398">
        <v>6</v>
      </c>
      <c r="AG398">
        <v>2</v>
      </c>
      <c r="AH398">
        <v>2</v>
      </c>
      <c r="AI398">
        <v>1.9999999999708962</v>
      </c>
      <c r="AJ398">
        <v>6.2442199999999994</v>
      </c>
      <c r="AK398">
        <v>6.2441199999999997</v>
      </c>
      <c r="AL398">
        <v>0</v>
      </c>
      <c r="AM398">
        <v>0</v>
      </c>
      <c r="AN398">
        <v>0</v>
      </c>
      <c r="AO398">
        <v>1.2431300163484593E-5</v>
      </c>
      <c r="AP398">
        <v>0</v>
      </c>
      <c r="AQ398">
        <v>0</v>
      </c>
      <c r="AR398" t="str">
        <v>32193r1.par</v>
      </c>
      <c r="AV398" t="str">
        <v>188,121,255</v>
      </c>
      <c r="AW398" s="31">
        <v>86.1</v>
      </c>
      <c r="AX398" s="31">
        <v>86.099987568699831</v>
      </c>
      <c r="AY398" s="31">
        <v>1.2431300163484593E-5</v>
      </c>
    </row>
    <row r="399" spans="31:51" x14ac:dyDescent="0.25">
      <c r="AE399">
        <v>6.2380000000000004</v>
      </c>
      <c r="AF399">
        <v>6</v>
      </c>
      <c r="AG399">
        <v>2</v>
      </c>
      <c r="AH399">
        <v>2</v>
      </c>
      <c r="AI399">
        <v>2.0000000000436557</v>
      </c>
      <c r="AJ399">
        <v>6.2382200000000001</v>
      </c>
      <c r="AK399">
        <v>6.2381200000000003</v>
      </c>
      <c r="AL399">
        <v>0</v>
      </c>
      <c r="AM399">
        <v>0</v>
      </c>
      <c r="AN399">
        <v>0</v>
      </c>
      <c r="AO399">
        <v>1.2258041579116252E-5</v>
      </c>
      <c r="AP399">
        <v>0</v>
      </c>
      <c r="AQ399">
        <v>0</v>
      </c>
      <c r="AR399" t="str">
        <v>32193r1.par</v>
      </c>
      <c r="AV399" t="str">
        <v>188,121,255</v>
      </c>
      <c r="AW399" s="31">
        <v>84.9</v>
      </c>
      <c r="AX399" s="31">
        <v>84.899987741958427</v>
      </c>
      <c r="AY399" s="31">
        <v>1.2258041579116252E-5</v>
      </c>
    </row>
    <row r="400" spans="31:51" x14ac:dyDescent="0.25">
      <c r="AE400">
        <v>6.2320000000000002</v>
      </c>
      <c r="AF400">
        <v>6</v>
      </c>
      <c r="AG400">
        <v>2</v>
      </c>
      <c r="AH400">
        <v>2</v>
      </c>
      <c r="AI400">
        <v>1.9999999999708962</v>
      </c>
      <c r="AJ400">
        <v>6.2322199999999999</v>
      </c>
      <c r="AK400">
        <v>6.2321200000000001</v>
      </c>
      <c r="AL400">
        <v>0</v>
      </c>
      <c r="AM400">
        <v>0</v>
      </c>
      <c r="AN400">
        <v>0</v>
      </c>
      <c r="AO400">
        <v>9.8324220658696504E-6</v>
      </c>
      <c r="AP400">
        <v>0</v>
      </c>
      <c r="AQ400">
        <v>0</v>
      </c>
      <c r="AR400" t="str">
        <v>32193r1.par</v>
      </c>
      <c r="AV400" t="str">
        <v>188,121,255</v>
      </c>
      <c r="AW400" s="31">
        <v>68.099999999999994</v>
      </c>
      <c r="AX400" s="31">
        <v>68.099990167577928</v>
      </c>
      <c r="AY400" s="31">
        <v>9.8324220658696504E-6</v>
      </c>
    </row>
    <row r="401" spans="31:51" x14ac:dyDescent="0.25">
      <c r="AE401">
        <v>6.226</v>
      </c>
      <c r="AF401">
        <v>6</v>
      </c>
      <c r="AG401">
        <v>2</v>
      </c>
      <c r="AH401">
        <v>2</v>
      </c>
      <c r="AI401">
        <v>1.9999999999708962</v>
      </c>
      <c r="AJ401">
        <v>6.2262199999999996</v>
      </c>
      <c r="AK401">
        <v>6.2261199999999999</v>
      </c>
      <c r="AL401">
        <v>0</v>
      </c>
      <c r="AM401">
        <v>0</v>
      </c>
      <c r="AN401">
        <v>0</v>
      </c>
      <c r="AO401">
        <v>2.2606131265792513</v>
      </c>
      <c r="AP401">
        <v>0</v>
      </c>
      <c r="AQ401">
        <v>0</v>
      </c>
      <c r="AR401" t="str">
        <v>1313.par</v>
      </c>
      <c r="AV401" t="str">
        <v>188,121,255</v>
      </c>
      <c r="AW401" s="31">
        <v>51.199999999999989</v>
      </c>
      <c r="AX401" s="31">
        <v>48.939386873420737</v>
      </c>
      <c r="AY401" s="31">
        <v>2.2606131265792513</v>
      </c>
    </row>
    <row r="402" spans="31:51" x14ac:dyDescent="0.25">
      <c r="AE402">
        <v>6.22</v>
      </c>
      <c r="AF402">
        <v>6</v>
      </c>
      <c r="AG402">
        <v>2</v>
      </c>
      <c r="AH402">
        <v>2</v>
      </c>
      <c r="AI402">
        <v>1.9999999999708962</v>
      </c>
      <c r="AJ402">
        <v>6.2202199999999994</v>
      </c>
      <c r="AK402">
        <v>6.2201199999999996</v>
      </c>
      <c r="AL402">
        <v>0</v>
      </c>
      <c r="AM402">
        <v>0</v>
      </c>
      <c r="AN402">
        <v>0</v>
      </c>
      <c r="AO402">
        <v>0.61515634976477429</v>
      </c>
      <c r="AP402">
        <v>0</v>
      </c>
      <c r="AQ402">
        <v>0</v>
      </c>
      <c r="AR402" t="str">
        <v>1310.par</v>
      </c>
      <c r="AV402" t="str">
        <v>188,121,255</v>
      </c>
      <c r="AW402" s="31">
        <v>34.099999999999994</v>
      </c>
      <c r="AX402" s="31">
        <v>33.48484365023522</v>
      </c>
      <c r="AY402" s="31">
        <v>0.61515634976477429</v>
      </c>
    </row>
    <row r="403" spans="31:51" x14ac:dyDescent="0.25">
      <c r="AE403">
        <v>6.1440000000000001</v>
      </c>
      <c r="AF403">
        <v>6</v>
      </c>
      <c r="AG403">
        <v>1</v>
      </c>
      <c r="AH403">
        <v>2</v>
      </c>
      <c r="AI403">
        <v>1.9999999999708962</v>
      </c>
      <c r="AJ403">
        <v>6.1442199999999998</v>
      </c>
      <c r="AK403">
        <v>6.14412</v>
      </c>
      <c r="AL403">
        <v>0</v>
      </c>
      <c r="AM403">
        <v>0</v>
      </c>
      <c r="AN403">
        <v>0</v>
      </c>
      <c r="AO403">
        <v>1.100012272479816</v>
      </c>
      <c r="AP403">
        <v>0</v>
      </c>
      <c r="AQ403">
        <v>0</v>
      </c>
      <c r="AR403" t="str">
        <v>1613.par</v>
      </c>
      <c r="AV403" t="str">
        <v>127,0,255</v>
      </c>
      <c r="AW403" s="31">
        <v>86.1</v>
      </c>
      <c r="AX403" s="31">
        <v>84.999987727520178</v>
      </c>
      <c r="AY403" s="31">
        <v>1.100012272479816</v>
      </c>
    </row>
    <row r="404" spans="31:51" x14ac:dyDescent="0.25">
      <c r="AE404">
        <v>6.1379999999999999</v>
      </c>
      <c r="AF404">
        <v>6</v>
      </c>
      <c r="AG404">
        <v>1</v>
      </c>
      <c r="AH404">
        <v>2</v>
      </c>
      <c r="AI404">
        <v>1.9999999999708962</v>
      </c>
      <c r="AJ404">
        <v>6.1382199999999996</v>
      </c>
      <c r="AK404">
        <v>6.1381199999999998</v>
      </c>
      <c r="AL404">
        <v>0</v>
      </c>
      <c r="AM404">
        <v>0</v>
      </c>
      <c r="AN404">
        <v>0</v>
      </c>
      <c r="AO404">
        <v>5.0515266802082976</v>
      </c>
      <c r="AP404">
        <v>0</v>
      </c>
      <c r="AQ404">
        <v>0</v>
      </c>
      <c r="AR404" t="str">
        <v>1613.par</v>
      </c>
      <c r="AV404" t="str">
        <v>127,0,255</v>
      </c>
      <c r="AW404" s="31">
        <v>84.9</v>
      </c>
      <c r="AX404" s="31">
        <v>79.848473319791708</v>
      </c>
      <c r="AY404" s="31">
        <v>5.0515266802082976</v>
      </c>
    </row>
    <row r="405" spans="31:51" x14ac:dyDescent="0.25">
      <c r="AE405">
        <v>6.1319999999999997</v>
      </c>
      <c r="AF405">
        <v>6</v>
      </c>
      <c r="AG405">
        <v>1</v>
      </c>
      <c r="AH405">
        <v>2</v>
      </c>
      <c r="AI405">
        <v>1.9999999998981366</v>
      </c>
      <c r="AJ405">
        <v>6.1322199999999993</v>
      </c>
      <c r="AK405">
        <v>6.1321199999999996</v>
      </c>
      <c r="AL405">
        <v>0</v>
      </c>
      <c r="AM405">
        <v>0</v>
      </c>
      <c r="AN405">
        <v>0</v>
      </c>
      <c r="AO405">
        <v>3.7060699033938107</v>
      </c>
      <c r="AP405">
        <v>0</v>
      </c>
      <c r="AQ405">
        <v>0</v>
      </c>
      <c r="AR405" t="str">
        <v>1613.par</v>
      </c>
      <c r="AV405" t="str">
        <v>127,0,255</v>
      </c>
      <c r="AW405" s="31">
        <v>68.099999999999994</v>
      </c>
      <c r="AX405" s="31">
        <v>64.393930096606184</v>
      </c>
      <c r="AY405" s="31">
        <v>3.7060699033938107</v>
      </c>
    </row>
    <row r="406" spans="31:51" x14ac:dyDescent="0.25">
      <c r="AE406">
        <v>6.1260000000000003</v>
      </c>
      <c r="AF406">
        <v>6</v>
      </c>
      <c r="AG406">
        <v>1</v>
      </c>
      <c r="AH406">
        <v>2</v>
      </c>
      <c r="AI406">
        <v>1.9999999999708962</v>
      </c>
      <c r="AJ406">
        <v>6.12622</v>
      </c>
      <c r="AK406">
        <v>6.1261200000000002</v>
      </c>
      <c r="AL406">
        <v>0</v>
      </c>
      <c r="AM406">
        <v>0</v>
      </c>
      <c r="AN406">
        <v>0</v>
      </c>
      <c r="AO406">
        <v>2.2606131265792442</v>
      </c>
      <c r="AP406">
        <v>0</v>
      </c>
      <c r="AQ406">
        <v>0</v>
      </c>
      <c r="AR406" t="str">
        <v>1613.par</v>
      </c>
      <c r="AV406" t="str">
        <v>127,0,255</v>
      </c>
      <c r="AW406" s="31">
        <v>51.199999999999989</v>
      </c>
      <c r="AX406" s="31">
        <v>48.939386873420744</v>
      </c>
      <c r="AY406" s="31">
        <v>2.2606131265792442</v>
      </c>
    </row>
    <row r="407" spans="31:51" x14ac:dyDescent="0.25">
      <c r="AE407">
        <v>6.12</v>
      </c>
      <c r="AF407">
        <v>6</v>
      </c>
      <c r="AG407">
        <v>1</v>
      </c>
      <c r="AH407">
        <v>2</v>
      </c>
      <c r="AI407">
        <v>1.9999999999708962</v>
      </c>
      <c r="AJ407">
        <v>6.1202199999999998</v>
      </c>
      <c r="AK407">
        <v>6.12012</v>
      </c>
      <c r="AL407">
        <v>0</v>
      </c>
      <c r="AM407">
        <v>0</v>
      </c>
      <c r="AN407">
        <v>0</v>
      </c>
      <c r="AO407">
        <v>0.61515634976471745</v>
      </c>
      <c r="AP407">
        <v>0</v>
      </c>
      <c r="AQ407">
        <v>0</v>
      </c>
      <c r="AR407" t="str">
        <v>1613.par</v>
      </c>
      <c r="AV407" t="str">
        <v>127,0,255</v>
      </c>
      <c r="AW407" s="31">
        <v>34.099999999999994</v>
      </c>
      <c r="AX407" s="31">
        <v>33.484843650235277</v>
      </c>
      <c r="AY407" s="31">
        <v>0.61515634976471745</v>
      </c>
    </row>
    <row r="408" spans="31:51" x14ac:dyDescent="0.25">
      <c r="AE408">
        <v>6.1139999999999999</v>
      </c>
      <c r="AF408">
        <v>6</v>
      </c>
      <c r="AG408">
        <v>1</v>
      </c>
      <c r="AH408">
        <v>2</v>
      </c>
      <c r="AI408">
        <v>1.9999999999708962</v>
      </c>
      <c r="AJ408">
        <v>6.1142199999999995</v>
      </c>
      <c r="AK408">
        <v>6.1141199999999998</v>
      </c>
      <c r="AL408">
        <v>0</v>
      </c>
      <c r="AM408">
        <v>0</v>
      </c>
      <c r="AN408">
        <v>0</v>
      </c>
      <c r="AO408">
        <v>-1.3303004270497745</v>
      </c>
      <c r="AP408">
        <v>0</v>
      </c>
      <c r="AQ408">
        <v>0</v>
      </c>
      <c r="AR408" t="str">
        <v>1613.par</v>
      </c>
      <c r="AV408" t="str">
        <v>127,0,255</v>
      </c>
      <c r="AW408" s="31">
        <v>16.700000000000003</v>
      </c>
      <c r="AX408" s="31">
        <v>18.030300427049777</v>
      </c>
      <c r="AY408" s="31">
        <v>-1.3303004270497745</v>
      </c>
    </row>
    <row r="409" spans="31:51" x14ac:dyDescent="0.25">
      <c r="AE409">
        <v>5.2450000000000001</v>
      </c>
      <c r="AF409">
        <v>5</v>
      </c>
      <c r="AG409">
        <v>2</v>
      </c>
      <c r="AH409">
        <v>2</v>
      </c>
      <c r="AI409">
        <v>1.9999999999708962</v>
      </c>
      <c r="AJ409">
        <v>5.2452199999999998</v>
      </c>
      <c r="AK409">
        <v>5.24512</v>
      </c>
      <c r="AL409">
        <v>0</v>
      </c>
      <c r="AM409">
        <v>0</v>
      </c>
      <c r="AN409">
        <v>0</v>
      </c>
      <c r="AO409">
        <v>1.2431300135062884E-5</v>
      </c>
      <c r="AP409">
        <v>0</v>
      </c>
      <c r="AQ409">
        <v>0</v>
      </c>
      <c r="AR409" t="str">
        <v>32193r1.par</v>
      </c>
      <c r="AV409" t="str">
        <v>121,188,255</v>
      </c>
      <c r="AW409" s="31">
        <v>86.1</v>
      </c>
      <c r="AX409" s="31">
        <v>86.099987568699859</v>
      </c>
      <c r="AY409" s="31">
        <v>1.2431300135062884E-5</v>
      </c>
    </row>
    <row r="410" spans="31:51" x14ac:dyDescent="0.25">
      <c r="AE410">
        <v>5.2389999999999999</v>
      </c>
      <c r="AF410">
        <v>5</v>
      </c>
      <c r="AG410">
        <v>2</v>
      </c>
      <c r="AH410">
        <v>2</v>
      </c>
      <c r="AI410">
        <v>1.9999999999708962</v>
      </c>
      <c r="AJ410">
        <v>5.2392199999999995</v>
      </c>
      <c r="AK410">
        <v>5.2391199999999998</v>
      </c>
      <c r="AL410">
        <v>0</v>
      </c>
      <c r="AM410">
        <v>0</v>
      </c>
      <c r="AN410">
        <v>0</v>
      </c>
      <c r="AO410">
        <v>1.2431300135062884E-5</v>
      </c>
      <c r="AP410">
        <v>0</v>
      </c>
      <c r="AQ410">
        <v>0</v>
      </c>
      <c r="AR410" t="str">
        <v>32193r1.par</v>
      </c>
      <c r="AV410" t="str">
        <v>121,188,255</v>
      </c>
      <c r="AW410" s="31">
        <v>86.1</v>
      </c>
      <c r="AX410" s="31">
        <v>86.099987568699859</v>
      </c>
      <c r="AY410" s="31">
        <v>1.2431300135062884E-5</v>
      </c>
    </row>
    <row r="411" spans="31:51" x14ac:dyDescent="0.25">
      <c r="AE411">
        <v>5.2329999999999997</v>
      </c>
      <c r="AF411">
        <v>5</v>
      </c>
      <c r="AG411">
        <v>2</v>
      </c>
      <c r="AH411">
        <v>2</v>
      </c>
      <c r="AI411">
        <v>1.9999999998981366</v>
      </c>
      <c r="AJ411">
        <v>5.2332199999999993</v>
      </c>
      <c r="AK411">
        <v>5.2331199999999995</v>
      </c>
      <c r="AL411">
        <v>0</v>
      </c>
      <c r="AM411">
        <v>0</v>
      </c>
      <c r="AN411">
        <v>0</v>
      </c>
      <c r="AO411">
        <v>3.9303126995295372</v>
      </c>
      <c r="AP411">
        <v>0</v>
      </c>
      <c r="AQ411">
        <v>0</v>
      </c>
      <c r="AR411" t="str">
        <v>1313.par</v>
      </c>
      <c r="AV411" t="str">
        <v>121,188,255</v>
      </c>
      <c r="AW411" s="31">
        <v>70.900000000000006</v>
      </c>
      <c r="AX411" s="31">
        <v>66.969687300470468</v>
      </c>
      <c r="AY411" s="31">
        <v>3.9303126995295372</v>
      </c>
    </row>
    <row r="412" spans="31:51" x14ac:dyDescent="0.25">
      <c r="AE412">
        <v>5.2270000000000003</v>
      </c>
      <c r="AF412">
        <v>5</v>
      </c>
      <c r="AG412">
        <v>2</v>
      </c>
      <c r="AH412">
        <v>2</v>
      </c>
      <c r="AI412">
        <v>1.9999999999708962</v>
      </c>
      <c r="AJ412">
        <v>5.22722</v>
      </c>
      <c r="AK412">
        <v>5.2271200000000002</v>
      </c>
      <c r="AL412">
        <v>0</v>
      </c>
      <c r="AM412">
        <v>0</v>
      </c>
      <c r="AN412">
        <v>0</v>
      </c>
      <c r="AO412">
        <v>2.5848559227150503</v>
      </c>
      <c r="AP412">
        <v>0</v>
      </c>
      <c r="AQ412">
        <v>0</v>
      </c>
      <c r="AR412" t="str">
        <v>1313.par</v>
      </c>
      <c r="AV412" t="str">
        <v>121,188,255</v>
      </c>
      <c r="AW412" s="31">
        <v>54.099999999999994</v>
      </c>
      <c r="AX412" s="31">
        <v>51.515144077284944</v>
      </c>
      <c r="AY412" s="31">
        <v>2.5848559227150503</v>
      </c>
    </row>
    <row r="413" spans="31:51" x14ac:dyDescent="0.25">
      <c r="AE413">
        <v>5.2210000000000001</v>
      </c>
      <c r="AF413">
        <v>5</v>
      </c>
      <c r="AG413">
        <v>2</v>
      </c>
      <c r="AH413">
        <v>2</v>
      </c>
      <c r="AI413">
        <v>1.9999999999708962</v>
      </c>
      <c r="AJ413">
        <v>5.2212199999999998</v>
      </c>
      <c r="AK413">
        <v>5.22112</v>
      </c>
      <c r="AL413">
        <v>0</v>
      </c>
      <c r="AM413">
        <v>0</v>
      </c>
      <c r="AN413">
        <v>0</v>
      </c>
      <c r="AO413">
        <v>0.93939914590057327</v>
      </c>
      <c r="AP413">
        <v>0</v>
      </c>
      <c r="AQ413">
        <v>0</v>
      </c>
      <c r="AR413" t="str">
        <v>1313.par</v>
      </c>
      <c r="AV413" t="str">
        <v>121,188,255</v>
      </c>
      <c r="AW413" s="31">
        <v>37</v>
      </c>
      <c r="AX413" s="31">
        <v>36.060600854099427</v>
      </c>
      <c r="AY413" s="31">
        <v>0.93939914590057327</v>
      </c>
    </row>
    <row r="414" spans="31:51" x14ac:dyDescent="0.25">
      <c r="AE414">
        <v>5.2149999999999999</v>
      </c>
      <c r="AF414">
        <v>5</v>
      </c>
      <c r="AG414">
        <v>2</v>
      </c>
      <c r="AH414">
        <v>2</v>
      </c>
      <c r="AI414">
        <v>1.9999999999708962</v>
      </c>
      <c r="AJ414">
        <v>5.2152199999999995</v>
      </c>
      <c r="AK414">
        <v>5.2151199999999998</v>
      </c>
      <c r="AL414">
        <v>0</v>
      </c>
      <c r="AM414">
        <v>0</v>
      </c>
      <c r="AN414">
        <v>0</v>
      </c>
      <c r="AO414">
        <v>-1.0060576309139471</v>
      </c>
      <c r="AP414">
        <v>0</v>
      </c>
      <c r="AQ414">
        <v>0</v>
      </c>
      <c r="AR414" t="str">
        <v>1310.par</v>
      </c>
      <c r="AV414" t="str">
        <v>121,188,255</v>
      </c>
      <c r="AW414" s="31">
        <v>19.599999999999994</v>
      </c>
      <c r="AX414" s="31">
        <v>20.606057630913941</v>
      </c>
      <c r="AY414" s="31">
        <v>-1.0060576309139471</v>
      </c>
    </row>
    <row r="415" spans="31:51" x14ac:dyDescent="0.25">
      <c r="AE415">
        <v>5.1449999999999996</v>
      </c>
      <c r="AF415">
        <v>5</v>
      </c>
      <c r="AG415">
        <v>1</v>
      </c>
      <c r="AH415">
        <v>2</v>
      </c>
      <c r="AI415">
        <v>1.9999999998981366</v>
      </c>
      <c r="AJ415">
        <v>5.1452199999999992</v>
      </c>
      <c r="AK415">
        <v>5.1451199999999995</v>
      </c>
      <c r="AL415">
        <v>0</v>
      </c>
      <c r="AM415">
        <v>0</v>
      </c>
      <c r="AN415">
        <v>0</v>
      </c>
      <c r="AO415">
        <v>1.100012272479816</v>
      </c>
      <c r="AP415">
        <v>0</v>
      </c>
      <c r="AQ415">
        <v>0</v>
      </c>
      <c r="AR415" t="str">
        <v>1613.par</v>
      </c>
      <c r="AV415" t="str">
        <v>0,102,204</v>
      </c>
      <c r="AW415" s="31">
        <v>86.1</v>
      </c>
      <c r="AX415" s="31">
        <v>84.999987727520178</v>
      </c>
      <c r="AY415" s="31">
        <v>1.100012272479816</v>
      </c>
    </row>
    <row r="416" spans="31:51" x14ac:dyDescent="0.25">
      <c r="AE416">
        <v>5.1390000000000002</v>
      </c>
      <c r="AF416">
        <v>5</v>
      </c>
      <c r="AG416">
        <v>1</v>
      </c>
      <c r="AH416">
        <v>2</v>
      </c>
      <c r="AI416">
        <v>1.9999999999708962</v>
      </c>
      <c r="AJ416">
        <v>5.1392199999999999</v>
      </c>
      <c r="AK416">
        <v>5.1391200000000001</v>
      </c>
      <c r="AL416">
        <v>0</v>
      </c>
      <c r="AM416">
        <v>0</v>
      </c>
      <c r="AN416">
        <v>0</v>
      </c>
      <c r="AO416">
        <v>3.6757694763440298</v>
      </c>
      <c r="AP416">
        <v>0</v>
      </c>
      <c r="AQ416">
        <v>0</v>
      </c>
      <c r="AR416" t="str">
        <v>1613.par</v>
      </c>
      <c r="AV416" t="str">
        <v>0,102,204</v>
      </c>
      <c r="AW416" s="31">
        <v>86.1</v>
      </c>
      <c r="AX416" s="31">
        <v>82.424230523655964</v>
      </c>
      <c r="AY416" s="31">
        <v>3.6757694763440298</v>
      </c>
    </row>
    <row r="417" spans="31:51" x14ac:dyDescent="0.25">
      <c r="AE417">
        <v>5.133</v>
      </c>
      <c r="AF417">
        <v>5</v>
      </c>
      <c r="AG417">
        <v>1</v>
      </c>
      <c r="AH417">
        <v>2</v>
      </c>
      <c r="AI417">
        <v>1.9999999999708962</v>
      </c>
      <c r="AJ417">
        <v>5.1332199999999997</v>
      </c>
      <c r="AK417">
        <v>5.1331199999999999</v>
      </c>
      <c r="AL417">
        <v>0</v>
      </c>
      <c r="AM417">
        <v>0</v>
      </c>
      <c r="AN417">
        <v>0</v>
      </c>
      <c r="AO417">
        <v>3.930312699529523</v>
      </c>
      <c r="AP417">
        <v>0</v>
      </c>
      <c r="AQ417">
        <v>0</v>
      </c>
      <c r="AR417" t="str">
        <v>1613 Ripper.par</v>
      </c>
      <c r="AV417" t="str">
        <v>0,102,204</v>
      </c>
      <c r="AW417" s="31">
        <v>70.900000000000006</v>
      </c>
      <c r="AX417" s="31">
        <v>66.969687300470483</v>
      </c>
      <c r="AY417" s="31">
        <v>3.930312699529523</v>
      </c>
    </row>
    <row r="418" spans="31:51" x14ac:dyDescent="0.25">
      <c r="AE418">
        <v>5.1269999999999998</v>
      </c>
      <c r="AF418">
        <v>5</v>
      </c>
      <c r="AG418">
        <v>1</v>
      </c>
      <c r="AH418">
        <v>2</v>
      </c>
      <c r="AI418">
        <v>1.9999999999708962</v>
      </c>
      <c r="AJ418">
        <v>5.1272199999999994</v>
      </c>
      <c r="AK418">
        <v>5.1271199999999997</v>
      </c>
      <c r="AL418">
        <v>0</v>
      </c>
      <c r="AM418">
        <v>0</v>
      </c>
      <c r="AN418">
        <v>0</v>
      </c>
      <c r="AO418">
        <v>2.5848559227150503</v>
      </c>
      <c r="AP418">
        <v>0</v>
      </c>
      <c r="AQ418">
        <v>0</v>
      </c>
      <c r="AR418" t="str">
        <v>1613 Ripper.par</v>
      </c>
      <c r="AV418" t="str">
        <v>0,102,204</v>
      </c>
      <c r="AW418" s="31">
        <v>54.099999999999994</v>
      </c>
      <c r="AX418" s="31">
        <v>51.515144077284944</v>
      </c>
      <c r="AY418" s="31">
        <v>2.5848559227150503</v>
      </c>
    </row>
    <row r="419" spans="31:51" x14ac:dyDescent="0.25">
      <c r="AE419">
        <v>5.1210000000000004</v>
      </c>
      <c r="AF419">
        <v>5</v>
      </c>
      <c r="AG419">
        <v>1</v>
      </c>
      <c r="AH419">
        <v>2</v>
      </c>
      <c r="AI419">
        <v>2.0000000000436557</v>
      </c>
      <c r="AJ419">
        <v>5.1212200000000001</v>
      </c>
      <c r="AK419">
        <v>5.1211200000000003</v>
      </c>
      <c r="AL419">
        <v>0</v>
      </c>
      <c r="AM419">
        <v>0</v>
      </c>
      <c r="AN419">
        <v>0</v>
      </c>
      <c r="AO419">
        <v>0.93939914590052354</v>
      </c>
      <c r="AP419">
        <v>0</v>
      </c>
      <c r="AQ419">
        <v>0</v>
      </c>
      <c r="AR419" t="str">
        <v>1613 Ripper.par</v>
      </c>
      <c r="AV419" t="str">
        <v>0,102,204</v>
      </c>
      <c r="AW419" s="31">
        <v>37</v>
      </c>
      <c r="AX419" s="31">
        <v>36.060600854099476</v>
      </c>
      <c r="AY419" s="31">
        <v>0.93939914590052354</v>
      </c>
    </row>
    <row r="420" spans="31:51" x14ac:dyDescent="0.25">
      <c r="AE420">
        <v>5.1150000000000002</v>
      </c>
      <c r="AF420">
        <v>5</v>
      </c>
      <c r="AG420">
        <v>1</v>
      </c>
      <c r="AH420">
        <v>2</v>
      </c>
      <c r="AI420">
        <v>1.9999999999708962</v>
      </c>
      <c r="AJ420">
        <v>5.1152199999999999</v>
      </c>
      <c r="AK420">
        <v>5.1151200000000001</v>
      </c>
      <c r="AL420">
        <v>0</v>
      </c>
      <c r="AM420">
        <v>0</v>
      </c>
      <c r="AN420">
        <v>0</v>
      </c>
      <c r="AO420">
        <v>-1.0060576309139577</v>
      </c>
      <c r="AP420">
        <v>0</v>
      </c>
      <c r="AQ420">
        <v>0</v>
      </c>
      <c r="AR420" t="str">
        <v>1613 Ripper.par</v>
      </c>
      <c r="AV420" t="str">
        <v>0,102,204</v>
      </c>
      <c r="AW420" s="31">
        <v>19.599999999999994</v>
      </c>
      <c r="AX420" s="31">
        <v>20.606057630913952</v>
      </c>
      <c r="AY420" s="31">
        <v>-1.0060576309139577</v>
      </c>
    </row>
    <row r="421" spans="31:51" x14ac:dyDescent="0.25">
      <c r="AE421">
        <v>5.109</v>
      </c>
      <c r="AF421">
        <v>5</v>
      </c>
      <c r="AG421">
        <v>1</v>
      </c>
      <c r="AH421">
        <v>2</v>
      </c>
      <c r="AI421">
        <v>1.9999999999708962</v>
      </c>
      <c r="AJ421">
        <v>5.1092199999999997</v>
      </c>
      <c r="AK421">
        <v>5.1091199999999999</v>
      </c>
      <c r="AL421">
        <v>0</v>
      </c>
      <c r="AM421">
        <v>0</v>
      </c>
      <c r="AN421">
        <v>0</v>
      </c>
      <c r="AO421">
        <v>-3.0515144077284759</v>
      </c>
      <c r="AP421">
        <v>0</v>
      </c>
      <c r="AQ421">
        <v>0</v>
      </c>
      <c r="AR421" t="str">
        <v>1613 Ripper.par</v>
      </c>
      <c r="AV421" t="str">
        <v>0,102,204</v>
      </c>
      <c r="AW421" s="31">
        <v>2.0999999999999943</v>
      </c>
      <c r="AX421" s="31">
        <v>5.1515144077284702</v>
      </c>
      <c r="AY421" s="31">
        <v>-3.0515144077284759</v>
      </c>
    </row>
    <row r="422" spans="31:51" x14ac:dyDescent="0.25">
      <c r="AE422">
        <v>5.1059999999999999</v>
      </c>
      <c r="AF422">
        <v>5</v>
      </c>
      <c r="AG422">
        <v>1</v>
      </c>
      <c r="AH422">
        <v>2</v>
      </c>
      <c r="AI422">
        <v>1.9999999999708962</v>
      </c>
      <c r="AJ422">
        <v>5.1062199999999995</v>
      </c>
      <c r="AK422">
        <v>5.1061199999999998</v>
      </c>
      <c r="AL422">
        <v>0</v>
      </c>
      <c r="AM422">
        <v>0</v>
      </c>
      <c r="AN422">
        <v>0</v>
      </c>
      <c r="AO422">
        <v>-15.000000144382199</v>
      </c>
      <c r="AP422">
        <v>0</v>
      </c>
      <c r="AQ422">
        <v>0</v>
      </c>
      <c r="AR422" t="str">
        <v>1613.par</v>
      </c>
      <c r="AV422" t="str">
        <v>0,102,204</v>
      </c>
      <c r="AW422" s="31">
        <v>-16</v>
      </c>
      <c r="AX422" s="31">
        <v>-0.99999985561780147</v>
      </c>
      <c r="AY422" s="31">
        <v>-15.000000144382199</v>
      </c>
    </row>
    <row r="423" spans="31:51" x14ac:dyDescent="0.25">
      <c r="AE423">
        <v>5.1029999999999998</v>
      </c>
      <c r="AF423">
        <v>5</v>
      </c>
      <c r="AG423">
        <v>1</v>
      </c>
      <c r="AH423">
        <v>2</v>
      </c>
      <c r="AI423">
        <v>1.9999999999708962</v>
      </c>
      <c r="AJ423">
        <v>5.1032199999999994</v>
      </c>
      <c r="AK423">
        <v>5.1031199999999997</v>
      </c>
      <c r="AL423">
        <v>0</v>
      </c>
      <c r="AM423">
        <v>0</v>
      </c>
      <c r="AN423">
        <v>0</v>
      </c>
      <c r="AO423">
        <v>-16.000000577528553</v>
      </c>
      <c r="AP423">
        <v>0</v>
      </c>
      <c r="AQ423">
        <v>0</v>
      </c>
      <c r="AR423" t="str">
        <v>1613.par</v>
      </c>
      <c r="AV423" t="str">
        <v>0,102,204</v>
      </c>
      <c r="AW423" s="31">
        <v>-20</v>
      </c>
      <c r="AX423" s="31">
        <v>-3.999999422471447</v>
      </c>
      <c r="AY423" s="31">
        <v>-16.000000577528553</v>
      </c>
    </row>
    <row r="424" spans="31:51" x14ac:dyDescent="0.25">
      <c r="AE424">
        <v>4.242</v>
      </c>
      <c r="AF424">
        <v>4</v>
      </c>
      <c r="AG424">
        <v>2</v>
      </c>
      <c r="AH424">
        <v>2</v>
      </c>
      <c r="AI424">
        <v>1.9999999999708962</v>
      </c>
      <c r="AJ424">
        <v>4.2422199999999997</v>
      </c>
      <c r="AK424">
        <v>4.2421199999999999</v>
      </c>
      <c r="AL424">
        <v>0</v>
      </c>
      <c r="AM424">
        <v>0</v>
      </c>
      <c r="AN424">
        <v>0</v>
      </c>
      <c r="AO424">
        <v>1.2431300135062884E-5</v>
      </c>
      <c r="AP424">
        <v>0</v>
      </c>
      <c r="AQ424">
        <v>0</v>
      </c>
      <c r="AR424" t="str">
        <v>32193r1.par</v>
      </c>
      <c r="AV424" t="str">
        <v>91,255,255</v>
      </c>
      <c r="AW424" s="31">
        <v>86.1</v>
      </c>
      <c r="AX424" s="31">
        <v>86.099987568699859</v>
      </c>
      <c r="AY424" s="31">
        <v>1.2431300135062884E-5</v>
      </c>
    </row>
    <row r="425" spans="31:51" x14ac:dyDescent="0.25">
      <c r="AE425">
        <v>4.2359999999999998</v>
      </c>
      <c r="AF425">
        <v>4</v>
      </c>
      <c r="AG425">
        <v>2</v>
      </c>
      <c r="AH425">
        <v>2</v>
      </c>
      <c r="AI425">
        <v>1.9999999999708962</v>
      </c>
      <c r="AJ425">
        <v>4.2362199999999994</v>
      </c>
      <c r="AK425">
        <v>4.2361199999999997</v>
      </c>
      <c r="AL425">
        <v>0</v>
      </c>
      <c r="AM425">
        <v>0</v>
      </c>
      <c r="AN425">
        <v>0</v>
      </c>
      <c r="AO425">
        <v>1.1449501741367385E-5</v>
      </c>
      <c r="AP425">
        <v>0</v>
      </c>
      <c r="AQ425">
        <v>0</v>
      </c>
      <c r="AR425" t="str">
        <v>32193r1.par</v>
      </c>
      <c r="AV425" t="str">
        <v>91,255,255</v>
      </c>
      <c r="AW425" s="31">
        <v>79.300000000000011</v>
      </c>
      <c r="AX425" s="31">
        <v>79.29998855049827</v>
      </c>
      <c r="AY425" s="31">
        <v>1.1449501741367385E-5</v>
      </c>
    </row>
    <row r="426" spans="31:51" x14ac:dyDescent="0.25">
      <c r="AE426">
        <v>4.2300000000000004</v>
      </c>
      <c r="AF426">
        <v>4</v>
      </c>
      <c r="AG426">
        <v>2</v>
      </c>
      <c r="AH426">
        <v>2</v>
      </c>
      <c r="AI426">
        <v>2.0000000000436557</v>
      </c>
      <c r="AJ426">
        <v>4.2302200000000001</v>
      </c>
      <c r="AK426">
        <v>4.2301200000000003</v>
      </c>
      <c r="AL426">
        <v>0</v>
      </c>
      <c r="AM426">
        <v>0</v>
      </c>
      <c r="AN426">
        <v>0</v>
      </c>
      <c r="AO426">
        <v>9.0238822139099284E-6</v>
      </c>
      <c r="AP426">
        <v>0</v>
      </c>
      <c r="AQ426">
        <v>0</v>
      </c>
      <c r="AR426" t="str">
        <v>32193r1.par</v>
      </c>
      <c r="AV426" t="str">
        <v>91,255,255</v>
      </c>
      <c r="AW426" s="31">
        <v>62.5</v>
      </c>
      <c r="AX426" s="31">
        <v>62.499990976117786</v>
      </c>
      <c r="AY426" s="31">
        <v>9.0238822139099284E-6</v>
      </c>
    </row>
    <row r="427" spans="31:51" x14ac:dyDescent="0.25">
      <c r="AE427">
        <v>4.2240000000000002</v>
      </c>
      <c r="AF427">
        <v>4</v>
      </c>
      <c r="AG427">
        <v>2</v>
      </c>
      <c r="AH427">
        <v>2</v>
      </c>
      <c r="AI427">
        <v>1.9999999999708962</v>
      </c>
      <c r="AJ427">
        <v>4.2242199999999999</v>
      </c>
      <c r="AK427">
        <v>4.2241200000000001</v>
      </c>
      <c r="AL427">
        <v>0</v>
      </c>
      <c r="AM427">
        <v>0</v>
      </c>
      <c r="AN427">
        <v>0</v>
      </c>
      <c r="AO427">
        <v>1.8121275343077983</v>
      </c>
      <c r="AP427">
        <v>0</v>
      </c>
      <c r="AQ427">
        <v>0</v>
      </c>
      <c r="AR427" t="str">
        <v>1313.par</v>
      </c>
      <c r="AV427" t="str">
        <v>91,255,255</v>
      </c>
      <c r="AW427" s="31">
        <v>45.599999999999994</v>
      </c>
      <c r="AX427" s="31">
        <v>43.787872465692196</v>
      </c>
      <c r="AY427" s="31">
        <v>1.8121275343077983</v>
      </c>
    </row>
    <row r="428" spans="31:51" x14ac:dyDescent="0.25">
      <c r="AE428">
        <v>4.218</v>
      </c>
      <c r="AF428">
        <v>4</v>
      </c>
      <c r="AG428">
        <v>2</v>
      </c>
      <c r="AH428">
        <v>2</v>
      </c>
      <c r="AI428">
        <v>1.9999999999708962</v>
      </c>
      <c r="AJ428">
        <v>4.2182199999999996</v>
      </c>
      <c r="AK428">
        <v>4.2181199999999999</v>
      </c>
      <c r="AL428">
        <v>0</v>
      </c>
      <c r="AM428">
        <v>0</v>
      </c>
      <c r="AN428">
        <v>0</v>
      </c>
      <c r="AO428">
        <v>-3.3329242506752621E-2</v>
      </c>
      <c r="AP428">
        <v>0</v>
      </c>
      <c r="AQ428">
        <v>0</v>
      </c>
      <c r="AR428" t="str">
        <v>1310.par</v>
      </c>
      <c r="AV428" t="str">
        <v>91,255,255</v>
      </c>
      <c r="AW428" s="31">
        <v>28.299999999999997</v>
      </c>
      <c r="AX428" s="31">
        <v>28.33332924250675</v>
      </c>
      <c r="AY428" s="31">
        <v>-3.3329242506752621E-2</v>
      </c>
    </row>
    <row r="429" spans="31:51" x14ac:dyDescent="0.25">
      <c r="AE429">
        <v>4.1420000000000003</v>
      </c>
      <c r="AF429">
        <v>4</v>
      </c>
      <c r="AG429">
        <v>1</v>
      </c>
      <c r="AH429">
        <v>2</v>
      </c>
      <c r="AI429">
        <v>1.9999999999708962</v>
      </c>
      <c r="AJ429">
        <v>4.14222</v>
      </c>
      <c r="AK429">
        <v>4.1421200000000002</v>
      </c>
      <c r="AL429">
        <v>0</v>
      </c>
      <c r="AM429">
        <v>0</v>
      </c>
      <c r="AN429">
        <v>0</v>
      </c>
      <c r="AO429">
        <v>1.1000122724798018</v>
      </c>
      <c r="AP429">
        <v>0</v>
      </c>
      <c r="AQ429">
        <v>0</v>
      </c>
      <c r="AR429" t="str">
        <v>1613.par</v>
      </c>
      <c r="AV429" t="str">
        <v>0,204,204</v>
      </c>
      <c r="AW429" s="31">
        <v>86.1</v>
      </c>
      <c r="AX429" s="31">
        <v>84.999987727520192</v>
      </c>
      <c r="AY429" s="31">
        <v>1.1000122724798018</v>
      </c>
    </row>
    <row r="430" spans="31:51" x14ac:dyDescent="0.25">
      <c r="AE430">
        <v>4.1360000000000001</v>
      </c>
      <c r="AF430">
        <v>4</v>
      </c>
      <c r="AG430">
        <v>1</v>
      </c>
      <c r="AH430">
        <v>2</v>
      </c>
      <c r="AI430">
        <v>1.9999999999708962</v>
      </c>
      <c r="AJ430">
        <v>4.1362199999999998</v>
      </c>
      <c r="AK430">
        <v>4.13612</v>
      </c>
      <c r="AL430">
        <v>0</v>
      </c>
      <c r="AM430">
        <v>0</v>
      </c>
      <c r="AN430">
        <v>0</v>
      </c>
      <c r="AO430">
        <v>4.6030410879367736</v>
      </c>
      <c r="AP430">
        <v>0</v>
      </c>
      <c r="AQ430">
        <v>0</v>
      </c>
      <c r="AR430" t="str">
        <v>1613.par</v>
      </c>
      <c r="AV430" t="str">
        <v>0,204,204</v>
      </c>
      <c r="AW430" s="31">
        <v>79.300000000000011</v>
      </c>
      <c r="AX430" s="31">
        <v>74.696958912063238</v>
      </c>
      <c r="AY430" s="31">
        <v>4.6030410879367736</v>
      </c>
    </row>
    <row r="431" spans="31:51" x14ac:dyDescent="0.25">
      <c r="AE431">
        <v>4.13</v>
      </c>
      <c r="AF431">
        <v>4</v>
      </c>
      <c r="AG431">
        <v>1</v>
      </c>
      <c r="AH431">
        <v>2</v>
      </c>
      <c r="AI431">
        <v>1.9999999999708962</v>
      </c>
      <c r="AJ431">
        <v>4.1302199999999996</v>
      </c>
      <c r="AK431">
        <v>4.1301199999999998</v>
      </c>
      <c r="AL431">
        <v>0</v>
      </c>
      <c r="AM431">
        <v>0</v>
      </c>
      <c r="AN431">
        <v>0</v>
      </c>
      <c r="AO431">
        <v>3.2575843111222724</v>
      </c>
      <c r="AP431">
        <v>0</v>
      </c>
      <c r="AQ431">
        <v>0</v>
      </c>
      <c r="AR431" t="str">
        <v>1613.par</v>
      </c>
      <c r="AV431" t="str">
        <v>0,204,204</v>
      </c>
      <c r="AW431" s="31">
        <v>62.5</v>
      </c>
      <c r="AX431" s="31">
        <v>59.242415688877728</v>
      </c>
      <c r="AY431" s="31">
        <v>3.2575843111222724</v>
      </c>
    </row>
    <row r="432" spans="31:51" x14ac:dyDescent="0.25">
      <c r="AE432">
        <v>4.1239999999999997</v>
      </c>
      <c r="AF432">
        <v>4</v>
      </c>
      <c r="AG432">
        <v>1</v>
      </c>
      <c r="AH432">
        <v>2</v>
      </c>
      <c r="AI432">
        <v>1.9999999998981366</v>
      </c>
      <c r="AJ432">
        <v>4.1242199999999993</v>
      </c>
      <c r="AK432">
        <v>4.1241199999999996</v>
      </c>
      <c r="AL432">
        <v>0</v>
      </c>
      <c r="AM432">
        <v>0</v>
      </c>
      <c r="AN432">
        <v>0</v>
      </c>
      <c r="AO432">
        <v>1.8121275343077485</v>
      </c>
      <c r="AP432">
        <v>0</v>
      </c>
      <c r="AQ432">
        <v>0</v>
      </c>
      <c r="AR432" t="str">
        <v>1613.par</v>
      </c>
      <c r="AV432" t="str">
        <v>0,204,204</v>
      </c>
      <c r="AW432" s="31">
        <v>45.599999999999994</v>
      </c>
      <c r="AX432" s="31">
        <v>43.787872465692246</v>
      </c>
      <c r="AY432" s="31">
        <v>1.8121275343077485</v>
      </c>
    </row>
    <row r="433" spans="31:51" x14ac:dyDescent="0.25">
      <c r="AE433">
        <v>4.1180000000000003</v>
      </c>
      <c r="AF433">
        <v>4</v>
      </c>
      <c r="AG433">
        <v>1</v>
      </c>
      <c r="AH433">
        <v>2</v>
      </c>
      <c r="AI433">
        <v>1.9999999999708962</v>
      </c>
      <c r="AJ433">
        <v>4.11822</v>
      </c>
      <c r="AK433">
        <v>4.1181200000000002</v>
      </c>
      <c r="AL433">
        <v>0</v>
      </c>
      <c r="AM433">
        <v>0</v>
      </c>
      <c r="AN433">
        <v>0</v>
      </c>
      <c r="AO433">
        <v>-3.3329242506759726E-2</v>
      </c>
      <c r="AP433">
        <v>0</v>
      </c>
      <c r="AQ433">
        <v>0</v>
      </c>
      <c r="AR433" t="str">
        <v>1613.par</v>
      </c>
      <c r="AV433" t="str">
        <v>0,204,204</v>
      </c>
      <c r="AW433" s="31">
        <v>28.299999999999997</v>
      </c>
      <c r="AX433" s="31">
        <v>28.333329242506757</v>
      </c>
      <c r="AY433" s="31">
        <v>-3.3329242506759726E-2</v>
      </c>
    </row>
    <row r="434" spans="31:51" x14ac:dyDescent="0.25">
      <c r="AE434">
        <v>4.1120000000000001</v>
      </c>
      <c r="AF434">
        <v>4</v>
      </c>
      <c r="AG434">
        <v>1</v>
      </c>
      <c r="AH434">
        <v>2</v>
      </c>
      <c r="AI434">
        <v>1.9999999999708962</v>
      </c>
      <c r="AJ434">
        <v>4.1122199999999998</v>
      </c>
      <c r="AK434">
        <v>4.11212</v>
      </c>
      <c r="AL434">
        <v>0</v>
      </c>
      <c r="AM434">
        <v>0</v>
      </c>
      <c r="AN434">
        <v>0</v>
      </c>
      <c r="AO434">
        <v>-1.9787860193211504</v>
      </c>
      <c r="AP434">
        <v>0</v>
      </c>
      <c r="AQ434">
        <v>0</v>
      </c>
      <c r="AR434" t="str">
        <v>1613.par</v>
      </c>
      <c r="AV434" t="str">
        <v>0,204,204</v>
      </c>
      <c r="AW434" s="31">
        <v>10.900000000000006</v>
      </c>
      <c r="AX434" s="31">
        <v>12.878786019321156</v>
      </c>
      <c r="AY434" s="31">
        <v>-1.9787860193211504</v>
      </c>
    </row>
    <row r="435" spans="31:51" x14ac:dyDescent="0.25">
      <c r="AE435">
        <v>3.2429999999999999</v>
      </c>
      <c r="AF435">
        <v>3</v>
      </c>
      <c r="AG435">
        <v>2</v>
      </c>
      <c r="AH435">
        <v>2</v>
      </c>
      <c r="AI435">
        <v>2.000000000007276</v>
      </c>
      <c r="AJ435">
        <v>3.24322</v>
      </c>
      <c r="AK435">
        <v>3.2431199999999998</v>
      </c>
      <c r="AL435">
        <v>0</v>
      </c>
      <c r="AM435">
        <v>0</v>
      </c>
      <c r="AN435">
        <v>0</v>
      </c>
      <c r="AO435">
        <v>1.2431300149273738E-5</v>
      </c>
      <c r="AP435">
        <v>0</v>
      </c>
      <c r="AQ435">
        <v>0</v>
      </c>
      <c r="AR435" t="str">
        <v>32193r1.par</v>
      </c>
      <c r="AV435" t="str">
        <v>97,255,97</v>
      </c>
      <c r="AW435" s="31">
        <v>86.1</v>
      </c>
      <c r="AX435" s="31">
        <v>86.099987568699845</v>
      </c>
      <c r="AY435" s="31">
        <v>1.2431300149273738E-5</v>
      </c>
    </row>
    <row r="436" spans="31:51" x14ac:dyDescent="0.25">
      <c r="AE436">
        <v>3.2370000000000001</v>
      </c>
      <c r="AF436">
        <v>3</v>
      </c>
      <c r="AG436">
        <v>2</v>
      </c>
      <c r="AH436">
        <v>2</v>
      </c>
      <c r="AI436">
        <v>2.000000000007276</v>
      </c>
      <c r="AJ436">
        <v>3.2372200000000002</v>
      </c>
      <c r="AK436">
        <v>3.23712</v>
      </c>
      <c r="AL436">
        <v>0</v>
      </c>
      <c r="AM436">
        <v>0</v>
      </c>
      <c r="AN436">
        <v>0</v>
      </c>
      <c r="AO436">
        <v>4.8272838840725569</v>
      </c>
      <c r="AP436">
        <v>0</v>
      </c>
      <c r="AQ436">
        <v>0</v>
      </c>
      <c r="AR436" t="str">
        <v>1313.par</v>
      </c>
      <c r="AV436" t="str">
        <v>97,255,97</v>
      </c>
      <c r="AW436" s="31">
        <v>82.1</v>
      </c>
      <c r="AX436" s="31">
        <v>77.272716115927437</v>
      </c>
      <c r="AY436" s="31">
        <v>4.8272838840725569</v>
      </c>
    </row>
    <row r="437" spans="31:51" x14ac:dyDescent="0.25">
      <c r="AE437">
        <v>3.2309999999999999</v>
      </c>
      <c r="AF437">
        <v>3</v>
      </c>
      <c r="AG437">
        <v>2</v>
      </c>
      <c r="AH437">
        <v>2</v>
      </c>
      <c r="AI437">
        <v>2.000000000007276</v>
      </c>
      <c r="AJ437">
        <v>3.23122</v>
      </c>
      <c r="AK437">
        <v>3.2311199999999998</v>
      </c>
      <c r="AL437">
        <v>0</v>
      </c>
      <c r="AM437">
        <v>0</v>
      </c>
      <c r="AN437">
        <v>0</v>
      </c>
      <c r="AO437">
        <v>3.4818271072580202</v>
      </c>
      <c r="AP437">
        <v>0</v>
      </c>
      <c r="AQ437">
        <v>0</v>
      </c>
      <c r="AR437" t="str">
        <v>1313.par</v>
      </c>
      <c r="AV437" t="str">
        <v>97,255,97</v>
      </c>
      <c r="AW437" s="31">
        <v>65.300000000000011</v>
      </c>
      <c r="AX437" s="31">
        <v>61.818172892741991</v>
      </c>
      <c r="AY437" s="31">
        <v>3.4818271072580202</v>
      </c>
    </row>
    <row r="438" spans="31:51" x14ac:dyDescent="0.25">
      <c r="AE438">
        <v>3.2250000000000001</v>
      </c>
      <c r="AF438">
        <v>3</v>
      </c>
      <c r="AG438">
        <v>2</v>
      </c>
      <c r="AH438">
        <v>2</v>
      </c>
      <c r="AI438">
        <v>2.000000000007276</v>
      </c>
      <c r="AJ438">
        <v>3.2252200000000002</v>
      </c>
      <c r="AK438">
        <v>3.22512</v>
      </c>
      <c r="AL438">
        <v>0</v>
      </c>
      <c r="AM438">
        <v>0</v>
      </c>
      <c r="AN438">
        <v>0</v>
      </c>
      <c r="AO438">
        <v>2.0363703304435177</v>
      </c>
      <c r="AP438">
        <v>0</v>
      </c>
      <c r="AQ438">
        <v>0</v>
      </c>
      <c r="AR438" t="str">
        <v>1313.par</v>
      </c>
      <c r="AV438" t="str">
        <v>97,255,97</v>
      </c>
      <c r="AW438" s="31">
        <v>48.400000000000006</v>
      </c>
      <c r="AX438" s="31">
        <v>46.363629669556488</v>
      </c>
      <c r="AY438" s="31">
        <v>2.0363703304435177</v>
      </c>
    </row>
    <row r="439" spans="31:51" x14ac:dyDescent="0.25">
      <c r="AE439">
        <v>3.2189999999999999</v>
      </c>
      <c r="AF439">
        <v>3</v>
      </c>
      <c r="AG439">
        <v>2</v>
      </c>
      <c r="AH439">
        <v>2</v>
      </c>
      <c r="AI439">
        <v>2.000000000007276</v>
      </c>
      <c r="AJ439">
        <v>3.21922</v>
      </c>
      <c r="AK439">
        <v>3.2191199999999998</v>
      </c>
      <c r="AL439">
        <v>0</v>
      </c>
      <c r="AM439">
        <v>0</v>
      </c>
      <c r="AN439">
        <v>0</v>
      </c>
      <c r="AO439">
        <v>0.29091355362900728</v>
      </c>
      <c r="AP439">
        <v>0</v>
      </c>
      <c r="AQ439">
        <v>0</v>
      </c>
      <c r="AR439" t="str">
        <v>1313.par</v>
      </c>
      <c r="AV439" t="str">
        <v>97,255,97</v>
      </c>
      <c r="AW439" s="31">
        <v>31.200000000000003</v>
      </c>
      <c r="AX439" s="31">
        <v>30.909086446370996</v>
      </c>
      <c r="AY439" s="31">
        <v>0.29091355362900728</v>
      </c>
    </row>
    <row r="440" spans="31:51" x14ac:dyDescent="0.25">
      <c r="AE440">
        <v>3.2130000000000001</v>
      </c>
      <c r="AF440">
        <v>3</v>
      </c>
      <c r="AG440">
        <v>2</v>
      </c>
      <c r="AH440">
        <v>2</v>
      </c>
      <c r="AI440">
        <v>2.000000000007276</v>
      </c>
      <c r="AJ440">
        <v>3.2132200000000002</v>
      </c>
      <c r="AK440">
        <v>3.21312</v>
      </c>
      <c r="AL440">
        <v>0</v>
      </c>
      <c r="AM440">
        <v>0</v>
      </c>
      <c r="AN440">
        <v>0</v>
      </c>
      <c r="AO440">
        <v>-1.6545432231855663</v>
      </c>
      <c r="AP440">
        <v>0</v>
      </c>
      <c r="AQ440">
        <v>0</v>
      </c>
      <c r="AR440" t="str">
        <v>1310.par</v>
      </c>
      <c r="AV440" t="str">
        <v>97,255,97</v>
      </c>
      <c r="AW440" s="31">
        <v>13.799999999999997</v>
      </c>
      <c r="AX440" s="31">
        <v>15.454543223185564</v>
      </c>
      <c r="AY440" s="31">
        <v>-1.6545432231855663</v>
      </c>
    </row>
    <row r="441" spans="31:51" x14ac:dyDescent="0.25">
      <c r="AE441">
        <v>3.1429999999999998</v>
      </c>
      <c r="AF441">
        <v>3</v>
      </c>
      <c r="AG441">
        <v>1</v>
      </c>
      <c r="AH441">
        <v>2</v>
      </c>
      <c r="AI441">
        <v>2.000000000007276</v>
      </c>
      <c r="AJ441">
        <v>3.1432199999999999</v>
      </c>
      <c r="AK441">
        <v>3.1431199999999997</v>
      </c>
      <c r="AL441">
        <v>0</v>
      </c>
      <c r="AM441">
        <v>0</v>
      </c>
      <c r="AN441">
        <v>0</v>
      </c>
      <c r="AO441">
        <v>1.1000122724798018</v>
      </c>
      <c r="AP441">
        <v>0</v>
      </c>
      <c r="AQ441">
        <v>0</v>
      </c>
      <c r="AR441" t="str">
        <v>1613.par</v>
      </c>
      <c r="AV441" t="str">
        <v>0,204,0</v>
      </c>
      <c r="AW441" s="31">
        <v>86.1</v>
      </c>
      <c r="AX441" s="31">
        <v>84.999987727520192</v>
      </c>
      <c r="AY441" s="31">
        <v>1.1000122724798018</v>
      </c>
    </row>
    <row r="442" spans="31:51" x14ac:dyDescent="0.25">
      <c r="AE442">
        <v>3.137</v>
      </c>
      <c r="AF442">
        <v>3</v>
      </c>
      <c r="AG442">
        <v>1</v>
      </c>
      <c r="AH442">
        <v>2</v>
      </c>
      <c r="AI442">
        <v>2.000000000007276</v>
      </c>
      <c r="AJ442">
        <v>3.1372200000000001</v>
      </c>
      <c r="AK442">
        <v>3.1371199999999999</v>
      </c>
      <c r="AL442">
        <v>0</v>
      </c>
      <c r="AM442">
        <v>0</v>
      </c>
      <c r="AN442">
        <v>0</v>
      </c>
      <c r="AO442">
        <v>4.8272838840725569</v>
      </c>
      <c r="AP442">
        <v>0</v>
      </c>
      <c r="AQ442">
        <v>0</v>
      </c>
      <c r="AR442" t="str">
        <v>1613 Ripper.par</v>
      </c>
      <c r="AV442" t="str">
        <v>0,204,0</v>
      </c>
      <c r="AW442" s="31">
        <v>82.1</v>
      </c>
      <c r="AX442" s="31">
        <v>77.272716115927437</v>
      </c>
      <c r="AY442" s="31">
        <v>4.8272838840725569</v>
      </c>
    </row>
    <row r="443" spans="31:51" x14ac:dyDescent="0.25">
      <c r="AE443">
        <v>3.1309999999999998</v>
      </c>
      <c r="AF443">
        <v>3</v>
      </c>
      <c r="AG443">
        <v>1</v>
      </c>
      <c r="AH443">
        <v>2</v>
      </c>
      <c r="AI443">
        <v>2.000000000007276</v>
      </c>
      <c r="AJ443">
        <v>3.1312199999999999</v>
      </c>
      <c r="AK443">
        <v>3.1311199999999997</v>
      </c>
      <c r="AL443">
        <v>0</v>
      </c>
      <c r="AM443">
        <v>0</v>
      </c>
      <c r="AN443">
        <v>0</v>
      </c>
      <c r="AO443">
        <v>3.4818271072580202</v>
      </c>
      <c r="AP443">
        <v>0</v>
      </c>
      <c r="AQ443">
        <v>0</v>
      </c>
      <c r="AR443" t="str">
        <v>1613 Ripper.par</v>
      </c>
      <c r="AV443" t="str">
        <v>0,204,0</v>
      </c>
      <c r="AW443" s="31">
        <v>65.300000000000011</v>
      </c>
      <c r="AX443" s="31">
        <v>61.818172892741991</v>
      </c>
      <c r="AY443" s="31">
        <v>3.4818271072580202</v>
      </c>
    </row>
    <row r="444" spans="31:51" x14ac:dyDescent="0.25">
      <c r="AE444">
        <v>3.125</v>
      </c>
      <c r="AF444">
        <v>3</v>
      </c>
      <c r="AG444">
        <v>1</v>
      </c>
      <c r="AH444">
        <v>2</v>
      </c>
      <c r="AI444">
        <v>2.000000000007276</v>
      </c>
      <c r="AJ444">
        <v>3.1252200000000001</v>
      </c>
      <c r="AK444">
        <v>3.1251199999999999</v>
      </c>
      <c r="AL444">
        <v>0</v>
      </c>
      <c r="AM444">
        <v>0</v>
      </c>
      <c r="AN444">
        <v>0</v>
      </c>
      <c r="AO444">
        <v>2.0363703304435532</v>
      </c>
      <c r="AP444">
        <v>0</v>
      </c>
      <c r="AQ444">
        <v>0</v>
      </c>
      <c r="AR444" t="str">
        <v>1613 Ripper.par</v>
      </c>
      <c r="AV444" t="str">
        <v>0,204,0</v>
      </c>
      <c r="AW444" s="31">
        <v>48.400000000000006</v>
      </c>
      <c r="AX444" s="31">
        <v>46.363629669556452</v>
      </c>
      <c r="AY444" s="31">
        <v>2.0363703304435532</v>
      </c>
    </row>
    <row r="445" spans="31:51" x14ac:dyDescent="0.25">
      <c r="AE445">
        <v>3.1190000000000002</v>
      </c>
      <c r="AF445">
        <v>3</v>
      </c>
      <c r="AG445">
        <v>1</v>
      </c>
      <c r="AH445">
        <v>2</v>
      </c>
      <c r="AI445">
        <v>2.0000000000436557</v>
      </c>
      <c r="AJ445">
        <v>3.1192200000000003</v>
      </c>
      <c r="AK445">
        <v>3.1191200000000001</v>
      </c>
      <c r="AL445">
        <v>0</v>
      </c>
      <c r="AM445">
        <v>0</v>
      </c>
      <c r="AN445">
        <v>0</v>
      </c>
      <c r="AO445">
        <v>0.2909135536290961</v>
      </c>
      <c r="AP445">
        <v>0</v>
      </c>
      <c r="AQ445">
        <v>0</v>
      </c>
      <c r="AR445" t="str">
        <v>1613 Ripper.par</v>
      </c>
      <c r="AV445" t="str">
        <v>0,204,0</v>
      </c>
      <c r="AW445" s="31">
        <v>31.200000000000003</v>
      </c>
      <c r="AX445" s="31">
        <v>30.909086446370907</v>
      </c>
      <c r="AY445" s="31">
        <v>0.2909135536290961</v>
      </c>
    </row>
    <row r="446" spans="31:51" x14ac:dyDescent="0.25">
      <c r="AE446">
        <v>3.113</v>
      </c>
      <c r="AF446">
        <v>3</v>
      </c>
      <c r="AG446">
        <v>1</v>
      </c>
      <c r="AH446">
        <v>2</v>
      </c>
      <c r="AI446">
        <v>2.000000000007276</v>
      </c>
      <c r="AJ446">
        <v>3.1132200000000001</v>
      </c>
      <c r="AK446">
        <v>3.1131199999999999</v>
      </c>
      <c r="AL446">
        <v>0</v>
      </c>
      <c r="AM446">
        <v>0</v>
      </c>
      <c r="AN446">
        <v>0</v>
      </c>
      <c r="AO446">
        <v>-1.6545432231855575</v>
      </c>
      <c r="AP446">
        <v>0</v>
      </c>
      <c r="AQ446">
        <v>0</v>
      </c>
      <c r="AR446" t="str">
        <v>1613 Ripper.par</v>
      </c>
      <c r="AV446" t="str">
        <v>0,204,0</v>
      </c>
      <c r="AW446" s="31">
        <v>13.799999999999997</v>
      </c>
      <c r="AX446" s="31">
        <v>15.454543223185555</v>
      </c>
      <c r="AY446" s="31">
        <v>-1.6545432231855575</v>
      </c>
    </row>
    <row r="447" spans="31:51" x14ac:dyDescent="0.25">
      <c r="AE447">
        <v>3.1080000000000001</v>
      </c>
      <c r="AF447">
        <v>3</v>
      </c>
      <c r="AG447">
        <v>1</v>
      </c>
      <c r="AH447">
        <v>2</v>
      </c>
      <c r="AI447">
        <v>2.000000000007276</v>
      </c>
      <c r="AJ447">
        <v>3.1082200000000002</v>
      </c>
      <c r="AK447">
        <v>3.10812</v>
      </c>
      <c r="AL447">
        <v>0</v>
      </c>
      <c r="AM447">
        <v>0</v>
      </c>
      <c r="AN447">
        <v>0</v>
      </c>
      <c r="AO447">
        <v>-6.3757572038640493</v>
      </c>
      <c r="AP447">
        <v>0</v>
      </c>
      <c r="AQ447">
        <v>0</v>
      </c>
      <c r="AR447" t="str">
        <v>1613.par</v>
      </c>
      <c r="AV447" t="str">
        <v>0,204,0</v>
      </c>
      <c r="AW447" s="31">
        <v>-3.7999999999999972</v>
      </c>
      <c r="AX447" s="31">
        <v>2.5757572038640517</v>
      </c>
      <c r="AY447" s="31">
        <v>-6.3757572038640493</v>
      </c>
    </row>
    <row r="448" spans="31:51" x14ac:dyDescent="0.25">
      <c r="AE448">
        <v>3.105</v>
      </c>
      <c r="AF448">
        <v>3</v>
      </c>
      <c r="AG448">
        <v>1</v>
      </c>
      <c r="AH448">
        <v>2</v>
      </c>
      <c r="AI448">
        <v>2.000000000007276</v>
      </c>
      <c r="AJ448">
        <v>3.1052200000000001</v>
      </c>
      <c r="AK448">
        <v>3.1051199999999999</v>
      </c>
      <c r="AL448">
        <v>0</v>
      </c>
      <c r="AM448">
        <v>0</v>
      </c>
      <c r="AN448">
        <v>0</v>
      </c>
      <c r="AO448">
        <v>-18.000000288764291</v>
      </c>
      <c r="AP448">
        <v>0</v>
      </c>
      <c r="AQ448">
        <v>0</v>
      </c>
      <c r="AR448" t="str">
        <v>1613.par</v>
      </c>
      <c r="AV448" t="str">
        <v>0,204,0</v>
      </c>
      <c r="AW448" s="31">
        <v>-20</v>
      </c>
      <c r="AX448" s="31">
        <v>-1.9999997112357091</v>
      </c>
      <c r="AY448" s="31">
        <v>-18.000000288764291</v>
      </c>
    </row>
    <row r="449" spans="31:51" x14ac:dyDescent="0.25">
      <c r="AE449">
        <v>3.1019999999999999</v>
      </c>
      <c r="AF449">
        <v>3</v>
      </c>
      <c r="AG449">
        <v>1</v>
      </c>
      <c r="AH449">
        <v>2</v>
      </c>
      <c r="AI449">
        <v>2.000000000007276</v>
      </c>
      <c r="AJ449">
        <v>3.10222</v>
      </c>
      <c r="AK449">
        <v>3.1021199999999998</v>
      </c>
      <c r="AL449">
        <v>0</v>
      </c>
      <c r="AM449">
        <v>0</v>
      </c>
      <c r="AN449">
        <v>0</v>
      </c>
      <c r="AO449">
        <v>-14.00000086629267</v>
      </c>
      <c r="AP449">
        <v>0</v>
      </c>
      <c r="AQ449">
        <v>0</v>
      </c>
      <c r="AR449" t="str">
        <v>1613.par</v>
      </c>
      <c r="AV449" t="str">
        <v>0,204,0</v>
      </c>
      <c r="AW449" s="31">
        <v>-20</v>
      </c>
      <c r="AX449" s="31">
        <v>-5.9999991337073313</v>
      </c>
      <c r="AY449" s="31">
        <v>-14.00000086629267</v>
      </c>
    </row>
    <row r="450" spans="31:51" x14ac:dyDescent="0.25">
      <c r="AE450">
        <v>2.2400000000000002</v>
      </c>
      <c r="AF450">
        <v>2</v>
      </c>
      <c r="AG450">
        <v>2</v>
      </c>
      <c r="AH450">
        <v>2</v>
      </c>
      <c r="AI450">
        <v>2.0000000000436557</v>
      </c>
      <c r="AJ450">
        <v>2.2402200000000003</v>
      </c>
      <c r="AK450">
        <v>2.2401200000000001</v>
      </c>
      <c r="AL450">
        <v>0</v>
      </c>
      <c r="AM450">
        <v>0</v>
      </c>
      <c r="AN450">
        <v>0</v>
      </c>
      <c r="AO450">
        <v>1.2431300135062884E-5</v>
      </c>
      <c r="AP450">
        <v>0</v>
      </c>
      <c r="AQ450">
        <v>0</v>
      </c>
      <c r="AR450" t="str">
        <v>32193r1.par</v>
      </c>
      <c r="AV450" t="str">
        <v>255,255,91</v>
      </c>
      <c r="AW450" s="31">
        <v>86.1</v>
      </c>
      <c r="AX450" s="31">
        <v>86.099987568699859</v>
      </c>
      <c r="AY450" s="31">
        <v>1.2431300135062884E-5</v>
      </c>
    </row>
    <row r="451" spans="31:51" x14ac:dyDescent="0.25">
      <c r="AE451">
        <v>2.234</v>
      </c>
      <c r="AF451">
        <v>2</v>
      </c>
      <c r="AG451">
        <v>2</v>
      </c>
      <c r="AH451">
        <v>2</v>
      </c>
      <c r="AI451">
        <v>2.000000000007276</v>
      </c>
      <c r="AJ451">
        <v>2.2342200000000001</v>
      </c>
      <c r="AK451">
        <v>2.2341199999999999</v>
      </c>
      <c r="AL451">
        <v>0</v>
      </c>
      <c r="AM451">
        <v>0</v>
      </c>
      <c r="AN451">
        <v>0</v>
      </c>
      <c r="AO451">
        <v>1.0640961889407663E-5</v>
      </c>
      <c r="AP451">
        <v>0</v>
      </c>
      <c r="AQ451">
        <v>0</v>
      </c>
      <c r="AR451" t="str">
        <v>32193r1.par</v>
      </c>
      <c r="AV451" t="str">
        <v>255,255,91</v>
      </c>
      <c r="AW451" s="31">
        <v>73.699999999999989</v>
      </c>
      <c r="AX451" s="31">
        <v>73.699989359038099</v>
      </c>
      <c r="AY451" s="31">
        <v>1.0640961889407663E-5</v>
      </c>
    </row>
    <row r="452" spans="31:51" x14ac:dyDescent="0.25">
      <c r="AE452">
        <v>2.2280000000000002</v>
      </c>
      <c r="AF452">
        <v>2</v>
      </c>
      <c r="AG452">
        <v>2</v>
      </c>
      <c r="AH452">
        <v>2</v>
      </c>
      <c r="AI452">
        <v>2.0000000000436557</v>
      </c>
      <c r="AJ452">
        <v>2.2282200000000003</v>
      </c>
      <c r="AK452">
        <v>2.2281200000000001</v>
      </c>
      <c r="AL452">
        <v>0</v>
      </c>
      <c r="AM452">
        <v>0</v>
      </c>
      <c r="AN452">
        <v>0</v>
      </c>
      <c r="AO452">
        <v>2.8090987188508123</v>
      </c>
      <c r="AP452">
        <v>0</v>
      </c>
      <c r="AQ452">
        <v>0</v>
      </c>
      <c r="AR452" t="str">
        <v>1313.par</v>
      </c>
      <c r="AV452" t="str">
        <v>255,255,91</v>
      </c>
      <c r="AW452" s="31">
        <v>56.900000000000006</v>
      </c>
      <c r="AX452" s="31">
        <v>54.090901281149193</v>
      </c>
      <c r="AY452" s="31">
        <v>2.8090987188508123</v>
      </c>
    </row>
    <row r="453" spans="31:51" x14ac:dyDescent="0.25">
      <c r="AE453">
        <v>2.222</v>
      </c>
      <c r="AF453">
        <v>2</v>
      </c>
      <c r="AG453">
        <v>2</v>
      </c>
      <c r="AH453">
        <v>2</v>
      </c>
      <c r="AI453">
        <v>2.000000000007276</v>
      </c>
      <c r="AJ453">
        <v>2.2222200000000001</v>
      </c>
      <c r="AK453">
        <v>2.2221199999999999</v>
      </c>
      <c r="AL453">
        <v>0</v>
      </c>
      <c r="AM453">
        <v>0</v>
      </c>
      <c r="AN453">
        <v>0</v>
      </c>
      <c r="AO453">
        <v>1.1636419420363353</v>
      </c>
      <c r="AP453">
        <v>0</v>
      </c>
      <c r="AQ453">
        <v>0</v>
      </c>
      <c r="AR453" t="str">
        <v>1313.par</v>
      </c>
      <c r="AV453" t="str">
        <v>255,255,91</v>
      </c>
      <c r="AW453" s="31">
        <v>39.800000000000011</v>
      </c>
      <c r="AX453" s="31">
        <v>38.636358057963676</v>
      </c>
      <c r="AY453" s="31">
        <v>1.1636419420363353</v>
      </c>
    </row>
    <row r="454" spans="31:51" x14ac:dyDescent="0.25">
      <c r="AE454">
        <v>2.2160000000000002</v>
      </c>
      <c r="AF454">
        <v>2</v>
      </c>
      <c r="AG454">
        <v>2</v>
      </c>
      <c r="AH454">
        <v>2</v>
      </c>
      <c r="AI454">
        <v>2.0000000000436557</v>
      </c>
      <c r="AJ454">
        <v>2.2162200000000003</v>
      </c>
      <c r="AK454">
        <v>2.2161200000000001</v>
      </c>
      <c r="AL454">
        <v>0</v>
      </c>
      <c r="AM454">
        <v>0</v>
      </c>
      <c r="AN454">
        <v>0</v>
      </c>
      <c r="AO454">
        <v>-0.68181483477824756</v>
      </c>
      <c r="AP454">
        <v>0</v>
      </c>
      <c r="AQ454">
        <v>0</v>
      </c>
      <c r="AR454" t="str">
        <v>1310.par</v>
      </c>
      <c r="AV454" t="str">
        <v>255,255,91</v>
      </c>
      <c r="AW454" s="31">
        <v>22.5</v>
      </c>
      <c r="AX454" s="31">
        <v>23.181814834778248</v>
      </c>
      <c r="AY454" s="31">
        <v>-0.68181483477824756</v>
      </c>
    </row>
    <row r="455" spans="31:51" x14ac:dyDescent="0.25">
      <c r="AE455">
        <v>2.14</v>
      </c>
      <c r="AF455">
        <v>2</v>
      </c>
      <c r="AG455">
        <v>1</v>
      </c>
      <c r="AH455">
        <v>2</v>
      </c>
      <c r="AI455">
        <v>2.000000000007276</v>
      </c>
      <c r="AJ455">
        <v>2.1402200000000002</v>
      </c>
      <c r="AK455">
        <v>2.14012</v>
      </c>
      <c r="AL455">
        <v>0</v>
      </c>
      <c r="AM455">
        <v>0</v>
      </c>
      <c r="AN455">
        <v>0</v>
      </c>
      <c r="AO455">
        <v>1.100012272479816</v>
      </c>
      <c r="AP455">
        <v>0</v>
      </c>
      <c r="AQ455">
        <v>0</v>
      </c>
      <c r="AR455" t="str">
        <v>1613.par</v>
      </c>
      <c r="AV455" t="str">
        <v>204,204,0</v>
      </c>
      <c r="AW455" s="31">
        <v>86.1</v>
      </c>
      <c r="AX455" s="31">
        <v>84.999987727520178</v>
      </c>
      <c r="AY455" s="31">
        <v>1.100012272479816</v>
      </c>
    </row>
    <row r="456" spans="31:51" x14ac:dyDescent="0.25">
      <c r="AE456">
        <v>2.1339999999999999</v>
      </c>
      <c r="AF456">
        <v>2</v>
      </c>
      <c r="AG456">
        <v>1</v>
      </c>
      <c r="AH456">
        <v>2</v>
      </c>
      <c r="AI456">
        <v>2.000000000007276</v>
      </c>
      <c r="AJ456">
        <v>2.13422</v>
      </c>
      <c r="AK456">
        <v>2.1341199999999998</v>
      </c>
      <c r="AL456">
        <v>0</v>
      </c>
      <c r="AM456">
        <v>0</v>
      </c>
      <c r="AN456">
        <v>0</v>
      </c>
      <c r="AO456">
        <v>4.1545554956652353</v>
      </c>
      <c r="AP456">
        <v>0</v>
      </c>
      <c r="AQ456">
        <v>0</v>
      </c>
      <c r="AR456" t="str">
        <v>1613.par</v>
      </c>
      <c r="AV456" t="str">
        <v>204,204,0</v>
      </c>
      <c r="AW456" s="31">
        <v>73.699999999999989</v>
      </c>
      <c r="AX456" s="31">
        <v>69.545444504334753</v>
      </c>
      <c r="AY456" s="31">
        <v>4.1545554956652353</v>
      </c>
    </row>
    <row r="457" spans="31:51" x14ac:dyDescent="0.25">
      <c r="AE457">
        <v>2.1280000000000001</v>
      </c>
      <c r="AF457">
        <v>2</v>
      </c>
      <c r="AG457">
        <v>1</v>
      </c>
      <c r="AH457">
        <v>2</v>
      </c>
      <c r="AI457">
        <v>2.000000000007276</v>
      </c>
      <c r="AJ457">
        <v>2.1282200000000002</v>
      </c>
      <c r="AK457">
        <v>2.12812</v>
      </c>
      <c r="AL457">
        <v>0</v>
      </c>
      <c r="AM457">
        <v>0</v>
      </c>
      <c r="AN457">
        <v>0</v>
      </c>
      <c r="AO457">
        <v>2.8090987188507484</v>
      </c>
      <c r="AP457">
        <v>0</v>
      </c>
      <c r="AQ457">
        <v>0</v>
      </c>
      <c r="AR457" t="str">
        <v>1613.par</v>
      </c>
      <c r="AV457" t="str">
        <v>204,204,0</v>
      </c>
      <c r="AW457" s="31">
        <v>56.900000000000006</v>
      </c>
      <c r="AX457" s="31">
        <v>54.090901281149257</v>
      </c>
      <c r="AY457" s="31">
        <v>2.8090987188507484</v>
      </c>
    </row>
    <row r="458" spans="31:51" x14ac:dyDescent="0.25">
      <c r="AE458">
        <v>2.1219999999999999</v>
      </c>
      <c r="AF458">
        <v>2</v>
      </c>
      <c r="AG458">
        <v>1</v>
      </c>
      <c r="AH458">
        <v>2</v>
      </c>
      <c r="AI458">
        <v>2.000000000007276</v>
      </c>
      <c r="AJ458">
        <v>2.12222</v>
      </c>
      <c r="AK458">
        <v>2.1221199999999998</v>
      </c>
      <c r="AL458">
        <v>0</v>
      </c>
      <c r="AM458">
        <v>0</v>
      </c>
      <c r="AN458">
        <v>0</v>
      </c>
      <c r="AO458">
        <v>1.1636419420363566</v>
      </c>
      <c r="AP458">
        <v>0</v>
      </c>
      <c r="AQ458">
        <v>0</v>
      </c>
      <c r="AR458" t="str">
        <v>1613.par</v>
      </c>
      <c r="AV458" t="str">
        <v>204,204,0</v>
      </c>
      <c r="AW458" s="31">
        <v>39.800000000000011</v>
      </c>
      <c r="AX458" s="31">
        <v>38.636358057963655</v>
      </c>
      <c r="AY458" s="31">
        <v>1.1636419420363566</v>
      </c>
    </row>
    <row r="459" spans="31:51" x14ac:dyDescent="0.25">
      <c r="AE459">
        <v>2.1160000000000001</v>
      </c>
      <c r="AF459">
        <v>2</v>
      </c>
      <c r="AG459">
        <v>1</v>
      </c>
      <c r="AH459">
        <v>2</v>
      </c>
      <c r="AI459">
        <v>2.000000000007276</v>
      </c>
      <c r="AJ459">
        <v>2.1162200000000002</v>
      </c>
      <c r="AK459">
        <v>2.11612</v>
      </c>
      <c r="AL459">
        <v>0</v>
      </c>
      <c r="AM459">
        <v>0</v>
      </c>
      <c r="AN459">
        <v>0</v>
      </c>
      <c r="AO459">
        <v>-0.68181483477831151</v>
      </c>
      <c r="AP459">
        <v>0</v>
      </c>
      <c r="AQ459">
        <v>0</v>
      </c>
      <c r="AR459" t="str">
        <v>1613.par</v>
      </c>
      <c r="AV459" t="str">
        <v>204,204,0</v>
      </c>
      <c r="AW459" s="31">
        <v>22.5</v>
      </c>
      <c r="AX459" s="31">
        <v>23.181814834778312</v>
      </c>
      <c r="AY459" s="31">
        <v>-0.68181483477831151</v>
      </c>
    </row>
    <row r="460" spans="31:51" x14ac:dyDescent="0.25">
      <c r="AE460">
        <v>2.11</v>
      </c>
      <c r="AF460">
        <v>2</v>
      </c>
      <c r="AG460">
        <v>1</v>
      </c>
      <c r="AH460">
        <v>2</v>
      </c>
      <c r="AI460">
        <v>2.000000000007276</v>
      </c>
      <c r="AJ460">
        <v>2.11022</v>
      </c>
      <c r="AK460">
        <v>2.1101199999999998</v>
      </c>
      <c r="AL460">
        <v>0</v>
      </c>
      <c r="AM460">
        <v>0</v>
      </c>
      <c r="AN460">
        <v>0</v>
      </c>
      <c r="AO460">
        <v>-2.6272716115927555</v>
      </c>
      <c r="AP460">
        <v>0</v>
      </c>
      <c r="AQ460">
        <v>0</v>
      </c>
      <c r="AR460" t="str">
        <v>1613.par</v>
      </c>
      <c r="AV460" t="str">
        <v>204,204,0</v>
      </c>
      <c r="AW460" s="31">
        <v>5.0999999999999943</v>
      </c>
      <c r="AX460" s="31">
        <v>7.7272716115927498</v>
      </c>
      <c r="AY460" s="31">
        <v>-2.6272716115927555</v>
      </c>
    </row>
    <row r="461" spans="31:51" x14ac:dyDescent="0.25">
      <c r="AE461">
        <v>1.2410000000000001</v>
      </c>
      <c r="AF461">
        <v>1</v>
      </c>
      <c r="AG461">
        <v>2</v>
      </c>
      <c r="AH461">
        <v>2</v>
      </c>
      <c r="AI461">
        <v>2.0000000000254659</v>
      </c>
      <c r="AJ461">
        <v>1.2412200000000002</v>
      </c>
      <c r="AK461">
        <v>1.2411200000000002</v>
      </c>
      <c r="AL461">
        <v>0</v>
      </c>
      <c r="AM461">
        <v>0</v>
      </c>
      <c r="AN461">
        <v>0</v>
      </c>
      <c r="AO461">
        <v>1.2431300149273738E-5</v>
      </c>
      <c r="AP461">
        <v>0</v>
      </c>
      <c r="AQ461">
        <v>0</v>
      </c>
      <c r="AR461" t="str">
        <v>32193r1.par</v>
      </c>
      <c r="AV461" t="str">
        <v>255,188,121</v>
      </c>
      <c r="AW461" s="31">
        <v>86.1</v>
      </c>
      <c r="AX461" s="31">
        <v>86.099987568699845</v>
      </c>
      <c r="AY461" s="31">
        <v>1.2431300149273738E-5</v>
      </c>
    </row>
    <row r="462" spans="31:51" x14ac:dyDescent="0.25">
      <c r="AE462">
        <v>1.2350000000000001</v>
      </c>
      <c r="AF462">
        <v>1</v>
      </c>
      <c r="AG462">
        <v>2</v>
      </c>
      <c r="AH462">
        <v>2</v>
      </c>
      <c r="AI462">
        <v>2.0000000000254659</v>
      </c>
      <c r="AJ462">
        <v>1.2352200000000002</v>
      </c>
      <c r="AK462">
        <v>1.2351200000000002</v>
      </c>
      <c r="AL462">
        <v>0</v>
      </c>
      <c r="AM462">
        <v>0</v>
      </c>
      <c r="AN462">
        <v>0</v>
      </c>
      <c r="AO462">
        <v>4.3787982918010329</v>
      </c>
      <c r="AP462">
        <v>0</v>
      </c>
      <c r="AQ462">
        <v>0</v>
      </c>
      <c r="AR462" t="str">
        <v>1313.par</v>
      </c>
      <c r="AV462" t="str">
        <v>255,188,121</v>
      </c>
      <c r="AW462" s="31">
        <v>76.5</v>
      </c>
      <c r="AX462" s="31">
        <v>72.121201708198967</v>
      </c>
      <c r="AY462" s="31">
        <v>4.3787982918010329</v>
      </c>
    </row>
    <row r="463" spans="31:51" x14ac:dyDescent="0.25">
      <c r="AE463">
        <v>1.2290000000000001</v>
      </c>
      <c r="AF463">
        <v>1</v>
      </c>
      <c r="AG463">
        <v>2</v>
      </c>
      <c r="AH463">
        <v>2</v>
      </c>
      <c r="AI463">
        <v>2.0000000000254659</v>
      </c>
      <c r="AJ463">
        <v>1.2292200000000002</v>
      </c>
      <c r="AK463">
        <v>1.2291200000000002</v>
      </c>
      <c r="AL463">
        <v>0</v>
      </c>
      <c r="AM463">
        <v>0</v>
      </c>
      <c r="AN463">
        <v>0</v>
      </c>
      <c r="AO463">
        <v>3.0333415149865388</v>
      </c>
      <c r="AP463">
        <v>0</v>
      </c>
      <c r="AQ463">
        <v>0</v>
      </c>
      <c r="AR463" t="str">
        <v>1313.par</v>
      </c>
      <c r="AV463" t="str">
        <v>255,188,121</v>
      </c>
      <c r="AW463" s="31">
        <v>59.699999999999989</v>
      </c>
      <c r="AX463" s="31">
        <v>56.66665848501345</v>
      </c>
      <c r="AY463" s="31">
        <v>3.0333415149865388</v>
      </c>
    </row>
    <row r="464" spans="31:51" x14ac:dyDescent="0.25">
      <c r="AE464">
        <v>1.2230000000000001</v>
      </c>
      <c r="AF464">
        <v>1</v>
      </c>
      <c r="AG464">
        <v>2</v>
      </c>
      <c r="AH464">
        <v>2</v>
      </c>
      <c r="AI464">
        <v>2.0000000000254659</v>
      </c>
      <c r="AJ464">
        <v>1.2232200000000002</v>
      </c>
      <c r="AK464">
        <v>1.2231200000000002</v>
      </c>
      <c r="AL464">
        <v>0</v>
      </c>
      <c r="AM464">
        <v>0</v>
      </c>
      <c r="AN464">
        <v>0</v>
      </c>
      <c r="AO464">
        <v>1.4878847381720561</v>
      </c>
      <c r="AP464">
        <v>0</v>
      </c>
      <c r="AQ464">
        <v>0</v>
      </c>
      <c r="AR464" t="str">
        <v>1313.par</v>
      </c>
      <c r="AV464" t="str">
        <v>255,188,121</v>
      </c>
      <c r="AW464" s="31">
        <v>42.699999999999989</v>
      </c>
      <c r="AX464" s="31">
        <v>41.212115261827932</v>
      </c>
      <c r="AY464" s="31">
        <v>1.4878847381720561</v>
      </c>
    </row>
    <row r="465" spans="31:51" x14ac:dyDescent="0.25">
      <c r="AE465">
        <v>1.2170000000000001</v>
      </c>
      <c r="AF465">
        <v>1</v>
      </c>
      <c r="AG465">
        <v>2</v>
      </c>
      <c r="AH465">
        <v>2</v>
      </c>
      <c r="AI465">
        <v>2.0000000000254659</v>
      </c>
      <c r="AJ465">
        <v>1.2172200000000002</v>
      </c>
      <c r="AK465">
        <v>1.2171200000000002</v>
      </c>
      <c r="AL465">
        <v>0</v>
      </c>
      <c r="AM465">
        <v>0</v>
      </c>
      <c r="AN465">
        <v>0</v>
      </c>
      <c r="AO465">
        <v>-0.35757203864251608</v>
      </c>
      <c r="AP465">
        <v>0</v>
      </c>
      <c r="AQ465">
        <v>0</v>
      </c>
      <c r="AR465" t="str">
        <v>1313.par</v>
      </c>
      <c r="AV465" t="str">
        <v>255,188,121</v>
      </c>
      <c r="AW465" s="31">
        <v>25.400000000000006</v>
      </c>
      <c r="AX465" s="31">
        <v>25.757572038642522</v>
      </c>
      <c r="AY465" s="31">
        <v>-0.35757203864251608</v>
      </c>
    </row>
    <row r="466" spans="31:51" x14ac:dyDescent="0.25">
      <c r="AE466">
        <v>1.2110000000000001</v>
      </c>
      <c r="AF466">
        <v>1</v>
      </c>
      <c r="AG466">
        <v>2</v>
      </c>
      <c r="AH466">
        <v>2</v>
      </c>
      <c r="AI466">
        <v>2.0000000000254659</v>
      </c>
      <c r="AJ466">
        <v>1.2112200000000002</v>
      </c>
      <c r="AK466">
        <v>1.2111200000000002</v>
      </c>
      <c r="AL466">
        <v>0</v>
      </c>
      <c r="AM466">
        <v>0</v>
      </c>
      <c r="AN466">
        <v>0</v>
      </c>
      <c r="AO466">
        <v>-2.3030288154569813</v>
      </c>
      <c r="AP466">
        <v>0</v>
      </c>
      <c r="AQ466">
        <v>0</v>
      </c>
      <c r="AR466" t="str">
        <v>1310.par</v>
      </c>
      <c r="AV466" t="str">
        <v>255,188,121</v>
      </c>
      <c r="AW466" s="31">
        <v>8</v>
      </c>
      <c r="AX466" s="31">
        <v>10.303028815456981</v>
      </c>
      <c r="AY466" s="31">
        <v>-2.3030288154569813</v>
      </c>
    </row>
    <row r="467" spans="31:51" x14ac:dyDescent="0.25">
      <c r="AE467">
        <v>1.141</v>
      </c>
      <c r="AF467">
        <v>1</v>
      </c>
      <c r="AG467">
        <v>1</v>
      </c>
      <c r="AH467">
        <v>2</v>
      </c>
      <c r="AI467">
        <v>2.000000000007276</v>
      </c>
      <c r="AJ467">
        <v>1.1412200000000001</v>
      </c>
      <c r="AK467">
        <v>1.1411200000000001</v>
      </c>
      <c r="AL467">
        <v>0</v>
      </c>
      <c r="AM467">
        <v>0</v>
      </c>
      <c r="AN467">
        <v>0</v>
      </c>
      <c r="AO467">
        <v>1.100012272479816</v>
      </c>
      <c r="AP467">
        <v>0</v>
      </c>
      <c r="AQ467">
        <v>0</v>
      </c>
      <c r="AR467" t="str">
        <v>1613.par</v>
      </c>
      <c r="AV467" t="str">
        <v>255,127,0</v>
      </c>
      <c r="AW467" s="31">
        <v>86.1</v>
      </c>
      <c r="AX467" s="31">
        <v>84.999987727520178</v>
      </c>
      <c r="AY467" s="31">
        <v>1.100012272479816</v>
      </c>
    </row>
    <row r="468" spans="31:51" x14ac:dyDescent="0.25">
      <c r="AE468">
        <v>1.135</v>
      </c>
      <c r="AF468">
        <v>1</v>
      </c>
      <c r="AG468">
        <v>1</v>
      </c>
      <c r="AH468">
        <v>2</v>
      </c>
      <c r="AI468">
        <v>2.000000000007276</v>
      </c>
      <c r="AJ468">
        <v>1.1352200000000001</v>
      </c>
      <c r="AK468">
        <v>1.1351200000000001</v>
      </c>
      <c r="AL468">
        <v>0</v>
      </c>
      <c r="AM468">
        <v>0</v>
      </c>
      <c r="AN468">
        <v>0</v>
      </c>
      <c r="AO468">
        <v>4.3787982918010755</v>
      </c>
      <c r="AP468">
        <v>0</v>
      </c>
      <c r="AQ468">
        <v>0</v>
      </c>
      <c r="AR468" t="str">
        <v>1613 Ripper.par</v>
      </c>
      <c r="AV468" t="str">
        <v>255,127,0</v>
      </c>
      <c r="AW468" s="31">
        <v>76.5</v>
      </c>
      <c r="AX468" s="31">
        <v>72.121201708198925</v>
      </c>
      <c r="AY468" s="31">
        <v>4.3787982918010755</v>
      </c>
    </row>
    <row r="469" spans="31:51" x14ac:dyDescent="0.25">
      <c r="AE469">
        <v>1.129</v>
      </c>
      <c r="AF469">
        <v>1</v>
      </c>
      <c r="AG469">
        <v>1</v>
      </c>
      <c r="AH469">
        <v>2</v>
      </c>
      <c r="AI469">
        <v>2.000000000007276</v>
      </c>
      <c r="AJ469">
        <v>1.1292200000000001</v>
      </c>
      <c r="AK469">
        <v>1.1291200000000001</v>
      </c>
      <c r="AL469">
        <v>0</v>
      </c>
      <c r="AM469">
        <v>0</v>
      </c>
      <c r="AN469">
        <v>0</v>
      </c>
      <c r="AO469">
        <v>3.0333415149865104</v>
      </c>
      <c r="AP469">
        <v>0</v>
      </c>
      <c r="AQ469">
        <v>0</v>
      </c>
      <c r="AR469" t="str">
        <v>1613 Ripper.par</v>
      </c>
      <c r="AV469" t="str">
        <v>255,127,0</v>
      </c>
      <c r="AW469" s="31">
        <v>59.699999999999989</v>
      </c>
      <c r="AX469" s="31">
        <v>56.666658485013478</v>
      </c>
      <c r="AY469" s="31">
        <v>3.0333415149865104</v>
      </c>
    </row>
    <row r="470" spans="31:51" x14ac:dyDescent="0.25">
      <c r="AE470">
        <v>1.123</v>
      </c>
      <c r="AF470">
        <v>1</v>
      </c>
      <c r="AG470">
        <v>1</v>
      </c>
      <c r="AH470">
        <v>2</v>
      </c>
      <c r="AI470">
        <v>2.000000000007276</v>
      </c>
      <c r="AJ470">
        <v>1.1232200000000001</v>
      </c>
      <c r="AK470">
        <v>1.1231200000000001</v>
      </c>
      <c r="AL470">
        <v>0</v>
      </c>
      <c r="AM470">
        <v>0</v>
      </c>
      <c r="AN470">
        <v>0</v>
      </c>
      <c r="AO470">
        <v>1.4878847381720348</v>
      </c>
      <c r="AP470">
        <v>0</v>
      </c>
      <c r="AQ470">
        <v>0</v>
      </c>
      <c r="AR470" t="str">
        <v>1613 Ripper.par</v>
      </c>
      <c r="AV470" t="str">
        <v>255,127,0</v>
      </c>
      <c r="AW470" s="31">
        <v>42.699999999999989</v>
      </c>
      <c r="AX470" s="31">
        <v>41.212115261827954</v>
      </c>
      <c r="AY470" s="31">
        <v>1.4878847381720348</v>
      </c>
    </row>
    <row r="471" spans="31:51" x14ac:dyDescent="0.25">
      <c r="AE471">
        <v>1.117</v>
      </c>
      <c r="AF471">
        <v>1</v>
      </c>
      <c r="AG471">
        <v>1</v>
      </c>
      <c r="AH471">
        <v>2</v>
      </c>
      <c r="AI471">
        <v>2.000000000007276</v>
      </c>
      <c r="AJ471">
        <v>1.1172200000000001</v>
      </c>
      <c r="AK471">
        <v>1.1171200000000001</v>
      </c>
      <c r="AL471">
        <v>0</v>
      </c>
      <c r="AM471">
        <v>0</v>
      </c>
      <c r="AN471">
        <v>0</v>
      </c>
      <c r="AO471">
        <v>-0.35757203864229226</v>
      </c>
      <c r="AP471">
        <v>0</v>
      </c>
      <c r="AQ471">
        <v>0</v>
      </c>
      <c r="AR471" t="str">
        <v>1613 Ripper.par</v>
      </c>
      <c r="AV471" t="str">
        <v>255,127,0</v>
      </c>
      <c r="AW471" s="31">
        <v>25.400000000000006</v>
      </c>
      <c r="AX471" s="31">
        <v>25.757572038642298</v>
      </c>
      <c r="AY471" s="31">
        <v>-0.35757203864229226</v>
      </c>
    </row>
    <row r="472" spans="31:51" x14ac:dyDescent="0.25">
      <c r="AE472">
        <v>1.111</v>
      </c>
      <c r="AF472">
        <v>1</v>
      </c>
      <c r="AG472">
        <v>1</v>
      </c>
      <c r="AH472">
        <v>2</v>
      </c>
      <c r="AI472">
        <v>2.000000000007276</v>
      </c>
      <c r="AJ472">
        <v>1.1112200000000001</v>
      </c>
      <c r="AK472">
        <v>1.1111200000000001</v>
      </c>
      <c r="AL472">
        <v>0</v>
      </c>
      <c r="AM472">
        <v>0</v>
      </c>
      <c r="AN472">
        <v>0</v>
      </c>
      <c r="AO472">
        <v>-2.3030288154569725</v>
      </c>
      <c r="AP472">
        <v>0</v>
      </c>
      <c r="AQ472">
        <v>0</v>
      </c>
      <c r="AR472" t="str">
        <v>1613 Ripper.par</v>
      </c>
      <c r="AV472" t="str">
        <v>255,127,0</v>
      </c>
      <c r="AW472" s="31">
        <v>8</v>
      </c>
      <c r="AX472" s="31">
        <v>10.303028815456972</v>
      </c>
      <c r="AY472" s="31">
        <v>-2.3030288154569725</v>
      </c>
    </row>
    <row r="473" spans="31:51" x14ac:dyDescent="0.25">
      <c r="AE473">
        <v>1.107</v>
      </c>
      <c r="AF473">
        <v>1</v>
      </c>
      <c r="AG473">
        <v>1</v>
      </c>
      <c r="AH473">
        <v>2</v>
      </c>
      <c r="AI473">
        <v>2.000000000007276</v>
      </c>
      <c r="AJ473">
        <v>1.1072200000000001</v>
      </c>
      <c r="AK473">
        <v>1.1071200000000001</v>
      </c>
      <c r="AL473">
        <v>0</v>
      </c>
      <c r="AM473">
        <v>0</v>
      </c>
      <c r="AN473">
        <v>0</v>
      </c>
      <c r="AO473">
        <v>-9.9000000000000057</v>
      </c>
      <c r="AP473">
        <v>0</v>
      </c>
      <c r="AQ473">
        <v>0</v>
      </c>
      <c r="AR473" t="str">
        <v>1613.par</v>
      </c>
      <c r="AV473" t="str">
        <v>255,127,0</v>
      </c>
      <c r="AW473" s="31">
        <v>-9.9000000000000057</v>
      </c>
      <c r="AX473" s="31">
        <v>0</v>
      </c>
      <c r="AY473" s="31">
        <v>-9.9000000000000057</v>
      </c>
    </row>
    <row r="474" spans="31:51" x14ac:dyDescent="0.25">
      <c r="AE474">
        <v>1.1040000000000001</v>
      </c>
      <c r="AF474">
        <v>1</v>
      </c>
      <c r="AG474">
        <v>1</v>
      </c>
      <c r="AH474">
        <v>2</v>
      </c>
      <c r="AI474">
        <v>2.0000000000254659</v>
      </c>
      <c r="AJ474">
        <v>1.1042200000000002</v>
      </c>
      <c r="AK474">
        <v>1.1041200000000002</v>
      </c>
      <c r="AL474">
        <v>0</v>
      </c>
      <c r="AM474">
        <v>0</v>
      </c>
      <c r="AN474">
        <v>0</v>
      </c>
      <c r="AO474">
        <v>-17.000000433146344</v>
      </c>
      <c r="AP474">
        <v>0</v>
      </c>
      <c r="AQ474">
        <v>0</v>
      </c>
      <c r="AR474" t="str">
        <v>1613.par</v>
      </c>
      <c r="AV474" t="str">
        <v>255,127,0</v>
      </c>
      <c r="AW474" s="31">
        <v>-20</v>
      </c>
      <c r="AX474" s="31">
        <v>-2.9999995668536554</v>
      </c>
      <c r="AY474" s="31">
        <v>-17.000000433146344</v>
      </c>
    </row>
    <row r="475" spans="31:51" x14ac:dyDescent="0.25">
      <c r="AE475">
        <v>1.101</v>
      </c>
      <c r="AF475">
        <v>1</v>
      </c>
      <c r="AG475">
        <v>1</v>
      </c>
      <c r="AH475">
        <v>2</v>
      </c>
      <c r="AI475">
        <v>2.000000000007276</v>
      </c>
      <c r="AJ475">
        <v>1.1012200000000001</v>
      </c>
      <c r="AK475">
        <v>1.1011200000000001</v>
      </c>
      <c r="AL475">
        <v>0</v>
      </c>
      <c r="AM475">
        <v>0</v>
      </c>
      <c r="AN475">
        <v>0</v>
      </c>
      <c r="AO475">
        <v>-11.00000129943904</v>
      </c>
      <c r="AP475">
        <v>0</v>
      </c>
      <c r="AQ475">
        <v>0</v>
      </c>
      <c r="AR475" t="str">
        <v>1613.par</v>
      </c>
      <c r="AV475" t="str">
        <v>255,127,0</v>
      </c>
      <c r="AW475" s="31">
        <v>-20</v>
      </c>
      <c r="AX475" s="31">
        <v>-8.9999987005609601</v>
      </c>
      <c r="AY475" s="31">
        <v>-11.00000129943904</v>
      </c>
    </row>
    <row r="476" spans="31:51" x14ac:dyDescent="0.25">
      <c r="AE476">
        <v>6.2439999999999998</v>
      </c>
      <c r="AF476">
        <v>6</v>
      </c>
      <c r="AG476">
        <v>2</v>
      </c>
      <c r="AH476">
        <v>1</v>
      </c>
      <c r="AI476">
        <v>3.0000000000291038</v>
      </c>
      <c r="AJ476">
        <v>6.2441300000000002</v>
      </c>
      <c r="AK476" t="str">
        <v>Base</v>
      </c>
      <c r="AL476">
        <v>-8.25</v>
      </c>
      <c r="AM476">
        <v>-4.5422393625563773</v>
      </c>
      <c r="AN476">
        <v>-3.6401133225325122</v>
      </c>
      <c r="AO476">
        <v>86.099987568699831</v>
      </c>
      <c r="AP476">
        <v>0</v>
      </c>
      <c r="AQ476">
        <v>0</v>
      </c>
      <c r="AR476" t="str">
        <v>32193r1.par</v>
      </c>
      <c r="AV476" t="str">
        <v>188,121,255</v>
      </c>
      <c r="AW476" s="31">
        <v>86.1</v>
      </c>
      <c r="AX476" s="31">
        <v>86.099987568699831</v>
      </c>
      <c r="AY476" s="31">
        <v>0</v>
      </c>
    </row>
    <row r="477" spans="31:51" x14ac:dyDescent="0.25">
      <c r="AE477">
        <v>6.2380000000000004</v>
      </c>
      <c r="AF477">
        <v>6</v>
      </c>
      <c r="AG477">
        <v>2</v>
      </c>
      <c r="AH477">
        <v>1</v>
      </c>
      <c r="AI477">
        <v>3.0000000001018634</v>
      </c>
      <c r="AJ477">
        <v>6.2381300000000008</v>
      </c>
      <c r="AK477" t="str">
        <v>Base</v>
      </c>
      <c r="AL477">
        <v>-8.25</v>
      </c>
      <c r="AM477">
        <v>-4.494753479359213</v>
      </c>
      <c r="AN477">
        <v>-2.8343277890408802</v>
      </c>
      <c r="AO477">
        <v>84.899987741958427</v>
      </c>
      <c r="AP477">
        <v>0</v>
      </c>
      <c r="AQ477">
        <v>0</v>
      </c>
      <c r="AR477" t="str">
        <v>32193r1.par</v>
      </c>
      <c r="AV477" t="str">
        <v>188,121,255</v>
      </c>
      <c r="AW477" s="31">
        <v>84.9</v>
      </c>
      <c r="AX477" s="31">
        <v>84.899987741958427</v>
      </c>
      <c r="AY477" s="31">
        <v>0</v>
      </c>
    </row>
    <row r="478" spans="31:51" x14ac:dyDescent="0.25">
      <c r="AE478">
        <v>6.2320000000000002</v>
      </c>
      <c r="AF478">
        <v>6</v>
      </c>
      <c r="AG478">
        <v>2</v>
      </c>
      <c r="AH478">
        <v>1</v>
      </c>
      <c r="AI478">
        <v>3.0000000000291038</v>
      </c>
      <c r="AJ478">
        <v>6.2321300000000006</v>
      </c>
      <c r="AK478" t="str">
        <v>Base</v>
      </c>
      <c r="AL478">
        <v>-8.25</v>
      </c>
      <c r="AM478">
        <v>-4.3476946026000221</v>
      </c>
      <c r="AN478">
        <v>-2.1043793611984887</v>
      </c>
      <c r="AO478">
        <v>68.099990167577928</v>
      </c>
      <c r="AP478">
        <v>0</v>
      </c>
      <c r="AQ478">
        <v>0</v>
      </c>
      <c r="AR478" t="str">
        <v>32193r1.par</v>
      </c>
      <c r="AV478" t="str">
        <v>188,121,255</v>
      </c>
      <c r="AW478" s="31">
        <v>68.099999999999994</v>
      </c>
      <c r="AX478" s="31">
        <v>68.099990167577928</v>
      </c>
      <c r="AY478" s="31">
        <v>0</v>
      </c>
    </row>
    <row r="479" spans="31:51" x14ac:dyDescent="0.25">
      <c r="AE479">
        <v>6.226</v>
      </c>
      <c r="AF479">
        <v>6</v>
      </c>
      <c r="AG479">
        <v>2</v>
      </c>
      <c r="AH479">
        <v>1</v>
      </c>
      <c r="AI479">
        <v>3.0000000000291038</v>
      </c>
      <c r="AJ479">
        <v>6.2261300000000004</v>
      </c>
      <c r="AK479" t="str">
        <v>Base</v>
      </c>
      <c r="AL479">
        <v>-8.25</v>
      </c>
      <c r="AM479">
        <v>-4.0372962108473622</v>
      </c>
      <c r="AN479">
        <v>-1.4104444835835237</v>
      </c>
      <c r="AO479">
        <v>48.939386873420737</v>
      </c>
      <c r="AP479">
        <v>-26.833329459079881</v>
      </c>
      <c r="AQ479">
        <v>0</v>
      </c>
      <c r="AR479" t="str">
        <v>1313.par</v>
      </c>
      <c r="AV479" t="str">
        <v>188,121,255</v>
      </c>
      <c r="AW479" s="31">
        <v>51.199999999999989</v>
      </c>
      <c r="AX479" s="31">
        <v>48.939386873420737</v>
      </c>
      <c r="AY479" s="31">
        <v>0</v>
      </c>
    </row>
    <row r="480" spans="31:51" x14ac:dyDescent="0.25">
      <c r="AE480">
        <v>6.22</v>
      </c>
      <c r="AF480">
        <v>6</v>
      </c>
      <c r="AG480">
        <v>2</v>
      </c>
      <c r="AH480">
        <v>1</v>
      </c>
      <c r="AI480">
        <v>3.0000000000291038</v>
      </c>
      <c r="AJ480">
        <v>6.2201300000000002</v>
      </c>
      <c r="AK480" t="str">
        <v>Base</v>
      </c>
      <c r="AL480">
        <v>-8.25</v>
      </c>
      <c r="AM480">
        <v>-3.5088418203186462</v>
      </c>
      <c r="AN480">
        <v>-0.86899117162290496</v>
      </c>
      <c r="AO480">
        <v>33.48484365023522</v>
      </c>
      <c r="AP480">
        <v>-23.333329964417302</v>
      </c>
      <c r="AQ480">
        <v>0</v>
      </c>
      <c r="AR480" t="str">
        <v>1310.par</v>
      </c>
      <c r="AV480" t="str">
        <v>188,121,255</v>
      </c>
      <c r="AW480" s="31">
        <v>34.099999999999994</v>
      </c>
      <c r="AX480" s="31">
        <v>33.48484365023522</v>
      </c>
      <c r="AY480" s="31">
        <v>0</v>
      </c>
    </row>
    <row r="481" spans="31:51" x14ac:dyDescent="0.25">
      <c r="AE481">
        <v>6.1440000000000001</v>
      </c>
      <c r="AF481">
        <v>6</v>
      </c>
      <c r="AG481">
        <v>1</v>
      </c>
      <c r="AH481">
        <v>1</v>
      </c>
      <c r="AI481">
        <v>3.0000000000291038</v>
      </c>
      <c r="AJ481">
        <v>6.1441300000000005</v>
      </c>
      <c r="AK481" t="str">
        <v>Base</v>
      </c>
      <c r="AL481">
        <v>-7.5</v>
      </c>
      <c r="AM481">
        <v>-4.5665137726055409</v>
      </c>
      <c r="AN481">
        <v>-3.6352378706405606</v>
      </c>
      <c r="AO481">
        <v>84.999987727520178</v>
      </c>
      <c r="AP481">
        <v>-29.999995668536499</v>
      </c>
      <c r="AQ481">
        <v>0</v>
      </c>
      <c r="AR481" t="str">
        <v>1613.par</v>
      </c>
      <c r="AV481" t="str">
        <v>127,0,255</v>
      </c>
      <c r="AW481" s="31">
        <v>86.1</v>
      </c>
      <c r="AX481" s="31">
        <v>84.999987727520178</v>
      </c>
      <c r="AY481" s="31">
        <v>0</v>
      </c>
    </row>
    <row r="482" spans="31:51" x14ac:dyDescent="0.25">
      <c r="AE482">
        <v>6.1379999999999999</v>
      </c>
      <c r="AF482">
        <v>6</v>
      </c>
      <c r="AG482">
        <v>1</v>
      </c>
      <c r="AH482">
        <v>1</v>
      </c>
      <c r="AI482">
        <v>3.0000000000291038</v>
      </c>
      <c r="AJ482">
        <v>6.1381300000000003</v>
      </c>
      <c r="AK482" t="str">
        <v>Base</v>
      </c>
      <c r="AL482">
        <v>-7.5</v>
      </c>
      <c r="AM482">
        <v>-4.5153136181858722</v>
      </c>
      <c r="AN482">
        <v>-2.8280909916655528</v>
      </c>
      <c r="AO482">
        <v>79.848473319791708</v>
      </c>
      <c r="AP482">
        <v>-28.833329170315658</v>
      </c>
      <c r="AQ482">
        <v>0</v>
      </c>
      <c r="AR482" t="str">
        <v>1613.par</v>
      </c>
      <c r="AV482" t="str">
        <v>127,0,255</v>
      </c>
      <c r="AW482" s="31">
        <v>84.9</v>
      </c>
      <c r="AX482" s="31">
        <v>79.848473319791708</v>
      </c>
      <c r="AY482" s="31">
        <v>0</v>
      </c>
    </row>
    <row r="483" spans="31:51" x14ac:dyDescent="0.25">
      <c r="AE483">
        <v>6.1319999999999997</v>
      </c>
      <c r="AF483">
        <v>6</v>
      </c>
      <c r="AG483">
        <v>1</v>
      </c>
      <c r="AH483">
        <v>1</v>
      </c>
      <c r="AI483">
        <v>3.0000000000291038</v>
      </c>
      <c r="AJ483">
        <v>6.1321300000000001</v>
      </c>
      <c r="AK483" t="str">
        <v>Base</v>
      </c>
      <c r="AL483">
        <v>-7.5</v>
      </c>
      <c r="AM483">
        <v>-4.3577131428628411</v>
      </c>
      <c r="AN483">
        <v>-2.097162397747347</v>
      </c>
      <c r="AO483">
        <v>64.393930096606184</v>
      </c>
      <c r="AP483">
        <v>-25.333329675653026</v>
      </c>
      <c r="AQ483">
        <v>0</v>
      </c>
      <c r="AR483" t="str">
        <v>1613.par</v>
      </c>
      <c r="AV483" t="str">
        <v>127,0,255</v>
      </c>
      <c r="AW483" s="31">
        <v>68.099999999999994</v>
      </c>
      <c r="AX483" s="31">
        <v>64.393930096606184</v>
      </c>
      <c r="AY483" s="31">
        <v>0</v>
      </c>
    </row>
    <row r="484" spans="31:51" x14ac:dyDescent="0.25">
      <c r="AE484">
        <v>6.1260000000000003</v>
      </c>
      <c r="AF484">
        <v>6</v>
      </c>
      <c r="AG484">
        <v>1</v>
      </c>
      <c r="AH484">
        <v>1</v>
      </c>
      <c r="AI484">
        <v>3.0000000001018634</v>
      </c>
      <c r="AJ484">
        <v>6.1261300000000007</v>
      </c>
      <c r="AK484" t="str">
        <v>Base</v>
      </c>
      <c r="AL484">
        <v>-7.5</v>
      </c>
      <c r="AM484">
        <v>-4.0104120954028808</v>
      </c>
      <c r="AN484">
        <v>-1.4355284566699309</v>
      </c>
      <c r="AO484">
        <v>48.939386873420744</v>
      </c>
      <c r="AP484">
        <v>-21.833330180990448</v>
      </c>
      <c r="AQ484">
        <v>0</v>
      </c>
      <c r="AR484" t="str">
        <v>1613.par</v>
      </c>
      <c r="AV484" t="str">
        <v>127,0,255</v>
      </c>
      <c r="AW484" s="31">
        <v>51.199999999999989</v>
      </c>
      <c r="AX484" s="31">
        <v>48.939386873420744</v>
      </c>
      <c r="AY484" s="31">
        <v>0</v>
      </c>
    </row>
    <row r="485" spans="31:51" x14ac:dyDescent="0.25">
      <c r="AE485">
        <v>6.12</v>
      </c>
      <c r="AF485">
        <v>6</v>
      </c>
      <c r="AG485">
        <v>1</v>
      </c>
      <c r="AH485">
        <v>1</v>
      </c>
      <c r="AI485">
        <v>3.0000000000291038</v>
      </c>
      <c r="AJ485">
        <v>6.1201300000000005</v>
      </c>
      <c r="AK485" t="str">
        <v>Base</v>
      </c>
      <c r="AL485">
        <v>-7.5</v>
      </c>
      <c r="AM485">
        <v>-3.4893105237605417</v>
      </c>
      <c r="AN485">
        <v>-0.90043378564851939</v>
      </c>
      <c r="AO485">
        <v>33.484843650235277</v>
      </c>
      <c r="AP485">
        <v>-18.33333068632788</v>
      </c>
      <c r="AQ485">
        <v>0</v>
      </c>
      <c r="AR485" t="str">
        <v>1613.par</v>
      </c>
      <c r="AV485" t="str">
        <v>127,0,255</v>
      </c>
      <c r="AW485" s="31">
        <v>34.099999999999994</v>
      </c>
      <c r="AX485" s="31">
        <v>33.484843650235277</v>
      </c>
      <c r="AY485" s="31">
        <v>0</v>
      </c>
    </row>
    <row r="486" spans="31:51" x14ac:dyDescent="0.25">
      <c r="AE486">
        <v>6.1139999999999999</v>
      </c>
      <c r="AF486">
        <v>6</v>
      </c>
      <c r="AG486">
        <v>1</v>
      </c>
      <c r="AH486">
        <v>1</v>
      </c>
      <c r="AI486">
        <v>3.0000000000291038</v>
      </c>
      <c r="AJ486">
        <v>6.1141300000000003</v>
      </c>
      <c r="AK486" t="str">
        <v>Base</v>
      </c>
      <c r="AL486">
        <v>-7.5</v>
      </c>
      <c r="AM486">
        <v>-2.8295085337977381</v>
      </c>
      <c r="AN486">
        <v>-0.55103967471818693</v>
      </c>
      <c r="AO486">
        <v>18.030300427049777</v>
      </c>
      <c r="AP486">
        <v>-15.99999768988615</v>
      </c>
      <c r="AQ486">
        <v>0</v>
      </c>
      <c r="AR486" t="str">
        <v>1613.par</v>
      </c>
      <c r="AV486" t="str">
        <v>127,0,255</v>
      </c>
      <c r="AW486" s="31">
        <v>16.700000000000003</v>
      </c>
      <c r="AX486" s="31">
        <v>18.030300427049777</v>
      </c>
      <c r="AY486" s="31">
        <v>0</v>
      </c>
    </row>
    <row r="487" spans="31:51" x14ac:dyDescent="0.25">
      <c r="AE487">
        <v>5.2450000000000001</v>
      </c>
      <c r="AF487">
        <v>5</v>
      </c>
      <c r="AG487">
        <v>2</v>
      </c>
      <c r="AH487">
        <v>1</v>
      </c>
      <c r="AI487">
        <v>3.0000000000291038</v>
      </c>
      <c r="AJ487">
        <v>5.2451300000000005</v>
      </c>
      <c r="AK487" t="str">
        <v>Base</v>
      </c>
      <c r="AL487">
        <v>-6.75</v>
      </c>
      <c r="AM487">
        <v>-4.5422393625563773</v>
      </c>
      <c r="AN487">
        <v>-3.8061237980353599</v>
      </c>
      <c r="AO487">
        <v>86.099987568699859</v>
      </c>
      <c r="AP487">
        <v>0</v>
      </c>
      <c r="AQ487">
        <v>0</v>
      </c>
      <c r="AR487" t="str">
        <v>32193r1.par</v>
      </c>
      <c r="AV487" t="str">
        <v>121,188,255</v>
      </c>
      <c r="AW487" s="31">
        <v>86.1</v>
      </c>
      <c r="AX487" s="31">
        <v>86.099987568699859</v>
      </c>
      <c r="AY487" s="31">
        <v>0</v>
      </c>
    </row>
    <row r="488" spans="31:51" x14ac:dyDescent="0.25">
      <c r="AE488">
        <v>5.2389999999999999</v>
      </c>
      <c r="AF488">
        <v>5</v>
      </c>
      <c r="AG488">
        <v>2</v>
      </c>
      <c r="AH488">
        <v>1</v>
      </c>
      <c r="AI488">
        <v>3.0000000000291038</v>
      </c>
      <c r="AJ488">
        <v>5.2391300000000003</v>
      </c>
      <c r="AK488" t="str">
        <v>Base</v>
      </c>
      <c r="AL488">
        <v>-6.75</v>
      </c>
      <c r="AM488">
        <v>-4.5002974940256557</v>
      </c>
      <c r="AN488">
        <v>-2.9995269274289371</v>
      </c>
      <c r="AO488">
        <v>86.099987568699859</v>
      </c>
      <c r="AP488">
        <v>0</v>
      </c>
      <c r="AQ488">
        <v>0</v>
      </c>
      <c r="AR488" t="str">
        <v>32193r1.par</v>
      </c>
      <c r="AV488" t="str">
        <v>121,188,255</v>
      </c>
      <c r="AW488" s="31">
        <v>86.1</v>
      </c>
      <c r="AX488" s="31">
        <v>86.099987568699859</v>
      </c>
      <c r="AY488" s="31">
        <v>0</v>
      </c>
    </row>
    <row r="489" spans="31:51" x14ac:dyDescent="0.25">
      <c r="AE489">
        <v>5.2329999999999997</v>
      </c>
      <c r="AF489">
        <v>5</v>
      </c>
      <c r="AG489">
        <v>2</v>
      </c>
      <c r="AH489">
        <v>1</v>
      </c>
      <c r="AI489">
        <v>3.0000000000291038</v>
      </c>
      <c r="AJ489">
        <v>5.2331300000000001</v>
      </c>
      <c r="AK489" t="str">
        <v>Base</v>
      </c>
      <c r="AL489">
        <v>-6.75</v>
      </c>
      <c r="AM489">
        <v>-4.4187390913554569</v>
      </c>
      <c r="AN489">
        <v>-2.2460258810636957</v>
      </c>
      <c r="AO489">
        <v>66.969687300470468</v>
      </c>
      <c r="AP489">
        <v>-25.916662924763472</v>
      </c>
      <c r="AQ489">
        <v>0</v>
      </c>
      <c r="AR489" t="str">
        <v>1313.par</v>
      </c>
      <c r="AV489" t="str">
        <v>121,188,255</v>
      </c>
      <c r="AW489" s="31">
        <v>70.900000000000006</v>
      </c>
      <c r="AX489" s="31">
        <v>66.969687300470468</v>
      </c>
      <c r="AY489" s="31">
        <v>0</v>
      </c>
    </row>
    <row r="490" spans="31:51" x14ac:dyDescent="0.25">
      <c r="AE490">
        <v>5.2270000000000003</v>
      </c>
      <c r="AF490">
        <v>5</v>
      </c>
      <c r="AG490">
        <v>2</v>
      </c>
      <c r="AH490">
        <v>1</v>
      </c>
      <c r="AI490">
        <v>3.0000000001018634</v>
      </c>
      <c r="AJ490">
        <v>5.2271300000000007</v>
      </c>
      <c r="AK490" t="str">
        <v>Base</v>
      </c>
      <c r="AL490">
        <v>-6.75</v>
      </c>
      <c r="AM490">
        <v>-4.0999907953688464</v>
      </c>
      <c r="AN490">
        <v>-1.5628292289751393</v>
      </c>
      <c r="AO490">
        <v>51.515144077284944</v>
      </c>
      <c r="AP490">
        <v>-22.416663430100865</v>
      </c>
      <c r="AQ490">
        <v>0</v>
      </c>
      <c r="AR490" t="str">
        <v>1313.par</v>
      </c>
      <c r="AV490" t="str">
        <v>121,188,255</v>
      </c>
      <c r="AW490" s="31">
        <v>54.099999999999994</v>
      </c>
      <c r="AX490" s="31">
        <v>51.515144077284944</v>
      </c>
      <c r="AY490" s="31">
        <v>0</v>
      </c>
    </row>
    <row r="491" spans="31:51" x14ac:dyDescent="0.25">
      <c r="AE491">
        <v>5.2210000000000001</v>
      </c>
      <c r="AF491">
        <v>5</v>
      </c>
      <c r="AG491">
        <v>2</v>
      </c>
      <c r="AH491">
        <v>1</v>
      </c>
      <c r="AI491">
        <v>3.0000000000291038</v>
      </c>
      <c r="AJ491">
        <v>5.2211300000000005</v>
      </c>
      <c r="AK491" t="str">
        <v>Base</v>
      </c>
      <c r="AL491">
        <v>-6.75</v>
      </c>
      <c r="AM491">
        <v>-3.6019667924935841</v>
      </c>
      <c r="AN491">
        <v>-0.99681267604027224</v>
      </c>
      <c r="AO491">
        <v>36.060600854099427</v>
      </c>
      <c r="AP491">
        <v>-18.916663935438311</v>
      </c>
      <c r="AQ491">
        <v>0</v>
      </c>
      <c r="AR491" t="str">
        <v>1313.par</v>
      </c>
      <c r="AV491" t="str">
        <v>121,188,255</v>
      </c>
      <c r="AW491" s="31">
        <v>37</v>
      </c>
      <c r="AX491" s="31">
        <v>36.060600854099427</v>
      </c>
      <c r="AY491" s="31">
        <v>0</v>
      </c>
    </row>
    <row r="492" spans="31:51" x14ac:dyDescent="0.25">
      <c r="AE492">
        <v>5.2149999999999999</v>
      </c>
      <c r="AF492">
        <v>5</v>
      </c>
      <c r="AG492">
        <v>2</v>
      </c>
      <c r="AH492">
        <v>1</v>
      </c>
      <c r="AI492">
        <v>3.0000000000291038</v>
      </c>
      <c r="AJ492">
        <v>5.2151300000000003</v>
      </c>
      <c r="AK492" t="str">
        <v>Base</v>
      </c>
      <c r="AL492">
        <v>-6.75</v>
      </c>
      <c r="AM492">
        <v>-2.9560088404989151</v>
      </c>
      <c r="AN492">
        <v>-0.60828826363656741</v>
      </c>
      <c r="AO492">
        <v>20.606057630913941</v>
      </c>
      <c r="AP492">
        <v>-15.999997689886136</v>
      </c>
      <c r="AQ492">
        <v>0</v>
      </c>
      <c r="AR492" t="str">
        <v>1310.par</v>
      </c>
      <c r="AV492" t="str">
        <v>121,188,255</v>
      </c>
      <c r="AW492" s="31">
        <v>19.599999999999994</v>
      </c>
      <c r="AX492" s="31">
        <v>20.606057630913941</v>
      </c>
      <c r="AY492" s="31">
        <v>0</v>
      </c>
    </row>
    <row r="493" spans="31:51" x14ac:dyDescent="0.25">
      <c r="AE493">
        <v>5.1449999999999996</v>
      </c>
      <c r="AF493">
        <v>5</v>
      </c>
      <c r="AG493">
        <v>1</v>
      </c>
      <c r="AH493">
        <v>1</v>
      </c>
      <c r="AI493">
        <v>3.0000000000291038</v>
      </c>
      <c r="AJ493">
        <v>5.14513</v>
      </c>
      <c r="AK493" t="str">
        <v>Base</v>
      </c>
      <c r="AL493">
        <v>-6</v>
      </c>
      <c r="AM493">
        <v>-4.56651377260554</v>
      </c>
      <c r="AN493">
        <v>-3.801210463948264</v>
      </c>
      <c r="AO493">
        <v>84.999987727520178</v>
      </c>
      <c r="AP493">
        <v>-29.99999566853651</v>
      </c>
      <c r="AQ493">
        <v>0</v>
      </c>
      <c r="AR493" t="str">
        <v>1613.par</v>
      </c>
      <c r="AV493" t="str">
        <v>0,102,204</v>
      </c>
      <c r="AW493" s="31">
        <v>86.1</v>
      </c>
      <c r="AX493" s="31">
        <v>84.999987727520178</v>
      </c>
      <c r="AY493" s="31">
        <v>0</v>
      </c>
    </row>
    <row r="494" spans="31:51" x14ac:dyDescent="0.25">
      <c r="AE494">
        <v>5.1390000000000002</v>
      </c>
      <c r="AF494">
        <v>5</v>
      </c>
      <c r="AG494">
        <v>1</v>
      </c>
      <c r="AH494">
        <v>1</v>
      </c>
      <c r="AI494">
        <v>3.0000000000291038</v>
      </c>
      <c r="AJ494">
        <v>5.1391300000000006</v>
      </c>
      <c r="AK494" t="str">
        <v>Base</v>
      </c>
      <c r="AL494">
        <v>-6</v>
      </c>
      <c r="AM494">
        <v>-4.5227136405043415</v>
      </c>
      <c r="AN494">
        <v>-2.9939566402282134</v>
      </c>
      <c r="AO494">
        <v>82.424230523655964</v>
      </c>
      <c r="AP494">
        <v>-29.416662419426054</v>
      </c>
      <c r="AQ494">
        <v>0</v>
      </c>
      <c r="AR494" t="str">
        <v>1613.par</v>
      </c>
      <c r="AV494" t="str">
        <v>0,102,204</v>
      </c>
      <c r="AW494" s="31">
        <v>86.1</v>
      </c>
      <c r="AX494" s="31">
        <v>82.424230523655964</v>
      </c>
      <c r="AY494" s="31">
        <v>0</v>
      </c>
    </row>
    <row r="495" spans="31:51" x14ac:dyDescent="0.25">
      <c r="AE495">
        <v>5.133</v>
      </c>
      <c r="AF495">
        <v>5</v>
      </c>
      <c r="AG495">
        <v>1</v>
      </c>
      <c r="AH495">
        <v>1</v>
      </c>
      <c r="AI495">
        <v>3.0000000000291038</v>
      </c>
      <c r="AJ495">
        <v>5.1331300000000004</v>
      </c>
      <c r="AK495" t="str">
        <v>Base</v>
      </c>
      <c r="AL495">
        <v>-6</v>
      </c>
      <c r="AM495">
        <v>-4.3974132625984002</v>
      </c>
      <c r="AN495">
        <v>-2.2566933050919413</v>
      </c>
      <c r="AO495">
        <v>66.969687300470483</v>
      </c>
      <c r="AP495">
        <v>-25.916662924763472</v>
      </c>
      <c r="AQ495">
        <v>0</v>
      </c>
      <c r="AR495" t="str">
        <v>1613 Ripper.par</v>
      </c>
      <c r="AV495" t="str">
        <v>0,102,204</v>
      </c>
      <c r="AW495" s="31">
        <v>70.900000000000006</v>
      </c>
      <c r="AX495" s="31">
        <v>66.969687300470483</v>
      </c>
      <c r="AY495" s="31">
        <v>0</v>
      </c>
    </row>
    <row r="496" spans="31:51" x14ac:dyDescent="0.25">
      <c r="AE496">
        <v>5.1269999999999998</v>
      </c>
      <c r="AF496">
        <v>5</v>
      </c>
      <c r="AG496">
        <v>1</v>
      </c>
      <c r="AH496">
        <v>1</v>
      </c>
      <c r="AI496">
        <v>3.0000000000291038</v>
      </c>
      <c r="AJ496">
        <v>5.1271300000000002</v>
      </c>
      <c r="AK496" t="str">
        <v>Base</v>
      </c>
      <c r="AL496">
        <v>-6</v>
      </c>
      <c r="AM496">
        <v>-4.0809123080315226</v>
      </c>
      <c r="AN496">
        <v>-1.5796315397760274</v>
      </c>
      <c r="AO496">
        <v>51.515144077284944</v>
      </c>
      <c r="AP496">
        <v>-22.416663430100879</v>
      </c>
      <c r="AQ496">
        <v>0</v>
      </c>
      <c r="AR496" t="str">
        <v>1613 Ripper.par</v>
      </c>
      <c r="AV496" t="str">
        <v>0,102,204</v>
      </c>
      <c r="AW496" s="31">
        <v>54.099999999999994</v>
      </c>
      <c r="AX496" s="31">
        <v>51.515144077284944</v>
      </c>
      <c r="AY496" s="31">
        <v>0</v>
      </c>
    </row>
    <row r="497" spans="31:51" x14ac:dyDescent="0.25">
      <c r="AE497">
        <v>5.1210000000000004</v>
      </c>
      <c r="AF497">
        <v>5</v>
      </c>
      <c r="AG497">
        <v>1</v>
      </c>
      <c r="AH497">
        <v>1</v>
      </c>
      <c r="AI497">
        <v>3.0000000001018634</v>
      </c>
      <c r="AJ497">
        <v>5.1211300000000008</v>
      </c>
      <c r="AK497" t="str">
        <v>Base</v>
      </c>
      <c r="AL497">
        <v>-6</v>
      </c>
      <c r="AM497">
        <v>-3.5870108184246297</v>
      </c>
      <c r="AN497">
        <v>-1.0192159591556398</v>
      </c>
      <c r="AO497">
        <v>36.060600854099476</v>
      </c>
      <c r="AP497">
        <v>-18.916663935438272</v>
      </c>
      <c r="AQ497">
        <v>0</v>
      </c>
      <c r="AR497" t="str">
        <v>1613 Ripper.par</v>
      </c>
      <c r="AV497" t="str">
        <v>0,102,204</v>
      </c>
      <c r="AW497" s="31">
        <v>37</v>
      </c>
      <c r="AX497" s="31">
        <v>36.060600854099476</v>
      </c>
      <c r="AY497" s="31">
        <v>0</v>
      </c>
    </row>
    <row r="498" spans="31:51" x14ac:dyDescent="0.25">
      <c r="AE498">
        <v>5.1150000000000002</v>
      </c>
      <c r="AF498">
        <v>5</v>
      </c>
      <c r="AG498">
        <v>1</v>
      </c>
      <c r="AH498">
        <v>1</v>
      </c>
      <c r="AI498">
        <v>3.0000000000291038</v>
      </c>
      <c r="AJ498">
        <v>5.1151300000000006</v>
      </c>
      <c r="AK498" t="str">
        <v>Base</v>
      </c>
      <c r="AL498">
        <v>-6</v>
      </c>
      <c r="AM498">
        <v>-2.9468088875756053</v>
      </c>
      <c r="AN498">
        <v>-0.6350356321368853</v>
      </c>
      <c r="AO498">
        <v>20.606057630913952</v>
      </c>
      <c r="AP498">
        <v>-15.999997689886136</v>
      </c>
      <c r="AQ498">
        <v>0</v>
      </c>
      <c r="AR498" t="str">
        <v>1613 Ripper.par</v>
      </c>
      <c r="AV498" t="str">
        <v>0,102,204</v>
      </c>
      <c r="AW498" s="31">
        <v>19.599999999999994</v>
      </c>
      <c r="AX498" s="31">
        <v>20.606057630913952</v>
      </c>
      <c r="AY498" s="31">
        <v>0</v>
      </c>
    </row>
    <row r="499" spans="31:51" x14ac:dyDescent="0.25">
      <c r="AE499">
        <v>5.109</v>
      </c>
      <c r="AF499">
        <v>5</v>
      </c>
      <c r="AG499">
        <v>1</v>
      </c>
      <c r="AH499">
        <v>1</v>
      </c>
      <c r="AI499">
        <v>3.0000000000291038</v>
      </c>
      <c r="AJ499">
        <v>5.1091300000000004</v>
      </c>
      <c r="AK499" t="str">
        <v>Base</v>
      </c>
      <c r="AL499">
        <v>-6</v>
      </c>
      <c r="AM499">
        <v>-2.216906686190566</v>
      </c>
      <c r="AN499">
        <v>-0.47855460362498148</v>
      </c>
      <c r="AO499">
        <v>5.1515144077284702</v>
      </c>
      <c r="AP499">
        <v>-15.99999768988615</v>
      </c>
      <c r="AQ499">
        <v>0</v>
      </c>
      <c r="AR499" t="str">
        <v>1613 Ripper.par</v>
      </c>
      <c r="AV499" t="str">
        <v>0,102,204</v>
      </c>
      <c r="AW499" s="31">
        <v>2.0999999999999943</v>
      </c>
      <c r="AX499" s="31">
        <v>5.1515144077284702</v>
      </c>
      <c r="AY499" s="31">
        <v>0</v>
      </c>
    </row>
    <row r="500" spans="31:51" x14ac:dyDescent="0.25">
      <c r="AE500">
        <v>5.1059999999999999</v>
      </c>
      <c r="AF500">
        <v>5</v>
      </c>
      <c r="AG500">
        <v>1</v>
      </c>
      <c r="AH500">
        <v>1</v>
      </c>
      <c r="AI500">
        <v>3.0000000000291038</v>
      </c>
      <c r="AJ500">
        <v>5.1061300000000003</v>
      </c>
      <c r="AK500" t="str">
        <v>Base</v>
      </c>
      <c r="AL500">
        <v>-6</v>
      </c>
      <c r="AM500">
        <v>-1.5030045330616721</v>
      </c>
      <c r="AN500">
        <v>-0.56426180654040292</v>
      </c>
      <c r="AO500">
        <v>-0.99999985561780147</v>
      </c>
      <c r="AP500">
        <v>-15.999997689886136</v>
      </c>
      <c r="AQ500">
        <v>0</v>
      </c>
      <c r="AR500" t="str">
        <v>1613.par</v>
      </c>
      <c r="AV500" t="str">
        <v>0,102,204</v>
      </c>
      <c r="AW500" s="31">
        <v>-16</v>
      </c>
      <c r="AX500" s="31">
        <v>-0.99999985561780147</v>
      </c>
      <c r="AY500" s="31">
        <v>0</v>
      </c>
    </row>
    <row r="501" spans="31:51" x14ac:dyDescent="0.25">
      <c r="AE501">
        <v>5.1029999999999998</v>
      </c>
      <c r="AF501">
        <v>5</v>
      </c>
      <c r="AG501">
        <v>1</v>
      </c>
      <c r="AH501">
        <v>1</v>
      </c>
      <c r="AI501">
        <v>3.0000000000291038</v>
      </c>
      <c r="AJ501">
        <v>5.1031300000000002</v>
      </c>
      <c r="AK501" t="str">
        <v>Base</v>
      </c>
      <c r="AL501">
        <v>-6</v>
      </c>
      <c r="AM501">
        <v>-0.80570242999852892</v>
      </c>
      <c r="AN501">
        <v>-0.81236255481225972</v>
      </c>
      <c r="AO501">
        <v>-3.999999422471447</v>
      </c>
      <c r="AP501">
        <v>-16.999997545504019</v>
      </c>
      <c r="AQ501">
        <v>0</v>
      </c>
      <c r="AR501" t="str">
        <v>1613.par</v>
      </c>
      <c r="AV501" t="str">
        <v>0,102,204</v>
      </c>
      <c r="AW501" s="31">
        <v>-20</v>
      </c>
      <c r="AX501" s="31">
        <v>-3.999999422471447</v>
      </c>
      <c r="AY501" s="31">
        <v>0</v>
      </c>
    </row>
    <row r="502" spans="31:51" x14ac:dyDescent="0.25">
      <c r="AE502">
        <v>4.242</v>
      </c>
      <c r="AF502">
        <v>4</v>
      </c>
      <c r="AG502">
        <v>2</v>
      </c>
      <c r="AH502">
        <v>1</v>
      </c>
      <c r="AI502">
        <v>3.0000000000291038</v>
      </c>
      <c r="AJ502">
        <v>4.2421300000000004</v>
      </c>
      <c r="AK502" t="str">
        <v>Base</v>
      </c>
      <c r="AL502">
        <v>-5.25</v>
      </c>
      <c r="AM502">
        <v>-4.5422393625563782</v>
      </c>
      <c r="AN502">
        <v>-3.4719814301374523</v>
      </c>
      <c r="AO502">
        <v>86.099987568699859</v>
      </c>
      <c r="AP502">
        <v>0</v>
      </c>
      <c r="AQ502">
        <v>0</v>
      </c>
      <c r="AR502" t="str">
        <v>32193r1.par</v>
      </c>
      <c r="AV502" t="str">
        <v>91,255,255</v>
      </c>
      <c r="AW502" s="31">
        <v>86.1</v>
      </c>
      <c r="AX502" s="31">
        <v>86.099987568699859</v>
      </c>
      <c r="AY502" s="31">
        <v>0</v>
      </c>
    </row>
    <row r="503" spans="31:51" x14ac:dyDescent="0.25">
      <c r="AE503">
        <v>4.2359999999999998</v>
      </c>
      <c r="AF503">
        <v>4</v>
      </c>
      <c r="AG503">
        <v>2</v>
      </c>
      <c r="AH503">
        <v>1</v>
      </c>
      <c r="AI503">
        <v>3.0000000000291038</v>
      </c>
      <c r="AJ503">
        <v>4.2361300000000002</v>
      </c>
      <c r="AK503" t="str">
        <v>Base</v>
      </c>
      <c r="AL503">
        <v>-5.25</v>
      </c>
      <c r="AM503">
        <v>-4.4675179862555883</v>
      </c>
      <c r="AN503">
        <v>-2.6691897382807399</v>
      </c>
      <c r="AO503">
        <v>79.29998855049827</v>
      </c>
      <c r="AP503">
        <v>0</v>
      </c>
      <c r="AQ503">
        <v>0</v>
      </c>
      <c r="AR503" t="str">
        <v>32193r1.par</v>
      </c>
      <c r="AV503" t="str">
        <v>91,255,255</v>
      </c>
      <c r="AW503" s="31">
        <v>79.300000000000011</v>
      </c>
      <c r="AX503" s="31">
        <v>79.29998855049827</v>
      </c>
      <c r="AY503" s="31">
        <v>0</v>
      </c>
    </row>
    <row r="504" spans="31:51" x14ac:dyDescent="0.25">
      <c r="AE504">
        <v>4.2300000000000004</v>
      </c>
      <c r="AF504">
        <v>4</v>
      </c>
      <c r="AG504">
        <v>2</v>
      </c>
      <c r="AH504">
        <v>1</v>
      </c>
      <c r="AI504">
        <v>3.0000000001018634</v>
      </c>
      <c r="AJ504">
        <v>4.2301300000000008</v>
      </c>
      <c r="AK504" t="str">
        <v>Base</v>
      </c>
      <c r="AL504">
        <v>-5.25</v>
      </c>
      <c r="AM504">
        <v>-4.2555729595448772</v>
      </c>
      <c r="AN504">
        <v>-1.9547316559861105</v>
      </c>
      <c r="AO504">
        <v>62.499990976117786</v>
      </c>
      <c r="AP504">
        <v>0</v>
      </c>
      <c r="AQ504">
        <v>0</v>
      </c>
      <c r="AR504" t="str">
        <v>32193r1.par</v>
      </c>
      <c r="AV504" t="str">
        <v>91,255,255</v>
      </c>
      <c r="AW504" s="31">
        <v>62.5</v>
      </c>
      <c r="AX504" s="31">
        <v>62.499990976117786</v>
      </c>
      <c r="AY504" s="31">
        <v>0</v>
      </c>
    </row>
    <row r="505" spans="31:51" x14ac:dyDescent="0.25">
      <c r="AE505">
        <v>4.2240000000000002</v>
      </c>
      <c r="AF505">
        <v>4</v>
      </c>
      <c r="AG505">
        <v>2</v>
      </c>
      <c r="AH505">
        <v>1</v>
      </c>
      <c r="AI505">
        <v>3.0000000000291038</v>
      </c>
      <c r="AJ505">
        <v>4.2241300000000006</v>
      </c>
      <c r="AK505" t="str">
        <v>Base</v>
      </c>
      <c r="AL505">
        <v>-5.25</v>
      </c>
      <c r="AM505">
        <v>-3.8793417104133896</v>
      </c>
      <c r="AN505">
        <v>-1.2946048597122557</v>
      </c>
      <c r="AO505">
        <v>43.787872465692196</v>
      </c>
      <c r="AP505">
        <v>-25.666662960858993</v>
      </c>
      <c r="AQ505">
        <v>0</v>
      </c>
      <c r="AR505" t="str">
        <v>1313.par</v>
      </c>
      <c r="AV505" t="str">
        <v>91,255,255</v>
      </c>
      <c r="AW505" s="31">
        <v>45.599999999999994</v>
      </c>
      <c r="AX505" s="31">
        <v>43.787872465692196</v>
      </c>
      <c r="AY505" s="31">
        <v>0</v>
      </c>
    </row>
    <row r="506" spans="31:51" x14ac:dyDescent="0.25">
      <c r="AE506">
        <v>4.218</v>
      </c>
      <c r="AF506">
        <v>4</v>
      </c>
      <c r="AG506">
        <v>2</v>
      </c>
      <c r="AH506">
        <v>1</v>
      </c>
      <c r="AI506">
        <v>3.0000000000291038</v>
      </c>
      <c r="AJ506">
        <v>4.2181300000000004</v>
      </c>
      <c r="AK506" t="str">
        <v>Base</v>
      </c>
      <c r="AL506">
        <v>-5.25</v>
      </c>
      <c r="AM506">
        <v>-3.2990492570922285</v>
      </c>
      <c r="AN506">
        <v>-0.80936570899645111</v>
      </c>
      <c r="AO506">
        <v>28.33332924250675</v>
      </c>
      <c r="AP506">
        <v>-22.16666346619645</v>
      </c>
      <c r="AQ506">
        <v>0</v>
      </c>
      <c r="AR506" t="str">
        <v>1310.par</v>
      </c>
      <c r="AV506" t="str">
        <v>91,255,255</v>
      </c>
      <c r="AW506" s="31">
        <v>28.299999999999997</v>
      </c>
      <c r="AX506" s="31">
        <v>28.33332924250675</v>
      </c>
      <c r="AY506" s="31">
        <v>0</v>
      </c>
    </row>
    <row r="507" spans="31:51" x14ac:dyDescent="0.25">
      <c r="AE507">
        <v>4.1420000000000003</v>
      </c>
      <c r="AF507">
        <v>4</v>
      </c>
      <c r="AG507">
        <v>1</v>
      </c>
      <c r="AH507">
        <v>1</v>
      </c>
      <c r="AI507">
        <v>3.0000000001018634</v>
      </c>
      <c r="AJ507">
        <v>4.1421300000000008</v>
      </c>
      <c r="AK507" t="str">
        <v>Base</v>
      </c>
      <c r="AL507">
        <v>-4.5</v>
      </c>
      <c r="AM507">
        <v>-4.5665137726055374</v>
      </c>
      <c r="AN507">
        <v>-3.467181549269609</v>
      </c>
      <c r="AO507">
        <v>84.999987727520192</v>
      </c>
      <c r="AP507">
        <v>-29.999995668536549</v>
      </c>
      <c r="AQ507">
        <v>0</v>
      </c>
      <c r="AR507" t="str">
        <v>1613.par</v>
      </c>
      <c r="AV507" t="str">
        <v>0,204,204</v>
      </c>
      <c r="AW507" s="31">
        <v>86.1</v>
      </c>
      <c r="AX507" s="31">
        <v>84.999987727520192</v>
      </c>
      <c r="AY507" s="31">
        <v>0</v>
      </c>
    </row>
    <row r="508" spans="31:51" x14ac:dyDescent="0.25">
      <c r="AE508">
        <v>4.1360000000000001</v>
      </c>
      <c r="AF508">
        <v>4</v>
      </c>
      <c r="AG508">
        <v>1</v>
      </c>
      <c r="AH508">
        <v>1</v>
      </c>
      <c r="AI508">
        <v>3.0000000000291038</v>
      </c>
      <c r="AJ508">
        <v>4.1361300000000005</v>
      </c>
      <c r="AK508" t="str">
        <v>Base</v>
      </c>
      <c r="AL508">
        <v>-4.5</v>
      </c>
      <c r="AM508">
        <v>-4.4844135249911918</v>
      </c>
      <c r="AN508">
        <v>-2.6620693985256381</v>
      </c>
      <c r="AO508">
        <v>74.696958912063238</v>
      </c>
      <c r="AP508">
        <v>-27.666662672094795</v>
      </c>
      <c r="AQ508">
        <v>0</v>
      </c>
      <c r="AR508" t="str">
        <v>1613.par</v>
      </c>
      <c r="AV508" t="str">
        <v>0,204,204</v>
      </c>
      <c r="AW508" s="31">
        <v>79.300000000000011</v>
      </c>
      <c r="AX508" s="31">
        <v>74.696958912063238</v>
      </c>
      <c r="AY508" s="31">
        <v>0</v>
      </c>
    </row>
    <row r="509" spans="31:51" x14ac:dyDescent="0.25">
      <c r="AE509">
        <v>4.13</v>
      </c>
      <c r="AF509">
        <v>4</v>
      </c>
      <c r="AG509">
        <v>1</v>
      </c>
      <c r="AH509">
        <v>1</v>
      </c>
      <c r="AI509">
        <v>3.0000000000291038</v>
      </c>
      <c r="AJ509">
        <v>4.1301300000000003</v>
      </c>
      <c r="AK509" t="str">
        <v>Base</v>
      </c>
      <c r="AL509">
        <v>-4.5</v>
      </c>
      <c r="AM509">
        <v>-4.2625128557387741</v>
      </c>
      <c r="AN509">
        <v>-1.9482103003140041</v>
      </c>
      <c r="AO509">
        <v>59.242415688877728</v>
      </c>
      <c r="AP509">
        <v>-24.166663177432174</v>
      </c>
      <c r="AQ509">
        <v>0</v>
      </c>
      <c r="AR509" t="str">
        <v>1613.par</v>
      </c>
      <c r="AV509" t="str">
        <v>0,204,204</v>
      </c>
      <c r="AW509" s="31">
        <v>62.5</v>
      </c>
      <c r="AX509" s="31">
        <v>59.242415688877728</v>
      </c>
      <c r="AY509" s="31">
        <v>0</v>
      </c>
    </row>
    <row r="510" spans="31:51" x14ac:dyDescent="0.25">
      <c r="AE510">
        <v>4.1239999999999997</v>
      </c>
      <c r="AF510">
        <v>4</v>
      </c>
      <c r="AG510">
        <v>1</v>
      </c>
      <c r="AH510">
        <v>1</v>
      </c>
      <c r="AI510">
        <v>3.0000000000291038</v>
      </c>
      <c r="AJ510">
        <v>4.1241300000000001</v>
      </c>
      <c r="AK510" t="str">
        <v>Base</v>
      </c>
      <c r="AL510">
        <v>-4.5</v>
      </c>
      <c r="AM510">
        <v>-3.8547116258102636</v>
      </c>
      <c r="AN510">
        <v>-1.3220320215326544</v>
      </c>
      <c r="AO510">
        <v>43.787872465692246</v>
      </c>
      <c r="AP510">
        <v>-20.666663682769606</v>
      </c>
      <c r="AQ510">
        <v>0</v>
      </c>
      <c r="AR510" t="str">
        <v>1613.par</v>
      </c>
      <c r="AV510" t="str">
        <v>0,204,204</v>
      </c>
      <c r="AW510" s="31">
        <v>45.599999999999994</v>
      </c>
      <c r="AX510" s="31">
        <v>43.787872465692246</v>
      </c>
      <c r="AY510" s="31">
        <v>0</v>
      </c>
    </row>
    <row r="511" spans="31:51" x14ac:dyDescent="0.25">
      <c r="AE511">
        <v>4.1180000000000003</v>
      </c>
      <c r="AF511">
        <v>4</v>
      </c>
      <c r="AG511">
        <v>1</v>
      </c>
      <c r="AH511">
        <v>1</v>
      </c>
      <c r="AI511">
        <v>3.0000000001018634</v>
      </c>
      <c r="AJ511">
        <v>4.1181300000000007</v>
      </c>
      <c r="AK511" t="str">
        <v>Base</v>
      </c>
      <c r="AL511">
        <v>-4.5</v>
      </c>
      <c r="AM511">
        <v>-3.2823098994466586</v>
      </c>
      <c r="AN511">
        <v>-0.84245140682301234</v>
      </c>
      <c r="AO511">
        <v>28.333329242506757</v>
      </c>
      <c r="AP511">
        <v>-17.166664188107028</v>
      </c>
      <c r="AQ511">
        <v>0</v>
      </c>
      <c r="AR511" t="str">
        <v>1613.par</v>
      </c>
      <c r="AV511" t="str">
        <v>0,204,204</v>
      </c>
      <c r="AW511" s="31">
        <v>28.299999999999997</v>
      </c>
      <c r="AX511" s="31">
        <v>28.333329242506757</v>
      </c>
      <c r="AY511" s="31">
        <v>0</v>
      </c>
    </row>
    <row r="512" spans="31:51" x14ac:dyDescent="0.25">
      <c r="AE512">
        <v>4.1120000000000001</v>
      </c>
      <c r="AF512">
        <v>4</v>
      </c>
      <c r="AG512">
        <v>1</v>
      </c>
      <c r="AH512">
        <v>1</v>
      </c>
      <c r="AI512">
        <v>3.0000000000291038</v>
      </c>
      <c r="AJ512">
        <v>4.1121300000000005</v>
      </c>
      <c r="AK512" t="str">
        <v>Base</v>
      </c>
      <c r="AL512">
        <v>-4.5</v>
      </c>
      <c r="AM512">
        <v>-2.5885078069395457</v>
      </c>
      <c r="AN512">
        <v>-0.56691585209691131</v>
      </c>
      <c r="AO512">
        <v>12.878786019321156</v>
      </c>
      <c r="AP512">
        <v>-15.999997689886136</v>
      </c>
      <c r="AQ512">
        <v>0</v>
      </c>
      <c r="AR512" t="str">
        <v>1613.par</v>
      </c>
      <c r="AV512" t="str">
        <v>0,204,204</v>
      </c>
      <c r="AW512" s="31">
        <v>10.900000000000006</v>
      </c>
      <c r="AX512" s="31">
        <v>12.878786019321156</v>
      </c>
      <c r="AY512" s="31">
        <v>0</v>
      </c>
    </row>
    <row r="513" spans="31:51" x14ac:dyDescent="0.25">
      <c r="AE513">
        <v>3.2429999999999999</v>
      </c>
      <c r="AF513">
        <v>3</v>
      </c>
      <c r="AG513">
        <v>2</v>
      </c>
      <c r="AH513">
        <v>1</v>
      </c>
      <c r="AI513">
        <v>2.999999999992724</v>
      </c>
      <c r="AJ513">
        <v>3.2431299999999998</v>
      </c>
      <c r="AK513" t="str">
        <v>Base</v>
      </c>
      <c r="AL513">
        <v>-3.75</v>
      </c>
      <c r="AM513">
        <v>-4.5422393625563782</v>
      </c>
      <c r="AN513">
        <v>-3.6393806657905401</v>
      </c>
      <c r="AO513">
        <v>86.099987568699845</v>
      </c>
      <c r="AP513">
        <v>0</v>
      </c>
      <c r="AQ513">
        <v>0</v>
      </c>
      <c r="AR513" t="str">
        <v>32193r1.par</v>
      </c>
      <c r="AV513" t="str">
        <v>97,255,97</v>
      </c>
      <c r="AW513" s="31">
        <v>86.1</v>
      </c>
      <c r="AX513" s="31">
        <v>86.099987568699845</v>
      </c>
      <c r="AY513" s="31">
        <v>0</v>
      </c>
    </row>
    <row r="514" spans="31:51" x14ac:dyDescent="0.25">
      <c r="AE514">
        <v>3.2370000000000001</v>
      </c>
      <c r="AF514">
        <v>3</v>
      </c>
      <c r="AG514">
        <v>2</v>
      </c>
      <c r="AH514">
        <v>1</v>
      </c>
      <c r="AI514">
        <v>2.999999999992724</v>
      </c>
      <c r="AJ514">
        <v>3.2371300000000001</v>
      </c>
      <c r="AK514" t="str">
        <v>Base</v>
      </c>
      <c r="AL514">
        <v>-3.75</v>
      </c>
      <c r="AM514">
        <v>-4.5243489078644554</v>
      </c>
      <c r="AN514">
        <v>-2.821468292101375</v>
      </c>
      <c r="AO514">
        <v>77.272716115927437</v>
      </c>
      <c r="AP514">
        <v>-28.249995921205187</v>
      </c>
      <c r="AQ514">
        <v>0</v>
      </c>
      <c r="AR514" t="str">
        <v>1313.par</v>
      </c>
      <c r="AV514" t="str">
        <v>97,255,97</v>
      </c>
      <c r="AW514" s="31">
        <v>82.1</v>
      </c>
      <c r="AX514" s="31">
        <v>77.272716115927437</v>
      </c>
      <c r="AY514" s="31">
        <v>0</v>
      </c>
    </row>
    <row r="515" spans="31:51" x14ac:dyDescent="0.25">
      <c r="AE515">
        <v>3.2309999999999999</v>
      </c>
      <c r="AF515">
        <v>3</v>
      </c>
      <c r="AG515">
        <v>2</v>
      </c>
      <c r="AH515">
        <v>1</v>
      </c>
      <c r="AI515">
        <v>2.999999999992724</v>
      </c>
      <c r="AJ515">
        <v>3.2311299999999998</v>
      </c>
      <c r="AK515" t="str">
        <v>Base</v>
      </c>
      <c r="AL515">
        <v>-3.75</v>
      </c>
      <c r="AM515">
        <v>-4.3336073221980458</v>
      </c>
      <c r="AN515">
        <v>-2.0922291039139385</v>
      </c>
      <c r="AO515">
        <v>61.818172892741991</v>
      </c>
      <c r="AP515">
        <v>-24.749996426542609</v>
      </c>
      <c r="AQ515">
        <v>0</v>
      </c>
      <c r="AR515" t="str">
        <v>1313.par</v>
      </c>
      <c r="AV515" t="str">
        <v>97,255,97</v>
      </c>
      <c r="AW515" s="31">
        <v>65.300000000000011</v>
      </c>
      <c r="AX515" s="31">
        <v>61.818172892741991</v>
      </c>
      <c r="AY515" s="31">
        <v>0</v>
      </c>
    </row>
    <row r="516" spans="31:51" x14ac:dyDescent="0.25">
      <c r="AE516">
        <v>3.2250000000000001</v>
      </c>
      <c r="AF516">
        <v>3</v>
      </c>
      <c r="AG516">
        <v>2</v>
      </c>
      <c r="AH516">
        <v>1</v>
      </c>
      <c r="AI516">
        <v>2.999999999992724</v>
      </c>
      <c r="AJ516">
        <v>3.2251300000000001</v>
      </c>
      <c r="AK516" t="str">
        <v>Base</v>
      </c>
      <c r="AL516">
        <v>-3.75</v>
      </c>
      <c r="AM516">
        <v>-3.9528144782335315</v>
      </c>
      <c r="AN516">
        <v>-1.4415435689646285</v>
      </c>
      <c r="AO516">
        <v>46.363629669556488</v>
      </c>
      <c r="AP516">
        <v>-21.249996931880052</v>
      </c>
      <c r="AQ516">
        <v>0</v>
      </c>
      <c r="AR516" t="str">
        <v>1313.par</v>
      </c>
      <c r="AV516" t="str">
        <v>97,255,97</v>
      </c>
      <c r="AW516" s="31">
        <v>48.400000000000006</v>
      </c>
      <c r="AX516" s="31">
        <v>46.363629669556488</v>
      </c>
      <c r="AY516" s="31">
        <v>0</v>
      </c>
    </row>
    <row r="517" spans="31:51" x14ac:dyDescent="0.25">
      <c r="AE517">
        <v>3.2189999999999999</v>
      </c>
      <c r="AF517">
        <v>3</v>
      </c>
      <c r="AG517">
        <v>2</v>
      </c>
      <c r="AH517">
        <v>1</v>
      </c>
      <c r="AI517">
        <v>2.999999999992724</v>
      </c>
      <c r="AJ517">
        <v>3.2191299999999998</v>
      </c>
      <c r="AK517" t="str">
        <v>Base</v>
      </c>
      <c r="AL517">
        <v>-3.75</v>
      </c>
      <c r="AM517">
        <v>-3.4008194684466755</v>
      </c>
      <c r="AN517">
        <v>-0.9279904479426061</v>
      </c>
      <c r="AO517">
        <v>30.909086446370996</v>
      </c>
      <c r="AP517">
        <v>-17.749997437217445</v>
      </c>
      <c r="AQ517">
        <v>0</v>
      </c>
      <c r="AR517" t="str">
        <v>1313.par</v>
      </c>
      <c r="AV517" t="str">
        <v>97,255,97</v>
      </c>
      <c r="AW517" s="31">
        <v>31.200000000000003</v>
      </c>
      <c r="AX517" s="31">
        <v>30.909086446370996</v>
      </c>
      <c r="AY517" s="31">
        <v>0</v>
      </c>
    </row>
    <row r="518" spans="31:51" x14ac:dyDescent="0.25">
      <c r="AE518">
        <v>3.2130000000000001</v>
      </c>
      <c r="AF518">
        <v>3</v>
      </c>
      <c r="AG518">
        <v>2</v>
      </c>
      <c r="AH518">
        <v>1</v>
      </c>
      <c r="AI518">
        <v>2.999999999992724</v>
      </c>
      <c r="AJ518">
        <v>3.21313</v>
      </c>
      <c r="AK518" t="str">
        <v>Base</v>
      </c>
      <c r="AL518">
        <v>-3.75</v>
      </c>
      <c r="AM518">
        <v>-2.7169739685018643</v>
      </c>
      <c r="AN518">
        <v>-0.61123436265049036</v>
      </c>
      <c r="AO518">
        <v>15.454543223185564</v>
      </c>
      <c r="AP518">
        <v>-15.999997689886136</v>
      </c>
      <c r="AQ518">
        <v>0</v>
      </c>
      <c r="AR518" t="str">
        <v>1310.par</v>
      </c>
      <c r="AV518" t="str">
        <v>97,255,97</v>
      </c>
      <c r="AW518" s="31">
        <v>13.799999999999997</v>
      </c>
      <c r="AX518" s="31">
        <v>15.454543223185564</v>
      </c>
      <c r="AY518" s="31">
        <v>0</v>
      </c>
    </row>
    <row r="519" spans="31:51" x14ac:dyDescent="0.25">
      <c r="AE519">
        <v>3.1429999999999998</v>
      </c>
      <c r="AF519">
        <v>3</v>
      </c>
      <c r="AG519">
        <v>1</v>
      </c>
      <c r="AH519">
        <v>1</v>
      </c>
      <c r="AI519">
        <v>2.999999999992724</v>
      </c>
      <c r="AJ519">
        <v>3.1431299999999998</v>
      </c>
      <c r="AK519" t="str">
        <v>Base</v>
      </c>
      <c r="AL519">
        <v>-3</v>
      </c>
      <c r="AM519">
        <v>-4.5665137726055383</v>
      </c>
      <c r="AN519">
        <v>-3.6345430312383851</v>
      </c>
      <c r="AO519">
        <v>84.999987727520192</v>
      </c>
      <c r="AP519">
        <v>-29.99999566853651</v>
      </c>
      <c r="AQ519">
        <v>0</v>
      </c>
      <c r="AR519" t="str">
        <v>1613.par</v>
      </c>
      <c r="AV519" t="str">
        <v>0,204,0</v>
      </c>
      <c r="AW519" s="31">
        <v>86.1</v>
      </c>
      <c r="AX519" s="31">
        <v>84.999987727520192</v>
      </c>
      <c r="AY519" s="31">
        <v>0</v>
      </c>
    </row>
    <row r="520" spans="31:51" x14ac:dyDescent="0.25">
      <c r="AE520">
        <v>3.137</v>
      </c>
      <c r="AF520">
        <v>3</v>
      </c>
      <c r="AG520">
        <v>1</v>
      </c>
      <c r="AH520">
        <v>1</v>
      </c>
      <c r="AI520">
        <v>2.999999999992724</v>
      </c>
      <c r="AJ520">
        <v>3.13713</v>
      </c>
      <c r="AK520" t="str">
        <v>Base</v>
      </c>
      <c r="AL520">
        <v>-3</v>
      </c>
      <c r="AM520">
        <v>-4.5026135798825573</v>
      </c>
      <c r="AN520">
        <v>-2.8281100432614674</v>
      </c>
      <c r="AO520">
        <v>77.272716115927437</v>
      </c>
      <c r="AP520">
        <v>-28.249995921205201</v>
      </c>
      <c r="AQ520">
        <v>0</v>
      </c>
      <c r="AR520" t="str">
        <v>1613 Ripper.par</v>
      </c>
      <c r="AV520" t="str">
        <v>0,204,0</v>
      </c>
      <c r="AW520" s="31">
        <v>82.1</v>
      </c>
      <c r="AX520" s="31">
        <v>77.272716115927437</v>
      </c>
      <c r="AY520" s="31">
        <v>0</v>
      </c>
    </row>
    <row r="521" spans="31:51" x14ac:dyDescent="0.25">
      <c r="AE521">
        <v>3.1309999999999998</v>
      </c>
      <c r="AF521">
        <v>3</v>
      </c>
      <c r="AG521">
        <v>1</v>
      </c>
      <c r="AH521">
        <v>1</v>
      </c>
      <c r="AI521">
        <v>2.999999999992724</v>
      </c>
      <c r="AJ521">
        <v>3.1311299999999997</v>
      </c>
      <c r="AK521" t="str">
        <v>Base</v>
      </c>
      <c r="AL521">
        <v>-3</v>
      </c>
      <c r="AM521">
        <v>-4.3128130074440314</v>
      </c>
      <c r="AN521">
        <v>-2.1049161947837414</v>
      </c>
      <c r="AO521">
        <v>61.818172892741991</v>
      </c>
      <c r="AP521">
        <v>-24.749996426542594</v>
      </c>
      <c r="AQ521">
        <v>0</v>
      </c>
      <c r="AR521" t="str">
        <v>1613 Ripper.par</v>
      </c>
      <c r="AV521" t="str">
        <v>0,204,0</v>
      </c>
      <c r="AW521" s="31">
        <v>65.300000000000011</v>
      </c>
      <c r="AX521" s="31">
        <v>61.818172892741991</v>
      </c>
      <c r="AY521" s="31">
        <v>0</v>
      </c>
    </row>
    <row r="522" spans="31:51" x14ac:dyDescent="0.25">
      <c r="AE522">
        <v>3.125</v>
      </c>
      <c r="AF522">
        <v>3</v>
      </c>
      <c r="AG522">
        <v>1</v>
      </c>
      <c r="AH522">
        <v>1</v>
      </c>
      <c r="AI522">
        <v>2.999999999992724</v>
      </c>
      <c r="AJ522">
        <v>3.12513</v>
      </c>
      <c r="AK522" t="str">
        <v>Base</v>
      </c>
      <c r="AL522">
        <v>-3</v>
      </c>
      <c r="AM522">
        <v>-3.9349118676941934</v>
      </c>
      <c r="AN522">
        <v>-1.4603100827340574</v>
      </c>
      <c r="AO522">
        <v>46.363629669556452</v>
      </c>
      <c r="AP522">
        <v>-21.249996931880013</v>
      </c>
      <c r="AQ522">
        <v>0</v>
      </c>
      <c r="AR522" t="str">
        <v>1613 Ripper.par</v>
      </c>
      <c r="AV522" t="str">
        <v>0,204,0</v>
      </c>
      <c r="AW522" s="31">
        <v>48.400000000000006</v>
      </c>
      <c r="AX522" s="31">
        <v>46.363629669556452</v>
      </c>
      <c r="AY522" s="31">
        <v>0</v>
      </c>
    </row>
    <row r="523" spans="31:51" x14ac:dyDescent="0.25">
      <c r="AE523">
        <v>3.1190000000000002</v>
      </c>
      <c r="AF523">
        <v>3</v>
      </c>
      <c r="AG523">
        <v>1</v>
      </c>
      <c r="AH523">
        <v>1</v>
      </c>
      <c r="AI523">
        <v>3.0000000000291038</v>
      </c>
      <c r="AJ523">
        <v>3.1191300000000002</v>
      </c>
      <c r="AK523" t="str">
        <v>Base</v>
      </c>
      <c r="AL523">
        <v>-3</v>
      </c>
      <c r="AM523">
        <v>-3.3876102170324152</v>
      </c>
      <c r="AN523">
        <v>-0.95202938145585714</v>
      </c>
      <c r="AO523">
        <v>30.909086446370907</v>
      </c>
      <c r="AP523">
        <v>-17.74999743721742</v>
      </c>
      <c r="AQ523">
        <v>0</v>
      </c>
      <c r="AR523" t="str">
        <v>1613 Ripper.par</v>
      </c>
      <c r="AV523" t="str">
        <v>0,204,0</v>
      </c>
      <c r="AW523" s="31">
        <v>31.200000000000003</v>
      </c>
      <c r="AX523" s="31">
        <v>30.909086446370907</v>
      </c>
      <c r="AY523" s="31">
        <v>0</v>
      </c>
    </row>
    <row r="524" spans="31:51" x14ac:dyDescent="0.25">
      <c r="AE524">
        <v>3.113</v>
      </c>
      <c r="AF524">
        <v>3</v>
      </c>
      <c r="AG524">
        <v>1</v>
      </c>
      <c r="AH524">
        <v>1</v>
      </c>
      <c r="AI524">
        <v>2.999999999992724</v>
      </c>
      <c r="AJ524">
        <v>3.11313</v>
      </c>
      <c r="AK524" t="str">
        <v>Base</v>
      </c>
      <c r="AL524">
        <v>-3</v>
      </c>
      <c r="AM524">
        <v>-2.7100081733846513</v>
      </c>
      <c r="AN524">
        <v>-0.63891454666723446</v>
      </c>
      <c r="AO524">
        <v>15.454543223185555</v>
      </c>
      <c r="AP524">
        <v>-15.99999768988615</v>
      </c>
      <c r="AQ524">
        <v>0</v>
      </c>
      <c r="AR524" t="str">
        <v>1613 Ripper.par</v>
      </c>
      <c r="AV524" t="str">
        <v>0,204,0</v>
      </c>
      <c r="AW524" s="31">
        <v>13.799999999999997</v>
      </c>
      <c r="AX524" s="31">
        <v>15.454543223185555</v>
      </c>
      <c r="AY524" s="31">
        <v>0</v>
      </c>
    </row>
    <row r="525" spans="31:51" x14ac:dyDescent="0.25">
      <c r="AE525">
        <v>3.1080000000000001</v>
      </c>
      <c r="AF525">
        <v>3</v>
      </c>
      <c r="AG525">
        <v>1</v>
      </c>
      <c r="AH525">
        <v>1</v>
      </c>
      <c r="AI525">
        <v>2.999999999992724</v>
      </c>
      <c r="AJ525">
        <v>3.1081300000000001</v>
      </c>
      <c r="AK525" t="str">
        <v>Base</v>
      </c>
      <c r="AL525">
        <v>-3</v>
      </c>
      <c r="AM525">
        <v>-1.9770059626499845</v>
      </c>
      <c r="AN525">
        <v>-0.56479487810724538</v>
      </c>
      <c r="AO525">
        <v>2.5757572038640517</v>
      </c>
      <c r="AP525">
        <v>-15.99999768988615</v>
      </c>
      <c r="AQ525">
        <v>0</v>
      </c>
      <c r="AR525" t="str">
        <v>1613.par</v>
      </c>
      <c r="AV525" t="str">
        <v>0,204,0</v>
      </c>
      <c r="AW525" s="31">
        <v>-3.7999999999999972</v>
      </c>
      <c r="AX525" s="31">
        <v>2.5757572038640517</v>
      </c>
      <c r="AY525" s="31">
        <v>0</v>
      </c>
    </row>
    <row r="526" spans="31:51" x14ac:dyDescent="0.25">
      <c r="AE526">
        <v>3.105</v>
      </c>
      <c r="AF526">
        <v>3</v>
      </c>
      <c r="AG526">
        <v>1</v>
      </c>
      <c r="AH526">
        <v>1</v>
      </c>
      <c r="AI526">
        <v>2.999999999992724</v>
      </c>
      <c r="AJ526">
        <v>3.1051299999999999</v>
      </c>
      <c r="AK526" t="str">
        <v>Base</v>
      </c>
      <c r="AL526">
        <v>-3</v>
      </c>
      <c r="AM526">
        <v>-1.2694038285219471</v>
      </c>
      <c r="AN526">
        <v>-0.72689536700231994</v>
      </c>
      <c r="AO526">
        <v>-1.9999997112357091</v>
      </c>
      <c r="AP526">
        <v>-15.999997689886111</v>
      </c>
      <c r="AQ526">
        <v>0</v>
      </c>
      <c r="AR526" t="str">
        <v>1613.par</v>
      </c>
      <c r="AV526" t="str">
        <v>0,204,0</v>
      </c>
      <c r="AW526" s="31">
        <v>-20</v>
      </c>
      <c r="AX526" s="31">
        <v>-1.9999997112357091</v>
      </c>
      <c r="AY526" s="31">
        <v>0</v>
      </c>
    </row>
    <row r="527" spans="31:51" x14ac:dyDescent="0.25">
      <c r="AE527">
        <v>3.1019999999999999</v>
      </c>
      <c r="AF527">
        <v>3</v>
      </c>
      <c r="AG527">
        <v>1</v>
      </c>
      <c r="AH527">
        <v>1</v>
      </c>
      <c r="AI527">
        <v>2.999999999992724</v>
      </c>
      <c r="AJ527">
        <v>3.1021299999999998</v>
      </c>
      <c r="AK527" t="str">
        <v>Base</v>
      </c>
      <c r="AL527">
        <v>-3</v>
      </c>
      <c r="AM527">
        <v>-0.57390173088762053</v>
      </c>
      <c r="AN527">
        <v>-0.97999613035422228</v>
      </c>
      <c r="AO527">
        <v>-5.9999991337073313</v>
      </c>
      <c r="AP527">
        <v>-18.999997256739782</v>
      </c>
      <c r="AQ527">
        <v>0</v>
      </c>
      <c r="AR527" t="str">
        <v>1613.par</v>
      </c>
      <c r="AV527" t="str">
        <v>0,204,0</v>
      </c>
      <c r="AW527" s="31">
        <v>-20</v>
      </c>
      <c r="AX527" s="31">
        <v>-5.9999991337073313</v>
      </c>
      <c r="AY527" s="31">
        <v>0</v>
      </c>
    </row>
    <row r="528" spans="31:51" x14ac:dyDescent="0.25">
      <c r="AE528">
        <v>2.2400000000000002</v>
      </c>
      <c r="AF528">
        <v>2</v>
      </c>
      <c r="AG528">
        <v>2</v>
      </c>
      <c r="AH528">
        <v>1</v>
      </c>
      <c r="AI528">
        <v>3.0000000000291038</v>
      </c>
      <c r="AJ528">
        <v>2.2401300000000002</v>
      </c>
      <c r="AK528" t="str">
        <v>Base</v>
      </c>
      <c r="AL528">
        <v>-2.25</v>
      </c>
      <c r="AM528">
        <v>-4.5422393625563782</v>
      </c>
      <c r="AN528">
        <v>-3.309405342541571</v>
      </c>
      <c r="AO528">
        <v>86.099987568699859</v>
      </c>
      <c r="AP528">
        <v>0</v>
      </c>
      <c r="AQ528">
        <v>0</v>
      </c>
      <c r="AR528" t="str">
        <v>32193r1.par</v>
      </c>
      <c r="AV528" t="str">
        <v>255,255,91</v>
      </c>
      <c r="AW528" s="31">
        <v>86.1</v>
      </c>
      <c r="AX528" s="31">
        <v>86.099987568699859</v>
      </c>
      <c r="AY528" s="31">
        <v>0</v>
      </c>
    </row>
    <row r="529" spans="31:51" x14ac:dyDescent="0.25">
      <c r="AE529">
        <v>2.234</v>
      </c>
      <c r="AF529">
        <v>2</v>
      </c>
      <c r="AG529">
        <v>2</v>
      </c>
      <c r="AH529">
        <v>1</v>
      </c>
      <c r="AI529">
        <v>2.999999999992724</v>
      </c>
      <c r="AJ529">
        <v>2.2341299999999999</v>
      </c>
      <c r="AK529" t="str">
        <v>Base</v>
      </c>
      <c r="AL529">
        <v>-2.25</v>
      </c>
      <c r="AM529">
        <v>-4.418455264442227</v>
      </c>
      <c r="AN529">
        <v>-2.5127573465591437</v>
      </c>
      <c r="AO529">
        <v>73.699989359038099</v>
      </c>
      <c r="AP529">
        <v>0</v>
      </c>
      <c r="AQ529">
        <v>0</v>
      </c>
      <c r="AR529" t="str">
        <v>32193r1.par</v>
      </c>
      <c r="AV529" t="str">
        <v>255,255,91</v>
      </c>
      <c r="AW529" s="31">
        <v>73.699999999999989</v>
      </c>
      <c r="AX529" s="31">
        <v>73.699989359038099</v>
      </c>
      <c r="AY529" s="31">
        <v>0</v>
      </c>
    </row>
    <row r="530" spans="31:51" x14ac:dyDescent="0.25">
      <c r="AE530">
        <v>2.2280000000000002</v>
      </c>
      <c r="AF530">
        <v>2</v>
      </c>
      <c r="AG530">
        <v>2</v>
      </c>
      <c r="AH530">
        <v>1</v>
      </c>
      <c r="AI530">
        <v>3.0000000000291038</v>
      </c>
      <c r="AJ530">
        <v>2.2281300000000002</v>
      </c>
      <c r="AK530" t="str">
        <v>Base</v>
      </c>
      <c r="AL530">
        <v>-2.25</v>
      </c>
      <c r="AM530">
        <v>-4.1754220343763198</v>
      </c>
      <c r="AN530">
        <v>-1.7918920107199487</v>
      </c>
      <c r="AO530">
        <v>54.090901281149193</v>
      </c>
      <c r="AP530">
        <v>-27.999995957300708</v>
      </c>
      <c r="AQ530">
        <v>0</v>
      </c>
      <c r="AR530" t="str">
        <v>1313.par</v>
      </c>
      <c r="AV530" t="str">
        <v>255,255,91</v>
      </c>
      <c r="AW530" s="31">
        <v>56.900000000000006</v>
      </c>
      <c r="AX530" s="31">
        <v>54.090901281149193</v>
      </c>
      <c r="AY530" s="31">
        <v>0</v>
      </c>
    </row>
    <row r="531" spans="31:51" x14ac:dyDescent="0.25">
      <c r="AE531">
        <v>2.222</v>
      </c>
      <c r="AF531">
        <v>2</v>
      </c>
      <c r="AG531">
        <v>2</v>
      </c>
      <c r="AH531">
        <v>1</v>
      </c>
      <c r="AI531">
        <v>2.999999999992724</v>
      </c>
      <c r="AJ531">
        <v>2.2221299999999999</v>
      </c>
      <c r="AK531" t="str">
        <v>Base</v>
      </c>
      <c r="AL531">
        <v>-2.25</v>
      </c>
      <c r="AM531">
        <v>-3.7028817627089818</v>
      </c>
      <c r="AN531">
        <v>-1.2009459746526454</v>
      </c>
      <c r="AO531">
        <v>38.636358057963676</v>
      </c>
      <c r="AP531">
        <v>-24.499996462638151</v>
      </c>
      <c r="AQ531">
        <v>0</v>
      </c>
      <c r="AR531" t="str">
        <v>1313.par</v>
      </c>
      <c r="AV531" t="str">
        <v>255,255,91</v>
      </c>
      <c r="AW531" s="31">
        <v>39.800000000000011</v>
      </c>
      <c r="AX531" s="31">
        <v>38.636358057963676</v>
      </c>
      <c r="AY531" s="31">
        <v>0</v>
      </c>
    </row>
    <row r="532" spans="31:51" x14ac:dyDescent="0.25">
      <c r="AE532">
        <v>2.2160000000000002</v>
      </c>
      <c r="AF532">
        <v>2</v>
      </c>
      <c r="AG532">
        <v>2</v>
      </c>
      <c r="AH532">
        <v>1</v>
      </c>
      <c r="AI532">
        <v>3.0000000000291038</v>
      </c>
      <c r="AJ532">
        <v>2.2161300000000002</v>
      </c>
      <c r="AK532" t="str">
        <v>Base</v>
      </c>
      <c r="AL532">
        <v>-2.25</v>
      </c>
      <c r="AM532">
        <v>-3.0754330367816816</v>
      </c>
      <c r="AN532">
        <v>-0.77845160039287964</v>
      </c>
      <c r="AO532">
        <v>23.181814834778248</v>
      </c>
      <c r="AP532">
        <v>-20.999996967975548</v>
      </c>
      <c r="AQ532">
        <v>0</v>
      </c>
      <c r="AR532" t="str">
        <v>1310.par</v>
      </c>
      <c r="AV532" t="str">
        <v>255,255,91</v>
      </c>
      <c r="AW532" s="31">
        <v>22.5</v>
      </c>
      <c r="AX532" s="31">
        <v>23.181814834778248</v>
      </c>
      <c r="AY532" s="31">
        <v>0</v>
      </c>
    </row>
    <row r="533" spans="31:51" x14ac:dyDescent="0.25">
      <c r="AE533">
        <v>2.14</v>
      </c>
      <c r="AF533">
        <v>2</v>
      </c>
      <c r="AG533">
        <v>1</v>
      </c>
      <c r="AH533">
        <v>1</v>
      </c>
      <c r="AI533">
        <v>2.999999999992724</v>
      </c>
      <c r="AJ533">
        <v>2.1401300000000001</v>
      </c>
      <c r="AK533" t="str">
        <v>Base</v>
      </c>
      <c r="AL533">
        <v>-1.5</v>
      </c>
      <c r="AM533">
        <v>-4.5665137726055374</v>
      </c>
      <c r="AN533">
        <v>-3.3046807826066158</v>
      </c>
      <c r="AO533">
        <v>84.999987727520178</v>
      </c>
      <c r="AP533">
        <v>-29.99999566853651</v>
      </c>
      <c r="AQ533">
        <v>0</v>
      </c>
      <c r="AR533" t="str">
        <v>1613.par</v>
      </c>
      <c r="AV533" t="str">
        <v>204,204,0</v>
      </c>
      <c r="AW533" s="31">
        <v>86.1</v>
      </c>
      <c r="AX533" s="31">
        <v>84.999987727520178</v>
      </c>
      <c r="AY533" s="31">
        <v>0</v>
      </c>
    </row>
    <row r="534" spans="31:51" x14ac:dyDescent="0.25">
      <c r="AE534">
        <v>2.1339999999999999</v>
      </c>
      <c r="AF534">
        <v>2</v>
      </c>
      <c r="AG534">
        <v>1</v>
      </c>
      <c r="AH534">
        <v>1</v>
      </c>
      <c r="AI534">
        <v>2.999999999992724</v>
      </c>
      <c r="AJ534">
        <v>2.1341299999999999</v>
      </c>
      <c r="AK534" t="str">
        <v>Base</v>
      </c>
      <c r="AL534">
        <v>-1.5</v>
      </c>
      <c r="AM534">
        <v>-4.4318133663491128</v>
      </c>
      <c r="AN534">
        <v>-2.5053242046196194</v>
      </c>
      <c r="AO534">
        <v>69.545444504334753</v>
      </c>
      <c r="AP534">
        <v>-26.499996173873903</v>
      </c>
      <c r="AQ534">
        <v>0</v>
      </c>
      <c r="AR534" t="str">
        <v>1613.par</v>
      </c>
      <c r="AV534" t="str">
        <v>204,204,0</v>
      </c>
      <c r="AW534" s="31">
        <v>73.699999999999989</v>
      </c>
      <c r="AX534" s="31">
        <v>69.545444504334753</v>
      </c>
      <c r="AY534" s="31">
        <v>0</v>
      </c>
    </row>
    <row r="535" spans="31:51" x14ac:dyDescent="0.25">
      <c r="AE535">
        <v>2.1280000000000001</v>
      </c>
      <c r="AF535">
        <v>2</v>
      </c>
      <c r="AG535">
        <v>1</v>
      </c>
      <c r="AH535">
        <v>1</v>
      </c>
      <c r="AI535">
        <v>2.999999999992724</v>
      </c>
      <c r="AJ535">
        <v>2.1281300000000001</v>
      </c>
      <c r="AK535" t="str">
        <v>Base</v>
      </c>
      <c r="AL535">
        <v>-1.5</v>
      </c>
      <c r="AM535">
        <v>-4.1465125058817165</v>
      </c>
      <c r="AN535">
        <v>-1.8144346199090133</v>
      </c>
      <c r="AO535">
        <v>54.090901281149257</v>
      </c>
      <c r="AP535">
        <v>-22.999996679211336</v>
      </c>
      <c r="AQ535">
        <v>0</v>
      </c>
      <c r="AR535" t="str">
        <v>1613.par</v>
      </c>
      <c r="AV535" t="str">
        <v>204,204,0</v>
      </c>
      <c r="AW535" s="31">
        <v>56.900000000000006</v>
      </c>
      <c r="AX535" s="31">
        <v>54.090901281149257</v>
      </c>
      <c r="AY535" s="31">
        <v>0</v>
      </c>
    </row>
    <row r="536" spans="31:51" x14ac:dyDescent="0.25">
      <c r="AE536">
        <v>2.1219999999999999</v>
      </c>
      <c r="AF536">
        <v>2</v>
      </c>
      <c r="AG536">
        <v>1</v>
      </c>
      <c r="AH536">
        <v>1</v>
      </c>
      <c r="AI536">
        <v>2.999999999992724</v>
      </c>
      <c r="AJ536">
        <v>2.1221299999999998</v>
      </c>
      <c r="AK536" t="str">
        <v>Base</v>
      </c>
      <c r="AL536">
        <v>-1.5</v>
      </c>
      <c r="AM536">
        <v>-3.6807111010246802</v>
      </c>
      <c r="AN536">
        <v>-1.2304981350638973</v>
      </c>
      <c r="AO536">
        <v>38.636358057963655</v>
      </c>
      <c r="AP536">
        <v>-19.499997184548718</v>
      </c>
      <c r="AQ536">
        <v>0</v>
      </c>
      <c r="AR536" t="str">
        <v>1613.par</v>
      </c>
      <c r="AV536" t="str">
        <v>204,204,0</v>
      </c>
      <c r="AW536" s="31">
        <v>39.800000000000011</v>
      </c>
      <c r="AX536" s="31">
        <v>38.636358057963655</v>
      </c>
      <c r="AY536" s="31">
        <v>0</v>
      </c>
    </row>
    <row r="537" spans="31:51" x14ac:dyDescent="0.25">
      <c r="AE537">
        <v>2.1160000000000001</v>
      </c>
      <c r="AF537">
        <v>2</v>
      </c>
      <c r="AG537">
        <v>1</v>
      </c>
      <c r="AH537">
        <v>1</v>
      </c>
      <c r="AI537">
        <v>2.999999999992724</v>
      </c>
      <c r="AJ537">
        <v>2.1161300000000001</v>
      </c>
      <c r="AK537" t="str">
        <v>Base</v>
      </c>
      <c r="AL537">
        <v>-1.5</v>
      </c>
      <c r="AM537">
        <v>-3.0616092338134497</v>
      </c>
      <c r="AN537">
        <v>-0.81292465177207074</v>
      </c>
      <c r="AO537">
        <v>23.181814834778312</v>
      </c>
      <c r="AP537">
        <v>-15.99999768988615</v>
      </c>
      <c r="AQ537">
        <v>0</v>
      </c>
      <c r="AR537" t="str">
        <v>1613.par</v>
      </c>
      <c r="AV537" t="str">
        <v>204,204,0</v>
      </c>
      <c r="AW537" s="31">
        <v>22.5</v>
      </c>
      <c r="AX537" s="31">
        <v>23.181814834778312</v>
      </c>
      <c r="AY537" s="31">
        <v>0</v>
      </c>
    </row>
    <row r="538" spans="31:51" x14ac:dyDescent="0.25">
      <c r="AE538">
        <v>2.11</v>
      </c>
      <c r="AF538">
        <v>2</v>
      </c>
      <c r="AG538">
        <v>1</v>
      </c>
      <c r="AH538">
        <v>1</v>
      </c>
      <c r="AI538">
        <v>2.999999999992724</v>
      </c>
      <c r="AJ538">
        <v>2.1101299999999998</v>
      </c>
      <c r="AK538" t="str">
        <v>Base</v>
      </c>
      <c r="AL538">
        <v>-1.5</v>
      </c>
      <c r="AM538">
        <v>-2.3416070622868999</v>
      </c>
      <c r="AN538">
        <v>-0.61580600049957257</v>
      </c>
      <c r="AO538">
        <v>7.7272716115927498</v>
      </c>
      <c r="AP538">
        <v>-15.999997689886136</v>
      </c>
      <c r="AQ538">
        <v>0</v>
      </c>
      <c r="AR538" t="str">
        <v>1613.par</v>
      </c>
      <c r="AV538" t="str">
        <v>204,204,0</v>
      </c>
      <c r="AW538" s="31">
        <v>5.0999999999999943</v>
      </c>
      <c r="AX538" s="31">
        <v>7.7272716115927498</v>
      </c>
      <c r="AY538" s="31">
        <v>0</v>
      </c>
    </row>
    <row r="539" spans="31:51" x14ac:dyDescent="0.25">
      <c r="AE539">
        <v>1.2410000000000001</v>
      </c>
      <c r="AF539">
        <v>1</v>
      </c>
      <c r="AG539">
        <v>2</v>
      </c>
      <c r="AH539">
        <v>1</v>
      </c>
      <c r="AI539">
        <v>3.0000000000109139</v>
      </c>
      <c r="AJ539">
        <v>1.2411300000000001</v>
      </c>
      <c r="AK539" t="str">
        <v>Base</v>
      </c>
      <c r="AL539">
        <v>-0.75</v>
      </c>
      <c r="AM539">
        <v>-4.5422393625563782</v>
      </c>
      <c r="AN539">
        <v>-3.4761100460861165</v>
      </c>
      <c r="AO539">
        <v>86.099987568699845</v>
      </c>
      <c r="AP539">
        <v>0</v>
      </c>
      <c r="AQ539">
        <v>0</v>
      </c>
      <c r="AR539" t="str">
        <v>32193r1.par</v>
      </c>
      <c r="AV539" t="str">
        <v>255,188,121</v>
      </c>
      <c r="AW539" s="31">
        <v>86.1</v>
      </c>
      <c r="AX539" s="31">
        <v>86.099987568699845</v>
      </c>
      <c r="AY539" s="31">
        <v>0</v>
      </c>
    </row>
    <row r="540" spans="31:51" x14ac:dyDescent="0.25">
      <c r="AE540">
        <v>1.2350000000000001</v>
      </c>
      <c r="AF540">
        <v>1</v>
      </c>
      <c r="AG540">
        <v>2</v>
      </c>
      <c r="AH540">
        <v>1</v>
      </c>
      <c r="AI540">
        <v>3.0000000000109139</v>
      </c>
      <c r="AJ540">
        <v>1.2351300000000001</v>
      </c>
      <c r="AK540" t="str">
        <v>Base</v>
      </c>
      <c r="AL540">
        <v>-0.75</v>
      </c>
      <c r="AM540">
        <v>-4.4824520995485351</v>
      </c>
      <c r="AN540">
        <v>-2.6599194046647043</v>
      </c>
      <c r="AO540">
        <v>72.121201708198967</v>
      </c>
      <c r="AP540">
        <v>-27.083329422984299</v>
      </c>
      <c r="AQ540">
        <v>0</v>
      </c>
      <c r="AR540" t="str">
        <v>1313.par</v>
      </c>
      <c r="AV540" t="str">
        <v>255,188,121</v>
      </c>
      <c r="AW540" s="31">
        <v>76.5</v>
      </c>
      <c r="AX540" s="31">
        <v>72.121201708198967</v>
      </c>
      <c r="AY540" s="31">
        <v>0</v>
      </c>
    </row>
    <row r="541" spans="31:51" x14ac:dyDescent="0.25">
      <c r="AE541">
        <v>1.2290000000000001</v>
      </c>
      <c r="AF541">
        <v>1</v>
      </c>
      <c r="AG541">
        <v>2</v>
      </c>
      <c r="AH541">
        <v>1</v>
      </c>
      <c r="AI541">
        <v>3.0000000000109139</v>
      </c>
      <c r="AJ541">
        <v>1.2291300000000001</v>
      </c>
      <c r="AK541" t="str">
        <v>Base</v>
      </c>
      <c r="AL541">
        <v>-0.75</v>
      </c>
      <c r="AM541">
        <v>-4.2271569345419167</v>
      </c>
      <c r="AN541">
        <v>-1.9505707154981282</v>
      </c>
      <c r="AO541">
        <v>56.66665848501345</v>
      </c>
      <c r="AP541">
        <v>-23.583329928321717</v>
      </c>
      <c r="AQ541">
        <v>0</v>
      </c>
      <c r="AR541" t="str">
        <v>1313.par</v>
      </c>
      <c r="AV541" t="str">
        <v>255,188,121</v>
      </c>
      <c r="AW541" s="31">
        <v>59.699999999999989</v>
      </c>
      <c r="AX541" s="31">
        <v>56.66665848501345</v>
      </c>
      <c r="AY541" s="31">
        <v>0</v>
      </c>
    </row>
    <row r="542" spans="31:51" x14ac:dyDescent="0.25">
      <c r="AE542">
        <v>1.2230000000000001</v>
      </c>
      <c r="AF542">
        <v>1</v>
      </c>
      <c r="AG542">
        <v>2</v>
      </c>
      <c r="AH542">
        <v>1</v>
      </c>
      <c r="AI542">
        <v>3.0000000000109139</v>
      </c>
      <c r="AJ542">
        <v>1.2231300000000001</v>
      </c>
      <c r="AK542" t="str">
        <v>Base</v>
      </c>
      <c r="AL542">
        <v>-0.75</v>
      </c>
      <c r="AM542">
        <v>-3.7864362114534451</v>
      </c>
      <c r="AN542">
        <v>-1.3388417623107944</v>
      </c>
      <c r="AO542">
        <v>41.212115261827932</v>
      </c>
      <c r="AP542">
        <v>-20.083330433659125</v>
      </c>
      <c r="AQ542">
        <v>0</v>
      </c>
      <c r="AR542" t="str">
        <v>1313.par</v>
      </c>
      <c r="AV542" t="str">
        <v>255,188,121</v>
      </c>
      <c r="AW542" s="31">
        <v>42.699999999999989</v>
      </c>
      <c r="AX542" s="31">
        <v>41.212115261827932</v>
      </c>
      <c r="AY542" s="31">
        <v>0</v>
      </c>
    </row>
    <row r="543" spans="31:51" x14ac:dyDescent="0.25">
      <c r="AE543">
        <v>1.2170000000000001</v>
      </c>
      <c r="AF543">
        <v>1</v>
      </c>
      <c r="AG543">
        <v>2</v>
      </c>
      <c r="AH543">
        <v>1</v>
      </c>
      <c r="AI543">
        <v>3.0000000000109139</v>
      </c>
      <c r="AJ543">
        <v>1.21713</v>
      </c>
      <c r="AK543" t="str">
        <v>Base</v>
      </c>
      <c r="AL543">
        <v>-0.75</v>
      </c>
      <c r="AM543">
        <v>-3.1848097850478867</v>
      </c>
      <c r="AN543">
        <v>-0.88457609095871281</v>
      </c>
      <c r="AO543">
        <v>25.757572038642522</v>
      </c>
      <c r="AP543">
        <v>-16.583330938996621</v>
      </c>
      <c r="AQ543">
        <v>0</v>
      </c>
      <c r="AR543" t="str">
        <v>1313.par</v>
      </c>
      <c r="AV543" t="str">
        <v>255,188,121</v>
      </c>
      <c r="AW543" s="31">
        <v>25.400000000000006</v>
      </c>
      <c r="AX543" s="31">
        <v>25.757572038642522</v>
      </c>
      <c r="AY543" s="31">
        <v>0</v>
      </c>
    </row>
    <row r="544" spans="31:51" x14ac:dyDescent="0.25">
      <c r="AE544">
        <v>1.2110000000000001</v>
      </c>
      <c r="AF544">
        <v>1</v>
      </c>
      <c r="AG544">
        <v>2</v>
      </c>
      <c r="AH544">
        <v>1</v>
      </c>
      <c r="AI544">
        <v>3.0000000000109139</v>
      </c>
      <c r="AJ544">
        <v>1.21113</v>
      </c>
      <c r="AK544" t="str">
        <v>Base</v>
      </c>
      <c r="AL544">
        <v>-0.75</v>
      </c>
      <c r="AM544">
        <v>-2.4703828005462527</v>
      </c>
      <c r="AN544">
        <v>-0.64477132455189756</v>
      </c>
      <c r="AO544">
        <v>10.303028815456981</v>
      </c>
      <c r="AP544">
        <v>-15.999997689886136</v>
      </c>
      <c r="AQ544">
        <v>0</v>
      </c>
      <c r="AR544" t="str">
        <v>1310.par</v>
      </c>
      <c r="AV544" t="str">
        <v>255,188,121</v>
      </c>
      <c r="AW544" s="31">
        <v>8</v>
      </c>
      <c r="AX544" s="31">
        <v>10.303028815456981</v>
      </c>
      <c r="AY544" s="31">
        <v>0</v>
      </c>
    </row>
    <row r="545" spans="31:51" x14ac:dyDescent="0.25">
      <c r="AE545">
        <v>1.141</v>
      </c>
      <c r="AF545">
        <v>1</v>
      </c>
      <c r="AG545">
        <v>1</v>
      </c>
      <c r="AH545">
        <v>1</v>
      </c>
      <c r="AI545">
        <v>2.999999999992724</v>
      </c>
      <c r="AJ545">
        <v>1.14113</v>
      </c>
      <c r="AK545" t="str">
        <v>Base</v>
      </c>
      <c r="AL545">
        <v>0</v>
      </c>
      <c r="AM545">
        <v>-4.5665137726055374</v>
      </c>
      <c r="AN545">
        <v>-3.4713478563540257</v>
      </c>
      <c r="AO545">
        <v>84.999987727520178</v>
      </c>
      <c r="AP545">
        <v>-29.99999566853656</v>
      </c>
      <c r="AQ545">
        <v>0</v>
      </c>
      <c r="AR545" t="str">
        <v>1613.par</v>
      </c>
      <c r="AV545" t="str">
        <v>255,127,0</v>
      </c>
      <c r="AW545" s="31">
        <v>86.1</v>
      </c>
      <c r="AX545" s="31">
        <v>84.999987727520178</v>
      </c>
      <c r="AY545" s="31">
        <v>0</v>
      </c>
    </row>
    <row r="546" spans="31:51" x14ac:dyDescent="0.25">
      <c r="AE546">
        <v>1.135</v>
      </c>
      <c r="AF546">
        <v>1</v>
      </c>
      <c r="AG546">
        <v>1</v>
      </c>
      <c r="AH546">
        <v>1</v>
      </c>
      <c r="AI546">
        <v>2.999999999992724</v>
      </c>
      <c r="AJ546">
        <v>1.13513</v>
      </c>
      <c r="AK546" t="str">
        <v>Base</v>
      </c>
      <c r="AL546">
        <v>0</v>
      </c>
      <c r="AM546">
        <v>-4.460813453813377</v>
      </c>
      <c r="AN546">
        <v>-2.6685634903388333</v>
      </c>
      <c r="AO546">
        <v>72.121201708198925</v>
      </c>
      <c r="AP546">
        <v>-27.083329422984274</v>
      </c>
      <c r="AQ546">
        <v>0</v>
      </c>
      <c r="AR546" t="str">
        <v>1613 Ripper.par</v>
      </c>
      <c r="AV546" t="str">
        <v>255,127,0</v>
      </c>
      <c r="AW546" s="31">
        <v>76.5</v>
      </c>
      <c r="AX546" s="31">
        <v>72.121201708198925</v>
      </c>
      <c r="AY546" s="31">
        <v>0</v>
      </c>
    </row>
    <row r="547" spans="31:51" x14ac:dyDescent="0.25">
      <c r="AE547">
        <v>1.129</v>
      </c>
      <c r="AF547">
        <v>1</v>
      </c>
      <c r="AG547">
        <v>1</v>
      </c>
      <c r="AH547">
        <v>1</v>
      </c>
      <c r="AI547">
        <v>2.999999999992724</v>
      </c>
      <c r="AJ547">
        <v>1.12913</v>
      </c>
      <c r="AK547" t="str">
        <v>Base</v>
      </c>
      <c r="AL547">
        <v>0</v>
      </c>
      <c r="AM547">
        <v>-4.2071126886518693</v>
      </c>
      <c r="AN547">
        <v>-1.9653391463141061</v>
      </c>
      <c r="AO547">
        <v>56.666658485013478</v>
      </c>
      <c r="AP547">
        <v>-23.583329928321742</v>
      </c>
      <c r="AQ547">
        <v>0</v>
      </c>
      <c r="AR547" t="str">
        <v>1613 Ripper.par</v>
      </c>
      <c r="AV547" t="str">
        <v>255,127,0</v>
      </c>
      <c r="AW547" s="31">
        <v>59.699999999999989</v>
      </c>
      <c r="AX547" s="31">
        <v>56.666658485013478</v>
      </c>
      <c r="AY547" s="31">
        <v>0</v>
      </c>
    </row>
    <row r="548" spans="31:51" x14ac:dyDescent="0.25">
      <c r="AE548">
        <v>1.123</v>
      </c>
      <c r="AF548">
        <v>1</v>
      </c>
      <c r="AG548">
        <v>1</v>
      </c>
      <c r="AH548">
        <v>1</v>
      </c>
      <c r="AI548">
        <v>2.999999999992724</v>
      </c>
      <c r="AJ548">
        <v>1.12313</v>
      </c>
      <c r="AK548" t="str">
        <v>Base</v>
      </c>
      <c r="AL548">
        <v>0</v>
      </c>
      <c r="AM548">
        <v>-3.7699113700526929</v>
      </c>
      <c r="AN548">
        <v>-1.3594817620880657</v>
      </c>
      <c r="AO548">
        <v>41.212115261827954</v>
      </c>
      <c r="AP548">
        <v>-20.08333043365915</v>
      </c>
      <c r="AQ548">
        <v>0</v>
      </c>
      <c r="AR548" t="str">
        <v>1613 Ripper.par</v>
      </c>
      <c r="AV548" t="str">
        <v>255,127,0</v>
      </c>
      <c r="AW548" s="31">
        <v>42.699999999999989</v>
      </c>
      <c r="AX548" s="31">
        <v>41.212115261827954</v>
      </c>
      <c r="AY548" s="31">
        <v>0</v>
      </c>
    </row>
    <row r="549" spans="31:51" x14ac:dyDescent="0.25">
      <c r="AE549">
        <v>1.117</v>
      </c>
      <c r="AF549">
        <v>1</v>
      </c>
      <c r="AG549">
        <v>1</v>
      </c>
      <c r="AH549">
        <v>1</v>
      </c>
      <c r="AI549">
        <v>2.999999999992724</v>
      </c>
      <c r="AJ549">
        <v>1.11713</v>
      </c>
      <c r="AK549" t="str">
        <v>Base</v>
      </c>
      <c r="AL549">
        <v>0</v>
      </c>
      <c r="AM549">
        <v>-3.173509571304868</v>
      </c>
      <c r="AN549">
        <v>-0.91010818288714901</v>
      </c>
      <c r="AO549">
        <v>25.757572038642298</v>
      </c>
      <c r="AP549">
        <v>-16.583330938996543</v>
      </c>
      <c r="AQ549">
        <v>0</v>
      </c>
      <c r="AR549" t="str">
        <v>1613 Ripper.par</v>
      </c>
      <c r="AV549" t="str">
        <v>255,127,0</v>
      </c>
      <c r="AW549" s="31">
        <v>25.400000000000006</v>
      </c>
      <c r="AX549" s="31">
        <v>25.757572038642298</v>
      </c>
      <c r="AY549" s="31">
        <v>0</v>
      </c>
    </row>
    <row r="550" spans="31:51" x14ac:dyDescent="0.25">
      <c r="AE550">
        <v>1.111</v>
      </c>
      <c r="AF550">
        <v>1</v>
      </c>
      <c r="AG550">
        <v>1</v>
      </c>
      <c r="AH550">
        <v>1</v>
      </c>
      <c r="AI550">
        <v>2.999999999992724</v>
      </c>
      <c r="AJ550">
        <v>1.11113</v>
      </c>
      <c r="AK550" t="str">
        <v>Base</v>
      </c>
      <c r="AL550">
        <v>0</v>
      </c>
      <c r="AM550">
        <v>-2.4657074365736289</v>
      </c>
      <c r="AN550">
        <v>-0.67323107823813944</v>
      </c>
      <c r="AO550">
        <v>10.303028815456972</v>
      </c>
      <c r="AP550">
        <v>-15.99999768988615</v>
      </c>
      <c r="AQ550">
        <v>0</v>
      </c>
      <c r="AR550" t="str">
        <v>1613 Ripper.par</v>
      </c>
      <c r="AV550" t="str">
        <v>255,127,0</v>
      </c>
      <c r="AW550" s="31">
        <v>8</v>
      </c>
      <c r="AX550" s="31">
        <v>10.303028815456972</v>
      </c>
      <c r="AY550" s="31">
        <v>0</v>
      </c>
    </row>
    <row r="551" spans="31:51" x14ac:dyDescent="0.25">
      <c r="AE551">
        <v>1.107</v>
      </c>
      <c r="AF551">
        <v>1</v>
      </c>
      <c r="AG551">
        <v>1</v>
      </c>
      <c r="AH551">
        <v>1</v>
      </c>
      <c r="AI551">
        <v>2.999999999992724</v>
      </c>
      <c r="AJ551">
        <v>1.1071299999999999</v>
      </c>
      <c r="AK551" t="str">
        <v>Base</v>
      </c>
      <c r="AL551">
        <v>0</v>
      </c>
      <c r="AM551">
        <v>-1.7387052439350157</v>
      </c>
      <c r="AN551">
        <v>-0.68020054348302017</v>
      </c>
      <c r="AO551">
        <v>0</v>
      </c>
      <c r="AP551">
        <v>-15.99999768988615</v>
      </c>
      <c r="AQ551">
        <v>0</v>
      </c>
      <c r="AR551" t="str">
        <v>1613.par</v>
      </c>
      <c r="AV551" t="str">
        <v>255,127,0</v>
      </c>
      <c r="AW551" s="31">
        <v>-9.9000000000000057</v>
      </c>
      <c r="AX551" s="31">
        <v>0</v>
      </c>
      <c r="AY551" s="31">
        <v>0</v>
      </c>
    </row>
    <row r="552" spans="31:51" x14ac:dyDescent="0.25">
      <c r="AE552">
        <v>1.1040000000000001</v>
      </c>
      <c r="AF552">
        <v>1</v>
      </c>
      <c r="AG552">
        <v>1</v>
      </c>
      <c r="AH552">
        <v>1</v>
      </c>
      <c r="AI552">
        <v>3.0000000000109139</v>
      </c>
      <c r="AJ552">
        <v>1.1041300000000001</v>
      </c>
      <c r="AK552" t="str">
        <v>Base</v>
      </c>
      <c r="AL552">
        <v>0</v>
      </c>
      <c r="AM552">
        <v>-1.0375031291094376</v>
      </c>
      <c r="AN552">
        <v>-0.89810120067594978</v>
      </c>
      <c r="AO552">
        <v>-2.9999995668536554</v>
      </c>
      <c r="AP552">
        <v>-15.99999768988615</v>
      </c>
      <c r="AQ552">
        <v>0</v>
      </c>
      <c r="AR552" t="str">
        <v>1613.par</v>
      </c>
      <c r="AV552" t="str">
        <v>255,127,0</v>
      </c>
      <c r="AW552" s="31">
        <v>-20</v>
      </c>
      <c r="AX552" s="31">
        <v>-2.9999995668536554</v>
      </c>
      <c r="AY552" s="31">
        <v>0</v>
      </c>
    </row>
    <row r="553" spans="31:51" x14ac:dyDescent="0.25">
      <c r="AE553">
        <v>1.101</v>
      </c>
      <c r="AF553">
        <v>1</v>
      </c>
      <c r="AG553">
        <v>1</v>
      </c>
      <c r="AH553">
        <v>1</v>
      </c>
      <c r="AI553">
        <v>2.999999999992724</v>
      </c>
      <c r="AJ553">
        <v>1.1011299999999999</v>
      </c>
      <c r="AK553" t="str">
        <v>Base</v>
      </c>
      <c r="AL553">
        <v>0</v>
      </c>
      <c r="AM553">
        <v>-0.34210103177671186</v>
      </c>
      <c r="AN553">
        <v>-1.1513019643249054</v>
      </c>
      <c r="AO553">
        <v>-8.9999987005609601</v>
      </c>
      <c r="AP553">
        <v>-21.999996823593442</v>
      </c>
      <c r="AQ553">
        <v>0</v>
      </c>
      <c r="AR553" t="str">
        <v>1613.par</v>
      </c>
      <c r="AV553" t="str">
        <v>255,127,0</v>
      </c>
      <c r="AW553" s="31">
        <v>-20</v>
      </c>
      <c r="AX553" s="31">
        <v>-8.9999987005609601</v>
      </c>
      <c r="AY553" s="31">
        <v>0</v>
      </c>
    </row>
    <row r="554" spans="31:51" x14ac:dyDescent="0.25">
      <c r="AE554">
        <v>6.2439999999999998</v>
      </c>
      <c r="AF554">
        <v>6</v>
      </c>
      <c r="AG554">
        <v>2</v>
      </c>
      <c r="AH554">
        <v>2</v>
      </c>
      <c r="AI554">
        <v>3.0000000000291038</v>
      </c>
      <c r="AJ554">
        <v>6.2442299999999999</v>
      </c>
      <c r="AK554">
        <v>6.2441300000000002</v>
      </c>
      <c r="AL554">
        <v>0</v>
      </c>
      <c r="AM554">
        <v>0</v>
      </c>
      <c r="AN554">
        <v>0</v>
      </c>
      <c r="AO554">
        <v>1.2431300163484593E-5</v>
      </c>
      <c r="AP554">
        <v>0</v>
      </c>
      <c r="AQ554">
        <v>0</v>
      </c>
      <c r="AR554" t="str">
        <v>32193r1.par</v>
      </c>
      <c r="AV554" t="str">
        <v>188,121,255</v>
      </c>
      <c r="AW554" s="31">
        <v>86.1</v>
      </c>
      <c r="AX554" s="31">
        <v>86.099987568699831</v>
      </c>
      <c r="AY554" s="31">
        <v>1.2431300163484593E-5</v>
      </c>
    </row>
    <row r="555" spans="31:51" x14ac:dyDescent="0.25">
      <c r="AE555">
        <v>6.2380000000000004</v>
      </c>
      <c r="AF555">
        <v>6</v>
      </c>
      <c r="AG555">
        <v>2</v>
      </c>
      <c r="AH555">
        <v>2</v>
      </c>
      <c r="AI555">
        <v>3.0000000000291038</v>
      </c>
      <c r="AJ555">
        <v>6.2382300000000006</v>
      </c>
      <c r="AK555">
        <v>6.2381300000000008</v>
      </c>
      <c r="AL555">
        <v>0</v>
      </c>
      <c r="AM555">
        <v>0</v>
      </c>
      <c r="AN555">
        <v>0</v>
      </c>
      <c r="AO555">
        <v>1.2258041579116252E-5</v>
      </c>
      <c r="AP555">
        <v>0</v>
      </c>
      <c r="AQ555">
        <v>0</v>
      </c>
      <c r="AR555" t="str">
        <v>32193r1.par</v>
      </c>
      <c r="AV555" t="str">
        <v>188,121,255</v>
      </c>
      <c r="AW555" s="31">
        <v>84.9</v>
      </c>
      <c r="AX555" s="31">
        <v>84.899987741958427</v>
      </c>
      <c r="AY555" s="31">
        <v>1.2258041579116252E-5</v>
      </c>
    </row>
    <row r="556" spans="31:51" x14ac:dyDescent="0.25">
      <c r="AE556">
        <v>6.2320000000000002</v>
      </c>
      <c r="AF556">
        <v>6</v>
      </c>
      <c r="AG556">
        <v>2</v>
      </c>
      <c r="AH556">
        <v>2</v>
      </c>
      <c r="AI556">
        <v>3.0000000000291038</v>
      </c>
      <c r="AJ556">
        <v>6.2322300000000004</v>
      </c>
      <c r="AK556">
        <v>6.2321300000000006</v>
      </c>
      <c r="AL556">
        <v>0</v>
      </c>
      <c r="AM556">
        <v>0</v>
      </c>
      <c r="AN556">
        <v>0</v>
      </c>
      <c r="AO556">
        <v>9.8324220658696504E-6</v>
      </c>
      <c r="AP556">
        <v>0</v>
      </c>
      <c r="AQ556">
        <v>0</v>
      </c>
      <c r="AR556" t="str">
        <v>32193r1.par</v>
      </c>
      <c r="AV556" t="str">
        <v>188,121,255</v>
      </c>
      <c r="AW556" s="31">
        <v>68.099999999999994</v>
      </c>
      <c r="AX556" s="31">
        <v>68.099990167577928</v>
      </c>
      <c r="AY556" s="31">
        <v>9.8324220658696504E-6</v>
      </c>
    </row>
    <row r="557" spans="31:51" x14ac:dyDescent="0.25">
      <c r="AE557">
        <v>6.226</v>
      </c>
      <c r="AF557">
        <v>6</v>
      </c>
      <c r="AG557">
        <v>2</v>
      </c>
      <c r="AH557">
        <v>2</v>
      </c>
      <c r="AI557">
        <v>3.0000000000291038</v>
      </c>
      <c r="AJ557">
        <v>6.2262300000000002</v>
      </c>
      <c r="AK557">
        <v>6.2261300000000004</v>
      </c>
      <c r="AL557">
        <v>0</v>
      </c>
      <c r="AM557">
        <v>0</v>
      </c>
      <c r="AN557">
        <v>0</v>
      </c>
      <c r="AO557">
        <v>2.2606131265792513</v>
      </c>
      <c r="AP557">
        <v>0</v>
      </c>
      <c r="AQ557">
        <v>0</v>
      </c>
      <c r="AR557" t="str">
        <v>1313.par</v>
      </c>
      <c r="AV557" t="str">
        <v>188,121,255</v>
      </c>
      <c r="AW557" s="31">
        <v>51.199999999999989</v>
      </c>
      <c r="AX557" s="31">
        <v>48.939386873420737</v>
      </c>
      <c r="AY557" s="31">
        <v>2.2606131265792513</v>
      </c>
    </row>
    <row r="558" spans="31:51" x14ac:dyDescent="0.25">
      <c r="AE558">
        <v>6.22</v>
      </c>
      <c r="AF558">
        <v>6</v>
      </c>
      <c r="AG558">
        <v>2</v>
      </c>
      <c r="AH558">
        <v>2</v>
      </c>
      <c r="AI558">
        <v>2.9999999999563443</v>
      </c>
      <c r="AJ558">
        <v>6.2202299999999999</v>
      </c>
      <c r="AK558">
        <v>6.2201300000000002</v>
      </c>
      <c r="AL558">
        <v>0</v>
      </c>
      <c r="AM558">
        <v>0</v>
      </c>
      <c r="AN558">
        <v>0</v>
      </c>
      <c r="AO558">
        <v>0.61515634976477429</v>
      </c>
      <c r="AP558">
        <v>0</v>
      </c>
      <c r="AQ558">
        <v>0</v>
      </c>
      <c r="AR558" t="str">
        <v>1310.par</v>
      </c>
      <c r="AV558" t="str">
        <v>188,121,255</v>
      </c>
      <c r="AW558" s="31">
        <v>34.099999999999994</v>
      </c>
      <c r="AX558" s="31">
        <v>33.48484365023522</v>
      </c>
      <c r="AY558" s="31">
        <v>0.61515634976477429</v>
      </c>
    </row>
    <row r="559" spans="31:51" x14ac:dyDescent="0.25">
      <c r="AE559">
        <v>6.1440000000000001</v>
      </c>
      <c r="AF559">
        <v>6</v>
      </c>
      <c r="AG559">
        <v>1</v>
      </c>
      <c r="AH559">
        <v>2</v>
      </c>
      <c r="AI559">
        <v>3.0000000000291038</v>
      </c>
      <c r="AJ559">
        <v>6.1442300000000003</v>
      </c>
      <c r="AK559">
        <v>6.1441300000000005</v>
      </c>
      <c r="AL559">
        <v>0</v>
      </c>
      <c r="AM559">
        <v>0</v>
      </c>
      <c r="AN559">
        <v>0</v>
      </c>
      <c r="AO559">
        <v>1.100012272479816</v>
      </c>
      <c r="AP559">
        <v>0</v>
      </c>
      <c r="AQ559">
        <v>0</v>
      </c>
      <c r="AR559" t="str">
        <v>1613.par</v>
      </c>
      <c r="AV559" t="str">
        <v>127,0,255</v>
      </c>
      <c r="AW559" s="31">
        <v>86.1</v>
      </c>
      <c r="AX559" s="31">
        <v>84.999987727520178</v>
      </c>
      <c r="AY559" s="31">
        <v>1.100012272479816</v>
      </c>
    </row>
    <row r="560" spans="31:51" x14ac:dyDescent="0.25">
      <c r="AE560">
        <v>6.1379999999999999</v>
      </c>
      <c r="AF560">
        <v>6</v>
      </c>
      <c r="AG560">
        <v>1</v>
      </c>
      <c r="AH560">
        <v>2</v>
      </c>
      <c r="AI560">
        <v>3.0000000000291038</v>
      </c>
      <c r="AJ560">
        <v>6.1382300000000001</v>
      </c>
      <c r="AK560">
        <v>6.1381300000000003</v>
      </c>
      <c r="AL560">
        <v>0</v>
      </c>
      <c r="AM560">
        <v>0</v>
      </c>
      <c r="AN560">
        <v>0</v>
      </c>
      <c r="AO560">
        <v>5.0515266802082976</v>
      </c>
      <c r="AP560">
        <v>0</v>
      </c>
      <c r="AQ560">
        <v>0</v>
      </c>
      <c r="AR560" t="str">
        <v>1613.par</v>
      </c>
      <c r="AV560" t="str">
        <v>127,0,255</v>
      </c>
      <c r="AW560" s="31">
        <v>84.9</v>
      </c>
      <c r="AX560" s="31">
        <v>79.848473319791708</v>
      </c>
      <c r="AY560" s="31">
        <v>5.0515266802082976</v>
      </c>
    </row>
    <row r="561" spans="31:51" x14ac:dyDescent="0.25">
      <c r="AE561">
        <v>6.1319999999999997</v>
      </c>
      <c r="AF561">
        <v>6</v>
      </c>
      <c r="AG561">
        <v>1</v>
      </c>
      <c r="AH561">
        <v>2</v>
      </c>
      <c r="AI561">
        <v>2.9999999999563443</v>
      </c>
      <c r="AJ561">
        <v>6.1322299999999998</v>
      </c>
      <c r="AK561">
        <v>6.1321300000000001</v>
      </c>
      <c r="AL561">
        <v>0</v>
      </c>
      <c r="AM561">
        <v>0</v>
      </c>
      <c r="AN561">
        <v>0</v>
      </c>
      <c r="AO561">
        <v>3.7060699033938107</v>
      </c>
      <c r="AP561">
        <v>0</v>
      </c>
      <c r="AQ561">
        <v>0</v>
      </c>
      <c r="AR561" t="str">
        <v>1613.par</v>
      </c>
      <c r="AV561" t="str">
        <v>127,0,255</v>
      </c>
      <c r="AW561" s="31">
        <v>68.099999999999994</v>
      </c>
      <c r="AX561" s="31">
        <v>64.393930096606184</v>
      </c>
      <c r="AY561" s="31">
        <v>3.7060699033938107</v>
      </c>
    </row>
    <row r="562" spans="31:51" x14ac:dyDescent="0.25">
      <c r="AE562">
        <v>6.1260000000000003</v>
      </c>
      <c r="AF562">
        <v>6</v>
      </c>
      <c r="AG562">
        <v>1</v>
      </c>
      <c r="AH562">
        <v>2</v>
      </c>
      <c r="AI562">
        <v>3.0000000000291038</v>
      </c>
      <c r="AJ562">
        <v>6.1262300000000005</v>
      </c>
      <c r="AK562">
        <v>6.1261300000000007</v>
      </c>
      <c r="AL562">
        <v>0</v>
      </c>
      <c r="AM562">
        <v>0</v>
      </c>
      <c r="AN562">
        <v>0</v>
      </c>
      <c r="AO562">
        <v>2.2606131265792442</v>
      </c>
      <c r="AP562">
        <v>0</v>
      </c>
      <c r="AQ562">
        <v>0</v>
      </c>
      <c r="AR562" t="str">
        <v>1613.par</v>
      </c>
      <c r="AV562" t="str">
        <v>127,0,255</v>
      </c>
      <c r="AW562" s="31">
        <v>51.199999999999989</v>
      </c>
      <c r="AX562" s="31">
        <v>48.939386873420744</v>
      </c>
      <c r="AY562" s="31">
        <v>2.2606131265792442</v>
      </c>
    </row>
    <row r="563" spans="31:51" x14ac:dyDescent="0.25">
      <c r="AE563">
        <v>6.12</v>
      </c>
      <c r="AF563">
        <v>6</v>
      </c>
      <c r="AG563">
        <v>1</v>
      </c>
      <c r="AH563">
        <v>2</v>
      </c>
      <c r="AI563">
        <v>3.0000000000291038</v>
      </c>
      <c r="AJ563">
        <v>6.1202300000000003</v>
      </c>
      <c r="AK563">
        <v>6.1201300000000005</v>
      </c>
      <c r="AL563">
        <v>0</v>
      </c>
      <c r="AM563">
        <v>0</v>
      </c>
      <c r="AN563">
        <v>0</v>
      </c>
      <c r="AO563">
        <v>0.61515634976471745</v>
      </c>
      <c r="AP563">
        <v>0</v>
      </c>
      <c r="AQ563">
        <v>0</v>
      </c>
      <c r="AR563" t="str">
        <v>1613.par</v>
      </c>
      <c r="AV563" t="str">
        <v>127,0,255</v>
      </c>
      <c r="AW563" s="31">
        <v>34.099999999999994</v>
      </c>
      <c r="AX563" s="31">
        <v>33.484843650235277</v>
      </c>
      <c r="AY563" s="31">
        <v>0.61515634976471745</v>
      </c>
    </row>
    <row r="564" spans="31:51" x14ac:dyDescent="0.25">
      <c r="AE564">
        <v>6.1139999999999999</v>
      </c>
      <c r="AF564">
        <v>6</v>
      </c>
      <c r="AG564">
        <v>1</v>
      </c>
      <c r="AH564">
        <v>2</v>
      </c>
      <c r="AI564">
        <v>3.0000000000291038</v>
      </c>
      <c r="AJ564">
        <v>6.1142300000000001</v>
      </c>
      <c r="AK564">
        <v>6.1141300000000003</v>
      </c>
      <c r="AL564">
        <v>0</v>
      </c>
      <c r="AM564">
        <v>0</v>
      </c>
      <c r="AN564">
        <v>0</v>
      </c>
      <c r="AO564">
        <v>-1.3303004270497745</v>
      </c>
      <c r="AP564">
        <v>0</v>
      </c>
      <c r="AQ564">
        <v>0</v>
      </c>
      <c r="AR564" t="str">
        <v>1613.par</v>
      </c>
      <c r="AV564" t="str">
        <v>127,0,255</v>
      </c>
      <c r="AW564" s="31">
        <v>16.700000000000003</v>
      </c>
      <c r="AX564" s="31">
        <v>18.030300427049777</v>
      </c>
      <c r="AY564" s="31">
        <v>-1.3303004270497745</v>
      </c>
    </row>
    <row r="565" spans="31:51" x14ac:dyDescent="0.25">
      <c r="AE565">
        <v>5.2450000000000001</v>
      </c>
      <c r="AF565">
        <v>5</v>
      </c>
      <c r="AG565">
        <v>2</v>
      </c>
      <c r="AH565">
        <v>2</v>
      </c>
      <c r="AI565">
        <v>3.0000000000291038</v>
      </c>
      <c r="AJ565">
        <v>5.2452300000000003</v>
      </c>
      <c r="AK565">
        <v>5.2451300000000005</v>
      </c>
      <c r="AL565">
        <v>0</v>
      </c>
      <c r="AM565">
        <v>0</v>
      </c>
      <c r="AN565">
        <v>0</v>
      </c>
      <c r="AO565">
        <v>1.2431300135062884E-5</v>
      </c>
      <c r="AP565">
        <v>0</v>
      </c>
      <c r="AQ565">
        <v>0</v>
      </c>
      <c r="AR565" t="str">
        <v>32193r1.par</v>
      </c>
      <c r="AV565" t="str">
        <v>121,188,255</v>
      </c>
      <c r="AW565" s="31">
        <v>86.1</v>
      </c>
      <c r="AX565" s="31">
        <v>86.099987568699859</v>
      </c>
      <c r="AY565" s="31">
        <v>1.2431300135062884E-5</v>
      </c>
    </row>
    <row r="566" spans="31:51" x14ac:dyDescent="0.25">
      <c r="AE566">
        <v>5.2389999999999999</v>
      </c>
      <c r="AF566">
        <v>5</v>
      </c>
      <c r="AG566">
        <v>2</v>
      </c>
      <c r="AH566">
        <v>2</v>
      </c>
      <c r="AI566">
        <v>3.0000000000291038</v>
      </c>
      <c r="AJ566">
        <v>5.2392300000000001</v>
      </c>
      <c r="AK566">
        <v>5.2391300000000003</v>
      </c>
      <c r="AL566">
        <v>0</v>
      </c>
      <c r="AM566">
        <v>0</v>
      </c>
      <c r="AN566">
        <v>0</v>
      </c>
      <c r="AO566">
        <v>1.2431300135062884E-5</v>
      </c>
      <c r="AP566">
        <v>0</v>
      </c>
      <c r="AQ566">
        <v>0</v>
      </c>
      <c r="AR566" t="str">
        <v>32193r1.par</v>
      </c>
      <c r="AV566" t="str">
        <v>121,188,255</v>
      </c>
      <c r="AW566" s="31">
        <v>86.1</v>
      </c>
      <c r="AX566" s="31">
        <v>86.099987568699859</v>
      </c>
      <c r="AY566" s="31">
        <v>1.2431300135062884E-5</v>
      </c>
    </row>
    <row r="567" spans="31:51" x14ac:dyDescent="0.25">
      <c r="AE567">
        <v>5.2329999999999997</v>
      </c>
      <c r="AF567">
        <v>5</v>
      </c>
      <c r="AG567">
        <v>2</v>
      </c>
      <c r="AH567">
        <v>2</v>
      </c>
      <c r="AI567">
        <v>2.9999999999563443</v>
      </c>
      <c r="AJ567">
        <v>5.2332299999999998</v>
      </c>
      <c r="AK567">
        <v>5.2331300000000001</v>
      </c>
      <c r="AL567">
        <v>0</v>
      </c>
      <c r="AM567">
        <v>0</v>
      </c>
      <c r="AN567">
        <v>0</v>
      </c>
      <c r="AO567">
        <v>3.9303126995295372</v>
      </c>
      <c r="AP567">
        <v>0</v>
      </c>
      <c r="AQ567">
        <v>0</v>
      </c>
      <c r="AR567" t="str">
        <v>1313.par</v>
      </c>
      <c r="AV567" t="str">
        <v>121,188,255</v>
      </c>
      <c r="AW567" s="31">
        <v>70.900000000000006</v>
      </c>
      <c r="AX567" s="31">
        <v>66.969687300470468</v>
      </c>
      <c r="AY567" s="31">
        <v>3.9303126995295372</v>
      </c>
    </row>
    <row r="568" spans="31:51" x14ac:dyDescent="0.25">
      <c r="AE568">
        <v>5.2270000000000003</v>
      </c>
      <c r="AF568">
        <v>5</v>
      </c>
      <c r="AG568">
        <v>2</v>
      </c>
      <c r="AH568">
        <v>2</v>
      </c>
      <c r="AI568">
        <v>3.0000000000291038</v>
      </c>
      <c r="AJ568">
        <v>5.2272300000000005</v>
      </c>
      <c r="AK568">
        <v>5.2271300000000007</v>
      </c>
      <c r="AL568">
        <v>0</v>
      </c>
      <c r="AM568">
        <v>0</v>
      </c>
      <c r="AN568">
        <v>0</v>
      </c>
      <c r="AO568">
        <v>2.5848559227150503</v>
      </c>
      <c r="AP568">
        <v>0</v>
      </c>
      <c r="AQ568">
        <v>0</v>
      </c>
      <c r="AR568" t="str">
        <v>1313.par</v>
      </c>
      <c r="AV568" t="str">
        <v>121,188,255</v>
      </c>
      <c r="AW568" s="31">
        <v>54.099999999999994</v>
      </c>
      <c r="AX568" s="31">
        <v>51.515144077284944</v>
      </c>
      <c r="AY568" s="31">
        <v>2.5848559227150503</v>
      </c>
    </row>
    <row r="569" spans="31:51" x14ac:dyDescent="0.25">
      <c r="AE569">
        <v>5.2210000000000001</v>
      </c>
      <c r="AF569">
        <v>5</v>
      </c>
      <c r="AG569">
        <v>2</v>
      </c>
      <c r="AH569">
        <v>2</v>
      </c>
      <c r="AI569">
        <v>3.0000000000291038</v>
      </c>
      <c r="AJ569">
        <v>5.2212300000000003</v>
      </c>
      <c r="AK569">
        <v>5.2211300000000005</v>
      </c>
      <c r="AL569">
        <v>0</v>
      </c>
      <c r="AM569">
        <v>0</v>
      </c>
      <c r="AN569">
        <v>0</v>
      </c>
      <c r="AO569">
        <v>0.93939914590057327</v>
      </c>
      <c r="AP569">
        <v>0</v>
      </c>
      <c r="AQ569">
        <v>0</v>
      </c>
      <c r="AR569" t="str">
        <v>1313.par</v>
      </c>
      <c r="AV569" t="str">
        <v>121,188,255</v>
      </c>
      <c r="AW569" s="31">
        <v>37</v>
      </c>
      <c r="AX569" s="31">
        <v>36.060600854099427</v>
      </c>
      <c r="AY569" s="31">
        <v>0.93939914590057327</v>
      </c>
    </row>
    <row r="570" spans="31:51" x14ac:dyDescent="0.25">
      <c r="AE570">
        <v>5.2149999999999999</v>
      </c>
      <c r="AF570">
        <v>5</v>
      </c>
      <c r="AG570">
        <v>2</v>
      </c>
      <c r="AH570">
        <v>2</v>
      </c>
      <c r="AI570">
        <v>3.0000000000291038</v>
      </c>
      <c r="AJ570">
        <v>5.21523</v>
      </c>
      <c r="AK570">
        <v>5.2151300000000003</v>
      </c>
      <c r="AL570">
        <v>0</v>
      </c>
      <c r="AM570">
        <v>0</v>
      </c>
      <c r="AN570">
        <v>0</v>
      </c>
      <c r="AO570">
        <v>-1.0060576309139471</v>
      </c>
      <c r="AP570">
        <v>0</v>
      </c>
      <c r="AQ570">
        <v>0</v>
      </c>
      <c r="AR570" t="str">
        <v>1310.par</v>
      </c>
      <c r="AV570" t="str">
        <v>121,188,255</v>
      </c>
      <c r="AW570" s="31">
        <v>19.599999999999994</v>
      </c>
      <c r="AX570" s="31">
        <v>20.606057630913941</v>
      </c>
      <c r="AY570" s="31">
        <v>-1.0060576309139471</v>
      </c>
    </row>
    <row r="571" spans="31:51" x14ac:dyDescent="0.25">
      <c r="AE571">
        <v>5.1449999999999996</v>
      </c>
      <c r="AF571">
        <v>5</v>
      </c>
      <c r="AG571">
        <v>1</v>
      </c>
      <c r="AH571">
        <v>2</v>
      </c>
      <c r="AI571">
        <v>2.9999999999563443</v>
      </c>
      <c r="AJ571">
        <v>5.1452299999999997</v>
      </c>
      <c r="AK571">
        <v>5.14513</v>
      </c>
      <c r="AL571">
        <v>0</v>
      </c>
      <c r="AM571">
        <v>0</v>
      </c>
      <c r="AN571">
        <v>0</v>
      </c>
      <c r="AO571">
        <v>1.100012272479816</v>
      </c>
      <c r="AP571">
        <v>0</v>
      </c>
      <c r="AQ571">
        <v>0</v>
      </c>
      <c r="AR571" t="str">
        <v>1613.par</v>
      </c>
      <c r="AV571" t="str">
        <v>0,102,204</v>
      </c>
      <c r="AW571" s="31">
        <v>86.1</v>
      </c>
      <c r="AX571" s="31">
        <v>84.999987727520178</v>
      </c>
      <c r="AY571" s="31">
        <v>1.100012272479816</v>
      </c>
    </row>
    <row r="572" spans="31:51" x14ac:dyDescent="0.25">
      <c r="AE572">
        <v>5.1390000000000002</v>
      </c>
      <c r="AF572">
        <v>5</v>
      </c>
      <c r="AG572">
        <v>1</v>
      </c>
      <c r="AH572">
        <v>2</v>
      </c>
      <c r="AI572">
        <v>3.0000000000291038</v>
      </c>
      <c r="AJ572">
        <v>5.1392300000000004</v>
      </c>
      <c r="AK572">
        <v>5.1391300000000006</v>
      </c>
      <c r="AL572">
        <v>0</v>
      </c>
      <c r="AM572">
        <v>0</v>
      </c>
      <c r="AN572">
        <v>0</v>
      </c>
      <c r="AO572">
        <v>3.6757694763440298</v>
      </c>
      <c r="AP572">
        <v>0</v>
      </c>
      <c r="AQ572">
        <v>0</v>
      </c>
      <c r="AR572" t="str">
        <v>1613.par</v>
      </c>
      <c r="AV572" t="str">
        <v>0,102,204</v>
      </c>
      <c r="AW572" s="31">
        <v>86.1</v>
      </c>
      <c r="AX572" s="31">
        <v>82.424230523655964</v>
      </c>
      <c r="AY572" s="31">
        <v>3.6757694763440298</v>
      </c>
    </row>
    <row r="573" spans="31:51" x14ac:dyDescent="0.25">
      <c r="AE573">
        <v>5.133</v>
      </c>
      <c r="AF573">
        <v>5</v>
      </c>
      <c r="AG573">
        <v>1</v>
      </c>
      <c r="AH573">
        <v>2</v>
      </c>
      <c r="AI573">
        <v>3.0000000000291038</v>
      </c>
      <c r="AJ573">
        <v>5.1332300000000002</v>
      </c>
      <c r="AK573">
        <v>5.1331300000000004</v>
      </c>
      <c r="AL573">
        <v>0</v>
      </c>
      <c r="AM573">
        <v>0</v>
      </c>
      <c r="AN573">
        <v>0</v>
      </c>
      <c r="AO573">
        <v>3.930312699529523</v>
      </c>
      <c r="AP573">
        <v>0</v>
      </c>
      <c r="AQ573">
        <v>0</v>
      </c>
      <c r="AR573" t="str">
        <v>1613 Ripper.par</v>
      </c>
      <c r="AV573" t="str">
        <v>0,102,204</v>
      </c>
      <c r="AW573" s="31">
        <v>70.900000000000006</v>
      </c>
      <c r="AX573" s="31">
        <v>66.969687300470483</v>
      </c>
      <c r="AY573" s="31">
        <v>3.930312699529523</v>
      </c>
    </row>
    <row r="574" spans="31:51" x14ac:dyDescent="0.25">
      <c r="AE574">
        <v>5.1269999999999998</v>
      </c>
      <c r="AF574">
        <v>5</v>
      </c>
      <c r="AG574">
        <v>1</v>
      </c>
      <c r="AH574">
        <v>2</v>
      </c>
      <c r="AI574">
        <v>3.0000000000291038</v>
      </c>
      <c r="AJ574">
        <v>5.12723</v>
      </c>
      <c r="AK574">
        <v>5.1271300000000002</v>
      </c>
      <c r="AL574">
        <v>0</v>
      </c>
      <c r="AM574">
        <v>0</v>
      </c>
      <c r="AN574">
        <v>0</v>
      </c>
      <c r="AO574">
        <v>2.5848559227150503</v>
      </c>
      <c r="AP574">
        <v>0</v>
      </c>
      <c r="AQ574">
        <v>0</v>
      </c>
      <c r="AR574" t="str">
        <v>1613 Ripper.par</v>
      </c>
      <c r="AV574" t="str">
        <v>0,102,204</v>
      </c>
      <c r="AW574" s="31">
        <v>54.099999999999994</v>
      </c>
      <c r="AX574" s="31">
        <v>51.515144077284944</v>
      </c>
      <c r="AY574" s="31">
        <v>2.5848559227150503</v>
      </c>
    </row>
    <row r="575" spans="31:51" x14ac:dyDescent="0.25">
      <c r="AE575">
        <v>5.1210000000000004</v>
      </c>
      <c r="AF575">
        <v>5</v>
      </c>
      <c r="AG575">
        <v>1</v>
      </c>
      <c r="AH575">
        <v>2</v>
      </c>
      <c r="AI575">
        <v>3.0000000000291038</v>
      </c>
      <c r="AJ575">
        <v>5.1212300000000006</v>
      </c>
      <c r="AK575">
        <v>5.1211300000000008</v>
      </c>
      <c r="AL575">
        <v>0</v>
      </c>
      <c r="AM575">
        <v>0</v>
      </c>
      <c r="AN575">
        <v>0</v>
      </c>
      <c r="AO575">
        <v>0.93939914590052354</v>
      </c>
      <c r="AP575">
        <v>0</v>
      </c>
      <c r="AQ575">
        <v>0</v>
      </c>
      <c r="AR575" t="str">
        <v>1613 Ripper.par</v>
      </c>
      <c r="AV575" t="str">
        <v>0,102,204</v>
      </c>
      <c r="AW575" s="31">
        <v>37</v>
      </c>
      <c r="AX575" s="31">
        <v>36.060600854099476</v>
      </c>
      <c r="AY575" s="31">
        <v>0.93939914590052354</v>
      </c>
    </row>
    <row r="576" spans="31:51" x14ac:dyDescent="0.25">
      <c r="AE576">
        <v>5.1150000000000002</v>
      </c>
      <c r="AF576">
        <v>5</v>
      </c>
      <c r="AG576">
        <v>1</v>
      </c>
      <c r="AH576">
        <v>2</v>
      </c>
      <c r="AI576">
        <v>3.0000000000291038</v>
      </c>
      <c r="AJ576">
        <v>5.1152300000000004</v>
      </c>
      <c r="AK576">
        <v>5.1151300000000006</v>
      </c>
      <c r="AL576">
        <v>0</v>
      </c>
      <c r="AM576">
        <v>0</v>
      </c>
      <c r="AN576">
        <v>0</v>
      </c>
      <c r="AO576">
        <v>-1.0060576309139577</v>
      </c>
      <c r="AP576">
        <v>0</v>
      </c>
      <c r="AQ576">
        <v>0</v>
      </c>
      <c r="AR576" t="str">
        <v>1613 Ripper.par</v>
      </c>
      <c r="AV576" t="str">
        <v>0,102,204</v>
      </c>
      <c r="AW576" s="31">
        <v>19.599999999999994</v>
      </c>
      <c r="AX576" s="31">
        <v>20.606057630913952</v>
      </c>
      <c r="AY576" s="31">
        <v>-1.0060576309139577</v>
      </c>
    </row>
    <row r="577" spans="31:51" x14ac:dyDescent="0.25">
      <c r="AE577">
        <v>5.109</v>
      </c>
      <c r="AF577">
        <v>5</v>
      </c>
      <c r="AG577">
        <v>1</v>
      </c>
      <c r="AH577">
        <v>2</v>
      </c>
      <c r="AI577">
        <v>3.0000000000291038</v>
      </c>
      <c r="AJ577">
        <v>5.1092300000000002</v>
      </c>
      <c r="AK577">
        <v>5.1091300000000004</v>
      </c>
      <c r="AL577">
        <v>0</v>
      </c>
      <c r="AM577">
        <v>0</v>
      </c>
      <c r="AN577">
        <v>0</v>
      </c>
      <c r="AO577">
        <v>-3.0515144077284759</v>
      </c>
      <c r="AP577">
        <v>0</v>
      </c>
      <c r="AQ577">
        <v>0</v>
      </c>
      <c r="AR577" t="str">
        <v>1613 Ripper.par</v>
      </c>
      <c r="AV577" t="str">
        <v>0,102,204</v>
      </c>
      <c r="AW577" s="31">
        <v>2.0999999999999943</v>
      </c>
      <c r="AX577" s="31">
        <v>5.1515144077284702</v>
      </c>
      <c r="AY577" s="31">
        <v>-3.0515144077284759</v>
      </c>
    </row>
    <row r="578" spans="31:51" x14ac:dyDescent="0.25">
      <c r="AE578">
        <v>5.1059999999999999</v>
      </c>
      <c r="AF578">
        <v>5</v>
      </c>
      <c r="AG578">
        <v>1</v>
      </c>
      <c r="AH578">
        <v>2</v>
      </c>
      <c r="AI578">
        <v>3.0000000000291038</v>
      </c>
      <c r="AJ578">
        <v>5.10623</v>
      </c>
      <c r="AK578">
        <v>5.1061300000000003</v>
      </c>
      <c r="AL578">
        <v>0</v>
      </c>
      <c r="AM578">
        <v>0</v>
      </c>
      <c r="AN578">
        <v>0</v>
      </c>
      <c r="AO578">
        <v>-15.000000144382199</v>
      </c>
      <c r="AP578">
        <v>0</v>
      </c>
      <c r="AQ578">
        <v>0</v>
      </c>
      <c r="AR578" t="str">
        <v>1613.par</v>
      </c>
      <c r="AV578" t="str">
        <v>0,102,204</v>
      </c>
      <c r="AW578" s="31">
        <v>-16</v>
      </c>
      <c r="AX578" s="31">
        <v>-0.99999985561780147</v>
      </c>
      <c r="AY578" s="31">
        <v>-15.000000144382199</v>
      </c>
    </row>
    <row r="579" spans="31:51" x14ac:dyDescent="0.25">
      <c r="AE579">
        <v>5.1029999999999998</v>
      </c>
      <c r="AF579">
        <v>5</v>
      </c>
      <c r="AG579">
        <v>1</v>
      </c>
      <c r="AH579">
        <v>2</v>
      </c>
      <c r="AI579">
        <v>3.0000000000291038</v>
      </c>
      <c r="AJ579">
        <v>5.1032299999999999</v>
      </c>
      <c r="AK579">
        <v>5.1031300000000002</v>
      </c>
      <c r="AL579">
        <v>0</v>
      </c>
      <c r="AM579">
        <v>0</v>
      </c>
      <c r="AN579">
        <v>0</v>
      </c>
      <c r="AO579">
        <v>-16.000000577528553</v>
      </c>
      <c r="AP579">
        <v>0</v>
      </c>
      <c r="AQ579">
        <v>0</v>
      </c>
      <c r="AR579" t="str">
        <v>1613.par</v>
      </c>
      <c r="AV579" t="str">
        <v>0,102,204</v>
      </c>
      <c r="AW579" s="31">
        <v>-20</v>
      </c>
      <c r="AX579" s="31">
        <v>-3.999999422471447</v>
      </c>
      <c r="AY579" s="31">
        <v>-16.000000577528553</v>
      </c>
    </row>
    <row r="580" spans="31:51" x14ac:dyDescent="0.25">
      <c r="AE580">
        <v>4.242</v>
      </c>
      <c r="AF580">
        <v>4</v>
      </c>
      <c r="AG580">
        <v>2</v>
      </c>
      <c r="AH580">
        <v>2</v>
      </c>
      <c r="AI580">
        <v>3.0000000000291038</v>
      </c>
      <c r="AJ580">
        <v>4.2422300000000002</v>
      </c>
      <c r="AK580">
        <v>4.2421300000000004</v>
      </c>
      <c r="AL580">
        <v>0</v>
      </c>
      <c r="AM580">
        <v>0</v>
      </c>
      <c r="AN580">
        <v>0</v>
      </c>
      <c r="AO580">
        <v>1.2431300135062884E-5</v>
      </c>
      <c r="AP580">
        <v>0</v>
      </c>
      <c r="AQ580">
        <v>0</v>
      </c>
      <c r="AR580" t="str">
        <v>32193r1.par</v>
      </c>
      <c r="AV580" t="str">
        <v>91,255,255</v>
      </c>
      <c r="AW580" s="31">
        <v>86.1</v>
      </c>
      <c r="AX580" s="31">
        <v>86.099987568699859</v>
      </c>
      <c r="AY580" s="31">
        <v>1.2431300135062884E-5</v>
      </c>
    </row>
    <row r="581" spans="31:51" x14ac:dyDescent="0.25">
      <c r="AE581">
        <v>4.2359999999999998</v>
      </c>
      <c r="AF581">
        <v>4</v>
      </c>
      <c r="AG581">
        <v>2</v>
      </c>
      <c r="AH581">
        <v>2</v>
      </c>
      <c r="AI581">
        <v>3.0000000000291038</v>
      </c>
      <c r="AJ581">
        <v>4.2362299999999999</v>
      </c>
      <c r="AK581">
        <v>4.2361300000000002</v>
      </c>
      <c r="AL581">
        <v>0</v>
      </c>
      <c r="AM581">
        <v>0</v>
      </c>
      <c r="AN581">
        <v>0</v>
      </c>
      <c r="AO581">
        <v>1.1449501741367385E-5</v>
      </c>
      <c r="AP581">
        <v>0</v>
      </c>
      <c r="AQ581">
        <v>0</v>
      </c>
      <c r="AR581" t="str">
        <v>32193r1.par</v>
      </c>
      <c r="AV581" t="str">
        <v>91,255,255</v>
      </c>
      <c r="AW581" s="31">
        <v>79.300000000000011</v>
      </c>
      <c r="AX581" s="31">
        <v>79.29998855049827</v>
      </c>
      <c r="AY581" s="31">
        <v>1.1449501741367385E-5</v>
      </c>
    </row>
    <row r="582" spans="31:51" x14ac:dyDescent="0.25">
      <c r="AE582">
        <v>4.2300000000000004</v>
      </c>
      <c r="AF582">
        <v>4</v>
      </c>
      <c r="AG582">
        <v>2</v>
      </c>
      <c r="AH582">
        <v>2</v>
      </c>
      <c r="AI582">
        <v>3.0000000000291038</v>
      </c>
      <c r="AJ582">
        <v>4.2302300000000006</v>
      </c>
      <c r="AK582">
        <v>4.2301300000000008</v>
      </c>
      <c r="AL582">
        <v>0</v>
      </c>
      <c r="AM582">
        <v>0</v>
      </c>
      <c r="AN582">
        <v>0</v>
      </c>
      <c r="AO582">
        <v>9.0238822139099284E-6</v>
      </c>
      <c r="AP582">
        <v>0</v>
      </c>
      <c r="AQ582">
        <v>0</v>
      </c>
      <c r="AR582" t="str">
        <v>32193r1.par</v>
      </c>
      <c r="AV582" t="str">
        <v>91,255,255</v>
      </c>
      <c r="AW582" s="31">
        <v>62.5</v>
      </c>
      <c r="AX582" s="31">
        <v>62.499990976117786</v>
      </c>
      <c r="AY582" s="31">
        <v>9.0238822139099284E-6</v>
      </c>
    </row>
    <row r="583" spans="31:51" x14ac:dyDescent="0.25">
      <c r="AE583">
        <v>4.2240000000000002</v>
      </c>
      <c r="AF583">
        <v>4</v>
      </c>
      <c r="AG583">
        <v>2</v>
      </c>
      <c r="AH583">
        <v>2</v>
      </c>
      <c r="AI583">
        <v>3.0000000000291038</v>
      </c>
      <c r="AJ583">
        <v>4.2242300000000004</v>
      </c>
      <c r="AK583">
        <v>4.2241300000000006</v>
      </c>
      <c r="AL583">
        <v>0</v>
      </c>
      <c r="AM583">
        <v>0</v>
      </c>
      <c r="AN583">
        <v>0</v>
      </c>
      <c r="AO583">
        <v>1.8121275343077983</v>
      </c>
      <c r="AP583">
        <v>0</v>
      </c>
      <c r="AQ583">
        <v>0</v>
      </c>
      <c r="AR583" t="str">
        <v>1313.par</v>
      </c>
      <c r="AV583" t="str">
        <v>91,255,255</v>
      </c>
      <c r="AW583" s="31">
        <v>45.599999999999994</v>
      </c>
      <c r="AX583" s="31">
        <v>43.787872465692196</v>
      </c>
      <c r="AY583" s="31">
        <v>1.8121275343077983</v>
      </c>
    </row>
    <row r="584" spans="31:51" x14ac:dyDescent="0.25">
      <c r="AE584">
        <v>4.218</v>
      </c>
      <c r="AF584">
        <v>4</v>
      </c>
      <c r="AG584">
        <v>2</v>
      </c>
      <c r="AH584">
        <v>2</v>
      </c>
      <c r="AI584">
        <v>3.0000000000291038</v>
      </c>
      <c r="AJ584">
        <v>4.2182300000000001</v>
      </c>
      <c r="AK584">
        <v>4.2181300000000004</v>
      </c>
      <c r="AL584">
        <v>0</v>
      </c>
      <c r="AM584">
        <v>0</v>
      </c>
      <c r="AN584">
        <v>0</v>
      </c>
      <c r="AO584">
        <v>-3.3329242506752621E-2</v>
      </c>
      <c r="AP584">
        <v>0</v>
      </c>
      <c r="AQ584">
        <v>0</v>
      </c>
      <c r="AR584" t="str">
        <v>1310.par</v>
      </c>
      <c r="AV584" t="str">
        <v>91,255,255</v>
      </c>
      <c r="AW584" s="31">
        <v>28.299999999999997</v>
      </c>
      <c r="AX584" s="31">
        <v>28.33332924250675</v>
      </c>
      <c r="AY584" s="31">
        <v>-3.3329242506752621E-2</v>
      </c>
    </row>
    <row r="585" spans="31:51" x14ac:dyDescent="0.25">
      <c r="AE585">
        <v>4.1420000000000003</v>
      </c>
      <c r="AF585">
        <v>4</v>
      </c>
      <c r="AG585">
        <v>1</v>
      </c>
      <c r="AH585">
        <v>2</v>
      </c>
      <c r="AI585">
        <v>3.0000000000291038</v>
      </c>
      <c r="AJ585">
        <v>4.1422300000000005</v>
      </c>
      <c r="AK585">
        <v>4.1421300000000008</v>
      </c>
      <c r="AL585">
        <v>0</v>
      </c>
      <c r="AM585">
        <v>0</v>
      </c>
      <c r="AN585">
        <v>0</v>
      </c>
      <c r="AO585">
        <v>1.1000122724798018</v>
      </c>
      <c r="AP585">
        <v>0</v>
      </c>
      <c r="AQ585">
        <v>0</v>
      </c>
      <c r="AR585" t="str">
        <v>1613.par</v>
      </c>
      <c r="AV585" t="str">
        <v>0,204,204</v>
      </c>
      <c r="AW585" s="31">
        <v>86.1</v>
      </c>
      <c r="AX585" s="31">
        <v>84.999987727520192</v>
      </c>
      <c r="AY585" s="31">
        <v>1.1000122724798018</v>
      </c>
    </row>
    <row r="586" spans="31:51" x14ac:dyDescent="0.25">
      <c r="AE586">
        <v>4.1360000000000001</v>
      </c>
      <c r="AF586">
        <v>4</v>
      </c>
      <c r="AG586">
        <v>1</v>
      </c>
      <c r="AH586">
        <v>2</v>
      </c>
      <c r="AI586">
        <v>3.0000000000291038</v>
      </c>
      <c r="AJ586">
        <v>4.1362300000000003</v>
      </c>
      <c r="AK586">
        <v>4.1361300000000005</v>
      </c>
      <c r="AL586">
        <v>0</v>
      </c>
      <c r="AM586">
        <v>0</v>
      </c>
      <c r="AN586">
        <v>0</v>
      </c>
      <c r="AO586">
        <v>4.6030410879367736</v>
      </c>
      <c r="AP586">
        <v>0</v>
      </c>
      <c r="AQ586">
        <v>0</v>
      </c>
      <c r="AR586" t="str">
        <v>1613.par</v>
      </c>
      <c r="AV586" t="str">
        <v>0,204,204</v>
      </c>
      <c r="AW586" s="31">
        <v>79.300000000000011</v>
      </c>
      <c r="AX586" s="31">
        <v>74.696958912063238</v>
      </c>
      <c r="AY586" s="31">
        <v>4.6030410879367736</v>
      </c>
    </row>
    <row r="587" spans="31:51" x14ac:dyDescent="0.25">
      <c r="AE587">
        <v>4.13</v>
      </c>
      <c r="AF587">
        <v>4</v>
      </c>
      <c r="AG587">
        <v>1</v>
      </c>
      <c r="AH587">
        <v>2</v>
      </c>
      <c r="AI587">
        <v>3.0000000000291038</v>
      </c>
      <c r="AJ587">
        <v>4.1302300000000001</v>
      </c>
      <c r="AK587">
        <v>4.1301300000000003</v>
      </c>
      <c r="AL587">
        <v>0</v>
      </c>
      <c r="AM587">
        <v>0</v>
      </c>
      <c r="AN587">
        <v>0</v>
      </c>
      <c r="AO587">
        <v>3.2575843111222724</v>
      </c>
      <c r="AP587">
        <v>0</v>
      </c>
      <c r="AQ587">
        <v>0</v>
      </c>
      <c r="AR587" t="str">
        <v>1613.par</v>
      </c>
      <c r="AV587" t="str">
        <v>0,204,204</v>
      </c>
      <c r="AW587" s="31">
        <v>62.5</v>
      </c>
      <c r="AX587" s="31">
        <v>59.242415688877728</v>
      </c>
      <c r="AY587" s="31">
        <v>3.2575843111222724</v>
      </c>
    </row>
    <row r="588" spans="31:51" x14ac:dyDescent="0.25">
      <c r="AE588">
        <v>4.1239999999999997</v>
      </c>
      <c r="AF588">
        <v>4</v>
      </c>
      <c r="AG588">
        <v>1</v>
      </c>
      <c r="AH588">
        <v>2</v>
      </c>
      <c r="AI588">
        <v>2.9999999999563443</v>
      </c>
      <c r="AJ588">
        <v>4.1242299999999998</v>
      </c>
      <c r="AK588">
        <v>4.1241300000000001</v>
      </c>
      <c r="AL588">
        <v>0</v>
      </c>
      <c r="AM588">
        <v>0</v>
      </c>
      <c r="AN588">
        <v>0</v>
      </c>
      <c r="AO588">
        <v>1.8121275343077485</v>
      </c>
      <c r="AP588">
        <v>0</v>
      </c>
      <c r="AQ588">
        <v>0</v>
      </c>
      <c r="AR588" t="str">
        <v>1613.par</v>
      </c>
      <c r="AV588" t="str">
        <v>0,204,204</v>
      </c>
      <c r="AW588" s="31">
        <v>45.599999999999994</v>
      </c>
      <c r="AX588" s="31">
        <v>43.787872465692246</v>
      </c>
      <c r="AY588" s="31">
        <v>1.8121275343077485</v>
      </c>
    </row>
    <row r="589" spans="31:51" x14ac:dyDescent="0.25">
      <c r="AE589">
        <v>4.1180000000000003</v>
      </c>
      <c r="AF589">
        <v>4</v>
      </c>
      <c r="AG589">
        <v>1</v>
      </c>
      <c r="AH589">
        <v>2</v>
      </c>
      <c r="AI589">
        <v>3.0000000000291038</v>
      </c>
      <c r="AJ589">
        <v>4.1182300000000005</v>
      </c>
      <c r="AK589">
        <v>4.1181300000000007</v>
      </c>
      <c r="AL589">
        <v>0</v>
      </c>
      <c r="AM589">
        <v>0</v>
      </c>
      <c r="AN589">
        <v>0</v>
      </c>
      <c r="AO589">
        <v>-3.3329242506759726E-2</v>
      </c>
      <c r="AP589">
        <v>0</v>
      </c>
      <c r="AQ589">
        <v>0</v>
      </c>
      <c r="AR589" t="str">
        <v>1613.par</v>
      </c>
      <c r="AV589" t="str">
        <v>0,204,204</v>
      </c>
      <c r="AW589" s="31">
        <v>28.299999999999997</v>
      </c>
      <c r="AX589" s="31">
        <v>28.333329242506757</v>
      </c>
      <c r="AY589" s="31">
        <v>-3.3329242506759726E-2</v>
      </c>
    </row>
    <row r="590" spans="31:51" x14ac:dyDescent="0.25">
      <c r="AE590">
        <v>4.1120000000000001</v>
      </c>
      <c r="AF590">
        <v>4</v>
      </c>
      <c r="AG590">
        <v>1</v>
      </c>
      <c r="AH590">
        <v>2</v>
      </c>
      <c r="AI590">
        <v>3.0000000000291038</v>
      </c>
      <c r="AJ590">
        <v>4.1122300000000003</v>
      </c>
      <c r="AK590">
        <v>4.1121300000000005</v>
      </c>
      <c r="AL590">
        <v>0</v>
      </c>
      <c r="AM590">
        <v>0</v>
      </c>
      <c r="AN590">
        <v>0</v>
      </c>
      <c r="AO590">
        <v>-1.9787860193211504</v>
      </c>
      <c r="AP590">
        <v>0</v>
      </c>
      <c r="AQ590">
        <v>0</v>
      </c>
      <c r="AR590" t="str">
        <v>1613.par</v>
      </c>
      <c r="AV590" t="str">
        <v>0,204,204</v>
      </c>
      <c r="AW590" s="31">
        <v>10.900000000000006</v>
      </c>
      <c r="AX590" s="31">
        <v>12.878786019321156</v>
      </c>
      <c r="AY590" s="31">
        <v>-1.9787860193211504</v>
      </c>
    </row>
    <row r="591" spans="31:51" x14ac:dyDescent="0.25">
      <c r="AE591">
        <v>3.2429999999999999</v>
      </c>
      <c r="AF591">
        <v>3</v>
      </c>
      <c r="AG591">
        <v>2</v>
      </c>
      <c r="AH591">
        <v>2</v>
      </c>
      <c r="AI591">
        <v>2.999999999992724</v>
      </c>
      <c r="AJ591">
        <v>3.2432300000000001</v>
      </c>
      <c r="AK591">
        <v>3.2431299999999998</v>
      </c>
      <c r="AL591">
        <v>0</v>
      </c>
      <c r="AM591">
        <v>0</v>
      </c>
      <c r="AN591">
        <v>0</v>
      </c>
      <c r="AO591">
        <v>1.2431300149273738E-5</v>
      </c>
      <c r="AP591">
        <v>0</v>
      </c>
      <c r="AQ591">
        <v>0</v>
      </c>
      <c r="AR591" t="str">
        <v>32193r1.par</v>
      </c>
      <c r="AV591" t="str">
        <v>97,255,97</v>
      </c>
      <c r="AW591" s="31">
        <v>86.1</v>
      </c>
      <c r="AX591" s="31">
        <v>86.099987568699845</v>
      </c>
      <c r="AY591" s="31">
        <v>1.2431300149273738E-5</v>
      </c>
    </row>
    <row r="592" spans="31:51" x14ac:dyDescent="0.25">
      <c r="AE592">
        <v>3.2370000000000001</v>
      </c>
      <c r="AF592">
        <v>3</v>
      </c>
      <c r="AG592">
        <v>2</v>
      </c>
      <c r="AH592">
        <v>2</v>
      </c>
      <c r="AI592">
        <v>3.0000000000291038</v>
      </c>
      <c r="AJ592">
        <v>3.2372300000000003</v>
      </c>
      <c r="AK592">
        <v>3.2371300000000001</v>
      </c>
      <c r="AL592">
        <v>0</v>
      </c>
      <c r="AM592">
        <v>0</v>
      </c>
      <c r="AN592">
        <v>0</v>
      </c>
      <c r="AO592">
        <v>4.8272838840725569</v>
      </c>
      <c r="AP592">
        <v>0</v>
      </c>
      <c r="AQ592">
        <v>0</v>
      </c>
      <c r="AR592" t="str">
        <v>1313.par</v>
      </c>
      <c r="AV592" t="str">
        <v>97,255,97</v>
      </c>
      <c r="AW592" s="31">
        <v>82.1</v>
      </c>
      <c r="AX592" s="31">
        <v>77.272716115927437</v>
      </c>
      <c r="AY592" s="31">
        <v>4.8272838840725569</v>
      </c>
    </row>
    <row r="593" spans="31:51" x14ac:dyDescent="0.25">
      <c r="AE593">
        <v>3.2309999999999999</v>
      </c>
      <c r="AF593">
        <v>3</v>
      </c>
      <c r="AG593">
        <v>2</v>
      </c>
      <c r="AH593">
        <v>2</v>
      </c>
      <c r="AI593">
        <v>2.999999999992724</v>
      </c>
      <c r="AJ593">
        <v>3.23123</v>
      </c>
      <c r="AK593">
        <v>3.2311299999999998</v>
      </c>
      <c r="AL593">
        <v>0</v>
      </c>
      <c r="AM593">
        <v>0</v>
      </c>
      <c r="AN593">
        <v>0</v>
      </c>
      <c r="AO593">
        <v>3.4818271072580202</v>
      </c>
      <c r="AP593">
        <v>0</v>
      </c>
      <c r="AQ593">
        <v>0</v>
      </c>
      <c r="AR593" t="str">
        <v>1313.par</v>
      </c>
      <c r="AV593" t="str">
        <v>97,255,97</v>
      </c>
      <c r="AW593" s="31">
        <v>65.300000000000011</v>
      </c>
      <c r="AX593" s="31">
        <v>61.818172892741991</v>
      </c>
      <c r="AY593" s="31">
        <v>3.4818271072580202</v>
      </c>
    </row>
    <row r="594" spans="31:51" x14ac:dyDescent="0.25">
      <c r="AE594">
        <v>3.2250000000000001</v>
      </c>
      <c r="AF594">
        <v>3</v>
      </c>
      <c r="AG594">
        <v>2</v>
      </c>
      <c r="AH594">
        <v>2</v>
      </c>
      <c r="AI594">
        <v>3.0000000000291038</v>
      </c>
      <c r="AJ594">
        <v>3.2252300000000003</v>
      </c>
      <c r="AK594">
        <v>3.2251300000000001</v>
      </c>
      <c r="AL594">
        <v>0</v>
      </c>
      <c r="AM594">
        <v>0</v>
      </c>
      <c r="AN594">
        <v>0</v>
      </c>
      <c r="AO594">
        <v>2.0363703304435177</v>
      </c>
      <c r="AP594">
        <v>0</v>
      </c>
      <c r="AQ594">
        <v>0</v>
      </c>
      <c r="AR594" t="str">
        <v>1313.par</v>
      </c>
      <c r="AV594" t="str">
        <v>97,255,97</v>
      </c>
      <c r="AW594" s="31">
        <v>48.400000000000006</v>
      </c>
      <c r="AX594" s="31">
        <v>46.363629669556488</v>
      </c>
      <c r="AY594" s="31">
        <v>2.0363703304435177</v>
      </c>
    </row>
    <row r="595" spans="31:51" x14ac:dyDescent="0.25">
      <c r="AE595">
        <v>3.2189999999999999</v>
      </c>
      <c r="AF595">
        <v>3</v>
      </c>
      <c r="AG595">
        <v>2</v>
      </c>
      <c r="AH595">
        <v>2</v>
      </c>
      <c r="AI595">
        <v>2.999999999992724</v>
      </c>
      <c r="AJ595">
        <v>3.21923</v>
      </c>
      <c r="AK595">
        <v>3.2191299999999998</v>
      </c>
      <c r="AL595">
        <v>0</v>
      </c>
      <c r="AM595">
        <v>0</v>
      </c>
      <c r="AN595">
        <v>0</v>
      </c>
      <c r="AO595">
        <v>0.29091355362900728</v>
      </c>
      <c r="AP595">
        <v>0</v>
      </c>
      <c r="AQ595">
        <v>0</v>
      </c>
      <c r="AR595" t="str">
        <v>1313.par</v>
      </c>
      <c r="AV595" t="str">
        <v>97,255,97</v>
      </c>
      <c r="AW595" s="31">
        <v>31.200000000000003</v>
      </c>
      <c r="AX595" s="31">
        <v>30.909086446370996</v>
      </c>
      <c r="AY595" s="31">
        <v>0.29091355362900728</v>
      </c>
    </row>
    <row r="596" spans="31:51" x14ac:dyDescent="0.25">
      <c r="AE596">
        <v>3.2130000000000001</v>
      </c>
      <c r="AF596">
        <v>3</v>
      </c>
      <c r="AG596">
        <v>2</v>
      </c>
      <c r="AH596">
        <v>2</v>
      </c>
      <c r="AI596">
        <v>3.0000000000291038</v>
      </c>
      <c r="AJ596">
        <v>3.2132300000000003</v>
      </c>
      <c r="AK596">
        <v>3.21313</v>
      </c>
      <c r="AL596">
        <v>0</v>
      </c>
      <c r="AM596">
        <v>0</v>
      </c>
      <c r="AN596">
        <v>0</v>
      </c>
      <c r="AO596">
        <v>-1.6545432231855663</v>
      </c>
      <c r="AP596">
        <v>0</v>
      </c>
      <c r="AQ596">
        <v>0</v>
      </c>
      <c r="AR596" t="str">
        <v>1310.par</v>
      </c>
      <c r="AV596" t="str">
        <v>97,255,97</v>
      </c>
      <c r="AW596" s="31">
        <v>13.799999999999997</v>
      </c>
      <c r="AX596" s="31">
        <v>15.454543223185564</v>
      </c>
      <c r="AY596" s="31">
        <v>-1.6545432231855663</v>
      </c>
    </row>
    <row r="597" spans="31:51" x14ac:dyDescent="0.25">
      <c r="AE597">
        <v>3.1429999999999998</v>
      </c>
      <c r="AF597">
        <v>3</v>
      </c>
      <c r="AG597">
        <v>1</v>
      </c>
      <c r="AH597">
        <v>2</v>
      </c>
      <c r="AI597">
        <v>2.999999999992724</v>
      </c>
      <c r="AJ597">
        <v>3.14323</v>
      </c>
      <c r="AK597">
        <v>3.1431299999999998</v>
      </c>
      <c r="AL597">
        <v>0</v>
      </c>
      <c r="AM597">
        <v>0</v>
      </c>
      <c r="AN597">
        <v>0</v>
      </c>
      <c r="AO597">
        <v>1.1000122724798018</v>
      </c>
      <c r="AP597">
        <v>0</v>
      </c>
      <c r="AQ597">
        <v>0</v>
      </c>
      <c r="AR597" t="str">
        <v>1613.par</v>
      </c>
      <c r="AV597" t="str">
        <v>0,204,0</v>
      </c>
      <c r="AW597" s="31">
        <v>86.1</v>
      </c>
      <c r="AX597" s="31">
        <v>84.999987727520192</v>
      </c>
      <c r="AY597" s="31">
        <v>1.1000122724798018</v>
      </c>
    </row>
    <row r="598" spans="31:51" x14ac:dyDescent="0.25">
      <c r="AE598">
        <v>3.137</v>
      </c>
      <c r="AF598">
        <v>3</v>
      </c>
      <c r="AG598">
        <v>1</v>
      </c>
      <c r="AH598">
        <v>2</v>
      </c>
      <c r="AI598">
        <v>3.0000000000291038</v>
      </c>
      <c r="AJ598">
        <v>3.1372300000000002</v>
      </c>
      <c r="AK598">
        <v>3.13713</v>
      </c>
      <c r="AL598">
        <v>0</v>
      </c>
      <c r="AM598">
        <v>0</v>
      </c>
      <c r="AN598">
        <v>0</v>
      </c>
      <c r="AO598">
        <v>4.8272838840725569</v>
      </c>
      <c r="AP598">
        <v>0</v>
      </c>
      <c r="AQ598">
        <v>0</v>
      </c>
      <c r="AR598" t="str">
        <v>1613 Ripper.par</v>
      </c>
      <c r="AV598" t="str">
        <v>0,204,0</v>
      </c>
      <c r="AW598" s="31">
        <v>82.1</v>
      </c>
      <c r="AX598" s="31">
        <v>77.272716115927437</v>
      </c>
      <c r="AY598" s="31">
        <v>4.8272838840725569</v>
      </c>
    </row>
    <row r="599" spans="31:51" x14ac:dyDescent="0.25">
      <c r="AE599">
        <v>3.1309999999999998</v>
      </c>
      <c r="AF599">
        <v>3</v>
      </c>
      <c r="AG599">
        <v>1</v>
      </c>
      <c r="AH599">
        <v>2</v>
      </c>
      <c r="AI599">
        <v>2.999999999992724</v>
      </c>
      <c r="AJ599">
        <v>3.13123</v>
      </c>
      <c r="AK599">
        <v>3.1311299999999997</v>
      </c>
      <c r="AL599">
        <v>0</v>
      </c>
      <c r="AM599">
        <v>0</v>
      </c>
      <c r="AN599">
        <v>0</v>
      </c>
      <c r="AO599">
        <v>3.4818271072580202</v>
      </c>
      <c r="AP599">
        <v>0</v>
      </c>
      <c r="AQ599">
        <v>0</v>
      </c>
      <c r="AR599" t="str">
        <v>1613 Ripper.par</v>
      </c>
      <c r="AV599" t="str">
        <v>0,204,0</v>
      </c>
      <c r="AW599" s="31">
        <v>65.300000000000011</v>
      </c>
      <c r="AX599" s="31">
        <v>61.818172892741991</v>
      </c>
      <c r="AY599" s="31">
        <v>3.4818271072580202</v>
      </c>
    </row>
    <row r="600" spans="31:51" x14ac:dyDescent="0.25">
      <c r="AE600">
        <v>3.125</v>
      </c>
      <c r="AF600">
        <v>3</v>
      </c>
      <c r="AG600">
        <v>1</v>
      </c>
      <c r="AH600">
        <v>2</v>
      </c>
      <c r="AI600">
        <v>3.0000000000291038</v>
      </c>
      <c r="AJ600">
        <v>3.1252300000000002</v>
      </c>
      <c r="AK600">
        <v>3.12513</v>
      </c>
      <c r="AL600">
        <v>0</v>
      </c>
      <c r="AM600">
        <v>0</v>
      </c>
      <c r="AN600">
        <v>0</v>
      </c>
      <c r="AO600">
        <v>2.0363703304435532</v>
      </c>
      <c r="AP600">
        <v>0</v>
      </c>
      <c r="AQ600">
        <v>0</v>
      </c>
      <c r="AR600" t="str">
        <v>1613 Ripper.par</v>
      </c>
      <c r="AV600" t="str">
        <v>0,204,0</v>
      </c>
      <c r="AW600" s="31">
        <v>48.400000000000006</v>
      </c>
      <c r="AX600" s="31">
        <v>46.363629669556452</v>
      </c>
      <c r="AY600" s="31">
        <v>2.0363703304435532</v>
      </c>
    </row>
    <row r="601" spans="31:51" x14ac:dyDescent="0.25">
      <c r="AE601">
        <v>3.1190000000000002</v>
      </c>
      <c r="AF601">
        <v>3</v>
      </c>
      <c r="AG601">
        <v>1</v>
      </c>
      <c r="AH601">
        <v>2</v>
      </c>
      <c r="AI601">
        <v>3.0000000000291038</v>
      </c>
      <c r="AJ601">
        <v>3.1192300000000004</v>
      </c>
      <c r="AK601">
        <v>3.1191300000000002</v>
      </c>
      <c r="AL601">
        <v>0</v>
      </c>
      <c r="AM601">
        <v>0</v>
      </c>
      <c r="AN601">
        <v>0</v>
      </c>
      <c r="AO601">
        <v>0.2909135536290961</v>
      </c>
      <c r="AP601">
        <v>0</v>
      </c>
      <c r="AQ601">
        <v>0</v>
      </c>
      <c r="AR601" t="str">
        <v>1613 Ripper.par</v>
      </c>
      <c r="AV601" t="str">
        <v>0,204,0</v>
      </c>
      <c r="AW601" s="31">
        <v>31.200000000000003</v>
      </c>
      <c r="AX601" s="31">
        <v>30.909086446370907</v>
      </c>
      <c r="AY601" s="31">
        <v>0.2909135536290961</v>
      </c>
    </row>
    <row r="602" spans="31:51" x14ac:dyDescent="0.25">
      <c r="AE602">
        <v>3.113</v>
      </c>
      <c r="AF602">
        <v>3</v>
      </c>
      <c r="AG602">
        <v>1</v>
      </c>
      <c r="AH602">
        <v>2</v>
      </c>
      <c r="AI602">
        <v>3.0000000000291038</v>
      </c>
      <c r="AJ602">
        <v>3.1132300000000002</v>
      </c>
      <c r="AK602">
        <v>3.11313</v>
      </c>
      <c r="AL602">
        <v>0</v>
      </c>
      <c r="AM602">
        <v>0</v>
      </c>
      <c r="AN602">
        <v>0</v>
      </c>
      <c r="AO602">
        <v>-1.6545432231855575</v>
      </c>
      <c r="AP602">
        <v>0</v>
      </c>
      <c r="AQ602">
        <v>0</v>
      </c>
      <c r="AR602" t="str">
        <v>1613 Ripper.par</v>
      </c>
      <c r="AV602" t="str">
        <v>0,204,0</v>
      </c>
      <c r="AW602" s="31">
        <v>13.799999999999997</v>
      </c>
      <c r="AX602" s="31">
        <v>15.454543223185555</v>
      </c>
      <c r="AY602" s="31">
        <v>-1.6545432231855575</v>
      </c>
    </row>
    <row r="603" spans="31:51" x14ac:dyDescent="0.25">
      <c r="AE603">
        <v>3.1080000000000001</v>
      </c>
      <c r="AF603">
        <v>3</v>
      </c>
      <c r="AG603">
        <v>1</v>
      </c>
      <c r="AH603">
        <v>2</v>
      </c>
      <c r="AI603">
        <v>3.0000000000291038</v>
      </c>
      <c r="AJ603">
        <v>3.1082300000000003</v>
      </c>
      <c r="AK603">
        <v>3.1081300000000001</v>
      </c>
      <c r="AL603">
        <v>0</v>
      </c>
      <c r="AM603">
        <v>0</v>
      </c>
      <c r="AN603">
        <v>0</v>
      </c>
      <c r="AO603">
        <v>-6.3757572038640493</v>
      </c>
      <c r="AP603">
        <v>0</v>
      </c>
      <c r="AQ603">
        <v>0</v>
      </c>
      <c r="AR603" t="str">
        <v>1613.par</v>
      </c>
      <c r="AV603" t="str">
        <v>0,204,0</v>
      </c>
      <c r="AW603" s="31">
        <v>-3.7999999999999972</v>
      </c>
      <c r="AX603" s="31">
        <v>2.5757572038640517</v>
      </c>
      <c r="AY603" s="31">
        <v>-6.3757572038640493</v>
      </c>
    </row>
    <row r="604" spans="31:51" x14ac:dyDescent="0.25">
      <c r="AE604">
        <v>3.105</v>
      </c>
      <c r="AF604">
        <v>3</v>
      </c>
      <c r="AG604">
        <v>1</v>
      </c>
      <c r="AH604">
        <v>2</v>
      </c>
      <c r="AI604">
        <v>3.0000000000291038</v>
      </c>
      <c r="AJ604">
        <v>3.1052300000000002</v>
      </c>
      <c r="AK604">
        <v>3.1051299999999999</v>
      </c>
      <c r="AL604">
        <v>0</v>
      </c>
      <c r="AM604">
        <v>0</v>
      </c>
      <c r="AN604">
        <v>0</v>
      </c>
      <c r="AO604">
        <v>-18.000000288764291</v>
      </c>
      <c r="AP604">
        <v>0</v>
      </c>
      <c r="AQ604">
        <v>0</v>
      </c>
      <c r="AR604" t="str">
        <v>1613.par</v>
      </c>
      <c r="AV604" t="str">
        <v>0,204,0</v>
      </c>
      <c r="AW604" s="31">
        <v>-20</v>
      </c>
      <c r="AX604" s="31">
        <v>-1.9999997112357091</v>
      </c>
      <c r="AY604" s="31">
        <v>-18.000000288764291</v>
      </c>
    </row>
    <row r="605" spans="31:51" x14ac:dyDescent="0.25">
      <c r="AE605">
        <v>3.1019999999999999</v>
      </c>
      <c r="AF605">
        <v>3</v>
      </c>
      <c r="AG605">
        <v>1</v>
      </c>
      <c r="AH605">
        <v>2</v>
      </c>
      <c r="AI605">
        <v>2.999999999992724</v>
      </c>
      <c r="AJ605">
        <v>3.10223</v>
      </c>
      <c r="AK605">
        <v>3.1021299999999998</v>
      </c>
      <c r="AL605">
        <v>0</v>
      </c>
      <c r="AM605">
        <v>0</v>
      </c>
      <c r="AN605">
        <v>0</v>
      </c>
      <c r="AO605">
        <v>-14.00000086629267</v>
      </c>
      <c r="AP605">
        <v>0</v>
      </c>
      <c r="AQ605">
        <v>0</v>
      </c>
      <c r="AR605" t="str">
        <v>1613.par</v>
      </c>
      <c r="AV605" t="str">
        <v>0,204,0</v>
      </c>
      <c r="AW605" s="31">
        <v>-20</v>
      </c>
      <c r="AX605" s="31">
        <v>-5.9999991337073313</v>
      </c>
      <c r="AY605" s="31">
        <v>-14.00000086629267</v>
      </c>
    </row>
    <row r="606" spans="31:51" x14ac:dyDescent="0.25">
      <c r="AE606">
        <v>2.2400000000000002</v>
      </c>
      <c r="AF606">
        <v>2</v>
      </c>
      <c r="AG606">
        <v>2</v>
      </c>
      <c r="AH606">
        <v>2</v>
      </c>
      <c r="AI606">
        <v>3.0000000000291038</v>
      </c>
      <c r="AJ606">
        <v>2.2402300000000004</v>
      </c>
      <c r="AK606">
        <v>2.2401300000000002</v>
      </c>
      <c r="AL606">
        <v>0</v>
      </c>
      <c r="AM606">
        <v>0</v>
      </c>
      <c r="AN606">
        <v>0</v>
      </c>
      <c r="AO606">
        <v>1.2431300135062884E-5</v>
      </c>
      <c r="AP606">
        <v>0</v>
      </c>
      <c r="AQ606">
        <v>0</v>
      </c>
      <c r="AR606" t="str">
        <v>32193r1.par</v>
      </c>
      <c r="AV606" t="str">
        <v>255,255,91</v>
      </c>
      <c r="AW606" s="31">
        <v>86.1</v>
      </c>
      <c r="AX606" s="31">
        <v>86.099987568699859</v>
      </c>
      <c r="AY606" s="31">
        <v>1.2431300135062884E-5</v>
      </c>
    </row>
    <row r="607" spans="31:51" x14ac:dyDescent="0.25">
      <c r="AE607">
        <v>2.234</v>
      </c>
      <c r="AF607">
        <v>2</v>
      </c>
      <c r="AG607">
        <v>2</v>
      </c>
      <c r="AH607">
        <v>2</v>
      </c>
      <c r="AI607">
        <v>3.0000000000291038</v>
      </c>
      <c r="AJ607">
        <v>2.2342300000000002</v>
      </c>
      <c r="AK607">
        <v>2.2341299999999999</v>
      </c>
      <c r="AL607">
        <v>0</v>
      </c>
      <c r="AM607">
        <v>0</v>
      </c>
      <c r="AN607">
        <v>0</v>
      </c>
      <c r="AO607">
        <v>1.0640961889407663E-5</v>
      </c>
      <c r="AP607">
        <v>0</v>
      </c>
      <c r="AQ607">
        <v>0</v>
      </c>
      <c r="AR607" t="str">
        <v>32193r1.par</v>
      </c>
      <c r="AV607" t="str">
        <v>255,255,91</v>
      </c>
      <c r="AW607" s="31">
        <v>73.699999999999989</v>
      </c>
      <c r="AX607" s="31">
        <v>73.699989359038099</v>
      </c>
      <c r="AY607" s="31">
        <v>1.0640961889407663E-5</v>
      </c>
    </row>
    <row r="608" spans="31:51" x14ac:dyDescent="0.25">
      <c r="AE608">
        <v>2.2280000000000002</v>
      </c>
      <c r="AF608">
        <v>2</v>
      </c>
      <c r="AG608">
        <v>2</v>
      </c>
      <c r="AH608">
        <v>2</v>
      </c>
      <c r="AI608">
        <v>3.0000000000291038</v>
      </c>
      <c r="AJ608">
        <v>2.2282300000000004</v>
      </c>
      <c r="AK608">
        <v>2.2281300000000002</v>
      </c>
      <c r="AL608">
        <v>0</v>
      </c>
      <c r="AM608">
        <v>0</v>
      </c>
      <c r="AN608">
        <v>0</v>
      </c>
      <c r="AO608">
        <v>2.8090987188508123</v>
      </c>
      <c r="AP608">
        <v>0</v>
      </c>
      <c r="AQ608">
        <v>0</v>
      </c>
      <c r="AR608" t="str">
        <v>1313.par</v>
      </c>
      <c r="AV608" t="str">
        <v>255,255,91</v>
      </c>
      <c r="AW608" s="31">
        <v>56.900000000000006</v>
      </c>
      <c r="AX608" s="31">
        <v>54.090901281149193</v>
      </c>
      <c r="AY608" s="31">
        <v>2.8090987188508123</v>
      </c>
    </row>
    <row r="609" spans="31:51" x14ac:dyDescent="0.25">
      <c r="AE609">
        <v>2.222</v>
      </c>
      <c r="AF609">
        <v>2</v>
      </c>
      <c r="AG609">
        <v>2</v>
      </c>
      <c r="AH609">
        <v>2</v>
      </c>
      <c r="AI609">
        <v>3.0000000000291038</v>
      </c>
      <c r="AJ609">
        <v>2.2222300000000001</v>
      </c>
      <c r="AK609">
        <v>2.2221299999999999</v>
      </c>
      <c r="AL609">
        <v>0</v>
      </c>
      <c r="AM609">
        <v>0</v>
      </c>
      <c r="AN609">
        <v>0</v>
      </c>
      <c r="AO609">
        <v>1.1636419420363353</v>
      </c>
      <c r="AP609">
        <v>0</v>
      </c>
      <c r="AQ609">
        <v>0</v>
      </c>
      <c r="AR609" t="str">
        <v>1313.par</v>
      </c>
      <c r="AV609" t="str">
        <v>255,255,91</v>
      </c>
      <c r="AW609" s="31">
        <v>39.800000000000011</v>
      </c>
      <c r="AX609" s="31">
        <v>38.636358057963676</v>
      </c>
      <c r="AY609" s="31">
        <v>1.1636419420363353</v>
      </c>
    </row>
    <row r="610" spans="31:51" x14ac:dyDescent="0.25">
      <c r="AE610">
        <v>2.2160000000000002</v>
      </c>
      <c r="AF610">
        <v>2</v>
      </c>
      <c r="AG610">
        <v>2</v>
      </c>
      <c r="AH610">
        <v>2</v>
      </c>
      <c r="AI610">
        <v>3.0000000000291038</v>
      </c>
      <c r="AJ610">
        <v>2.2162300000000004</v>
      </c>
      <c r="AK610">
        <v>2.2161300000000002</v>
      </c>
      <c r="AL610">
        <v>0</v>
      </c>
      <c r="AM610">
        <v>0</v>
      </c>
      <c r="AN610">
        <v>0</v>
      </c>
      <c r="AO610">
        <v>-0.68181483477824756</v>
      </c>
      <c r="AP610">
        <v>0</v>
      </c>
      <c r="AQ610">
        <v>0</v>
      </c>
      <c r="AR610" t="str">
        <v>1310.par</v>
      </c>
      <c r="AV610" t="str">
        <v>255,255,91</v>
      </c>
      <c r="AW610" s="31">
        <v>22.5</v>
      </c>
      <c r="AX610" s="31">
        <v>23.181814834778248</v>
      </c>
      <c r="AY610" s="31">
        <v>-0.68181483477824756</v>
      </c>
    </row>
    <row r="611" spans="31:51" x14ac:dyDescent="0.25">
      <c r="AE611">
        <v>2.14</v>
      </c>
      <c r="AF611">
        <v>2</v>
      </c>
      <c r="AG611">
        <v>1</v>
      </c>
      <c r="AH611">
        <v>2</v>
      </c>
      <c r="AI611">
        <v>3.0000000000291038</v>
      </c>
      <c r="AJ611">
        <v>2.1402300000000003</v>
      </c>
      <c r="AK611">
        <v>2.1401300000000001</v>
      </c>
      <c r="AL611">
        <v>0</v>
      </c>
      <c r="AM611">
        <v>0</v>
      </c>
      <c r="AN611">
        <v>0</v>
      </c>
      <c r="AO611">
        <v>1.100012272479816</v>
      </c>
      <c r="AP611">
        <v>0</v>
      </c>
      <c r="AQ611">
        <v>0</v>
      </c>
      <c r="AR611" t="str">
        <v>1613.par</v>
      </c>
      <c r="AV611" t="str">
        <v>204,204,0</v>
      </c>
      <c r="AW611" s="31">
        <v>86.1</v>
      </c>
      <c r="AX611" s="31">
        <v>84.999987727520178</v>
      </c>
      <c r="AY611" s="31">
        <v>1.100012272479816</v>
      </c>
    </row>
    <row r="612" spans="31:51" x14ac:dyDescent="0.25">
      <c r="AE612">
        <v>2.1339999999999999</v>
      </c>
      <c r="AF612">
        <v>2</v>
      </c>
      <c r="AG612">
        <v>1</v>
      </c>
      <c r="AH612">
        <v>2</v>
      </c>
      <c r="AI612">
        <v>2.999999999992724</v>
      </c>
      <c r="AJ612">
        <v>2.1342300000000001</v>
      </c>
      <c r="AK612">
        <v>2.1341299999999999</v>
      </c>
      <c r="AL612">
        <v>0</v>
      </c>
      <c r="AM612">
        <v>0</v>
      </c>
      <c r="AN612">
        <v>0</v>
      </c>
      <c r="AO612">
        <v>4.1545554956652353</v>
      </c>
      <c r="AP612">
        <v>0</v>
      </c>
      <c r="AQ612">
        <v>0</v>
      </c>
      <c r="AR612" t="str">
        <v>1613.par</v>
      </c>
      <c r="AV612" t="str">
        <v>204,204,0</v>
      </c>
      <c r="AW612" s="31">
        <v>73.699999999999989</v>
      </c>
      <c r="AX612" s="31">
        <v>69.545444504334753</v>
      </c>
      <c r="AY612" s="31">
        <v>4.1545554956652353</v>
      </c>
    </row>
    <row r="613" spans="31:51" x14ac:dyDescent="0.25">
      <c r="AE613">
        <v>2.1280000000000001</v>
      </c>
      <c r="AF613">
        <v>2</v>
      </c>
      <c r="AG613">
        <v>1</v>
      </c>
      <c r="AH613">
        <v>2</v>
      </c>
      <c r="AI613">
        <v>3.0000000000291038</v>
      </c>
      <c r="AJ613">
        <v>2.1282300000000003</v>
      </c>
      <c r="AK613">
        <v>2.1281300000000001</v>
      </c>
      <c r="AL613">
        <v>0</v>
      </c>
      <c r="AM613">
        <v>0</v>
      </c>
      <c r="AN613">
        <v>0</v>
      </c>
      <c r="AO613">
        <v>2.8090987188507484</v>
      </c>
      <c r="AP613">
        <v>0</v>
      </c>
      <c r="AQ613">
        <v>0</v>
      </c>
      <c r="AR613" t="str">
        <v>1613.par</v>
      </c>
      <c r="AV613" t="str">
        <v>204,204,0</v>
      </c>
      <c r="AW613" s="31">
        <v>56.900000000000006</v>
      </c>
      <c r="AX613" s="31">
        <v>54.090901281149257</v>
      </c>
      <c r="AY613" s="31">
        <v>2.8090987188507484</v>
      </c>
    </row>
    <row r="614" spans="31:51" x14ac:dyDescent="0.25">
      <c r="AE614">
        <v>2.1219999999999999</v>
      </c>
      <c r="AF614">
        <v>2</v>
      </c>
      <c r="AG614">
        <v>1</v>
      </c>
      <c r="AH614">
        <v>2</v>
      </c>
      <c r="AI614">
        <v>2.999999999992724</v>
      </c>
      <c r="AJ614">
        <v>2.1222300000000001</v>
      </c>
      <c r="AK614">
        <v>2.1221299999999998</v>
      </c>
      <c r="AL614">
        <v>0</v>
      </c>
      <c r="AM614">
        <v>0</v>
      </c>
      <c r="AN614">
        <v>0</v>
      </c>
      <c r="AO614">
        <v>1.1636419420363566</v>
      </c>
      <c r="AP614">
        <v>0</v>
      </c>
      <c r="AQ614">
        <v>0</v>
      </c>
      <c r="AR614" t="str">
        <v>1613.par</v>
      </c>
      <c r="AV614" t="str">
        <v>204,204,0</v>
      </c>
      <c r="AW614" s="31">
        <v>39.800000000000011</v>
      </c>
      <c r="AX614" s="31">
        <v>38.636358057963655</v>
      </c>
      <c r="AY614" s="31">
        <v>1.1636419420363566</v>
      </c>
    </row>
    <row r="615" spans="31:51" x14ac:dyDescent="0.25">
      <c r="AE615">
        <v>2.1160000000000001</v>
      </c>
      <c r="AF615">
        <v>2</v>
      </c>
      <c r="AG615">
        <v>1</v>
      </c>
      <c r="AH615">
        <v>2</v>
      </c>
      <c r="AI615">
        <v>3.0000000000291038</v>
      </c>
      <c r="AJ615">
        <v>2.1162300000000003</v>
      </c>
      <c r="AK615">
        <v>2.1161300000000001</v>
      </c>
      <c r="AL615">
        <v>0</v>
      </c>
      <c r="AM615">
        <v>0</v>
      </c>
      <c r="AN615">
        <v>0</v>
      </c>
      <c r="AO615">
        <v>-0.68181483477831151</v>
      </c>
      <c r="AP615">
        <v>0</v>
      </c>
      <c r="AQ615">
        <v>0</v>
      </c>
      <c r="AR615" t="str">
        <v>1613.par</v>
      </c>
      <c r="AV615" t="str">
        <v>204,204,0</v>
      </c>
      <c r="AW615" s="31">
        <v>22.5</v>
      </c>
      <c r="AX615" s="31">
        <v>23.181814834778312</v>
      </c>
      <c r="AY615" s="31">
        <v>-0.68181483477831151</v>
      </c>
    </row>
    <row r="616" spans="31:51" x14ac:dyDescent="0.25">
      <c r="AE616">
        <v>2.11</v>
      </c>
      <c r="AF616">
        <v>2</v>
      </c>
      <c r="AG616">
        <v>1</v>
      </c>
      <c r="AH616">
        <v>2</v>
      </c>
      <c r="AI616">
        <v>2.999999999992724</v>
      </c>
      <c r="AJ616">
        <v>2.1102300000000001</v>
      </c>
      <c r="AK616">
        <v>2.1101299999999998</v>
      </c>
      <c r="AL616">
        <v>0</v>
      </c>
      <c r="AM616">
        <v>0</v>
      </c>
      <c r="AN616">
        <v>0</v>
      </c>
      <c r="AO616">
        <v>-2.6272716115927555</v>
      </c>
      <c r="AP616">
        <v>0</v>
      </c>
      <c r="AQ616">
        <v>0</v>
      </c>
      <c r="AR616" t="str">
        <v>1613.par</v>
      </c>
      <c r="AV616" t="str">
        <v>204,204,0</v>
      </c>
      <c r="AW616" s="31">
        <v>5.0999999999999943</v>
      </c>
      <c r="AX616" s="31">
        <v>7.7272716115927498</v>
      </c>
      <c r="AY616" s="31">
        <v>-2.6272716115927555</v>
      </c>
    </row>
    <row r="617" spans="31:51" x14ac:dyDescent="0.25">
      <c r="AE617">
        <v>1.2410000000000001</v>
      </c>
      <c r="AF617">
        <v>1</v>
      </c>
      <c r="AG617">
        <v>2</v>
      </c>
      <c r="AH617">
        <v>2</v>
      </c>
      <c r="AI617">
        <v>3.0000000000109139</v>
      </c>
      <c r="AJ617">
        <v>1.2412300000000001</v>
      </c>
      <c r="AK617">
        <v>1.2411300000000001</v>
      </c>
      <c r="AL617">
        <v>0</v>
      </c>
      <c r="AM617">
        <v>0</v>
      </c>
      <c r="AN617">
        <v>0</v>
      </c>
      <c r="AO617">
        <v>1.2431300149273738E-5</v>
      </c>
      <c r="AP617">
        <v>0</v>
      </c>
      <c r="AQ617">
        <v>0</v>
      </c>
      <c r="AR617" t="str">
        <v>32193r1.par</v>
      </c>
      <c r="AV617" t="str">
        <v>255,188,121</v>
      </c>
      <c r="AW617" s="31">
        <v>86.1</v>
      </c>
      <c r="AX617" s="31">
        <v>86.099987568699845</v>
      </c>
      <c r="AY617" s="31">
        <v>1.2431300149273738E-5</v>
      </c>
    </row>
    <row r="618" spans="31:51" x14ac:dyDescent="0.25">
      <c r="AE618">
        <v>1.2350000000000001</v>
      </c>
      <c r="AF618">
        <v>1</v>
      </c>
      <c r="AG618">
        <v>2</v>
      </c>
      <c r="AH618">
        <v>2</v>
      </c>
      <c r="AI618">
        <v>3.0000000000109139</v>
      </c>
      <c r="AJ618">
        <v>1.2352300000000001</v>
      </c>
      <c r="AK618">
        <v>1.2351300000000001</v>
      </c>
      <c r="AL618">
        <v>0</v>
      </c>
      <c r="AM618">
        <v>0</v>
      </c>
      <c r="AN618">
        <v>0</v>
      </c>
      <c r="AO618">
        <v>4.3787982918010329</v>
      </c>
      <c r="AP618">
        <v>0</v>
      </c>
      <c r="AQ618">
        <v>0</v>
      </c>
      <c r="AR618" t="str">
        <v>1313.par</v>
      </c>
      <c r="AV618" t="str">
        <v>255,188,121</v>
      </c>
      <c r="AW618" s="31">
        <v>76.5</v>
      </c>
      <c r="AX618" s="31">
        <v>72.121201708198967</v>
      </c>
      <c r="AY618" s="31">
        <v>4.3787982918010329</v>
      </c>
    </row>
    <row r="619" spans="31:51" x14ac:dyDescent="0.25">
      <c r="AE619">
        <v>1.2290000000000001</v>
      </c>
      <c r="AF619">
        <v>1</v>
      </c>
      <c r="AG619">
        <v>2</v>
      </c>
      <c r="AH619">
        <v>2</v>
      </c>
      <c r="AI619">
        <v>3.0000000000109139</v>
      </c>
      <c r="AJ619">
        <v>1.22923</v>
      </c>
      <c r="AK619">
        <v>1.2291300000000001</v>
      </c>
      <c r="AL619">
        <v>0</v>
      </c>
      <c r="AM619">
        <v>0</v>
      </c>
      <c r="AN619">
        <v>0</v>
      </c>
      <c r="AO619">
        <v>3.0333415149865388</v>
      </c>
      <c r="AP619">
        <v>0</v>
      </c>
      <c r="AQ619">
        <v>0</v>
      </c>
      <c r="AR619" t="str">
        <v>1313.par</v>
      </c>
      <c r="AV619" t="str">
        <v>255,188,121</v>
      </c>
      <c r="AW619" s="31">
        <v>59.699999999999989</v>
      </c>
      <c r="AX619" s="31">
        <v>56.66665848501345</v>
      </c>
      <c r="AY619" s="31">
        <v>3.0333415149865388</v>
      </c>
    </row>
    <row r="620" spans="31:51" x14ac:dyDescent="0.25">
      <c r="AE620">
        <v>1.2230000000000001</v>
      </c>
      <c r="AF620">
        <v>1</v>
      </c>
      <c r="AG620">
        <v>2</v>
      </c>
      <c r="AH620">
        <v>2</v>
      </c>
      <c r="AI620">
        <v>3.0000000000109139</v>
      </c>
      <c r="AJ620">
        <v>1.22323</v>
      </c>
      <c r="AK620">
        <v>1.2231300000000001</v>
      </c>
      <c r="AL620">
        <v>0</v>
      </c>
      <c r="AM620">
        <v>0</v>
      </c>
      <c r="AN620">
        <v>0</v>
      </c>
      <c r="AO620">
        <v>1.4878847381720561</v>
      </c>
      <c r="AP620">
        <v>0</v>
      </c>
      <c r="AQ620">
        <v>0</v>
      </c>
      <c r="AR620" t="str">
        <v>1313.par</v>
      </c>
      <c r="AV620" t="str">
        <v>255,188,121</v>
      </c>
      <c r="AW620" s="31">
        <v>42.699999999999989</v>
      </c>
      <c r="AX620" s="31">
        <v>41.212115261827932</v>
      </c>
      <c r="AY620" s="31">
        <v>1.4878847381720561</v>
      </c>
    </row>
    <row r="621" spans="31:51" x14ac:dyDescent="0.25">
      <c r="AE621">
        <v>1.2170000000000001</v>
      </c>
      <c r="AF621">
        <v>1</v>
      </c>
      <c r="AG621">
        <v>2</v>
      </c>
      <c r="AH621">
        <v>2</v>
      </c>
      <c r="AI621">
        <v>3.0000000000109139</v>
      </c>
      <c r="AJ621">
        <v>1.21723</v>
      </c>
      <c r="AK621">
        <v>1.21713</v>
      </c>
      <c r="AL621">
        <v>0</v>
      </c>
      <c r="AM621">
        <v>0</v>
      </c>
      <c r="AN621">
        <v>0</v>
      </c>
      <c r="AO621">
        <v>-0.35757203864251608</v>
      </c>
      <c r="AP621">
        <v>0</v>
      </c>
      <c r="AQ621">
        <v>0</v>
      </c>
      <c r="AR621" t="str">
        <v>1313.par</v>
      </c>
      <c r="AV621" t="str">
        <v>255,188,121</v>
      </c>
      <c r="AW621" s="31">
        <v>25.400000000000006</v>
      </c>
      <c r="AX621" s="31">
        <v>25.757572038642522</v>
      </c>
      <c r="AY621" s="31">
        <v>-0.35757203864251608</v>
      </c>
    </row>
    <row r="622" spans="31:51" x14ac:dyDescent="0.25">
      <c r="AE622">
        <v>1.2110000000000001</v>
      </c>
      <c r="AF622">
        <v>1</v>
      </c>
      <c r="AG622">
        <v>2</v>
      </c>
      <c r="AH622">
        <v>2</v>
      </c>
      <c r="AI622">
        <v>3.0000000000109139</v>
      </c>
      <c r="AJ622">
        <v>1.21123</v>
      </c>
      <c r="AK622">
        <v>1.21113</v>
      </c>
      <c r="AL622">
        <v>0</v>
      </c>
      <c r="AM622">
        <v>0</v>
      </c>
      <c r="AN622">
        <v>0</v>
      </c>
      <c r="AO622">
        <v>-2.3030288154569813</v>
      </c>
      <c r="AP622">
        <v>0</v>
      </c>
      <c r="AQ622">
        <v>0</v>
      </c>
      <c r="AR622" t="str">
        <v>1310.par</v>
      </c>
      <c r="AV622" t="str">
        <v>255,188,121</v>
      </c>
      <c r="AW622" s="31">
        <v>8</v>
      </c>
      <c r="AX622" s="31">
        <v>10.303028815456981</v>
      </c>
      <c r="AY622" s="31">
        <v>-2.3030288154569813</v>
      </c>
    </row>
    <row r="623" spans="31:51" x14ac:dyDescent="0.25">
      <c r="AE623">
        <v>1.141</v>
      </c>
      <c r="AF623">
        <v>1</v>
      </c>
      <c r="AG623">
        <v>1</v>
      </c>
      <c r="AH623">
        <v>2</v>
      </c>
      <c r="AI623">
        <v>2.999999999992724</v>
      </c>
      <c r="AJ623">
        <v>1.14123</v>
      </c>
      <c r="AK623">
        <v>1.14113</v>
      </c>
      <c r="AL623">
        <v>0</v>
      </c>
      <c r="AM623">
        <v>0</v>
      </c>
      <c r="AN623">
        <v>0</v>
      </c>
      <c r="AO623">
        <v>1.100012272479816</v>
      </c>
      <c r="AP623">
        <v>0</v>
      </c>
      <c r="AQ623">
        <v>0</v>
      </c>
      <c r="AR623" t="str">
        <v>1613.par</v>
      </c>
      <c r="AV623" t="str">
        <v>255,127,0</v>
      </c>
      <c r="AW623" s="31">
        <v>86.1</v>
      </c>
      <c r="AX623" s="31">
        <v>84.999987727520178</v>
      </c>
      <c r="AY623" s="31">
        <v>1.100012272479816</v>
      </c>
    </row>
    <row r="624" spans="31:51" x14ac:dyDescent="0.25">
      <c r="AE624">
        <v>1.135</v>
      </c>
      <c r="AF624">
        <v>1</v>
      </c>
      <c r="AG624">
        <v>1</v>
      </c>
      <c r="AH624">
        <v>2</v>
      </c>
      <c r="AI624">
        <v>2.999999999992724</v>
      </c>
      <c r="AJ624">
        <v>1.13523</v>
      </c>
      <c r="AK624">
        <v>1.13513</v>
      </c>
      <c r="AL624">
        <v>0</v>
      </c>
      <c r="AM624">
        <v>0</v>
      </c>
      <c r="AN624">
        <v>0</v>
      </c>
      <c r="AO624">
        <v>4.3787982918010755</v>
      </c>
      <c r="AP624">
        <v>0</v>
      </c>
      <c r="AQ624">
        <v>0</v>
      </c>
      <c r="AR624" t="str">
        <v>1613 Ripper.par</v>
      </c>
      <c r="AV624" t="str">
        <v>255,127,0</v>
      </c>
      <c r="AW624" s="31">
        <v>76.5</v>
      </c>
      <c r="AX624" s="31">
        <v>72.121201708198925</v>
      </c>
      <c r="AY624" s="31">
        <v>4.3787982918010755</v>
      </c>
    </row>
    <row r="625" spans="31:51" x14ac:dyDescent="0.25">
      <c r="AE625">
        <v>1.129</v>
      </c>
      <c r="AF625">
        <v>1</v>
      </c>
      <c r="AG625">
        <v>1</v>
      </c>
      <c r="AH625">
        <v>2</v>
      </c>
      <c r="AI625">
        <v>2.999999999992724</v>
      </c>
      <c r="AJ625">
        <v>1.12923</v>
      </c>
      <c r="AK625">
        <v>1.12913</v>
      </c>
      <c r="AL625">
        <v>0</v>
      </c>
      <c r="AM625">
        <v>0</v>
      </c>
      <c r="AN625">
        <v>0</v>
      </c>
      <c r="AO625">
        <v>3.0333415149865104</v>
      </c>
      <c r="AP625">
        <v>0</v>
      </c>
      <c r="AQ625">
        <v>0</v>
      </c>
      <c r="AR625" t="str">
        <v>1613 Ripper.par</v>
      </c>
      <c r="AV625" t="str">
        <v>255,127,0</v>
      </c>
      <c r="AW625" s="31">
        <v>59.699999999999989</v>
      </c>
      <c r="AX625" s="31">
        <v>56.666658485013478</v>
      </c>
      <c r="AY625" s="31">
        <v>3.0333415149865104</v>
      </c>
    </row>
    <row r="626" spans="31:51" x14ac:dyDescent="0.25">
      <c r="AE626">
        <v>1.123</v>
      </c>
      <c r="AF626">
        <v>1</v>
      </c>
      <c r="AG626">
        <v>1</v>
      </c>
      <c r="AH626">
        <v>2</v>
      </c>
      <c r="AI626">
        <v>2.999999999992724</v>
      </c>
      <c r="AJ626">
        <v>1.12323</v>
      </c>
      <c r="AK626">
        <v>1.12313</v>
      </c>
      <c r="AL626">
        <v>0</v>
      </c>
      <c r="AM626">
        <v>0</v>
      </c>
      <c r="AN626">
        <v>0</v>
      </c>
      <c r="AO626">
        <v>1.4878847381720348</v>
      </c>
      <c r="AP626">
        <v>0</v>
      </c>
      <c r="AQ626">
        <v>0</v>
      </c>
      <c r="AR626" t="str">
        <v>1613 Ripper.par</v>
      </c>
      <c r="AV626" t="str">
        <v>255,127,0</v>
      </c>
      <c r="AW626" s="31">
        <v>42.699999999999989</v>
      </c>
      <c r="AX626" s="31">
        <v>41.212115261827954</v>
      </c>
      <c r="AY626" s="31">
        <v>1.4878847381720348</v>
      </c>
    </row>
    <row r="627" spans="31:51" x14ac:dyDescent="0.25">
      <c r="AE627">
        <v>1.117</v>
      </c>
      <c r="AF627">
        <v>1</v>
      </c>
      <c r="AG627">
        <v>1</v>
      </c>
      <c r="AH627">
        <v>2</v>
      </c>
      <c r="AI627">
        <v>2.999999999992724</v>
      </c>
      <c r="AJ627">
        <v>1.1172299999999999</v>
      </c>
      <c r="AK627">
        <v>1.11713</v>
      </c>
      <c r="AL627">
        <v>0</v>
      </c>
      <c r="AM627">
        <v>0</v>
      </c>
      <c r="AN627">
        <v>0</v>
      </c>
      <c r="AO627">
        <v>-0.35757203864229226</v>
      </c>
      <c r="AP627">
        <v>0</v>
      </c>
      <c r="AQ627">
        <v>0</v>
      </c>
      <c r="AR627" t="str">
        <v>1613 Ripper.par</v>
      </c>
      <c r="AV627" t="str">
        <v>255,127,0</v>
      </c>
      <c r="AW627" s="31">
        <v>25.400000000000006</v>
      </c>
      <c r="AX627" s="31">
        <v>25.757572038642298</v>
      </c>
      <c r="AY627" s="31">
        <v>-0.35757203864229226</v>
      </c>
    </row>
    <row r="628" spans="31:51" x14ac:dyDescent="0.25">
      <c r="AE628">
        <v>1.111</v>
      </c>
      <c r="AF628">
        <v>1</v>
      </c>
      <c r="AG628">
        <v>1</v>
      </c>
      <c r="AH628">
        <v>2</v>
      </c>
      <c r="AI628">
        <v>2.999999999992724</v>
      </c>
      <c r="AJ628">
        <v>1.1112299999999999</v>
      </c>
      <c r="AK628">
        <v>1.11113</v>
      </c>
      <c r="AL628">
        <v>0</v>
      </c>
      <c r="AM628">
        <v>0</v>
      </c>
      <c r="AN628">
        <v>0</v>
      </c>
      <c r="AO628">
        <v>-2.3030288154569725</v>
      </c>
      <c r="AP628">
        <v>0</v>
      </c>
      <c r="AQ628">
        <v>0</v>
      </c>
      <c r="AR628" t="str">
        <v>1613 Ripper.par</v>
      </c>
      <c r="AV628" t="str">
        <v>255,127,0</v>
      </c>
      <c r="AW628" s="31">
        <v>8</v>
      </c>
      <c r="AX628" s="31">
        <v>10.303028815456972</v>
      </c>
      <c r="AY628" s="31">
        <v>-2.3030288154569725</v>
      </c>
    </row>
    <row r="629" spans="31:51" x14ac:dyDescent="0.25">
      <c r="AE629">
        <v>1.107</v>
      </c>
      <c r="AF629">
        <v>1</v>
      </c>
      <c r="AG629">
        <v>1</v>
      </c>
      <c r="AH629">
        <v>2</v>
      </c>
      <c r="AI629">
        <v>2.999999999992724</v>
      </c>
      <c r="AJ629">
        <v>1.1072299999999999</v>
      </c>
      <c r="AK629">
        <v>1.1071299999999999</v>
      </c>
      <c r="AL629">
        <v>0</v>
      </c>
      <c r="AM629">
        <v>0</v>
      </c>
      <c r="AN629">
        <v>0</v>
      </c>
      <c r="AO629">
        <v>-9.9000000000000057</v>
      </c>
      <c r="AP629">
        <v>0</v>
      </c>
      <c r="AQ629">
        <v>0</v>
      </c>
      <c r="AR629" t="str">
        <v>1613.par</v>
      </c>
      <c r="AV629" t="str">
        <v>255,127,0</v>
      </c>
      <c r="AW629" s="31">
        <v>-9.9000000000000057</v>
      </c>
      <c r="AX629" s="31">
        <v>0</v>
      </c>
      <c r="AY629" s="31">
        <v>-9.9000000000000057</v>
      </c>
    </row>
    <row r="630" spans="31:51" x14ac:dyDescent="0.25">
      <c r="AE630">
        <v>1.1040000000000001</v>
      </c>
      <c r="AF630">
        <v>1</v>
      </c>
      <c r="AG630">
        <v>1</v>
      </c>
      <c r="AH630">
        <v>2</v>
      </c>
      <c r="AI630">
        <v>3.0000000000109139</v>
      </c>
      <c r="AJ630">
        <v>1.10423</v>
      </c>
      <c r="AK630">
        <v>1.1041300000000001</v>
      </c>
      <c r="AL630">
        <v>0</v>
      </c>
      <c r="AM630">
        <v>0</v>
      </c>
      <c r="AN630">
        <v>0</v>
      </c>
      <c r="AO630">
        <v>-17.000000433146344</v>
      </c>
      <c r="AP630">
        <v>0</v>
      </c>
      <c r="AQ630">
        <v>0</v>
      </c>
      <c r="AR630" t="str">
        <v>1613.par</v>
      </c>
      <c r="AV630" t="str">
        <v>255,127,0</v>
      </c>
      <c r="AW630" s="31">
        <v>-20</v>
      </c>
      <c r="AX630" s="31">
        <v>-2.9999995668536554</v>
      </c>
      <c r="AY630" s="31">
        <v>-17.000000433146344</v>
      </c>
    </row>
    <row r="631" spans="31:51" x14ac:dyDescent="0.25">
      <c r="AE631">
        <v>1.101</v>
      </c>
      <c r="AF631">
        <v>1</v>
      </c>
      <c r="AG631">
        <v>1</v>
      </c>
      <c r="AH631">
        <v>2</v>
      </c>
      <c r="AI631">
        <v>2.999999999992724</v>
      </c>
      <c r="AJ631">
        <v>1.1012299999999999</v>
      </c>
      <c r="AK631">
        <v>1.1011299999999999</v>
      </c>
      <c r="AL631">
        <v>0</v>
      </c>
      <c r="AM631">
        <v>0</v>
      </c>
      <c r="AN631">
        <v>0</v>
      </c>
      <c r="AO631">
        <v>-11.00000129943904</v>
      </c>
      <c r="AP631">
        <v>0</v>
      </c>
      <c r="AQ631">
        <v>0</v>
      </c>
      <c r="AR631" t="str">
        <v>1613.par</v>
      </c>
      <c r="AV631" t="str">
        <v>255,127,0</v>
      </c>
      <c r="AW631" s="31">
        <v>-20</v>
      </c>
      <c r="AX631" s="31">
        <v>-8.9999987005609601</v>
      </c>
      <c r="AY631" s="31">
        <v>-11.00000129943904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5" t="str">
        <f>CONCATENATE(Settings!$C$19," ",Settings!$B$28)</f>
        <v>9.625 2362r00</v>
      </c>
      <c r="D1" s="1185"/>
      <c r="E1" s="1185"/>
      <c r="F1" s="1185"/>
      <c r="G1" s="1185"/>
      <c r="H1" s="1185"/>
      <c r="I1" s="1185"/>
      <c r="J1" s="1185"/>
      <c r="K1" s="1185"/>
      <c r="M1" s="103" t="s">
        <v>310</v>
      </c>
      <c r="N1" s="1438" t="s">
        <v>312</v>
      </c>
      <c r="O1" s="143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4" t="str">
        <f>Settings!B28</f>
        <v>2362r00</v>
      </c>
      <c r="C2" s="1435"/>
      <c r="D2" s="1435"/>
      <c r="E2" s="1435"/>
      <c r="F2" s="1435"/>
      <c r="G2" s="1435"/>
      <c r="H2" s="1435"/>
      <c r="I2" s="1435"/>
      <c r="J2" s="1435"/>
      <c r="K2" s="1436"/>
      <c r="L2" s="1134" t="str" cm="1">
        <f t="array" ref="L2">IF(OR($K$9:$K$150="Undefined"),"Undefined Element","")</f>
        <v/>
      </c>
      <c r="M2" s="1431" t="s">
        <v>0</v>
      </c>
      <c r="N2" s="1151" t="s">
        <v>1</v>
      </c>
      <c r="O2" s="1152"/>
      <c r="P2" s="1152"/>
      <c r="Q2" s="1152"/>
      <c r="R2" s="1152"/>
      <c r="S2" s="1152"/>
      <c r="T2" s="1152"/>
      <c r="U2" s="1152"/>
      <c r="V2" s="1152"/>
      <c r="W2" s="1152"/>
      <c r="X2" s="1152"/>
      <c r="Y2" s="1153"/>
      <c r="Z2" s="1151" t="s">
        <v>2</v>
      </c>
      <c r="AA2" s="1152"/>
      <c r="AB2" s="1152"/>
      <c r="AC2" s="1152"/>
      <c r="AD2" s="1152"/>
      <c r="AE2" s="1152"/>
      <c r="AF2" s="1152"/>
      <c r="AG2" s="1152"/>
      <c r="AH2" s="1152"/>
      <c r="AI2" s="1152"/>
      <c r="AJ2" s="1152"/>
      <c r="AK2" s="1152"/>
      <c r="AL2" s="1152"/>
      <c r="AM2" s="1152"/>
      <c r="AN2" s="1152"/>
      <c r="AO2" s="1152"/>
      <c r="AP2" s="1152"/>
      <c r="AQ2" s="1175"/>
      <c r="AS2" s="1159" t="s">
        <v>44</v>
      </c>
      <c r="AT2" s="1160"/>
      <c r="AV2" s="1428" t="str">
        <f>M2</f>
        <v>CS-Name</v>
      </c>
      <c r="AW2" s="1407"/>
      <c r="AX2" s="1407"/>
      <c r="AY2" s="1407"/>
      <c r="AZ2" s="1407"/>
      <c r="BA2" s="1407"/>
      <c r="BB2" s="1407"/>
      <c r="BC2" s="1408"/>
      <c r="BF2" s="1400" t="s">
        <v>313</v>
      </c>
      <c r="BG2" s="1401"/>
      <c r="BH2" s="1401"/>
      <c r="BI2" s="1401"/>
      <c r="BJ2" s="1401"/>
      <c r="BK2" s="1402"/>
      <c r="BM2" s="1390" t="s">
        <v>270</v>
      </c>
      <c r="BN2" s="1103"/>
      <c r="BO2" s="1103"/>
      <c r="BP2" s="1104"/>
      <c r="BR2" s="1390" t="s">
        <v>270</v>
      </c>
      <c r="BS2" s="1103"/>
      <c r="BT2" s="1103"/>
      <c r="BU2" s="110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1"/>
      <c r="C3" s="1192"/>
      <c r="D3" s="1192"/>
      <c r="E3" s="1192"/>
      <c r="F3" s="1192"/>
      <c r="G3" s="1192"/>
      <c r="H3" s="1192"/>
      <c r="I3" s="1192"/>
      <c r="J3" s="1192"/>
      <c r="K3" s="1193"/>
      <c r="L3" s="1134"/>
      <c r="M3" s="1432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232"/>
      <c r="AA3" s="1183"/>
      <c r="AB3" s="1183"/>
      <c r="AC3" s="1183"/>
      <c r="AD3" s="1183"/>
      <c r="AE3" s="1183"/>
      <c r="AF3" s="1183"/>
      <c r="AG3" s="1183"/>
      <c r="AH3" s="1183"/>
      <c r="AI3" s="1183"/>
      <c r="AJ3" s="1183"/>
      <c r="AK3" s="1183"/>
      <c r="AL3" s="1183"/>
      <c r="AM3" s="1183"/>
      <c r="AN3" s="1183"/>
      <c r="AO3" s="1183"/>
      <c r="AP3" s="1183"/>
      <c r="AQ3" s="1233"/>
      <c r="AS3" s="415">
        <v>100</v>
      </c>
      <c r="AT3" s="412" t="s">
        <v>45</v>
      </c>
      <c r="AV3" s="1429"/>
      <c r="AW3" s="1409"/>
      <c r="AX3" s="1409"/>
      <c r="AY3" s="1409"/>
      <c r="AZ3" s="1409"/>
      <c r="BA3" s="1409"/>
      <c r="BB3" s="1409"/>
      <c r="BC3" s="1410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31" t="s">
        <v>307</v>
      </c>
      <c r="C4" s="983"/>
      <c r="D4" s="983"/>
      <c r="E4" s="983"/>
      <c r="F4" s="983"/>
      <c r="G4" s="983"/>
      <c r="H4" s="983"/>
      <c r="I4" s="983"/>
      <c r="J4" s="983"/>
      <c r="K4" s="1437"/>
      <c r="L4" s="1134"/>
      <c r="M4" s="1432"/>
      <c r="N4" s="1209" t="s">
        <v>3</v>
      </c>
      <c r="O4" s="1143"/>
      <c r="P4" s="1143"/>
      <c r="Q4" s="1144" t="s">
        <v>4</v>
      </c>
      <c r="R4" s="1143"/>
      <c r="S4" s="1145"/>
      <c r="T4" s="1218" t="str">
        <f>N4</f>
        <v>Cartesian Coordinates</v>
      </c>
      <c r="U4" s="1189"/>
      <c r="V4" s="1219"/>
      <c r="W4" s="1189" t="str">
        <f>Q4</f>
        <v>Polar XY; Cartesian Z</v>
      </c>
      <c r="X4" s="1189"/>
      <c r="Y4" s="1190"/>
      <c r="Z4" s="1439" t="s">
        <v>3</v>
      </c>
      <c r="AA4" s="1414"/>
      <c r="AB4" s="1414"/>
      <c r="AC4" s="1414"/>
      <c r="AD4" s="1414"/>
      <c r="AE4" s="1414"/>
      <c r="AF4" s="1414"/>
      <c r="AG4" s="1413" t="s">
        <v>31</v>
      </c>
      <c r="AH4" s="1414"/>
      <c r="AI4" s="1414"/>
      <c r="AJ4" s="1415"/>
      <c r="AK4" s="1393" t="s">
        <v>32</v>
      </c>
      <c r="AL4" s="1394"/>
      <c r="AM4" s="1394"/>
      <c r="AN4" s="1394"/>
      <c r="AO4" s="1394"/>
      <c r="AP4" s="1394"/>
      <c r="AQ4" s="1395"/>
      <c r="AS4" s="416">
        <v>0</v>
      </c>
      <c r="AT4" s="413" t="s">
        <v>46</v>
      </c>
      <c r="AV4" s="1429"/>
      <c r="AW4" s="1411"/>
      <c r="AX4" s="1411"/>
      <c r="AY4" s="1411"/>
      <c r="AZ4" s="1412"/>
      <c r="BA4" s="1411" t="str">
        <f>Z2</f>
        <v>PDC Orientation</v>
      </c>
      <c r="BB4" s="1411"/>
      <c r="BC4" s="141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8" t="s">
        <v>372</v>
      </c>
      <c r="IF4" s="1008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1" t="str">
        <f>CONCATENATE(B7," ; ",E7," ; ",H8)</f>
        <v>Absolute-Point ; Incremental-Vector Point ; Radius</v>
      </c>
      <c r="C5" s="1192"/>
      <c r="D5" s="1192"/>
      <c r="E5" s="1192"/>
      <c r="F5" s="1192"/>
      <c r="G5" s="1192"/>
      <c r="H5" s="1192"/>
      <c r="I5" s="1192"/>
      <c r="J5" s="1192"/>
      <c r="K5" s="1193"/>
      <c r="L5" s="813" t="str" cm="1">
        <f t="array" ref="L5">IF(OR(IF(LEFT($K$9:$K$150,4)="&lt;&gt;CS",TRUE,FALSE)),"Wrong CS","")</f>
        <v/>
      </c>
      <c r="M5" s="1432"/>
      <c r="N5" s="1228" t="s">
        <v>5</v>
      </c>
      <c r="O5" s="1098"/>
      <c r="P5" s="1098"/>
      <c r="Q5" s="1097" t="s">
        <v>6</v>
      </c>
      <c r="R5" s="1098"/>
      <c r="S5" s="1099"/>
      <c r="T5" s="1139" t="str">
        <f>CONCATENATE("Relative to ",M8,"'s θ &amp; Z; Z Axis")</f>
        <v>Relative to 's θ &amp; Z; Z Axis</v>
      </c>
      <c r="U5" s="1140"/>
      <c r="V5" s="1171"/>
      <c r="W5" s="1140" t="str">
        <f>CONCATENATE("Relative to ",M8,"'s θ &amp; Z; Z Axis")</f>
        <v>Relative to 's θ &amp; Z; Z Axis</v>
      </c>
      <c r="X5" s="1140"/>
      <c r="Y5" s="1220"/>
      <c r="Z5" s="1210" t="str">
        <f>N5</f>
        <v>Relative to World_CS</v>
      </c>
      <c r="AA5" s="1140"/>
      <c r="AB5" s="1140"/>
      <c r="AC5" s="1140"/>
      <c r="AD5" s="1140"/>
      <c r="AE5" s="1140"/>
      <c r="AF5" s="1140"/>
      <c r="AG5" s="1139" t="str">
        <f>N5</f>
        <v>Relative to World_CS</v>
      </c>
      <c r="AH5" s="1140"/>
      <c r="AI5" s="1140"/>
      <c r="AJ5" s="1141"/>
      <c r="AK5" s="1180" t="s">
        <v>7</v>
      </c>
      <c r="AL5" s="1098"/>
      <c r="AM5" s="1098"/>
      <c r="AN5" s="1098"/>
      <c r="AO5" s="1098"/>
      <c r="AP5" s="1098"/>
      <c r="AQ5" s="1099"/>
      <c r="AS5" s="167">
        <f>(((AS4*12)/60)/AS3)</f>
        <v>0</v>
      </c>
      <c r="AT5" s="413" t="s">
        <v>47</v>
      </c>
      <c r="AV5" s="1429"/>
      <c r="AW5" s="1218" t="str">
        <f>W4</f>
        <v>Polar XY; Cartesian Z</v>
      </c>
      <c r="AX5" s="1189"/>
      <c r="AY5" s="1189"/>
      <c r="AZ5" s="1325" t="s">
        <v>104</v>
      </c>
      <c r="BA5" s="1189" t="str">
        <f>AK4</f>
        <v>Polar Z Projection → XZ Plane</v>
      </c>
      <c r="BB5" s="1189"/>
      <c r="BC5" s="123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4"/>
      <c r="C6" s="1195"/>
      <c r="D6" s="1195"/>
      <c r="E6" s="1195"/>
      <c r="F6" s="1195"/>
      <c r="G6" s="1195"/>
      <c r="H6" s="1195"/>
      <c r="I6" s="1195"/>
      <c r="J6" s="1195"/>
      <c r="K6" s="1196"/>
      <c r="L6" s="1134" t="str" cm="1">
        <f t="array" ref="L6">IF(OR($K$9:$K$150="Inactive"),"Inactive Element","")</f>
        <v/>
      </c>
      <c r="M6" s="1432"/>
      <c r="N6" s="1224" t="s">
        <v>8</v>
      </c>
      <c r="O6" s="1226" t="s">
        <v>9</v>
      </c>
      <c r="P6" s="1095" t="s">
        <v>10</v>
      </c>
      <c r="Q6" s="1135" t="s">
        <v>11</v>
      </c>
      <c r="R6" s="1136"/>
      <c r="S6" s="1221" t="s">
        <v>10</v>
      </c>
      <c r="T6" s="1167" t="str">
        <f>N6</f>
        <v>X</v>
      </c>
      <c r="U6" s="1169" t="str">
        <f>O6</f>
        <v>Y</v>
      </c>
      <c r="V6" s="1216" t="str">
        <f>P6</f>
        <v>Z</v>
      </c>
      <c r="W6" s="1207" t="str">
        <f>Q6</f>
        <v>Projected XY</v>
      </c>
      <c r="X6" s="1208"/>
      <c r="Y6" s="1165" t="str">
        <f>S6</f>
        <v>Z</v>
      </c>
      <c r="Z6" s="1146" t="s">
        <v>12</v>
      </c>
      <c r="AA6" s="1147"/>
      <c r="AB6" s="1147"/>
      <c r="AC6" s="1148"/>
      <c r="AD6" s="1144" t="s">
        <v>13</v>
      </c>
      <c r="AE6" s="1143"/>
      <c r="AF6" s="1143"/>
      <c r="AG6" s="1142" t="s">
        <v>7</v>
      </c>
      <c r="AH6" s="1143"/>
      <c r="AI6" s="1144" t="s">
        <v>14</v>
      </c>
      <c r="AJ6" s="1145"/>
      <c r="AK6" s="1218" t="str">
        <f>AD6</f>
        <v>Unit Vector</v>
      </c>
      <c r="AL6" s="1189"/>
      <c r="AM6" s="1237"/>
      <c r="AN6" s="34" t="s">
        <v>15</v>
      </c>
      <c r="AO6" s="35" t="s">
        <v>16</v>
      </c>
      <c r="AP6" s="680" t="s">
        <v>17</v>
      </c>
      <c r="AQ6" s="1440" t="s">
        <v>108</v>
      </c>
      <c r="AS6" s="168">
        <f>(AS5/360)</f>
        <v>0</v>
      </c>
      <c r="AT6" s="414" t="s">
        <v>48</v>
      </c>
      <c r="AV6" s="1429"/>
      <c r="AW6" s="1139" t="str">
        <f>W5</f>
        <v>Relative to 's θ &amp; Z; Z Axis</v>
      </c>
      <c r="AX6" s="1140"/>
      <c r="AY6" s="1140"/>
      <c r="AZ6" s="1425"/>
      <c r="BA6" s="1140" t="str">
        <f>AK5</f>
        <v>Vector Along X Axis</v>
      </c>
      <c r="BB6" s="1140"/>
      <c r="BC6" s="1141"/>
      <c r="BD6" s="417"/>
      <c r="BF6" s="410">
        <f>SUM(AZ9:AZ150)</f>
        <v>0</v>
      </c>
      <c r="BG6" s="1418" t="s">
        <v>309</v>
      </c>
      <c r="BH6" s="1418"/>
      <c r="BI6" s="1418"/>
      <c r="BJ6" s="1418"/>
      <c r="BK6" s="141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1" t="s">
        <v>40</v>
      </c>
      <c r="C7" s="1212"/>
      <c r="D7" s="1213"/>
      <c r="E7" s="1214" t="s">
        <v>41</v>
      </c>
      <c r="F7" s="1212"/>
      <c r="G7" s="1215"/>
      <c r="H7" s="1006" t="s">
        <v>305</v>
      </c>
      <c r="I7" s="1026"/>
      <c r="J7" s="1007"/>
      <c r="K7" s="488"/>
      <c r="L7" s="1134"/>
      <c r="M7" s="1433"/>
      <c r="N7" s="1225"/>
      <c r="O7" s="1227"/>
      <c r="P7" s="1096"/>
      <c r="Q7" s="36" t="s">
        <v>18</v>
      </c>
      <c r="R7" s="2" t="s">
        <v>19</v>
      </c>
      <c r="S7" s="1222"/>
      <c r="T7" s="1168"/>
      <c r="U7" s="1170"/>
      <c r="V7" s="1217"/>
      <c r="W7" s="37" t="str">
        <f>Q7</f>
        <v>&lt; θ°</v>
      </c>
      <c r="X7" s="27" t="str">
        <f>R7</f>
        <v>r</v>
      </c>
      <c r="Y7" s="116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41"/>
      <c r="AS7" s="1416" t="s">
        <v>54</v>
      </c>
      <c r="AT7" s="1391" t="s">
        <v>53</v>
      </c>
      <c r="AV7" s="1429"/>
      <c r="AW7" s="1424" t="str">
        <f>$W$6</f>
        <v>Projected XY</v>
      </c>
      <c r="AX7" s="1208"/>
      <c r="AY7" s="1426" t="str">
        <f>$Y$6</f>
        <v>Z</v>
      </c>
      <c r="AZ7" s="142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8"/>
      <c r="BH7" s="1418"/>
      <c r="BI7" s="1418"/>
      <c r="BJ7" s="1418"/>
      <c r="BK7" s="141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32" t="s">
        <v>33</v>
      </c>
      <c r="IH7" s="1336" t="s">
        <v>376</v>
      </c>
      <c r="II7" s="1028" t="s">
        <v>324</v>
      </c>
      <c r="IJ7" s="1029"/>
      <c r="IK7" s="1029"/>
      <c r="IL7" s="1026"/>
      <c r="IM7" s="1026"/>
      <c r="IN7" s="1026"/>
      <c r="IO7" s="1007"/>
      <c r="IP7" s="1006" t="s">
        <v>320</v>
      </c>
      <c r="IQ7" s="1026"/>
      <c r="IR7" s="1026"/>
      <c r="IS7" s="1026"/>
      <c r="IT7" s="1026"/>
      <c r="IU7" s="1006" t="s">
        <v>319</v>
      </c>
      <c r="IV7" s="1026"/>
      <c r="IW7" s="1026"/>
      <c r="IX7" s="1026"/>
      <c r="IY7" s="1007"/>
      <c r="JA7" s="725"/>
      <c r="JB7" s="1389" t="s">
        <v>355</v>
      </c>
      <c r="JC7" s="1100"/>
      <c r="JD7" s="1100"/>
      <c r="JE7" s="110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4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7"/>
      <c r="AT8" s="1392"/>
      <c r="AV8" s="1430"/>
      <c r="AW8" s="46" t="str">
        <f>$W$7</f>
        <v>&lt; θ°</v>
      </c>
      <c r="AX8" s="27" t="str">
        <f>$X$7</f>
        <v>r</v>
      </c>
      <c r="AY8" s="1427"/>
      <c r="AZ8" s="1326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338"/>
      <c r="IH8" s="1337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102" t="s">
        <v>356</v>
      </c>
      <c r="JC19" s="1103"/>
      <c r="JD19" s="1103"/>
      <c r="JE19" s="1103"/>
      <c r="JF19" s="1103"/>
      <c r="JG19" s="1103"/>
      <c r="JH19" s="1103"/>
      <c r="JI19" s="110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105" t="s">
        <v>360</v>
      </c>
      <c r="JC20" s="1106"/>
      <c r="JD20" s="1106"/>
      <c r="JE20" s="1106"/>
      <c r="JF20" s="1320" t="s">
        <v>361</v>
      </c>
      <c r="JG20" s="1321"/>
      <c r="JH20" s="1321"/>
      <c r="JI20" s="132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07"/>
      <c r="JC21" s="1108"/>
      <c r="JD21" s="1108"/>
      <c r="JE21" s="1108"/>
      <c r="JF21" s="1323" t="s">
        <v>349</v>
      </c>
      <c r="JG21" s="1324"/>
      <c r="JH21" s="1109" t="s">
        <v>362</v>
      </c>
      <c r="JI21" s="1110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22" t="str">
        <f>$W$6</f>
        <v>Projected XY</v>
      </c>
      <c r="AX152" s="1423"/>
      <c r="AY152" s="1405" t="str">
        <f>$Y$6</f>
        <v>Z</v>
      </c>
      <c r="AZ152" s="140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6"/>
      <c r="AZ153" s="140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97" t="s">
        <v>42</v>
      </c>
      <c r="C157" s="1198"/>
      <c r="D157" s="1198"/>
      <c r="E157" s="1198"/>
      <c r="F157" s="1198"/>
      <c r="G157" s="1198"/>
      <c r="H157" s="1198"/>
      <c r="I157" s="1198"/>
      <c r="J157" s="1198"/>
      <c r="K157" s="119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0"/>
      <c r="C158" s="1147"/>
      <c r="D158" s="1147"/>
      <c r="E158" s="1147"/>
      <c r="F158" s="1147"/>
      <c r="G158" s="1147"/>
      <c r="H158" s="1147"/>
      <c r="I158" s="1147"/>
      <c r="J158" s="1147"/>
      <c r="K158" s="120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2"/>
      <c r="C159" s="1203"/>
      <c r="D159" s="1203"/>
      <c r="E159" s="1203"/>
      <c r="F159" s="1203"/>
      <c r="G159" s="1203"/>
      <c r="H159" s="1203"/>
      <c r="I159" s="1203"/>
      <c r="J159" s="1203"/>
      <c r="K159" s="1204"/>
      <c r="AQ159" s="162"/>
      <c r="BD159" s="417"/>
    </row>
    <row r="160" spans="1:259" ht="15" customHeight="1" x14ac:dyDescent="0.25">
      <c r="B160" s="1191" t="str">
        <f>CONCATENATE(B162," ; ",E162," ; ",H163)</f>
        <v>Absolute-Point ; Incremental-Vector Point ; Radius</v>
      </c>
      <c r="C160" s="1192"/>
      <c r="D160" s="1192"/>
      <c r="E160" s="1192"/>
      <c r="F160" s="1192"/>
      <c r="G160" s="1192"/>
      <c r="H160" s="1192"/>
      <c r="I160" s="1192"/>
      <c r="J160" s="1192"/>
      <c r="K160" s="1193"/>
      <c r="AQ160" s="162"/>
      <c r="BD160" s="417"/>
    </row>
    <row r="161" spans="2:56" ht="15" customHeight="1" x14ac:dyDescent="0.25">
      <c r="B161" s="1194"/>
      <c r="C161" s="1195"/>
      <c r="D161" s="1195"/>
      <c r="E161" s="1195"/>
      <c r="F161" s="1195"/>
      <c r="G161" s="1195"/>
      <c r="H161" s="1195"/>
      <c r="I161" s="1195"/>
      <c r="J161" s="1195"/>
      <c r="K161" s="1196"/>
      <c r="AQ161" s="162"/>
      <c r="BD161" s="417"/>
    </row>
    <row r="162" spans="2:56" ht="15" customHeight="1" x14ac:dyDescent="0.25">
      <c r="B162" s="1211" t="s">
        <v>40</v>
      </c>
      <c r="C162" s="1212"/>
      <c r="D162" s="1213"/>
      <c r="E162" s="1214" t="s">
        <v>41</v>
      </c>
      <c r="F162" s="1212"/>
      <c r="G162" s="1215"/>
      <c r="H162" s="1006" t="s">
        <v>305</v>
      </c>
      <c r="I162" s="1026"/>
      <c r="J162" s="1007"/>
      <c r="K162" s="488"/>
      <c r="M162" s="1369" t="s">
        <v>304</v>
      </c>
      <c r="N162" s="1419"/>
      <c r="O162" s="1396" t="s">
        <v>283</v>
      </c>
      <c r="P162" s="1397"/>
      <c r="Q162" s="1398"/>
      <c r="R162" s="1399" t="s">
        <v>41</v>
      </c>
      <c r="S162" s="1397"/>
      <c r="T162" s="139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20"/>
      <c r="N163" s="142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2.2160000000000002</v>
      </c>
      <c r="N185" s="810">
        <f>Assy.Model!K30</f>
        <v>1310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2.222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2.2280000000000002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2.234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2.2400000000000002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3.1019999999999999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3.105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3.1080000000000001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3.113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3.1190000000000002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3.125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3.1309999999999998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3.137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3.1429999999999998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3.2130000000000001</v>
      </c>
      <c r="N199" s="810">
        <f>Assy.Model!K44</f>
        <v>1310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3.2189999999999999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3.2250000000000001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3.2309999999999999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3.2370000000000001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3.2429999999999999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4.1120000000000001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4.1180000000000003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4.1239999999999997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4.1360000000000001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4.1420000000000003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4.218</v>
      </c>
      <c r="N211" s="810">
        <f>Assy.Model!K56</f>
        <v>1310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4.2240000000000002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4.2300000000000004</v>
      </c>
      <c r="N213" s="810" t="str">
        <f>Assy.Model!K58</f>
        <v>CPS-32193r1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4.2359999999999998</v>
      </c>
      <c r="N214" s="810" t="str">
        <f>Assy.Model!K59</f>
        <v>CPS-32193r1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4.242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5.1029999999999998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5.1059999999999999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5.109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5.1150000000000002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5.1210000000000004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5.1269999999999998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5.133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5.1390000000000002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5.1449999999999996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5.2149999999999999</v>
      </c>
      <c r="N225" s="810">
        <f>Assy.Model!K70</f>
        <v>1310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5.2210000000000001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5.2270000000000003</v>
      </c>
      <c r="N227" s="810">
        <f>Assy.Model!K72</f>
        <v>1313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5.2329999999999997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5.2389999999999999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5.2450000000000001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6.1139999999999999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6.12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6.1260000000000003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6.1319999999999997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6.1379999999999999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6.1440000000000001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6.22</v>
      </c>
      <c r="N237" s="810">
        <f>Assy.Model!K82</f>
        <v>1310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6.226</v>
      </c>
      <c r="N238" s="810">
        <f>Assy.Model!K83</f>
        <v>1313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6.2320000000000002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6.2380000000000004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6.2439999999999998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c.stephens@crsm-i.com</cp:lastModifiedBy>
  <cp:lastPrinted>2025-01-17T20:02:42Z</cp:lastPrinted>
  <dcterms:created xsi:type="dcterms:W3CDTF">2012-04-19T16:28:10Z</dcterms:created>
  <dcterms:modified xsi:type="dcterms:W3CDTF">2025-04-24T15:04:38Z</dcterms:modified>
</cp:coreProperties>
</file>