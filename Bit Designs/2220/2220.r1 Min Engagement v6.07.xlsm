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20\"/>
    </mc:Choice>
  </mc:AlternateContent>
  <xr:revisionPtr revIDLastSave="0" documentId="13_ncr:1_{6902EF39-7AB6-4B0D-95F8-A844BC64D6EA}" xr6:coauthVersionLast="47" xr6:coauthVersionMax="47" xr10:uidLastSave="{00000000-0000-0000-0000-000000000000}"/>
  <bookViews>
    <workbookView xWindow="28680" yWindow="-120" windowWidth="29040" windowHeight="164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9" i="1" l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L2" i="1" l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R84" i="1"/>
  <c r="IP84" i="1"/>
  <c r="IW84" i="1"/>
  <c r="IQ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Q73" i="1"/>
  <c r="IP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L11" i="1"/>
  <c r="IW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X11" i="1" l="1"/>
  <c r="IR11" i="1"/>
  <c r="IN11" i="1"/>
  <c r="IT11" i="1"/>
  <c r="IP11" i="1"/>
  <c r="IV11" i="1"/>
  <c r="IY11" i="1"/>
  <c r="IQ11" i="1"/>
  <c r="IK11" i="1"/>
  <c r="JA23" i="1" s="1" a="1"/>
  <c r="JA23" i="1" s="1"/>
  <c r="JA9" i="1" a="1"/>
  <c r="JA9" i="1" s="1"/>
  <c r="IF129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3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F11" i="1" l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94" i="1" l="1"/>
  <c r="IV85" i="1"/>
  <c r="IQ93" i="1"/>
  <c r="IV84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IU84" i="1" s="1"/>
  <c r="IE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73" i="1" l="1"/>
  <c r="IU73" i="1"/>
  <c r="IE73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IL85" i="1" s="1"/>
  <c r="W77" i="1"/>
  <c r="W78" i="1"/>
  <c r="IL83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4" i="1" l="1"/>
  <c r="IL7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T73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IT84" i="1" s="1"/>
  <c r="U80" i="1"/>
  <c r="AL80" i="1"/>
  <c r="AN80" i="1" s="1"/>
  <c r="IT85" i="1" s="1"/>
  <c r="AK80" i="1"/>
  <c r="T80" i="1"/>
  <c r="U79" i="1"/>
  <c r="AK79" i="1"/>
  <c r="U78" i="1"/>
  <c r="T78" i="1"/>
  <c r="AK78" i="1"/>
  <c r="AL78" i="1"/>
  <c r="AN78" i="1" s="1"/>
  <c r="IT83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94" i="1" l="1"/>
  <c r="IY85" i="1"/>
  <c r="IF85" i="1" s="1"/>
  <c r="IS94" i="1"/>
  <c r="IX85" i="1"/>
  <c r="IT93" i="1"/>
  <c r="IY84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IS84" i="1" s="1"/>
  <c r="AP79" i="1"/>
  <c r="AP80" i="1"/>
  <c r="AO80" i="1"/>
  <c r="IS85" i="1" s="1"/>
  <c r="AO77" i="1"/>
  <c r="IX77" i="1" s="1"/>
  <c r="IF77" i="1" s="1"/>
  <c r="AP77" i="1"/>
  <c r="AP78" i="1"/>
  <c r="AO78" i="1"/>
  <c r="IS83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IS78" i="1" s="1"/>
  <c r="AP72" i="1"/>
  <c r="AO69" i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93" i="1" l="1"/>
  <c r="IX84" i="1"/>
  <c r="IF84" i="1" s="1"/>
  <c r="IS75" i="1"/>
  <c r="IS73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<sst xmlns="http://schemas.openxmlformats.org/spreadsheetml/2006/main" count="734" uniqueCount="391">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</sst>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3" fontId="26" fillId="63" borderId="0" xfId="0" applyNumberFormat="1" applyFont="1" applyFill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topLeftCell="L1" zoomScaleNormal="100" workbookViewId="0">
      <selection activeCell="AQ32" sqref="AQ32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3" t="s">
        <v>77</v>
      </c>
      <c r="D1" s="913"/>
      <c r="E1" s="913"/>
      <c r="F1" s="913"/>
      <c r="G1" s="913"/>
      <c r="H1" s="913"/>
      <c r="I1" s="913"/>
      <c r="J1" s="913"/>
      <c r="K1" s="91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0" t="s">
        <v>80</v>
      </c>
      <c r="B6" s="900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9" t="s">
        <v>379</v>
      </c>
      <c r="AQ7" s="899"/>
      <c r="AR7" s="899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5">
        <v>9</v>
      </c>
      <c r="D9" s="875"/>
      <c r="E9" s="875"/>
      <c r="F9" s="875"/>
      <c r="G9" s="875"/>
      <c r="H9" s="875"/>
      <c r="I9" s="875"/>
      <c r="J9" s="875"/>
      <c r="K9" s="906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4"/>
      <c r="C10" s="895"/>
      <c r="D10" s="895"/>
      <c r="E10" s="895"/>
      <c r="F10" s="895"/>
      <c r="G10" s="895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1"/>
      <c r="B11" s="901" t="s">
        <v>33</v>
      </c>
      <c r="C11" s="910" t="s">
        <v>34</v>
      </c>
      <c r="D11" s="910"/>
      <c r="E11" s="907" t="s">
        <v>39</v>
      </c>
      <c r="F11" s="901" t="s">
        <v>35</v>
      </c>
      <c r="G11" s="901" t="s">
        <v>36</v>
      </c>
      <c r="H11" s="901" t="s">
        <v>43</v>
      </c>
      <c r="I11" s="908" t="s">
        <v>67</v>
      </c>
      <c r="J11" s="910" t="s">
        <v>56</v>
      </c>
      <c r="K11" s="910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4" t="s">
        <v>347</v>
      </c>
      <c r="AN11" s="875"/>
      <c r="AO11" s="875"/>
      <c r="AP11" s="875"/>
      <c r="AQ11" s="875"/>
      <c r="AR11" s="876"/>
      <c r="AS11" s="885" t="s">
        <v>354</v>
      </c>
      <c r="AT11" s="886"/>
      <c r="AU11" s="886"/>
      <c r="AV11" s="887"/>
      <c r="BC11" s="470"/>
    </row>
    <row r="12" spans="1:55" ht="15.75" thickBot="1" x14ac:dyDescent="0.3">
      <c r="A12" s="912"/>
      <c r="B12" s="902"/>
      <c r="C12" s="48" t="s">
        <v>8</v>
      </c>
      <c r="D12" s="49" t="s">
        <v>10</v>
      </c>
      <c r="E12" s="902"/>
      <c r="F12" s="902"/>
      <c r="G12" s="902"/>
      <c r="H12" s="902"/>
      <c r="I12" s="909"/>
      <c r="J12" s="53" t="s">
        <v>8</v>
      </c>
      <c r="K12" s="54" t="s">
        <v>10</v>
      </c>
      <c r="M12" s="31"/>
      <c r="N12" s="31"/>
      <c r="O12" s="922" t="s">
        <v>46</v>
      </c>
      <c r="P12" s="923"/>
      <c r="Q12" s="903" t="s">
        <v>45</v>
      </c>
      <c r="R12" s="904"/>
      <c r="S12" s="904"/>
      <c r="T12" s="904"/>
      <c r="U12" s="904"/>
      <c r="V12" s="904"/>
      <c r="W12" s="904"/>
      <c r="X12" s="904"/>
      <c r="Y12" s="904"/>
      <c r="Z12" s="904"/>
      <c r="AA12" s="904"/>
      <c r="AB12" s="904"/>
      <c r="AC12" s="904"/>
      <c r="AD12" s="904"/>
      <c r="AE12" s="905"/>
      <c r="AF12" s="916" t="s">
        <v>56</v>
      </c>
      <c r="AG12" s="917"/>
      <c r="AH12" s="31"/>
      <c r="AK12" s="880" t="s">
        <v>355</v>
      </c>
      <c r="AL12" s="896"/>
      <c r="AM12" s="877" t="s">
        <v>352</v>
      </c>
      <c r="AN12" s="878"/>
      <c r="AO12" s="879"/>
      <c r="AP12" s="880" t="s">
        <v>380</v>
      </c>
      <c r="AQ12" s="879"/>
      <c r="AR12" s="802" t="s">
        <v>378</v>
      </c>
      <c r="AS12" s="882" t="s">
        <v>352</v>
      </c>
      <c r="AT12" s="879"/>
      <c r="AU12" s="883" t="s">
        <v>353</v>
      </c>
      <c r="AV12" s="884"/>
      <c r="AW12" s="888" t="s">
        <v>351</v>
      </c>
      <c r="AX12" s="889"/>
      <c r="AZ12" s="880" t="s">
        <v>60</v>
      </c>
      <c r="BA12" s="879"/>
      <c r="BC12" s="881" t="s">
        <v>383</v>
      </c>
    </row>
    <row r="13" spans="1:55" ht="15.75" thickBot="1" x14ac:dyDescent="0.3">
      <c r="A13" s="64" t="s">
        <v>57</v>
      </c>
      <c r="B13" s="890" t="s">
        <v>97</v>
      </c>
      <c r="C13" s="892" t="str">
        <f>SUBSTITUTE(ADDRESS(1,COLUMN(Assy.Model!X9),4),"1","")</f>
        <v>X</v>
      </c>
      <c r="D13" s="101" t="str">
        <f>SUBSTITUTE(ADDRESS(1,COLUMN(Assy.Model!Y9),4),"1","")</f>
        <v>Y</v>
      </c>
      <c r="E13" s="897" t="str">
        <f>SUBSTITUTE(ADDRESS(1,COLUMN(Assy.Model!H9),4),"1","")</f>
        <v>H</v>
      </c>
      <c r="F13" s="897" t="str">
        <f>SUBSTITUTE(ADDRESS(1,COLUMN(Assy.Model!AN9),4),"1","")</f>
        <v>AN</v>
      </c>
      <c r="G13" s="897" t="str">
        <f>SUBSTITUTE(ADDRESS(1,COLUMN(Assy.Model!AO9),4),"1","")</f>
        <v>AO</v>
      </c>
      <c r="H13" s="897" t="str">
        <f>SUBSTITUTE(ADDRESS(1,COLUMN(Assy.Model!AO9),4),"1","")</f>
        <v>AO</v>
      </c>
      <c r="I13" s="897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4"/>
      <c r="P13" s="92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1"/>
    </row>
    <row r="14" spans="1:55" x14ac:dyDescent="0.25">
      <c r="A14" s="62" t="s">
        <v>58</v>
      </c>
      <c r="B14" s="891"/>
      <c r="C14" s="893"/>
      <c r="D14" s="102" t="str">
        <f>SUBSTITUTE(ADDRESS(1,COLUMN(Assy.Model!AT9),4),"1","")</f>
        <v>AT</v>
      </c>
      <c r="E14" s="898"/>
      <c r="F14" s="898"/>
      <c r="G14" s="898"/>
      <c r="H14" s="898"/>
      <c r="I14" s="898"/>
      <c r="J14" s="91">
        <v>0</v>
      </c>
      <c r="K14" s="92">
        <v>0</v>
      </c>
      <c r="L14" s="31"/>
      <c r="M14" s="190">
        <v>6.25E-2</v>
      </c>
      <c r="N14" s="31">
        <v>32</v>
      </c>
      <c r="O14" s="92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9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5" t="s">
        <v>64</v>
      </c>
      <c r="C21" s="875"/>
      <c r="D21" s="875"/>
      <c r="E21" s="875"/>
      <c r="F21" s="906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1"/>
      <c r="C22" s="905" t="s">
        <v>63</v>
      </c>
      <c r="D22" s="906"/>
      <c r="E22" s="908" t="s">
        <v>60</v>
      </c>
      <c r="F22" s="908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6"/>
      <c r="C23" s="57" t="s">
        <v>8</v>
      </c>
      <c r="D23" s="57" t="s">
        <v>9</v>
      </c>
      <c r="E23" s="909"/>
      <c r="F23" s="909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8">
        <v>0</v>
      </c>
      <c r="E24" s="918">
        <v>2</v>
      </c>
      <c r="F24" s="91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4.375</v>
      </c>
      <c r="D25" s="919"/>
      <c r="E25" s="919"/>
      <c r="F25" s="91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4" t="s">
        <v>311</v>
      </c>
      <c r="C27" s="914"/>
      <c r="D27" s="914"/>
      <c r="E27" s="914"/>
      <c r="F27" s="91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5" t="s">
        <v>390</v>
      </c>
      <c r="C28" s="915"/>
      <c r="D28" s="915"/>
      <c r="E28" s="915"/>
      <c r="F28" s="915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  <c r="BC29" s="86" t="str">
        <v>CPS-32193r1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5" t="s">
        <v>95</v>
      </c>
      <c r="D3" s="875"/>
      <c r="E3" s="875"/>
      <c r="F3" s="875"/>
      <c r="G3" s="875"/>
      <c r="H3" s="875"/>
      <c r="I3" s="875"/>
      <c r="J3" s="875"/>
      <c r="K3" s="876"/>
      <c r="L3" s="932"/>
      <c r="M3" s="875"/>
      <c r="N3" s="875"/>
      <c r="O3" s="875"/>
      <c r="P3" s="875"/>
      <c r="Q3" s="875"/>
      <c r="R3" s="906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4" t="s">
        <v>86</v>
      </c>
      <c r="C4" s="971" t="s">
        <v>82</v>
      </c>
      <c r="D4" s="875" t="s">
        <v>83</v>
      </c>
      <c r="E4" s="875"/>
      <c r="F4" s="875"/>
      <c r="G4" s="875"/>
      <c r="H4" s="875"/>
      <c r="I4" s="875"/>
      <c r="J4" s="875"/>
      <c r="K4" s="875"/>
      <c r="L4" s="150" t="s">
        <v>91</v>
      </c>
      <c r="M4" s="905" t="s">
        <v>94</v>
      </c>
      <c r="N4" s="875"/>
      <c r="O4" s="875"/>
      <c r="P4" s="876"/>
      <c r="Q4" s="875" t="s">
        <v>52</v>
      </c>
      <c r="R4" s="906"/>
      <c r="S4" s="107"/>
      <c r="T4" s="905">
        <v>350</v>
      </c>
      <c r="U4" s="875"/>
      <c r="V4" s="875" t="s">
        <v>76</v>
      </c>
      <c r="W4" s="875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5"/>
      <c r="C5" s="972"/>
      <c r="D5" s="960" t="s">
        <v>85</v>
      </c>
      <c r="E5" s="974" t="s">
        <v>89</v>
      </c>
      <c r="F5" s="910" t="s">
        <v>34</v>
      </c>
      <c r="G5" s="910"/>
      <c r="H5" s="907" t="s">
        <v>39</v>
      </c>
      <c r="I5" s="901" t="s">
        <v>35</v>
      </c>
      <c r="J5" s="901" t="s">
        <v>36</v>
      </c>
      <c r="K5" s="944" t="s">
        <v>67</v>
      </c>
      <c r="L5" s="151" t="s">
        <v>92</v>
      </c>
      <c r="M5" s="908" t="s">
        <v>90</v>
      </c>
      <c r="N5" s="908" t="s">
        <v>47</v>
      </c>
      <c r="O5" s="927" t="s">
        <v>84</v>
      </c>
      <c r="P5" s="928"/>
      <c r="Q5" s="929" t="s">
        <v>84</v>
      </c>
      <c r="R5" s="930"/>
      <c r="S5" s="107"/>
      <c r="T5" s="922" t="s">
        <v>46</v>
      </c>
      <c r="U5" s="933"/>
      <c r="V5" s="889" t="s">
        <v>45</v>
      </c>
      <c r="W5" s="917"/>
      <c r="X5" s="917"/>
      <c r="Y5" s="917"/>
      <c r="Z5" s="917"/>
      <c r="AA5" s="917"/>
      <c r="AB5" s="917"/>
      <c r="AC5" s="917"/>
      <c r="AD5" s="917"/>
      <c r="AE5" s="917"/>
      <c r="AF5" s="917"/>
      <c r="AG5" s="917"/>
      <c r="AH5" s="917"/>
      <c r="AI5" s="917"/>
      <c r="AJ5" s="917"/>
      <c r="AK5" s="31"/>
      <c r="AL5" s="31"/>
    </row>
    <row r="6" spans="2:38" ht="15" customHeight="1" thickBot="1" x14ac:dyDescent="0.3">
      <c r="B6" s="956"/>
      <c r="C6" s="973"/>
      <c r="D6" s="961"/>
      <c r="E6" s="975"/>
      <c r="F6" s="108" t="s">
        <v>8</v>
      </c>
      <c r="G6" s="109" t="s">
        <v>10</v>
      </c>
      <c r="H6" s="945"/>
      <c r="I6" s="945"/>
      <c r="J6" s="945"/>
      <c r="K6" s="934"/>
      <c r="L6" s="152" t="s">
        <v>93</v>
      </c>
      <c r="M6" s="931"/>
      <c r="N6" s="931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4"/>
      <c r="U6" s="935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2">
        <f>ROW(Assy.Model!B9)</f>
        <v>9</v>
      </c>
      <c r="D7" s="951" t="str">
        <f>SUBSTITUTE(ADDRESS(1,COLUMN(Assy.Model!B9),4),"1","")</f>
        <v>B</v>
      </c>
      <c r="E7" s="965" t="str">
        <f>SUBSTITUTE(ADDRESS(1,COLUMN(Assy.Model!M9),4),"1","")</f>
        <v>M</v>
      </c>
      <c r="F7" s="968" t="str">
        <f>SUBSTITUTE(ADDRESS(1,COLUMN(Assy.Model!X9),4),"1","")</f>
        <v>X</v>
      </c>
      <c r="G7" s="957" t="str">
        <f>SUBSTITUTE(ADDRESS(1,COLUMN(Assy.Model!AT9),4),"1","")</f>
        <v>AT</v>
      </c>
      <c r="H7" s="936" t="str">
        <f>SUBSTITUTE(ADDRESS(1,COLUMN(Assy.Model!H9),4),"1","")</f>
        <v>H</v>
      </c>
      <c r="I7" s="936" t="str">
        <f>SUBSTITUTE(ADDRESS(1,COLUMN(Assy.Model!AN9),4),"1","")</f>
        <v>AN</v>
      </c>
      <c r="J7" s="936" t="str">
        <f>SUBSTITUTE(ADDRESS(1,COLUMN(Assy.Model!AO9),4),"1","")</f>
        <v>AO</v>
      </c>
      <c r="K7" s="939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6" t="s">
        <v>81</v>
      </c>
      <c r="C8" s="963"/>
      <c r="D8" s="952"/>
      <c r="E8" s="966"/>
      <c r="F8" s="969"/>
      <c r="G8" s="958"/>
      <c r="H8" s="937"/>
      <c r="I8" s="937"/>
      <c r="J8" s="937"/>
      <c r="K8" s="940"/>
      <c r="L8" s="153" t="s">
        <v>93</v>
      </c>
      <c r="M8" s="942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6"/>
      <c r="C9" s="963"/>
      <c r="D9" s="952"/>
      <c r="E9" s="966"/>
      <c r="F9" s="969"/>
      <c r="G9" s="958"/>
      <c r="H9" s="937"/>
      <c r="I9" s="937"/>
      <c r="J9" s="937"/>
      <c r="K9" s="940"/>
      <c r="L9" s="153" t="s">
        <v>92</v>
      </c>
      <c r="M9" s="942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6"/>
      <c r="C10" s="963"/>
      <c r="D10" s="952"/>
      <c r="E10" s="966"/>
      <c r="F10" s="969"/>
      <c r="G10" s="958"/>
      <c r="H10" s="937"/>
      <c r="I10" s="937"/>
      <c r="J10" s="937"/>
      <c r="K10" s="940"/>
      <c r="L10" s="153" t="s">
        <v>92</v>
      </c>
      <c r="M10" s="942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6"/>
      <c r="C11" s="963"/>
      <c r="D11" s="952"/>
      <c r="E11" s="966"/>
      <c r="F11" s="969"/>
      <c r="G11" s="958"/>
      <c r="H11" s="937"/>
      <c r="I11" s="937"/>
      <c r="J11" s="937"/>
      <c r="K11" s="940"/>
      <c r="L11" s="153" t="s">
        <v>92</v>
      </c>
      <c r="M11" s="942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6"/>
      <c r="C12" s="963"/>
      <c r="D12" s="952"/>
      <c r="E12" s="966"/>
      <c r="F12" s="969"/>
      <c r="G12" s="958"/>
      <c r="H12" s="937"/>
      <c r="I12" s="937"/>
      <c r="J12" s="937"/>
      <c r="K12" s="940"/>
      <c r="L12" s="153" t="s">
        <v>92</v>
      </c>
      <c r="M12" s="942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6"/>
      <c r="C13" s="963"/>
      <c r="D13" s="952"/>
      <c r="E13" s="966"/>
      <c r="F13" s="969"/>
      <c r="G13" s="958"/>
      <c r="H13" s="937"/>
      <c r="I13" s="937"/>
      <c r="J13" s="937"/>
      <c r="K13" s="940"/>
      <c r="L13" s="153" t="s">
        <v>92</v>
      </c>
      <c r="M13" s="942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7"/>
      <c r="C14" s="964"/>
      <c r="D14" s="953"/>
      <c r="E14" s="967"/>
      <c r="F14" s="970"/>
      <c r="G14" s="959"/>
      <c r="H14" s="938"/>
      <c r="I14" s="938"/>
      <c r="J14" s="938"/>
      <c r="K14" s="941"/>
      <c r="L14" s="154" t="s">
        <v>93</v>
      </c>
      <c r="M14" s="943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P1" sqref="P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9" t="str">
        <f>CONCATENATE(Settings!$C$19," ",Settings!$B$28)</f>
        <v>8.75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0" t="s">
        <v>315</v>
      </c>
      <c r="C2" s="1241"/>
      <c r="D2" s="1241"/>
      <c r="E2" s="1241"/>
      <c r="F2" s="1241"/>
      <c r="G2" s="1241"/>
      <c r="H2" s="1241"/>
      <c r="I2" s="1241"/>
      <c r="J2" s="1241"/>
      <c r="K2" s="1242"/>
      <c r="L2" s="984" t="str" cm="1">
        <f t="array" ref="L2">IF(OR($K$9:$K$150="Undefined"),"Undefined Element","")</f>
        <v/>
      </c>
      <c r="M2" s="1248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00" t="s">
        <v>0</v>
      </c>
      <c r="AW2" s="1142" t="s">
        <v>109</v>
      </c>
      <c r="AX2" s="1143"/>
      <c r="AY2" s="1143"/>
      <c r="AZ2" s="1143"/>
      <c r="BA2" s="1143"/>
      <c r="BB2" s="1143"/>
      <c r="BC2" s="1143"/>
      <c r="BD2" s="1143"/>
      <c r="BE2" s="1144"/>
      <c r="BF2" s="1154" t="s">
        <v>115</v>
      </c>
      <c r="BG2" s="1143"/>
      <c r="BH2" s="1143"/>
      <c r="BI2" s="1143"/>
      <c r="BJ2" s="1143"/>
      <c r="BK2" s="1143"/>
      <c r="BL2" s="1143"/>
      <c r="BM2" s="1143"/>
      <c r="BN2" s="1143"/>
      <c r="BO2" s="1143"/>
      <c r="BP2" s="1143"/>
      <c r="BQ2" s="1143"/>
      <c r="BR2" s="1143"/>
      <c r="BS2" s="1143"/>
      <c r="BT2" s="1143"/>
      <c r="BU2" s="1143"/>
      <c r="BV2" s="1143"/>
      <c r="BW2" s="1143"/>
      <c r="BX2" s="1143"/>
      <c r="BY2" s="1143"/>
      <c r="BZ2" s="1143"/>
      <c r="CA2" s="1143"/>
      <c r="CB2" s="1143"/>
      <c r="CC2" s="1143"/>
      <c r="CD2" s="1143"/>
      <c r="CE2" s="1143"/>
      <c r="CF2" s="1143"/>
      <c r="CG2" s="1143"/>
      <c r="CH2" s="1143"/>
      <c r="CI2" s="1143"/>
      <c r="CJ2" s="1143"/>
      <c r="CK2" s="1143"/>
      <c r="CL2" s="1143"/>
      <c r="CM2" s="1143"/>
      <c r="CN2" s="1143"/>
      <c r="CO2" s="1143"/>
      <c r="CP2" s="1143"/>
      <c r="CQ2" s="1143"/>
      <c r="CR2" s="1143"/>
      <c r="CS2" s="1143"/>
      <c r="CT2" s="1143"/>
      <c r="CU2" s="1143"/>
      <c r="CV2" s="1143"/>
      <c r="CW2" s="1143"/>
      <c r="CX2" s="1143"/>
      <c r="CY2" s="1143"/>
      <c r="CZ2" s="1143"/>
      <c r="DA2" s="1143"/>
      <c r="DB2" s="1143"/>
      <c r="DC2" s="1143"/>
      <c r="DD2" s="1143"/>
      <c r="DE2" s="1143"/>
      <c r="DF2" s="1143"/>
      <c r="DG2" s="1143"/>
      <c r="DH2" s="1143"/>
      <c r="DI2" s="1143"/>
      <c r="DJ2" s="1143"/>
      <c r="DK2" s="1143"/>
      <c r="DL2" s="1143"/>
      <c r="DM2" s="1143"/>
      <c r="DN2" s="1143"/>
      <c r="DO2" s="1143"/>
      <c r="DP2" s="1143"/>
      <c r="DQ2" s="1143"/>
      <c r="DR2" s="1143"/>
      <c r="DS2" s="1143"/>
      <c r="DT2" s="1143"/>
      <c r="DU2" s="1143"/>
      <c r="DV2" s="1143"/>
      <c r="DW2" s="1143"/>
      <c r="DX2" s="1143"/>
      <c r="DY2" s="1143"/>
      <c r="DZ2" s="1143"/>
      <c r="EA2" s="1143"/>
      <c r="EB2" s="1143"/>
      <c r="EC2" s="1143"/>
      <c r="ED2" s="1143"/>
      <c r="EE2" s="1143"/>
      <c r="EF2" s="1143"/>
      <c r="EG2" s="1143"/>
      <c r="EH2" s="1143"/>
      <c r="EI2" s="1143"/>
      <c r="EJ2" s="1143"/>
      <c r="EK2" s="1143"/>
      <c r="EL2" s="1143"/>
      <c r="EM2" s="1143"/>
      <c r="EN2" s="1143"/>
      <c r="EO2" s="1143"/>
      <c r="EP2" s="1143"/>
      <c r="EQ2" s="1143"/>
      <c r="ER2" s="1155"/>
      <c r="ES2" s="1045" t="s">
        <v>197</v>
      </c>
      <c r="ET2" s="1046"/>
      <c r="EU2" s="1046"/>
      <c r="EV2" s="1046"/>
      <c r="EW2" s="1046"/>
      <c r="EX2" s="1046"/>
      <c r="EY2" s="1046"/>
      <c r="EZ2" s="1046"/>
      <c r="FA2" s="1046"/>
      <c r="FB2" s="1046"/>
      <c r="FC2" s="1046"/>
      <c r="FD2" s="1046"/>
      <c r="FE2" s="1046"/>
      <c r="FF2" s="1047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2" t="s">
        <v>266</v>
      </c>
      <c r="HQ2" s="1073" t="str">
        <f>IFERROR(CONCATENATE("Sum of Lateral Forces = ",ROUND(HE3,0)," lbs @ ",ROUND(HF3,1),"° Relative to Blade 1"),"")</f>
        <v/>
      </c>
      <c r="HR2" s="1074"/>
      <c r="HS2" s="1074"/>
      <c r="HT2" s="1074"/>
      <c r="HU2" s="1074"/>
      <c r="HV2" s="107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3"/>
      <c r="C3" s="1198"/>
      <c r="D3" s="1198"/>
      <c r="E3" s="1198"/>
      <c r="F3" s="1198"/>
      <c r="G3" s="1198"/>
      <c r="H3" s="1198"/>
      <c r="I3" s="1198"/>
      <c r="J3" s="1198"/>
      <c r="K3" s="1244"/>
      <c r="L3" s="984"/>
      <c r="M3" s="1243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145"/>
      <c r="AA3" s="1146"/>
      <c r="AB3" s="1146"/>
      <c r="AC3" s="1146"/>
      <c r="AD3" s="1146"/>
      <c r="AE3" s="1146"/>
      <c r="AF3" s="1146"/>
      <c r="AG3" s="1146"/>
      <c r="AH3" s="1146"/>
      <c r="AI3" s="1146"/>
      <c r="AJ3" s="1146"/>
      <c r="AK3" s="1146"/>
      <c r="AL3" s="1146"/>
      <c r="AM3" s="1146"/>
      <c r="AN3" s="1146"/>
      <c r="AO3" s="1146"/>
      <c r="AP3" s="1146"/>
      <c r="AQ3" s="1147"/>
      <c r="AS3" s="466">
        <v>100</v>
      </c>
      <c r="AT3" s="463" t="s">
        <v>45</v>
      </c>
      <c r="AV3" s="1201"/>
      <c r="AW3" s="1048"/>
      <c r="AX3" s="1049"/>
      <c r="AY3" s="1049"/>
      <c r="AZ3" s="1049"/>
      <c r="BA3" s="1049"/>
      <c r="BB3" s="1049"/>
      <c r="BC3" s="1049"/>
      <c r="BD3" s="1049"/>
      <c r="BE3" s="1163"/>
      <c r="BF3" s="1156"/>
      <c r="BG3" s="1049"/>
      <c r="BH3" s="1049"/>
      <c r="BI3" s="1049"/>
      <c r="BJ3" s="1049"/>
      <c r="BK3" s="1049"/>
      <c r="BL3" s="1049"/>
      <c r="BM3" s="1049"/>
      <c r="BN3" s="1049"/>
      <c r="BO3" s="1049"/>
      <c r="BP3" s="1049"/>
      <c r="BQ3" s="1049"/>
      <c r="BR3" s="1049"/>
      <c r="BS3" s="1049"/>
      <c r="BT3" s="1049"/>
      <c r="BU3" s="1049"/>
      <c r="BV3" s="1049"/>
      <c r="BW3" s="1049"/>
      <c r="BX3" s="1049"/>
      <c r="BY3" s="1049"/>
      <c r="BZ3" s="1049"/>
      <c r="CA3" s="1049"/>
      <c r="CB3" s="1049"/>
      <c r="CC3" s="1049"/>
      <c r="CD3" s="1049"/>
      <c r="CE3" s="1049"/>
      <c r="CF3" s="1049"/>
      <c r="CG3" s="1049"/>
      <c r="CH3" s="1049"/>
      <c r="CI3" s="1049"/>
      <c r="CJ3" s="1049"/>
      <c r="CK3" s="1049"/>
      <c r="CL3" s="1049"/>
      <c r="CM3" s="1049"/>
      <c r="CN3" s="1049"/>
      <c r="CO3" s="1049"/>
      <c r="CP3" s="1049"/>
      <c r="CQ3" s="1049"/>
      <c r="CR3" s="1049"/>
      <c r="CS3" s="1049"/>
      <c r="CT3" s="1049"/>
      <c r="CU3" s="1049"/>
      <c r="CV3" s="1049"/>
      <c r="CW3" s="1049"/>
      <c r="CX3" s="1049"/>
      <c r="CY3" s="1049"/>
      <c r="CZ3" s="1049"/>
      <c r="DA3" s="1049"/>
      <c r="DB3" s="1049"/>
      <c r="DC3" s="1049"/>
      <c r="DD3" s="1049"/>
      <c r="DE3" s="1049"/>
      <c r="DF3" s="1049"/>
      <c r="DG3" s="1049"/>
      <c r="DH3" s="1049"/>
      <c r="DI3" s="1049"/>
      <c r="DJ3" s="1049"/>
      <c r="DK3" s="1049"/>
      <c r="DL3" s="1049"/>
      <c r="DM3" s="1049"/>
      <c r="DN3" s="1049"/>
      <c r="DO3" s="1049"/>
      <c r="DP3" s="1049"/>
      <c r="DQ3" s="1049"/>
      <c r="DR3" s="1049"/>
      <c r="DS3" s="1049"/>
      <c r="DT3" s="1049"/>
      <c r="DU3" s="1049"/>
      <c r="DV3" s="1049"/>
      <c r="DW3" s="1049"/>
      <c r="DX3" s="1049"/>
      <c r="DY3" s="1049"/>
      <c r="DZ3" s="1049"/>
      <c r="EA3" s="1049"/>
      <c r="EB3" s="1049"/>
      <c r="EC3" s="1049"/>
      <c r="ED3" s="1049"/>
      <c r="EE3" s="1049"/>
      <c r="EF3" s="1049"/>
      <c r="EG3" s="1049"/>
      <c r="EH3" s="1049"/>
      <c r="EI3" s="1049"/>
      <c r="EJ3" s="1049"/>
      <c r="EK3" s="1049"/>
      <c r="EL3" s="1049"/>
      <c r="EM3" s="1049"/>
      <c r="EN3" s="1049"/>
      <c r="EO3" s="1049"/>
      <c r="EP3" s="1049"/>
      <c r="EQ3" s="1049"/>
      <c r="ER3" s="1050"/>
      <c r="ES3" s="1048"/>
      <c r="ET3" s="1049"/>
      <c r="EU3" s="1049"/>
      <c r="EV3" s="1049"/>
      <c r="EW3" s="1049"/>
      <c r="EX3" s="1049"/>
      <c r="EY3" s="1049"/>
      <c r="EZ3" s="1049"/>
      <c r="FA3" s="1049"/>
      <c r="FB3" s="1049"/>
      <c r="FC3" s="1049"/>
      <c r="FD3" s="1049"/>
      <c r="FE3" s="1049"/>
      <c r="FF3" s="1050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3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5"/>
      <c r="C4" s="1246"/>
      <c r="D4" s="1246"/>
      <c r="E4" s="1246"/>
      <c r="F4" s="1246"/>
      <c r="G4" s="1246"/>
      <c r="H4" s="1246"/>
      <c r="I4" s="1246"/>
      <c r="J4" s="1246"/>
      <c r="K4" s="1247"/>
      <c r="L4" s="984"/>
      <c r="M4" s="1243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$Q$4</f>
        <v>Polar XY; Cartesian Z</v>
      </c>
      <c r="X4" s="1167"/>
      <c r="Y4" s="1233"/>
      <c r="Z4" s="1186" t="s">
        <v>3</v>
      </c>
      <c r="AA4" s="1184"/>
      <c r="AB4" s="1184"/>
      <c r="AC4" s="1184"/>
      <c r="AD4" s="1184"/>
      <c r="AE4" s="1184"/>
      <c r="AF4" s="1184"/>
      <c r="AG4" s="1196" t="s">
        <v>31</v>
      </c>
      <c r="AH4" s="1184"/>
      <c r="AI4" s="1184"/>
      <c r="AJ4" s="1185"/>
      <c r="AK4" s="1148" t="s">
        <v>32</v>
      </c>
      <c r="AL4" s="1149"/>
      <c r="AM4" s="1149"/>
      <c r="AN4" s="1149"/>
      <c r="AO4" s="1149"/>
      <c r="AP4" s="1149"/>
      <c r="AQ4" s="1150"/>
      <c r="AS4" s="467">
        <v>125</v>
      </c>
      <c r="AT4" s="464" t="s">
        <v>46</v>
      </c>
      <c r="AV4" s="1201"/>
      <c r="AW4" s="1096" t="s">
        <v>112</v>
      </c>
      <c r="AX4" s="1000"/>
      <c r="AY4" s="923"/>
      <c r="AZ4" s="1161"/>
      <c r="BA4" s="1162"/>
      <c r="BB4" s="1164" t="s">
        <v>113</v>
      </c>
      <c r="BC4" s="1167" t="str">
        <f>$Q$4</f>
        <v>Polar XY; Cartesian Z</v>
      </c>
      <c r="BD4" s="1167"/>
      <c r="BE4" s="1168"/>
      <c r="BF4" s="1119" t="s">
        <v>129</v>
      </c>
      <c r="BG4" s="1120"/>
      <c r="BH4" s="1120"/>
      <c r="BI4" s="1120"/>
      <c r="BJ4" s="1120"/>
      <c r="BK4" s="1120"/>
      <c r="BL4" s="1120"/>
      <c r="BM4" s="1120"/>
      <c r="BN4" s="1120"/>
      <c r="BO4" s="1120"/>
      <c r="BP4" s="1120"/>
      <c r="BQ4" s="1120"/>
      <c r="BR4" s="1120"/>
      <c r="BS4" s="1120"/>
      <c r="BT4" s="1120"/>
      <c r="BU4" s="1120"/>
      <c r="BV4" s="1120"/>
      <c r="BW4" s="1120"/>
      <c r="BX4" s="1120"/>
      <c r="BY4" s="1120"/>
      <c r="BZ4" s="1120"/>
      <c r="CA4" s="1120"/>
      <c r="CB4" s="1120"/>
      <c r="CC4" s="1120"/>
      <c r="CD4" s="1120"/>
      <c r="CE4" s="1120"/>
      <c r="CF4" s="1120"/>
      <c r="CG4" s="1120"/>
      <c r="CH4" s="1120"/>
      <c r="CI4" s="1120"/>
      <c r="CJ4" s="1120"/>
      <c r="CK4" s="1120"/>
      <c r="CL4" s="1120"/>
      <c r="CM4" s="1120"/>
      <c r="CN4" s="1121"/>
      <c r="CO4" s="1157" t="s">
        <v>193</v>
      </c>
      <c r="CP4" s="1158"/>
      <c r="CQ4" s="1158"/>
      <c r="CR4" s="1158"/>
      <c r="CS4" s="1158"/>
      <c r="CT4" s="1158"/>
      <c r="CU4" s="1158"/>
      <c r="CV4" s="1158"/>
      <c r="CW4" s="1158"/>
      <c r="CX4" s="1158"/>
      <c r="CY4" s="1158"/>
      <c r="CZ4" s="1158"/>
      <c r="DA4" s="1159"/>
      <c r="DB4" s="1042" t="s">
        <v>162</v>
      </c>
      <c r="DC4" s="1043"/>
      <c r="DD4" s="1043"/>
      <c r="DE4" s="1043"/>
      <c r="DF4" s="1043"/>
      <c r="DG4" s="1043"/>
      <c r="DH4" s="1043"/>
      <c r="DI4" s="1043"/>
      <c r="DJ4" s="1043"/>
      <c r="DK4" s="1043"/>
      <c r="DL4" s="1043"/>
      <c r="DM4" s="1043"/>
      <c r="DN4" s="1043"/>
      <c r="DO4" s="1043"/>
      <c r="DP4" s="1043"/>
      <c r="DQ4" s="1043"/>
      <c r="DR4" s="1043"/>
      <c r="DS4" s="1043"/>
      <c r="DT4" s="1043"/>
      <c r="DU4" s="1043"/>
      <c r="DV4" s="1043"/>
      <c r="DW4" s="1043"/>
      <c r="DX4" s="1043"/>
      <c r="DY4" s="1043"/>
      <c r="DZ4" s="1043"/>
      <c r="EA4" s="1043"/>
      <c r="EB4" s="1043"/>
      <c r="EC4" s="1043"/>
      <c r="ED4" s="1043"/>
      <c r="EE4" s="1043"/>
      <c r="EF4" s="1043"/>
      <c r="EG4" s="1043"/>
      <c r="EH4" s="1043"/>
      <c r="EI4" s="1043"/>
      <c r="EJ4" s="1043"/>
      <c r="EK4" s="1043"/>
      <c r="EL4" s="1043"/>
      <c r="EM4" s="1043"/>
      <c r="EN4" s="1043"/>
      <c r="EO4" s="1043"/>
      <c r="EP4" s="1043"/>
      <c r="EQ4" s="1043"/>
      <c r="ER4" s="1044"/>
      <c r="ES4" s="1065" t="s">
        <v>196</v>
      </c>
      <c r="ET4" s="1066"/>
      <c r="EU4" s="1066"/>
      <c r="EV4" s="1066"/>
      <c r="EW4" s="1066"/>
      <c r="EX4" s="1066"/>
      <c r="EY4" s="1067"/>
      <c r="EZ4" s="1100" t="s">
        <v>201</v>
      </c>
      <c r="FA4" s="1101"/>
      <c r="FB4" s="1101"/>
      <c r="FC4" s="1101"/>
      <c r="FD4" s="1101"/>
      <c r="FE4" s="1101"/>
      <c r="FF4" s="1102"/>
      <c r="FG4" s="343"/>
      <c r="FP4" s="1032" t="s">
        <v>229</v>
      </c>
      <c r="FZ4" s="1032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3" t="s">
        <v>236</v>
      </c>
      <c r="GK4" s="904"/>
      <c r="GL4" s="904"/>
      <c r="GM4" s="904"/>
      <c r="GN4" s="990"/>
      <c r="GO4" s="992" t="s">
        <v>229</v>
      </c>
      <c r="GP4" s="996" t="s">
        <v>228</v>
      </c>
      <c r="GR4" s="1002" t="s">
        <v>261</v>
      </c>
      <c r="GS4" s="932" t="s">
        <v>259</v>
      </c>
      <c r="GT4" s="875"/>
      <c r="GU4" s="875"/>
      <c r="GV4" s="875"/>
      <c r="GW4" s="875"/>
      <c r="GX4" s="875"/>
      <c r="GY4" s="875"/>
      <c r="GZ4" s="875"/>
      <c r="HA4" s="1079" t="str">
        <f>IFERROR(CONCATENATE("Lateral Forces = ",ROUND(HE3,0)," lbs @ ",ROUND(HF3,1),"° Relative to Blade 1"),"")</f>
        <v/>
      </c>
      <c r="HB4" s="1080"/>
      <c r="HC4" s="1080"/>
      <c r="HD4" s="1080"/>
      <c r="HE4" s="1080"/>
      <c r="HF4" s="1080"/>
      <c r="HG4" s="1080"/>
      <c r="HH4" s="1081"/>
      <c r="HI4" s="1087" t="s">
        <v>0</v>
      </c>
      <c r="HO4" s="1034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0" t="s">
        <v>381</v>
      </c>
      <c r="IF4" s="900"/>
      <c r="IG4" s="767" cm="1">
        <f t="array" ref="IG4">MAX(MOD(IF($IG$9:$IG$150="",0,($IG$9:$IG$150*1000)),100))</f>
        <v>46</v>
      </c>
      <c r="IL4" s="31"/>
      <c r="IM4" s="767"/>
    </row>
    <row r="5" spans="1:283" ht="15" customHeight="1" x14ac:dyDescent="0.25">
      <c r="B5" s="1234" t="str">
        <f>CONCATENATE(B7," ; ",E7," ; ",H7)</f>
        <v>Absolute-Point ; Incremental-Vector Point ; Pocket Info.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43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about Z Axis")</f>
        <v>Relative to 1.113's θ about Z Axis</v>
      </c>
      <c r="U5" s="1137"/>
      <c r="V5" s="1138"/>
      <c r="W5" s="1137" t="str">
        <f>CONCATENATE("Relative to ",M8,"'s θ about Z Axis")</f>
        <v>Relative to 1.113's θ about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01"/>
      <c r="AW5" s="1177"/>
      <c r="AX5" s="1178"/>
      <c r="AY5" s="1179"/>
      <c r="AZ5" s="1008"/>
      <c r="BA5" s="913"/>
      <c r="BB5" s="1165"/>
      <c r="BC5" s="1173" t="str">
        <f>$W$5</f>
        <v>Relative to 1.113's θ about Z Axis</v>
      </c>
      <c r="BD5" s="1137"/>
      <c r="BE5" s="1174"/>
      <c r="BF5" s="932" t="s">
        <v>128</v>
      </c>
      <c r="BG5" s="875"/>
      <c r="BH5" s="875"/>
      <c r="BI5" s="875"/>
      <c r="BJ5" s="875"/>
      <c r="BK5" s="875"/>
      <c r="BL5" s="875"/>
      <c r="BM5" s="875"/>
      <c r="BN5" s="875"/>
      <c r="BO5" s="875"/>
      <c r="BP5" s="875"/>
      <c r="BQ5" s="875"/>
      <c r="BR5" s="876"/>
      <c r="BS5" s="932" t="s">
        <v>130</v>
      </c>
      <c r="BT5" s="875"/>
      <c r="BU5" s="875"/>
      <c r="BV5" s="875"/>
      <c r="BW5" s="875"/>
      <c r="BX5" s="875"/>
      <c r="BY5" s="875"/>
      <c r="BZ5" s="875"/>
      <c r="CA5" s="875"/>
      <c r="CB5" s="875"/>
      <c r="CC5" s="875"/>
      <c r="CD5" s="875"/>
      <c r="CE5" s="876"/>
      <c r="CF5" s="932" t="s">
        <v>138</v>
      </c>
      <c r="CG5" s="875"/>
      <c r="CH5" s="876"/>
      <c r="CI5" s="932" t="s">
        <v>139</v>
      </c>
      <c r="CJ5" s="875"/>
      <c r="CK5" s="875"/>
      <c r="CL5" s="875"/>
      <c r="CM5" s="875"/>
      <c r="CN5" s="876"/>
      <c r="CO5" s="1014" t="s">
        <v>275</v>
      </c>
      <c r="CP5" s="1014" t="s">
        <v>149</v>
      </c>
      <c r="CQ5" s="1000"/>
      <c r="CR5" s="1000"/>
      <c r="CS5" s="933"/>
      <c r="CT5" s="1000" t="s">
        <v>150</v>
      </c>
      <c r="CU5" s="923"/>
      <c r="CV5" s="932" t="s">
        <v>161</v>
      </c>
      <c r="CW5" s="875"/>
      <c r="CX5" s="875"/>
      <c r="CY5" s="875"/>
      <c r="CZ5" s="875"/>
      <c r="DA5" s="876"/>
      <c r="DB5" s="932" t="s">
        <v>163</v>
      </c>
      <c r="DC5" s="875"/>
      <c r="DD5" s="875"/>
      <c r="DE5" s="875"/>
      <c r="DF5" s="875"/>
      <c r="DG5" s="875"/>
      <c r="DH5" s="876"/>
      <c r="DI5" s="1021" t="s">
        <v>173</v>
      </c>
      <c r="DJ5" s="1021"/>
      <c r="DK5" s="1129"/>
      <c r="DL5" s="1020" t="s">
        <v>174</v>
      </c>
      <c r="DM5" s="1021"/>
      <c r="DN5" s="1022"/>
      <c r="DO5" s="1131" t="s">
        <v>175</v>
      </c>
      <c r="DP5" s="1132"/>
      <c r="DQ5" s="1132"/>
      <c r="DR5" s="1013" t="s">
        <v>187</v>
      </c>
      <c r="DS5" s="1013"/>
      <c r="DT5" s="1013"/>
      <c r="DU5" s="1013"/>
      <c r="DV5" s="1013"/>
      <c r="DW5" s="1013"/>
      <c r="DX5" s="1014" t="s">
        <v>190</v>
      </c>
      <c r="DY5" s="954" t="s">
        <v>149</v>
      </c>
      <c r="DZ5" s="1013"/>
      <c r="EA5" s="1013"/>
      <c r="EB5" s="1013"/>
      <c r="EC5" s="1013" t="s">
        <v>150</v>
      </c>
      <c r="ED5" s="1013"/>
      <c r="EE5" s="1002" t="s">
        <v>194</v>
      </c>
      <c r="EF5" s="1002"/>
      <c r="EG5" s="1010"/>
      <c r="EH5" s="1026" t="s">
        <v>195</v>
      </c>
      <c r="EI5" s="1027"/>
      <c r="EJ5" s="1028"/>
      <c r="EK5" s="1013" t="s">
        <v>188</v>
      </c>
      <c r="EL5" s="1014"/>
      <c r="EM5" s="932" t="s">
        <v>189</v>
      </c>
      <c r="EN5" s="875"/>
      <c r="EO5" s="875"/>
      <c r="EP5" s="875"/>
      <c r="EQ5" s="875"/>
      <c r="ER5" s="1122"/>
      <c r="ES5" s="1096" t="s">
        <v>202</v>
      </c>
      <c r="ET5" s="1000"/>
      <c r="EU5" s="933"/>
      <c r="EV5" s="1068" t="s">
        <v>222</v>
      </c>
      <c r="EW5" s="1069"/>
      <c r="EX5" s="1069"/>
      <c r="EY5" s="1070"/>
      <c r="EZ5" s="1057" t="s">
        <v>200</v>
      </c>
      <c r="FA5" s="927" t="s">
        <v>202</v>
      </c>
      <c r="FB5" s="1110"/>
      <c r="FC5" s="928"/>
      <c r="FD5" s="1114" t="s">
        <v>222</v>
      </c>
      <c r="FE5" s="1115"/>
      <c r="FF5" s="1116"/>
      <c r="FP5" s="1034"/>
      <c r="FQ5" s="31"/>
      <c r="FR5" s="31"/>
      <c r="FS5" s="31"/>
      <c r="FT5" s="31"/>
      <c r="FZ5" s="1034"/>
      <c r="GJ5" s="988" t="s">
        <v>269</v>
      </c>
      <c r="GK5" s="1036" t="s">
        <v>267</v>
      </c>
      <c r="GL5" s="1038" t="s">
        <v>110</v>
      </c>
      <c r="GM5" s="1038" t="s">
        <v>111</v>
      </c>
      <c r="GN5" s="1039"/>
      <c r="GO5" s="993"/>
      <c r="GP5" s="997"/>
      <c r="GQ5" s="31"/>
      <c r="GR5" s="984"/>
      <c r="GS5" s="1008" t="s">
        <v>248</v>
      </c>
      <c r="GT5" s="1009"/>
      <c r="GU5" s="1004" t="s">
        <v>249</v>
      </c>
      <c r="GV5" s="1005"/>
      <c r="GW5" s="1006"/>
      <c r="GX5" s="1007"/>
      <c r="GY5" s="991" t="s">
        <v>107</v>
      </c>
      <c r="GZ5" s="915"/>
      <c r="HA5" s="1076" t="s">
        <v>248</v>
      </c>
      <c r="HB5" s="1077"/>
      <c r="HC5" s="1077"/>
      <c r="HD5" s="1078"/>
      <c r="HE5" s="1093" t="s">
        <v>249</v>
      </c>
      <c r="HF5" s="1077"/>
      <c r="HG5" s="1077"/>
      <c r="HH5" s="1094"/>
      <c r="HI5" s="1088"/>
      <c r="HN5" s="386" t="s">
        <v>263</v>
      </c>
      <c r="HO5" s="58" t="s">
        <v>264</v>
      </c>
      <c r="HS5" s="1082" t="s">
        <v>274</v>
      </c>
      <c r="HZ5" s="383"/>
    </row>
    <row r="6" spans="1:283" ht="15" customHeight="1" thickBot="1" x14ac:dyDescent="0.4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43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$Q$6</f>
        <v>Projected XY</v>
      </c>
      <c r="X6" s="1170"/>
      <c r="Y6" s="1211" t="str">
        <f>$S$6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139" t="str">
        <f>AD6</f>
        <v>Unit Vector</v>
      </c>
      <c r="AL6" s="1140"/>
      <c r="AM6" s="1141"/>
      <c r="AN6" s="34" t="s">
        <v>15</v>
      </c>
      <c r="AO6" s="35" t="s">
        <v>16</v>
      </c>
      <c r="AP6" s="737" t="s">
        <v>17</v>
      </c>
      <c r="AQ6" s="1203" t="s">
        <v>108</v>
      </c>
      <c r="AS6" s="172">
        <f>(AS5/360)</f>
        <v>6.9444444444444447E-4</v>
      </c>
      <c r="AT6" s="465" t="s">
        <v>48</v>
      </c>
      <c r="AV6" s="1201"/>
      <c r="AW6" s="1194" t="s">
        <v>105</v>
      </c>
      <c r="AX6" s="1195"/>
      <c r="AY6" s="195" t="s">
        <v>110</v>
      </c>
      <c r="AZ6" s="1175" t="s">
        <v>111</v>
      </c>
      <c r="BA6" s="1176"/>
      <c r="BB6" s="1166"/>
      <c r="BC6" s="1169" t="str">
        <f>$Q$6</f>
        <v>Projected XY</v>
      </c>
      <c r="BD6" s="1170"/>
      <c r="BE6" s="1171" t="str">
        <f>$S$6</f>
        <v>Z</v>
      </c>
      <c r="BF6" s="882" t="s">
        <v>125</v>
      </c>
      <c r="BG6" s="878"/>
      <c r="BH6" s="987"/>
      <c r="BI6" s="880" t="s">
        <v>126</v>
      </c>
      <c r="BJ6" s="878"/>
      <c r="BK6" s="879"/>
      <c r="BL6" s="883" t="s">
        <v>127</v>
      </c>
      <c r="BM6" s="878"/>
      <c r="BN6" s="884"/>
      <c r="BO6" s="882" t="s">
        <v>135</v>
      </c>
      <c r="BP6" s="878"/>
      <c r="BQ6" s="878"/>
      <c r="BR6" s="884"/>
      <c r="BS6" s="882" t="s">
        <v>125</v>
      </c>
      <c r="BT6" s="878"/>
      <c r="BU6" s="987"/>
      <c r="BV6" s="880" t="s">
        <v>126</v>
      </c>
      <c r="BW6" s="878"/>
      <c r="BX6" s="879"/>
      <c r="BY6" s="883" t="s">
        <v>127</v>
      </c>
      <c r="BZ6" s="878"/>
      <c r="CA6" s="884"/>
      <c r="CB6" s="882" t="s">
        <v>135</v>
      </c>
      <c r="CC6" s="878"/>
      <c r="CD6" s="878"/>
      <c r="CE6" s="884"/>
      <c r="CF6" s="888" t="s">
        <v>136</v>
      </c>
      <c r="CG6" s="1124"/>
      <c r="CH6" s="1124"/>
      <c r="CI6" s="1126" t="s">
        <v>137</v>
      </c>
      <c r="CJ6" s="1124"/>
      <c r="CK6" s="889"/>
      <c r="CL6" s="1123" t="s">
        <v>140</v>
      </c>
      <c r="CM6" s="1124"/>
      <c r="CN6" s="1125"/>
      <c r="CO6" s="1016"/>
      <c r="CP6" s="1016"/>
      <c r="CQ6" s="1098"/>
      <c r="CR6" s="1098"/>
      <c r="CS6" s="1099"/>
      <c r="CT6" s="1098"/>
      <c r="CU6" s="1160"/>
      <c r="CV6" s="1182" t="s">
        <v>147</v>
      </c>
      <c r="CW6" s="878"/>
      <c r="CX6" s="879"/>
      <c r="CY6" s="1117" t="s">
        <v>148</v>
      </c>
      <c r="CZ6" s="1072"/>
      <c r="DA6" s="1118"/>
      <c r="DB6" s="1127" t="s">
        <v>176</v>
      </c>
      <c r="DC6" s="1063"/>
      <c r="DD6" s="1064"/>
      <c r="DE6" s="1128" t="s">
        <v>177</v>
      </c>
      <c r="DF6" s="1063"/>
      <c r="DG6" s="1064"/>
      <c r="DH6" s="253" t="s">
        <v>29</v>
      </c>
      <c r="DI6" s="1024"/>
      <c r="DJ6" s="1024"/>
      <c r="DK6" s="1130"/>
      <c r="DL6" s="1023"/>
      <c r="DM6" s="1024"/>
      <c r="DN6" s="1025"/>
      <c r="DO6" s="1133"/>
      <c r="DP6" s="1134"/>
      <c r="DQ6" s="1134"/>
      <c r="DR6" s="1015"/>
      <c r="DS6" s="1015"/>
      <c r="DT6" s="1015"/>
      <c r="DU6" s="1015"/>
      <c r="DV6" s="1015"/>
      <c r="DW6" s="1015"/>
      <c r="DX6" s="1016"/>
      <c r="DY6" s="1135"/>
      <c r="DZ6" s="1015"/>
      <c r="EA6" s="1015"/>
      <c r="EB6" s="1015"/>
      <c r="EC6" s="1015"/>
      <c r="ED6" s="1015"/>
      <c r="EE6" s="1011"/>
      <c r="EF6" s="1011"/>
      <c r="EG6" s="1012"/>
      <c r="EH6" s="1029"/>
      <c r="EI6" s="1030"/>
      <c r="EJ6" s="1031"/>
      <c r="EK6" s="1015"/>
      <c r="EL6" s="1016"/>
      <c r="EM6" s="1017" t="s">
        <v>199</v>
      </c>
      <c r="EN6" s="1018"/>
      <c r="EO6" s="1019"/>
      <c r="EP6" s="1103" t="s">
        <v>198</v>
      </c>
      <c r="EQ6" s="1018"/>
      <c r="ER6" s="1105"/>
      <c r="ES6" s="1097"/>
      <c r="ET6" s="1098"/>
      <c r="EU6" s="1099"/>
      <c r="EV6" s="274" t="s">
        <v>221</v>
      </c>
      <c r="EW6" s="1103" t="s">
        <v>202</v>
      </c>
      <c r="EX6" s="1018"/>
      <c r="EY6" s="1104"/>
      <c r="EZ6" s="1058"/>
      <c r="FA6" s="1111"/>
      <c r="FB6" s="1112"/>
      <c r="FC6" s="1113"/>
      <c r="FD6" s="1017" t="s">
        <v>202</v>
      </c>
      <c r="FE6" s="1018"/>
      <c r="FF6" s="1105"/>
      <c r="FG6" s="1107" t="s">
        <v>224</v>
      </c>
      <c r="FH6" s="1108"/>
      <c r="FI6" s="1109"/>
      <c r="FJ6" s="1013" t="s">
        <v>203</v>
      </c>
      <c r="FK6" s="1014" t="s">
        <v>214</v>
      </c>
      <c r="FL6" s="1000"/>
      <c r="FM6" s="933"/>
      <c r="FN6" s="1053" t="s">
        <v>204</v>
      </c>
      <c r="FO6" s="1060" t="s">
        <v>227</v>
      </c>
      <c r="FP6" s="1051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4" t="s">
        <v>218</v>
      </c>
      <c r="FV6" s="1000"/>
      <c r="FW6" s="933"/>
      <c r="FX6" s="1053" t="s">
        <v>219</v>
      </c>
      <c r="FY6" s="1060" t="s">
        <v>227</v>
      </c>
      <c r="FZ6" s="1051" t="s">
        <v>225</v>
      </c>
      <c r="GA6" s="1055" t="s">
        <v>239</v>
      </c>
      <c r="GB6" s="336" t="s">
        <v>207</v>
      </c>
      <c r="GC6" s="337" t="s">
        <v>240</v>
      </c>
      <c r="GD6" s="338" t="s">
        <v>226</v>
      </c>
      <c r="GE6" s="985"/>
      <c r="GF6" s="1010" t="s">
        <v>260</v>
      </c>
      <c r="GG6" s="336" t="s">
        <v>207</v>
      </c>
      <c r="GH6" s="337" t="s">
        <v>240</v>
      </c>
      <c r="GI6" s="338" t="s">
        <v>226</v>
      </c>
      <c r="GJ6" s="989"/>
      <c r="GK6" s="1037"/>
      <c r="GL6" s="1040"/>
      <c r="GM6" s="1040"/>
      <c r="GN6" s="1041"/>
      <c r="GO6" s="994" t="s">
        <v>238</v>
      </c>
      <c r="GP6" s="998" t="s">
        <v>225</v>
      </c>
      <c r="GQ6" s="1000" t="s">
        <v>203</v>
      </c>
      <c r="GR6" s="984"/>
      <c r="GS6" s="1085" t="s">
        <v>252</v>
      </c>
      <c r="GT6" s="1086"/>
      <c r="GU6" s="1071" t="s">
        <v>251</v>
      </c>
      <c r="GV6" s="1072"/>
      <c r="GW6" s="1072"/>
      <c r="GX6" s="361" t="s">
        <v>106</v>
      </c>
      <c r="GY6" s="880" t="s">
        <v>250</v>
      </c>
      <c r="GZ6" s="987"/>
      <c r="HA6" s="1062" t="s">
        <v>252</v>
      </c>
      <c r="HB6" s="1063"/>
      <c r="HC6" s="1063"/>
      <c r="HD6" s="1064"/>
      <c r="HE6" s="880" t="s">
        <v>251</v>
      </c>
      <c r="HF6" s="878"/>
      <c r="HG6" s="878"/>
      <c r="HH6" s="884"/>
      <c r="HI6" s="1088"/>
      <c r="HN6" s="971" t="s">
        <v>238</v>
      </c>
      <c r="HO6" s="974" t="s">
        <v>265</v>
      </c>
      <c r="HP6" s="954" t="s">
        <v>203</v>
      </c>
      <c r="HQ6" s="391"/>
      <c r="HS6" s="1083"/>
      <c r="HT6" s="906" t="s">
        <v>270</v>
      </c>
      <c r="HU6" s="904"/>
      <c r="HV6" s="990"/>
      <c r="HW6" s="932" t="s">
        <v>258</v>
      </c>
      <c r="HX6" s="875"/>
      <c r="HY6" s="876"/>
      <c r="HZ6" s="932" t="s">
        <v>249</v>
      </c>
      <c r="IA6" s="906"/>
      <c r="IE6" s="853"/>
      <c r="IF6" s="853"/>
    </row>
    <row r="7" spans="1:283" ht="15" customHeight="1" thickBot="1" x14ac:dyDescent="0.4">
      <c r="A7" s="143"/>
      <c r="B7" s="1251" t="s">
        <v>40</v>
      </c>
      <c r="C7" s="1252"/>
      <c r="D7" s="1253"/>
      <c r="E7" s="1254" t="s">
        <v>41</v>
      </c>
      <c r="F7" s="1252"/>
      <c r="G7" s="1255"/>
      <c r="H7" s="1230" t="s">
        <v>98</v>
      </c>
      <c r="I7" s="1231"/>
      <c r="J7" s="1232"/>
      <c r="K7" s="173"/>
      <c r="L7" s="984"/>
      <c r="M7" s="124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$Q$7</f>
        <v>&lt; θ°</v>
      </c>
      <c r="X7" s="27" t="str">
        <f>$R$7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4"/>
      <c r="AS7" s="1209" t="s">
        <v>54</v>
      </c>
      <c r="AT7" s="1207" t="s">
        <v>53</v>
      </c>
      <c r="AV7" s="120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6"/>
      <c r="BC7" s="37" t="str">
        <f>$Q$7</f>
        <v>&lt; θ°</v>
      </c>
      <c r="BD7" s="27" t="str">
        <f>$R$7</f>
        <v>r</v>
      </c>
      <c r="BE7" s="1172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5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6"/>
      <c r="FK7" s="350" t="s">
        <v>211</v>
      </c>
      <c r="FL7" s="351" t="s">
        <v>212</v>
      </c>
      <c r="FM7" s="352" t="s">
        <v>213</v>
      </c>
      <c r="FN7" s="1054"/>
      <c r="FO7" s="1061"/>
      <c r="FP7" s="1052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4"/>
      <c r="FY7" s="1061"/>
      <c r="FZ7" s="1052"/>
      <c r="GA7" s="1056"/>
      <c r="GB7" s="223" t="s">
        <v>232</v>
      </c>
      <c r="GC7" s="131" t="s">
        <v>233</v>
      </c>
      <c r="GD7" s="224" t="s">
        <v>234</v>
      </c>
      <c r="GE7" s="986"/>
      <c r="GF7" s="1035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5"/>
      <c r="GP7" s="999"/>
      <c r="GQ7" s="1001"/>
      <c r="GR7" s="1003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89"/>
      <c r="HJ7" s="31"/>
      <c r="HK7" s="1032" t="s">
        <v>246</v>
      </c>
      <c r="HL7" s="1032" t="s">
        <v>237</v>
      </c>
      <c r="HM7" s="922" t="s">
        <v>245</v>
      </c>
      <c r="HN7" s="972"/>
      <c r="HO7" s="1095"/>
      <c r="HP7" s="1090"/>
      <c r="HQ7" s="392"/>
      <c r="HR7" s="412"/>
      <c r="HS7" s="108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220" t="s">
        <v>364</v>
      </c>
      <c r="JC7" s="1220"/>
      <c r="JD7" s="1220"/>
      <c r="JE7" s="122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4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89.680000046202281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-5.4000162864491198E-2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0"/>
      <c r="AT8" s="1208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2"/>
      <c r="HL8" s="1092"/>
      <c r="HM8" s="934"/>
      <c r="HN8" s="973"/>
      <c r="HO8" s="975"/>
      <c r="HP8" s="1091"/>
      <c r="HQ8" s="393" t="s">
        <v>49</v>
      </c>
      <c r="HR8" s="413" t="s">
        <v>51</v>
      </c>
      <c r="HS8" s="108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0.34280103388791822</v>
      </c>
      <c r="D9" s="704">
        <v>-0.54090163135932023</v>
      </c>
      <c r="E9" s="705">
        <v>-0.96592583607220739</v>
      </c>
      <c r="F9" s="703">
        <v>-6.6987279208207184E-2</v>
      </c>
      <c r="G9" s="706">
        <v>0.24999996726497564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0.34280103388791822</v>
      </c>
      <c r="P9" s="625">
        <f t="shared" ref="P9:P40" si="4">IF(M9="","",D9)</f>
        <v>-0.54090163135932023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0.34280103388791822</v>
      </c>
      <c r="S9" s="626">
        <f>IF(M9="","",P9)</f>
        <v>-0.54090163135932023</v>
      </c>
      <c r="T9" s="627">
        <f>IF(M9="","",X9*COS(RADIANS(W9)))</f>
        <v>0.34279568743723776</v>
      </c>
      <c r="U9" s="624">
        <f>IF(M9="","",X9*SIN(RADIANS(W9)))</f>
        <v>1.9145519207451258E-3</v>
      </c>
      <c r="V9" s="628">
        <f>IF(M9="","",Y9)</f>
        <v>-0.54090163135932023</v>
      </c>
      <c r="W9" s="583">
        <f t="shared" ref="W9:W14" si="5">IF(M9="","",IF(Q9-$Q$8&lt;0,360+Q9-$Q$8,Q9-$Q$8))</f>
        <v>0.31999995379771917</v>
      </c>
      <c r="X9" s="629">
        <f>IF(M9="","",R9)</f>
        <v>0.34280103388791822</v>
      </c>
      <c r="Y9" s="630">
        <f>IF(M9="","",S9)</f>
        <v>-0.54090163135932023</v>
      </c>
      <c r="Z9" s="623">
        <f t="shared" ref="Z9:Z40" si="6">IF(M9="","",-E9)</f>
        <v>0.96592583607220739</v>
      </c>
      <c r="AA9" s="624">
        <f t="shared" ref="AA9:AA40" si="7">IF(M9="","",-F9)</f>
        <v>6.6987279208207184E-2</v>
      </c>
      <c r="AB9" s="624">
        <f t="shared" ref="AB9:AB40" si="8">IF(M9="","",-G9)</f>
        <v>-0.24999996726497564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6.6987279208207184E-2</v>
      </c>
      <c r="AF9" s="625">
        <f>IF(M9="","",AB9*(1/SQRT(Z9^2+AA9^2+AB9^2)))</f>
        <v>-0.24999996726497564</v>
      </c>
      <c r="AG9" s="599">
        <f>IF(M9="","",DEGREES(ATAN2(-AF9,AE9)))</f>
        <v>14.999997834268264</v>
      </c>
      <c r="AH9" s="600">
        <f>IF(M9="","",DEGREES(ACOS(AD9)))</f>
        <v>14.999997834268255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6.6987279208207184E-2</v>
      </c>
      <c r="AM9" s="626">
        <f>IF(M9="","",AF9)</f>
        <v>-0.24999996726497564</v>
      </c>
      <c r="AN9" s="581">
        <f>IF(M9="","",DEGREES(ATAN2(-AM9,AL9)))</f>
        <v>14.999997834268264</v>
      </c>
      <c r="AO9" s="582">
        <f>IF(ROUND(IF(M9="",0,DEGREES(ACOS(AK9))),4)=90,0,IF(M9="","",DEGREES(ACOS(AK9))))</f>
        <v>14.999997834268255</v>
      </c>
      <c r="AP9" s="781">
        <f>IF(M9="","",DEGREES(ATAN2(AK9,AL9)))</f>
        <v>3.9671296450865703</v>
      </c>
      <c r="AQ9" s="584">
        <f t="shared" ref="AQ9:AQ40" si="9">IF(M9="","",DEGREES(ATAN(($AS$5*SIN(RADIANS(90)))/(($X9*2*PI())-($AS$5*COS(RADIANS(90)))))))</f>
        <v>6.6206655959954608</v>
      </c>
      <c r="AS9" s="51">
        <f>IF(M9="","",W9)</f>
        <v>0.31999995379771917</v>
      </c>
      <c r="AT9" s="71">
        <f t="shared" ref="AT9:AT40" si="10">IF(M9="","",Y9+(((AS9-$AS$9)*$AS$6)*-1))</f>
        <v>-0.54090163135932023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45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1.0777032503530031</v>
      </c>
      <c r="D10" s="709">
        <v>-0.34400103750712913</v>
      </c>
      <c r="E10" s="710">
        <v>-0.96592583607220739</v>
      </c>
      <c r="F10" s="708">
        <v>-6.6987279208207184E-2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1.0777032503530031</v>
      </c>
      <c r="P10" s="633">
        <f t="shared" si="4"/>
        <v>-0.34400103750712913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1.0777032503530031</v>
      </c>
      <c r="S10" s="634">
        <f t="shared" ref="S10:S105" si="80">IF(M10="","",P10)</f>
        <v>-0.34400103750712913</v>
      </c>
      <c r="T10" s="635">
        <f t="shared" ref="T10:T105" si="81">IF(M10="","",X10*COS(RADIANS(W10)))</f>
        <v>1.0776864420977572</v>
      </c>
      <c r="U10" s="629">
        <f t="shared" ref="U10:U105" si="82">IF(M10="","",X10*SIN(RADIANS(W10)))</f>
        <v>6.0189982642561901E-3</v>
      </c>
      <c r="V10" s="636">
        <f>IF(M10="","",Y10)</f>
        <v>-0.34400103750712913</v>
      </c>
      <c r="W10" s="585">
        <f t="shared" si="5"/>
        <v>0.31999995379771917</v>
      </c>
      <c r="X10" s="629">
        <f t="shared" ref="X10:X105" si="83">IF(M10="","",R10)</f>
        <v>1.0777032503530031</v>
      </c>
      <c r="Y10" s="630">
        <f>IF(M10="","",S10)</f>
        <v>-0.34400103750712913</v>
      </c>
      <c r="Z10" s="632">
        <f t="shared" si="6"/>
        <v>0.96592583607220739</v>
      </c>
      <c r="AA10" s="629">
        <f t="shared" si="7"/>
        <v>6.6987279208207184E-2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6.6987279208207184E-2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14.999997834268264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6.6987279208207184E-2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14.999997834268264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3.9671296450865703</v>
      </c>
      <c r="AQ10" s="586">
        <f t="shared" si="9"/>
        <v>2.1143962028707857</v>
      </c>
      <c r="AS10" s="52">
        <f>IF($M10="","",IF(AND($W10&lt;($AS$9+180),$W10&gt;($AS$9-180)),$W10,IF($W10&gt;($AS$9+180),$W10-360,IF($W10&lt;($AS$9-180),$W10+360,"Error"))))</f>
        <v>0.31999995379771917</v>
      </c>
      <c r="AT10" s="72">
        <f t="shared" si="10"/>
        <v>-0.34400103750712913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1.812605466818088</v>
      </c>
      <c r="D11" s="709">
        <v>-0.14710044365493807</v>
      </c>
      <c r="E11" s="710">
        <v>-0.96592583607220739</v>
      </c>
      <c r="F11" s="708">
        <v>-6.6987279208207212E-2</v>
      </c>
      <c r="G11" s="711">
        <v>0.24999996726497561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1.812605466818088</v>
      </c>
      <c r="P11" s="633">
        <f t="shared" si="4"/>
        <v>-0.14710044365493807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1.812605466818088</v>
      </c>
      <c r="S11" s="634">
        <f t="shared" si="80"/>
        <v>-0.14710044365493807</v>
      </c>
      <c r="T11" s="635">
        <f t="shared" si="81"/>
        <v>1.8125771967582767</v>
      </c>
      <c r="U11" s="629">
        <f t="shared" si="82"/>
        <v>1.0123444607767255E-2</v>
      </c>
      <c r="V11" s="636">
        <f t="shared" ref="V11:V105" si="114">IF(M11="","",Y11)</f>
        <v>-0.14710044365493807</v>
      </c>
      <c r="W11" s="585">
        <f t="shared" si="5"/>
        <v>0.31999995379771917</v>
      </c>
      <c r="X11" s="629">
        <f>IF(M11="","",R11)</f>
        <v>1.812605466818088</v>
      </c>
      <c r="Y11" s="630">
        <f>IF(M11="","",S11)</f>
        <v>-0.14710044365493807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-0.24999996726497561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-0.24999996726497561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-0.24999996726497561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1.2575050753489447</v>
      </c>
      <c r="AS11" s="52">
        <f t="shared" ref="AS11:AS42" si="116">IF(G11="","",IF(AND(W11&lt;(AS10+180),W11&gt;(AS10-180)),W11,IF(W11&gt;(AS10+180),W11-360,IF(W11&lt;(AS10-180),W11+360,"Error"))))</f>
        <v>0.31999995379771917</v>
      </c>
      <c r="AT11" s="72">
        <f t="shared" si="10"/>
        <v>-0.14710044365493807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1.4472515729950133E-2</v>
      </c>
      <c r="C12" s="708">
        <v>2.5912674003970664</v>
      </c>
      <c r="D12" s="709">
        <v>-5.4000162864491198E-2</v>
      </c>
      <c r="E12" s="710">
        <v>-0.96459820450864464</v>
      </c>
      <c r="F12" s="708">
        <v>7.5797115644906848E-2</v>
      </c>
      <c r="G12" s="711">
        <v>0.25259671636545811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1.4472515729950133E-2</v>
      </c>
      <c r="O12" s="629">
        <f t="shared" si="3"/>
        <v>2.5912674003970664</v>
      </c>
      <c r="P12" s="633">
        <f t="shared" si="4"/>
        <v>-5.4000162864491198E-2</v>
      </c>
      <c r="Q12" s="585">
        <f>IF(M12="","",IF(DEGREES(ATAN2(N12,O12))&lt;0,DEGREES(ATAN2(N12,O12))+360,IF(DEGREES(ATAN2(N12,O12))&gt;360,DEGREES(ATAN2(N12,O12))-360,DEGREES(ATAN2(N12,O12)))))</f>
        <v>89.680000046202281</v>
      </c>
      <c r="R12" s="629">
        <f t="shared" si="79"/>
        <v>2.5913078153843716</v>
      </c>
      <c r="S12" s="634">
        <f t="shared" si="80"/>
        <v>-5.4000162864491198E-2</v>
      </c>
      <c r="T12" s="635">
        <f>IF(M12="","",X12*COS(RADIANS(W12)))</f>
        <v>2.5913078153843716</v>
      </c>
      <c r="U12" s="629">
        <f t="shared" si="82"/>
        <v>0</v>
      </c>
      <c r="V12" s="636">
        <f t="shared" si="114"/>
        <v>-5.4000162864491198E-2</v>
      </c>
      <c r="W12" s="585">
        <f>IF(M12="","",IF(Q12-$Q$8&lt;0,360+Q12-$Q$8,Q12-$Q$8))</f>
        <v>0</v>
      </c>
      <c r="X12" s="629">
        <f t="shared" si="83"/>
        <v>2.5913078153843716</v>
      </c>
      <c r="Y12" s="630">
        <f>IF(M12="","",S12)</f>
        <v>-5.4000162864491198E-2</v>
      </c>
      <c r="Z12" s="632">
        <f t="shared" si="6"/>
        <v>0.96459820450864464</v>
      </c>
      <c r="AA12" s="629">
        <f t="shared" si="7"/>
        <v>-7.5797115644906848E-2</v>
      </c>
      <c r="AB12" s="629">
        <f t="shared" si="8"/>
        <v>-0.25259671636545811</v>
      </c>
      <c r="AC12" s="636">
        <f t="shared" si="84"/>
        <v>1</v>
      </c>
      <c r="AD12" s="637">
        <f t="shared" si="115"/>
        <v>0.96459820450864464</v>
      </c>
      <c r="AE12" s="629">
        <f t="shared" si="85"/>
        <v>-7.5797115644906848E-2</v>
      </c>
      <c r="AF12" s="633">
        <f t="shared" si="86"/>
        <v>-0.25259671636545811</v>
      </c>
      <c r="AG12" s="602">
        <f t="shared" si="87"/>
        <v>-16.70301089108364</v>
      </c>
      <c r="AH12" s="603">
        <f t="shared" si="88"/>
        <v>15.291141463189875</v>
      </c>
      <c r="AI12" s="585">
        <f t="shared" si="89"/>
        <v>-75.368774150369731</v>
      </c>
      <c r="AJ12" s="586">
        <f t="shared" si="90"/>
        <v>85.506990126078051</v>
      </c>
      <c r="AK12" s="635">
        <f t="shared" ref="AK12:AK105" si="211">IF(M12="","",(COS(RADIANS((90-$Q$8)-W12))*AD12)+(-SIN(RADIANS((90-$Q$8)-W12))*AE12))</f>
        <v>0.96500648897334029</v>
      </c>
      <c r="AL12" s="629">
        <f>IF(M12="","",(SIN(RADIANS((90-$Q$8)-W12))*AD12)+(COS(RADIANS((90-$Q$8)-W12))*AE12))</f>
        <v>-7.0408629589949992E-2</v>
      </c>
      <c r="AM12" s="634">
        <f t="shared" si="92"/>
        <v>-0.25259671636545811</v>
      </c>
      <c r="AN12" s="581">
        <f>IF(M12="","",DEGREES(ATAN2(-AM12,AL12)))</f>
        <v>-15.575242624681483</v>
      </c>
      <c r="AO12" s="582">
        <f t="shared" si="94"/>
        <v>15.202186332065978</v>
      </c>
      <c r="AP12" s="585">
        <f t="shared" si="95"/>
        <v>-4.1730099201242359</v>
      </c>
      <c r="AQ12" s="586">
        <f t="shared" si="9"/>
        <v>0.8796899706899578</v>
      </c>
      <c r="AS12" s="52">
        <f t="shared" si="116"/>
        <v>0</v>
      </c>
      <c r="AT12" s="72">
        <f>IF(M12="","",Y12+(((AS12-$AS$9)*$AS$6)*-1))</f>
        <v>-5.3777940674353895E-2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7.381253650356609E-2</v>
      </c>
      <c r="C13" s="708">
        <v>3.3294919582505149</v>
      </c>
      <c r="D13" s="709">
        <v>-0.31340094521725076</v>
      </c>
      <c r="E13" s="710">
        <v>-0.95272119384908172</v>
      </c>
      <c r="F13" s="708">
        <v>0.22486495265573331</v>
      </c>
      <c r="G13" s="711">
        <v>0.2043479382277088</v>
      </c>
      <c r="H13" s="710">
        <v>0.314</v>
      </c>
      <c r="I13" s="708">
        <v>0.52</v>
      </c>
      <c r="J13" s="570">
        <v>1.1200000000000001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120</v>
      </c>
      <c r="M13" s="168">
        <f t="shared" si="1"/>
        <v>1.1200000000000001</v>
      </c>
      <c r="N13" s="632">
        <f t="shared" si="2"/>
        <v>7.381253650356609E-2</v>
      </c>
      <c r="O13" s="629">
        <f t="shared" si="3"/>
        <v>3.3294919582505149</v>
      </c>
      <c r="P13" s="633">
        <f t="shared" si="4"/>
        <v>-0.31340094521725076</v>
      </c>
      <c r="Q13" s="585">
        <f t="shared" si="113"/>
        <v>88.730000183365291</v>
      </c>
      <c r="R13" s="629">
        <f t="shared" si="79"/>
        <v>3.3303100442150932</v>
      </c>
      <c r="S13" s="634">
        <f t="shared" si="80"/>
        <v>-0.31340094521725076</v>
      </c>
      <c r="T13" s="635">
        <f>IF(M13="","",X13*COS(RADIANS(W13)))</f>
        <v>3.3298522750430033</v>
      </c>
      <c r="U13" s="629">
        <f t="shared" si="82"/>
        <v>-5.5216093585763924E-2</v>
      </c>
      <c r="V13" s="636">
        <f t="shared" si="114"/>
        <v>-0.31340094521725076</v>
      </c>
      <c r="W13" s="585">
        <f t="shared" si="5"/>
        <v>359.05000013716301</v>
      </c>
      <c r="X13" s="629">
        <f t="shared" si="83"/>
        <v>3.3303100442150932</v>
      </c>
      <c r="Y13" s="630">
        <f>IF(M13="","",S13)</f>
        <v>-0.31340094521725076</v>
      </c>
      <c r="Z13" s="632">
        <f t="shared" si="6"/>
        <v>0.95272119384908172</v>
      </c>
      <c r="AA13" s="629">
        <f t="shared" si="7"/>
        <v>-0.22486495265573331</v>
      </c>
      <c r="AB13" s="629">
        <f t="shared" si="8"/>
        <v>-0.2043479382277088</v>
      </c>
      <c r="AC13" s="636">
        <f t="shared" si="84"/>
        <v>1</v>
      </c>
      <c r="AD13" s="637">
        <f>IF(M13="","",Z13*(1/SQRT(Z13^2+AA13^2+AB13^2)))</f>
        <v>0.95272119384908172</v>
      </c>
      <c r="AE13" s="629">
        <f t="shared" si="85"/>
        <v>-0.22486495265573331</v>
      </c>
      <c r="AF13" s="633">
        <f t="shared" si="86"/>
        <v>-0.2043479382277088</v>
      </c>
      <c r="AG13" s="602">
        <f>IF(M13="","",DEGREES(ATAN2(-AF13,AE13)))</f>
        <v>-47.736740261163362</v>
      </c>
      <c r="AH13" s="603">
        <f t="shared" si="88"/>
        <v>17.68874354944629</v>
      </c>
      <c r="AI13" s="585">
        <f t="shared" si="89"/>
        <v>-78.208669357035731</v>
      </c>
      <c r="AJ13" s="586">
        <f t="shared" si="90"/>
        <v>76.719867669779433</v>
      </c>
      <c r="AK13" s="635">
        <f t="shared" si="211"/>
        <v>0.95747103529910127</v>
      </c>
      <c r="AL13" s="629">
        <f t="shared" si="91"/>
        <v>-0.20369373261186008</v>
      </c>
      <c r="AM13" s="634">
        <f t="shared" si="92"/>
        <v>-0.2043479382277088</v>
      </c>
      <c r="AN13" s="581">
        <f t="shared" si="93"/>
        <v>-44.90813882188111</v>
      </c>
      <c r="AO13" s="582">
        <f t="shared" si="94"/>
        <v>16.769934011200494</v>
      </c>
      <c r="AP13" s="585">
        <f t="shared" si="95"/>
        <v>-12.010132513585875</v>
      </c>
      <c r="AQ13" s="586">
        <f t="shared" si="9"/>
        <v>0.6845062892856153</v>
      </c>
      <c r="AS13" s="52">
        <f t="shared" si="116"/>
        <v>-0.94999986283698945</v>
      </c>
      <c r="AT13" s="72">
        <f t="shared" si="10"/>
        <v>-0.31251900090014334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1.1200000000000001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0.14654774742444601</v>
      </c>
      <c r="C14" s="708">
        <v>3.8675361928236995</v>
      </c>
      <c r="D14" s="709">
        <v>-0.87620264262717018</v>
      </c>
      <c r="E14" s="710">
        <v>-0.90655791247265449</v>
      </c>
      <c r="F14" s="708">
        <v>0.39015230124949707</v>
      </c>
      <c r="G14" s="711">
        <v>0.16104016009351496</v>
      </c>
      <c r="H14" s="710">
        <v>0.314</v>
      </c>
      <c r="I14" s="708">
        <v>0.52</v>
      </c>
      <c r="J14" s="570">
        <v>1.127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1.127</v>
      </c>
      <c r="N14" s="632">
        <f t="shared" si="2"/>
        <v>0.14654774742444601</v>
      </c>
      <c r="O14" s="629">
        <f t="shared" si="3"/>
        <v>3.8675361928236995</v>
      </c>
      <c r="P14" s="633">
        <f t="shared" si="4"/>
        <v>-0.87620264262717018</v>
      </c>
      <c r="Q14" s="585">
        <f t="shared" si="113"/>
        <v>87.830000313309199</v>
      </c>
      <c r="R14" s="629">
        <f t="shared" si="79"/>
        <v>3.8703116728600055</v>
      </c>
      <c r="S14" s="634">
        <f t="shared" si="80"/>
        <v>-0.87620264262717018</v>
      </c>
      <c r="T14" s="635">
        <f t="shared" si="81"/>
        <v>3.8682943459624313</v>
      </c>
      <c r="U14" s="629">
        <f t="shared" si="82"/>
        <v>-0.12494518026519154</v>
      </c>
      <c r="V14" s="636">
        <f t="shared" si="114"/>
        <v>-0.87620264262717018</v>
      </c>
      <c r="W14" s="585">
        <f t="shared" si="5"/>
        <v>358.15000026710692</v>
      </c>
      <c r="X14" s="629">
        <f t="shared" si="83"/>
        <v>3.8703116728600055</v>
      </c>
      <c r="Y14" s="630">
        <f t="shared" ref="Y14:Y75" si="223">IF(M14="","",S14)</f>
        <v>-0.87620264262717018</v>
      </c>
      <c r="Z14" s="632">
        <f t="shared" si="6"/>
        <v>0.90655791247265449</v>
      </c>
      <c r="AA14" s="629">
        <f t="shared" si="7"/>
        <v>-0.39015230124949707</v>
      </c>
      <c r="AB14" s="629">
        <f t="shared" si="8"/>
        <v>-0.16104016009351496</v>
      </c>
      <c r="AC14" s="636">
        <f t="shared" si="84"/>
        <v>1</v>
      </c>
      <c r="AD14" s="637">
        <f>IF(M14="","",Z14*(1/SQRT(Z14^2+AA14^2+AB14^2)))</f>
        <v>0.90655791247265449</v>
      </c>
      <c r="AE14" s="629">
        <f t="shared" si="85"/>
        <v>-0.39015230124949707</v>
      </c>
      <c r="AF14" s="633">
        <f t="shared" si="86"/>
        <v>-0.16104016009351496</v>
      </c>
      <c r="AG14" s="602">
        <f t="shared" si="87"/>
        <v>-67.571010535930625</v>
      </c>
      <c r="AH14" s="603">
        <f t="shared" si="88"/>
        <v>24.966068103976351</v>
      </c>
      <c r="AI14" s="585">
        <f t="shared" si="89"/>
        <v>-80.732724022333215</v>
      </c>
      <c r="AJ14" s="586">
        <f t="shared" si="90"/>
        <v>66.71456770429586</v>
      </c>
      <c r="AK14" s="635">
        <f>IF(M14="","",(COS(RADIANS((90-$Q$8)-W14))*AD14)+(-SIN(RADIANS((90-$Q$8)-W14))*AE14))</f>
        <v>0.92068075635007363</v>
      </c>
      <c r="AL14" s="629">
        <f t="shared" si="91"/>
        <v>-0.35554607538786281</v>
      </c>
      <c r="AM14" s="634">
        <f t="shared" si="92"/>
        <v>-0.16104016009351496</v>
      </c>
      <c r="AN14" s="581">
        <f t="shared" si="93"/>
        <v>-65.632443666260599</v>
      </c>
      <c r="AO14" s="582">
        <f t="shared" si="94"/>
        <v>22.974192370558558</v>
      </c>
      <c r="AP14" s="585">
        <f>IF(M14="","",DEGREES(ATAN2(AK14,AL14)))</f>
        <v>-21.115432609013322</v>
      </c>
      <c r="AQ14" s="586">
        <f t="shared" si="9"/>
        <v>0.58900846132835871</v>
      </c>
      <c r="AS14" s="52">
        <f t="shared" si="116"/>
        <v>-1.8499997328930817</v>
      </c>
      <c r="AT14" s="72">
        <f t="shared" si="10"/>
        <v>-0.87469569840030159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1.127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0.18448705027912324</v>
      </c>
      <c r="C15" s="708">
        <v>4.0942579800903216</v>
      </c>
      <c r="D15" s="709">
        <v>-1.616904876585108</v>
      </c>
      <c r="E15" s="710">
        <v>-0.84399752912167758</v>
      </c>
      <c r="F15" s="708">
        <v>0.53394270835410595</v>
      </c>
      <c r="G15" s="711">
        <v>5.0728246884601674E-2</v>
      </c>
      <c r="H15" s="710">
        <v>0.314</v>
      </c>
      <c r="I15" s="708">
        <v>0.52</v>
      </c>
      <c r="J15" s="570">
        <v>1.1339999999999999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873">
        <f>IF($L14=$JH$22,$JH$29,IF($L14=$JI$22,$JI$29,""))</f>
        <v>90</v>
      </c>
      <c r="M15" s="168">
        <f t="shared" si="1"/>
        <v>1.1339999999999999</v>
      </c>
      <c r="N15" s="632">
        <f t="shared" si="2"/>
        <v>0.18448705027912324</v>
      </c>
      <c r="O15" s="629">
        <f t="shared" si="3"/>
        <v>4.0942579800903216</v>
      </c>
      <c r="P15" s="633">
        <f t="shared" si="4"/>
        <v>-1.616904876585108</v>
      </c>
      <c r="Q15" s="585">
        <f t="shared" si="113"/>
        <v>87.420000372505854</v>
      </c>
      <c r="R15" s="629">
        <f t="shared" si="79"/>
        <v>4.0984123608116807</v>
      </c>
      <c r="S15" s="634">
        <f t="shared" si="80"/>
        <v>-1.616904876585108</v>
      </c>
      <c r="T15" s="635">
        <f t="shared" si="81"/>
        <v>4.0952244891009375</v>
      </c>
      <c r="U15" s="629">
        <f t="shared" si="82"/>
        <v>-0.16161764483477925</v>
      </c>
      <c r="V15" s="636">
        <f t="shared" si="114"/>
        <v>-1.616904876585108</v>
      </c>
      <c r="W15" s="585">
        <f t="shared" ref="W15:W78" si="224">IF(M15="","",IF(Q15-$Q$8&lt;0,360+Q15-$Q$8,Q15-$Q$8))</f>
        <v>357.74000032630357</v>
      </c>
      <c r="X15" s="629">
        <f>IF(M15="","",R15)</f>
        <v>4.0984123608116807</v>
      </c>
      <c r="Y15" s="630">
        <f>IF(M15="","",S15)</f>
        <v>-1.616904876585108</v>
      </c>
      <c r="Z15" s="632">
        <f t="shared" si="6"/>
        <v>0.84399752912167758</v>
      </c>
      <c r="AA15" s="629">
        <f t="shared" si="7"/>
        <v>-0.53394270835410595</v>
      </c>
      <c r="AB15" s="629">
        <f t="shared" si="8"/>
        <v>-5.0728246884601674E-2</v>
      </c>
      <c r="AC15" s="636">
        <f t="shared" si="84"/>
        <v>1</v>
      </c>
      <c r="AD15" s="637">
        <f t="shared" si="115"/>
        <v>0.84399752912167758</v>
      </c>
      <c r="AE15" s="629">
        <f t="shared" si="85"/>
        <v>-0.53394270835410595</v>
      </c>
      <c r="AF15" s="633">
        <f t="shared" si="86"/>
        <v>-5.0728246884601674E-2</v>
      </c>
      <c r="AG15" s="602">
        <f t="shared" si="87"/>
        <v>-84.57279512402738</v>
      </c>
      <c r="AH15" s="603">
        <f t="shared" si="88"/>
        <v>32.435312029739613</v>
      </c>
      <c r="AI15" s="585">
        <f t="shared" si="89"/>
        <v>-87.092237523381542</v>
      </c>
      <c r="AJ15" s="586">
        <f t="shared" si="90"/>
        <v>57.681106458849335</v>
      </c>
      <c r="AK15" s="635">
        <f t="shared" si="211"/>
        <v>0.86717704837327958</v>
      </c>
      <c r="AL15" s="629">
        <f t="shared" si="91"/>
        <v>-0.4954095394142321</v>
      </c>
      <c r="AM15" s="634">
        <f t="shared" si="92"/>
        <v>-5.0728246884601674E-2</v>
      </c>
      <c r="AN15" s="581">
        <f>IF(M15="","",DEGREES(ATAN2(-AM15,AL15)))</f>
        <v>-84.15348449648765</v>
      </c>
      <c r="AO15" s="582">
        <f t="shared" si="94"/>
        <v>29.867766838964215</v>
      </c>
      <c r="AP15" s="585">
        <f t="shared" si="95"/>
        <v>-29.738893913656515</v>
      </c>
      <c r="AQ15" s="586">
        <f t="shared" si="9"/>
        <v>0.55622880584994061</v>
      </c>
      <c r="AS15" s="52">
        <f t="shared" si="116"/>
        <v>-2.2599996736964272</v>
      </c>
      <c r="AT15" s="72">
        <f t="shared" si="10"/>
        <v>-1.6151132101771259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1.1339999999999999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0.19028062373053073</v>
      </c>
      <c r="C16" s="708">
        <v>4.1267279334520328</v>
      </c>
      <c r="D16" s="709">
        <v>-2.3901072085633412</v>
      </c>
      <c r="E16" s="710">
        <v>-0.84207610313546311</v>
      </c>
      <c r="F16" s="708">
        <v>0.53935872712711364</v>
      </c>
      <c r="G16" s="711">
        <v>1.1339743352724794E-7</v>
      </c>
      <c r="H16" s="710">
        <v>0.314</v>
      </c>
      <c r="I16" s="708">
        <v>0.52</v>
      </c>
      <c r="J16" s="570">
        <v>1.141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1.141</v>
      </c>
      <c r="N16" s="632">
        <f t="shared" si="2"/>
        <v>0.19028062373053073</v>
      </c>
      <c r="O16" s="629">
        <f t="shared" si="3"/>
        <v>4.1267279334520328</v>
      </c>
      <c r="P16" s="633">
        <f t="shared" si="4"/>
        <v>-2.3901072085633412</v>
      </c>
      <c r="Q16" s="585">
        <f>IF(M16="","",IF(DEGREES(ATAN2(N16,O16))&lt;0,DEGREES(ATAN2(N16,O16))+360,IF(DEGREES(ATAN2(N16,O16))&gt;360,DEGREES(ATAN2(N16,O16))-360,DEGREES(ATAN2(N16,O16)))))</f>
        <v>87.360000381168788</v>
      </c>
      <c r="R16" s="629">
        <f t="shared" si="79"/>
        <v>4.1311124594351778</v>
      </c>
      <c r="S16" s="634">
        <f t="shared" si="80"/>
        <v>-2.3901072085633412</v>
      </c>
      <c r="T16" s="635">
        <f t="shared" si="81"/>
        <v>4.1277262932947512</v>
      </c>
      <c r="U16" s="629">
        <f t="shared" si="82"/>
        <v>-0.16722978246633438</v>
      </c>
      <c r="V16" s="636">
        <f t="shared" si="114"/>
        <v>-2.3901072085633412</v>
      </c>
      <c r="W16" s="585">
        <f>IF(M16="","",IF(Q16-$Q$8&lt;0,360+Q16-$Q$8,Q16-$Q$8))</f>
        <v>357.68000033496651</v>
      </c>
      <c r="X16" s="629">
        <f t="shared" si="83"/>
        <v>4.1311124594351778</v>
      </c>
      <c r="Y16" s="630">
        <f t="shared" si="223"/>
        <v>-2.3901072085633412</v>
      </c>
      <c r="Z16" s="632">
        <f t="shared" si="6"/>
        <v>0.84207610313546311</v>
      </c>
      <c r="AA16" s="629">
        <f t="shared" si="7"/>
        <v>-0.53935872712711364</v>
      </c>
      <c r="AB16" s="629">
        <f t="shared" si="8"/>
        <v>-1.1339743352724794E-7</v>
      </c>
      <c r="AC16" s="636">
        <f t="shared" si="84"/>
        <v>1</v>
      </c>
      <c r="AD16" s="637">
        <f t="shared" si="115"/>
        <v>0.84207610313546311</v>
      </c>
      <c r="AE16" s="629">
        <f t="shared" si="85"/>
        <v>-0.53935872712711364</v>
      </c>
      <c r="AF16" s="633">
        <f t="shared" si="86"/>
        <v>-1.1339743352724794E-7</v>
      </c>
      <c r="AG16" s="602">
        <f t="shared" si="87"/>
        <v>-89.999987953853307</v>
      </c>
      <c r="AH16" s="603">
        <f t="shared" si="88"/>
        <v>32.639995287367682</v>
      </c>
      <c r="AI16" s="585">
        <f t="shared" si="89"/>
        <v>-89.999993502805651</v>
      </c>
      <c r="AJ16" s="586">
        <f t="shared" si="90"/>
        <v>57.360004712632893</v>
      </c>
      <c r="AK16" s="635">
        <f t="shared" si="211"/>
        <v>0.86602544158358596</v>
      </c>
      <c r="AL16" s="629">
        <f t="shared" si="91"/>
        <v>-0.49999993452993813</v>
      </c>
      <c r="AM16" s="634">
        <f t="shared" si="92"/>
        <v>-1.1339743352724794E-7</v>
      </c>
      <c r="AN16" s="581">
        <f t="shared" si="93"/>
        <v>-89.999987005609611</v>
      </c>
      <c r="AO16" s="582">
        <f t="shared" si="94"/>
        <v>29.999995668536499</v>
      </c>
      <c r="AP16" s="585">
        <f t="shared" si="95"/>
        <v>-29.999995668535874</v>
      </c>
      <c r="AQ16" s="586">
        <f t="shared" si="9"/>
        <v>0.55182621266630238</v>
      </c>
      <c r="AS16" s="52">
        <f t="shared" si="116"/>
        <v>-2.3199996650334924</v>
      </c>
      <c r="AT16" s="72">
        <f t="shared" si="10"/>
        <v>-2.3882738754947086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1.141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0.94263593246492206</v>
      </c>
      <c r="C17" s="708">
        <v>1.5248705434869458</v>
      </c>
      <c r="D17" s="709">
        <v>-8.5000256360773185E-2</v>
      </c>
      <c r="E17" s="710">
        <v>-1.9291114765947212E-7</v>
      </c>
      <c r="F17" s="708">
        <v>1.1925273292344058E-7</v>
      </c>
      <c r="G17" s="711">
        <v>0.99999999999997435</v>
      </c>
      <c r="H17" s="710">
        <v>0.19500000000000001</v>
      </c>
      <c r="I17" s="708">
        <v>0.21199999999999999</v>
      </c>
      <c r="J17" s="570">
        <v>1.2070000000000001</v>
      </c>
      <c r="K17" s="865" t="str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CPS-31783r1</v>
      </c>
      <c r="M17" s="168">
        <f t="shared" si="1"/>
        <v>1.2070000000000001</v>
      </c>
      <c r="N17" s="632">
        <f t="shared" si="2"/>
        <v>0.94263593246492206</v>
      </c>
      <c r="O17" s="629">
        <f t="shared" si="3"/>
        <v>1.5248705434869458</v>
      </c>
      <c r="P17" s="633">
        <f t="shared" si="4"/>
        <v>-8.5000256360773185E-2</v>
      </c>
      <c r="Q17" s="585">
        <f>IF(M17="","",IF(DEGREES(ATAN2(N17,O17))&lt;0,DEGREES(ATAN2(N17,O17))+360,IF(DEGREES(ATAN2(N17,O17))&gt;360,DEGREES(ATAN2(N17,O17))-360,DEGREES(ATAN2(N17,O17)))))</f>
        <v>58.276704580277169</v>
      </c>
      <c r="R17" s="629">
        <f>IF(M17="","",SQRT(N17^2+O17^2))</f>
        <v>1.7927054067995072</v>
      </c>
      <c r="S17" s="634">
        <f>IF(M17="","",P17)</f>
        <v>-8.5000256360773185E-2</v>
      </c>
      <c r="T17" s="635">
        <f>IF(M17="","",X17*COS(RADIANS(W17)))</f>
        <v>1.5301114051306031</v>
      </c>
      <c r="U17" s="629">
        <f>IF(M17="","",X17*SIN(RADIANS(W17)))</f>
        <v>-0.93410479254601742</v>
      </c>
      <c r="V17" s="636">
        <f>IF(M17="","",Y17)</f>
        <v>-8.5000256360773185E-2</v>
      </c>
      <c r="W17" s="585">
        <f t="shared" si="224"/>
        <v>328.59670453407489</v>
      </c>
      <c r="X17" s="629">
        <f>IF(M17="","",R17)</f>
        <v>1.7927054067995072</v>
      </c>
      <c r="Y17" s="630">
        <f t="shared" si="223"/>
        <v>-8.5000256360773185E-2</v>
      </c>
      <c r="Z17" s="632">
        <f t="shared" si="6"/>
        <v>1.9291114765947212E-7</v>
      </c>
      <c r="AA17" s="629">
        <f t="shared" si="7"/>
        <v>-1.1925273292344058E-7</v>
      </c>
      <c r="AB17" s="629">
        <f t="shared" si="8"/>
        <v>-0.99999999999997435</v>
      </c>
      <c r="AC17" s="636">
        <f>IF(M17="","",SQRT(Z17^2+AA17^2+AB17^2))</f>
        <v>1</v>
      </c>
      <c r="AD17" s="637">
        <f>IF(M17="","",Z17*(1/SQRT(Z17^2+AA17^2+AB17^2)))</f>
        <v>1.9291114765947212E-7</v>
      </c>
      <c r="AE17" s="629">
        <f>IF(M17="","",AA17*(1/SQRT(Z17^2+AA17^2+AB17^2)))</f>
        <v>-1.1925273292344058E-7</v>
      </c>
      <c r="AF17" s="633">
        <f>IF(M17="","",AB17*(1/SQRT(Z17^2+AA17^2+AB17^2)))</f>
        <v>-0.99999999999997435</v>
      </c>
      <c r="AG17" s="602">
        <f>IF(M17="","",DEGREES(ATAN2(-AF17,AE17)))</f>
        <v>-6.8326782919140891E-6</v>
      </c>
      <c r="AH17" s="603">
        <f>IF(M17="","",DEGREES(ACOS(AD17)))</f>
        <v>89.99998894700542</v>
      </c>
      <c r="AI17" s="585">
        <f>IF(M17="","",DEGREES(-ACOS(-AF17)))</f>
        <v>-1.2976235990044085E-5</v>
      </c>
      <c r="AJ17" s="586">
        <f>IF(M17="","",DEGREES(ATAN2(-AE17,AD17)))</f>
        <v>58.276704565000372</v>
      </c>
      <c r="AK17" s="635">
        <f>IF(M17="","",(COS(RADIANS((90-$Q$8)-W17))*AD17)+(-SIN(RADIANS((90-$Q$8)-W17))*AE17))</f>
        <v>2.2679489677019653E-7</v>
      </c>
      <c r="AL17" s="629">
        <f>IF(M17="","",(SIN(RADIANS((90-$Q$8)-W17))*AD17)+(COS(RADIANS((90-$Q$8)-W17))*AE17))</f>
        <v>-6.0470383553643946E-17</v>
      </c>
      <c r="AM17" s="634">
        <f>IF(M17="","",AF17)</f>
        <v>-0.99999999999997435</v>
      </c>
      <c r="AN17" s="581">
        <f>IF(M17="","",DEGREES(ATAN2(-AM17,AL17)))</f>
        <v>-3.4646977631611921E-15</v>
      </c>
      <c r="AO17" s="582">
        <f t="shared" si="94"/>
        <v>0</v>
      </c>
      <c r="AP17" s="585">
        <f>IF(M17="","",DEGREES(ATAN2(AK17,AL17)))</f>
        <v>-1.5276788907079166E-8</v>
      </c>
      <c r="AQ17" s="586">
        <f t="shared" si="9"/>
        <v>1.2714595470550241</v>
      </c>
      <c r="AS17" s="52">
        <f t="shared" si="116"/>
        <v>-31.403295465925112</v>
      </c>
      <c r="AT17" s="72">
        <f t="shared" si="10"/>
        <v>-6.2970190097076773E-2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Nose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1.2070000000000001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1.107</v>
      </c>
      <c r="II17" s="734" cm="1">
        <f t="array" ref="II17">IFERROR(ROUND(VALUE(IF($IH17&lt;1,$IH17+LARGE((IF($M$9:$M$150="",0,$M$9:$M$150)-MOD(IF($M$9:$M$150="",0,$M$9:$M$150),1)),1),$IH17)),4),"")</f>
        <v>1.107</v>
      </c>
      <c r="IJ17" s="533">
        <f t="shared" si="112"/>
        <v>1613</v>
      </c>
      <c r="IK17" s="533" t="str">
        <f t="shared" si="66"/>
        <v>CPS-31783r1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31.723295419722831</v>
      </c>
      <c r="IM17" s="759">
        <v>4.3111305841856698E-2</v>
      </c>
      <c r="IN17" s="5">
        <f t="shared" ref="IN17:IN80" si="226">IF(ISNUMBER($II17),(($IO17*12)/60)/$AS$3,"")</f>
        <v>0.5</v>
      </c>
      <c r="IO17" s="771">
        <v>250</v>
      </c>
      <c r="IP17" s="9">
        <f t="shared" ref="IP17:IP80" si="227">IF(ISNUMBER($II17),(INDEX($X$9:$X$150,MATCH($II17,$M$9:$M$150,0))*-1),"")</f>
        <v>-1.812605466818088</v>
      </c>
      <c r="IQ17" s="5">
        <f t="shared" ref="IQ17:IQ80" si="228">IF(ISNUMBER($II17),INDEX($Y$9:$Y$150,MATCH($II17,$M$9:$M$150,0)),"")</f>
        <v>-0.14710044365493807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0.30330071252667312</v>
      </c>
      <c r="IT17" s="727">
        <f t="shared" ref="IT17:IT80" si="230">IF(ISNUMBER($II17),(-1*INDEX($AN$9:$AN$150,MATCH($II17,$M$9:$M$150,0))),"")</f>
        <v>-14.999997834268271</v>
      </c>
      <c r="IU17" s="9">
        <f t="shared" ref="IU17:IU80" si="231">IF(ISNUMBER($II17),-$X17,"")</f>
        <v>-1.7927054067995072</v>
      </c>
      <c r="IV17" s="5">
        <f t="shared" ref="IV17:IV80" si="232">IF(ISNUMBER($II17),$Y17,"")</f>
        <v>-8.5000256360773185E-2</v>
      </c>
      <c r="IW17" s="5">
        <f t="shared" si="76"/>
        <v>0.19500000000000001</v>
      </c>
      <c r="IX17" s="5">
        <f t="shared" ref="IX17:IX80" si="233">IF(ISNUMBER($II17),$IW17*COS(RADIANS($AO17)),"")</f>
        <v>0.19500000000000001</v>
      </c>
      <c r="IY17" s="762">
        <f t="shared" ref="IY17:IY80" si="234">IF(ISNUMBER($II17),(-1*$AN17),"")</f>
        <v>3.4646977631611921E-15</v>
      </c>
    </row>
    <row r="18" spans="1:269" ht="15" customHeight="1" x14ac:dyDescent="0.25">
      <c r="A18" s="79"/>
      <c r="B18" s="707">
        <v>0.96240471026099794</v>
      </c>
      <c r="C18" s="708">
        <v>2.4145762398852288</v>
      </c>
      <c r="D18" s="709">
        <v>1.2500037700113821E-2</v>
      </c>
      <c r="E18" s="710">
        <v>3.8701888937830747E-2</v>
      </c>
      <c r="F18" s="708">
        <v>9.7099743986470283E-2</v>
      </c>
      <c r="G18" s="711">
        <v>0.99452189694868243</v>
      </c>
      <c r="H18" s="710">
        <v>0.19500000000000001</v>
      </c>
      <c r="I18" s="708">
        <v>0.21199999999999999</v>
      </c>
      <c r="J18" s="570">
        <v>1.2130000000000001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CPS-31783r1</v>
      </c>
      <c r="L18" s="779" t="s">
        <v>331</v>
      </c>
      <c r="M18" s="168">
        <f t="shared" si="1"/>
        <v>1.2130000000000001</v>
      </c>
      <c r="N18" s="632">
        <f t="shared" si="2"/>
        <v>0.96240471026099794</v>
      </c>
      <c r="O18" s="629">
        <f t="shared" si="3"/>
        <v>2.4145762398852288</v>
      </c>
      <c r="P18" s="633">
        <f t="shared" si="4"/>
        <v>1.2500037700113821E-2</v>
      </c>
      <c r="Q18" s="585">
        <f t="shared" si="113"/>
        <v>68.26870313761107</v>
      </c>
      <c r="R18" s="629">
        <f>IF(M18="","",SQRT(N18^2+O18^2))</f>
        <v>2.5993078395124432</v>
      </c>
      <c r="S18" s="634">
        <f>IF(M18="","",P18)</f>
        <v>1.2500037700113821E-2</v>
      </c>
      <c r="T18" s="635">
        <f>IF(M18="","",X18*COS(RADIANS(W18)))</f>
        <v>2.4199136344462433</v>
      </c>
      <c r="U18" s="629">
        <f>IF(M18="","",X18*SIN(RADIANS(W18)))</f>
        <v>-0.94890423456322404</v>
      </c>
      <c r="V18" s="636">
        <f>IF(M18="","",Y18)</f>
        <v>1.2500037700113821E-2</v>
      </c>
      <c r="W18" s="585">
        <f t="shared" si="224"/>
        <v>338.58870309140877</v>
      </c>
      <c r="X18" s="629">
        <f>IF(M18="","",R18)</f>
        <v>2.5993078395124432</v>
      </c>
      <c r="Y18" s="630">
        <f t="shared" si="223"/>
        <v>1.2500037700113821E-2</v>
      </c>
      <c r="Z18" s="632">
        <f t="shared" si="6"/>
        <v>-3.8701888937830747E-2</v>
      </c>
      <c r="AA18" s="629">
        <f t="shared" si="7"/>
        <v>-9.7099743986470283E-2</v>
      </c>
      <c r="AB18" s="629">
        <f t="shared" si="8"/>
        <v>-0.99452189694868243</v>
      </c>
      <c r="AC18" s="636">
        <f>IF(M18="","",SQRT(Z18^2+AA18^2+AB18^2))</f>
        <v>1</v>
      </c>
      <c r="AD18" s="637">
        <f>IF(M18="","",Z18*(1/SQRT(Z18^2+AA18^2+AB18^2)))</f>
        <v>-3.8701888937830747E-2</v>
      </c>
      <c r="AE18" s="629">
        <f>IF(M18="","",AA18*(1/SQRT(Z18^2+AA18^2+AB18^2)))</f>
        <v>-9.7099743986470283E-2</v>
      </c>
      <c r="AF18" s="633">
        <f>IF(M18="","",AB18*(1/SQRT(Z18^2+AA18^2+AB18^2)))</f>
        <v>-0.99452189694868243</v>
      </c>
      <c r="AG18" s="602">
        <f>IF(M18="","",DEGREES(ATAN2(-AF18,AE18)))</f>
        <v>-5.576376162387997</v>
      </c>
      <c r="AH18" s="603">
        <f>IF(M18="","",DEGREES(ACOS(AD18)))</f>
        <v>92.218008832809858</v>
      </c>
      <c r="AI18" s="585">
        <f>IF(M18="","",DEGREES(-ACOS(-AF18)))</f>
        <v>-5.999999133721337</v>
      </c>
      <c r="AJ18" s="586">
        <f>IF(M18="","",DEGREES(ATAN2(-AE18,AD18)))</f>
        <v>-21.731172547997829</v>
      </c>
      <c r="AK18" s="635">
        <f>IF(M18="","",(COS(RADIANS((90-$Q$8)-W18))*AD18)+(-SIN(RADIANS((90-$Q$8)-W18))*AE18))</f>
        <v>2.2679489670995867E-7</v>
      </c>
      <c r="AL18" s="629">
        <f>IF(M18="","",(SIN(RADIANS((90-$Q$8)-W18))*AD18)+(COS(RADIANS((90-$Q$8)-W18))*AE18))</f>
        <v>-0.10452844823081811</v>
      </c>
      <c r="AM18" s="634">
        <f>IF(M18="","",AF18)</f>
        <v>-0.99452189694868243</v>
      </c>
      <c r="AN18" s="581">
        <f>IF(M18="","",DEGREES(ATAN2(-AM18,AL18)))</f>
        <v>-5.9999991337073091</v>
      </c>
      <c r="AO18" s="582">
        <f t="shared" si="94"/>
        <v>0</v>
      </c>
      <c r="AP18" s="585">
        <f>IF(M18="","",DEGREES(ATAN2(AK18,AL18)))</f>
        <v>-89.999875685608885</v>
      </c>
      <c r="AQ18" s="586">
        <f t="shared" si="9"/>
        <v>0.87698292688989121</v>
      </c>
      <c r="AS18" s="52">
        <f t="shared" si="116"/>
        <v>-21.411296908591225</v>
      </c>
      <c r="AT18" s="72">
        <f t="shared" si="10"/>
        <v>2.7591216076772812E-2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Nose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1.2130000000000001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1.113</v>
      </c>
      <c r="II18" s="734" cm="1">
        <f t="array" ref="II18">IFERROR(ROUND(VALUE(IF($IH18&lt;1,$IH18+LARGE((IF($M$9:$M$150="",0,$M$9:$M$150)-MOD(IF($M$9:$M$150="",0,$M$9:$M$150),1)),1),$IH18)),4),"")</f>
        <v>1.113</v>
      </c>
      <c r="IJ18" s="533">
        <f t="shared" si="112"/>
        <v>1613</v>
      </c>
      <c r="IK18" s="533" t="str">
        <f t="shared" si="66"/>
        <v>CPS-31783r1</v>
      </c>
      <c r="IL18" s="727">
        <f t="shared" si="225"/>
        <v>21.411296908591225</v>
      </c>
      <c r="IM18" s="759">
        <v>4.1228699797923499E-2</v>
      </c>
      <c r="IN18" s="5">
        <f t="shared" si="226"/>
        <v>0.68</v>
      </c>
      <c r="IO18" s="771">
        <v>340</v>
      </c>
      <c r="IP18" s="9">
        <f t="shared" si="227"/>
        <v>-2.5913078153843716</v>
      </c>
      <c r="IQ18" s="5">
        <f t="shared" si="228"/>
        <v>-5.4000162864491198E-2</v>
      </c>
      <c r="IR18" s="5">
        <f t="shared" si="71"/>
        <v>0.314</v>
      </c>
      <c r="IS18" s="5">
        <f t="shared" si="229"/>
        <v>0.30301203753762884</v>
      </c>
      <c r="IT18" s="727">
        <f t="shared" si="230"/>
        <v>15.575242624681483</v>
      </c>
      <c r="IU18" s="9">
        <f t="shared" si="231"/>
        <v>-2.5993078395124432</v>
      </c>
      <c r="IV18" s="5">
        <f t="shared" si="232"/>
        <v>1.2500037700113821E-2</v>
      </c>
      <c r="IW18" s="5">
        <f t="shared" si="76"/>
        <v>0.19500000000000001</v>
      </c>
      <c r="IX18" s="5">
        <f t="shared" si="233"/>
        <v>0.19500000000000001</v>
      </c>
      <c r="IY18" s="762">
        <f t="shared" si="234"/>
        <v>5.9999991337073091</v>
      </c>
    </row>
    <row r="19" spans="1:269" ht="15" customHeight="1" thickBot="1" x14ac:dyDescent="0.3">
      <c r="A19" s="79"/>
      <c r="B19" s="707">
        <v>0.91566409337128218</v>
      </c>
      <c r="C19" s="708">
        <v>3.2272230026094442</v>
      </c>
      <c r="D19" s="709">
        <v>-0.2770008354345197</v>
      </c>
      <c r="E19" s="710">
        <v>-0.82877603703725133</v>
      </c>
      <c r="F19" s="708">
        <v>0.48577123547319856</v>
      </c>
      <c r="G19" s="711">
        <v>0.27777074579528871</v>
      </c>
      <c r="H19" s="710">
        <v>0.26600000000000001</v>
      </c>
      <c r="I19" s="708">
        <v>0.52</v>
      </c>
      <c r="J19" s="570">
        <v>1.22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1313</v>
      </c>
      <c r="L19" s="775" t="s">
        <v>366</v>
      </c>
      <c r="M19" s="168">
        <f t="shared" si="1"/>
        <v>1.22</v>
      </c>
      <c r="N19" s="632">
        <f t="shared" si="2"/>
        <v>0.91566409337128218</v>
      </c>
      <c r="O19" s="629">
        <f t="shared" si="3"/>
        <v>3.2272230026094442</v>
      </c>
      <c r="P19" s="633">
        <f t="shared" si="4"/>
        <v>-0.2770008354345197</v>
      </c>
      <c r="Q19" s="585">
        <f t="shared" si="113"/>
        <v>74.159702287056021</v>
      </c>
      <c r="R19" s="629">
        <f>IF(M19="","",SQRT(N19^2+O19^2))</f>
        <v>3.3546101175041145</v>
      </c>
      <c r="S19" s="634">
        <f>IF(M19="","",P19)</f>
        <v>-0.2770008354345197</v>
      </c>
      <c r="T19" s="635">
        <f>IF(M19="","",X19*COS(RADIANS(W19)))</f>
        <v>3.2322866753773347</v>
      </c>
      <c r="U19" s="629">
        <f>IF(M19="","",X19*SIN(RADIANS(W19)))</f>
        <v>-0.89762569517539148</v>
      </c>
      <c r="V19" s="636">
        <f>IF(M19="","",Y19)</f>
        <v>-0.2770008354345197</v>
      </c>
      <c r="W19" s="585">
        <f t="shared" si="224"/>
        <v>344.47970224085373</v>
      </c>
      <c r="X19" s="629">
        <f>IF(M19="","",R19)</f>
        <v>3.3546101175041145</v>
      </c>
      <c r="Y19" s="630">
        <f t="shared" si="223"/>
        <v>-0.2770008354345197</v>
      </c>
      <c r="Z19" s="632">
        <f t="shared" si="6"/>
        <v>0.82877603703725133</v>
      </c>
      <c r="AA19" s="629">
        <f t="shared" si="7"/>
        <v>-0.48577123547319856</v>
      </c>
      <c r="AB19" s="629">
        <f t="shared" si="8"/>
        <v>-0.27777074579528871</v>
      </c>
      <c r="AC19" s="636">
        <f>IF(M19="","",SQRT(Z19^2+AA19^2+AB19^2))</f>
        <v>1</v>
      </c>
      <c r="AD19" s="637">
        <f>IF(M19="","",Z19*(1/SQRT(Z19^2+AA19^2+AB19^2)))</f>
        <v>0.82877603703725133</v>
      </c>
      <c r="AE19" s="629">
        <f>IF(M19="","",AA19*(1/SQRT(Z19^2+AA19^2+AB19^2)))</f>
        <v>-0.48577123547319856</v>
      </c>
      <c r="AF19" s="633">
        <f>IF(M19="","",AB19*(1/SQRT(Z19^2+AA19^2+AB19^2)))</f>
        <v>-0.27777074579528871</v>
      </c>
      <c r="AG19" s="602">
        <f>IF(M19="","",DEGREES(ATAN2(-AF19,AE19)))</f>
        <v>-60.238478175169057</v>
      </c>
      <c r="AH19" s="603">
        <f>IF(M19="","",DEGREES(ACOS(AD19)))</f>
        <v>34.026788055038651</v>
      </c>
      <c r="AI19" s="585">
        <f>IF(M19="","",DEGREES(-ACOS(-AF19)))</f>
        <v>-73.872799194988119</v>
      </c>
      <c r="AJ19" s="586">
        <f>IF(M19="","",DEGREES(ATAN2(-AE19,AD19)))</f>
        <v>59.624115224393471</v>
      </c>
      <c r="AK19" s="635">
        <f>IF(M19="","",(COS(RADIANS((90-$Q$8)-W19))*AD19)+(-SIN(RADIANS((90-$Q$8)-W19))*AE19))</f>
        <v>0.92989893292709969</v>
      </c>
      <c r="AL19" s="629">
        <f>IF(M19="","",(SIN(RADIANS((90-$Q$8)-W19))*AD19)+(COS(RADIANS((90-$Q$8)-W19))*AE19))</f>
        <v>-0.24110451534836608</v>
      </c>
      <c r="AM19" s="634">
        <f>IF(M19="","",AF19)</f>
        <v>-0.27777074579528871</v>
      </c>
      <c r="AN19" s="581">
        <f>IF(M19="","",DEGREES(ATAN2(-AM19,AL19)))</f>
        <v>-40.957922791388377</v>
      </c>
      <c r="AO19" s="582">
        <f t="shared" si="94"/>
        <v>21.580934039624417</v>
      </c>
      <c r="AP19" s="585">
        <f>IF(M19="","",DEGREES(ATAN2(AK19,AL19)))</f>
        <v>-14.535587062662536</v>
      </c>
      <c r="AQ19" s="586">
        <f t="shared" si="9"/>
        <v>0.67954833980864404</v>
      </c>
      <c r="AS19" s="52">
        <f t="shared" si="116"/>
        <v>-15.520297759146274</v>
      </c>
      <c r="AT19" s="72">
        <f t="shared" si="10"/>
        <v>-0.2660006286894197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1.22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1.1200000000000001</v>
      </c>
      <c r="II19" s="734" cm="1">
        <f t="array" ref="II19">IFERROR(ROUND(VALUE(IF($IH19&lt;1,$IH19+LARGE((IF($M$9:$M$150="",0,$M$9:$M$150)-MOD(IF($M$9:$M$150="",0,$M$9:$M$150),1)),1),$IH19)),4),"")</f>
        <v>1.1200000000000001</v>
      </c>
      <c r="IJ19" s="533">
        <f t="shared" si="112"/>
        <v>1613</v>
      </c>
      <c r="IK19" s="533">
        <f t="shared" si="66"/>
        <v>1313</v>
      </c>
      <c r="IL19" s="727">
        <f t="shared" si="225"/>
        <v>14.570297896309285</v>
      </c>
      <c r="IM19" s="759">
        <v>9.7327047414156407E-3</v>
      </c>
      <c r="IN19" s="5">
        <f t="shared" si="226"/>
        <v>0.24</v>
      </c>
      <c r="IO19" s="771">
        <v>120</v>
      </c>
      <c r="IP19" s="9">
        <f t="shared" si="227"/>
        <v>-3.3303100442150932</v>
      </c>
      <c r="IQ19" s="5">
        <f t="shared" si="228"/>
        <v>-0.31340094521725076</v>
      </c>
      <c r="IR19" s="5">
        <f t="shared" si="71"/>
        <v>0.314</v>
      </c>
      <c r="IS19" s="5">
        <f t="shared" si="229"/>
        <v>0.30064590508391781</v>
      </c>
      <c r="IT19" s="727">
        <f t="shared" si="230"/>
        <v>44.90813882188111</v>
      </c>
      <c r="IU19" s="9">
        <f t="shared" si="231"/>
        <v>-3.3546101175041145</v>
      </c>
      <c r="IV19" s="5">
        <f t="shared" si="232"/>
        <v>-0.2770008354345197</v>
      </c>
      <c r="IW19" s="5">
        <f t="shared" si="76"/>
        <v>0.26600000000000001</v>
      </c>
      <c r="IX19" s="5">
        <f t="shared" si="233"/>
        <v>0.24735311615860853</v>
      </c>
      <c r="IY19" s="762">
        <f t="shared" si="234"/>
        <v>40.957922791388377</v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707">
        <v>1.0123850783742652</v>
      </c>
      <c r="C20" s="708">
        <v>3.777191939114064</v>
      </c>
      <c r="D20" s="709">
        <v>-0.8499025633061309</v>
      </c>
      <c r="E20" s="710">
        <v>-0.74738111598659374</v>
      </c>
      <c r="F20" s="708">
        <v>0.62906048932963321</v>
      </c>
      <c r="G20" s="711">
        <v>0.21378579988155486</v>
      </c>
      <c r="H20" s="710">
        <v>0.26600000000000001</v>
      </c>
      <c r="I20" s="708">
        <v>0.52</v>
      </c>
      <c r="J20" s="570">
        <v>1.2270000000000001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200</v>
      </c>
      <c r="M20" s="168">
        <f t="shared" si="1"/>
        <v>1.2270000000000001</v>
      </c>
      <c r="N20" s="632">
        <f t="shared" si="2"/>
        <v>1.0123850783742652</v>
      </c>
      <c r="O20" s="629">
        <f t="shared" si="3"/>
        <v>3.777191939114064</v>
      </c>
      <c r="P20" s="633">
        <f t="shared" si="4"/>
        <v>-0.8499025633061309</v>
      </c>
      <c r="Q20" s="585">
        <f t="shared" si="113"/>
        <v>74.995902166323702</v>
      </c>
      <c r="R20" s="629">
        <f>IF(M20="","",SQRT(N20^2+O20^2))</f>
        <v>3.910511794103571</v>
      </c>
      <c r="S20" s="634">
        <f>IF(M20="","",P20)</f>
        <v>-0.8499025633061309</v>
      </c>
      <c r="T20" s="635">
        <f>IF(M20="","",X20*COS(RADIANS(W20)))</f>
        <v>3.78278722336443</v>
      </c>
      <c r="U20" s="629">
        <f>IF(M20="","",X20*SIN(RADIANS(W20)))</f>
        <v>-0.9912735821023162</v>
      </c>
      <c r="V20" s="636">
        <f>IF(M20="","",Y20)</f>
        <v>-0.8499025633061309</v>
      </c>
      <c r="W20" s="585">
        <f t="shared" si="224"/>
        <v>345.31590212012145</v>
      </c>
      <c r="X20" s="629">
        <f>IF(M20="","",R20)</f>
        <v>3.910511794103571</v>
      </c>
      <c r="Y20" s="630">
        <f t="shared" si="223"/>
        <v>-0.8499025633061309</v>
      </c>
      <c r="Z20" s="632">
        <f t="shared" si="6"/>
        <v>0.74738111598659374</v>
      </c>
      <c r="AA20" s="629">
        <f t="shared" si="7"/>
        <v>-0.62906048932963321</v>
      </c>
      <c r="AB20" s="629">
        <f t="shared" si="8"/>
        <v>-0.21378579988155486</v>
      </c>
      <c r="AC20" s="636">
        <f>IF(M20="","",SQRT(Z20^2+AA20^2+AB20^2))</f>
        <v>1</v>
      </c>
      <c r="AD20" s="637">
        <f>IF(M20="","",Z20*(1/SQRT(Z20^2+AA20^2+AB20^2)))</f>
        <v>0.74738111598659374</v>
      </c>
      <c r="AE20" s="629">
        <f>IF(M20="","",AA20*(1/SQRT(Z20^2+AA20^2+AB20^2)))</f>
        <v>-0.62906048932963321</v>
      </c>
      <c r="AF20" s="633">
        <f>IF(M20="","",AB20*(1/SQRT(Z20^2+AA20^2+AB20^2)))</f>
        <v>-0.21378579988155486</v>
      </c>
      <c r="AG20" s="602">
        <f>IF(M20="","",DEGREES(ATAN2(-AF20,AE20)))</f>
        <v>-71.229704202575732</v>
      </c>
      <c r="AH20" s="603">
        <f>IF(M20="","",DEGREES(ACOS(AD20)))</f>
        <v>41.63597152332612</v>
      </c>
      <c r="AI20" s="585">
        <f>IF(M20="","",DEGREES(-ACOS(-AF20)))</f>
        <v>-77.65569739460723</v>
      </c>
      <c r="AJ20" s="586">
        <f>IF(M20="","",DEGREES(ATAN2(-AE20,AD20)))</f>
        <v>49.913138378149377</v>
      </c>
      <c r="AK20" s="635">
        <f>IF(M20="","",(COS(RADIANS((90-$Q$8)-W20))*AD20)+(-SIN(RADIANS((90-$Q$8)-W20))*AE20))</f>
        <v>0.88475717801431442</v>
      </c>
      <c r="AL20" s="629">
        <f>IF(M20="","",(SIN(RADIANS((90-$Q$8)-W20))*AD20)+(COS(RADIANS((90-$Q$8)-W20))*AE20))</f>
        <v>-0.41412602878972787</v>
      </c>
      <c r="AM20" s="634">
        <f>IF(M20="","",AF20)</f>
        <v>-0.21378579988155486</v>
      </c>
      <c r="AN20" s="581">
        <f>IF(M20="","",DEGREES(ATAN2(-AM20,AL20)))</f>
        <v>-62.695693799577057</v>
      </c>
      <c r="AO20" s="582">
        <f t="shared" si="94"/>
        <v>27.778345656111153</v>
      </c>
      <c r="AP20" s="585">
        <f>IF(M20="","",DEGREES(ATAN2(AK20,AL20)))</f>
        <v>-25.082763788174329</v>
      </c>
      <c r="AQ20" s="586">
        <f t="shared" si="9"/>
        <v>0.58295386534554838</v>
      </c>
      <c r="AS20" s="52">
        <f t="shared" si="116"/>
        <v>-14.68409787987855</v>
      </c>
      <c r="AT20" s="72">
        <f t="shared" si="10"/>
        <v>-0.83948305092163344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Taper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1.2270000000000001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1.127</v>
      </c>
      <c r="II20" s="734" cm="1">
        <f t="array" ref="II20">IFERROR(ROUND(VALUE(IF($IH20&lt;1,$IH20+LARGE((IF($M$9:$M$150="",0,$M$9:$M$150)-MOD(IF($M$9:$M$150="",0,$M$9:$M$150),1)),1),$IH20)),4),"")</f>
        <v>1.127</v>
      </c>
      <c r="IJ20" s="533">
        <f t="shared" si="112"/>
        <v>1613</v>
      </c>
      <c r="IK20" s="533">
        <f t="shared" si="66"/>
        <v>1313</v>
      </c>
      <c r="IL20" s="727">
        <f t="shared" si="225"/>
        <v>12.834098146985468</v>
      </c>
      <c r="IM20" s="759">
        <v>5.9554162782263003E-3</v>
      </c>
      <c r="IN20" s="5">
        <f t="shared" si="226"/>
        <v>0.22</v>
      </c>
      <c r="IO20" s="771">
        <v>110</v>
      </c>
      <c r="IP20" s="9">
        <f t="shared" si="227"/>
        <v>-3.8703116728600055</v>
      </c>
      <c r="IQ20" s="5">
        <f t="shared" si="228"/>
        <v>-0.87620264262717018</v>
      </c>
      <c r="IR20" s="5">
        <f t="shared" si="71"/>
        <v>0.314</v>
      </c>
      <c r="IS20" s="5">
        <f t="shared" si="229"/>
        <v>0.28909375749392313</v>
      </c>
      <c r="IT20" s="727">
        <f t="shared" si="230"/>
        <v>65.632443666260599</v>
      </c>
      <c r="IU20" s="9">
        <f t="shared" si="231"/>
        <v>-3.910511794103571</v>
      </c>
      <c r="IV20" s="5">
        <f t="shared" si="232"/>
        <v>-0.8499025633061309</v>
      </c>
      <c r="IW20" s="5">
        <f t="shared" si="76"/>
        <v>0.26600000000000001</v>
      </c>
      <c r="IX20" s="5">
        <f t="shared" si="233"/>
        <v>0.23534540935180764</v>
      </c>
      <c r="IY20" s="762">
        <f t="shared" si="234"/>
        <v>62.695693799577057</v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707">
        <v>1.0972598591174272</v>
      </c>
      <c r="C21" s="708">
        <v>4.0010831118697459</v>
      </c>
      <c r="D21" s="709">
        <v>-1.6074048479330216</v>
      </c>
      <c r="E21" s="710">
        <v>-0.6434805599054183</v>
      </c>
      <c r="F21" s="708">
        <v>0.76156379349431247</v>
      </c>
      <c r="G21" s="711">
        <v>7.7158003229487432E-2</v>
      </c>
      <c r="H21" s="710">
        <v>0.26600000000000001</v>
      </c>
      <c r="I21" s="708">
        <v>0.52</v>
      </c>
      <c r="J21" s="570">
        <v>1.234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1.234</v>
      </c>
      <c r="N21" s="632">
        <f t="shared" si="2"/>
        <v>1.0972598591174272</v>
      </c>
      <c r="O21" s="629">
        <f t="shared" si="3"/>
        <v>4.0010831118697459</v>
      </c>
      <c r="P21" s="633">
        <f t="shared" si="4"/>
        <v>-1.6074048479330216</v>
      </c>
      <c r="Q21" s="585">
        <f t="shared" si="113"/>
        <v>74.664202214215237</v>
      </c>
      <c r="R21" s="629">
        <f>IF(M21="","",SQRT(N21^2+O21^2))</f>
        <v>4.14881251281854</v>
      </c>
      <c r="S21" s="634">
        <f>IF(M21="","",P21)</f>
        <v>-1.6074048479330216</v>
      </c>
      <c r="T21" s="635">
        <f>IF(M21="","",X21*COS(RADIANS(W21)))</f>
        <v>4.0071489318987012</v>
      </c>
      <c r="U21" s="629">
        <f>IF(M21="","",X21*SIN(RADIANS(W21)))</f>
        <v>-1.0748966015867694</v>
      </c>
      <c r="V21" s="636">
        <f>IF(M21="","",Y21)</f>
        <v>-1.6074048479330216</v>
      </c>
      <c r="W21" s="585">
        <f t="shared" si="224"/>
        <v>344.98420216801298</v>
      </c>
      <c r="X21" s="629">
        <f>IF(M21="","",R21)</f>
        <v>4.14881251281854</v>
      </c>
      <c r="Y21" s="630">
        <f t="shared" si="223"/>
        <v>-1.6074048479330216</v>
      </c>
      <c r="Z21" s="632">
        <f t="shared" si="6"/>
        <v>0.6434805599054183</v>
      </c>
      <c r="AA21" s="629">
        <f t="shared" si="7"/>
        <v>-0.76156379349431247</v>
      </c>
      <c r="AB21" s="629">
        <f t="shared" si="8"/>
        <v>-7.7158003229487432E-2</v>
      </c>
      <c r="AC21" s="636">
        <f>IF(M21="","",SQRT(Z21^2+AA21^2+AB21^2))</f>
        <v>1</v>
      </c>
      <c r="AD21" s="637">
        <f>IF(M21="","",Z21*(1/SQRT(Z21^2+AA21^2+AB21^2)))</f>
        <v>0.6434805599054183</v>
      </c>
      <c r="AE21" s="629">
        <f>IF(M21="","",AA21*(1/SQRT(Z21^2+AA21^2+AB21^2)))</f>
        <v>-0.76156379349431247</v>
      </c>
      <c r="AF21" s="633">
        <f>IF(M21="","",AB21*(1/SQRT(Z21^2+AA21^2+AB21^2)))</f>
        <v>-7.7158003229487432E-2</v>
      </c>
      <c r="AG21" s="602">
        <f>IF(M21="","",DEGREES(ATAN2(-AF21,AE21)))</f>
        <v>-84.214806172428766</v>
      </c>
      <c r="AH21" s="603">
        <f>IF(M21="","",DEGREES(ACOS(AD21)))</f>
        <v>49.948151561954305</v>
      </c>
      <c r="AI21" s="585">
        <f>IF(M21="","",DEGREES(-ACOS(-AF21)))</f>
        <v>-85.574773804601421</v>
      </c>
      <c r="AJ21" s="586">
        <f>IF(M21="","",DEGREES(ATAN2(-AE21,AD21)))</f>
        <v>40.196017010528365</v>
      </c>
      <c r="AK21" s="635">
        <f>IF(M21="","",(COS(RADIANS((90-$Q$8)-W21))*AD21)+(-SIN(RADIANS((90-$Q$8)-W21))*AE21))</f>
        <v>0.82198281346191016</v>
      </c>
      <c r="AL21" s="629">
        <f>IF(M21="","",(SIN(RADIANS((90-$Q$8)-W21))*AD21)+(COS(RADIANS((90-$Q$8)-W21))*AE21))</f>
        <v>-0.56426137286800093</v>
      </c>
      <c r="AM21" s="634">
        <f>IF(M21="","",AF21)</f>
        <v>-7.7158003229487432E-2</v>
      </c>
      <c r="AN21" s="581">
        <f>IF(M21="","",DEGREES(ATAN2(-AM21,AL21)))</f>
        <v>-82.213574646358637</v>
      </c>
      <c r="AO21" s="582">
        <f>IF(ROUND(IF(M21="",0,DEGREES(ACOS(AK21))),4)=90,0,IF(M21="","",DEGREES(ACOS(AK21))))</f>
        <v>34.716223613521251</v>
      </c>
      <c r="AP21" s="585">
        <f>IF(M21="","",DEGREES(ATAN2(AK21,AL21)))</f>
        <v>-34.468185203686879</v>
      </c>
      <c r="AQ21" s="586">
        <f t="shared" si="9"/>
        <v>0.54947210453252016</v>
      </c>
      <c r="AS21" s="52">
        <f t="shared" si="116"/>
        <v>-15.015797831987015</v>
      </c>
      <c r="AT21" s="72">
        <f t="shared" si="10"/>
        <v>-1.59675498835956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>Gage</v>
      </c>
      <c r="IG21" s="847">
        <f t="shared" si="210"/>
        <v>1.234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1.1339999999999999</v>
      </c>
      <c r="II21" s="734" cm="1">
        <f t="array" ref="II21">IFERROR(ROUND(VALUE(IF($IH21&lt;1,$IH21+LARGE((IF($M$9:$M$150="",0,$M$9:$M$150)-MOD(IF($M$9:$M$150="",0,$M$9:$M$150),1)),1),$IH21)),4),"")</f>
        <v>1.1339999999999999</v>
      </c>
      <c r="IJ21" s="533">
        <f t="shared" si="112"/>
        <v>1613</v>
      </c>
      <c r="IK21" s="533">
        <f t="shared" si="66"/>
        <v>1313</v>
      </c>
      <c r="IL21" s="727">
        <f t="shared" si="225"/>
        <v>12.755798158290588</v>
      </c>
      <c r="IM21" s="759">
        <v>2.4836583328301902E-3</v>
      </c>
      <c r="IN21" s="5">
        <f t="shared" si="226"/>
        <v>0.14000000000000001</v>
      </c>
      <c r="IO21" s="771">
        <v>70</v>
      </c>
      <c r="IP21" s="9">
        <f t="shared" si="227"/>
        <v>-4.0984123608116807</v>
      </c>
      <c r="IQ21" s="5">
        <f t="shared" si="228"/>
        <v>-1.616904876585108</v>
      </c>
      <c r="IR21" s="5">
        <f t="shared" si="71"/>
        <v>0.314</v>
      </c>
      <c r="IS21" s="5">
        <f t="shared" si="229"/>
        <v>0.27229359318920981</v>
      </c>
      <c r="IT21" s="727">
        <f t="shared" si="230"/>
        <v>84.15348449648765</v>
      </c>
      <c r="IU21" s="9">
        <f t="shared" si="231"/>
        <v>-4.14881251281854</v>
      </c>
      <c r="IV21" s="5">
        <f t="shared" si="232"/>
        <v>-1.6074048479330216</v>
      </c>
      <c r="IW21" s="5">
        <f t="shared" si="76"/>
        <v>0.26600000000000001</v>
      </c>
      <c r="IX21" s="5">
        <f t="shared" si="233"/>
        <v>0.21864742838086812</v>
      </c>
      <c r="IY21" s="762">
        <f t="shared" si="234"/>
        <v>82.213574646358637</v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707">
        <v>1.3942320397129428</v>
      </c>
      <c r="C22" s="708">
        <v>3.9052966124068398</v>
      </c>
      <c r="D22" s="709">
        <v>-2.3963072272625978</v>
      </c>
      <c r="E22" s="710">
        <v>0.33622566113062663</v>
      </c>
      <c r="F22" s="708">
        <v>0.94178145277830871</v>
      </c>
      <c r="G22" s="711">
        <v>2.267948967994778E-7</v>
      </c>
      <c r="H22" s="710">
        <v>0.25700000000000001</v>
      </c>
      <c r="I22" s="708">
        <v>0.41499999999999992</v>
      </c>
      <c r="J22" s="570">
        <v>1.2410000000000001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CPS-32193r1</v>
      </c>
      <c r="L22" s="873" t="str">
        <f>IF($L21=$JH$22,$JH$30,IF($L21=$JI$22,$JI$30,""))</f>
        <v/>
      </c>
      <c r="M22" s="168">
        <f t="shared" si="1"/>
        <v>1.2410000000000001</v>
      </c>
      <c r="N22" s="632">
        <f t="shared" si="2"/>
        <v>1.3942320397129428</v>
      </c>
      <c r="O22" s="629">
        <f t="shared" si="3"/>
        <v>3.9052966124068398</v>
      </c>
      <c r="P22" s="633">
        <f t="shared" si="4"/>
        <v>-2.3963072272625978</v>
      </c>
      <c r="Q22" s="585">
        <f t="shared" si="113"/>
        <v>70.35290000000002</v>
      </c>
      <c r="R22" s="629">
        <f t="shared" si="79"/>
        <v>4.1467125064849206</v>
      </c>
      <c r="S22" s="634">
        <f t="shared" si="80"/>
        <v>-2.3963072272625978</v>
      </c>
      <c r="T22" s="635">
        <f t="shared" si="81"/>
        <v>3.9130225230431899</v>
      </c>
      <c r="U22" s="629">
        <f t="shared" si="82"/>
        <v>-1.372399120371024</v>
      </c>
      <c r="V22" s="636">
        <f t="shared" si="114"/>
        <v>-2.3963072272625978</v>
      </c>
      <c r="W22" s="585">
        <f t="shared" si="224"/>
        <v>340.67289995379775</v>
      </c>
      <c r="X22" s="629">
        <f t="shared" si="83"/>
        <v>4.1467125064849206</v>
      </c>
      <c r="Y22" s="630">
        <f t="shared" si="223"/>
        <v>-2.3963072272625978</v>
      </c>
      <c r="Z22" s="632">
        <f t="shared" si="6"/>
        <v>-0.33622566113062663</v>
      </c>
      <c r="AA22" s="629">
        <f t="shared" si="7"/>
        <v>-0.94178145277830871</v>
      </c>
      <c r="AB22" s="629">
        <f t="shared" si="8"/>
        <v>-2.267948967994778E-7</v>
      </c>
      <c r="AC22" s="636">
        <f t="shared" si="84"/>
        <v>1</v>
      </c>
      <c r="AD22" s="637">
        <f t="shared" si="115"/>
        <v>-0.33622566113062663</v>
      </c>
      <c r="AE22" s="629">
        <f t="shared" si="85"/>
        <v>-0.94178145277830871</v>
      </c>
      <c r="AF22" s="633">
        <f t="shared" si="86"/>
        <v>-2.267948967994778E-7</v>
      </c>
      <c r="AG22" s="602">
        <f t="shared" si="87"/>
        <v>-89.999986202329254</v>
      </c>
      <c r="AH22" s="603">
        <f t="shared" si="88"/>
        <v>109.64708700560908</v>
      </c>
      <c r="AI22" s="585">
        <f t="shared" si="89"/>
        <v>-89.999987005609597</v>
      </c>
      <c r="AJ22" s="586">
        <f t="shared" si="90"/>
        <v>-19.647087005609606</v>
      </c>
      <c r="AK22" s="635">
        <f t="shared" si="211"/>
        <v>2.2679489658505858E-7</v>
      </c>
      <c r="AL22" s="629">
        <f t="shared" si="91"/>
        <v>-0.9999999999999486</v>
      </c>
      <c r="AM22" s="634">
        <f t="shared" si="92"/>
        <v>-2.267948967994778E-7</v>
      </c>
      <c r="AN22" s="581">
        <f t="shared" si="93"/>
        <v>-89.999987005609611</v>
      </c>
      <c r="AO22" s="582">
        <f t="shared" si="94"/>
        <v>0</v>
      </c>
      <c r="AP22" s="585">
        <f t="shared" si="95"/>
        <v>-89.999987005609626</v>
      </c>
      <c r="AQ22" s="586">
        <f t="shared" si="9"/>
        <v>0.54975035485643253</v>
      </c>
      <c r="AS22" s="52">
        <f t="shared" si="116"/>
        <v>-19.327100046202247</v>
      </c>
      <c r="AT22" s="72">
        <f t="shared" si="10"/>
        <v>-2.3826634078181534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>Gage</v>
      </c>
      <c r="IG22" s="847">
        <f t="shared" si="210"/>
        <v>1.2410000000000001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1.141</v>
      </c>
      <c r="II22" s="734" cm="1">
        <f t="array" ref="II22">IFERROR(ROUND(VALUE(IF($IH22&lt;1,$IH22+LARGE((IF($M$9:$M$150="",0,$M$9:$M$150)-MOD(IF($M$9:$M$150="",0,$M$9:$M$150),1)),1),$IH22)),4),"")</f>
        <v>1.141</v>
      </c>
      <c r="IJ22" s="533">
        <f t="shared" si="112"/>
        <v>1613</v>
      </c>
      <c r="IK22" s="533" t="str">
        <f t="shared" si="66"/>
        <v>CPS-32193r1</v>
      </c>
      <c r="IL22" s="727">
        <f t="shared" si="225"/>
        <v>17.007100381168755</v>
      </c>
      <c r="IM22" s="759">
        <v>2.2442727449792E-4</v>
      </c>
      <c r="IN22" s="5">
        <f t="shared" si="226"/>
        <v>0</v>
      </c>
      <c r="IO22" s="771">
        <v>0</v>
      </c>
      <c r="IP22" s="9">
        <f t="shared" si="227"/>
        <v>-4.1311124594351778</v>
      </c>
      <c r="IQ22" s="5">
        <f t="shared" si="228"/>
        <v>-2.3901072085633412</v>
      </c>
      <c r="IR22" s="5">
        <f t="shared" si="71"/>
        <v>0.314</v>
      </c>
      <c r="IS22" s="5">
        <f t="shared" si="229"/>
        <v>0.27193198865724599</v>
      </c>
      <c r="IT22" s="727">
        <f t="shared" si="230"/>
        <v>89.999987005609611</v>
      </c>
      <c r="IU22" s="9">
        <f t="shared" si="231"/>
        <v>-4.1467125064849206</v>
      </c>
      <c r="IV22" s="5">
        <f t="shared" si="232"/>
        <v>-2.3963072272625978</v>
      </c>
      <c r="IW22" s="5">
        <f t="shared" si="76"/>
        <v>0.25700000000000001</v>
      </c>
      <c r="IX22" s="5">
        <f t="shared" si="233"/>
        <v>0.25700000000000001</v>
      </c>
      <c r="IY22" s="762">
        <f t="shared" si="234"/>
        <v>89.999987005609611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2.2526044408647299</v>
      </c>
      <c r="C23" s="708">
        <v>1.4943585750316528</v>
      </c>
      <c r="D23" s="709">
        <v>-6.9400209311031288E-2</v>
      </c>
      <c r="E23" s="710">
        <v>-0.45765678976212776</v>
      </c>
      <c r="F23" s="708">
        <v>0.85403591362521714</v>
      </c>
      <c r="G23" s="711">
        <v>0.24733160134314483</v>
      </c>
      <c r="H23" s="710">
        <v>0.314</v>
      </c>
      <c r="I23" s="708">
        <v>0.52</v>
      </c>
      <c r="J23" s="570">
        <v>2.1139999999999999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2.1139999999999999</v>
      </c>
      <c r="N23" s="632">
        <f t="shared" si="2"/>
        <v>2.2526044408647299</v>
      </c>
      <c r="O23" s="629">
        <f t="shared" si="3"/>
        <v>1.4943585750316528</v>
      </c>
      <c r="P23" s="633">
        <f t="shared" si="4"/>
        <v>-6.9400209311031288E-2</v>
      </c>
      <c r="Q23" s="585">
        <f t="shared" si="113"/>
        <v>33.559956171365002</v>
      </c>
      <c r="R23" s="629">
        <f t="shared" si="79"/>
        <v>2.7032081528757885</v>
      </c>
      <c r="S23" s="634">
        <f t="shared" si="80"/>
        <v>-6.9400209311031288E-2</v>
      </c>
      <c r="T23" s="635">
        <f t="shared" si="81"/>
        <v>1.5069161178012689</v>
      </c>
      <c r="U23" s="629">
        <f t="shared" si="82"/>
        <v>-2.2442232802653312</v>
      </c>
      <c r="V23" s="636">
        <f t="shared" si="114"/>
        <v>-6.9400209311031288E-2</v>
      </c>
      <c r="W23" s="585">
        <f t="shared" si="224"/>
        <v>303.87995612516272</v>
      </c>
      <c r="X23" s="629">
        <f t="shared" si="83"/>
        <v>2.7032081528757885</v>
      </c>
      <c r="Y23" s="630">
        <f t="shared" si="223"/>
        <v>-6.9400209311031288E-2</v>
      </c>
      <c r="Z23" s="632">
        <f t="shared" si="6"/>
        <v>0.45765678976212776</v>
      </c>
      <c r="AA23" s="629">
        <f t="shared" si="7"/>
        <v>-0.85403591362521714</v>
      </c>
      <c r="AB23" s="629">
        <f t="shared" si="8"/>
        <v>-0.24733160134314483</v>
      </c>
      <c r="AC23" s="636">
        <f t="shared" si="84"/>
        <v>1</v>
      </c>
      <c r="AD23" s="637">
        <f t="shared" si="115"/>
        <v>0.45765678976212776</v>
      </c>
      <c r="AE23" s="629">
        <f t="shared" si="85"/>
        <v>-0.85403591362521714</v>
      </c>
      <c r="AF23" s="633">
        <f t="shared" si="86"/>
        <v>-0.24733160134314483</v>
      </c>
      <c r="AG23" s="602">
        <f t="shared" si="87"/>
        <v>-73.848810290893454</v>
      </c>
      <c r="AH23" s="603">
        <f t="shared" si="88"/>
        <v>62.763992513394399</v>
      </c>
      <c r="AI23" s="585">
        <f t="shared" si="89"/>
        <v>-75.68033390206115</v>
      </c>
      <c r="AJ23" s="586">
        <f t="shared" si="90"/>
        <v>28.185759857821814</v>
      </c>
      <c r="AK23" s="635">
        <f t="shared" si="211"/>
        <v>0.96467171317104561</v>
      </c>
      <c r="AL23" s="629">
        <f t="shared" si="91"/>
        <v>-9.0750012587744067E-2</v>
      </c>
      <c r="AM23" s="634">
        <f t="shared" si="92"/>
        <v>-0.24733160134314483</v>
      </c>
      <c r="AN23" s="581">
        <f t="shared" si="93"/>
        <v>-20.148913667187422</v>
      </c>
      <c r="AO23" s="582">
        <f t="shared" si="94"/>
        <v>15.275163066729563</v>
      </c>
      <c r="AP23" s="585">
        <f t="shared" si="95"/>
        <v>-5.3741963135431829</v>
      </c>
      <c r="AQ23" s="586">
        <f t="shared" si="9"/>
        <v>0.84328023932509699</v>
      </c>
      <c r="AS23" s="52">
        <f t="shared" si="116"/>
        <v>-56.120043874837279</v>
      </c>
      <c r="AT23" s="72">
        <f t="shared" si="10"/>
        <v>-3.0205734430034763E-2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2.1139999999999999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5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19</v>
      </c>
      <c r="JC23" s="199"/>
      <c r="JD23" s="199"/>
      <c r="JE23" s="871"/>
      <c r="JF23" s="796" cm="1">
        <f t="array" ref="JF23:JG25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12</v>
      </c>
      <c r="JH23" s="800" cm="1">
        <f t="array" ref="JH23:JI25">IF(_xlfn.ANCHORARRAY($JF$23)="","",_xlfn.MINIFS($IO$9:$IO$150,$IK$9:$IK$150,_xlfn.ANCHORARRAY($JA$23),$IE$9:$IE$150,_xlfn.ANCHORARRAY($JH$22),$II$9:$II$150,"&lt;&gt;"&amp;"",$IF$9:$IF$150,"&lt;&gt;"&amp;"Gage"))</f>
        <v>120</v>
      </c>
      <c r="JI23" s="801">
        <v>90</v>
      </c>
    </row>
    <row r="24" spans="1:269" ht="15" customHeight="1" x14ac:dyDescent="0.25">
      <c r="A24" s="79"/>
      <c r="B24" s="707">
        <v>2.8842839711581587</v>
      </c>
      <c r="C24" s="708">
        <v>1.8431551905431416</v>
      </c>
      <c r="D24" s="709">
        <v>-0.37750113854343387</v>
      </c>
      <c r="E24" s="710">
        <v>-0.33116098893062318</v>
      </c>
      <c r="F24" s="708">
        <v>0.92410561007896608</v>
      </c>
      <c r="G24" s="711">
        <v>0.19068618416412245</v>
      </c>
      <c r="H24" s="710">
        <v>0.314</v>
      </c>
      <c r="I24" s="708">
        <v>0.52</v>
      </c>
      <c r="J24" s="570">
        <v>2.121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2.121</v>
      </c>
      <c r="N24" s="632">
        <f t="shared" si="2"/>
        <v>2.8842839711581587</v>
      </c>
      <c r="O24" s="629">
        <f t="shared" si="3"/>
        <v>1.8431551905431416</v>
      </c>
      <c r="P24" s="633">
        <f t="shared" si="4"/>
        <v>-0.37750113854343387</v>
      </c>
      <c r="Q24" s="585">
        <f t="shared" si="113"/>
        <v>32.57995631285948</v>
      </c>
      <c r="R24" s="629">
        <f t="shared" si="79"/>
        <v>3.4229103234975353</v>
      </c>
      <c r="S24" s="634">
        <f t="shared" si="80"/>
        <v>-0.37750113854343387</v>
      </c>
      <c r="T24" s="635">
        <f t="shared" si="81"/>
        <v>1.8592352385409985</v>
      </c>
      <c r="U24" s="629">
        <f t="shared" si="82"/>
        <v>-2.8739449212664812</v>
      </c>
      <c r="V24" s="636">
        <f t="shared" si="114"/>
        <v>-0.37750113854343387</v>
      </c>
      <c r="W24" s="585">
        <f t="shared" si="224"/>
        <v>302.89995626665723</v>
      </c>
      <c r="X24" s="629">
        <f t="shared" si="83"/>
        <v>3.4229103234975353</v>
      </c>
      <c r="Y24" s="630">
        <f t="shared" si="223"/>
        <v>-0.37750113854343387</v>
      </c>
      <c r="Z24" s="632">
        <f t="shared" si="6"/>
        <v>0.33116098893062318</v>
      </c>
      <c r="AA24" s="629">
        <f t="shared" si="7"/>
        <v>-0.92410561007896608</v>
      </c>
      <c r="AB24" s="629">
        <f t="shared" si="8"/>
        <v>-0.19068618416412245</v>
      </c>
      <c r="AC24" s="636">
        <f t="shared" si="84"/>
        <v>1</v>
      </c>
      <c r="AD24" s="637">
        <f t="shared" si="115"/>
        <v>0.33116098893062318</v>
      </c>
      <c r="AE24" s="629">
        <f t="shared" si="85"/>
        <v>-0.92410561007896608</v>
      </c>
      <c r="AF24" s="633">
        <f t="shared" si="86"/>
        <v>-0.19068618416412245</v>
      </c>
      <c r="AG24" s="602">
        <f t="shared" si="87"/>
        <v>-78.340842642310463</v>
      </c>
      <c r="AH24" s="603">
        <f t="shared" si="88"/>
        <v>70.660742058631996</v>
      </c>
      <c r="AI24" s="585">
        <f t="shared" si="89"/>
        <v>-79.007168178232078</v>
      </c>
      <c r="AJ24" s="586">
        <f t="shared" si="90"/>
        <v>19.715566250214927</v>
      </c>
      <c r="AK24" s="635">
        <f>IF(M24="","",(COS(RADIANS((90-$Q$8)-W24))*AD24)+(-SIN(RADIANS((90-$Q$8)-W24))*AE24))</f>
        <v>0.95701136894342875</v>
      </c>
      <c r="AL24" s="629">
        <f t="shared" si="91"/>
        <v>-0.21855895973844403</v>
      </c>
      <c r="AM24" s="634">
        <f t="shared" si="92"/>
        <v>-0.19068618416412245</v>
      </c>
      <c r="AN24" s="581">
        <f t="shared" si="93"/>
        <v>-48.896270905304817</v>
      </c>
      <c r="AO24" s="582">
        <f t="shared" si="94"/>
        <v>16.860973954410774</v>
      </c>
      <c r="AP24" s="585">
        <f t="shared" si="95"/>
        <v>-12.864390062644562</v>
      </c>
      <c r="AQ24" s="586">
        <f t="shared" si="9"/>
        <v>0.66598997451666408</v>
      </c>
      <c r="AS24" s="52">
        <f t="shared" si="116"/>
        <v>-57.100043733342773</v>
      </c>
      <c r="AT24" s="72">
        <f t="shared" si="10"/>
        <v>-0.33762610820514183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2.121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 t="str">
        <v>CPS-31783r1</v>
      </c>
      <c r="JB24" s="856" cm="1">
        <f t="array" ref="JB24">IF($JA24="","",COUNT(IF(IF($II$9:$II$150&lt;&gt;"",$IK$9:$IK$150,"")=$JA24,$IG$9:$IG$150,"")))</f>
        <v>6</v>
      </c>
      <c r="JC24" s="5"/>
      <c r="JD24" s="5"/>
      <c r="JE24" s="10"/>
      <c r="JF24" s="247">
        <v>6</v>
      </c>
      <c r="JG24" s="803" t="str">
        <v/>
      </c>
      <c r="JH24" s="787">
        <v>200</v>
      </c>
      <c r="JI24" s="803" t="str">
        <v/>
      </c>
    </row>
    <row r="25" spans="1:269" ht="15" customHeight="1" x14ac:dyDescent="0.25">
      <c r="A25" s="79"/>
      <c r="B25" s="707">
        <v>3.3369840117790264</v>
      </c>
      <c r="C25" s="708">
        <v>2.0641795017557327</v>
      </c>
      <c r="D25" s="709">
        <v>-0.97470293970406618</v>
      </c>
      <c r="E25" s="710">
        <v>-0.15958174295531241</v>
      </c>
      <c r="F25" s="708">
        <v>0.97571425512461429</v>
      </c>
      <c r="G25" s="711">
        <v>0.15005119013844523</v>
      </c>
      <c r="H25" s="710">
        <v>0.314</v>
      </c>
      <c r="I25" s="708">
        <v>0.52</v>
      </c>
      <c r="J25" s="570">
        <v>2.1280000000000001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2.1280000000000001</v>
      </c>
      <c r="N25" s="632">
        <f t="shared" si="2"/>
        <v>3.3369840117790264</v>
      </c>
      <c r="O25" s="629">
        <f t="shared" si="3"/>
        <v>2.0641795017557327</v>
      </c>
      <c r="P25" s="633">
        <f t="shared" si="4"/>
        <v>-0.97470293970406618</v>
      </c>
      <c r="Q25" s="585">
        <f t="shared" si="113"/>
        <v>31.739956434140449</v>
      </c>
      <c r="R25" s="629">
        <f>IF(M25="","",SQRT(N25^2+O25^2))</f>
        <v>3.923811834216492</v>
      </c>
      <c r="S25" s="634">
        <f>IF(M25="","",P25)</f>
        <v>-0.97470293970406618</v>
      </c>
      <c r="T25" s="635">
        <f>IF(M25="","",X25*COS(RADIANS(W25)))</f>
        <v>2.0827844430623852</v>
      </c>
      <c r="U25" s="629">
        <f>IF(M25="","",X25*SIN(RADIANS(W25)))</f>
        <v>-3.3254034753807997</v>
      </c>
      <c r="V25" s="636">
        <f>IF(M25="","",Y25)</f>
        <v>-0.97470293970406618</v>
      </c>
      <c r="W25" s="585">
        <f t="shared" si="224"/>
        <v>302.05995638793814</v>
      </c>
      <c r="X25" s="629">
        <f>IF(M25="","",R25)</f>
        <v>3.923811834216492</v>
      </c>
      <c r="Y25" s="630">
        <f t="shared" si="223"/>
        <v>-0.97470293970406618</v>
      </c>
      <c r="Z25" s="632">
        <f t="shared" si="6"/>
        <v>0.15958174295531241</v>
      </c>
      <c r="AA25" s="629">
        <f t="shared" si="7"/>
        <v>-0.97571425512461429</v>
      </c>
      <c r="AB25" s="629">
        <f t="shared" si="8"/>
        <v>-0.15005119013844523</v>
      </c>
      <c r="AC25" s="636">
        <f>IF(M25="","",SQRT(Z25^2+AA25^2+AB25^2))</f>
        <v>1</v>
      </c>
      <c r="AD25" s="637">
        <f>IF(M25="","",Z25*(1/SQRT(Z25^2+AA25^2+AB25^2)))</f>
        <v>0.15958174295531241</v>
      </c>
      <c r="AE25" s="629">
        <f>IF(M25="","",AA25*(1/SQRT(Z25^2+AA25^2+AB25^2)))</f>
        <v>-0.97571425512461429</v>
      </c>
      <c r="AF25" s="633">
        <f>IF(M25="","",AB25*(1/SQRT(Z25^2+AA25^2+AB25^2)))</f>
        <v>-0.15005119013844523</v>
      </c>
      <c r="AG25" s="602">
        <f>IF(M25="","",DEGREES(ATAN2(-AF25,AE25)))</f>
        <v>-81.257204772050457</v>
      </c>
      <c r="AH25" s="603">
        <f>IF(M25="","",DEGREES(ACOS(AD25)))</f>
        <v>80.817380071038386</v>
      </c>
      <c r="AI25" s="585">
        <f>IF(M25="","",DEGREES(-ACOS(-AF25)))</f>
        <v>-81.370106887312744</v>
      </c>
      <c r="AJ25" s="586">
        <f>IF(M25="","",DEGREES(ATAN2(-AE25,AD25)))</f>
        <v>9.2886995732423987</v>
      </c>
      <c r="AK25" s="635">
        <f>IF(M25="","",(COS(RADIANS((90-$Q$8)-W25))*AD25)+(-SIN(RADIANS((90-$Q$8)-W25))*AE25))</f>
        <v>0.91374112306138477</v>
      </c>
      <c r="AL25" s="629">
        <f>IF(M25="","",(SIN(RADIANS((90-$Q$8)-W25))*AD25)+(COS(RADIANS((90-$Q$8)-W25))*AE25))</f>
        <v>-0.37757356947296461</v>
      </c>
      <c r="AM25" s="634">
        <f>IF(M25="","",AF25)</f>
        <v>-0.15005119013844523</v>
      </c>
      <c r="AN25" s="581">
        <f>IF(M25="","",DEGREES(ATAN2(-AM25,AL25)))</f>
        <v>-68.326674512858474</v>
      </c>
      <c r="AO25" s="582">
        <f>IF(ROUND(IF(M25="",0,DEGREES(ACOS(AK25))),4)=90,0,IF(M25="","",DEGREES(ACOS(AK25))))</f>
        <v>23.97242228747541</v>
      </c>
      <c r="AP25" s="585">
        <f>IF(M25="","",DEGREES(ATAN2(AK25,AL25)))</f>
        <v>-22.451256860898003</v>
      </c>
      <c r="AQ25" s="586">
        <f t="shared" si="9"/>
        <v>0.58097803730675035</v>
      </c>
      <c r="AS25" s="52">
        <f t="shared" si="116"/>
        <v>-57.940043612061856</v>
      </c>
      <c r="AT25" s="72">
        <f t="shared" si="10"/>
        <v>-0.93424457611666367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2.1280000000000001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 t="str">
        <v>CPS-32193r1</v>
      </c>
      <c r="JB25" s="856" cm="1">
        <f t="array" ref="JB25">IF($JA25="","",COUNT(IF(IF($II$9:$II$150&lt;&gt;"",$IK$9:$IK$150,"")=$JA25,$IG$9:$IG$150,"")))</f>
        <v>7</v>
      </c>
      <c r="JC25" s="5"/>
      <c r="JD25" s="5"/>
      <c r="JE25" s="10"/>
      <c r="JF25" s="247" t="str">
        <v/>
      </c>
      <c r="JG25" s="803" t="str">
        <v/>
      </c>
      <c r="JH25" s="787" t="str">
        <v/>
      </c>
      <c r="JI25" s="803" t="str">
        <v/>
      </c>
    </row>
    <row r="26" spans="1:269" ht="15" customHeight="1" x14ac:dyDescent="0.25">
      <c r="A26" s="79"/>
      <c r="B26" s="707">
        <v>3.5006166590829739</v>
      </c>
      <c r="C26" s="708">
        <v>2.1384594731786706</v>
      </c>
      <c r="D26" s="709">
        <v>-1.7280052116637183</v>
      </c>
      <c r="E26" s="710">
        <v>-1.0899415867934296E-2</v>
      </c>
      <c r="F26" s="708">
        <v>0.99951366507375772</v>
      </c>
      <c r="G26" s="711">
        <v>2.9217050921711417E-2</v>
      </c>
      <c r="H26" s="710">
        <v>0.314</v>
      </c>
      <c r="I26" s="708">
        <v>0.52</v>
      </c>
      <c r="J26" s="570">
        <v>2.1349999999999998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2.1349999999999998</v>
      </c>
      <c r="N26" s="632">
        <f t="shared" si="2"/>
        <v>3.5006166590829739</v>
      </c>
      <c r="O26" s="629">
        <f t="shared" si="3"/>
        <v>2.1384594731786706</v>
      </c>
      <c r="P26" s="633">
        <f t="shared" si="4"/>
        <v>-1.7280052116637183</v>
      </c>
      <c r="Q26" s="585">
        <f t="shared" si="113"/>
        <v>31.419956480342734</v>
      </c>
      <c r="R26" s="629">
        <f>IF(M26="","",SQRT(N26^2+O26^2))</f>
        <v>4.1021123719709145</v>
      </c>
      <c r="S26" s="634">
        <f>IF(M26="","",P26)</f>
        <v>-1.7280052116637183</v>
      </c>
      <c r="T26" s="635">
        <f>IF(M26="","",X26*COS(RADIANS(W26)))</f>
        <v>2.1579771482114798</v>
      </c>
      <c r="U26" s="629">
        <f>IF(M26="","",X26*SIN(RADIANS(W26)))</f>
        <v>-3.4886187152043275</v>
      </c>
      <c r="V26" s="636">
        <f>IF(M26="","",Y26)</f>
        <v>-1.7280052116637183</v>
      </c>
      <c r="W26" s="585">
        <f t="shared" si="224"/>
        <v>301.73995643414048</v>
      </c>
      <c r="X26" s="629">
        <f>IF(M26="","",R26)</f>
        <v>4.1021123719709145</v>
      </c>
      <c r="Y26" s="630">
        <f t="shared" si="223"/>
        <v>-1.7280052116637183</v>
      </c>
      <c r="Z26" s="632">
        <f t="shared" si="6"/>
        <v>1.0899415867934296E-2</v>
      </c>
      <c r="AA26" s="629">
        <f t="shared" si="7"/>
        <v>-0.99951366507375772</v>
      </c>
      <c r="AB26" s="629">
        <f t="shared" si="8"/>
        <v>-2.9217050921711417E-2</v>
      </c>
      <c r="AC26" s="636">
        <f>IF(M26="","",SQRT(Z26^2+AA26^2+AB26^2))</f>
        <v>1</v>
      </c>
      <c r="AD26" s="637">
        <f>IF(M26="","",Z26*(1/SQRT(Z26^2+AA26^2+AB26^2)))</f>
        <v>1.0899415867934296E-2</v>
      </c>
      <c r="AE26" s="629">
        <f>IF(M26="","",AA26*(1/SQRT(Z26^2+AA26^2+AB26^2)))</f>
        <v>-0.99951366507375772</v>
      </c>
      <c r="AF26" s="633">
        <f>IF(M26="","",AB26*(1/SQRT(Z26^2+AA26^2+AB26^2)))</f>
        <v>-2.9217050921711417E-2</v>
      </c>
      <c r="AG26" s="602">
        <f>IF(M26="","",DEGREES(ATAN2(-AF26,AE26)))</f>
        <v>-88.325648548959933</v>
      </c>
      <c r="AH26" s="603">
        <f>IF(M26="","",DEGREES(ACOS(AD26)))</f>
        <v>89.375497106320466</v>
      </c>
      <c r="AI26" s="585">
        <f>IF(M26="","",DEGREES(-ACOS(-AF26)))</f>
        <v>-88.325748034420016</v>
      </c>
      <c r="AJ26" s="586">
        <f>IF(M26="","",DEGREES(ATAN2(-AE26,AD26)))</f>
        <v>0.62476962411874248</v>
      </c>
      <c r="AK26" s="635">
        <f>IF(M26="","",(COS(RADIANS((90-$Q$8)-W26))*AD26)+(-SIN(RADIANS((90-$Q$8)-W26))*AE26))</f>
        <v>0.85863619195806573</v>
      </c>
      <c r="AL26" s="629">
        <f>IF(M26="","",(SIN(RADIANS((90-$Q$8)-W26))*AD26)+(COS(RADIANS((90-$Q$8)-W26))*AE26))</f>
        <v>-0.51175214097763178</v>
      </c>
      <c r="AM26" s="634">
        <f>IF(M26="","",AF26)</f>
        <v>-2.9217050921711417E-2</v>
      </c>
      <c r="AN26" s="581">
        <f>IF(M26="","",DEGREES(ATAN2(-AM26,AL26)))</f>
        <v>-86.7324055993342</v>
      </c>
      <c r="AO26" s="582">
        <f t="shared" si="94"/>
        <v>30.836202254092399</v>
      </c>
      <c r="AP26" s="585">
        <f>IF(M26="","",DEGREES(ATAN2(AK26,AL26)))</f>
        <v>-30.795186856223992</v>
      </c>
      <c r="AQ26" s="586">
        <f t="shared" si="9"/>
        <v>0.55572713171939947</v>
      </c>
      <c r="AS26" s="52">
        <f t="shared" si="116"/>
        <v>-58.260043565859519</v>
      </c>
      <c r="AT26" s="72">
        <f t="shared" si="10"/>
        <v>-1.6873246258861785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2.1349999999999998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3.5276177299497404</v>
      </c>
      <c r="C27" s="708">
        <v>2.1498844861631059</v>
      </c>
      <c r="D27" s="709">
        <v>-2.4987075361019286</v>
      </c>
      <c r="E27" s="710">
        <v>-2.3733565334841725E-2</v>
      </c>
      <c r="F27" s="708">
        <v>0.99971831926622423</v>
      </c>
      <c r="G27" s="711">
        <v>1.1339743351307465E-7</v>
      </c>
      <c r="H27" s="710">
        <v>0.314</v>
      </c>
      <c r="I27" s="708">
        <v>0.52</v>
      </c>
      <c r="J27" s="570">
        <v>2.1419999999999999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2.1419999999999999</v>
      </c>
      <c r="N27" s="632">
        <f t="shared" si="2"/>
        <v>3.5276177299497404</v>
      </c>
      <c r="O27" s="629">
        <f t="shared" si="3"/>
        <v>2.1498844861631059</v>
      </c>
      <c r="P27" s="633">
        <f t="shared" si="4"/>
        <v>-2.4987075361019286</v>
      </c>
      <c r="Q27" s="585">
        <f t="shared" si="113"/>
        <v>31.359956489005651</v>
      </c>
      <c r="R27" s="629">
        <f t="shared" si="79"/>
        <v>4.1311124594351778</v>
      </c>
      <c r="S27" s="634">
        <f t="shared" si="80"/>
        <v>-2.4987075361019286</v>
      </c>
      <c r="T27" s="635">
        <f t="shared" si="81"/>
        <v>2.1695527846296745</v>
      </c>
      <c r="U27" s="629">
        <f t="shared" si="82"/>
        <v>-3.5155555559834619</v>
      </c>
      <c r="V27" s="636">
        <f t="shared" si="114"/>
        <v>-2.4987075361019286</v>
      </c>
      <c r="W27" s="585">
        <f t="shared" si="224"/>
        <v>301.67995644280336</v>
      </c>
      <c r="X27" s="629">
        <f t="shared" si="83"/>
        <v>4.1311124594351778</v>
      </c>
      <c r="Y27" s="630">
        <f t="shared" si="223"/>
        <v>-2.4987075361019286</v>
      </c>
      <c r="Z27" s="632">
        <f t="shared" si="6"/>
        <v>2.3733565334841725E-2</v>
      </c>
      <c r="AA27" s="629">
        <f t="shared" si="7"/>
        <v>-0.99971831926622423</v>
      </c>
      <c r="AB27" s="629">
        <f t="shared" si="8"/>
        <v>-1.1339743351307465E-7</v>
      </c>
      <c r="AC27" s="636">
        <f t="shared" si="84"/>
        <v>1</v>
      </c>
      <c r="AD27" s="637">
        <f t="shared" si="115"/>
        <v>2.3733565334841725E-2</v>
      </c>
      <c r="AE27" s="629">
        <f t="shared" si="85"/>
        <v>-0.99971831926622423</v>
      </c>
      <c r="AF27" s="633">
        <f t="shared" si="86"/>
        <v>-1.1339743351307465E-7</v>
      </c>
      <c r="AG27" s="602">
        <f t="shared" si="87"/>
        <v>-89.999993500975009</v>
      </c>
      <c r="AH27" s="603">
        <f t="shared" si="88"/>
        <v>88.640039179530262</v>
      </c>
      <c r="AI27" s="585">
        <f t="shared" si="89"/>
        <v>-89.999993502805651</v>
      </c>
      <c r="AJ27" s="586">
        <f t="shared" si="90"/>
        <v>1.3599608204697478</v>
      </c>
      <c r="AK27" s="635">
        <f t="shared" si="211"/>
        <v>0.86602544158358563</v>
      </c>
      <c r="AL27" s="629">
        <f t="shared" si="91"/>
        <v>-0.49999993452993857</v>
      </c>
      <c r="AM27" s="634">
        <f t="shared" si="92"/>
        <v>-1.1339743351307465E-7</v>
      </c>
      <c r="AN27" s="581">
        <f t="shared" si="93"/>
        <v>-89.999987005609611</v>
      </c>
      <c r="AO27" s="582">
        <f t="shared" si="94"/>
        <v>29.999995668536535</v>
      </c>
      <c r="AP27" s="585">
        <f t="shared" si="95"/>
        <v>-29.999995668535906</v>
      </c>
      <c r="AQ27" s="586">
        <f t="shared" si="9"/>
        <v>0.55182621266630238</v>
      </c>
      <c r="AS27" s="52">
        <f t="shared" si="116"/>
        <v>-58.320043557196641</v>
      </c>
      <c r="AT27" s="72">
        <f t="shared" si="10"/>
        <v>-2.4579852836637381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2.1419999999999999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3.2725438009110963</v>
      </c>
      <c r="C28" s="708">
        <v>1.0909945053370944</v>
      </c>
      <c r="D28" s="709">
        <v>-0.34210103177671186</v>
      </c>
      <c r="E28" s="710">
        <v>-4.7545267310549456E-2</v>
      </c>
      <c r="F28" s="708">
        <v>0.96389157566766526</v>
      </c>
      <c r="G28" s="711">
        <v>0.26201617872428062</v>
      </c>
      <c r="H28" s="710">
        <v>0.26600000000000001</v>
      </c>
      <c r="I28" s="708">
        <v>0.52</v>
      </c>
      <c r="J28" s="570">
        <v>2.2210000000000001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2.2210000000000001</v>
      </c>
      <c r="N28" s="632">
        <f t="shared" si="2"/>
        <v>3.2725438009110963</v>
      </c>
      <c r="O28" s="629">
        <f t="shared" si="3"/>
        <v>1.0909945053370944</v>
      </c>
      <c r="P28" s="633">
        <f t="shared" si="4"/>
        <v>-0.34210103177671186</v>
      </c>
      <c r="Q28" s="585">
        <f t="shared" si="113"/>
        <v>18.437258354812421</v>
      </c>
      <c r="R28" s="629">
        <f t="shared" si="79"/>
        <v>3.4496104040249786</v>
      </c>
      <c r="S28" s="634">
        <f t="shared" si="80"/>
        <v>-0.34210103177671186</v>
      </c>
      <c r="T28" s="635">
        <f t="shared" si="81"/>
        <v>1.1092547246848805</v>
      </c>
      <c r="U28" s="629">
        <f t="shared" si="82"/>
        <v>-3.2663995308782492</v>
      </c>
      <c r="V28" s="636">
        <f t="shared" si="114"/>
        <v>-0.34210103177671186</v>
      </c>
      <c r="W28" s="585">
        <f t="shared" si="224"/>
        <v>288.75725830861012</v>
      </c>
      <c r="X28" s="629">
        <f t="shared" si="83"/>
        <v>3.4496104040249786</v>
      </c>
      <c r="Y28" s="630">
        <f t="shared" si="223"/>
        <v>-0.34210103177671186</v>
      </c>
      <c r="Z28" s="632">
        <f t="shared" si="6"/>
        <v>4.7545267310549456E-2</v>
      </c>
      <c r="AA28" s="629">
        <f t="shared" si="7"/>
        <v>-0.96389157566766526</v>
      </c>
      <c r="AB28" s="629">
        <f t="shared" si="8"/>
        <v>-0.26201617872428062</v>
      </c>
      <c r="AC28" s="636">
        <f t="shared" si="84"/>
        <v>1</v>
      </c>
      <c r="AD28" s="637">
        <f t="shared" si="115"/>
        <v>4.7545267310549456E-2</v>
      </c>
      <c r="AE28" s="629">
        <f t="shared" si="85"/>
        <v>-0.96389157566766526</v>
      </c>
      <c r="AF28" s="633">
        <f t="shared" si="86"/>
        <v>-0.26201617872428062</v>
      </c>
      <c r="AG28" s="602">
        <f t="shared" si="87"/>
        <v>-74.79265819451372</v>
      </c>
      <c r="AH28" s="603">
        <f t="shared" si="88"/>
        <v>87.274829457086</v>
      </c>
      <c r="AI28" s="585">
        <f t="shared" si="89"/>
        <v>-74.810271248006842</v>
      </c>
      <c r="AJ28" s="586">
        <f t="shared" si="90"/>
        <v>2.8239037243761369</v>
      </c>
      <c r="AK28" s="635">
        <f t="shared" si="211"/>
        <v>0.92945250349176056</v>
      </c>
      <c r="AL28" s="629">
        <f t="shared" si="91"/>
        <v>-0.25974134410914446</v>
      </c>
      <c r="AM28" s="634">
        <f t="shared" si="92"/>
        <v>-0.26201617872428062</v>
      </c>
      <c r="AN28" s="581">
        <f t="shared" si="93"/>
        <v>-44.750195079189488</v>
      </c>
      <c r="AO28" s="582">
        <f t="shared" si="94"/>
        <v>21.650369476144338</v>
      </c>
      <c r="AP28" s="585">
        <f t="shared" si="95"/>
        <v>-15.613354630436275</v>
      </c>
      <c r="AQ28" s="586">
        <f t="shared" si="9"/>
        <v>0.66083565250237741</v>
      </c>
      <c r="AS28" s="52">
        <f t="shared" si="116"/>
        <v>-71.242741691389881</v>
      </c>
      <c r="AT28" s="72">
        <f t="shared" si="10"/>
        <v>-0.29240468341199827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2.2210000000000001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2.121</v>
      </c>
      <c r="II28" s="734" cm="1">
        <f t="array" ref="II28">IFERROR(ROUND(VALUE(IF($IH28&lt;1,$IH28+LARGE((IF($M$9:$M$150="",0,$M$9:$M$150)-MOD(IF($M$9:$M$150="",0,$M$9:$M$150),1)),1),$IH28)),4),"")</f>
        <v>2.121</v>
      </c>
      <c r="IJ28" s="533">
        <f t="shared" si="112"/>
        <v>1613</v>
      </c>
      <c r="IK28" s="533">
        <f t="shared" si="66"/>
        <v>1313</v>
      </c>
      <c r="IL28" s="727">
        <f t="shared" si="225"/>
        <v>14.142697958047108</v>
      </c>
      <c r="IM28" s="759">
        <v>9.1598101260614503E-3</v>
      </c>
      <c r="IN28" s="5">
        <f t="shared" si="226"/>
        <v>0.24</v>
      </c>
      <c r="IO28" s="771">
        <v>120</v>
      </c>
      <c r="IP28" s="9">
        <f t="shared" si="227"/>
        <v>-3.4229103234975353</v>
      </c>
      <c r="IQ28" s="5">
        <f t="shared" si="228"/>
        <v>-0.37750113854343387</v>
      </c>
      <c r="IR28" s="5">
        <f t="shared" si="71"/>
        <v>0.314</v>
      </c>
      <c r="IS28" s="5">
        <f t="shared" si="229"/>
        <v>0.30050156984823662</v>
      </c>
      <c r="IT28" s="727">
        <f t="shared" si="230"/>
        <v>48.896270905304817</v>
      </c>
      <c r="IU28" s="9">
        <f t="shared" si="231"/>
        <v>-3.4496104040249786</v>
      </c>
      <c r="IV28" s="5">
        <f t="shared" si="232"/>
        <v>-0.34210103177671186</v>
      </c>
      <c r="IW28" s="5">
        <f t="shared" si="76"/>
        <v>0.26600000000000001</v>
      </c>
      <c r="IX28" s="5">
        <f t="shared" si="233"/>
        <v>0.24723436592880832</v>
      </c>
      <c r="IY28" s="762">
        <f t="shared" si="234"/>
        <v>44.750195079189488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3.7497339326299381</v>
      </c>
      <c r="C29" s="708">
        <v>1.2914925932413583</v>
      </c>
      <c r="D29" s="709">
        <v>-0.95050286671664519</v>
      </c>
      <c r="E29" s="710">
        <v>0.12900682860932905</v>
      </c>
      <c r="F29" s="708">
        <v>0.97142196952930526</v>
      </c>
      <c r="G29" s="711">
        <v>0.19924004438859402</v>
      </c>
      <c r="H29" s="710">
        <v>0.26600000000000001</v>
      </c>
      <c r="I29" s="708">
        <v>0.52</v>
      </c>
      <c r="J29" s="570">
        <v>2.2280000000000002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843"/>
      <c r="M29" s="168">
        <f t="shared" si="1"/>
        <v>2.2280000000000002</v>
      </c>
      <c r="N29" s="632">
        <f t="shared" si="2"/>
        <v>3.7497339326299381</v>
      </c>
      <c r="O29" s="629">
        <f t="shared" si="3"/>
        <v>1.2914925932413583</v>
      </c>
      <c r="P29" s="633">
        <f t="shared" si="4"/>
        <v>-0.95050286671664519</v>
      </c>
      <c r="Q29" s="585">
        <f t="shared" si="113"/>
        <v>19.004858272861131</v>
      </c>
      <c r="R29" s="629">
        <f>IF(M29="","",SQRT(N29^2+O29^2))</f>
        <v>3.9659119611904741</v>
      </c>
      <c r="S29" s="634">
        <f>IF(M29="","",P29)</f>
        <v>-0.95050286671664519</v>
      </c>
      <c r="T29" s="635">
        <f>IF(M29="","",X29*COS(RADIANS(W29)))</f>
        <v>1.3124148037732308</v>
      </c>
      <c r="U29" s="629">
        <f>IF(M29="","",X29*SIN(RADIANS(W29)))</f>
        <v>-3.7424624335790662</v>
      </c>
      <c r="V29" s="636">
        <f>IF(M29="","",Y29)</f>
        <v>-0.95050286671664519</v>
      </c>
      <c r="W29" s="585">
        <f t="shared" si="224"/>
        <v>289.32485822665888</v>
      </c>
      <c r="X29" s="629">
        <f>IF(M29="","",R29)</f>
        <v>3.9659119611904741</v>
      </c>
      <c r="Y29" s="630">
        <f t="shared" si="223"/>
        <v>-0.95050286671664519</v>
      </c>
      <c r="Z29" s="632">
        <f t="shared" si="6"/>
        <v>-0.12900682860932905</v>
      </c>
      <c r="AA29" s="629">
        <f t="shared" si="7"/>
        <v>-0.97142196952930526</v>
      </c>
      <c r="AB29" s="629">
        <f t="shared" si="8"/>
        <v>-0.19924004438859402</v>
      </c>
      <c r="AC29" s="636">
        <f>IF(M29="","",SQRT(Z29^2+AA29^2+AB29^2))</f>
        <v>1</v>
      </c>
      <c r="AD29" s="637">
        <f>IF(M29="","",Z29*(1/SQRT(Z29^2+AA29^2+AB29^2)))</f>
        <v>-0.12900682860932905</v>
      </c>
      <c r="AE29" s="629">
        <f>IF(M29="","",AA29*(1/SQRT(Z29^2+AA29^2+AB29^2)))</f>
        <v>-0.97142196952930526</v>
      </c>
      <c r="AF29" s="633">
        <f>IF(M29="","",AB29*(1/SQRT(Z29^2+AA29^2+AB29^2)))</f>
        <v>-0.19924004438859402</v>
      </c>
      <c r="AG29" s="602">
        <f>IF(M29="","",DEGREES(ATAN2(-AF29,AE29)))</f>
        <v>-78.40929622785319</v>
      </c>
      <c r="AH29" s="603">
        <f>IF(M29="","",DEGREES(ACOS(AD29)))</f>
        <v>97.412204520895699</v>
      </c>
      <c r="AI29" s="585">
        <f>IF(M29="","",DEGREES(-ACOS(-AF29)))</f>
        <v>-78.507477576171752</v>
      </c>
      <c r="AJ29" s="586">
        <f>IF(M29="","",DEGREES(ATAN2(-AE29,AD29)))</f>
        <v>-7.5647326841384377</v>
      </c>
      <c r="AK29" s="635">
        <f>IF(M29="","",(COS(RADIANS((90-$Q$8)-W29))*AD29)+(-SIN(RADIANS((90-$Q$8)-W29))*AE29))</f>
        <v>0.87645983885540724</v>
      </c>
      <c r="AL29" s="629">
        <f>IF(M29="","",(SIN(RADIANS((90-$Q$8)-W29))*AD29)+(COS(RADIANS((90-$Q$8)-W29))*AE29))</f>
        <v>-0.43831672975781422</v>
      </c>
      <c r="AM29" s="634">
        <f>IF(M29="","",AF29)</f>
        <v>-0.19924004438859402</v>
      </c>
      <c r="AN29" s="581">
        <f>IF(M29="","",DEGREES(ATAN2(-AM29,AL29)))</f>
        <v>-65.55548543282174</v>
      </c>
      <c r="AO29" s="582">
        <f t="shared" si="94"/>
        <v>28.78177929313599</v>
      </c>
      <c r="AP29" s="585">
        <f>IF(M29="","",DEGREES(ATAN2(AK29,AL29)))</f>
        <v>-26.569590956999601</v>
      </c>
      <c r="AQ29" s="586">
        <f t="shared" si="9"/>
        <v>0.57481108266269321</v>
      </c>
      <c r="AS29" s="52">
        <f t="shared" si="116"/>
        <v>-70.675141773341124</v>
      </c>
      <c r="AT29" s="72">
        <f t="shared" si="10"/>
        <v>-0.9012006849616877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2.2280000000000002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2.1280000000000001</v>
      </c>
      <c r="II29" s="734" cm="1">
        <f t="array" ref="II29">IFERROR(ROUND(VALUE(IF($IH29&lt;1,$IH29+LARGE((IF($M$9:$M$150="",0,$M$9:$M$150)-MOD(IF($M$9:$M$150="",0,$M$9:$M$150),1)),1),$IH29)),4),"")</f>
        <v>2.1280000000000001</v>
      </c>
      <c r="IJ29" s="533">
        <f t="shared" si="112"/>
        <v>1613</v>
      </c>
      <c r="IK29" s="533">
        <f t="shared" si="66"/>
        <v>1313</v>
      </c>
      <c r="IL29" s="727">
        <f t="shared" si="225"/>
        <v>12.735098161279268</v>
      </c>
      <c r="IM29" s="759">
        <v>5.4558712495950496E-3</v>
      </c>
      <c r="IN29" s="5">
        <f t="shared" si="226"/>
        <v>0.22</v>
      </c>
      <c r="IO29" s="771">
        <v>110</v>
      </c>
      <c r="IP29" s="9">
        <f t="shared" si="227"/>
        <v>-3.923811834216492</v>
      </c>
      <c r="IQ29" s="5">
        <f t="shared" si="228"/>
        <v>-0.97470293970406618</v>
      </c>
      <c r="IR29" s="5">
        <f t="shared" si="71"/>
        <v>0.314</v>
      </c>
      <c r="IS29" s="5">
        <f t="shared" si="229"/>
        <v>0.28691471264127483</v>
      </c>
      <c r="IT29" s="727">
        <f t="shared" si="230"/>
        <v>68.326674512858474</v>
      </c>
      <c r="IU29" s="9">
        <f t="shared" si="231"/>
        <v>-3.9659119611904741</v>
      </c>
      <c r="IV29" s="5">
        <f t="shared" si="232"/>
        <v>-0.95050286671664519</v>
      </c>
      <c r="IW29" s="5">
        <f t="shared" si="76"/>
        <v>0.26600000000000001</v>
      </c>
      <c r="IX29" s="5">
        <f t="shared" si="233"/>
        <v>0.23313831713553834</v>
      </c>
      <c r="IY29" s="762">
        <f t="shared" si="234"/>
        <v>65.55548543282174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19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120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90</v>
      </c>
    </row>
    <row r="30" spans="1:269" ht="15" customHeight="1" x14ac:dyDescent="0.25">
      <c r="A30" s="79"/>
      <c r="B30" s="707">
        <v>3.9372942089300809</v>
      </c>
      <c r="C30" s="708">
        <v>1.3223274667075386</v>
      </c>
      <c r="D30" s="709">
        <v>-1.7213051914564577</v>
      </c>
      <c r="E30" s="710">
        <v>0.29232258690629176</v>
      </c>
      <c r="F30" s="708">
        <v>0.95491804151860338</v>
      </c>
      <c r="G30" s="711">
        <v>5.1759435532941024E-2</v>
      </c>
      <c r="H30" s="710">
        <v>0.26600000000000001</v>
      </c>
      <c r="I30" s="708">
        <v>0.52</v>
      </c>
      <c r="J30" s="570">
        <v>2.2349999999999999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1313</v>
      </c>
      <c r="L30" s="320"/>
      <c r="M30" s="168">
        <f t="shared" si="1"/>
        <v>2.2349999999999999</v>
      </c>
      <c r="N30" s="632">
        <f t="shared" si="2"/>
        <v>3.9372942089300809</v>
      </c>
      <c r="O30" s="629">
        <f t="shared" si="3"/>
        <v>1.3223274667075386</v>
      </c>
      <c r="P30" s="633">
        <f t="shared" si="4"/>
        <v>-1.7213051914564577</v>
      </c>
      <c r="Q30" s="585">
        <f t="shared" si="113"/>
        <v>18.564458336447018</v>
      </c>
      <c r="R30" s="629">
        <f>IF(M30="","",SQRT(N30^2+O30^2))</f>
        <v>4.1534125266921809</v>
      </c>
      <c r="S30" s="634">
        <f>IF(M30="","",P30)</f>
        <v>-1.7213051914564577</v>
      </c>
      <c r="T30" s="635">
        <f>IF(M30="","",X30*COS(RADIANS(W30)))</f>
        <v>1.344296724927817</v>
      </c>
      <c r="U30" s="629">
        <f>IF(M30="","",X30*SIN(RADIANS(W30)))</f>
        <v>-3.9298475711192502</v>
      </c>
      <c r="V30" s="636">
        <f>IF(M30="","",Y30)</f>
        <v>-1.7213051914564577</v>
      </c>
      <c r="W30" s="585">
        <f t="shared" si="224"/>
        <v>288.88445829024477</v>
      </c>
      <c r="X30" s="629">
        <f>IF(M30="","",R30)</f>
        <v>4.1534125266921809</v>
      </c>
      <c r="Y30" s="630">
        <f t="shared" si="223"/>
        <v>-1.7213051914564577</v>
      </c>
      <c r="Z30" s="632">
        <f t="shared" si="6"/>
        <v>-0.29232258690629176</v>
      </c>
      <c r="AA30" s="629">
        <f t="shared" si="7"/>
        <v>-0.95491804151860338</v>
      </c>
      <c r="AB30" s="629">
        <f t="shared" si="8"/>
        <v>-5.1759435532941024E-2</v>
      </c>
      <c r="AC30" s="636">
        <f>IF(M30="","",SQRT(Z30^2+AA30^2+AB30^2))</f>
        <v>1</v>
      </c>
      <c r="AD30" s="637">
        <f>IF(M30="","",Z30*(1/SQRT(Z30^2+AA30^2+AB30^2)))</f>
        <v>-0.29232258690629176</v>
      </c>
      <c r="AE30" s="629">
        <f>IF(M30="","",AA30*(1/SQRT(Z30^2+AA30^2+AB30^2)))</f>
        <v>-0.95491804151860338</v>
      </c>
      <c r="AF30" s="633">
        <f>IF(M30="","",AB30*(1/SQRT(Z30^2+AA30^2+AB30^2)))</f>
        <v>-5.1759435532941024E-2</v>
      </c>
      <c r="AG30" s="602">
        <f>IF(M30="","",DEGREES(ATAN2(-AF30,AE30)))</f>
        <v>-86.897432124197167</v>
      </c>
      <c r="AH30" s="603">
        <f>IF(M30="","",DEGREES(ACOS(AD30)))</f>
        <v>106.99705719179032</v>
      </c>
      <c r="AI30" s="585">
        <f>IF(M30="","",DEGREES(-ACOS(-AF30)))</f>
        <v>-87.033077036558808</v>
      </c>
      <c r="AJ30" s="586">
        <f>IF(M30="","",DEGREES(ATAN2(-AE30,AD30)))</f>
        <v>-17.020566068496045</v>
      </c>
      <c r="AK30" s="635">
        <f>IF(M30="","",(COS(RADIANS((90-$Q$8)-W30))*AD30)+(-SIN(RADIANS((90-$Q$8)-W30))*AE30))</f>
        <v>0.81216278599596436</v>
      </c>
      <c r="AL30" s="629">
        <f>IF(M30="","",(SIN(RADIANS((90-$Q$8)-W30))*AD30)+(COS(RADIANS((90-$Q$8)-W30))*AE30))</f>
        <v>-0.58113042415329197</v>
      </c>
      <c r="AM30" s="634">
        <f>IF(M30="","",AF30)</f>
        <v>-5.1759435532941024E-2</v>
      </c>
      <c r="AN30" s="581">
        <f>IF(M30="","",DEGREES(ATAN2(-AM30,AL30)))</f>
        <v>-84.910277844218299</v>
      </c>
      <c r="AO30" s="582">
        <f>IF(ROUND(IF(M30="",0,DEGREES(ACOS(AK30))),4)=90,0,IF(M30="","",DEGREES(ACOS(AK30))))</f>
        <v>35.692217102490808</v>
      </c>
      <c r="AP30" s="585">
        <f>IF(M30="","",DEGREES(ATAN2(AK30,AL30)))</f>
        <v>-35.585024404943084</v>
      </c>
      <c r="AQ30" s="586">
        <f t="shared" si="9"/>
        <v>0.54886358694036752</v>
      </c>
      <c r="AS30" s="52">
        <f t="shared" si="116"/>
        <v>-71.115541709755234</v>
      </c>
      <c r="AT30" s="72">
        <f t="shared" si="10"/>
        <v>-1.6716971764123236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>Taper</v>
      </c>
      <c r="IF30" s="533" t="str">
        <f>IFERROR(IF((((($IW30*COS(RADIANS(180-$IY30)))*COS(RADIANS($IY30)))-(($IX30*SIN(RADIANS(180-$IY30)))*SIN(RADIANS($IY30))))+$IU30)&lt;(((Settings!$C$19+$IF$8)/2)*-1),"Gage",""),"")</f>
        <v>Gage</v>
      </c>
      <c r="IG30" s="847">
        <f t="shared" si="210"/>
        <v>2.2349999999999999</v>
      </c>
      <c r="IH30" s="731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2.1349999999999998</v>
      </c>
      <c r="II30" s="734" cm="1">
        <f t="array" ref="II30">IFERROR(ROUND(VALUE(IF($IH30&lt;1,$IH30+LARGE((IF($M$9:$M$150="",0,$M$9:$M$150)-MOD(IF($M$9:$M$150="",0,$M$9:$M$150),1)),1),$IH30)),4),"")</f>
        <v>2.1349999999999998</v>
      </c>
      <c r="IJ30" s="533">
        <f t="shared" si="112"/>
        <v>1613</v>
      </c>
      <c r="IK30" s="533">
        <f t="shared" si="66"/>
        <v>1313</v>
      </c>
      <c r="IL30" s="727">
        <f t="shared" si="225"/>
        <v>12.855498143895716</v>
      </c>
      <c r="IM30" s="759">
        <v>1.9313826206056599E-3</v>
      </c>
      <c r="IN30" s="5">
        <f t="shared" si="226"/>
        <v>0.08</v>
      </c>
      <c r="IO30" s="771">
        <v>40</v>
      </c>
      <c r="IP30" s="9">
        <f t="shared" si="227"/>
        <v>-4.1021123719709145</v>
      </c>
      <c r="IQ30" s="5">
        <f t="shared" si="228"/>
        <v>-1.7280052116637183</v>
      </c>
      <c r="IR30" s="5">
        <f t="shared" si="71"/>
        <v>0.314</v>
      </c>
      <c r="IS30" s="5">
        <f t="shared" si="229"/>
        <v>0.26961176427483269</v>
      </c>
      <c r="IT30" s="727">
        <f t="shared" si="230"/>
        <v>86.7324055993342</v>
      </c>
      <c r="IU30" s="9">
        <f t="shared" si="231"/>
        <v>-4.1534125266921809</v>
      </c>
      <c r="IV30" s="5">
        <f t="shared" si="232"/>
        <v>-1.7213051914564577</v>
      </c>
      <c r="IW30" s="5">
        <f t="shared" si="76"/>
        <v>0.26600000000000001</v>
      </c>
      <c r="IX30" s="5">
        <f t="shared" si="233"/>
        <v>0.21603530107492652</v>
      </c>
      <c r="IY30" s="762">
        <f t="shared" si="234"/>
        <v>84.910277844218299</v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13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200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4.0172830735242018</v>
      </c>
      <c r="C31" s="708">
        <v>1.027940328333502</v>
      </c>
      <c r="D31" s="709">
        <v>-2.5049075548011857</v>
      </c>
      <c r="E31" s="710">
        <v>0.96878740305962041</v>
      </c>
      <c r="F31" s="708">
        <v>0.24789305692767041</v>
      </c>
      <c r="G31" s="711">
        <v>2.2679489687616472E-7</v>
      </c>
      <c r="H31" s="710">
        <v>0.25700000000000001</v>
      </c>
      <c r="I31" s="708">
        <v>0.41499999999999992</v>
      </c>
      <c r="J31" s="570">
        <v>2.242</v>
      </c>
      <c r="K31" s="865" t="str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CPS-32193r1</v>
      </c>
      <c r="L31" s="320"/>
      <c r="M31" s="168">
        <f t="shared" si="1"/>
        <v>2.242</v>
      </c>
      <c r="N31" s="632">
        <f t="shared" si="2"/>
        <v>4.0172830735242018</v>
      </c>
      <c r="O31" s="629">
        <f t="shared" si="3"/>
        <v>1.027940328333502</v>
      </c>
      <c r="P31" s="633">
        <f t="shared" si="4"/>
        <v>-2.5049075548011857</v>
      </c>
      <c r="Q31" s="585">
        <f t="shared" si="113"/>
        <v>14.352856107836871</v>
      </c>
      <c r="R31" s="629">
        <f>IF(M31="","",SQRT(N31^2+O31^2))</f>
        <v>4.1467125064849197</v>
      </c>
      <c r="S31" s="634">
        <f>IF(M31="","",P31)</f>
        <v>-2.5049075548011857</v>
      </c>
      <c r="T31" s="635">
        <f>IF(M31="","",X31*COS(RADIANS(W31)))</f>
        <v>1.050360917633236</v>
      </c>
      <c r="U31" s="629">
        <f>IF(M31="","",X31*SIN(RADIANS(W31)))</f>
        <v>-4.0114793473414654</v>
      </c>
      <c r="V31" s="636">
        <f>IF(M31="","",Y31)</f>
        <v>-2.5049075548011857</v>
      </c>
      <c r="W31" s="585">
        <f t="shared" si="224"/>
        <v>284.6728560616346</v>
      </c>
      <c r="X31" s="629">
        <f>IF(M31="","",R31)</f>
        <v>4.1467125064849197</v>
      </c>
      <c r="Y31" s="630">
        <f t="shared" si="223"/>
        <v>-2.5049075548011857</v>
      </c>
      <c r="Z31" s="632">
        <f t="shared" si="6"/>
        <v>-0.96878740305962041</v>
      </c>
      <c r="AA31" s="629">
        <f t="shared" si="7"/>
        <v>-0.24789305692767041</v>
      </c>
      <c r="AB31" s="629">
        <f t="shared" si="8"/>
        <v>-2.2679489687616472E-7</v>
      </c>
      <c r="AC31" s="636">
        <f>IF(M31="","",SQRT(Z31^2+AA31^2+AB31^2))</f>
        <v>1</v>
      </c>
      <c r="AD31" s="637">
        <f>IF(M31="","",Z31*(1/SQRT(Z31^2+AA31^2+AB31^2)))</f>
        <v>-0.96878740305962041</v>
      </c>
      <c r="AE31" s="629">
        <f>IF(M31="","",AA31*(1/SQRT(Z31^2+AA31^2+AB31^2)))</f>
        <v>-0.24789305692767041</v>
      </c>
      <c r="AF31" s="633">
        <f>IF(M31="","",AB31*(1/SQRT(Z31^2+AA31^2+AB31^2)))</f>
        <v>-2.2679489687616472E-7</v>
      </c>
      <c r="AG31" s="602">
        <f>IF(M31="","",DEGREES(ATAN2(-AF31,AE31)))</f>
        <v>-89.99994758066012</v>
      </c>
      <c r="AH31" s="603">
        <f>IF(M31="","",DEGREES(ACOS(AD31)))</f>
        <v>165.64713089776697</v>
      </c>
      <c r="AI31" s="585">
        <f>IF(M31="","",DEGREES(-ACOS(-AF31)))</f>
        <v>-89.999987005609597</v>
      </c>
      <c r="AJ31" s="586">
        <f>IF(M31="","",DEGREES(ATAN2(-AE31,AD31)))</f>
        <v>-75.647130897772726</v>
      </c>
      <c r="AK31" s="635">
        <f>IF(M31="","",(COS(RADIANS((90-$Q$8)-W31))*AD31)+(-SIN(RADIANS((90-$Q$8)-W31))*AE31))</f>
        <v>2.267948964462807E-7</v>
      </c>
      <c r="AL31" s="629">
        <f>IF(M31="","",(SIN(RADIANS((90-$Q$8)-W31))*AD31)+(COS(RADIANS((90-$Q$8)-W31))*AE31))</f>
        <v>-0.99999999999994871</v>
      </c>
      <c r="AM31" s="634">
        <f>IF(M31="","",AF31)</f>
        <v>-2.2679489687616472E-7</v>
      </c>
      <c r="AN31" s="581">
        <f>IF(M31="","",DEGREES(ATAN2(-AM31,AL31)))</f>
        <v>-89.999987005609597</v>
      </c>
      <c r="AO31" s="582">
        <f t="shared" si="94"/>
        <v>0</v>
      </c>
      <c r="AP31" s="585">
        <f>IF(M31="","",DEGREES(ATAN2(AK31,AL31)))</f>
        <v>-89.999987005609626</v>
      </c>
      <c r="AQ31" s="586">
        <f t="shared" si="9"/>
        <v>0.54975035485643264</v>
      </c>
      <c r="AS31" s="52">
        <f t="shared" si="116"/>
        <v>-75.327143938365396</v>
      </c>
      <c r="AT31" s="72">
        <f t="shared" si="10"/>
        <v>-2.4523748159871834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>Taper</v>
      </c>
      <c r="IF31" s="533" t="str">
        <f>IFERROR(IF((((($IW31*COS(RADIANS(180-$IY31)))*COS(RADIANS($IY31)))-(($IX31*SIN(RADIANS(180-$IY31)))*SIN(RADIANS($IY31))))+$IU31)&lt;(((Settings!$C$19+$IF$8)/2)*-1),"Gage",""),"")</f>
        <v>Gage</v>
      </c>
      <c r="IG31" s="847">
        <f t="shared" si="210"/>
        <v>2.242</v>
      </c>
      <c r="IH31" s="731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2.1419999999999999</v>
      </c>
      <c r="II31" s="734" cm="1">
        <f t="array" ref="II31">IFERROR(ROUND(VALUE(IF($IH31&lt;1,$IH31+LARGE((IF($M$9:$M$150="",0,$M$9:$M$150)-MOD(IF($M$9:$M$150="",0,$M$9:$M$150),1)),1),$IH31)),4),"")</f>
        <v>2.1419999999999999</v>
      </c>
      <c r="IJ31" s="533">
        <f t="shared" si="112"/>
        <v>1613</v>
      </c>
      <c r="IK31" s="533" t="str">
        <f t="shared" si="66"/>
        <v>CPS-32193r1</v>
      </c>
      <c r="IL31" s="727">
        <f t="shared" si="225"/>
        <v>17.007100381168755</v>
      </c>
      <c r="IM31" s="759">
        <v>2.2442727449792E-4</v>
      </c>
      <c r="IN31" s="5">
        <f t="shared" si="226"/>
        <v>0</v>
      </c>
      <c r="IO31" s="771">
        <v>0</v>
      </c>
      <c r="IP31" s="9">
        <f t="shared" si="227"/>
        <v>-4.1311124594351778</v>
      </c>
      <c r="IQ31" s="5">
        <f t="shared" si="228"/>
        <v>-2.4987075361019286</v>
      </c>
      <c r="IR31" s="5">
        <f t="shared" si="71"/>
        <v>0.314</v>
      </c>
      <c r="IS31" s="5">
        <f t="shared" si="229"/>
        <v>0.27193198865724588</v>
      </c>
      <c r="IT31" s="727">
        <f t="shared" si="230"/>
        <v>89.999987005609611</v>
      </c>
      <c r="IU31" s="9">
        <f t="shared" si="231"/>
        <v>-4.1467125064849197</v>
      </c>
      <c r="IV31" s="5">
        <f t="shared" si="232"/>
        <v>-2.5049075548011857</v>
      </c>
      <c r="IW31" s="5">
        <f t="shared" si="76"/>
        <v>0.25700000000000001</v>
      </c>
      <c r="IX31" s="5">
        <f t="shared" si="233"/>
        <v>0.25700000000000001</v>
      </c>
      <c r="IY31" s="762">
        <f t="shared" si="234"/>
        <v>89.999987005609597</v>
      </c>
    </row>
    <row r="32" spans="1:269" ht="15" customHeight="1" x14ac:dyDescent="0.25">
      <c r="A32" s="79"/>
      <c r="B32" s="707">
        <v>0.80054100788138427</v>
      </c>
      <c r="C32" s="708">
        <v>-0.22955199465047293</v>
      </c>
      <c r="D32" s="709">
        <v>-0.4097012356589268</v>
      </c>
      <c r="E32" s="710">
        <v>0.20185354387626053</v>
      </c>
      <c r="F32" s="708">
        <v>0.94697157464841875</v>
      </c>
      <c r="G32" s="711">
        <v>0.24999996726497567</v>
      </c>
      <c r="H32" s="710">
        <v>0.314</v>
      </c>
      <c r="I32" s="708">
        <v>0.52</v>
      </c>
      <c r="J32" s="570">
        <v>3.1030000000000002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3.1030000000000002</v>
      </c>
      <c r="N32" s="632">
        <f t="shared" si="2"/>
        <v>0.80054100788138427</v>
      </c>
      <c r="O32" s="629">
        <f t="shared" si="3"/>
        <v>-0.22955199465047293</v>
      </c>
      <c r="P32" s="633">
        <f t="shared" si="4"/>
        <v>-0.4097012356589268</v>
      </c>
      <c r="Q32" s="585">
        <f t="shared" si="113"/>
        <v>343.99996332694263</v>
      </c>
      <c r="R32" s="629">
        <f t="shared" si="79"/>
        <v>0.83280251173237541</v>
      </c>
      <c r="S32" s="634">
        <f t="shared" si="80"/>
        <v>-0.4097012356589268</v>
      </c>
      <c r="T32" s="635">
        <f t="shared" si="81"/>
        <v>-0.22507737391991228</v>
      </c>
      <c r="U32" s="629">
        <f t="shared" si="82"/>
        <v>-0.80181057569545011</v>
      </c>
      <c r="V32" s="636">
        <f t="shared" si="114"/>
        <v>-0.4097012356589268</v>
      </c>
      <c r="W32" s="585">
        <f t="shared" si="224"/>
        <v>254.31996328074035</v>
      </c>
      <c r="X32" s="629">
        <f t="shared" si="83"/>
        <v>0.83280251173237541</v>
      </c>
      <c r="Y32" s="630">
        <f t="shared" si="223"/>
        <v>-0.4097012356589268</v>
      </c>
      <c r="Z32" s="632">
        <f t="shared" si="6"/>
        <v>-0.20185354387626053</v>
      </c>
      <c r="AA32" s="629">
        <f t="shared" si="7"/>
        <v>-0.94697157464841875</v>
      </c>
      <c r="AB32" s="629">
        <f t="shared" si="8"/>
        <v>-0.24999996726497567</v>
      </c>
      <c r="AC32" s="636">
        <f t="shared" si="84"/>
        <v>1</v>
      </c>
      <c r="AD32" s="637">
        <f t="shared" si="115"/>
        <v>-0.20185354387626053</v>
      </c>
      <c r="AE32" s="629">
        <f t="shared" si="85"/>
        <v>-0.94697157464841875</v>
      </c>
      <c r="AF32" s="633">
        <f t="shared" si="86"/>
        <v>-0.24999996726497567</v>
      </c>
      <c r="AG32" s="602">
        <f t="shared" si="87"/>
        <v>-75.2113522756256</v>
      </c>
      <c r="AH32" s="603">
        <f t="shared" si="88"/>
        <v>101.64537020065387</v>
      </c>
      <c r="AI32" s="585">
        <f t="shared" si="89"/>
        <v>-75.522489751159455</v>
      </c>
      <c r="AJ32" s="586">
        <f t="shared" si="90"/>
        <v>-12.032907027970774</v>
      </c>
      <c r="AK32" s="635">
        <f t="shared" si="211"/>
        <v>0.96592583607220739</v>
      </c>
      <c r="AL32" s="629">
        <f t="shared" si="91"/>
        <v>6.6987279208207268E-2</v>
      </c>
      <c r="AM32" s="634">
        <f t="shared" si="92"/>
        <v>-0.24999996726497567</v>
      </c>
      <c r="AN32" s="581">
        <f t="shared" si="93"/>
        <v>14.99999783426828</v>
      </c>
      <c r="AO32" s="582">
        <f t="shared" si="94"/>
        <v>14.999997834268255</v>
      </c>
      <c r="AP32" s="585">
        <f t="shared" si="95"/>
        <v>3.9671296450865761</v>
      </c>
      <c r="AQ32" s="586">
        <f t="shared" si="9"/>
        <v>2.7353356624579113</v>
      </c>
      <c r="AS32" s="52">
        <f t="shared" si="116"/>
        <v>-105.68003671925965</v>
      </c>
      <c r="AT32" s="72">
        <f t="shared" si="10"/>
        <v>-0.33609009908041476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3.1030000000000002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1.5068781027315779</v>
      </c>
      <c r="C33" s="708">
        <v>-0.43209138666436286</v>
      </c>
      <c r="D33" s="709">
        <v>-0.21280064180673569</v>
      </c>
      <c r="E33" s="710">
        <v>0.20185354387626059</v>
      </c>
      <c r="F33" s="708">
        <v>0.94697157464841875</v>
      </c>
      <c r="G33" s="711">
        <v>0.24999996726497567</v>
      </c>
      <c r="H33" s="710">
        <v>0.314</v>
      </c>
      <c r="I33" s="708">
        <v>0.52</v>
      </c>
      <c r="J33" s="570">
        <v>3.1059999999999999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3.1059999999999999</v>
      </c>
      <c r="N33" s="632">
        <f t="shared" si="2"/>
        <v>1.5068781027315779</v>
      </c>
      <c r="O33" s="629">
        <f t="shared" si="3"/>
        <v>-0.43209138666436286</v>
      </c>
      <c r="P33" s="633">
        <f t="shared" si="4"/>
        <v>-0.21280064180673569</v>
      </c>
      <c r="Q33" s="585">
        <f t="shared" si="113"/>
        <v>343.99996332694263</v>
      </c>
      <c r="R33" s="629">
        <f t="shared" si="79"/>
        <v>1.5676047278958596</v>
      </c>
      <c r="S33" s="634">
        <f t="shared" si="80"/>
        <v>-0.21280064180673569</v>
      </c>
      <c r="T33" s="635">
        <f t="shared" si="81"/>
        <v>-0.42366869759468601</v>
      </c>
      <c r="U33" s="629">
        <f t="shared" si="82"/>
        <v>-1.5092678415708307</v>
      </c>
      <c r="V33" s="636">
        <f t="shared" si="114"/>
        <v>-0.21280064180673569</v>
      </c>
      <c r="W33" s="585">
        <f t="shared" si="224"/>
        <v>254.31996328074035</v>
      </c>
      <c r="X33" s="629">
        <f t="shared" si="83"/>
        <v>1.5676047278958596</v>
      </c>
      <c r="Y33" s="630">
        <f t="shared" si="223"/>
        <v>-0.21280064180673569</v>
      </c>
      <c r="Z33" s="632">
        <f t="shared" si="6"/>
        <v>-0.20185354387626059</v>
      </c>
      <c r="AA33" s="629">
        <f t="shared" si="7"/>
        <v>-0.94697157464841875</v>
      </c>
      <c r="AB33" s="629">
        <f t="shared" si="8"/>
        <v>-0.24999996726497567</v>
      </c>
      <c r="AC33" s="636">
        <f t="shared" si="84"/>
        <v>1</v>
      </c>
      <c r="AD33" s="637">
        <f t="shared" si="115"/>
        <v>-0.20185354387626059</v>
      </c>
      <c r="AE33" s="629">
        <f t="shared" si="85"/>
        <v>-0.94697157464841875</v>
      </c>
      <c r="AF33" s="633">
        <f t="shared" si="86"/>
        <v>-0.24999996726497567</v>
      </c>
      <c r="AG33" s="602">
        <f t="shared" si="87"/>
        <v>-75.2113522756256</v>
      </c>
      <c r="AH33" s="603">
        <f t="shared" si="88"/>
        <v>101.64537020065387</v>
      </c>
      <c r="AI33" s="585">
        <f t="shared" si="89"/>
        <v>-75.522489751159455</v>
      </c>
      <c r="AJ33" s="586">
        <f t="shared" si="90"/>
        <v>-12.032907027970776</v>
      </c>
      <c r="AK33" s="635">
        <f t="shared" si="211"/>
        <v>0.96592583607220739</v>
      </c>
      <c r="AL33" s="629">
        <f t="shared" si="91"/>
        <v>6.698727920820724E-2</v>
      </c>
      <c r="AM33" s="634">
        <f t="shared" si="92"/>
        <v>-0.24999996726497567</v>
      </c>
      <c r="AN33" s="581">
        <f t="shared" si="93"/>
        <v>14.999997834268274</v>
      </c>
      <c r="AO33" s="582">
        <f t="shared" si="94"/>
        <v>14.999997834268255</v>
      </c>
      <c r="AP33" s="585">
        <f t="shared" si="95"/>
        <v>3.9671296450865734</v>
      </c>
      <c r="AQ33" s="586">
        <f t="shared" si="9"/>
        <v>1.4539617146153991</v>
      </c>
      <c r="AS33" s="52">
        <f t="shared" si="116"/>
        <v>-105.68003671925965</v>
      </c>
      <c r="AT33" s="72">
        <f t="shared" si="10"/>
        <v>-0.13918950522822363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3.1059999999999999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2.2322476993339238</v>
      </c>
      <c r="C34" s="708">
        <v>-0.64515094081869317</v>
      </c>
      <c r="D34" s="709">
        <v>-4.7800144165234808E-2</v>
      </c>
      <c r="E34" s="710">
        <v>0.29307934142125125</v>
      </c>
      <c r="F34" s="708">
        <v>0.92041431563861453</v>
      </c>
      <c r="G34" s="711">
        <v>0.25873149634241749</v>
      </c>
      <c r="H34" s="710">
        <v>0.314</v>
      </c>
      <c r="I34" s="708">
        <v>0.52</v>
      </c>
      <c r="J34" s="570">
        <v>3.1110000000000002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3.1110000000000002</v>
      </c>
      <c r="N34" s="632">
        <f t="shared" si="2"/>
        <v>2.2322476993339238</v>
      </c>
      <c r="O34" s="629">
        <f t="shared" si="3"/>
        <v>-0.64515094081869317</v>
      </c>
      <c r="P34" s="633">
        <f t="shared" si="4"/>
        <v>-4.7800144165234808E-2</v>
      </c>
      <c r="Q34" s="585">
        <f t="shared" si="113"/>
        <v>343.8799633442685</v>
      </c>
      <c r="R34" s="629">
        <f>IF(M34="","",SQRT(N34^2+O34^2))</f>
        <v>2.3236070079987363</v>
      </c>
      <c r="S34" s="634">
        <f>IF(M34="","",P34)</f>
        <v>-4.7800144165234808E-2</v>
      </c>
      <c r="T34" s="635">
        <f>IF(M34="","",X34*COS(RADIANS(W34)))</f>
        <v>-0.63267372235900976</v>
      </c>
      <c r="U34" s="629">
        <f>IF(M34="","",X34*SIN(RADIANS(W34)))</f>
        <v>-2.2358160677160441</v>
      </c>
      <c r="V34" s="636">
        <f>IF(M34="","",Y34)</f>
        <v>-4.7800144165234808E-2</v>
      </c>
      <c r="W34" s="585">
        <f t="shared" si="224"/>
        <v>254.19996329806622</v>
      </c>
      <c r="X34" s="629">
        <f>IF(M34="","",R34)</f>
        <v>2.3236070079987363</v>
      </c>
      <c r="Y34" s="630">
        <f t="shared" si="223"/>
        <v>-4.7800144165234808E-2</v>
      </c>
      <c r="Z34" s="632">
        <f t="shared" si="6"/>
        <v>-0.29307934142125125</v>
      </c>
      <c r="AA34" s="629">
        <f t="shared" si="7"/>
        <v>-0.92041431563861453</v>
      </c>
      <c r="AB34" s="629">
        <f t="shared" si="8"/>
        <v>-0.25873149634241749</v>
      </c>
      <c r="AC34" s="636">
        <f>IF(M34="","",SQRT(Z34^2+AA34^2+AB34^2))</f>
        <v>1</v>
      </c>
      <c r="AD34" s="637">
        <f>IF(M34="","",Z34*(1/SQRT(Z34^2+AA34^2+AB34^2)))</f>
        <v>-0.29307934142125125</v>
      </c>
      <c r="AE34" s="629">
        <f>IF(M34="","",AA34*(1/SQRT(Z34^2+AA34^2+AB34^2)))</f>
        <v>-0.92041431563861453</v>
      </c>
      <c r="AF34" s="633">
        <f>IF(M34="","",AB34*(1/SQRT(Z34^2+AA34^2+AB34^2)))</f>
        <v>-0.25873149634241749</v>
      </c>
      <c r="AG34" s="602">
        <f>IF(M34="","",DEGREES(ATAN2(-AF34,AE34)))</f>
        <v>-74.299151922335824</v>
      </c>
      <c r="AH34" s="603">
        <f>IF(M34="","",DEGREES(ACOS(AD34)))</f>
        <v>107.04240195081393</v>
      </c>
      <c r="AI34" s="585">
        <f>IF(M34="","",DEGREES(-ACOS(-AF34)))</f>
        <v>-75.005193062878703</v>
      </c>
      <c r="AJ34" s="586">
        <f>IF(M34="","",DEGREES(ATAN2(-AE34,AD34)))</f>
        <v>-17.66257296406749</v>
      </c>
      <c r="AK34" s="635">
        <f>IF(M34="","",(COS(RADIANS((90-$Q$8)-W34))*AD34)+(-SIN(RADIANS((90-$Q$8)-W34))*AE34))</f>
        <v>0.96559923586354091</v>
      </c>
      <c r="AL34" s="629">
        <f>IF(M34="","",(SIN(RADIANS((90-$Q$8)-W34))*AD34)+(COS(RADIANS((90-$Q$8)-W34))*AE34))</f>
        <v>-2.6002471039489994E-2</v>
      </c>
      <c r="AM34" s="634">
        <f>IF(M34="","",AF34)</f>
        <v>-0.25873149634241749</v>
      </c>
      <c r="AN34" s="581">
        <f>IF(M34="","",DEGREES(ATAN2(-AM34,AL34)))</f>
        <v>-5.7389462568677203</v>
      </c>
      <c r="AO34" s="582">
        <f t="shared" si="94"/>
        <v>15.072129172541885</v>
      </c>
      <c r="AP34" s="585">
        <f>IF(M34="","",DEGREES(ATAN2(AK34,AL34)))</f>
        <v>-1.5425363083359778</v>
      </c>
      <c r="AQ34" s="586">
        <f t="shared" si="9"/>
        <v>0.98101952788597202</v>
      </c>
      <c r="AS34" s="52">
        <f t="shared" si="116"/>
        <v>-105.80003670193378</v>
      </c>
      <c r="AT34" s="72">
        <f t="shared" si="10"/>
        <v>2.5894325734578734E-2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3.1110000000000002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2.9964308162671962</v>
      </c>
      <c r="C35" s="708">
        <v>-0.91495932796393209</v>
      </c>
      <c r="D35" s="709">
        <v>-0.20343061354673048</v>
      </c>
      <c r="E35" s="710">
        <v>0.43880632650047768</v>
      </c>
      <c r="F35" s="708">
        <v>0.87293284875023591</v>
      </c>
      <c r="G35" s="711">
        <v>0.21316014964329971</v>
      </c>
      <c r="H35" s="710">
        <v>0.314</v>
      </c>
      <c r="I35" s="708">
        <v>0.52</v>
      </c>
      <c r="J35" s="570">
        <v>3.1179999999999999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3.1179999999999999</v>
      </c>
      <c r="N35" s="632">
        <f t="shared" si="2"/>
        <v>2.9964308162671962</v>
      </c>
      <c r="O35" s="629">
        <f t="shared" si="3"/>
        <v>-0.91495932796393209</v>
      </c>
      <c r="P35" s="633">
        <f t="shared" si="4"/>
        <v>-0.20343061354673048</v>
      </c>
      <c r="Q35" s="585">
        <f t="shared" si="113"/>
        <v>343.01996346843714</v>
      </c>
      <c r="R35" s="629">
        <f>IF(M35="","",SQRT(N35^2+O35^2))</f>
        <v>3.1330094491564986</v>
      </c>
      <c r="S35" s="634">
        <f>IF(M35="","",P35)</f>
        <v>-0.20343061354673048</v>
      </c>
      <c r="T35" s="635">
        <f>IF(M35="","",X35*COS(RADIANS(W35)))</f>
        <v>-0.89820992060519178</v>
      </c>
      <c r="U35" s="629">
        <f>IF(M35="","",X35*SIN(RADIANS(W35)))</f>
        <v>-3.0014941524231431</v>
      </c>
      <c r="V35" s="636">
        <f>IF(M35="","",Y35)</f>
        <v>-0.20343061354673048</v>
      </c>
      <c r="W35" s="585">
        <f t="shared" si="224"/>
        <v>253.33996342223486</v>
      </c>
      <c r="X35" s="629">
        <f>IF(M35="","",R35)</f>
        <v>3.1330094491564986</v>
      </c>
      <c r="Y35" s="630">
        <f t="shared" si="223"/>
        <v>-0.20343061354673048</v>
      </c>
      <c r="Z35" s="632">
        <f t="shared" si="6"/>
        <v>-0.43880632650047768</v>
      </c>
      <c r="AA35" s="629">
        <f t="shared" si="7"/>
        <v>-0.87293284875023591</v>
      </c>
      <c r="AB35" s="629">
        <f t="shared" si="8"/>
        <v>-0.21316014964329971</v>
      </c>
      <c r="AC35" s="636">
        <f>IF(M35="","",SQRT(Z35^2+AA35^2+AB35^2))</f>
        <v>1</v>
      </c>
      <c r="AD35" s="637">
        <f>IF(M35="","",Z35*(1/SQRT(Z35^2+AA35^2+AB35^2)))</f>
        <v>-0.43880632650047768</v>
      </c>
      <c r="AE35" s="629">
        <f>IF(M35="","",AA35*(1/SQRT(Z35^2+AA35^2+AB35^2)))</f>
        <v>-0.87293284875023591</v>
      </c>
      <c r="AF35" s="633">
        <f>IF(M35="","",AB35*(1/SQRT(Z35^2+AA35^2+AB35^2)))</f>
        <v>-0.21316014964329971</v>
      </c>
      <c r="AG35" s="602">
        <f>IF(M35="","",DEGREES(ATAN2(-AF35,AE35)))</f>
        <v>-76.277571026204072</v>
      </c>
      <c r="AH35" s="603">
        <f>IF(M35="","",DEGREES(ACOS(AD35)))</f>
        <v>116.02774485062368</v>
      </c>
      <c r="AI35" s="585">
        <f>IF(M35="","",DEGREES(-ACOS(-AF35)))</f>
        <v>-77.692390323226945</v>
      </c>
      <c r="AJ35" s="586">
        <f>IF(M35="","",DEGREES(ATAN2(-AE35,AD35)))</f>
        <v>-26.687784758800131</v>
      </c>
      <c r="AK35" s="635">
        <f>IF(M35="","",(COS(RADIANS((90-$Q$8)-W35))*AD35)+(-SIN(RADIANS((90-$Q$8)-W35))*AE35))</f>
        <v>0.96302704447336795</v>
      </c>
      <c r="AL35" s="629">
        <f>IF(M35="","",(SIN(RADIANS((90-$Q$8)-W35))*AD35)+(COS(RADIANS((90-$Q$8)-W35))*AE35))</f>
        <v>-0.16474726770704284</v>
      </c>
      <c r="AM35" s="634">
        <f>IF(M35="","",AF35)</f>
        <v>-0.21316014964329971</v>
      </c>
      <c r="AN35" s="581">
        <f>IF(M35="","",DEGREES(ATAN2(-AM35,AL35)))</f>
        <v>-37.699727733917129</v>
      </c>
      <c r="AO35" s="582">
        <f t="shared" si="94"/>
        <v>15.628848236464885</v>
      </c>
      <c r="AP35" s="585">
        <f>IF(M35="","",DEGREES(ATAN2(AK35,AL35)))</f>
        <v>-9.7077482272372695</v>
      </c>
      <c r="AQ35" s="586">
        <f t="shared" si="9"/>
        <v>0.72760842828161776</v>
      </c>
      <c r="AS35" s="52">
        <f t="shared" si="116"/>
        <v>-106.66003657776514</v>
      </c>
      <c r="AT35" s="72">
        <f t="shared" si="10"/>
        <v>-0.12913892151092293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3.1179999999999999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3.5618690210738424</v>
      </c>
      <c r="C36" s="708">
        <v>-1.1538884024856937</v>
      </c>
      <c r="D36" s="709">
        <v>-0.69080208345908378</v>
      </c>
      <c r="E36" s="710">
        <v>0.58296205435086823</v>
      </c>
      <c r="F36" s="708">
        <v>0.79276195647392911</v>
      </c>
      <c r="G36" s="711">
        <v>0.17799922346640643</v>
      </c>
      <c r="H36" s="710">
        <v>0.314</v>
      </c>
      <c r="I36" s="708">
        <v>0.52</v>
      </c>
      <c r="J36" s="570">
        <v>3.125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3.125</v>
      </c>
      <c r="N36" s="632">
        <f t="shared" si="2"/>
        <v>3.5618690210738424</v>
      </c>
      <c r="O36" s="629">
        <f t="shared" si="3"/>
        <v>-1.1538884024856937</v>
      </c>
      <c r="P36" s="633">
        <f t="shared" si="4"/>
        <v>-0.69080208345908378</v>
      </c>
      <c r="Q36" s="585">
        <f t="shared" si="113"/>
        <v>342.04996360848776</v>
      </c>
      <c r="R36" s="629">
        <f>IF(M36="","",SQRT(N36^2+O36^2))</f>
        <v>3.7441112922396576</v>
      </c>
      <c r="S36" s="634">
        <f>IF(M36="","",P36)</f>
        <v>-0.69080208345908378</v>
      </c>
      <c r="T36" s="635">
        <f>IF(M36="","",X36*COS(RADIANS(W36)))</f>
        <v>-1.1339772828902803</v>
      </c>
      <c r="U36" s="629">
        <f>IF(M36="","",X36*SIN(RADIANS(W36)))</f>
        <v>-3.5682579630073405</v>
      </c>
      <c r="V36" s="636">
        <f>IF(M36="","",Y36)</f>
        <v>-0.69080208345908378</v>
      </c>
      <c r="W36" s="585">
        <f t="shared" si="224"/>
        <v>252.36996356228548</v>
      </c>
      <c r="X36" s="629">
        <f>IF(M36="","",R36)</f>
        <v>3.7441112922396576</v>
      </c>
      <c r="Y36" s="630">
        <f t="shared" si="223"/>
        <v>-0.69080208345908378</v>
      </c>
      <c r="Z36" s="632">
        <f t="shared" si="6"/>
        <v>-0.58296205435086823</v>
      </c>
      <c r="AA36" s="629">
        <f t="shared" si="7"/>
        <v>-0.79276195647392911</v>
      </c>
      <c r="AB36" s="629">
        <f t="shared" si="8"/>
        <v>-0.17799922346640643</v>
      </c>
      <c r="AC36" s="636">
        <f>IF(M36="","",SQRT(Z36^2+AA36^2+AB36^2))</f>
        <v>1</v>
      </c>
      <c r="AD36" s="637">
        <f>IF(M36="","",Z36*(1/SQRT(Z36^2+AA36^2+AB36^2)))</f>
        <v>-0.58296205435086823</v>
      </c>
      <c r="AE36" s="629">
        <f>IF(M36="","",AA36*(1/SQRT(Z36^2+AA36^2+AB36^2)))</f>
        <v>-0.79276195647392911</v>
      </c>
      <c r="AF36" s="633">
        <f>IF(M36="","",AB36*(1/SQRT(Z36^2+AA36^2+AB36^2)))</f>
        <v>-0.17799922346640643</v>
      </c>
      <c r="AG36" s="602">
        <f>IF(M36="","",DEGREES(ATAN2(-AF36,AE36)))</f>
        <v>-77.345224271334331</v>
      </c>
      <c r="AH36" s="603">
        <f>IF(M36="","",DEGREES(ACOS(AD36)))</f>
        <v>125.65914859066768</v>
      </c>
      <c r="AI36" s="585">
        <f>IF(M36="","",DEGREES(-ACOS(-AF36)))</f>
        <v>-79.746758131736769</v>
      </c>
      <c r="AJ36" s="586">
        <f>IF(M36="","",DEGREES(ATAN2(-AE36,AD36)))</f>
        <v>-36.329117531872981</v>
      </c>
      <c r="AK36" s="635">
        <f>IF(M36="","",(COS(RADIANS((90-$Q$8)-W36))*AD36)+(-SIN(RADIANS((90-$Q$8)-W36))*AE36))</f>
        <v>0.93383639922829487</v>
      </c>
      <c r="AL36" s="629">
        <f>IF(M36="","",(SIN(RADIANS((90-$Q$8)-W36))*AD36)+(COS(RADIANS((90-$Q$8)-W36))*AE36))</f>
        <v>-0.31026739422905736</v>
      </c>
      <c r="AM36" s="634">
        <f>IF(M36="","",AF36)</f>
        <v>-0.17799922346640643</v>
      </c>
      <c r="AN36" s="581">
        <f>IF(M36="","",DEGREES(ATAN2(-AM36,AL36)))</f>
        <v>-60.157270725631072</v>
      </c>
      <c r="AO36" s="582">
        <f t="shared" si="94"/>
        <v>20.959036992902302</v>
      </c>
      <c r="AP36" s="585">
        <f>IF(M36="","",DEGREES(ATAN2(AK36,AL36)))</f>
        <v>-18.37908114036075</v>
      </c>
      <c r="AQ36" s="586">
        <f t="shared" si="9"/>
        <v>0.60886032509884103</v>
      </c>
      <c r="AS36" s="52">
        <f t="shared" si="116"/>
        <v>-107.63003643771452</v>
      </c>
      <c r="AT36" s="72">
        <f t="shared" si="10"/>
        <v>-0.61583678040942247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3.125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3.8581940306193188</v>
      </c>
      <c r="C37" s="708">
        <v>-1.2924340981337576</v>
      </c>
      <c r="D37" s="709">
        <v>-1.3962042109519004</v>
      </c>
      <c r="E37" s="710">
        <v>0.71640852219087126</v>
      </c>
      <c r="F37" s="708">
        <v>0.69187877436055434</v>
      </c>
      <c r="G37" s="711">
        <v>8.9791931272409586E-2</v>
      </c>
      <c r="H37" s="710">
        <v>0.314</v>
      </c>
      <c r="I37" s="708">
        <v>0.52</v>
      </c>
      <c r="J37" s="570">
        <v>3.1320000000000001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3.1320000000000001</v>
      </c>
      <c r="N37" s="632">
        <f t="shared" si="2"/>
        <v>3.8581940306193188</v>
      </c>
      <c r="O37" s="629">
        <f t="shared" si="3"/>
        <v>-1.2924340981337576</v>
      </c>
      <c r="P37" s="633">
        <f t="shared" si="4"/>
        <v>-1.3962042109519004</v>
      </c>
      <c r="Q37" s="585">
        <f t="shared" si="113"/>
        <v>341.47996369078561</v>
      </c>
      <c r="R37" s="629">
        <f t="shared" si="79"/>
        <v>4.0689122718394115</v>
      </c>
      <c r="S37" s="634">
        <f t="shared" si="80"/>
        <v>-1.3962042109519004</v>
      </c>
      <c r="T37" s="635">
        <f t="shared" si="81"/>
        <v>-1.2708658355085332</v>
      </c>
      <c r="U37" s="629">
        <f t="shared" si="82"/>
        <v>-3.8653521319619197</v>
      </c>
      <c r="V37" s="636">
        <f t="shared" si="114"/>
        <v>-1.3962042109519004</v>
      </c>
      <c r="W37" s="585">
        <f t="shared" si="224"/>
        <v>251.79996364458333</v>
      </c>
      <c r="X37" s="629">
        <f t="shared" si="83"/>
        <v>4.0689122718394115</v>
      </c>
      <c r="Y37" s="630">
        <f t="shared" si="223"/>
        <v>-1.3962042109519004</v>
      </c>
      <c r="Z37" s="632">
        <f t="shared" si="6"/>
        <v>-0.71640852219087126</v>
      </c>
      <c r="AA37" s="629">
        <f t="shared" si="7"/>
        <v>-0.69187877436055434</v>
      </c>
      <c r="AB37" s="629">
        <f t="shared" si="8"/>
        <v>-8.9791931272409586E-2</v>
      </c>
      <c r="AC37" s="636">
        <f t="shared" si="84"/>
        <v>1</v>
      </c>
      <c r="AD37" s="637">
        <f t="shared" si="115"/>
        <v>-0.71640852219087126</v>
      </c>
      <c r="AE37" s="629">
        <f t="shared" si="85"/>
        <v>-0.69187877436055434</v>
      </c>
      <c r="AF37" s="633">
        <f t="shared" si="86"/>
        <v>-8.9791931272409586E-2</v>
      </c>
      <c r="AG37" s="602">
        <f t="shared" si="87"/>
        <v>-82.605491629510311</v>
      </c>
      <c r="AH37" s="603">
        <f t="shared" si="88"/>
        <v>135.7587518999737</v>
      </c>
      <c r="AI37" s="585">
        <f t="shared" si="89"/>
        <v>-84.848362833409979</v>
      </c>
      <c r="AJ37" s="586">
        <f t="shared" si="90"/>
        <v>-45.997885103746178</v>
      </c>
      <c r="AK37" s="635">
        <f t="shared" si="211"/>
        <v>0.88360552384135904</v>
      </c>
      <c r="AL37" s="629">
        <f t="shared" si="91"/>
        <v>-0.45954182324942783</v>
      </c>
      <c r="AM37" s="634">
        <f t="shared" si="92"/>
        <v>-8.9791931272409586E-2</v>
      </c>
      <c r="AN37" s="581">
        <f t="shared" si="93"/>
        <v>-78.944019050311894</v>
      </c>
      <c r="AO37" s="582">
        <f t="shared" si="94"/>
        <v>27.919597918349254</v>
      </c>
      <c r="AP37" s="585">
        <f t="shared" si="95"/>
        <v>-27.47784879453177</v>
      </c>
      <c r="AQ37" s="586">
        <f t="shared" si="9"/>
        <v>0.56026127349088961</v>
      </c>
      <c r="AS37" s="52">
        <f t="shared" si="116"/>
        <v>-108.20003635541667</v>
      </c>
      <c r="AT37" s="72">
        <f t="shared" si="10"/>
        <v>-1.3208430746260571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3.1320000000000001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3.9144161988609207</v>
      </c>
      <c r="C38" s="708">
        <v>-1.3203923563076925</v>
      </c>
      <c r="D38" s="709">
        <v>-2.1729065534861651</v>
      </c>
      <c r="E38" s="710">
        <v>0.75057293816985349</v>
      </c>
      <c r="F38" s="708">
        <v>0.66078760921120516</v>
      </c>
      <c r="G38" s="711">
        <v>1.1339743359475927E-7</v>
      </c>
      <c r="H38" s="710">
        <v>0.314</v>
      </c>
      <c r="I38" s="708">
        <v>0.52</v>
      </c>
      <c r="J38" s="570">
        <v>3.1389999999999998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3.1389999999999998</v>
      </c>
      <c r="N38" s="632">
        <f t="shared" si="2"/>
        <v>3.9144161988609207</v>
      </c>
      <c r="O38" s="629">
        <f t="shared" si="3"/>
        <v>-1.3203923563076925</v>
      </c>
      <c r="P38" s="633">
        <f t="shared" si="4"/>
        <v>-2.1729065534861651</v>
      </c>
      <c r="Q38" s="585">
        <f t="shared" si="113"/>
        <v>341.35996370811142</v>
      </c>
      <c r="R38" s="629">
        <f t="shared" si="79"/>
        <v>4.1311124594351778</v>
      </c>
      <c r="S38" s="634">
        <f t="shared" si="80"/>
        <v>-2.1729065534861651</v>
      </c>
      <c r="T38" s="635">
        <f t="shared" si="81"/>
        <v>-1.2985096554894995</v>
      </c>
      <c r="U38" s="629">
        <f t="shared" si="82"/>
        <v>-3.9217295708782758</v>
      </c>
      <c r="V38" s="636">
        <f t="shared" si="114"/>
        <v>-2.1729065534861651</v>
      </c>
      <c r="W38" s="585">
        <f t="shared" si="224"/>
        <v>251.67996366190914</v>
      </c>
      <c r="X38" s="629">
        <f t="shared" si="83"/>
        <v>4.1311124594351778</v>
      </c>
      <c r="Y38" s="630">
        <f t="shared" si="223"/>
        <v>-2.1729065534861651</v>
      </c>
      <c r="Z38" s="632">
        <f t="shared" si="6"/>
        <v>-0.75057293816985349</v>
      </c>
      <c r="AA38" s="629">
        <f t="shared" si="7"/>
        <v>-0.66078760921120516</v>
      </c>
      <c r="AB38" s="629">
        <f t="shared" si="8"/>
        <v>-1.1339743359475927E-7</v>
      </c>
      <c r="AC38" s="636">
        <f t="shared" si="84"/>
        <v>1</v>
      </c>
      <c r="AD38" s="637">
        <f t="shared" si="115"/>
        <v>-0.75057293816985349</v>
      </c>
      <c r="AE38" s="629">
        <f t="shared" si="85"/>
        <v>-0.66078760921120516</v>
      </c>
      <c r="AF38" s="633">
        <f t="shared" si="86"/>
        <v>-1.1339743359475927E-7</v>
      </c>
      <c r="AG38" s="602">
        <f t="shared" si="87"/>
        <v>-89.999990167499732</v>
      </c>
      <c r="AH38" s="603">
        <f t="shared" si="88"/>
        <v>138.64003196042404</v>
      </c>
      <c r="AI38" s="585">
        <f t="shared" si="89"/>
        <v>-89.999993502805637</v>
      </c>
      <c r="AJ38" s="586">
        <f t="shared" si="90"/>
        <v>-48.640031960424459</v>
      </c>
      <c r="AK38" s="635">
        <f t="shared" si="211"/>
        <v>0.86602544158358574</v>
      </c>
      <c r="AL38" s="629">
        <f t="shared" si="91"/>
        <v>-0.49999993452993818</v>
      </c>
      <c r="AM38" s="634">
        <f t="shared" si="92"/>
        <v>-1.1339743359475927E-7</v>
      </c>
      <c r="AN38" s="581">
        <f t="shared" si="93"/>
        <v>-89.999987005609597</v>
      </c>
      <c r="AO38" s="582">
        <f t="shared" si="94"/>
        <v>29.99999566853651</v>
      </c>
      <c r="AP38" s="585">
        <f t="shared" si="95"/>
        <v>-29.999995668535888</v>
      </c>
      <c r="AQ38" s="586">
        <f t="shared" si="9"/>
        <v>0.55182621266630238</v>
      </c>
      <c r="AS38" s="52">
        <f t="shared" si="116"/>
        <v>-108.32003633809086</v>
      </c>
      <c r="AT38" s="72">
        <f t="shared" si="10"/>
        <v>-2.0974620838390203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3.1389999999999998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3.9144161988609207</v>
      </c>
      <c r="C39" s="708">
        <v>-1.3203923563076916</v>
      </c>
      <c r="D39" s="709">
        <v>-2.9300088369066515</v>
      </c>
      <c r="E39" s="710">
        <v>0.75057293816985349</v>
      </c>
      <c r="F39" s="708">
        <v>0.66078760921120527</v>
      </c>
      <c r="G39" s="711">
        <v>1.1339743359475926E-7</v>
      </c>
      <c r="H39" s="710">
        <v>0.314</v>
      </c>
      <c r="I39" s="708">
        <v>0.52</v>
      </c>
      <c r="J39" s="570">
        <v>3.1459999999999999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3.1459999999999999</v>
      </c>
      <c r="N39" s="632">
        <f t="shared" si="2"/>
        <v>3.9144161988609207</v>
      </c>
      <c r="O39" s="629">
        <f t="shared" si="3"/>
        <v>-1.3203923563076916</v>
      </c>
      <c r="P39" s="633">
        <f t="shared" si="4"/>
        <v>-2.9300088369066515</v>
      </c>
      <c r="Q39" s="585">
        <f t="shared" si="113"/>
        <v>341.35996370811142</v>
      </c>
      <c r="R39" s="629">
        <f t="shared" si="79"/>
        <v>4.1311124594351769</v>
      </c>
      <c r="S39" s="634">
        <f t="shared" si="80"/>
        <v>-2.9300088369066515</v>
      </c>
      <c r="T39" s="635">
        <f t="shared" si="81"/>
        <v>-1.298509655489499</v>
      </c>
      <c r="U39" s="629">
        <f t="shared" si="82"/>
        <v>-3.9217295708782749</v>
      </c>
      <c r="V39" s="636">
        <f t="shared" si="114"/>
        <v>-2.9300088369066515</v>
      </c>
      <c r="W39" s="585">
        <f t="shared" si="224"/>
        <v>251.67996366190914</v>
      </c>
      <c r="X39" s="629">
        <f t="shared" si="83"/>
        <v>4.1311124594351769</v>
      </c>
      <c r="Y39" s="630">
        <f t="shared" si="223"/>
        <v>-2.9300088369066515</v>
      </c>
      <c r="Z39" s="632">
        <f t="shared" si="6"/>
        <v>-0.75057293816985349</v>
      </c>
      <c r="AA39" s="629">
        <f t="shared" si="7"/>
        <v>-0.66078760921120527</v>
      </c>
      <c r="AB39" s="629">
        <f t="shared" si="8"/>
        <v>-1.1339743359475926E-7</v>
      </c>
      <c r="AC39" s="636">
        <f t="shared" si="84"/>
        <v>1</v>
      </c>
      <c r="AD39" s="637">
        <f t="shared" si="115"/>
        <v>-0.75057293816985349</v>
      </c>
      <c r="AE39" s="629">
        <f t="shared" si="85"/>
        <v>-0.66078760921120527</v>
      </c>
      <c r="AF39" s="633">
        <f t="shared" si="86"/>
        <v>-1.1339743359475926E-7</v>
      </c>
      <c r="AG39" s="602">
        <f t="shared" si="87"/>
        <v>-89.999990167499732</v>
      </c>
      <c r="AH39" s="603">
        <f t="shared" si="88"/>
        <v>138.64003196042404</v>
      </c>
      <c r="AI39" s="585">
        <f t="shared" si="89"/>
        <v>-89.999993502805637</v>
      </c>
      <c r="AJ39" s="586">
        <f t="shared" si="90"/>
        <v>-48.640031960424452</v>
      </c>
      <c r="AK39" s="635">
        <f t="shared" si="211"/>
        <v>0.86602544158358585</v>
      </c>
      <c r="AL39" s="629">
        <f t="shared" si="91"/>
        <v>-0.49999993452993818</v>
      </c>
      <c r="AM39" s="634">
        <f t="shared" si="92"/>
        <v>-1.1339743359475926E-7</v>
      </c>
      <c r="AN39" s="581">
        <f t="shared" si="93"/>
        <v>-89.999987005609597</v>
      </c>
      <c r="AO39" s="582">
        <f t="shared" si="94"/>
        <v>29.99999566853651</v>
      </c>
      <c r="AP39" s="585">
        <f t="shared" si="95"/>
        <v>-29.999995668535881</v>
      </c>
      <c r="AQ39" s="586">
        <f t="shared" si="9"/>
        <v>0.55182621266630261</v>
      </c>
      <c r="AS39" s="52">
        <f t="shared" si="116"/>
        <v>-108.32003633809086</v>
      </c>
      <c r="AT39" s="72">
        <f t="shared" si="10"/>
        <v>-2.8545643672595067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3.1459999999999999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0.93183892706662275</v>
      </c>
      <c r="C40" s="708">
        <v>-1.2357451003230568</v>
      </c>
      <c r="D40" s="709">
        <v>-0.15310046175099265</v>
      </c>
      <c r="E40" s="710">
        <v>1.8108149973415373E-7</v>
      </c>
      <c r="F40" s="708">
        <v>1.3654821729575405E-7</v>
      </c>
      <c r="G40" s="711">
        <v>0.99999999999997435</v>
      </c>
      <c r="H40" s="710">
        <v>0.19500000000000001</v>
      </c>
      <c r="I40" s="708">
        <v>0.21199999999999999</v>
      </c>
      <c r="J40" s="570">
        <v>3.206</v>
      </c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CPS-31783r1</v>
      </c>
      <c r="L40" s="320"/>
      <c r="M40" s="168">
        <f t="shared" si="1"/>
        <v>3.206</v>
      </c>
      <c r="N40" s="632">
        <f t="shared" si="2"/>
        <v>0.93183892706662275</v>
      </c>
      <c r="O40" s="629">
        <f t="shared" si="3"/>
        <v>-1.2357451003230568</v>
      </c>
      <c r="P40" s="633">
        <f t="shared" si="4"/>
        <v>-0.15310046175099265</v>
      </c>
      <c r="Q40" s="585">
        <f t="shared" si="113"/>
        <v>307.01886866635209</v>
      </c>
      <c r="R40" s="629">
        <f t="shared" si="79"/>
        <v>1.5477046678772783</v>
      </c>
      <c r="S40" s="634">
        <f t="shared" si="80"/>
        <v>-0.15310046175099265</v>
      </c>
      <c r="T40" s="635">
        <f t="shared" si="81"/>
        <v>-1.2305214846368269</v>
      </c>
      <c r="U40" s="629">
        <f t="shared" si="82"/>
        <v>-0.9387260595169904</v>
      </c>
      <c r="V40" s="636">
        <f t="shared" si="114"/>
        <v>-0.15310046175099265</v>
      </c>
      <c r="W40" s="585">
        <f t="shared" si="224"/>
        <v>217.33886862014981</v>
      </c>
      <c r="X40" s="629">
        <f t="shared" si="83"/>
        <v>1.5477046678772783</v>
      </c>
      <c r="Y40" s="630">
        <f t="shared" si="223"/>
        <v>-0.15310046175099265</v>
      </c>
      <c r="Z40" s="632">
        <f t="shared" si="6"/>
        <v>-1.8108149973415373E-7</v>
      </c>
      <c r="AA40" s="629">
        <f t="shared" si="7"/>
        <v>-1.3654821729575405E-7</v>
      </c>
      <c r="AB40" s="629">
        <f t="shared" si="8"/>
        <v>-0.99999999999997435</v>
      </c>
      <c r="AC40" s="636">
        <f t="shared" si="84"/>
        <v>1</v>
      </c>
      <c r="AD40" s="637">
        <f t="shared" si="115"/>
        <v>-1.8108149973415373E-7</v>
      </c>
      <c r="AE40" s="629">
        <f t="shared" si="85"/>
        <v>-1.3654821729575405E-7</v>
      </c>
      <c r="AF40" s="633">
        <f t="shared" si="86"/>
        <v>-0.99999999999997435</v>
      </c>
      <c r="AG40" s="602">
        <f t="shared" si="87"/>
        <v>-7.8236365510821301E-6</v>
      </c>
      <c r="AH40" s="603">
        <f t="shared" si="88"/>
        <v>90.00001037520569</v>
      </c>
      <c r="AI40" s="585">
        <f t="shared" si="89"/>
        <v>-1.2976235990044085E-5</v>
      </c>
      <c r="AJ40" s="586">
        <f t="shared" si="90"/>
        <v>-52.981131324313168</v>
      </c>
      <c r="AK40" s="635">
        <f t="shared" si="211"/>
        <v>2.2679489675170998E-7</v>
      </c>
      <c r="AL40" s="629">
        <f t="shared" si="91"/>
        <v>3.694990649983753E-17</v>
      </c>
      <c r="AM40" s="634">
        <f t="shared" si="92"/>
        <v>-0.99999999999997435</v>
      </c>
      <c r="AN40" s="581">
        <f t="shared" si="93"/>
        <v>2.117073695843753E-15</v>
      </c>
      <c r="AO40" s="582">
        <f t="shared" si="94"/>
        <v>0</v>
      </c>
      <c r="AP40" s="585">
        <f t="shared" si="95"/>
        <v>9.334750147228506E-9</v>
      </c>
      <c r="AQ40" s="586">
        <f t="shared" si="9"/>
        <v>1.4726482673971713</v>
      </c>
      <c r="AS40" s="52">
        <f t="shared" si="116"/>
        <v>-142.66113137985019</v>
      </c>
      <c r="AT40" s="72">
        <f t="shared" si="10"/>
        <v>-5.380800943595937E-2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Nose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3.206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3.1059999999999999</v>
      </c>
      <c r="II40" s="734" cm="1">
        <f t="array" ref="II40">IFERROR(ROUND(VALUE(IF($IH40&lt;1,$IH40+LARGE((IF($M$9:$M$150="",0,$M$9:$M$150)-MOD(IF($M$9:$M$150="",0,$M$9:$M$150),1)),1),$IH40)),4),"")</f>
        <v>3.1059999999999999</v>
      </c>
      <c r="IJ40" s="533">
        <f t="shared" si="112"/>
        <v>1613</v>
      </c>
      <c r="IK40" s="533" t="str">
        <f t="shared" si="66"/>
        <v>CPS-31783r1</v>
      </c>
      <c r="IL40" s="727">
        <f t="shared" si="225"/>
        <v>36.981094660590543</v>
      </c>
      <c r="IM40" s="759">
        <v>4.54023895446675E-2</v>
      </c>
      <c r="IN40" s="5">
        <f t="shared" si="226"/>
        <v>0.44</v>
      </c>
      <c r="IO40" s="771">
        <v>220</v>
      </c>
      <c r="IP40" s="9">
        <f t="shared" si="227"/>
        <v>-1.5676047278958596</v>
      </c>
      <c r="IQ40" s="5">
        <f t="shared" si="228"/>
        <v>-0.21280064180673569</v>
      </c>
      <c r="IR40" s="5">
        <f t="shared" si="71"/>
        <v>0.314</v>
      </c>
      <c r="IS40" s="5">
        <f t="shared" si="229"/>
        <v>0.30330071252667312</v>
      </c>
      <c r="IT40" s="727">
        <f t="shared" si="230"/>
        <v>-14.999997834268274</v>
      </c>
      <c r="IU40" s="9">
        <f t="shared" si="231"/>
        <v>-1.5477046678772783</v>
      </c>
      <c r="IV40" s="5">
        <f t="shared" si="232"/>
        <v>-0.15310046175099265</v>
      </c>
      <c r="IW40" s="5">
        <f t="shared" si="76"/>
        <v>0.19500000000000001</v>
      </c>
      <c r="IX40" s="5">
        <f t="shared" si="233"/>
        <v>0.19500000000000001</v>
      </c>
      <c r="IY40" s="762">
        <f t="shared" si="234"/>
        <v>-2.117073695843753E-15</v>
      </c>
    </row>
    <row r="41" spans="1:267" ht="15" customHeight="1" x14ac:dyDescent="0.25">
      <c r="A41" s="79"/>
      <c r="B41" s="707">
        <v>1.770993825846642</v>
      </c>
      <c r="C41" s="708">
        <v>-1.5042374800655356</v>
      </c>
      <c r="D41" s="709">
        <v>1.7800053684961917E-2</v>
      </c>
      <c r="E41" s="710">
        <v>1.4682060384110796E-7</v>
      </c>
      <c r="F41" s="708">
        <v>1.7285726905419263E-7</v>
      </c>
      <c r="G41" s="711">
        <v>0.99999999999997435</v>
      </c>
      <c r="H41" s="710">
        <v>0.19500000000000001</v>
      </c>
      <c r="I41" s="708">
        <v>0.21199999999999999</v>
      </c>
      <c r="J41" s="570">
        <v>3.2109999999999999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CPS-31783r1</v>
      </c>
      <c r="L41" s="320"/>
      <c r="M41" s="168">
        <f t="shared" ref="M41:M72" si="239">IF(J41="","",VALUE(J41))</f>
        <v>3.2109999999999999</v>
      </c>
      <c r="N41" s="632">
        <f t="shared" ref="N41:N72" si="240">IF(M41="","",B41)</f>
        <v>1.770993825846642</v>
      </c>
      <c r="O41" s="629">
        <f t="shared" ref="O41:O72" si="241">IF(M41="","",C41)</f>
        <v>-1.5042374800655356</v>
      </c>
      <c r="P41" s="633">
        <f t="shared" ref="P41:P72" si="242">IF(M41="","",D41)</f>
        <v>1.7800053684961917E-2</v>
      </c>
      <c r="Q41" s="585">
        <f t="shared" si="113"/>
        <v>319.65626684173753</v>
      </c>
      <c r="R41" s="629">
        <f t="shared" si="79"/>
        <v>2.3236070079987363</v>
      </c>
      <c r="S41" s="634">
        <f t="shared" si="80"/>
        <v>1.7800053684961917E-2</v>
      </c>
      <c r="T41" s="635">
        <f t="shared" si="81"/>
        <v>-1.4943229768219082</v>
      </c>
      <c r="U41" s="629">
        <f t="shared" si="82"/>
        <v>-1.779367406850803</v>
      </c>
      <c r="V41" s="636">
        <f t="shared" si="114"/>
        <v>1.7800053684961917E-2</v>
      </c>
      <c r="W41" s="585">
        <f t="shared" si="224"/>
        <v>229.97626679553525</v>
      </c>
      <c r="X41" s="629">
        <f t="shared" si="83"/>
        <v>2.3236070079987363</v>
      </c>
      <c r="Y41" s="630">
        <f t="shared" si="223"/>
        <v>1.7800053684961917E-2</v>
      </c>
      <c r="Z41" s="632">
        <f t="shared" ref="Z41:Z72" si="243">IF(M41="","",-E41)</f>
        <v>-1.4682060384110796E-7</v>
      </c>
      <c r="AA41" s="629">
        <f t="shared" ref="AA41:AA72" si="244">IF(M41="","",-F41)</f>
        <v>-1.7285726905419263E-7</v>
      </c>
      <c r="AB41" s="629">
        <f t="shared" ref="AB41:AB72" si="245">IF(M41="","",-G41)</f>
        <v>-0.99999999999997435</v>
      </c>
      <c r="AC41" s="636">
        <f t="shared" si="84"/>
        <v>1</v>
      </c>
      <c r="AD41" s="637">
        <f t="shared" si="115"/>
        <v>-1.4682060384110796E-7</v>
      </c>
      <c r="AE41" s="629">
        <f t="shared" si="85"/>
        <v>-1.7285726905419263E-7</v>
      </c>
      <c r="AF41" s="633">
        <f t="shared" si="86"/>
        <v>-0.99999999999997435</v>
      </c>
      <c r="AG41" s="602">
        <f t="shared" si="87"/>
        <v>-9.9039919749627244E-6</v>
      </c>
      <c r="AH41" s="603">
        <f t="shared" si="88"/>
        <v>90.000008412200955</v>
      </c>
      <c r="AI41" s="585">
        <f t="shared" si="89"/>
        <v>-1.2976235990044085E-5</v>
      </c>
      <c r="AJ41" s="586">
        <f t="shared" si="90"/>
        <v>-40.343733168764004</v>
      </c>
      <c r="AK41" s="635">
        <f t="shared" si="211"/>
        <v>2.2679489671758734E-7</v>
      </c>
      <c r="AL41" s="629">
        <f t="shared" si="91"/>
        <v>-4.1568327174962001E-17</v>
      </c>
      <c r="AM41" s="634">
        <f t="shared" si="92"/>
        <v>-0.99999999999997435</v>
      </c>
      <c r="AN41" s="581">
        <f t="shared" si="93"/>
        <v>-2.381689708544352E-15</v>
      </c>
      <c r="AO41" s="582">
        <f t="shared" si="94"/>
        <v>0</v>
      </c>
      <c r="AP41" s="585">
        <f t="shared" si="95"/>
        <v>-1.0501513671668069E-8</v>
      </c>
      <c r="AQ41" s="586">
        <f t="shared" ref="AQ41:AQ72" si="246">IF(M41="","",DEGREES(ATAN(($AS$5*SIN(RADIANS(90)))/(($X41*2*PI())-($AS$5*COS(RADIANS(90)))))))</f>
        <v>0.98101952788597202</v>
      </c>
      <c r="AS41" s="52">
        <f t="shared" si="116"/>
        <v>-130.02373320446475</v>
      </c>
      <c r="AT41" s="72">
        <f t="shared" ref="AT41:AT72" si="247">IF(M41="","",Y41+(((AS41-$AS$9)*$AS$6)*-1))</f>
        <v>0.10831653504486641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3.2109999999999999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3.1110000000000002</v>
      </c>
      <c r="II41" s="734" cm="1">
        <f t="array" ref="II41">IFERROR(ROUND(VALUE(IF($IH41&lt;1,$IH41+LARGE((IF($M$9:$M$150="",0,$M$9:$M$150)-MOD(IF($M$9:$M$150="",0,$M$9:$M$150),1)),1),$IH41)),4),"")</f>
        <v>3.1110000000000002</v>
      </c>
      <c r="IJ41" s="533">
        <f t="shared" si="112"/>
        <v>1613</v>
      </c>
      <c r="IK41" s="533" t="str">
        <f t="shared" ref="IK41:IK72" si="382">IF(ISNUMBER($II41),INDEX($K$9:$K$150,MATCH($IG41,$M$9:$M$150,0)),"")</f>
        <v>CPS-31783r1</v>
      </c>
      <c r="IL41" s="727">
        <f t="shared" si="225"/>
        <v>24.22369650253097</v>
      </c>
      <c r="IM41" s="759">
        <v>4.2682978715434E-2</v>
      </c>
      <c r="IN41" s="5">
        <f t="shared" si="226"/>
        <v>0.62</v>
      </c>
      <c r="IO41" s="771">
        <v>310</v>
      </c>
      <c r="IP41" s="9">
        <f t="shared" si="227"/>
        <v>-2.3236070079987363</v>
      </c>
      <c r="IQ41" s="5">
        <f t="shared" si="228"/>
        <v>-4.7800144165234808E-2</v>
      </c>
      <c r="IR41" s="5">
        <f t="shared" ref="IR41:IR72" si="383">IF(ISNUMBER($II41),INDEX($H$9:$H$150,MATCH($II41,$M$9:$M$150,0)),"")</f>
        <v>0.314</v>
      </c>
      <c r="IS41" s="5">
        <f t="shared" si="229"/>
        <v>0.30319816006115186</v>
      </c>
      <c r="IT41" s="727">
        <f t="shared" si="230"/>
        <v>5.7389462568677203</v>
      </c>
      <c r="IU41" s="9">
        <f t="shared" si="231"/>
        <v>-2.3236070079987363</v>
      </c>
      <c r="IV41" s="5">
        <f t="shared" si="232"/>
        <v>1.7800053684961917E-2</v>
      </c>
      <c r="IW41" s="5">
        <f t="shared" ref="IW41:IW72" si="384">IF(ISNUMBER($II41),$H41,"")</f>
        <v>0.19500000000000001</v>
      </c>
      <c r="IX41" s="5">
        <f t="shared" si="233"/>
        <v>0.19500000000000001</v>
      </c>
      <c r="IY41" s="762">
        <f t="shared" si="234"/>
        <v>2.381689708544352E-15</v>
      </c>
    </row>
    <row r="42" spans="1:267" ht="15" customHeight="1" x14ac:dyDescent="0.25">
      <c r="A42" s="79"/>
      <c r="B42" s="707">
        <v>2.6587035404633963</v>
      </c>
      <c r="C42" s="708">
        <v>-1.6932483062293311</v>
      </c>
      <c r="D42" s="709">
        <v>-0.16560049945110636</v>
      </c>
      <c r="E42" s="710">
        <v>0.66730157416431846</v>
      </c>
      <c r="F42" s="708">
        <v>0.68575441292992434</v>
      </c>
      <c r="G42" s="711">
        <v>0.29060195158490859</v>
      </c>
      <c r="H42" s="710">
        <v>0.26600000000000001</v>
      </c>
      <c r="I42" s="708">
        <v>0.52</v>
      </c>
      <c r="J42" s="570">
        <v>3.218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3.218</v>
      </c>
      <c r="N42" s="632">
        <f t="shared" si="240"/>
        <v>2.6587035404633963</v>
      </c>
      <c r="O42" s="629">
        <f t="shared" si="241"/>
        <v>-1.6932483062293311</v>
      </c>
      <c r="P42" s="633">
        <f t="shared" si="242"/>
        <v>-0.16560049945110636</v>
      </c>
      <c r="Q42" s="585">
        <f t="shared" si="113"/>
        <v>327.50816570806364</v>
      </c>
      <c r="R42" s="629">
        <f t="shared" ref="R42:R47" si="385">IF(M42="","",SQRT(N42^2+O42^2))</f>
        <v>3.1521095067622724</v>
      </c>
      <c r="S42" s="634">
        <f t="shared" ref="S42:S47" si="386">IF(M42="","",P42)</f>
        <v>-0.16560049945110636</v>
      </c>
      <c r="T42" s="635">
        <f t="shared" ref="T42:T47" si="387">IF(M42="","",X42*COS(RADIANS(W42)))</f>
        <v>-1.6783729752514416</v>
      </c>
      <c r="U42" s="629">
        <f t="shared" ref="U42:U47" si="388">IF(M42="","",X42*SIN(RADIANS(W42)))</f>
        <v>-2.6681189063770603</v>
      </c>
      <c r="V42" s="636">
        <f t="shared" ref="V42:V47" si="389">IF(M42="","",Y42)</f>
        <v>-0.16560049945110636</v>
      </c>
      <c r="W42" s="585">
        <f t="shared" si="224"/>
        <v>237.82816566186136</v>
      </c>
      <c r="X42" s="629">
        <f t="shared" ref="X42:X47" si="390">IF(M42="","",R42)</f>
        <v>3.1521095067622724</v>
      </c>
      <c r="Y42" s="630">
        <f t="shared" si="223"/>
        <v>-0.16560049945110636</v>
      </c>
      <c r="Z42" s="632">
        <f t="shared" si="243"/>
        <v>-0.66730157416431846</v>
      </c>
      <c r="AA42" s="629">
        <f t="shared" si="244"/>
        <v>-0.68575441292992434</v>
      </c>
      <c r="AB42" s="629">
        <f t="shared" si="245"/>
        <v>-0.29060195158490859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-0.66730157416431846</v>
      </c>
      <c r="AE42" s="629">
        <f t="shared" ref="AE42:AE47" si="393">IF(M42="","",AA42*(1/SQRT(Z42^2+AA42^2+AB42^2)))</f>
        <v>-0.68575441292992434</v>
      </c>
      <c r="AF42" s="633">
        <f t="shared" ref="AF42:AF47" si="394">IF(M42="","",AB42*(1/SQRT(Z42^2+AA42^2+AB42^2)))</f>
        <v>-0.29060195158490859</v>
      </c>
      <c r="AG42" s="602">
        <f t="shared" ref="AG42:AG47" si="395">IF(M42="","",DEGREES(ATAN2(-AF42,AE42)))</f>
        <v>-67.034240243600053</v>
      </c>
      <c r="AH42" s="603">
        <f t="shared" ref="AH42:AH47" si="396">IF(M42="","",DEGREES(ACOS(AD42)))</f>
        <v>131.85913907262014</v>
      </c>
      <c r="AI42" s="585">
        <f t="shared" ref="AI42:AI47" si="397">IF(M42="","",DEGREES(-ACOS(-AF42)))</f>
        <v>-73.106002582943276</v>
      </c>
      <c r="AJ42" s="586">
        <f t="shared" ref="AJ42:AJ47" si="398">IF(M42="","",DEGREES(ATAN2(-AE42,AD42)))</f>
        <v>-44.218654474974791</v>
      </c>
      <c r="AK42" s="635">
        <f t="shared" ref="AK42:AK47" si="399">IF(M42="","",(COS(RADIANS((90-$Q$8)-W42))*AD42)+(-SIN(RADIANS((90-$Q$8)-W42))*AE42))</f>
        <v>0.93687257355992815</v>
      </c>
      <c r="AL42" s="629">
        <f t="shared" ref="AL42:AL47" si="400">IF(M42="","",(SIN(RADIANS((90-$Q$8)-W42))*AD42)+(COS(RADIANS((90-$Q$8)-W42))*AE42))</f>
        <v>-0.19447438557876884</v>
      </c>
      <c r="AM42" s="634">
        <f t="shared" ref="AM42:AM47" si="401">IF(M42="","",AF42)</f>
        <v>-0.29060195158490859</v>
      </c>
      <c r="AN42" s="581">
        <f t="shared" ref="AN42:AN47" si="402">IF(M42="","",DEGREES(ATAN2(-AM42,AL42)))</f>
        <v>-33.790922782892544</v>
      </c>
      <c r="AO42" s="582">
        <f t="shared" si="94"/>
        <v>20.467190940694497</v>
      </c>
      <c r="AP42" s="585">
        <f t="shared" ref="AP42:AP47" si="403">IF(M42="","",DEGREES(ATAN2(AK42,AL42)))</f>
        <v>-11.726820183038441</v>
      </c>
      <c r="AQ42" s="586">
        <f t="shared" si="246"/>
        <v>0.72319998932230145</v>
      </c>
      <c r="AS42" s="52">
        <f t="shared" si="116"/>
        <v>-122.17183433813864</v>
      </c>
      <c r="AT42" s="72">
        <f t="shared" si="247"/>
        <v>-8.0536725637261664E-2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Nose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3.218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3.1179999999999999</v>
      </c>
      <c r="II42" s="734" cm="1">
        <f t="array" ref="II42">IFERROR(ROUND(VALUE(IF($IH42&lt;1,$IH42+LARGE((IF($M$9:$M$150="",0,$M$9:$M$150)-MOD(IF($M$9:$M$150="",0,$M$9:$M$150),1)),1),$IH42)),4),"")</f>
        <v>3.1179999999999999</v>
      </c>
      <c r="IJ42" s="533">
        <f t="shared" si="112"/>
        <v>1613</v>
      </c>
      <c r="IK42" s="533">
        <f t="shared" si="382"/>
        <v>1313</v>
      </c>
      <c r="IL42" s="727">
        <f t="shared" si="225"/>
        <v>15.511797760373497</v>
      </c>
      <c r="IM42" s="759">
        <v>1.09735305046236E-2</v>
      </c>
      <c r="IN42" s="5">
        <f t="shared" si="226"/>
        <v>0.24</v>
      </c>
      <c r="IO42" s="771">
        <v>120</v>
      </c>
      <c r="IP42" s="9">
        <f t="shared" si="227"/>
        <v>-3.1330094491564986</v>
      </c>
      <c r="IQ42" s="5">
        <f t="shared" si="228"/>
        <v>-0.20343061354673048</v>
      </c>
      <c r="IR42" s="5">
        <f t="shared" si="383"/>
        <v>0.314</v>
      </c>
      <c r="IS42" s="5">
        <f t="shared" si="229"/>
        <v>0.30239049196463752</v>
      </c>
      <c r="IT42" s="727">
        <f t="shared" si="230"/>
        <v>37.699727733917129</v>
      </c>
      <c r="IU42" s="9">
        <f t="shared" si="231"/>
        <v>-3.1521095067622724</v>
      </c>
      <c r="IV42" s="5">
        <f t="shared" si="232"/>
        <v>-0.16560049945110636</v>
      </c>
      <c r="IW42" s="5">
        <f t="shared" si="384"/>
        <v>0.26600000000000001</v>
      </c>
      <c r="IX42" s="5">
        <f t="shared" si="233"/>
        <v>0.2492081045669409</v>
      </c>
      <c r="IY42" s="762">
        <f t="shared" si="234"/>
        <v>33.790922782892544</v>
      </c>
    </row>
    <row r="43" spans="1:267" ht="15" customHeight="1" x14ac:dyDescent="0.25">
      <c r="A43" s="79"/>
      <c r="B43" s="707">
        <v>3.237673419780382</v>
      </c>
      <c r="C43" s="708">
        <v>-1.951273702991712</v>
      </c>
      <c r="D43" s="709">
        <v>-0.66090199328041188</v>
      </c>
      <c r="E43" s="710">
        <v>0.77654377080532155</v>
      </c>
      <c r="F43" s="708">
        <v>0.58357781166406308</v>
      </c>
      <c r="G43" s="711">
        <v>0.23752201951995014</v>
      </c>
      <c r="H43" s="710">
        <v>0.26600000000000001</v>
      </c>
      <c r="I43" s="708">
        <v>0.52</v>
      </c>
      <c r="J43" s="570">
        <v>3.2250000000000001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3.2250000000000001</v>
      </c>
      <c r="N43" s="632">
        <f t="shared" si="240"/>
        <v>3.237673419780382</v>
      </c>
      <c r="O43" s="629">
        <f t="shared" si="241"/>
        <v>-1.951273702991712</v>
      </c>
      <c r="P43" s="633">
        <f t="shared" si="242"/>
        <v>-0.66090199328041188</v>
      </c>
      <c r="Q43" s="585">
        <f t="shared" si="113"/>
        <v>328.92356550370516</v>
      </c>
      <c r="R43" s="629">
        <f t="shared" si="385"/>
        <v>3.7802114011175858</v>
      </c>
      <c r="S43" s="634">
        <f t="shared" si="386"/>
        <v>-0.66090199328041188</v>
      </c>
      <c r="T43" s="635">
        <f t="shared" si="387"/>
        <v>-1.9331607872201892</v>
      </c>
      <c r="U43" s="629">
        <f t="shared" si="388"/>
        <v>-3.248520833840165</v>
      </c>
      <c r="V43" s="636">
        <f t="shared" si="389"/>
        <v>-0.66090199328041188</v>
      </c>
      <c r="W43" s="585">
        <f t="shared" si="224"/>
        <v>239.24356545750288</v>
      </c>
      <c r="X43" s="629">
        <f t="shared" si="390"/>
        <v>3.7802114011175858</v>
      </c>
      <c r="Y43" s="630">
        <f t="shared" si="223"/>
        <v>-0.66090199328041188</v>
      </c>
      <c r="Z43" s="632">
        <f t="shared" si="243"/>
        <v>-0.77654377080532155</v>
      </c>
      <c r="AA43" s="629">
        <f t="shared" si="244"/>
        <v>-0.58357781166406308</v>
      </c>
      <c r="AB43" s="629">
        <f t="shared" si="245"/>
        <v>-0.23752201951995014</v>
      </c>
      <c r="AC43" s="636">
        <f t="shared" si="391"/>
        <v>1</v>
      </c>
      <c r="AD43" s="637">
        <f t="shared" si="392"/>
        <v>-0.77654377080532155</v>
      </c>
      <c r="AE43" s="629">
        <f t="shared" si="393"/>
        <v>-0.58357781166406308</v>
      </c>
      <c r="AF43" s="633">
        <f t="shared" si="394"/>
        <v>-0.23752201951995014</v>
      </c>
      <c r="AG43" s="602">
        <f t="shared" si="395"/>
        <v>-67.853184100678305</v>
      </c>
      <c r="AH43" s="603">
        <f t="shared" si="396"/>
        <v>140.94520656381437</v>
      </c>
      <c r="AI43" s="585">
        <f t="shared" si="397"/>
        <v>-76.259666034976405</v>
      </c>
      <c r="AJ43" s="586">
        <f t="shared" si="398"/>
        <v>-53.074894314643494</v>
      </c>
      <c r="AK43" s="635">
        <f t="shared" si="399"/>
        <v>0.90065963173017827</v>
      </c>
      <c r="AL43" s="629">
        <f t="shared" si="400"/>
        <v>-0.36386194911645287</v>
      </c>
      <c r="AM43" s="634">
        <f t="shared" si="401"/>
        <v>-0.23752201951995014</v>
      </c>
      <c r="AN43" s="581">
        <f t="shared" si="402"/>
        <v>-56.864277280135752</v>
      </c>
      <c r="AO43" s="582">
        <f t="shared" si="94"/>
        <v>25.755091201553434</v>
      </c>
      <c r="AP43" s="585">
        <f t="shared" si="403"/>
        <v>-21.998459818348667</v>
      </c>
      <c r="AQ43" s="586">
        <f t="shared" si="246"/>
        <v>0.6030462870369212</v>
      </c>
      <c r="AS43" s="52">
        <f t="shared" ref="AS43:AS74" si="406">IF(G43="","",IF(AND(W43&lt;(AS42+180),W43&gt;(AS42-180)),W43,IF(W43&gt;(AS42+180),W43-360,IF(W43&lt;(AS42-180),W43+360,"Error"))))</f>
        <v>-120.75643454249712</v>
      </c>
      <c r="AT43" s="72">
        <f t="shared" si="247"/>
        <v>-0.57682113599131823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3.2250000000000001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3.125</v>
      </c>
      <c r="II43" s="734" cm="1">
        <f t="array" ref="II43">IFERROR(ROUND(VALUE(IF($IH43&lt;1,$IH43+LARGE((IF($M$9:$M$150="",0,$M$9:$M$150)-MOD(IF($M$9:$M$150="",0,$M$9:$M$150),1)),1),$IH43)),4),"")</f>
        <v>3.125</v>
      </c>
      <c r="IJ43" s="533">
        <f t="shared" si="112"/>
        <v>1613</v>
      </c>
      <c r="IK43" s="533">
        <f t="shared" si="382"/>
        <v>1313</v>
      </c>
      <c r="IL43" s="727">
        <f t="shared" si="225"/>
        <v>13.126398104782595</v>
      </c>
      <c r="IM43" s="759">
        <v>7.0340190070364199E-3</v>
      </c>
      <c r="IN43" s="5">
        <f t="shared" si="226"/>
        <v>0.22</v>
      </c>
      <c r="IO43" s="771">
        <v>110</v>
      </c>
      <c r="IP43" s="9">
        <f t="shared" si="227"/>
        <v>-3.7441112922396576</v>
      </c>
      <c r="IQ43" s="5">
        <f t="shared" si="228"/>
        <v>-0.69080208345908378</v>
      </c>
      <c r="IR43" s="5">
        <f t="shared" si="383"/>
        <v>0.314</v>
      </c>
      <c r="IS43" s="5">
        <f t="shared" si="229"/>
        <v>0.29322462935768456</v>
      </c>
      <c r="IT43" s="727">
        <f t="shared" si="230"/>
        <v>60.157270725631072</v>
      </c>
      <c r="IU43" s="9">
        <f t="shared" si="231"/>
        <v>-3.7802114011175858</v>
      </c>
      <c r="IV43" s="5">
        <f t="shared" si="232"/>
        <v>-0.66090199328041188</v>
      </c>
      <c r="IW43" s="5">
        <f t="shared" si="384"/>
        <v>0.26600000000000001</v>
      </c>
      <c r="IX43" s="5">
        <f t="shared" si="233"/>
        <v>0.23957546204022742</v>
      </c>
      <c r="IY43" s="762">
        <f t="shared" si="234"/>
        <v>56.864277280135752</v>
      </c>
    </row>
    <row r="44" spans="1:267" ht="15" customHeight="1" x14ac:dyDescent="0.25">
      <c r="A44" s="79"/>
      <c r="B44" s="707">
        <v>3.5230804528022031</v>
      </c>
      <c r="C44" s="708">
        <v>-2.130379961189186</v>
      </c>
      <c r="D44" s="709">
        <v>-1.3814041663149657</v>
      </c>
      <c r="E44" s="710">
        <v>0.88582180521207554</v>
      </c>
      <c r="F44" s="708">
        <v>0.44715718155525463</v>
      </c>
      <c r="G44" s="711">
        <v>0.12397654775956959</v>
      </c>
      <c r="H44" s="710">
        <v>0.26600000000000001</v>
      </c>
      <c r="I44" s="708">
        <v>0.52</v>
      </c>
      <c r="J44" s="570">
        <v>3.2320000000000002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1313</v>
      </c>
      <c r="L44" s="320"/>
      <c r="M44" s="168">
        <f t="shared" si="239"/>
        <v>3.2320000000000002</v>
      </c>
      <c r="N44" s="632">
        <f t="shared" si="240"/>
        <v>3.5230804528022031</v>
      </c>
      <c r="O44" s="629">
        <f t="shared" si="241"/>
        <v>-2.130379961189186</v>
      </c>
      <c r="P44" s="633">
        <f t="shared" si="242"/>
        <v>-1.3814041663149657</v>
      </c>
      <c r="Q44" s="585">
        <f t="shared" si="113"/>
        <v>328.83896551591988</v>
      </c>
      <c r="R44" s="629">
        <f t="shared" si="385"/>
        <v>4.1171124172110494</v>
      </c>
      <c r="S44" s="634">
        <f t="shared" si="386"/>
        <v>-1.3814041663149657</v>
      </c>
      <c r="T44" s="635">
        <f t="shared" si="387"/>
        <v>-2.1106702469487866</v>
      </c>
      <c r="U44" s="629">
        <f t="shared" si="388"/>
        <v>-3.5349237282575925</v>
      </c>
      <c r="V44" s="636">
        <f t="shared" si="389"/>
        <v>-1.3814041663149657</v>
      </c>
      <c r="W44" s="585">
        <f t="shared" si="224"/>
        <v>239.1589654697176</v>
      </c>
      <c r="X44" s="629">
        <f t="shared" si="390"/>
        <v>4.1171124172110494</v>
      </c>
      <c r="Y44" s="630">
        <f t="shared" si="223"/>
        <v>-1.3814041663149657</v>
      </c>
      <c r="Z44" s="632">
        <f t="shared" si="243"/>
        <v>-0.88582180521207554</v>
      </c>
      <c r="AA44" s="629">
        <f t="shared" si="244"/>
        <v>-0.44715718155525463</v>
      </c>
      <c r="AB44" s="629">
        <f t="shared" si="245"/>
        <v>-0.12397654775956959</v>
      </c>
      <c r="AC44" s="636">
        <f t="shared" si="391"/>
        <v>1</v>
      </c>
      <c r="AD44" s="637">
        <f t="shared" si="392"/>
        <v>-0.88582180521207554</v>
      </c>
      <c r="AE44" s="629">
        <f t="shared" si="393"/>
        <v>-0.44715718155525463</v>
      </c>
      <c r="AF44" s="633">
        <f t="shared" si="394"/>
        <v>-0.12397654775956959</v>
      </c>
      <c r="AG44" s="602">
        <f t="shared" si="395"/>
        <v>-74.503702059813037</v>
      </c>
      <c r="AH44" s="603">
        <f t="shared" si="396"/>
        <v>152.35282318739698</v>
      </c>
      <c r="AI44" s="585">
        <f t="shared" si="397"/>
        <v>-82.878343443373396</v>
      </c>
      <c r="AJ44" s="586">
        <f t="shared" si="398"/>
        <v>-63.215647770549367</v>
      </c>
      <c r="AK44" s="635">
        <f t="shared" si="399"/>
        <v>0.84100393620565728</v>
      </c>
      <c r="AL44" s="629">
        <f t="shared" si="400"/>
        <v>-0.52663288436273126</v>
      </c>
      <c r="AM44" s="634">
        <f t="shared" si="401"/>
        <v>-0.12397654775956959</v>
      </c>
      <c r="AN44" s="581">
        <f t="shared" si="402"/>
        <v>-76.752993077392517</v>
      </c>
      <c r="AO44" s="582">
        <f t="shared" si="94"/>
        <v>32.75371486836454</v>
      </c>
      <c r="AP44" s="585">
        <f t="shared" si="403"/>
        <v>-32.05461328646922</v>
      </c>
      <c r="AQ44" s="586">
        <f t="shared" si="246"/>
        <v>0.55370255446010053</v>
      </c>
      <c r="AS44" s="52">
        <f t="shared" si="406"/>
        <v>-120.8410345302824</v>
      </c>
      <c r="AT44" s="72">
        <f t="shared" si="247"/>
        <v>-1.2972645590343546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3.2320000000000002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3.1320000000000001</v>
      </c>
      <c r="II44" s="734" cm="1">
        <f t="array" ref="II44">IFERROR(ROUND(VALUE(IF($IH44&lt;1,$IH44+LARGE((IF($M$9:$M$150="",0,$M$9:$M$150)-MOD(IF($M$9:$M$150="",0,$M$9:$M$150),1)),1),$IH44)),4),"")</f>
        <v>3.1320000000000001</v>
      </c>
      <c r="IJ44" s="533">
        <f t="shared" si="112"/>
        <v>1613</v>
      </c>
      <c r="IK44" s="533">
        <f t="shared" si="382"/>
        <v>1313</v>
      </c>
      <c r="IL44" s="727">
        <f t="shared" si="225"/>
        <v>12.640998174865729</v>
      </c>
      <c r="IM44" s="759">
        <v>3.4931169319761001E-3</v>
      </c>
      <c r="IN44" s="5">
        <f t="shared" si="226"/>
        <v>0.18</v>
      </c>
      <c r="IO44" s="771">
        <v>90</v>
      </c>
      <c r="IP44" s="9">
        <f t="shared" si="227"/>
        <v>-4.0689122718394115</v>
      </c>
      <c r="IQ44" s="5">
        <f t="shared" si="228"/>
        <v>-1.3962042109519004</v>
      </c>
      <c r="IR44" s="5">
        <f t="shared" si="383"/>
        <v>0.314</v>
      </c>
      <c r="IS44" s="5">
        <f t="shared" si="229"/>
        <v>0.27745213448618672</v>
      </c>
      <c r="IT44" s="727">
        <f t="shared" si="230"/>
        <v>78.944019050311894</v>
      </c>
      <c r="IU44" s="9">
        <f t="shared" si="231"/>
        <v>-4.1171124172110494</v>
      </c>
      <c r="IV44" s="5">
        <f t="shared" si="232"/>
        <v>-1.3814041663149657</v>
      </c>
      <c r="IW44" s="5">
        <f t="shared" si="384"/>
        <v>0.26600000000000001</v>
      </c>
      <c r="IX44" s="5">
        <f t="shared" si="233"/>
        <v>0.22370704703070488</v>
      </c>
      <c r="IY44" s="762">
        <f t="shared" si="234"/>
        <v>76.752993077392517</v>
      </c>
    </row>
    <row r="45" spans="1:267" ht="15" customHeight="1" x14ac:dyDescent="0.25">
      <c r="A45" s="79"/>
      <c r="B45" s="707">
        <v>3.4152510934488292</v>
      </c>
      <c r="C45" s="708">
        <v>-2.3518683169206196</v>
      </c>
      <c r="D45" s="709">
        <v>-2.1785065703758169</v>
      </c>
      <c r="E45" s="710">
        <v>0.82360463174125897</v>
      </c>
      <c r="F45" s="708">
        <v>-0.56716435940060095</v>
      </c>
      <c r="G45" s="711">
        <v>2.267948963332621E-7</v>
      </c>
      <c r="H45" s="710">
        <v>0.25700000000000001</v>
      </c>
      <c r="I45" s="708">
        <v>0.41499999999999992</v>
      </c>
      <c r="J45" s="570">
        <v>3.2389999999999999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CPS-32193r1</v>
      </c>
      <c r="L45" s="320"/>
      <c r="M45" s="168">
        <f t="shared" si="239"/>
        <v>3.2389999999999999</v>
      </c>
      <c r="N45" s="632">
        <f t="shared" si="240"/>
        <v>3.4152510934488292</v>
      </c>
      <c r="O45" s="629">
        <f t="shared" si="241"/>
        <v>-2.3518683169206196</v>
      </c>
      <c r="P45" s="633">
        <f t="shared" si="242"/>
        <v>-2.1785065703758169</v>
      </c>
      <c r="Q45" s="585">
        <f t="shared" si="113"/>
        <v>325.44726332694268</v>
      </c>
      <c r="R45" s="629">
        <f t="shared" si="385"/>
        <v>4.1467125064849206</v>
      </c>
      <c r="S45" s="634">
        <f t="shared" si="386"/>
        <v>-2.1785065703758169</v>
      </c>
      <c r="T45" s="635">
        <f t="shared" si="387"/>
        <v>-2.332757377801062</v>
      </c>
      <c r="U45" s="629">
        <f t="shared" si="388"/>
        <v>-3.4283330683807791</v>
      </c>
      <c r="V45" s="636">
        <f t="shared" si="389"/>
        <v>-2.1785065703758169</v>
      </c>
      <c r="W45" s="585">
        <f t="shared" si="224"/>
        <v>235.76726328074039</v>
      </c>
      <c r="X45" s="629">
        <f t="shared" si="390"/>
        <v>4.1467125064849206</v>
      </c>
      <c r="Y45" s="630">
        <f t="shared" si="223"/>
        <v>-2.1785065703758169</v>
      </c>
      <c r="Z45" s="632">
        <f t="shared" si="243"/>
        <v>-0.82360463174125897</v>
      </c>
      <c r="AA45" s="629">
        <f t="shared" si="244"/>
        <v>0.56716435940060095</v>
      </c>
      <c r="AB45" s="629">
        <f t="shared" si="245"/>
        <v>-2.267948963332621E-7</v>
      </c>
      <c r="AC45" s="636">
        <f t="shared" si="391"/>
        <v>1</v>
      </c>
      <c r="AD45" s="637">
        <f t="shared" si="392"/>
        <v>-0.82360463174125897</v>
      </c>
      <c r="AE45" s="629">
        <f t="shared" si="393"/>
        <v>0.56716435940060095</v>
      </c>
      <c r="AF45" s="633">
        <f t="shared" si="394"/>
        <v>-2.267948963332621E-7</v>
      </c>
      <c r="AG45" s="602">
        <f t="shared" si="395"/>
        <v>89.999977088845313</v>
      </c>
      <c r="AH45" s="603">
        <f t="shared" si="396"/>
        <v>145.44727632133092</v>
      </c>
      <c r="AI45" s="585">
        <f t="shared" si="397"/>
        <v>-89.999987005609626</v>
      </c>
      <c r="AJ45" s="586">
        <f t="shared" si="398"/>
        <v>-124.55272367866695</v>
      </c>
      <c r="AK45" s="635">
        <f t="shared" si="399"/>
        <v>2.2679489586341361E-7</v>
      </c>
      <c r="AL45" s="629">
        <f t="shared" si="400"/>
        <v>-0.99999999999994871</v>
      </c>
      <c r="AM45" s="634">
        <f t="shared" si="401"/>
        <v>-2.267948963332621E-7</v>
      </c>
      <c r="AN45" s="581">
        <f t="shared" si="402"/>
        <v>-89.999987005609626</v>
      </c>
      <c r="AO45" s="582">
        <f t="shared" si="94"/>
        <v>0</v>
      </c>
      <c r="AP45" s="585">
        <f t="shared" si="403"/>
        <v>-89.999987005609654</v>
      </c>
      <c r="AQ45" s="586">
        <f t="shared" si="246"/>
        <v>0.54975035485643253</v>
      </c>
      <c r="AS45" s="52">
        <f t="shared" si="406"/>
        <v>-124.23273671925961</v>
      </c>
      <c r="AT45" s="72">
        <f t="shared" si="247"/>
        <v>-2.0920116143528604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>Gage</v>
      </c>
      <c r="IG45" s="847">
        <f t="shared" si="210"/>
        <v>3.2389999999999999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3.1389999999999998</v>
      </c>
      <c r="II45" s="734" cm="1">
        <f t="array" ref="II45">IFERROR(ROUND(VALUE(IF($IH45&lt;1,$IH45+LARGE((IF($M$9:$M$150="",0,$M$9:$M$150)-MOD(IF($M$9:$M$150="",0,$M$9:$M$150),1)),1),$IH45)),4),"")</f>
        <v>3.1389999999999998</v>
      </c>
      <c r="IJ45" s="533">
        <f t="shared" si="112"/>
        <v>1613</v>
      </c>
      <c r="IK45" s="533" t="str">
        <f t="shared" si="382"/>
        <v>CPS-32193r1</v>
      </c>
      <c r="IL45" s="727">
        <f t="shared" si="225"/>
        <v>15.912700381168747</v>
      </c>
      <c r="IM45" s="759">
        <v>1.36532770654016E-4</v>
      </c>
      <c r="IN45" s="5">
        <f t="shared" si="226"/>
        <v>0</v>
      </c>
      <c r="IO45" s="771">
        <v>0</v>
      </c>
      <c r="IP45" s="9">
        <f t="shared" si="227"/>
        <v>-4.1311124594351778</v>
      </c>
      <c r="IQ45" s="5">
        <f t="shared" si="228"/>
        <v>-2.1729065534861651</v>
      </c>
      <c r="IR45" s="5">
        <f t="shared" si="383"/>
        <v>0.314</v>
      </c>
      <c r="IS45" s="5">
        <f t="shared" si="229"/>
        <v>0.27193198865724594</v>
      </c>
      <c r="IT45" s="727">
        <f t="shared" si="230"/>
        <v>89.999987005609597</v>
      </c>
      <c r="IU45" s="9">
        <f t="shared" si="231"/>
        <v>-4.1467125064849206</v>
      </c>
      <c r="IV45" s="5">
        <f t="shared" si="232"/>
        <v>-2.1785065703758169</v>
      </c>
      <c r="IW45" s="5">
        <f t="shared" si="384"/>
        <v>0.25700000000000001</v>
      </c>
      <c r="IX45" s="5">
        <f t="shared" si="233"/>
        <v>0.25700000000000001</v>
      </c>
      <c r="IY45" s="762">
        <f t="shared" si="234"/>
        <v>89.999987005609626</v>
      </c>
    </row>
    <row r="46" spans="1:267" ht="15" customHeight="1" x14ac:dyDescent="0.25">
      <c r="A46" s="79"/>
      <c r="B46" s="707">
        <v>0.66874404889246675</v>
      </c>
      <c r="C46" s="708">
        <v>-2.3648711570180345</v>
      </c>
      <c r="D46" s="709">
        <v>-4.5600137530014795E-2</v>
      </c>
      <c r="E46" s="710">
        <v>0.94211993157773555</v>
      </c>
      <c r="F46" s="708">
        <v>0.21594756825998951</v>
      </c>
      <c r="G46" s="711">
        <v>0.25646965178468994</v>
      </c>
      <c r="H46" s="710">
        <v>0.314</v>
      </c>
      <c r="I46" s="708">
        <v>0.52</v>
      </c>
      <c r="J46" s="570">
        <v>4.1120000000000001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4.1120000000000001</v>
      </c>
      <c r="N46" s="632">
        <f t="shared" si="240"/>
        <v>0.66874404889246675</v>
      </c>
      <c r="O46" s="629">
        <f t="shared" si="241"/>
        <v>-2.3648711570180345</v>
      </c>
      <c r="P46" s="633">
        <f t="shared" si="242"/>
        <v>-4.5600137530014795E-2</v>
      </c>
      <c r="Q46" s="585">
        <f t="shared" si="113"/>
        <v>285.78997173142562</v>
      </c>
      <c r="R46" s="629">
        <f t="shared" si="385"/>
        <v>2.4576074121439548</v>
      </c>
      <c r="S46" s="634">
        <f t="shared" si="386"/>
        <v>-4.5600137530014795E-2</v>
      </c>
      <c r="T46" s="635">
        <f t="shared" si="387"/>
        <v>-2.3610993222145158</v>
      </c>
      <c r="U46" s="629">
        <f t="shared" si="388"/>
        <v>-0.68194148052678283</v>
      </c>
      <c r="V46" s="636">
        <f t="shared" si="389"/>
        <v>-4.5600137530014795E-2</v>
      </c>
      <c r="W46" s="585">
        <f t="shared" si="224"/>
        <v>196.10997168522334</v>
      </c>
      <c r="X46" s="629">
        <f t="shared" si="390"/>
        <v>2.4576074121439548</v>
      </c>
      <c r="Y46" s="630">
        <f t="shared" si="223"/>
        <v>-4.5600137530014795E-2</v>
      </c>
      <c r="Z46" s="632">
        <f t="shared" si="243"/>
        <v>-0.94211993157773555</v>
      </c>
      <c r="AA46" s="629">
        <f t="shared" si="244"/>
        <v>-0.21594756825998951</v>
      </c>
      <c r="AB46" s="629">
        <f t="shared" si="245"/>
        <v>-0.25646965178468994</v>
      </c>
      <c r="AC46" s="636">
        <f t="shared" si="391"/>
        <v>1</v>
      </c>
      <c r="AD46" s="637">
        <f t="shared" si="392"/>
        <v>-0.94211993157773555</v>
      </c>
      <c r="AE46" s="629">
        <f t="shared" si="393"/>
        <v>-0.21594756825998951</v>
      </c>
      <c r="AF46" s="633">
        <f t="shared" si="394"/>
        <v>-0.25646965178468994</v>
      </c>
      <c r="AG46" s="602">
        <f t="shared" si="395"/>
        <v>-40.097394489099699</v>
      </c>
      <c r="AH46" s="603">
        <f t="shared" si="396"/>
        <v>160.4106742911641</v>
      </c>
      <c r="AI46" s="585">
        <f t="shared" si="397"/>
        <v>-75.139313614464044</v>
      </c>
      <c r="AJ46" s="586">
        <f t="shared" si="398"/>
        <v>-77.089986348027878</v>
      </c>
      <c r="AK46" s="635">
        <f t="shared" si="399"/>
        <v>0.96533152205828976</v>
      </c>
      <c r="AL46" s="629">
        <f t="shared" si="400"/>
        <v>-4.8563054208580453E-2</v>
      </c>
      <c r="AM46" s="634">
        <f t="shared" si="401"/>
        <v>-0.25646965178468994</v>
      </c>
      <c r="AN46" s="581">
        <f t="shared" si="402"/>
        <v>-10.722131518503158</v>
      </c>
      <c r="AO46" s="582">
        <f t="shared" si="94"/>
        <v>15.131004611662993</v>
      </c>
      <c r="AP46" s="585">
        <f t="shared" si="403"/>
        <v>-2.879958079453488</v>
      </c>
      <c r="AQ46" s="586">
        <f t="shared" si="246"/>
        <v>0.92753930792150541</v>
      </c>
      <c r="AS46" s="52">
        <f t="shared" si="406"/>
        <v>-163.89002831477666</v>
      </c>
      <c r="AT46" s="72">
        <f t="shared" si="247"/>
        <v>6.8434604323161854E-2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4.1120000000000001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0.82980361134671243</v>
      </c>
      <c r="C47" s="708">
        <v>-3.1252217976635652</v>
      </c>
      <c r="D47" s="709">
        <v>-0.25550077059032411</v>
      </c>
      <c r="E47" s="710">
        <v>0.97676112072031329</v>
      </c>
      <c r="F47" s="708">
        <v>7.2207357649342024E-2</v>
      </c>
      <c r="G47" s="711">
        <v>0.2018014136484122</v>
      </c>
      <c r="H47" s="710">
        <v>0.314</v>
      </c>
      <c r="I47" s="708">
        <v>0.52</v>
      </c>
      <c r="J47" s="570">
        <v>4.1189999999999998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4.1189999999999998</v>
      </c>
      <c r="N47" s="632">
        <f t="shared" si="240"/>
        <v>0.82980361134671243</v>
      </c>
      <c r="O47" s="629">
        <f t="shared" si="241"/>
        <v>-3.1252217976635652</v>
      </c>
      <c r="P47" s="633">
        <f t="shared" si="242"/>
        <v>-0.25550077059032411</v>
      </c>
      <c r="Q47" s="585">
        <f t="shared" si="113"/>
        <v>284.8699718642572</v>
      </c>
      <c r="R47" s="629">
        <f t="shared" si="385"/>
        <v>3.2335097522654128</v>
      </c>
      <c r="S47" s="634">
        <f t="shared" si="386"/>
        <v>-0.25550077059032411</v>
      </c>
      <c r="T47" s="635">
        <f t="shared" si="387"/>
        <v>-3.1205385826687215</v>
      </c>
      <c r="U47" s="629">
        <f t="shared" si="388"/>
        <v>-0.84724510743433501</v>
      </c>
      <c r="V47" s="636">
        <f t="shared" si="389"/>
        <v>-0.25550077059032411</v>
      </c>
      <c r="W47" s="585">
        <f t="shared" si="224"/>
        <v>195.18997181805491</v>
      </c>
      <c r="X47" s="629">
        <f t="shared" si="390"/>
        <v>3.2335097522654128</v>
      </c>
      <c r="Y47" s="630">
        <f t="shared" si="223"/>
        <v>-0.25550077059032411</v>
      </c>
      <c r="Z47" s="632">
        <f t="shared" si="243"/>
        <v>-0.97676112072031329</v>
      </c>
      <c r="AA47" s="629">
        <f t="shared" si="244"/>
        <v>-7.2207357649342024E-2</v>
      </c>
      <c r="AB47" s="629">
        <f t="shared" si="245"/>
        <v>-0.2018014136484122</v>
      </c>
      <c r="AC47" s="636">
        <f t="shared" si="391"/>
        <v>1</v>
      </c>
      <c r="AD47" s="637">
        <f t="shared" si="392"/>
        <v>-0.97676112072031329</v>
      </c>
      <c r="AE47" s="629">
        <f t="shared" si="393"/>
        <v>-7.2207357649342024E-2</v>
      </c>
      <c r="AF47" s="633">
        <f t="shared" si="394"/>
        <v>-0.2018014136484122</v>
      </c>
      <c r="AG47" s="602">
        <f t="shared" si="395"/>
        <v>-19.687917132079779</v>
      </c>
      <c r="AH47" s="603">
        <f t="shared" si="396"/>
        <v>167.62372731281101</v>
      </c>
      <c r="AI47" s="585">
        <f t="shared" si="397"/>
        <v>-78.357679398824729</v>
      </c>
      <c r="AJ47" s="586">
        <f t="shared" si="398"/>
        <v>-85.772082975618076</v>
      </c>
      <c r="AK47" s="635">
        <f t="shared" si="399"/>
        <v>0.96258038793543188</v>
      </c>
      <c r="AL47" s="629">
        <f t="shared" si="400"/>
        <v>-0.18087339829719501</v>
      </c>
      <c r="AM47" s="634">
        <f t="shared" si="401"/>
        <v>-0.2018014136484122</v>
      </c>
      <c r="AN47" s="581">
        <f t="shared" si="402"/>
        <v>-41.869682503145121</v>
      </c>
      <c r="AO47" s="582">
        <f t="shared" si="94"/>
        <v>15.723561335848965</v>
      </c>
      <c r="AP47" s="585">
        <f t="shared" si="403"/>
        <v>-10.642054839875254</v>
      </c>
      <c r="AQ47" s="586">
        <f t="shared" si="246"/>
        <v>0.70499604289192053</v>
      </c>
      <c r="AS47" s="52">
        <f t="shared" si="406"/>
        <v>-164.81002818194509</v>
      </c>
      <c r="AT47" s="72">
        <f t="shared" si="247"/>
        <v>-0.14082713994050272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4.1189999999999998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0.91794793310020861</v>
      </c>
      <c r="C48" s="708">
        <v>-3.6981897371572181</v>
      </c>
      <c r="D48" s="709">
        <v>-0.78150235701110871</v>
      </c>
      <c r="E48" s="710">
        <v>0.98031142651126557</v>
      </c>
      <c r="F48" s="708">
        <v>-9.9895249184759338E-2</v>
      </c>
      <c r="G48" s="711">
        <v>0.17032453211960502</v>
      </c>
      <c r="H48" s="710">
        <v>0.314</v>
      </c>
      <c r="I48" s="708">
        <v>0.52</v>
      </c>
      <c r="J48" s="570">
        <v>4.1260000000000003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4.1260000000000003</v>
      </c>
      <c r="N48" s="632">
        <f t="shared" si="240"/>
        <v>0.91794793310020861</v>
      </c>
      <c r="O48" s="629">
        <f t="shared" si="241"/>
        <v>-3.6981897371572181</v>
      </c>
      <c r="P48" s="633">
        <f t="shared" si="242"/>
        <v>-0.78150235701110871</v>
      </c>
      <c r="Q48" s="585">
        <f t="shared" si="113"/>
        <v>283.93997199853254</v>
      </c>
      <c r="R48" s="629">
        <f t="shared" si="79"/>
        <v>3.8104114922010615</v>
      </c>
      <c r="S48" s="634">
        <f t="shared" si="80"/>
        <v>-0.78150235701110871</v>
      </c>
      <c r="T48" s="635">
        <f t="shared" si="81"/>
        <v>-3.6930052978125025</v>
      </c>
      <c r="U48" s="629">
        <f t="shared" si="82"/>
        <v>-0.93858809401499899</v>
      </c>
      <c r="V48" s="636">
        <f t="shared" si="114"/>
        <v>-0.78150235701110871</v>
      </c>
      <c r="W48" s="585">
        <f t="shared" si="224"/>
        <v>194.25997195233026</v>
      </c>
      <c r="X48" s="629">
        <f t="shared" si="83"/>
        <v>3.8104114922010615</v>
      </c>
      <c r="Y48" s="630">
        <f t="shared" si="223"/>
        <v>-0.78150235701110871</v>
      </c>
      <c r="Z48" s="632">
        <f t="shared" si="243"/>
        <v>-0.98031142651126557</v>
      </c>
      <c r="AA48" s="629">
        <f t="shared" si="244"/>
        <v>9.9895249184759338E-2</v>
      </c>
      <c r="AB48" s="629">
        <f t="shared" si="245"/>
        <v>-0.17032453211960502</v>
      </c>
      <c r="AC48" s="636">
        <f t="shared" si="84"/>
        <v>1</v>
      </c>
      <c r="AD48" s="637">
        <f t="shared" si="115"/>
        <v>-0.98031142651126557</v>
      </c>
      <c r="AE48" s="629">
        <f t="shared" si="85"/>
        <v>9.9895249184759338E-2</v>
      </c>
      <c r="AF48" s="633">
        <f t="shared" si="86"/>
        <v>-0.17032453211960502</v>
      </c>
      <c r="AG48" s="602">
        <f t="shared" si="87"/>
        <v>30.391600753649254</v>
      </c>
      <c r="AH48" s="603">
        <f t="shared" si="88"/>
        <v>168.6116738857306</v>
      </c>
      <c r="AI48" s="585">
        <f t="shared" si="89"/>
        <v>-80.19331143050492</v>
      </c>
      <c r="AJ48" s="586">
        <f t="shared" si="90"/>
        <v>-95.818444503933577</v>
      </c>
      <c r="AK48" s="635">
        <f t="shared" si="211"/>
        <v>0.92737464876399101</v>
      </c>
      <c r="AL48" s="629">
        <f t="shared" si="91"/>
        <v>-0.33311531725230215</v>
      </c>
      <c r="AM48" s="634">
        <f t="shared" si="92"/>
        <v>-0.17032453211960502</v>
      </c>
      <c r="AN48" s="581">
        <f t="shared" si="93"/>
        <v>-62.918975394336783</v>
      </c>
      <c r="AO48" s="582">
        <f t="shared" si="94"/>
        <v>21.970799761886287</v>
      </c>
      <c r="AP48" s="585">
        <f t="shared" si="95"/>
        <v>-19.758416502466144</v>
      </c>
      <c r="AQ48" s="586">
        <f t="shared" si="246"/>
        <v>0.5982670856816471</v>
      </c>
      <c r="AS48" s="52">
        <f t="shared" si="406"/>
        <v>-165.74002804766974</v>
      </c>
      <c r="AT48" s="72">
        <f t="shared" si="247"/>
        <v>-0.66618289312120071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4.1260000000000003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0.94999969265512219</v>
      </c>
      <c r="C49" s="708">
        <v>-3.9753770443986176</v>
      </c>
      <c r="D49" s="709">
        <v>-1.5061045424113002</v>
      </c>
      <c r="E49" s="710">
        <v>0.96262321095302306</v>
      </c>
      <c r="F49" s="708">
        <v>-0.26135867188628287</v>
      </c>
      <c r="G49" s="711">
        <v>7.1050674622625695E-2</v>
      </c>
      <c r="H49" s="710">
        <v>0.314</v>
      </c>
      <c r="I49" s="708">
        <v>0.52</v>
      </c>
      <c r="J49" s="570">
        <v>4.133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4.133</v>
      </c>
      <c r="N49" s="632">
        <f t="shared" si="240"/>
        <v>0.94999969265512219</v>
      </c>
      <c r="O49" s="629">
        <f t="shared" si="241"/>
        <v>-3.9753770443986176</v>
      </c>
      <c r="P49" s="633">
        <f t="shared" si="242"/>
        <v>-1.5061045424113002</v>
      </c>
      <c r="Q49" s="585">
        <f t="shared" si="113"/>
        <v>283.43997207072357</v>
      </c>
      <c r="R49" s="629">
        <f t="shared" si="79"/>
        <v>4.0873123273339802</v>
      </c>
      <c r="S49" s="634">
        <f t="shared" si="80"/>
        <v>-1.5061045424113002</v>
      </c>
      <c r="T49" s="635">
        <f t="shared" si="81"/>
        <v>-3.970009272100167</v>
      </c>
      <c r="U49" s="629">
        <f t="shared" si="82"/>
        <v>-0.9721874513770592</v>
      </c>
      <c r="V49" s="636">
        <f t="shared" si="114"/>
        <v>-1.5061045424113002</v>
      </c>
      <c r="W49" s="585">
        <f t="shared" si="224"/>
        <v>193.75997202452129</v>
      </c>
      <c r="X49" s="629">
        <f t="shared" si="83"/>
        <v>4.0873123273339802</v>
      </c>
      <c r="Y49" s="630">
        <f t="shared" si="223"/>
        <v>-1.5061045424113002</v>
      </c>
      <c r="Z49" s="632">
        <f t="shared" si="243"/>
        <v>-0.96262321095302306</v>
      </c>
      <c r="AA49" s="629">
        <f t="shared" si="244"/>
        <v>0.26135867188628287</v>
      </c>
      <c r="AB49" s="629">
        <f t="shared" si="245"/>
        <v>-7.1050674622625695E-2</v>
      </c>
      <c r="AC49" s="636">
        <f t="shared" si="84"/>
        <v>1</v>
      </c>
      <c r="AD49" s="637">
        <f t="shared" si="115"/>
        <v>-0.96262321095302306</v>
      </c>
      <c r="AE49" s="629">
        <f t="shared" si="85"/>
        <v>0.26135867188628287</v>
      </c>
      <c r="AF49" s="633">
        <f t="shared" si="86"/>
        <v>-7.1050674622625695E-2</v>
      </c>
      <c r="AG49" s="602">
        <f t="shared" si="87"/>
        <v>74.791610658598913</v>
      </c>
      <c r="AH49" s="603">
        <f t="shared" si="88"/>
        <v>164.28549512403592</v>
      </c>
      <c r="AI49" s="585">
        <f t="shared" si="89"/>
        <v>-85.925663286653005</v>
      </c>
      <c r="AJ49" s="586">
        <f t="shared" si="90"/>
        <v>-105.19000759092198</v>
      </c>
      <c r="AK49" s="635">
        <f t="shared" si="211"/>
        <v>0.87551409598232366</v>
      </c>
      <c r="AL49" s="629">
        <f t="shared" si="91"/>
        <v>-0.47794023619269022</v>
      </c>
      <c r="AM49" s="634">
        <f t="shared" si="92"/>
        <v>-7.1050674622625695E-2</v>
      </c>
      <c r="AN49" s="581">
        <f t="shared" si="93"/>
        <v>-81.544326721107225</v>
      </c>
      <c r="AO49" s="582">
        <f t="shared" si="94"/>
        <v>28.894122778982737</v>
      </c>
      <c r="AP49" s="585">
        <f t="shared" si="95"/>
        <v>-28.62997966164555</v>
      </c>
      <c r="AQ49" s="586">
        <f t="shared" si="246"/>
        <v>0.55773927737062912</v>
      </c>
      <c r="AS49" s="52">
        <f t="shared" si="406"/>
        <v>-166.24002797547871</v>
      </c>
      <c r="AT49" s="72">
        <f t="shared" si="247"/>
        <v>-1.3904378563493027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4.133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0.95456891550646972</v>
      </c>
      <c r="C50" s="708">
        <v>-4.019314411444987</v>
      </c>
      <c r="D50" s="709">
        <v>-2.281506881024753</v>
      </c>
      <c r="E50" s="710">
        <v>0.95812277495675657</v>
      </c>
      <c r="F50" s="708">
        <v>-0.28635772751778782</v>
      </c>
      <c r="G50" s="711">
        <v>1.1339743346261811E-7</v>
      </c>
      <c r="H50" s="710">
        <v>0.314</v>
      </c>
      <c r="I50" s="708">
        <v>0.52</v>
      </c>
      <c r="J50" s="570">
        <v>4.1399999999999997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4.1399999999999997</v>
      </c>
      <c r="N50" s="632">
        <f t="shared" si="240"/>
        <v>0.95456891550646972</v>
      </c>
      <c r="O50" s="629">
        <f t="shared" si="241"/>
        <v>-4.019314411444987</v>
      </c>
      <c r="P50" s="633">
        <f t="shared" si="242"/>
        <v>-2.281506881024753</v>
      </c>
      <c r="Q50" s="585">
        <f t="shared" si="113"/>
        <v>283.35997208227417</v>
      </c>
      <c r="R50" s="629">
        <f t="shared" si="79"/>
        <v>4.1311124594351778</v>
      </c>
      <c r="S50" s="634">
        <f t="shared" si="80"/>
        <v>-2.281506881024753</v>
      </c>
      <c r="T50" s="635">
        <f t="shared" si="81"/>
        <v>-4.0139204346650308</v>
      </c>
      <c r="U50" s="629">
        <f t="shared" si="82"/>
        <v>-0.97700199420423539</v>
      </c>
      <c r="V50" s="636">
        <f t="shared" si="114"/>
        <v>-2.281506881024753</v>
      </c>
      <c r="W50" s="585">
        <f t="shared" si="224"/>
        <v>193.67997203607189</v>
      </c>
      <c r="X50" s="629">
        <f t="shared" si="83"/>
        <v>4.1311124594351778</v>
      </c>
      <c r="Y50" s="630">
        <f t="shared" si="223"/>
        <v>-2.281506881024753</v>
      </c>
      <c r="Z50" s="632">
        <f t="shared" si="243"/>
        <v>-0.95812277495675657</v>
      </c>
      <c r="AA50" s="629">
        <f t="shared" si="244"/>
        <v>0.28635772751778782</v>
      </c>
      <c r="AB50" s="629">
        <f t="shared" si="245"/>
        <v>-1.1339743346261811E-7</v>
      </c>
      <c r="AC50" s="636">
        <f t="shared" si="84"/>
        <v>1</v>
      </c>
      <c r="AD50" s="637">
        <f t="shared" si="115"/>
        <v>-0.95812277495675657</v>
      </c>
      <c r="AE50" s="629">
        <f t="shared" si="85"/>
        <v>0.28635772751778782</v>
      </c>
      <c r="AF50" s="633">
        <f t="shared" si="86"/>
        <v>-1.1339743346261811E-7</v>
      </c>
      <c r="AG50" s="602">
        <f t="shared" si="87"/>
        <v>89.999977310916663</v>
      </c>
      <c r="AH50" s="603">
        <f t="shared" si="88"/>
        <v>163.359976413737</v>
      </c>
      <c r="AI50" s="585">
        <f t="shared" si="89"/>
        <v>-89.999993502805651</v>
      </c>
      <c r="AJ50" s="586">
        <f t="shared" si="90"/>
        <v>-106.64002358626175</v>
      </c>
      <c r="AK50" s="635">
        <f t="shared" si="211"/>
        <v>0.86602544158358552</v>
      </c>
      <c r="AL50" s="629">
        <f t="shared" si="91"/>
        <v>-0.49999993452993874</v>
      </c>
      <c r="AM50" s="634">
        <f t="shared" si="92"/>
        <v>-1.1339743346261811E-7</v>
      </c>
      <c r="AN50" s="581">
        <f t="shared" si="93"/>
        <v>-89.999987005609611</v>
      </c>
      <c r="AO50" s="582">
        <f t="shared" si="94"/>
        <v>29.999995668536549</v>
      </c>
      <c r="AP50" s="585">
        <f t="shared" si="95"/>
        <v>-29.99999566853592</v>
      </c>
      <c r="AQ50" s="586">
        <f t="shared" si="246"/>
        <v>0.55182621266630238</v>
      </c>
      <c r="AS50" s="52">
        <f t="shared" si="406"/>
        <v>-166.32002796392811</v>
      </c>
      <c r="AT50" s="72">
        <f t="shared" si="247"/>
        <v>-2.1657846394152211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4.1399999999999997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-6.2169375835212535E-3</v>
      </c>
      <c r="C51" s="708">
        <v>-3.2552038810220401</v>
      </c>
      <c r="D51" s="709">
        <v>-0.21840065869638667</v>
      </c>
      <c r="E51" s="710">
        <v>0.93602649309600072</v>
      </c>
      <c r="F51" s="708">
        <v>-0.21638517556633768</v>
      </c>
      <c r="G51" s="711">
        <v>0.2775461403398139</v>
      </c>
      <c r="H51" s="710">
        <v>0.26600000000000001</v>
      </c>
      <c r="I51" s="708">
        <v>0.52</v>
      </c>
      <c r="J51" s="570">
        <v>4.2190000000000003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4.2190000000000003</v>
      </c>
      <c r="N51" s="632">
        <f t="shared" si="240"/>
        <v>-6.2169375835212535E-3</v>
      </c>
      <c r="O51" s="629">
        <f t="shared" si="241"/>
        <v>-3.2552038810220401</v>
      </c>
      <c r="P51" s="633">
        <f t="shared" si="242"/>
        <v>-0.21840065869638667</v>
      </c>
      <c r="Q51" s="585">
        <f t="shared" si="113"/>
        <v>269.89057402701462</v>
      </c>
      <c r="R51" s="629">
        <f t="shared" si="79"/>
        <v>3.2552098177128106</v>
      </c>
      <c r="S51" s="634">
        <f t="shared" si="80"/>
        <v>-0.21840065869638667</v>
      </c>
      <c r="T51" s="635">
        <f t="shared" si="81"/>
        <v>-3.2551878334122923</v>
      </c>
      <c r="U51" s="629">
        <f t="shared" si="82"/>
        <v>-1.1963550411784691E-2</v>
      </c>
      <c r="V51" s="636">
        <f t="shared" si="114"/>
        <v>-0.21840065869638667</v>
      </c>
      <c r="W51" s="585">
        <f t="shared" si="224"/>
        <v>180.21057398081234</v>
      </c>
      <c r="X51" s="629">
        <f t="shared" si="83"/>
        <v>3.2552098177128106</v>
      </c>
      <c r="Y51" s="630">
        <f t="shared" si="223"/>
        <v>-0.21840065869638667</v>
      </c>
      <c r="Z51" s="632">
        <f t="shared" si="243"/>
        <v>-0.93602649309600072</v>
      </c>
      <c r="AA51" s="629">
        <f t="shared" si="244"/>
        <v>0.21638517556633768</v>
      </c>
      <c r="AB51" s="629">
        <f t="shared" si="245"/>
        <v>-0.2775461403398139</v>
      </c>
      <c r="AC51" s="636">
        <f t="shared" si="84"/>
        <v>1</v>
      </c>
      <c r="AD51" s="637">
        <f t="shared" si="115"/>
        <v>-0.93602649309600072</v>
      </c>
      <c r="AE51" s="629">
        <f t="shared" si="85"/>
        <v>0.21638517556633768</v>
      </c>
      <c r="AF51" s="633">
        <f t="shared" si="86"/>
        <v>-0.2775461403398139</v>
      </c>
      <c r="AG51" s="602">
        <f t="shared" si="87"/>
        <v>37.941289206165138</v>
      </c>
      <c r="AH51" s="603">
        <f t="shared" si="88"/>
        <v>159.39461983097846</v>
      </c>
      <c r="AI51" s="585">
        <f t="shared" si="89"/>
        <v>-73.886194859098083</v>
      </c>
      <c r="AJ51" s="586">
        <f t="shared" si="90"/>
        <v>-103.0166446683286</v>
      </c>
      <c r="AK51" s="635">
        <f t="shared" si="211"/>
        <v>0.93643804759038773</v>
      </c>
      <c r="AL51" s="629">
        <f t="shared" si="91"/>
        <v>-0.21459711789205091</v>
      </c>
      <c r="AM51" s="634">
        <f t="shared" si="92"/>
        <v>-0.2775461403398139</v>
      </c>
      <c r="AN51" s="581">
        <f t="shared" si="93"/>
        <v>-37.710994278937996</v>
      </c>
      <c r="AO51" s="582">
        <f t="shared" si="94"/>
        <v>20.538272627278669</v>
      </c>
      <c r="AP51" s="585">
        <f t="shared" si="95"/>
        <v>-12.90721869534322</v>
      </c>
      <c r="AQ51" s="586">
        <f t="shared" si="246"/>
        <v>0.70029682765064594</v>
      </c>
      <c r="AS51" s="52">
        <f t="shared" si="406"/>
        <v>-179.78942601918766</v>
      </c>
      <c r="AT51" s="72">
        <f t="shared" si="247"/>
        <v>-9.3324668437369029E-2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4.2190000000000003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4.1189999999999998</v>
      </c>
      <c r="II51" s="734" cm="1">
        <f t="array" ref="II51">IFERROR(ROUND(VALUE(IF($IH51&lt;1,$IH51+LARGE((IF($M$9:$M$150="",0,$M$9:$M$150)-MOD(IF($M$9:$M$150="",0,$M$9:$M$150),1)),1),$IH51)),4),"")</f>
        <v>4.1189999999999998</v>
      </c>
      <c r="IJ51" s="533">
        <f t="shared" si="112"/>
        <v>1613</v>
      </c>
      <c r="IK51" s="533">
        <f t="shared" si="382"/>
        <v>1313</v>
      </c>
      <c r="IL51" s="727">
        <f t="shared" si="225"/>
        <v>14.979397837242573</v>
      </c>
      <c r="IM51" s="759">
        <v>1.0370630480078301E-2</v>
      </c>
      <c r="IN51" s="5">
        <f t="shared" si="226"/>
        <v>0.24</v>
      </c>
      <c r="IO51" s="771">
        <v>120</v>
      </c>
      <c r="IP51" s="9">
        <f t="shared" si="227"/>
        <v>-3.2335097522654128</v>
      </c>
      <c r="IQ51" s="5">
        <f t="shared" si="228"/>
        <v>-0.25550077059032411</v>
      </c>
      <c r="IR51" s="5">
        <f t="shared" si="383"/>
        <v>0.314</v>
      </c>
      <c r="IS51" s="5">
        <f t="shared" si="229"/>
        <v>0.30225024181172561</v>
      </c>
      <c r="IT51" s="727">
        <f t="shared" si="230"/>
        <v>41.869682503145121</v>
      </c>
      <c r="IU51" s="9">
        <f t="shared" si="231"/>
        <v>-3.2552098177128106</v>
      </c>
      <c r="IV51" s="5">
        <f t="shared" si="232"/>
        <v>-0.21840065869638667</v>
      </c>
      <c r="IW51" s="5">
        <f t="shared" si="384"/>
        <v>0.26600000000000001</v>
      </c>
      <c r="IX51" s="5">
        <f t="shared" si="233"/>
        <v>0.24909252065904314</v>
      </c>
      <c r="IY51" s="762">
        <f t="shared" si="234"/>
        <v>37.710994278937996</v>
      </c>
    </row>
    <row r="52" spans="1:259" ht="15" customHeight="1" x14ac:dyDescent="0.25">
      <c r="A52" s="79"/>
      <c r="B52" s="707">
        <v>6.558749670760243E-2</v>
      </c>
      <c r="C52" s="708">
        <v>-3.8480527003910288</v>
      </c>
      <c r="D52" s="709">
        <v>-0.75330227195965216</v>
      </c>
      <c r="E52" s="710">
        <v>0.8993244233404617</v>
      </c>
      <c r="F52" s="708">
        <v>-0.37403822282012927</v>
      </c>
      <c r="G52" s="711">
        <v>0.226519291568964</v>
      </c>
      <c r="H52" s="710">
        <v>0.26600000000000001</v>
      </c>
      <c r="I52" s="708">
        <v>0.52</v>
      </c>
      <c r="J52" s="570">
        <v>4.226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4.226</v>
      </c>
      <c r="N52" s="632">
        <f t="shared" si="240"/>
        <v>6.558749670760243E-2</v>
      </c>
      <c r="O52" s="629">
        <f t="shared" si="241"/>
        <v>-3.8480527003910288</v>
      </c>
      <c r="P52" s="633">
        <f t="shared" si="242"/>
        <v>-0.75330227195965216</v>
      </c>
      <c r="Q52" s="585">
        <f t="shared" si="113"/>
        <v>270.97647387023005</v>
      </c>
      <c r="R52" s="629">
        <f t="shared" si="79"/>
        <v>3.8486116074126078</v>
      </c>
      <c r="S52" s="634">
        <f t="shared" si="80"/>
        <v>-0.75330227195965216</v>
      </c>
      <c r="T52" s="635">
        <f t="shared" si="81"/>
        <v>-3.8476263770216992</v>
      </c>
      <c r="U52" s="629">
        <f t="shared" si="82"/>
        <v>-8.7077939559514844E-2</v>
      </c>
      <c r="V52" s="636">
        <f t="shared" si="114"/>
        <v>-0.75330227195965216</v>
      </c>
      <c r="W52" s="585">
        <f t="shared" si="224"/>
        <v>181.29647382402777</v>
      </c>
      <c r="X52" s="629">
        <f t="shared" si="83"/>
        <v>3.8486116074126078</v>
      </c>
      <c r="Y52" s="630">
        <f t="shared" si="223"/>
        <v>-0.75330227195965216</v>
      </c>
      <c r="Z52" s="632">
        <f t="shared" si="243"/>
        <v>-0.8993244233404617</v>
      </c>
      <c r="AA52" s="629">
        <f t="shared" si="244"/>
        <v>0.37403822282012927</v>
      </c>
      <c r="AB52" s="629">
        <f t="shared" si="245"/>
        <v>-0.226519291568964</v>
      </c>
      <c r="AC52" s="636">
        <f t="shared" si="84"/>
        <v>1</v>
      </c>
      <c r="AD52" s="637">
        <f t="shared" si="115"/>
        <v>-0.8993244233404617</v>
      </c>
      <c r="AE52" s="629">
        <f t="shared" si="85"/>
        <v>0.37403822282012927</v>
      </c>
      <c r="AF52" s="633">
        <f t="shared" si="86"/>
        <v>-0.226519291568964</v>
      </c>
      <c r="AG52" s="602">
        <f t="shared" si="87"/>
        <v>58.800706984508182</v>
      </c>
      <c r="AH52" s="603">
        <f t="shared" si="88"/>
        <v>154.0694073014198</v>
      </c>
      <c r="AI52" s="585">
        <f t="shared" si="89"/>
        <v>-76.907765933708035</v>
      </c>
      <c r="AJ52" s="586">
        <f t="shared" si="90"/>
        <v>-112.58292547186581</v>
      </c>
      <c r="AK52" s="635">
        <f t="shared" si="211"/>
        <v>0.89281951403904092</v>
      </c>
      <c r="AL52" s="629">
        <f t="shared" si="91"/>
        <v>-0.38931006395697704</v>
      </c>
      <c r="AM52" s="634">
        <f t="shared" si="92"/>
        <v>-0.226519291568964</v>
      </c>
      <c r="AN52" s="581">
        <f t="shared" si="93"/>
        <v>-59.807099629611969</v>
      </c>
      <c r="AO52" s="582">
        <f t="shared" si="94"/>
        <v>26.770287612951453</v>
      </c>
      <c r="AP52" s="585">
        <f t="shared" si="95"/>
        <v>-23.559399342095851</v>
      </c>
      <c r="AQ52" s="586">
        <f t="shared" si="246"/>
        <v>0.59232929890350527</v>
      </c>
      <c r="AS52" s="52">
        <f t="shared" si="406"/>
        <v>-178.70352617597223</v>
      </c>
      <c r="AT52" s="72">
        <f t="shared" si="247"/>
        <v>-0.62898037881397861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4.226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4.1260000000000003</v>
      </c>
      <c r="II52" s="734" cm="1">
        <f t="array" ref="II52">IFERROR(ROUND(VALUE(IF($IH52&lt;1,$IH52+LARGE((IF($M$9:$M$150="",0,$M$9:$M$150)-MOD(IF($M$9:$M$150="",0,$M$9:$M$150),1)),1),$IH52)),4),"")</f>
        <v>4.1260000000000003</v>
      </c>
      <c r="IJ52" s="533">
        <f t="shared" si="112"/>
        <v>1613</v>
      </c>
      <c r="IK52" s="533">
        <f t="shared" si="382"/>
        <v>1313</v>
      </c>
      <c r="IL52" s="727">
        <f t="shared" si="225"/>
        <v>12.96349812830249</v>
      </c>
      <c r="IM52" s="759">
        <v>6.4808832876389298E-3</v>
      </c>
      <c r="IN52" s="5">
        <f t="shared" si="226"/>
        <v>0.22</v>
      </c>
      <c r="IO52" s="771">
        <v>110</v>
      </c>
      <c r="IP52" s="9">
        <f t="shared" si="227"/>
        <v>-3.8104114922010615</v>
      </c>
      <c r="IQ52" s="5">
        <f t="shared" si="228"/>
        <v>-0.78150235701110871</v>
      </c>
      <c r="IR52" s="5">
        <f t="shared" si="383"/>
        <v>0.314</v>
      </c>
      <c r="IS52" s="5">
        <f t="shared" si="229"/>
        <v>0.29119563971189316</v>
      </c>
      <c r="IT52" s="727">
        <f t="shared" si="230"/>
        <v>62.918975394336783</v>
      </c>
      <c r="IU52" s="9">
        <f t="shared" si="231"/>
        <v>-3.8486116074126078</v>
      </c>
      <c r="IV52" s="5">
        <f t="shared" si="232"/>
        <v>-0.75330227195965216</v>
      </c>
      <c r="IW52" s="5">
        <f t="shared" si="384"/>
        <v>0.26600000000000001</v>
      </c>
      <c r="IX52" s="5">
        <f t="shared" si="233"/>
        <v>0.2374899907343849</v>
      </c>
      <c r="IY52" s="762">
        <f t="shared" si="234"/>
        <v>59.807099629611969</v>
      </c>
    </row>
    <row r="53" spans="1:259" ht="15" customHeight="1" x14ac:dyDescent="0.25">
      <c r="A53" s="79"/>
      <c r="B53" s="707">
        <v>5.4571948033757547E-2</v>
      </c>
      <c r="C53" s="708">
        <v>-4.1363525012103715</v>
      </c>
      <c r="D53" s="709">
        <v>-1.493904505615989</v>
      </c>
      <c r="E53" s="710">
        <v>0.83874078343059488</v>
      </c>
      <c r="F53" s="708">
        <v>-0.53501280378257277</v>
      </c>
      <c r="G53" s="711">
        <v>0.1013666513156192</v>
      </c>
      <c r="H53" s="710">
        <v>0.26600000000000001</v>
      </c>
      <c r="I53" s="708">
        <v>0.52</v>
      </c>
      <c r="J53" s="570">
        <v>4.2329999999999997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4.2329999999999997</v>
      </c>
      <c r="N53" s="632">
        <f t="shared" si="240"/>
        <v>5.4571948033757547E-2</v>
      </c>
      <c r="O53" s="629">
        <f t="shared" si="241"/>
        <v>-4.1363525012103715</v>
      </c>
      <c r="P53" s="633">
        <f t="shared" si="242"/>
        <v>-1.493904505615989</v>
      </c>
      <c r="Q53" s="585">
        <f t="shared" si="113"/>
        <v>270.75587390208079</v>
      </c>
      <c r="R53" s="629">
        <f t="shared" ref="R53:R58" si="410">IF(M53="","",SQRT(N53^2+O53^2))</f>
        <v>4.1367124763248286</v>
      </c>
      <c r="S53" s="634">
        <f t="shared" ref="S53:S58" si="411">IF(M53="","",P53)</f>
        <v>-1.493904505615989</v>
      </c>
      <c r="T53" s="635">
        <f t="shared" ref="T53:T58" si="412">IF(M53="","",X53*COS(RADIANS(W53)))</f>
        <v>-4.1359832035127084</v>
      </c>
      <c r="U53" s="629">
        <f t="shared" ref="U53:U58" si="413">IF(M53="","",X53*SIN(RADIANS(W53)))</f>
        <v>-7.7672723927076345E-2</v>
      </c>
      <c r="V53" s="636">
        <f t="shared" ref="V53:V58" si="414">IF(M53="","",Y53)</f>
        <v>-1.493904505615989</v>
      </c>
      <c r="W53" s="585">
        <f t="shared" si="224"/>
        <v>181.07587385587851</v>
      </c>
      <c r="X53" s="629">
        <f t="shared" ref="X53:X58" si="415">IF(M53="","",R53)</f>
        <v>4.1367124763248286</v>
      </c>
      <c r="Y53" s="630">
        <f t="shared" si="223"/>
        <v>-1.493904505615989</v>
      </c>
      <c r="Z53" s="632">
        <f t="shared" si="243"/>
        <v>-0.83874078343059488</v>
      </c>
      <c r="AA53" s="629">
        <f t="shared" si="244"/>
        <v>0.53501280378257277</v>
      </c>
      <c r="AB53" s="629">
        <f t="shared" si="245"/>
        <v>-0.1013666513156192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-0.83874078343059488</v>
      </c>
      <c r="AE53" s="629">
        <f t="shared" ref="AE53:AE58" si="418">IF(M53="","",AA53*(1/SQRT(Z53^2+AA53^2+AB53^2)))</f>
        <v>0.53501280378257277</v>
      </c>
      <c r="AF53" s="633">
        <f t="shared" ref="AF53:AF58" si="419">IF(M53="","",AB53*(1/SQRT(Z53^2+AA53^2+AB53^2)))</f>
        <v>-0.1013666513156192</v>
      </c>
      <c r="AG53" s="602">
        <f t="shared" ref="AG53:AG58" si="420">IF(M53="","",DEGREES(ATAN2(-AF53,AE53)))</f>
        <v>79.271574459796838</v>
      </c>
      <c r="AH53" s="603">
        <f t="shared" ref="AH53:AH58" si="421">IF(M53="","",DEGREES(ACOS(AD53)))</f>
        <v>147.00738737056815</v>
      </c>
      <c r="AI53" s="585">
        <f t="shared" ref="AI53:AI58" si="422">IF(M53="","",DEGREES(-ACOS(-AF53)))</f>
        <v>-84.182126235011367</v>
      </c>
      <c r="AJ53" s="586">
        <f t="shared" ref="AJ53:AJ58" si="423">IF(M53="","",DEGREES(ATAN2(-AE53,AD53)))</f>
        <v>-122.53283503984296</v>
      </c>
      <c r="AK53" s="635">
        <f t="shared" ref="AK53:AK58" si="424">IF(M53="","",(COS(RADIANS((90-$Q$8)-W53))*AD53)+(-SIN(RADIANS((90-$Q$8)-W53))*AE53))</f>
        <v>0.83160985110117658</v>
      </c>
      <c r="AL53" s="629">
        <f t="shared" ref="AL53:AL58" si="425">IF(M53="","",(SIN(RADIANS((90-$Q$8)-W53))*AD53)+(COS(RADIANS((90-$Q$8)-W53))*AE53))</f>
        <v>-0.54603100420446538</v>
      </c>
      <c r="AM53" s="634">
        <f t="shared" ref="AM53:AM58" si="426">IF(M53="","",AF53)</f>
        <v>-0.1013666513156192</v>
      </c>
      <c r="AN53" s="581">
        <f t="shared" ref="AN53:AN58" si="427">IF(M53="","",DEGREES(ATAN2(-AM53,AL53)))</f>
        <v>-79.483182436306066</v>
      </c>
      <c r="AO53" s="582">
        <f t="shared" si="94"/>
        <v>33.735534484738039</v>
      </c>
      <c r="AP53" s="585">
        <f t="shared" ref="AP53:AP58" si="428">IF(M53="","",DEGREES(ATAN2(AK53,AL53)))</f>
        <v>-33.288708941923744</v>
      </c>
      <c r="AQ53" s="586">
        <f t="shared" si="246"/>
        <v>0.55107923171934425</v>
      </c>
      <c r="AS53" s="52">
        <f t="shared" si="406"/>
        <v>-178.92412614412149</v>
      </c>
      <c r="AT53" s="72">
        <f t="shared" si="247"/>
        <v>-1.3694294180479896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>Gage</v>
      </c>
      <c r="IG53" s="847">
        <f t="shared" si="210"/>
        <v>4.2329999999999997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4.133</v>
      </c>
      <c r="II53" s="734" cm="1">
        <f t="array" ref="II53">IFERROR(ROUND(VALUE(IF($IH53&lt;1,$IH53+LARGE((IF($M$9:$M$150="",0,$M$9:$M$150)-MOD(IF($M$9:$M$150="",0,$M$9:$M$150),1)),1),$IH53)),4),"")</f>
        <v>4.133</v>
      </c>
      <c r="IJ53" s="533">
        <f t="shared" si="112"/>
        <v>1613</v>
      </c>
      <c r="IK53" s="533">
        <f t="shared" si="382"/>
        <v>1313</v>
      </c>
      <c r="IL53" s="727">
        <f t="shared" si="225"/>
        <v>12.684098168642777</v>
      </c>
      <c r="IM53" s="759">
        <v>2.9634238072375699E-3</v>
      </c>
      <c r="IN53" s="5">
        <f t="shared" si="226"/>
        <v>0.16</v>
      </c>
      <c r="IO53" s="771">
        <v>80</v>
      </c>
      <c r="IP53" s="9">
        <f t="shared" si="227"/>
        <v>-4.0873123273339802</v>
      </c>
      <c r="IQ53" s="5">
        <f t="shared" si="228"/>
        <v>-1.5061045424113002</v>
      </c>
      <c r="IR53" s="5">
        <f t="shared" si="383"/>
        <v>0.314</v>
      </c>
      <c r="IS53" s="5">
        <f t="shared" si="229"/>
        <v>0.27491142613844965</v>
      </c>
      <c r="IT53" s="727">
        <f t="shared" si="230"/>
        <v>81.544326721107225</v>
      </c>
      <c r="IU53" s="9">
        <f t="shared" si="231"/>
        <v>-4.1367124763248286</v>
      </c>
      <c r="IV53" s="5">
        <f t="shared" si="232"/>
        <v>-1.493904505615989</v>
      </c>
      <c r="IW53" s="5">
        <f t="shared" si="384"/>
        <v>0.26600000000000001</v>
      </c>
      <c r="IX53" s="5">
        <f t="shared" si="233"/>
        <v>0.22120822039291299</v>
      </c>
      <c r="IY53" s="762">
        <f t="shared" si="234"/>
        <v>79.483182436306066</v>
      </c>
    </row>
    <row r="54" spans="1:259" ht="15" customHeight="1" x14ac:dyDescent="0.25">
      <c r="A54" s="79"/>
      <c r="B54" s="707">
        <v>-0.26377826705136093</v>
      </c>
      <c r="C54" s="708">
        <v>-4.1383143473242621</v>
      </c>
      <c r="D54" s="709">
        <v>-2.2877068997240095</v>
      </c>
      <c r="E54" s="710">
        <v>-6.3611192743711811E-2</v>
      </c>
      <c r="F54" s="708">
        <v>-0.99797475727478757</v>
      </c>
      <c r="G54" s="711">
        <v>2.267948967415553E-7</v>
      </c>
      <c r="H54" s="710">
        <v>0.25700000000000001</v>
      </c>
      <c r="I54" s="708">
        <v>0.41499999999999992</v>
      </c>
      <c r="J54" s="570">
        <v>4.24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4.24</v>
      </c>
      <c r="N54" s="632">
        <f t="shared" si="240"/>
        <v>-0.26377826705136093</v>
      </c>
      <c r="O54" s="629">
        <f t="shared" si="241"/>
        <v>-4.1383143473242621</v>
      </c>
      <c r="P54" s="633">
        <f t="shared" si="242"/>
        <v>-2.2877068997240095</v>
      </c>
      <c r="Q54" s="585">
        <f t="shared" si="113"/>
        <v>266.35287170110541</v>
      </c>
      <c r="R54" s="629">
        <f t="shared" si="410"/>
        <v>4.1467125064849206</v>
      </c>
      <c r="S54" s="634">
        <f t="shared" si="411"/>
        <v>-2.2877068997240095</v>
      </c>
      <c r="T54" s="635">
        <f t="shared" si="412"/>
        <v>-4.1397230125455984</v>
      </c>
      <c r="U54" s="629">
        <f t="shared" si="413"/>
        <v>0.2406615690941315</v>
      </c>
      <c r="V54" s="636">
        <f t="shared" si="414"/>
        <v>-2.2877068997240095</v>
      </c>
      <c r="W54" s="585">
        <f t="shared" si="224"/>
        <v>176.67287165490313</v>
      </c>
      <c r="X54" s="629">
        <f t="shared" si="415"/>
        <v>4.1467125064849206</v>
      </c>
      <c r="Y54" s="630">
        <f t="shared" si="223"/>
        <v>-2.2877068997240095</v>
      </c>
      <c r="Z54" s="632">
        <f t="shared" si="243"/>
        <v>6.3611192743711811E-2</v>
      </c>
      <c r="AA54" s="629">
        <f t="shared" si="244"/>
        <v>0.99797475727478757</v>
      </c>
      <c r="AB54" s="629">
        <f t="shared" si="245"/>
        <v>-2.267948967415553E-7</v>
      </c>
      <c r="AC54" s="636">
        <f t="shared" si="416"/>
        <v>1</v>
      </c>
      <c r="AD54" s="637">
        <f t="shared" si="417"/>
        <v>6.3611192743711811E-2</v>
      </c>
      <c r="AE54" s="629">
        <f t="shared" si="418"/>
        <v>0.99797475727478757</v>
      </c>
      <c r="AF54" s="633">
        <f t="shared" si="419"/>
        <v>-2.267948967415553E-7</v>
      </c>
      <c r="AG54" s="602">
        <f t="shared" si="420"/>
        <v>89.999986979239395</v>
      </c>
      <c r="AH54" s="603">
        <f t="shared" si="421"/>
        <v>86.35288469549586</v>
      </c>
      <c r="AI54" s="585">
        <f t="shared" si="422"/>
        <v>-89.999987005609611</v>
      </c>
      <c r="AJ54" s="586">
        <f t="shared" si="423"/>
        <v>176.35288469549576</v>
      </c>
      <c r="AK54" s="635">
        <f t="shared" si="424"/>
        <v>2.2679489601606928E-7</v>
      </c>
      <c r="AL54" s="629">
        <f t="shared" si="425"/>
        <v>-0.99999999999994871</v>
      </c>
      <c r="AM54" s="634">
        <f t="shared" si="426"/>
        <v>-2.267948967415553E-7</v>
      </c>
      <c r="AN54" s="581">
        <f t="shared" si="427"/>
        <v>-89.999987005609611</v>
      </c>
      <c r="AO54" s="582">
        <f t="shared" si="94"/>
        <v>0</v>
      </c>
      <c r="AP54" s="585">
        <f t="shared" si="428"/>
        <v>-89.99998700560964</v>
      </c>
      <c r="AQ54" s="586">
        <f t="shared" si="246"/>
        <v>0.54975035485643253</v>
      </c>
      <c r="AS54" s="52">
        <f t="shared" si="406"/>
        <v>-183.32712834509687</v>
      </c>
      <c r="AT54" s="72">
        <f t="shared" si="247"/>
        <v>-2.160174171738666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4.24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4.1399999999999997</v>
      </c>
      <c r="II54" s="734" cm="1">
        <f t="array" ref="II54">IFERROR(ROUND(VALUE(IF($IH54&lt;1,$IH54+LARGE((IF($M$9:$M$150="",0,$M$9:$M$150)-MOD(IF($M$9:$M$150="",0,$M$9:$M$150),1)),1),$IH54)),4),"")</f>
        <v>4.1399999999999997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17.007100381168755</v>
      </c>
      <c r="IM54" s="759">
        <v>2.2442727449792E-4</v>
      </c>
      <c r="IN54" s="5">
        <f t="shared" si="226"/>
        <v>0</v>
      </c>
      <c r="IO54" s="771">
        <v>0</v>
      </c>
      <c r="IP54" s="9">
        <f t="shared" si="227"/>
        <v>-4.1311124594351778</v>
      </c>
      <c r="IQ54" s="5">
        <f t="shared" si="228"/>
        <v>-2.281506881024753</v>
      </c>
      <c r="IR54" s="5">
        <f t="shared" si="383"/>
        <v>0.314</v>
      </c>
      <c r="IS54" s="5">
        <f t="shared" si="229"/>
        <v>0.27193198865724588</v>
      </c>
      <c r="IT54" s="727">
        <f t="shared" si="230"/>
        <v>89.999987005609611</v>
      </c>
      <c r="IU54" s="9">
        <f t="shared" si="231"/>
        <v>-4.1467125064849206</v>
      </c>
      <c r="IV54" s="5">
        <f t="shared" si="232"/>
        <v>-2.2877068997240095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89.999987005609611</v>
      </c>
    </row>
    <row r="55" spans="1:259" ht="15" customHeight="1" x14ac:dyDescent="0.25">
      <c r="A55" s="79"/>
      <c r="B55" s="707">
        <v>-0.36188707239296286</v>
      </c>
      <c r="C55" s="708">
        <v>-0.46319398846876442</v>
      </c>
      <c r="D55" s="709">
        <v>-0.47530143350912346</v>
      </c>
      <c r="E55" s="710">
        <v>0.80240123924886197</v>
      </c>
      <c r="F55" s="708">
        <v>-0.54189691604529533</v>
      </c>
      <c r="G55" s="711">
        <v>0.24999996726497564</v>
      </c>
      <c r="H55" s="710">
        <v>0.314</v>
      </c>
      <c r="I55" s="708">
        <v>0.52</v>
      </c>
      <c r="J55" s="570">
        <v>5.1020000000000003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5.1020000000000003</v>
      </c>
      <c r="N55" s="632">
        <f t="shared" si="240"/>
        <v>-0.36188707239296286</v>
      </c>
      <c r="O55" s="629">
        <f t="shared" si="241"/>
        <v>-0.46319398846876442</v>
      </c>
      <c r="P55" s="633">
        <f t="shared" si="242"/>
        <v>-0.47530143350912346</v>
      </c>
      <c r="Q55" s="585">
        <f t="shared" si="113"/>
        <v>231.99997949773959</v>
      </c>
      <c r="R55" s="629">
        <f t="shared" si="410"/>
        <v>0.58780177281014678</v>
      </c>
      <c r="S55" s="634">
        <f t="shared" si="411"/>
        <v>-0.47530143350912346</v>
      </c>
      <c r="T55" s="635">
        <f t="shared" si="412"/>
        <v>-0.4652079122247636</v>
      </c>
      <c r="U55" s="629">
        <f t="shared" si="413"/>
        <v>0.35929447883627164</v>
      </c>
      <c r="V55" s="636">
        <f t="shared" si="414"/>
        <v>-0.47530143350912346</v>
      </c>
      <c r="W55" s="585">
        <f t="shared" si="224"/>
        <v>142.31997945153731</v>
      </c>
      <c r="X55" s="629">
        <f t="shared" si="415"/>
        <v>0.58780177281014678</v>
      </c>
      <c r="Y55" s="630">
        <f t="shared" si="223"/>
        <v>-0.47530143350912346</v>
      </c>
      <c r="Z55" s="632">
        <f t="shared" si="243"/>
        <v>-0.80240123924886197</v>
      </c>
      <c r="AA55" s="629">
        <f t="shared" si="244"/>
        <v>0.54189691604529533</v>
      </c>
      <c r="AB55" s="629">
        <f t="shared" si="245"/>
        <v>-0.24999996726497564</v>
      </c>
      <c r="AC55" s="636">
        <f t="shared" si="416"/>
        <v>1</v>
      </c>
      <c r="AD55" s="637">
        <f t="shared" si="417"/>
        <v>-0.80240123924886197</v>
      </c>
      <c r="AE55" s="629">
        <f t="shared" si="418"/>
        <v>0.54189691604529533</v>
      </c>
      <c r="AF55" s="633">
        <f t="shared" si="419"/>
        <v>-0.24999996726497564</v>
      </c>
      <c r="AG55" s="602">
        <f t="shared" si="420"/>
        <v>65.234125837354625</v>
      </c>
      <c r="AH55" s="603">
        <f t="shared" si="421"/>
        <v>143.36001950406509</v>
      </c>
      <c r="AI55" s="585">
        <f t="shared" si="422"/>
        <v>-75.522489751159469</v>
      </c>
      <c r="AJ55" s="586">
        <f t="shared" si="423"/>
        <v>-124.03289085717384</v>
      </c>
      <c r="AK55" s="635">
        <f t="shared" si="424"/>
        <v>0.96592583607220739</v>
      </c>
      <c r="AL55" s="629">
        <f t="shared" si="425"/>
        <v>6.6987279208207129E-2</v>
      </c>
      <c r="AM55" s="634">
        <f t="shared" si="426"/>
        <v>-0.24999996726497564</v>
      </c>
      <c r="AN55" s="581">
        <f t="shared" si="427"/>
        <v>14.999997834268255</v>
      </c>
      <c r="AO55" s="582">
        <f>IF(ROUND(IF(M55="",0,DEGREES(ACOS(AK55))),4)=90,0,IF(M55="","",DEGREES(ACOS(AK55))))</f>
        <v>14.999997834268255</v>
      </c>
      <c r="AP55" s="585">
        <f t="shared" si="428"/>
        <v>3.9671296450865672</v>
      </c>
      <c r="AQ55" s="586">
        <f t="shared" si="246"/>
        <v>3.8724861829047912</v>
      </c>
      <c r="AS55" s="52">
        <f t="shared" si="406"/>
        <v>-217.68002054846269</v>
      </c>
      <c r="AT55" s="72">
        <f t="shared" si="247"/>
        <v>-0.32391253038255374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5.1020000000000003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-0.81433826242628771</v>
      </c>
      <c r="C56" s="708">
        <v>-1.0423046759912125</v>
      </c>
      <c r="D56" s="709">
        <v>-0.27840083965693241</v>
      </c>
      <c r="E56" s="710">
        <v>0.80240123924886197</v>
      </c>
      <c r="F56" s="708">
        <v>-0.54189691604529522</v>
      </c>
      <c r="G56" s="711">
        <v>0.24999996726497561</v>
      </c>
      <c r="H56" s="710">
        <v>0.314</v>
      </c>
      <c r="I56" s="708">
        <v>0.52</v>
      </c>
      <c r="J56" s="570">
        <v>5.1050000000000004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5.1050000000000004</v>
      </c>
      <c r="N56" s="632">
        <f t="shared" si="240"/>
        <v>-0.81433826242628771</v>
      </c>
      <c r="O56" s="629">
        <f t="shared" si="241"/>
        <v>-1.0423046759912125</v>
      </c>
      <c r="P56" s="633">
        <f t="shared" si="242"/>
        <v>-0.27840083965693241</v>
      </c>
      <c r="Q56" s="585">
        <f t="shared" si="113"/>
        <v>231.99997949773959</v>
      </c>
      <c r="R56" s="629">
        <f t="shared" si="410"/>
        <v>1.3227039892752315</v>
      </c>
      <c r="S56" s="634">
        <f t="shared" si="411"/>
        <v>-0.27840083965693241</v>
      </c>
      <c r="T56" s="635">
        <f t="shared" si="412"/>
        <v>-1.046836518373077</v>
      </c>
      <c r="U56" s="629">
        <f t="shared" si="413"/>
        <v>0.80850426532279085</v>
      </c>
      <c r="V56" s="636">
        <f t="shared" si="414"/>
        <v>-0.27840083965693241</v>
      </c>
      <c r="W56" s="585">
        <f t="shared" si="224"/>
        <v>142.31997945153731</v>
      </c>
      <c r="X56" s="629">
        <f t="shared" si="415"/>
        <v>1.3227039892752315</v>
      </c>
      <c r="Y56" s="630">
        <f t="shared" si="223"/>
        <v>-0.27840083965693241</v>
      </c>
      <c r="Z56" s="632">
        <f t="shared" si="243"/>
        <v>-0.80240123924886197</v>
      </c>
      <c r="AA56" s="629">
        <f t="shared" si="244"/>
        <v>0.54189691604529522</v>
      </c>
      <c r="AB56" s="629">
        <f t="shared" si="245"/>
        <v>-0.24999996726497561</v>
      </c>
      <c r="AC56" s="636">
        <f t="shared" si="416"/>
        <v>1</v>
      </c>
      <c r="AD56" s="637">
        <f t="shared" si="417"/>
        <v>-0.80240123924886197</v>
      </c>
      <c r="AE56" s="629">
        <f t="shared" si="418"/>
        <v>0.54189691604529522</v>
      </c>
      <c r="AF56" s="633">
        <f t="shared" si="419"/>
        <v>-0.24999996726497561</v>
      </c>
      <c r="AG56" s="602">
        <f t="shared" si="420"/>
        <v>65.234125837354625</v>
      </c>
      <c r="AH56" s="603">
        <f t="shared" si="421"/>
        <v>143.36001950406509</v>
      </c>
      <c r="AI56" s="585">
        <f t="shared" si="422"/>
        <v>-75.522489751159469</v>
      </c>
      <c r="AJ56" s="586">
        <f t="shared" si="423"/>
        <v>-124.03289085717384</v>
      </c>
      <c r="AK56" s="635">
        <f t="shared" si="424"/>
        <v>0.96592583607220739</v>
      </c>
      <c r="AL56" s="629">
        <f t="shared" si="425"/>
        <v>6.698727920820724E-2</v>
      </c>
      <c r="AM56" s="634">
        <f t="shared" si="426"/>
        <v>-0.24999996726497561</v>
      </c>
      <c r="AN56" s="581">
        <f t="shared" si="427"/>
        <v>14.999997834268278</v>
      </c>
      <c r="AO56" s="582">
        <f t="shared" ref="AO56:AO119" si="461">IF(ROUND(IF(M56="",0,DEGREES(ACOS(AK56))),4)=90,0,IF(M56="","",DEGREES(ACOS(AK56))))</f>
        <v>14.999997834268255</v>
      </c>
      <c r="AP56" s="585">
        <f t="shared" si="428"/>
        <v>3.9671296450865734</v>
      </c>
      <c r="AQ56" s="586">
        <f t="shared" si="246"/>
        <v>1.7230154221253076</v>
      </c>
      <c r="AS56" s="52">
        <f t="shared" si="406"/>
        <v>-217.68002054846269</v>
      </c>
      <c r="AT56" s="72">
        <f t="shared" si="247"/>
        <v>-0.12701193653036266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5.1050000000000004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-1.2674419041727392</v>
      </c>
      <c r="C57" s="708">
        <v>-1.6216669856490307</v>
      </c>
      <c r="D57" s="709">
        <v>-8.3500251836759548E-2</v>
      </c>
      <c r="E57" s="710">
        <v>0.76391090230330783</v>
      </c>
      <c r="F57" s="708">
        <v>-0.59112905674474781</v>
      </c>
      <c r="G57" s="711">
        <v>0.25885627597995553</v>
      </c>
      <c r="H57" s="710">
        <v>0.314</v>
      </c>
      <c r="I57" s="708">
        <v>0.52</v>
      </c>
      <c r="J57" s="570">
        <v>5.109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5.109</v>
      </c>
      <c r="N57" s="632">
        <f t="shared" si="240"/>
        <v>-1.2674419041727392</v>
      </c>
      <c r="O57" s="629">
        <f t="shared" si="241"/>
        <v>-1.6216669856490307</v>
      </c>
      <c r="P57" s="633">
        <f t="shared" si="242"/>
        <v>-8.3500251836759548E-2</v>
      </c>
      <c r="Q57" s="585">
        <f t="shared" si="113"/>
        <v>231.98997949918342</v>
      </c>
      <c r="R57" s="629">
        <f t="shared" si="410"/>
        <v>2.0582062075499219</v>
      </c>
      <c r="S57" s="634">
        <f t="shared" si="411"/>
        <v>-8.3500251836759548E-2</v>
      </c>
      <c r="T57" s="635">
        <f t="shared" si="412"/>
        <v>-1.6287203866906927</v>
      </c>
      <c r="U57" s="629">
        <f t="shared" si="413"/>
        <v>1.2583650880309549</v>
      </c>
      <c r="V57" s="636">
        <f t="shared" si="414"/>
        <v>-8.3500251836759548E-2</v>
      </c>
      <c r="W57" s="585">
        <f t="shared" si="224"/>
        <v>142.30997945298114</v>
      </c>
      <c r="X57" s="629">
        <f t="shared" si="415"/>
        <v>2.0582062075499219</v>
      </c>
      <c r="Y57" s="630">
        <f t="shared" si="223"/>
        <v>-8.3500251836759548E-2</v>
      </c>
      <c r="Z57" s="632">
        <f t="shared" si="243"/>
        <v>-0.76391090230330783</v>
      </c>
      <c r="AA57" s="629">
        <f t="shared" si="244"/>
        <v>0.59112905674474781</v>
      </c>
      <c r="AB57" s="629">
        <f t="shared" si="245"/>
        <v>-0.25885627597995553</v>
      </c>
      <c r="AC57" s="636">
        <f t="shared" si="416"/>
        <v>1</v>
      </c>
      <c r="AD57" s="637">
        <f t="shared" si="417"/>
        <v>-0.76391090230330783</v>
      </c>
      <c r="AE57" s="629">
        <f t="shared" si="418"/>
        <v>0.59112905674474781</v>
      </c>
      <c r="AF57" s="633">
        <f t="shared" si="419"/>
        <v>-0.25885627597995553</v>
      </c>
      <c r="AG57" s="602">
        <f t="shared" si="420"/>
        <v>66.351318632361384</v>
      </c>
      <c r="AH57" s="603">
        <f t="shared" si="421"/>
        <v>139.81019814275211</v>
      </c>
      <c r="AI57" s="585">
        <f t="shared" si="422"/>
        <v>-74.997791566285144</v>
      </c>
      <c r="AJ57" s="586">
        <f t="shared" si="423"/>
        <v>-127.73339862036022</v>
      </c>
      <c r="AK57" s="635">
        <f t="shared" si="424"/>
        <v>0.96590459218446156</v>
      </c>
      <c r="AL57" s="629">
        <f t="shared" si="425"/>
        <v>4.6633874767269545E-3</v>
      </c>
      <c r="AM57" s="634">
        <f t="shared" si="426"/>
        <v>-0.25885627597995553</v>
      </c>
      <c r="AN57" s="581">
        <f t="shared" si="427"/>
        <v>1.0320921107064753</v>
      </c>
      <c r="AO57" s="582">
        <f t="shared" si="461"/>
        <v>15.004699956979263</v>
      </c>
      <c r="AP57" s="585">
        <f t="shared" si="428"/>
        <v>0.27662188045636038</v>
      </c>
      <c r="AQ57" s="586">
        <f t="shared" si="246"/>
        <v>1.1074899573280075</v>
      </c>
      <c r="AS57" s="52">
        <f t="shared" si="406"/>
        <v>-217.69002054701886</v>
      </c>
      <c r="AT57" s="72">
        <f t="shared" si="247"/>
        <v>6.7895595733251962E-2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5.109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-1.754005168115286</v>
      </c>
      <c r="C58" s="708">
        <v>-2.2003515269195653</v>
      </c>
      <c r="D58" s="709">
        <v>-9.2200278076038686E-2</v>
      </c>
      <c r="E58" s="710">
        <v>0.68513368266833952</v>
      </c>
      <c r="F58" s="708">
        <v>-0.68751375682907201</v>
      </c>
      <c r="G58" s="711">
        <v>0.24065882706457017</v>
      </c>
      <c r="H58" s="710">
        <v>0.314</v>
      </c>
      <c r="I58" s="708">
        <v>0.52</v>
      </c>
      <c r="J58" s="570">
        <v>5.1150000000000002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5.1150000000000002</v>
      </c>
      <c r="N58" s="632">
        <f t="shared" si="240"/>
        <v>-1.754005168115286</v>
      </c>
      <c r="O58" s="629">
        <f t="shared" si="241"/>
        <v>-2.2003515269195653</v>
      </c>
      <c r="P58" s="633">
        <f t="shared" si="242"/>
        <v>-9.2200278076038686E-2</v>
      </c>
      <c r="Q58" s="585">
        <f t="shared" si="113"/>
        <v>231.43997957859358</v>
      </c>
      <c r="R58" s="629">
        <f t="shared" si="410"/>
        <v>2.8139084867479958</v>
      </c>
      <c r="S58" s="634">
        <f t="shared" si="411"/>
        <v>-9.2200278076038686E-2</v>
      </c>
      <c r="T58" s="635">
        <f t="shared" si="412"/>
        <v>-2.210113369976864</v>
      </c>
      <c r="U58" s="629">
        <f t="shared" si="413"/>
        <v>1.7416887964392218</v>
      </c>
      <c r="V58" s="636">
        <f t="shared" si="414"/>
        <v>-9.2200278076038686E-2</v>
      </c>
      <c r="W58" s="585">
        <f t="shared" si="224"/>
        <v>141.7599795323913</v>
      </c>
      <c r="X58" s="629">
        <f t="shared" si="415"/>
        <v>2.8139084867479958</v>
      </c>
      <c r="Y58" s="630">
        <f t="shared" si="223"/>
        <v>-9.2200278076038686E-2</v>
      </c>
      <c r="Z58" s="632">
        <f t="shared" si="243"/>
        <v>-0.68513368266833952</v>
      </c>
      <c r="AA58" s="629">
        <f t="shared" si="244"/>
        <v>0.68751375682907201</v>
      </c>
      <c r="AB58" s="629">
        <f t="shared" si="245"/>
        <v>-0.24065882706457017</v>
      </c>
      <c r="AC58" s="636">
        <f t="shared" si="416"/>
        <v>1</v>
      </c>
      <c r="AD58" s="637">
        <f t="shared" si="417"/>
        <v>-0.68513368266833952</v>
      </c>
      <c r="AE58" s="629">
        <f t="shared" si="418"/>
        <v>0.68751375682907201</v>
      </c>
      <c r="AF58" s="633">
        <f t="shared" si="419"/>
        <v>-0.24065882706457017</v>
      </c>
      <c r="AG58" s="602">
        <f t="shared" si="420"/>
        <v>70.707799861376017</v>
      </c>
      <c r="AH58" s="603">
        <f t="shared" si="421"/>
        <v>133.24612143966135</v>
      </c>
      <c r="AI58" s="585">
        <f t="shared" si="422"/>
        <v>-76.07457188014132</v>
      </c>
      <c r="AJ58" s="586">
        <f t="shared" si="423"/>
        <v>-135.09934675412651</v>
      </c>
      <c r="AK58" s="635">
        <f t="shared" si="424"/>
        <v>0.9642949087401721</v>
      </c>
      <c r="AL58" s="629">
        <f t="shared" si="425"/>
        <v>-0.11053803840166776</v>
      </c>
      <c r="AM58" s="634">
        <f t="shared" si="426"/>
        <v>-0.24065882706457017</v>
      </c>
      <c r="AN58" s="581">
        <f t="shared" si="427"/>
        <v>-24.669995028028257</v>
      </c>
      <c r="AO58" s="582">
        <f t="shared" si="461"/>
        <v>15.356896498621806</v>
      </c>
      <c r="AP58" s="585">
        <f t="shared" si="428"/>
        <v>-6.5393263327200852</v>
      </c>
      <c r="AQ58" s="586">
        <f t="shared" si="246"/>
        <v>0.81010975463583412</v>
      </c>
      <c r="AS58" s="52">
        <f t="shared" si="406"/>
        <v>-218.2400204676087</v>
      </c>
      <c r="AT58" s="72">
        <f t="shared" si="247"/>
        <v>5.957751388327133E-2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5.1150000000000002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-2.236114148706728</v>
      </c>
      <c r="C59" s="708">
        <v>-2.7068411241674037</v>
      </c>
      <c r="D59" s="709">
        <v>-0.44770135026727242</v>
      </c>
      <c r="E59" s="710">
        <v>0.57997172986054968</v>
      </c>
      <c r="F59" s="708">
        <v>-0.79212306548721589</v>
      </c>
      <c r="G59" s="711">
        <v>0.19019422095767696</v>
      </c>
      <c r="H59" s="710">
        <v>0.314</v>
      </c>
      <c r="I59" s="708">
        <v>0.52</v>
      </c>
      <c r="J59" s="570">
        <v>5.1219999999999999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5.1219999999999999</v>
      </c>
      <c r="N59" s="632">
        <f t="shared" si="240"/>
        <v>-2.236114148706728</v>
      </c>
      <c r="O59" s="629">
        <f t="shared" si="241"/>
        <v>-2.7068411241674037</v>
      </c>
      <c r="P59" s="633">
        <f t="shared" si="242"/>
        <v>-0.44770135026727242</v>
      </c>
      <c r="Q59" s="585">
        <f t="shared" si="113"/>
        <v>230.43997972297572</v>
      </c>
      <c r="R59" s="629">
        <f t="shared" si="79"/>
        <v>3.5110105892079373</v>
      </c>
      <c r="S59" s="634">
        <f t="shared" si="80"/>
        <v>-0.44770135026727242</v>
      </c>
      <c r="T59" s="635">
        <f t="shared" si="81"/>
        <v>-2.7192876579408027</v>
      </c>
      <c r="U59" s="629">
        <f t="shared" si="82"/>
        <v>2.2209615014450588</v>
      </c>
      <c r="V59" s="636">
        <f t="shared" si="114"/>
        <v>-0.44770135026727242</v>
      </c>
      <c r="W59" s="585">
        <f t="shared" si="224"/>
        <v>140.75997967677344</v>
      </c>
      <c r="X59" s="629">
        <f t="shared" si="83"/>
        <v>3.5110105892079373</v>
      </c>
      <c r="Y59" s="630">
        <f t="shared" si="223"/>
        <v>-0.44770135026727242</v>
      </c>
      <c r="Z59" s="632">
        <f t="shared" si="243"/>
        <v>-0.57997172986054968</v>
      </c>
      <c r="AA59" s="629">
        <f t="shared" si="244"/>
        <v>0.79212306548721589</v>
      </c>
      <c r="AB59" s="629">
        <f t="shared" si="245"/>
        <v>-0.19019422095767696</v>
      </c>
      <c r="AC59" s="636">
        <f t="shared" si="84"/>
        <v>1</v>
      </c>
      <c r="AD59" s="637">
        <f t="shared" si="115"/>
        <v>-0.57997172986054968</v>
      </c>
      <c r="AE59" s="629">
        <f t="shared" si="85"/>
        <v>0.79212306548721589</v>
      </c>
      <c r="AF59" s="633">
        <f t="shared" si="86"/>
        <v>-0.19019422095767696</v>
      </c>
      <c r="AG59" s="602">
        <f t="shared" si="87"/>
        <v>76.49847502371837</v>
      </c>
      <c r="AH59" s="603">
        <f t="shared" si="88"/>
        <v>125.44855429285803</v>
      </c>
      <c r="AI59" s="585">
        <f t="shared" si="89"/>
        <v>-79.035881074490732</v>
      </c>
      <c r="AJ59" s="586">
        <f t="shared" si="90"/>
        <v>-143.78939017643498</v>
      </c>
      <c r="AK59" s="635">
        <f t="shared" si="211"/>
        <v>0.9516259887577555</v>
      </c>
      <c r="AL59" s="629">
        <f t="shared" si="91"/>
        <v>-0.24131750005983121</v>
      </c>
      <c r="AM59" s="634">
        <f t="shared" si="92"/>
        <v>-0.19019422095767696</v>
      </c>
      <c r="AN59" s="581">
        <f t="shared" si="93"/>
        <v>-51.756612792425585</v>
      </c>
      <c r="AO59" s="582">
        <f t="shared" si="461"/>
        <v>17.894111178682383</v>
      </c>
      <c r="AP59" s="585">
        <f t="shared" si="95"/>
        <v>-14.229369899410676</v>
      </c>
      <c r="AQ59" s="586">
        <f t="shared" si="246"/>
        <v>0.64928002602360502</v>
      </c>
      <c r="AS59" s="52">
        <f t="shared" si="406"/>
        <v>-219.24002032322656</v>
      </c>
      <c r="AT59" s="72">
        <f t="shared" si="247"/>
        <v>-0.29522911396378337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5.1219999999999999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-2.5702658074803559</v>
      </c>
      <c r="C60" s="708">
        <v>-3.0264654529359825</v>
      </c>
      <c r="D60" s="709">
        <v>-1.0764032464321913</v>
      </c>
      <c r="E60" s="710">
        <v>0.43265506370450918</v>
      </c>
      <c r="F60" s="708">
        <v>-0.89102947971674407</v>
      </c>
      <c r="G60" s="711">
        <v>0.13739018206027484</v>
      </c>
      <c r="H60" s="710">
        <v>0.314</v>
      </c>
      <c r="I60" s="708">
        <v>0.52</v>
      </c>
      <c r="J60" s="570">
        <v>5.1289999999999996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5.1289999999999996</v>
      </c>
      <c r="N60" s="632">
        <f t="shared" si="240"/>
        <v>-2.5702658074803559</v>
      </c>
      <c r="O60" s="629">
        <f t="shared" si="241"/>
        <v>-3.0264654529359825</v>
      </c>
      <c r="P60" s="633">
        <f t="shared" si="242"/>
        <v>-1.0764032464321913</v>
      </c>
      <c r="Q60" s="585">
        <f t="shared" si="113"/>
        <v>229.65997983559376</v>
      </c>
      <c r="R60" s="629">
        <f t="shared" si="79"/>
        <v>3.9706119753657179</v>
      </c>
      <c r="S60" s="634">
        <f t="shared" si="80"/>
        <v>-1.0764032464321913</v>
      </c>
      <c r="T60" s="635">
        <f t="shared" si="81"/>
        <v>-3.0407732466862791</v>
      </c>
      <c r="U60" s="629">
        <f t="shared" si="82"/>
        <v>2.5533228391949638</v>
      </c>
      <c r="V60" s="636">
        <f t="shared" si="114"/>
        <v>-1.0764032464321913</v>
      </c>
      <c r="W60" s="585">
        <f t="shared" si="224"/>
        <v>139.97997978939148</v>
      </c>
      <c r="X60" s="629">
        <f t="shared" si="83"/>
        <v>3.9706119753657179</v>
      </c>
      <c r="Y60" s="630">
        <f t="shared" si="223"/>
        <v>-1.0764032464321913</v>
      </c>
      <c r="Z60" s="632">
        <f t="shared" si="243"/>
        <v>-0.43265506370450918</v>
      </c>
      <c r="AA60" s="629">
        <f t="shared" si="244"/>
        <v>0.89102947971674407</v>
      </c>
      <c r="AB60" s="629">
        <f t="shared" si="245"/>
        <v>-0.13739018206027484</v>
      </c>
      <c r="AC60" s="636">
        <f t="shared" si="84"/>
        <v>1</v>
      </c>
      <c r="AD60" s="637">
        <f t="shared" si="115"/>
        <v>-0.43265506370450918</v>
      </c>
      <c r="AE60" s="629">
        <f t="shared" si="85"/>
        <v>0.89102947971674407</v>
      </c>
      <c r="AF60" s="633">
        <f t="shared" si="86"/>
        <v>-0.13739018206027484</v>
      </c>
      <c r="AG60" s="602">
        <f t="shared" si="87"/>
        <v>81.234445924210078</v>
      </c>
      <c r="AH60" s="603">
        <f t="shared" si="88"/>
        <v>115.63617553912555</v>
      </c>
      <c r="AI60" s="585">
        <f t="shared" si="89"/>
        <v>-82.103144659075397</v>
      </c>
      <c r="AJ60" s="586">
        <f t="shared" si="90"/>
        <v>-154.10029165502974</v>
      </c>
      <c r="AK60" s="635">
        <f t="shared" si="211"/>
        <v>0.90656005443113774</v>
      </c>
      <c r="AL60" s="629">
        <f t="shared" si="91"/>
        <v>-0.39908997178989242</v>
      </c>
      <c r="AM60" s="634">
        <f t="shared" si="92"/>
        <v>-0.13739018206027484</v>
      </c>
      <c r="AN60" s="581">
        <f t="shared" si="93"/>
        <v>-71.003531646416974</v>
      </c>
      <c r="AO60" s="582">
        <f t="shared" si="461"/>
        <v>24.965777340547834</v>
      </c>
      <c r="AP60" s="585">
        <f t="shared" si="95"/>
        <v>-23.760271490623492</v>
      </c>
      <c r="AQ60" s="586">
        <f t="shared" si="246"/>
        <v>0.57413072424347189</v>
      </c>
      <c r="AS60" s="52">
        <f t="shared" si="406"/>
        <v>-220.02002021060852</v>
      </c>
      <c r="AT60" s="72">
        <f t="shared" si="247"/>
        <v>-0.92338934354024249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5.1289999999999996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-2.6684626938158824</v>
      </c>
      <c r="C61" s="708">
        <v>-3.115546944597325</v>
      </c>
      <c r="D61" s="709">
        <v>-1.8392055470439295</v>
      </c>
      <c r="E61" s="710">
        <v>0.31869458767738107</v>
      </c>
      <c r="F61" s="708">
        <v>-0.94785443432162242</v>
      </c>
      <c r="G61" s="711">
        <v>2.3939761864279901E-3</v>
      </c>
      <c r="H61" s="710">
        <v>0.314</v>
      </c>
      <c r="I61" s="708">
        <v>0.52</v>
      </c>
      <c r="J61" s="570">
        <v>5.1360000000000001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5.1360000000000001</v>
      </c>
      <c r="N61" s="632">
        <f t="shared" si="240"/>
        <v>-2.6684626938158824</v>
      </c>
      <c r="O61" s="629">
        <f t="shared" si="241"/>
        <v>-3.115546944597325</v>
      </c>
      <c r="P61" s="633">
        <f t="shared" si="242"/>
        <v>-1.8392055470439295</v>
      </c>
      <c r="Q61" s="585">
        <f t="shared" si="113"/>
        <v>229.41997987024547</v>
      </c>
      <c r="R61" s="629">
        <f t="shared" si="79"/>
        <v>4.1021123719709145</v>
      </c>
      <c r="S61" s="634">
        <f t="shared" si="80"/>
        <v>-1.8392055470439295</v>
      </c>
      <c r="T61" s="635">
        <f t="shared" si="81"/>
        <v>-3.1304017809437794</v>
      </c>
      <c r="U61" s="629">
        <f t="shared" si="82"/>
        <v>2.6510206717679243</v>
      </c>
      <c r="V61" s="636">
        <f t="shared" si="114"/>
        <v>-1.8392055470439295</v>
      </c>
      <c r="W61" s="585">
        <f t="shared" si="224"/>
        <v>139.73997982404319</v>
      </c>
      <c r="X61" s="629">
        <f t="shared" si="83"/>
        <v>4.1021123719709145</v>
      </c>
      <c r="Y61" s="630">
        <f t="shared" si="223"/>
        <v>-1.8392055470439295</v>
      </c>
      <c r="Z61" s="632">
        <f t="shared" si="243"/>
        <v>-0.31869458767738107</v>
      </c>
      <c r="AA61" s="629">
        <f t="shared" si="244"/>
        <v>0.94785443432162242</v>
      </c>
      <c r="AB61" s="629">
        <f t="shared" si="245"/>
        <v>-2.3939761864279901E-3</v>
      </c>
      <c r="AC61" s="636">
        <f t="shared" si="84"/>
        <v>1</v>
      </c>
      <c r="AD61" s="637">
        <f t="shared" si="115"/>
        <v>-0.31869458767738107</v>
      </c>
      <c r="AE61" s="629">
        <f t="shared" si="85"/>
        <v>0.94785443432162242</v>
      </c>
      <c r="AF61" s="633">
        <f t="shared" si="86"/>
        <v>-2.3939761864279901E-3</v>
      </c>
      <c r="AG61" s="602">
        <f t="shared" si="87"/>
        <v>89.855289551738011</v>
      </c>
      <c r="AH61" s="603">
        <f t="shared" si="88"/>
        <v>108.58399744192934</v>
      </c>
      <c r="AI61" s="585">
        <f t="shared" si="89"/>
        <v>-89.862835137244545</v>
      </c>
      <c r="AJ61" s="586">
        <f t="shared" si="90"/>
        <v>-161.41594735466359</v>
      </c>
      <c r="AK61" s="635">
        <f t="shared" si="211"/>
        <v>0.85863619195806562</v>
      </c>
      <c r="AL61" s="629">
        <f t="shared" si="91"/>
        <v>-0.5125799047346381</v>
      </c>
      <c r="AM61" s="634">
        <f t="shared" si="92"/>
        <v>-2.3939761864279901E-3</v>
      </c>
      <c r="AN61" s="581">
        <f t="shared" si="93"/>
        <v>-89.73240516618786</v>
      </c>
      <c r="AO61" s="582">
        <f t="shared" si="461"/>
        <v>30.836202254092424</v>
      </c>
      <c r="AP61" s="585">
        <f t="shared" si="95"/>
        <v>-30.835927224909074</v>
      </c>
      <c r="AQ61" s="586">
        <f t="shared" si="246"/>
        <v>0.55572713171939947</v>
      </c>
      <c r="AS61" s="52">
        <f t="shared" si="406"/>
        <v>-220.26002017595681</v>
      </c>
      <c r="AT61" s="72">
        <f t="shared" si="247"/>
        <v>-1.6860249775093776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5.1360000000000001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-2.6906117071955609</v>
      </c>
      <c r="C62" s="708">
        <v>-3.1347565764509939</v>
      </c>
      <c r="D62" s="709">
        <v>-2.6073078636405165</v>
      </c>
      <c r="E62" s="710">
        <v>0.33150229735503123</v>
      </c>
      <c r="F62" s="708">
        <v>-0.94345441164283272</v>
      </c>
      <c r="G62" s="711">
        <v>1.133974334481082E-7</v>
      </c>
      <c r="H62" s="710">
        <v>0.314</v>
      </c>
      <c r="I62" s="708">
        <v>0.52</v>
      </c>
      <c r="J62" s="570">
        <v>5.1429999999999998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5.1429999999999998</v>
      </c>
      <c r="N62" s="632">
        <f t="shared" si="240"/>
        <v>-2.6906117071955609</v>
      </c>
      <c r="O62" s="629">
        <f t="shared" si="241"/>
        <v>-3.1347565764509939</v>
      </c>
      <c r="P62" s="633">
        <f t="shared" si="242"/>
        <v>-2.6073078636405165</v>
      </c>
      <c r="Q62" s="585">
        <f t="shared" si="113"/>
        <v>229.3599798789084</v>
      </c>
      <c r="R62" s="629">
        <f t="shared" si="79"/>
        <v>4.1311124594351778</v>
      </c>
      <c r="S62" s="634">
        <f t="shared" si="80"/>
        <v>-2.6073078636405165</v>
      </c>
      <c r="T62" s="635">
        <f t="shared" si="81"/>
        <v>-3.1497348159630669</v>
      </c>
      <c r="U62" s="629">
        <f t="shared" si="82"/>
        <v>2.6730620534530565</v>
      </c>
      <c r="V62" s="636">
        <f t="shared" si="114"/>
        <v>-2.6073078636405165</v>
      </c>
      <c r="W62" s="585">
        <f t="shared" si="224"/>
        <v>139.67997983270612</v>
      </c>
      <c r="X62" s="629">
        <f t="shared" si="83"/>
        <v>4.1311124594351778</v>
      </c>
      <c r="Y62" s="630">
        <f t="shared" si="223"/>
        <v>-2.6073078636405165</v>
      </c>
      <c r="Z62" s="632">
        <f t="shared" si="243"/>
        <v>-0.33150229735503123</v>
      </c>
      <c r="AA62" s="629">
        <f t="shared" si="244"/>
        <v>0.94345441164283272</v>
      </c>
      <c r="AB62" s="629">
        <f t="shared" si="245"/>
        <v>-1.133974334481082E-7</v>
      </c>
      <c r="AC62" s="636">
        <f t="shared" si="84"/>
        <v>1</v>
      </c>
      <c r="AD62" s="637">
        <f t="shared" si="115"/>
        <v>-0.33150229735503123</v>
      </c>
      <c r="AE62" s="629">
        <f t="shared" si="85"/>
        <v>0.94345441164283272</v>
      </c>
      <c r="AF62" s="633">
        <f t="shared" si="86"/>
        <v>-1.133974334481082E-7</v>
      </c>
      <c r="AG62" s="602">
        <f t="shared" si="87"/>
        <v>89.999993113398745</v>
      </c>
      <c r="AH62" s="603">
        <f t="shared" si="88"/>
        <v>109.35998421037236</v>
      </c>
      <c r="AI62" s="585">
        <f t="shared" si="89"/>
        <v>-89.999993502805651</v>
      </c>
      <c r="AJ62" s="586">
        <f t="shared" si="90"/>
        <v>-160.64001578962751</v>
      </c>
      <c r="AK62" s="635">
        <f t="shared" si="211"/>
        <v>0.86602544158358552</v>
      </c>
      <c r="AL62" s="629">
        <f t="shared" si="91"/>
        <v>-0.49999993452993863</v>
      </c>
      <c r="AM62" s="634">
        <f t="shared" si="92"/>
        <v>-1.133974334481082E-7</v>
      </c>
      <c r="AN62" s="581">
        <f t="shared" si="93"/>
        <v>-89.999987005609611</v>
      </c>
      <c r="AO62" s="582">
        <f t="shared" si="461"/>
        <v>29.999995668536549</v>
      </c>
      <c r="AP62" s="585">
        <f t="shared" si="95"/>
        <v>-29.999995668535913</v>
      </c>
      <c r="AQ62" s="586">
        <f t="shared" si="246"/>
        <v>0.55182621266630238</v>
      </c>
      <c r="AS62" s="52">
        <f t="shared" si="406"/>
        <v>-220.32002016729388</v>
      </c>
      <c r="AT62" s="72">
        <f t="shared" si="247"/>
        <v>-2.454085627445314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5.1429999999999998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-1.2909429375959773</v>
      </c>
      <c r="C63" s="708">
        <v>-0.1753978618958513</v>
      </c>
      <c r="D63" s="709">
        <v>-0.2221006698556203</v>
      </c>
      <c r="E63" s="710">
        <v>3.0533635243934166E-8</v>
      </c>
      <c r="F63" s="708">
        <v>-2.2473010988408614E-7</v>
      </c>
      <c r="G63" s="711">
        <v>0.99999999999997435</v>
      </c>
      <c r="H63" s="710">
        <v>0.19500000000000001</v>
      </c>
      <c r="I63" s="708">
        <v>0.21199999999999999</v>
      </c>
      <c r="J63" s="570">
        <v>5.2050000000000001</v>
      </c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CPS-31783r1</v>
      </c>
      <c r="L63" s="320"/>
      <c r="M63" s="168">
        <f t="shared" si="239"/>
        <v>5.2050000000000001</v>
      </c>
      <c r="N63" s="632">
        <f t="shared" si="240"/>
        <v>-1.2909429375959773</v>
      </c>
      <c r="O63" s="629">
        <f t="shared" si="241"/>
        <v>-0.1753978618958513</v>
      </c>
      <c r="P63" s="633">
        <f t="shared" si="242"/>
        <v>-0.2221006698556203</v>
      </c>
      <c r="Q63" s="585">
        <f t="shared" si="113"/>
        <v>187.73728588848184</v>
      </c>
      <c r="R63" s="629">
        <f t="shared" si="79"/>
        <v>1.3028039292566505</v>
      </c>
      <c r="S63" s="634">
        <f t="shared" si="80"/>
        <v>-0.2221006698556203</v>
      </c>
      <c r="T63" s="635">
        <f t="shared" si="81"/>
        <v>-0.1826050733114862</v>
      </c>
      <c r="U63" s="629">
        <f t="shared" si="82"/>
        <v>1.2899432023494191</v>
      </c>
      <c r="V63" s="636">
        <f t="shared" si="114"/>
        <v>-0.2221006698556203</v>
      </c>
      <c r="W63" s="585">
        <f t="shared" si="224"/>
        <v>98.057285842279555</v>
      </c>
      <c r="X63" s="629">
        <f t="shared" si="83"/>
        <v>1.3028039292566505</v>
      </c>
      <c r="Y63" s="630">
        <f t="shared" si="223"/>
        <v>-0.2221006698556203</v>
      </c>
      <c r="Z63" s="632">
        <f t="shared" si="243"/>
        <v>-3.0533635243934166E-8</v>
      </c>
      <c r="AA63" s="629">
        <f t="shared" si="244"/>
        <v>2.2473010988408614E-7</v>
      </c>
      <c r="AB63" s="629">
        <f t="shared" si="245"/>
        <v>-0.99999999999997435</v>
      </c>
      <c r="AC63" s="636">
        <f t="shared" si="84"/>
        <v>1</v>
      </c>
      <c r="AD63" s="637">
        <f t="shared" si="115"/>
        <v>-3.0533635243934166E-8</v>
      </c>
      <c r="AE63" s="629">
        <f t="shared" si="85"/>
        <v>2.2473010988408614E-7</v>
      </c>
      <c r="AF63" s="633">
        <f t="shared" si="86"/>
        <v>-0.99999999999997435</v>
      </c>
      <c r="AG63" s="602">
        <f t="shared" si="87"/>
        <v>1.2876086825869475E-5</v>
      </c>
      <c r="AH63" s="603">
        <f t="shared" si="88"/>
        <v>90.00000174944843</v>
      </c>
      <c r="AI63" s="585">
        <f t="shared" si="89"/>
        <v>-1.2976235990044085E-5</v>
      </c>
      <c r="AJ63" s="586">
        <f t="shared" si="90"/>
        <v>-172.26271411151816</v>
      </c>
      <c r="AK63" s="635">
        <f t="shared" si="211"/>
        <v>2.2679489670123323E-7</v>
      </c>
      <c r="AL63" s="629">
        <f t="shared" si="91"/>
        <v>9.9261673506363321E-23</v>
      </c>
      <c r="AM63" s="634">
        <f t="shared" si="92"/>
        <v>-0.99999999999997435</v>
      </c>
      <c r="AN63" s="581">
        <f t="shared" si="93"/>
        <v>5.6872749593203043E-21</v>
      </c>
      <c r="AO63" s="582">
        <f t="shared" si="461"/>
        <v>0</v>
      </c>
      <c r="AP63" s="585">
        <f t="shared" si="95"/>
        <v>2.5076732510486126E-14</v>
      </c>
      <c r="AQ63" s="586">
        <f t="shared" si="246"/>
        <v>1.7493178959894615</v>
      </c>
      <c r="AS63" s="52">
        <f t="shared" si="406"/>
        <v>-261.94271415772045</v>
      </c>
      <c r="AT63" s="72">
        <f t="shared" si="247"/>
        <v>-3.9973785055954891E-2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Nose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5.2050000000000001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5.1050000000000004</v>
      </c>
      <c r="II63" s="734" cm="1">
        <f t="array" ref="II63">IFERROR(ROUND(VALUE(IF($IH63&lt;1,$IH63+LARGE((IF($M$9:$M$150="",0,$M$9:$M$150)-MOD(IF($M$9:$M$150="",0,$M$9:$M$150),1)),1),$IH63)),4),"")</f>
        <v>5.1050000000000004</v>
      </c>
      <c r="IJ63" s="533">
        <f t="shared" si="112"/>
        <v>1613</v>
      </c>
      <c r="IK63" s="533" t="str">
        <f t="shared" si="382"/>
        <v>CPS-31783r1</v>
      </c>
      <c r="IL63" s="727">
        <f t="shared" si="225"/>
        <v>44.262693609257752</v>
      </c>
      <c r="IM63" s="759">
        <v>4.8636722308935898E-2</v>
      </c>
      <c r="IN63" s="5">
        <f t="shared" si="226"/>
        <v>0.4</v>
      </c>
      <c r="IO63" s="771">
        <v>200</v>
      </c>
      <c r="IP63" s="9">
        <f t="shared" si="227"/>
        <v>-1.3227039892752315</v>
      </c>
      <c r="IQ63" s="5">
        <f t="shared" si="228"/>
        <v>-0.27840083965693241</v>
      </c>
      <c r="IR63" s="5">
        <f t="shared" si="383"/>
        <v>0.314</v>
      </c>
      <c r="IS63" s="5">
        <f t="shared" si="229"/>
        <v>0.30330071252667312</v>
      </c>
      <c r="IT63" s="727">
        <f t="shared" si="230"/>
        <v>-14.999997834268278</v>
      </c>
      <c r="IU63" s="9">
        <f t="shared" si="231"/>
        <v>-1.3028039292566505</v>
      </c>
      <c r="IV63" s="5">
        <f t="shared" si="232"/>
        <v>-0.2221006698556203</v>
      </c>
      <c r="IW63" s="5">
        <f t="shared" si="384"/>
        <v>0.19500000000000001</v>
      </c>
      <c r="IX63" s="5">
        <f t="shared" si="233"/>
        <v>0.19500000000000001</v>
      </c>
      <c r="IY63" s="762">
        <f t="shared" si="234"/>
        <v>-5.6872749593203043E-21</v>
      </c>
    </row>
    <row r="64" spans="1:259" ht="15" customHeight="1" x14ac:dyDescent="0.25">
      <c r="A64" s="79"/>
      <c r="B64" s="707">
        <v>-1.8733663709928781</v>
      </c>
      <c r="C64" s="708">
        <v>-0.84423157277901695</v>
      </c>
      <c r="D64" s="709">
        <v>-1.9500058812177378E-2</v>
      </c>
      <c r="E64" s="710">
        <v>9.318027788425265E-8</v>
      </c>
      <c r="F64" s="708">
        <v>-2.0676885889503124E-7</v>
      </c>
      <c r="G64" s="711">
        <v>0.99999999999997435</v>
      </c>
      <c r="H64" s="710">
        <v>0.19500000000000001</v>
      </c>
      <c r="I64" s="708">
        <v>0.21199999999999999</v>
      </c>
      <c r="J64" s="570">
        <v>5.2089999999999996</v>
      </c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CPS-31783r1</v>
      </c>
      <c r="L64" s="320"/>
      <c r="M64" s="168">
        <f t="shared" si="239"/>
        <v>5.2089999999999996</v>
      </c>
      <c r="N64" s="632">
        <f t="shared" si="240"/>
        <v>-1.8733663709928781</v>
      </c>
      <c r="O64" s="629">
        <f t="shared" si="241"/>
        <v>-0.84423157277901695</v>
      </c>
      <c r="P64" s="633">
        <f t="shared" si="242"/>
        <v>-1.9500058812177378E-2</v>
      </c>
      <c r="Q64" s="585">
        <f t="shared" si="113"/>
        <v>204.25868350308716</v>
      </c>
      <c r="R64" s="629">
        <f t="shared" si="79"/>
        <v>2.0548061972954916</v>
      </c>
      <c r="S64" s="634">
        <f t="shared" si="80"/>
        <v>-1.9500058812177378E-2</v>
      </c>
      <c r="T64" s="635">
        <f t="shared" si="81"/>
        <v>-0.85468120153523608</v>
      </c>
      <c r="U64" s="629">
        <f t="shared" si="82"/>
        <v>1.8686220998870382</v>
      </c>
      <c r="V64" s="636">
        <f t="shared" si="114"/>
        <v>-1.9500058812177378E-2</v>
      </c>
      <c r="W64" s="585">
        <f t="shared" si="224"/>
        <v>114.57868345688487</v>
      </c>
      <c r="X64" s="629">
        <f t="shared" si="83"/>
        <v>2.0548061972954916</v>
      </c>
      <c r="Y64" s="630">
        <f t="shared" si="223"/>
        <v>-1.9500058812177378E-2</v>
      </c>
      <c r="Z64" s="632">
        <f t="shared" si="243"/>
        <v>-9.318027788425265E-8</v>
      </c>
      <c r="AA64" s="629">
        <f t="shared" si="244"/>
        <v>2.0676885889503124E-7</v>
      </c>
      <c r="AB64" s="629">
        <f t="shared" si="245"/>
        <v>-0.99999999999997435</v>
      </c>
      <c r="AC64" s="636">
        <f t="shared" si="84"/>
        <v>1</v>
      </c>
      <c r="AD64" s="637">
        <f t="shared" si="115"/>
        <v>-9.318027788425265E-8</v>
      </c>
      <c r="AE64" s="629">
        <f t="shared" si="85"/>
        <v>2.0676885889503124E-7</v>
      </c>
      <c r="AF64" s="633">
        <f t="shared" si="86"/>
        <v>-0.99999999999997435</v>
      </c>
      <c r="AG64" s="602">
        <f t="shared" si="87"/>
        <v>1.1846982949421476E-5</v>
      </c>
      <c r="AH64" s="603">
        <f t="shared" si="88"/>
        <v>90.000005338836658</v>
      </c>
      <c r="AI64" s="585">
        <f t="shared" si="89"/>
        <v>-1.2976235990044085E-5</v>
      </c>
      <c r="AJ64" s="586">
        <f t="shared" si="90"/>
        <v>-155.74131648689811</v>
      </c>
      <c r="AK64" s="635">
        <f t="shared" si="211"/>
        <v>2.2679489675770902E-7</v>
      </c>
      <c r="AL64" s="629">
        <f t="shared" si="91"/>
        <v>3.964151250841568E-17</v>
      </c>
      <c r="AM64" s="634">
        <f t="shared" si="92"/>
        <v>-0.99999999999997435</v>
      </c>
      <c r="AN64" s="581">
        <f t="shared" si="93"/>
        <v>2.2712913602473379E-15</v>
      </c>
      <c r="AO64" s="582">
        <f t="shared" si="461"/>
        <v>0</v>
      </c>
      <c r="AP64" s="585">
        <f t="shared" si="95"/>
        <v>1.0014737512695272E-8</v>
      </c>
      <c r="AQ64" s="586">
        <f t="shared" si="246"/>
        <v>1.1093220216093793</v>
      </c>
      <c r="AS64" s="52">
        <f t="shared" si="406"/>
        <v>-245.42131654311513</v>
      </c>
      <c r="AT64" s="72">
        <f t="shared" si="247"/>
        <v>0.15115363319956768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Nose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5.2089999999999996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5.109</v>
      </c>
      <c r="II64" s="734" cm="1">
        <f t="array" ref="II64">IFERROR(ROUND(VALUE(IF($IH64&lt;1,$IH64+LARGE((IF($M$9:$M$150="",0,$M$9:$M$150)-MOD(IF($M$9:$M$150="",0,$M$9:$M$150),1)),1),$IH64)),4),"")</f>
        <v>5.109</v>
      </c>
      <c r="IJ64" s="533">
        <f t="shared" si="112"/>
        <v>1613</v>
      </c>
      <c r="IK64" s="533" t="str">
        <f t="shared" si="382"/>
        <v>CPS-31783r1</v>
      </c>
      <c r="IL64" s="727">
        <f t="shared" si="225"/>
        <v>27.731295996096264</v>
      </c>
      <c r="IM64" s="759">
        <v>4.42138601396403E-2</v>
      </c>
      <c r="IN64" s="5">
        <f t="shared" si="226"/>
        <v>0.56000000000000005</v>
      </c>
      <c r="IO64" s="771">
        <v>280</v>
      </c>
      <c r="IP64" s="9">
        <f t="shared" si="227"/>
        <v>-2.0582062075499219</v>
      </c>
      <c r="IQ64" s="5">
        <f t="shared" si="228"/>
        <v>-8.3500251836759548E-2</v>
      </c>
      <c r="IR64" s="5">
        <f t="shared" si="383"/>
        <v>0.314</v>
      </c>
      <c r="IS64" s="5">
        <f t="shared" si="229"/>
        <v>0.30329404194592091</v>
      </c>
      <c r="IT64" s="727">
        <f t="shared" si="230"/>
        <v>-1.0320921107064753</v>
      </c>
      <c r="IU64" s="9">
        <f t="shared" si="231"/>
        <v>-2.0548061972954916</v>
      </c>
      <c r="IV64" s="5">
        <f t="shared" si="232"/>
        <v>-1.9500058812177378E-2</v>
      </c>
      <c r="IW64" s="5">
        <f t="shared" si="384"/>
        <v>0.19500000000000001</v>
      </c>
      <c r="IX64" s="5">
        <f t="shared" si="233"/>
        <v>0.19500000000000001</v>
      </c>
      <c r="IY64" s="762">
        <f t="shared" si="234"/>
        <v>-2.2712913602473379E-15</v>
      </c>
    </row>
    <row r="65" spans="1:259" ht="15" customHeight="1" x14ac:dyDescent="0.25">
      <c r="A65" s="79"/>
      <c r="B65" s="707">
        <v>-3.2063437561110084</v>
      </c>
      <c r="C65" s="708">
        <v>-2.4155463742650274</v>
      </c>
      <c r="D65" s="709">
        <v>-1.0544031800799911</v>
      </c>
      <c r="E65" s="710">
        <v>0.15343183579566835</v>
      </c>
      <c r="F65" s="708">
        <v>-0.97107955134148838</v>
      </c>
      <c r="G65" s="711">
        <v>0.18292943101312281</v>
      </c>
      <c r="H65" s="710">
        <v>0.26600000000000001</v>
      </c>
      <c r="I65" s="708">
        <v>0.52</v>
      </c>
      <c r="J65" s="570">
        <v>5.2290000000000001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1313</v>
      </c>
      <c r="L65" s="320"/>
      <c r="M65" s="168">
        <f t="shared" si="239"/>
        <v>5.2290000000000001</v>
      </c>
      <c r="N65" s="632">
        <f t="shared" si="240"/>
        <v>-3.2063437561110084</v>
      </c>
      <c r="O65" s="629">
        <f t="shared" si="241"/>
        <v>-2.4155463742650274</v>
      </c>
      <c r="P65" s="633">
        <f t="shared" si="242"/>
        <v>-1.0544031800799911</v>
      </c>
      <c r="Q65" s="585">
        <f t="shared" si="113"/>
        <v>216.99308166446758</v>
      </c>
      <c r="R65" s="629">
        <f t="shared" si="79"/>
        <v>4.0144121074669163</v>
      </c>
      <c r="S65" s="634">
        <f t="shared" si="80"/>
        <v>-1.0544031800799911</v>
      </c>
      <c r="T65" s="635">
        <f t="shared" si="81"/>
        <v>-2.4334162065925402</v>
      </c>
      <c r="U65" s="629">
        <f t="shared" si="82"/>
        <v>3.1928028648931241</v>
      </c>
      <c r="V65" s="636">
        <f t="shared" si="114"/>
        <v>-1.0544031800799911</v>
      </c>
      <c r="W65" s="585">
        <f t="shared" si="224"/>
        <v>127.3130816182653</v>
      </c>
      <c r="X65" s="629">
        <f t="shared" si="83"/>
        <v>4.0144121074669163</v>
      </c>
      <c r="Y65" s="630">
        <f t="shared" si="223"/>
        <v>-1.0544031800799911</v>
      </c>
      <c r="Z65" s="632">
        <f t="shared" si="243"/>
        <v>-0.15343183579566835</v>
      </c>
      <c r="AA65" s="629">
        <f t="shared" si="244"/>
        <v>0.97107955134148838</v>
      </c>
      <c r="AB65" s="629">
        <f t="shared" si="245"/>
        <v>-0.18292943101312281</v>
      </c>
      <c r="AC65" s="636">
        <f t="shared" si="84"/>
        <v>1</v>
      </c>
      <c r="AD65" s="637">
        <f t="shared" si="115"/>
        <v>-0.15343183579566835</v>
      </c>
      <c r="AE65" s="629">
        <f t="shared" si="85"/>
        <v>0.97107955134148838</v>
      </c>
      <c r="AF65" s="633">
        <f t="shared" si="86"/>
        <v>-0.18292943101312281</v>
      </c>
      <c r="AG65" s="602">
        <f t="shared" si="87"/>
        <v>79.331789036409276</v>
      </c>
      <c r="AH65" s="603">
        <f t="shared" si="88"/>
        <v>98.825859187790556</v>
      </c>
      <c r="AI65" s="585">
        <f t="shared" si="89"/>
        <v>-79.459562407273509</v>
      </c>
      <c r="AJ65" s="586">
        <f t="shared" si="90"/>
        <v>-171.02141613238527</v>
      </c>
      <c r="AK65" s="635">
        <f t="shared" si="211"/>
        <v>0.86793196052371868</v>
      </c>
      <c r="AL65" s="629">
        <f t="shared" si="91"/>
        <v>-0.46176935278412456</v>
      </c>
      <c r="AM65" s="634">
        <f t="shared" si="92"/>
        <v>-0.18292943101312281</v>
      </c>
      <c r="AN65" s="581">
        <f t="shared" si="93"/>
        <v>-68.389058741461682</v>
      </c>
      <c r="AO65" s="582">
        <f t="shared" si="461"/>
        <v>29.780797888092966</v>
      </c>
      <c r="AP65" s="585">
        <f t="shared" si="95"/>
        <v>-28.014497796852837</v>
      </c>
      <c r="AQ65" s="586">
        <f t="shared" si="246"/>
        <v>0.56786695634051043</v>
      </c>
      <c r="AS65" s="52">
        <f t="shared" si="406"/>
        <v>-232.6869183817347</v>
      </c>
      <c r="AT65" s="72">
        <f t="shared" si="247"/>
        <v>-0.89259282012476027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Taper</v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5.2290000000000001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5.1289999999999996</v>
      </c>
      <c r="II65" s="734" cm="1">
        <f t="array" ref="II65">IFERROR(ROUND(VALUE(IF($IH65&lt;1,$IH65+LARGE((IF($M$9:$M$150="",0,$M$9:$M$150)-MOD(IF($M$9:$M$150="",0,$M$9:$M$150),1)),1),$IH65)),4),"")</f>
        <v>5.1289999999999996</v>
      </c>
      <c r="IJ65" s="533">
        <f t="shared" si="112"/>
        <v>1613</v>
      </c>
      <c r="IK65" s="533">
        <f t="shared" si="382"/>
        <v>1313</v>
      </c>
      <c r="IL65" s="727">
        <f t="shared" si="225"/>
        <v>12.666898171126178</v>
      </c>
      <c r="IM65" s="759">
        <v>5.0095345346494397E-3</v>
      </c>
      <c r="IN65" s="5">
        <f t="shared" si="226"/>
        <v>0.2</v>
      </c>
      <c r="IO65" s="771">
        <v>100</v>
      </c>
      <c r="IP65" s="9">
        <f t="shared" si="227"/>
        <v>-3.9706119753657179</v>
      </c>
      <c r="IQ65" s="5">
        <f t="shared" si="228"/>
        <v>-1.0764032464321913</v>
      </c>
      <c r="IR65" s="5">
        <f t="shared" si="383"/>
        <v>0.314</v>
      </c>
      <c r="IS65" s="5">
        <f t="shared" si="229"/>
        <v>0.28465985709137726</v>
      </c>
      <c r="IT65" s="727">
        <f t="shared" si="230"/>
        <v>71.003531646416974</v>
      </c>
      <c r="IU65" s="9">
        <f t="shared" si="231"/>
        <v>-4.0144121074669163</v>
      </c>
      <c r="IV65" s="5">
        <f t="shared" si="232"/>
        <v>-1.0544031800799911</v>
      </c>
      <c r="IW65" s="5">
        <f t="shared" si="384"/>
        <v>0.26600000000000001</v>
      </c>
      <c r="IX65" s="5">
        <f t="shared" si="233"/>
        <v>0.23086990149930919</v>
      </c>
      <c r="IY65" s="762">
        <f t="shared" si="234"/>
        <v>68.389058741461682</v>
      </c>
    </row>
    <row r="66" spans="1:259" ht="15" customHeight="1" x14ac:dyDescent="0.25">
      <c r="A66" s="79"/>
      <c r="B66" s="707">
        <v>-3.3367690031671104</v>
      </c>
      <c r="C66" s="708">
        <v>-2.4745614473025381</v>
      </c>
      <c r="D66" s="709">
        <v>-1.8352055349798937</v>
      </c>
      <c r="E66" s="710">
        <v>1.5470391609659323E-2</v>
      </c>
      <c r="F66" s="708">
        <v>-0.99965397168317593</v>
      </c>
      <c r="G66" s="711">
        <v>2.1274488983195589E-2</v>
      </c>
      <c r="H66" s="710">
        <v>0.26600000000000001</v>
      </c>
      <c r="I66" s="708">
        <v>0.52</v>
      </c>
      <c r="J66" s="570">
        <v>5.2359999999999998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1313</v>
      </c>
      <c r="L66" s="320"/>
      <c r="M66" s="168">
        <f t="shared" si="239"/>
        <v>5.2359999999999998</v>
      </c>
      <c r="N66" s="632">
        <f t="shared" si="240"/>
        <v>-3.3367690031671104</v>
      </c>
      <c r="O66" s="629">
        <f t="shared" si="241"/>
        <v>-2.4745614473025381</v>
      </c>
      <c r="P66" s="633">
        <f t="shared" si="242"/>
        <v>-1.8352055349798937</v>
      </c>
      <c r="Q66" s="585">
        <f t="shared" si="113"/>
        <v>216.56078172688393</v>
      </c>
      <c r="R66" s="629">
        <f t="shared" si="79"/>
        <v>4.1542125291049885</v>
      </c>
      <c r="S66" s="634">
        <f t="shared" si="80"/>
        <v>-1.8352055349798937</v>
      </c>
      <c r="T66" s="635">
        <f t="shared" si="81"/>
        <v>-2.4931587873136154</v>
      </c>
      <c r="U66" s="629">
        <f t="shared" si="82"/>
        <v>3.3228964772038521</v>
      </c>
      <c r="V66" s="636">
        <f t="shared" si="114"/>
        <v>-1.8352055349798937</v>
      </c>
      <c r="W66" s="585">
        <f t="shared" si="224"/>
        <v>126.88078168068165</v>
      </c>
      <c r="X66" s="629">
        <f t="shared" si="83"/>
        <v>4.1542125291049885</v>
      </c>
      <c r="Y66" s="630">
        <f t="shared" si="223"/>
        <v>-1.8352055349798937</v>
      </c>
      <c r="Z66" s="632">
        <f t="shared" si="243"/>
        <v>-1.5470391609659323E-2</v>
      </c>
      <c r="AA66" s="629">
        <f t="shared" si="244"/>
        <v>0.99965397168317593</v>
      </c>
      <c r="AB66" s="629">
        <f t="shared" si="245"/>
        <v>-2.1274488983195589E-2</v>
      </c>
      <c r="AC66" s="636">
        <f t="shared" si="84"/>
        <v>1</v>
      </c>
      <c r="AD66" s="637">
        <f t="shared" si="115"/>
        <v>-1.5470391609659323E-2</v>
      </c>
      <c r="AE66" s="629">
        <f t="shared" si="85"/>
        <v>0.99965397168317593</v>
      </c>
      <c r="AF66" s="633">
        <f t="shared" si="86"/>
        <v>-2.1274488983195589E-2</v>
      </c>
      <c r="AG66" s="602">
        <f t="shared" si="87"/>
        <v>88.780823676530574</v>
      </c>
      <c r="AH66" s="603">
        <f t="shared" si="88"/>
        <v>90.886423507448058</v>
      </c>
      <c r="AI66" s="585">
        <f t="shared" si="89"/>
        <v>-88.780969601855332</v>
      </c>
      <c r="AJ66" s="586">
        <f t="shared" si="90"/>
        <v>-179.1133758090551</v>
      </c>
      <c r="AK66" s="635">
        <f t="shared" si="211"/>
        <v>0.8121627859959647</v>
      </c>
      <c r="AL66" s="629">
        <f t="shared" si="91"/>
        <v>-0.58304288449630959</v>
      </c>
      <c r="AM66" s="634">
        <f t="shared" si="92"/>
        <v>-2.1274488983195589E-2</v>
      </c>
      <c r="AN66" s="581">
        <f t="shared" si="93"/>
        <v>-87.910277411071931</v>
      </c>
      <c r="AO66" s="582">
        <f t="shared" si="461"/>
        <v>35.69221710249078</v>
      </c>
      <c r="AP66" s="585">
        <f t="shared" si="95"/>
        <v>-35.674157535939052</v>
      </c>
      <c r="AQ66" s="586">
        <f t="shared" si="246"/>
        <v>0.5487578953474529</v>
      </c>
      <c r="AS66" s="52">
        <f t="shared" si="406"/>
        <v>-233.11921831931835</v>
      </c>
      <c r="AT66" s="72">
        <f t="shared" si="247"/>
        <v>-1.6730949667346742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>Taper</v>
      </c>
      <c r="IF66" s="533" t="str">
        <f>IFERROR(IF((((($IW66*COS(RADIANS(180-$IY66)))*COS(RADIANS($IY66)))-(($IX66*SIN(RADIANS(180-$IY66)))*SIN(RADIANS($IY66))))+$IU66)&lt;(((Settings!$C$19+$IF$8)/2)*-1),"Gage",""),"")</f>
        <v>Gage</v>
      </c>
      <c r="IG66" s="847">
        <f t="shared" si="210"/>
        <v>5.2359999999999998</v>
      </c>
      <c r="IH66" s="731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5.1360000000000001</v>
      </c>
      <c r="II66" s="734" cm="1">
        <f t="array" ref="II66">IFERROR(ROUND(VALUE(IF($IH66&lt;1,$IH66+LARGE((IF($M$9:$M$150="",0,$M$9:$M$150)-MOD(IF($M$9:$M$150="",0,$M$9:$M$150),1)),1),$IH66)),4),"")</f>
        <v>5.1360000000000001</v>
      </c>
      <c r="IJ66" s="533">
        <f t="shared" si="112"/>
        <v>1613</v>
      </c>
      <c r="IK66" s="533">
        <f t="shared" si="382"/>
        <v>1313</v>
      </c>
      <c r="IL66" s="727">
        <f t="shared" si="225"/>
        <v>12.859198143361539</v>
      </c>
      <c r="IM66" s="759">
        <v>1.41207253974683E-3</v>
      </c>
      <c r="IN66" s="5">
        <f t="shared" si="226"/>
        <v>0</v>
      </c>
      <c r="IO66" s="771">
        <v>0</v>
      </c>
      <c r="IP66" s="9">
        <f t="shared" si="227"/>
        <v>-4.1021123719709145</v>
      </c>
      <c r="IQ66" s="5">
        <f t="shared" si="228"/>
        <v>-1.8392055470439295</v>
      </c>
      <c r="IR66" s="5">
        <f t="shared" si="383"/>
        <v>0.314</v>
      </c>
      <c r="IS66" s="5">
        <f t="shared" si="229"/>
        <v>0.26961176427483263</v>
      </c>
      <c r="IT66" s="727">
        <f t="shared" si="230"/>
        <v>89.73240516618786</v>
      </c>
      <c r="IU66" s="9">
        <f t="shared" si="231"/>
        <v>-4.1542125291049885</v>
      </c>
      <c r="IV66" s="5">
        <f t="shared" si="232"/>
        <v>-1.8352055349798937</v>
      </c>
      <c r="IW66" s="5">
        <f t="shared" si="384"/>
        <v>0.26600000000000001</v>
      </c>
      <c r="IX66" s="5">
        <f t="shared" si="233"/>
        <v>0.21603530107492663</v>
      </c>
      <c r="IY66" s="762">
        <f t="shared" si="234"/>
        <v>87.910277411071931</v>
      </c>
    </row>
    <row r="67" spans="1:259" ht="15" customHeight="1" x14ac:dyDescent="0.25">
      <c r="A67" s="79"/>
      <c r="B67" s="707">
        <v>-3.5030113083389818</v>
      </c>
      <c r="C67" s="708">
        <v>-2.2190395185953009</v>
      </c>
      <c r="D67" s="709">
        <v>-2.6135078823397735</v>
      </c>
      <c r="E67" s="710">
        <v>-0.84476818674883047</v>
      </c>
      <c r="F67" s="708">
        <v>-0.53513242347763035</v>
      </c>
      <c r="G67" s="711">
        <v>2.2679489669614828E-7</v>
      </c>
      <c r="H67" s="710">
        <v>0.25700000000000001</v>
      </c>
      <c r="I67" s="708">
        <v>0.41499999999999992</v>
      </c>
      <c r="J67" s="570">
        <v>5.2430000000000003</v>
      </c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CPS-32193r1</v>
      </c>
      <c r="L67" s="320"/>
      <c r="M67" s="168">
        <f t="shared" si="239"/>
        <v>5.2430000000000003</v>
      </c>
      <c r="N67" s="632">
        <f t="shared" si="240"/>
        <v>-3.5030113083389818</v>
      </c>
      <c r="O67" s="629">
        <f t="shared" si="241"/>
        <v>-2.2190395185953009</v>
      </c>
      <c r="P67" s="633">
        <f t="shared" si="242"/>
        <v>-2.6135078823397735</v>
      </c>
      <c r="Q67" s="585">
        <f t="shared" si="113"/>
        <v>212.35287949773962</v>
      </c>
      <c r="R67" s="629">
        <f>IF(M67="","",SQRT(N67^2+O67^2))</f>
        <v>4.1467125064849197</v>
      </c>
      <c r="S67" s="634">
        <f>IF(M67="","",P67)</f>
        <v>-2.6135078823397735</v>
      </c>
      <c r="T67" s="635">
        <f>IF(M67="","",X67*COS(RADIANS(W67)))</f>
        <v>-2.2385693110451599</v>
      </c>
      <c r="U67" s="629">
        <f>IF(M67="","",X67*SIN(RADIANS(W67)))</f>
        <v>3.490563285643915</v>
      </c>
      <c r="V67" s="636">
        <f>IF(M67="","",Y67)</f>
        <v>-2.6135078823397735</v>
      </c>
      <c r="W67" s="585">
        <f t="shared" si="224"/>
        <v>122.67287945153734</v>
      </c>
      <c r="X67" s="629">
        <f>IF(M67="","",R67)</f>
        <v>4.1467125064849197</v>
      </c>
      <c r="Y67" s="630">
        <f t="shared" si="223"/>
        <v>-2.6135078823397735</v>
      </c>
      <c r="Z67" s="632">
        <f t="shared" si="243"/>
        <v>0.84476818674883047</v>
      </c>
      <c r="AA67" s="629">
        <f t="shared" si="244"/>
        <v>0.53513242347763035</v>
      </c>
      <c r="AB67" s="629">
        <f t="shared" si="245"/>
        <v>-2.2679489669614828E-7</v>
      </c>
      <c r="AC67" s="636">
        <f>IF(M67="","",SQRT(Z67^2+AA67^2+AB67^2))</f>
        <v>1</v>
      </c>
      <c r="AD67" s="637">
        <f>IF(M67="","",Z67*(1/SQRT(Z67^2+AA67^2+AB67^2)))</f>
        <v>0.84476818674883047</v>
      </c>
      <c r="AE67" s="629">
        <f>IF(M67="","",AA67*(1/SQRT(Z67^2+AA67^2+AB67^2)))</f>
        <v>0.53513242347763035</v>
      </c>
      <c r="AF67" s="633">
        <f>IF(M67="","",AB67*(1/SQRT(Z67^2+AA67^2+AB67^2)))</f>
        <v>-2.2679489669614828E-7</v>
      </c>
      <c r="AG67" s="602">
        <f>IF(M67="","",DEGREES(ATAN2(-AF67,AE67)))</f>
        <v>89.99997571743026</v>
      </c>
      <c r="AH67" s="603">
        <f>IF(M67="","",DEGREES(ACOS(AD67)))</f>
        <v>32.352892492132312</v>
      </c>
      <c r="AI67" s="585">
        <f>IF(M67="","",DEGREES(-ACOS(-AF67)))</f>
        <v>-89.999987005609611</v>
      </c>
      <c r="AJ67" s="586">
        <f>IF(M67="","",DEGREES(ATAN2(-AE67,AD67)))</f>
        <v>122.35289249212998</v>
      </c>
      <c r="AK67" s="635">
        <f>IF(M67="","",(COS(RADIANS((90-$Q$8)-W67))*AD67)+(-SIN(RADIANS((90-$Q$8)-W67))*AE67))</f>
        <v>2.2679489641852513E-7</v>
      </c>
      <c r="AL67" s="629">
        <f>IF(M67="","",(SIN(RADIANS((90-$Q$8)-W67))*AD67)+(COS(RADIANS((90-$Q$8)-W67))*AE67))</f>
        <v>-0.99999999999994871</v>
      </c>
      <c r="AM67" s="634">
        <f>IF(M67="","",AF67)</f>
        <v>-2.2679489669614828E-7</v>
      </c>
      <c r="AN67" s="581">
        <f>IF(M67="","",DEGREES(ATAN2(-AM67,AL67)))</f>
        <v>-89.999987005609611</v>
      </c>
      <c r="AO67" s="582">
        <f t="shared" si="461"/>
        <v>0</v>
      </c>
      <c r="AP67" s="585">
        <f>IF(M67="","",DEGREES(ATAN2(AK67,AL67)))</f>
        <v>-89.999987005609626</v>
      </c>
      <c r="AQ67" s="586">
        <f t="shared" si="246"/>
        <v>0.54975035485643264</v>
      </c>
      <c r="AS67" s="52">
        <f t="shared" si="406"/>
        <v>-237.32712054846266</v>
      </c>
      <c r="AT67" s="72">
        <f t="shared" si="247"/>
        <v>-2.4484751597687593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>Taper</v>
      </c>
      <c r="IF67" s="533" t="str">
        <f>IFERROR(IF((((($IW67*COS(RADIANS(180-$IY67)))*COS(RADIANS($IY67)))-(($IX67*SIN(RADIANS(180-$IY67)))*SIN(RADIANS($IY67))))+$IU67)&lt;(((Settings!$C$19+$IF$8)/2)*-1),"Gage",""),"")</f>
        <v>Gage</v>
      </c>
      <c r="IG67" s="847">
        <f t="shared" si="210"/>
        <v>5.2430000000000003</v>
      </c>
      <c r="IH67" s="731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5.1429999999999998</v>
      </c>
      <c r="II67" s="734" cm="1">
        <f t="array" ref="II67">IFERROR(ROUND(VALUE(IF($IH67&lt;1,$IH67+LARGE((IF($M$9:$M$150="",0,$M$9:$M$150)-MOD(IF($M$9:$M$150="",0,$M$9:$M$150),1)),1),$IH67)),4),"")</f>
        <v>5.1429999999999998</v>
      </c>
      <c r="IJ67" s="533">
        <f t="shared" si="112"/>
        <v>1613</v>
      </c>
      <c r="IK67" s="533" t="str">
        <f t="shared" si="382"/>
        <v>CPS-32193r1</v>
      </c>
      <c r="IL67" s="727">
        <f t="shared" si="225"/>
        <v>17.007100381168783</v>
      </c>
      <c r="IM67" s="759">
        <v>2.2442727448810599E-4</v>
      </c>
      <c r="IN67" s="5">
        <f t="shared" si="226"/>
        <v>0</v>
      </c>
      <c r="IO67" s="771">
        <v>0</v>
      </c>
      <c r="IP67" s="9">
        <f t="shared" si="227"/>
        <v>-4.1311124594351778</v>
      </c>
      <c r="IQ67" s="5">
        <f t="shared" si="228"/>
        <v>-2.6073078636405165</v>
      </c>
      <c r="IR67" s="5">
        <f t="shared" si="383"/>
        <v>0.314</v>
      </c>
      <c r="IS67" s="5">
        <f t="shared" si="229"/>
        <v>0.27193198865724588</v>
      </c>
      <c r="IT67" s="727">
        <f t="shared" si="230"/>
        <v>89.999987005609611</v>
      </c>
      <c r="IU67" s="9">
        <f t="shared" si="231"/>
        <v>-4.1467125064849197</v>
      </c>
      <c r="IV67" s="5">
        <f t="shared" si="232"/>
        <v>-2.6135078823397735</v>
      </c>
      <c r="IW67" s="5">
        <f t="shared" si="384"/>
        <v>0.25700000000000001</v>
      </c>
      <c r="IX67" s="5">
        <f t="shared" si="233"/>
        <v>0.25700000000000001</v>
      </c>
      <c r="IY67" s="762">
        <f t="shared" si="234"/>
        <v>89.999987005609611</v>
      </c>
    </row>
    <row r="68" spans="1:259" ht="15" customHeight="1" x14ac:dyDescent="0.25">
      <c r="A68" s="79"/>
      <c r="B68" s="707">
        <v>-2.910213417421482</v>
      </c>
      <c r="C68" s="708">
        <v>-0.26997163127713442</v>
      </c>
      <c r="D68" s="709">
        <v>-0.1224003691595134</v>
      </c>
      <c r="E68" s="710">
        <v>-3.975961868067425E-2</v>
      </c>
      <c r="F68" s="708">
        <v>-0.97172860592144683</v>
      </c>
      <c r="G68" s="711">
        <v>0.23272878884299836</v>
      </c>
      <c r="H68" s="710">
        <v>0.314</v>
      </c>
      <c r="I68" s="708">
        <v>0.52</v>
      </c>
      <c r="J68" s="570">
        <v>6.1159999999999997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6.1159999999999997</v>
      </c>
      <c r="N68" s="632">
        <f t="shared" si="240"/>
        <v>-2.910213417421482</v>
      </c>
      <c r="O68" s="629">
        <f t="shared" si="241"/>
        <v>-0.26997163127713442</v>
      </c>
      <c r="P68" s="633">
        <f t="shared" si="242"/>
        <v>-0.1224003691595134</v>
      </c>
      <c r="Q68" s="585">
        <f t="shared" si="113"/>
        <v>185.29998624038441</v>
      </c>
      <c r="R68" s="629">
        <f>IF(M68="","",SQRT(N68^2+O68^2))</f>
        <v>2.922708814889786</v>
      </c>
      <c r="S68" s="634">
        <f>IF(M68="","",P68)</f>
        <v>-0.1224003691595134</v>
      </c>
      <c r="T68" s="635">
        <f>IF(M68="","",X68*COS(RADIANS(W68)))</f>
        <v>-0.28622103179648156</v>
      </c>
      <c r="U68" s="629">
        <f>IF(M68="","",X68*SIN(RADIANS(W68)))</f>
        <v>2.9086602306890046</v>
      </c>
      <c r="V68" s="636">
        <f>IF(M68="","",Y68)</f>
        <v>-0.1224003691595134</v>
      </c>
      <c r="W68" s="585">
        <f t="shared" si="224"/>
        <v>95.619986194182133</v>
      </c>
      <c r="X68" s="629">
        <f>IF(M68="","",R68)</f>
        <v>2.922708814889786</v>
      </c>
      <c r="Y68" s="630">
        <f t="shared" si="223"/>
        <v>-0.1224003691595134</v>
      </c>
      <c r="Z68" s="632">
        <f t="shared" si="243"/>
        <v>3.975961868067425E-2</v>
      </c>
      <c r="AA68" s="629">
        <f t="shared" si="244"/>
        <v>0.97172860592144683</v>
      </c>
      <c r="AB68" s="629">
        <f t="shared" si="245"/>
        <v>-0.23272878884299836</v>
      </c>
      <c r="AC68" s="636">
        <f>IF(M68="","",SQRT(Z68^2+AA68^2+AB68^2))</f>
        <v>1</v>
      </c>
      <c r="AD68" s="637">
        <f>IF(M68="","",Z68*(1/SQRT(Z68^2+AA68^2+AB68^2)))</f>
        <v>3.975961868067425E-2</v>
      </c>
      <c r="AE68" s="629">
        <f>IF(M68="","",AA68*(1/SQRT(Z68^2+AA68^2+AB68^2)))</f>
        <v>0.97172860592144683</v>
      </c>
      <c r="AF68" s="633">
        <f>IF(M68="","",AB68*(1/SQRT(Z68^2+AA68^2+AB68^2)))</f>
        <v>-0.23272878884299836</v>
      </c>
      <c r="AG68" s="602">
        <f>IF(M68="","",DEGREES(ATAN2(-AF68,AE68)))</f>
        <v>76.531369269953331</v>
      </c>
      <c r="AH68" s="603">
        <f>IF(M68="","",DEGREES(ACOS(AD68)))</f>
        <v>87.72134102438261</v>
      </c>
      <c r="AI68" s="585">
        <f>IF(M68="","",DEGREES(-ACOS(-AF68)))</f>
        <v>-76.542219628049054</v>
      </c>
      <c r="AJ68" s="586">
        <f>IF(M68="","",DEGREES(ATAN2(-AE68,AD68)))</f>
        <v>177.65697095223658</v>
      </c>
      <c r="AK68" s="635">
        <f>IF(M68="","",(COS(RADIANS((90-$Q$8)-W68))*AD68)+(-SIN(RADIANS((90-$Q$8)-W68))*AE68))</f>
        <v>0.96390158457743014</v>
      </c>
      <c r="AL68" s="629">
        <f>IF(M68="","",(SIN(RADIANS((90-$Q$8)-W68))*AD68)+(COS(RADIANS((90-$Q$8)-W68))*AE68))</f>
        <v>-0.12934854499680462</v>
      </c>
      <c r="AM68" s="634">
        <f>IF(M68="","",AF68)</f>
        <v>-0.23272878884299836</v>
      </c>
      <c r="AN68" s="581">
        <f>IF(M68="","",DEGREES(ATAN2(-AM68,AL68)))</f>
        <v>-29.064907441175809</v>
      </c>
      <c r="AO68" s="582">
        <f t="shared" si="461"/>
        <v>15.441762831316897</v>
      </c>
      <c r="AP68" s="585">
        <f>IF(M68="","",DEGREES(ATAN2(AK68,AL68)))</f>
        <v>-7.6430152881478275</v>
      </c>
      <c r="AQ68" s="586">
        <f t="shared" si="246"/>
        <v>0.7799565255918951</v>
      </c>
      <c r="AS68" s="52">
        <f t="shared" si="406"/>
        <v>-264.38001380581784</v>
      </c>
      <c r="AT68" s="72">
        <f t="shared" si="247"/>
        <v>6.1419084840219643E-2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6.1159999999999997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-3.5839468738771889</v>
      </c>
      <c r="C69" s="708">
        <v>-0.27010652392908607</v>
      </c>
      <c r="D69" s="709">
        <v>-0.52360157918236294</v>
      </c>
      <c r="E69" s="710">
        <v>-0.19240676432471013</v>
      </c>
      <c r="F69" s="708">
        <v>-0.96315089173674451</v>
      </c>
      <c r="G69" s="711">
        <v>0.18793615083003448</v>
      </c>
      <c r="H69" s="710">
        <v>0.314</v>
      </c>
      <c r="I69" s="708">
        <v>0.52</v>
      </c>
      <c r="J69" s="570">
        <v>6.1230000000000002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6.1230000000000002</v>
      </c>
      <c r="N69" s="632">
        <f t="shared" si="240"/>
        <v>-3.5839468738771889</v>
      </c>
      <c r="O69" s="629">
        <f t="shared" si="241"/>
        <v>-0.27010652392908607</v>
      </c>
      <c r="P69" s="633">
        <f t="shared" si="242"/>
        <v>-0.52360157918236294</v>
      </c>
      <c r="Q69" s="585">
        <f t="shared" si="113"/>
        <v>184.30998638332269</v>
      </c>
      <c r="R69" s="629">
        <f t="shared" si="79"/>
        <v>3.5941108398382942</v>
      </c>
      <c r="S69" s="634">
        <f t="shared" si="80"/>
        <v>-0.52360157918236294</v>
      </c>
      <c r="T69" s="635">
        <f t="shared" si="81"/>
        <v>-0.29011873970981317</v>
      </c>
      <c r="U69" s="629">
        <f t="shared" si="82"/>
        <v>3.5823824259719004</v>
      </c>
      <c r="V69" s="636">
        <f t="shared" si="114"/>
        <v>-0.52360157918236294</v>
      </c>
      <c r="W69" s="585">
        <f t="shared" si="224"/>
        <v>94.629986337120414</v>
      </c>
      <c r="X69" s="629">
        <f t="shared" si="83"/>
        <v>3.5941108398382942</v>
      </c>
      <c r="Y69" s="630">
        <f t="shared" si="223"/>
        <v>-0.52360157918236294</v>
      </c>
      <c r="Z69" s="632">
        <f t="shared" si="243"/>
        <v>0.19240676432471013</v>
      </c>
      <c r="AA69" s="629">
        <f t="shared" si="244"/>
        <v>0.96315089173674451</v>
      </c>
      <c r="AB69" s="629">
        <f t="shared" si="245"/>
        <v>-0.18793615083003448</v>
      </c>
      <c r="AC69" s="636">
        <f t="shared" si="84"/>
        <v>1</v>
      </c>
      <c r="AD69" s="637">
        <f t="shared" si="115"/>
        <v>0.19240676432471013</v>
      </c>
      <c r="AE69" s="629">
        <f t="shared" si="85"/>
        <v>0.96315089173674451</v>
      </c>
      <c r="AF69" s="633">
        <f t="shared" si="86"/>
        <v>-0.18793615083003448</v>
      </c>
      <c r="AG69" s="602">
        <f t="shared" si="87"/>
        <v>78.958815150747213</v>
      </c>
      <c r="AH69" s="603">
        <f t="shared" si="88"/>
        <v>78.906726356125617</v>
      </c>
      <c r="AI69" s="585">
        <f t="shared" si="89"/>
        <v>-79.167635241490515</v>
      </c>
      <c r="AJ69" s="586">
        <f t="shared" si="90"/>
        <v>168.70284734655561</v>
      </c>
      <c r="AK69" s="635">
        <f t="shared" si="211"/>
        <v>0.9459672939226077</v>
      </c>
      <c r="AL69" s="629">
        <f t="shared" si="91"/>
        <v>-0.26424587421552964</v>
      </c>
      <c r="AM69" s="634">
        <f t="shared" si="92"/>
        <v>-0.18793615083003448</v>
      </c>
      <c r="AN69" s="581">
        <f t="shared" si="93"/>
        <v>-54.578916543947713</v>
      </c>
      <c r="AO69" s="582">
        <f t="shared" si="461"/>
        <v>18.920872677986026</v>
      </c>
      <c r="AP69" s="585">
        <f t="shared" si="95"/>
        <v>-15.607139036767094</v>
      </c>
      <c r="AQ69" s="586">
        <f t="shared" si="246"/>
        <v>0.63426911645177653</v>
      </c>
      <c r="AS69" s="52">
        <f t="shared" si="406"/>
        <v>-265.37001366287961</v>
      </c>
      <c r="AT69" s="72">
        <f t="shared" si="247"/>
        <v>-0.3390946252818926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6.1230000000000002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-4.002685983906888</v>
      </c>
      <c r="C70" s="708">
        <v>-0.25042400848821006</v>
      </c>
      <c r="D70" s="709">
        <v>-1.180803561303541</v>
      </c>
      <c r="E70" s="710">
        <v>-0.36302682354136989</v>
      </c>
      <c r="F70" s="708">
        <v>-0.92361189065041482</v>
      </c>
      <c r="G70" s="711">
        <v>0.12309590098223969</v>
      </c>
      <c r="H70" s="710">
        <v>0.314</v>
      </c>
      <c r="I70" s="708">
        <v>0.52</v>
      </c>
      <c r="J70" s="570">
        <v>6.13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6.13</v>
      </c>
      <c r="N70" s="632">
        <f t="shared" si="240"/>
        <v>-4.002685983906888</v>
      </c>
      <c r="O70" s="629">
        <f t="shared" si="241"/>
        <v>-0.25042400848821006</v>
      </c>
      <c r="P70" s="633">
        <f t="shared" si="242"/>
        <v>-1.180803561303541</v>
      </c>
      <c r="Q70" s="585">
        <f t="shared" si="113"/>
        <v>183.57998648872163</v>
      </c>
      <c r="R70" s="629">
        <f t="shared" si="79"/>
        <v>4.010512095704482</v>
      </c>
      <c r="S70" s="634">
        <f t="shared" si="80"/>
        <v>-1.180803561303541</v>
      </c>
      <c r="T70" s="635">
        <f t="shared" si="81"/>
        <v>-0.27277519912529175</v>
      </c>
      <c r="U70" s="629">
        <f t="shared" si="82"/>
        <v>4.0012249325093077</v>
      </c>
      <c r="V70" s="636">
        <f t="shared" si="114"/>
        <v>-1.180803561303541</v>
      </c>
      <c r="W70" s="585">
        <f t="shared" si="224"/>
        <v>93.899986442519349</v>
      </c>
      <c r="X70" s="629">
        <f t="shared" si="83"/>
        <v>4.010512095704482</v>
      </c>
      <c r="Y70" s="630">
        <f t="shared" si="223"/>
        <v>-1.180803561303541</v>
      </c>
      <c r="Z70" s="632">
        <f t="shared" si="243"/>
        <v>0.36302682354136989</v>
      </c>
      <c r="AA70" s="629">
        <f t="shared" si="244"/>
        <v>0.92361189065041482</v>
      </c>
      <c r="AB70" s="629">
        <f t="shared" si="245"/>
        <v>-0.12309590098223969</v>
      </c>
      <c r="AC70" s="636">
        <f t="shared" si="84"/>
        <v>1</v>
      </c>
      <c r="AD70" s="637">
        <f t="shared" si="115"/>
        <v>0.36302682354136989</v>
      </c>
      <c r="AE70" s="629">
        <f t="shared" si="85"/>
        <v>0.92361189065041482</v>
      </c>
      <c r="AF70" s="633">
        <f t="shared" si="86"/>
        <v>-0.12309590098223969</v>
      </c>
      <c r="AG70" s="602">
        <f t="shared" si="87"/>
        <v>82.408547502253285</v>
      </c>
      <c r="AH70" s="603">
        <f t="shared" si="88"/>
        <v>68.713799600302238</v>
      </c>
      <c r="AI70" s="585">
        <f t="shared" si="89"/>
        <v>-82.929190272178005</v>
      </c>
      <c r="AJ70" s="586">
        <f t="shared" si="90"/>
        <v>158.54262892718177</v>
      </c>
      <c r="AK70" s="635">
        <f t="shared" si="211"/>
        <v>0.89914146894070301</v>
      </c>
      <c r="AL70" s="629">
        <f t="shared" si="91"/>
        <v>-0.41999049750265249</v>
      </c>
      <c r="AM70" s="634">
        <f t="shared" si="92"/>
        <v>-0.12309590098223969</v>
      </c>
      <c r="AN70" s="581">
        <f t="shared" si="93"/>
        <v>-73.664555366741993</v>
      </c>
      <c r="AO70" s="582">
        <f t="shared" si="461"/>
        <v>25.954554371484328</v>
      </c>
      <c r="AP70" s="585">
        <f t="shared" si="95"/>
        <v>-25.037357561539853</v>
      </c>
      <c r="AQ70" s="586">
        <f t="shared" si="246"/>
        <v>0.56841914082813638</v>
      </c>
      <c r="AS70" s="52">
        <f t="shared" si="406"/>
        <v>-266.10001355748068</v>
      </c>
      <c r="AT70" s="72">
        <f t="shared" si="247"/>
        <v>-0.99578966303181993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6.13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-4.1240110858068606</v>
      </c>
      <c r="C71" s="708">
        <v>-0.24212128498479066</v>
      </c>
      <c r="D71" s="709">
        <v>-1.9558058987105906</v>
      </c>
      <c r="E71" s="710">
        <v>-0.44838335880395974</v>
      </c>
      <c r="F71" s="708">
        <v>-0.89384135256077002</v>
      </c>
      <c r="G71" s="711">
        <v>1.1339743351478678E-7</v>
      </c>
      <c r="H71" s="710">
        <v>0.314</v>
      </c>
      <c r="I71" s="708">
        <v>0.52</v>
      </c>
      <c r="J71" s="570">
        <v>6.1369999999999996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6.1369999999999996</v>
      </c>
      <c r="N71" s="632">
        <f t="shared" si="240"/>
        <v>-4.1240110858068606</v>
      </c>
      <c r="O71" s="629">
        <f t="shared" si="241"/>
        <v>-0.24212128498479066</v>
      </c>
      <c r="P71" s="633">
        <f t="shared" si="242"/>
        <v>-1.9558058987105906</v>
      </c>
      <c r="Q71" s="585">
        <f t="shared" si="113"/>
        <v>183.35998652048571</v>
      </c>
      <c r="R71" s="629">
        <f t="shared" si="79"/>
        <v>4.1311124594351778</v>
      </c>
      <c r="S71" s="634">
        <f t="shared" si="80"/>
        <v>-1.9558058987105906</v>
      </c>
      <c r="T71" s="635">
        <f t="shared" si="81"/>
        <v>-0.26515020869153216</v>
      </c>
      <c r="U71" s="629">
        <f t="shared" si="82"/>
        <v>4.1225945130865584</v>
      </c>
      <c r="V71" s="636">
        <f t="shared" si="114"/>
        <v>-1.9558058987105906</v>
      </c>
      <c r="W71" s="585">
        <f t="shared" si="224"/>
        <v>93.679986474283425</v>
      </c>
      <c r="X71" s="629">
        <f t="shared" si="83"/>
        <v>4.1311124594351778</v>
      </c>
      <c r="Y71" s="630">
        <f t="shared" si="223"/>
        <v>-1.9558058987105906</v>
      </c>
      <c r="Z71" s="632">
        <f t="shared" si="243"/>
        <v>0.44838335880395974</v>
      </c>
      <c r="AA71" s="629">
        <f t="shared" si="244"/>
        <v>0.89384135256077002</v>
      </c>
      <c r="AB71" s="629">
        <f t="shared" si="245"/>
        <v>-1.1339743351478678E-7</v>
      </c>
      <c r="AC71" s="636">
        <f t="shared" si="84"/>
        <v>1</v>
      </c>
      <c r="AD71" s="637">
        <f t="shared" si="115"/>
        <v>0.44838335880395974</v>
      </c>
      <c r="AE71" s="629">
        <f t="shared" si="85"/>
        <v>0.89384135256077002</v>
      </c>
      <c r="AF71" s="633">
        <f t="shared" si="86"/>
        <v>-1.1339743351478678E-7</v>
      </c>
      <c r="AG71" s="602">
        <f t="shared" si="87"/>
        <v>89.99999273115489</v>
      </c>
      <c r="AH71" s="603">
        <f t="shared" si="88"/>
        <v>63.359990851949981</v>
      </c>
      <c r="AI71" s="585">
        <f t="shared" si="89"/>
        <v>-89.999993502805651</v>
      </c>
      <c r="AJ71" s="586">
        <f t="shared" si="90"/>
        <v>153.35999085194979</v>
      </c>
      <c r="AK71" s="635">
        <f t="shared" si="211"/>
        <v>0.86602544158358585</v>
      </c>
      <c r="AL71" s="629">
        <f t="shared" si="91"/>
        <v>-0.49999993452993835</v>
      </c>
      <c r="AM71" s="634">
        <f t="shared" si="92"/>
        <v>-1.1339743351478678E-7</v>
      </c>
      <c r="AN71" s="581">
        <f t="shared" si="93"/>
        <v>-89.999987005609611</v>
      </c>
      <c r="AO71" s="582">
        <f t="shared" si="461"/>
        <v>29.99999566853651</v>
      </c>
      <c r="AP71" s="585">
        <f t="shared" si="95"/>
        <v>-29.999995668535888</v>
      </c>
      <c r="AQ71" s="586">
        <f t="shared" si="246"/>
        <v>0.55182621266630238</v>
      </c>
      <c r="AS71" s="52">
        <f t="shared" si="406"/>
        <v>-266.3200135257166</v>
      </c>
      <c r="AT71" s="72">
        <f t="shared" si="247"/>
        <v>-1.7706392226831502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6.1369999999999996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-4.1240110858068606</v>
      </c>
      <c r="C72" s="708">
        <v>-0.24212128498479066</v>
      </c>
      <c r="D72" s="709">
        <v>-2.7149081881630961</v>
      </c>
      <c r="E72" s="710">
        <v>-0.44838335880395974</v>
      </c>
      <c r="F72" s="708">
        <v>-0.89384135256077002</v>
      </c>
      <c r="G72" s="711">
        <v>1.133974335147868E-7</v>
      </c>
      <c r="H72" s="710">
        <v>0.314</v>
      </c>
      <c r="I72" s="708">
        <v>0.52</v>
      </c>
      <c r="J72" s="570">
        <v>6.1440000000000001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6.1440000000000001</v>
      </c>
      <c r="N72" s="632">
        <f t="shared" si="240"/>
        <v>-4.1240110858068606</v>
      </c>
      <c r="O72" s="629">
        <f t="shared" si="241"/>
        <v>-0.24212128498479066</v>
      </c>
      <c r="P72" s="633">
        <f t="shared" si="242"/>
        <v>-2.7149081881630961</v>
      </c>
      <c r="Q72" s="585">
        <f t="shared" si="113"/>
        <v>183.35998652048571</v>
      </c>
      <c r="R72" s="629">
        <f t="shared" si="79"/>
        <v>4.1311124594351778</v>
      </c>
      <c r="S72" s="634">
        <f t="shared" si="80"/>
        <v>-2.7149081881630961</v>
      </c>
      <c r="T72" s="635">
        <f t="shared" si="81"/>
        <v>-0.26515020869153216</v>
      </c>
      <c r="U72" s="629">
        <f t="shared" si="82"/>
        <v>4.1225945130865584</v>
      </c>
      <c r="V72" s="636">
        <f t="shared" si="114"/>
        <v>-2.7149081881630961</v>
      </c>
      <c r="W72" s="585">
        <f t="shared" si="224"/>
        <v>93.679986474283425</v>
      </c>
      <c r="X72" s="629">
        <f t="shared" si="83"/>
        <v>4.1311124594351778</v>
      </c>
      <c r="Y72" s="630">
        <f t="shared" si="223"/>
        <v>-2.7149081881630961</v>
      </c>
      <c r="Z72" s="632">
        <f t="shared" si="243"/>
        <v>0.44838335880395974</v>
      </c>
      <c r="AA72" s="629">
        <f t="shared" si="244"/>
        <v>0.89384135256077002</v>
      </c>
      <c r="AB72" s="629">
        <f t="shared" si="245"/>
        <v>-1.133974335147868E-7</v>
      </c>
      <c r="AC72" s="636">
        <f t="shared" si="84"/>
        <v>1</v>
      </c>
      <c r="AD72" s="637">
        <f t="shared" si="115"/>
        <v>0.44838335880395974</v>
      </c>
      <c r="AE72" s="629">
        <f t="shared" si="85"/>
        <v>0.89384135256077002</v>
      </c>
      <c r="AF72" s="633">
        <f t="shared" si="86"/>
        <v>-1.133974335147868E-7</v>
      </c>
      <c r="AG72" s="602">
        <f t="shared" si="87"/>
        <v>89.99999273115489</v>
      </c>
      <c r="AH72" s="603">
        <f t="shared" si="88"/>
        <v>63.359990851949981</v>
      </c>
      <c r="AI72" s="585">
        <f t="shared" si="89"/>
        <v>-89.999993502805651</v>
      </c>
      <c r="AJ72" s="586">
        <f t="shared" si="90"/>
        <v>153.35999085194979</v>
      </c>
      <c r="AK72" s="635">
        <f t="shared" si="211"/>
        <v>0.86602544158358585</v>
      </c>
      <c r="AL72" s="629">
        <f t="shared" si="91"/>
        <v>-0.49999993452993835</v>
      </c>
      <c r="AM72" s="634">
        <f t="shared" si="92"/>
        <v>-1.133974335147868E-7</v>
      </c>
      <c r="AN72" s="581">
        <f t="shared" si="93"/>
        <v>-89.999987005609611</v>
      </c>
      <c r="AO72" s="582">
        <f t="shared" si="461"/>
        <v>29.99999566853651</v>
      </c>
      <c r="AP72" s="585">
        <f t="shared" si="95"/>
        <v>-29.999995668535888</v>
      </c>
      <c r="AQ72" s="586">
        <f t="shared" si="246"/>
        <v>0.55182621266630238</v>
      </c>
      <c r="AS72" s="52">
        <f t="shared" si="406"/>
        <v>-266.3200135257166</v>
      </c>
      <c r="AT72" s="72">
        <f t="shared" si="247"/>
        <v>-2.5297415121356557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6.1440000000000001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-3.5786091630880583</v>
      </c>
      <c r="C73" s="708">
        <v>0.58252574456951944</v>
      </c>
      <c r="D73" s="709">
        <v>-0.49060147965406264</v>
      </c>
      <c r="E73" s="710">
        <v>-0.45506749943786479</v>
      </c>
      <c r="F73" s="708">
        <v>-0.85355415345738361</v>
      </c>
      <c r="G73" s="711">
        <v>0.25369051632061124</v>
      </c>
      <c r="H73" s="710">
        <v>0.26600000000000001</v>
      </c>
      <c r="I73" s="708">
        <v>0.52</v>
      </c>
      <c r="J73" s="570">
        <v>6.2229999999999999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1313</v>
      </c>
      <c r="L73" s="320"/>
      <c r="M73" s="168">
        <f t="shared" ref="M73:M104" si="464">IF(J73="","",VALUE(J73))</f>
        <v>6.2229999999999999</v>
      </c>
      <c r="N73" s="632">
        <f t="shared" ref="N73:N104" si="465">IF(M73="","",B73)</f>
        <v>-3.5786091630880583</v>
      </c>
      <c r="O73" s="629">
        <f t="shared" ref="O73:O104" si="466">IF(M73="","",C73)</f>
        <v>0.58252574456951944</v>
      </c>
      <c r="P73" s="633">
        <f t="shared" ref="P73:P104" si="467">IF(M73="","",D73)</f>
        <v>-0.49060147965406264</v>
      </c>
      <c r="Q73" s="585">
        <f t="shared" si="113"/>
        <v>170.75448834049445</v>
      </c>
      <c r="R73" s="629">
        <f>IF(M73="","",SQRT(N73^2+O73^2))</f>
        <v>3.6257109351441801</v>
      </c>
      <c r="S73" s="634">
        <f>IF(M73="","",P73)</f>
        <v>-0.49060147965406264</v>
      </c>
      <c r="T73" s="635">
        <f>IF(M73="","",X73*COS(RADIANS(W73)))</f>
        <v>0.56253004206475266</v>
      </c>
      <c r="U73" s="629">
        <f>IF(M73="","",X73*SIN(RADIANS(W73)))</f>
        <v>3.5818067699135745</v>
      </c>
      <c r="V73" s="636">
        <f>IF(M73="","",Y73)</f>
        <v>-0.49060147965406264</v>
      </c>
      <c r="W73" s="585">
        <f t="shared" si="224"/>
        <v>81.074488294292166</v>
      </c>
      <c r="X73" s="629">
        <f>IF(M73="","",R73)</f>
        <v>3.6257109351441801</v>
      </c>
      <c r="Y73" s="630">
        <f t="shared" si="223"/>
        <v>-0.49060147965406264</v>
      </c>
      <c r="Z73" s="632">
        <f t="shared" ref="Z73:Z104" si="468">IF(M73="","",-E73)</f>
        <v>0.45506749943786479</v>
      </c>
      <c r="AA73" s="629">
        <f t="shared" ref="AA73:AA104" si="469">IF(M73="","",-F73)</f>
        <v>0.85355415345738361</v>
      </c>
      <c r="AB73" s="629">
        <f t="shared" ref="AB73:AB104" si="470">IF(M73="","",-G73)</f>
        <v>-0.25369051632061124</v>
      </c>
      <c r="AC73" s="636">
        <f>IF(M73="","",SQRT(Z73^2+AA73^2+AB73^2))</f>
        <v>1</v>
      </c>
      <c r="AD73" s="637">
        <f>IF(M73="","",Z73*(1/SQRT(Z73^2+AA73^2+AB73^2)))</f>
        <v>0.45506749943786479</v>
      </c>
      <c r="AE73" s="629">
        <f>IF(M73="","",AA73*(1/SQRT(Z73^2+AA73^2+AB73^2)))</f>
        <v>0.85355415345738361</v>
      </c>
      <c r="AF73" s="633">
        <f>IF(M73="","",AB73*(1/SQRT(Z73^2+AA73^2+AB73^2)))</f>
        <v>-0.25369051632061124</v>
      </c>
      <c r="AG73" s="602">
        <f>IF(M73="","",DEGREES(ATAN2(-AF73,AE73)))</f>
        <v>73.44717359419343</v>
      </c>
      <c r="AH73" s="603">
        <f>IF(M73="","",DEGREES(ACOS(AD73)))</f>
        <v>62.930722654942066</v>
      </c>
      <c r="AI73" s="585">
        <f>IF(M73="","",DEGREES(-ACOS(-AF73)))</f>
        <v>-75.303994053998224</v>
      </c>
      <c r="AJ73" s="586">
        <f>IF(M73="","",DEGREES(ATAN2(-AE73,AD73)))</f>
        <v>151.93594770329514</v>
      </c>
      <c r="AK73" s="635">
        <f>IF(M73="","",(COS(RADIANS((90-$Q$8)-W73))*AD73)+(-SIN(RADIANS((90-$Q$8)-W73))*AE73))</f>
        <v>0.91557912588028412</v>
      </c>
      <c r="AL73" s="629">
        <f>IF(M73="","",(SIN(RADIANS((90-$Q$8)-W73))*AD73)+(COS(RADIANS((90-$Q$8)-W73))*AE73))</f>
        <v>-0.3120192080325776</v>
      </c>
      <c r="AM73" s="634">
        <f>IF(M73="","",AF73)</f>
        <v>-0.25369051632061124</v>
      </c>
      <c r="AN73" s="581">
        <f>IF(M73="","",DEGREES(ATAN2(-AM73,AL73)))</f>
        <v>-50.88679974004679</v>
      </c>
      <c r="AO73" s="582">
        <f t="shared" si="461"/>
        <v>23.711895083968958</v>
      </c>
      <c r="AP73" s="585">
        <f>IF(M73="","",DEGREES(ATAN2(AK73,AL73)))</f>
        <v>-18.818540637199298</v>
      </c>
      <c r="AQ73" s="586">
        <f t="shared" ref="AQ73:AQ104" si="471">IF(M73="","",DEGREES(ATAN(($AS$5*SIN(RADIANS(90)))/(($X73*2*PI())-($AS$5*COS(RADIANS(90)))))))</f>
        <v>0.62874155267092546</v>
      </c>
      <c r="AS73" s="52">
        <f t="shared" si="406"/>
        <v>-278.92551170570783</v>
      </c>
      <c r="AT73" s="72">
        <f t="shared" ref="AT73:AT104" si="472">IF(M73="","",Y73+(((AS73-$AS$9)*$AS$6)*-1))</f>
        <v>-0.29668098544607269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6.2229999999999999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6.1230000000000002</v>
      </c>
      <c r="II73" s="734" cm="1">
        <f t="array" ref="II73">IFERROR(ROUND(VALUE(IF($IH73&lt;1,$IH73+LARGE((IF($M$9:$M$150="",0,$M$9:$M$150)-MOD(IF($M$9:$M$150="",0,$M$9:$M$150),1)),1),$IH73)),4),"")</f>
        <v>6.1230000000000002</v>
      </c>
      <c r="IJ73" s="533">
        <f t="shared" si="112"/>
        <v>1613</v>
      </c>
      <c r="IK73" s="533">
        <f t="shared" ref="IK73:IK104" si="517">IF(ISNUMBER($II73),INDEX($K$9:$K$150,MATCH($IG73,$M$9:$M$150,0)),"")</f>
        <v>1313</v>
      </c>
      <c r="IL73" s="727">
        <f t="shared" si="225"/>
        <v>13.555498042828248</v>
      </c>
      <c r="IM73" s="759">
        <v>8.0542963308242194E-3</v>
      </c>
      <c r="IN73" s="5">
        <f t="shared" si="226"/>
        <v>0.24</v>
      </c>
      <c r="IO73" s="771">
        <v>120</v>
      </c>
      <c r="IP73" s="9">
        <f t="shared" si="227"/>
        <v>-3.5941108398382942</v>
      </c>
      <c r="IQ73" s="5">
        <f t="shared" si="228"/>
        <v>-0.52360157918236294</v>
      </c>
      <c r="IR73" s="5">
        <f t="shared" ref="IR73:IR104" si="518">IF(ISNUMBER($II73),INDEX($H$9:$H$150,MATCH($II73,$M$9:$M$150,0)),"")</f>
        <v>0.314</v>
      </c>
      <c r="IS73" s="5">
        <f t="shared" si="229"/>
        <v>0.29703373029169883</v>
      </c>
      <c r="IT73" s="727">
        <f t="shared" si="230"/>
        <v>54.578916543947713</v>
      </c>
      <c r="IU73" s="9">
        <f t="shared" si="231"/>
        <v>-3.6257109351441801</v>
      </c>
      <c r="IV73" s="5">
        <f t="shared" si="232"/>
        <v>-0.49060147965406264</v>
      </c>
      <c r="IW73" s="5">
        <f t="shared" ref="IW73:IW104" si="519">IF(ISNUMBER($II73),$H73,"")</f>
        <v>0.26600000000000001</v>
      </c>
      <c r="IX73" s="5">
        <f t="shared" si="233"/>
        <v>0.24354404748415559</v>
      </c>
      <c r="IY73" s="762">
        <f t="shared" si="234"/>
        <v>50.88679974004679</v>
      </c>
    </row>
    <row r="74" spans="1:259" ht="15" customHeight="1" x14ac:dyDescent="0.25">
      <c r="A74" s="79"/>
      <c r="B74" s="707">
        <v>-4.0053450154498051</v>
      </c>
      <c r="C74" s="708">
        <v>0.6384632691232669</v>
      </c>
      <c r="D74" s="709">
        <v>-1.1611035018881617</v>
      </c>
      <c r="E74" s="710">
        <v>-0.61358398504406331</v>
      </c>
      <c r="F74" s="708">
        <v>-0.77221766370406753</v>
      </c>
      <c r="G74" s="711">
        <v>0.16490777168126008</v>
      </c>
      <c r="H74" s="710">
        <v>0.26600000000000001</v>
      </c>
      <c r="I74" s="708">
        <v>0.52</v>
      </c>
      <c r="J74" s="570">
        <v>6.23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6.23</v>
      </c>
      <c r="N74" s="632">
        <f t="shared" si="465"/>
        <v>-4.0053450154498051</v>
      </c>
      <c r="O74" s="629">
        <f t="shared" si="466"/>
        <v>0.6384632691232669</v>
      </c>
      <c r="P74" s="633">
        <f t="shared" si="467"/>
        <v>-1.1611035018881617</v>
      </c>
      <c r="Q74" s="585">
        <f t="shared" ref="Q74:Q129" si="520">IF(M74="","",IF(DEGREES(ATAN2(N74,O74))&lt;0,DEGREES(ATAN2(N74,O74))+360,IF(DEGREES(ATAN2(N74,O74))&gt;360,DEGREES(ATAN2(N74,O74))-360,DEGREES(ATAN2(N74,O74)))))</f>
        <v>170.94308831326401</v>
      </c>
      <c r="R74" s="629">
        <f>IF(M74="","",SQRT(N74^2+O74^2))</f>
        <v>4.055912232631294</v>
      </c>
      <c r="S74" s="634">
        <f>IF(M74="","",P74)</f>
        <v>-1.1611035018881617</v>
      </c>
      <c r="T74" s="635">
        <f>IF(M74="","",X74*COS(RADIANS(W74)))</f>
        <v>0.61608336431975719</v>
      </c>
      <c r="U74" s="629">
        <f>IF(M74="","",X74*SIN(RADIANS(W74)))</f>
        <v>4.0088483791503782</v>
      </c>
      <c r="V74" s="636">
        <f>IF(M74="","",Y74)</f>
        <v>-1.1611035018881617</v>
      </c>
      <c r="W74" s="585">
        <f t="shared" si="224"/>
        <v>81.263088267061732</v>
      </c>
      <c r="X74" s="629">
        <f>IF(M74="","",R74)</f>
        <v>4.055912232631294</v>
      </c>
      <c r="Y74" s="630">
        <f t="shared" si="223"/>
        <v>-1.1611035018881617</v>
      </c>
      <c r="Z74" s="632">
        <f t="shared" si="468"/>
        <v>0.61358398504406331</v>
      </c>
      <c r="AA74" s="629">
        <f t="shared" si="469"/>
        <v>0.77221766370406753</v>
      </c>
      <c r="AB74" s="629">
        <f t="shared" si="470"/>
        <v>-0.16490777168126008</v>
      </c>
      <c r="AC74" s="636">
        <f>IF(M74="","",SQRT(Z74^2+AA74^2+AB74^2))</f>
        <v>1</v>
      </c>
      <c r="AD74" s="637">
        <f>IF(M74="","",Z74*(1/SQRT(Z74^2+AA74^2+AB74^2)))</f>
        <v>0.61358398504406331</v>
      </c>
      <c r="AE74" s="629">
        <f>IF(M74="","",AA74*(1/SQRT(Z74^2+AA74^2+AB74^2)))</f>
        <v>0.77221766370406753</v>
      </c>
      <c r="AF74" s="633">
        <f>IF(M74="","",AB74*(1/SQRT(Z74^2+AA74^2+AB74^2)))</f>
        <v>-0.16490777168126008</v>
      </c>
      <c r="AG74" s="602">
        <f>IF(M74="","",DEGREES(ATAN2(-AF74,AE74)))</f>
        <v>77.945502747868233</v>
      </c>
      <c r="AH74" s="603">
        <f>IF(M74="","",DEGREES(ACOS(AD74)))</f>
        <v>52.150897973881072</v>
      </c>
      <c r="AI74" s="585">
        <f>IF(M74="","",DEGREES(-ACOS(-AF74)))</f>
        <v>-80.508123218350988</v>
      </c>
      <c r="AJ74" s="586">
        <f>IF(M74="","",DEGREES(ATAN2(-AE74,AD74)))</f>
        <v>141.53026353380079</v>
      </c>
      <c r="AK74" s="635">
        <f>IF(M74="","",(COS(RADIANS((90-$Q$8)-W74))*AD74)+(-SIN(RADIANS((90-$Q$8)-W74))*AE74))</f>
        <v>0.8591776170835792</v>
      </c>
      <c r="AL74" s="629">
        <f>IF(M74="","",(SIN(RADIANS((90-$Q$8)-W74))*AD74)+(COS(RADIANS((90-$Q$8)-W74))*AE74))</f>
        <v>-0.48437511201723021</v>
      </c>
      <c r="AM74" s="634">
        <f>IF(M74="","",AF74)</f>
        <v>-0.16490777168126008</v>
      </c>
      <c r="AN74" s="581">
        <f>IF(M74="","",DEGREES(ATAN2(-AM74,AL74)))</f>
        <v>-71.198618455508793</v>
      </c>
      <c r="AO74" s="582">
        <f t="shared" si="461"/>
        <v>30.775629192085006</v>
      </c>
      <c r="AP74" s="585">
        <f>IF(M74="","",DEGREES(ATAN2(AK74,AL74)))</f>
        <v>-29.412824779463214</v>
      </c>
      <c r="AQ74" s="586">
        <f t="shared" si="471"/>
        <v>0.56205691195617558</v>
      </c>
      <c r="AS74" s="52">
        <f t="shared" si="406"/>
        <v>-278.73691173293827</v>
      </c>
      <c r="AT74" s="72">
        <f t="shared" si="472"/>
        <v>-0.96731397988348389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>Taper</v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6.23</v>
      </c>
      <c r="IH74" s="731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6.13</v>
      </c>
      <c r="II74" s="734" cm="1">
        <f t="array" ref="II74">IFERROR(ROUND(VALUE(IF($IH74&lt;1,$IH74+LARGE((IF($M$9:$M$150="",0,$M$9:$M$150)-MOD(IF($M$9:$M$150="",0,$M$9:$M$150),1)),1),$IH74)),4),"")</f>
        <v>6.13</v>
      </c>
      <c r="IJ74" s="533">
        <f t="shared" ref="IJ74:IJ137" si="542">IF(ISNUMBER($II74),INDEX($K$9:$K$150,MATCH($II74,$M$9:$M$150,0)),$K74)</f>
        <v>1613</v>
      </c>
      <c r="IK74" s="533">
        <f t="shared" si="517"/>
        <v>1313</v>
      </c>
      <c r="IL74" s="727">
        <f t="shared" si="225"/>
        <v>12.636898175457617</v>
      </c>
      <c r="IM74" s="759">
        <v>4.5106268346697198E-3</v>
      </c>
      <c r="IN74" s="5">
        <f t="shared" si="226"/>
        <v>0.2</v>
      </c>
      <c r="IO74" s="771">
        <v>100</v>
      </c>
      <c r="IP74" s="9">
        <f t="shared" si="227"/>
        <v>-4.010512095704482</v>
      </c>
      <c r="IQ74" s="5">
        <f t="shared" si="228"/>
        <v>-1.180803561303541</v>
      </c>
      <c r="IR74" s="5">
        <f t="shared" si="518"/>
        <v>0.314</v>
      </c>
      <c r="IS74" s="5">
        <f t="shared" si="229"/>
        <v>0.28233042124738073</v>
      </c>
      <c r="IT74" s="727">
        <f t="shared" si="230"/>
        <v>73.664555366741993</v>
      </c>
      <c r="IU74" s="9">
        <f t="shared" si="231"/>
        <v>-4.055912232631294</v>
      </c>
      <c r="IV74" s="5">
        <f t="shared" si="232"/>
        <v>-1.1611035018881617</v>
      </c>
      <c r="IW74" s="5">
        <f t="shared" si="519"/>
        <v>0.26600000000000001</v>
      </c>
      <c r="IX74" s="5">
        <f t="shared" si="233"/>
        <v>0.22854124614423207</v>
      </c>
      <c r="IY74" s="762">
        <f t="shared" si="234"/>
        <v>71.198618455508793</v>
      </c>
    </row>
    <row r="75" spans="1:259" ht="15" customHeight="1" x14ac:dyDescent="0.25">
      <c r="A75" s="79"/>
      <c r="B75" s="707">
        <v>-4.0479340216540418</v>
      </c>
      <c r="C75" s="708">
        <v>0.89969704221709434</v>
      </c>
      <c r="D75" s="709">
        <v>-1.9614059156002415</v>
      </c>
      <c r="E75" s="710">
        <v>-0.97617913452405669</v>
      </c>
      <c r="F75" s="708">
        <v>0.21696612021191769</v>
      </c>
      <c r="G75" s="711">
        <v>2.2679489693567683E-7</v>
      </c>
      <c r="H75" s="710">
        <v>0.25700000000000001</v>
      </c>
      <c r="I75" s="708">
        <v>0.41499999999999992</v>
      </c>
      <c r="J75" s="570">
        <v>6.2370000000000001</v>
      </c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CPS-32193r1</v>
      </c>
      <c r="L75" s="320"/>
      <c r="M75" s="168">
        <f t="shared" si="464"/>
        <v>6.2370000000000001</v>
      </c>
      <c r="N75" s="632">
        <f t="shared" si="465"/>
        <v>-4.0479340216540418</v>
      </c>
      <c r="O75" s="629">
        <f t="shared" si="466"/>
        <v>0.89969704221709434</v>
      </c>
      <c r="P75" s="633">
        <f t="shared" si="467"/>
        <v>-1.9614059156002415</v>
      </c>
      <c r="Q75" s="585">
        <f t="shared" si="520"/>
        <v>167.46908613931694</v>
      </c>
      <c r="R75" s="629">
        <f>IF(M75="","",SQRT(N75^2+O75^2))</f>
        <v>4.1467125064849206</v>
      </c>
      <c r="S75" s="634">
        <f>IF(M75="","",P75)</f>
        <v>-1.9614059156002415</v>
      </c>
      <c r="T75" s="635">
        <f>IF(M75="","",X75*COS(RADIANS(W75)))</f>
        <v>0.87707520250407089</v>
      </c>
      <c r="U75" s="629">
        <f>IF(M75="","",X75*SIN(RADIANS(W75)))</f>
        <v>4.0528957179516594</v>
      </c>
      <c r="V75" s="636">
        <f>IF(M75="","",Y75)</f>
        <v>-1.9614059156002415</v>
      </c>
      <c r="W75" s="585">
        <f t="shared" si="224"/>
        <v>77.789086093114662</v>
      </c>
      <c r="X75" s="629">
        <f>IF(M75="","",R75)</f>
        <v>4.1467125064849206</v>
      </c>
      <c r="Y75" s="630">
        <f t="shared" si="223"/>
        <v>-1.9614059156002415</v>
      </c>
      <c r="Z75" s="632">
        <f t="shared" si="468"/>
        <v>0.97617913452405669</v>
      </c>
      <c r="AA75" s="629">
        <f t="shared" si="469"/>
        <v>-0.21696612021191769</v>
      </c>
      <c r="AB75" s="629">
        <f t="shared" si="470"/>
        <v>-2.2679489693567683E-7</v>
      </c>
      <c r="AC75" s="636">
        <f>IF(M75="","",SQRT(Z75^2+AA75^2+AB75^2))</f>
        <v>1</v>
      </c>
      <c r="AD75" s="637">
        <f>IF(M75="","",Z75*(1/SQRT(Z75^2+AA75^2+AB75^2)))</f>
        <v>0.97617913452405669</v>
      </c>
      <c r="AE75" s="629">
        <f>IF(M75="","",AA75*(1/SQRT(Z75^2+AA75^2+AB75^2)))</f>
        <v>-0.21696612021191769</v>
      </c>
      <c r="AF75" s="633">
        <f>IF(M75="","",AB75*(1/SQRT(Z75^2+AA75^2+AB75^2)))</f>
        <v>-2.2679489693567683E-7</v>
      </c>
      <c r="AG75" s="602">
        <f>IF(M75="","",DEGREES(ATAN2(-AF75,AE75)))</f>
        <v>-89.999940108665825</v>
      </c>
      <c r="AH75" s="603">
        <f>IF(M75="","",DEGREES(ACOS(AD75)))</f>
        <v>12.530900866299287</v>
      </c>
      <c r="AI75" s="585">
        <f>IF(M75="","",DEGREES(-ACOS(-AF75)))</f>
        <v>-89.999987005609597</v>
      </c>
      <c r="AJ75" s="586">
        <f>IF(M75="","",DEGREES(ATAN2(-AE75,AD75)))</f>
        <v>77.469099133707331</v>
      </c>
      <c r="AK75" s="635">
        <f>IF(M75="","",(COS(RADIANS((90-$Q$8)-W75))*AD75)+(-SIN(RADIANS((90-$Q$8)-W75))*AE75))</f>
        <v>2.2679489639076955E-7</v>
      </c>
      <c r="AL75" s="629">
        <f>IF(M75="","",(SIN(RADIANS((90-$Q$8)-W75))*AD75)+(COS(RADIANS((90-$Q$8)-W75))*AE75))</f>
        <v>-0.9999999999999486</v>
      </c>
      <c r="AM75" s="634">
        <f>IF(M75="","",AF75)</f>
        <v>-2.2679489693567683E-7</v>
      </c>
      <c r="AN75" s="581">
        <f>IF(M75="","",DEGREES(ATAN2(-AM75,AL75)))</f>
        <v>-89.999987005609597</v>
      </c>
      <c r="AO75" s="582">
        <f t="shared" si="461"/>
        <v>0</v>
      </c>
      <c r="AP75" s="585">
        <f>IF(M75="","",DEGREES(ATAN2(AK75,AL75)))</f>
        <v>-89.999987005609626</v>
      </c>
      <c r="AQ75" s="586">
        <f t="shared" si="471"/>
        <v>0.54975035485643253</v>
      </c>
      <c r="AS75" s="52">
        <f t="shared" ref="AS75:AS106" si="543">IF(G75="","",IF(AND(W75&lt;(AS74+180),W75&gt;(AS74-180)),W75,IF(W75&gt;(AS74+180),W75-360,IF(W75&lt;(AS74-180),W75+360,"Error"))))</f>
        <v>-282.21091390688537</v>
      </c>
      <c r="AT75" s="72">
        <f t="shared" si="472"/>
        <v>-1.7652038920858781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>Taper</v>
      </c>
      <c r="IF75" s="533" t="str">
        <f>IFERROR(IF((((($IW75*COS(RADIANS(180-$IY75)))*COS(RADIANS($IY75)))-(($IX75*SIN(RADIANS(180-$IY75)))*SIN(RADIANS($IY75))))+$IU75)&lt;(((Settings!$C$19+$IF$8)/2)*-1),"Gage",""),"")</f>
        <v>Gage</v>
      </c>
      <c r="IG75" s="847">
        <f t="shared" ref="IG75:IG138" si="643">$M75</f>
        <v>6.2370000000000001</v>
      </c>
      <c r="IH75" s="731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6.1369999999999996</v>
      </c>
      <c r="II75" s="734" cm="1">
        <f t="array" ref="II75">IFERROR(ROUND(VALUE(IF($IH75&lt;1,$IH75+LARGE((IF($M$9:$M$150="",0,$M$9:$M$150)-MOD(IF($M$9:$M$150="",0,$M$9:$M$150),1)),1),$IH75)),4),"")</f>
        <v>6.1369999999999996</v>
      </c>
      <c r="IJ75" s="533">
        <f t="shared" si="542"/>
        <v>1613</v>
      </c>
      <c r="IK75" s="533" t="str">
        <f t="shared" si="517"/>
        <v>CPS-32193r1</v>
      </c>
      <c r="IL75" s="727">
        <f t="shared" si="225"/>
        <v>15.890900381168763</v>
      </c>
      <c r="IM75" s="759">
        <v>1.36532770654016E-4</v>
      </c>
      <c r="IN75" s="5">
        <f t="shared" si="226"/>
        <v>0</v>
      </c>
      <c r="IO75" s="771">
        <v>0</v>
      </c>
      <c r="IP75" s="9">
        <f t="shared" si="227"/>
        <v>-4.1311124594351778</v>
      </c>
      <c r="IQ75" s="5">
        <f t="shared" si="228"/>
        <v>-1.9558058987105906</v>
      </c>
      <c r="IR75" s="5">
        <f t="shared" si="518"/>
        <v>0.314</v>
      </c>
      <c r="IS75" s="5">
        <f t="shared" si="229"/>
        <v>0.27193198865724594</v>
      </c>
      <c r="IT75" s="727">
        <f t="shared" si="230"/>
        <v>89.999987005609611</v>
      </c>
      <c r="IU75" s="9">
        <f t="shared" si="231"/>
        <v>-4.1467125064849206</v>
      </c>
      <c r="IV75" s="5">
        <f t="shared" si="232"/>
        <v>-1.9614059156002415</v>
      </c>
      <c r="IW75" s="5">
        <f t="shared" si="519"/>
        <v>0.25700000000000001</v>
      </c>
      <c r="IX75" s="5">
        <f t="shared" si="233"/>
        <v>0.25700000000000001</v>
      </c>
      <c r="IY75" s="762">
        <f t="shared" si="234"/>
        <v>89.999987005609597</v>
      </c>
    </row>
    <row r="76" spans="1:259" ht="15" customHeight="1" x14ac:dyDescent="0.25">
      <c r="A76" s="79"/>
      <c r="B76" s="707">
        <v>-1.651715165287754</v>
      </c>
      <c r="C76" s="708">
        <v>1.4383469637917079</v>
      </c>
      <c r="D76" s="709">
        <v>-6.0500182468550365E-2</v>
      </c>
      <c r="E76" s="710">
        <v>-0.62969994836804266</v>
      </c>
      <c r="F76" s="708">
        <v>-0.73230504010727715</v>
      </c>
      <c r="G76" s="711">
        <v>0.25924371401976914</v>
      </c>
      <c r="H76" s="710">
        <v>0.314</v>
      </c>
      <c r="I76" s="708">
        <v>0.52</v>
      </c>
      <c r="J76" s="570">
        <v>7.11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7.11</v>
      </c>
      <c r="N76" s="632">
        <f t="shared" si="465"/>
        <v>-1.651715165287754</v>
      </c>
      <c r="O76" s="629">
        <f t="shared" si="466"/>
        <v>1.4383469637917079</v>
      </c>
      <c r="P76" s="633">
        <f t="shared" si="467"/>
        <v>-6.0500182468550365E-2</v>
      </c>
      <c r="Q76" s="585">
        <f t="shared" si="520"/>
        <v>138.94999293249546</v>
      </c>
      <c r="R76" s="629">
        <f t="shared" si="79"/>
        <v>2.1902066056631226</v>
      </c>
      <c r="S76" s="634">
        <f t="shared" si="80"/>
        <v>-6.0500182468550365E-2</v>
      </c>
      <c r="T76" s="635">
        <f t="shared" si="81"/>
        <v>1.4290996623545558</v>
      </c>
      <c r="U76" s="629">
        <f t="shared" si="82"/>
        <v>1.6597226065064221</v>
      </c>
      <c r="V76" s="636">
        <f t="shared" si="114"/>
        <v>-6.0500182468550365E-2</v>
      </c>
      <c r="W76" s="585">
        <f t="shared" si="224"/>
        <v>49.269992886293181</v>
      </c>
      <c r="X76" s="629">
        <f t="shared" si="83"/>
        <v>2.1902066056631226</v>
      </c>
      <c r="Y76" s="630">
        <f t="shared" ref="Y76:Y129" si="644">IF(M76="","",S76)</f>
        <v>-6.0500182468550365E-2</v>
      </c>
      <c r="Z76" s="632">
        <f t="shared" si="468"/>
        <v>0.62969994836804266</v>
      </c>
      <c r="AA76" s="629">
        <f t="shared" si="469"/>
        <v>0.73230504010727715</v>
      </c>
      <c r="AB76" s="629">
        <f t="shared" si="470"/>
        <v>-0.25924371401976914</v>
      </c>
      <c r="AC76" s="636">
        <f t="shared" si="84"/>
        <v>1</v>
      </c>
      <c r="AD76" s="637">
        <f t="shared" si="115"/>
        <v>0.62969994836804266</v>
      </c>
      <c r="AE76" s="629">
        <f t="shared" si="85"/>
        <v>0.73230504010727715</v>
      </c>
      <c r="AF76" s="633">
        <f t="shared" si="86"/>
        <v>-0.25924371401976914</v>
      </c>
      <c r="AG76" s="602">
        <f t="shared" si="87"/>
        <v>70.505499495645466</v>
      </c>
      <c r="AH76" s="603">
        <f t="shared" si="88"/>
        <v>50.972011261058924</v>
      </c>
      <c r="AI76" s="585">
        <f t="shared" si="89"/>
        <v>-74.974808447890723</v>
      </c>
      <c r="AJ76" s="586">
        <f t="shared" si="90"/>
        <v>139.3081745681809</v>
      </c>
      <c r="AK76" s="635">
        <f t="shared" si="211"/>
        <v>0.96579306432891376</v>
      </c>
      <c r="AL76" s="629">
        <f t="shared" si="91"/>
        <v>6.03768460612919E-3</v>
      </c>
      <c r="AM76" s="634">
        <f t="shared" si="92"/>
        <v>-0.25924371401976914</v>
      </c>
      <c r="AN76" s="581">
        <f t="shared" si="93"/>
        <v>1.3341550907094637</v>
      </c>
      <c r="AO76" s="582">
        <f t="shared" si="461"/>
        <v>15.02936195528882</v>
      </c>
      <c r="AP76" s="585">
        <f t="shared" si="95"/>
        <v>0.35818163568545242</v>
      </c>
      <c r="AQ76" s="586">
        <f t="shared" si="471"/>
        <v>1.040758385483352</v>
      </c>
      <c r="AS76" s="52">
        <f t="shared" si="543"/>
        <v>-310.73000711370685</v>
      </c>
      <c r="AT76" s="72">
        <f t="shared" si="472"/>
        <v>0.15550676688388337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7.11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-2.2568668406684567</v>
      </c>
      <c r="C77" s="708">
        <v>2.0207092584896054</v>
      </c>
      <c r="D77" s="709">
        <v>-0.15980048195825358</v>
      </c>
      <c r="E77" s="710">
        <v>-0.75253776488831781</v>
      </c>
      <c r="F77" s="708">
        <v>-0.6194482827283343</v>
      </c>
      <c r="G77" s="711">
        <v>0.22354135510417875</v>
      </c>
      <c r="H77" s="710">
        <v>0.314</v>
      </c>
      <c r="I77" s="708">
        <v>0.52</v>
      </c>
      <c r="J77" s="570">
        <v>7.117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7.117</v>
      </c>
      <c r="N77" s="632">
        <f t="shared" si="465"/>
        <v>-2.2568668406684567</v>
      </c>
      <c r="O77" s="629">
        <f t="shared" si="466"/>
        <v>2.0207092584896054</v>
      </c>
      <c r="P77" s="633">
        <f t="shared" si="467"/>
        <v>-0.15980048195825358</v>
      </c>
      <c r="Q77" s="585">
        <f t="shared" si="520"/>
        <v>138.15999304655733</v>
      </c>
      <c r="R77" s="629">
        <f t="shared" si="79"/>
        <v>3.0293091363963556</v>
      </c>
      <c r="S77" s="634">
        <f t="shared" si="80"/>
        <v>-0.15980048195825358</v>
      </c>
      <c r="T77" s="635">
        <f t="shared" si="81"/>
        <v>2.0080730878283637</v>
      </c>
      <c r="U77" s="629">
        <f t="shared" si="82"/>
        <v>2.2681173509750092</v>
      </c>
      <c r="V77" s="636">
        <f t="shared" si="114"/>
        <v>-0.15980048195825358</v>
      </c>
      <c r="W77" s="585">
        <f t="shared" si="224"/>
        <v>48.479993000355051</v>
      </c>
      <c r="X77" s="629">
        <f t="shared" si="83"/>
        <v>3.0293091363963556</v>
      </c>
      <c r="Y77" s="630">
        <f t="shared" si="644"/>
        <v>-0.15980048195825358</v>
      </c>
      <c r="Z77" s="632">
        <f t="shared" si="468"/>
        <v>0.75253776488831781</v>
      </c>
      <c r="AA77" s="629">
        <f t="shared" si="469"/>
        <v>0.6194482827283343</v>
      </c>
      <c r="AB77" s="629">
        <f t="shared" si="470"/>
        <v>-0.22354135510417875</v>
      </c>
      <c r="AC77" s="636">
        <f t="shared" si="84"/>
        <v>1</v>
      </c>
      <c r="AD77" s="637">
        <f t="shared" si="115"/>
        <v>0.75253776488831781</v>
      </c>
      <c r="AE77" s="629">
        <f t="shared" si="85"/>
        <v>0.6194482827283343</v>
      </c>
      <c r="AF77" s="633">
        <f t="shared" si="86"/>
        <v>-0.22354135510417875</v>
      </c>
      <c r="AG77" s="602">
        <f t="shared" si="87"/>
        <v>70.156921385052485</v>
      </c>
      <c r="AH77" s="603">
        <f t="shared" si="88"/>
        <v>41.18931229304205</v>
      </c>
      <c r="AI77" s="585">
        <f t="shared" si="89"/>
        <v>-77.082880584297286</v>
      </c>
      <c r="AJ77" s="586">
        <f t="shared" si="90"/>
        <v>129.45935961104081</v>
      </c>
      <c r="AK77" s="635">
        <f t="shared" si="211"/>
        <v>0.96347787111074645</v>
      </c>
      <c r="AL77" s="629">
        <f t="shared" si="91"/>
        <v>-0.14744373312586478</v>
      </c>
      <c r="AM77" s="634">
        <f t="shared" si="92"/>
        <v>-0.22354135510417875</v>
      </c>
      <c r="AN77" s="581">
        <f t="shared" si="93"/>
        <v>-33.408103706513593</v>
      </c>
      <c r="AO77" s="582">
        <f t="shared" si="461"/>
        <v>15.532679923959261</v>
      </c>
      <c r="AP77" s="585">
        <f t="shared" si="95"/>
        <v>-8.7006334355165276</v>
      </c>
      <c r="AQ77" s="586">
        <f t="shared" si="471"/>
        <v>0.75251334390801161</v>
      </c>
      <c r="AS77" s="52">
        <f t="shared" si="543"/>
        <v>-311.52000699964492</v>
      </c>
      <c r="AT77" s="72">
        <f t="shared" si="472"/>
        <v>5.6755078426081601E-2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7.117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-2.6933928375213063</v>
      </c>
      <c r="C78" s="708">
        <v>2.4958566377369449</v>
      </c>
      <c r="D78" s="709">
        <v>-0.60470182378070059</v>
      </c>
      <c r="E78" s="710">
        <v>-0.84970640391426211</v>
      </c>
      <c r="F78" s="708">
        <v>-0.49418430441546735</v>
      </c>
      <c r="G78" s="711">
        <v>0.18379581174905371</v>
      </c>
      <c r="H78" s="710">
        <v>0.314</v>
      </c>
      <c r="I78" s="708">
        <v>0.52</v>
      </c>
      <c r="J78" s="570">
        <v>7.1239999999999997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7.1239999999999997</v>
      </c>
      <c r="N78" s="632">
        <f t="shared" si="465"/>
        <v>-2.6933928375213063</v>
      </c>
      <c r="O78" s="629">
        <f t="shared" si="466"/>
        <v>2.4958566377369449</v>
      </c>
      <c r="P78" s="633">
        <f t="shared" si="467"/>
        <v>-0.60470182378070059</v>
      </c>
      <c r="Q78" s="585">
        <f t="shared" si="520"/>
        <v>137.17999318805178</v>
      </c>
      <c r="R78" s="629">
        <f>IF(M78="","",SQRT(N78^2+O78^2))</f>
        <v>3.6720110747854018</v>
      </c>
      <c r="S78" s="634">
        <f>IF(M78="","",P78)</f>
        <v>-0.60470182378070059</v>
      </c>
      <c r="T78" s="635">
        <f>IF(M78="","",X78*COS(RADIANS(W78)))</f>
        <v>2.4807750484366426</v>
      </c>
      <c r="U78" s="629">
        <f>IF(M78="","",X78*SIN(RADIANS(W78)))</f>
        <v>2.7072902490129893</v>
      </c>
      <c r="V78" s="636">
        <f>IF(M78="","",Y78)</f>
        <v>-0.60470182378070059</v>
      </c>
      <c r="W78" s="585">
        <f t="shared" si="224"/>
        <v>47.499993141849501</v>
      </c>
      <c r="X78" s="629">
        <f>IF(M78="","",R78)</f>
        <v>3.6720110747854018</v>
      </c>
      <c r="Y78" s="630">
        <f t="shared" si="644"/>
        <v>-0.60470182378070059</v>
      </c>
      <c r="Z78" s="632">
        <f t="shared" si="468"/>
        <v>0.84970640391426211</v>
      </c>
      <c r="AA78" s="629">
        <f t="shared" si="469"/>
        <v>0.49418430441546735</v>
      </c>
      <c r="AB78" s="629">
        <f t="shared" si="470"/>
        <v>-0.18379581174905371</v>
      </c>
      <c r="AC78" s="636">
        <f>IF(M78="","",SQRT(Z78^2+AA78^2+AB78^2))</f>
        <v>1</v>
      </c>
      <c r="AD78" s="637">
        <f>IF(M78="","",Z78*(1/SQRT(Z78^2+AA78^2+AB78^2)))</f>
        <v>0.84970640391426211</v>
      </c>
      <c r="AE78" s="629">
        <f>IF(M78="","",AA78*(1/SQRT(Z78^2+AA78^2+AB78^2)))</f>
        <v>0.49418430441546735</v>
      </c>
      <c r="AF78" s="633">
        <f>IF(M78="","",AB78*(1/SQRT(Z78^2+AA78^2+AB78^2)))</f>
        <v>-0.18379581174905371</v>
      </c>
      <c r="AG78" s="602">
        <f>IF(M78="","",DEGREES(ATAN2(-AF78,AE78)))</f>
        <v>69.598949252498798</v>
      </c>
      <c r="AH78" s="603">
        <f>IF(M78="","",DEGREES(ACOS(AD78)))</f>
        <v>31.820249396265037</v>
      </c>
      <c r="AI78" s="585">
        <f>IF(M78="","",DEGREES(-ACOS(-AF78)))</f>
        <v>-79.409066301799868</v>
      </c>
      <c r="AJ78" s="586">
        <f>IF(M78="","",DEGREES(ATAN2(-AE78,AD78)))</f>
        <v>120.18203376445037</v>
      </c>
      <c r="AK78" s="635">
        <f>IF(M78="","",(COS(RADIANS((90-$Q$8)-W78))*AD78)+(-SIN(RADIANS((90-$Q$8)-W78))*AE78))</f>
        <v>0.94002380819801767</v>
      </c>
      <c r="AL78" s="629">
        <f>IF(M78="","",(SIN(RADIANS((90-$Q$8)-W78))*AD78)+(COS(RADIANS((90-$Q$8)-W78))*AE78))</f>
        <v>-0.28735751182873714</v>
      </c>
      <c r="AM78" s="634">
        <f>IF(M78="","",AF78)</f>
        <v>-0.18379581174905371</v>
      </c>
      <c r="AN78" s="581">
        <f>IF(M78="","",DEGREES(ATAN2(-AM78,AL78)))</f>
        <v>-57.396743086865044</v>
      </c>
      <c r="AO78" s="582">
        <f t="shared" si="461"/>
        <v>19.944444929297592</v>
      </c>
      <c r="AP78" s="585">
        <f>IF(M78="","",DEGREES(ATAN2(AK78,AL78)))</f>
        <v>-16.997959423601404</v>
      </c>
      <c r="AQ78" s="586">
        <f t="shared" si="471"/>
        <v>0.62081441733793929</v>
      </c>
      <c r="AS78" s="52">
        <f t="shared" si="543"/>
        <v>-312.50000685815053</v>
      </c>
      <c r="AT78" s="72">
        <f t="shared" si="472"/>
        <v>-0.38746570793906987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7.1239999999999997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-2.9343716088224427</v>
      </c>
      <c r="C79" s="708">
        <v>2.7816967420222243</v>
      </c>
      <c r="D79" s="709">
        <v>-1.2876038834133126</v>
      </c>
      <c r="E79" s="710">
        <v>-0.93277116541637395</v>
      </c>
      <c r="F79" s="708">
        <v>-0.34415594883013689</v>
      </c>
      <c r="G79" s="711">
        <v>0.10721303956426176</v>
      </c>
      <c r="H79" s="710">
        <v>0.314</v>
      </c>
      <c r="I79" s="708">
        <v>0.52</v>
      </c>
      <c r="J79" s="570">
        <v>7.1310000000000002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7.1310000000000002</v>
      </c>
      <c r="N79" s="632">
        <f t="shared" si="465"/>
        <v>-2.9343716088224427</v>
      </c>
      <c r="O79" s="629">
        <f t="shared" si="466"/>
        <v>2.7816967420222243</v>
      </c>
      <c r="P79" s="633">
        <f t="shared" si="467"/>
        <v>-1.2876038834133126</v>
      </c>
      <c r="Q79" s="585">
        <f t="shared" si="520"/>
        <v>136.52999328190015</v>
      </c>
      <c r="R79" s="629">
        <f>IF(M79="","",SQRT(N79^2+O79^2))</f>
        <v>4.0433121946295794</v>
      </c>
      <c r="S79" s="634">
        <f>IF(M79="","",P79)</f>
        <v>-1.2876038834133126</v>
      </c>
      <c r="T79" s="635">
        <f>IF(M79="","",X79*COS(RADIANS(W79)))</f>
        <v>2.7652648224903489</v>
      </c>
      <c r="U79" s="629">
        <f>IF(M79="","",X79*SIN(RADIANS(W79)))</f>
        <v>2.949861685696074</v>
      </c>
      <c r="V79" s="636">
        <f>IF(M79="","",Y79)</f>
        <v>-1.2876038834133126</v>
      </c>
      <c r="W79" s="585">
        <f t="shared" ref="W79:W129" si="645">IF(M79="","",IF(Q79-$Q$8&lt;0,360+Q79-$Q$8,Q79-$Q$8))</f>
        <v>46.849993235697866</v>
      </c>
      <c r="X79" s="629">
        <f>IF(M79="","",R79)</f>
        <v>4.0433121946295794</v>
      </c>
      <c r="Y79" s="630">
        <f t="shared" si="644"/>
        <v>-1.2876038834133126</v>
      </c>
      <c r="Z79" s="632">
        <f t="shared" si="468"/>
        <v>0.93277116541637395</v>
      </c>
      <c r="AA79" s="629">
        <f t="shared" si="469"/>
        <v>0.34415594883013689</v>
      </c>
      <c r="AB79" s="629">
        <f t="shared" si="470"/>
        <v>-0.10721303956426176</v>
      </c>
      <c r="AC79" s="636">
        <f>IF(M79="","",SQRT(Z79^2+AA79^2+AB79^2))</f>
        <v>1</v>
      </c>
      <c r="AD79" s="637">
        <f>IF(M79="","",Z79*(1/SQRT(Z79^2+AA79^2+AB79^2)))</f>
        <v>0.93277116541637395</v>
      </c>
      <c r="AE79" s="629">
        <f>IF(M79="","",AA79*(1/SQRT(Z79^2+AA79^2+AB79^2)))</f>
        <v>0.34415594883013689</v>
      </c>
      <c r="AF79" s="633">
        <f>IF(M79="","",AB79*(1/SQRT(Z79^2+AA79^2+AB79^2)))</f>
        <v>-0.10721303956426176</v>
      </c>
      <c r="AG79" s="602">
        <f>IF(M79="","",DEGREES(ATAN2(-AF79,AE79)))</f>
        <v>72.696904423319012</v>
      </c>
      <c r="AH79" s="603">
        <f>IF(M79="","",DEGREES(ACOS(AD79)))</f>
        <v>21.129006223605117</v>
      </c>
      <c r="AI79" s="585">
        <f>IF(M79="","",DEGREES(-ACOS(-AF79)))</f>
        <v>-83.845315718874986</v>
      </c>
      <c r="AJ79" s="586">
        <f>IF(M79="","",DEGREES(ATAN2(-AE79,AD79)))</f>
        <v>110.25208144626417</v>
      </c>
      <c r="AK79" s="635">
        <f>IF(M79="","",(COS(RADIANS((90-$Q$8)-W79))*AD79)+(-SIN(RADIANS((90-$Q$8)-W79))*AE79))</f>
        <v>0.89148890405573289</v>
      </c>
      <c r="AL79" s="629">
        <f>IF(M79="","",(SIN(RADIANS((90-$Q$8)-W79))*AD79)+(COS(RADIANS((90-$Q$8)-W79))*AE79))</f>
        <v>-0.44017371354148421</v>
      </c>
      <c r="AM79" s="634">
        <f>IF(M79="","",AF79)</f>
        <v>-0.10721303956426176</v>
      </c>
      <c r="AN79" s="581">
        <f>IF(M79="","",DEGREES(ATAN2(-AM79,AL79)))</f>
        <v>-76.311027076960954</v>
      </c>
      <c r="AO79" s="582">
        <f t="shared" si="461"/>
        <v>26.939057725547652</v>
      </c>
      <c r="AP79" s="585">
        <f>IF(M79="","",DEGREES(ATAN2(AK79,AL79)))</f>
        <v>-26.277911835635976</v>
      </c>
      <c r="AQ79" s="586">
        <f t="shared" si="471"/>
        <v>0.56380831814419241</v>
      </c>
      <c r="AS79" s="52">
        <f t="shared" si="543"/>
        <v>-313.15000676430213</v>
      </c>
      <c r="AT79" s="72">
        <f t="shared" si="472"/>
        <v>-1.0699163787479655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7.1310000000000002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-2.9896454330772384</v>
      </c>
      <c r="C80" s="708">
        <v>2.8509840997418729</v>
      </c>
      <c r="D80" s="709">
        <v>-2.0644062262491785</v>
      </c>
      <c r="E80" s="710">
        <v>-0.95951086387879114</v>
      </c>
      <c r="F80" s="708">
        <v>-0.28167162103868959</v>
      </c>
      <c r="G80" s="711">
        <v>1.1339743333000027E-7</v>
      </c>
      <c r="H80" s="710">
        <v>0.314</v>
      </c>
      <c r="I80" s="708">
        <v>0.52</v>
      </c>
      <c r="J80" s="570">
        <v>7.1379999999999999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7.1379999999999999</v>
      </c>
      <c r="N80" s="632">
        <f t="shared" si="465"/>
        <v>-2.9896454330772384</v>
      </c>
      <c r="O80" s="629">
        <f t="shared" si="466"/>
        <v>2.8509840997418729</v>
      </c>
      <c r="P80" s="633">
        <f t="shared" si="467"/>
        <v>-2.0644062262491785</v>
      </c>
      <c r="Q80" s="585">
        <f t="shared" si="520"/>
        <v>136.35999330644512</v>
      </c>
      <c r="R80" s="629">
        <f t="shared" si="79"/>
        <v>4.1311124594351778</v>
      </c>
      <c r="S80" s="634">
        <f t="shared" si="80"/>
        <v>-2.0644062262491785</v>
      </c>
      <c r="T80" s="635">
        <f t="shared" si="81"/>
        <v>2.8342423939569326</v>
      </c>
      <c r="U80" s="629">
        <f t="shared" si="82"/>
        <v>3.0055216194194712</v>
      </c>
      <c r="V80" s="636">
        <f t="shared" si="114"/>
        <v>-2.0644062262491785</v>
      </c>
      <c r="W80" s="585">
        <f t="shared" si="645"/>
        <v>46.679993260242838</v>
      </c>
      <c r="X80" s="629">
        <f t="shared" si="83"/>
        <v>4.1311124594351778</v>
      </c>
      <c r="Y80" s="630">
        <f t="shared" si="644"/>
        <v>-2.0644062262491785</v>
      </c>
      <c r="Z80" s="632">
        <f t="shared" si="468"/>
        <v>0.95951086387879114</v>
      </c>
      <c r="AA80" s="629">
        <f t="shared" si="469"/>
        <v>0.28167162103868959</v>
      </c>
      <c r="AB80" s="629">
        <f t="shared" si="470"/>
        <v>-1.1339743333000027E-7</v>
      </c>
      <c r="AC80" s="636">
        <f t="shared" si="84"/>
        <v>1</v>
      </c>
      <c r="AD80" s="637">
        <f t="shared" si="115"/>
        <v>0.95951086387879114</v>
      </c>
      <c r="AE80" s="629">
        <f t="shared" si="85"/>
        <v>0.28167162103868959</v>
      </c>
      <c r="AF80" s="633">
        <f t="shared" si="86"/>
        <v>-1.1339743333000027E-7</v>
      </c>
      <c r="AG80" s="602">
        <f t="shared" si="87"/>
        <v>89.999976933443577</v>
      </c>
      <c r="AH80" s="603">
        <f t="shared" si="88"/>
        <v>16.359997637910471</v>
      </c>
      <c r="AI80" s="585">
        <f t="shared" si="89"/>
        <v>-89.999993502805665</v>
      </c>
      <c r="AJ80" s="586">
        <f t="shared" si="90"/>
        <v>106.35999763790923</v>
      </c>
      <c r="AK80" s="635">
        <f t="shared" si="211"/>
        <v>0.86602544158358585</v>
      </c>
      <c r="AL80" s="629">
        <f t="shared" si="91"/>
        <v>-0.49999993452993829</v>
      </c>
      <c r="AM80" s="634">
        <f t="shared" si="92"/>
        <v>-1.1339743333000027E-7</v>
      </c>
      <c r="AN80" s="581">
        <f t="shared" si="93"/>
        <v>-89.999987005609626</v>
      </c>
      <c r="AO80" s="582">
        <f t="shared" si="461"/>
        <v>29.99999566853651</v>
      </c>
      <c r="AP80" s="585">
        <f t="shared" si="95"/>
        <v>-29.999995668535888</v>
      </c>
      <c r="AQ80" s="586">
        <f t="shared" si="471"/>
        <v>0.55182621266630238</v>
      </c>
      <c r="AS80" s="52">
        <f t="shared" si="543"/>
        <v>-313.32000673975716</v>
      </c>
      <c r="AT80" s="72">
        <f t="shared" si="472"/>
        <v>-1.8466006660453209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7.1379999999999999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-2.9896454330772384</v>
      </c>
      <c r="C81" s="708">
        <v>2.8509840997418729</v>
      </c>
      <c r="D81" s="709">
        <v>-2.8224085123840736</v>
      </c>
      <c r="E81" s="710">
        <v>-0.95951086387879114</v>
      </c>
      <c r="F81" s="708">
        <v>-0.28167162103868953</v>
      </c>
      <c r="G81" s="711">
        <v>1.1339743333000025E-7</v>
      </c>
      <c r="H81" s="710">
        <v>0.314</v>
      </c>
      <c r="I81" s="708">
        <v>0.52</v>
      </c>
      <c r="J81" s="570">
        <v>7.1449999999999996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7.1449999999999996</v>
      </c>
      <c r="N81" s="632">
        <f t="shared" si="465"/>
        <v>-2.9896454330772384</v>
      </c>
      <c r="O81" s="629">
        <f t="shared" si="466"/>
        <v>2.8509840997418729</v>
      </c>
      <c r="P81" s="633">
        <f t="shared" si="467"/>
        <v>-2.8224085123840736</v>
      </c>
      <c r="Q81" s="585">
        <f t="shared" si="520"/>
        <v>136.35999330644512</v>
      </c>
      <c r="R81" s="629">
        <f t="shared" si="79"/>
        <v>4.1311124594351778</v>
      </c>
      <c r="S81" s="634">
        <f t="shared" si="80"/>
        <v>-2.8224085123840736</v>
      </c>
      <c r="T81" s="635">
        <f t="shared" si="81"/>
        <v>2.8342423939569326</v>
      </c>
      <c r="U81" s="629">
        <f t="shared" si="82"/>
        <v>3.0055216194194712</v>
      </c>
      <c r="V81" s="636">
        <f t="shared" si="114"/>
        <v>-2.8224085123840736</v>
      </c>
      <c r="W81" s="585">
        <f t="shared" si="645"/>
        <v>46.679993260242838</v>
      </c>
      <c r="X81" s="629">
        <f t="shared" si="83"/>
        <v>4.1311124594351778</v>
      </c>
      <c r="Y81" s="630">
        <f t="shared" si="644"/>
        <v>-2.8224085123840736</v>
      </c>
      <c r="Z81" s="632">
        <f t="shared" si="468"/>
        <v>0.95951086387879114</v>
      </c>
      <c r="AA81" s="629">
        <f t="shared" si="469"/>
        <v>0.28167162103868953</v>
      </c>
      <c r="AB81" s="629">
        <f t="shared" si="470"/>
        <v>-1.1339743333000025E-7</v>
      </c>
      <c r="AC81" s="636">
        <f t="shared" si="84"/>
        <v>1</v>
      </c>
      <c r="AD81" s="637">
        <f t="shared" si="115"/>
        <v>0.95951086387879114</v>
      </c>
      <c r="AE81" s="629">
        <f t="shared" si="85"/>
        <v>0.28167162103868953</v>
      </c>
      <c r="AF81" s="633">
        <f t="shared" si="86"/>
        <v>-1.1339743333000025E-7</v>
      </c>
      <c r="AG81" s="602">
        <f t="shared" si="87"/>
        <v>89.999976933443577</v>
      </c>
      <c r="AH81" s="603">
        <f t="shared" si="88"/>
        <v>16.359997637910471</v>
      </c>
      <c r="AI81" s="585">
        <f t="shared" si="89"/>
        <v>-89.999993502805665</v>
      </c>
      <c r="AJ81" s="586">
        <f t="shared" si="90"/>
        <v>106.35999763790922</v>
      </c>
      <c r="AK81" s="635">
        <f t="shared" si="211"/>
        <v>0.86602544158358574</v>
      </c>
      <c r="AL81" s="629">
        <f t="shared" si="91"/>
        <v>-0.49999993452993829</v>
      </c>
      <c r="AM81" s="634">
        <f t="shared" si="92"/>
        <v>-1.1339743333000025E-7</v>
      </c>
      <c r="AN81" s="581">
        <f t="shared" si="93"/>
        <v>-89.999987005609626</v>
      </c>
      <c r="AO81" s="582">
        <f t="shared" si="461"/>
        <v>29.99999566853651</v>
      </c>
      <c r="AP81" s="585">
        <f t="shared" si="95"/>
        <v>-29.999995668535888</v>
      </c>
      <c r="AQ81" s="586">
        <f t="shared" si="471"/>
        <v>0.55182621266630238</v>
      </c>
      <c r="AS81" s="52">
        <f t="shared" si="543"/>
        <v>-313.32000673975716</v>
      </c>
      <c r="AT81" s="72">
        <f t="shared" si="472"/>
        <v>-2.6046029521802163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7.1449999999999996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-1.6163763391635655</v>
      </c>
      <c r="C82" s="708">
        <v>2.5815268986961786</v>
      </c>
      <c r="D82" s="709">
        <v>-0.12150036644510522</v>
      </c>
      <c r="E82" s="710">
        <v>-0.88629029494869715</v>
      </c>
      <c r="F82" s="708">
        <v>-0.35071578331015291</v>
      </c>
      <c r="G82" s="711">
        <v>0.30246975454894243</v>
      </c>
      <c r="H82" s="710">
        <v>0.26600000000000001</v>
      </c>
      <c r="I82" s="708">
        <v>0.52</v>
      </c>
      <c r="J82" s="570">
        <v>7.2169999999999996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1313</v>
      </c>
      <c r="L82" s="320"/>
      <c r="M82" s="168">
        <f t="shared" si="464"/>
        <v>7.2169999999999996</v>
      </c>
      <c r="N82" s="632">
        <f t="shared" si="465"/>
        <v>-1.6163763391635655</v>
      </c>
      <c r="O82" s="629">
        <f t="shared" si="466"/>
        <v>2.5815268986961786</v>
      </c>
      <c r="P82" s="633">
        <f t="shared" si="467"/>
        <v>-0.12150036644510522</v>
      </c>
      <c r="Q82" s="585">
        <f t="shared" si="520"/>
        <v>122.05199537226446</v>
      </c>
      <c r="R82" s="629">
        <f t="shared" si="79"/>
        <v>3.0458091861605054</v>
      </c>
      <c r="S82" s="634">
        <f t="shared" si="80"/>
        <v>-0.12150036644510522</v>
      </c>
      <c r="T82" s="635">
        <f t="shared" si="81"/>
        <v>2.5724591359891003</v>
      </c>
      <c r="U82" s="629">
        <f t="shared" si="82"/>
        <v>1.6307690186430244</v>
      </c>
      <c r="V82" s="636">
        <f t="shared" si="114"/>
        <v>-0.12150036644510522</v>
      </c>
      <c r="W82" s="585">
        <f t="shared" si="645"/>
        <v>32.371995326062176</v>
      </c>
      <c r="X82" s="629">
        <f t="shared" si="83"/>
        <v>3.0458091861605054</v>
      </c>
      <c r="Y82" s="630">
        <f t="shared" si="644"/>
        <v>-0.12150036644510522</v>
      </c>
      <c r="Z82" s="632">
        <f t="shared" si="468"/>
        <v>0.88629029494869715</v>
      </c>
      <c r="AA82" s="629">
        <f t="shared" si="469"/>
        <v>0.35071578331015291</v>
      </c>
      <c r="AB82" s="629">
        <f t="shared" si="470"/>
        <v>-0.30246975454894243</v>
      </c>
      <c r="AC82" s="636">
        <f t="shared" si="84"/>
        <v>1</v>
      </c>
      <c r="AD82" s="637">
        <f t="shared" si="115"/>
        <v>0.88629029494869715</v>
      </c>
      <c r="AE82" s="629">
        <f t="shared" si="85"/>
        <v>0.35071578331015291</v>
      </c>
      <c r="AF82" s="633">
        <f t="shared" si="86"/>
        <v>-0.30246975454894243</v>
      </c>
      <c r="AG82" s="602">
        <f t="shared" si="87"/>
        <v>49.224348230060237</v>
      </c>
      <c r="AH82" s="603">
        <f t="shared" si="88"/>
        <v>27.589273954414796</v>
      </c>
      <c r="AI82" s="585">
        <f t="shared" si="89"/>
        <v>-72.393997140900836</v>
      </c>
      <c r="AJ82" s="586">
        <f t="shared" si="90"/>
        <v>111.58930437811021</v>
      </c>
      <c r="AK82" s="635">
        <f t="shared" si="211"/>
        <v>0.93731115637482865</v>
      </c>
      <c r="AL82" s="629">
        <f t="shared" si="91"/>
        <v>-0.17308912073953253</v>
      </c>
      <c r="AM82" s="634">
        <f t="shared" si="92"/>
        <v>-0.30246975454894243</v>
      </c>
      <c r="AN82" s="581">
        <f t="shared" si="93"/>
        <v>-29.780462737838363</v>
      </c>
      <c r="AO82" s="582">
        <f t="shared" si="461"/>
        <v>20.39520521696749</v>
      </c>
      <c r="AP82" s="585">
        <f t="shared" si="95"/>
        <v>-10.462690994154242</v>
      </c>
      <c r="AQ82" s="586">
        <f t="shared" si="471"/>
        <v>0.74843722140189217</v>
      </c>
      <c r="AS82" s="52">
        <f t="shared" si="543"/>
        <v>-327.62800467393782</v>
      </c>
      <c r="AT82" s="72">
        <f t="shared" si="472"/>
        <v>0.10624130343526671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>Nose</v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7.2169999999999996</v>
      </c>
      <c r="IH82" s="731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0.11700000000000001</v>
      </c>
      <c r="II82" s="734" cm="1">
        <f t="array" ref="II82">IFERROR(ROUND(VALUE(IF($IH82&lt;1,$IH82+LARGE((IF($M$9:$M$150="",0,$M$9:$M$150)-MOD(IF($M$9:$M$150="",0,$M$9:$M$150),1)),1),$IH82)),4),"")</f>
        <v>7.117</v>
      </c>
      <c r="IJ82" s="533">
        <f t="shared" si="542"/>
        <v>1613</v>
      </c>
      <c r="IK82" s="533">
        <f t="shared" si="517"/>
        <v>1313</v>
      </c>
      <c r="IL82" s="727">
        <f t="shared" si="647"/>
        <v>16.107997674292875</v>
      </c>
      <c r="IM82" s="759">
        <v>1.16456996132033E-2</v>
      </c>
      <c r="IN82" s="5">
        <f t="shared" si="648"/>
        <v>0.24</v>
      </c>
      <c r="IO82" s="771">
        <v>120</v>
      </c>
      <c r="IP82" s="9">
        <f t="shared" si="649"/>
        <v>-3.0293091363963556</v>
      </c>
      <c r="IQ82" s="5">
        <f t="shared" si="650"/>
        <v>-0.15980048195825358</v>
      </c>
      <c r="IR82" s="5">
        <f t="shared" si="518"/>
        <v>0.314</v>
      </c>
      <c r="IS82" s="5">
        <f t="shared" si="651"/>
        <v>0.30253205152877438</v>
      </c>
      <c r="IT82" s="727">
        <f t="shared" si="652"/>
        <v>33.408103706513593</v>
      </c>
      <c r="IU82" s="9">
        <f t="shared" si="653"/>
        <v>-3.0458091861605054</v>
      </c>
      <c r="IV82" s="5">
        <f t="shared" si="654"/>
        <v>-0.12150036644510522</v>
      </c>
      <c r="IW82" s="5">
        <f t="shared" si="519"/>
        <v>0.26600000000000001</v>
      </c>
      <c r="IX82" s="5">
        <f t="shared" si="655"/>
        <v>0.24932476759570443</v>
      </c>
      <c r="IY82" s="762">
        <f t="shared" si="656"/>
        <v>29.780462737838363</v>
      </c>
    </row>
    <row r="83" spans="1:259" ht="15" customHeight="1" x14ac:dyDescent="0.25">
      <c r="A83" s="79"/>
      <c r="B83" s="707">
        <v>-2.0646767403454822</v>
      </c>
      <c r="C83" s="708">
        <v>3.0774807245372355</v>
      </c>
      <c r="D83" s="709">
        <v>-0.57310172847481311</v>
      </c>
      <c r="E83" s="710">
        <v>-0.94261123445525619</v>
      </c>
      <c r="F83" s="708">
        <v>-0.22520519131819894</v>
      </c>
      <c r="G83" s="711">
        <v>0.24650899067188542</v>
      </c>
      <c r="H83" s="710">
        <v>0.26600000000000001</v>
      </c>
      <c r="I83" s="708">
        <v>0.52</v>
      </c>
      <c r="J83" s="570">
        <v>7.2240000000000002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1313</v>
      </c>
      <c r="L83" s="320"/>
      <c r="M83" s="168">
        <f t="shared" si="464"/>
        <v>7.2240000000000002</v>
      </c>
      <c r="N83" s="632">
        <f t="shared" si="465"/>
        <v>-2.0646767403454822</v>
      </c>
      <c r="O83" s="629">
        <f t="shared" si="466"/>
        <v>3.0774807245372355</v>
      </c>
      <c r="P83" s="633">
        <f t="shared" si="467"/>
        <v>-0.57310172847481311</v>
      </c>
      <c r="Q83" s="585">
        <f t="shared" si="520"/>
        <v>123.85759511156807</v>
      </c>
      <c r="R83" s="629">
        <f t="shared" si="79"/>
        <v>3.7059111770281103</v>
      </c>
      <c r="S83" s="634">
        <f t="shared" si="80"/>
        <v>-0.57310172847481311</v>
      </c>
      <c r="T83" s="635">
        <f t="shared" si="81"/>
        <v>3.065901458358133</v>
      </c>
      <c r="U83" s="629">
        <f t="shared" si="82"/>
        <v>2.0818323418708213</v>
      </c>
      <c r="V83" s="636">
        <f t="shared" si="114"/>
        <v>-0.57310172847481311</v>
      </c>
      <c r="W83" s="585">
        <f t="shared" si="645"/>
        <v>34.177595065365793</v>
      </c>
      <c r="X83" s="629">
        <f t="shared" si="83"/>
        <v>3.7059111770281103</v>
      </c>
      <c r="Y83" s="630">
        <f t="shared" si="644"/>
        <v>-0.57310172847481311</v>
      </c>
      <c r="Z83" s="632">
        <f t="shared" si="468"/>
        <v>0.94261123445525619</v>
      </c>
      <c r="AA83" s="629">
        <f t="shared" si="469"/>
        <v>0.22520519131819894</v>
      </c>
      <c r="AB83" s="629">
        <f t="shared" si="470"/>
        <v>-0.24650899067188542</v>
      </c>
      <c r="AC83" s="636">
        <f t="shared" si="84"/>
        <v>1</v>
      </c>
      <c r="AD83" s="637">
        <f t="shared" si="115"/>
        <v>0.94261123445525619</v>
      </c>
      <c r="AE83" s="629">
        <f t="shared" si="85"/>
        <v>0.22520519131819894</v>
      </c>
      <c r="AF83" s="633">
        <f t="shared" si="86"/>
        <v>-0.24650899067188542</v>
      </c>
      <c r="AG83" s="602">
        <f t="shared" si="87"/>
        <v>42.41413556684244</v>
      </c>
      <c r="AH83" s="603">
        <f t="shared" si="88"/>
        <v>19.505192690753621</v>
      </c>
      <c r="AI83" s="585">
        <f t="shared" si="89"/>
        <v>-75.728972065578276</v>
      </c>
      <c r="AJ83" s="586">
        <f t="shared" si="90"/>
        <v>103.43700926885172</v>
      </c>
      <c r="AK83" s="635">
        <f t="shared" si="211"/>
        <v>0.90823650765079011</v>
      </c>
      <c r="AL83" s="629">
        <f t="shared" si="91"/>
        <v>-0.33814163258644298</v>
      </c>
      <c r="AM83" s="634">
        <f t="shared" si="92"/>
        <v>-0.24650899067188542</v>
      </c>
      <c r="AN83" s="581">
        <f t="shared" si="93"/>
        <v>-53.907537176180575</v>
      </c>
      <c r="AO83" s="582">
        <f t="shared" si="461"/>
        <v>24.737223686679719</v>
      </c>
      <c r="AP83" s="585">
        <f t="shared" si="95"/>
        <v>-20.420585842716349</v>
      </c>
      <c r="AQ83" s="586">
        <f t="shared" si="471"/>
        <v>0.61513590898412085</v>
      </c>
      <c r="AS83" s="52">
        <f t="shared" si="543"/>
        <v>-325.82240493463422</v>
      </c>
      <c r="AT83" s="72">
        <f t="shared" si="472"/>
        <v>-0.34661394730229089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>Taper</v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7.2240000000000002</v>
      </c>
      <c r="IH83" s="731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0.124</v>
      </c>
      <c r="II83" s="734" cm="1">
        <f t="array" ref="II83">IFERROR(ROUND(VALUE(IF($IH83&lt;1,$IH83+LARGE((IF($M$9:$M$150="",0,$M$9:$M$150)-MOD(IF($M$9:$M$150="",0,$M$9:$M$150),1)),1),$IH83)),4),"")</f>
        <v>7.1239999999999997</v>
      </c>
      <c r="IJ83" s="533">
        <f t="shared" si="542"/>
        <v>1613</v>
      </c>
      <c r="IK83" s="533">
        <f>IF(ISNUMBER($II83),INDEX($K$9:$K$150,MATCH($IG83,$M$9:$M$150,0)),"")</f>
        <v>1313</v>
      </c>
      <c r="IL83" s="727">
        <f>IF(ISNUMBER($II83),IFERROR(IF(INDEX($W$9:$W$150,MATCH($II83,$M$9:$M$150,0))&lt;$W83,((INDEX($W$9:$W$150,MATCH($II83,$M$9:$M$150,0))+360)-$W83),INDEX($W$9:$W$150,MATCH($II83,$M$9:$M$150,0))-$W83),""),"")</f>
        <v>13.322398076483708</v>
      </c>
      <c r="IM83" s="759">
        <v>7.4851197344080397E-3</v>
      </c>
      <c r="IN83" s="5">
        <f t="shared" si="648"/>
        <v>0.22</v>
      </c>
      <c r="IO83" s="771">
        <v>110</v>
      </c>
      <c r="IP83" s="9">
        <f t="shared" si="649"/>
        <v>-3.6720110747854018</v>
      </c>
      <c r="IQ83" s="5">
        <f t="shared" si="650"/>
        <v>-0.60470182378070059</v>
      </c>
      <c r="IR83" s="5">
        <f t="shared" si="518"/>
        <v>0.314</v>
      </c>
      <c r="IS83" s="5">
        <f t="shared" si="651"/>
        <v>0.29516747577417757</v>
      </c>
      <c r="IT83" s="727">
        <f t="shared" si="652"/>
        <v>57.396743086865044</v>
      </c>
      <c r="IU83" s="9">
        <f t="shared" si="653"/>
        <v>-3.7059111770281103</v>
      </c>
      <c r="IV83" s="5">
        <f t="shared" si="654"/>
        <v>-0.57310172847481311</v>
      </c>
      <c r="IW83" s="5">
        <f t="shared" si="519"/>
        <v>0.26600000000000001</v>
      </c>
      <c r="IX83" s="5">
        <f t="shared" si="655"/>
        <v>0.24159091103511021</v>
      </c>
      <c r="IY83" s="762">
        <f t="shared" si="656"/>
        <v>53.907537176180575</v>
      </c>
    </row>
    <row r="84" spans="1:259" ht="15" customHeight="1" x14ac:dyDescent="0.25">
      <c r="A84" s="79"/>
      <c r="B84" s="707">
        <v>-2.2816274390086098</v>
      </c>
      <c r="C84" s="708">
        <v>3.3947036960222823</v>
      </c>
      <c r="D84" s="709">
        <v>-1.2703038312363553</v>
      </c>
      <c r="E84" s="710">
        <v>-0.98790707848880499</v>
      </c>
      <c r="F84" s="708">
        <v>-5.4280890363302102E-2</v>
      </c>
      <c r="G84" s="711">
        <v>0.14523494487581612</v>
      </c>
      <c r="H84" s="710">
        <v>0.26600000000000001</v>
      </c>
      <c r="I84" s="708">
        <v>0.52</v>
      </c>
      <c r="J84" s="570">
        <v>7.2309999999999999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1313</v>
      </c>
      <c r="L84" s="320"/>
      <c r="M84" s="168">
        <f t="shared" si="464"/>
        <v>7.2309999999999999</v>
      </c>
      <c r="N84" s="632">
        <f t="shared" si="465"/>
        <v>-2.2816274390086098</v>
      </c>
      <c r="O84" s="629">
        <f t="shared" si="466"/>
        <v>3.3947036960222823</v>
      </c>
      <c r="P84" s="633">
        <f t="shared" si="467"/>
        <v>-1.2703038312363553</v>
      </c>
      <c r="Q84" s="585">
        <f t="shared" si="520"/>
        <v>123.90559510463774</v>
      </c>
      <c r="R84" s="629">
        <f t="shared" si="79"/>
        <v>4.0902123360804064</v>
      </c>
      <c r="S84" s="634">
        <f t="shared" si="80"/>
        <v>-1.2703038312363553</v>
      </c>
      <c r="T84" s="635">
        <f t="shared" si="81"/>
        <v>3.3819078075095943</v>
      </c>
      <c r="U84" s="629">
        <f t="shared" si="82"/>
        <v>2.3005513547256409</v>
      </c>
      <c r="V84" s="636">
        <f t="shared" si="114"/>
        <v>-1.2703038312363553</v>
      </c>
      <c r="W84" s="585">
        <f t="shared" si="645"/>
        <v>34.225595058435459</v>
      </c>
      <c r="X84" s="629">
        <f t="shared" si="83"/>
        <v>4.0902123360804064</v>
      </c>
      <c r="Y84" s="630">
        <f t="shared" si="644"/>
        <v>-1.2703038312363553</v>
      </c>
      <c r="Z84" s="632">
        <f t="shared" si="468"/>
        <v>0.98790707848880499</v>
      </c>
      <c r="AA84" s="629">
        <f t="shared" si="469"/>
        <v>5.4280890363302102E-2</v>
      </c>
      <c r="AB84" s="629">
        <f t="shared" si="470"/>
        <v>-0.14523494487581612</v>
      </c>
      <c r="AC84" s="636">
        <f t="shared" si="84"/>
        <v>1</v>
      </c>
      <c r="AD84" s="637">
        <f t="shared" si="115"/>
        <v>0.98790707848880499</v>
      </c>
      <c r="AE84" s="629">
        <f t="shared" si="85"/>
        <v>5.4280890363302102E-2</v>
      </c>
      <c r="AF84" s="633">
        <f t="shared" si="86"/>
        <v>-0.14523494487581612</v>
      </c>
      <c r="AG84" s="602">
        <f t="shared" si="87"/>
        <v>20.492997515126063</v>
      </c>
      <c r="AH84" s="603">
        <f t="shared" si="88"/>
        <v>8.9195281047966262</v>
      </c>
      <c r="AI84" s="585">
        <f t="shared" si="89"/>
        <v>-81.649115440691062</v>
      </c>
      <c r="AJ84" s="586">
        <f t="shared" si="90"/>
        <v>93.144973750721093</v>
      </c>
      <c r="AK84" s="635">
        <f t="shared" si="211"/>
        <v>0.85020050153965621</v>
      </c>
      <c r="AL84" s="629">
        <f t="shared" si="91"/>
        <v>-0.50602956234654495</v>
      </c>
      <c r="AM84" s="634">
        <f t="shared" si="92"/>
        <v>-0.14523494487581612</v>
      </c>
      <c r="AN84" s="581">
        <f t="shared" si="93"/>
        <v>-73.986054341731403</v>
      </c>
      <c r="AO84" s="582">
        <f t="shared" si="461"/>
        <v>31.766516266729276</v>
      </c>
      <c r="AP84" s="585">
        <f t="shared" si="95"/>
        <v>-30.760621353916637</v>
      </c>
      <c r="AQ84" s="586">
        <f t="shared" si="471"/>
        <v>0.55734385860443958</v>
      </c>
      <c r="AS84" s="52">
        <f t="shared" si="543"/>
        <v>-325.77440494156451</v>
      </c>
      <c r="AT84" s="72">
        <f t="shared" si="472"/>
        <v>-1.0438493833923537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>Taper</v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7.2309999999999999</v>
      </c>
      <c r="IH84" s="731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0.13100000000000001</v>
      </c>
      <c r="II84" s="734" cm="1">
        <f t="array" ref="II84">IFERROR(ROUND(VALUE(IF($IH84&lt;1,$IH84+LARGE((IF($M$9:$M$150="",0,$M$9:$M$150)-MOD(IF($M$9:$M$150="",0,$M$9:$M$150),1)),1),$IH84)),4),"")</f>
        <v>7.1310000000000002</v>
      </c>
      <c r="IJ84" s="533">
        <f t="shared" si="542"/>
        <v>1613</v>
      </c>
      <c r="IK84" s="533">
        <f t="shared" si="517"/>
        <v>1313</v>
      </c>
      <c r="IL84" s="727">
        <f t="shared" si="647"/>
        <v>12.624398177262407</v>
      </c>
      <c r="IM84" s="759">
        <v>3.9768965140435202E-3</v>
      </c>
      <c r="IN84" s="5">
        <f t="shared" si="648"/>
        <v>0.18</v>
      </c>
      <c r="IO84" s="771">
        <v>90</v>
      </c>
      <c r="IP84" s="9">
        <f t="shared" si="649"/>
        <v>-4.0433121946295794</v>
      </c>
      <c r="IQ84" s="5">
        <f t="shared" si="650"/>
        <v>-1.2876038834133126</v>
      </c>
      <c r="IR84" s="5">
        <f t="shared" si="518"/>
        <v>0.314</v>
      </c>
      <c r="IS84" s="5">
        <f t="shared" si="651"/>
        <v>0.27992751587350012</v>
      </c>
      <c r="IT84" s="727">
        <f t="shared" si="652"/>
        <v>76.311027076960954</v>
      </c>
      <c r="IU84" s="9">
        <f t="shared" si="653"/>
        <v>-4.0902123360804064</v>
      </c>
      <c r="IV84" s="5">
        <f t="shared" si="654"/>
        <v>-1.2703038312363553</v>
      </c>
      <c r="IW84" s="5">
        <f t="shared" si="519"/>
        <v>0.26600000000000001</v>
      </c>
      <c r="IX84" s="5">
        <f t="shared" si="655"/>
        <v>0.22615333340954857</v>
      </c>
      <c r="IY84" s="762">
        <f t="shared" si="656"/>
        <v>73.986054341731403</v>
      </c>
    </row>
    <row r="85" spans="1:259" ht="15" customHeight="1" x14ac:dyDescent="0.25">
      <c r="A85" s="79"/>
      <c r="B85" s="707">
        <v>-2.1019207133096427</v>
      </c>
      <c r="C85" s="708">
        <v>3.5745145021944351</v>
      </c>
      <c r="D85" s="709">
        <v>-2.0700062431388293</v>
      </c>
      <c r="E85" s="710">
        <v>-0.50688865473650513</v>
      </c>
      <c r="F85" s="708">
        <v>0.86201153803146102</v>
      </c>
      <c r="G85" s="711">
        <v>2.2679489653144081E-7</v>
      </c>
      <c r="H85" s="710">
        <v>0.25700000000000001</v>
      </c>
      <c r="I85" s="708">
        <v>0.41499999999999992</v>
      </c>
      <c r="J85" s="570">
        <v>7.2380000000000004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CPS-32193r1</v>
      </c>
      <c r="L85" s="320"/>
      <c r="M85" s="168">
        <f t="shared" si="464"/>
        <v>7.2380000000000004</v>
      </c>
      <c r="N85" s="632">
        <f t="shared" si="465"/>
        <v>-2.1019207133096427</v>
      </c>
      <c r="O85" s="629">
        <f t="shared" si="466"/>
        <v>3.5745145021944351</v>
      </c>
      <c r="P85" s="633">
        <f t="shared" si="467"/>
        <v>-2.0700062431388293</v>
      </c>
      <c r="Q85" s="585">
        <f t="shared" si="520"/>
        <v>120.45679292527633</v>
      </c>
      <c r="R85" s="629">
        <f t="shared" si="79"/>
        <v>4.1467125064849197</v>
      </c>
      <c r="S85" s="634">
        <f t="shared" si="80"/>
        <v>-2.0700062431388293</v>
      </c>
      <c r="T85" s="635">
        <f t="shared" si="81"/>
        <v>3.5627194756201122</v>
      </c>
      <c r="U85" s="629">
        <f t="shared" si="82"/>
        <v>2.1218516794242706</v>
      </c>
      <c r="V85" s="636">
        <f t="shared" si="114"/>
        <v>-2.0700062431388293</v>
      </c>
      <c r="W85" s="585">
        <f t="shared" si="645"/>
        <v>30.776792879074051</v>
      </c>
      <c r="X85" s="629">
        <f t="shared" si="83"/>
        <v>4.1467125064849197</v>
      </c>
      <c r="Y85" s="630">
        <f t="shared" si="644"/>
        <v>-2.0700062431388293</v>
      </c>
      <c r="Z85" s="632">
        <f t="shared" si="468"/>
        <v>0.50688865473650513</v>
      </c>
      <c r="AA85" s="629">
        <f t="shared" si="469"/>
        <v>-0.86201153803146102</v>
      </c>
      <c r="AB85" s="629">
        <f t="shared" si="470"/>
        <v>-2.2679489653144081E-7</v>
      </c>
      <c r="AC85" s="636">
        <f t="shared" si="84"/>
        <v>1</v>
      </c>
      <c r="AD85" s="637">
        <f t="shared" si="115"/>
        <v>0.50688865473650513</v>
      </c>
      <c r="AE85" s="629">
        <f t="shared" si="85"/>
        <v>-0.86201153803146102</v>
      </c>
      <c r="AF85" s="633">
        <f t="shared" si="86"/>
        <v>-2.2679489653144081E-7</v>
      </c>
      <c r="AG85" s="602">
        <f t="shared" si="87"/>
        <v>-89.999984925502957</v>
      </c>
      <c r="AH85" s="603">
        <f t="shared" si="88"/>
        <v>59.543194080334111</v>
      </c>
      <c r="AI85" s="585">
        <f t="shared" si="89"/>
        <v>-89.999987005609611</v>
      </c>
      <c r="AJ85" s="586">
        <f t="shared" si="90"/>
        <v>30.456805919666738</v>
      </c>
      <c r="AK85" s="635">
        <f t="shared" si="211"/>
        <v>2.2679489691812549E-7</v>
      </c>
      <c r="AL85" s="629">
        <f t="shared" si="91"/>
        <v>-0.99999999999994871</v>
      </c>
      <c r="AM85" s="634">
        <f t="shared" si="92"/>
        <v>-2.2679489653144081E-7</v>
      </c>
      <c r="AN85" s="581">
        <f t="shared" si="93"/>
        <v>-89.999987005609626</v>
      </c>
      <c r="AO85" s="582">
        <f t="shared" si="461"/>
        <v>0</v>
      </c>
      <c r="AP85" s="585">
        <f t="shared" si="95"/>
        <v>-89.999987005609597</v>
      </c>
      <c r="AQ85" s="586">
        <f t="shared" si="471"/>
        <v>0.54975035485643264</v>
      </c>
      <c r="AS85" s="52">
        <f t="shared" si="543"/>
        <v>-329.22320712092596</v>
      </c>
      <c r="AT85" s="72">
        <f t="shared" si="472"/>
        <v>-1.8411567937813822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Taper</v>
      </c>
      <c r="IF85" s="533" t="str">
        <f>IFERROR(IF((((($IW85*COS(RADIANS(180-$IY85)))*COS(RADIANS($IY85)))-(($IX85*SIN(RADIANS(180-$IY85)))*SIN(RADIANS($IY85))))+$IU85)&lt;(((Settings!$C$19+$IF$8)/2)*-1),"Gage",""),"")</f>
        <v>Gage</v>
      </c>
      <c r="IG85" s="847">
        <f t="shared" si="643"/>
        <v>7.2380000000000004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0.13800000000000001</v>
      </c>
      <c r="II85" s="734" cm="1">
        <f t="array" ref="II85">IFERROR(ROUND(VALUE(IF($IH85&lt;1,$IH85+LARGE((IF($M$9:$M$150="",0,$M$9:$M$150)-MOD(IF($M$9:$M$150="",0,$M$9:$M$150),1)),1),$IH85)),4),"")</f>
        <v>7.1379999999999999</v>
      </c>
      <c r="IJ85" s="533">
        <f t="shared" si="542"/>
        <v>1613</v>
      </c>
      <c r="IK85" s="533" t="str">
        <f t="shared" si="517"/>
        <v>CPS-32193r1</v>
      </c>
      <c r="IL85" s="727">
        <f t="shared" si="647"/>
        <v>15.903200381168787</v>
      </c>
      <c r="IM85" s="759">
        <v>1.36532770654382E-4</v>
      </c>
      <c r="IN85" s="5">
        <f t="shared" si="648"/>
        <v>0</v>
      </c>
      <c r="IO85" s="771">
        <v>0</v>
      </c>
      <c r="IP85" s="9">
        <f t="shared" si="649"/>
        <v>-4.1311124594351778</v>
      </c>
      <c r="IQ85" s="5">
        <f t="shared" si="650"/>
        <v>-2.0644062262491785</v>
      </c>
      <c r="IR85" s="5">
        <f t="shared" si="518"/>
        <v>0.314</v>
      </c>
      <c r="IS85" s="5">
        <f t="shared" si="651"/>
        <v>0.27193198865724594</v>
      </c>
      <c r="IT85" s="727">
        <f t="shared" si="652"/>
        <v>89.999987005609626</v>
      </c>
      <c r="IU85" s="9">
        <f t="shared" si="653"/>
        <v>-4.1467125064849197</v>
      </c>
      <c r="IV85" s="5">
        <f t="shared" si="654"/>
        <v>-2.0700062431388293</v>
      </c>
      <c r="IW85" s="5">
        <f t="shared" si="519"/>
        <v>0.25700000000000001</v>
      </c>
      <c r="IX85" s="5">
        <f t="shared" si="655"/>
        <v>0.25700000000000001</v>
      </c>
      <c r="IY85" s="762">
        <f t="shared" si="656"/>
        <v>89.999987005609626</v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6.6987279208207184E-2</v>
      </c>
      <c r="G154" s="170">
        <f t="shared" si="929"/>
        <v>-0.24999996726497564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6.6987279208207184E-2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-0.24999996726497561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0.96459820450864464</v>
      </c>
      <c r="F157" s="170">
        <f t="shared" si="929"/>
        <v>-7.5797115644906848E-2</v>
      </c>
      <c r="G157" s="170">
        <f t="shared" si="929"/>
        <v>-0.25259671636545811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0.95272119384908172</v>
      </c>
      <c r="F158" s="170">
        <f t="shared" si="929"/>
        <v>-0.22486495265573331</v>
      </c>
      <c r="G158" s="170">
        <f t="shared" si="929"/>
        <v>-0.2043479382277088</v>
      </c>
      <c r="H158" s="139"/>
      <c r="I158" s="86"/>
      <c r="J158" s="79">
        <f t="shared" si="930"/>
        <v>1.1200000000000001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0.90655791247265449</v>
      </c>
      <c r="F159" s="170">
        <f t="shared" si="929"/>
        <v>-0.39015230124949707</v>
      </c>
      <c r="G159" s="170">
        <f t="shared" si="929"/>
        <v>-0.16104016009351496</v>
      </c>
      <c r="H159" s="139"/>
      <c r="I159" s="86"/>
      <c r="J159" s="79">
        <f t="shared" si="930"/>
        <v>1.127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0.84399752912167758</v>
      </c>
      <c r="F160" s="170">
        <f t="shared" si="929"/>
        <v>-0.53394270835410595</v>
      </c>
      <c r="G160" s="170">
        <f t="shared" si="929"/>
        <v>-5.0728246884601674E-2</v>
      </c>
      <c r="H160" s="139"/>
      <c r="I160" s="86"/>
      <c r="J160" s="79">
        <f t="shared" si="930"/>
        <v>1.1339999999999999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0.84207610313546311</v>
      </c>
      <c r="F161" s="170">
        <f t="shared" si="929"/>
        <v>-0.53935872712711364</v>
      </c>
      <c r="G161" s="170">
        <f t="shared" si="929"/>
        <v>-1.1339743352724794E-7</v>
      </c>
      <c r="H161" s="139"/>
      <c r="I161" s="86"/>
      <c r="J161" s="79">
        <f t="shared" si="930"/>
        <v>1.141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1.9291114765947212E-7</v>
      </c>
      <c r="F162" s="170">
        <f t="shared" si="929"/>
        <v>-1.1925273292344058E-7</v>
      </c>
      <c r="G162" s="170">
        <f t="shared" si="929"/>
        <v>-0.99999999999997435</v>
      </c>
      <c r="H162" s="139"/>
      <c r="I162" s="86"/>
      <c r="J162" s="79">
        <f t="shared" si="930"/>
        <v>1.2070000000000001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-3.8701888937830747E-2</v>
      </c>
      <c r="F163" s="170">
        <f t="shared" si="929"/>
        <v>-9.7099743986470283E-2</v>
      </c>
      <c r="G163" s="170">
        <f t="shared" si="929"/>
        <v>-0.99452189694868243</v>
      </c>
      <c r="H163" s="139"/>
      <c r="I163" s="86"/>
      <c r="J163" s="79">
        <f t="shared" si="930"/>
        <v>1.2130000000000001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0.82877603703725133</v>
      </c>
      <c r="F164" s="170">
        <f t="shared" si="929"/>
        <v>-0.48577123547319856</v>
      </c>
      <c r="G164" s="170">
        <f t="shared" si="929"/>
        <v>-0.27777074579528871</v>
      </c>
      <c r="H164" s="139"/>
      <c r="I164" s="86"/>
      <c r="J164" s="79">
        <f t="shared" si="930"/>
        <v>1.22</v>
      </c>
    </row>
    <row r="165" spans="5:16" x14ac:dyDescent="0.25">
      <c r="E165" s="170">
        <f t="shared" si="929"/>
        <v>0.74738111598659374</v>
      </c>
      <c r="F165" s="170">
        <f t="shared" si="929"/>
        <v>-0.62906048932963321</v>
      </c>
      <c r="G165" s="170">
        <f t="shared" si="929"/>
        <v>-0.21378579988155486</v>
      </c>
      <c r="H165" s="139"/>
      <c r="I165" s="86"/>
      <c r="J165" s="79">
        <f t="shared" si="930"/>
        <v>1.2270000000000001</v>
      </c>
    </row>
    <row r="166" spans="5:16" x14ac:dyDescent="0.25">
      <c r="E166" s="170">
        <f t="shared" si="929"/>
        <v>0.6434805599054183</v>
      </c>
      <c r="F166" s="170">
        <f t="shared" si="929"/>
        <v>-0.76156379349431247</v>
      </c>
      <c r="G166" s="170">
        <f t="shared" si="929"/>
        <v>-7.7158003229487432E-2</v>
      </c>
      <c r="H166" s="139"/>
      <c r="I166" s="86"/>
      <c r="J166" s="79">
        <f t="shared" si="930"/>
        <v>1.234</v>
      </c>
    </row>
    <row r="167" spans="5:16" x14ac:dyDescent="0.25">
      <c r="E167" s="170">
        <f t="shared" si="929"/>
        <v>-0.33622566113062663</v>
      </c>
      <c r="F167" s="170">
        <f t="shared" si="929"/>
        <v>-0.94178145277830871</v>
      </c>
      <c r="G167" s="170">
        <f t="shared" si="929"/>
        <v>-2.267948967994778E-7</v>
      </c>
      <c r="H167" s="139"/>
      <c r="I167" s="86"/>
      <c r="J167" s="79">
        <f t="shared" si="930"/>
        <v>1.2410000000000001</v>
      </c>
    </row>
    <row r="168" spans="5:16" x14ac:dyDescent="0.25">
      <c r="E168" s="170">
        <f t="shared" si="929"/>
        <v>0.45765678976212776</v>
      </c>
      <c r="F168" s="170">
        <f t="shared" si="929"/>
        <v>-0.85403591362521714</v>
      </c>
      <c r="G168" s="170">
        <f t="shared" si="929"/>
        <v>-0.24733160134314483</v>
      </c>
      <c r="H168" s="139"/>
      <c r="I168" s="86"/>
      <c r="J168" s="79">
        <f t="shared" si="930"/>
        <v>2.1139999999999999</v>
      </c>
    </row>
    <row r="169" spans="5:16" x14ac:dyDescent="0.25">
      <c r="E169" s="170">
        <f t="shared" si="929"/>
        <v>0.33116098893062318</v>
      </c>
      <c r="F169" s="170">
        <f t="shared" si="929"/>
        <v>-0.92410561007896608</v>
      </c>
      <c r="G169" s="170">
        <f t="shared" si="929"/>
        <v>-0.19068618416412245</v>
      </c>
      <c r="H169" s="139"/>
      <c r="I169" s="86"/>
      <c r="J169" s="79">
        <f t="shared" si="930"/>
        <v>2.121</v>
      </c>
    </row>
    <row r="170" spans="5:16" x14ac:dyDescent="0.25">
      <c r="E170" s="170">
        <f t="shared" si="929"/>
        <v>0.15958174295531241</v>
      </c>
      <c r="F170" s="170">
        <f t="shared" si="929"/>
        <v>-0.97571425512461429</v>
      </c>
      <c r="G170" s="170">
        <f t="shared" si="929"/>
        <v>-0.15005119013844523</v>
      </c>
      <c r="H170" s="139"/>
      <c r="I170" s="86"/>
      <c r="J170" s="79">
        <f t="shared" si="930"/>
        <v>2.1280000000000001</v>
      </c>
    </row>
    <row r="171" spans="5:16" x14ac:dyDescent="0.25">
      <c r="E171" s="170">
        <f t="shared" si="929"/>
        <v>1.0899415867934296E-2</v>
      </c>
      <c r="F171" s="170">
        <f t="shared" si="929"/>
        <v>-0.99951366507375772</v>
      </c>
      <c r="G171" s="170">
        <f t="shared" si="929"/>
        <v>-2.9217050921711417E-2</v>
      </c>
      <c r="H171" s="139"/>
      <c r="I171" s="86"/>
      <c r="J171" s="79">
        <f t="shared" si="930"/>
        <v>2.1349999999999998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2.3733565334841725E-2</v>
      </c>
      <c r="F172" s="170">
        <f t="shared" si="929"/>
        <v>-0.99971831926622423</v>
      </c>
      <c r="G172" s="170">
        <f t="shared" si="929"/>
        <v>-1.1339743351307465E-7</v>
      </c>
      <c r="H172" s="139"/>
      <c r="I172" s="86"/>
      <c r="J172" s="79">
        <f t="shared" si="930"/>
        <v>2.1419999999999999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4.7545267310549456E-2</v>
      </c>
      <c r="F173" s="170">
        <f t="shared" si="929"/>
        <v>-0.96389157566766526</v>
      </c>
      <c r="G173" s="170">
        <f t="shared" si="929"/>
        <v>-0.26201617872428062</v>
      </c>
      <c r="H173" s="139"/>
      <c r="I173" s="86"/>
      <c r="J173" s="79">
        <f t="shared" si="930"/>
        <v>2.2210000000000001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-0.12900682860932905</v>
      </c>
      <c r="F174" s="170">
        <f t="shared" si="933"/>
        <v>-0.97142196952930526</v>
      </c>
      <c r="G174" s="170">
        <f t="shared" si="933"/>
        <v>-0.19924004438859402</v>
      </c>
      <c r="H174" s="139"/>
      <c r="I174" s="86"/>
      <c r="J174" s="79">
        <f t="shared" si="930"/>
        <v>2.2280000000000002</v>
      </c>
    </row>
    <row r="175" spans="5:16" x14ac:dyDescent="0.25">
      <c r="E175" s="170">
        <f t="shared" si="933"/>
        <v>-0.29232258690629176</v>
      </c>
      <c r="F175" s="170">
        <f t="shared" si="933"/>
        <v>-0.95491804151860338</v>
      </c>
      <c r="G175" s="170">
        <f t="shared" si="933"/>
        <v>-5.1759435532941024E-2</v>
      </c>
      <c r="H175" s="139"/>
      <c r="I175" s="86"/>
      <c r="J175" s="79">
        <f t="shared" si="930"/>
        <v>2.2349999999999999</v>
      </c>
    </row>
    <row r="176" spans="5:16" x14ac:dyDescent="0.25">
      <c r="E176" s="170">
        <f t="shared" si="933"/>
        <v>-0.96878740305962041</v>
      </c>
      <c r="F176" s="170">
        <f t="shared" si="933"/>
        <v>-0.24789305692767041</v>
      </c>
      <c r="G176" s="170">
        <f t="shared" si="933"/>
        <v>-2.2679489687616472E-7</v>
      </c>
      <c r="H176" s="139"/>
      <c r="I176" s="86"/>
      <c r="J176" s="79">
        <f t="shared" si="930"/>
        <v>2.242</v>
      </c>
    </row>
    <row r="177" spans="5:10" x14ac:dyDescent="0.25">
      <c r="E177" s="170">
        <f t="shared" si="933"/>
        <v>-0.20185354387626053</v>
      </c>
      <c r="F177" s="170">
        <f t="shared" si="933"/>
        <v>-0.94697157464841875</v>
      </c>
      <c r="G177" s="170">
        <f t="shared" si="933"/>
        <v>-0.24999996726497567</v>
      </c>
      <c r="H177" s="139"/>
      <c r="I177" s="86"/>
      <c r="J177" s="79">
        <f t="shared" si="930"/>
        <v>3.1030000000000002</v>
      </c>
    </row>
    <row r="178" spans="5:10" x14ac:dyDescent="0.25">
      <c r="E178" s="170">
        <f t="shared" si="933"/>
        <v>-0.20185354387626059</v>
      </c>
      <c r="F178" s="170">
        <f t="shared" si="933"/>
        <v>-0.94697157464841875</v>
      </c>
      <c r="G178" s="170">
        <f t="shared" si="933"/>
        <v>-0.24999996726497567</v>
      </c>
      <c r="H178" s="139"/>
      <c r="I178" s="86"/>
      <c r="J178" s="79">
        <f t="shared" si="930"/>
        <v>3.1059999999999999</v>
      </c>
    </row>
    <row r="179" spans="5:10" x14ac:dyDescent="0.25">
      <c r="E179" s="170">
        <f t="shared" si="933"/>
        <v>-0.29307934142125125</v>
      </c>
      <c r="F179" s="170">
        <f t="shared" si="933"/>
        <v>-0.92041431563861453</v>
      </c>
      <c r="G179" s="170">
        <f t="shared" si="933"/>
        <v>-0.25873149634241749</v>
      </c>
      <c r="H179" s="139"/>
      <c r="I179" s="86"/>
      <c r="J179" s="79">
        <f t="shared" si="930"/>
        <v>3.1110000000000002</v>
      </c>
    </row>
    <row r="180" spans="5:10" x14ac:dyDescent="0.25">
      <c r="E180" s="170">
        <f t="shared" si="933"/>
        <v>-0.43880632650047768</v>
      </c>
      <c r="F180" s="170">
        <f t="shared" si="933"/>
        <v>-0.87293284875023591</v>
      </c>
      <c r="G180" s="170">
        <f t="shared" si="933"/>
        <v>-0.21316014964329971</v>
      </c>
      <c r="H180" s="139"/>
      <c r="I180" s="86"/>
      <c r="J180" s="79">
        <f t="shared" si="930"/>
        <v>3.1179999999999999</v>
      </c>
    </row>
    <row r="181" spans="5:10" x14ac:dyDescent="0.25">
      <c r="E181" s="170">
        <f t="shared" si="933"/>
        <v>-0.58296205435086823</v>
      </c>
      <c r="F181" s="170">
        <f t="shared" si="933"/>
        <v>-0.79276195647392911</v>
      </c>
      <c r="G181" s="170">
        <f t="shared" si="933"/>
        <v>-0.17799922346640643</v>
      </c>
      <c r="H181" s="139"/>
      <c r="I181" s="86"/>
      <c r="J181" s="79">
        <f t="shared" si="930"/>
        <v>3.125</v>
      </c>
    </row>
    <row r="182" spans="5:10" x14ac:dyDescent="0.25">
      <c r="E182" s="170">
        <f t="shared" si="933"/>
        <v>-0.71640852219087126</v>
      </c>
      <c r="F182" s="170">
        <f t="shared" si="933"/>
        <v>-0.69187877436055434</v>
      </c>
      <c r="G182" s="170">
        <f t="shared" si="933"/>
        <v>-8.9791931272409586E-2</v>
      </c>
      <c r="H182" s="139"/>
      <c r="I182" s="86"/>
      <c r="J182" s="79">
        <f t="shared" si="930"/>
        <v>3.1320000000000001</v>
      </c>
    </row>
    <row r="183" spans="5:10" x14ac:dyDescent="0.25">
      <c r="E183" s="170">
        <f t="shared" si="933"/>
        <v>-0.75057293816985349</v>
      </c>
      <c r="F183" s="170">
        <f t="shared" si="933"/>
        <v>-0.66078760921120516</v>
      </c>
      <c r="G183" s="170">
        <f t="shared" si="933"/>
        <v>-1.1339743359475927E-7</v>
      </c>
      <c r="H183" s="139"/>
      <c r="I183" s="86"/>
      <c r="J183" s="79">
        <f t="shared" si="930"/>
        <v>3.1389999999999998</v>
      </c>
    </row>
    <row r="184" spans="5:10" x14ac:dyDescent="0.25">
      <c r="E184" s="170">
        <f t="shared" si="933"/>
        <v>-0.75057293816985349</v>
      </c>
      <c r="F184" s="170">
        <f t="shared" si="933"/>
        <v>-0.66078760921120527</v>
      </c>
      <c r="G184" s="170">
        <f t="shared" si="933"/>
        <v>-1.1339743359475926E-7</v>
      </c>
      <c r="H184" s="139"/>
      <c r="I184" s="86"/>
      <c r="J184" s="79">
        <f t="shared" si="930"/>
        <v>3.1459999999999999</v>
      </c>
    </row>
    <row r="185" spans="5:10" x14ac:dyDescent="0.25">
      <c r="E185" s="170">
        <f t="shared" si="933"/>
        <v>-1.8108149973415373E-7</v>
      </c>
      <c r="F185" s="170">
        <f t="shared" si="933"/>
        <v>-1.3654821729575405E-7</v>
      </c>
      <c r="G185" s="170">
        <f t="shared" si="933"/>
        <v>-0.99999999999997435</v>
      </c>
      <c r="H185" s="139"/>
      <c r="I185" s="86"/>
      <c r="J185" s="79">
        <f t="shared" si="930"/>
        <v>3.206</v>
      </c>
    </row>
    <row r="186" spans="5:10" x14ac:dyDescent="0.25">
      <c r="E186" s="170">
        <f t="shared" si="933"/>
        <v>-1.4682060384110796E-7</v>
      </c>
      <c r="F186" s="170">
        <f t="shared" si="933"/>
        <v>-1.7285726905419263E-7</v>
      </c>
      <c r="G186" s="170">
        <f t="shared" si="933"/>
        <v>-0.99999999999997435</v>
      </c>
      <c r="H186" s="139"/>
      <c r="I186" s="86"/>
      <c r="J186" s="79">
        <f t="shared" si="930"/>
        <v>3.2109999999999999</v>
      </c>
    </row>
    <row r="187" spans="5:10" x14ac:dyDescent="0.25">
      <c r="E187" s="170">
        <f t="shared" si="933"/>
        <v>-0.66730157416431846</v>
      </c>
      <c r="F187" s="170">
        <f t="shared" si="933"/>
        <v>-0.68575441292992434</v>
      </c>
      <c r="G187" s="170">
        <f t="shared" si="933"/>
        <v>-0.29060195158490859</v>
      </c>
      <c r="H187" s="139"/>
      <c r="I187" s="86"/>
      <c r="J187" s="79">
        <f t="shared" si="930"/>
        <v>3.218</v>
      </c>
    </row>
    <row r="188" spans="5:10" x14ac:dyDescent="0.25">
      <c r="E188" s="170">
        <f t="shared" si="933"/>
        <v>-0.77654377080532155</v>
      </c>
      <c r="F188" s="170">
        <f t="shared" si="933"/>
        <v>-0.58357781166406308</v>
      </c>
      <c r="G188" s="170">
        <f t="shared" si="933"/>
        <v>-0.23752201951995014</v>
      </c>
      <c r="H188" s="139"/>
      <c r="I188" s="86"/>
      <c r="J188" s="79">
        <f t="shared" si="930"/>
        <v>3.2250000000000001</v>
      </c>
    </row>
    <row r="189" spans="5:10" x14ac:dyDescent="0.25">
      <c r="E189" s="170">
        <f t="shared" si="933"/>
        <v>-0.88582180521207554</v>
      </c>
      <c r="F189" s="170">
        <f t="shared" si="933"/>
        <v>-0.44715718155525463</v>
      </c>
      <c r="G189" s="170">
        <f t="shared" si="933"/>
        <v>-0.12397654775956959</v>
      </c>
      <c r="H189" s="139"/>
      <c r="I189" s="86"/>
      <c r="J189" s="79">
        <f t="shared" si="930"/>
        <v>3.2320000000000002</v>
      </c>
    </row>
    <row r="190" spans="5:10" x14ac:dyDescent="0.25">
      <c r="E190" s="170">
        <f t="shared" si="933"/>
        <v>-0.82360463174125897</v>
      </c>
      <c r="F190" s="170">
        <f t="shared" si="933"/>
        <v>0.56716435940060095</v>
      </c>
      <c r="G190" s="170">
        <f t="shared" si="933"/>
        <v>-2.267948963332621E-7</v>
      </c>
      <c r="H190" s="139"/>
      <c r="I190" s="86"/>
      <c r="J190" s="79">
        <f t="shared" si="930"/>
        <v>3.2389999999999999</v>
      </c>
    </row>
    <row r="191" spans="5:10" x14ac:dyDescent="0.25">
      <c r="E191" s="170">
        <f t="shared" si="933"/>
        <v>-0.94211993157773555</v>
      </c>
      <c r="F191" s="170">
        <f t="shared" si="933"/>
        <v>-0.21594756825998951</v>
      </c>
      <c r="G191" s="170">
        <f t="shared" si="933"/>
        <v>-0.25646965178468994</v>
      </c>
      <c r="H191" s="139"/>
      <c r="I191" s="86"/>
      <c r="J191" s="79">
        <f t="shared" si="930"/>
        <v>4.1120000000000001</v>
      </c>
    </row>
    <row r="192" spans="5:10" x14ac:dyDescent="0.25">
      <c r="E192" s="170">
        <f t="shared" si="933"/>
        <v>-0.97676112072031329</v>
      </c>
      <c r="F192" s="170">
        <f t="shared" si="933"/>
        <v>-7.2207357649342024E-2</v>
      </c>
      <c r="G192" s="170">
        <f t="shared" si="933"/>
        <v>-0.2018014136484122</v>
      </c>
      <c r="H192" s="139"/>
      <c r="I192" s="86"/>
      <c r="J192" s="79">
        <f t="shared" si="930"/>
        <v>4.1189999999999998</v>
      </c>
    </row>
    <row r="193" spans="5:10" x14ac:dyDescent="0.25">
      <c r="E193" s="170">
        <f t="shared" si="933"/>
        <v>-0.98031142651126557</v>
      </c>
      <c r="F193" s="170">
        <f t="shared" si="933"/>
        <v>9.9895249184759338E-2</v>
      </c>
      <c r="G193" s="170">
        <f t="shared" si="933"/>
        <v>-0.17032453211960502</v>
      </c>
      <c r="H193" s="139"/>
      <c r="I193" s="86"/>
      <c r="J193" s="79">
        <f t="shared" si="930"/>
        <v>4.1260000000000003</v>
      </c>
    </row>
    <row r="194" spans="5:10" x14ac:dyDescent="0.25">
      <c r="E194" s="170">
        <f t="shared" ref="E194:G213" si="934">E49*-1</f>
        <v>-0.96262321095302306</v>
      </c>
      <c r="F194" s="170">
        <f t="shared" si="934"/>
        <v>0.26135867188628287</v>
      </c>
      <c r="G194" s="170">
        <f t="shared" si="934"/>
        <v>-7.1050674622625695E-2</v>
      </c>
      <c r="H194" s="139"/>
      <c r="I194" s="86"/>
      <c r="J194" s="79">
        <f t="shared" si="930"/>
        <v>4.133</v>
      </c>
    </row>
    <row r="195" spans="5:10" x14ac:dyDescent="0.25">
      <c r="E195" s="170">
        <f t="shared" si="934"/>
        <v>-0.95812277495675657</v>
      </c>
      <c r="F195" s="170">
        <f t="shared" si="934"/>
        <v>0.28635772751778782</v>
      </c>
      <c r="G195" s="170">
        <f t="shared" si="934"/>
        <v>-1.1339743346261811E-7</v>
      </c>
      <c r="H195" s="139"/>
      <c r="I195" s="86"/>
      <c r="J195" s="79">
        <f t="shared" si="930"/>
        <v>4.1399999999999997</v>
      </c>
    </row>
    <row r="196" spans="5:10" x14ac:dyDescent="0.25">
      <c r="E196" s="170">
        <f t="shared" si="934"/>
        <v>-0.93602649309600072</v>
      </c>
      <c r="F196" s="170">
        <f t="shared" si="934"/>
        <v>0.21638517556633768</v>
      </c>
      <c r="G196" s="170">
        <f t="shared" si="934"/>
        <v>-0.2775461403398139</v>
      </c>
      <c r="H196" s="139"/>
      <c r="I196" s="86"/>
      <c r="J196" s="79">
        <f t="shared" si="930"/>
        <v>4.2190000000000003</v>
      </c>
    </row>
    <row r="197" spans="5:10" x14ac:dyDescent="0.25">
      <c r="E197" s="170">
        <f t="shared" si="934"/>
        <v>-0.8993244233404617</v>
      </c>
      <c r="F197" s="170">
        <f t="shared" si="934"/>
        <v>0.37403822282012927</v>
      </c>
      <c r="G197" s="170">
        <f t="shared" si="934"/>
        <v>-0.226519291568964</v>
      </c>
      <c r="H197" s="139"/>
      <c r="I197" s="86"/>
      <c r="J197" s="79">
        <f t="shared" si="930"/>
        <v>4.226</v>
      </c>
    </row>
    <row r="198" spans="5:10" x14ac:dyDescent="0.25">
      <c r="E198" s="170">
        <f t="shared" si="934"/>
        <v>-0.83874078343059488</v>
      </c>
      <c r="F198" s="170">
        <f t="shared" si="934"/>
        <v>0.53501280378257277</v>
      </c>
      <c r="G198" s="170">
        <f t="shared" si="934"/>
        <v>-0.1013666513156192</v>
      </c>
      <c r="H198" s="139"/>
      <c r="I198" s="86"/>
      <c r="J198" s="79">
        <f t="shared" si="930"/>
        <v>4.2329999999999997</v>
      </c>
    </row>
    <row r="199" spans="5:10" x14ac:dyDescent="0.25">
      <c r="E199" s="170">
        <f t="shared" si="934"/>
        <v>6.3611192743711811E-2</v>
      </c>
      <c r="F199" s="170">
        <f t="shared" si="934"/>
        <v>0.99797475727478757</v>
      </c>
      <c r="G199" s="170">
        <f t="shared" si="934"/>
        <v>-2.267948967415553E-7</v>
      </c>
      <c r="H199" s="139"/>
      <c r="I199" s="86"/>
      <c r="J199" s="79">
        <f t="shared" si="930"/>
        <v>4.24</v>
      </c>
    </row>
    <row r="200" spans="5:10" x14ac:dyDescent="0.25">
      <c r="E200" s="170">
        <f t="shared" si="934"/>
        <v>-0.80240123924886197</v>
      </c>
      <c r="F200" s="170">
        <f t="shared" si="934"/>
        <v>0.54189691604529533</v>
      </c>
      <c r="G200" s="170">
        <f t="shared" si="934"/>
        <v>-0.24999996726497564</v>
      </c>
      <c r="H200" s="139"/>
      <c r="I200" s="86"/>
      <c r="J200" s="79">
        <f t="shared" si="930"/>
        <v>5.1020000000000003</v>
      </c>
    </row>
    <row r="201" spans="5:10" x14ac:dyDescent="0.25">
      <c r="E201" s="170">
        <f t="shared" si="934"/>
        <v>-0.80240123924886197</v>
      </c>
      <c r="F201" s="170">
        <f t="shared" si="934"/>
        <v>0.54189691604529522</v>
      </c>
      <c r="G201" s="170">
        <f t="shared" si="934"/>
        <v>-0.24999996726497561</v>
      </c>
      <c r="H201" s="139"/>
      <c r="I201" s="86"/>
      <c r="J201" s="79">
        <f t="shared" si="930"/>
        <v>5.1050000000000004</v>
      </c>
    </row>
    <row r="202" spans="5:10" x14ac:dyDescent="0.25">
      <c r="E202" s="170">
        <f t="shared" si="934"/>
        <v>-0.76391090230330783</v>
      </c>
      <c r="F202" s="170">
        <f t="shared" si="934"/>
        <v>0.59112905674474781</v>
      </c>
      <c r="G202" s="170">
        <f t="shared" si="934"/>
        <v>-0.25885627597995553</v>
      </c>
      <c r="H202" s="139"/>
      <c r="I202" s="86"/>
      <c r="J202" s="79">
        <f t="shared" si="930"/>
        <v>5.109</v>
      </c>
    </row>
    <row r="203" spans="5:10" x14ac:dyDescent="0.25">
      <c r="E203" s="170">
        <f t="shared" si="934"/>
        <v>-0.68513368266833952</v>
      </c>
      <c r="F203" s="170">
        <f t="shared" si="934"/>
        <v>0.68751375682907201</v>
      </c>
      <c r="G203" s="170">
        <f t="shared" si="934"/>
        <v>-0.24065882706457017</v>
      </c>
      <c r="H203" s="139"/>
      <c r="I203" s="86"/>
      <c r="J203" s="79">
        <f t="shared" si="930"/>
        <v>5.1150000000000002</v>
      </c>
    </row>
    <row r="204" spans="5:10" x14ac:dyDescent="0.25">
      <c r="E204" s="170">
        <f t="shared" si="934"/>
        <v>-0.57997172986054968</v>
      </c>
      <c r="F204" s="170">
        <f t="shared" si="934"/>
        <v>0.79212306548721589</v>
      </c>
      <c r="G204" s="170">
        <f t="shared" si="934"/>
        <v>-0.19019422095767696</v>
      </c>
      <c r="H204" s="139"/>
      <c r="I204" s="86"/>
      <c r="J204" s="79">
        <f t="shared" si="930"/>
        <v>5.1219999999999999</v>
      </c>
    </row>
    <row r="205" spans="5:10" x14ac:dyDescent="0.25">
      <c r="E205" s="170">
        <f t="shared" si="934"/>
        <v>-0.43265506370450918</v>
      </c>
      <c r="F205" s="170">
        <f t="shared" si="934"/>
        <v>0.89102947971674407</v>
      </c>
      <c r="G205" s="170">
        <f t="shared" si="934"/>
        <v>-0.13739018206027484</v>
      </c>
      <c r="H205" s="139"/>
      <c r="I205" s="86"/>
      <c r="J205" s="79">
        <f t="shared" si="930"/>
        <v>5.1289999999999996</v>
      </c>
    </row>
    <row r="206" spans="5:10" x14ac:dyDescent="0.25">
      <c r="E206" s="170">
        <f t="shared" si="934"/>
        <v>-0.31869458767738107</v>
      </c>
      <c r="F206" s="170">
        <f t="shared" si="934"/>
        <v>0.94785443432162242</v>
      </c>
      <c r="G206" s="170">
        <f t="shared" si="934"/>
        <v>-2.3939761864279901E-3</v>
      </c>
      <c r="H206" s="139"/>
      <c r="I206" s="86"/>
      <c r="J206" s="79">
        <f t="shared" si="930"/>
        <v>5.1360000000000001</v>
      </c>
    </row>
    <row r="207" spans="5:10" x14ac:dyDescent="0.25">
      <c r="E207" s="170">
        <f t="shared" si="934"/>
        <v>-0.33150229735503123</v>
      </c>
      <c r="F207" s="170">
        <f t="shared" si="934"/>
        <v>0.94345441164283272</v>
      </c>
      <c r="G207" s="170">
        <f t="shared" si="934"/>
        <v>-1.133974334481082E-7</v>
      </c>
      <c r="H207" s="139"/>
      <c r="I207" s="86"/>
      <c r="J207" s="79">
        <f t="shared" si="930"/>
        <v>5.1429999999999998</v>
      </c>
    </row>
    <row r="208" spans="5:10" x14ac:dyDescent="0.25">
      <c r="E208" s="170">
        <f t="shared" si="934"/>
        <v>-3.0533635243934166E-8</v>
      </c>
      <c r="F208" s="170">
        <f t="shared" si="934"/>
        <v>2.2473010988408614E-7</v>
      </c>
      <c r="G208" s="170">
        <f t="shared" si="934"/>
        <v>-0.99999999999997435</v>
      </c>
      <c r="H208" s="139"/>
      <c r="I208" s="86"/>
      <c r="J208" s="79">
        <f t="shared" si="930"/>
        <v>5.2050000000000001</v>
      </c>
    </row>
    <row r="209" spans="5:10" x14ac:dyDescent="0.25">
      <c r="E209" s="170">
        <f t="shared" si="934"/>
        <v>-9.318027788425265E-8</v>
      </c>
      <c r="F209" s="170">
        <f t="shared" si="934"/>
        <v>2.0676885889503124E-7</v>
      </c>
      <c r="G209" s="170">
        <f t="shared" si="934"/>
        <v>-0.99999999999997435</v>
      </c>
      <c r="H209" s="139"/>
      <c r="I209" s="86"/>
      <c r="J209" s="79">
        <f t="shared" si="930"/>
        <v>5.2089999999999996</v>
      </c>
    </row>
    <row r="210" spans="5:10" x14ac:dyDescent="0.25">
      <c r="E210" s="170">
        <f t="shared" si="934"/>
        <v>-0.15343183579566835</v>
      </c>
      <c r="F210" s="170">
        <f t="shared" si="934"/>
        <v>0.97107955134148838</v>
      </c>
      <c r="G210" s="170">
        <f t="shared" si="934"/>
        <v>-0.18292943101312281</v>
      </c>
      <c r="H210" s="139"/>
      <c r="I210" s="86"/>
      <c r="J210" s="79">
        <f t="shared" si="930"/>
        <v>5.2290000000000001</v>
      </c>
    </row>
    <row r="211" spans="5:10" x14ac:dyDescent="0.25">
      <c r="E211" s="170">
        <f t="shared" si="934"/>
        <v>-1.5470391609659323E-2</v>
      </c>
      <c r="F211" s="170">
        <f t="shared" si="934"/>
        <v>0.99965397168317593</v>
      </c>
      <c r="G211" s="170">
        <f t="shared" si="934"/>
        <v>-2.1274488983195589E-2</v>
      </c>
      <c r="H211" s="139"/>
      <c r="I211" s="86"/>
      <c r="J211" s="79">
        <f t="shared" si="930"/>
        <v>5.2359999999999998</v>
      </c>
    </row>
    <row r="212" spans="5:10" x14ac:dyDescent="0.25">
      <c r="E212" s="170">
        <f t="shared" si="934"/>
        <v>0.84476818674883047</v>
      </c>
      <c r="F212" s="170">
        <f t="shared" si="934"/>
        <v>0.53513242347763035</v>
      </c>
      <c r="G212" s="170">
        <f t="shared" si="934"/>
        <v>-2.2679489669614828E-7</v>
      </c>
      <c r="H212" s="139"/>
      <c r="I212" s="86"/>
      <c r="J212" s="79">
        <f t="shared" si="930"/>
        <v>5.2430000000000003</v>
      </c>
    </row>
    <row r="213" spans="5:10" x14ac:dyDescent="0.25">
      <c r="E213" s="170">
        <f t="shared" si="934"/>
        <v>3.975961868067425E-2</v>
      </c>
      <c r="F213" s="170">
        <f t="shared" si="934"/>
        <v>0.97172860592144683</v>
      </c>
      <c r="G213" s="170">
        <f t="shared" si="934"/>
        <v>-0.23272878884299836</v>
      </c>
      <c r="H213" s="139"/>
      <c r="I213" s="86"/>
      <c r="J213" s="79">
        <f t="shared" si="930"/>
        <v>6.1159999999999997</v>
      </c>
    </row>
    <row r="214" spans="5:10" x14ac:dyDescent="0.25">
      <c r="E214" s="170">
        <f t="shared" ref="E214:G233" si="935">E69*-1</f>
        <v>0.19240676432471013</v>
      </c>
      <c r="F214" s="170">
        <f t="shared" si="935"/>
        <v>0.96315089173674451</v>
      </c>
      <c r="G214" s="170">
        <f t="shared" si="935"/>
        <v>-0.18793615083003448</v>
      </c>
      <c r="H214" s="139"/>
      <c r="I214" s="86"/>
      <c r="J214" s="79">
        <f t="shared" si="930"/>
        <v>6.1230000000000002</v>
      </c>
    </row>
    <row r="215" spans="5:10" x14ac:dyDescent="0.25">
      <c r="E215" s="170">
        <f t="shared" si="935"/>
        <v>0.36302682354136989</v>
      </c>
      <c r="F215" s="170">
        <f t="shared" si="935"/>
        <v>0.92361189065041482</v>
      </c>
      <c r="G215" s="170">
        <f t="shared" si="935"/>
        <v>-0.12309590098223969</v>
      </c>
      <c r="H215" s="139"/>
      <c r="I215" s="86"/>
      <c r="J215" s="79">
        <f t="shared" si="930"/>
        <v>6.13</v>
      </c>
    </row>
    <row r="216" spans="5:10" x14ac:dyDescent="0.25">
      <c r="E216" s="170">
        <f t="shared" si="935"/>
        <v>0.44838335880395974</v>
      </c>
      <c r="F216" s="170">
        <f t="shared" si="935"/>
        <v>0.89384135256077002</v>
      </c>
      <c r="G216" s="170">
        <f t="shared" si="935"/>
        <v>-1.1339743351478678E-7</v>
      </c>
      <c r="H216" s="139"/>
      <c r="I216" s="86"/>
      <c r="J216" s="79">
        <f t="shared" si="930"/>
        <v>6.1369999999999996</v>
      </c>
    </row>
    <row r="217" spans="5:10" x14ac:dyDescent="0.25">
      <c r="E217" s="170">
        <f t="shared" si="935"/>
        <v>0.44838335880395974</v>
      </c>
      <c r="F217" s="170">
        <f t="shared" si="935"/>
        <v>0.89384135256077002</v>
      </c>
      <c r="G217" s="170">
        <f t="shared" si="935"/>
        <v>-1.133974335147868E-7</v>
      </c>
      <c r="H217" s="139"/>
      <c r="I217" s="86"/>
      <c r="J217" s="79">
        <f t="shared" si="930"/>
        <v>6.1440000000000001</v>
      </c>
    </row>
    <row r="218" spans="5:10" x14ac:dyDescent="0.25">
      <c r="E218" s="170">
        <f t="shared" si="935"/>
        <v>0.45506749943786479</v>
      </c>
      <c r="F218" s="170">
        <f t="shared" si="935"/>
        <v>0.85355415345738361</v>
      </c>
      <c r="G218" s="170">
        <f t="shared" si="935"/>
        <v>-0.25369051632061124</v>
      </c>
      <c r="H218" s="139"/>
      <c r="I218" s="86"/>
      <c r="J218" s="79">
        <f t="shared" si="930"/>
        <v>6.2229999999999999</v>
      </c>
    </row>
    <row r="219" spans="5:10" x14ac:dyDescent="0.25">
      <c r="E219" s="170">
        <f t="shared" si="935"/>
        <v>0.61358398504406331</v>
      </c>
      <c r="F219" s="170">
        <f t="shared" si="935"/>
        <v>0.77221766370406753</v>
      </c>
      <c r="G219" s="170">
        <f t="shared" si="935"/>
        <v>-0.16490777168126008</v>
      </c>
      <c r="H219" s="139"/>
      <c r="I219" s="86"/>
      <c r="J219" s="79">
        <f t="shared" ref="J219:J282" si="936">J74</f>
        <v>6.23</v>
      </c>
    </row>
    <row r="220" spans="5:10" x14ac:dyDescent="0.25">
      <c r="E220" s="170">
        <f t="shared" si="935"/>
        <v>0.97617913452405669</v>
      </c>
      <c r="F220" s="170">
        <f t="shared" si="935"/>
        <v>-0.21696612021191769</v>
      </c>
      <c r="G220" s="170">
        <f t="shared" si="935"/>
        <v>-2.2679489693567683E-7</v>
      </c>
      <c r="H220" s="139"/>
      <c r="I220" s="86"/>
      <c r="J220" s="79">
        <f t="shared" si="936"/>
        <v>6.2370000000000001</v>
      </c>
    </row>
    <row r="221" spans="5:10" x14ac:dyDescent="0.25">
      <c r="E221" s="170">
        <f t="shared" si="935"/>
        <v>0.62969994836804266</v>
      </c>
      <c r="F221" s="170">
        <f t="shared" si="935"/>
        <v>0.73230504010727715</v>
      </c>
      <c r="G221" s="170">
        <f t="shared" si="935"/>
        <v>-0.25924371401976914</v>
      </c>
      <c r="H221" s="139"/>
      <c r="I221" s="86"/>
      <c r="J221" s="79">
        <f t="shared" si="936"/>
        <v>7.11</v>
      </c>
    </row>
    <row r="222" spans="5:10" x14ac:dyDescent="0.25">
      <c r="E222" s="170">
        <f t="shared" si="935"/>
        <v>0.75253776488831781</v>
      </c>
      <c r="F222" s="170">
        <f t="shared" si="935"/>
        <v>0.6194482827283343</v>
      </c>
      <c r="G222" s="170">
        <f t="shared" si="935"/>
        <v>-0.22354135510417875</v>
      </c>
      <c r="H222" s="139"/>
      <c r="I222" s="86"/>
      <c r="J222" s="79">
        <f t="shared" si="936"/>
        <v>7.117</v>
      </c>
    </row>
    <row r="223" spans="5:10" x14ac:dyDescent="0.25">
      <c r="E223" s="170">
        <f t="shared" si="935"/>
        <v>0.84970640391426211</v>
      </c>
      <c r="F223" s="170">
        <f t="shared" si="935"/>
        <v>0.49418430441546735</v>
      </c>
      <c r="G223" s="170">
        <f t="shared" si="935"/>
        <v>-0.18379581174905371</v>
      </c>
      <c r="H223" s="139"/>
      <c r="I223" s="86"/>
      <c r="J223" s="79">
        <f t="shared" si="936"/>
        <v>7.1239999999999997</v>
      </c>
    </row>
    <row r="224" spans="5:10" x14ac:dyDescent="0.25">
      <c r="E224" s="170">
        <f t="shared" si="935"/>
        <v>0.93277116541637395</v>
      </c>
      <c r="F224" s="170">
        <f t="shared" si="935"/>
        <v>0.34415594883013689</v>
      </c>
      <c r="G224" s="170">
        <f t="shared" si="935"/>
        <v>-0.10721303956426176</v>
      </c>
      <c r="H224" s="139"/>
      <c r="I224" s="86"/>
      <c r="J224" s="79">
        <f t="shared" si="936"/>
        <v>7.1310000000000002</v>
      </c>
    </row>
    <row r="225" spans="5:10" x14ac:dyDescent="0.25">
      <c r="E225" s="170">
        <f t="shared" si="935"/>
        <v>0.95951086387879114</v>
      </c>
      <c r="F225" s="170">
        <f t="shared" si="935"/>
        <v>0.28167162103868959</v>
      </c>
      <c r="G225" s="170">
        <f t="shared" si="935"/>
        <v>-1.1339743333000027E-7</v>
      </c>
      <c r="H225" s="139"/>
      <c r="I225" s="86"/>
      <c r="J225" s="79">
        <f t="shared" si="936"/>
        <v>7.1379999999999999</v>
      </c>
    </row>
    <row r="226" spans="5:10" x14ac:dyDescent="0.25">
      <c r="E226" s="170">
        <f t="shared" si="935"/>
        <v>0.95951086387879114</v>
      </c>
      <c r="F226" s="170">
        <f t="shared" si="935"/>
        <v>0.28167162103868953</v>
      </c>
      <c r="G226" s="170">
        <f t="shared" si="935"/>
        <v>-1.1339743333000025E-7</v>
      </c>
      <c r="H226" s="139"/>
      <c r="I226" s="86"/>
      <c r="J226" s="79">
        <f t="shared" si="936"/>
        <v>7.1449999999999996</v>
      </c>
    </row>
    <row r="227" spans="5:10" x14ac:dyDescent="0.25">
      <c r="E227" s="170">
        <f t="shared" si="935"/>
        <v>0.88629029494869715</v>
      </c>
      <c r="F227" s="170">
        <f t="shared" si="935"/>
        <v>0.35071578331015291</v>
      </c>
      <c r="G227" s="170">
        <f t="shared" si="935"/>
        <v>-0.30246975454894243</v>
      </c>
      <c r="H227" s="139"/>
      <c r="I227" s="86"/>
      <c r="J227" s="79">
        <f t="shared" si="936"/>
        <v>7.2169999999999996</v>
      </c>
    </row>
    <row r="228" spans="5:10" x14ac:dyDescent="0.25">
      <c r="E228" s="170">
        <f t="shared" si="935"/>
        <v>0.94261123445525619</v>
      </c>
      <c r="F228" s="170">
        <f t="shared" si="935"/>
        <v>0.22520519131819894</v>
      </c>
      <c r="G228" s="170">
        <f t="shared" si="935"/>
        <v>-0.24650899067188542</v>
      </c>
      <c r="H228" s="139"/>
      <c r="I228" s="86"/>
      <c r="J228" s="79">
        <f t="shared" si="936"/>
        <v>7.2240000000000002</v>
      </c>
    </row>
    <row r="229" spans="5:10" x14ac:dyDescent="0.25">
      <c r="E229" s="170">
        <f t="shared" si="935"/>
        <v>0.98790707848880499</v>
      </c>
      <c r="F229" s="170">
        <f t="shared" si="935"/>
        <v>5.4280890363302102E-2</v>
      </c>
      <c r="G229" s="170">
        <f t="shared" si="935"/>
        <v>-0.14523494487581612</v>
      </c>
      <c r="H229" s="139"/>
      <c r="I229" s="86"/>
      <c r="J229" s="79">
        <f t="shared" si="936"/>
        <v>7.2309999999999999</v>
      </c>
    </row>
    <row r="230" spans="5:10" x14ac:dyDescent="0.25">
      <c r="E230" s="170">
        <f t="shared" si="935"/>
        <v>0.50688865473650513</v>
      </c>
      <c r="F230" s="170">
        <f t="shared" si="935"/>
        <v>-0.86201153803146102</v>
      </c>
      <c r="G230" s="170">
        <f t="shared" si="935"/>
        <v>-2.2679489653144081E-7</v>
      </c>
      <c r="H230" s="139"/>
      <c r="I230" s="86"/>
      <c r="J230" s="79">
        <f t="shared" si="936"/>
        <v>7.2380000000000004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39" priority="136" stopIfTrue="1" operator="between">
      <formula>9</formula>
      <formula>9.99</formula>
    </cfRule>
    <cfRule type="cellIs" dxfId="38" priority="137" stopIfTrue="1" operator="between">
      <formula>8</formula>
      <formula>8.99</formula>
    </cfRule>
    <cfRule type="cellIs" dxfId="37" priority="138" stopIfTrue="1" operator="between">
      <formula>7</formula>
      <formula>7.99</formula>
    </cfRule>
    <cfRule type="cellIs" dxfId="36" priority="139" stopIfTrue="1" operator="between">
      <formula>6</formula>
      <formula>6.99</formula>
    </cfRule>
    <cfRule type="cellIs" dxfId="35" priority="140" stopIfTrue="1" operator="between">
      <formula>5</formula>
      <formula>5.99</formula>
    </cfRule>
    <cfRule type="cellIs" dxfId="34" priority="141" stopIfTrue="1" operator="between">
      <formula>4</formula>
      <formula>4.99</formula>
    </cfRule>
    <cfRule type="cellIs" dxfId="33" priority="142" stopIfTrue="1" operator="between">
      <formula>3</formula>
      <formula>3.99</formula>
    </cfRule>
    <cfRule type="cellIs" dxfId="32" priority="143" stopIfTrue="1" operator="between">
      <formula>2</formula>
      <formula>2.99</formula>
    </cfRule>
    <cfRule type="cellIs" dxfId="31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0" priority="22" stopIfTrue="1" operator="between">
      <formula>9</formula>
      <formula>9.99</formula>
    </cfRule>
    <cfRule type="cellIs" dxfId="29" priority="23" stopIfTrue="1" operator="between">
      <formula>8</formula>
      <formula>8.99</formula>
    </cfRule>
    <cfRule type="cellIs" dxfId="28" priority="24" stopIfTrue="1" operator="between">
      <formula>7</formula>
      <formula>7.99</formula>
    </cfRule>
    <cfRule type="cellIs" dxfId="27" priority="25" stopIfTrue="1" operator="between">
      <formula>6</formula>
      <formula>6.99</formula>
    </cfRule>
    <cfRule type="cellIs" dxfId="26" priority="26" stopIfTrue="1" operator="between">
      <formula>5</formula>
      <formula>5.99</formula>
    </cfRule>
    <cfRule type="cellIs" dxfId="25" priority="27" stopIfTrue="1" operator="between">
      <formula>4</formula>
      <formula>4.99</formula>
    </cfRule>
    <cfRule type="cellIs" dxfId="24" priority="28" stopIfTrue="1" operator="between">
      <formula>3</formula>
      <formula>3.99</formula>
    </cfRule>
    <cfRule type="cellIs" dxfId="23" priority="29" stopIfTrue="1" operator="between">
      <formula>2</formula>
      <formula>2.99</formula>
    </cfRule>
    <cfRule type="cellIs" dxfId="22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2A485F05-3F51-4E0E-BFE3-5A8BB2FA0337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39E9197D-D4E3-4022-A1F5-2F28CC3DFE92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9" t="str">
        <f>CONCATENATE(Settings!$C$19," ",Settings!$B$28)</f>
        <v>8.75  Job# --- Assy# --- Post Braze --- yy.mm.dd</v>
      </c>
      <c r="D1" s="1229"/>
      <c r="E1" s="1229"/>
      <c r="F1" s="1229"/>
      <c r="G1" s="1229"/>
      <c r="H1" s="1229"/>
      <c r="I1" s="1229"/>
      <c r="J1" s="1229"/>
      <c r="K1" s="1229"/>
      <c r="M1" s="107" t="s">
        <v>319</v>
      </c>
      <c r="N1" s="1261" t="s">
        <v>321</v>
      </c>
      <c r="O1" s="1261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0" t="str">
        <f>Settings!B28</f>
        <v xml:space="preserve"> Job# --- Assy# --- Post Braze --- yy.mm.dd</v>
      </c>
      <c r="C2" s="1271"/>
      <c r="D2" s="1271"/>
      <c r="E2" s="1271"/>
      <c r="F2" s="1271"/>
      <c r="G2" s="1271"/>
      <c r="H2" s="1271"/>
      <c r="I2" s="1271"/>
      <c r="J2" s="1271"/>
      <c r="K2" s="1272"/>
      <c r="L2" s="984" t="str" cm="1">
        <f t="array" ref="L2">IF(OR($K$9:$K$150="Undefined"),"Undefined Element","")</f>
        <v/>
      </c>
      <c r="M2" s="1267" t="s">
        <v>0</v>
      </c>
      <c r="N2" s="1142" t="s">
        <v>1</v>
      </c>
      <c r="O2" s="1143"/>
      <c r="P2" s="1143"/>
      <c r="Q2" s="1143"/>
      <c r="R2" s="1143"/>
      <c r="S2" s="1143"/>
      <c r="T2" s="1143"/>
      <c r="U2" s="1143"/>
      <c r="V2" s="1143"/>
      <c r="W2" s="1143"/>
      <c r="X2" s="1143"/>
      <c r="Y2" s="1155"/>
      <c r="Z2" s="1142" t="s">
        <v>2</v>
      </c>
      <c r="AA2" s="1143"/>
      <c r="AB2" s="1143"/>
      <c r="AC2" s="1143"/>
      <c r="AD2" s="1143"/>
      <c r="AE2" s="1143"/>
      <c r="AF2" s="1143"/>
      <c r="AG2" s="1143"/>
      <c r="AH2" s="1143"/>
      <c r="AI2" s="1143"/>
      <c r="AJ2" s="1143"/>
      <c r="AK2" s="1143"/>
      <c r="AL2" s="1143"/>
      <c r="AM2" s="1143"/>
      <c r="AN2" s="1143"/>
      <c r="AO2" s="1143"/>
      <c r="AP2" s="1143"/>
      <c r="AQ2" s="1144"/>
      <c r="AS2" s="1205" t="s">
        <v>44</v>
      </c>
      <c r="AT2" s="1206"/>
      <c r="AV2" s="1283" t="str">
        <f>M2</f>
        <v>CS-Name</v>
      </c>
      <c r="AW2" s="1297"/>
      <c r="AX2" s="1297"/>
      <c r="AY2" s="1297"/>
      <c r="AZ2" s="1297"/>
      <c r="BA2" s="1297"/>
      <c r="BB2" s="1297"/>
      <c r="BC2" s="1298"/>
      <c r="BF2" s="1290" t="s">
        <v>322</v>
      </c>
      <c r="BG2" s="1291"/>
      <c r="BH2" s="1291"/>
      <c r="BI2" s="1291"/>
      <c r="BJ2" s="1291"/>
      <c r="BK2" s="1292"/>
      <c r="BM2" s="1307" t="s">
        <v>279</v>
      </c>
      <c r="BN2" s="1223"/>
      <c r="BO2" s="1223"/>
      <c r="BP2" s="1224"/>
      <c r="BR2" s="1307" t="s">
        <v>279</v>
      </c>
      <c r="BS2" s="1223"/>
      <c r="BT2" s="1223"/>
      <c r="BU2" s="122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4"/>
      <c r="C3" s="1235"/>
      <c r="D3" s="1235"/>
      <c r="E3" s="1235"/>
      <c r="F3" s="1235"/>
      <c r="G3" s="1235"/>
      <c r="H3" s="1235"/>
      <c r="I3" s="1235"/>
      <c r="J3" s="1235"/>
      <c r="K3" s="1236"/>
      <c r="L3" s="984"/>
      <c r="M3" s="1268"/>
      <c r="N3" s="1145"/>
      <c r="O3" s="1146"/>
      <c r="P3" s="1146"/>
      <c r="Q3" s="1146"/>
      <c r="R3" s="1146"/>
      <c r="S3" s="1146"/>
      <c r="T3" s="1146"/>
      <c r="U3" s="1146"/>
      <c r="V3" s="1146"/>
      <c r="W3" s="1146"/>
      <c r="X3" s="1146"/>
      <c r="Y3" s="1202"/>
      <c r="Z3" s="1048"/>
      <c r="AA3" s="1049"/>
      <c r="AB3" s="1049"/>
      <c r="AC3" s="1049"/>
      <c r="AD3" s="1049"/>
      <c r="AE3" s="1049"/>
      <c r="AF3" s="1049"/>
      <c r="AG3" s="1049"/>
      <c r="AH3" s="1049"/>
      <c r="AI3" s="1049"/>
      <c r="AJ3" s="1049"/>
      <c r="AK3" s="1049"/>
      <c r="AL3" s="1049"/>
      <c r="AM3" s="1049"/>
      <c r="AN3" s="1049"/>
      <c r="AO3" s="1049"/>
      <c r="AP3" s="1049"/>
      <c r="AQ3" s="1163"/>
      <c r="AS3" s="466">
        <v>100</v>
      </c>
      <c r="AT3" s="463" t="s">
        <v>45</v>
      </c>
      <c r="AV3" s="1284"/>
      <c r="AW3" s="1299"/>
      <c r="AX3" s="1299"/>
      <c r="AY3" s="1299"/>
      <c r="AZ3" s="1299"/>
      <c r="BA3" s="1299"/>
      <c r="BB3" s="1299"/>
      <c r="BC3" s="1300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8" t="s">
        <v>316</v>
      </c>
      <c r="C4" s="913"/>
      <c r="D4" s="913"/>
      <c r="E4" s="913"/>
      <c r="F4" s="913"/>
      <c r="G4" s="913"/>
      <c r="H4" s="913"/>
      <c r="I4" s="913"/>
      <c r="J4" s="913"/>
      <c r="K4" s="1273"/>
      <c r="L4" s="984"/>
      <c r="M4" s="1268"/>
      <c r="N4" s="1186" t="s">
        <v>3</v>
      </c>
      <c r="O4" s="1184"/>
      <c r="P4" s="1184"/>
      <c r="Q4" s="1183" t="s">
        <v>4</v>
      </c>
      <c r="R4" s="1184"/>
      <c r="S4" s="1185"/>
      <c r="T4" s="1258" t="str">
        <f>N4</f>
        <v>Cartesian Coordinates</v>
      </c>
      <c r="U4" s="1167"/>
      <c r="V4" s="1259"/>
      <c r="W4" s="1167" t="str">
        <f>Q4</f>
        <v>Polar XY; Cartesian Z</v>
      </c>
      <c r="X4" s="1167"/>
      <c r="Y4" s="1233"/>
      <c r="Z4" s="1263" t="s">
        <v>3</v>
      </c>
      <c r="AA4" s="1264"/>
      <c r="AB4" s="1264"/>
      <c r="AC4" s="1264"/>
      <c r="AD4" s="1264"/>
      <c r="AE4" s="1264"/>
      <c r="AF4" s="1264"/>
      <c r="AG4" s="1303" t="s">
        <v>31</v>
      </c>
      <c r="AH4" s="1264"/>
      <c r="AI4" s="1264"/>
      <c r="AJ4" s="1304"/>
      <c r="AK4" s="1310" t="s">
        <v>32</v>
      </c>
      <c r="AL4" s="1311"/>
      <c r="AM4" s="1311"/>
      <c r="AN4" s="1311"/>
      <c r="AO4" s="1311"/>
      <c r="AP4" s="1311"/>
      <c r="AQ4" s="1312"/>
      <c r="AS4" s="467">
        <v>125</v>
      </c>
      <c r="AT4" s="464" t="s">
        <v>46</v>
      </c>
      <c r="AV4" s="1284"/>
      <c r="AW4" s="1301"/>
      <c r="AX4" s="1301"/>
      <c r="AY4" s="1301"/>
      <c r="AZ4" s="1302"/>
      <c r="BA4" s="1301" t="str">
        <f>Z2</f>
        <v>PDC Orientation</v>
      </c>
      <c r="BB4" s="1301"/>
      <c r="BC4" s="1302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0" t="s">
        <v>381</v>
      </c>
      <c r="IF4" s="900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4" t="str">
        <f>CONCATENATE(B7," ; ",E7," ; ",H8)</f>
        <v>Absolute-Point ; Incremental-Vector Point ; Radius</v>
      </c>
      <c r="C5" s="1235"/>
      <c r="D5" s="1235"/>
      <c r="E5" s="1235"/>
      <c r="F5" s="1235"/>
      <c r="G5" s="1235"/>
      <c r="H5" s="1235"/>
      <c r="I5" s="1235"/>
      <c r="J5" s="1235"/>
      <c r="K5" s="1236"/>
      <c r="L5" s="843"/>
      <c r="M5" s="1268"/>
      <c r="N5" s="1191" t="s">
        <v>5</v>
      </c>
      <c r="O5" s="1152"/>
      <c r="P5" s="1152"/>
      <c r="Q5" s="1219" t="s">
        <v>6</v>
      </c>
      <c r="R5" s="1152"/>
      <c r="S5" s="1153"/>
      <c r="T5" s="1136" t="str">
        <f>CONCATENATE("Relative to ",M8,"'s θ &amp; Z; Z Axis")</f>
        <v>Relative to 's θ &amp; Z; Z Axis</v>
      </c>
      <c r="U5" s="1137"/>
      <c r="V5" s="1138"/>
      <c r="W5" s="1137" t="str">
        <f>CONCATENATE("Relative to ",M8,"'s θ &amp; Z; Z Axis")</f>
        <v>Relative to 's θ &amp; Z; Z Axis</v>
      </c>
      <c r="X5" s="1137"/>
      <c r="Y5" s="1260"/>
      <c r="Z5" s="1250" t="str">
        <f>N5</f>
        <v>Relative to World_CS</v>
      </c>
      <c r="AA5" s="1137"/>
      <c r="AB5" s="1137"/>
      <c r="AC5" s="1137"/>
      <c r="AD5" s="1137"/>
      <c r="AE5" s="1137"/>
      <c r="AF5" s="1137"/>
      <c r="AG5" s="1136" t="str">
        <f>N5</f>
        <v>Relative to World_CS</v>
      </c>
      <c r="AH5" s="1137"/>
      <c r="AI5" s="1137"/>
      <c r="AJ5" s="1174"/>
      <c r="AK5" s="1151" t="s">
        <v>7</v>
      </c>
      <c r="AL5" s="1152"/>
      <c r="AM5" s="1152"/>
      <c r="AN5" s="1152"/>
      <c r="AO5" s="1152"/>
      <c r="AP5" s="1152"/>
      <c r="AQ5" s="1153"/>
      <c r="AS5" s="171">
        <f>(((AS4*12)/60)/AS3)</f>
        <v>0.25</v>
      </c>
      <c r="AT5" s="464" t="s">
        <v>47</v>
      </c>
      <c r="AV5" s="1284"/>
      <c r="AW5" s="1258" t="str">
        <f>W4</f>
        <v>Polar XY; Cartesian Z</v>
      </c>
      <c r="AX5" s="1167"/>
      <c r="AY5" s="1167"/>
      <c r="AZ5" s="985" t="s">
        <v>104</v>
      </c>
      <c r="BA5" s="1167" t="str">
        <f>AK4</f>
        <v>Polar Z Projection → XZ Plane</v>
      </c>
      <c r="BB5" s="1167"/>
      <c r="BC5" s="1168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7"/>
      <c r="C6" s="1238"/>
      <c r="D6" s="1238"/>
      <c r="E6" s="1238"/>
      <c r="F6" s="1238"/>
      <c r="G6" s="1238"/>
      <c r="H6" s="1238"/>
      <c r="I6" s="1238"/>
      <c r="J6" s="1238"/>
      <c r="K6" s="1239"/>
      <c r="L6" s="984" t="str" cm="1">
        <f t="array" ref="L6">IF(OR($K$9:$K$150="Inactive"),"Inactive Element","")</f>
        <v/>
      </c>
      <c r="M6" s="1268"/>
      <c r="N6" s="1187" t="s">
        <v>8</v>
      </c>
      <c r="O6" s="1189" t="s">
        <v>9</v>
      </c>
      <c r="P6" s="1217" t="s">
        <v>10</v>
      </c>
      <c r="Q6" s="1192" t="s">
        <v>11</v>
      </c>
      <c r="R6" s="1193"/>
      <c r="S6" s="1180" t="s">
        <v>10</v>
      </c>
      <c r="T6" s="1213" t="str">
        <f>N6</f>
        <v>X</v>
      </c>
      <c r="U6" s="1215" t="str">
        <f>O6</f>
        <v>Y</v>
      </c>
      <c r="V6" s="1256" t="str">
        <f>P6</f>
        <v>Z</v>
      </c>
      <c r="W6" s="1169" t="str">
        <f>Q6</f>
        <v>Projected XY</v>
      </c>
      <c r="X6" s="1170"/>
      <c r="Y6" s="1211" t="str">
        <f>S6</f>
        <v>Z</v>
      </c>
      <c r="Z6" s="1197" t="s">
        <v>12</v>
      </c>
      <c r="AA6" s="1198"/>
      <c r="AB6" s="1198"/>
      <c r="AC6" s="1199"/>
      <c r="AD6" s="1183" t="s">
        <v>13</v>
      </c>
      <c r="AE6" s="1184"/>
      <c r="AF6" s="1184"/>
      <c r="AG6" s="1196" t="s">
        <v>7</v>
      </c>
      <c r="AH6" s="1184"/>
      <c r="AI6" s="1183" t="s">
        <v>14</v>
      </c>
      <c r="AJ6" s="1185"/>
      <c r="AK6" s="1258" t="str">
        <f>AD6</f>
        <v>Unit Vector</v>
      </c>
      <c r="AL6" s="1167"/>
      <c r="AM6" s="1168"/>
      <c r="AN6" s="34" t="s">
        <v>15</v>
      </c>
      <c r="AO6" s="35" t="s">
        <v>16</v>
      </c>
      <c r="AP6" s="737" t="s">
        <v>17</v>
      </c>
      <c r="AQ6" s="1265" t="s">
        <v>108</v>
      </c>
      <c r="AS6" s="172">
        <f>(AS5/360)</f>
        <v>6.9444444444444447E-4</v>
      </c>
      <c r="AT6" s="465" t="s">
        <v>48</v>
      </c>
      <c r="AV6" s="1284"/>
      <c r="AW6" s="1136" t="str">
        <f>W5</f>
        <v>Relative to 's θ &amp; Z; Z Axis</v>
      </c>
      <c r="AX6" s="1137"/>
      <c r="AY6" s="1137"/>
      <c r="AZ6" s="1280"/>
      <c r="BA6" s="1137" t="str">
        <f>AK5</f>
        <v>Vector Along X Axis</v>
      </c>
      <c r="BB6" s="1137"/>
      <c r="BC6" s="1174"/>
      <c r="BD6" s="468"/>
      <c r="BF6" s="461">
        <f>SUM(AZ9:AZ150)</f>
        <v>0</v>
      </c>
      <c r="BG6" s="1262" t="s">
        <v>318</v>
      </c>
      <c r="BH6" s="1262"/>
      <c r="BI6" s="1262"/>
      <c r="BJ6" s="1262"/>
      <c r="BK6" s="1262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1" t="s">
        <v>40</v>
      </c>
      <c r="C7" s="1252"/>
      <c r="D7" s="1253"/>
      <c r="E7" s="1254" t="s">
        <v>41</v>
      </c>
      <c r="F7" s="1252"/>
      <c r="G7" s="1255"/>
      <c r="H7" s="880" t="s">
        <v>314</v>
      </c>
      <c r="I7" s="878"/>
      <c r="J7" s="879"/>
      <c r="K7" s="539"/>
      <c r="L7" s="984"/>
      <c r="M7" s="1269"/>
      <c r="N7" s="1188"/>
      <c r="O7" s="1190"/>
      <c r="P7" s="1218"/>
      <c r="Q7" s="36" t="s">
        <v>18</v>
      </c>
      <c r="R7" s="2" t="s">
        <v>19</v>
      </c>
      <c r="S7" s="1181"/>
      <c r="T7" s="1214"/>
      <c r="U7" s="1216"/>
      <c r="V7" s="1257"/>
      <c r="W7" s="37" t="str">
        <f>Q7</f>
        <v>&lt; θ°</v>
      </c>
      <c r="X7" s="27" t="str">
        <f>R7</f>
        <v>r</v>
      </c>
      <c r="Y7" s="1212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6"/>
      <c r="AS7" s="1305" t="s">
        <v>54</v>
      </c>
      <c r="AT7" s="1308" t="s">
        <v>53</v>
      </c>
      <c r="AV7" s="1284"/>
      <c r="AW7" s="1279" t="str">
        <f>$W$6</f>
        <v>Projected XY</v>
      </c>
      <c r="AX7" s="1170"/>
      <c r="AY7" s="1281" t="str">
        <f>$Y$6</f>
        <v>Z</v>
      </c>
      <c r="AZ7" s="1280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2"/>
      <c r="BH7" s="1262"/>
      <c r="BI7" s="1262"/>
      <c r="BJ7" s="1262"/>
      <c r="BK7" s="1262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6" t="s">
        <v>33</v>
      </c>
      <c r="IH7" s="976" t="s">
        <v>385</v>
      </c>
      <c r="II7" s="882" t="s">
        <v>333</v>
      </c>
      <c r="IJ7" s="883"/>
      <c r="IK7" s="883"/>
      <c r="IL7" s="878"/>
      <c r="IM7" s="878"/>
      <c r="IN7" s="878"/>
      <c r="IO7" s="879"/>
      <c r="IP7" s="880" t="s">
        <v>329</v>
      </c>
      <c r="IQ7" s="878"/>
      <c r="IR7" s="878"/>
      <c r="IS7" s="878"/>
      <c r="IT7" s="878"/>
      <c r="IU7" s="880" t="s">
        <v>328</v>
      </c>
      <c r="IV7" s="878"/>
      <c r="IW7" s="878"/>
      <c r="IX7" s="878"/>
      <c r="IY7" s="879"/>
      <c r="JA7" s="784"/>
      <c r="JB7" s="1313" t="s">
        <v>364</v>
      </c>
      <c r="JC7" s="1220"/>
      <c r="JD7" s="1220"/>
      <c r="JE7" s="122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4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6"/>
      <c r="AT8" s="1309"/>
      <c r="AV8" s="1285"/>
      <c r="AW8" s="46" t="str">
        <f>$W$7</f>
        <v>&lt; θ°</v>
      </c>
      <c r="AX8" s="27" t="str">
        <f>$X$7</f>
        <v>r</v>
      </c>
      <c r="AY8" s="1282"/>
      <c r="AZ8" s="986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8"/>
      <c r="IH8" s="977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2" t="s">
        <v>365</v>
      </c>
      <c r="JC19" s="1223"/>
      <c r="JD19" s="1223"/>
      <c r="JE19" s="1223"/>
      <c r="JF19" s="1223"/>
      <c r="JG19" s="1223"/>
      <c r="JH19" s="1223"/>
      <c r="JI19" s="122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5" t="s">
        <v>369</v>
      </c>
      <c r="JC20" s="1226"/>
      <c r="JD20" s="1226"/>
      <c r="JE20" s="1226"/>
      <c r="JF20" s="979" t="s">
        <v>370</v>
      </c>
      <c r="JG20" s="980"/>
      <c r="JH20" s="980"/>
      <c r="JI20" s="981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7"/>
      <c r="JC21" s="1098"/>
      <c r="JD21" s="1098"/>
      <c r="JE21" s="1098"/>
      <c r="JF21" s="982" t="s">
        <v>358</v>
      </c>
      <c r="JG21" s="983"/>
      <c r="JH21" s="1227" t="s">
        <v>371</v>
      </c>
      <c r="JI21" s="1228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7" t="str">
        <f>$W$6</f>
        <v>Projected XY</v>
      </c>
      <c r="AX152" s="1278"/>
      <c r="AY152" s="1295" t="str">
        <f>$Y$6</f>
        <v>Z</v>
      </c>
      <c r="AZ152" s="1293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6"/>
      <c r="AZ153" s="1294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0" t="s">
        <v>42</v>
      </c>
      <c r="C157" s="1241"/>
      <c r="D157" s="1241"/>
      <c r="E157" s="1241"/>
      <c r="F157" s="1241"/>
      <c r="G157" s="1241"/>
      <c r="H157" s="1241"/>
      <c r="I157" s="1241"/>
      <c r="J157" s="1241"/>
      <c r="K157" s="1242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3"/>
      <c r="C158" s="1198"/>
      <c r="D158" s="1198"/>
      <c r="E158" s="1198"/>
      <c r="F158" s="1198"/>
      <c r="G158" s="1198"/>
      <c r="H158" s="1198"/>
      <c r="I158" s="1198"/>
      <c r="J158" s="1198"/>
      <c r="K158" s="1244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5"/>
      <c r="C159" s="1246"/>
      <c r="D159" s="1246"/>
      <c r="E159" s="1246"/>
      <c r="F159" s="1246"/>
      <c r="G159" s="1246"/>
      <c r="H159" s="1246"/>
      <c r="I159" s="1246"/>
      <c r="J159" s="1246"/>
      <c r="K159" s="1247"/>
      <c r="AQ159" s="166"/>
      <c r="BD159" s="468"/>
    </row>
    <row r="160" spans="1:259" ht="15" customHeight="1" x14ac:dyDescent="0.25">
      <c r="B160" s="1234" t="str">
        <f>CONCATENATE(B162," ; ",E162," ; ",H163)</f>
        <v>Absolute-Point ; Incremental-Vector Point ; Radius</v>
      </c>
      <c r="C160" s="1235"/>
      <c r="D160" s="1235"/>
      <c r="E160" s="1235"/>
      <c r="F160" s="1235"/>
      <c r="G160" s="1235"/>
      <c r="H160" s="1235"/>
      <c r="I160" s="1235"/>
      <c r="J160" s="1235"/>
      <c r="K160" s="1236"/>
      <c r="AQ160" s="166"/>
      <c r="BD160" s="468"/>
    </row>
    <row r="161" spans="2:56" ht="15" customHeight="1" x14ac:dyDescent="0.25">
      <c r="B161" s="1237"/>
      <c r="C161" s="1238"/>
      <c r="D161" s="1238"/>
      <c r="E161" s="1238"/>
      <c r="F161" s="1238"/>
      <c r="G161" s="1238"/>
      <c r="H161" s="1238"/>
      <c r="I161" s="1238"/>
      <c r="J161" s="1238"/>
      <c r="K161" s="1239"/>
      <c r="AQ161" s="166"/>
      <c r="BD161" s="468"/>
    </row>
    <row r="162" spans="2:56" ht="15" customHeight="1" x14ac:dyDescent="0.25">
      <c r="B162" s="1251" t="s">
        <v>40</v>
      </c>
      <c r="C162" s="1252"/>
      <c r="D162" s="1253"/>
      <c r="E162" s="1254" t="s">
        <v>41</v>
      </c>
      <c r="F162" s="1252"/>
      <c r="G162" s="1255"/>
      <c r="H162" s="880" t="s">
        <v>314</v>
      </c>
      <c r="I162" s="878"/>
      <c r="J162" s="879"/>
      <c r="K162" s="539"/>
      <c r="M162" s="1026" t="s">
        <v>313</v>
      </c>
      <c r="N162" s="1274"/>
      <c r="O162" s="1286" t="s">
        <v>292</v>
      </c>
      <c r="P162" s="1287"/>
      <c r="Q162" s="1288"/>
      <c r="R162" s="1289" t="s">
        <v>41</v>
      </c>
      <c r="S162" s="1287"/>
      <c r="T162" s="1288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5"/>
      <c r="N163" s="1276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1.1200000000000001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1.127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1.1339999999999999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1.141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1.2070000000000001</v>
      </c>
      <c r="N172" s="869" t="str">
        <f>Assy.Model!K17</f>
        <v>CPS-31783r1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1.2130000000000001</v>
      </c>
      <c r="N173" s="869" t="str">
        <f>Assy.Model!K18</f>
        <v>CPS-31783r1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</v>
      </c>
      <c r="N174" s="869">
        <f>Assy.Model!K19</f>
        <v>1313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1.2270000000000001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1.234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1.2410000000000001</v>
      </c>
      <c r="N177" s="869" t="str">
        <f>Assy.Model!K22</f>
        <v>CPS-32193r1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2.1139999999999999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2.121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2.1280000000000001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2.1349999999999998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2.1419999999999999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2.2210000000000001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2.2280000000000002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2.2349999999999999</v>
      </c>
      <c r="N185" s="869">
        <f>Assy.Model!K30</f>
        <v>1313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2.242</v>
      </c>
      <c r="N186" s="869" t="str">
        <f>Assy.Model!K31</f>
        <v>CPS-32193r1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3.1030000000000002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3.1059999999999999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3.1110000000000002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3.1179999999999999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3.125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3.1320000000000001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3.1389999999999998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3.1459999999999999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3.206</v>
      </c>
      <c r="N195" s="869" t="str">
        <f>Assy.Model!K40</f>
        <v>CPS-31783r1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3.2109999999999999</v>
      </c>
      <c r="N196" s="869" t="str">
        <f>Assy.Model!K41</f>
        <v>CPS-31783r1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3.218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3.2250000000000001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3.2320000000000002</v>
      </c>
      <c r="N199" s="869">
        <f>Assy.Model!K44</f>
        <v>1313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3.2389999999999999</v>
      </c>
      <c r="N200" s="869" t="str">
        <f>Assy.Model!K45</f>
        <v>CPS-32193r1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4.1120000000000001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4.1189999999999998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4.1260000000000003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4.133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4.1399999999999997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4.2190000000000003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4.226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4.2329999999999997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4.24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5.1020000000000003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5.1050000000000004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5.109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5.1150000000000002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5.1219999999999999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5.1289999999999996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5.1360000000000001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5.1429999999999998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5.2050000000000001</v>
      </c>
      <c r="N218" s="869" t="str">
        <f>Assy.Model!K63</f>
        <v>CPS-31783r1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5.2089999999999996</v>
      </c>
      <c r="N219" s="869" t="str">
        <f>Assy.Model!K64</f>
        <v>CPS-31783r1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5.2290000000000001</v>
      </c>
      <c r="N220" s="869">
        <f>Assy.Model!K65</f>
        <v>1313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5.2359999999999998</v>
      </c>
      <c r="N221" s="869">
        <f>Assy.Model!K66</f>
        <v>1313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5.2430000000000003</v>
      </c>
      <c r="N222" s="869" t="str">
        <f>Assy.Model!K67</f>
        <v>CPS-32193r1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6.1159999999999997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6.1230000000000002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6.13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6.1369999999999996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6.1440000000000001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6.2229999999999999</v>
      </c>
      <c r="N228" s="869">
        <f>Assy.Model!K73</f>
        <v>1313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6.23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6.2370000000000001</v>
      </c>
      <c r="N230" s="869" t="str">
        <f>Assy.Model!K75</f>
        <v>CPS-32193r1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7.11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7.117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7.1239999999999997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7.1310000000000002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7.1379999999999999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7.1449999999999996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7.2169999999999996</v>
      </c>
      <c r="N237" s="869">
        <f>Assy.Model!K82</f>
        <v>1313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7.2240000000000002</v>
      </c>
      <c r="N238" s="869">
        <f>Assy.Model!K83</f>
        <v>1313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7.2309999999999999</v>
      </c>
      <c r="N239" s="869">
        <f>Assy.Model!K84</f>
        <v>1313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7.2380000000000004</v>
      </c>
      <c r="N240" s="869" t="str">
        <f>Assy.Model!K85</f>
        <v>CPS-32193r1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2023-04-17T15:08:51Z</dcterms:modified>
</cp:coreProperties>
</file>