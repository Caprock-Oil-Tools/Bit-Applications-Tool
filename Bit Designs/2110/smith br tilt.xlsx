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36" i="1"/>
  <c r="F33"/>
  <c r="E17"/>
  <c r="H17" s="1"/>
  <c r="G17"/>
  <c r="E12"/>
  <c r="G12" s="1"/>
  <c r="E19"/>
  <c r="H19" s="1"/>
  <c r="E18"/>
  <c r="H18" s="1"/>
  <c r="E13"/>
  <c r="G13" s="1"/>
  <c r="E15"/>
  <c r="G15" s="1"/>
  <c r="E14"/>
  <c r="H14" s="1"/>
  <c r="E20"/>
  <c r="H20" s="1"/>
  <c r="G20"/>
  <c r="E21"/>
  <c r="H21" s="1"/>
  <c r="G21"/>
  <c r="E22"/>
  <c r="G22" s="1"/>
  <c r="E23"/>
  <c r="G23" s="1"/>
  <c r="E24"/>
  <c r="H24" s="1"/>
  <c r="G24"/>
  <c r="E25"/>
  <c r="G25" s="1"/>
  <c r="E26"/>
  <c r="G26" s="1"/>
  <c r="E27"/>
  <c r="H27" s="1"/>
  <c r="E28"/>
  <c r="G28" s="1"/>
  <c r="E16"/>
  <c r="G16" s="1"/>
  <c r="E5"/>
  <c r="E6"/>
  <c r="E4"/>
  <c r="F2"/>
  <c r="F4" s="1"/>
  <c r="D2"/>
  <c r="D4" s="1"/>
  <c r="D6" l="1"/>
  <c r="H28"/>
  <c r="H25"/>
  <c r="H26"/>
  <c r="H22"/>
  <c r="H23"/>
  <c r="H12"/>
  <c r="H16"/>
  <c r="H15"/>
  <c r="H13"/>
  <c r="G18"/>
  <c r="G27"/>
  <c r="G14"/>
  <c r="G19"/>
  <c r="D5"/>
  <c r="G7" s="1"/>
  <c r="F6"/>
  <c r="F5"/>
</calcChain>
</file>

<file path=xl/sharedStrings.xml><?xml version="1.0" encoding="utf-8"?>
<sst xmlns="http://schemas.openxmlformats.org/spreadsheetml/2006/main" count="20" uniqueCount="10">
  <si>
    <t>br</t>
  </si>
  <si>
    <t>sr</t>
  </si>
  <si>
    <t>top d</t>
  </si>
  <si>
    <t>c br</t>
  </si>
  <si>
    <t>l of table</t>
  </si>
  <si>
    <t>c  br</t>
  </si>
  <si>
    <t>ave br</t>
  </si>
  <si>
    <t>r</t>
  </si>
  <si>
    <t>Cone</t>
  </si>
  <si>
    <t>tilt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</si>
</sst>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Back Rake</a:t>
            </a:r>
          </a:p>
        </c:rich>
      </c:tx>
      <c:layout/>
      <c:overlay val="1"/>
    </c:title>
    <c:plotArea>
      <c:layout/>
      <c:scatterChart>
        <c:scatterStyle val="smoothMarker"/>
        <c:ser>
          <c:idx val="0"/>
          <c:order val="0"/>
          <c:tx>
            <c:v>smith</c:v>
          </c:tx>
          <c:xVal>
            <c:numRef>
              <c:f>Sheet1!$F$12:$F$19</c:f>
              <c:numCache>
                <c:formatCode>General</c:formatCode>
                <c:ptCount val="8"/>
                <c:pt idx="0">
                  <c:v>1.089</c:v>
                </c:pt>
                <c:pt idx="1">
                  <c:v>3.0390000000000001</c:v>
                </c:pt>
                <c:pt idx="2">
                  <c:v>3.6160000000000001</c:v>
                </c:pt>
                <c:pt idx="3">
                  <c:v>3.7349999999999999</c:v>
                </c:pt>
                <c:pt idx="4">
                  <c:v>3.875</c:v>
                </c:pt>
                <c:pt idx="5">
                  <c:v>4.3380000000000001</c:v>
                </c:pt>
                <c:pt idx="6">
                  <c:v>4.5170000000000003</c:v>
                </c:pt>
                <c:pt idx="7">
                  <c:v>4.7069999999999999</c:v>
                </c:pt>
              </c:numCache>
            </c:numRef>
          </c:xVal>
          <c:yVal>
            <c:numRef>
              <c:f>Sheet1!$G$12:$G$19</c:f>
              <c:numCache>
                <c:formatCode>General</c:formatCode>
                <c:ptCount val="8"/>
                <c:pt idx="0">
                  <c:v>14.678899566773325</c:v>
                </c:pt>
                <c:pt idx="1">
                  <c:v>15.393084078487915</c:v>
                </c:pt>
                <c:pt idx="2">
                  <c:v>17.800660552295941</c:v>
                </c:pt>
                <c:pt idx="3">
                  <c:v>18.669437256111529</c:v>
                </c:pt>
                <c:pt idx="4">
                  <c:v>20.639926810485022</c:v>
                </c:pt>
                <c:pt idx="5">
                  <c:v>25.612427474989797</c:v>
                </c:pt>
                <c:pt idx="6">
                  <c:v>24.489112391988108</c:v>
                </c:pt>
                <c:pt idx="7">
                  <c:v>37.700000000000003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Sheet1!$J$10</c:f>
              <c:strCache>
                <c:ptCount val="1"/>
                <c:pt idx="0">
                  <c:v>2104</c:v>
                </c:pt>
              </c:strCache>
            </c:strRef>
          </c:tx>
          <c:xVal>
            <c:numRef>
              <c:f>Sheet1!$I$12:$I$18</c:f>
              <c:numCache>
                <c:formatCode>General</c:formatCode>
                <c:ptCount val="7"/>
                <c:pt idx="0">
                  <c:v>1.0354000000000001</c:v>
                </c:pt>
                <c:pt idx="1">
                  <c:v>2.86</c:v>
                </c:pt>
                <c:pt idx="2">
                  <c:v>3.6343000000000001</c:v>
                </c:pt>
                <c:pt idx="3">
                  <c:v>3.8645</c:v>
                </c:pt>
                <c:pt idx="4">
                  <c:v>4.2526000000000002</c:v>
                </c:pt>
                <c:pt idx="5">
                  <c:v>4.5171000000000001</c:v>
                </c:pt>
                <c:pt idx="6">
                  <c:v>4.6403999999999996</c:v>
                </c:pt>
              </c:numCache>
            </c:numRef>
          </c:xVal>
          <c:yVal>
            <c:numRef>
              <c:f>Sheet1!$J$12:$J$18</c:f>
              <c:numCache>
                <c:formatCode>General</c:formatCode>
                <c:ptCount val="7"/>
                <c:pt idx="0">
                  <c:v>15</c:v>
                </c:pt>
                <c:pt idx="1">
                  <c:v>15.3</c:v>
                </c:pt>
                <c:pt idx="2">
                  <c:v>15.8</c:v>
                </c:pt>
                <c:pt idx="3">
                  <c:v>15.9</c:v>
                </c:pt>
                <c:pt idx="4">
                  <c:v>17.2</c:v>
                </c:pt>
                <c:pt idx="5">
                  <c:v>17.399999999999999</c:v>
                </c:pt>
                <c:pt idx="6">
                  <c:v>18.5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Sheet1!$M$10</c:f>
              <c:strCache>
                <c:ptCount val="1"/>
                <c:pt idx="0">
                  <c:v>2095</c:v>
                </c:pt>
              </c:strCache>
            </c:strRef>
          </c:tx>
          <c:xVal>
            <c:numRef>
              <c:f>Sheet1!$L$12:$L$19</c:f>
              <c:numCache>
                <c:formatCode>General</c:formatCode>
                <c:ptCount val="8"/>
                <c:pt idx="0">
                  <c:v>1.1331</c:v>
                </c:pt>
                <c:pt idx="1">
                  <c:v>3.1019000000000001</c:v>
                </c:pt>
                <c:pt idx="2">
                  <c:v>3.6284999999999998</c:v>
                </c:pt>
                <c:pt idx="3">
                  <c:v>3.8433999999999999</c:v>
                </c:pt>
                <c:pt idx="4">
                  <c:v>4.2457000000000003</c:v>
                </c:pt>
                <c:pt idx="5">
                  <c:v>4.5163000000000002</c:v>
                </c:pt>
                <c:pt idx="6">
                  <c:v>4.6567999999999996</c:v>
                </c:pt>
              </c:numCache>
            </c:numRef>
          </c:xVal>
          <c:yVal>
            <c:numRef>
              <c:f>Sheet1!$M$12:$M$19</c:f>
              <c:numCache>
                <c:formatCode>General</c:formatCode>
                <c:ptCount val="8"/>
                <c:pt idx="0">
                  <c:v>15</c:v>
                </c:pt>
                <c:pt idx="1">
                  <c:v>18.5</c:v>
                </c:pt>
                <c:pt idx="2">
                  <c:v>20.9</c:v>
                </c:pt>
                <c:pt idx="3">
                  <c:v>22.1</c:v>
                </c:pt>
                <c:pt idx="4">
                  <c:v>24</c:v>
                </c:pt>
                <c:pt idx="5">
                  <c:v>25.8</c:v>
                </c:pt>
                <c:pt idx="6">
                  <c:v>30.6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Sheet1!$P$10</c:f>
              <c:strCache>
                <c:ptCount val="1"/>
                <c:pt idx="0">
                  <c:v>2110</c:v>
                </c:pt>
              </c:strCache>
            </c:strRef>
          </c:tx>
          <c:xVal>
            <c:numRef>
              <c:f>Sheet1!$O$12:$O$19</c:f>
              <c:numCache>
                <c:formatCode>General</c:formatCode>
                <c:ptCount val="8"/>
                <c:pt idx="0">
                  <c:v>1.0774999999999999</c:v>
                </c:pt>
                <c:pt idx="1">
                  <c:v>3.0851999999999999</c:v>
                </c:pt>
                <c:pt idx="2">
                  <c:v>3.6739000000000002</c:v>
                </c:pt>
                <c:pt idx="3">
                  <c:v>3.8079000000000001</c:v>
                </c:pt>
                <c:pt idx="4">
                  <c:v>4.0540000000000003</c:v>
                </c:pt>
                <c:pt idx="5">
                  <c:v>4.3567</c:v>
                </c:pt>
                <c:pt idx="6">
                  <c:v>4.5067000000000004</c:v>
                </c:pt>
              </c:numCache>
            </c:numRef>
          </c:xVal>
          <c:yVal>
            <c:numRef>
              <c:f>Sheet1!$P$12:$P$19</c:f>
              <c:numCache>
                <c:formatCode>General</c:formatCode>
                <c:ptCount val="8"/>
                <c:pt idx="0">
                  <c:v>15</c:v>
                </c:pt>
                <c:pt idx="1">
                  <c:v>15.4</c:v>
                </c:pt>
                <c:pt idx="2">
                  <c:v>19.7</c:v>
                </c:pt>
                <c:pt idx="3">
                  <c:v>20.8</c:v>
                </c:pt>
                <c:pt idx="4">
                  <c:v>22.8</c:v>
                </c:pt>
                <c:pt idx="5">
                  <c:v>25.9</c:v>
                </c:pt>
                <c:pt idx="6">
                  <c:v>27.9</c:v>
                </c:pt>
              </c:numCache>
            </c:numRef>
          </c:yVal>
          <c:smooth val="1"/>
        </c:ser>
        <c:axId val="123866496"/>
        <c:axId val="134210688"/>
      </c:scatterChart>
      <c:valAx>
        <c:axId val="123866496"/>
        <c:scaling>
          <c:orientation val="minMax"/>
        </c:scaling>
        <c:axPos val="b"/>
        <c:numFmt formatCode="General" sourceLinked="1"/>
        <c:tickLblPos val="nextTo"/>
        <c:crossAx val="134210688"/>
        <c:crosses val="autoZero"/>
        <c:crossBetween val="midCat"/>
      </c:valAx>
      <c:valAx>
        <c:axId val="134210688"/>
        <c:scaling>
          <c:orientation val="minMax"/>
          <c:min val="14"/>
        </c:scaling>
        <c:axPos val="l"/>
        <c:majorGridlines/>
        <c:numFmt formatCode="General" sourceLinked="1"/>
        <c:tickLblPos val="nextTo"/>
        <c:crossAx val="1238664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Tilt</a:t>
            </a:r>
          </a:p>
        </c:rich>
      </c:tx>
      <c:layout/>
      <c:overlay val="1"/>
    </c:title>
    <c:plotArea>
      <c:layout/>
      <c:scatterChart>
        <c:scatterStyle val="smoothMarker"/>
        <c:ser>
          <c:idx val="0"/>
          <c:order val="0"/>
          <c:tx>
            <c:v>smith</c:v>
          </c:tx>
          <c:xVal>
            <c:numRef>
              <c:f>Sheet1!$F$12:$F$19</c:f>
              <c:numCache>
                <c:formatCode>General</c:formatCode>
                <c:ptCount val="8"/>
                <c:pt idx="0">
                  <c:v>1.089</c:v>
                </c:pt>
                <c:pt idx="1">
                  <c:v>3.0390000000000001</c:v>
                </c:pt>
                <c:pt idx="2">
                  <c:v>3.6160000000000001</c:v>
                </c:pt>
                <c:pt idx="3">
                  <c:v>3.7349999999999999</c:v>
                </c:pt>
                <c:pt idx="4">
                  <c:v>3.875</c:v>
                </c:pt>
                <c:pt idx="5">
                  <c:v>4.3380000000000001</c:v>
                </c:pt>
                <c:pt idx="6">
                  <c:v>4.5170000000000003</c:v>
                </c:pt>
                <c:pt idx="7">
                  <c:v>4.7069999999999999</c:v>
                </c:pt>
              </c:numCache>
            </c:numRef>
          </c:xVal>
          <c:yVal>
            <c:numRef>
              <c:f>Sheet1!$H$12:$H$19</c:f>
              <c:numCache>
                <c:formatCode>General</c:formatCode>
                <c:ptCount val="8"/>
                <c:pt idx="0">
                  <c:v>3.9492292862283307</c:v>
                </c:pt>
                <c:pt idx="1">
                  <c:v>12.447796507392567</c:v>
                </c:pt>
                <c:pt idx="2">
                  <c:v>25.814251756433634</c:v>
                </c:pt>
                <c:pt idx="3">
                  <c:v>36.895588886492803</c:v>
                </c:pt>
                <c:pt idx="4">
                  <c:v>45.651627405387885</c:v>
                </c:pt>
                <c:pt idx="5">
                  <c:v>64.573682843245706</c:v>
                </c:pt>
                <c:pt idx="6">
                  <c:v>72.013635310412667</c:v>
                </c:pt>
                <c:pt idx="7">
                  <c:v>90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Sheet1!$J$10</c:f>
              <c:strCache>
                <c:ptCount val="1"/>
                <c:pt idx="0">
                  <c:v>2104</c:v>
                </c:pt>
              </c:strCache>
            </c:strRef>
          </c:tx>
          <c:xVal>
            <c:numRef>
              <c:f>Sheet1!$I$12:$I$18</c:f>
              <c:numCache>
                <c:formatCode>General</c:formatCode>
                <c:ptCount val="7"/>
                <c:pt idx="0">
                  <c:v>1.0354000000000001</c:v>
                </c:pt>
                <c:pt idx="1">
                  <c:v>2.86</c:v>
                </c:pt>
                <c:pt idx="2">
                  <c:v>3.6343000000000001</c:v>
                </c:pt>
                <c:pt idx="3">
                  <c:v>3.8645</c:v>
                </c:pt>
                <c:pt idx="4">
                  <c:v>4.2526000000000002</c:v>
                </c:pt>
                <c:pt idx="5">
                  <c:v>4.5171000000000001</c:v>
                </c:pt>
                <c:pt idx="6">
                  <c:v>4.6403999999999996</c:v>
                </c:pt>
              </c:numCache>
            </c:numRef>
          </c:xVal>
          <c:yVal>
            <c:numRef>
              <c:f>Sheet1!$K$12:$K$18</c:f>
              <c:numCache>
                <c:formatCode>General</c:formatCode>
                <c:ptCount val="7"/>
                <c:pt idx="0">
                  <c:v>-12.5</c:v>
                </c:pt>
                <c:pt idx="1">
                  <c:v>10.7</c:v>
                </c:pt>
                <c:pt idx="2">
                  <c:v>36</c:v>
                </c:pt>
                <c:pt idx="3">
                  <c:v>43.9</c:v>
                </c:pt>
                <c:pt idx="4">
                  <c:v>57.5</c:v>
                </c:pt>
                <c:pt idx="5">
                  <c:v>65.3</c:v>
                </c:pt>
                <c:pt idx="6">
                  <c:v>88.6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Sheet1!$M$10</c:f>
              <c:strCache>
                <c:ptCount val="1"/>
                <c:pt idx="0">
                  <c:v>2095</c:v>
                </c:pt>
              </c:strCache>
            </c:strRef>
          </c:tx>
          <c:xVal>
            <c:numRef>
              <c:f>Sheet1!$L$12:$L$19</c:f>
              <c:numCache>
                <c:formatCode>General</c:formatCode>
                <c:ptCount val="8"/>
                <c:pt idx="0">
                  <c:v>1.1331</c:v>
                </c:pt>
                <c:pt idx="1">
                  <c:v>3.1019000000000001</c:v>
                </c:pt>
                <c:pt idx="2">
                  <c:v>3.6284999999999998</c:v>
                </c:pt>
                <c:pt idx="3">
                  <c:v>3.8433999999999999</c:v>
                </c:pt>
                <c:pt idx="4">
                  <c:v>4.2457000000000003</c:v>
                </c:pt>
                <c:pt idx="5">
                  <c:v>4.5163000000000002</c:v>
                </c:pt>
                <c:pt idx="6">
                  <c:v>4.6567999999999996</c:v>
                </c:pt>
              </c:numCache>
            </c:numRef>
          </c:xVal>
          <c:yVal>
            <c:numRef>
              <c:f>Sheet1!$N$12:$N$19</c:f>
              <c:numCache>
                <c:formatCode>General</c:formatCode>
                <c:ptCount val="8"/>
                <c:pt idx="0">
                  <c:v>0</c:v>
                </c:pt>
                <c:pt idx="1">
                  <c:v>18.5</c:v>
                </c:pt>
                <c:pt idx="2">
                  <c:v>34.799999999999997</c:v>
                </c:pt>
                <c:pt idx="3">
                  <c:v>41.5</c:v>
                </c:pt>
                <c:pt idx="4">
                  <c:v>55.9</c:v>
                </c:pt>
                <c:pt idx="5">
                  <c:v>68.900000000000006</c:v>
                </c:pt>
                <c:pt idx="6">
                  <c:v>85.4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Sheet1!$P$10</c:f>
              <c:strCache>
                <c:ptCount val="1"/>
                <c:pt idx="0">
                  <c:v>2110</c:v>
                </c:pt>
              </c:strCache>
            </c:strRef>
          </c:tx>
          <c:xVal>
            <c:numRef>
              <c:f>Sheet1!$O$12:$O$19</c:f>
              <c:numCache>
                <c:formatCode>General</c:formatCode>
                <c:ptCount val="8"/>
                <c:pt idx="0">
                  <c:v>1.0774999999999999</c:v>
                </c:pt>
                <c:pt idx="1">
                  <c:v>3.0851999999999999</c:v>
                </c:pt>
                <c:pt idx="2">
                  <c:v>3.6739000000000002</c:v>
                </c:pt>
                <c:pt idx="3">
                  <c:v>3.8079000000000001</c:v>
                </c:pt>
                <c:pt idx="4">
                  <c:v>4.0540000000000003</c:v>
                </c:pt>
                <c:pt idx="5">
                  <c:v>4.3567</c:v>
                </c:pt>
                <c:pt idx="6">
                  <c:v>4.5067000000000004</c:v>
                </c:pt>
              </c:numCache>
            </c:numRef>
          </c:xVal>
          <c:yVal>
            <c:numRef>
              <c:f>Sheet1!$Q$12:$Q$19</c:f>
              <c:numCache>
                <c:formatCode>General</c:formatCode>
                <c:ptCount val="8"/>
                <c:pt idx="0">
                  <c:v>-15</c:v>
                </c:pt>
                <c:pt idx="1">
                  <c:v>21.1</c:v>
                </c:pt>
                <c:pt idx="2">
                  <c:v>37.6</c:v>
                </c:pt>
                <c:pt idx="3">
                  <c:v>41.4</c:v>
                </c:pt>
                <c:pt idx="4">
                  <c:v>48.9</c:v>
                </c:pt>
                <c:pt idx="5">
                  <c:v>59.7</c:v>
                </c:pt>
                <c:pt idx="6">
                  <c:v>66.599999999999994</c:v>
                </c:pt>
              </c:numCache>
            </c:numRef>
          </c:yVal>
          <c:smooth val="1"/>
        </c:ser>
        <c:axId val="134363776"/>
        <c:axId val="134377856"/>
      </c:scatterChart>
      <c:valAx>
        <c:axId val="134363776"/>
        <c:scaling>
          <c:orientation val="minMax"/>
        </c:scaling>
        <c:axPos val="b"/>
        <c:numFmt formatCode="General" sourceLinked="1"/>
        <c:tickLblPos val="nextTo"/>
        <c:crossAx val="134377856"/>
        <c:crosses val="autoZero"/>
        <c:crossBetween val="midCat"/>
      </c:valAx>
      <c:valAx>
        <c:axId val="134377856"/>
        <c:scaling>
          <c:orientation val="minMax"/>
        </c:scaling>
        <c:axPos val="l"/>
        <c:majorGridlines/>
        <c:numFmt formatCode="General" sourceLinked="1"/>
        <c:tickLblPos val="nextTo"/>
        <c:crossAx val="1343637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19</xdr:row>
      <xdr:rowOff>161925</xdr:rowOff>
    </xdr:from>
    <xdr:to>
      <xdr:col>13</xdr:col>
      <xdr:colOff>352425</xdr:colOff>
      <xdr:row>34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581025</xdr:colOff>
      <xdr:row>19</xdr:row>
      <xdr:rowOff>171450</xdr:rowOff>
    </xdr:from>
    <xdr:to>
      <xdr:col>21</xdr:col>
      <xdr:colOff>276225</xdr:colOff>
      <xdr:row>34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B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Q36"/>
  <sheetViews>
    <sheetView tabSelected="1" topLeftCell="A4" workbookViewId="0">
      <selection activeCell="U11" sqref="U11"/>
    </sheetView>
  </sheetViews>
  <sheetFormatPr defaultRowHeight="15"/>
  <sheetData>
    <row r="1" spans="3:17">
      <c r="D1" t="s">
        <v>4</v>
      </c>
    </row>
    <row r="2" spans="3:17">
      <c r="D2">
        <f>0.625-0.04</f>
        <v>0.58499999999999996</v>
      </c>
      <c r="E2">
        <v>0.625</v>
      </c>
      <c r="F2">
        <f>E2-0.02</f>
        <v>0.60499999999999998</v>
      </c>
    </row>
    <row r="3" spans="3:17">
      <c r="C3" t="s">
        <v>2</v>
      </c>
      <c r="D3" t="s">
        <v>5</v>
      </c>
    </row>
    <row r="4" spans="3:17">
      <c r="C4">
        <v>0.158</v>
      </c>
      <c r="D4">
        <f>DEGREES(ASIN($C4/D$2))</f>
        <v>15.669352881003249</v>
      </c>
      <c r="E4">
        <f t="shared" ref="E4:F6" si="0">DEGREES(ASIN($C4/E$2))</f>
        <v>14.643263835466238</v>
      </c>
      <c r="F4">
        <f t="shared" si="0"/>
        <v>15.13872697438034</v>
      </c>
    </row>
    <row r="5" spans="3:17">
      <c r="C5">
        <v>0.154</v>
      </c>
      <c r="D5">
        <f t="shared" ref="D5:D6" si="1">DEGREES(ASIN($C5/D$2))</f>
        <v>15.262866505485936</v>
      </c>
      <c r="E5">
        <f t="shared" si="0"/>
        <v>14.264584476351803</v>
      </c>
      <c r="F5">
        <f t="shared" si="0"/>
        <v>14.746652875244685</v>
      </c>
      <c r="G5" t="s">
        <v>8</v>
      </c>
    </row>
    <row r="6" spans="3:17">
      <c r="C6">
        <v>0.14899999999999999</v>
      </c>
      <c r="D6">
        <f t="shared" si="1"/>
        <v>14.755860115667698</v>
      </c>
      <c r="E6">
        <f t="shared" si="0"/>
        <v>13.792126292800278</v>
      </c>
      <c r="F6">
        <f t="shared" si="0"/>
        <v>14.257548995080752</v>
      </c>
      <c r="G6" t="s">
        <v>6</v>
      </c>
    </row>
    <row r="7" spans="3:17">
      <c r="G7">
        <f>AVERAGE(D4:F6)</f>
        <v>14.725664772386775</v>
      </c>
    </row>
    <row r="10" spans="3:17">
      <c r="J10">
        <v>2104</v>
      </c>
      <c r="M10">
        <v>2095</v>
      </c>
      <c r="P10">
        <v>2110</v>
      </c>
    </row>
    <row r="11" spans="3:17">
      <c r="C11" t="s">
        <v>2</v>
      </c>
      <c r="D11" t="s">
        <v>1</v>
      </c>
      <c r="E11" t="s">
        <v>3</v>
      </c>
      <c r="F11" t="s">
        <v>7</v>
      </c>
      <c r="G11" t="s">
        <v>0</v>
      </c>
      <c r="H11" s="5" t="s">
        <v>9</v>
      </c>
      <c r="I11" s="3" t="s">
        <v>7</v>
      </c>
      <c r="J11" s="4" t="s">
        <v>0</v>
      </c>
      <c r="K11" s="5" t="s">
        <v>9</v>
      </c>
      <c r="L11" s="3" t="s">
        <v>7</v>
      </c>
      <c r="M11" s="4" t="s">
        <v>0</v>
      </c>
      <c r="N11" s="5" t="s">
        <v>9</v>
      </c>
      <c r="O11" s="3" t="s">
        <v>7</v>
      </c>
      <c r="P11" s="4" t="s">
        <v>0</v>
      </c>
      <c r="Q11" s="5" t="s">
        <v>9</v>
      </c>
    </row>
    <row r="12" spans="3:17">
      <c r="C12">
        <v>0.158</v>
      </c>
      <c r="D12">
        <v>1</v>
      </c>
      <c r="E12">
        <f t="shared" ref="E12:E19" si="2">DEGREES(ASIN($C12/E$2))</f>
        <v>14.643263835466238</v>
      </c>
      <c r="F12">
        <v>1.089</v>
      </c>
      <c r="G12">
        <f t="shared" ref="G12:G19" si="3">DEGREES(ASIN(SQRT(((SIN(RADIANS(D12)))^2)+((SIN(RADIANS(E12)))^2))))</f>
        <v>14.678899566773325</v>
      </c>
      <c r="H12">
        <f t="shared" ref="H12:H19" si="4">90-DEGREES(ATAN(SIN(RADIANS(E12))/SIN(RADIANS(D12))))</f>
        <v>3.9492292862283307</v>
      </c>
      <c r="I12" s="6">
        <v>1.0354000000000001</v>
      </c>
      <c r="J12" s="1">
        <v>15</v>
      </c>
      <c r="K12" s="7">
        <v>-12.5</v>
      </c>
      <c r="L12" s="6">
        <v>1.1331</v>
      </c>
      <c r="M12" s="1">
        <v>15</v>
      </c>
      <c r="N12" s="7">
        <v>0</v>
      </c>
      <c r="O12" s="6">
        <v>1.0774999999999999</v>
      </c>
      <c r="P12" s="10">
        <v>15</v>
      </c>
      <c r="Q12" s="7">
        <v>-15</v>
      </c>
    </row>
    <row r="13" spans="3:17">
      <c r="C13">
        <v>0.16200000000000001</v>
      </c>
      <c r="D13">
        <v>3.28</v>
      </c>
      <c r="E13">
        <f t="shared" si="2"/>
        <v>15.022598279516401</v>
      </c>
      <c r="F13">
        <v>3.0390000000000001</v>
      </c>
      <c r="G13">
        <f t="shared" si="3"/>
        <v>15.393084078487915</v>
      </c>
      <c r="H13">
        <f t="shared" si="4"/>
        <v>12.447796507392567</v>
      </c>
      <c r="I13" s="6">
        <v>2.86</v>
      </c>
      <c r="J13" s="1">
        <v>15.3</v>
      </c>
      <c r="K13" s="7">
        <v>10.7</v>
      </c>
      <c r="L13" s="6">
        <v>3.1019000000000001</v>
      </c>
      <c r="M13" s="1">
        <v>18.5</v>
      </c>
      <c r="N13" s="7">
        <v>18.5</v>
      </c>
      <c r="O13" s="6">
        <v>3.0851999999999999</v>
      </c>
      <c r="P13" s="10">
        <v>15.4</v>
      </c>
      <c r="Q13" s="7">
        <v>21.1</v>
      </c>
    </row>
    <row r="14" spans="3:17">
      <c r="C14">
        <v>0.17199999999999999</v>
      </c>
      <c r="D14">
        <v>7.65</v>
      </c>
      <c r="E14">
        <f t="shared" si="2"/>
        <v>15.973933207760927</v>
      </c>
      <c r="F14">
        <v>3.6160000000000001</v>
      </c>
      <c r="G14">
        <f t="shared" si="3"/>
        <v>17.800660552295941</v>
      </c>
      <c r="H14">
        <f t="shared" si="4"/>
        <v>25.814251756433634</v>
      </c>
      <c r="I14" s="6">
        <v>3.6343000000000001</v>
      </c>
      <c r="J14" s="1">
        <v>15.8</v>
      </c>
      <c r="K14" s="7">
        <v>36</v>
      </c>
      <c r="L14" s="6">
        <v>3.6284999999999998</v>
      </c>
      <c r="M14" s="1">
        <v>20.9</v>
      </c>
      <c r="N14" s="7">
        <v>34.799999999999997</v>
      </c>
      <c r="O14" s="6">
        <v>3.6739000000000002</v>
      </c>
      <c r="P14" s="10">
        <v>19.7</v>
      </c>
      <c r="Q14" s="7">
        <v>37.6</v>
      </c>
    </row>
    <row r="15" spans="3:17">
      <c r="C15">
        <v>0.16</v>
      </c>
      <c r="D15">
        <v>11.08</v>
      </c>
      <c r="E15">
        <f t="shared" si="2"/>
        <v>14.832847920810265</v>
      </c>
      <c r="F15">
        <v>3.7349999999999999</v>
      </c>
      <c r="G15">
        <f t="shared" si="3"/>
        <v>18.669437256111529</v>
      </c>
      <c r="H15">
        <f t="shared" si="4"/>
        <v>36.895588886492803</v>
      </c>
      <c r="I15" s="6">
        <v>3.8645</v>
      </c>
      <c r="J15" s="1">
        <v>15.9</v>
      </c>
      <c r="K15" s="7">
        <v>43.9</v>
      </c>
      <c r="L15" s="6">
        <v>3.8433999999999999</v>
      </c>
      <c r="M15" s="1">
        <v>22.1</v>
      </c>
      <c r="N15" s="7">
        <v>41.5</v>
      </c>
      <c r="O15" s="6">
        <v>3.8079000000000001</v>
      </c>
      <c r="P15" s="10">
        <v>20.8</v>
      </c>
      <c r="Q15" s="7">
        <v>41.4</v>
      </c>
    </row>
    <row r="16" spans="3:17">
      <c r="C16">
        <v>0.154</v>
      </c>
      <c r="D16">
        <v>14.6</v>
      </c>
      <c r="E16">
        <f t="shared" si="2"/>
        <v>14.264584476351803</v>
      </c>
      <c r="F16">
        <v>3.875</v>
      </c>
      <c r="G16">
        <f t="shared" si="3"/>
        <v>20.639926810485022</v>
      </c>
      <c r="H16">
        <f t="shared" si="4"/>
        <v>45.651627405387885</v>
      </c>
      <c r="I16" s="6">
        <v>4.2526000000000002</v>
      </c>
      <c r="J16" s="1">
        <v>17.2</v>
      </c>
      <c r="K16" s="7">
        <v>57.5</v>
      </c>
      <c r="L16" s="6">
        <v>4.2457000000000003</v>
      </c>
      <c r="M16" s="1">
        <v>24</v>
      </c>
      <c r="N16" s="7">
        <v>55.9</v>
      </c>
      <c r="O16" s="6">
        <v>4.0540000000000003</v>
      </c>
      <c r="P16" s="10">
        <v>22.8</v>
      </c>
      <c r="Q16" s="7">
        <v>48.9</v>
      </c>
    </row>
    <row r="17" spans="3:17">
      <c r="C17">
        <v>0.11600000000000001</v>
      </c>
      <c r="D17">
        <v>22.98</v>
      </c>
      <c r="E17">
        <f t="shared" si="2"/>
        <v>10.69611570700615</v>
      </c>
      <c r="F17">
        <v>4.3380000000000001</v>
      </c>
      <c r="G17">
        <f t="shared" si="3"/>
        <v>25.612427474989797</v>
      </c>
      <c r="H17">
        <f t="shared" si="4"/>
        <v>64.573682843245706</v>
      </c>
      <c r="I17" s="6">
        <v>4.5171000000000001</v>
      </c>
      <c r="J17" s="1">
        <v>17.399999999999999</v>
      </c>
      <c r="K17" s="7">
        <v>65.3</v>
      </c>
      <c r="L17" s="6">
        <v>4.5163000000000002</v>
      </c>
      <c r="M17" s="1">
        <v>25.8</v>
      </c>
      <c r="N17" s="7">
        <v>68.900000000000006</v>
      </c>
      <c r="O17" s="6">
        <v>4.3567</v>
      </c>
      <c r="P17" s="10">
        <v>25.9</v>
      </c>
      <c r="Q17" s="7">
        <v>59.7</v>
      </c>
    </row>
    <row r="18" spans="3:17">
      <c r="C18">
        <v>0.08</v>
      </c>
      <c r="D18">
        <v>23.22</v>
      </c>
      <c r="E18">
        <f t="shared" si="2"/>
        <v>7.3540352103988331</v>
      </c>
      <c r="F18">
        <v>4.5170000000000003</v>
      </c>
      <c r="G18">
        <f t="shared" si="3"/>
        <v>24.489112391988108</v>
      </c>
      <c r="H18">
        <f t="shared" si="4"/>
        <v>72.013635310412667</v>
      </c>
      <c r="I18" s="6">
        <v>4.6403999999999996</v>
      </c>
      <c r="J18" s="1">
        <v>18.5</v>
      </c>
      <c r="K18" s="7">
        <v>88.6</v>
      </c>
      <c r="L18" s="6">
        <v>4.6567999999999996</v>
      </c>
      <c r="M18" s="1">
        <v>30.6</v>
      </c>
      <c r="N18" s="7">
        <v>85.4</v>
      </c>
      <c r="O18" s="6">
        <v>4.5067000000000004</v>
      </c>
      <c r="P18" s="10">
        <v>27.9</v>
      </c>
      <c r="Q18" s="7">
        <v>66.599999999999994</v>
      </c>
    </row>
    <row r="19" spans="3:17">
      <c r="C19">
        <v>0</v>
      </c>
      <c r="D19">
        <v>37.700000000000003</v>
      </c>
      <c r="E19">
        <f t="shared" si="2"/>
        <v>0</v>
      </c>
      <c r="F19">
        <v>4.7069999999999999</v>
      </c>
      <c r="G19">
        <f t="shared" si="3"/>
        <v>37.700000000000003</v>
      </c>
      <c r="H19">
        <f t="shared" si="4"/>
        <v>90</v>
      </c>
      <c r="I19" s="8"/>
      <c r="J19" s="2"/>
      <c r="K19" s="9"/>
      <c r="L19" s="8"/>
      <c r="M19" s="2"/>
      <c r="N19" s="9"/>
      <c r="O19" s="8"/>
      <c r="P19" s="2"/>
      <c r="Q19" s="9"/>
    </row>
    <row r="20" spans="3:17">
      <c r="E20">
        <f t="shared" ref="E20:E28" si="5">DEGREES(ASIN($C20/E$2))</f>
        <v>0</v>
      </c>
      <c r="G20">
        <f t="shared" ref="G20:G28" si="6">DEGREES(ASIN(SQRT(((SIN(RADIANS(D20)))^2)+((SIN(RADIANS(E20)))^2))))</f>
        <v>0</v>
      </c>
      <c r="H20" t="e">
        <f t="shared" ref="H20:H28" si="7">90-DEGREES(ATAN(SIN(RADIANS(E20))/SIN(RADIANS(D20))))</f>
        <v>#DIV/0!</v>
      </c>
    </row>
    <row r="21" spans="3:17">
      <c r="E21">
        <f t="shared" si="5"/>
        <v>0</v>
      </c>
      <c r="G21">
        <f t="shared" si="6"/>
        <v>0</v>
      </c>
      <c r="H21" t="e">
        <f t="shared" si="7"/>
        <v>#DIV/0!</v>
      </c>
    </row>
    <row r="22" spans="3:17">
      <c r="E22">
        <f t="shared" si="5"/>
        <v>0</v>
      </c>
      <c r="G22">
        <f t="shared" si="6"/>
        <v>0</v>
      </c>
      <c r="H22" t="e">
        <f t="shared" si="7"/>
        <v>#DIV/0!</v>
      </c>
    </row>
    <row r="23" spans="3:17">
      <c r="E23">
        <f t="shared" si="5"/>
        <v>0</v>
      </c>
      <c r="G23">
        <f t="shared" si="6"/>
        <v>0</v>
      </c>
      <c r="H23" t="e">
        <f t="shared" si="7"/>
        <v>#DIV/0!</v>
      </c>
    </row>
    <row r="24" spans="3:17">
      <c r="E24">
        <f t="shared" si="5"/>
        <v>0</v>
      </c>
      <c r="G24">
        <f t="shared" si="6"/>
        <v>0</v>
      </c>
      <c r="H24" t="e">
        <f t="shared" si="7"/>
        <v>#DIV/0!</v>
      </c>
    </row>
    <row r="25" spans="3:17">
      <c r="E25">
        <f t="shared" si="5"/>
        <v>0</v>
      </c>
      <c r="G25">
        <f t="shared" si="6"/>
        <v>0</v>
      </c>
      <c r="H25" t="e">
        <f t="shared" si="7"/>
        <v>#DIV/0!</v>
      </c>
    </row>
    <row r="26" spans="3:17">
      <c r="E26">
        <f t="shared" si="5"/>
        <v>0</v>
      </c>
      <c r="G26">
        <f t="shared" si="6"/>
        <v>0</v>
      </c>
      <c r="H26" t="e">
        <f t="shared" si="7"/>
        <v>#DIV/0!</v>
      </c>
    </row>
    <row r="27" spans="3:17">
      <c r="E27">
        <f t="shared" si="5"/>
        <v>0</v>
      </c>
      <c r="G27">
        <f t="shared" si="6"/>
        <v>0</v>
      </c>
      <c r="H27" t="e">
        <f t="shared" si="7"/>
        <v>#DIV/0!</v>
      </c>
    </row>
    <row r="28" spans="3:17">
      <c r="E28">
        <f t="shared" si="5"/>
        <v>0</v>
      </c>
      <c r="G28">
        <f t="shared" si="6"/>
        <v>0</v>
      </c>
      <c r="H28" t="e">
        <f t="shared" si="7"/>
        <v>#DIV/0!</v>
      </c>
    </row>
    <row r="33" spans="3:6">
      <c r="C33">
        <v>1.67</v>
      </c>
      <c r="D33">
        <v>2.0270000000000001</v>
      </c>
      <c r="F33">
        <f>DEGREES(ACOS(C33/D33))</f>
        <v>34.525133152105703</v>
      </c>
    </row>
    <row r="36" spans="3:6">
      <c r="E36">
        <f>2-0.0447</f>
        <v>1.9553</v>
      </c>
    </row>
  </sheetData>
  <sortState ref="C12:H19">
    <sortCondition ref="F12:F19"/>
  </sortState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Lunt</dc:creator>
  <cp:lastModifiedBy>Levi Lunt</cp:lastModifiedBy>
  <cp:lastPrinted>2015-10-15T20:27:34Z</cp:lastPrinted>
  <dcterms:created xsi:type="dcterms:W3CDTF">2015-10-15T18:06:12Z</dcterms:created>
  <dcterms:modified xsi:type="dcterms:W3CDTF">2015-10-22T20:26:16Z</dcterms:modified>
</cp:coreProperties>
</file>