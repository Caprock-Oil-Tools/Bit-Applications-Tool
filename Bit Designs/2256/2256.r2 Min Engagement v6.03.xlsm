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6\"/>
    </mc:Choice>
  </mc:AlternateContent>
  <xr:revisionPtr revIDLastSave="0" documentId="8_{FC2DEF5D-23C8-47EC-91CE-F76FFACFEDC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W80" i="1"/>
  <c r="IQ80" i="1"/>
  <c r="IK80" i="1"/>
  <c r="IN80" i="1"/>
  <c r="IJ80" i="1"/>
  <c r="IR80" i="1"/>
  <c r="IP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W117" i="1"/>
  <c r="IQ117" i="1"/>
  <c r="IN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W82" i="1"/>
  <c r="IQ82" i="1"/>
  <c r="IK82" i="1"/>
  <c r="IN82" i="1"/>
  <c r="IJ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P106" i="1"/>
  <c r="IW106" i="1"/>
  <c r="IJ106" i="1"/>
  <c r="IQ106" i="1"/>
  <c r="IN106" i="1"/>
  <c r="IK106" i="1"/>
  <c r="IR102" i="1"/>
  <c r="IP102" i="1"/>
  <c r="IQ102" i="1"/>
  <c r="IN102" i="1"/>
  <c r="IW102" i="1"/>
  <c r="IJ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N64" i="1"/>
  <c r="IQ64" i="1"/>
  <c r="IK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R83" i="1"/>
  <c r="IK83" i="1"/>
  <c r="IJ83" i="1"/>
  <c r="IW83" i="1"/>
  <c r="IP83" i="1"/>
  <c r="IQ118" i="1"/>
  <c r="IW118" i="1"/>
  <c r="IR118" i="1"/>
  <c r="IP118" i="1"/>
  <c r="IJ118" i="1"/>
  <c r="IK118" i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J122" i="1"/>
  <c r="IQ122" i="1"/>
  <c r="IR122" i="1"/>
  <c r="IN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N105" i="1"/>
  <c r="IW105" i="1"/>
  <c r="IK105" i="1"/>
  <c r="IJ105" i="1"/>
  <c r="IP105" i="1"/>
  <c r="IR105" i="1"/>
  <c r="IQ105" i="1"/>
  <c r="IN101" i="1"/>
  <c r="IQ101" i="1"/>
  <c r="IP101" i="1"/>
  <c r="IK101" i="1"/>
  <c r="IW101" i="1"/>
  <c r="IR101" i="1"/>
  <c r="IJ101" i="1"/>
  <c r="IR116" i="1"/>
  <c r="IJ116" i="1"/>
  <c r="IW116" i="1"/>
  <c r="IK116" i="1"/>
  <c r="IN116" i="1"/>
  <c r="IQ116" i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P121" i="1"/>
  <c r="IR121" i="1"/>
  <c r="IJ121" i="1"/>
  <c r="IW121" i="1"/>
  <c r="IK121" i="1"/>
  <c r="IN121" i="1"/>
  <c r="IQ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R120" i="1"/>
  <c r="IW120" i="1"/>
  <c r="IP120" i="1"/>
  <c r="IN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J104" i="1"/>
  <c r="IK104" i="1"/>
  <c r="IN104" i="1"/>
  <c r="IR104" i="1"/>
  <c r="IW104" i="1"/>
  <c r="IP104" i="1"/>
  <c r="IQ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J100" i="1"/>
  <c r="IP100" i="1"/>
  <c r="IQ100" i="1"/>
  <c r="IN100" i="1"/>
  <c r="IW100" i="1"/>
  <c r="IK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W119" i="1"/>
  <c r="IR119" i="1"/>
  <c r="IN119" i="1"/>
  <c r="IP119" i="1"/>
  <c r="IJ119" i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K103" i="1"/>
  <c r="IN103" i="1"/>
  <c r="IW103" i="1"/>
  <c r="IR103" i="1"/>
  <c r="IJ103" i="1"/>
  <c r="IQ103" i="1"/>
  <c r="IP103" i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Q81" i="1"/>
  <c r="IN81" i="1"/>
  <c r="IK81" i="1"/>
  <c r="IJ81" i="1"/>
  <c r="IR81" i="1"/>
  <c r="IW81" i="1"/>
  <c r="IP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37" i="1"/>
  <c r="IF150" i="1"/>
  <c r="IF56" i="1"/>
  <c r="IF58" i="1"/>
  <c r="IF114" i="1"/>
  <c r="IF139" i="1"/>
  <c r="IF112" i="1"/>
  <c r="IF21" i="1"/>
  <c r="IF113" i="1"/>
  <c r="IF132" i="1"/>
  <c r="IF78" i="1"/>
  <c r="IF136" i="1"/>
  <c r="IF92" i="1"/>
  <c r="IF11" i="1"/>
  <c r="IF76" i="1"/>
  <c r="IF140" i="1"/>
  <c r="IF144" i="1"/>
  <c r="IF96" i="1"/>
  <c r="IF13" i="1"/>
  <c r="IF127" i="1"/>
  <c r="IF135" i="1"/>
  <c r="IF123" i="1"/>
  <c r="IF88" i="1"/>
  <c r="IF115" i="1"/>
  <c r="IF131" i="1"/>
  <c r="IF12" i="1"/>
  <c r="IF126" i="1"/>
  <c r="IF149" i="1"/>
  <c r="IF147" i="1"/>
  <c r="IF109" i="1"/>
  <c r="IF145" i="1"/>
  <c r="IF75" i="1"/>
  <c r="IF94" i="1"/>
  <c r="IF9" i="1"/>
  <c r="IF79" i="1"/>
  <c r="IF134" i="1"/>
  <c r="IF57" i="1"/>
  <c r="IF125" i="1"/>
  <c r="IF87" i="1"/>
  <c r="IF143" i="1"/>
  <c r="IF95" i="1"/>
  <c r="IF107" i="1"/>
  <c r="IF10" i="1"/>
  <c r="IF146" i="1"/>
  <c r="IF90" i="1"/>
  <c r="IF20" i="1"/>
  <c r="IF91" i="1"/>
  <c r="IF141" i="1"/>
  <c r="IF138" i="1"/>
  <c r="IF97" i="1"/>
  <c r="IF110" i="1"/>
  <c r="IF77" i="1"/>
  <c r="IF133" i="1"/>
  <c r="IF128" i="1"/>
  <c r="IF129" i="1"/>
  <c r="IF72" i="1"/>
  <c r="IF124" i="1"/>
  <c r="IF14" i="1"/>
  <c r="IF70" i="1"/>
  <c r="IF73" i="1"/>
  <c r="IF99" i="1"/>
  <c r="IF74" i="1"/>
  <c r="IF37" i="1"/>
  <c r="IF71" i="1"/>
  <c r="IF93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V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I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IV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V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V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1" i="1" l="1"/>
  <c r="IU121" i="1"/>
  <c r="IE121" i="1" s="1"/>
  <c r="AQ102" i="1"/>
  <c r="IU102" i="1"/>
  <c r="IE102" i="1" s="1"/>
  <c r="AQ101" i="1"/>
  <c r="IU101" i="1"/>
  <c r="IE101" i="1" s="1"/>
  <c r="AQ82" i="1"/>
  <c r="IU82" i="1"/>
  <c r="IE82" i="1" s="1"/>
  <c r="V65" i="1"/>
  <c r="IV65" i="1"/>
  <c r="IQ33" i="1"/>
  <c r="IV29" i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2" i="1" l="1"/>
  <c r="IU122" i="1"/>
  <c r="IE122" i="1" s="1"/>
  <c r="AQ120" i="1"/>
  <c r="IU120" i="1"/>
  <c r="IE120" i="1" s="1"/>
  <c r="AQ119" i="1"/>
  <c r="IU119" i="1"/>
  <c r="IE119" i="1" s="1"/>
  <c r="AQ118" i="1"/>
  <c r="IU118" i="1"/>
  <c r="IE118" i="1" s="1"/>
  <c r="AQ117" i="1"/>
  <c r="IU117" i="1"/>
  <c r="IE117" i="1" s="1"/>
  <c r="AQ116" i="1"/>
  <c r="IU116" i="1"/>
  <c r="IE116" i="1" s="1"/>
  <c r="AQ106" i="1"/>
  <c r="IU106" i="1"/>
  <c r="IE106" i="1" s="1"/>
  <c r="AQ105" i="1"/>
  <c r="IU105" i="1"/>
  <c r="IE105" i="1" s="1"/>
  <c r="AQ104" i="1"/>
  <c r="IU104" i="1"/>
  <c r="IE104" i="1" s="1"/>
  <c r="AQ103" i="1"/>
  <c r="IU103" i="1"/>
  <c r="IE103" i="1" s="1"/>
  <c r="AQ100" i="1"/>
  <c r="IU100" i="1"/>
  <c r="IE100" i="1" s="1"/>
  <c r="AQ86" i="1"/>
  <c r="IU86" i="1"/>
  <c r="IE86" i="1" s="1"/>
  <c r="AQ85" i="1"/>
  <c r="IU85" i="1"/>
  <c r="IE85" i="1" s="1"/>
  <c r="AQ84" i="1"/>
  <c r="IU84" i="1"/>
  <c r="IE84" i="1" s="1"/>
  <c r="AQ83" i="1"/>
  <c r="IU83" i="1"/>
  <c r="IE83" i="1" s="1"/>
  <c r="AQ81" i="1"/>
  <c r="IU81" i="1"/>
  <c r="IE81" i="1" s="1"/>
  <c r="AQ80" i="1"/>
  <c r="IU80" i="1"/>
  <c r="IE80" i="1" s="1"/>
  <c r="AQ69" i="1"/>
  <c r="IU69" i="1"/>
  <c r="IE69" i="1" s="1"/>
  <c r="AQ68" i="1"/>
  <c r="IU68" i="1"/>
  <c r="IE68" i="1" s="1"/>
  <c r="AQ67" i="1"/>
  <c r="IU67" i="1"/>
  <c r="IE67" i="1" s="1"/>
  <c r="AQ66" i="1"/>
  <c r="IU66" i="1"/>
  <c r="IE66" i="1" s="1"/>
  <c r="AQ65" i="1"/>
  <c r="IU65" i="1"/>
  <c r="IE65" i="1" s="1"/>
  <c r="AQ64" i="1"/>
  <c r="IU64" i="1"/>
  <c r="IE64" i="1" s="1"/>
  <c r="AQ63" i="1"/>
  <c r="IU63" i="1"/>
  <c r="IE63" i="1" s="1"/>
  <c r="AQ62" i="1"/>
  <c r="IU62" i="1"/>
  <c r="IE62" i="1" s="1"/>
  <c r="AQ45" i="1"/>
  <c r="IU45" i="1"/>
  <c r="IE45" i="1" s="1"/>
  <c r="AQ44" i="1"/>
  <c r="IU44" i="1"/>
  <c r="IE44" i="1" s="1"/>
  <c r="IP33" i="1"/>
  <c r="IU29" i="1"/>
  <c r="IE29" i="1" s="1"/>
  <c r="AQ28" i="1"/>
  <c r="IU28" i="1"/>
  <c r="IE28" i="1" s="1"/>
  <c r="AQ27" i="1"/>
  <c r="IU27" i="1"/>
  <c r="IE27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IL85" i="1" s="1"/>
  <c r="W78" i="1"/>
  <c r="IL86" i="1" s="1"/>
  <c r="W75" i="1"/>
  <c r="IL83" i="1" s="1"/>
  <c r="W76" i="1"/>
  <c r="IL84" i="1" s="1"/>
  <c r="W73" i="1"/>
  <c r="IL81" i="1" s="1"/>
  <c r="W74" i="1"/>
  <c r="IL82" i="1" s="1"/>
  <c r="W71" i="1"/>
  <c r="W72" i="1"/>
  <c r="IL80" i="1" s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2" i="1" l="1"/>
  <c r="IL121" i="1"/>
  <c r="IL120" i="1"/>
  <c r="IL119" i="1"/>
  <c r="IL118" i="1"/>
  <c r="IL103" i="1"/>
  <c r="IL117" i="1"/>
  <c r="IL116" i="1"/>
  <c r="IL106" i="1"/>
  <c r="IL100" i="1"/>
  <c r="IL105" i="1"/>
  <c r="IL104" i="1"/>
  <c r="IL102" i="1"/>
  <c r="IL101" i="1"/>
  <c r="IL67" i="1"/>
  <c r="IL62" i="1"/>
  <c r="IL64" i="1"/>
  <c r="IL69" i="1"/>
  <c r="IL68" i="1"/>
  <c r="IL66" i="1"/>
  <c r="IL65" i="1"/>
  <c r="IL63" i="1"/>
  <c r="IL46" i="1"/>
  <c r="IL45" i="1"/>
  <c r="IL44" i="1"/>
  <c r="IL30" i="1"/>
  <c r="IL29" i="1"/>
  <c r="IL27" i="1"/>
  <c r="IL28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T104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T117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T118" i="1" s="1"/>
  <c r="AK110" i="1"/>
  <c r="U110" i="1"/>
  <c r="T110" i="1"/>
  <c r="AK108" i="1"/>
  <c r="T108" i="1"/>
  <c r="AL108" i="1"/>
  <c r="AN108" i="1" s="1"/>
  <c r="IT116" i="1" s="1"/>
  <c r="U108" i="1"/>
  <c r="U95" i="1"/>
  <c r="AL95" i="1"/>
  <c r="AN95" i="1" s="1"/>
  <c r="IT103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Y101" i="1" s="1"/>
  <c r="AL102" i="1"/>
  <c r="AN102" i="1" s="1"/>
  <c r="IY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T100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IT122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IY103" i="1" s="1"/>
  <c r="AK103" i="1"/>
  <c r="AW102" i="7"/>
  <c r="T103" i="1"/>
  <c r="AL111" i="1"/>
  <c r="AN111" i="1" s="1"/>
  <c r="IT119" i="1" s="1"/>
  <c r="U111" i="1"/>
  <c r="AK111" i="1"/>
  <c r="T111" i="1"/>
  <c r="AW93" i="7"/>
  <c r="AL94" i="1"/>
  <c r="AN94" i="1" s="1"/>
  <c r="IT102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Y105" i="1" s="1"/>
  <c r="U93" i="1"/>
  <c r="T93" i="1"/>
  <c r="AW92" i="7"/>
  <c r="AL93" i="1"/>
  <c r="AN93" i="1" s="1"/>
  <c r="IT101" i="1" s="1"/>
  <c r="AK93" i="1"/>
  <c r="AL112" i="1"/>
  <c r="AN112" i="1" s="1"/>
  <c r="IT120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IT121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IT105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Y104" i="1" s="1"/>
  <c r="AW103" i="7"/>
  <c r="T104" i="1"/>
  <c r="AK104" i="1"/>
  <c r="U104" i="1"/>
  <c r="AK98" i="1"/>
  <c r="U98" i="1"/>
  <c r="AW97" i="7"/>
  <c r="T98" i="1"/>
  <c r="AL98" i="1"/>
  <c r="AN98" i="1" s="1"/>
  <c r="IT106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X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Y86" i="1" s="1"/>
  <c r="U86" i="1"/>
  <c r="AK86" i="1"/>
  <c r="T86" i="1"/>
  <c r="T85" i="1"/>
  <c r="AL85" i="1"/>
  <c r="AN85" i="1" s="1"/>
  <c r="IY85" i="1" s="1"/>
  <c r="IF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IY80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IT85" i="1" s="1"/>
  <c r="AK76" i="1"/>
  <c r="T76" i="1"/>
  <c r="AL76" i="1"/>
  <c r="AN76" i="1" s="1"/>
  <c r="IT84" i="1" s="1"/>
  <c r="U76" i="1"/>
  <c r="AK75" i="1"/>
  <c r="T75" i="1"/>
  <c r="AL75" i="1"/>
  <c r="AN75" i="1" s="1"/>
  <c r="IT83" i="1" s="1"/>
  <c r="AK74" i="1"/>
  <c r="T74" i="1"/>
  <c r="U74" i="1"/>
  <c r="AL74" i="1"/>
  <c r="AN74" i="1" s="1"/>
  <c r="IT82" i="1" s="1"/>
  <c r="AL73" i="1"/>
  <c r="AN73" i="1" s="1"/>
  <c r="IT81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80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T62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39" i="1" s="1"/>
  <c r="U37" i="1"/>
  <c r="T37" i="1"/>
  <c r="AK37" i="1"/>
  <c r="AK36" i="1"/>
  <c r="AL36" i="1"/>
  <c r="AN36" i="1" s="1"/>
  <c r="IT45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55" i="1" l="1"/>
  <c r="IT64" i="1"/>
  <c r="IX55" i="1"/>
  <c r="IS64" i="1"/>
  <c r="IY60" i="1"/>
  <c r="IT69" i="1"/>
  <c r="IY59" i="1"/>
  <c r="IT68" i="1"/>
  <c r="IT61" i="1"/>
  <c r="IT67" i="1"/>
  <c r="IS60" i="1"/>
  <c r="IS66" i="1"/>
  <c r="IT59" i="1"/>
  <c r="IT65" i="1"/>
  <c r="IY54" i="1"/>
  <c r="IT63" i="1"/>
  <c r="IT49" i="1"/>
  <c r="IY45" i="1"/>
  <c r="IY35" i="1"/>
  <c r="IT44" i="1"/>
  <c r="IT48" i="1"/>
  <c r="IY44" i="1"/>
  <c r="IT43" i="1"/>
  <c r="IT22" i="1"/>
  <c r="IT29" i="1"/>
  <c r="IT33" i="1"/>
  <c r="IY29" i="1"/>
  <c r="IY19" i="1"/>
  <c r="IT28" i="1"/>
  <c r="IT32" i="1"/>
  <c r="IY28" i="1"/>
  <c r="IT31" i="1"/>
  <c r="IY27" i="1"/>
  <c r="IY18" i="1"/>
  <c r="IT27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S34" i="1"/>
  <c r="IX30" i="1"/>
  <c r="IT34" i="1"/>
  <c r="IY30" i="1"/>
  <c r="IY26" i="1"/>
  <c r="IT30" i="1"/>
  <c r="IT17" i="1"/>
  <c r="IT26" i="1"/>
  <c r="IY23" i="1"/>
  <c r="IT24" i="1"/>
  <c r="IT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X105" i="1" s="1"/>
  <c r="IF105" i="1" s="1"/>
  <c r="AP105" i="1"/>
  <c r="AP126" i="1"/>
  <c r="AO126" i="1"/>
  <c r="AO120" i="1"/>
  <c r="IX120" i="1" s="1"/>
  <c r="IF120" i="1" s="1"/>
  <c r="AP120" i="1"/>
  <c r="AO102" i="1"/>
  <c r="IX102" i="1" s="1"/>
  <c r="IF102" i="1" s="1"/>
  <c r="AP102" i="1"/>
  <c r="AO101" i="1"/>
  <c r="IX101" i="1" s="1"/>
  <c r="IF101" i="1" s="1"/>
  <c r="AP101" i="1"/>
  <c r="AO128" i="1"/>
  <c r="AP128" i="1"/>
  <c r="AO122" i="1"/>
  <c r="IX122" i="1" s="1"/>
  <c r="IF122" i="1" s="1"/>
  <c r="AP122" i="1"/>
  <c r="BA77" i="7"/>
  <c r="BA81" i="7"/>
  <c r="AO98" i="1"/>
  <c r="IS106" i="1" s="1"/>
  <c r="AP98" i="1"/>
  <c r="AO106" i="1"/>
  <c r="IX106" i="1" s="1"/>
  <c r="IF106" i="1" s="1"/>
  <c r="AP106" i="1"/>
  <c r="AO119" i="1"/>
  <c r="IX119" i="1" s="1"/>
  <c r="IF119" i="1" s="1"/>
  <c r="AP119" i="1"/>
  <c r="AP94" i="1"/>
  <c r="AO94" i="1"/>
  <c r="IS102" i="1" s="1"/>
  <c r="AO114" i="1"/>
  <c r="IS122" i="1" s="1"/>
  <c r="AP114" i="1"/>
  <c r="AZ101" i="7"/>
  <c r="AP123" i="1"/>
  <c r="AO123" i="1"/>
  <c r="AO108" i="1"/>
  <c r="IS116" i="1" s="1"/>
  <c r="AP108" i="1"/>
  <c r="AO133" i="1"/>
  <c r="AP133" i="1"/>
  <c r="AP93" i="1"/>
  <c r="AO93" i="1"/>
  <c r="IS101" i="1" s="1"/>
  <c r="AO104" i="1"/>
  <c r="IX104" i="1" s="1"/>
  <c r="IF104" i="1" s="1"/>
  <c r="AP104" i="1"/>
  <c r="AZ96" i="7"/>
  <c r="AO113" i="1"/>
  <c r="IS121" i="1" s="1"/>
  <c r="AP113" i="1"/>
  <c r="AO95" i="1"/>
  <c r="IS103" i="1" s="1"/>
  <c r="AP95" i="1"/>
  <c r="AO118" i="1"/>
  <c r="IX118" i="1" s="1"/>
  <c r="IF118" i="1" s="1"/>
  <c r="AP118" i="1"/>
  <c r="AO135" i="1"/>
  <c r="AP135" i="1"/>
  <c r="BA58" i="7"/>
  <c r="AZ103" i="7"/>
  <c r="AP117" i="1"/>
  <c r="AO117" i="1"/>
  <c r="IX117" i="1" s="1"/>
  <c r="IF117" i="1" s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IS118" i="1" s="1"/>
  <c r="AP134" i="1"/>
  <c r="AO134" i="1"/>
  <c r="AO109" i="1"/>
  <c r="IS117" i="1" s="1"/>
  <c r="AP109" i="1"/>
  <c r="BA65" i="7"/>
  <c r="BA67" i="7"/>
  <c r="AP97" i="1"/>
  <c r="AO97" i="1"/>
  <c r="IS105" i="1" s="1"/>
  <c r="AO130" i="1"/>
  <c r="AP130" i="1"/>
  <c r="AP137" i="1"/>
  <c r="AO137" i="1"/>
  <c r="AO127" i="1"/>
  <c r="AP127" i="1"/>
  <c r="AP131" i="1"/>
  <c r="AO131" i="1"/>
  <c r="AO96" i="1"/>
  <c r="IS104" i="1" s="1"/>
  <c r="AP96" i="1"/>
  <c r="BA74" i="7"/>
  <c r="BA85" i="7"/>
  <c r="BA87" i="7"/>
  <c r="AO99" i="1"/>
  <c r="AP99" i="1"/>
  <c r="AP112" i="1"/>
  <c r="AO112" i="1"/>
  <c r="IS120" i="1" s="1"/>
  <c r="AP121" i="1"/>
  <c r="AO121" i="1"/>
  <c r="IX121" i="1" s="1"/>
  <c r="IF121" i="1" s="1"/>
  <c r="AP107" i="1"/>
  <c r="AO107" i="1"/>
  <c r="AP100" i="1"/>
  <c r="AO100" i="1"/>
  <c r="IX100" i="1" s="1"/>
  <c r="IF100" i="1" s="1"/>
  <c r="AO116" i="1"/>
  <c r="IX116" i="1" s="1"/>
  <c r="IF116" i="1" s="1"/>
  <c r="AP116" i="1"/>
  <c r="BA52" i="7"/>
  <c r="AO132" i="1"/>
  <c r="AP132" i="1"/>
  <c r="AP111" i="1"/>
  <c r="AO111" i="1"/>
  <c r="IS119" i="1" s="1"/>
  <c r="AP92" i="1"/>
  <c r="AO92" i="1"/>
  <c r="IS100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IX86" i="1" s="1"/>
  <c r="IF86" i="1" s="1"/>
  <c r="AP85" i="1"/>
  <c r="AP84" i="1"/>
  <c r="AO84" i="1"/>
  <c r="IX84" i="1" s="1"/>
  <c r="IF84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IX80" i="1" s="1"/>
  <c r="IF80" i="1" s="1"/>
  <c r="AO77" i="1"/>
  <c r="IS85" i="1" s="1"/>
  <c r="AP77" i="1"/>
  <c r="AP78" i="1"/>
  <c r="AO78" i="1"/>
  <c r="IS86" i="1" s="1"/>
  <c r="AO75" i="1"/>
  <c r="IS83" i="1" s="1"/>
  <c r="AP75" i="1"/>
  <c r="AO76" i="1"/>
  <c r="IS84" i="1" s="1"/>
  <c r="AP76" i="1"/>
  <c r="AP73" i="1"/>
  <c r="AO73" i="1"/>
  <c r="IS81" i="1" s="1"/>
  <c r="AP74" i="1"/>
  <c r="AO74" i="1"/>
  <c r="IS82" i="1" s="1"/>
  <c r="AP71" i="1"/>
  <c r="AO72" i="1"/>
  <c r="IS80" i="1" s="1"/>
  <c r="AP72" i="1"/>
  <c r="AO69" i="1"/>
  <c r="IX69" i="1" s="1"/>
  <c r="IF69" i="1" s="1"/>
  <c r="AP69" i="1"/>
  <c r="AP70" i="1"/>
  <c r="AO70" i="1"/>
  <c r="AO67" i="1"/>
  <c r="IX67" i="1" s="1"/>
  <c r="IF67" i="1" s="1"/>
  <c r="AP67" i="1"/>
  <c r="AO68" i="1"/>
  <c r="IX68" i="1" s="1"/>
  <c r="IF68" i="1" s="1"/>
  <c r="AP68" i="1"/>
  <c r="AO65" i="1"/>
  <c r="IX65" i="1" s="1"/>
  <c r="IF65" i="1" s="1"/>
  <c r="AP65" i="1"/>
  <c r="AP66" i="1"/>
  <c r="AO66" i="1"/>
  <c r="IX66" i="1" s="1"/>
  <c r="IF66" i="1" s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AP60" i="1"/>
  <c r="AN57" i="1"/>
  <c r="AP57" i="1"/>
  <c r="AO58" i="1"/>
  <c r="AP58" i="1"/>
  <c r="AP56" i="1"/>
  <c r="AO56" i="1"/>
  <c r="AP55" i="1"/>
  <c r="AO53" i="1"/>
  <c r="IS62" i="1" s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AP46" i="1"/>
  <c r="AO46" i="1"/>
  <c r="IX46" i="1" s="1"/>
  <c r="IF46" i="1" s="1"/>
  <c r="AP43" i="1"/>
  <c r="AO44" i="1"/>
  <c r="AP44" i="1"/>
  <c r="AO42" i="1"/>
  <c r="AP42" i="1"/>
  <c r="AP41" i="1"/>
  <c r="AO40" i="1"/>
  <c r="AP40" i="1"/>
  <c r="AO39" i="1"/>
  <c r="AP39" i="1"/>
  <c r="AP37" i="1"/>
  <c r="AO37" i="1"/>
  <c r="IS39" i="1" s="1"/>
  <c r="AO38" i="1"/>
  <c r="IS47" i="1" s="1"/>
  <c r="AP38" i="1"/>
  <c r="AP35" i="1"/>
  <c r="AO35" i="1"/>
  <c r="AP36" i="1"/>
  <c r="AO36" i="1"/>
  <c r="IS45" i="1" s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AO17" i="1"/>
  <c r="IX17" i="1" s="1"/>
  <c r="IF17" i="1" s="1"/>
  <c r="AP17" i="1"/>
  <c r="AO18" i="1"/>
  <c r="AP18" i="1"/>
  <c r="AP15" i="1"/>
  <c r="AO15" i="1"/>
  <c r="IS24" i="1" s="1"/>
  <c r="AO16" i="1"/>
  <c r="AP16" i="1"/>
  <c r="AO13" i="1"/>
  <c r="AP13" i="1"/>
  <c r="AO14" i="1"/>
  <c r="IS18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55" i="1" l="1"/>
  <c r="IX60" i="1"/>
  <c r="IF60" i="1" s="1"/>
  <c r="IS69" i="1"/>
  <c r="IX59" i="1"/>
  <c r="IF59" i="1" s="1"/>
  <c r="IS68" i="1"/>
  <c r="IS61" i="1"/>
  <c r="IS67" i="1"/>
  <c r="IT60" i="1"/>
  <c r="IT66" i="1"/>
  <c r="IS59" i="1"/>
  <c r="IS65" i="1"/>
  <c r="IX54" i="1"/>
  <c r="IF54" i="1" s="1"/>
  <c r="IS63" i="1"/>
  <c r="IS43" i="1"/>
  <c r="IS49" i="1"/>
  <c r="IX45" i="1"/>
  <c r="IF45" i="1" s="1"/>
  <c r="IS48" i="1"/>
  <c r="IX44" i="1"/>
  <c r="IF44" i="1" s="1"/>
  <c r="IX35" i="1"/>
  <c r="IF35" i="1" s="1"/>
  <c r="IS44" i="1"/>
  <c r="IS22" i="1"/>
  <c r="IS29" i="1"/>
  <c r="IS33" i="1"/>
  <c r="IX29" i="1"/>
  <c r="IF29" i="1" s="1"/>
  <c r="IX19" i="1"/>
  <c r="IF19" i="1" s="1"/>
  <c r="IS28" i="1"/>
  <c r="IS32" i="1"/>
  <c r="IX28" i="1"/>
  <c r="IF28" i="1" s="1"/>
  <c r="IX18" i="1"/>
  <c r="IF18" i="1" s="1"/>
  <c r="IS27" i="1"/>
  <c r="IS31" i="1"/>
  <c r="IX27" i="1"/>
  <c r="IF27" i="1" s="1"/>
  <c r="IS23" i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<sst xmlns="http://schemas.openxmlformats.org/spreadsheetml/2006/main" count="704" uniqueCount="379">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</sst>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14.75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7.375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O9" sqref="IO9:IO15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963">
        <f>Settings!C19</f>
        <v>14.75</v>
      </c>
      <c r="E1" s="963"/>
      <c r="F1" s="963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98" t="s">
        <v>315</v>
      </c>
      <c r="C2" s="1199"/>
      <c r="D2" s="1199"/>
      <c r="E2" s="1199"/>
      <c r="F2" s="1199"/>
      <c r="G2" s="1199"/>
      <c r="H2" s="1199"/>
      <c r="I2" s="1199"/>
      <c r="J2" s="1199"/>
      <c r="K2" s="1200"/>
      <c r="M2" s="1206" t="s">
        <v>0</v>
      </c>
      <c r="N2" s="1117" t="s">
        <v>1</v>
      </c>
      <c r="O2" s="1118"/>
      <c r="P2" s="1118"/>
      <c r="Q2" s="1118"/>
      <c r="R2" s="1118"/>
      <c r="S2" s="1118"/>
      <c r="T2" s="1118"/>
      <c r="U2" s="1118"/>
      <c r="V2" s="1118"/>
      <c r="W2" s="1118"/>
      <c r="X2" s="1118"/>
      <c r="Y2" s="1156"/>
      <c r="Z2" s="1117" t="s">
        <v>2</v>
      </c>
      <c r="AA2" s="1118"/>
      <c r="AB2" s="1118"/>
      <c r="AC2" s="1118"/>
      <c r="AD2" s="1118"/>
      <c r="AE2" s="1118"/>
      <c r="AF2" s="1118"/>
      <c r="AG2" s="1118"/>
      <c r="AH2" s="1118"/>
      <c r="AI2" s="1118"/>
      <c r="AJ2" s="1118"/>
      <c r="AK2" s="1118"/>
      <c r="AL2" s="1118"/>
      <c r="AM2" s="1118"/>
      <c r="AN2" s="1118"/>
      <c r="AO2" s="1118"/>
      <c r="AP2" s="1118"/>
      <c r="AQ2" s="1119"/>
      <c r="AS2" s="1162" t="s">
        <v>44</v>
      </c>
      <c r="AT2" s="1163"/>
      <c r="AV2" s="1154" t="s">
        <v>0</v>
      </c>
      <c r="AW2" s="1117" t="s">
        <v>109</v>
      </c>
      <c r="AX2" s="1118"/>
      <c r="AY2" s="1118"/>
      <c r="AZ2" s="1118"/>
      <c r="BA2" s="1118"/>
      <c r="BB2" s="1118"/>
      <c r="BC2" s="1118"/>
      <c r="BD2" s="1118"/>
      <c r="BE2" s="1119"/>
      <c r="BF2" s="1186" t="s">
        <v>115</v>
      </c>
      <c r="BG2" s="1118"/>
      <c r="BH2" s="1118"/>
      <c r="BI2" s="1118"/>
      <c r="BJ2" s="1118"/>
      <c r="BK2" s="1118"/>
      <c r="BL2" s="1118"/>
      <c r="BM2" s="1118"/>
      <c r="BN2" s="1118"/>
      <c r="BO2" s="1118"/>
      <c r="BP2" s="1118"/>
      <c r="BQ2" s="1118"/>
      <c r="BR2" s="1118"/>
      <c r="BS2" s="1118"/>
      <c r="BT2" s="1118"/>
      <c r="BU2" s="1118"/>
      <c r="BV2" s="1118"/>
      <c r="BW2" s="1118"/>
      <c r="BX2" s="1118"/>
      <c r="BY2" s="1118"/>
      <c r="BZ2" s="1118"/>
      <c r="CA2" s="1118"/>
      <c r="CB2" s="1118"/>
      <c r="CC2" s="1118"/>
      <c r="CD2" s="1118"/>
      <c r="CE2" s="1118"/>
      <c r="CF2" s="1118"/>
      <c r="CG2" s="1118"/>
      <c r="CH2" s="1118"/>
      <c r="CI2" s="1118"/>
      <c r="CJ2" s="1118"/>
      <c r="CK2" s="1118"/>
      <c r="CL2" s="1118"/>
      <c r="CM2" s="1118"/>
      <c r="CN2" s="1118"/>
      <c r="CO2" s="1118"/>
      <c r="CP2" s="1118"/>
      <c r="CQ2" s="1118"/>
      <c r="CR2" s="1118"/>
      <c r="CS2" s="1118"/>
      <c r="CT2" s="1118"/>
      <c r="CU2" s="1118"/>
      <c r="CV2" s="1118"/>
      <c r="CW2" s="1118"/>
      <c r="CX2" s="1118"/>
      <c r="CY2" s="1118"/>
      <c r="CZ2" s="1118"/>
      <c r="DA2" s="1118"/>
      <c r="DB2" s="1118"/>
      <c r="DC2" s="1118"/>
      <c r="DD2" s="1118"/>
      <c r="DE2" s="1118"/>
      <c r="DF2" s="1118"/>
      <c r="DG2" s="1118"/>
      <c r="DH2" s="1118"/>
      <c r="DI2" s="1118"/>
      <c r="DJ2" s="1118"/>
      <c r="DK2" s="1118"/>
      <c r="DL2" s="1118"/>
      <c r="DM2" s="1118"/>
      <c r="DN2" s="1118"/>
      <c r="DO2" s="1118"/>
      <c r="DP2" s="1118"/>
      <c r="DQ2" s="1118"/>
      <c r="DR2" s="1118"/>
      <c r="DS2" s="1118"/>
      <c r="DT2" s="1118"/>
      <c r="DU2" s="1118"/>
      <c r="DV2" s="1118"/>
      <c r="DW2" s="1118"/>
      <c r="DX2" s="1118"/>
      <c r="DY2" s="1118"/>
      <c r="DZ2" s="1118"/>
      <c r="EA2" s="1118"/>
      <c r="EB2" s="1118"/>
      <c r="EC2" s="1118"/>
      <c r="ED2" s="1118"/>
      <c r="EE2" s="1118"/>
      <c r="EF2" s="1118"/>
      <c r="EG2" s="1118"/>
      <c r="EH2" s="1118"/>
      <c r="EI2" s="1118"/>
      <c r="EJ2" s="1118"/>
      <c r="EK2" s="1118"/>
      <c r="EL2" s="1118"/>
      <c r="EM2" s="1118"/>
      <c r="EN2" s="1118"/>
      <c r="EO2" s="1118"/>
      <c r="EP2" s="1118"/>
      <c r="EQ2" s="1118"/>
      <c r="ER2" s="1156"/>
      <c r="ES2" s="1055" t="s">
        <v>197</v>
      </c>
      <c r="ET2" s="1056"/>
      <c r="EU2" s="1056"/>
      <c r="EV2" s="1056"/>
      <c r="EW2" s="1056"/>
      <c r="EX2" s="1056"/>
      <c r="EY2" s="1056"/>
      <c r="EZ2" s="1056"/>
      <c r="FA2" s="1056"/>
      <c r="FB2" s="1056"/>
      <c r="FC2" s="1056"/>
      <c r="FD2" s="1056"/>
      <c r="FE2" s="1056"/>
      <c r="FF2" s="1057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1" t="s">
        <v>266</v>
      </c>
      <c r="HQ2" s="998" t="str">
        <f>IFERROR(CONCATENATE("Sum of Lateral Forces = ",ROUND(HE3,0)," lbs @ ",ROUND(HF3,1),"° Relative to Blade 1"),"")</f>
        <v/>
      </c>
      <c r="HR2" s="999"/>
      <c r="HS2" s="999"/>
      <c r="HT2" s="999"/>
      <c r="HU2" s="999"/>
      <c r="HV2" s="100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1"/>
      <c r="C3" s="1152"/>
      <c r="D3" s="1152"/>
      <c r="E3" s="1152"/>
      <c r="F3" s="1152"/>
      <c r="G3" s="1152"/>
      <c r="H3" s="1152"/>
      <c r="I3" s="1152"/>
      <c r="J3" s="1152"/>
      <c r="K3" s="1202"/>
      <c r="M3" s="1201"/>
      <c r="N3" s="1157"/>
      <c r="O3" s="1158"/>
      <c r="P3" s="1158"/>
      <c r="Q3" s="1158"/>
      <c r="R3" s="1158"/>
      <c r="S3" s="1158"/>
      <c r="T3" s="1158"/>
      <c r="U3" s="1158"/>
      <c r="V3" s="1158"/>
      <c r="W3" s="1158"/>
      <c r="X3" s="1158"/>
      <c r="Y3" s="1159"/>
      <c r="Z3" s="1157"/>
      <c r="AA3" s="1158"/>
      <c r="AB3" s="1158"/>
      <c r="AC3" s="1158"/>
      <c r="AD3" s="1158"/>
      <c r="AE3" s="1158"/>
      <c r="AF3" s="1158"/>
      <c r="AG3" s="1158"/>
      <c r="AH3" s="1158"/>
      <c r="AI3" s="1158"/>
      <c r="AJ3" s="1158"/>
      <c r="AK3" s="1158"/>
      <c r="AL3" s="1158"/>
      <c r="AM3" s="1158"/>
      <c r="AN3" s="1158"/>
      <c r="AO3" s="1158"/>
      <c r="AP3" s="1158"/>
      <c r="AQ3" s="1181"/>
      <c r="AS3" s="488">
        <v>100</v>
      </c>
      <c r="AT3" s="485" t="s">
        <v>45</v>
      </c>
      <c r="AV3" s="1155"/>
      <c r="AW3" s="1058"/>
      <c r="AX3" s="1059"/>
      <c r="AY3" s="1059"/>
      <c r="AZ3" s="1059"/>
      <c r="BA3" s="1059"/>
      <c r="BB3" s="1059"/>
      <c r="BC3" s="1059"/>
      <c r="BD3" s="1059"/>
      <c r="BE3" s="1120"/>
      <c r="BF3" s="1187"/>
      <c r="BG3" s="1059"/>
      <c r="BH3" s="1059"/>
      <c r="BI3" s="1059"/>
      <c r="BJ3" s="1059"/>
      <c r="BK3" s="1059"/>
      <c r="BL3" s="1059"/>
      <c r="BM3" s="1059"/>
      <c r="BN3" s="1059"/>
      <c r="BO3" s="1059"/>
      <c r="BP3" s="1059"/>
      <c r="BQ3" s="1059"/>
      <c r="BR3" s="1059"/>
      <c r="BS3" s="1059"/>
      <c r="BT3" s="1059"/>
      <c r="BU3" s="1059"/>
      <c r="BV3" s="1059"/>
      <c r="BW3" s="1059"/>
      <c r="BX3" s="1059"/>
      <c r="BY3" s="1059"/>
      <c r="BZ3" s="1059"/>
      <c r="CA3" s="1059"/>
      <c r="CB3" s="1059"/>
      <c r="CC3" s="1059"/>
      <c r="CD3" s="1059"/>
      <c r="CE3" s="1059"/>
      <c r="CF3" s="1059"/>
      <c r="CG3" s="1059"/>
      <c r="CH3" s="1059"/>
      <c r="CI3" s="1059"/>
      <c r="CJ3" s="1059"/>
      <c r="CK3" s="1059"/>
      <c r="CL3" s="1059"/>
      <c r="CM3" s="1059"/>
      <c r="CN3" s="1059"/>
      <c r="CO3" s="1059"/>
      <c r="CP3" s="1059"/>
      <c r="CQ3" s="1059"/>
      <c r="CR3" s="1059"/>
      <c r="CS3" s="1059"/>
      <c r="CT3" s="1059"/>
      <c r="CU3" s="1059"/>
      <c r="CV3" s="1059"/>
      <c r="CW3" s="1059"/>
      <c r="CX3" s="1059"/>
      <c r="CY3" s="1059"/>
      <c r="CZ3" s="1059"/>
      <c r="DA3" s="1059"/>
      <c r="DB3" s="1059"/>
      <c r="DC3" s="1059"/>
      <c r="DD3" s="1059"/>
      <c r="DE3" s="1059"/>
      <c r="DF3" s="1059"/>
      <c r="DG3" s="1059"/>
      <c r="DH3" s="1059"/>
      <c r="DI3" s="1059"/>
      <c r="DJ3" s="1059"/>
      <c r="DK3" s="1059"/>
      <c r="DL3" s="1059"/>
      <c r="DM3" s="1059"/>
      <c r="DN3" s="1059"/>
      <c r="DO3" s="1059"/>
      <c r="DP3" s="1059"/>
      <c r="DQ3" s="1059"/>
      <c r="DR3" s="1059"/>
      <c r="DS3" s="1059"/>
      <c r="DT3" s="1059"/>
      <c r="DU3" s="1059"/>
      <c r="DV3" s="1059"/>
      <c r="DW3" s="1059"/>
      <c r="DX3" s="1059"/>
      <c r="DY3" s="1059"/>
      <c r="DZ3" s="1059"/>
      <c r="EA3" s="1059"/>
      <c r="EB3" s="1059"/>
      <c r="EC3" s="1059"/>
      <c r="ED3" s="1059"/>
      <c r="EE3" s="1059"/>
      <c r="EF3" s="1059"/>
      <c r="EG3" s="1059"/>
      <c r="EH3" s="1059"/>
      <c r="EI3" s="1059"/>
      <c r="EJ3" s="1059"/>
      <c r="EK3" s="1059"/>
      <c r="EL3" s="1059"/>
      <c r="EM3" s="1059"/>
      <c r="EN3" s="1059"/>
      <c r="EO3" s="1059"/>
      <c r="EP3" s="1059"/>
      <c r="EQ3" s="1059"/>
      <c r="ER3" s="1060"/>
      <c r="ES3" s="1058"/>
      <c r="ET3" s="1059"/>
      <c r="EU3" s="1059"/>
      <c r="EV3" s="1059"/>
      <c r="EW3" s="1059"/>
      <c r="EX3" s="1059"/>
      <c r="EY3" s="1059"/>
      <c r="EZ3" s="1059"/>
      <c r="FA3" s="1059"/>
      <c r="FB3" s="1059"/>
      <c r="FC3" s="1059"/>
      <c r="FD3" s="1059"/>
      <c r="FE3" s="1059"/>
      <c r="FF3" s="1060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2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M4" s="1201"/>
      <c r="N4" s="1208" t="s">
        <v>3</v>
      </c>
      <c r="O4" s="1148"/>
      <c r="P4" s="1148"/>
      <c r="Q4" s="1149" t="s">
        <v>4</v>
      </c>
      <c r="R4" s="1148"/>
      <c r="S4" s="1150"/>
      <c r="T4" s="1217" t="str">
        <f>N4</f>
        <v>Cartesian Coordinates</v>
      </c>
      <c r="U4" s="1124"/>
      <c r="V4" s="1218"/>
      <c r="W4" s="1124" t="str">
        <f>$Q$4</f>
        <v>Polar XY; Cartesian Z</v>
      </c>
      <c r="X4" s="1124"/>
      <c r="Y4" s="1191"/>
      <c r="Z4" s="1208" t="s">
        <v>3</v>
      </c>
      <c r="AA4" s="1148"/>
      <c r="AB4" s="1148"/>
      <c r="AC4" s="1148"/>
      <c r="AD4" s="1148"/>
      <c r="AE4" s="1148"/>
      <c r="AF4" s="1148"/>
      <c r="AG4" s="1147" t="s">
        <v>31</v>
      </c>
      <c r="AH4" s="1148"/>
      <c r="AI4" s="1148"/>
      <c r="AJ4" s="1150"/>
      <c r="AK4" s="1182" t="s">
        <v>32</v>
      </c>
      <c r="AL4" s="1183"/>
      <c r="AM4" s="1183"/>
      <c r="AN4" s="1183"/>
      <c r="AO4" s="1183"/>
      <c r="AP4" s="1183"/>
      <c r="AQ4" s="1184"/>
      <c r="AS4" s="489">
        <v>680</v>
      </c>
      <c r="AT4" s="486" t="s">
        <v>46</v>
      </c>
      <c r="AV4" s="1155"/>
      <c r="AW4" s="1076" t="s">
        <v>112</v>
      </c>
      <c r="AX4" s="979"/>
      <c r="AY4" s="910"/>
      <c r="AZ4" s="1115"/>
      <c r="BA4" s="1116"/>
      <c r="BB4" s="1121" t="s">
        <v>113</v>
      </c>
      <c r="BC4" s="1124" t="str">
        <f>$Q$4</f>
        <v>Polar XY; Cartesian Z</v>
      </c>
      <c r="BD4" s="1124"/>
      <c r="BE4" s="1125"/>
      <c r="BF4" s="1141" t="s">
        <v>129</v>
      </c>
      <c r="BG4" s="1142"/>
      <c r="BH4" s="1142"/>
      <c r="BI4" s="1142"/>
      <c r="BJ4" s="1142"/>
      <c r="BK4" s="1142"/>
      <c r="BL4" s="1142"/>
      <c r="BM4" s="1142"/>
      <c r="BN4" s="1142"/>
      <c r="BO4" s="1142"/>
      <c r="BP4" s="1142"/>
      <c r="BQ4" s="1142"/>
      <c r="BR4" s="1142"/>
      <c r="BS4" s="1142"/>
      <c r="BT4" s="1142"/>
      <c r="BU4" s="1142"/>
      <c r="BV4" s="1142"/>
      <c r="BW4" s="1142"/>
      <c r="BX4" s="1142"/>
      <c r="BY4" s="1142"/>
      <c r="BZ4" s="1142"/>
      <c r="CA4" s="1142"/>
      <c r="CB4" s="1142"/>
      <c r="CC4" s="1142"/>
      <c r="CD4" s="1142"/>
      <c r="CE4" s="1142"/>
      <c r="CF4" s="1142"/>
      <c r="CG4" s="1142"/>
      <c r="CH4" s="1142"/>
      <c r="CI4" s="1142"/>
      <c r="CJ4" s="1142"/>
      <c r="CK4" s="1142"/>
      <c r="CL4" s="1142"/>
      <c r="CM4" s="1142"/>
      <c r="CN4" s="1143"/>
      <c r="CO4" s="1111" t="s">
        <v>193</v>
      </c>
      <c r="CP4" s="1112"/>
      <c r="CQ4" s="1112"/>
      <c r="CR4" s="1112"/>
      <c r="CS4" s="1112"/>
      <c r="CT4" s="1112"/>
      <c r="CU4" s="1112"/>
      <c r="CV4" s="1112"/>
      <c r="CW4" s="1112"/>
      <c r="CX4" s="1112"/>
      <c r="CY4" s="1112"/>
      <c r="CZ4" s="1112"/>
      <c r="DA4" s="1113"/>
      <c r="DB4" s="1017" t="s">
        <v>162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070" t="s">
        <v>196</v>
      </c>
      <c r="ET4" s="1071"/>
      <c r="EU4" s="1071"/>
      <c r="EV4" s="1071"/>
      <c r="EW4" s="1071"/>
      <c r="EX4" s="1071"/>
      <c r="EY4" s="1072"/>
      <c r="EZ4" s="1080" t="s">
        <v>201</v>
      </c>
      <c r="FA4" s="1081"/>
      <c r="FB4" s="1081"/>
      <c r="FC4" s="1081"/>
      <c r="FD4" s="1081"/>
      <c r="FE4" s="1081"/>
      <c r="FF4" s="1082"/>
      <c r="FG4" s="350"/>
      <c r="FP4" s="991" t="s">
        <v>229</v>
      </c>
      <c r="FZ4" s="991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9"/>
      <c r="GO4" s="971" t="s">
        <v>229</v>
      </c>
      <c r="GP4" s="975" t="s">
        <v>228</v>
      </c>
      <c r="GR4" s="981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4" t="str">
        <f>IFERROR(CONCATENATE("Lateral Forces = ",ROUND(HE3,0)," lbs @ ",ROUND(HF3,1),"° Relative to Blade 1"),"")</f>
        <v/>
      </c>
      <c r="HB4" s="1005"/>
      <c r="HC4" s="1005"/>
      <c r="HD4" s="1005"/>
      <c r="HE4" s="1005"/>
      <c r="HF4" s="1005"/>
      <c r="HG4" s="1005"/>
      <c r="HH4" s="1006"/>
      <c r="HI4" s="1012" t="s">
        <v>0</v>
      </c>
      <c r="HO4" s="993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M5" s="1201"/>
      <c r="N5" s="1228" t="s">
        <v>5</v>
      </c>
      <c r="O5" s="1176"/>
      <c r="P5" s="1176"/>
      <c r="Q5" s="1175" t="s">
        <v>6</v>
      </c>
      <c r="R5" s="1176"/>
      <c r="S5" s="1177"/>
      <c r="T5" s="1146" t="str">
        <f>CONCATENATE("Relative to ",M8,"'s θ about Z Axis")</f>
        <v>Relative to 1.11's θ about Z Axis</v>
      </c>
      <c r="U5" s="1131"/>
      <c r="V5" s="1174"/>
      <c r="W5" s="1131" t="str">
        <f>CONCATENATE("Relative to ",M8,"'s θ about Z Axis")</f>
        <v>Relative to 1.11's θ about Z Axis</v>
      </c>
      <c r="X5" s="1131"/>
      <c r="Y5" s="1219"/>
      <c r="Z5" s="1209" t="str">
        <f>N5</f>
        <v>Relative to World_CS</v>
      </c>
      <c r="AA5" s="1131"/>
      <c r="AB5" s="1131"/>
      <c r="AC5" s="1131"/>
      <c r="AD5" s="1131"/>
      <c r="AE5" s="1131"/>
      <c r="AF5" s="1131"/>
      <c r="AG5" s="1146" t="str">
        <f>N5</f>
        <v>Relative to World_CS</v>
      </c>
      <c r="AH5" s="1131"/>
      <c r="AI5" s="1131"/>
      <c r="AJ5" s="1132"/>
      <c r="AK5" s="1185" t="s">
        <v>7</v>
      </c>
      <c r="AL5" s="1176"/>
      <c r="AM5" s="1176"/>
      <c r="AN5" s="1176"/>
      <c r="AO5" s="1176"/>
      <c r="AP5" s="1176"/>
      <c r="AQ5" s="1177"/>
      <c r="AS5" s="176">
        <f>(((AS4*12)/60)/AS3)</f>
        <v>1.36</v>
      </c>
      <c r="AT5" s="486" t="s">
        <v>47</v>
      </c>
      <c r="AV5" s="1155"/>
      <c r="AW5" s="1135"/>
      <c r="AX5" s="1136"/>
      <c r="AY5" s="1137"/>
      <c r="AZ5" s="988"/>
      <c r="BA5" s="895"/>
      <c r="BB5" s="1122"/>
      <c r="BC5" s="1130" t="str">
        <f>$W$5</f>
        <v>Relative to 1.11's θ about Z Axis</v>
      </c>
      <c r="BD5" s="1131"/>
      <c r="BE5" s="1132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8" t="s">
        <v>275</v>
      </c>
      <c r="CP5" s="1038" t="s">
        <v>149</v>
      </c>
      <c r="CQ5" s="979"/>
      <c r="CR5" s="979"/>
      <c r="CS5" s="920"/>
      <c r="CT5" s="979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4" t="s">
        <v>173</v>
      </c>
      <c r="DJ5" s="1044"/>
      <c r="DK5" s="1104"/>
      <c r="DL5" s="1043" t="s">
        <v>174</v>
      </c>
      <c r="DM5" s="1044"/>
      <c r="DN5" s="1045"/>
      <c r="DO5" s="1106" t="s">
        <v>175</v>
      </c>
      <c r="DP5" s="1107"/>
      <c r="DQ5" s="1107"/>
      <c r="DR5" s="1034" t="s">
        <v>187</v>
      </c>
      <c r="DS5" s="1034"/>
      <c r="DT5" s="1034"/>
      <c r="DU5" s="1034"/>
      <c r="DV5" s="1034"/>
      <c r="DW5" s="1034"/>
      <c r="DX5" s="1038" t="s">
        <v>190</v>
      </c>
      <c r="DY5" s="941" t="s">
        <v>149</v>
      </c>
      <c r="DZ5" s="1034"/>
      <c r="EA5" s="1034"/>
      <c r="EB5" s="1034"/>
      <c r="EC5" s="1034" t="s">
        <v>150</v>
      </c>
      <c r="ED5" s="1034"/>
      <c r="EE5" s="981" t="s">
        <v>194</v>
      </c>
      <c r="EF5" s="981"/>
      <c r="EG5" s="994"/>
      <c r="EH5" s="1049" t="s">
        <v>195</v>
      </c>
      <c r="EI5" s="1050"/>
      <c r="EJ5" s="1051"/>
      <c r="EK5" s="1034" t="s">
        <v>188</v>
      </c>
      <c r="EL5" s="1038"/>
      <c r="EM5" s="919" t="s">
        <v>189</v>
      </c>
      <c r="EN5" s="887"/>
      <c r="EO5" s="887"/>
      <c r="EP5" s="887"/>
      <c r="EQ5" s="887"/>
      <c r="ER5" s="1097"/>
      <c r="ES5" s="1076" t="s">
        <v>202</v>
      </c>
      <c r="ET5" s="979"/>
      <c r="EU5" s="920"/>
      <c r="EV5" s="1073" t="s">
        <v>222</v>
      </c>
      <c r="EW5" s="1074"/>
      <c r="EX5" s="1074"/>
      <c r="EY5" s="1075"/>
      <c r="EZ5" s="1065" t="s">
        <v>200</v>
      </c>
      <c r="FA5" s="914" t="s">
        <v>202</v>
      </c>
      <c r="FB5" s="1090"/>
      <c r="FC5" s="915"/>
      <c r="FD5" s="1094" t="s">
        <v>222</v>
      </c>
      <c r="FE5" s="1095"/>
      <c r="FF5" s="1096"/>
      <c r="FP5" s="993"/>
      <c r="FQ5" s="34"/>
      <c r="FR5" s="34"/>
      <c r="FS5" s="34"/>
      <c r="FT5" s="34"/>
      <c r="FZ5" s="993"/>
      <c r="GJ5" s="967" t="s">
        <v>269</v>
      </c>
      <c r="GK5" s="1022" t="s">
        <v>267</v>
      </c>
      <c r="GL5" s="1024" t="s">
        <v>110</v>
      </c>
      <c r="GM5" s="1024" t="s">
        <v>111</v>
      </c>
      <c r="GN5" s="1025"/>
      <c r="GO5" s="972"/>
      <c r="GP5" s="976"/>
      <c r="GQ5" s="34"/>
      <c r="GR5" s="982"/>
      <c r="GS5" s="988" t="s">
        <v>248</v>
      </c>
      <c r="GT5" s="989"/>
      <c r="GU5" s="984" t="s">
        <v>249</v>
      </c>
      <c r="GV5" s="985"/>
      <c r="GW5" s="986"/>
      <c r="GX5" s="987"/>
      <c r="GY5" s="970" t="s">
        <v>107</v>
      </c>
      <c r="GZ5" s="897"/>
      <c r="HA5" s="1001" t="s">
        <v>248</v>
      </c>
      <c r="HB5" s="1002"/>
      <c r="HC5" s="1002"/>
      <c r="HD5" s="1003"/>
      <c r="HE5" s="1032" t="s">
        <v>249</v>
      </c>
      <c r="HF5" s="1002"/>
      <c r="HG5" s="1002"/>
      <c r="HH5" s="1033"/>
      <c r="HI5" s="1013"/>
      <c r="HN5" s="393" t="s">
        <v>263</v>
      </c>
      <c r="HO5" s="63" t="s">
        <v>264</v>
      </c>
      <c r="HS5" s="1007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M6" s="1201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0" t="str">
        <f>N6</f>
        <v>X</v>
      </c>
      <c r="U6" s="1172" t="str">
        <f>O6</f>
        <v>Y</v>
      </c>
      <c r="V6" s="1215" t="str">
        <f>P6</f>
        <v>Z</v>
      </c>
      <c r="W6" s="1126" t="str">
        <f>$Q$6</f>
        <v>Projected XY</v>
      </c>
      <c r="X6" s="1127"/>
      <c r="Y6" s="1168" t="str">
        <f>$S$6</f>
        <v>Z</v>
      </c>
      <c r="Z6" s="1151" t="s">
        <v>12</v>
      </c>
      <c r="AA6" s="1152"/>
      <c r="AB6" s="1152"/>
      <c r="AC6" s="1153"/>
      <c r="AD6" s="1149" t="s">
        <v>13</v>
      </c>
      <c r="AE6" s="1148"/>
      <c r="AF6" s="1148"/>
      <c r="AG6" s="1147" t="s">
        <v>7</v>
      </c>
      <c r="AH6" s="1148"/>
      <c r="AI6" s="1149" t="s">
        <v>14</v>
      </c>
      <c r="AJ6" s="1150"/>
      <c r="AK6" s="1178" t="str">
        <f>AD6</f>
        <v>Unit Vector</v>
      </c>
      <c r="AL6" s="1179"/>
      <c r="AM6" s="1180"/>
      <c r="AN6" s="190" t="s">
        <v>15</v>
      </c>
      <c r="AO6" s="191" t="s">
        <v>16</v>
      </c>
      <c r="AP6" s="803" t="s">
        <v>17</v>
      </c>
      <c r="AQ6" s="1160" t="s">
        <v>108</v>
      </c>
      <c r="AS6" s="177">
        <f>(AS5/360)</f>
        <v>3.7777777777777779E-3</v>
      </c>
      <c r="AT6" s="487" t="s">
        <v>48</v>
      </c>
      <c r="AV6" s="1155"/>
      <c r="AW6" s="1144" t="s">
        <v>105</v>
      </c>
      <c r="AX6" s="1145"/>
      <c r="AY6" s="202" t="s">
        <v>110</v>
      </c>
      <c r="AZ6" s="1133" t="s">
        <v>111</v>
      </c>
      <c r="BA6" s="1134"/>
      <c r="BB6" s="1123"/>
      <c r="BC6" s="1126" t="str">
        <f>$Q$6</f>
        <v>Projected XY</v>
      </c>
      <c r="BD6" s="1127"/>
      <c r="BE6" s="1128" t="str">
        <f>$S$6</f>
        <v>Z</v>
      </c>
      <c r="BF6" s="872" t="s">
        <v>125</v>
      </c>
      <c r="BG6" s="865"/>
      <c r="BH6" s="966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6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9"/>
      <c r="CH6" s="1099"/>
      <c r="CI6" s="1101" t="s">
        <v>137</v>
      </c>
      <c r="CJ6" s="1099"/>
      <c r="CK6" s="875"/>
      <c r="CL6" s="1098" t="s">
        <v>140</v>
      </c>
      <c r="CM6" s="1099"/>
      <c r="CN6" s="1100"/>
      <c r="CO6" s="1039"/>
      <c r="CP6" s="1039"/>
      <c r="CQ6" s="1078"/>
      <c r="CR6" s="1078"/>
      <c r="CS6" s="1079"/>
      <c r="CT6" s="1078"/>
      <c r="CU6" s="1114"/>
      <c r="CV6" s="1140" t="s">
        <v>147</v>
      </c>
      <c r="CW6" s="865"/>
      <c r="CX6" s="866"/>
      <c r="CY6" s="1138" t="s">
        <v>148</v>
      </c>
      <c r="CZ6" s="997"/>
      <c r="DA6" s="1139"/>
      <c r="DB6" s="1102" t="s">
        <v>176</v>
      </c>
      <c r="DC6" s="1030"/>
      <c r="DD6" s="1031"/>
      <c r="DE6" s="1103" t="s">
        <v>177</v>
      </c>
      <c r="DF6" s="1030"/>
      <c r="DG6" s="1031"/>
      <c r="DH6" s="260" t="s">
        <v>29</v>
      </c>
      <c r="DI6" s="1047"/>
      <c r="DJ6" s="1047"/>
      <c r="DK6" s="1105"/>
      <c r="DL6" s="1046"/>
      <c r="DM6" s="1047"/>
      <c r="DN6" s="1048"/>
      <c r="DO6" s="1108"/>
      <c r="DP6" s="1109"/>
      <c r="DQ6" s="1109"/>
      <c r="DR6" s="1035"/>
      <c r="DS6" s="1035"/>
      <c r="DT6" s="1035"/>
      <c r="DU6" s="1035"/>
      <c r="DV6" s="1035"/>
      <c r="DW6" s="1035"/>
      <c r="DX6" s="1039"/>
      <c r="DY6" s="1110"/>
      <c r="DZ6" s="1035"/>
      <c r="EA6" s="1035"/>
      <c r="EB6" s="1035"/>
      <c r="EC6" s="1035"/>
      <c r="ED6" s="1035"/>
      <c r="EE6" s="1036"/>
      <c r="EF6" s="1036"/>
      <c r="EG6" s="1037"/>
      <c r="EH6" s="1052"/>
      <c r="EI6" s="1053"/>
      <c r="EJ6" s="1054"/>
      <c r="EK6" s="1035"/>
      <c r="EL6" s="1039"/>
      <c r="EM6" s="1040" t="s">
        <v>199</v>
      </c>
      <c r="EN6" s="1041"/>
      <c r="EO6" s="1042"/>
      <c r="EP6" s="1083" t="s">
        <v>198</v>
      </c>
      <c r="EQ6" s="1041"/>
      <c r="ER6" s="1085"/>
      <c r="ES6" s="1077"/>
      <c r="ET6" s="1078"/>
      <c r="EU6" s="1079"/>
      <c r="EV6" s="281" t="s">
        <v>221</v>
      </c>
      <c r="EW6" s="1083" t="s">
        <v>202</v>
      </c>
      <c r="EX6" s="1041"/>
      <c r="EY6" s="1084"/>
      <c r="EZ6" s="1066"/>
      <c r="FA6" s="1091"/>
      <c r="FB6" s="1092"/>
      <c r="FC6" s="1093"/>
      <c r="FD6" s="1040" t="s">
        <v>202</v>
      </c>
      <c r="FE6" s="1041"/>
      <c r="FF6" s="1085"/>
      <c r="FG6" s="1087" t="s">
        <v>224</v>
      </c>
      <c r="FH6" s="1088"/>
      <c r="FI6" s="1089"/>
      <c r="FJ6" s="1034" t="s">
        <v>203</v>
      </c>
      <c r="FK6" s="1038" t="s">
        <v>214</v>
      </c>
      <c r="FL6" s="979"/>
      <c r="FM6" s="920"/>
      <c r="FN6" s="1020" t="s">
        <v>204</v>
      </c>
      <c r="FO6" s="1068" t="s">
        <v>227</v>
      </c>
      <c r="FP6" s="106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8" t="s">
        <v>218</v>
      </c>
      <c r="FV6" s="979"/>
      <c r="FW6" s="920"/>
      <c r="FX6" s="1020" t="s">
        <v>219</v>
      </c>
      <c r="FY6" s="1068" t="s">
        <v>227</v>
      </c>
      <c r="FZ6" s="1061" t="s">
        <v>225</v>
      </c>
      <c r="GA6" s="1063" t="s">
        <v>239</v>
      </c>
      <c r="GB6" s="343" t="s">
        <v>207</v>
      </c>
      <c r="GC6" s="344" t="s">
        <v>240</v>
      </c>
      <c r="GD6" s="345" t="s">
        <v>226</v>
      </c>
      <c r="GE6" s="964"/>
      <c r="GF6" s="994" t="s">
        <v>260</v>
      </c>
      <c r="GG6" s="343" t="s">
        <v>207</v>
      </c>
      <c r="GH6" s="344" t="s">
        <v>240</v>
      </c>
      <c r="GI6" s="345" t="s">
        <v>226</v>
      </c>
      <c r="GJ6" s="968"/>
      <c r="GK6" s="1023"/>
      <c r="GL6" s="1026"/>
      <c r="GM6" s="1026"/>
      <c r="GN6" s="1027"/>
      <c r="GO6" s="973" t="s">
        <v>238</v>
      </c>
      <c r="GP6" s="977" t="s">
        <v>225</v>
      </c>
      <c r="GQ6" s="979" t="s">
        <v>203</v>
      </c>
      <c r="GR6" s="982"/>
      <c r="GS6" s="1010" t="s">
        <v>252</v>
      </c>
      <c r="GT6" s="1011"/>
      <c r="GU6" s="996" t="s">
        <v>251</v>
      </c>
      <c r="GV6" s="997"/>
      <c r="GW6" s="997"/>
      <c r="GX6" s="368" t="s">
        <v>106</v>
      </c>
      <c r="GY6" s="878" t="s">
        <v>250</v>
      </c>
      <c r="GZ6" s="966"/>
      <c r="HA6" s="1029" t="s">
        <v>252</v>
      </c>
      <c r="HB6" s="1030"/>
      <c r="HC6" s="1030"/>
      <c r="HD6" s="1031"/>
      <c r="HE6" s="878" t="s">
        <v>251</v>
      </c>
      <c r="HF6" s="865"/>
      <c r="HG6" s="865"/>
      <c r="HH6" s="868"/>
      <c r="HI6" s="1013"/>
      <c r="HN6" s="958" t="s">
        <v>238</v>
      </c>
      <c r="HO6" s="961" t="s">
        <v>265</v>
      </c>
      <c r="HP6" s="941" t="s">
        <v>203</v>
      </c>
      <c r="HQ6" s="398"/>
      <c r="HS6" s="1008"/>
      <c r="HT6" s="888" t="s">
        <v>270</v>
      </c>
      <c r="HU6" s="885"/>
      <c r="HV6" s="969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0" t="s">
        <v>40</v>
      </c>
      <c r="C7" s="1211"/>
      <c r="D7" s="1212"/>
      <c r="E7" s="1213" t="s">
        <v>41</v>
      </c>
      <c r="F7" s="1211"/>
      <c r="G7" s="1214"/>
      <c r="H7" s="1188" t="s">
        <v>98</v>
      </c>
      <c r="I7" s="1189"/>
      <c r="J7" s="1190"/>
      <c r="K7" s="178"/>
      <c r="L7" s="327"/>
      <c r="M7" s="1207"/>
      <c r="N7" s="1225"/>
      <c r="O7" s="1227"/>
      <c r="P7" s="1223"/>
      <c r="Q7" s="39" t="s">
        <v>18</v>
      </c>
      <c r="R7" s="2" t="s">
        <v>19</v>
      </c>
      <c r="S7" s="1221"/>
      <c r="T7" s="1171"/>
      <c r="U7" s="1173"/>
      <c r="V7" s="1216"/>
      <c r="W7" s="40" t="str">
        <f>$Q$7</f>
        <v>&lt; θ°</v>
      </c>
      <c r="X7" s="30" t="str">
        <f>$R$7</f>
        <v>r</v>
      </c>
      <c r="Y7" s="116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1"/>
      <c r="AS7" s="1166" t="s">
        <v>54</v>
      </c>
      <c r="AT7" s="1164" t="s">
        <v>53</v>
      </c>
      <c r="AV7" s="1155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3"/>
      <c r="BC7" s="40" t="str">
        <f>$Q$7</f>
        <v>&lt; θ°</v>
      </c>
      <c r="BD7" s="30" t="str">
        <f>$R$7</f>
        <v>r</v>
      </c>
      <c r="BE7" s="1129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6"/>
      <c r="FK7" s="357" t="s">
        <v>211</v>
      </c>
      <c r="FL7" s="358" t="s">
        <v>212</v>
      </c>
      <c r="FM7" s="359" t="s">
        <v>213</v>
      </c>
      <c r="FN7" s="1021"/>
      <c r="FO7" s="1069"/>
      <c r="FP7" s="106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1"/>
      <c r="FY7" s="1069"/>
      <c r="FZ7" s="1062"/>
      <c r="GA7" s="1064"/>
      <c r="GB7" s="230" t="s">
        <v>232</v>
      </c>
      <c r="GC7" s="136" t="s">
        <v>233</v>
      </c>
      <c r="GD7" s="231" t="s">
        <v>234</v>
      </c>
      <c r="GE7" s="965"/>
      <c r="GF7" s="995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4"/>
      <c r="GP7" s="978"/>
      <c r="GQ7" s="980"/>
      <c r="GR7" s="983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4"/>
      <c r="HJ7" s="34"/>
      <c r="HK7" s="991" t="s">
        <v>246</v>
      </c>
      <c r="HL7" s="991" t="s">
        <v>237</v>
      </c>
      <c r="HM7" s="909" t="s">
        <v>245</v>
      </c>
      <c r="HN7" s="959"/>
      <c r="HO7" s="990"/>
      <c r="HP7" s="1015"/>
      <c r="HQ7" s="399"/>
      <c r="HR7" s="419"/>
      <c r="HS7" s="1008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-0.25270076214549853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7"/>
      <c r="AT8" s="116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8"/>
      <c r="HL8" s="1028"/>
      <c r="HM8" s="921"/>
      <c r="HN8" s="960"/>
      <c r="HO8" s="962"/>
      <c r="HP8" s="1016"/>
      <c r="HQ8" s="400" t="s">
        <v>49</v>
      </c>
      <c r="HR8" s="420" t="s">
        <v>51</v>
      </c>
      <c r="HS8" s="1009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0.33740101760146912</v>
      </c>
      <c r="D9" s="767">
        <v>-0.83900253043163175</v>
      </c>
      <c r="E9" s="768">
        <v>-0.90630781366099955</v>
      </c>
      <c r="F9" s="766">
        <v>-0.10938162473876802</v>
      </c>
      <c r="G9" s="769">
        <v>0.40821784266066358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0.33740101760146912</v>
      </c>
      <c r="P9" s="25">
        <f t="shared" ref="P9:P40" si="5">IF(M9="","",D9)</f>
        <v>-0.83900253043163175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0.33740101760146912</v>
      </c>
      <c r="S9" s="23">
        <f>IF(M9="","",P9)</f>
        <v>-0.83900253043163175</v>
      </c>
      <c r="T9" s="26">
        <f>IF(M9="","",X9*COS(RADIANS(W9)))</f>
        <v>0.33740101760146912</v>
      </c>
      <c r="U9" s="20">
        <f>IF(M9="","",X9*SIN(RADIANS(W9)))</f>
        <v>0</v>
      </c>
      <c r="V9" s="28">
        <f>IF(M9="","",Y9)</f>
        <v>-0.83900253043163175</v>
      </c>
      <c r="W9" s="620">
        <f t="shared" ref="W9:W14" si="6">IF(M9="","",IF(Q9-$Q$8&lt;0,360+Q9-$Q$8,Q9-$Q$8))</f>
        <v>0</v>
      </c>
      <c r="X9" s="5">
        <f>IF(M9="","",R9)</f>
        <v>0.33740101760146912</v>
      </c>
      <c r="Y9" s="7">
        <f>IF(M9="","",S9)</f>
        <v>-0.83900253043163175</v>
      </c>
      <c r="Z9" s="24">
        <f t="shared" ref="Z9:Z40" si="7">IF(M9="","",-E9)</f>
        <v>0.90630781366099955</v>
      </c>
      <c r="AA9" s="20">
        <f t="shared" ref="AA9:AA40" si="8">IF(M9="","",-F9)</f>
        <v>0.10938162473876802</v>
      </c>
      <c r="AB9" s="20">
        <f t="shared" ref="AB9:AB40" si="9">IF(M9="","",-G9)</f>
        <v>-0.40821784266066358</v>
      </c>
      <c r="AC9" s="28">
        <f>IF(M9="","",SQRT(Z9^2+AA9^2+AB9^2))</f>
        <v>1</v>
      </c>
      <c r="AD9" s="27">
        <f>IF(M9="","",Z9*(1/SQRT(Z9^2+AA9^2+AB9^2)))</f>
        <v>0.90630781366099955</v>
      </c>
      <c r="AE9" s="20">
        <f>IF(M9="","",AA9*(1/SQRT(Z9^2+AA9^2+AB9^2)))</f>
        <v>0.10938162473876802</v>
      </c>
      <c r="AF9" s="25">
        <f>IF(M9="","",AB9*(1/SQRT(Z9^2+AA9^2+AB9^2)))</f>
        <v>-0.40821784266066358</v>
      </c>
      <c r="AG9" s="618">
        <f>IF(M9="","",DEGREES(ATAN2(-AF9,AE9)))</f>
        <v>14.999997834268262</v>
      </c>
      <c r="AH9" s="619">
        <f>IF(M9="","",DEGREES(ACOS(AD9)))</f>
        <v>24.999996390447112</v>
      </c>
      <c r="AI9" s="620">
        <f>IF(M9="","",DEGREES(-ACOS(-AF9)))</f>
        <v>-65.907068471181375</v>
      </c>
      <c r="AJ9" s="621">
        <f>IF(M9="","",DEGREES(ATAN2(-AE9,AD9)))</f>
        <v>96.881701648961752</v>
      </c>
      <c r="AK9" s="26">
        <f>IF(M9="","",(COS(RADIANS((90-$Q$8)-W9))*AD9)+(-SIN(RADIANS((90-$Q$8)-W9))*AE9))</f>
        <v>0.90630781366099955</v>
      </c>
      <c r="AL9" s="20">
        <f>IF(M9="","",(SIN(RADIANS((90-$Q$8)-W9))*AD9)+(COS(RADIANS((90-$Q$8)-W9))*AE9))</f>
        <v>0.10938162473876802</v>
      </c>
      <c r="AM9" s="23">
        <f>IF(M9="","",AF9)</f>
        <v>-0.40821784266066358</v>
      </c>
      <c r="AN9" s="612">
        <f>IF(M9="","",DEGREES(ATAN2(-AM9,AL9)))</f>
        <v>14.999997834268262</v>
      </c>
      <c r="AO9" s="613">
        <f>IF(ROUND(IF(M9="",0,DEGREES(ACOS(AK9))),4)=90,0,IF(M9="","",DEGREES(ACOS(AK9))))</f>
        <v>24.999996390447112</v>
      </c>
      <c r="AP9" s="640">
        <f>IF(M9="","",DEGREES(ATAN2(AK9,AL9)))</f>
        <v>6.8817016489617506</v>
      </c>
      <c r="AQ9" s="641">
        <f t="shared" ref="AQ9:AQ40" si="10">IF(M9="","",DEGREES(ATAN(($AS$5*SIN(RADIANS(90)))/(($X9*2*PI())-($AS$5*COS(RADIANS(90)))))))</f>
        <v>32.681130615317578</v>
      </c>
      <c r="AS9" s="55">
        <f>IF(M9="","",W9)</f>
        <v>0</v>
      </c>
      <c r="AT9" s="76">
        <f t="shared" ref="AT9:AT40" si="11">IF(M9="","",Y9+(((AS9-$AS$9)*$AS$6)*-1))</f>
        <v>-0.83900253043163175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-1.0201744851339982E-15</v>
      </c>
      <c r="C10" s="771">
        <v>1.0820032633218422</v>
      </c>
      <c r="D10" s="772">
        <v>-0.65020196100911409</v>
      </c>
      <c r="E10" s="773">
        <v>-0.93969263802333458</v>
      </c>
      <c r="F10" s="771">
        <v>-8.8521302156295584E-2</v>
      </c>
      <c r="G10" s="774">
        <v>0.33036604714967344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-1.0201744851339982E-15</v>
      </c>
      <c r="O10" s="5">
        <f t="shared" si="4"/>
        <v>1.0820032633218422</v>
      </c>
      <c r="P10" s="10">
        <f t="shared" si="5"/>
        <v>-0.65020196100911409</v>
      </c>
      <c r="Q10" s="624">
        <f>IF(M10="","",IF(DEGREES(ATAN2(N10,O10))&lt;0,DEGREES(ATAN2(N10,O10))+360,IF(DEGREES(ATAN2(N10,O10))&gt;360,DEGREES(ATAN2(N10,O10))-360,DEGREES(ATAN2(N10,O10)))))</f>
        <v>90.000000000000057</v>
      </c>
      <c r="R10" s="5">
        <f t="shared" ref="R10:R105" si="83">IF(M10="","",SQRT(N10^2+O10^2))</f>
        <v>1.0820032633218422</v>
      </c>
      <c r="S10" s="6">
        <f t="shared" ref="S10:S105" si="84">IF(M10="","",P10)</f>
        <v>-0.65020196100911409</v>
      </c>
      <c r="T10" s="4">
        <f t="shared" ref="T10:T105" si="85">IF(M10="","",X10*COS(RADIANS(W10)))</f>
        <v>1.0820032633218422</v>
      </c>
      <c r="U10" s="5">
        <f t="shared" ref="U10:U105" si="86">IF(M10="","",X10*SIN(RADIANS(W10)))</f>
        <v>1.0734606497799942E-15</v>
      </c>
      <c r="V10" s="8">
        <f>IF(M10="","",Y10)</f>
        <v>-0.65020196100911409</v>
      </c>
      <c r="W10" s="624">
        <f t="shared" si="6"/>
        <v>5.6843418860808015E-14</v>
      </c>
      <c r="X10" s="5">
        <f t="shared" ref="X10:X105" si="87">IF(M10="","",R10)</f>
        <v>1.0820032633218422</v>
      </c>
      <c r="Y10" s="7">
        <f>IF(M10="","",S10)</f>
        <v>-0.65020196100911409</v>
      </c>
      <c r="Z10" s="21">
        <f t="shared" si="7"/>
        <v>0.93969263802333458</v>
      </c>
      <c r="AA10" s="5">
        <f t="shared" si="8"/>
        <v>8.8521302156295584E-2</v>
      </c>
      <c r="AB10" s="5">
        <f t="shared" si="9"/>
        <v>-0.33036604714967344</v>
      </c>
      <c r="AC10" s="8">
        <f t="shared" ref="AC10:AC105" si="88">IF(M10="","",SQRT(Z10^2+AA10^2+AB10^2))</f>
        <v>1</v>
      </c>
      <c r="AD10" s="9">
        <f>IF(M10="","",Z10*(1/SQRT(Z10^2+AA10^2+AB10^2)))</f>
        <v>0.93969263802333458</v>
      </c>
      <c r="AE10" s="5">
        <f t="shared" ref="AE10:AE105" si="89">IF(M10="","",AA10*(1/SQRT(Z10^2+AA10^2+AB10^2)))</f>
        <v>8.8521302156295584E-2</v>
      </c>
      <c r="AF10" s="10">
        <f t="shared" ref="AF10:AF105" si="90">IF(M10="","",AB10*(1/SQRT(Z10^2+AA10^2+AB10^2)))</f>
        <v>-0.33036604714967344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19.999997112357679</v>
      </c>
      <c r="AI10" s="624">
        <f t="shared" ref="AI10:AI105" si="93">IF(M10="","",DEGREES(-ACOS(-AF10)))</f>
        <v>-70.709005437865216</v>
      </c>
      <c r="AJ10" s="625">
        <f t="shared" ref="AJ10:AJ105" si="94">IF(M10="","",DEGREES(ATAN2(-AE10,AD10)))</f>
        <v>95.38151876223948</v>
      </c>
      <c r="AK10" s="4">
        <f>IF(M10="","",(COS(RADIANS((90-$Q$8)-W10))*AD10)+(-SIN(RADIANS((90-$Q$8)-W10))*AE10))</f>
        <v>0.93969263802333469</v>
      </c>
      <c r="AL10" s="5">
        <f t="shared" ref="AL10:AL105" si="95">IF(M10="","",(SIN(RADIANS((90-$Q$8)-W10))*AD10)+(COS(RADIANS((90-$Q$8)-W10))*AE10))</f>
        <v>8.8521302156294654E-2</v>
      </c>
      <c r="AM10" s="6">
        <f t="shared" ref="AM10:AM105" si="96">IF(M10="","",AF10)</f>
        <v>-0.33036604714967344</v>
      </c>
      <c r="AN10" s="612">
        <f t="shared" ref="AN10:AN105" si="97">IF(M10="","",DEGREES(ATAN2(-AM10,AL10)))</f>
        <v>14.999997834268115</v>
      </c>
      <c r="AO10" s="613">
        <f t="shared" ref="AO10:AO54" si="98">IF(ROUND(IF(M10="",0,DEGREES(ACOS(AK10))),4)=90,0,IF(M10="","",DEGREES(ACOS(AK10))))</f>
        <v>19.999997112357665</v>
      </c>
      <c r="AP10" s="624">
        <f t="shared" ref="AP10:AP105" si="99">IF(M10="","",DEGREES(ATAN2(AK10,AL10)))</f>
        <v>5.3815187622394225</v>
      </c>
      <c r="AQ10" s="625">
        <f t="shared" si="10"/>
        <v>11.312481850258884</v>
      </c>
      <c r="AS10" s="56">
        <f>IF($M10="","",IF(AND($W10&lt;($AS$9+180),$W10&gt;($AS$9-180)),$W10,IF($W10&gt;($AS$9+180),$W10-360,IF($W10&lt;($AS$9-180),$W10+360,"Error"))))</f>
        <v>5.6843418860808015E-14</v>
      </c>
      <c r="AT10" s="77">
        <f t="shared" si="11"/>
        <v>-0.65020196100911432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4.2685124901004113E-18</v>
      </c>
      <c r="C11" s="771">
        <v>1.8239055008989908</v>
      </c>
      <c r="D11" s="772">
        <v>-0.45140136142650605</v>
      </c>
      <c r="E11" s="773">
        <v>-0.93969263802333458</v>
      </c>
      <c r="F11" s="771">
        <v>-8.8521302156295611E-2</v>
      </c>
      <c r="G11" s="774">
        <v>0.33036604714967333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4.2685124901004113E-18</v>
      </c>
      <c r="O11" s="5">
        <f t="shared" si="4"/>
        <v>1.8239055008989908</v>
      </c>
      <c r="P11" s="10">
        <f t="shared" si="5"/>
        <v>-0.45140136142650605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1.8239055008989908</v>
      </c>
      <c r="S11" s="6">
        <f t="shared" si="84"/>
        <v>-0.45140136142650605</v>
      </c>
      <c r="T11" s="4">
        <f t="shared" si="85"/>
        <v>1.8239055008989908</v>
      </c>
      <c r="U11" s="5">
        <f t="shared" si="86"/>
        <v>0</v>
      </c>
      <c r="V11" s="8">
        <f t="shared" ref="V11:V105" si="117">IF(M11="","",Y11)</f>
        <v>-0.45140136142650605</v>
      </c>
      <c r="W11" s="624">
        <f t="shared" si="6"/>
        <v>0</v>
      </c>
      <c r="X11" s="5">
        <f>IF(M11="","",R11)</f>
        <v>1.8239055008989908</v>
      </c>
      <c r="Y11" s="7">
        <f>IF(M11="","",S11)</f>
        <v>-0.45140136142650605</v>
      </c>
      <c r="Z11" s="21">
        <f t="shared" si="7"/>
        <v>0.93969263802333458</v>
      </c>
      <c r="AA11" s="5">
        <f t="shared" si="8"/>
        <v>8.8521302156295611E-2</v>
      </c>
      <c r="AB11" s="5">
        <f t="shared" si="9"/>
        <v>-0.33036604714967333</v>
      </c>
      <c r="AC11" s="8">
        <f t="shared" si="88"/>
        <v>1</v>
      </c>
      <c r="AD11" s="9">
        <f t="shared" ref="AD11:AD105" si="118">IF(M11="","",Z11*(1/SQRT(Z11^2+AA11^2+AB11^2)))</f>
        <v>0.93969263802333458</v>
      </c>
      <c r="AE11" s="5">
        <f t="shared" si="89"/>
        <v>8.8521302156295611E-2</v>
      </c>
      <c r="AF11" s="10">
        <f t="shared" si="90"/>
        <v>-0.33036604714967333</v>
      </c>
      <c r="AG11" s="622">
        <f>IF(M11="","",DEGREES(ATAN2(-AF11,AE11)))</f>
        <v>14.999997834268274</v>
      </c>
      <c r="AH11" s="623">
        <f t="shared" si="92"/>
        <v>19.999997112357679</v>
      </c>
      <c r="AI11" s="624">
        <f t="shared" si="93"/>
        <v>-70.709005437865216</v>
      </c>
      <c r="AJ11" s="625">
        <f t="shared" si="94"/>
        <v>95.38151876223948</v>
      </c>
      <c r="AK11" s="4">
        <f>IF(M11="","",(COS(RADIANS((90-$Q$8)-W11))*AD11)+(-SIN(RADIANS((90-$Q$8)-W11))*AE11))</f>
        <v>0.93969263802333458</v>
      </c>
      <c r="AL11" s="5">
        <f t="shared" si="95"/>
        <v>8.8521302156295611E-2</v>
      </c>
      <c r="AM11" s="6">
        <f t="shared" si="96"/>
        <v>-0.33036604714967333</v>
      </c>
      <c r="AN11" s="612">
        <f>IF(M11="","",DEGREES(ATAN2(-AM11,AL11)))</f>
        <v>14.999997834268274</v>
      </c>
      <c r="AO11" s="613">
        <f>IF(ROUND(IF(M11="",0,DEGREES(ACOS(AK11))),4)=90,0,IF(M11="","",DEGREES(ACOS(AK11))))</f>
        <v>19.999997112357679</v>
      </c>
      <c r="AP11" s="624">
        <f t="shared" si="99"/>
        <v>5.3815187622394811</v>
      </c>
      <c r="AQ11" s="625">
        <f t="shared" si="10"/>
        <v>6.7678833840715393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-0.45140136142650605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-1.4512942466341399E-16</v>
      </c>
      <c r="C12" s="771">
        <v>2.5657077381745386</v>
      </c>
      <c r="D12" s="772">
        <v>-0.25270076214549853</v>
      </c>
      <c r="E12" s="773">
        <v>-0.93969263802333458</v>
      </c>
      <c r="F12" s="771">
        <v>-8.8521302156295611E-2</v>
      </c>
      <c r="G12" s="774">
        <v>0.33036604714967344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1.1100000000000001</v>
      </c>
      <c r="N12" s="21">
        <f t="shared" si="3"/>
        <v>-1.4512942466341399E-16</v>
      </c>
      <c r="O12" s="5">
        <f t="shared" si="4"/>
        <v>2.5657077381745386</v>
      </c>
      <c r="P12" s="10">
        <f t="shared" si="5"/>
        <v>-0.25270076214549853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2.5657077381745386</v>
      </c>
      <c r="S12" s="6">
        <f t="shared" si="84"/>
        <v>-0.25270076214549853</v>
      </c>
      <c r="T12" s="4">
        <f>IF(M12="","",X12*COS(RADIANS(W12)))</f>
        <v>2.5657077381745386</v>
      </c>
      <c r="U12" s="5">
        <f t="shared" si="86"/>
        <v>0</v>
      </c>
      <c r="V12" s="8">
        <f t="shared" si="117"/>
        <v>-0.25270076214549853</v>
      </c>
      <c r="W12" s="624">
        <f>IF(M12="","",IF(Q12-$Q$8&lt;0,360+Q12-$Q$8,Q12-$Q$8))</f>
        <v>0</v>
      </c>
      <c r="X12" s="5">
        <f t="shared" si="87"/>
        <v>2.5657077381745386</v>
      </c>
      <c r="Y12" s="7">
        <f>IF(M12="","",S12)</f>
        <v>-0.25270076214549853</v>
      </c>
      <c r="Z12" s="21">
        <f t="shared" si="7"/>
        <v>0.93969263802333458</v>
      </c>
      <c r="AA12" s="5">
        <f t="shared" si="8"/>
        <v>8.8521302156295611E-2</v>
      </c>
      <c r="AB12" s="5">
        <f t="shared" si="9"/>
        <v>-0.33036604714967344</v>
      </c>
      <c r="AC12" s="8">
        <f t="shared" si="88"/>
        <v>1</v>
      </c>
      <c r="AD12" s="9">
        <f t="shared" si="118"/>
        <v>0.93969263802333458</v>
      </c>
      <c r="AE12" s="5">
        <f t="shared" si="89"/>
        <v>8.8521302156295611E-2</v>
      </c>
      <c r="AF12" s="10">
        <f t="shared" si="90"/>
        <v>-0.33036604714967344</v>
      </c>
      <c r="AG12" s="622">
        <f t="shared" si="91"/>
        <v>14.999997834268267</v>
      </c>
      <c r="AH12" s="623">
        <f t="shared" si="92"/>
        <v>19.999997112357679</v>
      </c>
      <c r="AI12" s="624">
        <f t="shared" si="93"/>
        <v>-70.709005437865216</v>
      </c>
      <c r="AJ12" s="625">
        <f t="shared" si="94"/>
        <v>95.38151876223948</v>
      </c>
      <c r="AK12" s="4">
        <f t="shared" ref="AK12:AK105" si="213">IF(M12="","",(COS(RADIANS((90-$Q$8)-W12))*AD12)+(-SIN(RADIANS((90-$Q$8)-W12))*AE12))</f>
        <v>0.93969263802333458</v>
      </c>
      <c r="AL12" s="5">
        <f>IF(M12="","",(SIN(RADIANS((90-$Q$8)-W12))*AD12)+(COS(RADIANS((90-$Q$8)-W12))*AE12))</f>
        <v>8.8521302156295611E-2</v>
      </c>
      <c r="AM12" s="6">
        <f t="shared" si="96"/>
        <v>-0.33036604714967344</v>
      </c>
      <c r="AN12" s="612">
        <f>IF(M12="","",DEGREES(ATAN2(-AM12,AL12)))</f>
        <v>14.999997834268267</v>
      </c>
      <c r="AO12" s="613">
        <f t="shared" si="98"/>
        <v>19.999997112357679</v>
      </c>
      <c r="AP12" s="624">
        <f t="shared" si="99"/>
        <v>5.3815187622394811</v>
      </c>
      <c r="AQ12" s="625">
        <f t="shared" si="10"/>
        <v>4.8222236079856362</v>
      </c>
      <c r="AS12" s="56">
        <f t="shared" si="119"/>
        <v>0</v>
      </c>
      <c r="AT12" s="77">
        <f>IF(M12="","",Y12+(((AS12-$AS$9)*$AS$6)*-1))</f>
        <v>-0.25270076214549853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6.7015646094576452E-16</v>
      </c>
      <c r="C13" s="771">
        <v>3.3138099944509434</v>
      </c>
      <c r="D13" s="772">
        <v>-8.1100244598338034E-2</v>
      </c>
      <c r="E13" s="773">
        <v>-0.93969263802333458</v>
      </c>
      <c r="F13" s="771">
        <v>-5.3503723084143327E-2</v>
      </c>
      <c r="G13" s="774">
        <v>0.33780926224850877</v>
      </c>
      <c r="H13" s="773">
        <v>0.314</v>
      </c>
      <c r="I13" s="771">
        <v>0.52</v>
      </c>
      <c r="J13" s="601">
        <v>1.115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1.115</v>
      </c>
      <c r="N13" s="21">
        <f t="shared" si="3"/>
        <v>6.7015646094576452E-16</v>
      </c>
      <c r="O13" s="5">
        <f t="shared" si="4"/>
        <v>3.3138099944509434</v>
      </c>
      <c r="P13" s="10">
        <f t="shared" si="5"/>
        <v>-8.1100244598338034E-2</v>
      </c>
      <c r="Q13" s="624">
        <f t="shared" si="116"/>
        <v>89.999999999999986</v>
      </c>
      <c r="R13" s="5">
        <f t="shared" si="83"/>
        <v>3.3138099944509434</v>
      </c>
      <c r="S13" s="6">
        <f t="shared" si="84"/>
        <v>-8.1100244598338034E-2</v>
      </c>
      <c r="T13" s="4">
        <f>IF(M13="","",X13*COS(RADIANS(W13)))</f>
        <v>3.3138099944509434</v>
      </c>
      <c r="U13" s="5">
        <f t="shared" si="86"/>
        <v>-8.1198183891246314E-16</v>
      </c>
      <c r="V13" s="8">
        <f t="shared" si="117"/>
        <v>-8.1100244598338034E-2</v>
      </c>
      <c r="W13" s="624">
        <f t="shared" si="6"/>
        <v>360</v>
      </c>
      <c r="X13" s="5">
        <f t="shared" si="87"/>
        <v>3.3138099944509434</v>
      </c>
      <c r="Y13" s="7">
        <f>IF(M13="","",S13)</f>
        <v>-8.1100244598338034E-2</v>
      </c>
      <c r="Z13" s="21">
        <f t="shared" si="7"/>
        <v>0.93969263802333458</v>
      </c>
      <c r="AA13" s="5">
        <f t="shared" si="8"/>
        <v>5.3503723084143327E-2</v>
      </c>
      <c r="AB13" s="5">
        <f t="shared" si="9"/>
        <v>-0.33780926224850877</v>
      </c>
      <c r="AC13" s="8">
        <f t="shared" si="88"/>
        <v>1</v>
      </c>
      <c r="AD13" s="9">
        <f>IF(M13="","",Z13*(1/SQRT(Z13^2+AA13^2+AB13^2)))</f>
        <v>0.93969263802333458</v>
      </c>
      <c r="AE13" s="5">
        <f t="shared" si="89"/>
        <v>5.3503723084143327E-2</v>
      </c>
      <c r="AF13" s="10">
        <f t="shared" si="90"/>
        <v>-0.33780926224850877</v>
      </c>
      <c r="AG13" s="622">
        <f>IF(M13="","",DEGREES(ATAN2(-AF13,AE13)))</f>
        <v>8.9999987005609601</v>
      </c>
      <c r="AH13" s="623">
        <f t="shared" si="92"/>
        <v>19.999997112357679</v>
      </c>
      <c r="AI13" s="624">
        <f t="shared" si="93"/>
        <v>-70.256541427921746</v>
      </c>
      <c r="AJ13" s="625">
        <f t="shared" si="94"/>
        <v>93.258758373305042</v>
      </c>
      <c r="AK13" s="4">
        <f t="shared" si="213"/>
        <v>0.93969263802333458</v>
      </c>
      <c r="AL13" s="5">
        <f t="shared" si="95"/>
        <v>5.3503723084143556E-2</v>
      </c>
      <c r="AM13" s="6">
        <f t="shared" si="96"/>
        <v>-0.33780926224850877</v>
      </c>
      <c r="AN13" s="612">
        <f t="shared" si="97"/>
        <v>8.9999987005609974</v>
      </c>
      <c r="AO13" s="613">
        <f t="shared" si="98"/>
        <v>19.999997112357679</v>
      </c>
      <c r="AP13" s="624">
        <f t="shared" si="99"/>
        <v>3.2587583733050556</v>
      </c>
      <c r="AQ13" s="625">
        <f t="shared" si="10"/>
        <v>3.7371246290966895</v>
      </c>
      <c r="AS13" s="56">
        <f t="shared" si="119"/>
        <v>0</v>
      </c>
      <c r="AT13" s="77">
        <f t="shared" si="11"/>
        <v>-8.1100244598338034E-2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1.115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4.1497819420086794E-3</v>
      </c>
      <c r="C14" s="771">
        <v>4.0505100906020051</v>
      </c>
      <c r="D14" s="772">
        <v>-7.0700213231842973E-2</v>
      </c>
      <c r="E14" s="773">
        <v>-0.93939740856403853</v>
      </c>
      <c r="F14" s="771">
        <v>4.8810469971324079E-2</v>
      </c>
      <c r="G14" s="774">
        <v>0.33933765898341928</v>
      </c>
      <c r="H14" s="773">
        <v>0.314</v>
      </c>
      <c r="I14" s="771">
        <v>0.52</v>
      </c>
      <c r="J14" s="601">
        <v>1.121</v>
      </c>
      <c r="K14" s="426" t="str">
        <f t="shared" si="225"/>
        <v>1613</v>
      </c>
      <c r="L14" s="327"/>
      <c r="M14" s="173">
        <f t="shared" si="2"/>
        <v>1.121</v>
      </c>
      <c r="N14" s="21">
        <f t="shared" si="3"/>
        <v>4.1497819420086794E-3</v>
      </c>
      <c r="O14" s="5">
        <f t="shared" si="4"/>
        <v>4.0505100906020051</v>
      </c>
      <c r="P14" s="10">
        <f t="shared" si="5"/>
        <v>-7.0700213231842973E-2</v>
      </c>
      <c r="Q14" s="624">
        <f t="shared" si="116"/>
        <v>89.941300008475238</v>
      </c>
      <c r="R14" s="5">
        <f t="shared" si="83"/>
        <v>4.0505122163448455</v>
      </c>
      <c r="S14" s="6">
        <f t="shared" si="84"/>
        <v>-7.0700213231842973E-2</v>
      </c>
      <c r="T14" s="4">
        <f t="shared" si="85"/>
        <v>4.0505100906020051</v>
      </c>
      <c r="U14" s="5">
        <f t="shared" si="86"/>
        <v>-4.1497819420092978E-3</v>
      </c>
      <c r="V14" s="8">
        <f t="shared" si="117"/>
        <v>-7.0700213231842973E-2</v>
      </c>
      <c r="W14" s="624">
        <f t="shared" si="6"/>
        <v>359.94130000847525</v>
      </c>
      <c r="X14" s="5">
        <f t="shared" si="87"/>
        <v>4.0505122163448455</v>
      </c>
      <c r="Y14" s="7">
        <f t="shared" ref="Y14:Y75" si="226">IF(M14="","",S14)</f>
        <v>-7.0700213231842973E-2</v>
      </c>
      <c r="Z14" s="21">
        <f t="shared" si="7"/>
        <v>0.93939740856403853</v>
      </c>
      <c r="AA14" s="5">
        <f t="shared" si="8"/>
        <v>-4.8810469971324079E-2</v>
      </c>
      <c r="AB14" s="5">
        <f t="shared" si="9"/>
        <v>-0.33933765898341928</v>
      </c>
      <c r="AC14" s="8">
        <f t="shared" si="88"/>
        <v>1</v>
      </c>
      <c r="AD14" s="9">
        <f>IF(M14="","",Z14*(1/SQRT(Z14^2+AA14^2+AB14^2)))</f>
        <v>0.93939740856403853</v>
      </c>
      <c r="AE14" s="5">
        <f t="shared" si="89"/>
        <v>-4.8810469971324079E-2</v>
      </c>
      <c r="AF14" s="10">
        <f t="shared" si="90"/>
        <v>-0.33933765898341928</v>
      </c>
      <c r="AG14" s="622">
        <f t="shared" si="91"/>
        <v>-8.1853053809464758</v>
      </c>
      <c r="AH14" s="623">
        <f t="shared" si="92"/>
        <v>20.049395944187669</v>
      </c>
      <c r="AI14" s="624">
        <f t="shared" si="93"/>
        <v>-70.163474176820799</v>
      </c>
      <c r="AJ14" s="625">
        <f t="shared" si="94"/>
        <v>87.025623862810107</v>
      </c>
      <c r="AK14" s="4">
        <f>IF(M14="","",(COS(RADIANS((90-$Q$8)-W14))*AD14)+(-SIN(RADIANS((90-$Q$8)-W14))*AE14))</f>
        <v>0.93944692227461157</v>
      </c>
      <c r="AL14" s="5">
        <f t="shared" si="95"/>
        <v>-4.7848024247742399E-2</v>
      </c>
      <c r="AM14" s="6">
        <f t="shared" si="96"/>
        <v>-0.33933765898341928</v>
      </c>
      <c r="AN14" s="612">
        <f t="shared" si="97"/>
        <v>-8.0260311800391158</v>
      </c>
      <c r="AO14" s="613">
        <f t="shared" si="98"/>
        <v>20.041119285138379</v>
      </c>
      <c r="AP14" s="624">
        <f>IF(M14="","",DEGREES(ATAN2(AK14,AL14)))</f>
        <v>-2.915676145665115</v>
      </c>
      <c r="AQ14" s="625">
        <f t="shared" si="10"/>
        <v>3.0588546834510035</v>
      </c>
      <c r="AS14" s="56">
        <f t="shared" si="119"/>
        <v>-5.8699991524747475E-2</v>
      </c>
      <c r="AT14" s="77">
        <f t="shared" si="11"/>
        <v>-7.0478457708305034E-2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3.9136835731512012E-2</v>
      </c>
      <c r="C15" s="771">
        <v>4.8015549850499246</v>
      </c>
      <c r="D15" s="772">
        <v>-0.24060072565178883</v>
      </c>
      <c r="E15" s="773">
        <v>-0.93610828259230305</v>
      </c>
      <c r="F15" s="771">
        <v>0.15935850774474852</v>
      </c>
      <c r="G15" s="774">
        <v>0.31353811454344116</v>
      </c>
      <c r="H15" s="773">
        <v>0.314</v>
      </c>
      <c r="I15" s="771">
        <v>0.52</v>
      </c>
      <c r="J15" s="601">
        <v>1.127</v>
      </c>
      <c r="K15" s="426" t="str">
        <f t="shared" si="225"/>
        <v>1613</v>
      </c>
      <c r="L15" s="327"/>
      <c r="M15" s="173">
        <f t="shared" si="2"/>
        <v>1.127</v>
      </c>
      <c r="N15" s="21">
        <f t="shared" si="3"/>
        <v>3.9136835731512012E-2</v>
      </c>
      <c r="O15" s="5">
        <f t="shared" si="4"/>
        <v>4.8015549850499246</v>
      </c>
      <c r="P15" s="10">
        <f t="shared" si="5"/>
        <v>-0.24060072565178883</v>
      </c>
      <c r="Q15" s="624">
        <f t="shared" si="116"/>
        <v>89.533000067426443</v>
      </c>
      <c r="R15" s="5">
        <f t="shared" si="83"/>
        <v>4.8017144819708779</v>
      </c>
      <c r="S15" s="6">
        <f t="shared" si="84"/>
        <v>-0.24060072565178883</v>
      </c>
      <c r="T15" s="4">
        <f t="shared" si="85"/>
        <v>4.8015549850499246</v>
      </c>
      <c r="U15" s="5">
        <f t="shared" si="86"/>
        <v>-3.9136835731515392E-2</v>
      </c>
      <c r="V15" s="8">
        <f t="shared" si="117"/>
        <v>-0.24060072565178883</v>
      </c>
      <c r="W15" s="624">
        <f t="shared" ref="W15:W78" si="227">IF(M15="","",IF(Q15-$Q$8&lt;0,360+Q15-$Q$8,Q15-$Q$8))</f>
        <v>359.53300006742643</v>
      </c>
      <c r="X15" s="5">
        <f>IF(M15="","",R15)</f>
        <v>4.8017144819708779</v>
      </c>
      <c r="Y15" s="7">
        <f>IF(M15="","",S15)</f>
        <v>-0.24060072565178883</v>
      </c>
      <c r="Z15" s="21">
        <f t="shared" si="7"/>
        <v>0.93610828259230305</v>
      </c>
      <c r="AA15" s="5">
        <f t="shared" si="8"/>
        <v>-0.15935850774474852</v>
      </c>
      <c r="AB15" s="5">
        <f t="shared" si="9"/>
        <v>-0.31353811454344116</v>
      </c>
      <c r="AC15" s="8">
        <f t="shared" si="88"/>
        <v>1</v>
      </c>
      <c r="AD15" s="9">
        <f t="shared" si="118"/>
        <v>0.93610828259230305</v>
      </c>
      <c r="AE15" s="5">
        <f t="shared" si="89"/>
        <v>-0.15935850774474852</v>
      </c>
      <c r="AF15" s="10">
        <f t="shared" si="90"/>
        <v>-0.31353811454344116</v>
      </c>
      <c r="AG15" s="622">
        <f t="shared" si="91"/>
        <v>-26.942355057001606</v>
      </c>
      <c r="AH15" s="623">
        <f t="shared" si="92"/>
        <v>20.592060337598127</v>
      </c>
      <c r="AI15" s="624">
        <f t="shared" si="93"/>
        <v>-71.727416356567574</v>
      </c>
      <c r="AJ15" s="625">
        <f t="shared" si="94"/>
        <v>80.338862082167381</v>
      </c>
      <c r="AK15" s="4">
        <f t="shared" si="213"/>
        <v>0.93737605504610677</v>
      </c>
      <c r="AL15" s="5">
        <f t="shared" si="95"/>
        <v>-0.15172337379172118</v>
      </c>
      <c r="AM15" s="6">
        <f t="shared" si="96"/>
        <v>-0.31353811454344116</v>
      </c>
      <c r="AN15" s="612">
        <f>IF(M15="","",DEGREES(ATAN2(-AM15,AL15)))</f>
        <v>-25.822677428956467</v>
      </c>
      <c r="AO15" s="613">
        <f t="shared" si="98"/>
        <v>20.384532563076583</v>
      </c>
      <c r="AP15" s="624">
        <f t="shared" si="99"/>
        <v>-9.1941379852590277</v>
      </c>
      <c r="AQ15" s="625">
        <f t="shared" si="10"/>
        <v>2.581020388523418</v>
      </c>
      <c r="AS15" s="56">
        <f t="shared" si="119"/>
        <v>-0.46699993257357164</v>
      </c>
      <c r="AT15" s="77">
        <f t="shared" si="11"/>
        <v>-0.23883650368428866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0.10144968653179863</v>
      </c>
      <c r="C16" s="771">
        <v>5.4793774477698403</v>
      </c>
      <c r="D16" s="772">
        <v>-0.57870174536446362</v>
      </c>
      <c r="E16" s="773">
        <v>-0.92906024964294986</v>
      </c>
      <c r="F16" s="771">
        <v>0.25857796795303728</v>
      </c>
      <c r="G16" s="774">
        <v>0.2645458127104981</v>
      </c>
      <c r="H16" s="773">
        <v>0.314</v>
      </c>
      <c r="I16" s="771">
        <v>0.52</v>
      </c>
      <c r="J16" s="601">
        <v>1.133</v>
      </c>
      <c r="K16" s="426" t="str">
        <f t="shared" si="225"/>
        <v>1613</v>
      </c>
      <c r="L16" s="327"/>
      <c r="M16" s="173">
        <f t="shared" si="2"/>
        <v>1.133</v>
      </c>
      <c r="N16" s="21">
        <f t="shared" si="3"/>
        <v>0.10144968653179863</v>
      </c>
      <c r="O16" s="5">
        <f t="shared" si="4"/>
        <v>5.4793774477698403</v>
      </c>
      <c r="P16" s="10">
        <f t="shared" si="5"/>
        <v>-0.57870174536446362</v>
      </c>
      <c r="Q16" s="624">
        <f>IF(M16="","",IF(DEGREES(ATAN2(N16,O16))&lt;0,DEGREES(ATAN2(N16,O16))+360,IF(DEGREES(ATAN2(N16,O16))&gt;360,DEGREES(ATAN2(N16,O16))-360,DEGREES(ATAN2(N16,O16)))))</f>
        <v>88.939300153146121</v>
      </c>
      <c r="R16" s="5">
        <f t="shared" si="83"/>
        <v>5.4803165286346491</v>
      </c>
      <c r="S16" s="6">
        <f t="shared" si="84"/>
        <v>-0.57870174536446362</v>
      </c>
      <c r="T16" s="4">
        <f t="shared" si="85"/>
        <v>5.4793774477698403</v>
      </c>
      <c r="U16" s="5">
        <f t="shared" si="86"/>
        <v>-0.10144968653179773</v>
      </c>
      <c r="V16" s="8">
        <f t="shared" si="117"/>
        <v>-0.57870174536446362</v>
      </c>
      <c r="W16" s="624">
        <f>IF(M16="","",IF(Q16-$Q$8&lt;0,360+Q16-$Q$8,Q16-$Q$8))</f>
        <v>358.93930015314612</v>
      </c>
      <c r="X16" s="5">
        <f t="shared" si="87"/>
        <v>5.4803165286346491</v>
      </c>
      <c r="Y16" s="7">
        <f t="shared" si="226"/>
        <v>-0.57870174536446362</v>
      </c>
      <c r="Z16" s="21">
        <f t="shared" si="7"/>
        <v>0.92906024964294986</v>
      </c>
      <c r="AA16" s="5">
        <f t="shared" si="8"/>
        <v>-0.25857796795303728</v>
      </c>
      <c r="AB16" s="5">
        <f t="shared" si="9"/>
        <v>-0.2645458127104981</v>
      </c>
      <c r="AC16" s="8">
        <f t="shared" si="88"/>
        <v>1</v>
      </c>
      <c r="AD16" s="9">
        <f t="shared" si="118"/>
        <v>0.92906024964294986</v>
      </c>
      <c r="AE16" s="5">
        <f t="shared" si="89"/>
        <v>-0.25857796795303728</v>
      </c>
      <c r="AF16" s="10">
        <f t="shared" si="90"/>
        <v>-0.2645458127104981</v>
      </c>
      <c r="AG16" s="622">
        <f t="shared" si="91"/>
        <v>-44.346392770426952</v>
      </c>
      <c r="AH16" s="623">
        <f t="shared" si="92"/>
        <v>21.71120421264667</v>
      </c>
      <c r="AI16" s="624">
        <f t="shared" si="93"/>
        <v>-74.660033330807508</v>
      </c>
      <c r="AJ16" s="625">
        <f t="shared" si="94"/>
        <v>74.446941572791815</v>
      </c>
      <c r="AK16" s="4">
        <f t="shared" si="213"/>
        <v>0.93368775445178054</v>
      </c>
      <c r="AL16" s="5">
        <f t="shared" si="95"/>
        <v>-0.24133522362915436</v>
      </c>
      <c r="AM16" s="6">
        <f t="shared" si="96"/>
        <v>-0.2645458127104981</v>
      </c>
      <c r="AN16" s="612">
        <f t="shared" si="97"/>
        <v>-42.373025077311517</v>
      </c>
      <c r="AO16" s="613">
        <f t="shared" si="98"/>
        <v>20.982833733618371</v>
      </c>
      <c r="AP16" s="624">
        <f t="shared" si="99"/>
        <v>-14.492358580354315</v>
      </c>
      <c r="AQ16" s="625">
        <f t="shared" si="10"/>
        <v>2.2617799931228055</v>
      </c>
      <c r="AS16" s="56">
        <f t="shared" si="119"/>
        <v>-1.0606998468538791</v>
      </c>
      <c r="AT16" s="77">
        <f t="shared" si="11"/>
        <v>-0.5746946570541267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1.133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0.1787377535503373</v>
      </c>
      <c r="C17" s="771">
        <v>6.0629842571796306</v>
      </c>
      <c r="D17" s="772">
        <v>-1.0619032027000597</v>
      </c>
      <c r="E17" s="773">
        <v>-0.89259818101381216</v>
      </c>
      <c r="F17" s="771">
        <v>0.37496715853112661</v>
      </c>
      <c r="G17" s="774">
        <v>0.2503360087441015</v>
      </c>
      <c r="H17" s="773">
        <v>0.314</v>
      </c>
      <c r="I17" s="771">
        <v>0.52</v>
      </c>
      <c r="J17" s="601">
        <v>1.139</v>
      </c>
      <c r="K17" s="426" t="str">
        <f t="shared" si="225"/>
        <v>1613</v>
      </c>
      <c r="L17" s="861" t="s">
        <v>332</v>
      </c>
      <c r="M17" s="173">
        <f t="shared" si="2"/>
        <v>1.139</v>
      </c>
      <c r="N17" s="21">
        <f t="shared" si="3"/>
        <v>0.1787377535503373</v>
      </c>
      <c r="O17" s="5">
        <f t="shared" si="4"/>
        <v>6.0629842571796306</v>
      </c>
      <c r="P17" s="10">
        <f t="shared" si="5"/>
        <v>-1.0619032027000597</v>
      </c>
      <c r="Q17" s="624">
        <f>IF(M17="","",IF(DEGREES(ATAN2(N17,O17))&lt;0,DEGREES(ATAN2(N17,O17))+360,IF(DEGREES(ATAN2(N17,O17))&gt;360,DEGREES(ATAN2(N17,O17))-360,DEGREES(ATAN2(N17,O17)))))</f>
        <v>88.311400243803647</v>
      </c>
      <c r="R17" s="5">
        <f>IF(M17="","",SQRT(N17^2+O17^2))</f>
        <v>6.065618293904774</v>
      </c>
      <c r="S17" s="6">
        <f>IF(M17="","",P17)</f>
        <v>-1.0619032027000597</v>
      </c>
      <c r="T17" s="4">
        <f>IF(M17="","",X17*COS(RADIANS(W17)))</f>
        <v>6.0629842571796315</v>
      </c>
      <c r="U17" s="5">
        <f>IF(M17="","",X17*SIN(RADIANS(W17)))</f>
        <v>-0.17873775355033705</v>
      </c>
      <c r="V17" s="8">
        <f>IF(M17="","",Y17)</f>
        <v>-1.0619032027000597</v>
      </c>
      <c r="W17" s="624">
        <f t="shared" si="227"/>
        <v>358.31140024380363</v>
      </c>
      <c r="X17" s="5">
        <f>IF(M17="","",R17)</f>
        <v>6.065618293904774</v>
      </c>
      <c r="Y17" s="7">
        <f t="shared" si="226"/>
        <v>-1.0619032027000597</v>
      </c>
      <c r="Z17" s="21">
        <f t="shared" si="7"/>
        <v>0.89259818101381216</v>
      </c>
      <c r="AA17" s="5">
        <f t="shared" si="8"/>
        <v>-0.37496715853112661</v>
      </c>
      <c r="AB17" s="5">
        <f t="shared" si="9"/>
        <v>-0.2503360087441015</v>
      </c>
      <c r="AC17" s="8">
        <f>IF(M17="","",SQRT(Z17^2+AA17^2+AB17^2))</f>
        <v>1</v>
      </c>
      <c r="AD17" s="9">
        <f>IF(M17="","",Z17*(1/SQRT(Z17^2+AA17^2+AB17^2)))</f>
        <v>0.89259818101381216</v>
      </c>
      <c r="AE17" s="5">
        <f>IF(M17="","",AA17*(1/SQRT(Z17^2+AA17^2+AB17^2)))</f>
        <v>-0.37496715853112661</v>
      </c>
      <c r="AF17" s="10">
        <f>IF(M17="","",AB17*(1/SQRT(Z17^2+AA17^2+AB17^2)))</f>
        <v>-0.2503360087441015</v>
      </c>
      <c r="AG17" s="622">
        <f>IF(M17="","",DEGREES(ATAN2(-AF17,AE17)))</f>
        <v>-56.272087987022942</v>
      </c>
      <c r="AH17" s="623">
        <f>IF(M17="","",DEGREES(ACOS(AD17)))</f>
        <v>26.79842897068546</v>
      </c>
      <c r="AI17" s="624">
        <f>IF(M17="","",DEGREES(-ACOS(-AF17)))</f>
        <v>-75.502603663619553</v>
      </c>
      <c r="AJ17" s="625">
        <f>IF(M17="","",DEGREES(ATAN2(-AE17,AD17)))</f>
        <v>67.213451708054677</v>
      </c>
      <c r="AK17" s="4">
        <f>IF(M17="","",(COS(RADIANS((90-$Q$8)-W17))*AD17)+(-SIN(RADIANS((90-$Q$8)-W17))*AE17))</f>
        <v>0.90325985605630632</v>
      </c>
      <c r="AL17" s="5">
        <f>IF(M17="","",(SIN(RADIANS((90-$Q$8)-W17))*AD17)+(COS(RADIANS((90-$Q$8)-W17))*AE17))</f>
        <v>-0.34850181515052986</v>
      </c>
      <c r="AM17" s="6">
        <f>IF(M17="","",AF17)</f>
        <v>-0.2503360087441015</v>
      </c>
      <c r="AN17" s="612">
        <f>IF(M17="","",DEGREES(ATAN2(-AM17,AL17)))</f>
        <v>-54.309536854907314</v>
      </c>
      <c r="AO17" s="613">
        <f t="shared" si="98"/>
        <v>25.410074741399836</v>
      </c>
      <c r="AP17" s="624">
        <f>IF(M17="","",DEGREES(ATAN2(AK17,AL17)))</f>
        <v>-21.097948535748973</v>
      </c>
      <c r="AQ17" s="625">
        <f t="shared" si="10"/>
        <v>2.0437245049870016</v>
      </c>
      <c r="AS17" s="56">
        <f t="shared" si="119"/>
        <v>-1.6885997561963677</v>
      </c>
      <c r="AT17" s="77">
        <f t="shared" si="11"/>
        <v>-1.0555240480655401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1.139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0.25390554551451017</v>
      </c>
      <c r="C18" s="771">
        <v>6.5153741651149772</v>
      </c>
      <c r="D18" s="772">
        <v>-1.6715050412592036</v>
      </c>
      <c r="E18" s="773">
        <v>-0.85905746131502714</v>
      </c>
      <c r="F18" s="771">
        <v>0.47123229536851791</v>
      </c>
      <c r="G18" s="774">
        <v>0.19990098038953844</v>
      </c>
      <c r="H18" s="773">
        <v>0.314</v>
      </c>
      <c r="I18" s="771">
        <v>0.52</v>
      </c>
      <c r="J18" s="601">
        <v>1.145</v>
      </c>
      <c r="K18" s="426" t="str">
        <f t="shared" si="225"/>
        <v>1613</v>
      </c>
      <c r="L18" s="857" t="s">
        <v>376</v>
      </c>
      <c r="M18" s="173">
        <f t="shared" si="2"/>
        <v>1.145</v>
      </c>
      <c r="N18" s="21">
        <f t="shared" si="3"/>
        <v>0.25390554551451017</v>
      </c>
      <c r="O18" s="5">
        <f t="shared" si="4"/>
        <v>6.5153741651149772</v>
      </c>
      <c r="P18" s="10">
        <f t="shared" si="5"/>
        <v>-1.6715050412592036</v>
      </c>
      <c r="Q18" s="624">
        <f t="shared" si="116"/>
        <v>87.76830032221757</v>
      </c>
      <c r="R18" s="5">
        <f>IF(M18="","",SQRT(N18^2+O18^2))</f>
        <v>6.520319665284112</v>
      </c>
      <c r="S18" s="6">
        <f>IF(M18="","",P18)</f>
        <v>-1.6715050412592036</v>
      </c>
      <c r="T18" s="4">
        <f>IF(M18="","",X18*COS(RADIANS(W18)))</f>
        <v>6.5153741651149781</v>
      </c>
      <c r="U18" s="5">
        <f>IF(M18="","",X18*SIN(RADIANS(W18)))</f>
        <v>-0.25390554551451405</v>
      </c>
      <c r="V18" s="8">
        <f>IF(M18="","",Y18)</f>
        <v>-1.6715050412592036</v>
      </c>
      <c r="W18" s="624">
        <f t="shared" si="227"/>
        <v>357.76830032221756</v>
      </c>
      <c r="X18" s="5">
        <f>IF(M18="","",R18)</f>
        <v>6.520319665284112</v>
      </c>
      <c r="Y18" s="7">
        <f t="shared" si="226"/>
        <v>-1.6715050412592036</v>
      </c>
      <c r="Z18" s="21">
        <f t="shared" si="7"/>
        <v>0.85905746131502714</v>
      </c>
      <c r="AA18" s="5">
        <f t="shared" si="8"/>
        <v>-0.47123229536851791</v>
      </c>
      <c r="AB18" s="5">
        <f t="shared" si="9"/>
        <v>-0.19990098038953844</v>
      </c>
      <c r="AC18" s="8">
        <f>IF(M18="","",SQRT(Z18^2+AA18^2+AB18^2))</f>
        <v>1</v>
      </c>
      <c r="AD18" s="9">
        <f>IF(M18="","",Z18*(1/SQRT(Z18^2+AA18^2+AB18^2)))</f>
        <v>0.85905746131502714</v>
      </c>
      <c r="AE18" s="5">
        <f>IF(M18="","",AA18*(1/SQRT(Z18^2+AA18^2+AB18^2)))</f>
        <v>-0.47123229536851791</v>
      </c>
      <c r="AF18" s="10">
        <f>IF(M18="","",AB18*(1/SQRT(Z18^2+AA18^2+AB18^2)))</f>
        <v>-0.19990098038953844</v>
      </c>
      <c r="AG18" s="622">
        <f>IF(M18="","",DEGREES(ATAN2(-AF18,AE18)))</f>
        <v>-67.012906222537254</v>
      </c>
      <c r="AH18" s="623">
        <f>IF(M18="","",DEGREES(ACOS(AD18)))</f>
        <v>30.789081146254766</v>
      </c>
      <c r="AI18" s="624">
        <f>IF(M18="","",DEGREES(-ACOS(-AF18)))</f>
        <v>-78.468831302985549</v>
      </c>
      <c r="AJ18" s="625">
        <f>IF(M18="","",DEGREES(ATAN2(-AE18,AD18)))</f>
        <v>61.253217893161029</v>
      </c>
      <c r="AK18" s="4">
        <f>IF(M18="","",(COS(RADIANS((90-$Q$8)-W18))*AD18)+(-SIN(RADIANS((90-$Q$8)-W18))*AE18))</f>
        <v>0.87675598379909958</v>
      </c>
      <c r="AL18" s="5">
        <f>IF(M18="","",(SIN(RADIANS((90-$Q$8)-W18))*AD18)+(COS(RADIANS((90-$Q$8)-W18))*AE18))</f>
        <v>-0.43742261362642704</v>
      </c>
      <c r="AM18" s="6">
        <f>IF(M18="","",AF18)</f>
        <v>-0.19990098038953844</v>
      </c>
      <c r="AN18" s="612">
        <f>IF(M18="","",DEGREES(ATAN2(-AM18,AL18)))</f>
        <v>-65.439724355386886</v>
      </c>
      <c r="AO18" s="613">
        <f t="shared" si="98"/>
        <v>28.746518132739446</v>
      </c>
      <c r="AP18" s="624">
        <f>IF(M18="","",DEGREES(ATAN2(AK18,AL18)))</f>
        <v>-26.515082429056509</v>
      </c>
      <c r="AQ18" s="625">
        <f t="shared" si="10"/>
        <v>1.9013117415983174</v>
      </c>
      <c r="AS18" s="56">
        <f t="shared" si="119"/>
        <v>-2.2316996777824443</v>
      </c>
      <c r="AT18" s="77">
        <f t="shared" si="11"/>
        <v>-1.6630741758098033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1.145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0.31024685625678539</v>
      </c>
      <c r="C19" s="771">
        <v>6.8106578649234768</v>
      </c>
      <c r="D19" s="772">
        <v>-2.3624071250198884</v>
      </c>
      <c r="E19" s="773">
        <v>-0.81575892333620881</v>
      </c>
      <c r="F19" s="771">
        <v>0.56040145140089526</v>
      </c>
      <c r="G19" s="774">
        <v>0.14313487438468453</v>
      </c>
      <c r="H19" s="773">
        <v>0.314</v>
      </c>
      <c r="I19" s="771">
        <v>0.52</v>
      </c>
      <c r="J19" s="601">
        <v>1.151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1.151</v>
      </c>
      <c r="N19" s="21">
        <f t="shared" si="3"/>
        <v>0.31024685625678539</v>
      </c>
      <c r="O19" s="5">
        <f t="shared" si="4"/>
        <v>6.8106578649234768</v>
      </c>
      <c r="P19" s="10">
        <f t="shared" si="5"/>
        <v>-2.3624071250198884</v>
      </c>
      <c r="Q19" s="624">
        <f t="shared" si="116"/>
        <v>87.391800376577436</v>
      </c>
      <c r="R19" s="5">
        <f>IF(M19="","",SQRT(N19^2+O19^2))</f>
        <v>6.8177205622452171</v>
      </c>
      <c r="S19" s="6">
        <f>IF(M19="","",P19)</f>
        <v>-2.3624071250198884</v>
      </c>
      <c r="T19" s="4">
        <f>IF(M19="","",X19*COS(RADIANS(W19)))</f>
        <v>6.8106578649234777</v>
      </c>
      <c r="U19" s="5">
        <f>IF(M19="","",X19*SIN(RADIANS(W19)))</f>
        <v>-0.31024685625678872</v>
      </c>
      <c r="V19" s="8">
        <f>IF(M19="","",Y19)</f>
        <v>-2.3624071250198884</v>
      </c>
      <c r="W19" s="624">
        <f t="shared" si="227"/>
        <v>357.39180037657741</v>
      </c>
      <c r="X19" s="5">
        <f>IF(M19="","",R19)</f>
        <v>6.8177205622452171</v>
      </c>
      <c r="Y19" s="7">
        <f t="shared" si="226"/>
        <v>-2.3624071250198884</v>
      </c>
      <c r="Z19" s="21">
        <f t="shared" si="7"/>
        <v>0.81575892333620881</v>
      </c>
      <c r="AA19" s="5">
        <f t="shared" si="8"/>
        <v>-0.56040145140089526</v>
      </c>
      <c r="AB19" s="5">
        <f t="shared" si="9"/>
        <v>-0.14313487438468453</v>
      </c>
      <c r="AC19" s="8">
        <f>IF(M19="","",SQRT(Z19^2+AA19^2+AB19^2))</f>
        <v>1</v>
      </c>
      <c r="AD19" s="9">
        <f>IF(M19="","",Z19*(1/SQRT(Z19^2+AA19^2+AB19^2)))</f>
        <v>0.81575892333620881</v>
      </c>
      <c r="AE19" s="5">
        <f>IF(M19="","",AA19*(1/SQRT(Z19^2+AA19^2+AB19^2)))</f>
        <v>-0.56040145140089526</v>
      </c>
      <c r="AF19" s="10">
        <f>IF(M19="","",AB19*(1/SQRT(Z19^2+AA19^2+AB19^2)))</f>
        <v>-0.14313487438468453</v>
      </c>
      <c r="AG19" s="622">
        <f>IF(M19="","",DEGREES(ATAN2(-AF19,AE19)))</f>
        <v>-75.672130354251252</v>
      </c>
      <c r="AH19" s="623">
        <f>IF(M19="","",DEGREES(ACOS(AD19)))</f>
        <v>35.337528235854357</v>
      </c>
      <c r="AI19" s="624">
        <f>IF(M19="","",DEGREES(-ACOS(-AF19)))</f>
        <v>-81.770711223731126</v>
      </c>
      <c r="AJ19" s="625">
        <f>IF(M19="","",DEGREES(ATAN2(-AE19,AD19)))</f>
        <v>55.512124283057616</v>
      </c>
      <c r="AK19" s="4">
        <f>IF(M19="","",(COS(RADIANS((90-$Q$8)-W19))*AD19)+(-SIN(RADIANS((90-$Q$8)-W19))*AE19))</f>
        <v>0.84041545313104071</v>
      </c>
      <c r="AL19" s="5">
        <f>IF(M19="","",(SIN(RADIANS((90-$Q$8)-W19))*AD19)+(COS(RADIANS((90-$Q$8)-W19))*AE19))</f>
        <v>-0.52269902800122758</v>
      </c>
      <c r="AM19" s="6">
        <f>IF(M19="","",AF19)</f>
        <v>-0.14313487438468453</v>
      </c>
      <c r="AN19" s="612">
        <f>IF(M19="","",DEGREES(ATAN2(-AM19,AL19)))</f>
        <v>-74.685662043966488</v>
      </c>
      <c r="AO19" s="613">
        <f t="shared" si="98"/>
        <v>32.815983520161609</v>
      </c>
      <c r="AP19" s="624">
        <f>IF(M19="","",DEGREES(ATAN2(AK19,AL19)))</f>
        <v>-31.879676093519802</v>
      </c>
      <c r="AQ19" s="625">
        <f t="shared" si="10"/>
        <v>1.8184301493798569</v>
      </c>
      <c r="AS19" s="56">
        <f t="shared" si="119"/>
        <v>-2.6081996234225926</v>
      </c>
      <c r="AT19" s="77">
        <f t="shared" si="11"/>
        <v>-2.3525539264425142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1.151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0.34748393061805544</v>
      </c>
      <c r="C20" s="771">
        <v>6.990790427171488</v>
      </c>
      <c r="D20" s="772">
        <v>-3.0791092865936074</v>
      </c>
      <c r="E20" s="773">
        <v>-0.78101870865938761</v>
      </c>
      <c r="F20" s="771">
        <v>0.62112210868069628</v>
      </c>
      <c r="G20" s="774">
        <v>6.4939224141254373E-2</v>
      </c>
      <c r="H20" s="773">
        <v>0.314</v>
      </c>
      <c r="I20" s="771">
        <v>0.52</v>
      </c>
      <c r="J20" s="601">
        <v>1.157</v>
      </c>
      <c r="K20" s="426" t="str">
        <f t="shared" si="225"/>
        <v>1613</v>
      </c>
      <c r="L20" s="858" t="s">
        <v>377</v>
      </c>
      <c r="M20" s="173">
        <f t="shared" si="2"/>
        <v>1.157</v>
      </c>
      <c r="N20" s="21">
        <f t="shared" si="3"/>
        <v>0.34748393061805544</v>
      </c>
      <c r="O20" s="5">
        <f t="shared" si="4"/>
        <v>6.990790427171488</v>
      </c>
      <c r="P20" s="10">
        <f t="shared" si="5"/>
        <v>-3.0791092865936074</v>
      </c>
      <c r="Q20" s="624">
        <f t="shared" si="116"/>
        <v>87.154400410853754</v>
      </c>
      <c r="R20" s="5">
        <f>IF(M20="","",SQRT(N20^2+O20^2))</f>
        <v>6.999421110254068</v>
      </c>
      <c r="S20" s="6">
        <f>IF(M20="","",P20)</f>
        <v>-3.0791092865936074</v>
      </c>
      <c r="T20" s="4">
        <f>IF(M20="","",X20*COS(RADIANS(W20)))</f>
        <v>6.990790427171488</v>
      </c>
      <c r="U20" s="5">
        <f>IF(M20="","",X20*SIN(RADIANS(W20)))</f>
        <v>-0.34748393061805138</v>
      </c>
      <c r="V20" s="8">
        <f>IF(M20="","",Y20)</f>
        <v>-3.0791092865936074</v>
      </c>
      <c r="W20" s="624">
        <f t="shared" si="227"/>
        <v>357.15440041085378</v>
      </c>
      <c r="X20" s="5">
        <f>IF(M20="","",R20)</f>
        <v>6.999421110254068</v>
      </c>
      <c r="Y20" s="7">
        <f t="shared" si="226"/>
        <v>-3.0791092865936074</v>
      </c>
      <c r="Z20" s="21">
        <f t="shared" si="7"/>
        <v>0.78101870865938761</v>
      </c>
      <c r="AA20" s="5">
        <f t="shared" si="8"/>
        <v>-0.62112210868069628</v>
      </c>
      <c r="AB20" s="5">
        <f t="shared" si="9"/>
        <v>-6.4939224141254373E-2</v>
      </c>
      <c r="AC20" s="8">
        <f>IF(M20="","",SQRT(Z20^2+AA20^2+AB20^2))</f>
        <v>1</v>
      </c>
      <c r="AD20" s="9">
        <f>IF(M20="","",Z20*(1/SQRT(Z20^2+AA20^2+AB20^2)))</f>
        <v>0.78101870865938761</v>
      </c>
      <c r="AE20" s="5">
        <f>IF(M20="","",AA20*(1/SQRT(Z20^2+AA20^2+AB20^2)))</f>
        <v>-0.62112210868069628</v>
      </c>
      <c r="AF20" s="10">
        <f>IF(M20="","",AB20*(1/SQRT(Z20^2+AA20^2+AB20^2)))</f>
        <v>-6.4939224141254373E-2</v>
      </c>
      <c r="AG20" s="622">
        <f>IF(M20="","",DEGREES(ATAN2(-AF20,AE20)))</f>
        <v>-84.031327358936892</v>
      </c>
      <c r="AH20" s="623">
        <f>IF(M20="","",DEGREES(ACOS(AD20)))</f>
        <v>38.646057735330686</v>
      </c>
      <c r="AI20" s="624">
        <f>IF(M20="","",DEGREES(-ACOS(-AF20)))</f>
        <v>-86.276636430340616</v>
      </c>
      <c r="AJ20" s="625">
        <f>IF(M20="","",DEGREES(ATAN2(-AE20,AD20)))</f>
        <v>51.505761734412452</v>
      </c>
      <c r="AK20" s="4">
        <f>IF(M20="","",(COS(RADIANS((90-$Q$8)-W20))*AD20)+(-SIN(RADIANS((90-$Q$8)-W20))*AE20))</f>
        <v>0.81089106859724347</v>
      </c>
      <c r="AL20" s="5">
        <f>IF(M20="","",(SIN(RADIANS((90-$Q$8)-W20))*AD20)+(COS(RADIANS((90-$Q$8)-W20))*AE20))</f>
        <v>-0.58158281614672269</v>
      </c>
      <c r="AM20" s="6">
        <f>IF(M20="","",AF20)</f>
        <v>-6.4939224141254373E-2</v>
      </c>
      <c r="AN20" s="612">
        <f>IF(M20="","",DEGREES(ATAN2(-AM20,AL20)))</f>
        <v>-83.628775103129882</v>
      </c>
      <c r="AO20" s="613">
        <f t="shared" si="98"/>
        <v>35.816917194725903</v>
      </c>
      <c r="AP20" s="624">
        <f>IF(M20="","",DEGREES(ATAN2(AK20,AL20)))</f>
        <v>-35.64863867644133</v>
      </c>
      <c r="AQ20" s="625">
        <f t="shared" si="10"/>
        <v>1.7712553223379117</v>
      </c>
      <c r="AS20" s="56">
        <f t="shared" si="119"/>
        <v>-2.845599589146218</v>
      </c>
      <c r="AT20" s="77">
        <f t="shared" si="11"/>
        <v>-3.0683592437012774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1.157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0.40199276118580834</v>
      </c>
      <c r="C21" s="771">
        <v>7.0793171696415769</v>
      </c>
      <c r="D21" s="772">
        <v>-3.8271115425684128</v>
      </c>
      <c r="E21" s="773">
        <v>-0.74358922993511456</v>
      </c>
      <c r="F21" s="771">
        <v>0.66639464357346168</v>
      </c>
      <c r="G21" s="774">
        <v>5.4710475606618764E-2</v>
      </c>
      <c r="H21" s="773">
        <v>0.314</v>
      </c>
      <c r="I21" s="771">
        <v>0.52</v>
      </c>
      <c r="J21" s="601">
        <v>1.163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1.163</v>
      </c>
      <c r="N21" s="21">
        <f t="shared" si="3"/>
        <v>0.40199276118580834</v>
      </c>
      <c r="O21" s="5">
        <f t="shared" si="4"/>
        <v>7.0793171696415769</v>
      </c>
      <c r="P21" s="10">
        <f t="shared" si="5"/>
        <v>-3.8271115425684128</v>
      </c>
      <c r="Q21" s="624">
        <f t="shared" si="116"/>
        <v>86.750000000000014</v>
      </c>
      <c r="R21" s="5">
        <f>IF(M21="","",SQRT(N21^2+O21^2))</f>
        <v>7.0907213856156988</v>
      </c>
      <c r="S21" s="6">
        <f>IF(M21="","",P21)</f>
        <v>-3.8271115425684128</v>
      </c>
      <c r="T21" s="4">
        <f>IF(M21="","",X21*COS(RADIANS(W21)))</f>
        <v>7.0793171696415769</v>
      </c>
      <c r="U21" s="5">
        <f>IF(M21="","",X21*SIN(RADIANS(W21)))</f>
        <v>-0.40199276118581051</v>
      </c>
      <c r="V21" s="8">
        <f>IF(M21="","",Y21)</f>
        <v>-3.8271115425684128</v>
      </c>
      <c r="W21" s="624">
        <f t="shared" si="227"/>
        <v>356.75</v>
      </c>
      <c r="X21" s="5">
        <f>IF(M21="","",R21)</f>
        <v>7.0907213856156988</v>
      </c>
      <c r="Y21" s="7">
        <f t="shared" si="226"/>
        <v>-3.8271115425684128</v>
      </c>
      <c r="Z21" s="21">
        <f t="shared" si="7"/>
        <v>0.74358922993511456</v>
      </c>
      <c r="AA21" s="5">
        <f t="shared" si="8"/>
        <v>-0.66639464357346168</v>
      </c>
      <c r="AB21" s="5">
        <f t="shared" si="9"/>
        <v>-5.4710475606618764E-2</v>
      </c>
      <c r="AC21" s="8">
        <f>IF(M21="","",SQRT(Z21^2+AA21^2+AB21^2))</f>
        <v>1</v>
      </c>
      <c r="AD21" s="9">
        <f>IF(M21="","",Z21*(1/SQRT(Z21^2+AA21^2+AB21^2)))</f>
        <v>0.74358922993511456</v>
      </c>
      <c r="AE21" s="5">
        <f>IF(M21="","",AA21*(1/SQRT(Z21^2+AA21^2+AB21^2)))</f>
        <v>-0.66639464357346168</v>
      </c>
      <c r="AF21" s="10">
        <f>IF(M21="","",AB21*(1/SQRT(Z21^2+AA21^2+AB21^2)))</f>
        <v>-5.4710475606618764E-2</v>
      </c>
      <c r="AG21" s="622">
        <f>IF(M21="","",DEGREES(ATAN2(-AF21,AE21)))</f>
        <v>-85.306587694257715</v>
      </c>
      <c r="AH21" s="623">
        <f>IF(M21="","",DEGREES(ACOS(AD21)))</f>
        <v>41.961932843665437</v>
      </c>
      <c r="AI21" s="624">
        <f>IF(M21="","",DEGREES(-ACOS(-AF21)))</f>
        <v>-86.863754736529643</v>
      </c>
      <c r="AJ21" s="625">
        <f>IF(M21="","",DEGREES(ATAN2(-AE21,AD21)))</f>
        <v>48.133732885494105</v>
      </c>
      <c r="AK21" s="4">
        <f>IF(M21="","",(COS(RADIANS((90-$Q$8)-W21))*AD21)+(-SIN(RADIANS((90-$Q$8)-W21))*AE21))</f>
        <v>0.78017306344485471</v>
      </c>
      <c r="AL21" s="5">
        <f>IF(M21="","",(SIN(RADIANS((90-$Q$8)-W21))*AD21)+(COS(RADIANS((90-$Q$8)-W21))*AE21))</f>
        <v>-0.62316671520065026</v>
      </c>
      <c r="AM21" s="6">
        <f>IF(M21="","",AF21)</f>
        <v>-5.4710475606618764E-2</v>
      </c>
      <c r="AN21" s="612">
        <f>IF(M21="","",DEGREES(ATAN2(-AM21,AL21)))</f>
        <v>-84.982622709260156</v>
      </c>
      <c r="AO21" s="613">
        <f>IF(ROUND(IF(M21="",0,DEGREES(ACOS(AK21))),4)=90,0,IF(M21="","",DEGREES(ACOS(AK21))))</f>
        <v>38.723576340560797</v>
      </c>
      <c r="AP21" s="624">
        <f>IF(M21="","",DEGREES(ATAN2(AK21,AL21)))</f>
        <v>-38.616267114505881</v>
      </c>
      <c r="AQ21" s="625">
        <f t="shared" si="10"/>
        <v>1.748462850949563</v>
      </c>
      <c r="AS21" s="56">
        <f t="shared" si="119"/>
        <v>-3.25</v>
      </c>
      <c r="AT21" s="77">
        <f t="shared" si="11"/>
        <v>-3.814833764790635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1.163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0.43750435857655096</v>
      </c>
      <c r="C22" s="771">
        <v>7.1531330328903096</v>
      </c>
      <c r="D22" s="772">
        <v>-4.5864138326241184</v>
      </c>
      <c r="E22" s="773">
        <v>-0.72537444039686494</v>
      </c>
      <c r="F22" s="771">
        <v>0.68835450257764275</v>
      </c>
      <c r="G22" s="774">
        <v>1.457809318607852E-7</v>
      </c>
      <c r="H22" s="773">
        <v>0.314</v>
      </c>
      <c r="I22" s="771">
        <v>0.52</v>
      </c>
      <c r="J22" s="601">
        <v>1.169</v>
      </c>
      <c r="K22" s="426" t="str">
        <f t="shared" si="225"/>
        <v>1613</v>
      </c>
      <c r="L22" s="327"/>
      <c r="M22" s="173">
        <f t="shared" si="2"/>
        <v>1.169</v>
      </c>
      <c r="N22" s="21">
        <f t="shared" si="3"/>
        <v>0.43750435857655096</v>
      </c>
      <c r="O22" s="5">
        <f t="shared" si="4"/>
        <v>7.1531330328903096</v>
      </c>
      <c r="P22" s="10">
        <f t="shared" si="5"/>
        <v>-4.5864138326241184</v>
      </c>
      <c r="Q22" s="624">
        <f t="shared" si="116"/>
        <v>86.500000000000014</v>
      </c>
      <c r="R22" s="5">
        <f t="shared" si="83"/>
        <v>7.1665000000000001</v>
      </c>
      <c r="S22" s="6">
        <f t="shared" si="84"/>
        <v>-4.5864138326241184</v>
      </c>
      <c r="T22" s="4">
        <f t="shared" si="85"/>
        <v>7.1531330328903096</v>
      </c>
      <c r="U22" s="5">
        <f t="shared" si="86"/>
        <v>-0.43750435857655173</v>
      </c>
      <c r="V22" s="8">
        <f t="shared" si="117"/>
        <v>-4.5864138326241184</v>
      </c>
      <c r="W22" s="624">
        <f t="shared" si="227"/>
        <v>356.5</v>
      </c>
      <c r="X22" s="5">
        <f t="shared" si="87"/>
        <v>7.1665000000000001</v>
      </c>
      <c r="Y22" s="7">
        <f t="shared" si="226"/>
        <v>-4.5864138326241184</v>
      </c>
      <c r="Z22" s="21">
        <f t="shared" si="7"/>
        <v>0.72537444039686494</v>
      </c>
      <c r="AA22" s="5">
        <f t="shared" si="8"/>
        <v>-0.68835450257764275</v>
      </c>
      <c r="AB22" s="5">
        <f t="shared" si="9"/>
        <v>-1.457809318607852E-7</v>
      </c>
      <c r="AC22" s="8">
        <f t="shared" si="88"/>
        <v>1</v>
      </c>
      <c r="AD22" s="9">
        <f t="shared" si="118"/>
        <v>0.72537444039686494</v>
      </c>
      <c r="AE22" s="5">
        <f t="shared" si="89"/>
        <v>-0.68835450257764275</v>
      </c>
      <c r="AF22" s="10">
        <f t="shared" si="90"/>
        <v>-1.457809318607852E-7</v>
      </c>
      <c r="AG22" s="622">
        <f t="shared" si="91"/>
        <v>-89.999987865798659</v>
      </c>
      <c r="AH22" s="623">
        <f t="shared" si="92"/>
        <v>43.499994224715287</v>
      </c>
      <c r="AI22" s="624">
        <f t="shared" si="93"/>
        <v>-89.999991647367878</v>
      </c>
      <c r="AJ22" s="625">
        <f t="shared" si="94"/>
        <v>46.500005775285345</v>
      </c>
      <c r="AK22" s="4">
        <f t="shared" si="213"/>
        <v>0.76604450791050727</v>
      </c>
      <c r="AL22" s="5">
        <f t="shared" si="95"/>
        <v>-0.64278753247097731</v>
      </c>
      <c r="AM22" s="6">
        <f t="shared" si="96"/>
        <v>-1.457809318607852E-7</v>
      </c>
      <c r="AN22" s="612">
        <f t="shared" si="97"/>
        <v>-89.999987005609626</v>
      </c>
      <c r="AO22" s="613">
        <f t="shared" si="98"/>
        <v>39.99999422471538</v>
      </c>
      <c r="AP22" s="624">
        <f t="shared" si="99"/>
        <v>-39.999994224714662</v>
      </c>
      <c r="AQ22" s="625">
        <f t="shared" si="10"/>
        <v>1.7299858889538158</v>
      </c>
      <c r="AS22" s="56">
        <f t="shared" si="119"/>
        <v>-3.5</v>
      </c>
      <c r="AT22" s="77">
        <f t="shared" si="11"/>
        <v>-4.5731916104018966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1.169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</v>
      </c>
      <c r="B23" s="770">
        <v>1.1874209622614451</v>
      </c>
      <c r="C23" s="771">
        <v>3.8754833827551742</v>
      </c>
      <c r="D23" s="772">
        <v>-4.3200130291592968E-2</v>
      </c>
      <c r="E23" s="773">
        <v>2.145496675588866E-2</v>
      </c>
      <c r="F23" s="771">
        <v>7.0025112452268432E-2</v>
      </c>
      <c r="G23" s="774">
        <v>0.99731447799956807</v>
      </c>
      <c r="H23" s="773">
        <v>0.26250000000000001</v>
      </c>
      <c r="I23" s="771">
        <v>0.40699999999999997</v>
      </c>
      <c r="J23" s="601">
        <v>1.2210000000000001</v>
      </c>
      <c r="K23" s="426" t="str">
        <f t="shared" si="225"/>
        <v/>
      </c>
      <c r="L23" s="327"/>
      <c r="M23" s="173">
        <f t="shared" si="2"/>
        <v>1.2210000000000001</v>
      </c>
      <c r="N23" s="21">
        <f t="shared" si="3"/>
        <v>1.1874209622614451</v>
      </c>
      <c r="O23" s="5">
        <f t="shared" si="4"/>
        <v>3.8754833827551742</v>
      </c>
      <c r="P23" s="10">
        <f t="shared" si="5"/>
        <v>-4.3200130291592968E-2</v>
      </c>
      <c r="Q23" s="624">
        <f t="shared" si="116"/>
        <v>72.965302459506034</v>
      </c>
      <c r="R23" s="5">
        <f t="shared" si="83"/>
        <v>4.0533122247896696</v>
      </c>
      <c r="S23" s="6">
        <f t="shared" si="84"/>
        <v>-4.3200130291592968E-2</v>
      </c>
      <c r="T23" s="4">
        <f t="shared" si="85"/>
        <v>3.8754833827551733</v>
      </c>
      <c r="U23" s="5">
        <f t="shared" si="86"/>
        <v>-1.187420962261446</v>
      </c>
      <c r="V23" s="8">
        <f t="shared" si="117"/>
        <v>-4.3200130291592968E-2</v>
      </c>
      <c r="W23" s="624">
        <f t="shared" si="227"/>
        <v>342.96530245950601</v>
      </c>
      <c r="X23" s="5">
        <f t="shared" si="87"/>
        <v>4.0533122247896696</v>
      </c>
      <c r="Y23" s="7">
        <f t="shared" si="226"/>
        <v>-4.3200130291592968E-2</v>
      </c>
      <c r="Z23" s="21">
        <f t="shared" si="7"/>
        <v>-2.145496675588866E-2</v>
      </c>
      <c r="AA23" s="5">
        <f t="shared" si="8"/>
        <v>-7.0025112452268432E-2</v>
      </c>
      <c r="AB23" s="5">
        <f t="shared" si="9"/>
        <v>-0.99731447799956807</v>
      </c>
      <c r="AC23" s="8">
        <f t="shared" si="88"/>
        <v>1</v>
      </c>
      <c r="AD23" s="9">
        <f t="shared" si="118"/>
        <v>-2.145496675588866E-2</v>
      </c>
      <c r="AE23" s="5">
        <f t="shared" si="89"/>
        <v>-7.0025112452268432E-2</v>
      </c>
      <c r="AF23" s="10">
        <f t="shared" si="90"/>
        <v>-0.99731447799956807</v>
      </c>
      <c r="AG23" s="622">
        <f t="shared" si="91"/>
        <v>-4.0163556137256435</v>
      </c>
      <c r="AH23" s="623">
        <f t="shared" si="92"/>
        <v>91.229373373633237</v>
      </c>
      <c r="AI23" s="624">
        <f t="shared" si="93"/>
        <v>-4.1999993936151441</v>
      </c>
      <c r="AJ23" s="625">
        <f t="shared" si="94"/>
        <v>-17.034520114058342</v>
      </c>
      <c r="AK23" s="4">
        <f t="shared" si="213"/>
        <v>2.2679489671342812E-7</v>
      </c>
      <c r="AL23" s="5">
        <f t="shared" si="95"/>
        <v>-7.3238186572290892E-2</v>
      </c>
      <c r="AM23" s="6">
        <f t="shared" si="96"/>
        <v>-0.99731447799956807</v>
      </c>
      <c r="AN23" s="612">
        <f t="shared" si="97"/>
        <v>-4.1999993935951148</v>
      </c>
      <c r="AO23" s="613">
        <f t="shared" si="98"/>
        <v>0</v>
      </c>
      <c r="AP23" s="624">
        <f t="shared" si="99"/>
        <v>-89.999822573564359</v>
      </c>
      <c r="AQ23" s="625">
        <f t="shared" si="10"/>
        <v>3.0567456500561305</v>
      </c>
      <c r="AS23" s="56">
        <f t="shared" si="119"/>
        <v>-17.034697540493994</v>
      </c>
      <c r="AT23" s="77">
        <f t="shared" si="11"/>
        <v>2.1153171528051011E-2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>
        <f>IFERROR(IF($IU23="","",IF($IU23&lt;(((Settings!$C$19/2)*-1)*$IE$8),"",1)),"")</f>
        <v>1</v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1.2210000000000001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800" cm="1">
        <f t="array" ref="II23">IFERROR(IF($IH23&lt;1,$IH23+LARGE((IF($M$9:$M$150="",0,$M$9:$M$150)-MOD(IF($M$9:$M$150="",0,$M$9:$M$150),1)),1),$IH23),"")</f>
        <v>1.121</v>
      </c>
      <c r="IJ23" s="839" t="str">
        <f t="shared" si="68"/>
        <v>1613</v>
      </c>
      <c r="IK23" s="839" t="str">
        <f t="shared" si="69"/>
        <v/>
      </c>
      <c r="IL23" s="791">
        <f t="shared" si="228"/>
        <v>16.975997548969247</v>
      </c>
      <c r="IM23" s="830">
        <v>4.8610036911012301E-3</v>
      </c>
      <c r="IN23" s="5">
        <f t="shared" si="229"/>
        <v>0.08</v>
      </c>
      <c r="IO23" s="852">
        <v>40</v>
      </c>
      <c r="IP23" s="9">
        <f t="shared" si="230"/>
        <v>-4.0505122163448455</v>
      </c>
      <c r="IQ23" s="5">
        <f t="shared" si="231"/>
        <v>-7.0700213231842973E-2</v>
      </c>
      <c r="IR23" s="5">
        <f t="shared" si="74"/>
        <v>0.314</v>
      </c>
      <c r="IS23" s="5">
        <f t="shared" si="232"/>
        <v>0.29498633359422805</v>
      </c>
      <c r="IT23" s="791">
        <f t="shared" si="233"/>
        <v>8.0260311800391158</v>
      </c>
      <c r="IU23" s="9">
        <f t="shared" si="234"/>
        <v>-4.0533122247896696</v>
      </c>
      <c r="IV23" s="5">
        <f t="shared" si="235"/>
        <v>-4.3200130291592968E-2</v>
      </c>
      <c r="IW23" s="5">
        <f t="shared" si="79"/>
        <v>0.26250000000000001</v>
      </c>
      <c r="IX23" s="5">
        <f t="shared" si="236"/>
        <v>0.26250000000000001</v>
      </c>
      <c r="IY23" s="833">
        <f t="shared" si="237"/>
        <v>4.1999993935951148</v>
      </c>
    </row>
    <row r="24" spans="1:259" ht="15" customHeight="1" x14ac:dyDescent="0.25">
      <c r="A24" s="84">
        <f t="shared" si="82"/>
        <v>0</v>
      </c>
      <c r="B24" s="770">
        <v>1.4314396120477515</v>
      </c>
      <c r="C24" s="771">
        <v>4.5933392759831664</v>
      </c>
      <c r="D24" s="772">
        <v>-0.21410064572754667</v>
      </c>
      <c r="E24" s="773">
        <v>7.2983987119499869E-2</v>
      </c>
      <c r="F24" s="771">
        <v>0.23419870659661671</v>
      </c>
      <c r="G24" s="774">
        <v>0.96944535867299542</v>
      </c>
      <c r="H24" s="773">
        <v>0.26250000000000001</v>
      </c>
      <c r="I24" s="771">
        <v>0.40699999999999997</v>
      </c>
      <c r="J24" s="601">
        <v>1.2270000000000001</v>
      </c>
      <c r="K24" s="426" t="str">
        <f t="shared" si="225"/>
        <v/>
      </c>
      <c r="L24" s="327"/>
      <c r="M24" s="173">
        <f t="shared" si="2"/>
        <v>1.2270000000000001</v>
      </c>
      <c r="N24" s="21">
        <f t="shared" si="3"/>
        <v>1.4314396120477515</v>
      </c>
      <c r="O24" s="5">
        <f t="shared" si="4"/>
        <v>4.5933392759831664</v>
      </c>
      <c r="P24" s="10">
        <f t="shared" si="5"/>
        <v>-0.21410064572754667</v>
      </c>
      <c r="Q24" s="624">
        <f t="shared" si="116"/>
        <v>72.691202499081172</v>
      </c>
      <c r="R24" s="5">
        <f t="shared" si="83"/>
        <v>4.8112145106229649</v>
      </c>
      <c r="S24" s="6">
        <f t="shared" si="84"/>
        <v>-0.21410064572754667</v>
      </c>
      <c r="T24" s="4">
        <f t="shared" si="85"/>
        <v>4.5933392759831664</v>
      </c>
      <c r="U24" s="5">
        <f t="shared" si="86"/>
        <v>-1.4314396120477522</v>
      </c>
      <c r="V24" s="8">
        <f t="shared" si="117"/>
        <v>-0.21410064572754667</v>
      </c>
      <c r="W24" s="624">
        <f t="shared" si="227"/>
        <v>342.69120249908116</v>
      </c>
      <c r="X24" s="5">
        <f t="shared" si="87"/>
        <v>4.8112145106229649</v>
      </c>
      <c r="Y24" s="7">
        <f t="shared" si="226"/>
        <v>-0.21410064572754667</v>
      </c>
      <c r="Z24" s="21">
        <f t="shared" si="7"/>
        <v>-7.2983987119499869E-2</v>
      </c>
      <c r="AA24" s="5">
        <f t="shared" si="8"/>
        <v>-0.23419870659661671</v>
      </c>
      <c r="AB24" s="5">
        <f t="shared" si="9"/>
        <v>-0.96944535867299542</v>
      </c>
      <c r="AC24" s="8">
        <f t="shared" si="88"/>
        <v>1</v>
      </c>
      <c r="AD24" s="9">
        <f t="shared" si="118"/>
        <v>-7.2983987119499869E-2</v>
      </c>
      <c r="AE24" s="5">
        <f t="shared" si="89"/>
        <v>-0.23419870659661671</v>
      </c>
      <c r="AF24" s="10">
        <f t="shared" si="90"/>
        <v>-0.96944535867299542</v>
      </c>
      <c r="AG24" s="622">
        <f t="shared" si="91"/>
        <v>-13.58130489332056</v>
      </c>
      <c r="AH24" s="623">
        <f t="shared" si="92"/>
        <v>94.185395755550118</v>
      </c>
      <c r="AI24" s="624">
        <f t="shared" si="93"/>
        <v>-14.199997949779753</v>
      </c>
      <c r="AJ24" s="625">
        <f t="shared" si="94"/>
        <v>-17.308744529043626</v>
      </c>
      <c r="AK24" s="4">
        <f>IF(M24="","",(COS(RADIANS((90-$Q$8)-W24))*AD24)+(-SIN(RADIANS((90-$Q$8)-W24))*AE24))</f>
        <v>2.2679489673771425E-7</v>
      </c>
      <c r="AL24" s="5">
        <f t="shared" si="95"/>
        <v>-0.24530735118894428</v>
      </c>
      <c r="AM24" s="6">
        <f t="shared" si="96"/>
        <v>-0.96944535867299542</v>
      </c>
      <c r="AN24" s="612">
        <f t="shared" si="97"/>
        <v>-14.199997949773959</v>
      </c>
      <c r="AO24" s="613">
        <f t="shared" si="98"/>
        <v>0</v>
      </c>
      <c r="AP24" s="624">
        <f t="shared" si="99"/>
        <v>-89.99994702812478</v>
      </c>
      <c r="AQ24" s="625">
        <f t="shared" si="10"/>
        <v>2.5759308819720474</v>
      </c>
      <c r="AS24" s="56">
        <f t="shared" si="119"/>
        <v>-17.308797500918843</v>
      </c>
      <c r="AT24" s="77">
        <f t="shared" si="11"/>
        <v>-0.14871185516851992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>
        <f>IFERROR(IF($IU24="","",IF($IU24&lt;(((Settings!$C$19/2)*-1)*$IE$8),"",1)),"")</f>
        <v>1</v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1.2270000000000001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800" cm="1">
        <f t="array" ref="II24">IFERROR(IF($IH24&lt;1,$IH24+LARGE((IF($M$9:$M$150="",0,$M$9:$M$150)-MOD(IF($M$9:$M$150="",0,$M$9:$M$150),1)),1),$IH24),"")</f>
        <v>1.127</v>
      </c>
      <c r="IJ24" s="839" t="str">
        <f t="shared" si="68"/>
        <v>1613</v>
      </c>
      <c r="IK24" s="839" t="str">
        <f t="shared" si="69"/>
        <v/>
      </c>
      <c r="IL24" s="791">
        <f t="shared" si="228"/>
        <v>16.841797568345271</v>
      </c>
      <c r="IM24" s="830">
        <v>3.79450971546821E-3</v>
      </c>
      <c r="IN24" s="5">
        <f t="shared" si="229"/>
        <v>0.06</v>
      </c>
      <c r="IO24" s="852">
        <v>30</v>
      </c>
      <c r="IP24" s="9">
        <f t="shared" si="230"/>
        <v>-4.8017144819708779</v>
      </c>
      <c r="IQ24" s="5">
        <f t="shared" si="231"/>
        <v>-0.24060072565178883</v>
      </c>
      <c r="IR24" s="5">
        <f t="shared" si="74"/>
        <v>0.314</v>
      </c>
      <c r="IS24" s="5">
        <f t="shared" si="232"/>
        <v>0.29433608128447752</v>
      </c>
      <c r="IT24" s="791">
        <f t="shared" si="233"/>
        <v>25.822677428956467</v>
      </c>
      <c r="IU24" s="9">
        <f t="shared" si="234"/>
        <v>-4.8112145106229649</v>
      </c>
      <c r="IV24" s="5">
        <f t="shared" si="235"/>
        <v>-0.21410064572754667</v>
      </c>
      <c r="IW24" s="5">
        <f t="shared" si="79"/>
        <v>0.26250000000000001</v>
      </c>
      <c r="IX24" s="5">
        <f t="shared" si="236"/>
        <v>0.26250000000000001</v>
      </c>
      <c r="IY24" s="833">
        <f t="shared" si="237"/>
        <v>14.199997949773959</v>
      </c>
    </row>
    <row r="25" spans="1:259" ht="15" customHeight="1" x14ac:dyDescent="0.25">
      <c r="A25" s="84">
        <f t="shared" si="82"/>
        <v>0</v>
      </c>
      <c r="B25" s="770">
        <v>1.6585743477594368</v>
      </c>
      <c r="C25" s="771">
        <v>5.2397833291527558</v>
      </c>
      <c r="D25" s="772">
        <v>-0.55420167147223987</v>
      </c>
      <c r="E25" s="773">
        <v>0.12274374961941174</v>
      </c>
      <c r="F25" s="771">
        <v>0.3877739338913791</v>
      </c>
      <c r="G25" s="774">
        <v>0.91354548224145449</v>
      </c>
      <c r="H25" s="773">
        <v>0.26250000000000001</v>
      </c>
      <c r="I25" s="771">
        <v>0.40699999999999997</v>
      </c>
      <c r="J25" s="601">
        <v>1.2330000000000001</v>
      </c>
      <c r="K25" s="426" t="str">
        <f t="shared" si="225"/>
        <v/>
      </c>
      <c r="L25" s="327"/>
      <c r="M25" s="173">
        <f t="shared" si="2"/>
        <v>1.2330000000000001</v>
      </c>
      <c r="N25" s="21">
        <f t="shared" si="3"/>
        <v>1.6585743477594368</v>
      </c>
      <c r="O25" s="5">
        <f t="shared" si="4"/>
        <v>5.2397833291527558</v>
      </c>
      <c r="P25" s="10">
        <f t="shared" si="5"/>
        <v>-0.55420167147223987</v>
      </c>
      <c r="Q25" s="624">
        <f t="shared" si="116"/>
        <v>72.435602535985225</v>
      </c>
      <c r="R25" s="5">
        <f>IF(M25="","",SQRT(N25^2+O25^2))</f>
        <v>5.4960165759859914</v>
      </c>
      <c r="S25" s="6">
        <f>IF(M25="","",P25)</f>
        <v>-0.55420167147223987</v>
      </c>
      <c r="T25" s="4">
        <f>IF(M25="","",X25*COS(RADIANS(W25)))</f>
        <v>5.2397833291527567</v>
      </c>
      <c r="U25" s="5">
        <f>IF(M25="","",X25*SIN(RADIANS(W25)))</f>
        <v>-1.6585743477594335</v>
      </c>
      <c r="V25" s="8">
        <f>IF(M25="","",Y25)</f>
        <v>-0.55420167147223987</v>
      </c>
      <c r="W25" s="624">
        <f t="shared" si="227"/>
        <v>342.43560253598525</v>
      </c>
      <c r="X25" s="5">
        <f>IF(M25="","",R25)</f>
        <v>5.4960165759859914</v>
      </c>
      <c r="Y25" s="7">
        <f t="shared" si="226"/>
        <v>-0.55420167147223987</v>
      </c>
      <c r="Z25" s="21">
        <f t="shared" si="7"/>
        <v>-0.12274374961941174</v>
      </c>
      <c r="AA25" s="5">
        <f t="shared" si="8"/>
        <v>-0.3877739338913791</v>
      </c>
      <c r="AB25" s="5">
        <f t="shared" si="9"/>
        <v>-0.91354548224145449</v>
      </c>
      <c r="AC25" s="8">
        <f>IF(M25="","",SQRT(Z25^2+AA25^2+AB25^2))</f>
        <v>1</v>
      </c>
      <c r="AD25" s="9">
        <f>IF(M25="","",Z25*(1/SQRT(Z25^2+AA25^2+AB25^2)))</f>
        <v>-0.12274374961941174</v>
      </c>
      <c r="AE25" s="5">
        <f>IF(M25="","",AA25*(1/SQRT(Z25^2+AA25^2+AB25^2)))</f>
        <v>-0.3877739338913791</v>
      </c>
      <c r="AF25" s="10">
        <f>IF(M25="","",AB25*(1/SQRT(Z25^2+AA25^2+AB25^2)))</f>
        <v>-0.91354548224145449</v>
      </c>
      <c r="AG25" s="622">
        <f>IF(M25="","",DEGREES(ATAN2(-AF25,AE25)))</f>
        <v>-22.99983436519214</v>
      </c>
      <c r="AH25" s="623">
        <f>IF(M25="","",DEGREES(ACOS(AD25)))</f>
        <v>97.05047876312176</v>
      </c>
      <c r="AI25" s="624">
        <f>IF(M25="","",DEGREES(-ACOS(-AF25)))</f>
        <v>-23.999996534832512</v>
      </c>
      <c r="AJ25" s="625">
        <f>IF(M25="","",DEGREES(ATAN2(-AE25,AD25)))</f>
        <v>-17.564365516088806</v>
      </c>
      <c r="AK25" s="4">
        <f>IF(M25="","",(COS(RADIANS((90-$Q$8)-W25))*AD25)+(-SIN(RADIANS((90-$Q$8)-W25))*AE25))</f>
        <v>2.2679489641852513E-7</v>
      </c>
      <c r="AL25" s="5">
        <f>IF(M25="","",(SIN(RADIANS((90-$Q$8)-W25))*AD25)+(COS(RADIANS((90-$Q$8)-W25))*AE25))</f>
        <v>-0.40673658782580285</v>
      </c>
      <c r="AM25" s="6">
        <f>IF(M25="","",AF25)</f>
        <v>-0.91354548224145449</v>
      </c>
      <c r="AN25" s="612">
        <f>IF(M25="","",DEGREES(ATAN2(-AM25,AL25)))</f>
        <v>-23.999996534829222</v>
      </c>
      <c r="AO25" s="613">
        <f>IF(ROUND(IF(M25="",0,DEGREES(ACOS(AK25))),4)=90,0,IF(M25="","",DEGREES(ACOS(AK25))))</f>
        <v>0</v>
      </c>
      <c r="AP25" s="624">
        <f>IF(M25="","",DEGREES(ATAN2(AK25,AL25)))</f>
        <v>-89.999968052074081</v>
      </c>
      <c r="AQ25" s="625">
        <f t="shared" si="10"/>
        <v>2.2553256218356497</v>
      </c>
      <c r="AS25" s="56">
        <f t="shared" si="119"/>
        <v>-17.564397464014746</v>
      </c>
      <c r="AT25" s="77">
        <f t="shared" si="11"/>
        <v>-0.48784728105262859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>
        <f>IFERROR(IF($IU25="","",IF($IU25&lt;(((Settings!$C$19/2)*-1)*$IE$8),"",1)),"")</f>
        <v>1</v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1.2330000000000001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800" cm="1">
        <f t="array" ref="II25">IFERROR(IF($IH25&lt;1,$IH25+LARGE((IF($M$9:$M$150="",0,$M$9:$M$150)-MOD(IF($M$9:$M$150="",0,$M$9:$M$150),1)),1),$IH25),"")</f>
        <v>1.133</v>
      </c>
      <c r="IJ25" s="839" t="str">
        <f t="shared" si="68"/>
        <v>1613</v>
      </c>
      <c r="IK25" s="839" t="str">
        <f t="shared" si="69"/>
        <v/>
      </c>
      <c r="IL25" s="791">
        <f t="shared" si="228"/>
        <v>16.503697617160867</v>
      </c>
      <c r="IM25" s="830">
        <v>1.83659657778276E-3</v>
      </c>
      <c r="IN25" s="5">
        <f t="shared" si="229"/>
        <v>0.02</v>
      </c>
      <c r="IO25" s="852">
        <v>10</v>
      </c>
      <c r="IP25" s="9">
        <f t="shared" si="230"/>
        <v>-5.4803165286346491</v>
      </c>
      <c r="IQ25" s="5">
        <f t="shared" si="231"/>
        <v>-0.57870174536446362</v>
      </c>
      <c r="IR25" s="5">
        <f t="shared" si="74"/>
        <v>0.314</v>
      </c>
      <c r="IS25" s="5">
        <f t="shared" si="232"/>
        <v>0.29317795489785908</v>
      </c>
      <c r="IT25" s="791">
        <f t="shared" si="233"/>
        <v>42.373025077311517</v>
      </c>
      <c r="IU25" s="9">
        <f t="shared" si="234"/>
        <v>-5.4960165759859914</v>
      </c>
      <c r="IV25" s="5">
        <f t="shared" si="235"/>
        <v>-0.55420167147223987</v>
      </c>
      <c r="IW25" s="5">
        <f t="shared" si="79"/>
        <v>0.26250000000000001</v>
      </c>
      <c r="IX25" s="5">
        <f t="shared" si="236"/>
        <v>0.26250000000000001</v>
      </c>
      <c r="IY25" s="833">
        <f t="shared" si="237"/>
        <v>23.999996534829222</v>
      </c>
    </row>
    <row r="26" spans="1:259" ht="15" customHeight="1" x14ac:dyDescent="0.25">
      <c r="A26" s="84">
        <f t="shared" si="82"/>
        <v>0</v>
      </c>
      <c r="B26" s="770">
        <v>1.8825700381990096</v>
      </c>
      <c r="C26" s="771">
        <v>5.7839585047230679</v>
      </c>
      <c r="D26" s="772">
        <v>-1.0473031586663273</v>
      </c>
      <c r="E26" s="773">
        <v>0.17262184248242679</v>
      </c>
      <c r="F26" s="771">
        <v>0.53035952616624571</v>
      </c>
      <c r="G26" s="774">
        <v>0.83001233274132002</v>
      </c>
      <c r="H26" s="773">
        <v>0.26250000000000001</v>
      </c>
      <c r="I26" s="771">
        <v>0.40699999999999997</v>
      </c>
      <c r="J26" s="601">
        <v>1.2390000000000001</v>
      </c>
      <c r="K26" s="426" t="str">
        <f t="shared" si="225"/>
        <v/>
      </c>
      <c r="L26" s="327"/>
      <c r="M26" s="173">
        <f t="shared" si="2"/>
        <v>1.2390000000000001</v>
      </c>
      <c r="N26" s="21">
        <f t="shared" si="3"/>
        <v>1.8825700381990096</v>
      </c>
      <c r="O26" s="5">
        <f t="shared" si="4"/>
        <v>5.7839585047230679</v>
      </c>
      <c r="P26" s="10">
        <f t="shared" si="5"/>
        <v>-1.0473031586663273</v>
      </c>
      <c r="Q26" s="624">
        <f t="shared" si="116"/>
        <v>71.970902603079594</v>
      </c>
      <c r="R26" s="5">
        <f>IF(M26="","",SQRT(N26^2+O26^2))</f>
        <v>6.0826183451769298</v>
      </c>
      <c r="S26" s="6">
        <f>IF(M26="","",P26)</f>
        <v>-1.0473031586663273</v>
      </c>
      <c r="T26" s="4">
        <f>IF(M26="","",X26*COS(RADIANS(W26)))</f>
        <v>5.7839585047230671</v>
      </c>
      <c r="U26" s="5">
        <f>IF(M26="","",X26*SIN(RADIANS(W26)))</f>
        <v>-1.8825700381990125</v>
      </c>
      <c r="V26" s="8">
        <f>IF(M26="","",Y26)</f>
        <v>-1.0473031586663273</v>
      </c>
      <c r="W26" s="624">
        <f t="shared" si="227"/>
        <v>341.97090260307959</v>
      </c>
      <c r="X26" s="5">
        <f>IF(M26="","",R26)</f>
        <v>6.0826183451769298</v>
      </c>
      <c r="Y26" s="7">
        <f t="shared" si="226"/>
        <v>-1.0473031586663273</v>
      </c>
      <c r="Z26" s="21">
        <f t="shared" si="7"/>
        <v>-0.17262184248242679</v>
      </c>
      <c r="AA26" s="5">
        <f t="shared" si="8"/>
        <v>-0.53035952616624571</v>
      </c>
      <c r="AB26" s="5">
        <f t="shared" si="9"/>
        <v>-0.83001233274132002</v>
      </c>
      <c r="AC26" s="8">
        <f>IF(M26="","",SQRT(Z26^2+AA26^2+AB26^2))</f>
        <v>1</v>
      </c>
      <c r="AD26" s="9">
        <f>IF(M26="","",Z26*(1/SQRT(Z26^2+AA26^2+AB26^2)))</f>
        <v>-0.17262184248242679</v>
      </c>
      <c r="AE26" s="5">
        <f>IF(M26="","",AA26*(1/SQRT(Z26^2+AA26^2+AB26^2)))</f>
        <v>-0.53035952616624571</v>
      </c>
      <c r="AF26" s="10">
        <f>IF(M26="","",AB26*(1/SQRT(Z26^2+AA26^2+AB26^2)))</f>
        <v>-0.83001233274132002</v>
      </c>
      <c r="AG26" s="622">
        <f>IF(M26="","",DEGREES(ATAN2(-AF26,AE26)))</f>
        <v>-32.577678111097093</v>
      </c>
      <c r="AH26" s="623">
        <f>IF(M26="","",DEGREES(ACOS(AD26)))</f>
        <v>99.940293643253213</v>
      </c>
      <c r="AI26" s="624">
        <f>IF(M26="","",DEGREES(-ACOS(-AF26)))</f>
        <v>-33.89999510544849</v>
      </c>
      <c r="AJ26" s="625">
        <f>IF(M26="","",DEGREES(ATAN2(-AE26,AD26)))</f>
        <v>-18.029074098837025</v>
      </c>
      <c r="AK26" s="4">
        <f>IF(M26="","",(COS(RADIANS((90-$Q$8)-W26))*AD26)+(-SIN(RADIANS((90-$Q$8)-W26))*AE26))</f>
        <v>2.2679489702914779E-7</v>
      </c>
      <c r="AL26" s="5">
        <f>IF(M26="","",(SIN(RADIANS((90-$Q$8)-W26))*AD26)+(COS(RADIANS((90-$Q$8)-W26))*AE26))</f>
        <v>-0.5577450380749801</v>
      </c>
      <c r="AM26" s="6">
        <f>IF(M26="","",AF26)</f>
        <v>-0.83001233274132002</v>
      </c>
      <c r="AN26" s="612">
        <f>IF(M26="","",DEGREES(ATAN2(-AM26,AL26)))</f>
        <v>-33.899995105446308</v>
      </c>
      <c r="AO26" s="613">
        <f t="shared" si="98"/>
        <v>0</v>
      </c>
      <c r="AP26" s="624">
        <f>IF(M26="","",DEGREES(ATAN2(AK26,AL26)))</f>
        <v>-89.999976701916594</v>
      </c>
      <c r="AQ26" s="625">
        <f t="shared" si="10"/>
        <v>2.0380174097638717</v>
      </c>
      <c r="AS26" s="56">
        <f t="shared" si="119"/>
        <v>-18.029097396920406</v>
      </c>
      <c r="AT26" s="77">
        <f t="shared" si="11"/>
        <v>-0.9791932351668502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1.2390000000000001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800" cm="1">
        <f t="array" ref="II26">IFERROR(IF($IH26&lt;1,$IH26+LARGE((IF($M$9:$M$150="",0,$M$9:$M$150)-MOD(IF($M$9:$M$150="",0,$M$9:$M$150),1)),1),$IH26),"")</f>
        <v>1.139</v>
      </c>
      <c r="IJ26" s="839" t="str">
        <f t="shared" si="68"/>
        <v>1613</v>
      </c>
      <c r="IK26" s="839" t="str">
        <f t="shared" si="69"/>
        <v/>
      </c>
      <c r="IL26" s="791">
        <f t="shared" si="228"/>
        <v>16.340497640724038</v>
      </c>
      <c r="IM26" s="830">
        <v>1.8865853197273401E-4</v>
      </c>
      <c r="IN26" s="5">
        <f t="shared" si="229"/>
        <v>0</v>
      </c>
      <c r="IO26" s="852">
        <v>0</v>
      </c>
      <c r="IP26" s="9">
        <f t="shared" si="230"/>
        <v>-6.065618293904774</v>
      </c>
      <c r="IQ26" s="5">
        <f t="shared" si="231"/>
        <v>-1.0619032027000597</v>
      </c>
      <c r="IR26" s="5">
        <f t="shared" si="74"/>
        <v>0.314</v>
      </c>
      <c r="IS26" s="5">
        <f t="shared" si="232"/>
        <v>0.2836235948016802</v>
      </c>
      <c r="IT26" s="791">
        <f t="shared" si="233"/>
        <v>54.309536854907314</v>
      </c>
      <c r="IU26" s="9">
        <f t="shared" si="234"/>
        <v>-6.0826183451769298</v>
      </c>
      <c r="IV26" s="5">
        <f t="shared" si="235"/>
        <v>-1.0473031586663273</v>
      </c>
      <c r="IW26" s="5">
        <f t="shared" si="79"/>
        <v>0.26250000000000001</v>
      </c>
      <c r="IX26" s="5">
        <f t="shared" si="236"/>
        <v>0.26250000000000001</v>
      </c>
      <c r="IY26" s="833">
        <f t="shared" si="237"/>
        <v>33.899995105446308</v>
      </c>
    </row>
    <row r="27" spans="1:259" ht="15" customHeight="1" x14ac:dyDescent="0.25">
      <c r="A27" s="84">
        <f t="shared" si="82"/>
        <v>0</v>
      </c>
      <c r="B27" s="770">
        <v>2.0702700531968814</v>
      </c>
      <c r="C27" s="771">
        <v>6.2000057967894087</v>
      </c>
      <c r="D27" s="772">
        <v>-1.6652050222583474</v>
      </c>
      <c r="E27" s="773">
        <v>0.2188185238522764</v>
      </c>
      <c r="F27" s="771">
        <v>0.65531431355216985</v>
      </c>
      <c r="G27" s="774">
        <v>0.72296722199056807</v>
      </c>
      <c r="H27" s="773">
        <v>0.26250000000000001</v>
      </c>
      <c r="I27" s="771">
        <v>0.40699999999999997</v>
      </c>
      <c r="J27" s="601">
        <v>1.2450000000000001</v>
      </c>
      <c r="K27" s="426" t="str">
        <f t="shared" si="225"/>
        <v/>
      </c>
      <c r="L27" s="327"/>
      <c r="M27" s="173">
        <f t="shared" si="2"/>
        <v>1.2450000000000001</v>
      </c>
      <c r="N27" s="21">
        <f t="shared" si="3"/>
        <v>2.0702700531968814</v>
      </c>
      <c r="O27" s="5">
        <f t="shared" si="4"/>
        <v>6.2000057967894087</v>
      </c>
      <c r="P27" s="10">
        <f t="shared" si="5"/>
        <v>-1.6652050222583474</v>
      </c>
      <c r="Q27" s="624">
        <f t="shared" si="116"/>
        <v>71.535102666001336</v>
      </c>
      <c r="R27" s="5">
        <f t="shared" si="83"/>
        <v>6.5365197141434592</v>
      </c>
      <c r="S27" s="6">
        <f t="shared" si="84"/>
        <v>-1.6652050222583474</v>
      </c>
      <c r="T27" s="4">
        <f t="shared" si="85"/>
        <v>6.2000057967894087</v>
      </c>
      <c r="U27" s="5">
        <f t="shared" si="86"/>
        <v>-2.0702700531968823</v>
      </c>
      <c r="V27" s="8">
        <f t="shared" si="117"/>
        <v>-1.6652050222583474</v>
      </c>
      <c r="W27" s="624">
        <f t="shared" si="227"/>
        <v>341.53510266600131</v>
      </c>
      <c r="X27" s="5">
        <f t="shared" si="87"/>
        <v>6.5365197141434592</v>
      </c>
      <c r="Y27" s="7">
        <f t="shared" si="226"/>
        <v>-1.6652050222583474</v>
      </c>
      <c r="Z27" s="21">
        <f t="shared" si="7"/>
        <v>-0.2188185238522764</v>
      </c>
      <c r="AA27" s="5">
        <f t="shared" si="8"/>
        <v>-0.65531431355216985</v>
      </c>
      <c r="AB27" s="5">
        <f t="shared" si="9"/>
        <v>-0.72296722199056807</v>
      </c>
      <c r="AC27" s="8">
        <f t="shared" si="88"/>
        <v>1</v>
      </c>
      <c r="AD27" s="9">
        <f t="shared" si="118"/>
        <v>-0.2188185238522764</v>
      </c>
      <c r="AE27" s="5">
        <f t="shared" si="89"/>
        <v>-0.65531431355216985</v>
      </c>
      <c r="AF27" s="10">
        <f t="shared" si="90"/>
        <v>-0.72296722199056807</v>
      </c>
      <c r="AG27" s="622">
        <f t="shared" si="91"/>
        <v>-42.189893736249921</v>
      </c>
      <c r="AH27" s="623">
        <f t="shared" si="92"/>
        <v>102.63964869943686</v>
      </c>
      <c r="AI27" s="624">
        <f t="shared" si="93"/>
        <v>-43.699993690503078</v>
      </c>
      <c r="AJ27" s="625">
        <f t="shared" si="94"/>
        <v>-18.464878525599904</v>
      </c>
      <c r="AK27" s="4">
        <f t="shared" si="213"/>
        <v>2.2679489675159203E-7</v>
      </c>
      <c r="AL27" s="5">
        <f t="shared" si="95"/>
        <v>-0.69088233146259381</v>
      </c>
      <c r="AM27" s="6">
        <f t="shared" si="96"/>
        <v>-0.72296722199056807</v>
      </c>
      <c r="AN27" s="612">
        <f t="shared" si="97"/>
        <v>-43.69999369050155</v>
      </c>
      <c r="AO27" s="613">
        <f t="shared" si="98"/>
        <v>0</v>
      </c>
      <c r="AP27" s="624">
        <f t="shared" si="99"/>
        <v>-89.999981191601222</v>
      </c>
      <c r="AQ27" s="625">
        <f t="shared" si="10"/>
        <v>1.8966029942381799</v>
      </c>
      <c r="AS27" s="56">
        <f t="shared" si="119"/>
        <v>-18.464897333998692</v>
      </c>
      <c r="AT27" s="77">
        <f t="shared" si="11"/>
        <v>-1.5954487434410189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1.2450000000000001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800" cm="1">
        <f t="array" ref="II27">IFERROR(IF($IH27&lt;1,$IH27+LARGE((IF($M$9:$M$150="",0,$M$9:$M$150)-MOD(IF($M$9:$M$150="",0,$M$9:$M$150),1)),1),$IH27),"")</f>
        <v>1.145</v>
      </c>
      <c r="IJ27" s="839" t="str">
        <f t="shared" si="68"/>
        <v>1613</v>
      </c>
      <c r="IK27" s="839" t="str">
        <f t="shared" si="69"/>
        <v/>
      </c>
      <c r="IL27" s="791">
        <f t="shared" si="228"/>
        <v>16.233197656216248</v>
      </c>
      <c r="IM27" s="830">
        <v>3.5390301870542401E-4</v>
      </c>
      <c r="IN27" s="5">
        <f t="shared" si="229"/>
        <v>0</v>
      </c>
      <c r="IO27" s="852">
        <v>0</v>
      </c>
      <c r="IP27" s="9">
        <f t="shared" si="230"/>
        <v>-6.520319665284112</v>
      </c>
      <c r="IQ27" s="5">
        <f t="shared" si="231"/>
        <v>-1.6715050412592036</v>
      </c>
      <c r="IR27" s="5">
        <f t="shared" si="74"/>
        <v>0.314</v>
      </c>
      <c r="IS27" s="5">
        <f t="shared" si="232"/>
        <v>0.27530137891291728</v>
      </c>
      <c r="IT27" s="791">
        <f t="shared" si="233"/>
        <v>65.439724355386886</v>
      </c>
      <c r="IU27" s="9">
        <f t="shared" si="234"/>
        <v>-6.5365197141434592</v>
      </c>
      <c r="IV27" s="5">
        <f t="shared" si="235"/>
        <v>-1.6652050222583474</v>
      </c>
      <c r="IW27" s="5">
        <f t="shared" si="79"/>
        <v>0.26250000000000001</v>
      </c>
      <c r="IX27" s="5">
        <f t="shared" si="236"/>
        <v>0.26250000000000001</v>
      </c>
      <c r="IY27" s="833">
        <f t="shared" si="237"/>
        <v>43.69999369050155</v>
      </c>
    </row>
    <row r="28" spans="1:259" ht="15" customHeight="1" x14ac:dyDescent="0.25">
      <c r="A28" s="84">
        <f t="shared" si="82"/>
        <v>0</v>
      </c>
      <c r="B28" s="770">
        <v>2.1797804306145103</v>
      </c>
      <c r="C28" s="771">
        <v>6.4707358543659446</v>
      </c>
      <c r="D28" s="772">
        <v>-2.3652071334647169</v>
      </c>
      <c r="E28" s="773">
        <v>0.25629157900836536</v>
      </c>
      <c r="F28" s="771">
        <v>0.76080904054826848</v>
      </c>
      <c r="G28" s="774">
        <v>0.59622498299670579</v>
      </c>
      <c r="H28" s="773">
        <v>0.26250000000000001</v>
      </c>
      <c r="I28" s="771">
        <v>0.40699999999999997</v>
      </c>
      <c r="J28" s="601">
        <v>1.2509999999999999</v>
      </c>
      <c r="K28" s="426" t="str">
        <f t="shared" si="225"/>
        <v/>
      </c>
      <c r="L28" s="327"/>
      <c r="M28" s="173">
        <f t="shared" si="2"/>
        <v>1.2509999999999999</v>
      </c>
      <c r="N28" s="21">
        <f t="shared" si="3"/>
        <v>2.1797804306145103</v>
      </c>
      <c r="O28" s="5">
        <f t="shared" si="4"/>
        <v>6.4707358543659446</v>
      </c>
      <c r="P28" s="10">
        <f t="shared" si="5"/>
        <v>-2.3652071334647169</v>
      </c>
      <c r="Q28" s="624">
        <f t="shared" si="116"/>
        <v>71.383002687961849</v>
      </c>
      <c r="R28" s="5">
        <f t="shared" si="83"/>
        <v>6.8280205933101108</v>
      </c>
      <c r="S28" s="6">
        <f t="shared" si="84"/>
        <v>-2.3652071334647169</v>
      </c>
      <c r="T28" s="4">
        <f t="shared" si="85"/>
        <v>6.4707358543659454</v>
      </c>
      <c r="U28" s="5">
        <f t="shared" si="86"/>
        <v>-2.1797804306145099</v>
      </c>
      <c r="V28" s="8">
        <f t="shared" si="117"/>
        <v>-2.3652071334647169</v>
      </c>
      <c r="W28" s="624">
        <f t="shared" si="227"/>
        <v>341.38300268796183</v>
      </c>
      <c r="X28" s="5">
        <f t="shared" si="87"/>
        <v>6.8280205933101108</v>
      </c>
      <c r="Y28" s="7">
        <f t="shared" si="226"/>
        <v>-2.3652071334647169</v>
      </c>
      <c r="Z28" s="21">
        <f t="shared" si="7"/>
        <v>-0.25629157900836536</v>
      </c>
      <c r="AA28" s="5">
        <f t="shared" si="8"/>
        <v>-0.76080904054826848</v>
      </c>
      <c r="AB28" s="5">
        <f t="shared" si="9"/>
        <v>-0.59622498299670579</v>
      </c>
      <c r="AC28" s="8">
        <f t="shared" si="88"/>
        <v>1</v>
      </c>
      <c r="AD28" s="9">
        <f t="shared" si="118"/>
        <v>-0.25629157900836536</v>
      </c>
      <c r="AE28" s="5">
        <f t="shared" si="89"/>
        <v>-0.76080904054826848</v>
      </c>
      <c r="AF28" s="10">
        <f t="shared" si="90"/>
        <v>-0.59622498299670579</v>
      </c>
      <c r="AG28" s="622">
        <f t="shared" si="91"/>
        <v>-51.915183570792976</v>
      </c>
      <c r="AH28" s="623">
        <f t="shared" si="92"/>
        <v>104.85013075457653</v>
      </c>
      <c r="AI28" s="624">
        <f t="shared" si="93"/>
        <v>-53.399992289996149</v>
      </c>
      <c r="AJ28" s="625">
        <f t="shared" si="94"/>
        <v>-18.616981126053048</v>
      </c>
      <c r="AK28" s="4">
        <f t="shared" si="213"/>
        <v>2.2679489661281416E-7</v>
      </c>
      <c r="AL28" s="5">
        <f t="shared" si="95"/>
        <v>-0.8028173949601034</v>
      </c>
      <c r="AM28" s="6">
        <f t="shared" si="96"/>
        <v>-0.59622498299670579</v>
      </c>
      <c r="AN28" s="612">
        <f t="shared" si="97"/>
        <v>-53.399992289995062</v>
      </c>
      <c r="AO28" s="613">
        <f t="shared" si="98"/>
        <v>0</v>
      </c>
      <c r="AP28" s="624">
        <f t="shared" si="99"/>
        <v>-89.999983814014897</v>
      </c>
      <c r="AQ28" s="625">
        <f t="shared" si="10"/>
        <v>1.8156888951183756</v>
      </c>
      <c r="AS28" s="56">
        <f t="shared" si="119"/>
        <v>-18.616997312038166</v>
      </c>
      <c r="AT28" s="77">
        <f t="shared" si="11"/>
        <v>-2.2948762547303505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1.2509999999999999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</v>
      </c>
      <c r="II28" s="800" cm="1">
        <f t="array" ref="II28">IFERROR(IF($IH28&lt;1,$IH28+LARGE((IF($M$9:$M$150="",0,$M$9:$M$150)-MOD(IF($M$9:$M$150="",0,$M$9:$M$150),1)),1),$IH28),"")</f>
        <v>1.151</v>
      </c>
      <c r="IJ28" s="839" t="str">
        <f t="shared" si="68"/>
        <v>1613</v>
      </c>
      <c r="IK28" s="839" t="str">
        <f t="shared" si="69"/>
        <v/>
      </c>
      <c r="IL28" s="791">
        <f t="shared" si="228"/>
        <v>16.008797688615573</v>
      </c>
      <c r="IM28" s="830">
        <v>5.0608649700948098E-4</v>
      </c>
      <c r="IN28" s="5">
        <f t="shared" si="229"/>
        <v>0</v>
      </c>
      <c r="IO28" s="852">
        <v>0</v>
      </c>
      <c r="IP28" s="9">
        <f t="shared" si="230"/>
        <v>-6.8177205622452171</v>
      </c>
      <c r="IQ28" s="5">
        <f t="shared" si="231"/>
        <v>-2.3624071250198884</v>
      </c>
      <c r="IR28" s="5">
        <f t="shared" si="74"/>
        <v>0.314</v>
      </c>
      <c r="IS28" s="5">
        <f t="shared" si="232"/>
        <v>0.26389045228314678</v>
      </c>
      <c r="IT28" s="791">
        <f t="shared" si="233"/>
        <v>74.685662043966488</v>
      </c>
      <c r="IU28" s="9">
        <f t="shared" si="234"/>
        <v>-6.8280205933101108</v>
      </c>
      <c r="IV28" s="5">
        <f t="shared" si="235"/>
        <v>-2.3652071334647169</v>
      </c>
      <c r="IW28" s="5">
        <f t="shared" si="79"/>
        <v>0.26250000000000001</v>
      </c>
      <c r="IX28" s="5">
        <f t="shared" si="236"/>
        <v>0.26250000000000001</v>
      </c>
      <c r="IY28" s="833">
        <f t="shared" si="237"/>
        <v>53.399992289995062</v>
      </c>
    </row>
    <row r="29" spans="1:259" ht="15" customHeight="1" x14ac:dyDescent="0.25">
      <c r="A29" s="84">
        <f t="shared" si="82"/>
        <v>0</v>
      </c>
      <c r="B29" s="770">
        <v>2.2526441877646017</v>
      </c>
      <c r="C29" s="771">
        <v>6.630829434246289</v>
      </c>
      <c r="D29" s="772">
        <v>-3.0876093122296857</v>
      </c>
      <c r="E29" s="773">
        <v>0.28609608943913867</v>
      </c>
      <c r="F29" s="771">
        <v>0.84214629608583824</v>
      </c>
      <c r="G29" s="774">
        <v>0.45709806781098533</v>
      </c>
      <c r="H29" s="773">
        <v>0.26250000000000001</v>
      </c>
      <c r="I29" s="771">
        <v>0.40699999999999997</v>
      </c>
      <c r="J29" s="601">
        <v>1.2569999999999999</v>
      </c>
      <c r="K29" s="426" t="str">
        <f t="shared" si="225"/>
        <v/>
      </c>
      <c r="L29" s="327"/>
      <c r="M29" s="173">
        <f t="shared" si="2"/>
        <v>1.2569999999999999</v>
      </c>
      <c r="N29" s="21">
        <f t="shared" si="3"/>
        <v>2.2526441877646017</v>
      </c>
      <c r="O29" s="5">
        <f t="shared" si="4"/>
        <v>6.630829434246289</v>
      </c>
      <c r="P29" s="10">
        <f t="shared" si="5"/>
        <v>-3.0876093122296857</v>
      </c>
      <c r="Q29" s="624">
        <f t="shared" si="116"/>
        <v>71.236202709157141</v>
      </c>
      <c r="R29" s="5">
        <f>IF(M29="","",SQRT(N29^2+O29^2))</f>
        <v>7.0030211211117024</v>
      </c>
      <c r="S29" s="6">
        <f>IF(M29="","",P29)</f>
        <v>-3.0876093122296857</v>
      </c>
      <c r="T29" s="4">
        <f>IF(M29="","",X29*COS(RADIANS(W29)))</f>
        <v>6.6308294342462899</v>
      </c>
      <c r="U29" s="5">
        <f>IF(M29="","",X29*SIN(RADIANS(W29)))</f>
        <v>-2.2526441877645991</v>
      </c>
      <c r="V29" s="8">
        <f>IF(M29="","",Y29)</f>
        <v>-3.0876093122296857</v>
      </c>
      <c r="W29" s="624">
        <f t="shared" si="227"/>
        <v>341.23620270915717</v>
      </c>
      <c r="X29" s="5">
        <f>IF(M29="","",R29)</f>
        <v>7.0030211211117024</v>
      </c>
      <c r="Y29" s="7">
        <f t="shared" si="226"/>
        <v>-3.0876093122296857</v>
      </c>
      <c r="Z29" s="21">
        <f t="shared" si="7"/>
        <v>-0.28609608943913867</v>
      </c>
      <c r="AA29" s="5">
        <f t="shared" si="8"/>
        <v>-0.84214629608583824</v>
      </c>
      <c r="AB29" s="5">
        <f t="shared" si="9"/>
        <v>-0.45709806781098533</v>
      </c>
      <c r="AC29" s="8">
        <f>IF(M29="","",SQRT(Z29^2+AA29^2+AB29^2))</f>
        <v>1</v>
      </c>
      <c r="AD29" s="9">
        <f>IF(M29="","",Z29*(1/SQRT(Z29^2+AA29^2+AB29^2)))</f>
        <v>-0.28609608943913867</v>
      </c>
      <c r="AE29" s="5">
        <f>IF(M29="","",AA29*(1/SQRT(Z29^2+AA29^2+AB29^2)))</f>
        <v>-0.84214629608583824</v>
      </c>
      <c r="AF29" s="10">
        <f>IF(M29="","",AB29*(1/SQRT(Z29^2+AA29^2+AB29^2)))</f>
        <v>-0.45709806781098533</v>
      </c>
      <c r="AG29" s="622">
        <f>IF(M29="","",DEGREES(ATAN2(-AF29,AE29)))</f>
        <v>-61.507885692672772</v>
      </c>
      <c r="AH29" s="623">
        <f>IF(M29="","",DEGREES(ACOS(AD29)))</f>
        <v>106.62437825712153</v>
      </c>
      <c r="AI29" s="624">
        <f>IF(M29="","",DEGREES(-ACOS(-AF29)))</f>
        <v>-62.799990932804015</v>
      </c>
      <c r="AJ29" s="625">
        <f>IF(M29="","",DEGREES(ATAN2(-AE29,AD29)))</f>
        <v>-18.763782680822359</v>
      </c>
      <c r="AK29" s="4">
        <f>IF(M29="","",(COS(RADIANS((90-$Q$8)-W29))*AD29)+(-SIN(RADIANS((90-$Q$8)-W29))*AE29))</f>
        <v>2.2679489625199167E-7</v>
      </c>
      <c r="AL29" s="5">
        <f>IF(M29="","",(SIN(RADIANS((90-$Q$8)-W29))*AD29)+(COS(RADIANS((90-$Q$8)-W29))*AE29))</f>
        <v>-0.88941630095440261</v>
      </c>
      <c r="AM29" s="6">
        <f>IF(M29="","",AF29)</f>
        <v>-0.45709806781098533</v>
      </c>
      <c r="AN29" s="612">
        <f>IF(M29="","",DEGREES(ATAN2(-AM29,AL29)))</f>
        <v>-62.799990932803269</v>
      </c>
      <c r="AO29" s="613">
        <f t="shared" si="98"/>
        <v>0</v>
      </c>
      <c r="AP29" s="624">
        <f>IF(M29="","",DEGREES(ATAN2(AK29,AL29)))</f>
        <v>-89.999985389979528</v>
      </c>
      <c r="AQ29" s="625">
        <f t="shared" si="10"/>
        <v>1.7703453608335029</v>
      </c>
      <c r="AS29" s="56">
        <f t="shared" si="119"/>
        <v>-18.763797290842831</v>
      </c>
      <c r="AT29" s="77">
        <f t="shared" si="11"/>
        <v>-3.0167238557976126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1.2569999999999999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</v>
      </c>
      <c r="II29" s="800" cm="1">
        <f t="array" ref="II29">IFERROR(IF($IH29&lt;1,$IH29+LARGE((IF($M$9:$M$150="",0,$M$9:$M$150)-MOD(IF($M$9:$M$150="",0,$M$9:$M$150),1)),1),$IH29),"")</f>
        <v>1.157</v>
      </c>
      <c r="IJ29" s="839" t="str">
        <f t="shared" si="68"/>
        <v>1613</v>
      </c>
      <c r="IK29" s="839" t="str">
        <f t="shared" si="69"/>
        <v/>
      </c>
      <c r="IL29" s="791">
        <f t="shared" si="228"/>
        <v>15.918197701696613</v>
      </c>
      <c r="IM29" s="830">
        <v>4.1569306667098798E-4</v>
      </c>
      <c r="IN29" s="5">
        <f t="shared" si="229"/>
        <v>0</v>
      </c>
      <c r="IO29" s="852">
        <v>0</v>
      </c>
      <c r="IP29" s="9">
        <f t="shared" si="230"/>
        <v>-6.999421110254068</v>
      </c>
      <c r="IQ29" s="5">
        <f t="shared" si="231"/>
        <v>-3.0791092865936074</v>
      </c>
      <c r="IR29" s="5">
        <f t="shared" si="74"/>
        <v>0.314</v>
      </c>
      <c r="IS29" s="5">
        <f t="shared" si="232"/>
        <v>0.25461979553953445</v>
      </c>
      <c r="IT29" s="791">
        <f t="shared" si="233"/>
        <v>83.628775103129882</v>
      </c>
      <c r="IU29" s="9">
        <f t="shared" si="234"/>
        <v>-7.0030211211117024</v>
      </c>
      <c r="IV29" s="5">
        <f t="shared" si="235"/>
        <v>-3.0876093122296857</v>
      </c>
      <c r="IW29" s="5">
        <f t="shared" si="79"/>
        <v>0.26250000000000001</v>
      </c>
      <c r="IX29" s="5">
        <f t="shared" si="236"/>
        <v>0.26250000000000001</v>
      </c>
      <c r="IY29" s="833">
        <f t="shared" si="237"/>
        <v>62.799990932803269</v>
      </c>
    </row>
    <row r="30" spans="1:259" ht="15" customHeight="1" x14ac:dyDescent="0.25">
      <c r="A30" s="84">
        <f t="shared" si="82"/>
        <v>0</v>
      </c>
      <c r="B30" s="770">
        <v>2.2367731974593346</v>
      </c>
      <c r="C30" s="771">
        <v>6.7235191799043381</v>
      </c>
      <c r="D30" s="772">
        <v>-3.8395115799669246</v>
      </c>
      <c r="E30" s="773">
        <v>0.28609291441338697</v>
      </c>
      <c r="F30" s="771">
        <v>0.85996774572681467</v>
      </c>
      <c r="G30" s="774">
        <v>0.42261841019055846</v>
      </c>
      <c r="H30" s="773">
        <v>0.26250000000000001</v>
      </c>
      <c r="I30" s="771">
        <v>0.40699999999999997</v>
      </c>
      <c r="J30" s="601">
        <v>1.2629999999999999</v>
      </c>
      <c r="K30" s="426" t="str">
        <f t="shared" si="225"/>
        <v/>
      </c>
      <c r="L30" s="327"/>
      <c r="M30" s="173">
        <f t="shared" si="2"/>
        <v>1.2629999999999999</v>
      </c>
      <c r="N30" s="21">
        <f t="shared" si="3"/>
        <v>2.2367731974593346</v>
      </c>
      <c r="O30" s="5">
        <f t="shared" si="4"/>
        <v>6.7235191799043381</v>
      </c>
      <c r="P30" s="10">
        <f t="shared" si="5"/>
        <v>-3.8395115799669246</v>
      </c>
      <c r="Q30" s="624">
        <f t="shared" si="116"/>
        <v>71.598802656804196</v>
      </c>
      <c r="R30" s="5">
        <f>IF(M30="","",SQRT(N30^2+O30^2))</f>
        <v>7.0858213708372553</v>
      </c>
      <c r="S30" s="6">
        <f>IF(M30="","",P30)</f>
        <v>-3.8395115799669246</v>
      </c>
      <c r="T30" s="4">
        <f>IF(M30="","",X30*COS(RADIANS(W30)))</f>
        <v>6.7235191799043381</v>
      </c>
      <c r="U30" s="5">
        <f>IF(M30="","",X30*SIN(RADIANS(W30)))</f>
        <v>-2.2367731974593337</v>
      </c>
      <c r="V30" s="8">
        <f>IF(M30="","",Y30)</f>
        <v>-3.8395115799669246</v>
      </c>
      <c r="W30" s="624">
        <f t="shared" si="227"/>
        <v>341.5988026568042</v>
      </c>
      <c r="X30" s="5">
        <f>IF(M30="","",R30)</f>
        <v>7.0858213708372553</v>
      </c>
      <c r="Y30" s="7">
        <f t="shared" si="226"/>
        <v>-3.8395115799669246</v>
      </c>
      <c r="Z30" s="21">
        <f t="shared" si="7"/>
        <v>-0.28609291441338697</v>
      </c>
      <c r="AA30" s="5">
        <f t="shared" si="8"/>
        <v>-0.85996774572681467</v>
      </c>
      <c r="AB30" s="5">
        <f t="shared" si="9"/>
        <v>-0.42261841019055846</v>
      </c>
      <c r="AC30" s="8">
        <f>IF(M30="","",SQRT(Z30^2+AA30^2+AB30^2))</f>
        <v>1</v>
      </c>
      <c r="AD30" s="9">
        <f>IF(M30="","",Z30*(1/SQRT(Z30^2+AA30^2+AB30^2)))</f>
        <v>-0.28609291441338697</v>
      </c>
      <c r="AE30" s="5">
        <f>IF(M30="","",AA30*(1/SQRT(Z30^2+AA30^2+AB30^2)))</f>
        <v>-0.85996774572681467</v>
      </c>
      <c r="AF30" s="10">
        <f>IF(M30="","",AB30*(1/SQRT(Z30^2+AA30^2+AB30^2)))</f>
        <v>-0.42261841019055846</v>
      </c>
      <c r="AG30" s="622">
        <f>IF(M30="","",DEGREES(ATAN2(-AF30,AE30)))</f>
        <v>-63.828874292468328</v>
      </c>
      <c r="AH30" s="623">
        <f>IF(M30="","",DEGREES(ACOS(AD30)))</f>
        <v>106.62418840603792</v>
      </c>
      <c r="AI30" s="624">
        <f>IF(M30="","",DEGREES(-ACOS(-AF30)))</f>
        <v>-64.999990615163156</v>
      </c>
      <c r="AJ30" s="625">
        <f>IF(M30="","",DEGREES(ATAN2(-AE30,AD30)))</f>
        <v>-18.401183005471289</v>
      </c>
      <c r="AK30" s="4">
        <f>IF(M30="","",(COS(RADIANS((90-$Q$8)-W30))*AD30)+(-SIN(RADIANS((90-$Q$8)-W30))*AE30))</f>
        <v>2.2679489658505858E-7</v>
      </c>
      <c r="AL30" s="5">
        <f>IF(M30="","",(SIN(RADIANS((90-$Q$8)-W30))*AD30)+(COS(RADIANS((90-$Q$8)-W30))*AE30))</f>
        <v>-0.90630771781330066</v>
      </c>
      <c r="AM30" s="6">
        <f>IF(M30="","",AF30)</f>
        <v>-0.42261841019055846</v>
      </c>
      <c r="AN30" s="612">
        <f>IF(M30="","",DEGREES(ATAN2(-AM30,AL30)))</f>
        <v>-64.999990615162474</v>
      </c>
      <c r="AO30" s="613">
        <f>IF(ROUND(IF(M30="",0,DEGREES(ACOS(AK30))),4)=90,0,IF(M30="","",DEGREES(ACOS(AK30))))</f>
        <v>0</v>
      </c>
      <c r="AP30" s="624">
        <f>IF(M30="","",DEGREES(ATAN2(AK30,AL30)))</f>
        <v>-89.999985662275478</v>
      </c>
      <c r="AQ30" s="625">
        <f t="shared" si="10"/>
        <v>1.7496712034943085</v>
      </c>
      <c r="AS30" s="56">
        <f t="shared" si="119"/>
        <v>-18.401197343195804</v>
      </c>
      <c r="AT30" s="77">
        <f t="shared" si="11"/>
        <v>-3.769995945559296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>
        <f>IFERROR(IF((((($IW30*COS(RADIANS(180-$IY30)))*COS(RADIANS($IY30)))-(($IX30*SIN(RADIANS(180-$IY30)))*SIN(RADIANS($IY30))))+$IU30)&lt;(((Settings!$C$19/2)*-1)+$IF$8),1,""),"")</f>
        <v>1</v>
      </c>
      <c r="IG30" s="836">
        <f t="shared" si="67"/>
        <v>1.2629999999999999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1.163</v>
      </c>
      <c r="II30" s="800" cm="1">
        <f t="array" ref="II30">IFERROR(IF($IH30&lt;1,$IH30+LARGE((IF($M$9:$M$150="",0,$M$9:$M$150)-MOD(IF($M$9:$M$150="",0,$M$9:$M$150),1)),1),$IH30),"")</f>
        <v>1.163</v>
      </c>
      <c r="IJ30" s="839" t="str">
        <f t="shared" si="68"/>
        <v>1613</v>
      </c>
      <c r="IK30" s="839" t="str">
        <f t="shared" si="69"/>
        <v/>
      </c>
      <c r="IL30" s="791">
        <f t="shared" si="228"/>
        <v>15.151197343195804</v>
      </c>
      <c r="IM30" s="830">
        <v>1.7859273836915899E-4</v>
      </c>
      <c r="IN30" s="5">
        <f t="shared" si="229"/>
        <v>0</v>
      </c>
      <c r="IO30" s="852">
        <v>0</v>
      </c>
      <c r="IP30" s="9">
        <f t="shared" si="230"/>
        <v>-7.0907213856156988</v>
      </c>
      <c r="IQ30" s="5">
        <f t="shared" si="231"/>
        <v>-3.8271115425684128</v>
      </c>
      <c r="IR30" s="5">
        <f t="shared" si="74"/>
        <v>0.314</v>
      </c>
      <c r="IS30" s="5">
        <f t="shared" si="232"/>
        <v>0.24497434192168435</v>
      </c>
      <c r="IT30" s="791">
        <f t="shared" si="233"/>
        <v>84.982622709260156</v>
      </c>
      <c r="IU30" s="9">
        <f t="shared" si="234"/>
        <v>-7.0858213708372553</v>
      </c>
      <c r="IV30" s="5">
        <f t="shared" si="235"/>
        <v>-3.8395115799669246</v>
      </c>
      <c r="IW30" s="5">
        <f t="shared" si="79"/>
        <v>0.26250000000000001</v>
      </c>
      <c r="IX30" s="5">
        <f t="shared" si="236"/>
        <v>0.26250000000000001</v>
      </c>
      <c r="IY30" s="833">
        <f t="shared" si="237"/>
        <v>64.999990615162474</v>
      </c>
    </row>
    <row r="31" spans="1:259" ht="15" customHeight="1" x14ac:dyDescent="0.25">
      <c r="A31" s="84">
        <f t="shared" si="82"/>
        <v>0.02</v>
      </c>
      <c r="B31" s="770">
        <v>2.8885938921557575</v>
      </c>
      <c r="C31" s="771">
        <v>1.3469708389584762</v>
      </c>
      <c r="D31" s="772">
        <v>-0.10020030220411148</v>
      </c>
      <c r="E31" s="773">
        <v>-0.46157817470970963</v>
      </c>
      <c r="F31" s="771">
        <v>0.82159872802864986</v>
      </c>
      <c r="G31" s="774">
        <v>0.33454613842242703</v>
      </c>
      <c r="H31" s="773">
        <v>0.314</v>
      </c>
      <c r="I31" s="771">
        <v>0.52</v>
      </c>
      <c r="J31" s="601">
        <v>2.1139999999999999</v>
      </c>
      <c r="K31" s="426" t="str">
        <f t="shared" si="225"/>
        <v>1613</v>
      </c>
      <c r="L31" s="327"/>
      <c r="M31" s="173">
        <f t="shared" si="2"/>
        <v>2.1139999999999999</v>
      </c>
      <c r="N31" s="21">
        <f t="shared" si="3"/>
        <v>2.8885938921557575</v>
      </c>
      <c r="O31" s="5">
        <f t="shared" si="4"/>
        <v>1.3469708389584762</v>
      </c>
      <c r="P31" s="10">
        <f t="shared" si="5"/>
        <v>-0.10020030220411148</v>
      </c>
      <c r="Q31" s="624">
        <f t="shared" si="116"/>
        <v>24.999957407275939</v>
      </c>
      <c r="R31" s="5">
        <f>IF(M31="","",SQRT(N31^2+O31^2))</f>
        <v>3.1872096126241911</v>
      </c>
      <c r="S31" s="6">
        <f>IF(M31="","",P31)</f>
        <v>-0.10020030220411148</v>
      </c>
      <c r="T31" s="4">
        <f>IF(M31="","",X31*COS(RADIANS(W31)))</f>
        <v>1.346970838958474</v>
      </c>
      <c r="U31" s="5">
        <f>IF(M31="","",X31*SIN(RADIANS(W31)))</f>
        <v>-2.8885938921557579</v>
      </c>
      <c r="V31" s="8">
        <f>IF(M31="","",Y31)</f>
        <v>-0.10020030220411148</v>
      </c>
      <c r="W31" s="624">
        <f t="shared" si="227"/>
        <v>294.99995740727593</v>
      </c>
      <c r="X31" s="5">
        <f>IF(M31="","",R31)</f>
        <v>3.1872096126241911</v>
      </c>
      <c r="Y31" s="7">
        <f t="shared" si="226"/>
        <v>-0.10020030220411148</v>
      </c>
      <c r="Z31" s="21">
        <f t="shared" si="7"/>
        <v>0.46157817470970963</v>
      </c>
      <c r="AA31" s="5">
        <f t="shared" si="8"/>
        <v>-0.82159872802864986</v>
      </c>
      <c r="AB31" s="5">
        <f t="shared" si="9"/>
        <v>-0.33454613842242703</v>
      </c>
      <c r="AC31" s="8">
        <f>IF(M31="","",SQRT(Z31^2+AA31^2+AB31^2))</f>
        <v>1</v>
      </c>
      <c r="AD31" s="9">
        <f>IF(M31="","",Z31*(1/SQRT(Z31^2+AA31^2+AB31^2)))</f>
        <v>0.46157817470970963</v>
      </c>
      <c r="AE31" s="5">
        <f>IF(M31="","",AA31*(1/SQRT(Z31^2+AA31^2+AB31^2)))</f>
        <v>-0.82159872802864986</v>
      </c>
      <c r="AF31" s="10">
        <f>IF(M31="","",AB31*(1/SQRT(Z31^2+AA31^2+AB31^2)))</f>
        <v>-0.33454613842242703</v>
      </c>
      <c r="AG31" s="622">
        <f>IF(M31="","",DEGREES(ATAN2(-AF31,AE31)))</f>
        <v>-67.844377034299455</v>
      </c>
      <c r="AH31" s="623">
        <f>IF(M31="","",DEGREES(ACOS(AD31)))</f>
        <v>62.511008794380956</v>
      </c>
      <c r="AI31" s="624">
        <f>IF(M31="","",DEGREES(-ACOS(-AF31)))</f>
        <v>-70.455058773042126</v>
      </c>
      <c r="AJ31" s="625">
        <f>IF(M31="","",DEGREES(ATAN2(-AE31,AD31)))</f>
        <v>29.327489877093502</v>
      </c>
      <c r="AK31" s="4">
        <f>IF(M31="","",(COS(RADIANS((90-$Q$8)-W31))*AD31)+(-SIN(RADIANS((90-$Q$8)-W31))*AE31))</f>
        <v>0.93969263802333458</v>
      </c>
      <c r="AL31" s="5">
        <f>IF(M31="","",(SIN(RADIANS((90-$Q$8)-W31))*AD31)+(COS(RADIANS((90-$Q$8)-W31))*AE31))</f>
        <v>7.1109966329543972E-2</v>
      </c>
      <c r="AM31" s="6">
        <f>IF(M31="","",AF31)</f>
        <v>-0.33454613842242703</v>
      </c>
      <c r="AN31" s="612">
        <f>IF(M31="","",DEGREES(ATAN2(-AM31,AL31)))</f>
        <v>11.999998267414806</v>
      </c>
      <c r="AO31" s="613">
        <f t="shared" si="98"/>
        <v>19.999997112357679</v>
      </c>
      <c r="AP31" s="624">
        <f>IF(M31="","",DEGREES(ATAN2(AK31,AL31)))</f>
        <v>4.3275324698176059</v>
      </c>
      <c r="AQ31" s="625">
        <f t="shared" si="10"/>
        <v>3.885122433918673</v>
      </c>
      <c r="AS31" s="56">
        <f t="shared" si="119"/>
        <v>-65.000042592724071</v>
      </c>
      <c r="AT31" s="77">
        <f t="shared" si="11"/>
        <v>0.14535541425729059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2.1139999999999999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3.5598983273715481</v>
      </c>
      <c r="C32" s="771">
        <v>1.6600046305048324</v>
      </c>
      <c r="D32" s="772">
        <v>-5.9900180658944722E-2</v>
      </c>
      <c r="E32" s="773">
        <v>-0.38306921945179306</v>
      </c>
      <c r="F32" s="771">
        <v>0.85820798404649346</v>
      </c>
      <c r="G32" s="774">
        <v>0.34166801024890786</v>
      </c>
      <c r="H32" s="773">
        <v>0.314</v>
      </c>
      <c r="I32" s="771">
        <v>0.52</v>
      </c>
      <c r="J32" s="601">
        <v>2.12</v>
      </c>
      <c r="K32" s="426" t="str">
        <f t="shared" si="225"/>
        <v>1613</v>
      </c>
      <c r="L32" s="327"/>
      <c r="M32" s="173">
        <f t="shared" si="2"/>
        <v>2.12</v>
      </c>
      <c r="N32" s="21">
        <f t="shared" si="3"/>
        <v>3.5598983273715481</v>
      </c>
      <c r="O32" s="5">
        <f t="shared" si="4"/>
        <v>1.6600046305048324</v>
      </c>
      <c r="P32" s="10">
        <f t="shared" si="5"/>
        <v>-5.9900180658944722E-2</v>
      </c>
      <c r="Q32" s="624">
        <f t="shared" si="116"/>
        <v>24.999957407275954</v>
      </c>
      <c r="R32" s="5">
        <f t="shared" si="83"/>
        <v>3.9279118465821292</v>
      </c>
      <c r="S32" s="6">
        <f t="shared" si="84"/>
        <v>-5.9900180658944722E-2</v>
      </c>
      <c r="T32" s="4">
        <f t="shared" si="85"/>
        <v>1.6600046305048288</v>
      </c>
      <c r="U32" s="5">
        <f t="shared" si="86"/>
        <v>-3.5598983273715499</v>
      </c>
      <c r="V32" s="8">
        <f t="shared" si="117"/>
        <v>-5.9900180658944722E-2</v>
      </c>
      <c r="W32" s="624">
        <f t="shared" si="227"/>
        <v>294.99995740727593</v>
      </c>
      <c r="X32" s="5">
        <f t="shared" si="87"/>
        <v>3.9279118465821292</v>
      </c>
      <c r="Y32" s="7">
        <f t="shared" si="226"/>
        <v>-5.9900180658944722E-2</v>
      </c>
      <c r="Z32" s="21">
        <f t="shared" si="7"/>
        <v>0.38306921945179306</v>
      </c>
      <c r="AA32" s="5">
        <f t="shared" si="8"/>
        <v>-0.85820798404649346</v>
      </c>
      <c r="AB32" s="5">
        <f t="shared" si="9"/>
        <v>-0.34166801024890786</v>
      </c>
      <c r="AC32" s="8">
        <f t="shared" si="88"/>
        <v>1</v>
      </c>
      <c r="AD32" s="9">
        <f t="shared" si="118"/>
        <v>0.38306921945179306</v>
      </c>
      <c r="AE32" s="5">
        <f t="shared" si="89"/>
        <v>-0.85820798404649346</v>
      </c>
      <c r="AF32" s="10">
        <f t="shared" si="90"/>
        <v>-0.34166801024890786</v>
      </c>
      <c r="AG32" s="622">
        <f t="shared" si="91"/>
        <v>-68.291610331629769</v>
      </c>
      <c r="AH32" s="623">
        <f t="shared" si="92"/>
        <v>67.476072763110366</v>
      </c>
      <c r="AI32" s="624">
        <f t="shared" si="93"/>
        <v>-70.021469109622103</v>
      </c>
      <c r="AJ32" s="625">
        <f t="shared" si="94"/>
        <v>24.054045777028882</v>
      </c>
      <c r="AK32" s="4">
        <f t="shared" si="213"/>
        <v>0.93969263802333469</v>
      </c>
      <c r="AL32" s="5">
        <f t="shared" si="95"/>
        <v>-1.5515051314722972E-2</v>
      </c>
      <c r="AM32" s="6">
        <f t="shared" si="96"/>
        <v>-0.34166801024890786</v>
      </c>
      <c r="AN32" s="612">
        <f t="shared" si="97"/>
        <v>-2.5999996246063763</v>
      </c>
      <c r="AO32" s="613">
        <f t="shared" si="98"/>
        <v>19.999997112357665</v>
      </c>
      <c r="AP32" s="624">
        <f t="shared" si="99"/>
        <v>-0.94591163024701119</v>
      </c>
      <c r="AQ32" s="625">
        <f t="shared" si="10"/>
        <v>3.15413964649884</v>
      </c>
      <c r="AS32" s="56">
        <f t="shared" si="119"/>
        <v>-65.000042592724071</v>
      </c>
      <c r="AT32" s="77">
        <f t="shared" si="11"/>
        <v>0.18565553580245733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2.12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4.2542828315550789</v>
      </c>
      <c r="C33" s="771">
        <v>1.9495645098515759</v>
      </c>
      <c r="D33" s="772">
        <v>-0.19970060229701639</v>
      </c>
      <c r="E33" s="773">
        <v>-0.26807811307199214</v>
      </c>
      <c r="F33" s="771">
        <v>0.90879280180528532</v>
      </c>
      <c r="G33" s="774">
        <v>0.31973390292344622</v>
      </c>
      <c r="H33" s="773">
        <v>0.314</v>
      </c>
      <c r="I33" s="771">
        <v>0.52</v>
      </c>
      <c r="J33" s="601">
        <v>2.1259999999999999</v>
      </c>
      <c r="K33" s="426" t="str">
        <f t="shared" si="225"/>
        <v>1613</v>
      </c>
      <c r="L33" s="327"/>
      <c r="M33" s="173">
        <f t="shared" si="2"/>
        <v>2.1259999999999999</v>
      </c>
      <c r="N33" s="21">
        <f t="shared" si="3"/>
        <v>4.2542828315550789</v>
      </c>
      <c r="O33" s="5">
        <f t="shared" si="4"/>
        <v>1.9495645098515759</v>
      </c>
      <c r="P33" s="10">
        <f t="shared" si="5"/>
        <v>-0.19970060229701639</v>
      </c>
      <c r="Q33" s="624">
        <f t="shared" si="116"/>
        <v>24.620057462126717</v>
      </c>
      <c r="R33" s="5">
        <f t="shared" si="83"/>
        <v>4.6797141140177692</v>
      </c>
      <c r="S33" s="6">
        <f t="shared" si="84"/>
        <v>-0.19970060229701639</v>
      </c>
      <c r="T33" s="4">
        <f t="shared" si="85"/>
        <v>1.9495645098515775</v>
      </c>
      <c r="U33" s="5">
        <f t="shared" si="86"/>
        <v>-4.254282831555078</v>
      </c>
      <c r="V33" s="8">
        <f t="shared" si="117"/>
        <v>-0.19970060229701639</v>
      </c>
      <c r="W33" s="624">
        <f t="shared" si="227"/>
        <v>294.62005746212674</v>
      </c>
      <c r="X33" s="5">
        <f t="shared" si="87"/>
        <v>4.6797141140177692</v>
      </c>
      <c r="Y33" s="7">
        <f t="shared" si="226"/>
        <v>-0.19970060229701639</v>
      </c>
      <c r="Z33" s="21">
        <f t="shared" si="7"/>
        <v>0.26807811307199214</v>
      </c>
      <c r="AA33" s="5">
        <f t="shared" si="8"/>
        <v>-0.90879280180528532</v>
      </c>
      <c r="AB33" s="5">
        <f t="shared" si="9"/>
        <v>-0.31973390292344622</v>
      </c>
      <c r="AC33" s="8">
        <f t="shared" si="88"/>
        <v>1</v>
      </c>
      <c r="AD33" s="9">
        <f t="shared" si="118"/>
        <v>0.26807811307199214</v>
      </c>
      <c r="AE33" s="5">
        <f t="shared" si="89"/>
        <v>-0.90879280180528532</v>
      </c>
      <c r="AF33" s="10">
        <f t="shared" si="90"/>
        <v>-0.31973390292344622</v>
      </c>
      <c r="AG33" s="622">
        <f t="shared" si="91"/>
        <v>-70.616972538554407</v>
      </c>
      <c r="AH33" s="623">
        <f t="shared" si="92"/>
        <v>74.45006466769631</v>
      </c>
      <c r="AI33" s="624">
        <f t="shared" si="93"/>
        <v>-71.353166770364425</v>
      </c>
      <c r="AJ33" s="625">
        <f t="shared" si="94"/>
        <v>16.435144960191025</v>
      </c>
      <c r="AK33" s="4">
        <f t="shared" si="213"/>
        <v>0.93785583528009753</v>
      </c>
      <c r="AL33" s="5">
        <f t="shared" si="95"/>
        <v>-0.1348950093680677</v>
      </c>
      <c r="AM33" s="6">
        <f t="shared" si="96"/>
        <v>-0.31973390292344622</v>
      </c>
      <c r="AN33" s="612">
        <f t="shared" si="97"/>
        <v>-22.874770979007867</v>
      </c>
      <c r="AO33" s="613">
        <f t="shared" si="98"/>
        <v>20.305465588545374</v>
      </c>
      <c r="AP33" s="624">
        <f t="shared" si="99"/>
        <v>-8.184912501935715</v>
      </c>
      <c r="AQ33" s="625">
        <f t="shared" si="10"/>
        <v>2.6482131368226107</v>
      </c>
      <c r="AS33" s="56">
        <f t="shared" si="119"/>
        <v>-65.379942537873262</v>
      </c>
      <c r="AT33" s="77">
        <f t="shared" si="11"/>
        <v>4.729029173494928E-2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2.1259999999999999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4.9068202749629837</v>
      </c>
      <c r="C34" s="771">
        <v>2.1891591830166512</v>
      </c>
      <c r="D34" s="772">
        <v>-0.5113015420854512</v>
      </c>
      <c r="E34" s="773">
        <v>-0.1727419213989986</v>
      </c>
      <c r="F34" s="771">
        <v>0.94609325835545666</v>
      </c>
      <c r="G34" s="774">
        <v>0.27398499062127013</v>
      </c>
      <c r="H34" s="773">
        <v>0.314</v>
      </c>
      <c r="I34" s="771">
        <v>0.52</v>
      </c>
      <c r="J34" s="601">
        <v>2.1320000000000001</v>
      </c>
      <c r="K34" s="426" t="str">
        <f t="shared" si="225"/>
        <v>1613</v>
      </c>
      <c r="L34" s="327"/>
      <c r="M34" s="173">
        <f t="shared" si="2"/>
        <v>2.1320000000000001</v>
      </c>
      <c r="N34" s="21">
        <f t="shared" si="3"/>
        <v>4.9068202749629837</v>
      </c>
      <c r="O34" s="5">
        <f t="shared" si="4"/>
        <v>2.1891591830166512</v>
      </c>
      <c r="P34" s="10">
        <f t="shared" si="5"/>
        <v>-0.5113015420854512</v>
      </c>
      <c r="Q34" s="624">
        <f t="shared" si="116"/>
        <v>24.043857545319682</v>
      </c>
      <c r="R34" s="5">
        <f>IF(M34="","",SQRT(N34^2+O34^2))</f>
        <v>5.3730162050168753</v>
      </c>
      <c r="S34" s="6">
        <f>IF(M34="","",P34)</f>
        <v>-0.5113015420854512</v>
      </c>
      <c r="T34" s="4">
        <f>IF(M34="","",X34*COS(RADIANS(W34)))</f>
        <v>2.1891591830166504</v>
      </c>
      <c r="U34" s="5">
        <f>IF(M34="","",X34*SIN(RADIANS(W34)))</f>
        <v>-4.9068202749629837</v>
      </c>
      <c r="V34" s="8">
        <f>IF(M34="","",Y34)</f>
        <v>-0.5113015420854512</v>
      </c>
      <c r="W34" s="624">
        <f t="shared" si="227"/>
        <v>294.04385754531967</v>
      </c>
      <c r="X34" s="5">
        <f>IF(M34="","",R34)</f>
        <v>5.3730162050168753</v>
      </c>
      <c r="Y34" s="7">
        <f t="shared" si="226"/>
        <v>-0.5113015420854512</v>
      </c>
      <c r="Z34" s="21">
        <f t="shared" si="7"/>
        <v>0.1727419213989986</v>
      </c>
      <c r="AA34" s="5">
        <f t="shared" si="8"/>
        <v>-0.94609325835545666</v>
      </c>
      <c r="AB34" s="5">
        <f t="shared" si="9"/>
        <v>-0.27398499062127013</v>
      </c>
      <c r="AC34" s="8">
        <f>IF(M34="","",SQRT(Z34^2+AA34^2+AB34^2))</f>
        <v>1</v>
      </c>
      <c r="AD34" s="9">
        <f>IF(M34="","",Z34*(1/SQRT(Z34^2+AA34^2+AB34^2)))</f>
        <v>0.1727419213989986</v>
      </c>
      <c r="AE34" s="5">
        <f>IF(M34="","",AA34*(1/SQRT(Z34^2+AA34^2+AB34^2)))</f>
        <v>-0.94609325835545666</v>
      </c>
      <c r="AF34" s="10">
        <f>IF(M34="","",AB34*(1/SQRT(Z34^2+AA34^2+AB34^2)))</f>
        <v>-0.27398499062127013</v>
      </c>
      <c r="AG34" s="622">
        <f>IF(M34="","",DEGREES(ATAN2(-AF34,AE34)))</f>
        <v>-73.849185746915467</v>
      </c>
      <c r="AH34" s="623">
        <f>IF(M34="","",DEGREES(ACOS(AD34)))</f>
        <v>80.052721411307061</v>
      </c>
      <c r="AI34" s="624">
        <f>IF(M34="","",DEGREES(-ACOS(-AF34)))</f>
        <v>-74.098464630380676</v>
      </c>
      <c r="AJ34" s="625">
        <f>IF(M34="","",DEGREES(ATAN2(-AE34,AD34)))</f>
        <v>10.347339981732135</v>
      </c>
      <c r="AK34" s="4">
        <f>IF(M34="","",(COS(RADIANS((90-$Q$8)-W34))*AD34)+(-SIN(RADIANS((90-$Q$8)-W34))*AE34))</f>
        <v>0.93438563258737417</v>
      </c>
      <c r="AL34" s="5">
        <f>IF(M34="","",(SIN(RADIANS((90-$Q$8)-W34))*AD34)+(COS(RADIANS((90-$Q$8)-W34))*AE34))</f>
        <v>-0.227718498432945</v>
      </c>
      <c r="AM34" s="6">
        <f>IF(M34="","",AF34)</f>
        <v>-0.27398499062127013</v>
      </c>
      <c r="AN34" s="612">
        <f>IF(M34="","",DEGREES(ATAN2(-AM34,AL34)))</f>
        <v>-39.731154380185927</v>
      </c>
      <c r="AO34" s="613">
        <f t="shared" si="98"/>
        <v>20.870884751880503</v>
      </c>
      <c r="AP34" s="624">
        <f>IF(M34="","",DEGREES(ATAN2(AK34,AL34)))</f>
        <v>-13.69651756358753</v>
      </c>
      <c r="AQ34" s="625">
        <f t="shared" si="10"/>
        <v>2.3068999181558612</v>
      </c>
      <c r="AS34" s="56">
        <f t="shared" si="119"/>
        <v>-65.956142454680332</v>
      </c>
      <c r="AT34" s="77">
        <f t="shared" si="11"/>
        <v>-0.26213389281221439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2.1320000000000001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5.4836811338979263</v>
      </c>
      <c r="C35" s="771">
        <v>2.3745414524360391</v>
      </c>
      <c r="D35" s="772">
        <v>-0.97230293246564459</v>
      </c>
      <c r="E35" s="773">
        <v>-6.1076267254086242E-2</v>
      </c>
      <c r="F35" s="771">
        <v>0.96619882403468105</v>
      </c>
      <c r="G35" s="774">
        <v>0.25045862335385255</v>
      </c>
      <c r="H35" s="773">
        <v>0.314</v>
      </c>
      <c r="I35" s="771">
        <v>0.52</v>
      </c>
      <c r="J35" s="601">
        <v>2.1379999999999999</v>
      </c>
      <c r="K35" s="426" t="str">
        <f t="shared" si="225"/>
        <v>1613</v>
      </c>
      <c r="L35" s="327"/>
      <c r="M35" s="173">
        <f t="shared" si="2"/>
        <v>2.1379999999999999</v>
      </c>
      <c r="N35" s="21">
        <f t="shared" si="3"/>
        <v>5.4836811338979263</v>
      </c>
      <c r="O35" s="5">
        <f t="shared" si="4"/>
        <v>2.3745414524360391</v>
      </c>
      <c r="P35" s="10">
        <f t="shared" si="5"/>
        <v>-0.97230293246564459</v>
      </c>
      <c r="Q35" s="624">
        <f t="shared" si="116"/>
        <v>23.413557636323738</v>
      </c>
      <c r="R35" s="5">
        <f>IF(M35="","",SQRT(N35^2+O35^2))</f>
        <v>5.9757180227655571</v>
      </c>
      <c r="S35" s="6">
        <f>IF(M35="","",P35)</f>
        <v>-0.97230293246564459</v>
      </c>
      <c r="T35" s="4">
        <f>IF(M35="","",X35*COS(RADIANS(W35)))</f>
        <v>2.374541452436036</v>
      </c>
      <c r="U35" s="5">
        <f>IF(M35="","",X35*SIN(RADIANS(W35)))</f>
        <v>-5.4836811338979272</v>
      </c>
      <c r="V35" s="8">
        <f>IF(M35="","",Y35)</f>
        <v>-0.97230293246564459</v>
      </c>
      <c r="W35" s="624">
        <f t="shared" si="227"/>
        <v>293.41355763632373</v>
      </c>
      <c r="X35" s="5">
        <f>IF(M35="","",R35)</f>
        <v>5.9757180227655571</v>
      </c>
      <c r="Y35" s="7">
        <f t="shared" si="226"/>
        <v>-0.97230293246564459</v>
      </c>
      <c r="Z35" s="21">
        <f t="shared" si="7"/>
        <v>6.1076267254086242E-2</v>
      </c>
      <c r="AA35" s="5">
        <f t="shared" si="8"/>
        <v>-0.96619882403468105</v>
      </c>
      <c r="AB35" s="5">
        <f t="shared" si="9"/>
        <v>-0.25045862335385255</v>
      </c>
      <c r="AC35" s="8">
        <f>IF(M35="","",SQRT(Z35^2+AA35^2+AB35^2))</f>
        <v>1</v>
      </c>
      <c r="AD35" s="9">
        <f>IF(M35="","",Z35*(1/SQRT(Z35^2+AA35^2+AB35^2)))</f>
        <v>6.1076267254086242E-2</v>
      </c>
      <c r="AE35" s="5">
        <f>IF(M35="","",AA35*(1/SQRT(Z35^2+AA35^2+AB35^2)))</f>
        <v>-0.96619882403468105</v>
      </c>
      <c r="AF35" s="10">
        <f>IF(M35="","",AB35*(1/SQRT(Z35^2+AA35^2+AB35^2)))</f>
        <v>-0.25045862335385255</v>
      </c>
      <c r="AG35" s="622">
        <f>IF(M35="","",DEGREES(ATAN2(-AF35,AE35)))</f>
        <v>-75.467621308465169</v>
      </c>
      <c r="AH35" s="623">
        <f>IF(M35="","",DEGREES(ACOS(AD35)))</f>
        <v>86.498408348612102</v>
      </c>
      <c r="AI35" s="624">
        <f>IF(M35="","",DEGREES(-ACOS(-AF35)))</f>
        <v>-75.495347195858059</v>
      </c>
      <c r="AJ35" s="625">
        <f>IF(M35="","",DEGREES(ATAN2(-AE35,AD35)))</f>
        <v>3.6170220105778657</v>
      </c>
      <c r="AK35" s="4">
        <f>IF(M35="","",(COS(RADIANS((90-$Q$8)-W35))*AD35)+(-SIN(RADIANS((90-$Q$8)-W35))*AE35))</f>
        <v>0.9109121900616477</v>
      </c>
      <c r="AL35" s="5">
        <f>IF(M35="","",(SIN(RADIANS((90-$Q$8)-W35))*AD35)+(COS(RADIANS((90-$Q$8)-W35))*AE35))</f>
        <v>-0.32788635223928664</v>
      </c>
      <c r="AM35" s="6">
        <f>IF(M35="","",AF35)</f>
        <v>-0.25045862335385255</v>
      </c>
      <c r="AN35" s="612">
        <f>IF(M35="","",DEGREES(ATAN2(-AM35,AL35)))</f>
        <v>-52.625309040106117</v>
      </c>
      <c r="AO35" s="613">
        <f t="shared" si="98"/>
        <v>24.368284638521029</v>
      </c>
      <c r="AP35" s="624">
        <f>IF(M35="","",DEGREES(ATAN2(AK35,AL35)))</f>
        <v>-19.796535625745843</v>
      </c>
      <c r="AQ35" s="625">
        <f t="shared" si="10"/>
        <v>2.0744441694132547</v>
      </c>
      <c r="AS35" s="56">
        <f t="shared" si="119"/>
        <v>-66.586442363676269</v>
      </c>
      <c r="AT35" s="77">
        <f t="shared" si="11"/>
        <v>-0.72075415020286759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2.1379999999999999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5.9491938459305631</v>
      </c>
      <c r="C36" s="771">
        <v>2.5066723887832185</v>
      </c>
      <c r="D36" s="772">
        <v>-1.5620047110062083</v>
      </c>
      <c r="E36" s="773">
        <v>5.455646593490919E-2</v>
      </c>
      <c r="F36" s="771">
        <v>0.97509111895475598</v>
      </c>
      <c r="G36" s="774">
        <v>0.21499046899863983</v>
      </c>
      <c r="H36" s="773">
        <v>0.314</v>
      </c>
      <c r="I36" s="771">
        <v>0.52</v>
      </c>
      <c r="J36" s="601">
        <v>2.1440000000000001</v>
      </c>
      <c r="K36" s="426" t="str">
        <f t="shared" si="225"/>
        <v>1613</v>
      </c>
      <c r="L36" s="327"/>
      <c r="M36" s="173">
        <f t="shared" si="2"/>
        <v>2.1440000000000001</v>
      </c>
      <c r="N36" s="21">
        <f t="shared" si="3"/>
        <v>5.9491938459305631</v>
      </c>
      <c r="O36" s="5">
        <f t="shared" si="4"/>
        <v>2.5066723887832185</v>
      </c>
      <c r="P36" s="10">
        <f t="shared" si="5"/>
        <v>-1.5620047110062083</v>
      </c>
      <c r="Q36" s="624">
        <f t="shared" si="116"/>
        <v>22.847957717986265</v>
      </c>
      <c r="R36" s="5">
        <f>IF(M36="","",SQRT(N36^2+O36^2))</f>
        <v>6.4557194704499246</v>
      </c>
      <c r="S36" s="6">
        <f>IF(M36="","",P36)</f>
        <v>-1.5620047110062083</v>
      </c>
      <c r="T36" s="4">
        <f>IF(M36="","",X36*COS(RADIANS(W36)))</f>
        <v>2.5066723887832207</v>
      </c>
      <c r="U36" s="5">
        <f>IF(M36="","",X36*SIN(RADIANS(W36)))</f>
        <v>-5.9491938459305631</v>
      </c>
      <c r="V36" s="8">
        <f>IF(M36="","",Y36)</f>
        <v>-1.5620047110062083</v>
      </c>
      <c r="W36" s="624">
        <f t="shared" si="227"/>
        <v>292.84795771798628</v>
      </c>
      <c r="X36" s="5">
        <f>IF(M36="","",R36)</f>
        <v>6.4557194704499246</v>
      </c>
      <c r="Y36" s="7">
        <f t="shared" si="226"/>
        <v>-1.5620047110062083</v>
      </c>
      <c r="Z36" s="21">
        <f t="shared" si="7"/>
        <v>-5.455646593490919E-2</v>
      </c>
      <c r="AA36" s="5">
        <f t="shared" si="8"/>
        <v>-0.97509111895475598</v>
      </c>
      <c r="AB36" s="5">
        <f t="shared" si="9"/>
        <v>-0.21499046899863983</v>
      </c>
      <c r="AC36" s="8">
        <f>IF(M36="","",SQRT(Z36^2+AA36^2+AB36^2))</f>
        <v>1</v>
      </c>
      <c r="AD36" s="9">
        <f>IF(M36="","",Z36*(1/SQRT(Z36^2+AA36^2+AB36^2)))</f>
        <v>-5.455646593490919E-2</v>
      </c>
      <c r="AE36" s="5">
        <f>IF(M36="","",AA36*(1/SQRT(Z36^2+AA36^2+AB36^2)))</f>
        <v>-0.97509111895475598</v>
      </c>
      <c r="AF36" s="10">
        <f>IF(M36="","",AB36*(1/SQRT(Z36^2+AA36^2+AB36^2)))</f>
        <v>-0.21499046899863983</v>
      </c>
      <c r="AG36" s="622">
        <f>IF(M36="","",DEGREES(ATAN2(-AF36,AE36)))</f>
        <v>-77.56621847360438</v>
      </c>
      <c r="AH36" s="623">
        <f>IF(M36="","",DEGREES(ACOS(AD36)))</f>
        <v>93.127407960549931</v>
      </c>
      <c r="AI36" s="624">
        <f>IF(M36="","",DEGREES(-ACOS(-AF36)))</f>
        <v>-77.585031857195133</v>
      </c>
      <c r="AJ36" s="625">
        <f>IF(M36="","",DEGREES(ATAN2(-AE36,AD36)))</f>
        <v>-3.2023669919409321</v>
      </c>
      <c r="AK36" s="4">
        <f>IF(M36="","",(COS(RADIANS((90-$Q$8)-W36))*AD36)+(-SIN(RADIANS((90-$Q$8)-W36))*AE36))</f>
        <v>0.87740040800189656</v>
      </c>
      <c r="AL36" s="5">
        <f>IF(M36="","",(SIN(RADIANS((90-$Q$8)-W36))*AD36)+(COS(RADIANS((90-$Q$8)-W36))*AE36))</f>
        <v>-0.42889115434787245</v>
      </c>
      <c r="AM36" s="6">
        <f>IF(M36="","",AF36)</f>
        <v>-0.21499046899863983</v>
      </c>
      <c r="AN36" s="612">
        <f>IF(M36="","",DEGREES(ATAN2(-AM36,AL36)))</f>
        <v>-63.376744528859888</v>
      </c>
      <c r="AO36" s="613">
        <f t="shared" si="98"/>
        <v>28.669651264279633</v>
      </c>
      <c r="AP36" s="624">
        <f>IF(M36="","",DEGREES(ATAN2(AK36,AL36)))</f>
        <v>-26.050324709927217</v>
      </c>
      <c r="AQ36" s="625">
        <f t="shared" si="10"/>
        <v>1.9203233488903848</v>
      </c>
      <c r="AS36" s="56">
        <f t="shared" si="119"/>
        <v>-67.152042282013724</v>
      </c>
      <c r="AT36" s="77">
        <f t="shared" si="11"/>
        <v>-1.3083192179408232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2.1440000000000001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6.2686825663780814</v>
      </c>
      <c r="C37" s="771">
        <v>2.5885858584225763</v>
      </c>
      <c r="D37" s="772">
        <v>-2.2417067609875909</v>
      </c>
      <c r="E37" s="773">
        <v>0.1572268693315873</v>
      </c>
      <c r="F37" s="771">
        <v>0.9745866574869182</v>
      </c>
      <c r="G37" s="774">
        <v>0.15956365064971595</v>
      </c>
      <c r="H37" s="773">
        <v>0.314</v>
      </c>
      <c r="I37" s="771">
        <v>0.52</v>
      </c>
      <c r="J37" s="601">
        <v>2.15</v>
      </c>
      <c r="K37" s="426" t="str">
        <f t="shared" si="225"/>
        <v>1613</v>
      </c>
      <c r="L37" s="327"/>
      <c r="M37" s="173">
        <f t="shared" si="2"/>
        <v>2.15</v>
      </c>
      <c r="N37" s="21">
        <f t="shared" si="3"/>
        <v>6.2686825663780814</v>
      </c>
      <c r="O37" s="5">
        <f t="shared" si="4"/>
        <v>2.5885858584225763</v>
      </c>
      <c r="P37" s="10">
        <f t="shared" si="5"/>
        <v>-2.2417067609875909</v>
      </c>
      <c r="Q37" s="624">
        <f t="shared" si="116"/>
        <v>22.437657777226239</v>
      </c>
      <c r="R37" s="5">
        <f t="shared" si="83"/>
        <v>6.782120454875292</v>
      </c>
      <c r="S37" s="6">
        <f t="shared" si="84"/>
        <v>-2.2417067609875909</v>
      </c>
      <c r="T37" s="4">
        <f t="shared" si="85"/>
        <v>2.5885858584225758</v>
      </c>
      <c r="U37" s="5">
        <f t="shared" si="86"/>
        <v>-6.2686825663780823</v>
      </c>
      <c r="V37" s="8">
        <f t="shared" si="117"/>
        <v>-2.2417067609875909</v>
      </c>
      <c r="W37" s="624">
        <f t="shared" si="227"/>
        <v>292.43765777722626</v>
      </c>
      <c r="X37" s="5">
        <f t="shared" si="87"/>
        <v>6.782120454875292</v>
      </c>
      <c r="Y37" s="7">
        <f t="shared" si="226"/>
        <v>-2.2417067609875909</v>
      </c>
      <c r="Z37" s="21">
        <f t="shared" si="7"/>
        <v>-0.1572268693315873</v>
      </c>
      <c r="AA37" s="5">
        <f t="shared" si="8"/>
        <v>-0.9745866574869182</v>
      </c>
      <c r="AB37" s="5">
        <f t="shared" si="9"/>
        <v>-0.15956365064971595</v>
      </c>
      <c r="AC37" s="8">
        <f t="shared" si="88"/>
        <v>1</v>
      </c>
      <c r="AD37" s="9">
        <f t="shared" si="118"/>
        <v>-0.1572268693315873</v>
      </c>
      <c r="AE37" s="5">
        <f t="shared" si="89"/>
        <v>-0.9745866574869182</v>
      </c>
      <c r="AF37" s="10">
        <f t="shared" si="90"/>
        <v>-0.15956365064971595</v>
      </c>
      <c r="AG37" s="622">
        <f t="shared" si="91"/>
        <v>-80.701776902157306</v>
      </c>
      <c r="AH37" s="623">
        <f t="shared" si="92"/>
        <v>99.045970281808877</v>
      </c>
      <c r="AI37" s="624">
        <f t="shared" si="93"/>
        <v>-80.818430139174581</v>
      </c>
      <c r="AJ37" s="625">
        <f t="shared" si="94"/>
        <v>-9.1643796068760039</v>
      </c>
      <c r="AK37" s="4">
        <f t="shared" si="213"/>
        <v>0.84079590986886765</v>
      </c>
      <c r="AL37" s="5">
        <f t="shared" si="95"/>
        <v>-0.51730230942759059</v>
      </c>
      <c r="AM37" s="6">
        <f t="shared" si="96"/>
        <v>-0.15956365064971595</v>
      </c>
      <c r="AN37" s="612">
        <f t="shared" si="97"/>
        <v>-72.857444187742715</v>
      </c>
      <c r="AO37" s="613">
        <f t="shared" si="98"/>
        <v>32.775738589089869</v>
      </c>
      <c r="AP37" s="624">
        <f t="shared" si="99"/>
        <v>-31.602037384102246</v>
      </c>
      <c r="AQ37" s="625">
        <f t="shared" si="10"/>
        <v>1.8279688332937714</v>
      </c>
      <c r="AS37" s="56">
        <f t="shared" si="119"/>
        <v>-67.562342222773736</v>
      </c>
      <c r="AT37" s="77">
        <f t="shared" si="11"/>
        <v>-1.986471245923779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2.15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6.4584831416907651</v>
      </c>
      <c r="C38" s="771">
        <v>2.6339170396918714</v>
      </c>
      <c r="D38" s="772">
        <v>-2.9569089180372967</v>
      </c>
      <c r="E38" s="773">
        <v>0.22991177563809914</v>
      </c>
      <c r="F38" s="771">
        <v>0.96978664268637083</v>
      </c>
      <c r="G38" s="774">
        <v>8.1574769935524233E-2</v>
      </c>
      <c r="H38" s="773">
        <v>0.314</v>
      </c>
      <c r="I38" s="771">
        <v>0.52</v>
      </c>
      <c r="J38" s="601">
        <v>2.1560000000000001</v>
      </c>
      <c r="K38" s="426" t="str">
        <f t="shared" si="225"/>
        <v>1613</v>
      </c>
      <c r="L38" s="327"/>
      <c r="M38" s="173">
        <f t="shared" si="2"/>
        <v>2.1560000000000001</v>
      </c>
      <c r="N38" s="21">
        <f t="shared" si="3"/>
        <v>6.4584831416907651</v>
      </c>
      <c r="O38" s="5">
        <f t="shared" si="4"/>
        <v>2.6339170396918714</v>
      </c>
      <c r="P38" s="10">
        <f t="shared" si="5"/>
        <v>-2.9569089180372967</v>
      </c>
      <c r="Q38" s="624">
        <f t="shared" si="116"/>
        <v>22.186757813451724</v>
      </c>
      <c r="R38" s="5">
        <f t="shared" si="83"/>
        <v>6.9749210363618461</v>
      </c>
      <c r="S38" s="6">
        <f t="shared" si="84"/>
        <v>-2.9569089180372967</v>
      </c>
      <c r="T38" s="4">
        <f t="shared" si="85"/>
        <v>2.6339170396918692</v>
      </c>
      <c r="U38" s="5">
        <f t="shared" si="86"/>
        <v>-6.458483141690766</v>
      </c>
      <c r="V38" s="8">
        <f t="shared" si="117"/>
        <v>-2.9569089180372967</v>
      </c>
      <c r="W38" s="624">
        <f t="shared" si="227"/>
        <v>292.18675781345172</v>
      </c>
      <c r="X38" s="5">
        <f t="shared" si="87"/>
        <v>6.9749210363618461</v>
      </c>
      <c r="Y38" s="7">
        <f t="shared" si="226"/>
        <v>-2.9569089180372967</v>
      </c>
      <c r="Z38" s="21">
        <f t="shared" si="7"/>
        <v>-0.22991177563809914</v>
      </c>
      <c r="AA38" s="5">
        <f t="shared" si="8"/>
        <v>-0.96978664268637083</v>
      </c>
      <c r="AB38" s="5">
        <f t="shared" si="9"/>
        <v>-8.1574769935524233E-2</v>
      </c>
      <c r="AC38" s="8">
        <f t="shared" si="88"/>
        <v>1</v>
      </c>
      <c r="AD38" s="9">
        <f t="shared" si="118"/>
        <v>-0.22991177563809914</v>
      </c>
      <c r="AE38" s="5">
        <f t="shared" si="89"/>
        <v>-0.96978664268637083</v>
      </c>
      <c r="AF38" s="10">
        <f t="shared" si="90"/>
        <v>-8.1574769935524233E-2</v>
      </c>
      <c r="AG38" s="622">
        <f t="shared" si="91"/>
        <v>-85.191815431865848</v>
      </c>
      <c r="AH38" s="623">
        <f t="shared" si="92"/>
        <v>103.29187766776029</v>
      </c>
      <c r="AI38" s="624">
        <f t="shared" si="93"/>
        <v>-85.320910694420746</v>
      </c>
      <c r="AJ38" s="625">
        <f t="shared" si="94"/>
        <v>-13.337143764965649</v>
      </c>
      <c r="AK38" s="4">
        <f t="shared" si="213"/>
        <v>0.81116074430843121</v>
      </c>
      <c r="AL38" s="5">
        <f t="shared" si="95"/>
        <v>-0.57910603847910114</v>
      </c>
      <c r="AM38" s="6">
        <f t="shared" si="96"/>
        <v>-8.1574769935524233E-2</v>
      </c>
      <c r="AN38" s="612">
        <f t="shared" si="97"/>
        <v>-81.981884484309475</v>
      </c>
      <c r="AO38" s="613">
        <f t="shared" si="98"/>
        <v>35.790505210799843</v>
      </c>
      <c r="AP38" s="624">
        <f t="shared" si="99"/>
        <v>-35.523901578417352</v>
      </c>
      <c r="AQ38" s="625">
        <f t="shared" si="10"/>
        <v>1.7774730410691535</v>
      </c>
      <c r="AS38" s="56">
        <f t="shared" si="119"/>
        <v>-67.81324218654828</v>
      </c>
      <c r="AT38" s="77">
        <f t="shared" si="11"/>
        <v>-2.700725558665892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2.1560000000000001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6.5862103567542576</v>
      </c>
      <c r="C39" s="771">
        <v>2.6276258182386036</v>
      </c>
      <c r="D39" s="772">
        <v>-3.7017111643608711</v>
      </c>
      <c r="E39" s="773">
        <v>0.28971029315139718</v>
      </c>
      <c r="F39" s="771">
        <v>0.95555027333428155</v>
      </c>
      <c r="G39" s="774">
        <v>5.4695714392550415E-2</v>
      </c>
      <c r="H39" s="773">
        <v>0.314</v>
      </c>
      <c r="I39" s="771">
        <v>0.52</v>
      </c>
      <c r="J39" s="601">
        <v>2.1619999999999999</v>
      </c>
      <c r="K39" s="426" t="str">
        <f t="shared" si="225"/>
        <v>1613</v>
      </c>
      <c r="L39" s="327"/>
      <c r="M39" s="173">
        <f t="shared" si="2"/>
        <v>2.1619999999999999</v>
      </c>
      <c r="N39" s="21">
        <f t="shared" si="3"/>
        <v>6.5862103567542576</v>
      </c>
      <c r="O39" s="5">
        <f t="shared" si="4"/>
        <v>2.6276258182386036</v>
      </c>
      <c r="P39" s="10">
        <f t="shared" si="5"/>
        <v>-3.7017111643608711</v>
      </c>
      <c r="Q39" s="624">
        <f t="shared" si="116"/>
        <v>21.749957407275954</v>
      </c>
      <c r="R39" s="5">
        <f t="shared" si="83"/>
        <v>7.0910213865205014</v>
      </c>
      <c r="S39" s="6">
        <f t="shared" si="84"/>
        <v>-3.7017111643608711</v>
      </c>
      <c r="T39" s="4">
        <f t="shared" si="85"/>
        <v>2.6276258182386032</v>
      </c>
      <c r="U39" s="5">
        <f t="shared" si="86"/>
        <v>-6.5862103567542576</v>
      </c>
      <c r="V39" s="8">
        <f t="shared" si="117"/>
        <v>-3.7017111643608711</v>
      </c>
      <c r="W39" s="624">
        <f t="shared" si="227"/>
        <v>291.74995740727593</v>
      </c>
      <c r="X39" s="5">
        <f t="shared" si="87"/>
        <v>7.0910213865205014</v>
      </c>
      <c r="Y39" s="7">
        <f t="shared" si="226"/>
        <v>-3.7017111643608711</v>
      </c>
      <c r="Z39" s="21">
        <f t="shared" si="7"/>
        <v>-0.28971029315139718</v>
      </c>
      <c r="AA39" s="5">
        <f t="shared" si="8"/>
        <v>-0.95555027333428155</v>
      </c>
      <c r="AB39" s="5">
        <f t="shared" si="9"/>
        <v>-5.4695714392550415E-2</v>
      </c>
      <c r="AC39" s="8">
        <f t="shared" si="88"/>
        <v>1</v>
      </c>
      <c r="AD39" s="9">
        <f t="shared" si="118"/>
        <v>-0.28971029315139718</v>
      </c>
      <c r="AE39" s="5">
        <f t="shared" si="89"/>
        <v>-0.95555027333428155</v>
      </c>
      <c r="AF39" s="10">
        <f t="shared" si="90"/>
        <v>-5.4695714392550415E-2</v>
      </c>
      <c r="AG39" s="622">
        <f t="shared" si="91"/>
        <v>-86.723963346059733</v>
      </c>
      <c r="AH39" s="623">
        <f t="shared" si="92"/>
        <v>106.84061249416739</v>
      </c>
      <c r="AI39" s="624">
        <f t="shared" si="93"/>
        <v>-86.864601760074521</v>
      </c>
      <c r="AJ39" s="625">
        <f t="shared" si="94"/>
        <v>-16.866614385197121</v>
      </c>
      <c r="AK39" s="4">
        <f t="shared" si="213"/>
        <v>0.7801703815272405</v>
      </c>
      <c r="AL39" s="5">
        <f t="shared" si="95"/>
        <v>-0.62317136857747946</v>
      </c>
      <c r="AM39" s="6">
        <f t="shared" si="96"/>
        <v>-5.4695714392550415E-2</v>
      </c>
      <c r="AN39" s="612">
        <f t="shared" si="97"/>
        <v>-84.984006785339233</v>
      </c>
      <c r="AO39" s="613">
        <f t="shared" si="98"/>
        <v>38.723821978439091</v>
      </c>
      <c r="AP39" s="624">
        <f t="shared" si="99"/>
        <v>-38.616571792473067</v>
      </c>
      <c r="AQ39" s="625">
        <f t="shared" si="10"/>
        <v>1.7483889243828696</v>
      </c>
      <c r="AS39" s="56">
        <f t="shared" si="119"/>
        <v>-68.250042592724071</v>
      </c>
      <c r="AT39" s="77">
        <f t="shared" si="11"/>
        <v>-3.4438776701216911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2.1619999999999999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6.6676533698924878</v>
      </c>
      <c r="C40" s="771">
        <v>2.6264527844530781</v>
      </c>
      <c r="D40" s="772">
        <v>-4.4598134507973679</v>
      </c>
      <c r="E40" s="773">
        <v>0.31730526578407953</v>
      </c>
      <c r="F40" s="771">
        <v>0.94832345131061346</v>
      </c>
      <c r="G40" s="774">
        <v>1.4578093196799048E-7</v>
      </c>
      <c r="H40" s="773">
        <v>0.314</v>
      </c>
      <c r="I40" s="771">
        <v>0.52</v>
      </c>
      <c r="J40" s="601">
        <v>2.1680000000000001</v>
      </c>
      <c r="K40" s="426" t="str">
        <f t="shared" si="225"/>
        <v>1613</v>
      </c>
      <c r="L40" s="327"/>
      <c r="M40" s="173">
        <f t="shared" si="2"/>
        <v>2.1680000000000001</v>
      </c>
      <c r="N40" s="21">
        <f t="shared" si="3"/>
        <v>6.6676533698924878</v>
      </c>
      <c r="O40" s="5">
        <f t="shared" si="4"/>
        <v>2.6264527844530781</v>
      </c>
      <c r="P40" s="10">
        <f t="shared" si="5"/>
        <v>-4.4598134507973679</v>
      </c>
      <c r="Q40" s="624">
        <f t="shared" si="116"/>
        <v>21.499957407275957</v>
      </c>
      <c r="R40" s="5">
        <f t="shared" si="83"/>
        <v>7.1662999999999988</v>
      </c>
      <c r="S40" s="6">
        <f t="shared" si="84"/>
        <v>-4.4598134507973679</v>
      </c>
      <c r="T40" s="4">
        <f t="shared" si="85"/>
        <v>2.6264527844530732</v>
      </c>
      <c r="U40" s="5">
        <f t="shared" si="86"/>
        <v>-6.6676533698924905</v>
      </c>
      <c r="V40" s="8">
        <f t="shared" si="117"/>
        <v>-4.4598134507973679</v>
      </c>
      <c r="W40" s="624">
        <f t="shared" si="227"/>
        <v>291.49995740727593</v>
      </c>
      <c r="X40" s="5">
        <f t="shared" si="87"/>
        <v>7.1662999999999988</v>
      </c>
      <c r="Y40" s="7">
        <f t="shared" si="226"/>
        <v>-4.4598134507973679</v>
      </c>
      <c r="Z40" s="21">
        <f t="shared" si="7"/>
        <v>-0.31730526578407953</v>
      </c>
      <c r="AA40" s="5">
        <f t="shared" si="8"/>
        <v>-0.94832345131061346</v>
      </c>
      <c r="AB40" s="5">
        <f t="shared" si="9"/>
        <v>-1.4578093196799048E-7</v>
      </c>
      <c r="AC40" s="8">
        <f t="shared" si="88"/>
        <v>1</v>
      </c>
      <c r="AD40" s="9">
        <f t="shared" si="118"/>
        <v>-0.31730526578407953</v>
      </c>
      <c r="AE40" s="5">
        <f t="shared" si="89"/>
        <v>-0.94832345131061346</v>
      </c>
      <c r="AF40" s="10">
        <f t="shared" si="90"/>
        <v>-1.4578093196799048E-7</v>
      </c>
      <c r="AG40" s="622">
        <f t="shared" si="91"/>
        <v>-89.99999119221178</v>
      </c>
      <c r="AH40" s="623">
        <f t="shared" si="92"/>
        <v>108.5000368174385</v>
      </c>
      <c r="AI40" s="624">
        <f t="shared" si="93"/>
        <v>-89.999991647367864</v>
      </c>
      <c r="AJ40" s="625">
        <f t="shared" si="94"/>
        <v>-18.500036817438705</v>
      </c>
      <c r="AK40" s="4">
        <f t="shared" si="213"/>
        <v>0.76604450791050771</v>
      </c>
      <c r="AL40" s="5">
        <f t="shared" si="95"/>
        <v>-0.64278753247097664</v>
      </c>
      <c r="AM40" s="6">
        <f t="shared" si="96"/>
        <v>-1.4578093196799048E-7</v>
      </c>
      <c r="AN40" s="612">
        <f t="shared" si="97"/>
        <v>-89.999987005609611</v>
      </c>
      <c r="AO40" s="613">
        <f t="shared" si="98"/>
        <v>39.999994224715337</v>
      </c>
      <c r="AP40" s="624">
        <f t="shared" si="99"/>
        <v>-39.999994224714619</v>
      </c>
      <c r="AQ40" s="625">
        <f t="shared" si="10"/>
        <v>1.7300341407596445</v>
      </c>
      <c r="AS40" s="56">
        <f t="shared" si="119"/>
        <v>-68.500042592724071</v>
      </c>
      <c r="AT40" s="77">
        <f t="shared" si="11"/>
        <v>-4.2010355121137435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2.1680000000000001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</v>
      </c>
      <c r="B41" s="770">
        <v>3.8966199876840637</v>
      </c>
      <c r="C41" s="771">
        <v>0.50890854916806239</v>
      </c>
      <c r="D41" s="772">
        <v>-3.27000986234968E-2</v>
      </c>
      <c r="E41" s="773">
        <v>4.4980953306641654E-2</v>
      </c>
      <c r="F41" s="771">
        <v>5.8748564136167454E-3</v>
      </c>
      <c r="G41" s="774">
        <v>0.99897057008790069</v>
      </c>
      <c r="H41" s="773">
        <v>0.26250000000000001</v>
      </c>
      <c r="I41" s="771">
        <v>0.40699999999999997</v>
      </c>
      <c r="J41" s="601">
        <v>2.2200000000000002</v>
      </c>
      <c r="K41" s="426" t="str">
        <f t="shared" si="225"/>
        <v/>
      </c>
      <c r="L41" s="327"/>
      <c r="M41" s="173">
        <f t="shared" ref="M41:M72" si="242">IF(J41="","",VALUE(J41))</f>
        <v>2.2200000000000002</v>
      </c>
      <c r="N41" s="21">
        <f t="shared" ref="N41:N72" si="243">IF(M41="","",B41)</f>
        <v>3.8966199876840637</v>
      </c>
      <c r="O41" s="5">
        <f t="shared" ref="O41:O72" si="244">IF(M41="","",C41)</f>
        <v>0.50890854916806239</v>
      </c>
      <c r="P41" s="10">
        <f t="shared" ref="P41:P72" si="245">IF(M41="","",D41)</f>
        <v>-3.27000986234968E-2</v>
      </c>
      <c r="Q41" s="624">
        <f t="shared" si="116"/>
        <v>7.4408599424959503</v>
      </c>
      <c r="R41" s="5">
        <f t="shared" si="83"/>
        <v>3.9297118520109455</v>
      </c>
      <c r="S41" s="6">
        <f t="shared" si="84"/>
        <v>-3.27000986234968E-2</v>
      </c>
      <c r="T41" s="4">
        <f t="shared" si="85"/>
        <v>0.50890854916806272</v>
      </c>
      <c r="U41" s="5">
        <f t="shared" si="86"/>
        <v>-3.8966199876840637</v>
      </c>
      <c r="V41" s="8">
        <f t="shared" si="117"/>
        <v>-3.27000986234968E-2</v>
      </c>
      <c r="W41" s="624">
        <f t="shared" si="227"/>
        <v>277.44085994249593</v>
      </c>
      <c r="X41" s="5">
        <f t="shared" si="87"/>
        <v>3.9297118520109455</v>
      </c>
      <c r="Y41" s="7">
        <f t="shared" si="226"/>
        <v>-3.27000986234968E-2</v>
      </c>
      <c r="Z41" s="21">
        <f t="shared" ref="Z41:Z72" si="246">IF(M41="","",-E41)</f>
        <v>-4.4980953306641654E-2</v>
      </c>
      <c r="AA41" s="5">
        <f t="shared" ref="AA41:AA72" si="247">IF(M41="","",-F41)</f>
        <v>-5.8748564136167454E-3</v>
      </c>
      <c r="AB41" s="5">
        <f t="shared" ref="AB41:AB72" si="248">IF(M41="","",-G41)</f>
        <v>-0.99897057008790069</v>
      </c>
      <c r="AC41" s="8">
        <f t="shared" si="88"/>
        <v>1</v>
      </c>
      <c r="AD41" s="9">
        <f t="shared" si="118"/>
        <v>-4.4980953306641654E-2</v>
      </c>
      <c r="AE41" s="5">
        <f t="shared" si="89"/>
        <v>-5.8748564136167454E-3</v>
      </c>
      <c r="AF41" s="10">
        <f t="shared" si="90"/>
        <v>-0.99897057008790069</v>
      </c>
      <c r="AG41" s="622">
        <f t="shared" si="91"/>
        <v>-0.33694746112076912</v>
      </c>
      <c r="AH41" s="623">
        <f t="shared" si="92"/>
        <v>92.578088650357003</v>
      </c>
      <c r="AI41" s="624">
        <f t="shared" si="93"/>
        <v>-2.5999996246388277</v>
      </c>
      <c r="AJ41" s="625">
        <f t="shared" si="94"/>
        <v>-82.558853603881687</v>
      </c>
      <c r="AK41" s="4">
        <f t="shared" si="213"/>
        <v>2.2679489670301978E-7</v>
      </c>
      <c r="AL41" s="5">
        <f t="shared" si="95"/>
        <v>-4.5362981584144736E-2</v>
      </c>
      <c r="AM41" s="6">
        <f t="shared" si="96"/>
        <v>-0.99897057008790069</v>
      </c>
      <c r="AN41" s="612">
        <f t="shared" si="97"/>
        <v>-2.5999996246065007</v>
      </c>
      <c r="AO41" s="613">
        <f t="shared" si="98"/>
        <v>0</v>
      </c>
      <c r="AP41" s="624">
        <f t="shared" si="99"/>
        <v>-89.999713546377635</v>
      </c>
      <c r="AQ41" s="625">
        <f t="shared" ref="AQ41:AQ72" si="249">IF(M41="","",DEGREES(ATAN(($AS$5*SIN(RADIANS(90)))/(($X41*2*PI())-($AS$5*COS(RADIANS(90)))))))</f>
        <v>3.1526978072323737</v>
      </c>
      <c r="AS41" s="56">
        <f t="shared" si="119"/>
        <v>-82.559140057504067</v>
      </c>
      <c r="AT41" s="77">
        <f t="shared" ref="AT41:AT72" si="250">IF(M41="","",Y41+(((AS41-$AS$9)*$AS$6)*-1))</f>
        <v>0.27918998603818523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>
        <f>IFERROR(IF($IU41="","",IF($IU41&lt;(((Settings!$C$19/2)*-1)*$IE$8),"",1)),"")</f>
        <v>1</v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2.2200000000000002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I41" s="800" cm="1">
        <f t="array" ref="II41">IFERROR(IF($IH41&lt;1,$IH41+LARGE((IF($M$9:$M$150="",0,$M$9:$M$150)-MOD(IF($M$9:$M$150="",0,$M$9:$M$150),1)),1),$IH41),"")</f>
        <v>2.12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/>
      </c>
      <c r="IL41" s="791">
        <f t="shared" si="228"/>
        <v>17.559097464779995</v>
      </c>
      <c r="IM41" s="830">
        <v>5.30975579465653E-3</v>
      </c>
      <c r="IN41" s="5">
        <f t="shared" si="229"/>
        <v>0.08</v>
      </c>
      <c r="IO41" s="852">
        <v>40</v>
      </c>
      <c r="IP41" s="9">
        <f t="shared" si="230"/>
        <v>-3.9279118465821292</v>
      </c>
      <c r="IQ41" s="5">
        <f t="shared" si="231"/>
        <v>-5.9900180658944722E-2</v>
      </c>
      <c r="IR41" s="5">
        <f t="shared" ref="IR41:IR72" si="388">IF(ISNUMBER($II41),INDEX($H$9:$H$150,MATCH($II41,$M$9:$M$150,0)),"")</f>
        <v>0.314</v>
      </c>
      <c r="IS41" s="5">
        <f t="shared" si="232"/>
        <v>0.29506348833932711</v>
      </c>
      <c r="IT41" s="791">
        <f t="shared" si="233"/>
        <v>2.5999996246063763</v>
      </c>
      <c r="IU41" s="9">
        <f t="shared" si="234"/>
        <v>-3.9297118520109455</v>
      </c>
      <c r="IV41" s="5">
        <f t="shared" si="235"/>
        <v>-3.27000986234968E-2</v>
      </c>
      <c r="IW41" s="5">
        <f t="shared" ref="IW41:IW72" si="389">IF(ISNUMBER($II41),$H41,"")</f>
        <v>0.26250000000000001</v>
      </c>
      <c r="IX41" s="5">
        <f t="shared" si="236"/>
        <v>0.26250000000000001</v>
      </c>
      <c r="IY41" s="833">
        <f t="shared" si="237"/>
        <v>2.5999996246065007</v>
      </c>
    </row>
    <row r="42" spans="1:259" ht="15" customHeight="1" x14ac:dyDescent="0.25">
      <c r="A42" s="84">
        <f t="shared" si="82"/>
        <v>0</v>
      </c>
      <c r="B42" s="770">
        <v>4.6499221949869822</v>
      </c>
      <c r="C42" s="771">
        <v>0.59719156404111928</v>
      </c>
      <c r="D42" s="772">
        <v>-0.17330052267437607</v>
      </c>
      <c r="E42" s="773">
        <v>0.21467631895730332</v>
      </c>
      <c r="F42" s="771">
        <v>2.7571203247073482E-2</v>
      </c>
      <c r="G42" s="774">
        <v>0.97629601393760224</v>
      </c>
      <c r="H42" s="773">
        <v>0.26250000000000001</v>
      </c>
      <c r="I42" s="771">
        <v>0.40699999999999997</v>
      </c>
      <c r="J42" s="601">
        <v>2.226</v>
      </c>
      <c r="K42" s="426" t="str">
        <f t="shared" si="225"/>
        <v/>
      </c>
      <c r="L42" s="327"/>
      <c r="M42" s="173">
        <f t="shared" si="242"/>
        <v>2.226</v>
      </c>
      <c r="N42" s="21">
        <f t="shared" si="243"/>
        <v>4.6499221949869822</v>
      </c>
      <c r="O42" s="5">
        <f t="shared" si="244"/>
        <v>0.59719156404111928</v>
      </c>
      <c r="P42" s="10">
        <f t="shared" si="245"/>
        <v>-0.17330052267437607</v>
      </c>
      <c r="Q42" s="624">
        <f t="shared" si="116"/>
        <v>7.3184599601683242</v>
      </c>
      <c r="R42" s="5">
        <f t="shared" ref="R42:R47" si="390">IF(M42="","",SQRT(N42^2+O42^2))</f>
        <v>4.6881141393522441</v>
      </c>
      <c r="S42" s="6">
        <f t="shared" ref="S42:S47" si="391">IF(M42="","",P42)</f>
        <v>-0.17330052267437607</v>
      </c>
      <c r="T42" s="4">
        <f t="shared" ref="T42:T47" si="392">IF(M42="","",X42*COS(RADIANS(W42)))</f>
        <v>0.59719156404111484</v>
      </c>
      <c r="U42" s="5">
        <f t="shared" ref="U42:U47" si="393">IF(M42="","",X42*SIN(RADIANS(W42)))</f>
        <v>-4.6499221949869831</v>
      </c>
      <c r="V42" s="8">
        <f t="shared" ref="V42:V47" si="394">IF(M42="","",Y42)</f>
        <v>-0.17330052267437607</v>
      </c>
      <c r="W42" s="624">
        <f t="shared" si="227"/>
        <v>277.3184599601683</v>
      </c>
      <c r="X42" s="5">
        <f t="shared" ref="X42:X47" si="395">IF(M42="","",R42)</f>
        <v>4.6881141393522441</v>
      </c>
      <c r="Y42" s="7">
        <f t="shared" si="226"/>
        <v>-0.17330052267437607</v>
      </c>
      <c r="Z42" s="21">
        <f t="shared" si="246"/>
        <v>-0.21467631895730332</v>
      </c>
      <c r="AA42" s="5">
        <f t="shared" si="247"/>
        <v>-2.7571203247073482E-2</v>
      </c>
      <c r="AB42" s="5">
        <f t="shared" si="248"/>
        <v>-0.97629601393760224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-0.21467631895730332</v>
      </c>
      <c r="AE42" s="5">
        <f t="shared" ref="AE42:AE47" si="398">IF(M42="","",AA42*(1/SQRT(Z42^2+AA42^2+AB42^2)))</f>
        <v>-2.7571203247073482E-2</v>
      </c>
      <c r="AF42" s="10">
        <f t="shared" ref="AF42:AF47" si="399">IF(M42="","",AB42*(1/SQRT(Z42^2+AA42^2+AB42^2)))</f>
        <v>-0.97629601393760224</v>
      </c>
      <c r="AG42" s="622">
        <f t="shared" ref="AG42:AG47" si="400">IF(M42="","",DEGREES(ATAN2(-AF42,AE42)))</f>
        <v>-1.6176383010835607</v>
      </c>
      <c r="AH42" s="623">
        <f t="shared" ref="AH42:AH47" si="401">IF(M42="","",DEGREES(ACOS(AD42)))</f>
        <v>102.39653834863783</v>
      </c>
      <c r="AI42" s="624">
        <f t="shared" ref="AI42:AI47" si="402">IF(M42="","",DEGREES(-ACOS(-AF42)))</f>
        <v>-12.499998195230186</v>
      </c>
      <c r="AJ42" s="625">
        <f t="shared" ref="AJ42:AJ47" si="403">IF(M42="","",DEGREES(ATAN2(-AE42,AD42)))</f>
        <v>-82.681480002798679</v>
      </c>
      <c r="AK42" s="4">
        <f t="shared" ref="AK42:AK47" si="404">IF(M42="","",(COS(RADIANS((90-$Q$8)-W42))*AD42)+(-SIN(RADIANS((90-$Q$8)-W42))*AE42))</f>
        <v>2.2679489691118659E-7</v>
      </c>
      <c r="AL42" s="5">
        <f t="shared" ref="AL42:AL47" si="405">IF(M42="","",(SIN(RADIANS((90-$Q$8)-W42))*AD42)+(COS(RADIANS((90-$Q$8)-W42))*AE42))</f>
        <v>-0.21643958318546502</v>
      </c>
      <c r="AM42" s="6">
        <f t="shared" ref="AM42:AM47" si="406">IF(M42="","",AF42)</f>
        <v>-0.97629601393760224</v>
      </c>
      <c r="AN42" s="612">
        <f t="shared" ref="AN42:AN47" si="407">IF(M42="","",DEGREES(ATAN2(-AM42,AL42)))</f>
        <v>-12.49999819522356</v>
      </c>
      <c r="AO42" s="613">
        <f t="shared" si="98"/>
        <v>0</v>
      </c>
      <c r="AP42" s="624">
        <f t="shared" ref="AP42:AP47" si="408">IF(M42="","",DEGREES(ATAN2(AK42,AL42)))</f>
        <v>-89.999939962966963</v>
      </c>
      <c r="AQ42" s="625">
        <f t="shared" si="249"/>
        <v>2.6434748830305299</v>
      </c>
      <c r="AS42" s="56">
        <f t="shared" si="119"/>
        <v>-82.681540039831702</v>
      </c>
      <c r="AT42" s="77">
        <f t="shared" si="250"/>
        <v>0.1390519619205437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>
        <f>IFERROR(IF($IU42="","",IF($IU42&lt;(((Settings!$C$19/2)*-1)*$IE$8),"",1)),"")</f>
        <v>1</v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2.226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2.1259999999999999</v>
      </c>
      <c r="II42" s="800" cm="1">
        <f t="array" ref="II42">IFERROR(IF($IH42&lt;1,$IH42+LARGE((IF($M$9:$M$150="",0,$M$9:$M$150)-MOD(IF($M$9:$M$150="",0,$M$9:$M$150),1)),1),$IH42),"")</f>
        <v>2.1259999999999999</v>
      </c>
      <c r="IJ42" s="839" t="str">
        <f t="shared" si="386"/>
        <v>1613</v>
      </c>
      <c r="IK42" s="839" t="str">
        <f t="shared" si="387"/>
        <v/>
      </c>
      <c r="IL42" s="791">
        <f t="shared" si="228"/>
        <v>17.30159750195844</v>
      </c>
      <c r="IM42" s="830">
        <v>4.3528887180528204E-3</v>
      </c>
      <c r="IN42" s="5">
        <f t="shared" si="229"/>
        <v>0.06</v>
      </c>
      <c r="IO42" s="852">
        <v>30</v>
      </c>
      <c r="IP42" s="9">
        <f t="shared" si="230"/>
        <v>-4.6797141140177692</v>
      </c>
      <c r="IQ42" s="5">
        <f t="shared" si="231"/>
        <v>-0.19970060229701639</v>
      </c>
      <c r="IR42" s="5">
        <f t="shared" si="388"/>
        <v>0.314</v>
      </c>
      <c r="IS42" s="5">
        <f t="shared" si="232"/>
        <v>0.29448673227795064</v>
      </c>
      <c r="IT42" s="791">
        <f t="shared" si="233"/>
        <v>22.874770979007867</v>
      </c>
      <c r="IU42" s="9">
        <f t="shared" si="234"/>
        <v>-4.6881141393522441</v>
      </c>
      <c r="IV42" s="5">
        <f t="shared" si="235"/>
        <v>-0.17330052267437607</v>
      </c>
      <c r="IW42" s="5">
        <f t="shared" si="389"/>
        <v>0.26250000000000001</v>
      </c>
      <c r="IX42" s="5">
        <f t="shared" si="236"/>
        <v>0.26250000000000001</v>
      </c>
      <c r="IY42" s="833">
        <f t="shared" si="237"/>
        <v>12.49999819522356</v>
      </c>
    </row>
    <row r="43" spans="1:259" ht="15" customHeight="1" x14ac:dyDescent="0.25">
      <c r="A43" s="84">
        <f t="shared" si="82"/>
        <v>0</v>
      </c>
      <c r="B43" s="770">
        <v>5.3452282548731276</v>
      </c>
      <c r="C43" s="771">
        <v>0.67529348200601813</v>
      </c>
      <c r="D43" s="772">
        <v>-0.48660146759002693</v>
      </c>
      <c r="E43" s="773">
        <v>0.37806514233182231</v>
      </c>
      <c r="F43" s="771">
        <v>4.7763376253231155E-2</v>
      </c>
      <c r="G43" s="774">
        <v>0.92454605512246457</v>
      </c>
      <c r="H43" s="773">
        <v>0.26250000000000001</v>
      </c>
      <c r="I43" s="771">
        <v>0.40699999999999997</v>
      </c>
      <c r="J43" s="601">
        <v>2.2320000000000002</v>
      </c>
      <c r="K43" s="426" t="str">
        <f t="shared" si="225"/>
        <v/>
      </c>
      <c r="L43" s="327"/>
      <c r="M43" s="173">
        <f t="shared" si="242"/>
        <v>2.2320000000000002</v>
      </c>
      <c r="N43" s="21">
        <f t="shared" si="243"/>
        <v>5.3452282548731276</v>
      </c>
      <c r="O43" s="5">
        <f t="shared" si="244"/>
        <v>0.67529348200601813</v>
      </c>
      <c r="P43" s="10">
        <f t="shared" si="245"/>
        <v>-0.48660146759002693</v>
      </c>
      <c r="Q43" s="624">
        <f t="shared" si="116"/>
        <v>7.2003599772198505</v>
      </c>
      <c r="R43" s="5">
        <f t="shared" si="390"/>
        <v>5.3877162493522093</v>
      </c>
      <c r="S43" s="6">
        <f t="shared" si="391"/>
        <v>-0.48660146759002693</v>
      </c>
      <c r="T43" s="4">
        <f t="shared" si="392"/>
        <v>0.67529348200601791</v>
      </c>
      <c r="U43" s="5">
        <f t="shared" si="393"/>
        <v>-5.3452282548731285</v>
      </c>
      <c r="V43" s="8">
        <f t="shared" si="394"/>
        <v>-0.48660146759002693</v>
      </c>
      <c r="W43" s="624">
        <f t="shared" si="227"/>
        <v>277.20035997721988</v>
      </c>
      <c r="X43" s="5">
        <f t="shared" si="395"/>
        <v>5.3877162493522093</v>
      </c>
      <c r="Y43" s="7">
        <f t="shared" si="226"/>
        <v>-0.48660146759002693</v>
      </c>
      <c r="Z43" s="21">
        <f t="shared" si="246"/>
        <v>-0.37806514233182231</v>
      </c>
      <c r="AA43" s="5">
        <f t="shared" si="247"/>
        <v>-4.7763376253231155E-2</v>
      </c>
      <c r="AB43" s="5">
        <f t="shared" si="248"/>
        <v>-0.92454605512246457</v>
      </c>
      <c r="AC43" s="8">
        <f t="shared" si="396"/>
        <v>1</v>
      </c>
      <c r="AD43" s="9">
        <f t="shared" si="397"/>
        <v>-0.37806514233182231</v>
      </c>
      <c r="AE43" s="5">
        <f t="shared" si="398"/>
        <v>-4.7763376253231155E-2</v>
      </c>
      <c r="AF43" s="10">
        <f t="shared" si="399"/>
        <v>-0.92454605512246457</v>
      </c>
      <c r="AG43" s="622">
        <f t="shared" si="400"/>
        <v>-2.9573531151528516</v>
      </c>
      <c r="AH43" s="623">
        <f t="shared" si="401"/>
        <v>112.21388451043961</v>
      </c>
      <c r="AI43" s="624">
        <f t="shared" si="402"/>
        <v>-22.399996765844175</v>
      </c>
      <c r="AJ43" s="625">
        <f t="shared" si="403"/>
        <v>-82.799605923062671</v>
      </c>
      <c r="AK43" s="4">
        <f t="shared" si="404"/>
        <v>2.2679489671689756E-7</v>
      </c>
      <c r="AL43" s="5">
        <f t="shared" si="405"/>
        <v>-0.3810703241626634</v>
      </c>
      <c r="AM43" s="6">
        <f t="shared" si="406"/>
        <v>-0.92454605512246457</v>
      </c>
      <c r="AN43" s="612">
        <f t="shared" si="407"/>
        <v>-22.399996765840605</v>
      </c>
      <c r="AO43" s="613">
        <f t="shared" si="98"/>
        <v>0</v>
      </c>
      <c r="AP43" s="624">
        <f t="shared" si="408"/>
        <v>-89.999965900282518</v>
      </c>
      <c r="AQ43" s="625">
        <f t="shared" si="249"/>
        <v>2.3006124595231205</v>
      </c>
      <c r="AS43" s="56">
        <f t="shared" ref="AS43:AS74" si="411">IF(G43="","",IF(AND(W43&lt;(AS42+180),W43&gt;(AS42-180)),W43,IF(W43&gt;(AS42+180),W43-360,IF(W43&lt;(AS42-180),W43+360,"Error"))))</f>
        <v>-82.799640022780125</v>
      </c>
      <c r="AT43" s="77">
        <f t="shared" si="250"/>
        <v>-0.17380282750396869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>
        <f>IFERROR(IF($IU43="","",IF($IU43&lt;(((Settings!$C$19/2)*-1)*$IE$8),"",1)),"")</f>
        <v>1</v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2.2320000000000002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2.1320000000000001</v>
      </c>
      <c r="II43" s="800" cm="1">
        <f t="array" ref="II43">IFERROR(IF($IH43&lt;1,$IH43+LARGE((IF($M$9:$M$150="",0,$M$9:$M$150)-MOD(IF($M$9:$M$150="",0,$M$9:$M$150),1)),1),$IH43),"")</f>
        <v>2.1320000000000001</v>
      </c>
      <c r="IJ43" s="839" t="str">
        <f t="shared" si="386"/>
        <v>1613</v>
      </c>
      <c r="IK43" s="839" t="str">
        <f t="shared" si="387"/>
        <v/>
      </c>
      <c r="IL43" s="791">
        <f t="shared" si="228"/>
        <v>16.843497568099792</v>
      </c>
      <c r="IM43" s="830">
        <v>2.3734993388371999E-3</v>
      </c>
      <c r="IN43" s="5">
        <f t="shared" si="229"/>
        <v>0.02</v>
      </c>
      <c r="IO43" s="852">
        <v>10</v>
      </c>
      <c r="IP43" s="9">
        <f t="shared" si="230"/>
        <v>-5.3730162050168753</v>
      </c>
      <c r="IQ43" s="5">
        <f t="shared" si="231"/>
        <v>-0.5113015420854512</v>
      </c>
      <c r="IR43" s="5">
        <f t="shared" si="388"/>
        <v>0.314</v>
      </c>
      <c r="IS43" s="5">
        <f t="shared" si="232"/>
        <v>0.29339708863243547</v>
      </c>
      <c r="IT43" s="791">
        <f t="shared" si="233"/>
        <v>39.731154380185927</v>
      </c>
      <c r="IU43" s="9">
        <f t="shared" si="234"/>
        <v>-5.3877162493522093</v>
      </c>
      <c r="IV43" s="5">
        <f t="shared" si="235"/>
        <v>-0.48660146759002693</v>
      </c>
      <c r="IW43" s="5">
        <f t="shared" si="389"/>
        <v>0.26250000000000001</v>
      </c>
      <c r="IX43" s="5">
        <f t="shared" si="236"/>
        <v>0.26250000000000001</v>
      </c>
      <c r="IY43" s="833">
        <f t="shared" si="237"/>
        <v>22.399996765840605</v>
      </c>
    </row>
    <row r="44" spans="1:259" ht="15" customHeight="1" x14ac:dyDescent="0.25">
      <c r="A44" s="84">
        <f t="shared" si="82"/>
        <v>0</v>
      </c>
      <c r="B44" s="770">
        <v>5.950296089464163</v>
      </c>
      <c r="C44" s="771">
        <v>0.71515083131129897</v>
      </c>
      <c r="D44" s="772">
        <v>-0.95550288179669096</v>
      </c>
      <c r="E44" s="773">
        <v>0.52906867695763404</v>
      </c>
      <c r="F44" s="771">
        <v>6.3587636256549451E-2</v>
      </c>
      <c r="G44" s="774">
        <v>0.84619320936627918</v>
      </c>
      <c r="H44" s="773">
        <v>0.26250000000000001</v>
      </c>
      <c r="I44" s="771">
        <v>0.40699999999999997</v>
      </c>
      <c r="J44" s="601">
        <v>2.238</v>
      </c>
      <c r="K44" s="426" t="str">
        <f t="shared" si="225"/>
        <v/>
      </c>
      <c r="L44" s="327"/>
      <c r="M44" s="173">
        <f t="shared" si="242"/>
        <v>2.238</v>
      </c>
      <c r="N44" s="21">
        <f t="shared" si="243"/>
        <v>5.950296089464163</v>
      </c>
      <c r="O44" s="5">
        <f t="shared" si="244"/>
        <v>0.71515083131129897</v>
      </c>
      <c r="P44" s="10">
        <f t="shared" si="245"/>
        <v>-0.95550288179669096</v>
      </c>
      <c r="Q44" s="624">
        <f t="shared" si="116"/>
        <v>6.8533600273204458</v>
      </c>
      <c r="R44" s="5">
        <f t="shared" si="390"/>
        <v>5.9931180752441167</v>
      </c>
      <c r="S44" s="6">
        <f t="shared" si="391"/>
        <v>-0.95550288179669096</v>
      </c>
      <c r="T44" s="4">
        <f t="shared" si="392"/>
        <v>0.7151508313112972</v>
      </c>
      <c r="U44" s="5">
        <f t="shared" si="393"/>
        <v>-5.9502960894641621</v>
      </c>
      <c r="V44" s="8">
        <f t="shared" si="394"/>
        <v>-0.95550288179669096</v>
      </c>
      <c r="W44" s="624">
        <f t="shared" si="227"/>
        <v>276.85336002732043</v>
      </c>
      <c r="X44" s="5">
        <f t="shared" si="395"/>
        <v>5.9931180752441167</v>
      </c>
      <c r="Y44" s="7">
        <f t="shared" si="226"/>
        <v>-0.95550288179669096</v>
      </c>
      <c r="Z44" s="21">
        <f t="shared" si="246"/>
        <v>-0.52906867695763404</v>
      </c>
      <c r="AA44" s="5">
        <f t="shared" si="247"/>
        <v>-6.3587636256549451E-2</v>
      </c>
      <c r="AB44" s="5">
        <f t="shared" si="248"/>
        <v>-0.84619320936627918</v>
      </c>
      <c r="AC44" s="8">
        <f t="shared" si="396"/>
        <v>1</v>
      </c>
      <c r="AD44" s="9">
        <f t="shared" si="397"/>
        <v>-0.52906867695763404</v>
      </c>
      <c r="AE44" s="5">
        <f t="shared" si="398"/>
        <v>-6.3587636256549451E-2</v>
      </c>
      <c r="AF44" s="10">
        <f t="shared" si="399"/>
        <v>-0.84619320936627918</v>
      </c>
      <c r="AG44" s="622">
        <f t="shared" si="400"/>
        <v>-4.2974447896907657</v>
      </c>
      <c r="AH44" s="623">
        <f t="shared" si="401"/>
        <v>121.94255065623163</v>
      </c>
      <c r="AI44" s="624">
        <f t="shared" si="402"/>
        <v>-32.199995350898206</v>
      </c>
      <c r="AJ44" s="625">
        <f t="shared" si="403"/>
        <v>-83.14661558729658</v>
      </c>
      <c r="AK44" s="4">
        <f t="shared" si="404"/>
        <v>2.2679489684873655E-7</v>
      </c>
      <c r="AL44" s="5">
        <f t="shared" si="405"/>
        <v>-0.53287620740876129</v>
      </c>
      <c r="AM44" s="6">
        <f t="shared" si="406"/>
        <v>-0.84619320936627918</v>
      </c>
      <c r="AN44" s="612">
        <f t="shared" si="407"/>
        <v>-32.199995350895875</v>
      </c>
      <c r="AO44" s="613">
        <f t="shared" si="98"/>
        <v>0</v>
      </c>
      <c r="AP44" s="624">
        <f t="shared" si="408"/>
        <v>-89.999975614617014</v>
      </c>
      <c r="AQ44" s="625">
        <f t="shared" si="249"/>
        <v>2.0684265942365747</v>
      </c>
      <c r="AS44" s="56">
        <f t="shared" si="411"/>
        <v>-83.146639972679566</v>
      </c>
      <c r="AT44" s="77">
        <f t="shared" si="250"/>
        <v>-0.64139335301101252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2.238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2.1379999999999999</v>
      </c>
      <c r="II44" s="800" cm="1">
        <f t="array" ref="II44">IFERROR(IF($IH44&lt;1,$IH44+LARGE((IF($M$9:$M$150="",0,$M$9:$M$150)-MOD(IF($M$9:$M$150="",0,$M$9:$M$150),1)),1),$IH44),"")</f>
        <v>2.1379999999999999</v>
      </c>
      <c r="IJ44" s="839" t="str">
        <f t="shared" si="386"/>
        <v>1613</v>
      </c>
      <c r="IK44" s="839" t="str">
        <f t="shared" si="387"/>
        <v/>
      </c>
      <c r="IL44" s="791">
        <f t="shared" si="228"/>
        <v>16.560197609003296</v>
      </c>
      <c r="IM44" s="830">
        <v>1.70799989378777E-4</v>
      </c>
      <c r="IN44" s="5">
        <f t="shared" si="229"/>
        <v>0</v>
      </c>
      <c r="IO44" s="852">
        <v>0</v>
      </c>
      <c r="IP44" s="9">
        <f t="shared" si="230"/>
        <v>-5.9757180227655571</v>
      </c>
      <c r="IQ44" s="5">
        <f t="shared" si="231"/>
        <v>-0.97230293246564459</v>
      </c>
      <c r="IR44" s="5">
        <f t="shared" si="388"/>
        <v>0.314</v>
      </c>
      <c r="IS44" s="5">
        <f t="shared" si="232"/>
        <v>0.28602642767935738</v>
      </c>
      <c r="IT44" s="791">
        <f t="shared" si="233"/>
        <v>52.625309040106117</v>
      </c>
      <c r="IU44" s="9">
        <f t="shared" si="234"/>
        <v>-5.9931180752441167</v>
      </c>
      <c r="IV44" s="5">
        <f t="shared" si="235"/>
        <v>-0.95550288179669096</v>
      </c>
      <c r="IW44" s="5">
        <f t="shared" si="389"/>
        <v>0.26250000000000001</v>
      </c>
      <c r="IX44" s="5">
        <f t="shared" si="236"/>
        <v>0.26250000000000001</v>
      </c>
      <c r="IY44" s="833">
        <f t="shared" si="237"/>
        <v>32.199995350895875</v>
      </c>
    </row>
    <row r="45" spans="1:259" ht="15" customHeight="1" x14ac:dyDescent="0.25">
      <c r="A45" s="84">
        <f t="shared" si="82"/>
        <v>0</v>
      </c>
      <c r="B45" s="770">
        <v>6.4304386244430436</v>
      </c>
      <c r="C45" s="771">
        <v>0.72713800110449067</v>
      </c>
      <c r="D45" s="772">
        <v>-1.5553046907989481</v>
      </c>
      <c r="E45" s="773">
        <v>0.66618097350346073</v>
      </c>
      <c r="F45" s="771">
        <v>7.5330315305517259E-2</v>
      </c>
      <c r="G45" s="774">
        <v>0.74197591210089342</v>
      </c>
      <c r="H45" s="773">
        <v>0.26250000000000001</v>
      </c>
      <c r="I45" s="771">
        <v>0.40699999999999997</v>
      </c>
      <c r="J45" s="601">
        <v>2.2440000000000002</v>
      </c>
      <c r="K45" s="426" t="str">
        <f t="shared" si="225"/>
        <v/>
      </c>
      <c r="L45" s="327"/>
      <c r="M45" s="173">
        <f t="shared" si="242"/>
        <v>2.2440000000000002</v>
      </c>
      <c r="N45" s="21">
        <f t="shared" si="243"/>
        <v>6.4304386244430436</v>
      </c>
      <c r="O45" s="5">
        <f t="shared" si="244"/>
        <v>0.72713800110449067</v>
      </c>
      <c r="P45" s="10">
        <f t="shared" si="245"/>
        <v>-1.5553046907989481</v>
      </c>
      <c r="Q45" s="624">
        <f t="shared" si="116"/>
        <v>6.4514600853476161</v>
      </c>
      <c r="R45" s="5">
        <f t="shared" si="390"/>
        <v>6.4714195178012668</v>
      </c>
      <c r="S45" s="6">
        <f t="shared" si="391"/>
        <v>-1.5553046907989481</v>
      </c>
      <c r="T45" s="4">
        <f t="shared" si="392"/>
        <v>0.7271380011044869</v>
      </c>
      <c r="U45" s="5">
        <f t="shared" si="393"/>
        <v>-6.4304386244430445</v>
      </c>
      <c r="V45" s="8">
        <f t="shared" si="394"/>
        <v>-1.5553046907989481</v>
      </c>
      <c r="W45" s="624">
        <f t="shared" si="227"/>
        <v>276.45146008534761</v>
      </c>
      <c r="X45" s="5">
        <f t="shared" si="395"/>
        <v>6.4714195178012668</v>
      </c>
      <c r="Y45" s="7">
        <f t="shared" si="226"/>
        <v>-1.5553046907989481</v>
      </c>
      <c r="Z45" s="21">
        <f t="shared" si="246"/>
        <v>-0.66618097350346073</v>
      </c>
      <c r="AA45" s="5">
        <f t="shared" si="247"/>
        <v>-7.5330315305517259E-2</v>
      </c>
      <c r="AB45" s="5">
        <f t="shared" si="248"/>
        <v>-0.74197591210089342</v>
      </c>
      <c r="AC45" s="8">
        <f t="shared" si="396"/>
        <v>1</v>
      </c>
      <c r="AD45" s="9">
        <f t="shared" si="397"/>
        <v>-0.66618097350346073</v>
      </c>
      <c r="AE45" s="5">
        <f t="shared" si="398"/>
        <v>-7.5330315305517259E-2</v>
      </c>
      <c r="AF45" s="10">
        <f t="shared" si="399"/>
        <v>-0.74197591210089342</v>
      </c>
      <c r="AG45" s="622">
        <f t="shared" si="400"/>
        <v>-5.7971835126535538</v>
      </c>
      <c r="AH45" s="623">
        <f t="shared" si="401"/>
        <v>131.77299036120829</v>
      </c>
      <c r="AI45" s="624">
        <f t="shared" si="402"/>
        <v>-42.099993921514574</v>
      </c>
      <c r="AJ45" s="625">
        <f t="shared" si="403"/>
        <v>-83.548520532379143</v>
      </c>
      <c r="AK45" s="4">
        <f t="shared" si="404"/>
        <v>2.2679489709853673E-7</v>
      </c>
      <c r="AL45" s="5">
        <f t="shared" si="405"/>
        <v>-0.67042654024284865</v>
      </c>
      <c r="AM45" s="6">
        <f t="shared" si="406"/>
        <v>-0.74197591210089342</v>
      </c>
      <c r="AN45" s="612">
        <f t="shared" si="407"/>
        <v>-42.099993921512947</v>
      </c>
      <c r="AO45" s="613">
        <f t="shared" si="98"/>
        <v>0</v>
      </c>
      <c r="AP45" s="624">
        <f t="shared" si="408"/>
        <v>-89.99998061772672</v>
      </c>
      <c r="AQ45" s="625">
        <f t="shared" si="249"/>
        <v>1.9156680060564035</v>
      </c>
      <c r="AS45" s="56">
        <f t="shared" si="411"/>
        <v>-83.548539914652395</v>
      </c>
      <c r="AT45" s="77">
        <f t="shared" si="250"/>
        <v>-1.2396768733435946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2.2440000000000002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2.1440000000000001</v>
      </c>
      <c r="II45" s="800" cm="1">
        <f t="array" ref="II45">IFERROR(IF($IH45&lt;1,$IH45+LARGE((IF($M$9:$M$150="",0,$M$9:$M$150)-MOD(IF($M$9:$M$150="",0,$M$9:$M$150),1)),1),$IH45),"")</f>
        <v>2.1440000000000001</v>
      </c>
      <c r="IJ45" s="839" t="str">
        <f t="shared" si="386"/>
        <v>1613</v>
      </c>
      <c r="IK45" s="839" t="str">
        <f t="shared" si="387"/>
        <v/>
      </c>
      <c r="IL45" s="791">
        <f t="shared" si="228"/>
        <v>16.39649763263867</v>
      </c>
      <c r="IM45" s="830">
        <v>1.1154623623633301E-4</v>
      </c>
      <c r="IN45" s="5">
        <f t="shared" si="229"/>
        <v>0</v>
      </c>
      <c r="IO45" s="852">
        <v>0</v>
      </c>
      <c r="IP45" s="9">
        <f t="shared" si="230"/>
        <v>-6.4557194704499246</v>
      </c>
      <c r="IQ45" s="5">
        <f t="shared" si="231"/>
        <v>-1.5620047110062083</v>
      </c>
      <c r="IR45" s="5">
        <f t="shared" si="388"/>
        <v>0.314</v>
      </c>
      <c r="IS45" s="5">
        <f t="shared" si="232"/>
        <v>0.27550372811259555</v>
      </c>
      <c r="IT45" s="791">
        <f t="shared" si="233"/>
        <v>63.376744528859888</v>
      </c>
      <c r="IU45" s="9">
        <f t="shared" si="234"/>
        <v>-6.4714195178012668</v>
      </c>
      <c r="IV45" s="5">
        <f t="shared" si="235"/>
        <v>-1.5553046907989481</v>
      </c>
      <c r="IW45" s="5">
        <f t="shared" si="389"/>
        <v>0.26250000000000001</v>
      </c>
      <c r="IX45" s="5">
        <f t="shared" si="236"/>
        <v>0.26250000000000001</v>
      </c>
      <c r="IY45" s="833">
        <f t="shared" si="237"/>
        <v>42.099993921512947</v>
      </c>
    </row>
    <row r="46" spans="1:259" ht="15" customHeight="1" x14ac:dyDescent="0.25">
      <c r="A46" s="84">
        <f t="shared" si="82"/>
        <v>0</v>
      </c>
      <c r="B46" s="770">
        <v>6.7506045339048297</v>
      </c>
      <c r="C46" s="771">
        <v>0.75073134226230354</v>
      </c>
      <c r="D46" s="772">
        <v>-2.2442067685276141</v>
      </c>
      <c r="E46" s="773">
        <v>0.78104184078434058</v>
      </c>
      <c r="F46" s="771">
        <v>8.685949932202891E-2</v>
      </c>
      <c r="G46" s="774">
        <v>0.61840849793783992</v>
      </c>
      <c r="H46" s="773">
        <v>0.26250000000000001</v>
      </c>
      <c r="I46" s="771">
        <v>0.40699999999999997</v>
      </c>
      <c r="J46" s="601">
        <v>2.25</v>
      </c>
      <c r="K46" s="426" t="str">
        <f t="shared" si="225"/>
        <v/>
      </c>
      <c r="L46" s="327"/>
      <c r="M46" s="173">
        <f t="shared" si="242"/>
        <v>2.25</v>
      </c>
      <c r="N46" s="21">
        <f t="shared" si="243"/>
        <v>6.7506045339048297</v>
      </c>
      <c r="O46" s="5">
        <f t="shared" si="244"/>
        <v>0.75073134226230354</v>
      </c>
      <c r="P46" s="10">
        <f t="shared" si="245"/>
        <v>-2.2442067685276141</v>
      </c>
      <c r="Q46" s="624">
        <f t="shared" si="116"/>
        <v>6.3457601006088087</v>
      </c>
      <c r="R46" s="5">
        <f t="shared" si="390"/>
        <v>6.7922204853369861</v>
      </c>
      <c r="S46" s="6">
        <f t="shared" si="391"/>
        <v>-2.2442067685276141</v>
      </c>
      <c r="T46" s="4">
        <f t="shared" si="392"/>
        <v>0.75073134226230387</v>
      </c>
      <c r="U46" s="5">
        <f t="shared" si="393"/>
        <v>-6.7506045339048297</v>
      </c>
      <c r="V46" s="8">
        <f t="shared" si="394"/>
        <v>-2.2442067685276141</v>
      </c>
      <c r="W46" s="624">
        <f t="shared" si="227"/>
        <v>276.3457601006088</v>
      </c>
      <c r="X46" s="5">
        <f t="shared" si="395"/>
        <v>6.7922204853369861</v>
      </c>
      <c r="Y46" s="7">
        <f t="shared" si="226"/>
        <v>-2.2442067685276141</v>
      </c>
      <c r="Z46" s="21">
        <f t="shared" si="246"/>
        <v>-0.78104184078434058</v>
      </c>
      <c r="AA46" s="5">
        <f t="shared" si="247"/>
        <v>-8.685949932202891E-2</v>
      </c>
      <c r="AB46" s="5">
        <f t="shared" si="248"/>
        <v>-0.61840849793783992</v>
      </c>
      <c r="AC46" s="8">
        <f t="shared" si="396"/>
        <v>1</v>
      </c>
      <c r="AD46" s="9">
        <f t="shared" si="397"/>
        <v>-0.78104184078434058</v>
      </c>
      <c r="AE46" s="5">
        <f t="shared" si="398"/>
        <v>-8.685949932202891E-2</v>
      </c>
      <c r="AF46" s="10">
        <f t="shared" si="399"/>
        <v>-0.61840849793783992</v>
      </c>
      <c r="AG46" s="622">
        <f t="shared" si="400"/>
        <v>-7.9952620716893934</v>
      </c>
      <c r="AH46" s="623">
        <f t="shared" si="401"/>
        <v>141.35606458275228</v>
      </c>
      <c r="AI46" s="624">
        <f t="shared" si="402"/>
        <v>-51.799992521007596</v>
      </c>
      <c r="AJ46" s="625">
        <f t="shared" si="403"/>
        <v>-83.654223364075605</v>
      </c>
      <c r="AK46" s="4">
        <f t="shared" si="404"/>
        <v>2.267948966822031E-7</v>
      </c>
      <c r="AL46" s="5">
        <f t="shared" si="405"/>
        <v>-0.78585681245263328</v>
      </c>
      <c r="AM46" s="6">
        <f t="shared" si="406"/>
        <v>-0.61840849793783992</v>
      </c>
      <c r="AN46" s="612">
        <f t="shared" si="407"/>
        <v>-51.799992521006438</v>
      </c>
      <c r="AO46" s="613">
        <f t="shared" si="98"/>
        <v>0</v>
      </c>
      <c r="AP46" s="624">
        <f t="shared" si="408"/>
        <v>-89.999983464684419</v>
      </c>
      <c r="AQ46" s="625">
        <f t="shared" si="249"/>
        <v>1.8252524840408786</v>
      </c>
      <c r="AS46" s="56">
        <f t="shared" si="411"/>
        <v>-83.6542398993912</v>
      </c>
      <c r="AT46" s="77">
        <f t="shared" si="250"/>
        <v>-1.9281796400188029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2.25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2.15</v>
      </c>
      <c r="II46" s="800" cm="1">
        <f t="array" ref="II46">IFERROR(IF($IH46&lt;1,$IH46+LARGE((IF($M$9:$M$150="",0,$M$9:$M$150)-MOD(IF($M$9:$M$150="",0,$M$9:$M$150),1)),1),$IH46),"")</f>
        <v>2.15</v>
      </c>
      <c r="IJ46" s="839" t="str">
        <f t="shared" si="386"/>
        <v>1613</v>
      </c>
      <c r="IK46" s="839" t="str">
        <f t="shared" si="387"/>
        <v/>
      </c>
      <c r="IL46" s="791">
        <f t="shared" si="228"/>
        <v>16.091897676617464</v>
      </c>
      <c r="IM46" s="830">
        <v>5.3861253639824901E-4</v>
      </c>
      <c r="IN46" s="5">
        <f t="shared" si="229"/>
        <v>0</v>
      </c>
      <c r="IO46" s="852">
        <v>0</v>
      </c>
      <c r="IP46" s="9">
        <f t="shared" si="230"/>
        <v>-6.782120454875292</v>
      </c>
      <c r="IQ46" s="5">
        <f t="shared" si="231"/>
        <v>-2.2417067609875909</v>
      </c>
      <c r="IR46" s="5">
        <f t="shared" si="388"/>
        <v>0.314</v>
      </c>
      <c r="IS46" s="5">
        <f t="shared" si="232"/>
        <v>0.26400991569882443</v>
      </c>
      <c r="IT46" s="791">
        <f t="shared" si="233"/>
        <v>72.857444187742715</v>
      </c>
      <c r="IU46" s="9">
        <f t="shared" si="234"/>
        <v>-6.7922204853369861</v>
      </c>
      <c r="IV46" s="5">
        <f t="shared" si="235"/>
        <v>-2.2442067685276141</v>
      </c>
      <c r="IW46" s="5">
        <f t="shared" si="389"/>
        <v>0.26250000000000001</v>
      </c>
      <c r="IX46" s="5">
        <f t="shared" si="236"/>
        <v>0.26250000000000001</v>
      </c>
      <c r="IY46" s="833">
        <f t="shared" si="237"/>
        <v>51.799992521006438</v>
      </c>
    </row>
    <row r="47" spans="1:259" ht="15" customHeight="1" x14ac:dyDescent="0.25">
      <c r="A47" s="84">
        <f t="shared" si="82"/>
        <v>0</v>
      </c>
      <c r="B47" s="770">
        <v>6.9375050838595902</v>
      </c>
      <c r="C47" s="771">
        <v>0.75549931694713446</v>
      </c>
      <c r="D47" s="772">
        <v>-2.9654089436733742</v>
      </c>
      <c r="E47" s="773">
        <v>0.87199067579555944</v>
      </c>
      <c r="F47" s="771">
        <v>9.4960642864749589E-2</v>
      </c>
      <c r="G47" s="774">
        <v>0.48022363293815207</v>
      </c>
      <c r="H47" s="773">
        <v>0.26250000000000001</v>
      </c>
      <c r="I47" s="771">
        <v>0.40699999999999997</v>
      </c>
      <c r="J47" s="601">
        <v>2.2559999999999998</v>
      </c>
      <c r="K47" s="426" t="str">
        <f t="shared" si="225"/>
        <v/>
      </c>
      <c r="L47" s="327"/>
      <c r="M47" s="173">
        <f t="shared" si="242"/>
        <v>2.2559999999999998</v>
      </c>
      <c r="N47" s="21">
        <f t="shared" si="243"/>
        <v>6.9375050838595902</v>
      </c>
      <c r="O47" s="5">
        <f t="shared" si="244"/>
        <v>0.75549931694713446</v>
      </c>
      <c r="P47" s="10">
        <f t="shared" si="245"/>
        <v>-2.9654089436733742</v>
      </c>
      <c r="Q47" s="624">
        <f t="shared" si="116"/>
        <v>6.2150601194795492</v>
      </c>
      <c r="R47" s="5">
        <f t="shared" si="390"/>
        <v>6.9785210472194787</v>
      </c>
      <c r="S47" s="6">
        <f t="shared" si="391"/>
        <v>-2.9654089436733742</v>
      </c>
      <c r="T47" s="4">
        <f t="shared" si="392"/>
        <v>0.75549931694713635</v>
      </c>
      <c r="U47" s="5">
        <f t="shared" si="393"/>
        <v>-6.9375050838595902</v>
      </c>
      <c r="V47" s="8">
        <f t="shared" si="394"/>
        <v>-2.9654089436733742</v>
      </c>
      <c r="W47" s="624">
        <f t="shared" si="227"/>
        <v>276.21506011947957</v>
      </c>
      <c r="X47" s="5">
        <f t="shared" si="395"/>
        <v>6.9785210472194787</v>
      </c>
      <c r="Y47" s="7">
        <f t="shared" si="226"/>
        <v>-2.9654089436733742</v>
      </c>
      <c r="Z47" s="21">
        <f t="shared" si="246"/>
        <v>-0.87199067579555944</v>
      </c>
      <c r="AA47" s="5">
        <f t="shared" si="247"/>
        <v>-9.4960642864749589E-2</v>
      </c>
      <c r="AB47" s="5">
        <f t="shared" si="248"/>
        <v>-0.48022363293815207</v>
      </c>
      <c r="AC47" s="8">
        <f t="shared" si="396"/>
        <v>1</v>
      </c>
      <c r="AD47" s="9">
        <f t="shared" si="397"/>
        <v>-0.87199067579555944</v>
      </c>
      <c r="AE47" s="5">
        <f t="shared" si="398"/>
        <v>-9.4960642864749589E-2</v>
      </c>
      <c r="AF47" s="10">
        <f t="shared" si="399"/>
        <v>-0.48022363293815207</v>
      </c>
      <c r="AG47" s="622">
        <f t="shared" si="400"/>
        <v>-11.185510672642343</v>
      </c>
      <c r="AH47" s="623">
        <f t="shared" si="401"/>
        <v>150.69079940167933</v>
      </c>
      <c r="AI47" s="624">
        <f t="shared" si="402"/>
        <v>-61.299991149377163</v>
      </c>
      <c r="AJ47" s="625">
        <f t="shared" si="403"/>
        <v>-83.784925066123449</v>
      </c>
      <c r="AK47" s="4">
        <f t="shared" si="404"/>
        <v>2.2679489643240291E-7</v>
      </c>
      <c r="AL47" s="5">
        <f t="shared" si="405"/>
        <v>-0.87714608952422024</v>
      </c>
      <c r="AM47" s="6">
        <f t="shared" si="406"/>
        <v>-0.48022363293815207</v>
      </c>
      <c r="AN47" s="612">
        <f t="shared" si="407"/>
        <v>-61.299991149376361</v>
      </c>
      <c r="AO47" s="613">
        <f t="shared" si="98"/>
        <v>0</v>
      </c>
      <c r="AP47" s="624">
        <f t="shared" si="408"/>
        <v>-89.999985185603023</v>
      </c>
      <c r="AQ47" s="625">
        <f t="shared" si="249"/>
        <v>1.7765566834956943</v>
      </c>
      <c r="AS47" s="56">
        <f t="shared" si="411"/>
        <v>-83.784939880520426</v>
      </c>
      <c r="AT47" s="77">
        <f t="shared" si="250"/>
        <v>-2.6488880596802971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2.2559999999999998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2.1560000000000001</v>
      </c>
      <c r="II47" s="800" cm="1">
        <f t="array" ref="II47">IFERROR(IF($IH47&lt;1,$IH47+LARGE((IF($M$9:$M$150="",0,$M$9:$M$150)-MOD(IF($M$9:$M$150="",0,$M$9:$M$150),1)),1),$IH47),"")</f>
        <v>2.1560000000000001</v>
      </c>
      <c r="IJ47" s="839" t="str">
        <f t="shared" si="386"/>
        <v>1613</v>
      </c>
      <c r="IK47" s="839" t="str">
        <f t="shared" si="387"/>
        <v/>
      </c>
      <c r="IL47" s="791">
        <f t="shared" si="228"/>
        <v>15.971697693972146</v>
      </c>
      <c r="IM47" s="830">
        <v>5.5048763517360903E-4</v>
      </c>
      <c r="IN47" s="5">
        <f t="shared" si="229"/>
        <v>0</v>
      </c>
      <c r="IO47" s="852">
        <v>0</v>
      </c>
      <c r="IP47" s="9">
        <f t="shared" si="230"/>
        <v>-6.9749210363618461</v>
      </c>
      <c r="IQ47" s="5">
        <f t="shared" si="231"/>
        <v>-2.9569089180372967</v>
      </c>
      <c r="IR47" s="5">
        <f t="shared" si="388"/>
        <v>0.314</v>
      </c>
      <c r="IS47" s="5">
        <f t="shared" si="232"/>
        <v>0.25470447371284738</v>
      </c>
      <c r="IT47" s="791">
        <f t="shared" si="233"/>
        <v>81.981884484309475</v>
      </c>
      <c r="IU47" s="9">
        <f t="shared" si="234"/>
        <v>-6.9785210472194787</v>
      </c>
      <c r="IV47" s="5">
        <f t="shared" si="235"/>
        <v>-2.9654089436733742</v>
      </c>
      <c r="IW47" s="5">
        <f t="shared" si="389"/>
        <v>0.26250000000000001</v>
      </c>
      <c r="IX47" s="5">
        <f t="shared" si="236"/>
        <v>0.26250000000000001</v>
      </c>
      <c r="IY47" s="833">
        <f t="shared" si="237"/>
        <v>61.299991149376361</v>
      </c>
    </row>
    <row r="48" spans="1:259" ht="15" customHeight="1" x14ac:dyDescent="0.25">
      <c r="A48" s="84">
        <f t="shared" si="82"/>
        <v>0</v>
      </c>
      <c r="B48" s="770">
        <v>7.0391733446551141</v>
      </c>
      <c r="C48" s="771">
        <v>0.81434312114518104</v>
      </c>
      <c r="D48" s="772">
        <v>-3.714111201759386</v>
      </c>
      <c r="E48" s="773">
        <v>0.90030308682524773</v>
      </c>
      <c r="F48" s="771">
        <v>0.10415388240932703</v>
      </c>
      <c r="G48" s="774">
        <v>0.42261841019055796</v>
      </c>
      <c r="H48" s="773">
        <v>0.26250000000000001</v>
      </c>
      <c r="I48" s="771">
        <v>0.40699999999999997</v>
      </c>
      <c r="J48" s="601">
        <v>2.262</v>
      </c>
      <c r="K48" s="426" t="str">
        <f t="shared" si="225"/>
        <v/>
      </c>
      <c r="L48" s="327"/>
      <c r="M48" s="173">
        <f t="shared" si="242"/>
        <v>2.262</v>
      </c>
      <c r="N48" s="21">
        <f t="shared" si="243"/>
        <v>7.0391733446551141</v>
      </c>
      <c r="O48" s="5">
        <f t="shared" si="244"/>
        <v>0.81434312114518104</v>
      </c>
      <c r="P48" s="10">
        <f t="shared" si="245"/>
        <v>-3.714111201759386</v>
      </c>
      <c r="Q48" s="624">
        <f t="shared" si="116"/>
        <v>6.5990600640368156</v>
      </c>
      <c r="R48" s="5">
        <f t="shared" si="83"/>
        <v>7.0861213717420579</v>
      </c>
      <c r="S48" s="6">
        <f t="shared" si="84"/>
        <v>-3.714111201759386</v>
      </c>
      <c r="T48" s="4">
        <f t="shared" si="85"/>
        <v>0.8143431211451746</v>
      </c>
      <c r="U48" s="5">
        <f t="shared" si="86"/>
        <v>-7.039173344655115</v>
      </c>
      <c r="V48" s="8">
        <f t="shared" si="117"/>
        <v>-3.714111201759386</v>
      </c>
      <c r="W48" s="624">
        <f t="shared" si="227"/>
        <v>276.59906006403679</v>
      </c>
      <c r="X48" s="5">
        <f t="shared" si="87"/>
        <v>7.0861213717420579</v>
      </c>
      <c r="Y48" s="7">
        <f t="shared" si="226"/>
        <v>-3.714111201759386</v>
      </c>
      <c r="Z48" s="21">
        <f t="shared" si="246"/>
        <v>-0.90030308682524773</v>
      </c>
      <c r="AA48" s="5">
        <f t="shared" si="247"/>
        <v>-0.10415388240932703</v>
      </c>
      <c r="AB48" s="5">
        <f t="shared" si="248"/>
        <v>-0.42261841019055796</v>
      </c>
      <c r="AC48" s="8">
        <f t="shared" si="88"/>
        <v>1</v>
      </c>
      <c r="AD48" s="9">
        <f t="shared" si="118"/>
        <v>-0.90030308682524773</v>
      </c>
      <c r="AE48" s="5">
        <f t="shared" si="89"/>
        <v>-0.10415388240932703</v>
      </c>
      <c r="AF48" s="10">
        <f t="shared" si="90"/>
        <v>-0.42261841019055796</v>
      </c>
      <c r="AG48" s="622">
        <f t="shared" si="91"/>
        <v>-13.844594541633825</v>
      </c>
      <c r="AH48" s="623">
        <f t="shared" si="92"/>
        <v>154.19793528869999</v>
      </c>
      <c r="AI48" s="624">
        <f t="shared" si="93"/>
        <v>-64.999990615163185</v>
      </c>
      <c r="AJ48" s="625">
        <f t="shared" si="94"/>
        <v>-83.400925598238658</v>
      </c>
      <c r="AK48" s="4">
        <f t="shared" si="213"/>
        <v>2.2679489757038152E-7</v>
      </c>
      <c r="AL48" s="5">
        <f t="shared" si="95"/>
        <v>-0.90630771781330099</v>
      </c>
      <c r="AM48" s="6">
        <f t="shared" si="96"/>
        <v>-0.42261841019055796</v>
      </c>
      <c r="AN48" s="612">
        <f t="shared" si="97"/>
        <v>-64.999990615162503</v>
      </c>
      <c r="AO48" s="613">
        <f t="shared" si="98"/>
        <v>0</v>
      </c>
      <c r="AP48" s="624">
        <f t="shared" si="99"/>
        <v>-89.999985662275421</v>
      </c>
      <c r="AQ48" s="625">
        <f t="shared" si="249"/>
        <v>1.7495971747457983</v>
      </c>
      <c r="AS48" s="56">
        <f t="shared" si="411"/>
        <v>-83.400939935963208</v>
      </c>
      <c r="AT48" s="77">
        <f t="shared" si="250"/>
        <v>-3.3990409842235252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>
        <f>IFERROR(IF((((($IW48*COS(RADIANS(180-$IY48)))*COS(RADIANS($IY48)))-(($IX48*SIN(RADIANS(180-$IY48)))*SIN(RADIANS($IY48))))+$IU48)&lt;(((Settings!$C$19/2)*-1)+$IF$8),1,""),"")</f>
        <v>1</v>
      </c>
      <c r="IG48" s="836">
        <f t="shared" si="385"/>
        <v>2.262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2.1619999999999999</v>
      </c>
      <c r="II48" s="800" cm="1">
        <f t="array" ref="II48">IFERROR(IF($IH48&lt;1,$IH48+LARGE((IF($M$9:$M$150="",0,$M$9:$M$150)-MOD(IF($M$9:$M$150="",0,$M$9:$M$150),1)),1),$IH48),"")</f>
        <v>2.1619999999999999</v>
      </c>
      <c r="IJ48" s="839" t="str">
        <f t="shared" si="386"/>
        <v>1613</v>
      </c>
      <c r="IK48" s="839" t="str">
        <f t="shared" si="387"/>
        <v/>
      </c>
      <c r="IL48" s="791">
        <f t="shared" si="228"/>
        <v>15.150897343239137</v>
      </c>
      <c r="IM48" s="830">
        <v>1.7369210557098699E-4</v>
      </c>
      <c r="IN48" s="5">
        <f t="shared" si="229"/>
        <v>0</v>
      </c>
      <c r="IO48" s="852">
        <v>0</v>
      </c>
      <c r="IP48" s="9">
        <f t="shared" si="230"/>
        <v>-7.0910213865205014</v>
      </c>
      <c r="IQ48" s="5">
        <f t="shared" si="231"/>
        <v>-3.7017111643608711</v>
      </c>
      <c r="IR48" s="5">
        <f t="shared" si="388"/>
        <v>0.314</v>
      </c>
      <c r="IS48" s="5">
        <f t="shared" si="232"/>
        <v>0.24497349979955355</v>
      </c>
      <c r="IT48" s="791">
        <f t="shared" si="233"/>
        <v>84.984006785339233</v>
      </c>
      <c r="IU48" s="9">
        <f t="shared" si="234"/>
        <v>-7.0861213717420579</v>
      </c>
      <c r="IV48" s="5">
        <f t="shared" si="235"/>
        <v>-3.714111201759386</v>
      </c>
      <c r="IW48" s="5">
        <f t="shared" si="389"/>
        <v>0.26250000000000001</v>
      </c>
      <c r="IX48" s="5">
        <f t="shared" si="236"/>
        <v>0.26250000000000001</v>
      </c>
      <c r="IY48" s="833">
        <f t="shared" si="237"/>
        <v>64.999990615162503</v>
      </c>
    </row>
    <row r="49" spans="1:259" ht="15" customHeight="1" x14ac:dyDescent="0.25">
      <c r="A49" s="84">
        <f t="shared" si="82"/>
        <v>0.02</v>
      </c>
      <c r="B49" s="770">
        <v>0.68374799003402975</v>
      </c>
      <c r="C49" s="771">
        <v>-0.47876610028608785</v>
      </c>
      <c r="D49" s="772">
        <v>-0.71650216097051767</v>
      </c>
      <c r="E49" s="773">
        <v>0.46647363486210169</v>
      </c>
      <c r="F49" s="771">
        <v>0.8205246022327658</v>
      </c>
      <c r="G49" s="774">
        <v>0.33036604714967321</v>
      </c>
      <c r="H49" s="773">
        <v>0.314</v>
      </c>
      <c r="I49" s="771">
        <v>0.52</v>
      </c>
      <c r="J49" s="601">
        <v>3.1030000000000002</v>
      </c>
      <c r="K49" s="426" t="str">
        <f t="shared" si="225"/>
        <v>1613</v>
      </c>
      <c r="L49" s="327"/>
      <c r="M49" s="173">
        <f t="shared" si="242"/>
        <v>3.1030000000000002</v>
      </c>
      <c r="N49" s="21">
        <f t="shared" si="243"/>
        <v>0.68374799003402975</v>
      </c>
      <c r="O49" s="5">
        <f t="shared" si="244"/>
        <v>-0.47876610028608785</v>
      </c>
      <c r="P49" s="10">
        <f t="shared" si="245"/>
        <v>-0.71650216097051767</v>
      </c>
      <c r="Q49" s="624">
        <f t="shared" si="116"/>
        <v>324.99996607020285</v>
      </c>
      <c r="R49" s="5">
        <f t="shared" si="83"/>
        <v>0.83470251746279278</v>
      </c>
      <c r="S49" s="6">
        <f t="shared" si="84"/>
        <v>-0.71650216097051767</v>
      </c>
      <c r="T49" s="4">
        <f t="shared" si="85"/>
        <v>-0.47876610028608835</v>
      </c>
      <c r="U49" s="5">
        <f t="shared" si="86"/>
        <v>-0.68374799003402931</v>
      </c>
      <c r="V49" s="8">
        <f t="shared" si="117"/>
        <v>-0.71650216097051767</v>
      </c>
      <c r="W49" s="624">
        <f t="shared" si="227"/>
        <v>234.99996607020285</v>
      </c>
      <c r="X49" s="5">
        <f t="shared" si="87"/>
        <v>0.83470251746279278</v>
      </c>
      <c r="Y49" s="7">
        <f t="shared" si="226"/>
        <v>-0.71650216097051767</v>
      </c>
      <c r="Z49" s="21">
        <f t="shared" si="246"/>
        <v>-0.46647363486210169</v>
      </c>
      <c r="AA49" s="5">
        <f t="shared" si="247"/>
        <v>-0.8205246022327658</v>
      </c>
      <c r="AB49" s="5">
        <f t="shared" si="248"/>
        <v>-0.33036604714967321</v>
      </c>
      <c r="AC49" s="8">
        <f t="shared" si="88"/>
        <v>1</v>
      </c>
      <c r="AD49" s="9">
        <f t="shared" si="118"/>
        <v>-0.46647363486210169</v>
      </c>
      <c r="AE49" s="5">
        <f t="shared" si="89"/>
        <v>-0.8205246022327658</v>
      </c>
      <c r="AF49" s="10">
        <f t="shared" si="90"/>
        <v>-0.33036604714967321</v>
      </c>
      <c r="AG49" s="622">
        <f t="shared" si="91"/>
        <v>-68.068911637548212</v>
      </c>
      <c r="AH49" s="623">
        <f t="shared" si="92"/>
        <v>117.80563492584972</v>
      </c>
      <c r="AI49" s="624">
        <f t="shared" si="93"/>
        <v>-70.70900543786523</v>
      </c>
      <c r="AJ49" s="625">
        <f t="shared" si="94"/>
        <v>-29.618515167557632</v>
      </c>
      <c r="AK49" s="4">
        <f t="shared" si="213"/>
        <v>0.93969263802333447</v>
      </c>
      <c r="AL49" s="5">
        <f t="shared" si="95"/>
        <v>8.8521302156296666E-2</v>
      </c>
      <c r="AM49" s="6">
        <f t="shared" si="96"/>
        <v>-0.33036604714967321</v>
      </c>
      <c r="AN49" s="612">
        <f t="shared" si="97"/>
        <v>14.999997834268449</v>
      </c>
      <c r="AO49" s="613">
        <f t="shared" si="98"/>
        <v>19.999997112357704</v>
      </c>
      <c r="AP49" s="624">
        <f t="shared" si="99"/>
        <v>5.3815187622395451</v>
      </c>
      <c r="AQ49" s="625">
        <f t="shared" si="249"/>
        <v>14.537437266524453</v>
      </c>
      <c r="AS49" s="56">
        <f t="shared" si="411"/>
        <v>-125.00003392979715</v>
      </c>
      <c r="AT49" s="77">
        <f t="shared" si="250"/>
        <v>-0.24427981056906173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3.1030000000000002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1.291478472610101</v>
      </c>
      <c r="C50" s="771">
        <v>-0.90430410172642373</v>
      </c>
      <c r="D50" s="772">
        <v>-0.51770156138790902</v>
      </c>
      <c r="E50" s="773">
        <v>0.46647363486210203</v>
      </c>
      <c r="F50" s="771">
        <v>0.82052460223276569</v>
      </c>
      <c r="G50" s="774">
        <v>0.33036604714967344</v>
      </c>
      <c r="H50" s="773">
        <v>0.314</v>
      </c>
      <c r="I50" s="771">
        <v>0.52</v>
      </c>
      <c r="J50" s="601">
        <v>3.1059999999999999</v>
      </c>
      <c r="K50" s="426" t="str">
        <f t="shared" si="225"/>
        <v>1613</v>
      </c>
      <c r="L50" s="327"/>
      <c r="M50" s="173">
        <f t="shared" si="242"/>
        <v>3.1059999999999999</v>
      </c>
      <c r="N50" s="21">
        <f t="shared" si="243"/>
        <v>1.291478472610101</v>
      </c>
      <c r="O50" s="5">
        <f t="shared" si="244"/>
        <v>-0.90430410172642373</v>
      </c>
      <c r="P50" s="10">
        <f t="shared" si="245"/>
        <v>-0.51770156138790902</v>
      </c>
      <c r="Q50" s="624">
        <f t="shared" si="116"/>
        <v>324.99996607020285</v>
      </c>
      <c r="R50" s="5">
        <f t="shared" si="83"/>
        <v>1.5766047550399414</v>
      </c>
      <c r="S50" s="6">
        <f t="shared" si="84"/>
        <v>-0.51770156138790902</v>
      </c>
      <c r="T50" s="4">
        <f t="shared" si="85"/>
        <v>-0.90430410172642484</v>
      </c>
      <c r="U50" s="5">
        <f t="shared" si="86"/>
        <v>-1.2914784726101003</v>
      </c>
      <c r="V50" s="8">
        <f t="shared" si="117"/>
        <v>-0.51770156138790902</v>
      </c>
      <c r="W50" s="624">
        <f t="shared" si="227"/>
        <v>234.99996607020285</v>
      </c>
      <c r="X50" s="5">
        <f t="shared" si="87"/>
        <v>1.5766047550399414</v>
      </c>
      <c r="Y50" s="7">
        <f t="shared" si="226"/>
        <v>-0.51770156138790902</v>
      </c>
      <c r="Z50" s="21">
        <f t="shared" si="246"/>
        <v>-0.46647363486210203</v>
      </c>
      <c r="AA50" s="5">
        <f t="shared" si="247"/>
        <v>-0.82052460223276569</v>
      </c>
      <c r="AB50" s="5">
        <f t="shared" si="248"/>
        <v>-0.33036604714967344</v>
      </c>
      <c r="AC50" s="8">
        <f t="shared" si="88"/>
        <v>1.0000000000000002</v>
      </c>
      <c r="AD50" s="9">
        <f t="shared" si="118"/>
        <v>-0.46647363486210192</v>
      </c>
      <c r="AE50" s="5">
        <f t="shared" si="89"/>
        <v>-0.82052460223276547</v>
      </c>
      <c r="AF50" s="10">
        <f t="shared" si="90"/>
        <v>-0.33036604714967338</v>
      </c>
      <c r="AG50" s="622">
        <f t="shared" si="91"/>
        <v>-68.068911637548197</v>
      </c>
      <c r="AH50" s="623">
        <f t="shared" si="92"/>
        <v>117.80563492584972</v>
      </c>
      <c r="AI50" s="624">
        <f t="shared" si="93"/>
        <v>-70.709005437865216</v>
      </c>
      <c r="AJ50" s="625">
        <f t="shared" si="94"/>
        <v>-29.618515167557653</v>
      </c>
      <c r="AK50" s="4">
        <f t="shared" si="213"/>
        <v>0.93969263802333436</v>
      </c>
      <c r="AL50" s="5">
        <f t="shared" si="95"/>
        <v>8.8521302156296222E-2</v>
      </c>
      <c r="AM50" s="6">
        <f t="shared" si="96"/>
        <v>-0.33036604714967338</v>
      </c>
      <c r="AN50" s="612">
        <f t="shared" si="97"/>
        <v>14.999997834268372</v>
      </c>
      <c r="AO50" s="613">
        <f t="shared" si="98"/>
        <v>19.999997112357715</v>
      </c>
      <c r="AP50" s="624">
        <f t="shared" si="99"/>
        <v>5.3815187622395193</v>
      </c>
      <c r="AQ50" s="625">
        <f t="shared" si="249"/>
        <v>7.8172193762783548</v>
      </c>
      <c r="AS50" s="56">
        <f t="shared" si="411"/>
        <v>-125.00003392979715</v>
      </c>
      <c r="AT50" s="77">
        <f t="shared" si="250"/>
        <v>-4.5479210986453078E-2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3.1059999999999999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1.8991270397686533</v>
      </c>
      <c r="C51" s="771">
        <v>-1.329784745301624</v>
      </c>
      <c r="D51" s="772">
        <v>-0.31890096180530081</v>
      </c>
      <c r="E51" s="773">
        <v>0.46647363486210203</v>
      </c>
      <c r="F51" s="771">
        <v>0.82052460223276569</v>
      </c>
      <c r="G51" s="774">
        <v>0.33036604714967344</v>
      </c>
      <c r="H51" s="773">
        <v>0.314</v>
      </c>
      <c r="I51" s="771">
        <v>0.52</v>
      </c>
      <c r="J51" s="601">
        <v>3.109</v>
      </c>
      <c r="K51" s="426" t="str">
        <f t="shared" si="225"/>
        <v>1613</v>
      </c>
      <c r="L51" s="327"/>
      <c r="M51" s="173">
        <f t="shared" si="242"/>
        <v>3.109</v>
      </c>
      <c r="N51" s="21">
        <f t="shared" si="243"/>
        <v>1.8991270397686533</v>
      </c>
      <c r="O51" s="5">
        <f t="shared" si="244"/>
        <v>-1.329784745301624</v>
      </c>
      <c r="P51" s="10">
        <f t="shared" si="245"/>
        <v>-0.31890096180530081</v>
      </c>
      <c r="Q51" s="624">
        <f t="shared" si="116"/>
        <v>324.9999660702029</v>
      </c>
      <c r="R51" s="5">
        <f t="shared" si="83"/>
        <v>2.3184069923154893</v>
      </c>
      <c r="S51" s="6">
        <f t="shared" si="84"/>
        <v>-0.31890096180530081</v>
      </c>
      <c r="T51" s="4">
        <f t="shared" si="85"/>
        <v>-1.3297847453016243</v>
      </c>
      <c r="U51" s="5">
        <f t="shared" si="86"/>
        <v>-1.8991270397686533</v>
      </c>
      <c r="V51" s="8">
        <f t="shared" si="117"/>
        <v>-0.31890096180530081</v>
      </c>
      <c r="W51" s="624">
        <f t="shared" si="227"/>
        <v>234.9999660702029</v>
      </c>
      <c r="X51" s="5">
        <f t="shared" si="87"/>
        <v>2.3184069923154893</v>
      </c>
      <c r="Y51" s="7">
        <f t="shared" si="226"/>
        <v>-0.31890096180530081</v>
      </c>
      <c r="Z51" s="21">
        <f t="shared" si="246"/>
        <v>-0.46647363486210203</v>
      </c>
      <c r="AA51" s="5">
        <f t="shared" si="247"/>
        <v>-0.82052460223276569</v>
      </c>
      <c r="AB51" s="5">
        <f t="shared" si="248"/>
        <v>-0.33036604714967344</v>
      </c>
      <c r="AC51" s="8">
        <f t="shared" si="88"/>
        <v>1.0000000000000002</v>
      </c>
      <c r="AD51" s="9">
        <f t="shared" si="118"/>
        <v>-0.46647363486210192</v>
      </c>
      <c r="AE51" s="5">
        <f t="shared" si="89"/>
        <v>-0.82052460223276547</v>
      </c>
      <c r="AF51" s="10">
        <f t="shared" si="90"/>
        <v>-0.33036604714967338</v>
      </c>
      <c r="AG51" s="622">
        <f t="shared" si="91"/>
        <v>-68.068911637548197</v>
      </c>
      <c r="AH51" s="623">
        <f t="shared" si="92"/>
        <v>117.80563492584972</v>
      </c>
      <c r="AI51" s="624">
        <f t="shared" si="93"/>
        <v>-70.709005437865216</v>
      </c>
      <c r="AJ51" s="625">
        <f t="shared" si="94"/>
        <v>-29.618515167557653</v>
      </c>
      <c r="AK51" s="4">
        <f t="shared" si="213"/>
        <v>0.93969263802333436</v>
      </c>
      <c r="AL51" s="5">
        <f t="shared" si="95"/>
        <v>8.8521302156295389E-2</v>
      </c>
      <c r="AM51" s="6">
        <f t="shared" si="96"/>
        <v>-0.33036604714967338</v>
      </c>
      <c r="AN51" s="612">
        <f t="shared" si="97"/>
        <v>14.999997834268235</v>
      </c>
      <c r="AO51" s="613">
        <f t="shared" si="98"/>
        <v>19.999997112357715</v>
      </c>
      <c r="AP51" s="624">
        <f t="shared" si="99"/>
        <v>5.3815187622394687</v>
      </c>
      <c r="AQ51" s="625">
        <f t="shared" si="249"/>
        <v>5.3337775923618258</v>
      </c>
      <c r="AS51" s="56">
        <f t="shared" si="411"/>
        <v>-125.0000339297971</v>
      </c>
      <c r="AT51" s="77">
        <f t="shared" si="250"/>
        <v>0.15332138859615491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3.109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2.5077585919374372</v>
      </c>
      <c r="C52" s="771">
        <v>-1.7559536832584506</v>
      </c>
      <c r="D52" s="772">
        <v>-0.12400037398512773</v>
      </c>
      <c r="E52" s="773">
        <v>0.46647363486210175</v>
      </c>
      <c r="F52" s="771">
        <v>0.8205246022327658</v>
      </c>
      <c r="G52" s="774">
        <v>0.33036604714967333</v>
      </c>
      <c r="H52" s="773">
        <v>0.314</v>
      </c>
      <c r="I52" s="771">
        <v>0.52</v>
      </c>
      <c r="J52" s="601">
        <v>3.113</v>
      </c>
      <c r="K52" s="426" t="str">
        <f t="shared" si="225"/>
        <v>1613</v>
      </c>
      <c r="L52" s="327"/>
      <c r="M52" s="173">
        <f t="shared" si="242"/>
        <v>3.113</v>
      </c>
      <c r="N52" s="21">
        <f t="shared" si="243"/>
        <v>2.5077585919374372</v>
      </c>
      <c r="O52" s="5">
        <f t="shared" si="244"/>
        <v>-1.7559536832584506</v>
      </c>
      <c r="P52" s="10">
        <f t="shared" si="245"/>
        <v>-0.12400037398512773</v>
      </c>
      <c r="Q52" s="624">
        <f t="shared" si="116"/>
        <v>324.9999660702029</v>
      </c>
      <c r="R52" s="5">
        <f t="shared" si="83"/>
        <v>3.0614092332102478</v>
      </c>
      <c r="S52" s="6">
        <f t="shared" si="84"/>
        <v>-0.12400037398512773</v>
      </c>
      <c r="T52" s="4">
        <f t="shared" si="85"/>
        <v>-1.7559536832584508</v>
      </c>
      <c r="U52" s="5">
        <f t="shared" si="86"/>
        <v>-2.5077585919374372</v>
      </c>
      <c r="V52" s="8">
        <f t="shared" si="117"/>
        <v>-0.12400037398512773</v>
      </c>
      <c r="W52" s="624">
        <f t="shared" si="227"/>
        <v>234.9999660702029</v>
      </c>
      <c r="X52" s="5">
        <f t="shared" si="87"/>
        <v>3.0614092332102478</v>
      </c>
      <c r="Y52" s="7">
        <f t="shared" si="226"/>
        <v>-0.12400037398512773</v>
      </c>
      <c r="Z52" s="21">
        <f t="shared" si="246"/>
        <v>-0.46647363486210175</v>
      </c>
      <c r="AA52" s="5">
        <f t="shared" si="247"/>
        <v>-0.8205246022327658</v>
      </c>
      <c r="AB52" s="5">
        <f t="shared" si="248"/>
        <v>-0.33036604714967333</v>
      </c>
      <c r="AC52" s="8">
        <f t="shared" si="88"/>
        <v>1</v>
      </c>
      <c r="AD52" s="9">
        <f t="shared" si="118"/>
        <v>-0.46647363486210175</v>
      </c>
      <c r="AE52" s="5">
        <f t="shared" si="89"/>
        <v>-0.8205246022327658</v>
      </c>
      <c r="AF52" s="10">
        <f t="shared" si="90"/>
        <v>-0.33036604714967333</v>
      </c>
      <c r="AG52" s="622">
        <f t="shared" si="91"/>
        <v>-68.068911637548212</v>
      </c>
      <c r="AH52" s="623">
        <f t="shared" si="92"/>
        <v>117.80563492584972</v>
      </c>
      <c r="AI52" s="624">
        <f t="shared" si="93"/>
        <v>-70.709005437865216</v>
      </c>
      <c r="AJ52" s="625">
        <f t="shared" si="94"/>
        <v>-29.618515167557632</v>
      </c>
      <c r="AK52" s="4">
        <f t="shared" si="213"/>
        <v>0.93969263802333469</v>
      </c>
      <c r="AL52" s="5">
        <f t="shared" si="95"/>
        <v>8.8521302156295667E-2</v>
      </c>
      <c r="AM52" s="6">
        <f t="shared" si="96"/>
        <v>-0.33036604714967333</v>
      </c>
      <c r="AN52" s="612">
        <f t="shared" si="97"/>
        <v>14.999997834268283</v>
      </c>
      <c r="AO52" s="613">
        <f t="shared" si="98"/>
        <v>19.999997112357665</v>
      </c>
      <c r="AP52" s="624">
        <f t="shared" si="99"/>
        <v>5.3815187622394829</v>
      </c>
      <c r="AQ52" s="625">
        <f t="shared" si="249"/>
        <v>4.0442517418782966</v>
      </c>
      <c r="AS52" s="56">
        <f t="shared" si="411"/>
        <v>-125.0000339297971</v>
      </c>
      <c r="AT52" s="77">
        <f t="shared" si="250"/>
        <v>0.34822197641632802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3.113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3.1167997211938179</v>
      </c>
      <c r="C53" s="771">
        <v>-2.1824094105409557</v>
      </c>
      <c r="D53" s="772">
        <v>-5.520016648370249E-2</v>
      </c>
      <c r="E53" s="773">
        <v>0.54387558662958935</v>
      </c>
      <c r="F53" s="771">
        <v>0.76632710382343583</v>
      </c>
      <c r="G53" s="774">
        <v>0.34196800466404054</v>
      </c>
      <c r="H53" s="773">
        <v>0.314</v>
      </c>
      <c r="I53" s="771">
        <v>0.52</v>
      </c>
      <c r="J53" s="601">
        <v>3.1190000000000002</v>
      </c>
      <c r="K53" s="426" t="str">
        <f t="shared" si="225"/>
        <v>1613</v>
      </c>
      <c r="L53" s="327"/>
      <c r="M53" s="173">
        <f t="shared" si="242"/>
        <v>3.1190000000000002</v>
      </c>
      <c r="N53" s="21">
        <f t="shared" si="243"/>
        <v>3.1167997211938179</v>
      </c>
      <c r="O53" s="5">
        <f t="shared" si="244"/>
        <v>-2.1824094105409557</v>
      </c>
      <c r="P53" s="10">
        <f t="shared" si="245"/>
        <v>-5.520016648370249E-2</v>
      </c>
      <c r="Q53" s="624">
        <f t="shared" si="116"/>
        <v>324.99996607020285</v>
      </c>
      <c r="R53" s="5">
        <f t="shared" ref="R53:R58" si="415">IF(M53="","",SQRT(N53^2+O53^2))</f>
        <v>3.8049114756130114</v>
      </c>
      <c r="S53" s="6">
        <f t="shared" ref="S53:S58" si="416">IF(M53="","",P53)</f>
        <v>-5.520016648370249E-2</v>
      </c>
      <c r="T53" s="4">
        <f t="shared" ref="T53:T58" si="417">IF(M53="","",X53*COS(RADIANS(W53)))</f>
        <v>-2.1824094105409579</v>
      </c>
      <c r="U53" s="5">
        <f t="shared" ref="U53:U58" si="418">IF(M53="","",X53*SIN(RADIANS(W53)))</f>
        <v>-3.1167997211938165</v>
      </c>
      <c r="V53" s="8">
        <f t="shared" ref="V53:V58" si="419">IF(M53="","",Y53)</f>
        <v>-5.520016648370249E-2</v>
      </c>
      <c r="W53" s="624">
        <f t="shared" si="227"/>
        <v>234.99996607020285</v>
      </c>
      <c r="X53" s="5">
        <f t="shared" ref="X53:X58" si="420">IF(M53="","",R53)</f>
        <v>3.8049114756130114</v>
      </c>
      <c r="Y53" s="7">
        <f t="shared" si="226"/>
        <v>-5.520016648370249E-2</v>
      </c>
      <c r="Z53" s="21">
        <f t="shared" si="246"/>
        <v>-0.54387558662958935</v>
      </c>
      <c r="AA53" s="5">
        <f t="shared" si="247"/>
        <v>-0.76632710382343583</v>
      </c>
      <c r="AB53" s="5">
        <f t="shared" si="248"/>
        <v>-0.34196800466404054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-0.54387558662958935</v>
      </c>
      <c r="AE53" s="5">
        <f t="shared" ref="AE53:AE58" si="423">IF(M53="","",AA53*(1/SQRT(Z53^2+AA53^2+AB53^2)))</f>
        <v>-0.76632710382343583</v>
      </c>
      <c r="AF53" s="10">
        <f t="shared" ref="AF53:AF58" si="424">IF(M53="","",AB53*(1/SQRT(Z53^2+AA53^2+AB53^2)))</f>
        <v>-0.34196800466404054</v>
      </c>
      <c r="AG53" s="622">
        <f t="shared" ref="AG53:AG58" si="425">IF(M53="","",DEGREES(ATAN2(-AF53,AE53)))</f>
        <v>-65.951523033668693</v>
      </c>
      <c r="AH53" s="623">
        <f t="shared" ref="AH53:AH58" si="426">IF(M53="","",DEGREES(ACOS(AD53)))</f>
        <v>122.94785860346569</v>
      </c>
      <c r="AI53" s="624">
        <f t="shared" ref="AI53:AI58" si="427">IF(M53="","",DEGREES(-ACOS(-AF53)))</f>
        <v>-70.003179013043805</v>
      </c>
      <c r="AJ53" s="625">
        <f t="shared" ref="AJ53:AJ58" si="428">IF(M53="","",DEGREES(ATAN2(-AE53,AD53)))</f>
        <v>-35.363980681102142</v>
      </c>
      <c r="AK53" s="4">
        <f t="shared" ref="AK53:AK58" si="429">IF(M53="","",(COS(RADIANS((90-$Q$8)-W53))*AD53)+(-SIN(RADIANS((90-$Q$8)-W53))*AE53))</f>
        <v>0.93969263802333458</v>
      </c>
      <c r="AL53" s="5">
        <f t="shared" ref="AL53:AL58" si="430">IF(M53="","",(SIN(RADIANS((90-$Q$8)-W53))*AD53)+(COS(RADIANS((90-$Q$8)-W53))*AE53))</f>
        <v>-5.9690728627803669E-3</v>
      </c>
      <c r="AM53" s="6">
        <f t="shared" ref="AM53:AM58" si="431">IF(M53="","",AF53)</f>
        <v>-0.34196800466404054</v>
      </c>
      <c r="AN53" s="612">
        <f t="shared" ref="AN53:AN58" si="432">IF(M53="","",DEGREES(ATAN2(-AM53,AL53)))</f>
        <v>-0.99999985561772708</v>
      </c>
      <c r="AO53" s="613">
        <f t="shared" si="98"/>
        <v>19.999997112357679</v>
      </c>
      <c r="AP53" s="624">
        <f t="shared" ref="AP53:AP58" si="433">IF(M53="","",DEGREES(ATAN2(AK53,AL53)))</f>
        <v>-0.36394675130496457</v>
      </c>
      <c r="AQ53" s="625">
        <f t="shared" si="249"/>
        <v>3.25588674765774</v>
      </c>
      <c r="AS53" s="56">
        <f t="shared" si="411"/>
        <v>-125.00003392979715</v>
      </c>
      <c r="AT53" s="77">
        <f t="shared" si="250"/>
        <v>0.41702218391775348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3.1190000000000002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3.7184187268696922</v>
      </c>
      <c r="C54" s="771">
        <v>-2.6327807722581107</v>
      </c>
      <c r="D54" s="772">
        <v>-0.16380049402228949</v>
      </c>
      <c r="E54" s="773">
        <v>0.63874642151513483</v>
      </c>
      <c r="F54" s="771">
        <v>0.69740781252659889</v>
      </c>
      <c r="G54" s="774">
        <v>0.32500054158181674</v>
      </c>
      <c r="H54" s="773">
        <v>0.314</v>
      </c>
      <c r="I54" s="771">
        <v>0.52</v>
      </c>
      <c r="J54" s="601">
        <v>3.125</v>
      </c>
      <c r="K54" s="426" t="str">
        <f t="shared" si="225"/>
        <v>1613</v>
      </c>
      <c r="L54" s="327"/>
      <c r="M54" s="173">
        <f t="shared" si="242"/>
        <v>3.125</v>
      </c>
      <c r="N54" s="21">
        <f t="shared" si="243"/>
        <v>3.7184187268696922</v>
      </c>
      <c r="O54" s="5">
        <f t="shared" si="244"/>
        <v>-2.6327807722581107</v>
      </c>
      <c r="P54" s="10">
        <f t="shared" si="245"/>
        <v>-0.16380049402228949</v>
      </c>
      <c r="Q54" s="624">
        <f t="shared" si="116"/>
        <v>324.70006611350311</v>
      </c>
      <c r="R54" s="5">
        <f t="shared" si="415"/>
        <v>4.5561137412390442</v>
      </c>
      <c r="S54" s="6">
        <f t="shared" si="416"/>
        <v>-0.16380049402228949</v>
      </c>
      <c r="T54" s="4">
        <f t="shared" si="417"/>
        <v>-2.6327807722581094</v>
      </c>
      <c r="U54" s="5">
        <f t="shared" si="418"/>
        <v>-3.7184187268696935</v>
      </c>
      <c r="V54" s="8">
        <f t="shared" si="419"/>
        <v>-0.16380049402228949</v>
      </c>
      <c r="W54" s="624">
        <f t="shared" si="227"/>
        <v>234.70006611350311</v>
      </c>
      <c r="X54" s="5">
        <f t="shared" si="420"/>
        <v>4.5561137412390442</v>
      </c>
      <c r="Y54" s="7">
        <f t="shared" si="226"/>
        <v>-0.16380049402228949</v>
      </c>
      <c r="Z54" s="21">
        <f t="shared" si="246"/>
        <v>-0.63874642151513483</v>
      </c>
      <c r="AA54" s="5">
        <f t="shared" si="247"/>
        <v>-0.69740781252659889</v>
      </c>
      <c r="AB54" s="5">
        <f t="shared" si="248"/>
        <v>-0.32500054158181674</v>
      </c>
      <c r="AC54" s="8">
        <f t="shared" si="421"/>
        <v>1</v>
      </c>
      <c r="AD54" s="9">
        <f t="shared" si="422"/>
        <v>-0.63874642151513483</v>
      </c>
      <c r="AE54" s="5">
        <f t="shared" si="423"/>
        <v>-0.69740781252659889</v>
      </c>
      <c r="AF54" s="10">
        <f t="shared" si="424"/>
        <v>-0.32500054158181674</v>
      </c>
      <c r="AG54" s="622">
        <f t="shared" si="425"/>
        <v>-65.013907044435399</v>
      </c>
      <c r="AH54" s="623">
        <f t="shared" si="426"/>
        <v>129.69840669731857</v>
      </c>
      <c r="AI54" s="624">
        <f t="shared" si="427"/>
        <v>-71.034392199587998</v>
      </c>
      <c r="AJ54" s="625">
        <f t="shared" si="428"/>
        <v>-42.486148624750484</v>
      </c>
      <c r="AK54" s="4">
        <f t="shared" si="429"/>
        <v>0.93828508462900617</v>
      </c>
      <c r="AL54" s="5">
        <f t="shared" si="430"/>
        <v>-0.11830362604022249</v>
      </c>
      <c r="AM54" s="6">
        <f t="shared" si="431"/>
        <v>-0.32500054158181674</v>
      </c>
      <c r="AN54" s="612">
        <f t="shared" si="432"/>
        <v>-20.00203970864403</v>
      </c>
      <c r="AO54" s="613">
        <f t="shared" si="98"/>
        <v>20.234475256420911</v>
      </c>
      <c r="AP54" s="624">
        <f t="shared" si="433"/>
        <v>-7.1862147382536001</v>
      </c>
      <c r="AQ54" s="625">
        <f t="shared" si="249"/>
        <v>2.7199486294421287</v>
      </c>
      <c r="AS54" s="56">
        <f t="shared" si="411"/>
        <v>-125.29993388649689</v>
      </c>
      <c r="AT54" s="77">
        <f t="shared" si="250"/>
        <v>0.30955481177114319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3.125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4.2660442082018921</v>
      </c>
      <c r="C55" s="771">
        <v>-3.0827521478151381</v>
      </c>
      <c r="D55" s="772">
        <v>-0.44810135147367608</v>
      </c>
      <c r="E55" s="773">
        <v>0.72080431307773618</v>
      </c>
      <c r="F55" s="771">
        <v>0.6327713658511932</v>
      </c>
      <c r="G55" s="774">
        <v>0.28291613741062616</v>
      </c>
      <c r="H55" s="773">
        <v>0.314</v>
      </c>
      <c r="I55" s="771">
        <v>0.52</v>
      </c>
      <c r="J55" s="601">
        <v>3.1309999999999998</v>
      </c>
      <c r="K55" s="426" t="str">
        <f t="shared" si="225"/>
        <v>1613</v>
      </c>
      <c r="L55" s="327"/>
      <c r="M55" s="173">
        <f t="shared" si="242"/>
        <v>3.1309999999999998</v>
      </c>
      <c r="N55" s="21">
        <f t="shared" si="243"/>
        <v>4.2660442082018921</v>
      </c>
      <c r="O55" s="5">
        <f t="shared" si="244"/>
        <v>-3.0827521478151381</v>
      </c>
      <c r="P55" s="10">
        <f t="shared" si="245"/>
        <v>-0.44810135147367608</v>
      </c>
      <c r="Q55" s="624">
        <f t="shared" si="116"/>
        <v>324.14716619333194</v>
      </c>
      <c r="R55" s="5">
        <f t="shared" si="415"/>
        <v>5.2633158741606758</v>
      </c>
      <c r="S55" s="6">
        <f t="shared" si="416"/>
        <v>-0.44810135147367608</v>
      </c>
      <c r="T55" s="4">
        <f t="shared" si="417"/>
        <v>-3.0827521478151376</v>
      </c>
      <c r="U55" s="5">
        <f t="shared" si="418"/>
        <v>-4.266044208201893</v>
      </c>
      <c r="V55" s="8">
        <f t="shared" si="419"/>
        <v>-0.44810135147367608</v>
      </c>
      <c r="W55" s="624">
        <f t="shared" si="227"/>
        <v>234.14716619333194</v>
      </c>
      <c r="X55" s="5">
        <f t="shared" si="420"/>
        <v>5.2633158741606758</v>
      </c>
      <c r="Y55" s="7">
        <f t="shared" si="226"/>
        <v>-0.44810135147367608</v>
      </c>
      <c r="Z55" s="21">
        <f t="shared" si="246"/>
        <v>-0.72080431307773618</v>
      </c>
      <c r="AA55" s="5">
        <f t="shared" si="247"/>
        <v>-0.6327713658511932</v>
      </c>
      <c r="AB55" s="5">
        <f t="shared" si="248"/>
        <v>-0.28291613741062616</v>
      </c>
      <c r="AC55" s="8">
        <f t="shared" si="421"/>
        <v>1</v>
      </c>
      <c r="AD55" s="9">
        <f t="shared" si="422"/>
        <v>-0.72080431307773618</v>
      </c>
      <c r="AE55" s="5">
        <f t="shared" si="423"/>
        <v>-0.6327713658511932</v>
      </c>
      <c r="AF55" s="10">
        <f t="shared" si="424"/>
        <v>-0.28291613741062616</v>
      </c>
      <c r="AG55" s="622">
        <f t="shared" si="425"/>
        <v>-65.910275105703164</v>
      </c>
      <c r="AH55" s="623">
        <f t="shared" si="426"/>
        <v>136.12092599797907</v>
      </c>
      <c r="AI55" s="624">
        <f t="shared" si="427"/>
        <v>-73.565673724001087</v>
      </c>
      <c r="AJ55" s="625">
        <f t="shared" si="428"/>
        <v>-48.721123783573354</v>
      </c>
      <c r="AK55" s="4">
        <f t="shared" si="429"/>
        <v>0.93505534958703285</v>
      </c>
      <c r="AL55" s="5">
        <f t="shared" si="430"/>
        <v>-0.21361168601301661</v>
      </c>
      <c r="AM55" s="6">
        <f t="shared" si="431"/>
        <v>-0.28291613741062616</v>
      </c>
      <c r="AN55" s="612">
        <f t="shared" si="432"/>
        <v>-37.054094718363395</v>
      </c>
      <c r="AO55" s="613">
        <f>IF(ROUND(IF(M55="",0,DEGREES(ACOS(AK55))),4)=90,0,IF(M55="","",DEGREES(ACOS(AK55))))</f>
        <v>20.76291109802116</v>
      </c>
      <c r="AP55" s="624">
        <f t="shared" si="433"/>
        <v>-12.868289976905308</v>
      </c>
      <c r="AQ55" s="625">
        <f t="shared" si="249"/>
        <v>2.3549277551847303</v>
      </c>
      <c r="AS55" s="56">
        <f t="shared" si="411"/>
        <v>-125.85283380666806</v>
      </c>
      <c r="AT55" s="77">
        <f t="shared" si="250"/>
        <v>2.7342687351514405E-2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3.1309999999999998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4.7306419523903918</v>
      </c>
      <c r="C56" s="771">
        <v>-3.4984512608519354</v>
      </c>
      <c r="D56" s="772">
        <v>-0.88490266886644986</v>
      </c>
      <c r="E56" s="773">
        <v>0.79573934744121411</v>
      </c>
      <c r="F56" s="771">
        <v>0.54541470110974799</v>
      </c>
      <c r="G56" s="774">
        <v>0.26329013416228642</v>
      </c>
      <c r="H56" s="773">
        <v>0.314</v>
      </c>
      <c r="I56" s="771">
        <v>0.52</v>
      </c>
      <c r="J56" s="601">
        <v>3.137</v>
      </c>
      <c r="K56" s="426" t="str">
        <f t="shared" si="225"/>
        <v>1613</v>
      </c>
      <c r="L56" s="327"/>
      <c r="M56" s="173">
        <f t="shared" si="242"/>
        <v>3.137</v>
      </c>
      <c r="N56" s="21">
        <f t="shared" si="243"/>
        <v>4.7306419523903918</v>
      </c>
      <c r="O56" s="5">
        <f t="shared" si="244"/>
        <v>-3.4984512608519354</v>
      </c>
      <c r="P56" s="10">
        <f t="shared" si="245"/>
        <v>-0.88490266886644986</v>
      </c>
      <c r="Q56" s="624">
        <f t="shared" si="116"/>
        <v>323.51596628446595</v>
      </c>
      <c r="R56" s="5">
        <f t="shared" si="415"/>
        <v>5.8837177452927225</v>
      </c>
      <c r="S56" s="6">
        <f t="shared" si="416"/>
        <v>-0.88490266886644986</v>
      </c>
      <c r="T56" s="4">
        <f t="shared" si="417"/>
        <v>-3.4984512608519336</v>
      </c>
      <c r="U56" s="5">
        <f t="shared" si="418"/>
        <v>-4.7306419523903935</v>
      </c>
      <c r="V56" s="8">
        <f t="shared" si="419"/>
        <v>-0.88490266886644986</v>
      </c>
      <c r="W56" s="624">
        <f t="shared" si="227"/>
        <v>233.51596628446595</v>
      </c>
      <c r="X56" s="5">
        <f t="shared" si="420"/>
        <v>5.8837177452927225</v>
      </c>
      <c r="Y56" s="7">
        <f t="shared" si="226"/>
        <v>-0.88490266886644986</v>
      </c>
      <c r="Z56" s="21">
        <f t="shared" si="246"/>
        <v>-0.79573934744121411</v>
      </c>
      <c r="AA56" s="5">
        <f t="shared" si="247"/>
        <v>-0.54541470110974799</v>
      </c>
      <c r="AB56" s="5">
        <f t="shared" si="248"/>
        <v>-0.26329013416228642</v>
      </c>
      <c r="AC56" s="8">
        <f t="shared" si="421"/>
        <v>0.99999999999999978</v>
      </c>
      <c r="AD56" s="9">
        <f t="shared" si="422"/>
        <v>-0.79573934744121433</v>
      </c>
      <c r="AE56" s="5">
        <f t="shared" si="423"/>
        <v>-0.5454147011097481</v>
      </c>
      <c r="AF56" s="10">
        <f t="shared" si="424"/>
        <v>-0.26329013416228647</v>
      </c>
      <c r="AG56" s="622">
        <f t="shared" si="425"/>
        <v>-64.231823764529025</v>
      </c>
      <c r="AH56" s="623">
        <f t="shared" si="426"/>
        <v>142.72514474338334</v>
      </c>
      <c r="AI56" s="624">
        <f t="shared" si="427"/>
        <v>-74.734622984931335</v>
      </c>
      <c r="AJ56" s="625">
        <f t="shared" si="428"/>
        <v>-55.572528112450264</v>
      </c>
      <c r="AK56" s="4">
        <f t="shared" si="429"/>
        <v>0.91167136529908199</v>
      </c>
      <c r="AL56" s="5">
        <f t="shared" si="430"/>
        <v>-0.31548950370260059</v>
      </c>
      <c r="AM56" s="6">
        <f t="shared" si="431"/>
        <v>-0.26329013416228647</v>
      </c>
      <c r="AN56" s="612">
        <f t="shared" si="432"/>
        <v>-50.153487885453238</v>
      </c>
      <c r="AO56" s="613">
        <f t="shared" ref="AO56:AO119" si="466">IF(ROUND(IF(M56="",0,DEGREES(ACOS(AK56))),4)=90,0,IF(M56="","",DEGREES(ACOS(AK56))))</f>
        <v>24.262646631805087</v>
      </c>
      <c r="AP56" s="624">
        <f t="shared" si="433"/>
        <v>-19.088494396916229</v>
      </c>
      <c r="AQ56" s="625">
        <f t="shared" si="249"/>
        <v>2.1068520412401117</v>
      </c>
      <c r="AS56" s="56">
        <f t="shared" si="411"/>
        <v>-126.48403371553405</v>
      </c>
      <c r="AT56" s="77">
        <f t="shared" si="250"/>
        <v>-0.40707409705221009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3.137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5.0948181844479343</v>
      </c>
      <c r="C57" s="771">
        <v>-3.8483790853762776</v>
      </c>
      <c r="D57" s="772">
        <v>-1.4564043925156478</v>
      </c>
      <c r="E57" s="773">
        <v>0.86039383615314957</v>
      </c>
      <c r="F57" s="771">
        <v>0.4601565460288034</v>
      </c>
      <c r="G57" s="774">
        <v>0.21903972209740655</v>
      </c>
      <c r="H57" s="773">
        <v>0.314</v>
      </c>
      <c r="I57" s="771">
        <v>0.52</v>
      </c>
      <c r="J57" s="601">
        <v>3.1429999999999998</v>
      </c>
      <c r="K57" s="426" t="str">
        <f t="shared" si="225"/>
        <v>1613</v>
      </c>
      <c r="L57" s="327"/>
      <c r="M57" s="173">
        <f t="shared" si="242"/>
        <v>3.1429999999999998</v>
      </c>
      <c r="N57" s="21">
        <f t="shared" si="243"/>
        <v>5.0948181844479343</v>
      </c>
      <c r="O57" s="5">
        <f t="shared" si="244"/>
        <v>-3.8483790853762776</v>
      </c>
      <c r="P57" s="10">
        <f t="shared" si="245"/>
        <v>-1.4564043925156478</v>
      </c>
      <c r="Q57" s="624">
        <f t="shared" si="116"/>
        <v>322.93436636843859</v>
      </c>
      <c r="R57" s="5">
        <f t="shared" si="415"/>
        <v>6.3849192569164801</v>
      </c>
      <c r="S57" s="6">
        <f t="shared" si="416"/>
        <v>-1.4564043925156478</v>
      </c>
      <c r="T57" s="4">
        <f t="shared" si="417"/>
        <v>-3.8483790853762772</v>
      </c>
      <c r="U57" s="5">
        <f t="shared" si="418"/>
        <v>-5.0948181844479343</v>
      </c>
      <c r="V57" s="8">
        <f t="shared" si="419"/>
        <v>-1.4564043925156478</v>
      </c>
      <c r="W57" s="624">
        <f t="shared" si="227"/>
        <v>232.93436636843859</v>
      </c>
      <c r="X57" s="5">
        <f t="shared" si="420"/>
        <v>6.3849192569164801</v>
      </c>
      <c r="Y57" s="7">
        <f t="shared" si="226"/>
        <v>-1.4564043925156478</v>
      </c>
      <c r="Z57" s="21">
        <f t="shared" si="246"/>
        <v>-0.86039383615314957</v>
      </c>
      <c r="AA57" s="5">
        <f t="shared" si="247"/>
        <v>-0.4601565460288034</v>
      </c>
      <c r="AB57" s="5">
        <f t="shared" si="248"/>
        <v>-0.21903972209740655</v>
      </c>
      <c r="AC57" s="8">
        <f t="shared" si="421"/>
        <v>1</v>
      </c>
      <c r="AD57" s="9">
        <f t="shared" si="422"/>
        <v>-0.86039383615314957</v>
      </c>
      <c r="AE57" s="5">
        <f t="shared" si="423"/>
        <v>-0.4601565460288034</v>
      </c>
      <c r="AF57" s="10">
        <f t="shared" si="424"/>
        <v>-0.21903972209740655</v>
      </c>
      <c r="AG57" s="622">
        <f t="shared" si="425"/>
        <v>-64.545023303720271</v>
      </c>
      <c r="AH57" s="623">
        <f t="shared" si="426"/>
        <v>149.3608315876819</v>
      </c>
      <c r="AI57" s="624">
        <f t="shared" si="427"/>
        <v>-77.347362475686054</v>
      </c>
      <c r="AJ57" s="625">
        <f t="shared" si="428"/>
        <v>-61.861200608539264</v>
      </c>
      <c r="AK57" s="4">
        <f t="shared" si="429"/>
        <v>0.88576462051769422</v>
      </c>
      <c r="AL57" s="5">
        <f t="shared" si="430"/>
        <v>-0.40919755275738889</v>
      </c>
      <c r="AM57" s="6">
        <f t="shared" si="431"/>
        <v>-0.21903972209740655</v>
      </c>
      <c r="AN57" s="612">
        <f t="shared" si="432"/>
        <v>-61.840262469426335</v>
      </c>
      <c r="AO57" s="613">
        <f t="shared" si="466"/>
        <v>27.654236889784869</v>
      </c>
      <c r="AP57" s="624">
        <f t="shared" si="433"/>
        <v>-24.795566976977835</v>
      </c>
      <c r="AQ57" s="625">
        <f t="shared" si="249"/>
        <v>1.9416009571916297</v>
      </c>
      <c r="AS57" s="56">
        <f t="shared" si="411"/>
        <v>-127.06563363156141</v>
      </c>
      <c r="AT57" s="77">
        <f t="shared" si="250"/>
        <v>-0.97637866546308238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3.1429999999999998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5.3453576104341458</v>
      </c>
      <c r="C58" s="771">
        <v>-4.1025315514636898</v>
      </c>
      <c r="D58" s="772">
        <v>-2.123806405400118</v>
      </c>
      <c r="E58" s="773">
        <v>0.91394602211845144</v>
      </c>
      <c r="F58" s="771">
        <v>0.36998024850270705</v>
      </c>
      <c r="G58" s="774">
        <v>0.16678514433766092</v>
      </c>
      <c r="H58" s="773">
        <v>0.314</v>
      </c>
      <c r="I58" s="771">
        <v>0.52</v>
      </c>
      <c r="J58" s="601">
        <v>3.149</v>
      </c>
      <c r="K58" s="426" t="str">
        <f t="shared" si="225"/>
        <v>1613</v>
      </c>
      <c r="L58" s="327"/>
      <c r="M58" s="173">
        <f t="shared" si="242"/>
        <v>3.149</v>
      </c>
      <c r="N58" s="21">
        <f t="shared" si="243"/>
        <v>5.3453576104341458</v>
      </c>
      <c r="O58" s="5">
        <f t="shared" si="244"/>
        <v>-4.1025315514636898</v>
      </c>
      <c r="P58" s="10">
        <f t="shared" si="245"/>
        <v>-2.123806405400118</v>
      </c>
      <c r="Q58" s="624">
        <f t="shared" si="116"/>
        <v>322.49396643202448</v>
      </c>
      <c r="R58" s="5">
        <f t="shared" si="415"/>
        <v>6.7382203224724933</v>
      </c>
      <c r="S58" s="6">
        <f t="shared" si="416"/>
        <v>-2.123806405400118</v>
      </c>
      <c r="T58" s="4">
        <f t="shared" si="417"/>
        <v>-4.1025315514636906</v>
      </c>
      <c r="U58" s="5">
        <f t="shared" si="418"/>
        <v>-5.3453576104341449</v>
      </c>
      <c r="V58" s="8">
        <f t="shared" si="419"/>
        <v>-2.123806405400118</v>
      </c>
      <c r="W58" s="624">
        <f t="shared" si="227"/>
        <v>232.49396643202448</v>
      </c>
      <c r="X58" s="5">
        <f t="shared" si="420"/>
        <v>6.7382203224724933</v>
      </c>
      <c r="Y58" s="7">
        <f t="shared" si="226"/>
        <v>-2.123806405400118</v>
      </c>
      <c r="Z58" s="21">
        <f t="shared" si="246"/>
        <v>-0.91394602211845144</v>
      </c>
      <c r="AA58" s="5">
        <f t="shared" si="247"/>
        <v>-0.36998024850270705</v>
      </c>
      <c r="AB58" s="5">
        <f t="shared" si="248"/>
        <v>-0.16678514433766092</v>
      </c>
      <c r="AC58" s="8">
        <f t="shared" si="421"/>
        <v>1</v>
      </c>
      <c r="AD58" s="9">
        <f t="shared" si="422"/>
        <v>-0.91394602211845144</v>
      </c>
      <c r="AE58" s="5">
        <f t="shared" si="423"/>
        <v>-0.36998024850270705</v>
      </c>
      <c r="AF58" s="10">
        <f t="shared" si="424"/>
        <v>-0.16678514433766092</v>
      </c>
      <c r="AG58" s="622">
        <f t="shared" si="425"/>
        <v>-65.734399515879943</v>
      </c>
      <c r="AH58" s="623">
        <f t="shared" si="426"/>
        <v>156.05648887849136</v>
      </c>
      <c r="AI58" s="624">
        <f t="shared" si="427"/>
        <v>-80.399047140358135</v>
      </c>
      <c r="AJ58" s="625">
        <f t="shared" si="428"/>
        <v>-67.961095141001394</v>
      </c>
      <c r="AK58" s="4">
        <f t="shared" si="429"/>
        <v>0.84995278501348226</v>
      </c>
      <c r="AL58" s="5">
        <f t="shared" si="430"/>
        <v>-0.49976292267043076</v>
      </c>
      <c r="AM58" s="6">
        <f t="shared" si="431"/>
        <v>-0.16678514433766092</v>
      </c>
      <c r="AN58" s="612">
        <f t="shared" si="432"/>
        <v>-71.544674925902541</v>
      </c>
      <c r="AO58" s="613">
        <f t="shared" si="466"/>
        <v>31.793465607124027</v>
      </c>
      <c r="AP58" s="624">
        <f t="shared" si="433"/>
        <v>-30.455061573025855</v>
      </c>
      <c r="AQ58" s="625">
        <f t="shared" si="249"/>
        <v>1.8398700614436956</v>
      </c>
      <c r="AS58" s="56">
        <f t="shared" si="411"/>
        <v>-127.50603356797552</v>
      </c>
      <c r="AT58" s="77">
        <f t="shared" si="250"/>
        <v>-1.6421169452544326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3.149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5.4901297541406882</v>
      </c>
      <c r="C59" s="771">
        <v>-4.2547507485931373</v>
      </c>
      <c r="D59" s="772">
        <v>-2.8363085543066004</v>
      </c>
      <c r="E59" s="773">
        <v>0.94831613924730529</v>
      </c>
      <c r="F59" s="771">
        <v>0.3036381847185074</v>
      </c>
      <c r="G59" s="774">
        <v>9.2197358009519073E-2</v>
      </c>
      <c r="H59" s="773">
        <v>0.314</v>
      </c>
      <c r="I59" s="771">
        <v>0.52</v>
      </c>
      <c r="J59" s="601">
        <v>3.1549999999999998</v>
      </c>
      <c r="K59" s="426" t="str">
        <f t="shared" si="225"/>
        <v>1613</v>
      </c>
      <c r="L59" s="327"/>
      <c r="M59" s="173">
        <f t="shared" si="242"/>
        <v>3.1549999999999998</v>
      </c>
      <c r="N59" s="21">
        <f t="shared" si="243"/>
        <v>5.4901297541406882</v>
      </c>
      <c r="O59" s="5">
        <f t="shared" si="244"/>
        <v>-4.2547507485931373</v>
      </c>
      <c r="P59" s="10">
        <f t="shared" si="245"/>
        <v>-2.8363085543066004</v>
      </c>
      <c r="Q59" s="624">
        <f t="shared" si="116"/>
        <v>322.22496647086325</v>
      </c>
      <c r="R59" s="5">
        <f t="shared" si="83"/>
        <v>6.9458209485959799</v>
      </c>
      <c r="S59" s="6">
        <f t="shared" si="84"/>
        <v>-2.8363085543066004</v>
      </c>
      <c r="T59" s="4">
        <f t="shared" si="85"/>
        <v>-4.2547507485931382</v>
      </c>
      <c r="U59" s="5">
        <f t="shared" si="86"/>
        <v>-5.4901297541406873</v>
      </c>
      <c r="V59" s="8">
        <f t="shared" si="117"/>
        <v>-2.8363085543066004</v>
      </c>
      <c r="W59" s="624">
        <f t="shared" si="227"/>
        <v>232.22496647086325</v>
      </c>
      <c r="X59" s="5">
        <f t="shared" si="87"/>
        <v>6.9458209485959799</v>
      </c>
      <c r="Y59" s="7">
        <f t="shared" si="226"/>
        <v>-2.8363085543066004</v>
      </c>
      <c r="Z59" s="21">
        <f t="shared" si="246"/>
        <v>-0.94831613924730529</v>
      </c>
      <c r="AA59" s="5">
        <f t="shared" si="247"/>
        <v>-0.3036381847185074</v>
      </c>
      <c r="AB59" s="5">
        <f t="shared" si="248"/>
        <v>-9.2197358009519073E-2</v>
      </c>
      <c r="AC59" s="8">
        <f t="shared" si="88"/>
        <v>1</v>
      </c>
      <c r="AD59" s="9">
        <f t="shared" si="118"/>
        <v>-0.94831613924730529</v>
      </c>
      <c r="AE59" s="5">
        <f t="shared" si="89"/>
        <v>-0.3036381847185074</v>
      </c>
      <c r="AF59" s="10">
        <f t="shared" si="90"/>
        <v>-9.2197358009519073E-2</v>
      </c>
      <c r="AG59" s="622">
        <f t="shared" si="91"/>
        <v>-73.109497647637994</v>
      </c>
      <c r="AH59" s="623">
        <f t="shared" si="92"/>
        <v>161.49864288949681</v>
      </c>
      <c r="AI59" s="624">
        <f t="shared" si="93"/>
        <v>-84.70996785116111</v>
      </c>
      <c r="AJ59" s="625">
        <f t="shared" si="94"/>
        <v>-72.245627085155448</v>
      </c>
      <c r="AK59" s="4">
        <f t="shared" si="213"/>
        <v>0.82090538727957552</v>
      </c>
      <c r="AL59" s="5">
        <f t="shared" si="95"/>
        <v>-0.56357252622127985</v>
      </c>
      <c r="AM59" s="6">
        <f t="shared" si="96"/>
        <v>-9.2197358009519073E-2</v>
      </c>
      <c r="AN59" s="612">
        <f t="shared" si="97"/>
        <v>-80.709028229209878</v>
      </c>
      <c r="AO59" s="613">
        <f t="shared" si="466"/>
        <v>34.824470546044907</v>
      </c>
      <c r="AP59" s="624">
        <f t="shared" si="99"/>
        <v>-34.470593556018692</v>
      </c>
      <c r="AQ59" s="625">
        <f t="shared" si="249"/>
        <v>1.7849151033835111</v>
      </c>
      <c r="AS59" s="56">
        <f t="shared" si="411"/>
        <v>-127.77503352913675</v>
      </c>
      <c r="AT59" s="77">
        <f t="shared" si="250"/>
        <v>-2.3536028720854172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3.1549999999999998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5.561314554398372</v>
      </c>
      <c r="C60" s="771">
        <v>-4.3841922274834841</v>
      </c>
      <c r="D60" s="772">
        <v>-3.5768107876613349</v>
      </c>
      <c r="E60" s="773">
        <v>0.96883361691615077</v>
      </c>
      <c r="F60" s="771">
        <v>0.24272396789293629</v>
      </c>
      <c r="G60" s="774">
        <v>4.9462087940947794E-2</v>
      </c>
      <c r="H60" s="773">
        <v>0.314</v>
      </c>
      <c r="I60" s="771">
        <v>0.52</v>
      </c>
      <c r="J60" s="601">
        <v>3.161</v>
      </c>
      <c r="K60" s="426" t="str">
        <f t="shared" si="225"/>
        <v>1613</v>
      </c>
      <c r="L60" s="327"/>
      <c r="M60" s="173">
        <f t="shared" si="242"/>
        <v>3.161</v>
      </c>
      <c r="N60" s="21">
        <f t="shared" si="243"/>
        <v>5.561314554398372</v>
      </c>
      <c r="O60" s="5">
        <f t="shared" si="244"/>
        <v>-4.3841922274834841</v>
      </c>
      <c r="P60" s="10">
        <f t="shared" si="245"/>
        <v>-3.5768107876613349</v>
      </c>
      <c r="Q60" s="624">
        <f t="shared" si="116"/>
        <v>321.7499660702029</v>
      </c>
      <c r="R60" s="5">
        <f t="shared" si="83"/>
        <v>7.0816213581700165</v>
      </c>
      <c r="S60" s="6">
        <f t="shared" si="84"/>
        <v>-3.5768107876613349</v>
      </c>
      <c r="T60" s="4">
        <f t="shared" si="85"/>
        <v>-4.384192227483485</v>
      </c>
      <c r="U60" s="5">
        <f t="shared" si="86"/>
        <v>-5.5613145543983702</v>
      </c>
      <c r="V60" s="8">
        <f t="shared" si="117"/>
        <v>-3.5768107876613349</v>
      </c>
      <c r="W60" s="624">
        <f t="shared" si="227"/>
        <v>231.7499660702029</v>
      </c>
      <c r="X60" s="5">
        <f t="shared" si="87"/>
        <v>7.0816213581700165</v>
      </c>
      <c r="Y60" s="7">
        <f t="shared" si="226"/>
        <v>-3.5768107876613349</v>
      </c>
      <c r="Z60" s="21">
        <f t="shared" si="246"/>
        <v>-0.96883361691615077</v>
      </c>
      <c r="AA60" s="5">
        <f t="shared" si="247"/>
        <v>-0.24272396789293629</v>
      </c>
      <c r="AB60" s="5">
        <f t="shared" si="248"/>
        <v>-4.9462087940947794E-2</v>
      </c>
      <c r="AC60" s="8">
        <f t="shared" si="88"/>
        <v>1</v>
      </c>
      <c r="AD60" s="9">
        <f t="shared" si="118"/>
        <v>-0.96883361691615077</v>
      </c>
      <c r="AE60" s="5">
        <f t="shared" si="89"/>
        <v>-0.24272396789293629</v>
      </c>
      <c r="AF60" s="10">
        <f t="shared" si="90"/>
        <v>-4.9462087940947794E-2</v>
      </c>
      <c r="AG60" s="622">
        <f t="shared" si="91"/>
        <v>-78.482017424874499</v>
      </c>
      <c r="AH60" s="623">
        <f t="shared" si="92"/>
        <v>165.65781624838797</v>
      </c>
      <c r="AI60" s="624">
        <f t="shared" si="93"/>
        <v>-87.164874291114302</v>
      </c>
      <c r="AJ60" s="625">
        <f t="shared" si="94"/>
        <v>-75.93506376823386</v>
      </c>
      <c r="AK60" s="4">
        <f t="shared" si="213"/>
        <v>0.79041463321038896</v>
      </c>
      <c r="AL60" s="5">
        <f t="shared" si="95"/>
        <v>-0.61057203462278564</v>
      </c>
      <c r="AM60" s="6">
        <f t="shared" si="96"/>
        <v>-4.9462087940947794E-2</v>
      </c>
      <c r="AN60" s="612">
        <f t="shared" si="97"/>
        <v>-85.368615513501197</v>
      </c>
      <c r="AO60" s="613">
        <f t="shared" si="466"/>
        <v>37.775723493055054</v>
      </c>
      <c r="AP60" s="624">
        <f t="shared" si="99"/>
        <v>-37.685029838436741</v>
      </c>
      <c r="AQ60" s="625">
        <f t="shared" si="249"/>
        <v>1.7507082639405664</v>
      </c>
      <c r="AS60" s="56">
        <f t="shared" si="411"/>
        <v>-128.2500339297971</v>
      </c>
      <c r="AT60" s="77">
        <f t="shared" si="250"/>
        <v>-3.0923106594821013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3.161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5.608402192630721</v>
      </c>
      <c r="C61" s="771">
        <v>-4.4611299617579974</v>
      </c>
      <c r="D61" s="772">
        <v>-4.3333130692722168</v>
      </c>
      <c r="E61" s="773">
        <v>0.97992480258789694</v>
      </c>
      <c r="F61" s="771">
        <v>0.19936745289301905</v>
      </c>
      <c r="G61" s="774">
        <v>1.4578093205264883E-7</v>
      </c>
      <c r="H61" s="773">
        <v>0.314</v>
      </c>
      <c r="I61" s="771">
        <v>0.52</v>
      </c>
      <c r="J61" s="601">
        <v>3.1669999999999998</v>
      </c>
      <c r="K61" s="426" t="str">
        <f t="shared" si="225"/>
        <v>1613</v>
      </c>
      <c r="L61" s="327"/>
      <c r="M61" s="173">
        <f t="shared" si="242"/>
        <v>3.1669999999999998</v>
      </c>
      <c r="N61" s="21">
        <f t="shared" si="243"/>
        <v>5.608402192630721</v>
      </c>
      <c r="O61" s="5">
        <f t="shared" si="244"/>
        <v>-4.4611299617579974</v>
      </c>
      <c r="P61" s="10">
        <f t="shared" si="245"/>
        <v>-4.3333130692722168</v>
      </c>
      <c r="Q61" s="624">
        <f t="shared" si="116"/>
        <v>321.4999660702029</v>
      </c>
      <c r="R61" s="5">
        <f t="shared" si="83"/>
        <v>7.1662999999999997</v>
      </c>
      <c r="S61" s="6">
        <f t="shared" si="84"/>
        <v>-4.3333130692722168</v>
      </c>
      <c r="T61" s="4">
        <f t="shared" si="85"/>
        <v>-4.4611299617579965</v>
      </c>
      <c r="U61" s="5">
        <f t="shared" si="86"/>
        <v>-5.6084021926307228</v>
      </c>
      <c r="V61" s="8">
        <f t="shared" si="117"/>
        <v>-4.3333130692722168</v>
      </c>
      <c r="W61" s="624">
        <f t="shared" si="227"/>
        <v>231.4999660702029</v>
      </c>
      <c r="X61" s="5">
        <f t="shared" si="87"/>
        <v>7.1662999999999997</v>
      </c>
      <c r="Y61" s="7">
        <f t="shared" si="226"/>
        <v>-4.3333130692722168</v>
      </c>
      <c r="Z61" s="21">
        <f t="shared" si="246"/>
        <v>-0.97992480258789694</v>
      </c>
      <c r="AA61" s="5">
        <f t="shared" si="247"/>
        <v>-0.19936745289301905</v>
      </c>
      <c r="AB61" s="5">
        <f t="shared" si="248"/>
        <v>-1.4578093205264883E-7</v>
      </c>
      <c r="AC61" s="8">
        <f t="shared" si="88"/>
        <v>1</v>
      </c>
      <c r="AD61" s="9">
        <f t="shared" si="118"/>
        <v>-0.97992480258789694</v>
      </c>
      <c r="AE61" s="5">
        <f t="shared" si="89"/>
        <v>-0.19936745289301905</v>
      </c>
      <c r="AF61" s="10">
        <f t="shared" si="90"/>
        <v>-1.4578093205264883E-7</v>
      </c>
      <c r="AG61" s="622">
        <f t="shared" si="91"/>
        <v>-89.999958104334397</v>
      </c>
      <c r="AH61" s="623">
        <f t="shared" si="92"/>
        <v>168.50002815450887</v>
      </c>
      <c r="AI61" s="624">
        <f t="shared" si="93"/>
        <v>-89.999991647367864</v>
      </c>
      <c r="AJ61" s="625">
        <f t="shared" si="94"/>
        <v>-78.500028154511782</v>
      </c>
      <c r="AK61" s="4">
        <f t="shared" si="213"/>
        <v>0.76604450791050704</v>
      </c>
      <c r="AL61" s="5">
        <f t="shared" si="95"/>
        <v>-0.64278753247097753</v>
      </c>
      <c r="AM61" s="6">
        <f t="shared" si="96"/>
        <v>-1.4578093205264883E-7</v>
      </c>
      <c r="AN61" s="612">
        <f t="shared" si="97"/>
        <v>-89.999987005609611</v>
      </c>
      <c r="AO61" s="613">
        <f t="shared" si="466"/>
        <v>39.999994224715394</v>
      </c>
      <c r="AP61" s="624">
        <f t="shared" si="99"/>
        <v>-39.999994224714683</v>
      </c>
      <c r="AQ61" s="625">
        <f t="shared" si="249"/>
        <v>1.7300341407596445</v>
      </c>
      <c r="AS61" s="56">
        <f t="shared" si="411"/>
        <v>-128.5000339297971</v>
      </c>
      <c r="AT61" s="77">
        <f t="shared" si="250"/>
        <v>-3.8478684966485388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3.1669999999999998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</v>
      </c>
      <c r="B62" s="770">
        <v>2.2822599609219658</v>
      </c>
      <c r="C62" s="771">
        <v>-3.0453190621277706</v>
      </c>
      <c r="D62" s="772">
        <v>-2.8400085654659304E-2</v>
      </c>
      <c r="E62" s="773">
        <v>1.0466547512595794E-2</v>
      </c>
      <c r="F62" s="771">
        <v>-1.3965592924232823E-2</v>
      </c>
      <c r="G62" s="774">
        <v>0.99984769520034478</v>
      </c>
      <c r="H62" s="773">
        <v>0.26250000000000001</v>
      </c>
      <c r="I62" s="771">
        <v>0.40699999999999997</v>
      </c>
      <c r="J62" s="601">
        <v>3.2189999999999999</v>
      </c>
      <c r="K62" s="426" t="str">
        <f t="shared" si="225"/>
        <v/>
      </c>
      <c r="L62" s="327"/>
      <c r="M62" s="173">
        <f t="shared" si="242"/>
        <v>3.2189999999999999</v>
      </c>
      <c r="N62" s="21">
        <f t="shared" si="243"/>
        <v>2.2822599609219658</v>
      </c>
      <c r="O62" s="5">
        <f t="shared" si="244"/>
        <v>-3.0453190621277706</v>
      </c>
      <c r="P62" s="10">
        <f t="shared" si="245"/>
        <v>-2.8400085654659304E-2</v>
      </c>
      <c r="Q62" s="624">
        <f t="shared" si="116"/>
        <v>306.84906869086819</v>
      </c>
      <c r="R62" s="5">
        <f t="shared" si="83"/>
        <v>3.8056114777242169</v>
      </c>
      <c r="S62" s="6">
        <f t="shared" si="84"/>
        <v>-2.8400085654659304E-2</v>
      </c>
      <c r="T62" s="4">
        <f t="shared" si="85"/>
        <v>-3.0453190621277715</v>
      </c>
      <c r="U62" s="5">
        <f t="shared" si="86"/>
        <v>-2.2822599609219645</v>
      </c>
      <c r="V62" s="8">
        <f t="shared" si="117"/>
        <v>-2.8400085654659304E-2</v>
      </c>
      <c r="W62" s="624">
        <f t="shared" si="227"/>
        <v>216.84906869086819</v>
      </c>
      <c r="X62" s="5">
        <f t="shared" si="87"/>
        <v>3.8056114777242169</v>
      </c>
      <c r="Y62" s="7">
        <f t="shared" si="226"/>
        <v>-2.8400085654659304E-2</v>
      </c>
      <c r="Z62" s="21">
        <f t="shared" si="246"/>
        <v>-1.0466547512595794E-2</v>
      </c>
      <c r="AA62" s="5">
        <f t="shared" si="247"/>
        <v>1.3965592924232823E-2</v>
      </c>
      <c r="AB62" s="5">
        <f t="shared" si="248"/>
        <v>-0.99984769520034478</v>
      </c>
      <c r="AC62" s="8">
        <f t="shared" si="88"/>
        <v>1</v>
      </c>
      <c r="AD62" s="9">
        <f t="shared" si="118"/>
        <v>-1.0466547512595794E-2</v>
      </c>
      <c r="AE62" s="5">
        <f t="shared" si="89"/>
        <v>1.3965592924232823E-2</v>
      </c>
      <c r="AF62" s="10">
        <f t="shared" si="90"/>
        <v>-0.99984769520034478</v>
      </c>
      <c r="AG62" s="622">
        <f t="shared" si="91"/>
        <v>0.80023938239791048</v>
      </c>
      <c r="AH62" s="623">
        <f t="shared" si="92"/>
        <v>90.599699948268068</v>
      </c>
      <c r="AI62" s="624">
        <f t="shared" si="93"/>
        <v>-0.99999985570170868</v>
      </c>
      <c r="AJ62" s="625">
        <f t="shared" si="94"/>
        <v>-143.15018674749652</v>
      </c>
      <c r="AK62" s="4">
        <f t="shared" si="213"/>
        <v>2.2679489678975595E-7</v>
      </c>
      <c r="AL62" s="5">
        <f t="shared" si="95"/>
        <v>-1.7452403917723517E-2</v>
      </c>
      <c r="AM62" s="6">
        <f t="shared" si="96"/>
        <v>-0.99984769520034478</v>
      </c>
      <c r="AN62" s="612">
        <f t="shared" si="97"/>
        <v>-0.99999985561788163</v>
      </c>
      <c r="AO62" s="613">
        <f t="shared" si="466"/>
        <v>0</v>
      </c>
      <c r="AP62" s="624">
        <f t="shared" si="99"/>
        <v>-89.999255438364727</v>
      </c>
      <c r="AQ62" s="625">
        <f t="shared" si="249"/>
        <v>3.2552891497053098</v>
      </c>
      <c r="AS62" s="56">
        <f t="shared" si="411"/>
        <v>-143.15093130913181</v>
      </c>
      <c r="AT62" s="77">
        <f t="shared" si="250"/>
        <v>0.51239232151317193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>
        <f>IFERROR(IF($IU62="","",IF($IU62&lt;(((Settings!$C$19/2)*-1)*$IE$8),"",1)),"")</f>
        <v>1</v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3.2189999999999999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3.1190000000000002</v>
      </c>
      <c r="II62" s="800" cm="1">
        <f t="array" ref="II62">IFERROR(IF($IH62&lt;1,$IH62+LARGE((IF($M$9:$M$150="",0,$M$9:$M$150)-MOD(IF($M$9:$M$150="",0,$M$9:$M$150),1)),1),$IH62),"")</f>
        <v>3.1190000000000002</v>
      </c>
      <c r="IJ62" s="839" t="str">
        <f t="shared" si="386"/>
        <v>1613</v>
      </c>
      <c r="IK62" s="839" t="str">
        <f t="shared" si="387"/>
        <v/>
      </c>
      <c r="IL62" s="791">
        <f t="shared" si="228"/>
        <v>18.150897379334651</v>
      </c>
      <c r="IM62" s="830">
        <v>5.7581323363927097E-3</v>
      </c>
      <c r="IN62" s="5">
        <f t="shared" si="229"/>
        <v>0.1</v>
      </c>
      <c r="IO62" s="852">
        <v>50</v>
      </c>
      <c r="IP62" s="9">
        <f t="shared" si="230"/>
        <v>-3.8049114756130114</v>
      </c>
      <c r="IQ62" s="5">
        <f t="shared" si="231"/>
        <v>-5.520016648370249E-2</v>
      </c>
      <c r="IR62" s="5">
        <f t="shared" si="388"/>
        <v>0.314</v>
      </c>
      <c r="IS62" s="5">
        <f t="shared" si="232"/>
        <v>0.29506348833932705</v>
      </c>
      <c r="IT62" s="791">
        <f t="shared" si="233"/>
        <v>0.99999985561772708</v>
      </c>
      <c r="IU62" s="9">
        <f t="shared" si="234"/>
        <v>-3.8056114777242169</v>
      </c>
      <c r="IV62" s="5">
        <f t="shared" si="235"/>
        <v>-2.8400085654659304E-2</v>
      </c>
      <c r="IW62" s="5">
        <f t="shared" si="389"/>
        <v>0.26250000000000001</v>
      </c>
      <c r="IX62" s="5">
        <f t="shared" si="236"/>
        <v>0.26250000000000001</v>
      </c>
      <c r="IY62" s="833">
        <f t="shared" si="237"/>
        <v>0.99999985561788163</v>
      </c>
    </row>
    <row r="63" spans="1:259" ht="15" customHeight="1" x14ac:dyDescent="0.25">
      <c r="A63" s="84">
        <f t="shared" si="82"/>
        <v>0</v>
      </c>
      <c r="B63" s="770">
        <v>2.7403333259637037</v>
      </c>
      <c r="C63" s="771">
        <v>-3.6490160916726802</v>
      </c>
      <c r="D63" s="772">
        <v>-0.13750041470125116</v>
      </c>
      <c r="E63" s="773">
        <v>0.11355211794552451</v>
      </c>
      <c r="F63" s="771">
        <v>-0.15120513506219646</v>
      </c>
      <c r="G63" s="774">
        <v>0.98195871789037492</v>
      </c>
      <c r="H63" s="773">
        <v>0.26250000000000001</v>
      </c>
      <c r="I63" s="771">
        <v>0.40699999999999997</v>
      </c>
      <c r="J63" s="601">
        <v>3.2250000000000001</v>
      </c>
      <c r="K63" s="426" t="str">
        <f t="shared" si="225"/>
        <v/>
      </c>
      <c r="L63" s="327"/>
      <c r="M63" s="173">
        <f t="shared" si="242"/>
        <v>3.2250000000000001</v>
      </c>
      <c r="N63" s="21">
        <f t="shared" si="243"/>
        <v>2.7403333259637037</v>
      </c>
      <c r="O63" s="5">
        <f t="shared" si="244"/>
        <v>-3.6490160916726802</v>
      </c>
      <c r="P63" s="10">
        <f t="shared" si="245"/>
        <v>-0.13750041470125116</v>
      </c>
      <c r="Q63" s="624">
        <f t="shared" si="116"/>
        <v>306.90576868268175</v>
      </c>
      <c r="R63" s="5">
        <f t="shared" si="83"/>
        <v>4.5634137632559089</v>
      </c>
      <c r="S63" s="6">
        <f t="shared" si="84"/>
        <v>-0.13750041470125116</v>
      </c>
      <c r="T63" s="4">
        <f t="shared" si="85"/>
        <v>-3.6490160916726802</v>
      </c>
      <c r="U63" s="5">
        <f t="shared" si="86"/>
        <v>-2.7403333259637037</v>
      </c>
      <c r="V63" s="8">
        <f t="shared" si="117"/>
        <v>-0.13750041470125116</v>
      </c>
      <c r="W63" s="624">
        <f t="shared" si="227"/>
        <v>216.90576868268175</v>
      </c>
      <c r="X63" s="5">
        <f t="shared" si="87"/>
        <v>4.5634137632559089</v>
      </c>
      <c r="Y63" s="7">
        <f t="shared" si="226"/>
        <v>-0.13750041470125116</v>
      </c>
      <c r="Z63" s="21">
        <f t="shared" si="246"/>
        <v>-0.11355211794552451</v>
      </c>
      <c r="AA63" s="5">
        <f t="shared" si="247"/>
        <v>0.15120513506219646</v>
      </c>
      <c r="AB63" s="5">
        <f t="shared" si="248"/>
        <v>-0.98195871789037492</v>
      </c>
      <c r="AC63" s="8">
        <f t="shared" si="88"/>
        <v>1</v>
      </c>
      <c r="AD63" s="9">
        <f t="shared" si="118"/>
        <v>-0.11355211794552451</v>
      </c>
      <c r="AE63" s="5">
        <f t="shared" si="89"/>
        <v>0.15120513506219646</v>
      </c>
      <c r="AF63" s="10">
        <f t="shared" si="90"/>
        <v>-0.98195871789037492</v>
      </c>
      <c r="AG63" s="622">
        <f t="shared" si="91"/>
        <v>8.7538321143657978</v>
      </c>
      <c r="AH63" s="623">
        <f t="shared" si="92"/>
        <v>96.52012047448541</v>
      </c>
      <c r="AI63" s="624">
        <f t="shared" si="93"/>
        <v>-10.899998426242545</v>
      </c>
      <c r="AJ63" s="625">
        <f t="shared" si="94"/>
        <v>-143.09416259862229</v>
      </c>
      <c r="AK63" s="4">
        <f t="shared" si="213"/>
        <v>2.2679489673771425E-7</v>
      </c>
      <c r="AL63" s="5">
        <f t="shared" si="95"/>
        <v>-0.18909541601805144</v>
      </c>
      <c r="AM63" s="6">
        <f t="shared" si="96"/>
        <v>-0.98195871789037492</v>
      </c>
      <c r="AN63" s="612">
        <f t="shared" si="97"/>
        <v>-10.899998426234944</v>
      </c>
      <c r="AO63" s="613">
        <f t="shared" si="466"/>
        <v>0</v>
      </c>
      <c r="AP63" s="624">
        <f t="shared" si="99"/>
        <v>-89.999931281304058</v>
      </c>
      <c r="AQ63" s="625">
        <f t="shared" si="249"/>
        <v>2.715604088359667</v>
      </c>
      <c r="AS63" s="56">
        <f t="shared" si="411"/>
        <v>-143.09423131731825</v>
      </c>
      <c r="AT63" s="77">
        <f t="shared" si="250"/>
        <v>0.40307779249750664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>
        <f>IFERROR(IF($IU63="","",IF($IU63&lt;(((Settings!$C$19/2)*-1)*$IE$8),"",1)),"")</f>
        <v>1</v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3.2250000000000001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3.125</v>
      </c>
      <c r="II63" s="800" cm="1">
        <f t="array" ref="II63">IFERROR(IF($IH63&lt;1,$IH63+LARGE((IF($M$9:$M$150="",0,$M$9:$M$150)-MOD(IF($M$9:$M$150="",0,$M$9:$M$150),1)),1),$IH63),"")</f>
        <v>3.125</v>
      </c>
      <c r="IJ63" s="839" t="str">
        <f t="shared" si="386"/>
        <v>1613</v>
      </c>
      <c r="IK63" s="839" t="str">
        <f t="shared" si="387"/>
        <v/>
      </c>
      <c r="IL63" s="791">
        <f t="shared" si="228"/>
        <v>17.794297430821359</v>
      </c>
      <c r="IM63" s="830">
        <v>4.8925761951436001E-3</v>
      </c>
      <c r="IN63" s="5">
        <f t="shared" si="229"/>
        <v>0.08</v>
      </c>
      <c r="IO63" s="852">
        <v>40</v>
      </c>
      <c r="IP63" s="9">
        <f t="shared" si="230"/>
        <v>-4.5561137412390442</v>
      </c>
      <c r="IQ63" s="5">
        <f t="shared" si="231"/>
        <v>-0.16380049402228949</v>
      </c>
      <c r="IR63" s="5">
        <f t="shared" si="388"/>
        <v>0.314</v>
      </c>
      <c r="IS63" s="5">
        <f t="shared" si="232"/>
        <v>0.29462151657350794</v>
      </c>
      <c r="IT63" s="791">
        <f t="shared" si="233"/>
        <v>20.00203970864403</v>
      </c>
      <c r="IU63" s="9">
        <f t="shared" si="234"/>
        <v>-4.5634137632559089</v>
      </c>
      <c r="IV63" s="5">
        <f t="shared" si="235"/>
        <v>-0.13750041470125116</v>
      </c>
      <c r="IW63" s="5">
        <f t="shared" si="389"/>
        <v>0.26250000000000001</v>
      </c>
      <c r="IX63" s="5">
        <f t="shared" si="236"/>
        <v>0.26250000000000001</v>
      </c>
      <c r="IY63" s="833">
        <f t="shared" si="237"/>
        <v>10.899998426234944</v>
      </c>
    </row>
    <row r="64" spans="1:259" ht="15" customHeight="1" x14ac:dyDescent="0.25">
      <c r="A64" s="84">
        <f t="shared" si="82"/>
        <v>0</v>
      </c>
      <c r="B64" s="770">
        <v>3.1713480027983505</v>
      </c>
      <c r="C64" s="771">
        <v>-4.2177540015245247</v>
      </c>
      <c r="D64" s="772">
        <v>-0.42320127637505056</v>
      </c>
      <c r="E64" s="773">
        <v>0.21341011193131049</v>
      </c>
      <c r="F64" s="771">
        <v>-0.2838257283557522</v>
      </c>
      <c r="G64" s="774">
        <v>0.93482569500885693</v>
      </c>
      <c r="H64" s="773">
        <v>0.26250000000000001</v>
      </c>
      <c r="I64" s="771">
        <v>0.40699999999999997</v>
      </c>
      <c r="J64" s="601">
        <v>3.2309999999999999</v>
      </c>
      <c r="K64" s="426" t="str">
        <f t="shared" si="225"/>
        <v/>
      </c>
      <c r="L64" s="327"/>
      <c r="M64" s="173">
        <f t="shared" si="242"/>
        <v>3.2309999999999999</v>
      </c>
      <c r="N64" s="21">
        <f t="shared" si="243"/>
        <v>3.1713480027983505</v>
      </c>
      <c r="O64" s="5">
        <f t="shared" si="244"/>
        <v>-4.2177540015245247</v>
      </c>
      <c r="P64" s="10">
        <f t="shared" si="245"/>
        <v>-0.42320127637505056</v>
      </c>
      <c r="Q64" s="624">
        <f t="shared" si="116"/>
        <v>306.93966867778721</v>
      </c>
      <c r="R64" s="5">
        <f t="shared" si="83"/>
        <v>5.2770159154799998</v>
      </c>
      <c r="S64" s="6">
        <f t="shared" si="84"/>
        <v>-0.42320127637505056</v>
      </c>
      <c r="T64" s="4">
        <f t="shared" si="85"/>
        <v>-4.2177540015245238</v>
      </c>
      <c r="U64" s="5">
        <f t="shared" si="86"/>
        <v>-3.1713480027983509</v>
      </c>
      <c r="V64" s="8">
        <f t="shared" si="117"/>
        <v>-0.42320127637505056</v>
      </c>
      <c r="W64" s="624">
        <f t="shared" si="227"/>
        <v>216.93966867778721</v>
      </c>
      <c r="X64" s="5">
        <f t="shared" si="87"/>
        <v>5.2770159154799998</v>
      </c>
      <c r="Y64" s="7">
        <f t="shared" si="226"/>
        <v>-0.42320127637505056</v>
      </c>
      <c r="Z64" s="21">
        <f t="shared" si="246"/>
        <v>-0.21341011193131049</v>
      </c>
      <c r="AA64" s="5">
        <f t="shared" si="247"/>
        <v>0.2838257283557522</v>
      </c>
      <c r="AB64" s="5">
        <f t="shared" si="248"/>
        <v>-0.93482569500885693</v>
      </c>
      <c r="AC64" s="8">
        <f t="shared" si="88"/>
        <v>1</v>
      </c>
      <c r="AD64" s="9">
        <f t="shared" si="118"/>
        <v>-0.21341011193131049</v>
      </c>
      <c r="AE64" s="5">
        <f t="shared" si="89"/>
        <v>0.2838257283557522</v>
      </c>
      <c r="AF64" s="10">
        <f t="shared" si="90"/>
        <v>-0.93482569500885693</v>
      </c>
      <c r="AG64" s="622">
        <f t="shared" si="91"/>
        <v>16.888999741830581</v>
      </c>
      <c r="AH64" s="623">
        <f t="shared" si="92"/>
        <v>102.32226876667005</v>
      </c>
      <c r="AI64" s="624">
        <f t="shared" si="93"/>
        <v>-20.79999699685586</v>
      </c>
      <c r="AJ64" s="625">
        <f t="shared" si="94"/>
        <v>-143.06029472931667</v>
      </c>
      <c r="AK64" s="4">
        <f t="shared" si="213"/>
        <v>2.2679489669608088E-7</v>
      </c>
      <c r="AL64" s="5">
        <f t="shared" si="95"/>
        <v>-0.35510691340940725</v>
      </c>
      <c r="AM64" s="6">
        <f t="shared" si="96"/>
        <v>-0.93482569500885693</v>
      </c>
      <c r="AN64" s="612">
        <f t="shared" si="97"/>
        <v>-20.799996996851991</v>
      </c>
      <c r="AO64" s="613">
        <f t="shared" si="466"/>
        <v>0</v>
      </c>
      <c r="AP64" s="624">
        <f t="shared" si="99"/>
        <v>-89.999963407103877</v>
      </c>
      <c r="AQ64" s="625">
        <f t="shared" si="249"/>
        <v>2.3488208138631412</v>
      </c>
      <c r="AS64" s="56">
        <f t="shared" si="411"/>
        <v>-143.06033132221279</v>
      </c>
      <c r="AT64" s="77">
        <f t="shared" si="250"/>
        <v>0.11724886417553115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>
        <f>IFERROR(IF($IU64="","",IF($IU64&lt;(((Settings!$C$19/2)*-1)*$IE$8),"",1)),"")</f>
        <v>1</v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3.2309999999999999</v>
      </c>
      <c r="IH64" s="797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3.1309999999999998</v>
      </c>
      <c r="II64" s="800" cm="1">
        <f t="array" ref="II64">IFERROR(IF($IH64&lt;1,$IH64+LARGE((IF($M$9:$M$150="",0,$M$9:$M$150)-MOD(IF($M$9:$M$150="",0,$M$9:$M$150),1)),1),$IH64),"")</f>
        <v>3.1309999999999998</v>
      </c>
      <c r="IJ64" s="839" t="str">
        <f t="shared" si="386"/>
        <v>1613</v>
      </c>
      <c r="IK64" s="839" t="str">
        <f t="shared" si="387"/>
        <v/>
      </c>
      <c r="IL64" s="791">
        <f t="shared" si="228"/>
        <v>17.207497515544731</v>
      </c>
      <c r="IM64" s="830">
        <v>2.8627182560864699E-3</v>
      </c>
      <c r="IN64" s="5">
        <f t="shared" si="229"/>
        <v>0.04</v>
      </c>
      <c r="IO64" s="852">
        <v>20</v>
      </c>
      <c r="IP64" s="9">
        <f t="shared" si="230"/>
        <v>-5.2633158741606758</v>
      </c>
      <c r="IQ64" s="5">
        <f t="shared" si="231"/>
        <v>-0.44810135147367608</v>
      </c>
      <c r="IR64" s="5">
        <f t="shared" si="388"/>
        <v>0.314</v>
      </c>
      <c r="IS64" s="5">
        <f t="shared" si="232"/>
        <v>0.2936073797703283</v>
      </c>
      <c r="IT64" s="791">
        <f t="shared" si="233"/>
        <v>37.054094718363395</v>
      </c>
      <c r="IU64" s="9">
        <f t="shared" si="234"/>
        <v>-5.2770159154799998</v>
      </c>
      <c r="IV64" s="5">
        <f t="shared" si="235"/>
        <v>-0.42320127637505056</v>
      </c>
      <c r="IW64" s="5">
        <f t="shared" si="389"/>
        <v>0.26250000000000001</v>
      </c>
      <c r="IX64" s="5">
        <f t="shared" si="236"/>
        <v>0.26250000000000001</v>
      </c>
      <c r="IY64" s="833">
        <f t="shared" si="237"/>
        <v>20.799996996851991</v>
      </c>
    </row>
    <row r="65" spans="1:259" ht="15" customHeight="1" x14ac:dyDescent="0.25">
      <c r="A65" s="84">
        <f t="shared" si="82"/>
        <v>0</v>
      </c>
      <c r="B65" s="770">
        <v>3.5254243034785979</v>
      </c>
      <c r="C65" s="771">
        <v>-4.7312930121338166</v>
      </c>
      <c r="D65" s="772">
        <v>-0.86770261699109352</v>
      </c>
      <c r="E65" s="773">
        <v>0.30325297405246515</v>
      </c>
      <c r="F65" s="771">
        <v>-0.40698004420788186</v>
      </c>
      <c r="G65" s="774">
        <v>0.86162919945002181</v>
      </c>
      <c r="H65" s="773">
        <v>0.26250000000000001</v>
      </c>
      <c r="I65" s="771">
        <v>0.40699999999999997</v>
      </c>
      <c r="J65" s="601">
        <v>3.2370000000000001</v>
      </c>
      <c r="K65" s="426" t="str">
        <f t="shared" si="225"/>
        <v/>
      </c>
      <c r="L65" s="327"/>
      <c r="M65" s="173">
        <f t="shared" si="242"/>
        <v>3.2370000000000001</v>
      </c>
      <c r="N65" s="21">
        <f t="shared" si="243"/>
        <v>3.5254243034785979</v>
      </c>
      <c r="O65" s="5">
        <f t="shared" si="244"/>
        <v>-4.7312930121338166</v>
      </c>
      <c r="P65" s="10">
        <f t="shared" si="245"/>
        <v>-0.86770261699109352</v>
      </c>
      <c r="Q65" s="624">
        <f t="shared" si="116"/>
        <v>306.69086871370945</v>
      </c>
      <c r="R65" s="5">
        <f t="shared" si="83"/>
        <v>5.90031779535847</v>
      </c>
      <c r="S65" s="6">
        <f t="shared" si="84"/>
        <v>-0.86770261699109352</v>
      </c>
      <c r="T65" s="4">
        <f t="shared" si="85"/>
        <v>-4.7312930121338175</v>
      </c>
      <c r="U65" s="5">
        <f t="shared" si="86"/>
        <v>-3.5254243034785961</v>
      </c>
      <c r="V65" s="8">
        <f t="shared" si="117"/>
        <v>-0.86770261699109352</v>
      </c>
      <c r="W65" s="624">
        <f t="shared" si="227"/>
        <v>216.69086871370945</v>
      </c>
      <c r="X65" s="5">
        <f t="shared" si="87"/>
        <v>5.90031779535847</v>
      </c>
      <c r="Y65" s="7">
        <f t="shared" si="226"/>
        <v>-0.86770261699109352</v>
      </c>
      <c r="Z65" s="21">
        <f t="shared" si="246"/>
        <v>-0.30325297405246515</v>
      </c>
      <c r="AA65" s="5">
        <f t="shared" si="247"/>
        <v>0.40698004420788186</v>
      </c>
      <c r="AB65" s="5">
        <f t="shared" si="248"/>
        <v>-0.86162919945002181</v>
      </c>
      <c r="AC65" s="8">
        <f t="shared" si="88"/>
        <v>1</v>
      </c>
      <c r="AD65" s="9">
        <f t="shared" si="118"/>
        <v>-0.30325297405246515</v>
      </c>
      <c r="AE65" s="5">
        <f t="shared" si="89"/>
        <v>0.40698004420788186</v>
      </c>
      <c r="AF65" s="10">
        <f t="shared" si="90"/>
        <v>-0.86162919945002181</v>
      </c>
      <c r="AG65" s="622">
        <f t="shared" si="91"/>
        <v>25.283136875267473</v>
      </c>
      <c r="AH65" s="623">
        <f t="shared" si="92"/>
        <v>107.65308947328147</v>
      </c>
      <c r="AI65" s="624">
        <f t="shared" si="93"/>
        <v>-30.499995596347976</v>
      </c>
      <c r="AJ65" s="625">
        <f t="shared" si="94"/>
        <v>-143.3091056835124</v>
      </c>
      <c r="AK65" s="4">
        <f t="shared" si="213"/>
        <v>2.2679489691812549E-7</v>
      </c>
      <c r="AL65" s="5">
        <f t="shared" si="95"/>
        <v>-0.50753829673736262</v>
      </c>
      <c r="AM65" s="6">
        <f t="shared" si="96"/>
        <v>-0.86162919945002181</v>
      </c>
      <c r="AN65" s="612">
        <f t="shared" si="97"/>
        <v>-30.499995596345482</v>
      </c>
      <c r="AO65" s="613">
        <f t="shared" si="466"/>
        <v>0</v>
      </c>
      <c r="AP65" s="624">
        <f t="shared" si="99"/>
        <v>-89.999974397221862</v>
      </c>
      <c r="AQ65" s="625">
        <f t="shared" si="249"/>
        <v>2.1009299086702931</v>
      </c>
      <c r="AS65" s="56">
        <f t="shared" si="411"/>
        <v>-143.30913128629055</v>
      </c>
      <c r="AT65" s="77">
        <f t="shared" si="250"/>
        <v>-0.32631256546510701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3.2370000000000001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3.137</v>
      </c>
      <c r="II65" s="800" cm="1">
        <f t="array" ref="II65">IFERROR(IF($IH65&lt;1,$IH65+LARGE((IF($M$9:$M$150="",0,$M$9:$M$150)-MOD(IF($M$9:$M$150="",0,$M$9:$M$150),1)),1),$IH65),"")</f>
        <v>3.137</v>
      </c>
      <c r="IJ65" s="839" t="str">
        <f t="shared" si="386"/>
        <v>1613</v>
      </c>
      <c r="IK65" s="839" t="str">
        <f t="shared" si="387"/>
        <v/>
      </c>
      <c r="IL65" s="791">
        <f t="shared" si="228"/>
        <v>16.825097570756498</v>
      </c>
      <c r="IM65" s="830">
        <v>8.7574896865021498E-5</v>
      </c>
      <c r="IN65" s="5">
        <f t="shared" si="229"/>
        <v>0</v>
      </c>
      <c r="IO65" s="852">
        <v>0</v>
      </c>
      <c r="IP65" s="9">
        <f t="shared" si="230"/>
        <v>-5.8837177452927225</v>
      </c>
      <c r="IQ65" s="5">
        <f t="shared" si="231"/>
        <v>-0.88490266886644986</v>
      </c>
      <c r="IR65" s="5">
        <f t="shared" si="388"/>
        <v>0.314</v>
      </c>
      <c r="IS65" s="5">
        <f t="shared" si="232"/>
        <v>0.28626480870391174</v>
      </c>
      <c r="IT65" s="791">
        <f t="shared" si="233"/>
        <v>50.153487885453238</v>
      </c>
      <c r="IU65" s="9">
        <f t="shared" si="234"/>
        <v>-5.90031779535847</v>
      </c>
      <c r="IV65" s="5">
        <f t="shared" si="235"/>
        <v>-0.86770261699109352</v>
      </c>
      <c r="IW65" s="5">
        <f t="shared" si="389"/>
        <v>0.26250000000000001</v>
      </c>
      <c r="IX65" s="5">
        <f t="shared" si="236"/>
        <v>0.26250000000000001</v>
      </c>
      <c r="IY65" s="833">
        <f t="shared" si="237"/>
        <v>30.499995596345482</v>
      </c>
    </row>
    <row r="66" spans="1:259" ht="15" customHeight="1" x14ac:dyDescent="0.25">
      <c r="A66" s="84">
        <f t="shared" si="82"/>
        <v>0</v>
      </c>
      <c r="B66" s="770">
        <v>3.7970454959789182</v>
      </c>
      <c r="C66" s="771">
        <v>-5.1540717490716315</v>
      </c>
      <c r="D66" s="772">
        <v>-1.4475043656731659</v>
      </c>
      <c r="E66" s="773">
        <v>0.38441885804118803</v>
      </c>
      <c r="F66" s="771">
        <v>-0.52180594787748025</v>
      </c>
      <c r="G66" s="774">
        <v>0.76153837351901943</v>
      </c>
      <c r="H66" s="773">
        <v>0.26250000000000001</v>
      </c>
      <c r="I66" s="771">
        <v>0.40699999999999997</v>
      </c>
      <c r="J66" s="601">
        <v>3.2429999999999999</v>
      </c>
      <c r="K66" s="426" t="str">
        <f t="shared" si="225"/>
        <v/>
      </c>
      <c r="L66" s="327"/>
      <c r="M66" s="173">
        <f t="shared" si="242"/>
        <v>3.2429999999999999</v>
      </c>
      <c r="N66" s="21">
        <f t="shared" si="243"/>
        <v>3.7970454959789182</v>
      </c>
      <c r="O66" s="5">
        <f t="shared" si="244"/>
        <v>-5.1540717490716315</v>
      </c>
      <c r="P66" s="10">
        <f t="shared" si="245"/>
        <v>-1.4475043656731659</v>
      </c>
      <c r="Q66" s="624">
        <f t="shared" si="116"/>
        <v>306.37936875868451</v>
      </c>
      <c r="R66" s="5">
        <f t="shared" si="83"/>
        <v>6.4017193075854317</v>
      </c>
      <c r="S66" s="6">
        <f t="shared" si="84"/>
        <v>-1.4475043656731659</v>
      </c>
      <c r="T66" s="4">
        <f t="shared" si="85"/>
        <v>-5.1540717490716315</v>
      </c>
      <c r="U66" s="5">
        <f t="shared" si="86"/>
        <v>-3.7970454959789186</v>
      </c>
      <c r="V66" s="8">
        <f t="shared" si="117"/>
        <v>-1.4475043656731659</v>
      </c>
      <c r="W66" s="624">
        <f t="shared" si="227"/>
        <v>216.37936875868451</v>
      </c>
      <c r="X66" s="5">
        <f t="shared" si="87"/>
        <v>6.4017193075854317</v>
      </c>
      <c r="Y66" s="7">
        <f t="shared" si="226"/>
        <v>-1.4475043656731659</v>
      </c>
      <c r="Z66" s="21">
        <f t="shared" si="246"/>
        <v>-0.38441885804118803</v>
      </c>
      <c r="AA66" s="5">
        <f t="shared" si="247"/>
        <v>0.52180594787748025</v>
      </c>
      <c r="AB66" s="5">
        <f t="shared" si="248"/>
        <v>-0.76153837351901943</v>
      </c>
      <c r="AC66" s="8">
        <f t="shared" si="88"/>
        <v>1</v>
      </c>
      <c r="AD66" s="9">
        <f t="shared" si="118"/>
        <v>-0.38441885804118803</v>
      </c>
      <c r="AE66" s="5">
        <f t="shared" si="89"/>
        <v>0.52180594787748025</v>
      </c>
      <c r="AF66" s="10">
        <f t="shared" si="90"/>
        <v>-0.76153837351901943</v>
      </c>
      <c r="AG66" s="622">
        <f t="shared" si="91"/>
        <v>34.418934655263598</v>
      </c>
      <c r="AH66" s="623">
        <f t="shared" si="92"/>
        <v>112.60766700042812</v>
      </c>
      <c r="AI66" s="624">
        <f t="shared" si="93"/>
        <v>-40.399994166964262</v>
      </c>
      <c r="AJ66" s="625">
        <f t="shared" si="94"/>
        <v>-143.62061119195127</v>
      </c>
      <c r="AK66" s="4">
        <f t="shared" si="213"/>
        <v>2.2679489664056973E-7</v>
      </c>
      <c r="AL66" s="5">
        <f t="shared" si="95"/>
        <v>-0.64811982353416353</v>
      </c>
      <c r="AM66" s="6">
        <f t="shared" si="96"/>
        <v>-0.76153837351901943</v>
      </c>
      <c r="AN66" s="612">
        <f t="shared" si="97"/>
        <v>-40.399994166962536</v>
      </c>
      <c r="AO66" s="613">
        <f t="shared" si="466"/>
        <v>0</v>
      </c>
      <c r="AP66" s="624">
        <f t="shared" si="99"/>
        <v>-89.99997995063579</v>
      </c>
      <c r="AQ66" s="625">
        <f t="shared" si="249"/>
        <v>1.9365094927439441</v>
      </c>
      <c r="AS66" s="56">
        <f t="shared" si="411"/>
        <v>-143.62063124131549</v>
      </c>
      <c r="AT66" s="77">
        <f t="shared" si="250"/>
        <v>-0.90493753653930731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3.2429999999999999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3.1429999999999998</v>
      </c>
      <c r="II66" s="800" cm="1">
        <f t="array" ref="II66">IFERROR(IF($IH66&lt;1,$IH66+LARGE((IF($M$9:$M$150="",0,$M$9:$M$150)-MOD(IF($M$9:$M$150="",0,$M$9:$M$150),1)),1),$IH66),"")</f>
        <v>3.1429999999999998</v>
      </c>
      <c r="IJ66" s="839" t="str">
        <f t="shared" si="386"/>
        <v>1613</v>
      </c>
      <c r="IK66" s="839" t="str">
        <f t="shared" si="387"/>
        <v/>
      </c>
      <c r="IL66" s="791">
        <f t="shared" si="228"/>
        <v>16.554997609754082</v>
      </c>
      <c r="IM66" s="830">
        <v>1.75666956381237E-4</v>
      </c>
      <c r="IN66" s="5">
        <f t="shared" si="229"/>
        <v>0</v>
      </c>
      <c r="IO66" s="852">
        <v>0</v>
      </c>
      <c r="IP66" s="9">
        <f t="shared" si="230"/>
        <v>-6.3849192569164801</v>
      </c>
      <c r="IQ66" s="5">
        <f t="shared" si="231"/>
        <v>-1.4564043925156478</v>
      </c>
      <c r="IR66" s="5">
        <f t="shared" si="388"/>
        <v>0.314</v>
      </c>
      <c r="IS66" s="5">
        <f t="shared" si="232"/>
        <v>0.27813009084255597</v>
      </c>
      <c r="IT66" s="791">
        <f t="shared" si="233"/>
        <v>61.840262469426335</v>
      </c>
      <c r="IU66" s="9">
        <f t="shared" si="234"/>
        <v>-6.4017193075854317</v>
      </c>
      <c r="IV66" s="5">
        <f t="shared" si="235"/>
        <v>-1.4475043656731659</v>
      </c>
      <c r="IW66" s="5">
        <f t="shared" si="389"/>
        <v>0.26250000000000001</v>
      </c>
      <c r="IX66" s="5">
        <f t="shared" si="236"/>
        <v>0.26250000000000001</v>
      </c>
      <c r="IY66" s="833">
        <f t="shared" si="237"/>
        <v>40.399994166962536</v>
      </c>
    </row>
    <row r="67" spans="1:259" ht="15" customHeight="1" x14ac:dyDescent="0.25">
      <c r="A67" s="84">
        <f t="shared" si="82"/>
        <v>0</v>
      </c>
      <c r="B67" s="770">
        <v>3.9978493949656158</v>
      </c>
      <c r="C67" s="771">
        <v>-5.4389957809969971</v>
      </c>
      <c r="D67" s="772">
        <v>-2.1244064072097251</v>
      </c>
      <c r="E67" s="773">
        <v>0.45501962403789092</v>
      </c>
      <c r="F67" s="771">
        <v>-0.61904490139471224</v>
      </c>
      <c r="G67" s="774">
        <v>0.64010979667368595</v>
      </c>
      <c r="H67" s="773">
        <v>0.26250000000000001</v>
      </c>
      <c r="I67" s="771">
        <v>0.40699999999999997</v>
      </c>
      <c r="J67" s="601">
        <v>3.2490000000000001</v>
      </c>
      <c r="K67" s="426" t="str">
        <f t="shared" si="225"/>
        <v/>
      </c>
      <c r="L67" s="327"/>
      <c r="M67" s="173">
        <f t="shared" si="242"/>
        <v>3.2490000000000001</v>
      </c>
      <c r="N67" s="21">
        <f t="shared" si="243"/>
        <v>3.9978493949656158</v>
      </c>
      <c r="O67" s="5">
        <f t="shared" si="244"/>
        <v>-5.4389957809969971</v>
      </c>
      <c r="P67" s="10">
        <f t="shared" si="245"/>
        <v>-2.1244064072097251</v>
      </c>
      <c r="Q67" s="624">
        <f t="shared" si="116"/>
        <v>306.31716876766507</v>
      </c>
      <c r="R67" s="5">
        <f>IF(M67="","",SQRT(N67^2+O67^2))</f>
        <v>6.7502203586646026</v>
      </c>
      <c r="S67" s="6">
        <f>IF(M67="","",P67)</f>
        <v>-2.1244064072097251</v>
      </c>
      <c r="T67" s="4">
        <f>IF(M67="","",X67*COS(RADIANS(W67)))</f>
        <v>-5.438995780996998</v>
      </c>
      <c r="U67" s="5">
        <f>IF(M67="","",X67*SIN(RADIANS(W67)))</f>
        <v>-3.9978493949656149</v>
      </c>
      <c r="V67" s="8">
        <f>IF(M67="","",Y67)</f>
        <v>-2.1244064072097251</v>
      </c>
      <c r="W67" s="624">
        <f t="shared" si="227"/>
        <v>216.31716876766507</v>
      </c>
      <c r="X67" s="5">
        <f>IF(M67="","",R67)</f>
        <v>6.7502203586646026</v>
      </c>
      <c r="Y67" s="7">
        <f t="shared" si="226"/>
        <v>-2.1244064072097251</v>
      </c>
      <c r="Z67" s="21">
        <f t="shared" si="246"/>
        <v>-0.45501962403789092</v>
      </c>
      <c r="AA67" s="5">
        <f t="shared" si="247"/>
        <v>0.61904490139471224</v>
      </c>
      <c r="AB67" s="5">
        <f t="shared" si="248"/>
        <v>-0.64010979667368595</v>
      </c>
      <c r="AC67" s="8">
        <f>IF(M67="","",SQRT(Z67^2+AA67^2+AB67^2))</f>
        <v>1</v>
      </c>
      <c r="AD67" s="9">
        <f>IF(M67="","",Z67*(1/SQRT(Z67^2+AA67^2+AB67^2)))</f>
        <v>-0.45501962403789092</v>
      </c>
      <c r="AE67" s="5">
        <f>IF(M67="","",AA67*(1/SQRT(Z67^2+AA67^2+AB67^2)))</f>
        <v>0.61904490139471224</v>
      </c>
      <c r="AF67" s="10">
        <f>IF(M67="","",AB67*(1/SQRT(Z67^2+AA67^2+AB67^2)))</f>
        <v>-0.64010979667368595</v>
      </c>
      <c r="AG67" s="622">
        <f>IF(M67="","",DEGREES(ATAN2(-AF67,AE67)))</f>
        <v>44.041565726113454</v>
      </c>
      <c r="AH67" s="623">
        <f>IF(M67="","",DEGREES(ACOS(AD67)))</f>
        <v>117.06619688092796</v>
      </c>
      <c r="AI67" s="624">
        <f>IF(M67="","",DEGREES(-ACOS(-AF67)))</f>
        <v>-50.199992752019014</v>
      </c>
      <c r="AJ67" s="625">
        <f>IF(M67="","",DEGREES(ATAN2(-AE67,AD67)))</f>
        <v>-143.68281431879799</v>
      </c>
      <c r="AK67" s="4">
        <f>IF(M67="","",(COS(RADIANS((90-$Q$8)-W67))*AD67)+(-SIN(RADIANS((90-$Q$8)-W67))*AE67))</f>
        <v>2.2679489686261434E-7</v>
      </c>
      <c r="AL67" s="5">
        <f>IF(M67="","",(SIN(RADIANS((90-$Q$8)-W67))*AD67)+(COS(RADIANS((90-$Q$8)-W67))*AE67))</f>
        <v>-0.76828344261888215</v>
      </c>
      <c r="AM67" s="6">
        <f>IF(M67="","",AF67)</f>
        <v>-0.64010979667368595</v>
      </c>
      <c r="AN67" s="612">
        <f>IF(M67="","",DEGREES(ATAN2(-AM67,AL67)))</f>
        <v>-50.199992752017799</v>
      </c>
      <c r="AO67" s="613">
        <f t="shared" si="466"/>
        <v>0</v>
      </c>
      <c r="AP67" s="624">
        <f>IF(M67="","",DEGREES(ATAN2(AK67,AL67)))</f>
        <v>-89.999983086463047</v>
      </c>
      <c r="AQ67" s="625">
        <f t="shared" si="249"/>
        <v>1.8366015202794712</v>
      </c>
      <c r="AS67" s="56">
        <f t="shared" si="411"/>
        <v>-143.68283123233493</v>
      </c>
      <c r="AT67" s="77">
        <f t="shared" si="250"/>
        <v>-1.5816046003320152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3.2490000000000001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3.149</v>
      </c>
      <c r="II67" s="800" cm="1">
        <f t="array" ref="II67">IFERROR(IF($IH67&lt;1,$IH67+LARGE((IF($M$9:$M$150="",0,$M$9:$M$150)-MOD(IF($M$9:$M$150="",0,$M$9:$M$150),1)),1),$IH67),"")</f>
        <v>3.149</v>
      </c>
      <c r="IJ67" s="839" t="str">
        <f t="shared" si="386"/>
        <v>1613</v>
      </c>
      <c r="IK67" s="839" t="str">
        <f t="shared" si="387"/>
        <v/>
      </c>
      <c r="IL67" s="791">
        <f t="shared" si="228"/>
        <v>16.176797664359412</v>
      </c>
      <c r="IM67" s="830">
        <v>2.5759340210551699E-4</v>
      </c>
      <c r="IN67" s="5">
        <f t="shared" si="229"/>
        <v>0</v>
      </c>
      <c r="IO67" s="852">
        <v>0</v>
      </c>
      <c r="IP67" s="9">
        <f t="shared" si="230"/>
        <v>-6.7382203224724933</v>
      </c>
      <c r="IQ67" s="5">
        <f t="shared" si="231"/>
        <v>-2.123806405400118</v>
      </c>
      <c r="IR67" s="5">
        <f t="shared" si="388"/>
        <v>0.314</v>
      </c>
      <c r="IS67" s="5">
        <f t="shared" si="232"/>
        <v>0.26688517449423349</v>
      </c>
      <c r="IT67" s="791">
        <f t="shared" si="233"/>
        <v>71.544674925902541</v>
      </c>
      <c r="IU67" s="9">
        <f t="shared" si="234"/>
        <v>-6.7502203586646026</v>
      </c>
      <c r="IV67" s="5">
        <f t="shared" si="235"/>
        <v>-2.1244064072097251</v>
      </c>
      <c r="IW67" s="5">
        <f t="shared" si="389"/>
        <v>0.26250000000000001</v>
      </c>
      <c r="IX67" s="5">
        <f t="shared" si="236"/>
        <v>0.26250000000000001</v>
      </c>
      <c r="IY67" s="833">
        <f t="shared" si="237"/>
        <v>50.199992752017799</v>
      </c>
    </row>
    <row r="68" spans="1:259" ht="15" customHeight="1" x14ac:dyDescent="0.25">
      <c r="A68" s="84">
        <f t="shared" si="82"/>
        <v>0</v>
      </c>
      <c r="B68" s="770">
        <v>4.1061737600645722</v>
      </c>
      <c r="C68" s="771">
        <v>-5.6096828950915691</v>
      </c>
      <c r="D68" s="772">
        <v>-2.843208575117063</v>
      </c>
      <c r="E68" s="773">
        <v>0.50996740783921379</v>
      </c>
      <c r="F68" s="771">
        <v>-0.69669576479506767</v>
      </c>
      <c r="G68" s="774">
        <v>0.504527753704758</v>
      </c>
      <c r="H68" s="773">
        <v>0.26250000000000001</v>
      </c>
      <c r="I68" s="771">
        <v>0.40699999999999997</v>
      </c>
      <c r="J68" s="601">
        <v>3.2549999999999999</v>
      </c>
      <c r="K68" s="426" t="str">
        <f t="shared" si="225"/>
        <v/>
      </c>
      <c r="L68" s="327"/>
      <c r="M68" s="173">
        <f t="shared" si="242"/>
        <v>3.2549999999999999</v>
      </c>
      <c r="N68" s="21">
        <f t="shared" si="243"/>
        <v>4.1061737600645722</v>
      </c>
      <c r="O68" s="5">
        <f t="shared" si="244"/>
        <v>-5.6096828950915691</v>
      </c>
      <c r="P68" s="10">
        <f t="shared" si="245"/>
        <v>-2.843208575117063</v>
      </c>
      <c r="Q68" s="624">
        <f t="shared" si="116"/>
        <v>306.20336878409574</v>
      </c>
      <c r="R68" s="5">
        <f>IF(M68="","",SQRT(N68^2+O68^2))</f>
        <v>6.9519209669936375</v>
      </c>
      <c r="S68" s="6">
        <f>IF(M68="","",P68)</f>
        <v>-2.843208575117063</v>
      </c>
      <c r="T68" s="4">
        <f>IF(M68="","",X68*COS(RADIANS(W68)))</f>
        <v>-5.60968289509157</v>
      </c>
      <c r="U68" s="5">
        <f>IF(M68="","",X68*SIN(RADIANS(W68)))</f>
        <v>-4.1061737600645714</v>
      </c>
      <c r="V68" s="8">
        <f>IF(M68="","",Y68)</f>
        <v>-2.843208575117063</v>
      </c>
      <c r="W68" s="624">
        <f t="shared" si="227"/>
        <v>216.20336878409574</v>
      </c>
      <c r="X68" s="5">
        <f>IF(M68="","",R68)</f>
        <v>6.9519209669936375</v>
      </c>
      <c r="Y68" s="7">
        <f t="shared" si="226"/>
        <v>-2.843208575117063</v>
      </c>
      <c r="Z68" s="21">
        <f t="shared" si="246"/>
        <v>-0.50996740783921379</v>
      </c>
      <c r="AA68" s="5">
        <f t="shared" si="247"/>
        <v>0.69669576479506767</v>
      </c>
      <c r="AB68" s="5">
        <f t="shared" si="248"/>
        <v>-0.504527753704758</v>
      </c>
      <c r="AC68" s="8">
        <f>IF(M68="","",SQRT(Z68^2+AA68^2+AB68^2))</f>
        <v>1</v>
      </c>
      <c r="AD68" s="9">
        <f>IF(M68="","",Z68*(1/SQRT(Z68^2+AA68^2+AB68^2)))</f>
        <v>-0.50996740783921379</v>
      </c>
      <c r="AE68" s="5">
        <f>IF(M68="","",AA68*(1/SQRT(Z68^2+AA68^2+AB68^2)))</f>
        <v>0.69669576479506767</v>
      </c>
      <c r="AF68" s="10">
        <f>IF(M68="","",AB68*(1/SQRT(Z68^2+AA68^2+AB68^2)))</f>
        <v>-0.504527753704758</v>
      </c>
      <c r="AG68" s="622">
        <f>IF(M68="","",DEGREES(ATAN2(-AF68,AE68)))</f>
        <v>54.088986252633681</v>
      </c>
      <c r="AH68" s="623">
        <f>IF(M68="","",DEGREES(ACOS(AD68)))</f>
        <v>120.66165881951092</v>
      </c>
      <c r="AI68" s="624">
        <f>IF(M68="","",DEGREES(-ACOS(-AF68)))</f>
        <v>-59.699991380388568</v>
      </c>
      <c r="AJ68" s="625">
        <f>IF(M68="","",DEGREES(ATAN2(-AE68,AD68)))</f>
        <v>-143.7966161655701</v>
      </c>
      <c r="AK68" s="4">
        <f>IF(M68="","",(COS(RADIANS((90-$Q$8)-W68))*AD68)+(-SIN(RADIANS((90-$Q$8)-W68))*AE68))</f>
        <v>2.2679489686261434E-7</v>
      </c>
      <c r="AL68" s="5">
        <f>IF(M68="","",(SIN(RADIANS((90-$Q$8)-W68))*AD68)+(COS(RADIANS((90-$Q$8)-W68))*AE68))</f>
        <v>-0.86339547470529399</v>
      </c>
      <c r="AM68" s="6">
        <f>IF(M68="","",AF68)</f>
        <v>-0.504527753704758</v>
      </c>
      <c r="AN68" s="612">
        <f>IF(M68="","",DEGREES(ATAN2(-AM68,AL68)))</f>
        <v>-59.699991380387715</v>
      </c>
      <c r="AO68" s="613">
        <f t="shared" si="466"/>
        <v>0</v>
      </c>
      <c r="AP68" s="624">
        <f>IF(M68="","",DEGREES(ATAN2(AK68,AL68)))</f>
        <v>-89.999984949665844</v>
      </c>
      <c r="AQ68" s="625">
        <f t="shared" si="249"/>
        <v>1.783349927197786</v>
      </c>
      <c r="AS68" s="56">
        <f t="shared" si="411"/>
        <v>-143.79663121590426</v>
      </c>
      <c r="AT68" s="77">
        <f t="shared" si="250"/>
        <v>-2.2999768571903134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3.2549999999999999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3.1549999999999998</v>
      </c>
      <c r="II68" s="800" cm="1">
        <f t="array" ref="II68">IFERROR(IF($IH68&lt;1,$IH68+LARGE((IF($M$9:$M$150="",0,$M$9:$M$150)-MOD(IF($M$9:$M$150="",0,$M$9:$M$150),1)),1),$IH68),"")</f>
        <v>3.1549999999999998</v>
      </c>
      <c r="IJ68" s="839" t="str">
        <f t="shared" si="386"/>
        <v>1613</v>
      </c>
      <c r="IK68" s="839" t="str">
        <f t="shared" si="387"/>
        <v/>
      </c>
      <c r="IL68" s="791">
        <f t="shared" si="228"/>
        <v>16.021597686767507</v>
      </c>
      <c r="IM68" s="830">
        <v>1.2932360099114499E-4</v>
      </c>
      <c r="IN68" s="5">
        <f t="shared" si="229"/>
        <v>0</v>
      </c>
      <c r="IO68" s="852">
        <v>0</v>
      </c>
      <c r="IP68" s="9">
        <f t="shared" si="230"/>
        <v>-6.9458209485959799</v>
      </c>
      <c r="IQ68" s="5">
        <f t="shared" si="231"/>
        <v>-2.8363085543066004</v>
      </c>
      <c r="IR68" s="5">
        <f t="shared" si="388"/>
        <v>0.314</v>
      </c>
      <c r="IS68" s="5">
        <f t="shared" si="232"/>
        <v>0.25776429160578673</v>
      </c>
      <c r="IT68" s="791">
        <f t="shared" si="233"/>
        <v>80.709028229209878</v>
      </c>
      <c r="IU68" s="9">
        <f t="shared" si="234"/>
        <v>-6.9519209669936375</v>
      </c>
      <c r="IV68" s="5">
        <f t="shared" si="235"/>
        <v>-2.843208575117063</v>
      </c>
      <c r="IW68" s="5">
        <f t="shared" si="389"/>
        <v>0.26250000000000001</v>
      </c>
      <c r="IX68" s="5">
        <f t="shared" si="236"/>
        <v>0.26250000000000001</v>
      </c>
      <c r="IY68" s="833">
        <f t="shared" si="237"/>
        <v>59.699991380387715</v>
      </c>
    </row>
    <row r="69" spans="1:259" ht="15" customHeight="1" x14ac:dyDescent="0.25">
      <c r="A69" s="84">
        <f t="shared" si="82"/>
        <v>0</v>
      </c>
      <c r="B69" s="770">
        <v>4.221152370613928</v>
      </c>
      <c r="C69" s="771">
        <v>-5.6835650039133592</v>
      </c>
      <c r="D69" s="772">
        <v>-3.5878108208374342</v>
      </c>
      <c r="E69" s="773">
        <v>0.54037695948266029</v>
      </c>
      <c r="F69" s="771">
        <v>-0.7275894591239489</v>
      </c>
      <c r="G69" s="774">
        <v>0.42261841019055807</v>
      </c>
      <c r="H69" s="773">
        <v>0.26250000000000001</v>
      </c>
      <c r="I69" s="771">
        <v>0.40699999999999997</v>
      </c>
      <c r="J69" s="601">
        <v>3.2610000000000001</v>
      </c>
      <c r="K69" s="426" t="str">
        <f t="shared" si="225"/>
        <v/>
      </c>
      <c r="L69" s="327"/>
      <c r="M69" s="173">
        <f t="shared" si="242"/>
        <v>3.2610000000000001</v>
      </c>
      <c r="N69" s="21">
        <f t="shared" si="243"/>
        <v>4.221152370613928</v>
      </c>
      <c r="O69" s="5">
        <f t="shared" si="244"/>
        <v>-5.6835650039133592</v>
      </c>
      <c r="P69" s="10">
        <f t="shared" si="245"/>
        <v>-3.5878108208374342</v>
      </c>
      <c r="Q69" s="624">
        <f t="shared" si="116"/>
        <v>306.60106872667495</v>
      </c>
      <c r="R69" s="5">
        <f t="shared" si="83"/>
        <v>7.0796213521379974</v>
      </c>
      <c r="S69" s="6">
        <f t="shared" si="84"/>
        <v>-3.5878108208374342</v>
      </c>
      <c r="T69" s="4">
        <f t="shared" si="85"/>
        <v>-5.6835650039133627</v>
      </c>
      <c r="U69" s="5">
        <f t="shared" si="86"/>
        <v>-4.2211523706139236</v>
      </c>
      <c r="V69" s="8">
        <f t="shared" si="117"/>
        <v>-3.5878108208374342</v>
      </c>
      <c r="W69" s="624">
        <f t="shared" si="227"/>
        <v>216.60106872667495</v>
      </c>
      <c r="X69" s="5">
        <f t="shared" si="87"/>
        <v>7.0796213521379974</v>
      </c>
      <c r="Y69" s="7">
        <f t="shared" si="226"/>
        <v>-3.5878108208374342</v>
      </c>
      <c r="Z69" s="21">
        <f t="shared" si="246"/>
        <v>-0.54037695948266029</v>
      </c>
      <c r="AA69" s="5">
        <f t="shared" si="247"/>
        <v>0.7275894591239489</v>
      </c>
      <c r="AB69" s="5">
        <f t="shared" si="248"/>
        <v>-0.42261841019055807</v>
      </c>
      <c r="AC69" s="8">
        <f t="shared" si="88"/>
        <v>1</v>
      </c>
      <c r="AD69" s="9">
        <f t="shared" si="118"/>
        <v>-0.54037695948266029</v>
      </c>
      <c r="AE69" s="5">
        <f t="shared" si="89"/>
        <v>0.7275894591239489</v>
      </c>
      <c r="AF69" s="10">
        <f t="shared" si="90"/>
        <v>-0.42261841019055807</v>
      </c>
      <c r="AG69" s="622">
        <f t="shared" si="91"/>
        <v>59.849951523497587</v>
      </c>
      <c r="AH69" s="623">
        <f t="shared" si="92"/>
        <v>122.70930379811533</v>
      </c>
      <c r="AI69" s="624">
        <f t="shared" si="93"/>
        <v>-64.999990615163185</v>
      </c>
      <c r="AJ69" s="625">
        <f t="shared" si="94"/>
        <v>-143.39891693560048</v>
      </c>
      <c r="AK69" s="4">
        <f t="shared" si="213"/>
        <v>2.2679489730670355E-7</v>
      </c>
      <c r="AL69" s="5">
        <f t="shared" si="95"/>
        <v>-0.90630771781330077</v>
      </c>
      <c r="AM69" s="6">
        <f t="shared" si="96"/>
        <v>-0.42261841019055807</v>
      </c>
      <c r="AN69" s="612">
        <f t="shared" si="97"/>
        <v>-64.999990615162488</v>
      </c>
      <c r="AO69" s="613">
        <f t="shared" si="466"/>
        <v>0</v>
      </c>
      <c r="AP69" s="624">
        <f t="shared" si="99"/>
        <v>-89.999985662275449</v>
      </c>
      <c r="AQ69" s="625">
        <f t="shared" si="249"/>
        <v>1.7512025343262863</v>
      </c>
      <c r="AS69" s="56">
        <f t="shared" si="411"/>
        <v>-143.39893127332505</v>
      </c>
      <c r="AT69" s="77">
        <f t="shared" si="250"/>
        <v>-3.0460815249159841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3.2610000000000001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3.161</v>
      </c>
      <c r="II69" s="800" cm="1">
        <f t="array" ref="II69">IFERROR(IF($IH69&lt;1,$IH69+LARGE((IF($M$9:$M$150="",0,$M$9:$M$150)-MOD(IF($M$9:$M$150="",0,$M$9:$M$150),1)),1),$IH69),"")</f>
        <v>3.161</v>
      </c>
      <c r="IJ69" s="839" t="str">
        <f t="shared" si="386"/>
        <v>1613</v>
      </c>
      <c r="IK69" s="839" t="str">
        <f t="shared" si="387"/>
        <v/>
      </c>
      <c r="IL69" s="791">
        <f t="shared" si="228"/>
        <v>15.148897343527949</v>
      </c>
      <c r="IM69" s="830">
        <v>9.7642242114184005E-5</v>
      </c>
      <c r="IN69" s="5">
        <f t="shared" si="229"/>
        <v>0</v>
      </c>
      <c r="IO69" s="852">
        <v>0</v>
      </c>
      <c r="IP69" s="9">
        <f t="shared" si="230"/>
        <v>-7.0816213581700165</v>
      </c>
      <c r="IQ69" s="5">
        <f t="shared" si="231"/>
        <v>-3.5768107876613349</v>
      </c>
      <c r="IR69" s="5">
        <f t="shared" si="388"/>
        <v>0.314</v>
      </c>
      <c r="IS69" s="5">
        <f t="shared" si="232"/>
        <v>0.24819019482806212</v>
      </c>
      <c r="IT69" s="791">
        <f t="shared" si="233"/>
        <v>85.368615513501197</v>
      </c>
      <c r="IU69" s="9">
        <f t="shared" si="234"/>
        <v>-7.0796213521379974</v>
      </c>
      <c r="IV69" s="5">
        <f t="shared" si="235"/>
        <v>-3.5878108208374342</v>
      </c>
      <c r="IW69" s="5">
        <f t="shared" si="389"/>
        <v>0.26250000000000001</v>
      </c>
      <c r="IX69" s="5">
        <f t="shared" si="236"/>
        <v>0.26250000000000001</v>
      </c>
      <c r="IY69" s="833">
        <f t="shared" si="237"/>
        <v>64.999990615162488</v>
      </c>
    </row>
    <row r="70" spans="1:259" ht="15" customHeight="1" x14ac:dyDescent="0.25">
      <c r="A70" s="84">
        <f t="shared" si="82"/>
        <v>0.02</v>
      </c>
      <c r="B70" s="770">
        <v>-0.50995538032116006</v>
      </c>
      <c r="C70" s="771">
        <v>-2.8920934323656984</v>
      </c>
      <c r="D70" s="772">
        <v>-0.15350046295739656</v>
      </c>
      <c r="E70" s="773">
        <v>0.94078812562050074</v>
      </c>
      <c r="F70" s="771">
        <v>-7.5999852514097563E-2</v>
      </c>
      <c r="G70" s="774">
        <v>0.33036604714967349</v>
      </c>
      <c r="H70" s="773">
        <v>0.314</v>
      </c>
      <c r="I70" s="771">
        <v>0.52</v>
      </c>
      <c r="J70" s="601">
        <v>4.1120000000000001</v>
      </c>
      <c r="K70" s="426" t="str">
        <f t="shared" si="225"/>
        <v>1613</v>
      </c>
      <c r="L70" s="327"/>
      <c r="M70" s="173">
        <f t="shared" si="242"/>
        <v>4.1120000000000001</v>
      </c>
      <c r="N70" s="21">
        <f t="shared" si="243"/>
        <v>-0.50995538032116006</v>
      </c>
      <c r="O70" s="5">
        <f t="shared" si="244"/>
        <v>-2.8920934323656984</v>
      </c>
      <c r="P70" s="10">
        <f t="shared" si="245"/>
        <v>-0.15350046295739656</v>
      </c>
      <c r="Q70" s="624">
        <f t="shared" si="116"/>
        <v>259.99997545504038</v>
      </c>
      <c r="R70" s="5">
        <f t="shared" si="83"/>
        <v>2.9367088571139131</v>
      </c>
      <c r="S70" s="6">
        <f t="shared" si="84"/>
        <v>-0.15350046295739656</v>
      </c>
      <c r="T70" s="4">
        <f t="shared" si="85"/>
        <v>-2.8920934323656984</v>
      </c>
      <c r="U70" s="5">
        <f t="shared" si="86"/>
        <v>0.50995538032115817</v>
      </c>
      <c r="V70" s="8">
        <f t="shared" si="117"/>
        <v>-0.15350046295739656</v>
      </c>
      <c r="W70" s="624">
        <f t="shared" si="227"/>
        <v>169.99997545504038</v>
      </c>
      <c r="X70" s="5">
        <f t="shared" si="87"/>
        <v>2.9367088571139131</v>
      </c>
      <c r="Y70" s="7">
        <f t="shared" si="226"/>
        <v>-0.15350046295739656</v>
      </c>
      <c r="Z70" s="21">
        <f t="shared" si="246"/>
        <v>-0.94078812562050074</v>
      </c>
      <c r="AA70" s="5">
        <f t="shared" si="247"/>
        <v>7.5999852514097563E-2</v>
      </c>
      <c r="AB70" s="5">
        <f t="shared" si="248"/>
        <v>-0.33036604714967349</v>
      </c>
      <c r="AC70" s="8">
        <f t="shared" si="88"/>
        <v>1</v>
      </c>
      <c r="AD70" s="9">
        <f t="shared" si="118"/>
        <v>-0.94078812562050074</v>
      </c>
      <c r="AE70" s="5">
        <f t="shared" si="89"/>
        <v>7.5999852514097563E-2</v>
      </c>
      <c r="AF70" s="10">
        <f t="shared" si="90"/>
        <v>-0.33036604714967349</v>
      </c>
      <c r="AG70" s="622">
        <f t="shared" si="91"/>
        <v>12.955344239856897</v>
      </c>
      <c r="AH70" s="623">
        <f t="shared" si="92"/>
        <v>160.18433580320402</v>
      </c>
      <c r="AI70" s="624">
        <f t="shared" si="93"/>
        <v>-70.709005437865216</v>
      </c>
      <c r="AJ70" s="625">
        <f t="shared" si="94"/>
        <v>-94.618505782720149</v>
      </c>
      <c r="AK70" s="4">
        <f t="shared" si="213"/>
        <v>0.93969263802333447</v>
      </c>
      <c r="AL70" s="5">
        <f t="shared" si="95"/>
        <v>8.8521302156295084E-2</v>
      </c>
      <c r="AM70" s="6">
        <f t="shared" si="96"/>
        <v>-0.33036604714967349</v>
      </c>
      <c r="AN70" s="612">
        <f t="shared" si="97"/>
        <v>14.999997834268182</v>
      </c>
      <c r="AO70" s="613">
        <f t="shared" si="466"/>
        <v>19.999997112357704</v>
      </c>
      <c r="AP70" s="624">
        <f t="shared" si="99"/>
        <v>5.38151876223945</v>
      </c>
      <c r="AQ70" s="625">
        <f t="shared" si="249"/>
        <v>4.2153748086782263</v>
      </c>
      <c r="AS70" s="56">
        <f t="shared" si="411"/>
        <v>-190.00002454495962</v>
      </c>
      <c r="AT70" s="77">
        <f t="shared" si="250"/>
        <v>0.56427740754578415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4.1120000000000001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-0.63935870698555408</v>
      </c>
      <c r="C71" s="771">
        <v>-3.6259743278602743</v>
      </c>
      <c r="D71" s="772">
        <v>-5.4600164674096618E-2</v>
      </c>
      <c r="E71" s="773">
        <v>0.92541652547080078</v>
      </c>
      <c r="F71" s="771">
        <v>-0.16317631059931642</v>
      </c>
      <c r="G71" s="774">
        <v>0.34202009596622596</v>
      </c>
      <c r="H71" s="773">
        <v>0.314</v>
      </c>
      <c r="I71" s="771">
        <v>0.52</v>
      </c>
      <c r="J71" s="601">
        <v>4.1180000000000003</v>
      </c>
      <c r="K71" s="426" t="str">
        <f t="shared" si="225"/>
        <v>1613</v>
      </c>
      <c r="L71" s="327"/>
      <c r="M71" s="173">
        <f t="shared" si="242"/>
        <v>4.1180000000000003</v>
      </c>
      <c r="N71" s="21">
        <f t="shared" si="243"/>
        <v>-0.63935870698555408</v>
      </c>
      <c r="O71" s="5">
        <f t="shared" si="244"/>
        <v>-3.6259743278602743</v>
      </c>
      <c r="P71" s="10">
        <f t="shared" si="245"/>
        <v>-5.4600164674096618E-2</v>
      </c>
      <c r="Q71" s="624">
        <f t="shared" si="116"/>
        <v>259.99997545504038</v>
      </c>
      <c r="R71" s="5">
        <f t="shared" si="83"/>
        <v>3.6819111046438926</v>
      </c>
      <c r="S71" s="6">
        <f t="shared" si="84"/>
        <v>-5.4600164674096618E-2</v>
      </c>
      <c r="T71" s="4">
        <f t="shared" si="85"/>
        <v>-3.6259743278602747</v>
      </c>
      <c r="U71" s="5">
        <f t="shared" si="86"/>
        <v>0.63935870698555275</v>
      </c>
      <c r="V71" s="8">
        <f t="shared" si="117"/>
        <v>-5.4600164674096618E-2</v>
      </c>
      <c r="W71" s="624">
        <f t="shared" si="227"/>
        <v>169.99997545504038</v>
      </c>
      <c r="X71" s="5">
        <f t="shared" si="87"/>
        <v>3.6819111046438926</v>
      </c>
      <c r="Y71" s="7">
        <f t="shared" si="226"/>
        <v>-5.4600164674096618E-2</v>
      </c>
      <c r="Z71" s="21">
        <f t="shared" si="246"/>
        <v>-0.92541652547080078</v>
      </c>
      <c r="AA71" s="5">
        <f t="shared" si="247"/>
        <v>0.16317631059931642</v>
      </c>
      <c r="AB71" s="5">
        <f t="shared" si="248"/>
        <v>-0.34202009596622596</v>
      </c>
      <c r="AC71" s="8">
        <f t="shared" si="88"/>
        <v>1</v>
      </c>
      <c r="AD71" s="9">
        <f t="shared" si="118"/>
        <v>-0.92541652547080078</v>
      </c>
      <c r="AE71" s="5">
        <f t="shared" si="89"/>
        <v>0.16317631059931642</v>
      </c>
      <c r="AF71" s="10">
        <f t="shared" si="90"/>
        <v>-0.34202009596622596</v>
      </c>
      <c r="AG71" s="622">
        <f t="shared" si="91"/>
        <v>25.505607851121312</v>
      </c>
      <c r="AH71" s="623">
        <f t="shared" si="92"/>
        <v>157.73124750229644</v>
      </c>
      <c r="AI71" s="624">
        <f t="shared" si="93"/>
        <v>-70.00000288764231</v>
      </c>
      <c r="AJ71" s="625">
        <f t="shared" si="94"/>
        <v>-100.00002454495964</v>
      </c>
      <c r="AK71" s="4">
        <f t="shared" si="213"/>
        <v>0.93969263802333458</v>
      </c>
      <c r="AL71" s="5">
        <f t="shared" si="95"/>
        <v>-4.4408920985006262E-16</v>
      </c>
      <c r="AM71" s="6">
        <f t="shared" si="96"/>
        <v>-0.34202009596622596</v>
      </c>
      <c r="AN71" s="612">
        <f t="shared" si="97"/>
        <v>-7.4394568482375781E-14</v>
      </c>
      <c r="AO71" s="613">
        <f t="shared" si="466"/>
        <v>19.999997112357679</v>
      </c>
      <c r="AP71" s="624">
        <f t="shared" si="99"/>
        <v>-2.7077404272562042E-14</v>
      </c>
      <c r="AQ71" s="625">
        <f t="shared" si="249"/>
        <v>3.3644092370494669</v>
      </c>
      <c r="AS71" s="56">
        <f t="shared" si="411"/>
        <v>-190.00002454495962</v>
      </c>
      <c r="AT71" s="77">
        <f t="shared" si="250"/>
        <v>0.6631777058290842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4.1180000000000003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0.02</v>
      </c>
      <c r="B72" s="770">
        <v>-0.78623980766617207</v>
      </c>
      <c r="C72" s="771">
        <v>-4.359074405273363</v>
      </c>
      <c r="D72" s="772">
        <v>-0.13290040082760923</v>
      </c>
      <c r="E72" s="773">
        <v>0.90587511641395202</v>
      </c>
      <c r="F72" s="771">
        <v>-0.26577391916451532</v>
      </c>
      <c r="G72" s="774">
        <v>0.32977946775677602</v>
      </c>
      <c r="H72" s="773">
        <v>0.314</v>
      </c>
      <c r="I72" s="771">
        <v>0.52</v>
      </c>
      <c r="J72" s="601">
        <v>4.1239999999999997</v>
      </c>
      <c r="K72" s="426" t="str">
        <f t="shared" si="225"/>
        <v>1613</v>
      </c>
      <c r="L72" s="327"/>
      <c r="M72" s="173">
        <f t="shared" si="242"/>
        <v>4.1239999999999997</v>
      </c>
      <c r="N72" s="21">
        <f t="shared" si="243"/>
        <v>-0.78623980766617207</v>
      </c>
      <c r="O72" s="5">
        <f t="shared" si="244"/>
        <v>-4.359074405273363</v>
      </c>
      <c r="P72" s="10">
        <f t="shared" si="245"/>
        <v>-0.13290040082760923</v>
      </c>
      <c r="Q72" s="624">
        <f t="shared" si="116"/>
        <v>259.77557548743971</v>
      </c>
      <c r="R72" s="5">
        <f t="shared" si="83"/>
        <v>4.4294133591106917</v>
      </c>
      <c r="S72" s="6">
        <f t="shared" si="84"/>
        <v>-0.13290040082760923</v>
      </c>
      <c r="T72" s="4">
        <f t="shared" si="85"/>
        <v>-4.359074405273363</v>
      </c>
      <c r="U72" s="5">
        <f t="shared" si="86"/>
        <v>0.78623980766617252</v>
      </c>
      <c r="V72" s="8">
        <f t="shared" si="117"/>
        <v>-0.13290040082760923</v>
      </c>
      <c r="W72" s="624">
        <f t="shared" si="227"/>
        <v>169.77557548743971</v>
      </c>
      <c r="X72" s="5">
        <f t="shared" si="87"/>
        <v>4.4294133591106917</v>
      </c>
      <c r="Y72" s="7">
        <f t="shared" si="226"/>
        <v>-0.13290040082760923</v>
      </c>
      <c r="Z72" s="21">
        <f t="shared" si="246"/>
        <v>-0.90587511641395202</v>
      </c>
      <c r="AA72" s="5">
        <f t="shared" si="247"/>
        <v>0.26577391916451532</v>
      </c>
      <c r="AB72" s="5">
        <f t="shared" si="248"/>
        <v>-0.32977946775677602</v>
      </c>
      <c r="AC72" s="8">
        <f t="shared" si="88"/>
        <v>1</v>
      </c>
      <c r="AD72" s="9">
        <f t="shared" si="118"/>
        <v>-0.90587511641395202</v>
      </c>
      <c r="AE72" s="5">
        <f t="shared" si="89"/>
        <v>0.26577391916451532</v>
      </c>
      <c r="AF72" s="10">
        <f t="shared" si="90"/>
        <v>-0.32977946775677602</v>
      </c>
      <c r="AG72" s="622">
        <f t="shared" si="91"/>
        <v>38.8658302690894</v>
      </c>
      <c r="AH72" s="623">
        <f t="shared" si="92"/>
        <v>154.94140562986797</v>
      </c>
      <c r="AI72" s="624">
        <f t="shared" si="93"/>
        <v>-70.744609366771343</v>
      </c>
      <c r="AJ72" s="625">
        <f t="shared" si="94"/>
        <v>-106.35111553360275</v>
      </c>
      <c r="AK72" s="4">
        <f t="shared" si="213"/>
        <v>0.938665853090632</v>
      </c>
      <c r="AL72" s="5">
        <f t="shared" si="95"/>
        <v>-0.10075673122771206</v>
      </c>
      <c r="AM72" s="6">
        <f t="shared" si="96"/>
        <v>-0.32977946775677602</v>
      </c>
      <c r="AN72" s="612">
        <f t="shared" si="97"/>
        <v>-16.989358624313187</v>
      </c>
      <c r="AO72" s="613">
        <f t="shared" si="466"/>
        <v>20.171302503910137</v>
      </c>
      <c r="AP72" s="624">
        <f t="shared" si="99"/>
        <v>-6.1266910210424586</v>
      </c>
      <c r="AQ72" s="625">
        <f t="shared" si="249"/>
        <v>2.7976290371396182</v>
      </c>
      <c r="AS72" s="56">
        <f t="shared" si="411"/>
        <v>-190.22442451256029</v>
      </c>
      <c r="AT72" s="77">
        <f t="shared" si="250"/>
        <v>0.58572520288650742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4.1239999999999997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-0.96093168426038567</v>
      </c>
      <c r="C73" s="771">
        <v>-5.0605900194309541</v>
      </c>
      <c r="D73" s="772">
        <v>-0.38940117443394173</v>
      </c>
      <c r="E73" s="773">
        <v>0.88223126121456341</v>
      </c>
      <c r="F73" s="771">
        <v>-0.3695989867727858</v>
      </c>
      <c r="G73" s="774">
        <v>0.29165834586428518</v>
      </c>
      <c r="H73" s="773">
        <v>0.314</v>
      </c>
      <c r="I73" s="771">
        <v>0.52</v>
      </c>
      <c r="J73" s="601">
        <v>4.13</v>
      </c>
      <c r="K73" s="426" t="str">
        <f t="shared" si="225"/>
        <v>1613</v>
      </c>
      <c r="L73" s="327"/>
      <c r="M73" s="173">
        <f t="shared" ref="M73:M104" si="469">IF(J73="","",VALUE(J73))</f>
        <v>4.13</v>
      </c>
      <c r="N73" s="21">
        <f t="shared" ref="N73:N104" si="470">IF(M73="","",B73)</f>
        <v>-0.96093168426038567</v>
      </c>
      <c r="O73" s="5">
        <f t="shared" ref="O73:O104" si="471">IF(M73="","",C73)</f>
        <v>-5.0605900194309541</v>
      </c>
      <c r="P73" s="10">
        <f t="shared" ref="P73:P104" si="472">IF(M73="","",D73)</f>
        <v>-0.38940117443394173</v>
      </c>
      <c r="Q73" s="624">
        <f t="shared" si="116"/>
        <v>259.24837556355794</v>
      </c>
      <c r="R73" s="5">
        <f>IF(M73="","",SQRT(N73^2+O73^2))</f>
        <v>5.1510155354628555</v>
      </c>
      <c r="S73" s="6">
        <f>IF(M73="","",P73)</f>
        <v>-0.38940117443394173</v>
      </c>
      <c r="T73" s="4">
        <f>IF(M73="","",X73*COS(RADIANS(W73)))</f>
        <v>-5.0605900194309541</v>
      </c>
      <c r="U73" s="5">
        <f>IF(M73="","",X73*SIN(RADIANS(W73)))</f>
        <v>0.96093168426038778</v>
      </c>
      <c r="V73" s="8">
        <f>IF(M73="","",Y73)</f>
        <v>-0.38940117443394173</v>
      </c>
      <c r="W73" s="624">
        <f t="shared" si="227"/>
        <v>169.24837556355794</v>
      </c>
      <c r="X73" s="5">
        <f>IF(M73="","",R73)</f>
        <v>5.1510155354628555</v>
      </c>
      <c r="Y73" s="7">
        <f t="shared" si="226"/>
        <v>-0.38940117443394173</v>
      </c>
      <c r="Z73" s="21">
        <f t="shared" ref="Z73:Z104" si="473">IF(M73="","",-E73)</f>
        <v>-0.88223126121456341</v>
      </c>
      <c r="AA73" s="5">
        <f t="shared" ref="AA73:AA104" si="474">IF(M73="","",-F73)</f>
        <v>0.3695989867727858</v>
      </c>
      <c r="AB73" s="5">
        <f t="shared" ref="AB73:AB104" si="475">IF(M73="","",-G73)</f>
        <v>-0.29165834586428518</v>
      </c>
      <c r="AC73" s="8">
        <f>IF(M73="","",SQRT(Z73^2+AA73^2+AB73^2))</f>
        <v>1</v>
      </c>
      <c r="AD73" s="9">
        <f>IF(M73="","",Z73*(1/SQRT(Z73^2+AA73^2+AB73^2)))</f>
        <v>-0.88223126121456341</v>
      </c>
      <c r="AE73" s="5">
        <f>IF(M73="","",AA73*(1/SQRT(Z73^2+AA73^2+AB73^2)))</f>
        <v>0.3695989867727858</v>
      </c>
      <c r="AF73" s="10">
        <f>IF(M73="","",AB73*(1/SQRT(Z73^2+AA73^2+AB73^2)))</f>
        <v>-0.29165834586428518</v>
      </c>
      <c r="AG73" s="622">
        <f>IF(M73="","",DEGREES(ATAN2(-AF73,AE73)))</f>
        <v>51.722285202038968</v>
      </c>
      <c r="AH73" s="623">
        <f>IF(M73="","",DEGREES(ACOS(AD73)))</f>
        <v>151.91270168845659</v>
      </c>
      <c r="AI73" s="624">
        <f>IF(M73="","",DEGREES(-ACOS(-AF73)))</f>
        <v>-73.042735117399118</v>
      </c>
      <c r="AJ73" s="625">
        <f>IF(M73="","",DEGREES(ATAN2(-AE73,AD73)))</f>
        <v>-112.73059508783437</v>
      </c>
      <c r="AK73" s="4">
        <f>IF(M73="","",(COS(RADIANS((90-$Q$8)-W73))*AD73)+(-SIN(RADIANS((90-$Q$8)-W73))*AE73))</f>
        <v>0.93569317720176848</v>
      </c>
      <c r="AL73" s="5">
        <f>IF(M73="","",(SIN(RADIANS((90-$Q$8)-W73))*AD73)+(COS(RADIANS((90-$Q$8)-W73))*AE73))</f>
        <v>-0.19852880754633292</v>
      </c>
      <c r="AM73" s="6">
        <f>IF(M73="","",AF73)</f>
        <v>-0.29165834586428518</v>
      </c>
      <c r="AN73" s="612">
        <f>IF(M73="","",DEGREES(ATAN2(-AM73,AL73)))</f>
        <v>-34.242712140862139</v>
      </c>
      <c r="AO73" s="613">
        <f t="shared" si="466"/>
        <v>20.659577390758439</v>
      </c>
      <c r="AP73" s="624">
        <f>IF(M73="","",DEGREES(ATAN2(AK73,AL73)))</f>
        <v>-11.978970651392316</v>
      </c>
      <c r="AQ73" s="625">
        <f t="shared" ref="AQ73:AQ104" si="476">IF(M73="","",DEGREES(ATAN(($AS$5*SIN(RADIANS(90)))/(($X73*2*PI())-($AS$5*COS(RADIANS(90)))))))</f>
        <v>2.4062092264874453</v>
      </c>
      <c r="AS73" s="56">
        <f t="shared" si="411"/>
        <v>-190.75162443644206</v>
      </c>
      <c r="AT73" s="77">
        <f t="shared" ref="AT73:AT104" si="477">IF(M73="","",Y73+(((AS73-$AS$9)*$AS$6)*-1))</f>
        <v>0.33121607343706161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4.13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-1.1417497280283482</v>
      </c>
      <c r="C74" s="771">
        <v>-5.6733707779693381</v>
      </c>
      <c r="D74" s="772">
        <v>-0.80280242125210266</v>
      </c>
      <c r="E74" s="773">
        <v>0.8426682629528367</v>
      </c>
      <c r="F74" s="771">
        <v>-0.47111292769344976</v>
      </c>
      <c r="G74" s="774">
        <v>0.26069677399644858</v>
      </c>
      <c r="H74" s="773">
        <v>0.314</v>
      </c>
      <c r="I74" s="771">
        <v>0.52</v>
      </c>
      <c r="J74" s="601">
        <v>4.1360000000000001</v>
      </c>
      <c r="K74" s="426" t="str">
        <f t="shared" si="225"/>
        <v>1613</v>
      </c>
      <c r="L74" s="327"/>
      <c r="M74" s="173">
        <f t="shared" si="469"/>
        <v>4.1360000000000001</v>
      </c>
      <c r="N74" s="21">
        <f t="shared" si="470"/>
        <v>-1.1417497280283482</v>
      </c>
      <c r="O74" s="5">
        <f t="shared" si="471"/>
        <v>-5.6733707779693381</v>
      </c>
      <c r="P74" s="10">
        <f t="shared" si="472"/>
        <v>-0.80280242125210266</v>
      </c>
      <c r="Q74" s="624">
        <f t="shared" ref="Q74:Q129" si="528">IF(M74="","",IF(DEGREES(ATAN2(N74,O74))&lt;0,DEGREES(ATAN2(N74,O74))+360,IF(DEGREES(ATAN2(N74,O74))&gt;360,DEGREES(ATAN2(N74,O74))-360,DEGREES(ATAN2(N74,O74)))))</f>
        <v>258.62137565408557</v>
      </c>
      <c r="R74" s="5">
        <f>IF(M74="","",SQRT(N74^2+O74^2))</f>
        <v>5.7871174539462409</v>
      </c>
      <c r="S74" s="6">
        <f>IF(M74="","",P74)</f>
        <v>-0.80280242125210266</v>
      </c>
      <c r="T74" s="4">
        <f>IF(M74="","",X74*COS(RADIANS(W74)))</f>
        <v>-5.6733707779693381</v>
      </c>
      <c r="U74" s="5">
        <f>IF(M74="","",X74*SIN(RADIANS(W74)))</f>
        <v>1.1417497280283473</v>
      </c>
      <c r="V74" s="8">
        <f>IF(M74="","",Y74)</f>
        <v>-0.80280242125210266</v>
      </c>
      <c r="W74" s="624">
        <f t="shared" si="227"/>
        <v>168.62137565408557</v>
      </c>
      <c r="X74" s="5">
        <f>IF(M74="","",R74)</f>
        <v>5.7871174539462409</v>
      </c>
      <c r="Y74" s="7">
        <f t="shared" si="226"/>
        <v>-0.80280242125210266</v>
      </c>
      <c r="Z74" s="21">
        <f t="shared" si="473"/>
        <v>-0.8426682629528367</v>
      </c>
      <c r="AA74" s="5">
        <f t="shared" si="474"/>
        <v>0.47111292769344976</v>
      </c>
      <c r="AB74" s="5">
        <f t="shared" si="475"/>
        <v>-0.26069677399644858</v>
      </c>
      <c r="AC74" s="8">
        <f>IF(M74="","",SQRT(Z74^2+AA74^2+AB74^2))</f>
        <v>1</v>
      </c>
      <c r="AD74" s="9">
        <f>IF(M74="","",Z74*(1/SQRT(Z74^2+AA74^2+AB74^2)))</f>
        <v>-0.8426682629528367</v>
      </c>
      <c r="AE74" s="5">
        <f>IF(M74="","",AA74*(1/SQRT(Z74^2+AA74^2+AB74^2)))</f>
        <v>0.47111292769344976</v>
      </c>
      <c r="AF74" s="10">
        <f>IF(M74="","",AB74*(1/SQRT(Z74^2+AA74^2+AB74^2)))</f>
        <v>-0.26069677399644858</v>
      </c>
      <c r="AG74" s="622">
        <f>IF(M74="","",DEGREES(ATAN2(-AF74,AE74)))</f>
        <v>61.041452127214107</v>
      </c>
      <c r="AH74" s="623">
        <f>IF(M74="","",DEGREES(ACOS(AD74)))</f>
        <v>147.42296354048446</v>
      </c>
      <c r="AI74" s="624">
        <f>IF(M74="","",DEGREES(-ACOS(-AF74)))</f>
        <v>-74.888589744531657</v>
      </c>
      <c r="AJ74" s="625">
        <f>IF(M74="","",DEGREES(ATAN2(-AE74,AD74)))</f>
        <v>-119.2083694873149</v>
      </c>
      <c r="AK74" s="4">
        <f>IF(M74="","",(COS(RADIANS((90-$Q$8)-W74))*AD74)+(-SIN(RADIANS((90-$Q$8)-W74))*AE74))</f>
        <v>0.91905211842497503</v>
      </c>
      <c r="AL74" s="5">
        <f>IF(M74="","",(SIN(RADIANS((90-$Q$8)-W74))*AD74)+(COS(RADIANS((90-$Q$8)-W74))*AE74))</f>
        <v>-0.29560175176478626</v>
      </c>
      <c r="AM74" s="6">
        <f>IF(M74="","",AF74)</f>
        <v>-0.26069677399644858</v>
      </c>
      <c r="AN74" s="612">
        <f>IF(M74="","",DEGREES(ATAN2(-AM74,AL74)))</f>
        <v>-48.590319753232713</v>
      </c>
      <c r="AO74" s="613">
        <f t="shared" si="466"/>
        <v>23.212100839610549</v>
      </c>
      <c r="AP74" s="624">
        <f>IF(M74="","",DEGREES(ATAN2(AK74,AL74)))</f>
        <v>-17.829745141400458</v>
      </c>
      <c r="AQ74" s="625">
        <f t="shared" si="476"/>
        <v>2.1419877540299308</v>
      </c>
      <c r="AS74" s="56">
        <f t="shared" si="411"/>
        <v>-191.37862434591443</v>
      </c>
      <c r="AT74" s="77">
        <f t="shared" si="477"/>
        <v>-7.9816507056425845E-2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4.1360000000000001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-1.3098997528386092</v>
      </c>
      <c r="C75" s="771">
        <v>-6.1745027786837055</v>
      </c>
      <c r="D75" s="772">
        <v>-1.3524040788507015</v>
      </c>
      <c r="E75" s="773">
        <v>0.78424175090354764</v>
      </c>
      <c r="F75" s="771">
        <v>-0.57483648215269434</v>
      </c>
      <c r="G75" s="774">
        <v>0.23351208732323289</v>
      </c>
      <c r="H75" s="773">
        <v>0.314</v>
      </c>
      <c r="I75" s="771">
        <v>0.52</v>
      </c>
      <c r="J75" s="601">
        <v>4.1420000000000003</v>
      </c>
      <c r="K75" s="426" t="str">
        <f t="shared" si="225"/>
        <v>1613</v>
      </c>
      <c r="L75" s="327"/>
      <c r="M75" s="173">
        <f t="shared" si="469"/>
        <v>4.1420000000000003</v>
      </c>
      <c r="N75" s="21">
        <f t="shared" si="470"/>
        <v>-1.3098997528386092</v>
      </c>
      <c r="O75" s="5">
        <f t="shared" si="471"/>
        <v>-6.1745027786837055</v>
      </c>
      <c r="P75" s="10">
        <f t="shared" si="472"/>
        <v>-1.3524040788507015</v>
      </c>
      <c r="Q75" s="624">
        <f t="shared" si="528"/>
        <v>258.02247574055599</v>
      </c>
      <c r="R75" s="5">
        <f>IF(M75="","",SQRT(N75^2+O75^2))</f>
        <v>6.3119190367478142</v>
      </c>
      <c r="S75" s="6">
        <f>IF(M75="","",P75)</f>
        <v>-1.3524040788507015</v>
      </c>
      <c r="T75" s="4">
        <f>IF(M75="","",X75*COS(RADIANS(W75)))</f>
        <v>-6.1745027786837063</v>
      </c>
      <c r="U75" s="5">
        <f>IF(M75="","",X75*SIN(RADIANS(W75)))</f>
        <v>1.3098997528386085</v>
      </c>
      <c r="V75" s="8">
        <f>IF(M75="","",Y75)</f>
        <v>-1.3524040788507015</v>
      </c>
      <c r="W75" s="624">
        <f t="shared" si="227"/>
        <v>168.02247574055599</v>
      </c>
      <c r="X75" s="5">
        <f>IF(M75="","",R75)</f>
        <v>6.3119190367478142</v>
      </c>
      <c r="Y75" s="7">
        <f t="shared" si="226"/>
        <v>-1.3524040788507015</v>
      </c>
      <c r="Z75" s="21">
        <f t="shared" si="473"/>
        <v>-0.78424175090354764</v>
      </c>
      <c r="AA75" s="5">
        <f t="shared" si="474"/>
        <v>0.57483648215269434</v>
      </c>
      <c r="AB75" s="5">
        <f t="shared" si="475"/>
        <v>-0.23351208732323289</v>
      </c>
      <c r="AC75" s="8">
        <f>IF(M75="","",SQRT(Z75^2+AA75^2+AB75^2))</f>
        <v>1</v>
      </c>
      <c r="AD75" s="9">
        <f>IF(M75="","",Z75*(1/SQRT(Z75^2+AA75^2+AB75^2)))</f>
        <v>-0.78424175090354764</v>
      </c>
      <c r="AE75" s="5">
        <f>IF(M75="","",AA75*(1/SQRT(Z75^2+AA75^2+AB75^2)))</f>
        <v>0.57483648215269434</v>
      </c>
      <c r="AF75" s="10">
        <f>IF(M75="","",AB75*(1/SQRT(Z75^2+AA75^2+AB75^2)))</f>
        <v>-0.23351208732323289</v>
      </c>
      <c r="AG75" s="622">
        <f>IF(M75="","",DEGREES(ATAN2(-AF75,AE75)))</f>
        <v>67.891854952046216</v>
      </c>
      <c r="AH75" s="623">
        <f>IF(M75="","",DEGREES(ACOS(AD75)))</f>
        <v>141.65060377896788</v>
      </c>
      <c r="AI75" s="624">
        <f>IF(M75="","",DEGREES(-ACOS(-AF75)))</f>
        <v>-76.496068364019067</v>
      </c>
      <c r="AJ75" s="625">
        <f>IF(M75="","",DEGREES(ATAN2(-AE75,AD75)))</f>
        <v>-126.24081158210763</v>
      </c>
      <c r="AK75" s="4">
        <f>IF(M75="","",(COS(RADIANS((90-$Q$8)-W75))*AD75)+(-SIN(RADIANS((90-$Q$8)-W75))*AE75))</f>
        <v>0.8864627387380275</v>
      </c>
      <c r="AL75" s="5">
        <f>IF(M75="","",(SIN(RADIANS((90-$Q$8)-W75))*AD75)+(COS(RADIANS((90-$Q$8)-W75))*AE75))</f>
        <v>-0.3995696658944754</v>
      </c>
      <c r="AM75" s="6">
        <f>IF(M75="","",AF75)</f>
        <v>-0.23351208732323289</v>
      </c>
      <c r="AN75" s="612">
        <f>IF(M75="","",DEGREES(ATAN2(-AM75,AL75)))</f>
        <v>-59.697602797236854</v>
      </c>
      <c r="AO75" s="613">
        <f t="shared" si="466"/>
        <v>27.567932599901027</v>
      </c>
      <c r="AP75" s="624">
        <f>IF(M75="","",DEGREES(ATAN2(AK75,AL75)))</f>
        <v>-24.263287322663626</v>
      </c>
      <c r="AQ75" s="625">
        <f t="shared" si="476"/>
        <v>1.9640389708128974</v>
      </c>
      <c r="AS75" s="56">
        <f t="shared" ref="AS75:AS106" si="550">IF(G75="","",IF(AND(W75&lt;(AS74+180),W75&gt;(AS74-180)),W75,IF(W75&gt;(AS74+180),W75-360,IF(W75&lt;(AS74-180),W75+360,"Error"))))</f>
        <v>-191.97752425944401</v>
      </c>
      <c r="AT75" s="77">
        <f t="shared" si="477"/>
        <v>-0.62715565387057959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4.1420000000000003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-1.4415948323298373</v>
      </c>
      <c r="C76" s="771">
        <v>-6.5326486460910314</v>
      </c>
      <c r="D76" s="772">
        <v>-2.0078060555430639</v>
      </c>
      <c r="E76" s="773">
        <v>0.73486812866054607</v>
      </c>
      <c r="F76" s="771">
        <v>-0.65570178069974872</v>
      </c>
      <c r="G76" s="774">
        <v>0.17327437279103258</v>
      </c>
      <c r="H76" s="773">
        <v>0.314</v>
      </c>
      <c r="I76" s="771">
        <v>0.52</v>
      </c>
      <c r="J76" s="601">
        <v>4.1479999999999997</v>
      </c>
      <c r="K76" s="426" t="str">
        <f t="shared" si="225"/>
        <v>1613</v>
      </c>
      <c r="L76" s="327"/>
      <c r="M76" s="173">
        <f t="shared" si="469"/>
        <v>4.1479999999999997</v>
      </c>
      <c r="N76" s="21">
        <f t="shared" si="470"/>
        <v>-1.4415948323298373</v>
      </c>
      <c r="O76" s="5">
        <f t="shared" si="471"/>
        <v>-6.5326486460910314</v>
      </c>
      <c r="P76" s="10">
        <f t="shared" si="472"/>
        <v>-2.0078060555430639</v>
      </c>
      <c r="Q76" s="624">
        <f t="shared" si="528"/>
        <v>257.55567580795355</v>
      </c>
      <c r="R76" s="5">
        <f t="shared" si="83"/>
        <v>6.6898201764976521</v>
      </c>
      <c r="S76" s="6">
        <f t="shared" si="84"/>
        <v>-2.0078060555430639</v>
      </c>
      <c r="T76" s="4">
        <f t="shared" si="85"/>
        <v>-6.5326486460910305</v>
      </c>
      <c r="U76" s="5">
        <f t="shared" si="86"/>
        <v>1.4415948323298413</v>
      </c>
      <c r="V76" s="8">
        <f t="shared" si="117"/>
        <v>-2.0078060555430639</v>
      </c>
      <c r="W76" s="624">
        <f t="shared" si="227"/>
        <v>167.55567580795355</v>
      </c>
      <c r="X76" s="5">
        <f t="shared" si="87"/>
        <v>6.6898201764976521</v>
      </c>
      <c r="Y76" s="7">
        <f t="shared" ref="Y76:Y129" si="650">IF(M76="","",S76)</f>
        <v>-2.0078060555430639</v>
      </c>
      <c r="Z76" s="21">
        <f t="shared" si="473"/>
        <v>-0.73486812866054607</v>
      </c>
      <c r="AA76" s="5">
        <f t="shared" si="474"/>
        <v>0.65570178069974872</v>
      </c>
      <c r="AB76" s="5">
        <f t="shared" si="475"/>
        <v>-0.17327437279103258</v>
      </c>
      <c r="AC76" s="8">
        <f t="shared" si="88"/>
        <v>1</v>
      </c>
      <c r="AD76" s="9">
        <f t="shared" si="118"/>
        <v>-0.73486812866054607</v>
      </c>
      <c r="AE76" s="5">
        <f t="shared" si="89"/>
        <v>0.65570178069974872</v>
      </c>
      <c r="AF76" s="10">
        <f t="shared" si="90"/>
        <v>-0.17327437279103258</v>
      </c>
      <c r="AG76" s="622">
        <f t="shared" si="91"/>
        <v>75.197509680266322</v>
      </c>
      <c r="AH76" s="623">
        <f t="shared" si="92"/>
        <v>137.29607432435597</v>
      </c>
      <c r="AI76" s="624">
        <f t="shared" si="93"/>
        <v>-80.021747113105519</v>
      </c>
      <c r="AJ76" s="625">
        <f t="shared" si="94"/>
        <v>-131.74161893843055</v>
      </c>
      <c r="AK76" s="4">
        <f t="shared" si="213"/>
        <v>0.85890075260052323</v>
      </c>
      <c r="AL76" s="5">
        <f t="shared" si="95"/>
        <v>-0.48193930003282481</v>
      </c>
      <c r="AM76" s="6">
        <f t="shared" si="96"/>
        <v>-0.17327437279103258</v>
      </c>
      <c r="AN76" s="612">
        <f t="shared" si="97"/>
        <v>-70.224678577040009</v>
      </c>
      <c r="AO76" s="613">
        <f t="shared" si="466"/>
        <v>30.806617399629175</v>
      </c>
      <c r="AP76" s="624">
        <f t="shared" si="99"/>
        <v>-29.297294746384097</v>
      </c>
      <c r="AQ76" s="625">
        <f t="shared" si="476"/>
        <v>1.8531720796788582</v>
      </c>
      <c r="AS76" s="56">
        <f t="shared" si="550"/>
        <v>-192.44432419204645</v>
      </c>
      <c r="AT76" s="77">
        <f t="shared" si="477"/>
        <v>-1.2807941641508884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4.1479999999999997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-1.525302669378793</v>
      </c>
      <c r="C77" s="771">
        <v>-6.7473646839734709</v>
      </c>
      <c r="D77" s="772">
        <v>-2.7159081911791039</v>
      </c>
      <c r="E77" s="773">
        <v>0.67751932618280164</v>
      </c>
      <c r="F77" s="771">
        <v>-0.72730896740900364</v>
      </c>
      <c r="G77" s="774">
        <v>0.10949533586071755</v>
      </c>
      <c r="H77" s="773">
        <v>0.314</v>
      </c>
      <c r="I77" s="771">
        <v>0.52</v>
      </c>
      <c r="J77" s="601">
        <v>4.1539999999999999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4.1539999999999999</v>
      </c>
      <c r="N77" s="21">
        <f t="shared" si="470"/>
        <v>-1.525302669378793</v>
      </c>
      <c r="O77" s="5">
        <f t="shared" si="471"/>
        <v>-6.7473646839734709</v>
      </c>
      <c r="P77" s="10">
        <f t="shared" si="472"/>
        <v>-2.7159081911791039</v>
      </c>
      <c r="Q77" s="624">
        <f t="shared" si="528"/>
        <v>257.26187585037303</v>
      </c>
      <c r="R77" s="5">
        <f t="shared" si="83"/>
        <v>6.9176208635445242</v>
      </c>
      <c r="S77" s="6">
        <f t="shared" si="84"/>
        <v>-2.7159081911791039</v>
      </c>
      <c r="T77" s="4">
        <f t="shared" si="85"/>
        <v>-6.7473646839734709</v>
      </c>
      <c r="U77" s="5">
        <f t="shared" si="86"/>
        <v>1.5253026693787934</v>
      </c>
      <c r="V77" s="8">
        <f t="shared" si="117"/>
        <v>-2.7159081911791039</v>
      </c>
      <c r="W77" s="624">
        <f t="shared" si="227"/>
        <v>167.26187585037303</v>
      </c>
      <c r="X77" s="5">
        <f t="shared" si="87"/>
        <v>6.9176208635445242</v>
      </c>
      <c r="Y77" s="7">
        <f t="shared" si="650"/>
        <v>-2.7159081911791039</v>
      </c>
      <c r="Z77" s="21">
        <f t="shared" si="473"/>
        <v>-0.67751932618280164</v>
      </c>
      <c r="AA77" s="5">
        <f t="shared" si="474"/>
        <v>0.72730896740900364</v>
      </c>
      <c r="AB77" s="5">
        <f t="shared" si="475"/>
        <v>-0.10949533586071755</v>
      </c>
      <c r="AC77" s="8">
        <f t="shared" si="88"/>
        <v>1</v>
      </c>
      <c r="AD77" s="9">
        <f t="shared" si="118"/>
        <v>-0.67751932618280164</v>
      </c>
      <c r="AE77" s="5">
        <f t="shared" si="89"/>
        <v>0.72730896740900364</v>
      </c>
      <c r="AF77" s="10">
        <f t="shared" si="90"/>
        <v>-0.10949533586071755</v>
      </c>
      <c r="AG77" s="622">
        <f t="shared" si="91"/>
        <v>81.438496913592871</v>
      </c>
      <c r="AH77" s="623">
        <f t="shared" si="92"/>
        <v>132.65009725234313</v>
      </c>
      <c r="AI77" s="624">
        <f t="shared" si="93"/>
        <v>-83.713775280052744</v>
      </c>
      <c r="AJ77" s="625">
        <f t="shared" si="94"/>
        <v>-137.02981585538356</v>
      </c>
      <c r="AK77" s="4">
        <f t="shared" si="213"/>
        <v>0.82121243642957009</v>
      </c>
      <c r="AL77" s="5">
        <f t="shared" si="95"/>
        <v>-0.56001866547299839</v>
      </c>
      <c r="AM77" s="6">
        <f t="shared" si="96"/>
        <v>-0.10949533586071755</v>
      </c>
      <c r="AN77" s="612">
        <f t="shared" si="97"/>
        <v>-78.937043475728387</v>
      </c>
      <c r="AO77" s="613">
        <f t="shared" si="466"/>
        <v>34.793651901428611</v>
      </c>
      <c r="AP77" s="624">
        <f t="shared" si="99"/>
        <v>-34.29169170575657</v>
      </c>
      <c r="AQ77" s="625">
        <f t="shared" si="476"/>
        <v>1.7921866783457965</v>
      </c>
      <c r="AS77" s="56">
        <f t="shared" si="550"/>
        <v>-192.73812414962697</v>
      </c>
      <c r="AT77" s="77">
        <f t="shared" si="477"/>
        <v>-1.9877863888360685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4.1539999999999999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-1.6195836335085851</v>
      </c>
      <c r="C78" s="771">
        <v>-6.8781125667094294</v>
      </c>
      <c r="D78" s="772">
        <v>-3.451610410056996</v>
      </c>
      <c r="E78" s="773">
        <v>0.62966244140417893</v>
      </c>
      <c r="F78" s="771">
        <v>-0.77523307050774803</v>
      </c>
      <c r="G78" s="774">
        <v>5.0387461496469083E-2</v>
      </c>
      <c r="H78" s="773">
        <v>0.314</v>
      </c>
      <c r="I78" s="771">
        <v>0.52</v>
      </c>
      <c r="J78" s="601">
        <v>4.16</v>
      </c>
      <c r="K78" s="426" t="str">
        <f t="shared" si="651"/>
        <v>1613</v>
      </c>
      <c r="L78" s="327"/>
      <c r="M78" s="173">
        <f t="shared" si="469"/>
        <v>4.16</v>
      </c>
      <c r="N78" s="21">
        <f t="shared" si="470"/>
        <v>-1.6195836335085851</v>
      </c>
      <c r="O78" s="5">
        <f t="shared" si="471"/>
        <v>-6.8781125667094294</v>
      </c>
      <c r="P78" s="10">
        <f t="shared" si="472"/>
        <v>-3.451610410056996</v>
      </c>
      <c r="Q78" s="624">
        <f t="shared" si="528"/>
        <v>256.74997545504038</v>
      </c>
      <c r="R78" s="5">
        <f>IF(M78="","",SQRT(N78^2+O78^2))</f>
        <v>7.066221311723476</v>
      </c>
      <c r="S78" s="6">
        <f>IF(M78="","",P78)</f>
        <v>-3.451610410056996</v>
      </c>
      <c r="T78" s="4">
        <f>IF(M78="","",X78*COS(RADIANS(W78)))</f>
        <v>-6.8781125667094303</v>
      </c>
      <c r="U78" s="5">
        <f>IF(M78="","",X78*SIN(RADIANS(W78)))</f>
        <v>1.6195836335085823</v>
      </c>
      <c r="V78" s="8">
        <f>IF(M78="","",Y78)</f>
        <v>-3.451610410056996</v>
      </c>
      <c r="W78" s="624">
        <f t="shared" si="227"/>
        <v>166.74997545504038</v>
      </c>
      <c r="X78" s="5">
        <f>IF(M78="","",R78)</f>
        <v>7.066221311723476</v>
      </c>
      <c r="Y78" s="7">
        <f t="shared" si="650"/>
        <v>-3.451610410056996</v>
      </c>
      <c r="Z78" s="21">
        <f t="shared" si="473"/>
        <v>-0.62966244140417893</v>
      </c>
      <c r="AA78" s="5">
        <f t="shared" si="474"/>
        <v>0.77523307050774803</v>
      </c>
      <c r="AB78" s="5">
        <f t="shared" si="475"/>
        <v>-5.0387461496469083E-2</v>
      </c>
      <c r="AC78" s="8">
        <f>IF(M78="","",SQRT(Z78^2+AA78^2+AB78^2))</f>
        <v>1</v>
      </c>
      <c r="AD78" s="9">
        <f>IF(M78="","",Z78*(1/SQRT(Z78^2+AA78^2+AB78^2)))</f>
        <v>-0.62966244140417893</v>
      </c>
      <c r="AE78" s="5">
        <f>IF(M78="","",AA78*(1/SQRT(Z78^2+AA78^2+AB78^2)))</f>
        <v>0.77523307050774803</v>
      </c>
      <c r="AF78" s="10">
        <f>IF(M78="","",AB78*(1/SQRT(Z78^2+AA78^2+AB78^2)))</f>
        <v>-5.0387461496469083E-2</v>
      </c>
      <c r="AG78" s="622">
        <f>IF(M78="","",DEGREES(ATAN2(-AF78,AE78)))</f>
        <v>86.28120386162702</v>
      </c>
      <c r="AH78" s="623">
        <f>IF(M78="","",DEGREES(ACOS(AD78)))</f>
        <v>129.02522246406599</v>
      </c>
      <c r="AI78" s="624">
        <f>IF(M78="","",DEGREES(-ACOS(-AF78)))</f>
        <v>-87.111788090493434</v>
      </c>
      <c r="AJ78" s="625">
        <f>IF(M78="","",DEGREES(ATAN2(-AE78,AD78)))</f>
        <v>-140.91568845486566</v>
      </c>
      <c r="AK78" s="4">
        <f>IF(M78="","",(COS(RADIANS((90-$Q$8)-W78))*AD78)+(-SIN(RADIANS((90-$Q$8)-W78))*AE78))</f>
        <v>0.79058434454742876</v>
      </c>
      <c r="AL78" s="5">
        <f>IF(M78="","",(SIN(RADIANS((90-$Q$8)-W78))*AD78)+(COS(RADIANS((90-$Q$8)-W78))*AE78))</f>
        <v>-0.61027657490719289</v>
      </c>
      <c r="AM78" s="6">
        <f>IF(M78="","",AF78)</f>
        <v>-5.0387461496469083E-2</v>
      </c>
      <c r="AN78" s="612">
        <f>IF(M78="","",DEGREES(ATAN2(-AM78,AL78)))</f>
        <v>-85.280081966011991</v>
      </c>
      <c r="AO78" s="613">
        <f t="shared" si="466"/>
        <v>37.759847026545387</v>
      </c>
      <c r="AP78" s="624">
        <f>IF(M78="","",DEGREES(ATAN2(AK78,AL78)))</f>
        <v>-37.665663909906051</v>
      </c>
      <c r="AQ78" s="625">
        <f t="shared" si="476"/>
        <v>1.7545213564446442</v>
      </c>
      <c r="AS78" s="56">
        <f t="shared" si="550"/>
        <v>-193.25002454495962</v>
      </c>
      <c r="AT78" s="77">
        <f t="shared" si="477"/>
        <v>-2.7215547617760372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4.16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-1.6729424961506394</v>
      </c>
      <c r="C79" s="771">
        <v>-6.9682938438740694</v>
      </c>
      <c r="D79" s="772">
        <v>-4.2067126874454663</v>
      </c>
      <c r="E79" s="773">
        <v>0.59482252341373143</v>
      </c>
      <c r="F79" s="771">
        <v>-0.80385705547671837</v>
      </c>
      <c r="G79" s="774">
        <v>1.4578093192829312E-7</v>
      </c>
      <c r="H79" s="773">
        <v>0.314</v>
      </c>
      <c r="I79" s="771">
        <v>0.52</v>
      </c>
      <c r="J79" s="601">
        <v>4.1660000000000004</v>
      </c>
      <c r="K79" s="426" t="str">
        <f t="shared" si="651"/>
        <v>1613</v>
      </c>
      <c r="L79" s="327"/>
      <c r="M79" s="173">
        <f t="shared" si="469"/>
        <v>4.1660000000000004</v>
      </c>
      <c r="N79" s="21">
        <f t="shared" si="470"/>
        <v>-1.6729424961506394</v>
      </c>
      <c r="O79" s="5">
        <f t="shared" si="471"/>
        <v>-6.9682938438740694</v>
      </c>
      <c r="P79" s="10">
        <f t="shared" si="472"/>
        <v>-4.2067126874454663</v>
      </c>
      <c r="Q79" s="624">
        <f t="shared" si="528"/>
        <v>256.49997545504038</v>
      </c>
      <c r="R79" s="5">
        <f>IF(M79="","",SQRT(N79^2+O79^2))</f>
        <v>7.1662999999999988</v>
      </c>
      <c r="S79" s="6">
        <f>IF(M79="","",P79)</f>
        <v>-4.2067126874454663</v>
      </c>
      <c r="T79" s="4">
        <f>IF(M79="","",X79*COS(RADIANS(W79)))</f>
        <v>-6.9682938438740694</v>
      </c>
      <c r="U79" s="5">
        <f>IF(M79="","",X79*SIN(RADIANS(W79)))</f>
        <v>1.6729424961506378</v>
      </c>
      <c r="V79" s="8">
        <f>IF(M79="","",Y79)</f>
        <v>-4.2067126874454663</v>
      </c>
      <c r="W79" s="624">
        <f t="shared" ref="W79:W129" si="652">IF(M79="","",IF(Q79-$Q$8&lt;0,360+Q79-$Q$8,Q79-$Q$8))</f>
        <v>166.49997545504038</v>
      </c>
      <c r="X79" s="5">
        <f>IF(M79="","",R79)</f>
        <v>7.1662999999999988</v>
      </c>
      <c r="Y79" s="7">
        <f t="shared" si="650"/>
        <v>-4.2067126874454663</v>
      </c>
      <c r="Z79" s="21">
        <f t="shared" si="473"/>
        <v>-0.59482252341373143</v>
      </c>
      <c r="AA79" s="5">
        <f t="shared" si="474"/>
        <v>0.80385705547671837</v>
      </c>
      <c r="AB79" s="5">
        <f t="shared" si="475"/>
        <v>-1.4578093192829312E-7</v>
      </c>
      <c r="AC79" s="8">
        <f>IF(M79="","",SQRT(Z79^2+AA79^2+AB79^2))</f>
        <v>1</v>
      </c>
      <c r="AD79" s="9">
        <f>IF(M79="","",Z79*(1/SQRT(Z79^2+AA79^2+AB79^2)))</f>
        <v>-0.59482252341373143</v>
      </c>
      <c r="AE79" s="5">
        <f>IF(M79="","",AA79*(1/SQRT(Z79^2+AA79^2+AB79^2)))</f>
        <v>0.80385705547671837</v>
      </c>
      <c r="AF79" s="10">
        <f>IF(M79="","",AB79*(1/SQRT(Z79^2+AA79^2+AB79^2)))</f>
        <v>-1.4578093192829312E-7</v>
      </c>
      <c r="AG79" s="622">
        <f>IF(M79="","",DEGREES(ATAN2(-AF79,AE79)))</f>
        <v>89.999989609306695</v>
      </c>
      <c r="AH79" s="623">
        <f>IF(M79="","",DEGREES(ACOS(AD79)))</f>
        <v>126.49998123032526</v>
      </c>
      <c r="AI79" s="624">
        <f>IF(M79="","",DEGREES(-ACOS(-AF79)))</f>
        <v>-89.999991647367864</v>
      </c>
      <c r="AJ79" s="625">
        <f>IF(M79="","",DEGREES(ATAN2(-AE79,AD79)))</f>
        <v>-143.50001876967428</v>
      </c>
      <c r="AK79" s="4">
        <f>IF(M79="","",(COS(RADIANS((90-$Q$8)-W79))*AD79)+(-SIN(RADIANS((90-$Q$8)-W79))*AE79))</f>
        <v>0.76604450791050727</v>
      </c>
      <c r="AL79" s="5">
        <f>IF(M79="","",(SIN(RADIANS((90-$Q$8)-W79))*AD79)+(COS(RADIANS((90-$Q$8)-W79))*AE79))</f>
        <v>-0.64278753247097731</v>
      </c>
      <c r="AM79" s="6">
        <f>IF(M79="","",AF79)</f>
        <v>-1.4578093192829312E-7</v>
      </c>
      <c r="AN79" s="612">
        <f>IF(M79="","",DEGREES(ATAN2(-AM79,AL79)))</f>
        <v>-89.999987005609626</v>
      </c>
      <c r="AO79" s="613">
        <f t="shared" si="466"/>
        <v>39.99999422471538</v>
      </c>
      <c r="AP79" s="624">
        <f>IF(M79="","",DEGREES(ATAN2(AK79,AL79)))</f>
        <v>-39.999994224714662</v>
      </c>
      <c r="AQ79" s="625">
        <f t="shared" si="476"/>
        <v>1.7300341407596445</v>
      </c>
      <c r="AS79" s="56">
        <f t="shared" si="550"/>
        <v>-193.50002454495962</v>
      </c>
      <c r="AT79" s="77">
        <f t="shared" si="477"/>
        <v>-3.4757125947200631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4.1660000000000004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>
        <v>-1.9212781530025977</v>
      </c>
      <c r="C80" s="771">
        <v>-3.9979189957028245</v>
      </c>
      <c r="D80" s="772">
        <v>-0.10480031607775249</v>
      </c>
      <c r="E80" s="773">
        <v>-6.9252041633873676E-2</v>
      </c>
      <c r="F80" s="771">
        <v>-0.14410462029199472</v>
      </c>
      <c r="G80" s="774">
        <v>0.9871362687795644</v>
      </c>
      <c r="H80" s="773">
        <v>0.26250000000000001</v>
      </c>
      <c r="I80" s="771">
        <v>0.40699999999999997</v>
      </c>
      <c r="J80" s="601">
        <v>4.2240000000000002</v>
      </c>
      <c r="K80" s="426" t="str">
        <f t="shared" si="651"/>
        <v/>
      </c>
      <c r="L80" s="327"/>
      <c r="M80" s="173">
        <f t="shared" si="469"/>
        <v>4.2240000000000002</v>
      </c>
      <c r="N80" s="21">
        <f t="shared" si="470"/>
        <v>-1.9212781530025977</v>
      </c>
      <c r="O80" s="5">
        <f t="shared" si="471"/>
        <v>-3.9979189957028245</v>
      </c>
      <c r="P80" s="10">
        <f t="shared" si="472"/>
        <v>-0.10480031607775249</v>
      </c>
      <c r="Q80" s="624">
        <f t="shared" si="528"/>
        <v>244.33247771714716</v>
      </c>
      <c r="R80" s="5">
        <f t="shared" si="83"/>
        <v>4.435613377809946</v>
      </c>
      <c r="S80" s="6">
        <f t="shared" si="84"/>
        <v>-0.10480031607775249</v>
      </c>
      <c r="T80" s="4">
        <f t="shared" si="85"/>
        <v>-3.9979189957028249</v>
      </c>
      <c r="U80" s="5">
        <f t="shared" si="86"/>
        <v>1.921278153002598</v>
      </c>
      <c r="V80" s="8">
        <f t="shared" si="117"/>
        <v>-0.10480031607775249</v>
      </c>
      <c r="W80" s="624">
        <f t="shared" si="652"/>
        <v>154.33247771714716</v>
      </c>
      <c r="X80" s="5">
        <f t="shared" si="87"/>
        <v>4.435613377809946</v>
      </c>
      <c r="Y80" s="7">
        <f t="shared" si="650"/>
        <v>-0.10480031607775249</v>
      </c>
      <c r="Z80" s="21">
        <f t="shared" si="473"/>
        <v>6.9252041633873676E-2</v>
      </c>
      <c r="AA80" s="5">
        <f t="shared" si="474"/>
        <v>0.14410462029199472</v>
      </c>
      <c r="AB80" s="5">
        <f t="shared" si="475"/>
        <v>-0.9871362687795644</v>
      </c>
      <c r="AC80" s="8">
        <f t="shared" si="88"/>
        <v>1</v>
      </c>
      <c r="AD80" s="9">
        <f t="shared" si="118"/>
        <v>6.9252041633873676E-2</v>
      </c>
      <c r="AE80" s="5">
        <f t="shared" si="89"/>
        <v>0.14410462029199472</v>
      </c>
      <c r="AF80" s="10">
        <f t="shared" si="90"/>
        <v>-0.9871362687795644</v>
      </c>
      <c r="AG80" s="622">
        <f t="shared" si="91"/>
        <v>8.3055134293472044</v>
      </c>
      <c r="AH80" s="623">
        <f t="shared" si="92"/>
        <v>86.028971895322215</v>
      </c>
      <c r="AI80" s="624">
        <f t="shared" si="93"/>
        <v>-9.1999986716936011</v>
      </c>
      <c r="AJ80" s="625">
        <f t="shared" si="94"/>
        <v>154.33255899245191</v>
      </c>
      <c r="AK80" s="4">
        <f t="shared" si="213"/>
        <v>2.2679489670995867E-7</v>
      </c>
      <c r="AL80" s="5">
        <f t="shared" si="95"/>
        <v>-0.15988116480657849</v>
      </c>
      <c r="AM80" s="6">
        <f t="shared" si="96"/>
        <v>-0.9871362687795644</v>
      </c>
      <c r="AN80" s="612">
        <f t="shared" si="97"/>
        <v>-9.1999986716845363</v>
      </c>
      <c r="AO80" s="613">
        <f t="shared" si="466"/>
        <v>0</v>
      </c>
      <c r="AP80" s="624">
        <f t="shared" si="99"/>
        <v>-89.999918724695235</v>
      </c>
      <c r="AQ80" s="625">
        <f t="shared" si="476"/>
        <v>2.7937247622895667</v>
      </c>
      <c r="AS80" s="56">
        <f t="shared" si="550"/>
        <v>-205.66752228285284</v>
      </c>
      <c r="AT80" s="77">
        <f t="shared" si="477"/>
        <v>0.67216587921302495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>
        <f>IFERROR(IF($IU80="","",IF($IU80&lt;(((Settings!$C$19/2)*-1)*$IE$8),"",1)),"")</f>
        <v>1</v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4.2240000000000002</v>
      </c>
      <c r="IH80" s="797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4.1239999999999997</v>
      </c>
      <c r="II80" s="800" cm="1">
        <f t="array" ref="II80">IFERROR(IF($IH80&lt;1,$IH80+LARGE((IF($M$9:$M$150="",0,$M$9:$M$150)-MOD(IF($M$9:$M$150="",0,$M$9:$M$150),1)),1),$IH80),"")</f>
        <v>4.1239999999999997</v>
      </c>
      <c r="IJ80" s="839" t="str">
        <f t="shared" si="523"/>
        <v>1613</v>
      </c>
      <c r="IK80" s="839" t="str">
        <f t="shared" si="524"/>
        <v/>
      </c>
      <c r="IL80" s="791">
        <f t="shared" si="228"/>
        <v>15.443097770292553</v>
      </c>
      <c r="IM80" s="830">
        <v>3.5213043113850001E-3</v>
      </c>
      <c r="IN80" s="5">
        <f t="shared" si="229"/>
        <v>0.06</v>
      </c>
      <c r="IO80" s="852">
        <v>30</v>
      </c>
      <c r="IP80" s="9">
        <f t="shared" si="230"/>
        <v>-4.4294133591106917</v>
      </c>
      <c r="IQ80" s="5">
        <f t="shared" si="231"/>
        <v>-0.13290040082760923</v>
      </c>
      <c r="IR80" s="5">
        <f t="shared" si="525"/>
        <v>0.314</v>
      </c>
      <c r="IS80" s="5">
        <f t="shared" si="232"/>
        <v>0.29474107787045845</v>
      </c>
      <c r="IT80" s="791">
        <f t="shared" si="233"/>
        <v>16.989358624313187</v>
      </c>
      <c r="IU80" s="9">
        <f t="shared" si="234"/>
        <v>-4.435613377809946</v>
      </c>
      <c r="IV80" s="5">
        <f t="shared" si="235"/>
        <v>-0.10480031607775249</v>
      </c>
      <c r="IW80" s="5">
        <f t="shared" si="526"/>
        <v>0.26250000000000001</v>
      </c>
      <c r="IX80" s="5">
        <f t="shared" si="236"/>
        <v>0.26250000000000001</v>
      </c>
      <c r="IY80" s="833">
        <f t="shared" si="237"/>
        <v>9.1999986716845363</v>
      </c>
    </row>
    <row r="81" spans="1:259" ht="15" customHeight="1" x14ac:dyDescent="0.25">
      <c r="A81" s="84">
        <f t="shared" si="527"/>
        <v>0</v>
      </c>
      <c r="B81" s="770">
        <v>-2.296387037929176</v>
      </c>
      <c r="C81" s="771">
        <v>-4.6248818755246806</v>
      </c>
      <c r="D81" s="772">
        <v>-0.36310109511290395</v>
      </c>
      <c r="E81" s="773">
        <v>-0.14552163648922953</v>
      </c>
      <c r="F81" s="771">
        <v>-0.29307844847630865</v>
      </c>
      <c r="G81" s="774">
        <v>0.94494892790680307</v>
      </c>
      <c r="H81" s="773">
        <v>0.26250000000000001</v>
      </c>
      <c r="I81" s="771">
        <v>0.40699999999999997</v>
      </c>
      <c r="J81" s="601">
        <v>4.2300000000000004</v>
      </c>
      <c r="K81" s="426" t="str">
        <f t="shared" si="651"/>
        <v/>
      </c>
      <c r="L81" s="327"/>
      <c r="M81" s="173">
        <f t="shared" si="469"/>
        <v>4.2300000000000004</v>
      </c>
      <c r="N81" s="21">
        <f t="shared" si="470"/>
        <v>-2.296387037929176</v>
      </c>
      <c r="O81" s="5">
        <f t="shared" si="471"/>
        <v>-4.6248818755246806</v>
      </c>
      <c r="P81" s="10">
        <f t="shared" si="472"/>
        <v>-0.36310109511290395</v>
      </c>
      <c r="Q81" s="624">
        <f t="shared" si="528"/>
        <v>243.59427782373001</v>
      </c>
      <c r="R81" s="5">
        <f t="shared" si="83"/>
        <v>5.1636155734645683</v>
      </c>
      <c r="S81" s="6">
        <f t="shared" si="84"/>
        <v>-0.36310109511290395</v>
      </c>
      <c r="T81" s="4">
        <f t="shared" si="85"/>
        <v>-4.6248818755246788</v>
      </c>
      <c r="U81" s="5">
        <f t="shared" si="86"/>
        <v>2.2963870379291795</v>
      </c>
      <c r="V81" s="8">
        <f t="shared" si="117"/>
        <v>-0.36310109511290395</v>
      </c>
      <c r="W81" s="624">
        <f t="shared" si="652"/>
        <v>153.59427782373001</v>
      </c>
      <c r="X81" s="5">
        <f t="shared" si="87"/>
        <v>5.1636155734645683</v>
      </c>
      <c r="Y81" s="7">
        <f t="shared" si="650"/>
        <v>-0.36310109511290395</v>
      </c>
      <c r="Z81" s="21">
        <f t="shared" si="473"/>
        <v>0.14552163648922953</v>
      </c>
      <c r="AA81" s="5">
        <f t="shared" si="474"/>
        <v>0.29307844847630865</v>
      </c>
      <c r="AB81" s="5">
        <f t="shared" si="475"/>
        <v>-0.94494892790680307</v>
      </c>
      <c r="AC81" s="8">
        <f t="shared" si="88"/>
        <v>1</v>
      </c>
      <c r="AD81" s="9">
        <f t="shared" si="118"/>
        <v>0.14552163648922953</v>
      </c>
      <c r="AE81" s="5">
        <f t="shared" si="89"/>
        <v>0.29307844847630865</v>
      </c>
      <c r="AF81" s="10">
        <f t="shared" si="90"/>
        <v>-0.94494892790680307</v>
      </c>
      <c r="AG81" s="622">
        <f t="shared" si="91"/>
        <v>17.23141712990493</v>
      </c>
      <c r="AH81" s="623">
        <f t="shared" si="92"/>
        <v>81.632512837479325</v>
      </c>
      <c r="AI81" s="624">
        <f t="shared" si="93"/>
        <v>-19.099997242305836</v>
      </c>
      <c r="AJ81" s="625">
        <f t="shared" si="94"/>
        <v>153.59431753547025</v>
      </c>
      <c r="AK81" s="4">
        <f t="shared" si="213"/>
        <v>2.2679489691812549E-7</v>
      </c>
      <c r="AL81" s="5">
        <f t="shared" si="95"/>
        <v>-0.32721785349783761</v>
      </c>
      <c r="AM81" s="6">
        <f t="shared" si="96"/>
        <v>-0.94494892790680307</v>
      </c>
      <c r="AN81" s="612">
        <f t="shared" si="97"/>
        <v>-19.099997242301598</v>
      </c>
      <c r="AO81" s="613">
        <f t="shared" si="466"/>
        <v>0</v>
      </c>
      <c r="AP81" s="624">
        <f t="shared" si="99"/>
        <v>-89.999960288259729</v>
      </c>
      <c r="AQ81" s="625">
        <f t="shared" si="476"/>
        <v>2.4003445717792036</v>
      </c>
      <c r="AS81" s="56">
        <f t="shared" si="550"/>
        <v>-206.40572217626999</v>
      </c>
      <c r="AT81" s="77">
        <f t="shared" si="477"/>
        <v>0.41665385533078275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>
        <f>IFERROR(IF($IU81="","",IF($IU81&lt;(((Settings!$C$19/2)*-1)*$IE$8),"",1)),"")</f>
        <v>1</v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4.2300000000000004</v>
      </c>
      <c r="IH81" s="797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4.13</v>
      </c>
      <c r="II81" s="800" cm="1">
        <f t="array" ref="II81">IFERROR(IF($IH81&lt;1,$IH81+LARGE((IF($M$9:$M$150="",0,$M$9:$M$150)-MOD(IF($M$9:$M$150="",0,$M$9:$M$150),1)),1),$IH81),"")</f>
        <v>4.13</v>
      </c>
      <c r="IJ81" s="839" t="str">
        <f t="shared" si="523"/>
        <v>1613</v>
      </c>
      <c r="IK81" s="839" t="str">
        <f t="shared" si="524"/>
        <v/>
      </c>
      <c r="IL81" s="791">
        <f t="shared" ref="IL81:IL144" si="654">IF(ISNUMBER($II81),IFERROR(IF(INDEX($W$9:$W$150,MATCH($II81,$M$9:$M$150,0))&lt;$W81,((INDEX($W$9:$W$150,MATCH($II81,$M$9:$M$150,0))+360)-$W81),INDEX($W$9:$W$150,MATCH($II81,$M$9:$M$150,0))-$W81),""),"")</f>
        <v>15.654097739827932</v>
      </c>
      <c r="IM81" s="830">
        <v>2.3534769768216398E-3</v>
      </c>
      <c r="IN81" s="5">
        <f t="shared" ref="IN81:IN144" si="655">IF(ISNUMBER($II81),(($IO81*12)/60)/$AS$3,"")</f>
        <v>0.02</v>
      </c>
      <c r="IO81" s="852">
        <v>10</v>
      </c>
      <c r="IP81" s="9">
        <f t="shared" ref="IP81:IP144" si="656">IF(ISNUMBER($II81),(INDEX($X$9:$X$150,MATCH($II81,$M$9:$M$150,0))*-1),"")</f>
        <v>-5.1510155354628555</v>
      </c>
      <c r="IQ81" s="5">
        <f t="shared" ref="IQ81:IQ144" si="657">IF(ISNUMBER($II81),INDEX($Y$9:$Y$150,MATCH($II81,$M$9:$M$150,0)),"")</f>
        <v>-0.38940117443394173</v>
      </c>
      <c r="IR81" s="5">
        <f t="shared" si="525"/>
        <v>0.314</v>
      </c>
      <c r="IS81" s="5">
        <f t="shared" ref="IS81:IS144" si="658">IF(ISNUMBER($II81),$IR81*COS(RADIANS(INDEX($AO$9:$AO$150,MATCH($II81,$M$9:$M$150,0)))),"")</f>
        <v>0.2938076576413553</v>
      </c>
      <c r="IT81" s="791">
        <f t="shared" ref="IT81:IT144" si="659">IF(ISNUMBER($II81),(-1*INDEX($AN$9:$AN$150,MATCH($II81,$M$9:$M$150,0))),"")</f>
        <v>34.242712140862139</v>
      </c>
      <c r="IU81" s="9">
        <f t="shared" ref="IU81:IU144" si="660">IF(ISNUMBER($II81),-$X81,"")</f>
        <v>-5.1636155734645683</v>
      </c>
      <c r="IV81" s="5">
        <f t="shared" ref="IV81:IV144" si="661">IF(ISNUMBER($II81),$Y81,"")</f>
        <v>-0.36310109511290395</v>
      </c>
      <c r="IW81" s="5">
        <f t="shared" si="526"/>
        <v>0.26250000000000001</v>
      </c>
      <c r="IX81" s="5">
        <f t="shared" ref="IX81:IX144" si="662">IF(ISNUMBER($II81),$IW81*COS(RADIANS($AO81)),"")</f>
        <v>0.26250000000000001</v>
      </c>
      <c r="IY81" s="833">
        <f t="shared" ref="IY81:IY144" si="663">IF(ISNUMBER($II81),(-1*$AN81),"")</f>
        <v>19.099997242301598</v>
      </c>
    </row>
    <row r="82" spans="1:259" ht="15" customHeight="1" x14ac:dyDescent="0.25">
      <c r="A82" s="84">
        <f t="shared" si="527"/>
        <v>0</v>
      </c>
      <c r="B82" s="770">
        <v>-2.6403393569827851</v>
      </c>
      <c r="C82" s="771">
        <v>-5.1685652245421467</v>
      </c>
      <c r="D82" s="772">
        <v>-0.78260236032871899</v>
      </c>
      <c r="E82" s="773">
        <v>-0.22055113274763466</v>
      </c>
      <c r="F82" s="771">
        <v>-0.43173777197879576</v>
      </c>
      <c r="G82" s="774">
        <v>0.87461974256846087</v>
      </c>
      <c r="H82" s="773">
        <v>0.26250000000000001</v>
      </c>
      <c r="I82" s="771">
        <v>0.40699999999999997</v>
      </c>
      <c r="J82" s="601">
        <v>4.2359999999999998</v>
      </c>
      <c r="K82" s="426" t="str">
        <f t="shared" si="651"/>
        <v/>
      </c>
      <c r="L82" s="327"/>
      <c r="M82" s="173">
        <f t="shared" si="469"/>
        <v>4.2359999999999998</v>
      </c>
      <c r="N82" s="21">
        <f t="shared" si="470"/>
        <v>-2.6403393569827851</v>
      </c>
      <c r="O82" s="5">
        <f t="shared" si="471"/>
        <v>-5.1685652245421467</v>
      </c>
      <c r="P82" s="10">
        <f t="shared" si="472"/>
        <v>-0.78260236032871899</v>
      </c>
      <c r="Q82" s="624">
        <f t="shared" si="528"/>
        <v>242.93997791819925</v>
      </c>
      <c r="R82" s="5">
        <f t="shared" si="83"/>
        <v>5.8039175046151952</v>
      </c>
      <c r="S82" s="6">
        <f t="shared" si="84"/>
        <v>-0.78260236032871899</v>
      </c>
      <c r="T82" s="4">
        <f t="shared" si="85"/>
        <v>-5.1685652245421458</v>
      </c>
      <c r="U82" s="5">
        <f t="shared" si="86"/>
        <v>2.6403393569827855</v>
      </c>
      <c r="V82" s="8">
        <f t="shared" si="117"/>
        <v>-0.78260236032871899</v>
      </c>
      <c r="W82" s="624">
        <f t="shared" si="652"/>
        <v>152.93997791819925</v>
      </c>
      <c r="X82" s="5">
        <f t="shared" si="87"/>
        <v>5.8039175046151952</v>
      </c>
      <c r="Y82" s="7">
        <f t="shared" si="650"/>
        <v>-0.78260236032871899</v>
      </c>
      <c r="Z82" s="21">
        <f t="shared" si="473"/>
        <v>0.22055113274763466</v>
      </c>
      <c r="AA82" s="5">
        <f t="shared" si="474"/>
        <v>0.43173777197879576</v>
      </c>
      <c r="AB82" s="5">
        <f t="shared" si="475"/>
        <v>-0.87461974256846087</v>
      </c>
      <c r="AC82" s="8">
        <f t="shared" si="88"/>
        <v>1</v>
      </c>
      <c r="AD82" s="9">
        <f t="shared" si="118"/>
        <v>0.22055113274763466</v>
      </c>
      <c r="AE82" s="5">
        <f t="shared" si="89"/>
        <v>0.43173777197879576</v>
      </c>
      <c r="AF82" s="10">
        <f t="shared" si="90"/>
        <v>-0.87461974256846087</v>
      </c>
      <c r="AG82" s="622">
        <f t="shared" si="91"/>
        <v>26.272287927303061</v>
      </c>
      <c r="AH82" s="623">
        <f t="shared" si="92"/>
        <v>77.258594275494161</v>
      </c>
      <c r="AI82" s="624">
        <f t="shared" si="93"/>
        <v>-28.999995812921298</v>
      </c>
      <c r="AJ82" s="625">
        <f t="shared" si="94"/>
        <v>152.94000472128147</v>
      </c>
      <c r="AK82" s="4">
        <f t="shared" si="213"/>
        <v>2.2679489675159203E-7</v>
      </c>
      <c r="AL82" s="5">
        <f t="shared" si="95"/>
        <v>-0.48480955633055328</v>
      </c>
      <c r="AM82" s="6">
        <f t="shared" si="96"/>
        <v>-0.87461974256846087</v>
      </c>
      <c r="AN82" s="612">
        <f t="shared" si="97"/>
        <v>-28.999995812918648</v>
      </c>
      <c r="AO82" s="613">
        <f t="shared" si="466"/>
        <v>0</v>
      </c>
      <c r="AP82" s="624">
        <f t="shared" si="99"/>
        <v>-89.999973196917779</v>
      </c>
      <c r="AQ82" s="625">
        <f t="shared" si="476"/>
        <v>2.1357932951941869</v>
      </c>
      <c r="AS82" s="56">
        <f t="shared" si="550"/>
        <v>-207.06002208180075</v>
      </c>
      <c r="AT82" s="77">
        <f t="shared" si="477"/>
        <v>-3.7561024191612447E-4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4.2359999999999998</v>
      </c>
      <c r="IH82" s="797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4.1360000000000001</v>
      </c>
      <c r="II82" s="800" cm="1">
        <f t="array" ref="II82">IFERROR(IF($IH82&lt;1,$IH82+LARGE((IF($M$9:$M$150="",0,$M$9:$M$150)-MOD(IF($M$9:$M$150="",0,$M$9:$M$150),1)),1),$IH82),"")</f>
        <v>4.1360000000000001</v>
      </c>
      <c r="IJ82" s="839" t="str">
        <f t="shared" si="523"/>
        <v>1613</v>
      </c>
      <c r="IK82" s="839" t="str">
        <f t="shared" si="524"/>
        <v/>
      </c>
      <c r="IL82" s="791">
        <f t="shared" si="654"/>
        <v>15.681397735886321</v>
      </c>
      <c r="IM82" s="830">
        <v>6.9917597829013495E-5</v>
      </c>
      <c r="IN82" s="5">
        <f t="shared" si="655"/>
        <v>0</v>
      </c>
      <c r="IO82" s="852">
        <v>0</v>
      </c>
      <c r="IP82" s="9">
        <f t="shared" si="656"/>
        <v>-5.7871174539462409</v>
      </c>
      <c r="IQ82" s="5">
        <f t="shared" si="657"/>
        <v>-0.80280242125210266</v>
      </c>
      <c r="IR82" s="5">
        <f t="shared" si="525"/>
        <v>0.314</v>
      </c>
      <c r="IS82" s="5">
        <f t="shared" si="658"/>
        <v>0.28858236518544217</v>
      </c>
      <c r="IT82" s="791">
        <f t="shared" si="659"/>
        <v>48.590319753232713</v>
      </c>
      <c r="IU82" s="9">
        <f t="shared" si="660"/>
        <v>-5.8039175046151952</v>
      </c>
      <c r="IV82" s="5">
        <f t="shared" si="661"/>
        <v>-0.78260236032871899</v>
      </c>
      <c r="IW82" s="5">
        <f t="shared" si="526"/>
        <v>0.26250000000000001</v>
      </c>
      <c r="IX82" s="5">
        <f t="shared" si="662"/>
        <v>0.26250000000000001</v>
      </c>
      <c r="IY82" s="833">
        <f t="shared" si="663"/>
        <v>28.999995812918648</v>
      </c>
    </row>
    <row r="83" spans="1:259" ht="15" customHeight="1" x14ac:dyDescent="0.25">
      <c r="A83" s="84">
        <f t="shared" si="527"/>
        <v>0</v>
      </c>
      <c r="B83" s="770">
        <v>-2.9438659796319562</v>
      </c>
      <c r="C83" s="771">
        <v>-5.6016733442419886</v>
      </c>
      <c r="D83" s="772">
        <v>-1.3425040489922111</v>
      </c>
      <c r="E83" s="773">
        <v>-0.29149833043264067</v>
      </c>
      <c r="F83" s="771">
        <v>-0.55467194293431221</v>
      </c>
      <c r="G83" s="774">
        <v>0.77933802619688597</v>
      </c>
      <c r="H83" s="773">
        <v>0.26250000000000001</v>
      </c>
      <c r="I83" s="771">
        <v>0.40699999999999997</v>
      </c>
      <c r="J83" s="601">
        <v>4.242</v>
      </c>
      <c r="K83" s="426" t="str">
        <f t="shared" si="651"/>
        <v/>
      </c>
      <c r="L83" s="327"/>
      <c r="M83" s="173">
        <f t="shared" si="469"/>
        <v>4.242</v>
      </c>
      <c r="N83" s="21">
        <f t="shared" si="470"/>
        <v>-2.9438659796319562</v>
      </c>
      <c r="O83" s="5">
        <f t="shared" si="471"/>
        <v>-5.6016733442419886</v>
      </c>
      <c r="P83" s="10">
        <f t="shared" si="472"/>
        <v>-1.3425040489922111</v>
      </c>
      <c r="Q83" s="624">
        <f t="shared" si="528"/>
        <v>242.27657801398237</v>
      </c>
      <c r="R83" s="5">
        <f t="shared" si="83"/>
        <v>6.3281190856071632</v>
      </c>
      <c r="S83" s="6">
        <f t="shared" si="84"/>
        <v>-1.3425040489922111</v>
      </c>
      <c r="T83" s="4">
        <f t="shared" si="85"/>
        <v>-5.6016733442419895</v>
      </c>
      <c r="U83" s="5">
        <f t="shared" si="86"/>
        <v>2.9438659796319544</v>
      </c>
      <c r="V83" s="8">
        <f t="shared" si="117"/>
        <v>-1.3425040489922111</v>
      </c>
      <c r="W83" s="624">
        <f t="shared" si="652"/>
        <v>152.27657801398237</v>
      </c>
      <c r="X83" s="5">
        <f t="shared" si="87"/>
        <v>6.3281190856071632</v>
      </c>
      <c r="Y83" s="7">
        <f t="shared" si="650"/>
        <v>-1.3425040489922111</v>
      </c>
      <c r="Z83" s="21">
        <f t="shared" si="473"/>
        <v>0.29149833043264067</v>
      </c>
      <c r="AA83" s="5">
        <f t="shared" si="474"/>
        <v>0.55467194293431221</v>
      </c>
      <c r="AB83" s="5">
        <f t="shared" si="475"/>
        <v>-0.77933802619688597</v>
      </c>
      <c r="AC83" s="8">
        <f t="shared" si="88"/>
        <v>1</v>
      </c>
      <c r="AD83" s="9">
        <f t="shared" si="118"/>
        <v>0.29149833043264067</v>
      </c>
      <c r="AE83" s="5">
        <f t="shared" si="89"/>
        <v>0.55467194293431221</v>
      </c>
      <c r="AF83" s="10">
        <f t="shared" si="90"/>
        <v>-0.77933802619688597</v>
      </c>
      <c r="AG83" s="622">
        <f t="shared" si="91"/>
        <v>35.440291100196703</v>
      </c>
      <c r="AH83" s="623">
        <f t="shared" si="92"/>
        <v>73.052319810422247</v>
      </c>
      <c r="AI83" s="624">
        <f t="shared" si="93"/>
        <v>-38.799994397975759</v>
      </c>
      <c r="AJ83" s="625">
        <f t="shared" si="94"/>
        <v>152.27659875179424</v>
      </c>
      <c r="AK83" s="4">
        <f t="shared" si="213"/>
        <v>2.2679489630750282E-7</v>
      </c>
      <c r="AL83" s="5">
        <f t="shared" si="95"/>
        <v>-0.62660373516560719</v>
      </c>
      <c r="AM83" s="6">
        <f t="shared" si="96"/>
        <v>-0.77933802619688597</v>
      </c>
      <c r="AN83" s="612">
        <f t="shared" si="97"/>
        <v>-38.799994397973926</v>
      </c>
      <c r="AO83" s="613">
        <f t="shared" si="466"/>
        <v>0</v>
      </c>
      <c r="AP83" s="624">
        <f t="shared" si="99"/>
        <v>-89.999979262188134</v>
      </c>
      <c r="AQ83" s="625">
        <f t="shared" si="476"/>
        <v>1.9590149338875651</v>
      </c>
      <c r="AS83" s="56">
        <f t="shared" si="550"/>
        <v>-207.72342198601763</v>
      </c>
      <c r="AT83" s="77">
        <f t="shared" si="477"/>
        <v>-0.55777112148947783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4.242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4.1420000000000003</v>
      </c>
      <c r="II83" s="800" cm="1">
        <f t="array" ref="II83">IFERROR(IF($IH83&lt;1,$IH83+LARGE((IF($M$9:$M$150="",0,$M$9:$M$150)-MOD(IF($M$9:$M$150="",0,$M$9:$M$150),1)),1),$IH83),"")</f>
        <v>4.1420000000000003</v>
      </c>
      <c r="IJ83" s="839" t="str">
        <f t="shared" si="523"/>
        <v>1613</v>
      </c>
      <c r="IK83" s="839" t="str">
        <f t="shared" si="524"/>
        <v/>
      </c>
      <c r="IL83" s="791">
        <f t="shared" si="654"/>
        <v>15.745897726573617</v>
      </c>
      <c r="IM83" s="830">
        <v>2.4088457265203901E-4</v>
      </c>
      <c r="IN83" s="5">
        <f t="shared" si="655"/>
        <v>0</v>
      </c>
      <c r="IO83" s="852">
        <v>0</v>
      </c>
      <c r="IP83" s="9">
        <f t="shared" si="656"/>
        <v>-6.3119190367478142</v>
      </c>
      <c r="IQ83" s="5">
        <f t="shared" si="657"/>
        <v>-1.3524040788507015</v>
      </c>
      <c r="IR83" s="5">
        <f t="shared" si="525"/>
        <v>0.314</v>
      </c>
      <c r="IS83" s="5">
        <f t="shared" si="658"/>
        <v>0.27834929996374069</v>
      </c>
      <c r="IT83" s="791">
        <f t="shared" si="659"/>
        <v>59.697602797236854</v>
      </c>
      <c r="IU83" s="9">
        <f t="shared" si="660"/>
        <v>-6.3281190856071632</v>
      </c>
      <c r="IV83" s="5">
        <f t="shared" si="661"/>
        <v>-1.3425040489922111</v>
      </c>
      <c r="IW83" s="5">
        <f t="shared" si="526"/>
        <v>0.26250000000000001</v>
      </c>
      <c r="IX83" s="5">
        <f t="shared" si="662"/>
        <v>0.26250000000000001</v>
      </c>
      <c r="IY83" s="833">
        <f t="shared" si="663"/>
        <v>38.799994397973926</v>
      </c>
    </row>
    <row r="84" spans="1:259" ht="15" customHeight="1" x14ac:dyDescent="0.25">
      <c r="A84" s="84">
        <f t="shared" si="527"/>
        <v>0</v>
      </c>
      <c r="B84" s="770">
        <v>-3.1789686407286277</v>
      </c>
      <c r="C84" s="771">
        <v>-5.9018083408346094</v>
      </c>
      <c r="D84" s="772">
        <v>-2.0060060501142472</v>
      </c>
      <c r="E84" s="773">
        <v>-0.35572026248460603</v>
      </c>
      <c r="F84" s="771">
        <v>-0.66040108277963794</v>
      </c>
      <c r="G84" s="774">
        <v>0.6613119571891658</v>
      </c>
      <c r="H84" s="773">
        <v>0.26250000000000001</v>
      </c>
      <c r="I84" s="771">
        <v>0.40699999999999997</v>
      </c>
      <c r="J84" s="601">
        <v>4.2480000000000002</v>
      </c>
      <c r="K84" s="426" t="str">
        <f t="shared" si="651"/>
        <v/>
      </c>
      <c r="L84" s="327"/>
      <c r="M84" s="173">
        <f t="shared" si="469"/>
        <v>4.2480000000000002</v>
      </c>
      <c r="N84" s="21">
        <f t="shared" si="470"/>
        <v>-3.1789686407286277</v>
      </c>
      <c r="O84" s="5">
        <f t="shared" si="471"/>
        <v>-5.9018083408346094</v>
      </c>
      <c r="P84" s="10">
        <f t="shared" si="472"/>
        <v>-2.0060060501142472</v>
      </c>
      <c r="Q84" s="624">
        <f t="shared" si="528"/>
        <v>241.69117809850366</v>
      </c>
      <c r="R84" s="5">
        <f t="shared" si="83"/>
        <v>6.7035202178169779</v>
      </c>
      <c r="S84" s="6">
        <f t="shared" si="84"/>
        <v>-2.0060060501142472</v>
      </c>
      <c r="T84" s="4">
        <f t="shared" si="85"/>
        <v>-5.9018083408346111</v>
      </c>
      <c r="U84" s="5">
        <f t="shared" si="86"/>
        <v>3.1789686407286251</v>
      </c>
      <c r="V84" s="8">
        <f t="shared" si="117"/>
        <v>-2.0060060501142472</v>
      </c>
      <c r="W84" s="624">
        <f t="shared" si="652"/>
        <v>151.69117809850366</v>
      </c>
      <c r="X84" s="5">
        <f t="shared" si="87"/>
        <v>6.7035202178169779</v>
      </c>
      <c r="Y84" s="7">
        <f t="shared" si="650"/>
        <v>-2.0060060501142472</v>
      </c>
      <c r="Z84" s="21">
        <f t="shared" si="473"/>
        <v>0.35572026248460603</v>
      </c>
      <c r="AA84" s="5">
        <f t="shared" si="474"/>
        <v>0.66040108277963794</v>
      </c>
      <c r="AB84" s="5">
        <f t="shared" si="475"/>
        <v>-0.6613119571891658</v>
      </c>
      <c r="AC84" s="8">
        <f t="shared" si="88"/>
        <v>1</v>
      </c>
      <c r="AD84" s="9">
        <f t="shared" si="118"/>
        <v>0.35572026248460603</v>
      </c>
      <c r="AE84" s="5">
        <f t="shared" si="89"/>
        <v>0.66040108277963794</v>
      </c>
      <c r="AF84" s="10">
        <f t="shared" si="90"/>
        <v>-0.6613119571891658</v>
      </c>
      <c r="AG84" s="622">
        <f t="shared" si="91"/>
        <v>44.960513931926315</v>
      </c>
      <c r="AH84" s="623">
        <f t="shared" si="92"/>
        <v>69.162405944689837</v>
      </c>
      <c r="AI84" s="624">
        <f t="shared" si="93"/>
        <v>-48.599992983030468</v>
      </c>
      <c r="AJ84" s="625">
        <f t="shared" si="94"/>
        <v>151.69119542179391</v>
      </c>
      <c r="AK84" s="4">
        <f t="shared" si="213"/>
        <v>2.2679489636301398E-7</v>
      </c>
      <c r="AL84" s="5">
        <f t="shared" si="95"/>
        <v>-0.75011098864007031</v>
      </c>
      <c r="AM84" s="6">
        <f t="shared" si="96"/>
        <v>-0.6613119571891658</v>
      </c>
      <c r="AN84" s="612">
        <f t="shared" si="97"/>
        <v>-48.599992983029189</v>
      </c>
      <c r="AO84" s="613">
        <f t="shared" si="466"/>
        <v>0</v>
      </c>
      <c r="AP84" s="624">
        <f t="shared" si="99"/>
        <v>-89.999982676709749</v>
      </c>
      <c r="AQ84" s="625">
        <f t="shared" si="476"/>
        <v>1.8493873688649454</v>
      </c>
      <c r="AS84" s="56">
        <f t="shared" si="550"/>
        <v>-208.30882190149634</v>
      </c>
      <c r="AT84" s="77">
        <f t="shared" si="477"/>
        <v>-1.2190616118197055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4.2480000000000002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4.1479999999999997</v>
      </c>
      <c r="II84" s="800" cm="1">
        <f t="array" ref="II84">IFERROR(IF($IH84&lt;1,$IH84+LARGE((IF($M$9:$M$150="",0,$M$9:$M$150)-MOD(IF($M$9:$M$150="",0,$M$9:$M$150),1)),1),$IH84),"")</f>
        <v>4.1479999999999997</v>
      </c>
      <c r="IJ84" s="839" t="str">
        <f t="shared" si="523"/>
        <v>1613</v>
      </c>
      <c r="IK84" s="839" t="str">
        <f t="shared" si="524"/>
        <v/>
      </c>
      <c r="IL84" s="791">
        <f t="shared" si="654"/>
        <v>15.864497709449893</v>
      </c>
      <c r="IM84" s="830">
        <v>3.9318025864091898E-4</v>
      </c>
      <c r="IN84" s="5">
        <f t="shared" si="655"/>
        <v>0</v>
      </c>
      <c r="IO84" s="852">
        <v>0</v>
      </c>
      <c r="IP84" s="9">
        <f t="shared" si="656"/>
        <v>-6.6898201764976521</v>
      </c>
      <c r="IQ84" s="5">
        <f t="shared" si="657"/>
        <v>-2.0078060555430639</v>
      </c>
      <c r="IR84" s="5">
        <f t="shared" si="525"/>
        <v>0.314</v>
      </c>
      <c r="IS84" s="5">
        <f t="shared" si="658"/>
        <v>0.26969483631656432</v>
      </c>
      <c r="IT84" s="791">
        <f t="shared" si="659"/>
        <v>70.224678577040009</v>
      </c>
      <c r="IU84" s="9">
        <f t="shared" si="660"/>
        <v>-6.7035202178169779</v>
      </c>
      <c r="IV84" s="5">
        <f t="shared" si="661"/>
        <v>-2.0060060501142472</v>
      </c>
      <c r="IW84" s="5">
        <f t="shared" si="526"/>
        <v>0.26250000000000001</v>
      </c>
      <c r="IX84" s="5">
        <f t="shared" si="662"/>
        <v>0.26250000000000001</v>
      </c>
      <c r="IY84" s="833">
        <f t="shared" si="663"/>
        <v>48.599992983029189</v>
      </c>
    </row>
    <row r="85" spans="1:259" ht="15" customHeight="1" x14ac:dyDescent="0.25">
      <c r="A85" s="84">
        <f t="shared" si="527"/>
        <v>0</v>
      </c>
      <c r="B85" s="770">
        <v>-3.3093381210256156</v>
      </c>
      <c r="C85" s="771">
        <v>-6.0815135709308503</v>
      </c>
      <c r="D85" s="772">
        <v>-2.7225082110847643</v>
      </c>
      <c r="E85" s="773">
        <v>-0.40578951133784696</v>
      </c>
      <c r="F85" s="771">
        <v>-0.74571285862430503</v>
      </c>
      <c r="G85" s="774">
        <v>0.52843845901917352</v>
      </c>
      <c r="H85" s="773">
        <v>0.26250000000000001</v>
      </c>
      <c r="I85" s="771">
        <v>0.40699999999999997</v>
      </c>
      <c r="J85" s="601">
        <v>4.2539999999999996</v>
      </c>
      <c r="K85" s="426" t="str">
        <f t="shared" si="651"/>
        <v/>
      </c>
      <c r="L85" s="327"/>
      <c r="M85" s="173">
        <f t="shared" si="469"/>
        <v>4.2539999999999996</v>
      </c>
      <c r="N85" s="21">
        <f t="shared" si="470"/>
        <v>-3.3093381210256156</v>
      </c>
      <c r="O85" s="5">
        <f t="shared" si="471"/>
        <v>-6.0815135709308503</v>
      </c>
      <c r="P85" s="10">
        <f t="shared" si="472"/>
        <v>-2.7225082110847643</v>
      </c>
      <c r="Q85" s="624">
        <f t="shared" si="528"/>
        <v>241.44657813381951</v>
      </c>
      <c r="R85" s="5">
        <f t="shared" si="83"/>
        <v>6.923620881640578</v>
      </c>
      <c r="S85" s="6">
        <f t="shared" si="84"/>
        <v>-2.7225082110847643</v>
      </c>
      <c r="T85" s="4">
        <f t="shared" si="85"/>
        <v>-6.0815135709308512</v>
      </c>
      <c r="U85" s="5">
        <f t="shared" si="86"/>
        <v>3.3093381210256139</v>
      </c>
      <c r="V85" s="8">
        <f t="shared" si="117"/>
        <v>-2.7225082110847643</v>
      </c>
      <c r="W85" s="624">
        <f t="shared" si="652"/>
        <v>151.44657813381951</v>
      </c>
      <c r="X85" s="5">
        <f t="shared" si="87"/>
        <v>6.923620881640578</v>
      </c>
      <c r="Y85" s="7">
        <f t="shared" si="650"/>
        <v>-2.7225082110847643</v>
      </c>
      <c r="Z85" s="21">
        <f t="shared" si="473"/>
        <v>0.40578951133784696</v>
      </c>
      <c r="AA85" s="5">
        <f t="shared" si="474"/>
        <v>0.74571285862430503</v>
      </c>
      <c r="AB85" s="5">
        <f t="shared" si="475"/>
        <v>-0.52843845901917352</v>
      </c>
      <c r="AC85" s="8">
        <f t="shared" si="88"/>
        <v>1</v>
      </c>
      <c r="AD85" s="9">
        <f t="shared" si="118"/>
        <v>0.40578951133784696</v>
      </c>
      <c r="AE85" s="5">
        <f t="shared" si="89"/>
        <v>0.74571285862430503</v>
      </c>
      <c r="AF85" s="10">
        <f t="shared" si="90"/>
        <v>-0.52843845901917352</v>
      </c>
      <c r="AG85" s="622">
        <f t="shared" si="91"/>
        <v>54.677267067617734</v>
      </c>
      <c r="AH85" s="623">
        <f t="shared" si="92"/>
        <v>66.059388552141002</v>
      </c>
      <c r="AI85" s="624">
        <f t="shared" si="93"/>
        <v>-58.099991611400014</v>
      </c>
      <c r="AJ85" s="625">
        <f t="shared" si="94"/>
        <v>151.44659343985595</v>
      </c>
      <c r="AK85" s="4">
        <f t="shared" si="213"/>
        <v>2.2679489664056973E-7</v>
      </c>
      <c r="AL85" s="5">
        <f t="shared" si="95"/>
        <v>-0.84897161026113821</v>
      </c>
      <c r="AM85" s="6">
        <f t="shared" si="96"/>
        <v>-0.52843845901917352</v>
      </c>
      <c r="AN85" s="612">
        <f t="shared" si="97"/>
        <v>-58.099991611399112</v>
      </c>
      <c r="AO85" s="613">
        <f t="shared" si="466"/>
        <v>0</v>
      </c>
      <c r="AP85" s="624">
        <f t="shared" si="99"/>
        <v>-89.999984693963569</v>
      </c>
      <c r="AQ85" s="625">
        <f t="shared" si="476"/>
        <v>1.790634578777738</v>
      </c>
      <c r="AS85" s="56">
        <f t="shared" si="550"/>
        <v>-208.55342186618049</v>
      </c>
      <c r="AT85" s="77">
        <f t="shared" si="477"/>
        <v>-1.9346397284791936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4.2539999999999996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4.1539999999999999</v>
      </c>
      <c r="II85" s="800" cm="1">
        <f t="array" ref="II85">IFERROR(IF($IH85&lt;1,$IH85+LARGE((IF($M$9:$M$150="",0,$M$9:$M$150)-MOD(IF($M$9:$M$150="",0,$M$9:$M$150),1)),1),$IH85),"")</f>
        <v>4.1539999999999999</v>
      </c>
      <c r="IJ85" s="839" t="str">
        <f t="shared" si="523"/>
        <v>1613</v>
      </c>
      <c r="IK85" s="839" t="str">
        <f t="shared" si="524"/>
        <v/>
      </c>
      <c r="IL85" s="791">
        <f t="shared" si="654"/>
        <v>15.815297716553516</v>
      </c>
      <c r="IM85" s="830">
        <v>6.4235968967537205E-4</v>
      </c>
      <c r="IN85" s="5">
        <f t="shared" si="655"/>
        <v>0</v>
      </c>
      <c r="IO85" s="852">
        <v>0</v>
      </c>
      <c r="IP85" s="9">
        <f t="shared" si="656"/>
        <v>-6.9176208635445242</v>
      </c>
      <c r="IQ85" s="5">
        <f t="shared" si="657"/>
        <v>-2.7159081911791039</v>
      </c>
      <c r="IR85" s="5">
        <f t="shared" si="525"/>
        <v>0.314</v>
      </c>
      <c r="IS85" s="5">
        <f t="shared" si="658"/>
        <v>0.25786070503888503</v>
      </c>
      <c r="IT85" s="791">
        <f t="shared" si="659"/>
        <v>78.937043475728387</v>
      </c>
      <c r="IU85" s="9">
        <f t="shared" si="660"/>
        <v>-6.923620881640578</v>
      </c>
      <c r="IV85" s="5">
        <f t="shared" si="661"/>
        <v>-2.7225082110847643</v>
      </c>
      <c r="IW85" s="5">
        <f t="shared" si="526"/>
        <v>0.26250000000000001</v>
      </c>
      <c r="IX85" s="5">
        <f t="shared" si="662"/>
        <v>0.26250000000000001</v>
      </c>
      <c r="IY85" s="833">
        <f t="shared" si="663"/>
        <v>58.099991611399112</v>
      </c>
    </row>
    <row r="86" spans="1:259" ht="15" customHeight="1" x14ac:dyDescent="0.25">
      <c r="A86" s="84">
        <f t="shared" si="527"/>
        <v>0</v>
      </c>
      <c r="B86" s="770">
        <v>-3.3956729850995129</v>
      </c>
      <c r="C86" s="771">
        <v>-6.1945643619265507</v>
      </c>
      <c r="D86" s="772">
        <v>-3.4628104438362977</v>
      </c>
      <c r="E86" s="773">
        <v>-0.43564932290424635</v>
      </c>
      <c r="F86" s="771">
        <v>-0.79473476507642316</v>
      </c>
      <c r="G86" s="774">
        <v>0.42261841019055724</v>
      </c>
      <c r="H86" s="773">
        <v>0.26250000000000001</v>
      </c>
      <c r="I86" s="771">
        <v>0.40699999999999997</v>
      </c>
      <c r="J86" s="601">
        <v>4.26</v>
      </c>
      <c r="K86" s="426" t="str">
        <f t="shared" si="651"/>
        <v/>
      </c>
      <c r="L86" s="327"/>
      <c r="M86" s="173">
        <f t="shared" si="469"/>
        <v>4.26</v>
      </c>
      <c r="N86" s="21">
        <f t="shared" si="470"/>
        <v>-3.3956729850995129</v>
      </c>
      <c r="O86" s="5">
        <f t="shared" si="471"/>
        <v>-6.1945643619265507</v>
      </c>
      <c r="P86" s="10">
        <f t="shared" si="472"/>
        <v>-3.4628104438362977</v>
      </c>
      <c r="Q86" s="624">
        <f t="shared" si="528"/>
        <v>241.26977815934629</v>
      </c>
      <c r="R86" s="5">
        <f t="shared" si="83"/>
        <v>7.0642213056914578</v>
      </c>
      <c r="S86" s="6">
        <f t="shared" si="84"/>
        <v>-3.4628104438362977</v>
      </c>
      <c r="T86" s="4">
        <f t="shared" si="85"/>
        <v>-6.1945643619265516</v>
      </c>
      <c r="U86" s="5">
        <f t="shared" si="86"/>
        <v>3.3956729850995102</v>
      </c>
      <c r="V86" s="8">
        <f t="shared" si="117"/>
        <v>-3.4628104438362977</v>
      </c>
      <c r="W86" s="624">
        <f t="shared" si="652"/>
        <v>151.26977815934629</v>
      </c>
      <c r="X86" s="5">
        <f t="shared" si="87"/>
        <v>7.0642213056914578</v>
      </c>
      <c r="Y86" s="7">
        <f t="shared" si="650"/>
        <v>-3.4628104438362977</v>
      </c>
      <c r="Z86" s="21">
        <f t="shared" si="473"/>
        <v>0.43564932290424635</v>
      </c>
      <c r="AA86" s="5">
        <f t="shared" si="474"/>
        <v>0.79473476507642316</v>
      </c>
      <c r="AB86" s="5">
        <f t="shared" si="475"/>
        <v>-0.42261841019055724</v>
      </c>
      <c r="AC86" s="8">
        <f t="shared" si="88"/>
        <v>1</v>
      </c>
      <c r="AD86" s="9">
        <f t="shared" si="118"/>
        <v>0.43564932290424635</v>
      </c>
      <c r="AE86" s="5">
        <f t="shared" si="89"/>
        <v>0.79473476507642316</v>
      </c>
      <c r="AF86" s="10">
        <f t="shared" si="90"/>
        <v>-0.42261841019055724</v>
      </c>
      <c r="AG86" s="622">
        <f t="shared" si="91"/>
        <v>61.997165128841267</v>
      </c>
      <c r="AH86" s="623">
        <f t="shared" si="92"/>
        <v>64.173381499948832</v>
      </c>
      <c r="AI86" s="624">
        <f t="shared" si="93"/>
        <v>-64.999990615163227</v>
      </c>
      <c r="AJ86" s="625">
        <f t="shared" si="94"/>
        <v>151.2697924970708</v>
      </c>
      <c r="AK86" s="4">
        <f t="shared" si="213"/>
        <v>2.2679489630750282E-7</v>
      </c>
      <c r="AL86" s="5">
        <f t="shared" si="95"/>
        <v>-0.90630771781330111</v>
      </c>
      <c r="AM86" s="6">
        <f t="shared" si="96"/>
        <v>-0.42261841019055724</v>
      </c>
      <c r="AN86" s="612">
        <f t="shared" si="97"/>
        <v>-64.999990615162545</v>
      </c>
      <c r="AO86" s="613">
        <f t="shared" si="466"/>
        <v>0</v>
      </c>
      <c r="AP86" s="624">
        <f t="shared" si="99"/>
        <v>-89.999985662275492</v>
      </c>
      <c r="AQ86" s="625">
        <f t="shared" si="476"/>
        <v>1.7550177818760846</v>
      </c>
      <c r="AS86" s="56">
        <f t="shared" si="550"/>
        <v>-208.73022184065371</v>
      </c>
      <c r="AT86" s="77">
        <f t="shared" si="477"/>
        <v>-2.6742740502160505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4.26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4.16</v>
      </c>
      <c r="II86" s="800" cm="1">
        <f t="array" ref="II86">IFERROR(IF($IH86&lt;1,$IH86+LARGE((IF($M$9:$M$150="",0,$M$9:$M$150)-MOD(IF($M$9:$M$150="",0,$M$9:$M$150),1)),1),$IH86),"")</f>
        <v>4.16</v>
      </c>
      <c r="IJ86" s="839" t="str">
        <f t="shared" si="523"/>
        <v>1613</v>
      </c>
      <c r="IK86" s="839" t="str">
        <f t="shared" si="524"/>
        <v/>
      </c>
      <c r="IL86" s="791">
        <f t="shared" si="654"/>
        <v>15.480197295694097</v>
      </c>
      <c r="IM86" s="830">
        <v>2.8678150725243001E-4</v>
      </c>
      <c r="IN86" s="5">
        <f t="shared" si="655"/>
        <v>0</v>
      </c>
      <c r="IO86" s="852">
        <v>0</v>
      </c>
      <c r="IP86" s="9">
        <f t="shared" si="656"/>
        <v>-7.066221311723476</v>
      </c>
      <c r="IQ86" s="5">
        <f t="shared" si="657"/>
        <v>-3.451610410056996</v>
      </c>
      <c r="IR86" s="5">
        <f t="shared" si="525"/>
        <v>0.314</v>
      </c>
      <c r="IS86" s="5">
        <f t="shared" si="658"/>
        <v>0.24824348418789263</v>
      </c>
      <c r="IT86" s="791">
        <f t="shared" si="659"/>
        <v>85.280081966011991</v>
      </c>
      <c r="IU86" s="9">
        <f t="shared" si="660"/>
        <v>-7.0642213056914578</v>
      </c>
      <c r="IV86" s="5">
        <f t="shared" si="661"/>
        <v>-3.4628104438362977</v>
      </c>
      <c r="IW86" s="5">
        <f t="shared" si="526"/>
        <v>0.26250000000000001</v>
      </c>
      <c r="IX86" s="5">
        <f t="shared" si="662"/>
        <v>0.26250000000000001</v>
      </c>
      <c r="IY86" s="833">
        <f t="shared" si="663"/>
        <v>64.999990615162545</v>
      </c>
    </row>
    <row r="87" spans="1:259" ht="15" customHeight="1" x14ac:dyDescent="0.25">
      <c r="A87" s="84">
        <f t="shared" si="527"/>
        <v>0.02</v>
      </c>
      <c r="B87" s="770">
        <v>-0.53236687166385332</v>
      </c>
      <c r="C87" s="771">
        <v>-0.24824656138214379</v>
      </c>
      <c r="D87" s="772">
        <v>-0.78280236093192068</v>
      </c>
      <c r="E87" s="773">
        <v>0.47735857875335574</v>
      </c>
      <c r="F87" s="771">
        <v>-0.81424017475268085</v>
      </c>
      <c r="G87" s="774">
        <v>0.33036604714967344</v>
      </c>
      <c r="H87" s="773">
        <v>0.314</v>
      </c>
      <c r="I87" s="771">
        <v>0.52</v>
      </c>
      <c r="J87" s="601">
        <v>5.1020000000000003</v>
      </c>
      <c r="K87" s="426" t="str">
        <f t="shared" si="651"/>
        <v>1613</v>
      </c>
      <c r="L87" s="327"/>
      <c r="M87" s="173">
        <f t="shared" si="469"/>
        <v>5.1020000000000003</v>
      </c>
      <c r="N87" s="21">
        <f t="shared" si="470"/>
        <v>-0.53236687166385332</v>
      </c>
      <c r="O87" s="5">
        <f t="shared" si="471"/>
        <v>-0.24824656138214379</v>
      </c>
      <c r="P87" s="10">
        <f t="shared" si="472"/>
        <v>-0.78280236093192068</v>
      </c>
      <c r="Q87" s="624">
        <f t="shared" si="528"/>
        <v>204.99998339605673</v>
      </c>
      <c r="R87" s="5">
        <f t="shared" si="83"/>
        <v>0.58740177160374329</v>
      </c>
      <c r="S87" s="6">
        <f t="shared" si="84"/>
        <v>-0.78280236093192068</v>
      </c>
      <c r="T87" s="4">
        <f t="shared" si="85"/>
        <v>-0.24824656138214407</v>
      </c>
      <c r="U87" s="5">
        <f t="shared" si="86"/>
        <v>0.53236687166385321</v>
      </c>
      <c r="V87" s="8">
        <f t="shared" si="117"/>
        <v>-0.78280236093192068</v>
      </c>
      <c r="W87" s="624">
        <f t="shared" si="652"/>
        <v>114.99998339605673</v>
      </c>
      <c r="X87" s="5">
        <f t="shared" si="87"/>
        <v>0.58740177160374329</v>
      </c>
      <c r="Y87" s="7">
        <f t="shared" si="650"/>
        <v>-0.78280236093192068</v>
      </c>
      <c r="Z87" s="21">
        <f t="shared" si="473"/>
        <v>-0.47735857875335574</v>
      </c>
      <c r="AA87" s="5">
        <f t="shared" si="474"/>
        <v>0.81424017475268085</v>
      </c>
      <c r="AB87" s="5">
        <f t="shared" si="475"/>
        <v>-0.33036604714967344</v>
      </c>
      <c r="AC87" s="8">
        <f t="shared" si="88"/>
        <v>1</v>
      </c>
      <c r="AD87" s="9">
        <f t="shared" si="118"/>
        <v>-0.47735857875335574</v>
      </c>
      <c r="AE87" s="5">
        <f t="shared" si="89"/>
        <v>0.81424017475268085</v>
      </c>
      <c r="AF87" s="10">
        <f t="shared" si="90"/>
        <v>-0.33036604714967344</v>
      </c>
      <c r="AG87" s="622">
        <f t="shared" si="91"/>
        <v>67.915864810578043</v>
      </c>
      <c r="AH87" s="623">
        <f t="shared" si="92"/>
        <v>118.51302826614649</v>
      </c>
      <c r="AI87" s="624">
        <f t="shared" si="93"/>
        <v>-70.709005437865216</v>
      </c>
      <c r="AJ87" s="625">
        <f t="shared" si="94"/>
        <v>-149.61849784170383</v>
      </c>
      <c r="AK87" s="4">
        <f t="shared" si="213"/>
        <v>0.93969263802333469</v>
      </c>
      <c r="AL87" s="5">
        <f t="shared" si="95"/>
        <v>8.8521302156295112E-2</v>
      </c>
      <c r="AM87" s="6">
        <f t="shared" si="96"/>
        <v>-0.33036604714967344</v>
      </c>
      <c r="AN87" s="612">
        <f t="shared" si="97"/>
        <v>14.999997834268187</v>
      </c>
      <c r="AO87" s="613">
        <f t="shared" si="466"/>
        <v>19.999997112357665</v>
      </c>
      <c r="AP87" s="624">
        <f t="shared" si="99"/>
        <v>5.3815187622394509</v>
      </c>
      <c r="AQ87" s="625">
        <f t="shared" si="476"/>
        <v>20.228255506924118</v>
      </c>
      <c r="AS87" s="56">
        <f t="shared" si="550"/>
        <v>-245.00001660394327</v>
      </c>
      <c r="AT87" s="77">
        <f t="shared" si="477"/>
        <v>0.14275325734964284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5.1020000000000003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-1.2047587376621722</v>
      </c>
      <c r="C88" s="771">
        <v>-0.56178780055376865</v>
      </c>
      <c r="D88" s="772">
        <v>-0.58400176134931225</v>
      </c>
      <c r="E88" s="773">
        <v>0.47735857875335586</v>
      </c>
      <c r="F88" s="771">
        <v>-0.81424017475268073</v>
      </c>
      <c r="G88" s="774">
        <v>0.33036604714967338</v>
      </c>
      <c r="H88" s="773">
        <v>0.314</v>
      </c>
      <c r="I88" s="771">
        <v>0.52</v>
      </c>
      <c r="J88" s="601">
        <v>5.1050000000000004</v>
      </c>
      <c r="K88" s="426" t="str">
        <f t="shared" si="651"/>
        <v>1613</v>
      </c>
      <c r="L88" s="327"/>
      <c r="M88" s="173">
        <f t="shared" si="469"/>
        <v>5.1050000000000004</v>
      </c>
      <c r="N88" s="21">
        <f t="shared" si="470"/>
        <v>-1.2047587376621722</v>
      </c>
      <c r="O88" s="5">
        <f t="shared" si="471"/>
        <v>-0.56178780055376865</v>
      </c>
      <c r="P88" s="10">
        <f t="shared" si="472"/>
        <v>-0.58400176134931225</v>
      </c>
      <c r="Q88" s="624">
        <f t="shared" si="528"/>
        <v>204.99998339605673</v>
      </c>
      <c r="R88" s="5">
        <f t="shared" si="83"/>
        <v>1.3293040091808916</v>
      </c>
      <c r="S88" s="6">
        <f t="shared" si="84"/>
        <v>-0.58400176134931225</v>
      </c>
      <c r="T88" s="4">
        <f t="shared" si="85"/>
        <v>-0.5617878005537692</v>
      </c>
      <c r="U88" s="5">
        <f t="shared" si="86"/>
        <v>1.2047587376621722</v>
      </c>
      <c r="V88" s="8">
        <f t="shared" si="117"/>
        <v>-0.58400176134931225</v>
      </c>
      <c r="W88" s="624">
        <f t="shared" si="652"/>
        <v>114.99998339605673</v>
      </c>
      <c r="X88" s="5">
        <f t="shared" si="87"/>
        <v>1.3293040091808916</v>
      </c>
      <c r="Y88" s="7">
        <f t="shared" si="650"/>
        <v>-0.58400176134931225</v>
      </c>
      <c r="Z88" s="21">
        <f t="shared" si="473"/>
        <v>-0.47735857875335586</v>
      </c>
      <c r="AA88" s="5">
        <f t="shared" si="474"/>
        <v>0.81424017475268073</v>
      </c>
      <c r="AB88" s="5">
        <f t="shared" si="475"/>
        <v>-0.33036604714967338</v>
      </c>
      <c r="AC88" s="8">
        <f t="shared" si="88"/>
        <v>1</v>
      </c>
      <c r="AD88" s="9">
        <f t="shared" si="118"/>
        <v>-0.47735857875335586</v>
      </c>
      <c r="AE88" s="5">
        <f t="shared" si="89"/>
        <v>0.81424017475268073</v>
      </c>
      <c r="AF88" s="10">
        <f t="shared" si="90"/>
        <v>-0.33036604714967338</v>
      </c>
      <c r="AG88" s="622">
        <f t="shared" si="91"/>
        <v>67.915864810578043</v>
      </c>
      <c r="AH88" s="623">
        <f t="shared" si="92"/>
        <v>118.51302826614649</v>
      </c>
      <c r="AI88" s="624">
        <f t="shared" si="93"/>
        <v>-70.709005437865216</v>
      </c>
      <c r="AJ88" s="625">
        <f t="shared" si="94"/>
        <v>-149.6184978417038</v>
      </c>
      <c r="AK88" s="4">
        <f t="shared" si="213"/>
        <v>0.93969263802333458</v>
      </c>
      <c r="AL88" s="5">
        <f t="shared" si="95"/>
        <v>8.8521302156295278E-2</v>
      </c>
      <c r="AM88" s="6">
        <f t="shared" si="96"/>
        <v>-0.33036604714967338</v>
      </c>
      <c r="AN88" s="612">
        <f t="shared" si="97"/>
        <v>14.999997834268218</v>
      </c>
      <c r="AO88" s="613">
        <f t="shared" si="466"/>
        <v>19.999997112357679</v>
      </c>
      <c r="AP88" s="624">
        <f t="shared" si="99"/>
        <v>5.3815187622394607</v>
      </c>
      <c r="AQ88" s="625">
        <f t="shared" si="476"/>
        <v>9.2483127853534501</v>
      </c>
      <c r="AS88" s="56">
        <f t="shared" si="550"/>
        <v>-245.00001660394327</v>
      </c>
      <c r="AT88" s="77">
        <f t="shared" si="477"/>
        <v>0.34155385693225127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5.1050000000000004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0.02</v>
      </c>
      <c r="B89" s="770">
        <v>-1.8790538560106689</v>
      </c>
      <c r="C89" s="771">
        <v>-0.87621654020020268</v>
      </c>
      <c r="D89" s="772">
        <v>-0.38520116176670383</v>
      </c>
      <c r="E89" s="773">
        <v>0.4773585787533558</v>
      </c>
      <c r="F89" s="771">
        <v>-0.81424017475268085</v>
      </c>
      <c r="G89" s="774">
        <v>0.33036604714967338</v>
      </c>
      <c r="H89" s="773">
        <v>0.314</v>
      </c>
      <c r="I89" s="771">
        <v>0.52</v>
      </c>
      <c r="J89" s="601">
        <v>5.1079999999999997</v>
      </c>
      <c r="K89" s="426" t="str">
        <f t="shared" si="651"/>
        <v>1613</v>
      </c>
      <c r="L89" s="327"/>
      <c r="M89" s="173">
        <f t="shared" si="469"/>
        <v>5.1079999999999997</v>
      </c>
      <c r="N89" s="21">
        <f t="shared" si="470"/>
        <v>-1.8790538560106689</v>
      </c>
      <c r="O89" s="5">
        <f t="shared" si="471"/>
        <v>-0.87621654020020268</v>
      </c>
      <c r="P89" s="10">
        <f t="shared" si="472"/>
        <v>-0.38520116176670383</v>
      </c>
      <c r="Q89" s="624">
        <f t="shared" si="528"/>
        <v>204.99998339605673</v>
      </c>
      <c r="R89" s="5">
        <f t="shared" si="83"/>
        <v>2.0733062530916597</v>
      </c>
      <c r="S89" s="6">
        <f t="shared" si="84"/>
        <v>-0.38520116176670383</v>
      </c>
      <c r="T89" s="4">
        <f t="shared" si="85"/>
        <v>-0.87621654020020312</v>
      </c>
      <c r="U89" s="5">
        <f t="shared" si="86"/>
        <v>1.8790538560106689</v>
      </c>
      <c r="V89" s="8">
        <f t="shared" si="117"/>
        <v>-0.38520116176670383</v>
      </c>
      <c r="W89" s="624">
        <f t="shared" si="652"/>
        <v>114.99998339605673</v>
      </c>
      <c r="X89" s="5">
        <f t="shared" si="87"/>
        <v>2.0733062530916597</v>
      </c>
      <c r="Y89" s="7">
        <f t="shared" si="650"/>
        <v>-0.38520116176670383</v>
      </c>
      <c r="Z89" s="21">
        <f t="shared" si="473"/>
        <v>-0.4773585787533558</v>
      </c>
      <c r="AA89" s="5">
        <f t="shared" si="474"/>
        <v>0.81424017475268085</v>
      </c>
      <c r="AB89" s="5">
        <f t="shared" si="475"/>
        <v>-0.33036604714967338</v>
      </c>
      <c r="AC89" s="8">
        <f t="shared" si="88"/>
        <v>1</v>
      </c>
      <c r="AD89" s="9">
        <f t="shared" si="118"/>
        <v>-0.4773585787533558</v>
      </c>
      <c r="AE89" s="5">
        <f t="shared" si="89"/>
        <v>0.81424017475268085</v>
      </c>
      <c r="AF89" s="10">
        <f t="shared" si="90"/>
        <v>-0.33036604714967338</v>
      </c>
      <c r="AG89" s="622">
        <f t="shared" si="91"/>
        <v>67.915864810578043</v>
      </c>
      <c r="AH89" s="623">
        <f t="shared" si="92"/>
        <v>118.51302826614649</v>
      </c>
      <c r="AI89" s="624">
        <f t="shared" si="93"/>
        <v>-70.709005437865216</v>
      </c>
      <c r="AJ89" s="625">
        <f t="shared" si="94"/>
        <v>-149.61849784170383</v>
      </c>
      <c r="AK89" s="4">
        <f t="shared" si="213"/>
        <v>0.93969263802333469</v>
      </c>
      <c r="AL89" s="5">
        <f t="shared" si="95"/>
        <v>8.8521302156295167E-2</v>
      </c>
      <c r="AM89" s="6">
        <f t="shared" si="96"/>
        <v>-0.33036604714967338</v>
      </c>
      <c r="AN89" s="612">
        <f t="shared" si="97"/>
        <v>14.999997834268202</v>
      </c>
      <c r="AO89" s="613">
        <f t="shared" si="466"/>
        <v>19.999997112357665</v>
      </c>
      <c r="AP89" s="624">
        <f t="shared" si="99"/>
        <v>5.3815187622394536</v>
      </c>
      <c r="AQ89" s="625">
        <f t="shared" si="476"/>
        <v>5.9600212633296232</v>
      </c>
      <c r="AS89" s="56">
        <f t="shared" si="550"/>
        <v>-245.00001660394327</v>
      </c>
      <c r="AT89" s="77">
        <f t="shared" si="477"/>
        <v>0.54035445651485969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5.1079999999999997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0.02</v>
      </c>
      <c r="B90" s="770">
        <v>-2.549451838594516</v>
      </c>
      <c r="C90" s="771">
        <v>-1.188828016969647</v>
      </c>
      <c r="D90" s="772">
        <v>-0.18640056218409562</v>
      </c>
      <c r="E90" s="773">
        <v>0.47735857875335602</v>
      </c>
      <c r="F90" s="771">
        <v>-0.81424017475268062</v>
      </c>
      <c r="G90" s="774">
        <v>0.33036604714967327</v>
      </c>
      <c r="H90" s="773">
        <v>0.314</v>
      </c>
      <c r="I90" s="771">
        <v>0.52</v>
      </c>
      <c r="J90" s="601">
        <v>5.1109999999999998</v>
      </c>
      <c r="K90" s="426" t="str">
        <f t="shared" si="651"/>
        <v>1613</v>
      </c>
      <c r="L90" s="327"/>
      <c r="M90" s="173">
        <f t="shared" si="469"/>
        <v>5.1109999999999998</v>
      </c>
      <c r="N90" s="21">
        <f t="shared" si="470"/>
        <v>-2.549451838594516</v>
      </c>
      <c r="O90" s="5">
        <f t="shared" si="471"/>
        <v>-1.188828016969647</v>
      </c>
      <c r="P90" s="10">
        <f t="shared" si="472"/>
        <v>-0.18640056218409562</v>
      </c>
      <c r="Q90" s="624">
        <f t="shared" si="528"/>
        <v>204.99998339605673</v>
      </c>
      <c r="R90" s="5">
        <f t="shared" si="83"/>
        <v>2.8130084840335874</v>
      </c>
      <c r="S90" s="6">
        <f t="shared" si="84"/>
        <v>-0.18640056218409562</v>
      </c>
      <c r="T90" s="4">
        <f t="shared" si="85"/>
        <v>-1.1888280169696477</v>
      </c>
      <c r="U90" s="5">
        <f t="shared" si="86"/>
        <v>2.549451838594516</v>
      </c>
      <c r="V90" s="8">
        <f t="shared" si="117"/>
        <v>-0.18640056218409562</v>
      </c>
      <c r="W90" s="624">
        <f t="shared" si="652"/>
        <v>114.99998339605673</v>
      </c>
      <c r="X90" s="5">
        <f t="shared" si="87"/>
        <v>2.8130084840335874</v>
      </c>
      <c r="Y90" s="7">
        <f t="shared" si="650"/>
        <v>-0.18640056218409562</v>
      </c>
      <c r="Z90" s="21">
        <f t="shared" si="473"/>
        <v>-0.47735857875335602</v>
      </c>
      <c r="AA90" s="5">
        <f t="shared" si="474"/>
        <v>0.81424017475268062</v>
      </c>
      <c r="AB90" s="5">
        <f t="shared" si="475"/>
        <v>-0.33036604714967327</v>
      </c>
      <c r="AC90" s="8">
        <f t="shared" si="88"/>
        <v>1</v>
      </c>
      <c r="AD90" s="9">
        <f t="shared" si="118"/>
        <v>-0.47735857875335602</v>
      </c>
      <c r="AE90" s="5">
        <f t="shared" si="89"/>
        <v>0.81424017475268062</v>
      </c>
      <c r="AF90" s="10">
        <f t="shared" si="90"/>
        <v>-0.33036604714967327</v>
      </c>
      <c r="AG90" s="622">
        <f t="shared" si="91"/>
        <v>67.915864810578043</v>
      </c>
      <c r="AH90" s="623">
        <f t="shared" si="92"/>
        <v>118.51302826614652</v>
      </c>
      <c r="AI90" s="624">
        <f t="shared" si="93"/>
        <v>-70.709005437865216</v>
      </c>
      <c r="AJ90" s="625">
        <f t="shared" si="94"/>
        <v>-149.6184978417038</v>
      </c>
      <c r="AK90" s="4">
        <f t="shared" si="213"/>
        <v>0.93969263802333458</v>
      </c>
      <c r="AL90" s="5">
        <f t="shared" si="95"/>
        <v>8.85213021562955E-2</v>
      </c>
      <c r="AM90" s="6">
        <f t="shared" si="96"/>
        <v>-0.33036604714967327</v>
      </c>
      <c r="AN90" s="612">
        <f t="shared" si="97"/>
        <v>14.999997834268262</v>
      </c>
      <c r="AO90" s="613">
        <f t="shared" si="466"/>
        <v>19.999997112357679</v>
      </c>
      <c r="AP90" s="624">
        <f t="shared" si="99"/>
        <v>5.3815187622394749</v>
      </c>
      <c r="AQ90" s="625">
        <f t="shared" si="476"/>
        <v>4.4000306995251659</v>
      </c>
      <c r="AS90" s="56">
        <f t="shared" si="550"/>
        <v>-245.00001660394327</v>
      </c>
      <c r="AT90" s="77">
        <f t="shared" si="477"/>
        <v>0.7391550560974679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5.1109999999999998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0.02</v>
      </c>
      <c r="B91" s="770">
        <v>-3.2254689471646016</v>
      </c>
      <c r="C91" s="771">
        <v>-1.5040597332361445</v>
      </c>
      <c r="D91" s="772">
        <v>-5.8700177039734229E-2</v>
      </c>
      <c r="E91" s="773">
        <v>0.41335388526507</v>
      </c>
      <c r="F91" s="771">
        <v>-0.8440860309028313</v>
      </c>
      <c r="G91" s="774">
        <v>0.34155136944678738</v>
      </c>
      <c r="H91" s="773">
        <v>0.314</v>
      </c>
      <c r="I91" s="771">
        <v>0.52</v>
      </c>
      <c r="J91" s="601">
        <v>5.117</v>
      </c>
      <c r="K91" s="426" t="str">
        <f t="shared" si="651"/>
        <v>1613</v>
      </c>
      <c r="L91" s="327"/>
      <c r="M91" s="173">
        <f t="shared" si="469"/>
        <v>5.117</v>
      </c>
      <c r="N91" s="21">
        <f t="shared" si="470"/>
        <v>-3.2254689471646016</v>
      </c>
      <c r="O91" s="5">
        <f t="shared" si="471"/>
        <v>-1.5040597332361445</v>
      </c>
      <c r="P91" s="10">
        <f t="shared" si="472"/>
        <v>-5.8700177039734229E-2</v>
      </c>
      <c r="Q91" s="624">
        <f t="shared" si="528"/>
        <v>204.99998339605673</v>
      </c>
      <c r="R91" s="5">
        <f t="shared" si="83"/>
        <v>3.5589107336747721</v>
      </c>
      <c r="S91" s="6">
        <f t="shared" si="84"/>
        <v>-5.8700177039734229E-2</v>
      </c>
      <c r="T91" s="4">
        <f t="shared" si="85"/>
        <v>-1.5040597332361461</v>
      </c>
      <c r="U91" s="5">
        <f t="shared" si="86"/>
        <v>3.2254689471646008</v>
      </c>
      <c r="V91" s="8">
        <f t="shared" si="117"/>
        <v>-5.8700177039734229E-2</v>
      </c>
      <c r="W91" s="624">
        <f t="shared" si="652"/>
        <v>114.99998339605673</v>
      </c>
      <c r="X91" s="5">
        <f t="shared" si="87"/>
        <v>3.5589107336747721</v>
      </c>
      <c r="Y91" s="7">
        <f t="shared" si="650"/>
        <v>-5.8700177039734229E-2</v>
      </c>
      <c r="Z91" s="21">
        <f t="shared" si="473"/>
        <v>-0.41335388526507</v>
      </c>
      <c r="AA91" s="5">
        <f t="shared" si="474"/>
        <v>0.8440860309028313</v>
      </c>
      <c r="AB91" s="5">
        <f t="shared" si="475"/>
        <v>-0.34155136944678738</v>
      </c>
      <c r="AC91" s="8">
        <f t="shared" si="88"/>
        <v>1</v>
      </c>
      <c r="AD91" s="9">
        <f t="shared" si="118"/>
        <v>-0.41335388526507</v>
      </c>
      <c r="AE91" s="5">
        <f t="shared" si="89"/>
        <v>0.8440860309028313</v>
      </c>
      <c r="AF91" s="10">
        <f t="shared" si="90"/>
        <v>-0.34155136944678738</v>
      </c>
      <c r="AG91" s="622">
        <f t="shared" si="91"/>
        <v>67.96975151014108</v>
      </c>
      <c r="AH91" s="623">
        <f t="shared" si="92"/>
        <v>114.41569549647535</v>
      </c>
      <c r="AI91" s="624">
        <f t="shared" si="93"/>
        <v>-70.028579907300141</v>
      </c>
      <c r="AJ91" s="625">
        <f t="shared" si="94"/>
        <v>-153.90873706278569</v>
      </c>
      <c r="AK91" s="4">
        <f t="shared" si="213"/>
        <v>0.93969263802333458</v>
      </c>
      <c r="AL91" s="5">
        <f t="shared" si="95"/>
        <v>1.789994619462526E-2</v>
      </c>
      <c r="AM91" s="6">
        <f t="shared" si="96"/>
        <v>-0.34155136944678738</v>
      </c>
      <c r="AN91" s="612">
        <f t="shared" si="97"/>
        <v>2.9999995668535977</v>
      </c>
      <c r="AO91" s="613">
        <f t="shared" si="466"/>
        <v>19.999997112357679</v>
      </c>
      <c r="AP91" s="624">
        <f t="shared" si="99"/>
        <v>1.0912795411575711</v>
      </c>
      <c r="AQ91" s="625">
        <f t="shared" si="476"/>
        <v>3.4804063255183464</v>
      </c>
      <c r="AS91" s="56">
        <f t="shared" si="550"/>
        <v>-245.00001660394327</v>
      </c>
      <c r="AT91" s="77">
        <f t="shared" si="477"/>
        <v>0.86685544124182934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5.117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0.02</v>
      </c>
      <c r="B92" s="770">
        <v>-3.907458743535186</v>
      </c>
      <c r="C92" s="771">
        <v>-1.8088094539877437</v>
      </c>
      <c r="D92" s="772">
        <v>-0.10720032331617492</v>
      </c>
      <c r="E92" s="773">
        <v>0.31896463782915063</v>
      </c>
      <c r="F92" s="771">
        <v>-0.88705500547873084</v>
      </c>
      <c r="G92" s="774">
        <v>0.3337588606608784</v>
      </c>
      <c r="H92" s="773">
        <v>0.314</v>
      </c>
      <c r="I92" s="771">
        <v>0.52</v>
      </c>
      <c r="J92" s="601">
        <v>5.1230000000000002</v>
      </c>
      <c r="K92" s="426" t="str">
        <f t="shared" si="651"/>
        <v>1613</v>
      </c>
      <c r="L92" s="327"/>
      <c r="M92" s="173">
        <f t="shared" si="469"/>
        <v>5.1230000000000002</v>
      </c>
      <c r="N92" s="21">
        <f t="shared" si="470"/>
        <v>-3.907458743535186</v>
      </c>
      <c r="O92" s="5">
        <f t="shared" si="471"/>
        <v>-1.8088094539877437</v>
      </c>
      <c r="P92" s="10">
        <f t="shared" si="472"/>
        <v>-0.10720032331617492</v>
      </c>
      <c r="Q92" s="624">
        <f t="shared" si="528"/>
        <v>204.83998341915787</v>
      </c>
      <c r="R92" s="5">
        <f t="shared" si="83"/>
        <v>4.3058129863319676</v>
      </c>
      <c r="S92" s="6">
        <f t="shared" si="84"/>
        <v>-0.10720032331617492</v>
      </c>
      <c r="T92" s="4">
        <f t="shared" si="85"/>
        <v>-1.8088094539877453</v>
      </c>
      <c r="U92" s="5">
        <f t="shared" si="86"/>
        <v>3.907458743535186</v>
      </c>
      <c r="V92" s="8">
        <f t="shared" si="117"/>
        <v>-0.10720032331617492</v>
      </c>
      <c r="W92" s="624">
        <f t="shared" si="652"/>
        <v>114.83998341915787</v>
      </c>
      <c r="X92" s="5">
        <f t="shared" si="87"/>
        <v>4.3058129863319676</v>
      </c>
      <c r="Y92" s="7">
        <f t="shared" si="650"/>
        <v>-0.10720032331617492</v>
      </c>
      <c r="Z92" s="21">
        <f t="shared" si="473"/>
        <v>-0.31896463782915063</v>
      </c>
      <c r="AA92" s="5">
        <f t="shared" si="474"/>
        <v>0.88705500547873084</v>
      </c>
      <c r="AB92" s="5">
        <f t="shared" si="475"/>
        <v>-0.3337588606608784</v>
      </c>
      <c r="AC92" s="8">
        <f t="shared" si="88"/>
        <v>1</v>
      </c>
      <c r="AD92" s="9">
        <f t="shared" si="118"/>
        <v>-0.31896463782915063</v>
      </c>
      <c r="AE92" s="5">
        <f t="shared" si="89"/>
        <v>0.88705500547873084</v>
      </c>
      <c r="AF92" s="10">
        <f t="shared" si="90"/>
        <v>-0.3337588606608784</v>
      </c>
      <c r="AG92" s="622">
        <f t="shared" si="91"/>
        <v>69.380940906766043</v>
      </c>
      <c r="AH92" s="623">
        <f t="shared" si="92"/>
        <v>108.60032212788224</v>
      </c>
      <c r="AI92" s="624">
        <f t="shared" si="93"/>
        <v>-70.502917430309125</v>
      </c>
      <c r="AJ92" s="625">
        <f t="shared" si="94"/>
        <v>-160.22257858240644</v>
      </c>
      <c r="AK92" s="4">
        <f t="shared" si="213"/>
        <v>0.93898111747576785</v>
      </c>
      <c r="AL92" s="5">
        <f t="shared" si="95"/>
        <v>-8.3183435576506648E-2</v>
      </c>
      <c r="AM92" s="6">
        <f t="shared" si="96"/>
        <v>-0.3337588606608784</v>
      </c>
      <c r="AN92" s="612">
        <f t="shared" si="97"/>
        <v>-13.994828883825726</v>
      </c>
      <c r="AO92" s="613">
        <f t="shared" si="466"/>
        <v>20.118853602471432</v>
      </c>
      <c r="AP92" s="624">
        <f t="shared" si="99"/>
        <v>-5.0625620015643351</v>
      </c>
      <c r="AQ92" s="625">
        <f t="shared" si="476"/>
        <v>2.8778031677271452</v>
      </c>
      <c r="AS92" s="56">
        <f t="shared" si="550"/>
        <v>-245.16001658084213</v>
      </c>
      <c r="AT92" s="78">
        <f t="shared" si="477"/>
        <v>0.81895973932256205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5.1230000000000002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0.02</v>
      </c>
      <c r="B93" s="770">
        <v>-4.5886864457789072</v>
      </c>
      <c r="C93" s="771">
        <v>-2.0764029663842756</v>
      </c>
      <c r="D93" s="772">
        <v>-0.33520101096624899</v>
      </c>
      <c r="E93" s="773">
        <v>0.21881375105612053</v>
      </c>
      <c r="F93" s="771">
        <v>-0.92867792961948392</v>
      </c>
      <c r="G93" s="774">
        <v>0.29946259430255912</v>
      </c>
      <c r="H93" s="773">
        <v>0.314</v>
      </c>
      <c r="I93" s="771">
        <v>0.52</v>
      </c>
      <c r="J93" s="601">
        <v>5.1289999999999996</v>
      </c>
      <c r="K93" s="426" t="str">
        <f t="shared" si="651"/>
        <v>1613</v>
      </c>
      <c r="L93" s="327"/>
      <c r="M93" s="173">
        <f t="shared" si="469"/>
        <v>5.1289999999999996</v>
      </c>
      <c r="N93" s="21">
        <f t="shared" si="470"/>
        <v>-4.5886864457789072</v>
      </c>
      <c r="O93" s="5">
        <f t="shared" si="471"/>
        <v>-2.0764029663842756</v>
      </c>
      <c r="P93" s="10">
        <f t="shared" si="472"/>
        <v>-0.33520101096624899</v>
      </c>
      <c r="Q93" s="624">
        <f t="shared" si="528"/>
        <v>204.34698349033823</v>
      </c>
      <c r="R93" s="5">
        <f t="shared" si="83"/>
        <v>5.0366151904314149</v>
      </c>
      <c r="S93" s="6">
        <f t="shared" si="84"/>
        <v>-0.33520101096624899</v>
      </c>
      <c r="T93" s="4">
        <f t="shared" si="85"/>
        <v>-2.0764029663842742</v>
      </c>
      <c r="U93" s="5">
        <f t="shared" si="86"/>
        <v>4.5886864457789072</v>
      </c>
      <c r="V93" s="8">
        <f t="shared" si="117"/>
        <v>-0.33520101096624899</v>
      </c>
      <c r="W93" s="624">
        <f t="shared" si="652"/>
        <v>114.34698349033823</v>
      </c>
      <c r="X93" s="5">
        <f t="shared" si="87"/>
        <v>5.0366151904314149</v>
      </c>
      <c r="Y93" s="7">
        <f t="shared" si="650"/>
        <v>-0.33520101096624899</v>
      </c>
      <c r="Z93" s="21">
        <f t="shared" si="473"/>
        <v>-0.21881375105612053</v>
      </c>
      <c r="AA93" s="5">
        <f t="shared" si="474"/>
        <v>0.92867792961948392</v>
      </c>
      <c r="AB93" s="5">
        <f t="shared" si="475"/>
        <v>-0.29946259430255912</v>
      </c>
      <c r="AC93" s="8">
        <f t="shared" si="88"/>
        <v>1</v>
      </c>
      <c r="AD93" s="9">
        <f t="shared" si="118"/>
        <v>-0.21881375105612053</v>
      </c>
      <c r="AE93" s="5">
        <f t="shared" si="89"/>
        <v>0.92867792961948392</v>
      </c>
      <c r="AF93" s="10">
        <f t="shared" si="90"/>
        <v>-0.29946259430255912</v>
      </c>
      <c r="AG93" s="622">
        <f t="shared" si="91"/>
        <v>72.12750259616196</v>
      </c>
      <c r="AH93" s="623">
        <f t="shared" si="92"/>
        <v>102.63936844674731</v>
      </c>
      <c r="AI93" s="624">
        <f t="shared" si="93"/>
        <v>-72.574671839753563</v>
      </c>
      <c r="AJ93" s="625">
        <f t="shared" si="94"/>
        <v>-166.74186766890256</v>
      </c>
      <c r="AK93" s="4">
        <f t="shared" si="213"/>
        <v>0.93629494643080147</v>
      </c>
      <c r="AL93" s="5">
        <f t="shared" si="95"/>
        <v>-0.18350457188234695</v>
      </c>
      <c r="AM93" s="6">
        <f t="shared" si="96"/>
        <v>-0.29946259430255912</v>
      </c>
      <c r="AN93" s="612">
        <f t="shared" si="97"/>
        <v>-31.499117861451037</v>
      </c>
      <c r="AO93" s="613">
        <f t="shared" si="466"/>
        <v>20.561630277835572</v>
      </c>
      <c r="AP93" s="624">
        <f t="shared" si="99"/>
        <v>-11.088851159240781</v>
      </c>
      <c r="AQ93" s="625">
        <f t="shared" si="476"/>
        <v>2.4607967852706438</v>
      </c>
      <c r="AS93" s="56">
        <f t="shared" si="550"/>
        <v>-245.65301650966177</v>
      </c>
      <c r="AT93" s="78">
        <f t="shared" si="477"/>
        <v>0.59282149584802879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5.1289999999999996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-5.207708937411696</v>
      </c>
      <c r="C94" s="771">
        <v>-2.2888851137110224</v>
      </c>
      <c r="D94" s="772">
        <v>-0.72300218057457633</v>
      </c>
      <c r="E94" s="773">
        <v>0.11159116222525779</v>
      </c>
      <c r="F94" s="771">
        <v>-0.95567435957516367</v>
      </c>
      <c r="G94" s="774">
        <v>0.27245904456232906</v>
      </c>
      <c r="H94" s="773">
        <v>0.314</v>
      </c>
      <c r="I94" s="771">
        <v>0.52</v>
      </c>
      <c r="J94" s="601">
        <v>5.1349999999999998</v>
      </c>
      <c r="K94" s="426" t="str">
        <f t="shared" si="651"/>
        <v>1613</v>
      </c>
      <c r="L94" s="327"/>
      <c r="M94" s="173">
        <f t="shared" si="469"/>
        <v>5.1349999999999998</v>
      </c>
      <c r="N94" s="21">
        <f t="shared" si="470"/>
        <v>-5.207708937411696</v>
      </c>
      <c r="O94" s="5">
        <f t="shared" si="471"/>
        <v>-2.2888851137110224</v>
      </c>
      <c r="P94" s="10">
        <f t="shared" si="472"/>
        <v>-0.72300218057457633</v>
      </c>
      <c r="Q94" s="624">
        <f t="shared" si="528"/>
        <v>203.72638357994177</v>
      </c>
      <c r="R94" s="5">
        <f t="shared" si="83"/>
        <v>5.6885171565677446</v>
      </c>
      <c r="S94" s="6">
        <f t="shared" si="84"/>
        <v>-0.72300218057457633</v>
      </c>
      <c r="T94" s="4">
        <f t="shared" si="85"/>
        <v>-2.2888851137110207</v>
      </c>
      <c r="U94" s="5">
        <f t="shared" si="86"/>
        <v>5.2077089374116969</v>
      </c>
      <c r="V94" s="8">
        <f t="shared" si="117"/>
        <v>-0.72300218057457633</v>
      </c>
      <c r="W94" s="624">
        <f t="shared" si="652"/>
        <v>113.72638357994177</v>
      </c>
      <c r="X94" s="5">
        <f t="shared" si="87"/>
        <v>5.6885171565677446</v>
      </c>
      <c r="Y94" s="7">
        <f t="shared" si="650"/>
        <v>-0.72300218057457633</v>
      </c>
      <c r="Z94" s="21">
        <f t="shared" si="473"/>
        <v>-0.11159116222525779</v>
      </c>
      <c r="AA94" s="5">
        <f t="shared" si="474"/>
        <v>0.95567435957516367</v>
      </c>
      <c r="AB94" s="5">
        <f t="shared" si="475"/>
        <v>-0.27245904456232906</v>
      </c>
      <c r="AC94" s="8">
        <f t="shared" si="88"/>
        <v>1</v>
      </c>
      <c r="AD94" s="9">
        <f t="shared" si="118"/>
        <v>-0.11159116222525779</v>
      </c>
      <c r="AE94" s="5">
        <f t="shared" si="89"/>
        <v>0.95567435957516367</v>
      </c>
      <c r="AF94" s="10">
        <f t="shared" si="90"/>
        <v>-0.27245904456232906</v>
      </c>
      <c r="AG94" s="622">
        <f t="shared" si="91"/>
        <v>74.087355058319801</v>
      </c>
      <c r="AH94" s="623">
        <f t="shared" si="92"/>
        <v>96.407047231458563</v>
      </c>
      <c r="AI94" s="624">
        <f t="shared" si="93"/>
        <v>-74.189353126987839</v>
      </c>
      <c r="AJ94" s="625">
        <f t="shared" si="94"/>
        <v>-173.33990742521041</v>
      </c>
      <c r="AK94" s="4">
        <f t="shared" si="213"/>
        <v>0.91979915145599545</v>
      </c>
      <c r="AL94" s="5">
        <f t="shared" si="95"/>
        <v>-0.28237491038867757</v>
      </c>
      <c r="AM94" s="6">
        <f t="shared" si="96"/>
        <v>-0.27245904456232906</v>
      </c>
      <c r="AN94" s="612">
        <f t="shared" si="97"/>
        <v>-46.023868097589066</v>
      </c>
      <c r="AO94" s="613">
        <f t="shared" si="466"/>
        <v>23.103263107855689</v>
      </c>
      <c r="AP94" s="624">
        <f t="shared" si="99"/>
        <v>-17.06629100515217</v>
      </c>
      <c r="AQ94" s="625">
        <f t="shared" si="476"/>
        <v>2.1790798036504895</v>
      </c>
      <c r="AS94" s="56">
        <f t="shared" si="550"/>
        <v>-246.27361642005823</v>
      </c>
      <c r="AT94" s="78">
        <f t="shared" si="477"/>
        <v>0.20736481479008817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5.1349999999999998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-5.7328410912370931</v>
      </c>
      <c r="C95" s="771">
        <v>-2.4472017246614661</v>
      </c>
      <c r="D95" s="772">
        <v>-1.2527037781545944</v>
      </c>
      <c r="E95" s="773">
        <v>1.9450982470756162E-3</v>
      </c>
      <c r="F95" s="771">
        <v>-0.9718809879533894</v>
      </c>
      <c r="G95" s="774">
        <v>0.23546456601270863</v>
      </c>
      <c r="H95" s="773">
        <v>0.314</v>
      </c>
      <c r="I95" s="771">
        <v>0.52</v>
      </c>
      <c r="J95" s="601">
        <v>5.141</v>
      </c>
      <c r="K95" s="426" t="str">
        <f t="shared" si="651"/>
        <v>1613</v>
      </c>
      <c r="L95" s="327"/>
      <c r="M95" s="173">
        <f t="shared" si="469"/>
        <v>5.141</v>
      </c>
      <c r="N95" s="21">
        <f t="shared" si="470"/>
        <v>-5.7328410912370931</v>
      </c>
      <c r="O95" s="5">
        <f t="shared" si="471"/>
        <v>-2.4472017246614661</v>
      </c>
      <c r="P95" s="10">
        <f t="shared" si="472"/>
        <v>-1.2527037781545944</v>
      </c>
      <c r="Q95" s="624">
        <f t="shared" si="528"/>
        <v>203.11638366801489</v>
      </c>
      <c r="R95" s="5">
        <f t="shared" si="83"/>
        <v>6.233318799689501</v>
      </c>
      <c r="S95" s="6">
        <f t="shared" si="84"/>
        <v>-1.2527037781545944</v>
      </c>
      <c r="T95" s="4">
        <f t="shared" si="85"/>
        <v>-2.4472017246614666</v>
      </c>
      <c r="U95" s="5">
        <f t="shared" si="86"/>
        <v>5.7328410912370931</v>
      </c>
      <c r="V95" s="8">
        <f t="shared" si="117"/>
        <v>-1.2527037781545944</v>
      </c>
      <c r="W95" s="624">
        <f t="shared" si="652"/>
        <v>113.11638366801489</v>
      </c>
      <c r="X95" s="5">
        <f t="shared" si="87"/>
        <v>6.233318799689501</v>
      </c>
      <c r="Y95" s="7">
        <f t="shared" si="650"/>
        <v>-1.2527037781545944</v>
      </c>
      <c r="Z95" s="21">
        <f t="shared" si="473"/>
        <v>-1.9450982470756162E-3</v>
      </c>
      <c r="AA95" s="5">
        <f t="shared" si="474"/>
        <v>0.9718809879533894</v>
      </c>
      <c r="AB95" s="5">
        <f t="shared" si="475"/>
        <v>-0.23546456601270863</v>
      </c>
      <c r="AC95" s="8">
        <f t="shared" si="88"/>
        <v>1</v>
      </c>
      <c r="AD95" s="9">
        <f t="shared" si="118"/>
        <v>-1.9450982470756162E-3</v>
      </c>
      <c r="AE95" s="5">
        <f t="shared" si="89"/>
        <v>0.9718809879533894</v>
      </c>
      <c r="AF95" s="10">
        <f t="shared" si="90"/>
        <v>-0.23546456601270863</v>
      </c>
      <c r="AG95" s="622">
        <f t="shared" si="91"/>
        <v>76.380964816517036</v>
      </c>
      <c r="AH95" s="623">
        <f t="shared" si="92"/>
        <v>90.111445990570061</v>
      </c>
      <c r="AI95" s="624">
        <f t="shared" si="93"/>
        <v>-76.380991076145861</v>
      </c>
      <c r="AJ95" s="625">
        <f t="shared" si="94"/>
        <v>-179.88532981622387</v>
      </c>
      <c r="AK95" s="4">
        <f t="shared" si="213"/>
        <v>0.89461160106137183</v>
      </c>
      <c r="AL95" s="5">
        <f t="shared" si="95"/>
        <v>-0.37977167008461288</v>
      </c>
      <c r="AM95" s="6">
        <f t="shared" si="96"/>
        <v>-0.23546456601270863</v>
      </c>
      <c r="AN95" s="612">
        <f t="shared" si="97"/>
        <v>-58.200419084888416</v>
      </c>
      <c r="AO95" s="613">
        <f t="shared" si="466"/>
        <v>26.541415314668967</v>
      </c>
      <c r="AP95" s="624">
        <f t="shared" si="99"/>
        <v>-23.001713484238746</v>
      </c>
      <c r="AQ95" s="625">
        <f t="shared" si="476"/>
        <v>1.988785135231699</v>
      </c>
      <c r="AS95" s="56">
        <f t="shared" si="550"/>
        <v>-246.88361633198511</v>
      </c>
      <c r="AT95" s="78">
        <f t="shared" si="477"/>
        <v>-0.32003233867820624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5.141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-6.1263633344656263</v>
      </c>
      <c r="C96" s="771">
        <v>-2.5529800241137615</v>
      </c>
      <c r="D96" s="772">
        <v>-1.893805711718026</v>
      </c>
      <c r="E96" s="773">
        <v>-9.4427182075964483E-2</v>
      </c>
      <c r="F96" s="771">
        <v>-0.97930534137028202</v>
      </c>
      <c r="G96" s="774">
        <v>0.17900993170443952</v>
      </c>
      <c r="H96" s="773">
        <v>0.314</v>
      </c>
      <c r="I96" s="771">
        <v>0.52</v>
      </c>
      <c r="J96" s="601">
        <v>5.1470000000000002</v>
      </c>
      <c r="K96" s="426" t="str">
        <f t="shared" si="651"/>
        <v>1613</v>
      </c>
      <c r="L96" s="327"/>
      <c r="M96" s="173">
        <f t="shared" si="469"/>
        <v>5.1470000000000002</v>
      </c>
      <c r="N96" s="21">
        <f t="shared" si="470"/>
        <v>-6.1263633344656263</v>
      </c>
      <c r="O96" s="5">
        <f t="shared" si="471"/>
        <v>-2.5529800241137615</v>
      </c>
      <c r="P96" s="10">
        <f t="shared" si="472"/>
        <v>-1.893805711718026</v>
      </c>
      <c r="Q96" s="624">
        <f t="shared" si="528"/>
        <v>202.62248373932522</v>
      </c>
      <c r="R96" s="5">
        <f t="shared" si="83"/>
        <v>6.6370200172523734</v>
      </c>
      <c r="S96" s="6">
        <f t="shared" si="84"/>
        <v>-1.893805711718026</v>
      </c>
      <c r="T96" s="4">
        <f t="shared" si="85"/>
        <v>-2.5529800241137628</v>
      </c>
      <c r="U96" s="5">
        <f t="shared" si="86"/>
        <v>6.1263633344656263</v>
      </c>
      <c r="V96" s="8">
        <f t="shared" si="117"/>
        <v>-1.893805711718026</v>
      </c>
      <c r="W96" s="624">
        <f t="shared" si="652"/>
        <v>112.62248373932522</v>
      </c>
      <c r="X96" s="5">
        <f t="shared" si="87"/>
        <v>6.6370200172523734</v>
      </c>
      <c r="Y96" s="7">
        <f t="shared" si="650"/>
        <v>-1.893805711718026</v>
      </c>
      <c r="Z96" s="21">
        <f t="shared" si="473"/>
        <v>9.4427182075964483E-2</v>
      </c>
      <c r="AA96" s="5">
        <f t="shared" si="474"/>
        <v>0.97930534137028202</v>
      </c>
      <c r="AB96" s="5">
        <f t="shared" si="475"/>
        <v>-0.17900993170443952</v>
      </c>
      <c r="AC96" s="8">
        <f t="shared" si="88"/>
        <v>1</v>
      </c>
      <c r="AD96" s="9">
        <f t="shared" si="118"/>
        <v>9.4427182075964483E-2</v>
      </c>
      <c r="AE96" s="5">
        <f t="shared" si="89"/>
        <v>0.97930534137028202</v>
      </c>
      <c r="AF96" s="10">
        <f t="shared" si="90"/>
        <v>-0.17900993170443952</v>
      </c>
      <c r="AG96" s="622">
        <f t="shared" si="91"/>
        <v>79.641110145519818</v>
      </c>
      <c r="AH96" s="623">
        <f t="shared" si="92"/>
        <v>84.581648444232826</v>
      </c>
      <c r="AI96" s="624">
        <f t="shared" si="93"/>
        <v>-79.687903553994929</v>
      </c>
      <c r="AJ96" s="625">
        <f t="shared" si="94"/>
        <v>174.49241757418284</v>
      </c>
      <c r="AK96" s="4">
        <f t="shared" si="213"/>
        <v>0.86763481382837304</v>
      </c>
      <c r="AL96" s="5">
        <f t="shared" si="95"/>
        <v>-0.46385911027398852</v>
      </c>
      <c r="AM96" s="6">
        <f t="shared" si="96"/>
        <v>-0.17900993170443952</v>
      </c>
      <c r="AN96" s="612">
        <f t="shared" si="97"/>
        <v>-68.897678051037644</v>
      </c>
      <c r="AO96" s="613">
        <f t="shared" si="466"/>
        <v>29.815057886237248</v>
      </c>
      <c r="AP96" s="624">
        <f t="shared" si="99"/>
        <v>-28.130066165142384</v>
      </c>
      <c r="AQ96" s="625">
        <f t="shared" si="476"/>
        <v>1.8679044050634344</v>
      </c>
      <c r="AS96" s="56">
        <f t="shared" si="550"/>
        <v>-247.37751626067478</v>
      </c>
      <c r="AT96" s="78">
        <f t="shared" si="477"/>
        <v>-0.95926842806658796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5.1470000000000002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-6.3703736098250809</v>
      </c>
      <c r="C97" s="771">
        <v>-2.6131850872685929</v>
      </c>
      <c r="D97" s="772">
        <v>-2.5979078352900311</v>
      </c>
      <c r="E97" s="773">
        <v>-0.18802106823703568</v>
      </c>
      <c r="F97" s="771">
        <v>-0.9750531395614539</v>
      </c>
      <c r="G97" s="774">
        <v>0.11798073118249434</v>
      </c>
      <c r="H97" s="773">
        <v>0.314</v>
      </c>
      <c r="I97" s="771">
        <v>0.52</v>
      </c>
      <c r="J97" s="601">
        <v>5.1529999999999996</v>
      </c>
      <c r="K97" s="426" t="str">
        <f t="shared" si="651"/>
        <v>1613</v>
      </c>
      <c r="L97" s="327"/>
      <c r="M97" s="173">
        <f t="shared" si="469"/>
        <v>5.1529999999999996</v>
      </c>
      <c r="N97" s="21">
        <f t="shared" si="470"/>
        <v>-6.3703736098250809</v>
      </c>
      <c r="O97" s="5">
        <f t="shared" si="471"/>
        <v>-2.6131850872685929</v>
      </c>
      <c r="P97" s="10">
        <f t="shared" si="472"/>
        <v>-2.5979078352900311</v>
      </c>
      <c r="Q97" s="624">
        <f t="shared" si="528"/>
        <v>202.30388378532533</v>
      </c>
      <c r="R97" s="5">
        <f t="shared" si="83"/>
        <v>6.8855207667306324</v>
      </c>
      <c r="S97" s="6">
        <f t="shared" si="84"/>
        <v>-2.5979078352900311</v>
      </c>
      <c r="T97" s="4">
        <f t="shared" si="85"/>
        <v>-2.6131850872685916</v>
      </c>
      <c r="U97" s="5">
        <f t="shared" si="86"/>
        <v>6.3703736098250818</v>
      </c>
      <c r="V97" s="8">
        <f t="shared" si="117"/>
        <v>-2.5979078352900311</v>
      </c>
      <c r="W97" s="624">
        <f t="shared" si="652"/>
        <v>112.30388378532533</v>
      </c>
      <c r="X97" s="5">
        <f t="shared" si="87"/>
        <v>6.8855207667306324</v>
      </c>
      <c r="Y97" s="7">
        <f t="shared" si="650"/>
        <v>-2.5979078352900311</v>
      </c>
      <c r="Z97" s="21">
        <f t="shared" si="473"/>
        <v>0.18802106823703568</v>
      </c>
      <c r="AA97" s="5">
        <f t="shared" si="474"/>
        <v>0.9750531395614539</v>
      </c>
      <c r="AB97" s="5">
        <f t="shared" si="475"/>
        <v>-0.11798073118249434</v>
      </c>
      <c r="AC97" s="8">
        <f t="shared" si="88"/>
        <v>1</v>
      </c>
      <c r="AD97" s="9">
        <f t="shared" si="118"/>
        <v>0.18802106823703568</v>
      </c>
      <c r="AE97" s="5">
        <f t="shared" si="89"/>
        <v>0.9750531395614539</v>
      </c>
      <c r="AF97" s="10">
        <f t="shared" si="90"/>
        <v>-0.11798073118249434</v>
      </c>
      <c r="AG97" s="622">
        <f t="shared" si="91"/>
        <v>83.10079131868082</v>
      </c>
      <c r="AH97" s="623">
        <f t="shared" si="92"/>
        <v>79.162681523129564</v>
      </c>
      <c r="AI97" s="624">
        <f t="shared" si="93"/>
        <v>-83.224420873892143</v>
      </c>
      <c r="AJ97" s="625">
        <f t="shared" si="94"/>
        <v>169.08552795434531</v>
      </c>
      <c r="AK97" s="4">
        <f t="shared" si="213"/>
        <v>0.83074601480667087</v>
      </c>
      <c r="AL97" s="5">
        <f t="shared" si="95"/>
        <v>-0.54400515250545056</v>
      </c>
      <c r="AM97" s="6">
        <f t="shared" si="96"/>
        <v>-0.11798073118249434</v>
      </c>
      <c r="AN97" s="612">
        <f t="shared" si="97"/>
        <v>-77.763515282045063</v>
      </c>
      <c r="AO97" s="613">
        <f t="shared" si="466"/>
        <v>33.82455180909912</v>
      </c>
      <c r="AP97" s="624">
        <f t="shared" si="99"/>
        <v>-33.218355830980009</v>
      </c>
      <c r="AQ97" s="625">
        <f t="shared" si="476"/>
        <v>1.8005363134298409</v>
      </c>
      <c r="AS97" s="56">
        <f t="shared" si="550"/>
        <v>-247.69611621467467</v>
      </c>
      <c r="AT97" s="78">
        <f t="shared" si="477"/>
        <v>-1.6621669518123712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5.1529999999999996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-6.5444126041193371</v>
      </c>
      <c r="C98" s="771">
        <v>-2.6109536828083466</v>
      </c>
      <c r="D98" s="772">
        <v>-3.3270100342622628</v>
      </c>
      <c r="E98" s="773">
        <v>-0.25806986510726887</v>
      </c>
      <c r="F98" s="771">
        <v>-0.96504346714568978</v>
      </c>
      <c r="G98" s="774">
        <v>4.5728013765550295E-2</v>
      </c>
      <c r="H98" s="773">
        <v>0.314</v>
      </c>
      <c r="I98" s="771">
        <v>0.52</v>
      </c>
      <c r="J98" s="601">
        <v>5.1589999999999998</v>
      </c>
      <c r="K98" s="426" t="str">
        <f t="shared" si="651"/>
        <v>1613</v>
      </c>
      <c r="L98" s="327"/>
      <c r="M98" s="173">
        <f t="shared" si="469"/>
        <v>5.1589999999999998</v>
      </c>
      <c r="N98" s="21">
        <f t="shared" si="470"/>
        <v>-6.5444126041193371</v>
      </c>
      <c r="O98" s="5">
        <f t="shared" si="471"/>
        <v>-2.6109536828083466</v>
      </c>
      <c r="P98" s="10">
        <f t="shared" si="472"/>
        <v>-3.3270100342622628</v>
      </c>
      <c r="Q98" s="624">
        <f t="shared" si="528"/>
        <v>201.74998339605671</v>
      </c>
      <c r="R98" s="5">
        <f t="shared" si="83"/>
        <v>7.0460212508000932</v>
      </c>
      <c r="S98" s="6">
        <f t="shared" si="84"/>
        <v>-3.3270100342622628</v>
      </c>
      <c r="T98" s="4">
        <f t="shared" si="85"/>
        <v>-2.6109536828083444</v>
      </c>
      <c r="U98" s="5">
        <f t="shared" si="86"/>
        <v>6.544412604119338</v>
      </c>
      <c r="V98" s="8">
        <f t="shared" si="117"/>
        <v>-3.3270100342622628</v>
      </c>
      <c r="W98" s="624">
        <f t="shared" si="652"/>
        <v>111.74998339605671</v>
      </c>
      <c r="X98" s="5">
        <f t="shared" si="87"/>
        <v>7.0460212508000932</v>
      </c>
      <c r="Y98" s="7">
        <f t="shared" si="650"/>
        <v>-3.3270100342622628</v>
      </c>
      <c r="Z98" s="21">
        <f t="shared" si="473"/>
        <v>0.25806986510726887</v>
      </c>
      <c r="AA98" s="5">
        <f t="shared" si="474"/>
        <v>0.96504346714568978</v>
      </c>
      <c r="AB98" s="5">
        <f t="shared" si="475"/>
        <v>-4.5728013765550295E-2</v>
      </c>
      <c r="AC98" s="8">
        <f t="shared" si="88"/>
        <v>1</v>
      </c>
      <c r="AD98" s="9">
        <f t="shared" si="118"/>
        <v>0.25806986510726887</v>
      </c>
      <c r="AE98" s="5">
        <f t="shared" si="89"/>
        <v>0.96504346714568978</v>
      </c>
      <c r="AF98" s="10">
        <f t="shared" si="90"/>
        <v>-4.5728013765550295E-2</v>
      </c>
      <c r="AG98" s="622">
        <f t="shared" si="91"/>
        <v>87.287102576744189</v>
      </c>
      <c r="AH98" s="623">
        <f t="shared" si="92"/>
        <v>75.044434464309163</v>
      </c>
      <c r="AI98" s="624">
        <f t="shared" si="93"/>
        <v>-87.379063845333306</v>
      </c>
      <c r="AJ98" s="625">
        <f t="shared" si="94"/>
        <v>165.02840722558355</v>
      </c>
      <c r="AK98" s="4">
        <f t="shared" si="213"/>
        <v>0.80071205640303145</v>
      </c>
      <c r="AL98" s="5">
        <f t="shared" si="95"/>
        <v>-0.59730155825000719</v>
      </c>
      <c r="AM98" s="6">
        <f t="shared" si="96"/>
        <v>-4.5728013765550295E-2</v>
      </c>
      <c r="AN98" s="612">
        <f t="shared" si="97"/>
        <v>-85.622108519327412</v>
      </c>
      <c r="AO98" s="613">
        <f t="shared" si="466"/>
        <v>36.801847369798828</v>
      </c>
      <c r="AP98" s="624">
        <f t="shared" si="99"/>
        <v>-36.721576170473135</v>
      </c>
      <c r="AQ98" s="625">
        <f t="shared" si="476"/>
        <v>1.7595481921391312</v>
      </c>
      <c r="AS98" s="56">
        <f t="shared" si="550"/>
        <v>-248.25001660394329</v>
      </c>
      <c r="AT98" s="78">
        <f t="shared" si="477"/>
        <v>-2.3891766382029216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5.1589999999999998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-6.667652178559627</v>
      </c>
      <c r="C99" s="771">
        <v>-2.6264558088323198</v>
      </c>
      <c r="D99" s="772">
        <v>-4.0802123059203144</v>
      </c>
      <c r="E99" s="773">
        <v>-0.31730483563420903</v>
      </c>
      <c r="F99" s="771">
        <v>-0.94832359523694576</v>
      </c>
      <c r="G99" s="774">
        <v>1.4578093221941204E-7</v>
      </c>
      <c r="H99" s="773">
        <v>0.314</v>
      </c>
      <c r="I99" s="771">
        <v>0.52</v>
      </c>
      <c r="J99" s="601">
        <v>5.165</v>
      </c>
      <c r="K99" s="426" t="str">
        <f t="shared" si="651"/>
        <v>1613</v>
      </c>
      <c r="L99" s="327"/>
      <c r="M99" s="173">
        <f t="shared" si="469"/>
        <v>5.165</v>
      </c>
      <c r="N99" s="21">
        <f t="shared" si="470"/>
        <v>-6.667652178559627</v>
      </c>
      <c r="O99" s="5">
        <f t="shared" si="471"/>
        <v>-2.6264558088323198</v>
      </c>
      <c r="P99" s="10">
        <f t="shared" si="472"/>
        <v>-4.0802123059203144</v>
      </c>
      <c r="Q99" s="624">
        <f t="shared" si="528"/>
        <v>201.49998339605673</v>
      </c>
      <c r="R99" s="5">
        <f t="shared" si="83"/>
        <v>7.1662999999999988</v>
      </c>
      <c r="S99" s="6">
        <f t="shared" si="84"/>
        <v>-4.0802123059203144</v>
      </c>
      <c r="T99" s="4">
        <f t="shared" si="85"/>
        <v>-2.6264558088323211</v>
      </c>
      <c r="U99" s="5">
        <f t="shared" si="86"/>
        <v>6.667652178559627</v>
      </c>
      <c r="V99" s="8">
        <f t="shared" si="117"/>
        <v>-4.0802123059203144</v>
      </c>
      <c r="W99" s="624">
        <f t="shared" si="652"/>
        <v>111.49998339605673</v>
      </c>
      <c r="X99" s="5">
        <f t="shared" si="87"/>
        <v>7.1662999999999988</v>
      </c>
      <c r="Y99" s="7">
        <f t="shared" si="650"/>
        <v>-4.0802123059203144</v>
      </c>
      <c r="Z99" s="21">
        <f t="shared" si="473"/>
        <v>0.31730483563420903</v>
      </c>
      <c r="AA99" s="5">
        <f t="shared" si="474"/>
        <v>0.94832359523694576</v>
      </c>
      <c r="AB99" s="5">
        <f t="shared" si="475"/>
        <v>-1.4578093221941204E-7</v>
      </c>
      <c r="AC99" s="8">
        <f t="shared" si="88"/>
        <v>1</v>
      </c>
      <c r="AD99" s="9">
        <f t="shared" si="118"/>
        <v>0.31730483563420903</v>
      </c>
      <c r="AE99" s="5">
        <f t="shared" si="89"/>
        <v>0.94832359523694576</v>
      </c>
      <c r="AF99" s="10">
        <f t="shared" si="90"/>
        <v>-1.4578093221941204E-7</v>
      </c>
      <c r="AG99" s="622">
        <f t="shared" si="91"/>
        <v>89.999991192213102</v>
      </c>
      <c r="AH99" s="623">
        <f t="shared" si="92"/>
        <v>71.49998917134225</v>
      </c>
      <c r="AI99" s="624">
        <f t="shared" si="93"/>
        <v>-89.99999164736785</v>
      </c>
      <c r="AJ99" s="625">
        <f t="shared" si="94"/>
        <v>161.49998917134207</v>
      </c>
      <c r="AK99" s="4">
        <f t="shared" si="213"/>
        <v>0.76604450791050716</v>
      </c>
      <c r="AL99" s="5">
        <f t="shared" si="95"/>
        <v>-0.64278753247097753</v>
      </c>
      <c r="AM99" s="6">
        <f t="shared" si="96"/>
        <v>-1.4578093221941204E-7</v>
      </c>
      <c r="AN99" s="612">
        <f t="shared" si="97"/>
        <v>-89.999987005609597</v>
      </c>
      <c r="AO99" s="613">
        <f t="shared" si="466"/>
        <v>39.999994224715394</v>
      </c>
      <c r="AP99" s="624">
        <f t="shared" si="99"/>
        <v>-39.999994224714676</v>
      </c>
      <c r="AQ99" s="625">
        <f t="shared" si="476"/>
        <v>1.7300341407596445</v>
      </c>
      <c r="AS99" s="56">
        <f t="shared" si="550"/>
        <v>-248.50001660394327</v>
      </c>
      <c r="AT99" s="78">
        <f t="shared" si="477"/>
        <v>-3.1414344654165287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5.165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>
        <v>-4.25858630543574</v>
      </c>
      <c r="C100" s="771">
        <v>-0.66899283426508072</v>
      </c>
      <c r="D100" s="772">
        <v>-7.9300239169521114E-2</v>
      </c>
      <c r="E100" s="773">
        <v>-0.12894477746676375</v>
      </c>
      <c r="F100" s="771">
        <v>-2.0256513223989515E-2</v>
      </c>
      <c r="G100" s="774">
        <v>0.99144486384067432</v>
      </c>
      <c r="H100" s="773">
        <v>0.26250000000000001</v>
      </c>
      <c r="I100" s="771">
        <v>0.40699999999999997</v>
      </c>
      <c r="J100" s="601">
        <v>5.2229999999999999</v>
      </c>
      <c r="K100" s="426" t="str">
        <f t="shared" si="651"/>
        <v/>
      </c>
      <c r="L100" s="327"/>
      <c r="M100" s="173">
        <f t="shared" si="469"/>
        <v>5.2229999999999999</v>
      </c>
      <c r="N100" s="21">
        <f t="shared" si="470"/>
        <v>-4.25858630543574</v>
      </c>
      <c r="O100" s="5">
        <f t="shared" si="471"/>
        <v>-0.66899283426508072</v>
      </c>
      <c r="P100" s="10">
        <f t="shared" si="472"/>
        <v>-7.9300239169521114E-2</v>
      </c>
      <c r="Q100" s="624">
        <f t="shared" si="528"/>
        <v>188.92778571659494</v>
      </c>
      <c r="R100" s="5">
        <f t="shared" si="83"/>
        <v>4.3108130014120132</v>
      </c>
      <c r="S100" s="6">
        <f t="shared" si="84"/>
        <v>-7.9300239169521114E-2</v>
      </c>
      <c r="T100" s="4">
        <f t="shared" si="85"/>
        <v>-0.66899283426507983</v>
      </c>
      <c r="U100" s="5">
        <f t="shared" si="86"/>
        <v>4.25858630543574</v>
      </c>
      <c r="V100" s="8">
        <f t="shared" si="117"/>
        <v>-7.9300239169521114E-2</v>
      </c>
      <c r="W100" s="624">
        <f t="shared" si="652"/>
        <v>98.92778571659494</v>
      </c>
      <c r="X100" s="5">
        <f t="shared" si="87"/>
        <v>4.3108130014120132</v>
      </c>
      <c r="Y100" s="7">
        <f t="shared" si="650"/>
        <v>-7.9300239169521114E-2</v>
      </c>
      <c r="Z100" s="21">
        <f t="shared" si="473"/>
        <v>0.12894477746676375</v>
      </c>
      <c r="AA100" s="5">
        <f t="shared" si="474"/>
        <v>2.0256513223989515E-2</v>
      </c>
      <c r="AB100" s="5">
        <f t="shared" si="475"/>
        <v>-0.99144486384067432</v>
      </c>
      <c r="AC100" s="8">
        <f t="shared" si="88"/>
        <v>1</v>
      </c>
      <c r="AD100" s="9">
        <f t="shared" si="118"/>
        <v>0.12894477746676375</v>
      </c>
      <c r="AE100" s="5">
        <f t="shared" si="89"/>
        <v>2.0256513223989515E-2</v>
      </c>
      <c r="AF100" s="10">
        <f t="shared" si="90"/>
        <v>-0.99144486384067432</v>
      </c>
      <c r="AG100" s="622">
        <f t="shared" si="91"/>
        <v>1.1704647463802675</v>
      </c>
      <c r="AH100" s="623">
        <f t="shared" si="92"/>
        <v>82.591380692317188</v>
      </c>
      <c r="AI100" s="624">
        <f t="shared" si="93"/>
        <v>-7.4999989171453043</v>
      </c>
      <c r="AJ100" s="625">
        <f t="shared" si="94"/>
        <v>98.92788527050088</v>
      </c>
      <c r="AK100" s="4">
        <f t="shared" si="213"/>
        <v>2.2679489672036701E-7</v>
      </c>
      <c r="AL100" s="5">
        <f t="shared" si="95"/>
        <v>-0.130526173482162</v>
      </c>
      <c r="AM100" s="6">
        <f t="shared" si="96"/>
        <v>-0.99144486384067432</v>
      </c>
      <c r="AN100" s="612">
        <f t="shared" si="97"/>
        <v>-7.4999989171341355</v>
      </c>
      <c r="AO100" s="613">
        <f t="shared" si="466"/>
        <v>0</v>
      </c>
      <c r="AP100" s="624">
        <f t="shared" si="99"/>
        <v>-89.99990044609406</v>
      </c>
      <c r="AQ100" s="625">
        <f t="shared" si="476"/>
        <v>2.8744708697891985</v>
      </c>
      <c r="AS100" s="56">
        <f t="shared" si="550"/>
        <v>-261.07221428340506</v>
      </c>
      <c r="AT100" s="78">
        <f t="shared" si="477"/>
        <v>0.90697257034556467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>
        <f>IFERROR(IF($IU100="","",IF($IU100&lt;(((Settings!$C$19/2)*-1)*$IE$8),"",1)),"")</f>
        <v>1</v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5.2229999999999999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5.1230000000000002</v>
      </c>
      <c r="II100" s="800" cm="1">
        <f t="array" ref="II100">IFERROR(IF($IH100&lt;1,$IH100+LARGE((IF($M$9:$M$150="",0,$M$9:$M$150)-MOD(IF($M$9:$M$150="",0,$M$9:$M$150),1)),1),$IH100),"")</f>
        <v>5.1230000000000002</v>
      </c>
      <c r="IJ100" s="839" t="str">
        <f t="shared" si="523"/>
        <v>1613</v>
      </c>
      <c r="IK100" s="839" t="str">
        <f t="shared" si="524"/>
        <v/>
      </c>
      <c r="IL100" s="791">
        <f t="shared" si="654"/>
        <v>15.912197702562935</v>
      </c>
      <c r="IM100" s="830">
        <v>4.0391168335125001E-3</v>
      </c>
      <c r="IN100" s="5">
        <f t="shared" si="655"/>
        <v>0.06</v>
      </c>
      <c r="IO100" s="852">
        <v>30</v>
      </c>
      <c r="IP100" s="9">
        <f t="shared" si="656"/>
        <v>-4.3058129863319676</v>
      </c>
      <c r="IQ100" s="5">
        <f t="shared" si="657"/>
        <v>-0.10720032331617492</v>
      </c>
      <c r="IR100" s="5">
        <f t="shared" si="525"/>
        <v>0.314</v>
      </c>
      <c r="IS100" s="5">
        <f t="shared" si="658"/>
        <v>0.29484007088739111</v>
      </c>
      <c r="IT100" s="791">
        <f t="shared" si="659"/>
        <v>13.994828883825726</v>
      </c>
      <c r="IU100" s="9">
        <f t="shared" si="660"/>
        <v>-4.3108130014120132</v>
      </c>
      <c r="IV100" s="5">
        <f t="shared" si="661"/>
        <v>-7.9300239169521114E-2</v>
      </c>
      <c r="IW100" s="5">
        <f t="shared" si="526"/>
        <v>0.26250000000000001</v>
      </c>
      <c r="IX100" s="5">
        <f t="shared" si="662"/>
        <v>0.26250000000000001</v>
      </c>
      <c r="IY100" s="833">
        <f t="shared" si="663"/>
        <v>7.4999989171341355</v>
      </c>
    </row>
    <row r="101" spans="1:259" ht="15" customHeight="1" x14ac:dyDescent="0.25">
      <c r="A101" s="84">
        <f t="shared" si="527"/>
        <v>0</v>
      </c>
      <c r="B101" s="770">
        <v>-4.9950336427805251</v>
      </c>
      <c r="C101" s="771">
        <v>-0.73083231293090767</v>
      </c>
      <c r="D101" s="772">
        <v>-0.30880093134360864</v>
      </c>
      <c r="E101" s="773">
        <v>-0.29753787075290378</v>
      </c>
      <c r="F101" s="771">
        <v>-4.3533527645128439E-2</v>
      </c>
      <c r="G101" s="774">
        <v>0.95371696400902883</v>
      </c>
      <c r="H101" s="773">
        <v>0.26250000000000001</v>
      </c>
      <c r="I101" s="771">
        <v>0.40699999999999997</v>
      </c>
      <c r="J101" s="601">
        <v>5.2290000000000001</v>
      </c>
      <c r="K101" s="426" t="str">
        <f t="shared" si="651"/>
        <v/>
      </c>
      <c r="L101" s="327"/>
      <c r="M101" s="173">
        <f t="shared" si="469"/>
        <v>5.2290000000000001</v>
      </c>
      <c r="N101" s="21">
        <f t="shared" si="470"/>
        <v>-4.9950336427805251</v>
      </c>
      <c r="O101" s="5">
        <f t="shared" si="471"/>
        <v>-0.73083231293090767</v>
      </c>
      <c r="P101" s="10">
        <f t="shared" si="472"/>
        <v>-0.30880093134360864</v>
      </c>
      <c r="Q101" s="624">
        <f t="shared" si="528"/>
        <v>188.32398580377287</v>
      </c>
      <c r="R101" s="5">
        <f t="shared" si="83"/>
        <v>5.0482152254171195</v>
      </c>
      <c r="S101" s="6">
        <f t="shared" si="84"/>
        <v>-0.30880093134360864</v>
      </c>
      <c r="T101" s="4">
        <f t="shared" si="85"/>
        <v>-0.730832312930906</v>
      </c>
      <c r="U101" s="5">
        <f t="shared" si="86"/>
        <v>4.9950336427805251</v>
      </c>
      <c r="V101" s="8">
        <f t="shared" si="117"/>
        <v>-0.30880093134360864</v>
      </c>
      <c r="W101" s="624">
        <f t="shared" si="652"/>
        <v>98.323985803772871</v>
      </c>
      <c r="X101" s="5">
        <f t="shared" si="87"/>
        <v>5.0482152254171195</v>
      </c>
      <c r="Y101" s="7">
        <f t="shared" si="650"/>
        <v>-0.30880093134360864</v>
      </c>
      <c r="Z101" s="21">
        <f t="shared" si="473"/>
        <v>0.29753787075290378</v>
      </c>
      <c r="AA101" s="5">
        <f t="shared" si="474"/>
        <v>4.3533527645128439E-2</v>
      </c>
      <c r="AB101" s="5">
        <f t="shared" si="475"/>
        <v>-0.95371696400902883</v>
      </c>
      <c r="AC101" s="8">
        <f t="shared" si="88"/>
        <v>1</v>
      </c>
      <c r="AD101" s="9">
        <f t="shared" si="118"/>
        <v>0.29753787075290378</v>
      </c>
      <c r="AE101" s="5">
        <f t="shared" si="89"/>
        <v>4.3533527645128439E-2</v>
      </c>
      <c r="AF101" s="10">
        <f t="shared" si="90"/>
        <v>-0.95371696400902883</v>
      </c>
      <c r="AG101" s="622">
        <f t="shared" si="91"/>
        <v>2.6135188055468674</v>
      </c>
      <c r="AH101" s="623">
        <f t="shared" si="92"/>
        <v>72.690218209717258</v>
      </c>
      <c r="AI101" s="624">
        <f t="shared" si="93"/>
        <v>-17.499997473317649</v>
      </c>
      <c r="AJ101" s="625">
        <f t="shared" si="94"/>
        <v>98.324029016747929</v>
      </c>
      <c r="AK101" s="4">
        <f t="shared" si="213"/>
        <v>2.2679489677934761E-7</v>
      </c>
      <c r="AL101" s="5">
        <f t="shared" si="95"/>
        <v>-0.30070575744629402</v>
      </c>
      <c r="AM101" s="6">
        <f t="shared" si="96"/>
        <v>-0.95371696400902883</v>
      </c>
      <c r="AN101" s="612">
        <f t="shared" si="97"/>
        <v>-17.499997473312984</v>
      </c>
      <c r="AO101" s="613">
        <f t="shared" si="466"/>
        <v>0</v>
      </c>
      <c r="AP101" s="624">
        <f t="shared" si="99"/>
        <v>-89.999956787024928</v>
      </c>
      <c r="AQ101" s="625">
        <f t="shared" si="476"/>
        <v>2.4551491736519688</v>
      </c>
      <c r="AS101" s="56">
        <f t="shared" si="550"/>
        <v>-261.67601419622713</v>
      </c>
      <c r="AT101" s="78">
        <f t="shared" si="477"/>
        <v>0.67975290006436051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>
        <f>IFERROR(IF($IU101="","",IF($IU101&lt;(((Settings!$C$19/2)*-1)*$IE$8),"",1)),"")</f>
        <v>1</v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5.2290000000000001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5.1289999999999996</v>
      </c>
      <c r="II101" s="800" cm="1">
        <f t="array" ref="II101">IFERROR(IF($IH101&lt;1,$IH101+LARGE((IF($M$9:$M$150="",0,$M$9:$M$150)-MOD(IF($M$9:$M$150="",0,$M$9:$M$150),1)),1),$IH101),"")</f>
        <v>5.1289999999999996</v>
      </c>
      <c r="IJ101" s="839" t="str">
        <f t="shared" si="523"/>
        <v>1613</v>
      </c>
      <c r="IK101" s="839" t="str">
        <f t="shared" si="524"/>
        <v/>
      </c>
      <c r="IL101" s="791">
        <f t="shared" si="654"/>
        <v>16.022997686565361</v>
      </c>
      <c r="IM101" s="830">
        <v>2.8319234932616998E-3</v>
      </c>
      <c r="IN101" s="5">
        <f t="shared" si="655"/>
        <v>0.04</v>
      </c>
      <c r="IO101" s="852">
        <v>20</v>
      </c>
      <c r="IP101" s="9">
        <f t="shared" si="656"/>
        <v>-5.0366151904314149</v>
      </c>
      <c r="IQ101" s="5">
        <f t="shared" si="657"/>
        <v>-0.33520101096624899</v>
      </c>
      <c r="IR101" s="5">
        <f t="shared" si="525"/>
        <v>0.314</v>
      </c>
      <c r="IS101" s="5">
        <f t="shared" si="658"/>
        <v>0.29399661317927167</v>
      </c>
      <c r="IT101" s="791">
        <f t="shared" si="659"/>
        <v>31.499117861451037</v>
      </c>
      <c r="IU101" s="9">
        <f t="shared" si="660"/>
        <v>-5.0482152254171195</v>
      </c>
      <c r="IV101" s="5">
        <f t="shared" si="661"/>
        <v>-0.30880093134360864</v>
      </c>
      <c r="IW101" s="5">
        <f t="shared" si="526"/>
        <v>0.26250000000000001</v>
      </c>
      <c r="IX101" s="5">
        <f t="shared" si="662"/>
        <v>0.26250000000000001</v>
      </c>
      <c r="IY101" s="833">
        <f t="shared" si="663"/>
        <v>17.499997473312984</v>
      </c>
    </row>
    <row r="102" spans="1:259" ht="15" customHeight="1" x14ac:dyDescent="0.25">
      <c r="A102" s="84">
        <f t="shared" si="527"/>
        <v>0</v>
      </c>
      <c r="B102" s="770">
        <v>-5.6520841736895777</v>
      </c>
      <c r="C102" s="771">
        <v>-0.77092161519683733</v>
      </c>
      <c r="D102" s="772">
        <v>-0.7025021187463889</v>
      </c>
      <c r="E102" s="773">
        <v>-0.4544417553736162</v>
      </c>
      <c r="F102" s="771">
        <v>-6.1984261916879613E-2</v>
      </c>
      <c r="G102" s="774">
        <v>0.88861726420746867</v>
      </c>
      <c r="H102" s="773">
        <v>0.26250000000000001</v>
      </c>
      <c r="I102" s="771">
        <v>0.40699999999999997</v>
      </c>
      <c r="J102" s="601">
        <v>5.2350000000000003</v>
      </c>
      <c r="K102" s="426" t="str">
        <f t="shared" si="651"/>
        <v/>
      </c>
      <c r="L102" s="327"/>
      <c r="M102" s="173">
        <f t="shared" si="469"/>
        <v>5.2350000000000003</v>
      </c>
      <c r="N102" s="21">
        <f t="shared" si="470"/>
        <v>-5.6520841736895777</v>
      </c>
      <c r="O102" s="5">
        <f t="shared" si="471"/>
        <v>-0.77092161519683733</v>
      </c>
      <c r="P102" s="10">
        <f t="shared" si="472"/>
        <v>-0.7025021187463889</v>
      </c>
      <c r="Q102" s="624">
        <f t="shared" si="528"/>
        <v>187.7669858841937</v>
      </c>
      <c r="R102" s="5">
        <f t="shared" si="83"/>
        <v>5.7044172045222901</v>
      </c>
      <c r="S102" s="6">
        <f t="shared" si="84"/>
        <v>-0.7025021187463889</v>
      </c>
      <c r="T102" s="4">
        <f t="shared" si="85"/>
        <v>-0.77092161519683611</v>
      </c>
      <c r="U102" s="5">
        <f t="shared" si="86"/>
        <v>5.6520841736895777</v>
      </c>
      <c r="V102" s="8">
        <f t="shared" si="117"/>
        <v>-0.7025021187463889</v>
      </c>
      <c r="W102" s="624">
        <f t="shared" si="652"/>
        <v>97.766985884193701</v>
      </c>
      <c r="X102" s="5">
        <f t="shared" si="87"/>
        <v>5.7044172045222901</v>
      </c>
      <c r="Y102" s="7">
        <f t="shared" si="650"/>
        <v>-0.7025021187463889</v>
      </c>
      <c r="Z102" s="21">
        <f t="shared" si="473"/>
        <v>0.4544417553736162</v>
      </c>
      <c r="AA102" s="5">
        <f t="shared" si="474"/>
        <v>6.1984261916879613E-2</v>
      </c>
      <c r="AB102" s="5">
        <f t="shared" si="475"/>
        <v>-0.88861726420746867</v>
      </c>
      <c r="AC102" s="8">
        <f t="shared" si="88"/>
        <v>1</v>
      </c>
      <c r="AD102" s="9">
        <f t="shared" si="118"/>
        <v>0.4544417553736162</v>
      </c>
      <c r="AE102" s="5">
        <f t="shared" si="89"/>
        <v>6.1984261916879613E-2</v>
      </c>
      <c r="AF102" s="10">
        <f t="shared" si="90"/>
        <v>-0.88861726420746867</v>
      </c>
      <c r="AG102" s="622">
        <f t="shared" si="91"/>
        <v>3.9901244183825044</v>
      </c>
      <c r="AH102" s="623">
        <f t="shared" si="92"/>
        <v>62.97097846025288</v>
      </c>
      <c r="AI102" s="624">
        <f t="shared" si="93"/>
        <v>-27.299996058371097</v>
      </c>
      <c r="AJ102" s="625">
        <f t="shared" si="94"/>
        <v>97.767014216047528</v>
      </c>
      <c r="AK102" s="4">
        <f t="shared" si="213"/>
        <v>2.2679489680016429E-7</v>
      </c>
      <c r="AL102" s="5">
        <f t="shared" si="95"/>
        <v>-0.45864949335236654</v>
      </c>
      <c r="AM102" s="6">
        <f t="shared" si="96"/>
        <v>-0.88861726420746867</v>
      </c>
      <c r="AN102" s="612">
        <f t="shared" si="97"/>
        <v>-27.299996058368247</v>
      </c>
      <c r="AO102" s="613">
        <f t="shared" si="466"/>
        <v>0</v>
      </c>
      <c r="AP102" s="624">
        <f t="shared" si="99"/>
        <v>-89.999971668146188</v>
      </c>
      <c r="AQ102" s="625">
        <f t="shared" si="476"/>
        <v>2.1730118372338216</v>
      </c>
      <c r="AS102" s="56">
        <f t="shared" si="550"/>
        <v>-262.23301411580633</v>
      </c>
      <c r="AT102" s="78">
        <f t="shared" si="477"/>
        <v>0.28815593457999056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5.2350000000000003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5.1349999999999998</v>
      </c>
      <c r="II102" s="800" cm="1">
        <f t="array" ref="II102">IFERROR(IF($IH102&lt;1,$IH102+LARGE((IF($M$9:$M$150="",0,$M$9:$M$150)-MOD(IF($M$9:$M$150="",0,$M$9:$M$150),1)),1),$IH102),"")</f>
        <v>5.1349999999999998</v>
      </c>
      <c r="IJ102" s="839" t="str">
        <f t="shared" si="523"/>
        <v>1613</v>
      </c>
      <c r="IK102" s="839" t="str">
        <f t="shared" si="524"/>
        <v/>
      </c>
      <c r="IL102" s="791">
        <f t="shared" si="654"/>
        <v>15.959397695748066</v>
      </c>
      <c r="IM102" s="830">
        <v>5.9474611726019401E-4</v>
      </c>
      <c r="IN102" s="5">
        <f t="shared" si="655"/>
        <v>0</v>
      </c>
      <c r="IO102" s="852">
        <v>0</v>
      </c>
      <c r="IP102" s="9">
        <f t="shared" si="656"/>
        <v>-5.6885171565677446</v>
      </c>
      <c r="IQ102" s="5">
        <f t="shared" si="657"/>
        <v>-0.72300218057457633</v>
      </c>
      <c r="IR102" s="5">
        <f t="shared" si="525"/>
        <v>0.314</v>
      </c>
      <c r="IS102" s="5">
        <f t="shared" si="658"/>
        <v>0.28881693355718258</v>
      </c>
      <c r="IT102" s="791">
        <f t="shared" si="659"/>
        <v>46.023868097589066</v>
      </c>
      <c r="IU102" s="9">
        <f t="shared" si="660"/>
        <v>-5.7044172045222901</v>
      </c>
      <c r="IV102" s="5">
        <f t="shared" si="661"/>
        <v>-0.7025021187463889</v>
      </c>
      <c r="IW102" s="5">
        <f t="shared" si="526"/>
        <v>0.26250000000000001</v>
      </c>
      <c r="IX102" s="5">
        <f t="shared" si="662"/>
        <v>0.26250000000000001</v>
      </c>
      <c r="IY102" s="833">
        <f t="shared" si="663"/>
        <v>27.299996058368247</v>
      </c>
    </row>
    <row r="103" spans="1:259" ht="15" customHeight="1" x14ac:dyDescent="0.25">
      <c r="A103" s="84">
        <f t="shared" si="527"/>
        <v>0</v>
      </c>
      <c r="B103" s="770">
        <v>-6.2011954976713044</v>
      </c>
      <c r="C103" s="771">
        <v>-0.78288582557624886</v>
      </c>
      <c r="D103" s="772">
        <v>-1.2406037416608835</v>
      </c>
      <c r="E103" s="773">
        <v>-0.5998376681005968</v>
      </c>
      <c r="F103" s="771">
        <v>-7.5728272998668286E-2</v>
      </c>
      <c r="G103" s="774">
        <v>0.79652997470043629</v>
      </c>
      <c r="H103" s="773">
        <v>0.26250000000000001</v>
      </c>
      <c r="I103" s="771">
        <v>0.40699999999999997</v>
      </c>
      <c r="J103" s="601">
        <v>5.2409999999999997</v>
      </c>
      <c r="K103" s="426" t="str">
        <f t="shared" si="651"/>
        <v/>
      </c>
      <c r="L103" s="327"/>
      <c r="M103" s="173">
        <f t="shared" si="469"/>
        <v>5.2409999999999997</v>
      </c>
      <c r="N103" s="21">
        <f t="shared" si="470"/>
        <v>-6.2011954976713044</v>
      </c>
      <c r="O103" s="5">
        <f t="shared" si="471"/>
        <v>-0.78288582557624886</v>
      </c>
      <c r="P103" s="10">
        <f t="shared" si="472"/>
        <v>-1.2406037416608835</v>
      </c>
      <c r="Q103" s="624">
        <f t="shared" si="528"/>
        <v>187.19538596672254</v>
      </c>
      <c r="R103" s="5">
        <f t="shared" si="83"/>
        <v>6.2504188512632544</v>
      </c>
      <c r="S103" s="6">
        <f t="shared" si="84"/>
        <v>-1.2406037416608835</v>
      </c>
      <c r="T103" s="4">
        <f t="shared" si="85"/>
        <v>-0.78288582557624931</v>
      </c>
      <c r="U103" s="5">
        <f t="shared" si="86"/>
        <v>6.2011954976713044</v>
      </c>
      <c r="V103" s="8">
        <f t="shared" si="117"/>
        <v>-1.2406037416608835</v>
      </c>
      <c r="W103" s="624">
        <f t="shared" si="652"/>
        <v>97.19538596672254</v>
      </c>
      <c r="X103" s="5">
        <f t="shared" si="87"/>
        <v>6.2504188512632544</v>
      </c>
      <c r="Y103" s="7">
        <f t="shared" si="650"/>
        <v>-1.2406037416608835</v>
      </c>
      <c r="Z103" s="21">
        <f t="shared" si="473"/>
        <v>0.5998376681005968</v>
      </c>
      <c r="AA103" s="5">
        <f t="shared" si="474"/>
        <v>7.5728272998668286E-2</v>
      </c>
      <c r="AB103" s="5">
        <f t="shared" si="475"/>
        <v>-0.79652997470043629</v>
      </c>
      <c r="AC103" s="8">
        <f t="shared" si="88"/>
        <v>1</v>
      </c>
      <c r="AD103" s="9">
        <f t="shared" si="118"/>
        <v>0.5998376681005968</v>
      </c>
      <c r="AE103" s="5">
        <f t="shared" si="89"/>
        <v>7.5728272998668286E-2</v>
      </c>
      <c r="AF103" s="10">
        <f t="shared" si="90"/>
        <v>-0.79652997470043629</v>
      </c>
      <c r="AG103" s="622">
        <f t="shared" si="91"/>
        <v>5.4309418768163411</v>
      </c>
      <c r="AH103" s="623">
        <f t="shared" si="92"/>
        <v>53.141727635594776</v>
      </c>
      <c r="AI103" s="624">
        <f t="shared" si="93"/>
        <v>-37.199994628987248</v>
      </c>
      <c r="AJ103" s="625">
        <f t="shared" si="94"/>
        <v>97.195407459297826</v>
      </c>
      <c r="AK103" s="4">
        <f t="shared" si="213"/>
        <v>2.2679489661281416E-7</v>
      </c>
      <c r="AL103" s="5">
        <f t="shared" si="95"/>
        <v>-0.60459904019413657</v>
      </c>
      <c r="AM103" s="6">
        <f t="shared" si="96"/>
        <v>-0.79652997470043629</v>
      </c>
      <c r="AN103" s="612">
        <f t="shared" si="97"/>
        <v>-37.19999462898533</v>
      </c>
      <c r="AO103" s="613">
        <f t="shared" si="466"/>
        <v>0</v>
      </c>
      <c r="AP103" s="624">
        <f t="shared" si="99"/>
        <v>-89.999978507424714</v>
      </c>
      <c r="AQ103" s="625">
        <f t="shared" si="476"/>
        <v>1.9833485187152466</v>
      </c>
      <c r="AS103" s="56">
        <f t="shared" si="550"/>
        <v>-262.80461403327746</v>
      </c>
      <c r="AT103" s="78">
        <f t="shared" si="477"/>
        <v>-0.247786310868502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5.2409999999999997</v>
      </c>
      <c r="IH103" s="797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5.141</v>
      </c>
      <c r="II103" s="800" cm="1">
        <f t="array" ref="II103">IFERROR(IF($IH103&lt;1,$IH103+LARGE((IF($M$9:$M$150="",0,$M$9:$M$150)-MOD(IF($M$9:$M$150="",0,$M$9:$M$150),1)),1),$IH103),"")</f>
        <v>5.141</v>
      </c>
      <c r="IJ103" s="839" t="str">
        <f t="shared" si="523"/>
        <v>1613</v>
      </c>
      <c r="IK103" s="839" t="str">
        <f t="shared" si="524"/>
        <v/>
      </c>
      <c r="IL103" s="791">
        <f t="shared" si="654"/>
        <v>15.92099770129235</v>
      </c>
      <c r="IM103" s="830">
        <v>1.3917725635663E-4</v>
      </c>
      <c r="IN103" s="5">
        <f t="shared" si="655"/>
        <v>0</v>
      </c>
      <c r="IO103" s="852">
        <v>0</v>
      </c>
      <c r="IP103" s="9">
        <f t="shared" si="656"/>
        <v>-6.233318799689501</v>
      </c>
      <c r="IQ103" s="5">
        <f t="shared" si="657"/>
        <v>-1.2527037781545944</v>
      </c>
      <c r="IR103" s="5">
        <f t="shared" si="525"/>
        <v>0.314</v>
      </c>
      <c r="IS103" s="5">
        <f t="shared" si="658"/>
        <v>0.28090804273327075</v>
      </c>
      <c r="IT103" s="791">
        <f t="shared" si="659"/>
        <v>58.200419084888416</v>
      </c>
      <c r="IU103" s="9">
        <f t="shared" si="660"/>
        <v>-6.2504188512632544</v>
      </c>
      <c r="IV103" s="5">
        <f t="shared" si="661"/>
        <v>-1.2406037416608835</v>
      </c>
      <c r="IW103" s="5">
        <f t="shared" si="526"/>
        <v>0.26250000000000001</v>
      </c>
      <c r="IX103" s="5">
        <f t="shared" si="662"/>
        <v>0.26250000000000001</v>
      </c>
      <c r="IY103" s="833">
        <f t="shared" si="663"/>
        <v>37.19999462898533</v>
      </c>
    </row>
    <row r="104" spans="1:259" ht="15" customHeight="1" x14ac:dyDescent="0.25">
      <c r="A104" s="84">
        <f t="shared" si="527"/>
        <v>0</v>
      </c>
      <c r="B104" s="770">
        <v>-6.607527702407026</v>
      </c>
      <c r="C104" s="771">
        <v>-0.77067495599774805</v>
      </c>
      <c r="D104" s="772">
        <v>-1.8900057002571908</v>
      </c>
      <c r="E104" s="773">
        <v>-0.72642913887947969</v>
      </c>
      <c r="F104" s="771">
        <v>-8.4727946452607991E-2</v>
      </c>
      <c r="G104" s="774">
        <v>0.68199844668205933</v>
      </c>
      <c r="H104" s="773">
        <v>0.26250000000000001</v>
      </c>
      <c r="I104" s="771">
        <v>0.40699999999999997</v>
      </c>
      <c r="J104" s="601">
        <v>5.2469999999999999</v>
      </c>
      <c r="K104" s="426" t="str">
        <f t="shared" si="651"/>
        <v/>
      </c>
      <c r="L104" s="327"/>
      <c r="M104" s="173">
        <f t="shared" si="469"/>
        <v>5.2469999999999999</v>
      </c>
      <c r="N104" s="21">
        <f t="shared" si="470"/>
        <v>-6.607527702407026</v>
      </c>
      <c r="O104" s="5">
        <f t="shared" si="471"/>
        <v>-0.77067495599774805</v>
      </c>
      <c r="P104" s="10">
        <f t="shared" si="472"/>
        <v>-1.8900057002571908</v>
      </c>
      <c r="Q104" s="624">
        <f t="shared" si="528"/>
        <v>186.65268604507872</v>
      </c>
      <c r="R104" s="5">
        <f t="shared" si="83"/>
        <v>6.652320063397311</v>
      </c>
      <c r="S104" s="6">
        <f t="shared" si="84"/>
        <v>-1.8900057002571908</v>
      </c>
      <c r="T104" s="4">
        <f t="shared" si="85"/>
        <v>-0.77067495599775016</v>
      </c>
      <c r="U104" s="5">
        <f t="shared" si="86"/>
        <v>6.607527702407026</v>
      </c>
      <c r="V104" s="8">
        <f t="shared" si="117"/>
        <v>-1.8900057002571908</v>
      </c>
      <c r="W104" s="624">
        <f t="shared" si="652"/>
        <v>96.652686045078724</v>
      </c>
      <c r="X104" s="5">
        <f t="shared" si="87"/>
        <v>6.652320063397311</v>
      </c>
      <c r="Y104" s="7">
        <f t="shared" si="650"/>
        <v>-1.8900057002571908</v>
      </c>
      <c r="Z104" s="21">
        <f t="shared" si="473"/>
        <v>0.72642913887947969</v>
      </c>
      <c r="AA104" s="5">
        <f t="shared" si="474"/>
        <v>8.4727946452607991E-2</v>
      </c>
      <c r="AB104" s="5">
        <f t="shared" si="475"/>
        <v>-0.68199844668205933</v>
      </c>
      <c r="AC104" s="8">
        <f t="shared" si="88"/>
        <v>1</v>
      </c>
      <c r="AD104" s="9">
        <f t="shared" si="118"/>
        <v>0.72642913887947969</v>
      </c>
      <c r="AE104" s="5">
        <f t="shared" si="89"/>
        <v>8.4727946452607991E-2</v>
      </c>
      <c r="AF104" s="10">
        <f t="shared" si="90"/>
        <v>-0.68199844668205933</v>
      </c>
      <c r="AG104" s="622">
        <f t="shared" si="91"/>
        <v>7.0818445464743851</v>
      </c>
      <c r="AH104" s="623">
        <f t="shared" si="92"/>
        <v>43.412134467502291</v>
      </c>
      <c r="AI104" s="624">
        <f t="shared" si="93"/>
        <v>-46.999993214041957</v>
      </c>
      <c r="AJ104" s="625">
        <f t="shared" si="94"/>
        <v>96.652703812667497</v>
      </c>
      <c r="AK104" s="4">
        <f t="shared" si="213"/>
        <v>2.2679489643240291E-7</v>
      </c>
      <c r="AL104" s="5">
        <f t="shared" si="95"/>
        <v>-0.7313536208450786</v>
      </c>
      <c r="AM104" s="6">
        <f t="shared" si="96"/>
        <v>-0.68199844668205933</v>
      </c>
      <c r="AN104" s="612">
        <f t="shared" si="97"/>
        <v>-46.999993214040586</v>
      </c>
      <c r="AO104" s="613">
        <f t="shared" si="466"/>
        <v>0</v>
      </c>
      <c r="AP104" s="624">
        <f t="shared" si="99"/>
        <v>-89.999982232411242</v>
      </c>
      <c r="AQ104" s="625">
        <f t="shared" si="476"/>
        <v>1.863611339248249</v>
      </c>
      <c r="AS104" s="56">
        <f t="shared" si="550"/>
        <v>-263.34731395492128</v>
      </c>
      <c r="AT104" s="78">
        <f t="shared" si="477"/>
        <v>-0.89513806976082155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5.2469999999999999</v>
      </c>
      <c r="IH104" s="797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5.1470000000000002</v>
      </c>
      <c r="II104" s="800" cm="1">
        <f t="array" ref="II104">IFERROR(IF($IH104&lt;1,$IH104+LARGE((IF($M$9:$M$150="",0,$M$9:$M$150)-MOD(IF($M$9:$M$150="",0,$M$9:$M$150),1)),1),$IH104),"")</f>
        <v>5.1470000000000002</v>
      </c>
      <c r="IJ104" s="839" t="str">
        <f t="shared" si="523"/>
        <v>1613</v>
      </c>
      <c r="IK104" s="839" t="str">
        <f t="shared" si="524"/>
        <v/>
      </c>
      <c r="IL104" s="791">
        <f t="shared" si="654"/>
        <v>15.969797694246495</v>
      </c>
      <c r="IM104" s="830">
        <v>3.16249042548674E-4</v>
      </c>
      <c r="IN104" s="5">
        <f t="shared" si="655"/>
        <v>0</v>
      </c>
      <c r="IO104" s="852">
        <v>0</v>
      </c>
      <c r="IP104" s="9">
        <f t="shared" si="656"/>
        <v>-6.6370200172523734</v>
      </c>
      <c r="IQ104" s="5">
        <f t="shared" si="657"/>
        <v>-1.893805711718026</v>
      </c>
      <c r="IR104" s="5">
        <f t="shared" si="525"/>
        <v>0.314</v>
      </c>
      <c r="IS104" s="5">
        <f t="shared" si="658"/>
        <v>0.27243733154210914</v>
      </c>
      <c r="IT104" s="791">
        <f t="shared" si="659"/>
        <v>68.897678051037644</v>
      </c>
      <c r="IU104" s="9">
        <f t="shared" si="660"/>
        <v>-6.652320063397311</v>
      </c>
      <c r="IV104" s="5">
        <f t="shared" si="661"/>
        <v>-1.8900057002571908</v>
      </c>
      <c r="IW104" s="5">
        <f t="shared" si="526"/>
        <v>0.26250000000000001</v>
      </c>
      <c r="IX104" s="5">
        <f t="shared" si="662"/>
        <v>0.26250000000000001</v>
      </c>
      <c r="IY104" s="833">
        <f t="shared" si="663"/>
        <v>46.999993214040586</v>
      </c>
    </row>
    <row r="105" spans="1:259" ht="15" customHeight="1" x14ac:dyDescent="0.25">
      <c r="A105" s="84">
        <f t="shared" si="527"/>
        <v>0</v>
      </c>
      <c r="B105" s="770">
        <v>-6.8505259037706461</v>
      </c>
      <c r="C105" s="771">
        <v>-0.77229445746750469</v>
      </c>
      <c r="D105" s="772">
        <v>-2.6027078497668752</v>
      </c>
      <c r="E105" s="773">
        <v>-0.82959267628352695</v>
      </c>
      <c r="F105" s="771">
        <v>-9.3524409418378848E-2</v>
      </c>
      <c r="G105" s="774">
        <v>0.55048085915831702</v>
      </c>
      <c r="H105" s="773">
        <v>0.26250000000000001</v>
      </c>
      <c r="I105" s="771">
        <v>0.40699999999999997</v>
      </c>
      <c r="J105" s="601">
        <v>5.2530000000000001</v>
      </c>
      <c r="K105" s="426" t="str">
        <f t="shared" si="651"/>
        <v/>
      </c>
      <c r="L105" s="327"/>
      <c r="M105" s="173">
        <f t="shared" ref="M105:M136" si="667">IF(J105="","",VALUE(J105))</f>
        <v>5.2530000000000001</v>
      </c>
      <c r="N105" s="21">
        <f t="shared" ref="N105:N136" si="668">IF(M105="","",B105)</f>
        <v>-6.8505259037706461</v>
      </c>
      <c r="O105" s="5">
        <f t="shared" ref="O105:O136" si="669">IF(M105="","",C105)</f>
        <v>-0.77229445746750469</v>
      </c>
      <c r="P105" s="10">
        <f t="shared" ref="P105:P136" si="670">IF(M105="","",D105)</f>
        <v>-2.6027078497668752</v>
      </c>
      <c r="Q105" s="624">
        <f t="shared" si="528"/>
        <v>186.43208607692941</v>
      </c>
      <c r="R105" s="5">
        <f t="shared" si="83"/>
        <v>6.8939207920651118</v>
      </c>
      <c r="S105" s="6">
        <f t="shared" si="84"/>
        <v>-2.6027078497668752</v>
      </c>
      <c r="T105" s="4">
        <f t="shared" si="85"/>
        <v>-0.77229445746750536</v>
      </c>
      <c r="U105" s="5">
        <f t="shared" si="86"/>
        <v>6.8505259037706461</v>
      </c>
      <c r="V105" s="8">
        <f t="shared" si="117"/>
        <v>-2.6027078497668752</v>
      </c>
      <c r="W105" s="624">
        <f t="shared" si="652"/>
        <v>96.432086076929409</v>
      </c>
      <c r="X105" s="5">
        <f t="shared" si="87"/>
        <v>6.8939207920651118</v>
      </c>
      <c r="Y105" s="7">
        <f t="shared" si="650"/>
        <v>-2.6027078497668752</v>
      </c>
      <c r="Z105" s="21">
        <f t="shared" ref="Z105:Z136" si="671">IF(M105="","",-E105)</f>
        <v>0.82959267628352695</v>
      </c>
      <c r="AA105" s="5">
        <f t="shared" ref="AA105:AA136" si="672">IF(M105="","",-F105)</f>
        <v>9.3524409418378848E-2</v>
      </c>
      <c r="AB105" s="5">
        <f t="shared" ref="AB105:AB136" si="673">IF(M105="","",-G105)</f>
        <v>-0.55048085915831702</v>
      </c>
      <c r="AC105" s="8">
        <f t="shared" si="88"/>
        <v>1</v>
      </c>
      <c r="AD105" s="9">
        <f t="shared" si="118"/>
        <v>0.82959267628352695</v>
      </c>
      <c r="AE105" s="5">
        <f t="shared" si="89"/>
        <v>9.3524409418378848E-2</v>
      </c>
      <c r="AF105" s="10">
        <f t="shared" si="90"/>
        <v>-0.55048085915831702</v>
      </c>
      <c r="AG105" s="622">
        <f t="shared" si="91"/>
        <v>9.6422450630216083</v>
      </c>
      <c r="AH105" s="623">
        <f t="shared" si="92"/>
        <v>33.943081279323302</v>
      </c>
      <c r="AI105" s="624">
        <f t="shared" si="93"/>
        <v>-56.59999182797322</v>
      </c>
      <c r="AJ105" s="625">
        <f t="shared" si="94"/>
        <v>96.432101641910975</v>
      </c>
      <c r="AK105" s="4">
        <f t="shared" si="213"/>
        <v>2.2679489662669194E-7</v>
      </c>
      <c r="AL105" s="5">
        <f t="shared" si="95"/>
        <v>-0.83484778474897425</v>
      </c>
      <c r="AM105" s="6">
        <f t="shared" si="96"/>
        <v>-0.55048085915831702</v>
      </c>
      <c r="AN105" s="612">
        <f t="shared" si="97"/>
        <v>-56.599991827972254</v>
      </c>
      <c r="AO105" s="613">
        <f t="shared" si="466"/>
        <v>0</v>
      </c>
      <c r="AP105" s="624">
        <f t="shared" si="99"/>
        <v>-89.999984435018419</v>
      </c>
      <c r="AQ105" s="625">
        <f t="shared" ref="AQ105:AQ136" si="674">IF(M105="","",DEGREES(ATAN(($AS$5*SIN(RADIANS(90)))/(($X105*2*PI())-($AS$5*COS(RADIANS(90)))))))</f>
        <v>1.7983438581118336</v>
      </c>
      <c r="AS105" s="56">
        <f t="shared" si="550"/>
        <v>-263.56791392307059</v>
      </c>
      <c r="AT105" s="78">
        <f t="shared" ref="AT105:AT136" si="675">IF(M105="","",Y105+(((AS105-$AS$9)*$AS$6)*-1))</f>
        <v>-1.607006841613053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5.2530000000000001</v>
      </c>
      <c r="IH105" s="797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5.1529999999999996</v>
      </c>
      <c r="II105" s="800" cm="1">
        <f t="array" ref="II105">IFERROR(IF($IH105&lt;1,$IH105+LARGE((IF($M$9:$M$150="",0,$M$9:$M$150)-MOD(IF($M$9:$M$150="",0,$M$9:$M$150),1)),1),$IH105),"")</f>
        <v>5.1529999999999996</v>
      </c>
      <c r="IJ105" s="839" t="str">
        <f t="shared" ref="IJ105:IJ136" si="721">IF(ISNUMBER($II105),INDEX($K$9:$K$150,MATCH($II105,$M$9:$M$150,0)),"")</f>
        <v>1613</v>
      </c>
      <c r="IK105" s="839" t="str">
        <f t="shared" ref="IK105:IK136" si="722">IF(ISNUMBER($II105),INDEX($K$9:$K$150,MATCH($IG105,$M$9:$M$150,0)),"")</f>
        <v/>
      </c>
      <c r="IL105" s="791">
        <f t="shared" si="654"/>
        <v>15.871797708395917</v>
      </c>
      <c r="IM105" s="830">
        <v>5.0743012433239996E-4</v>
      </c>
      <c r="IN105" s="5">
        <f t="shared" si="655"/>
        <v>0</v>
      </c>
      <c r="IO105" s="852">
        <v>0</v>
      </c>
      <c r="IP105" s="9">
        <f t="shared" si="656"/>
        <v>-6.8855207667306324</v>
      </c>
      <c r="IQ105" s="5">
        <f t="shared" si="657"/>
        <v>-2.5979078352900311</v>
      </c>
      <c r="IR105" s="5">
        <f t="shared" ref="IR105:IR136" si="723">IF(ISNUMBER($II105),INDEX($H$9:$H$150,MATCH($II105,$M$9:$M$150,0)),"")</f>
        <v>0.314</v>
      </c>
      <c r="IS105" s="5">
        <f t="shared" si="658"/>
        <v>0.26085424864929468</v>
      </c>
      <c r="IT105" s="791">
        <f t="shared" si="659"/>
        <v>77.763515282045063</v>
      </c>
      <c r="IU105" s="9">
        <f t="shared" si="660"/>
        <v>-6.8939207920651118</v>
      </c>
      <c r="IV105" s="5">
        <f t="shared" si="661"/>
        <v>-2.6027078497668752</v>
      </c>
      <c r="IW105" s="5">
        <f t="shared" ref="IW105:IW136" si="724">IF(ISNUMBER($II105),$H105,"")</f>
        <v>0.26250000000000001</v>
      </c>
      <c r="IX105" s="5">
        <f t="shared" si="662"/>
        <v>0.26250000000000001</v>
      </c>
      <c r="IY105" s="833">
        <f t="shared" si="663"/>
        <v>56.599991827972254</v>
      </c>
    </row>
    <row r="106" spans="1:259" ht="15" customHeight="1" x14ac:dyDescent="0.25">
      <c r="A106" s="84">
        <f t="shared" si="527"/>
        <v>0</v>
      </c>
      <c r="B106" s="770">
        <v>-7.004854625545236</v>
      </c>
      <c r="C106" s="771">
        <v>-0.76883732233282176</v>
      </c>
      <c r="D106" s="772">
        <v>-3.3369100641207536</v>
      </c>
      <c r="E106" s="773">
        <v>-0.90089748509070677</v>
      </c>
      <c r="F106" s="771">
        <v>-9.8880739910484156E-2</v>
      </c>
      <c r="G106" s="774">
        <v>0.42261841019055829</v>
      </c>
      <c r="H106" s="773">
        <v>0.26250000000000001</v>
      </c>
      <c r="I106" s="771">
        <v>0.40699999999999997</v>
      </c>
      <c r="J106" s="601">
        <v>5.2590000000000003</v>
      </c>
      <c r="K106" s="426" t="str">
        <f t="shared" si="651"/>
        <v/>
      </c>
      <c r="L106" s="327"/>
      <c r="M106" s="173">
        <f t="shared" si="667"/>
        <v>5.2590000000000003</v>
      </c>
      <c r="N106" s="21">
        <f t="shared" si="668"/>
        <v>-7.004854625545236</v>
      </c>
      <c r="O106" s="5">
        <f t="shared" si="669"/>
        <v>-0.76883732233282176</v>
      </c>
      <c r="P106" s="10">
        <f t="shared" si="670"/>
        <v>-3.3369100641207536</v>
      </c>
      <c r="Q106" s="624">
        <f t="shared" si="528"/>
        <v>186.2635861012578</v>
      </c>
      <c r="R106" s="5">
        <f t="shared" ref="R106:R129" si="725">IF(M106="","",SQRT(N106^2+O106^2))</f>
        <v>7.0469212535145012</v>
      </c>
      <c r="S106" s="6">
        <f t="shared" ref="S106:S129" si="726">IF(M106="","",P106)</f>
        <v>-3.3369100641207536</v>
      </c>
      <c r="T106" s="4">
        <f t="shared" ref="T106:T129" si="727">IF(M106="","",X106*COS(RADIANS(W106)))</f>
        <v>-0.76883732233282354</v>
      </c>
      <c r="U106" s="5">
        <f t="shared" ref="U106:U129" si="728">IF(M106="","",X106*SIN(RADIANS(W106)))</f>
        <v>7.004854625545236</v>
      </c>
      <c r="V106" s="8">
        <f t="shared" ref="V106:V129" si="729">IF(M106="","",Y106)</f>
        <v>-3.3369100641207536</v>
      </c>
      <c r="W106" s="624">
        <f t="shared" si="652"/>
        <v>96.2635861012578</v>
      </c>
      <c r="X106" s="5">
        <f t="shared" ref="X106:X129" si="730">IF(M106="","",R106)</f>
        <v>7.0469212535145012</v>
      </c>
      <c r="Y106" s="7">
        <f t="shared" si="650"/>
        <v>-3.3369100641207536</v>
      </c>
      <c r="Z106" s="21">
        <f t="shared" si="671"/>
        <v>0.90089748509070677</v>
      </c>
      <c r="AA106" s="5">
        <f t="shared" si="672"/>
        <v>9.8880739910484156E-2</v>
      </c>
      <c r="AB106" s="5">
        <f t="shared" si="673"/>
        <v>-0.42261841019055829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0.90089748509070677</v>
      </c>
      <c r="AE106" s="5">
        <f t="shared" ref="AE106:AE129" si="733">IF(M106="","",AA106*(1/SQRT(Z106^2+AA106^2+AB106^2)))</f>
        <v>9.8880739910484156E-2</v>
      </c>
      <c r="AF106" s="10">
        <f t="shared" ref="AF106:AF129" si="734">IF(M106="","",AB106*(1/SQRT(Z106^2+AA106^2+AB106^2)))</f>
        <v>-0.42261841019055829</v>
      </c>
      <c r="AG106" s="622">
        <f t="shared" ref="AG106:AG129" si="735">IF(M106="","",DEGREES(ATAN2(-AF106,AE106)))</f>
        <v>13.168703568998465</v>
      </c>
      <c r="AH106" s="623">
        <f t="shared" ref="AH106:AH129" si="736">IF(M106="","",DEGREES(ACOS(AD106)))</f>
        <v>25.723710440557003</v>
      </c>
      <c r="AI106" s="624">
        <f t="shared" ref="AI106:AI129" si="737">IF(M106="","",DEGREES(-ACOS(-AF106)))</f>
        <v>-64.999990615163156</v>
      </c>
      <c r="AJ106" s="625">
        <f t="shared" ref="AJ106:AJ129" si="738">IF(M106="","",DEGREES(ATAN2(-AE106,AD106)))</f>
        <v>96.263600438982309</v>
      </c>
      <c r="AK106" s="4">
        <f t="shared" ref="AK106:AK129" si="739">IF(M106="","",(COS(RADIANS((90-$Q$8)-W106))*AD106)+(-SIN(RADIANS((90-$Q$8)-W106))*AE106))</f>
        <v>2.2679489652954743E-7</v>
      </c>
      <c r="AL106" s="5">
        <f t="shared" ref="AL106:AL129" si="740">IF(M106="","",(SIN(RADIANS((90-$Q$8)-W106))*AD106)+(COS(RADIANS((90-$Q$8)-W106))*AE106))</f>
        <v>-0.90630771781330077</v>
      </c>
      <c r="AM106" s="6">
        <f t="shared" ref="AM106:AM129" si="741">IF(M106="","",AF106)</f>
        <v>-0.42261841019055829</v>
      </c>
      <c r="AN106" s="612">
        <f t="shared" ref="AN106:AN129" si="742">IF(M106="","",DEGREES(ATAN2(-AM106,AL106)))</f>
        <v>-64.999990615162474</v>
      </c>
      <c r="AO106" s="613">
        <f t="shared" si="466"/>
        <v>0</v>
      </c>
      <c r="AP106" s="624">
        <f t="shared" ref="AP106:AP129" si="743">IF(M106="","",DEGREES(ATAN2(AK106,AL106)))</f>
        <v>-89.999985662275478</v>
      </c>
      <c r="AQ106" s="625">
        <f t="shared" si="674"/>
        <v>1.7593236113880386</v>
      </c>
      <c r="AS106" s="56">
        <f t="shared" si="550"/>
        <v>-263.73641389874217</v>
      </c>
      <c r="AT106" s="78">
        <f t="shared" si="675"/>
        <v>-2.3405725005032831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5.2590000000000003</v>
      </c>
      <c r="IH106" s="797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5.1589999999999998</v>
      </c>
      <c r="II106" s="800" cm="1">
        <f t="array" ref="II106">IFERROR(IF($IH106&lt;1,$IH106+LARGE((IF($M$9:$M$150="",0,$M$9:$M$150)-MOD(IF($M$9:$M$150="",0,$M$9:$M$150),1)),1),$IH106),"")</f>
        <v>5.1589999999999998</v>
      </c>
      <c r="IJ106" s="839" t="str">
        <f t="shared" si="721"/>
        <v>1613</v>
      </c>
      <c r="IK106" s="839" t="str">
        <f t="shared" si="722"/>
        <v/>
      </c>
      <c r="IL106" s="791">
        <f t="shared" si="654"/>
        <v>15.486397294798905</v>
      </c>
      <c r="IM106" s="830">
        <v>4.0097747209291799E-4</v>
      </c>
      <c r="IN106" s="5">
        <f t="shared" si="655"/>
        <v>0</v>
      </c>
      <c r="IO106" s="852">
        <v>0</v>
      </c>
      <c r="IP106" s="9">
        <f t="shared" si="656"/>
        <v>-7.0460212508000932</v>
      </c>
      <c r="IQ106" s="5">
        <f t="shared" si="657"/>
        <v>-3.3270100342622628</v>
      </c>
      <c r="IR106" s="5">
        <f t="shared" si="723"/>
        <v>0.314</v>
      </c>
      <c r="IS106" s="5">
        <f t="shared" si="658"/>
        <v>0.2514235857105519</v>
      </c>
      <c r="IT106" s="791">
        <f t="shared" si="659"/>
        <v>85.622108519327412</v>
      </c>
      <c r="IU106" s="9">
        <f t="shared" si="660"/>
        <v>-7.0469212535145012</v>
      </c>
      <c r="IV106" s="5">
        <f t="shared" si="661"/>
        <v>-3.3369100641207536</v>
      </c>
      <c r="IW106" s="5">
        <f t="shared" si="724"/>
        <v>0.26250000000000001</v>
      </c>
      <c r="IX106" s="5">
        <f t="shared" si="662"/>
        <v>0.26250000000000001</v>
      </c>
      <c r="IY106" s="833">
        <f t="shared" si="663"/>
        <v>64.999990615162474</v>
      </c>
    </row>
    <row r="107" spans="1:259" ht="15" customHeight="1" x14ac:dyDescent="0.25">
      <c r="A107" s="84">
        <f t="shared" si="527"/>
        <v>0.02</v>
      </c>
      <c r="B107" s="770">
        <v>-2.8146965553503085</v>
      </c>
      <c r="C107" s="771">
        <v>1.9708723272037749</v>
      </c>
      <c r="D107" s="772">
        <v>-6.7500203580613802E-2</v>
      </c>
      <c r="E107" s="773">
        <v>-0.50970029871628131</v>
      </c>
      <c r="F107" s="771">
        <v>-0.79025690840509333</v>
      </c>
      <c r="G107" s="774">
        <v>0.34014647463491021</v>
      </c>
      <c r="H107" s="773">
        <v>0.314</v>
      </c>
      <c r="I107" s="771">
        <v>0.52</v>
      </c>
      <c r="J107" s="601">
        <v>6.1159999999999997</v>
      </c>
      <c r="K107" s="426" t="str">
        <f t="shared" si="651"/>
        <v>1613</v>
      </c>
      <c r="L107" s="327"/>
      <c r="M107" s="173">
        <f t="shared" si="667"/>
        <v>6.1159999999999997</v>
      </c>
      <c r="N107" s="21">
        <f t="shared" si="668"/>
        <v>-2.8146965553503085</v>
      </c>
      <c r="O107" s="5">
        <f t="shared" si="669"/>
        <v>1.9708723272037749</v>
      </c>
      <c r="P107" s="10">
        <f t="shared" si="670"/>
        <v>-6.7500203580613802E-2</v>
      </c>
      <c r="Q107" s="624">
        <f t="shared" si="528"/>
        <v>144.99999205898365</v>
      </c>
      <c r="R107" s="5">
        <f t="shared" si="725"/>
        <v>3.4361103633088557</v>
      </c>
      <c r="S107" s="6">
        <f t="shared" si="726"/>
        <v>-6.7500203580613802E-2</v>
      </c>
      <c r="T107" s="4">
        <f t="shared" si="727"/>
        <v>1.9708723272037751</v>
      </c>
      <c r="U107" s="5">
        <f t="shared" si="728"/>
        <v>2.8146965553503085</v>
      </c>
      <c r="V107" s="8">
        <f t="shared" si="729"/>
        <v>-6.7500203580613802E-2</v>
      </c>
      <c r="W107" s="624">
        <f t="shared" si="652"/>
        <v>54.999992058983651</v>
      </c>
      <c r="X107" s="5">
        <f t="shared" si="730"/>
        <v>3.4361103633088557</v>
      </c>
      <c r="Y107" s="7">
        <f t="shared" si="650"/>
        <v>-6.7500203580613802E-2</v>
      </c>
      <c r="Z107" s="21">
        <f t="shared" si="671"/>
        <v>0.50970029871628131</v>
      </c>
      <c r="AA107" s="5">
        <f t="shared" si="672"/>
        <v>0.79025690840509333</v>
      </c>
      <c r="AB107" s="5">
        <f t="shared" si="673"/>
        <v>-0.34014647463491021</v>
      </c>
      <c r="AC107" s="8">
        <f t="shared" si="731"/>
        <v>1</v>
      </c>
      <c r="AD107" s="9">
        <f t="shared" si="732"/>
        <v>0.50970029871628131</v>
      </c>
      <c r="AE107" s="5">
        <f t="shared" si="733"/>
        <v>0.79025690840509333</v>
      </c>
      <c r="AF107" s="10">
        <f t="shared" si="734"/>
        <v>-0.34014647463491021</v>
      </c>
      <c r="AG107" s="622">
        <f t="shared" si="735"/>
        <v>66.711738646921532</v>
      </c>
      <c r="AH107" s="623">
        <f t="shared" si="736"/>
        <v>59.356131146615979</v>
      </c>
      <c r="AI107" s="624">
        <f t="shared" si="737"/>
        <v>-70.114201655431643</v>
      </c>
      <c r="AJ107" s="625">
        <f t="shared" si="738"/>
        <v>147.17877280409743</v>
      </c>
      <c r="AK107" s="4">
        <f t="shared" si="739"/>
        <v>0.93969263802333458</v>
      </c>
      <c r="AL107" s="5">
        <f t="shared" si="740"/>
        <v>3.5750829895106251E-2</v>
      </c>
      <c r="AM107" s="6">
        <f t="shared" si="741"/>
        <v>-0.34014647463491021</v>
      </c>
      <c r="AN107" s="612">
        <f t="shared" si="742"/>
        <v>5.9999991337073491</v>
      </c>
      <c r="AO107" s="613">
        <f t="shared" si="466"/>
        <v>19.999997112357679</v>
      </c>
      <c r="AP107" s="624">
        <f t="shared" si="743"/>
        <v>2.1787807451137788</v>
      </c>
      <c r="AQ107" s="625">
        <f t="shared" si="674"/>
        <v>3.6044674704386628</v>
      </c>
      <c r="AS107" s="56">
        <f t="shared" ref="AS107:AS138" si="746">IF(G107="","",IF(AND(W107&lt;(AS106+180),W107&gt;(AS106-180)),W107,IF(W107&gt;(AS106+180),W107-360,IF(W107&lt;(AS106-180),W107+360,"Error"))))</f>
        <v>-305.00000794101635</v>
      </c>
      <c r="AT107" s="78">
        <f t="shared" si="675"/>
        <v>1.0847220486410036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6.1159999999999997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0.02</v>
      </c>
      <c r="B108" s="770">
        <v>-3.4182353928026417</v>
      </c>
      <c r="C108" s="771">
        <v>2.4027333065978365</v>
      </c>
      <c r="D108" s="772">
        <v>-8.6300260281584912E-2</v>
      </c>
      <c r="E108" s="773">
        <v>-0.59402766081741776</v>
      </c>
      <c r="F108" s="771">
        <v>-0.73051413972219792</v>
      </c>
      <c r="G108" s="774">
        <v>0.33686826779874085</v>
      </c>
      <c r="H108" s="773">
        <v>0.314</v>
      </c>
      <c r="I108" s="771">
        <v>0.52</v>
      </c>
      <c r="J108" s="601">
        <v>6.1219999999999999</v>
      </c>
      <c r="K108" s="426" t="str">
        <f t="shared" si="651"/>
        <v>1613</v>
      </c>
      <c r="L108" s="327"/>
      <c r="M108" s="173">
        <f t="shared" si="667"/>
        <v>6.1219999999999999</v>
      </c>
      <c r="N108" s="21">
        <f t="shared" si="668"/>
        <v>-3.4182353928026417</v>
      </c>
      <c r="O108" s="5">
        <f t="shared" si="669"/>
        <v>2.4027333065978365</v>
      </c>
      <c r="P108" s="10">
        <f t="shared" si="670"/>
        <v>-8.6300260281584912E-2</v>
      </c>
      <c r="Q108" s="624">
        <f t="shared" si="528"/>
        <v>144.89599207399937</v>
      </c>
      <c r="R108" s="5">
        <f t="shared" si="725"/>
        <v>4.1782126014892063</v>
      </c>
      <c r="S108" s="6">
        <f t="shared" si="726"/>
        <v>-8.6300260281584912E-2</v>
      </c>
      <c r="T108" s="4">
        <f t="shared" si="727"/>
        <v>2.4027333065978373</v>
      </c>
      <c r="U108" s="5">
        <f t="shared" si="728"/>
        <v>3.4182353928026408</v>
      </c>
      <c r="V108" s="8">
        <f t="shared" si="729"/>
        <v>-8.6300260281584912E-2</v>
      </c>
      <c r="W108" s="624">
        <f t="shared" si="652"/>
        <v>54.895992073999366</v>
      </c>
      <c r="X108" s="5">
        <f t="shared" si="730"/>
        <v>4.1782126014892063</v>
      </c>
      <c r="Y108" s="7">
        <f t="shared" si="650"/>
        <v>-8.6300260281584912E-2</v>
      </c>
      <c r="Z108" s="21">
        <f t="shared" si="671"/>
        <v>0.59402766081741776</v>
      </c>
      <c r="AA108" s="5">
        <f t="shared" si="672"/>
        <v>0.73051413972219792</v>
      </c>
      <c r="AB108" s="5">
        <f t="shared" si="673"/>
        <v>-0.33686826779874085</v>
      </c>
      <c r="AC108" s="8">
        <f t="shared" si="731"/>
        <v>1</v>
      </c>
      <c r="AD108" s="9">
        <f t="shared" si="732"/>
        <v>0.59402766081741776</v>
      </c>
      <c r="AE108" s="5">
        <f t="shared" si="733"/>
        <v>0.73051413972219792</v>
      </c>
      <c r="AF108" s="10">
        <f t="shared" si="734"/>
        <v>-0.33686826779874085</v>
      </c>
      <c r="AG108" s="622">
        <f t="shared" si="735"/>
        <v>65.243749388787705</v>
      </c>
      <c r="AH108" s="623">
        <f t="shared" si="736"/>
        <v>53.556652757187074</v>
      </c>
      <c r="AI108" s="624">
        <f t="shared" si="737"/>
        <v>-70.313813542698597</v>
      </c>
      <c r="AJ108" s="625">
        <f t="shared" si="738"/>
        <v>140.88323897197438</v>
      </c>
      <c r="AK108" s="4">
        <f t="shared" si="739"/>
        <v>0.93924357310800211</v>
      </c>
      <c r="AL108" s="5">
        <f t="shared" si="740"/>
        <v>-6.5888394468138656E-2</v>
      </c>
      <c r="AM108" s="6">
        <f t="shared" si="741"/>
        <v>-0.33686826779874085</v>
      </c>
      <c r="AN108" s="612">
        <f t="shared" si="742"/>
        <v>-11.066825626043236</v>
      </c>
      <c r="AO108" s="613">
        <f t="shared" si="466"/>
        <v>20.075090039957292</v>
      </c>
      <c r="AP108" s="624">
        <f t="shared" si="743"/>
        <v>-4.0127531020249725</v>
      </c>
      <c r="AQ108" s="625">
        <f t="shared" si="674"/>
        <v>2.9655351828653651</v>
      </c>
      <c r="AS108" s="56">
        <f t="shared" si="746"/>
        <v>-305.10400792600063</v>
      </c>
      <c r="AT108" s="78">
        <f t="shared" si="675"/>
        <v>1.0663148807721952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6.1219999999999999</v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0.02</v>
      </c>
      <c r="B109" s="770">
        <v>-4.0026521498742857</v>
      </c>
      <c r="C109" s="771">
        <v>2.8611721019029401</v>
      </c>
      <c r="D109" s="772">
        <v>-0.2856008613721977</v>
      </c>
      <c r="E109" s="773">
        <v>-0.68110373178065764</v>
      </c>
      <c r="F109" s="771">
        <v>-0.66473159281096028</v>
      </c>
      <c r="G109" s="774">
        <v>0.30696842846368699</v>
      </c>
      <c r="H109" s="773">
        <v>0.314</v>
      </c>
      <c r="I109" s="771">
        <v>0.52</v>
      </c>
      <c r="J109" s="601">
        <v>6.1280000000000001</v>
      </c>
      <c r="K109" s="426" t="str">
        <f t="shared" si="651"/>
        <v>1613</v>
      </c>
      <c r="L109" s="327"/>
      <c r="M109" s="173">
        <f t="shared" si="667"/>
        <v>6.1280000000000001</v>
      </c>
      <c r="N109" s="21">
        <f t="shared" si="668"/>
        <v>-4.0026521498742857</v>
      </c>
      <c r="O109" s="5">
        <f t="shared" si="669"/>
        <v>2.8611721019029401</v>
      </c>
      <c r="P109" s="10">
        <f t="shared" si="670"/>
        <v>-0.2856008613721977</v>
      </c>
      <c r="Q109" s="624">
        <f t="shared" si="528"/>
        <v>144.44209213953445</v>
      </c>
      <c r="R109" s="5">
        <f t="shared" si="725"/>
        <v>4.9201148390663541</v>
      </c>
      <c r="S109" s="6">
        <f t="shared" si="726"/>
        <v>-0.2856008613721977</v>
      </c>
      <c r="T109" s="4">
        <f t="shared" si="727"/>
        <v>2.8611721019029392</v>
      </c>
      <c r="U109" s="5">
        <f t="shared" si="728"/>
        <v>4.0026521498742866</v>
      </c>
      <c r="V109" s="8">
        <f t="shared" si="729"/>
        <v>-0.2856008613721977</v>
      </c>
      <c r="W109" s="624">
        <f t="shared" si="652"/>
        <v>54.442092139534452</v>
      </c>
      <c r="X109" s="5">
        <f t="shared" si="730"/>
        <v>4.9201148390663541</v>
      </c>
      <c r="Y109" s="7">
        <f t="shared" si="650"/>
        <v>-0.2856008613721977</v>
      </c>
      <c r="Z109" s="21">
        <f t="shared" si="671"/>
        <v>0.68110373178065764</v>
      </c>
      <c r="AA109" s="5">
        <f t="shared" si="672"/>
        <v>0.66473159281096028</v>
      </c>
      <c r="AB109" s="5">
        <f t="shared" si="673"/>
        <v>-0.30696842846368699</v>
      </c>
      <c r="AC109" s="8">
        <f t="shared" si="731"/>
        <v>1</v>
      </c>
      <c r="AD109" s="9">
        <f t="shared" si="732"/>
        <v>0.68110373178065764</v>
      </c>
      <c r="AE109" s="5">
        <f t="shared" si="733"/>
        <v>0.66473159281096028</v>
      </c>
      <c r="AF109" s="10">
        <f t="shared" si="734"/>
        <v>-0.30696842846368699</v>
      </c>
      <c r="AG109" s="622">
        <f t="shared" si="735"/>
        <v>65.212835430006564</v>
      </c>
      <c r="AH109" s="623">
        <f t="shared" si="736"/>
        <v>47.070047140673815</v>
      </c>
      <c r="AI109" s="624">
        <f t="shared" si="737"/>
        <v>-72.123371455377807</v>
      </c>
      <c r="AJ109" s="625">
        <f t="shared" si="738"/>
        <v>134.30302899776839</v>
      </c>
      <c r="AK109" s="4">
        <f t="shared" si="739"/>
        <v>0.93685706242613676</v>
      </c>
      <c r="AL109" s="5">
        <f t="shared" si="740"/>
        <v>-0.16753873733797786</v>
      </c>
      <c r="AM109" s="6">
        <f t="shared" si="741"/>
        <v>-0.30696842846368699</v>
      </c>
      <c r="AN109" s="612">
        <f t="shared" si="742"/>
        <v>-28.625046020196134</v>
      </c>
      <c r="AO109" s="613">
        <f t="shared" si="466"/>
        <v>20.469732386209177</v>
      </c>
      <c r="AP109" s="624">
        <f t="shared" si="743"/>
        <v>-10.139063141766037</v>
      </c>
      <c r="AQ109" s="625">
        <f t="shared" si="674"/>
        <v>2.5189902797919368</v>
      </c>
      <c r="AS109" s="56">
        <f t="shared" si="746"/>
        <v>-305.55790786046555</v>
      </c>
      <c r="AT109" s="78">
        <f t="shared" si="675"/>
        <v>0.86872901276733883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6.1280000000000001</v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0.02</v>
      </c>
      <c r="B110" s="770">
        <v>-4.5094314076551667</v>
      </c>
      <c r="C110" s="771">
        <v>3.2964190003565399</v>
      </c>
      <c r="D110" s="772">
        <v>-0.64880195678670216</v>
      </c>
      <c r="E110" s="773">
        <v>-0.75848987657285538</v>
      </c>
      <c r="F110" s="771">
        <v>-0.59367551404392349</v>
      </c>
      <c r="G110" s="774">
        <v>0.26877963308475988</v>
      </c>
      <c r="H110" s="773">
        <v>0.314</v>
      </c>
      <c r="I110" s="771">
        <v>0.52</v>
      </c>
      <c r="J110" s="601">
        <v>6.1340000000000003</v>
      </c>
      <c r="K110" s="426" t="str">
        <f t="shared" si="651"/>
        <v>1613</v>
      </c>
      <c r="L110" s="327"/>
      <c r="M110" s="173">
        <f t="shared" si="667"/>
        <v>6.1340000000000003</v>
      </c>
      <c r="N110" s="21">
        <f t="shared" si="668"/>
        <v>-4.5094314076551667</v>
      </c>
      <c r="O110" s="5">
        <f t="shared" si="669"/>
        <v>3.2964190003565399</v>
      </c>
      <c r="P110" s="10">
        <f t="shared" si="670"/>
        <v>-0.64880195678670216</v>
      </c>
      <c r="Q110" s="624">
        <f t="shared" si="528"/>
        <v>143.83299222747758</v>
      </c>
      <c r="R110" s="5">
        <f t="shared" si="725"/>
        <v>5.5858168468236116</v>
      </c>
      <c r="S110" s="6">
        <f t="shared" si="726"/>
        <v>-0.64880195678670216</v>
      </c>
      <c r="T110" s="4">
        <f t="shared" si="727"/>
        <v>3.2964190003565403</v>
      </c>
      <c r="U110" s="5">
        <f t="shared" si="728"/>
        <v>4.5094314076551667</v>
      </c>
      <c r="V110" s="8">
        <f t="shared" si="729"/>
        <v>-0.64880195678670216</v>
      </c>
      <c r="W110" s="624">
        <f t="shared" si="652"/>
        <v>53.832992227477575</v>
      </c>
      <c r="X110" s="5">
        <f t="shared" si="730"/>
        <v>5.5858168468236116</v>
      </c>
      <c r="Y110" s="7">
        <f t="shared" si="650"/>
        <v>-0.64880195678670216</v>
      </c>
      <c r="Z110" s="21">
        <f t="shared" si="671"/>
        <v>0.75848987657285538</v>
      </c>
      <c r="AA110" s="5">
        <f t="shared" si="672"/>
        <v>0.59367551404392349</v>
      </c>
      <c r="AB110" s="5">
        <f t="shared" si="673"/>
        <v>-0.26877963308475988</v>
      </c>
      <c r="AC110" s="8">
        <f t="shared" si="731"/>
        <v>1</v>
      </c>
      <c r="AD110" s="9">
        <f t="shared" si="732"/>
        <v>0.75848987657285538</v>
      </c>
      <c r="AE110" s="5">
        <f t="shared" si="733"/>
        <v>0.59367551404392349</v>
      </c>
      <c r="AF110" s="10">
        <f t="shared" si="734"/>
        <v>-0.26877963308475988</v>
      </c>
      <c r="AG110" s="622">
        <f t="shared" si="735"/>
        <v>65.641916884446914</v>
      </c>
      <c r="AH110" s="623">
        <f t="shared" si="736"/>
        <v>40.668750997806761</v>
      </c>
      <c r="AI110" s="624">
        <f t="shared" si="737"/>
        <v>-74.408339184831959</v>
      </c>
      <c r="AJ110" s="625">
        <f t="shared" si="738"/>
        <v>128.0505437409175</v>
      </c>
      <c r="AK110" s="4">
        <f t="shared" si="739"/>
        <v>0.92689029942729073</v>
      </c>
      <c r="AL110" s="5">
        <f t="shared" si="740"/>
        <v>-0.26197687238840278</v>
      </c>
      <c r="AM110" s="6">
        <f t="shared" si="741"/>
        <v>-0.26877963308475988</v>
      </c>
      <c r="AN110" s="612">
        <f t="shared" si="742"/>
        <v>-44.265674313003601</v>
      </c>
      <c r="AO110" s="613">
        <f t="shared" si="466"/>
        <v>22.044855570816797</v>
      </c>
      <c r="AP110" s="624">
        <f t="shared" si="743"/>
        <v>-15.782448486560058</v>
      </c>
      <c r="AQ110" s="625">
        <f t="shared" si="674"/>
        <v>2.2191044694403264</v>
      </c>
      <c r="AS110" s="56">
        <f t="shared" si="746"/>
        <v>-306.16700777252242</v>
      </c>
      <c r="AT110" s="78">
        <f t="shared" si="675"/>
        <v>0.50782896146504919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6.1340000000000003</v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0.02</v>
      </c>
      <c r="B111" s="770">
        <v>-4.9257005265611236</v>
      </c>
      <c r="C111" s="771">
        <v>3.6830860237939236</v>
      </c>
      <c r="D111" s="772">
        <v>-1.1563034874113181</v>
      </c>
      <c r="E111" s="773">
        <v>-0.82836138495853084</v>
      </c>
      <c r="F111" s="771">
        <v>-0.50752111542057832</v>
      </c>
      <c r="G111" s="774">
        <v>0.23714917944584354</v>
      </c>
      <c r="H111" s="773">
        <v>0.314</v>
      </c>
      <c r="I111" s="771">
        <v>0.52</v>
      </c>
      <c r="J111" s="601">
        <v>6.14</v>
      </c>
      <c r="K111" s="426" t="str">
        <f t="shared" si="651"/>
        <v>1613</v>
      </c>
      <c r="L111" s="327"/>
      <c r="M111" s="173">
        <f t="shared" si="667"/>
        <v>6.14</v>
      </c>
      <c r="N111" s="21">
        <f t="shared" si="668"/>
        <v>-4.9257005265611236</v>
      </c>
      <c r="O111" s="5">
        <f t="shared" si="669"/>
        <v>3.6830860237939236</v>
      </c>
      <c r="P111" s="10">
        <f t="shared" si="670"/>
        <v>-1.1563034874113181</v>
      </c>
      <c r="Q111" s="624">
        <f t="shared" si="528"/>
        <v>143.2134923169223</v>
      </c>
      <c r="R111" s="5">
        <f t="shared" si="725"/>
        <v>6.1504185496623451</v>
      </c>
      <c r="S111" s="6">
        <f t="shared" si="726"/>
        <v>-1.1563034874113181</v>
      </c>
      <c r="T111" s="4">
        <f t="shared" si="727"/>
        <v>3.6830860237939231</v>
      </c>
      <c r="U111" s="5">
        <f t="shared" si="728"/>
        <v>4.9257005265611236</v>
      </c>
      <c r="V111" s="8">
        <f t="shared" si="729"/>
        <v>-1.1563034874113181</v>
      </c>
      <c r="W111" s="624">
        <f t="shared" si="652"/>
        <v>53.213492316922299</v>
      </c>
      <c r="X111" s="5">
        <f t="shared" si="730"/>
        <v>6.1504185496623451</v>
      </c>
      <c r="Y111" s="7">
        <f t="shared" si="650"/>
        <v>-1.1563034874113181</v>
      </c>
      <c r="Z111" s="21">
        <f t="shared" si="671"/>
        <v>0.82836138495853084</v>
      </c>
      <c r="AA111" s="5">
        <f t="shared" si="672"/>
        <v>0.50752111542057832</v>
      </c>
      <c r="AB111" s="5">
        <f t="shared" si="673"/>
        <v>-0.23714917944584354</v>
      </c>
      <c r="AC111" s="8">
        <f t="shared" si="731"/>
        <v>1</v>
      </c>
      <c r="AD111" s="9">
        <f t="shared" si="732"/>
        <v>0.82836138495853084</v>
      </c>
      <c r="AE111" s="5">
        <f t="shared" si="733"/>
        <v>0.50752111542057832</v>
      </c>
      <c r="AF111" s="10">
        <f t="shared" si="734"/>
        <v>-0.23714917944584354</v>
      </c>
      <c r="AG111" s="622">
        <f t="shared" si="735"/>
        <v>64.954746240661706</v>
      </c>
      <c r="AH111" s="623">
        <f t="shared" si="736"/>
        <v>34.069221263123239</v>
      </c>
      <c r="AI111" s="624">
        <f t="shared" si="737"/>
        <v>-76.281656516014479</v>
      </c>
      <c r="AJ111" s="625">
        <f t="shared" si="738"/>
        <v>121.49500174528175</v>
      </c>
      <c r="AK111" s="4">
        <f t="shared" si="739"/>
        <v>0.90251146653492564</v>
      </c>
      <c r="AL111" s="5">
        <f t="shared" si="740"/>
        <v>-0.35949036073466673</v>
      </c>
      <c r="AM111" s="6">
        <f t="shared" si="741"/>
        <v>-0.23714917944584354</v>
      </c>
      <c r="AN111" s="612">
        <f t="shared" si="742"/>
        <v>-56.587897896377854</v>
      </c>
      <c r="AO111" s="613">
        <f t="shared" si="466"/>
        <v>25.509822486254496</v>
      </c>
      <c r="AP111" s="624">
        <f t="shared" si="743"/>
        <v>-21.71849057164054</v>
      </c>
      <c r="AQ111" s="625">
        <f t="shared" si="674"/>
        <v>2.015569605327292</v>
      </c>
      <c r="AS111" s="56">
        <f t="shared" si="746"/>
        <v>-306.78650768307773</v>
      </c>
      <c r="AT111" s="78">
        <f t="shared" si="675"/>
        <v>2.6677638358645339E-3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6.14</v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0.02</v>
      </c>
      <c r="B112" s="770">
        <v>-5.235084778088444</v>
      </c>
      <c r="C112" s="771">
        <v>3.9892655858189223</v>
      </c>
      <c r="D112" s="772">
        <v>-1.7810053715122007</v>
      </c>
      <c r="E112" s="773">
        <v>-0.88902460828054741</v>
      </c>
      <c r="F112" s="771">
        <v>-0.41409151289073148</v>
      </c>
      <c r="G112" s="774">
        <v>0.19535471538584506</v>
      </c>
      <c r="H112" s="773">
        <v>0.314</v>
      </c>
      <c r="I112" s="771">
        <v>0.52</v>
      </c>
      <c r="J112" s="601">
        <v>6.1459999999999999</v>
      </c>
      <c r="K112" s="426" t="str">
        <f t="shared" si="651"/>
        <v>1613</v>
      </c>
      <c r="L112" s="327"/>
      <c r="M112" s="173">
        <f t="shared" si="667"/>
        <v>6.1459999999999999</v>
      </c>
      <c r="N112" s="21">
        <f t="shared" si="668"/>
        <v>-5.235084778088444</v>
      </c>
      <c r="O112" s="5">
        <f t="shared" si="669"/>
        <v>3.9892655858189223</v>
      </c>
      <c r="P112" s="10">
        <f t="shared" si="670"/>
        <v>-1.7810053715122007</v>
      </c>
      <c r="Q112" s="624">
        <f t="shared" si="528"/>
        <v>142.69169239226088</v>
      </c>
      <c r="R112" s="5">
        <f t="shared" si="725"/>
        <v>6.58181985076867</v>
      </c>
      <c r="S112" s="6">
        <f t="shared" si="726"/>
        <v>-1.7810053715122007</v>
      </c>
      <c r="T112" s="4">
        <f t="shared" si="727"/>
        <v>3.9892655858189228</v>
      </c>
      <c r="U112" s="5">
        <f t="shared" si="728"/>
        <v>5.2350847780884431</v>
      </c>
      <c r="V112" s="8">
        <f t="shared" si="729"/>
        <v>-1.7810053715122007</v>
      </c>
      <c r="W112" s="624">
        <f t="shared" si="652"/>
        <v>52.691692392260876</v>
      </c>
      <c r="X112" s="5">
        <f t="shared" si="730"/>
        <v>6.58181985076867</v>
      </c>
      <c r="Y112" s="7">
        <f t="shared" si="650"/>
        <v>-1.7810053715122007</v>
      </c>
      <c r="Z112" s="21">
        <f t="shared" si="671"/>
        <v>0.88902460828054741</v>
      </c>
      <c r="AA112" s="5">
        <f t="shared" si="672"/>
        <v>0.41409151289073148</v>
      </c>
      <c r="AB112" s="5">
        <f t="shared" si="673"/>
        <v>-0.19535471538584506</v>
      </c>
      <c r="AC112" s="8">
        <f t="shared" si="731"/>
        <v>1</v>
      </c>
      <c r="AD112" s="9">
        <f t="shared" si="732"/>
        <v>0.88902460828054741</v>
      </c>
      <c r="AE112" s="5">
        <f t="shared" si="733"/>
        <v>0.41409151289073148</v>
      </c>
      <c r="AF112" s="10">
        <f t="shared" si="734"/>
        <v>-0.19535471538584506</v>
      </c>
      <c r="AG112" s="622">
        <f t="shared" si="735"/>
        <v>64.743607599134904</v>
      </c>
      <c r="AH112" s="623">
        <f t="shared" si="736"/>
        <v>27.249065632288179</v>
      </c>
      <c r="AI112" s="624">
        <f t="shared" si="737"/>
        <v>-78.734554182378716</v>
      </c>
      <c r="AJ112" s="625">
        <f t="shared" si="738"/>
        <v>114.9752484905293</v>
      </c>
      <c r="AK112" s="4">
        <f t="shared" si="739"/>
        <v>0.86820356378521313</v>
      </c>
      <c r="AL112" s="5">
        <f t="shared" si="740"/>
        <v>-0.45613496578005397</v>
      </c>
      <c r="AM112" s="6">
        <f t="shared" si="741"/>
        <v>-0.19535471538584506</v>
      </c>
      <c r="AN112" s="612">
        <f t="shared" si="742"/>
        <v>-66.81538679780121</v>
      </c>
      <c r="AO112" s="613">
        <f t="shared" si="466"/>
        <v>29.749451616588857</v>
      </c>
      <c r="AP112" s="624">
        <f t="shared" si="743"/>
        <v>-27.716443901731569</v>
      </c>
      <c r="AQ112" s="625">
        <f t="shared" si="674"/>
        <v>1.8835588400579868</v>
      </c>
      <c r="AS112" s="56">
        <f t="shared" si="746"/>
        <v>-307.30830760773915</v>
      </c>
      <c r="AT112" s="78">
        <f t="shared" si="675"/>
        <v>-0.62006287610518607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20"/>
        <v>6.1459999999999999</v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0.02</v>
      </c>
      <c r="B113" s="770">
        <v>-5.4260647061075593</v>
      </c>
      <c r="C113" s="771">
        <v>4.1868768910146059</v>
      </c>
      <c r="D113" s="772">
        <v>-2.4782074742737441</v>
      </c>
      <c r="E113" s="773">
        <v>-0.93486509645921234</v>
      </c>
      <c r="F113" s="771">
        <v>-0.32838131840812734</v>
      </c>
      <c r="G113" s="774">
        <v>0.13488128536920105</v>
      </c>
      <c r="H113" s="773">
        <v>0.314</v>
      </c>
      <c r="I113" s="771">
        <v>0.52</v>
      </c>
      <c r="J113" s="601">
        <v>6.1520000000000001</v>
      </c>
      <c r="K113" s="426" t="str">
        <f t="shared" si="651"/>
        <v>1613</v>
      </c>
      <c r="L113" s="327"/>
      <c r="M113" s="173">
        <f t="shared" si="667"/>
        <v>6.1520000000000001</v>
      </c>
      <c r="N113" s="21">
        <f t="shared" si="668"/>
        <v>-5.4260647061075593</v>
      </c>
      <c r="O113" s="5">
        <f t="shared" si="669"/>
        <v>4.1868768910146059</v>
      </c>
      <c r="P113" s="10">
        <f t="shared" si="670"/>
        <v>-2.4782074742737441</v>
      </c>
      <c r="Q113" s="624">
        <f t="shared" si="528"/>
        <v>142.34539244226039</v>
      </c>
      <c r="R113" s="5">
        <f t="shared" si="725"/>
        <v>6.8536206705199438</v>
      </c>
      <c r="S113" s="6">
        <f t="shared" si="726"/>
        <v>-2.4782074742737441</v>
      </c>
      <c r="T113" s="4">
        <f t="shared" si="727"/>
        <v>4.1868768910146068</v>
      </c>
      <c r="U113" s="5">
        <f t="shared" si="728"/>
        <v>5.4260647061075584</v>
      </c>
      <c r="V113" s="8">
        <f t="shared" si="729"/>
        <v>-2.4782074742737441</v>
      </c>
      <c r="W113" s="624">
        <f t="shared" si="652"/>
        <v>52.34539244226039</v>
      </c>
      <c r="X113" s="5">
        <f t="shared" si="730"/>
        <v>6.8536206705199438</v>
      </c>
      <c r="Y113" s="7">
        <f t="shared" si="650"/>
        <v>-2.4782074742737441</v>
      </c>
      <c r="Z113" s="21">
        <f t="shared" si="671"/>
        <v>0.93486509645921234</v>
      </c>
      <c r="AA113" s="5">
        <f t="shared" si="672"/>
        <v>0.32838131840812734</v>
      </c>
      <c r="AB113" s="5">
        <f t="shared" si="673"/>
        <v>-0.13488128536920105</v>
      </c>
      <c r="AC113" s="8">
        <f t="shared" si="731"/>
        <v>1</v>
      </c>
      <c r="AD113" s="9">
        <f t="shared" si="732"/>
        <v>0.93486509645921234</v>
      </c>
      <c r="AE113" s="5">
        <f t="shared" si="733"/>
        <v>0.32838131840812734</v>
      </c>
      <c r="AF113" s="10">
        <f t="shared" si="734"/>
        <v>-0.13488128536920105</v>
      </c>
      <c r="AG113" s="622">
        <f t="shared" si="735"/>
        <v>67.669792947696052</v>
      </c>
      <c r="AH113" s="623">
        <f t="shared" si="736"/>
        <v>20.793638724077319</v>
      </c>
      <c r="AI113" s="624">
        <f t="shared" si="737"/>
        <v>-82.248244744835716</v>
      </c>
      <c r="AJ113" s="625">
        <f t="shared" si="738"/>
        <v>109.35436811449968</v>
      </c>
      <c r="AK113" s="4">
        <f t="shared" si="739"/>
        <v>0.83109113042121496</v>
      </c>
      <c r="AL113" s="5">
        <f t="shared" si="740"/>
        <v>-0.53953180795235722</v>
      </c>
      <c r="AM113" s="6">
        <f t="shared" si="741"/>
        <v>-0.13488128536920105</v>
      </c>
      <c r="AN113" s="612">
        <f t="shared" si="742"/>
        <v>-75.963923108390432</v>
      </c>
      <c r="AO113" s="613">
        <f t="shared" si="466"/>
        <v>33.789012839880193</v>
      </c>
      <c r="AP113" s="624">
        <f t="shared" si="743"/>
        <v>-32.991024327760712</v>
      </c>
      <c r="AQ113" s="625">
        <f t="shared" si="674"/>
        <v>1.8089113334312368</v>
      </c>
      <c r="AS113" s="56">
        <f t="shared" si="746"/>
        <v>-307.65460755773961</v>
      </c>
      <c r="AT113" s="78">
        <f t="shared" si="675"/>
        <v>-1.3159567346111722</v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20"/>
        <v>6.1520000000000001</v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0.02</v>
      </c>
      <c r="B114" s="770">
        <v>-5.5169460074542993</v>
      </c>
      <c r="C114" s="771">
        <v>4.3492107851454902</v>
      </c>
      <c r="D114" s="772">
        <v>-3.2026096590707316</v>
      </c>
      <c r="E114" s="773">
        <v>-0.96419910242341389</v>
      </c>
      <c r="F114" s="771">
        <v>-0.25978287374420683</v>
      </c>
      <c r="G114" s="774">
        <v>5.3225458148188548E-2</v>
      </c>
      <c r="H114" s="773">
        <v>0.314</v>
      </c>
      <c r="I114" s="771">
        <v>0.52</v>
      </c>
      <c r="J114" s="601">
        <v>6.1580000000000004</v>
      </c>
      <c r="K114" s="426" t="str">
        <f t="shared" si="651"/>
        <v>1613</v>
      </c>
      <c r="L114" s="327"/>
      <c r="M114" s="173">
        <f t="shared" si="667"/>
        <v>6.1580000000000004</v>
      </c>
      <c r="N114" s="21">
        <f t="shared" si="668"/>
        <v>-5.5169460074542993</v>
      </c>
      <c r="O114" s="5">
        <f t="shared" si="669"/>
        <v>4.3492107851454902</v>
      </c>
      <c r="P114" s="10">
        <f t="shared" si="670"/>
        <v>-3.2026096590707316</v>
      </c>
      <c r="Q114" s="624">
        <f t="shared" si="528"/>
        <v>141.74999205898365</v>
      </c>
      <c r="R114" s="5">
        <f t="shared" si="725"/>
        <v>7.0251211877655022</v>
      </c>
      <c r="S114" s="6">
        <f t="shared" si="726"/>
        <v>-3.2026096590707316</v>
      </c>
      <c r="T114" s="4">
        <f t="shared" si="727"/>
        <v>4.3492107851454893</v>
      </c>
      <c r="U114" s="5">
        <f t="shared" si="728"/>
        <v>5.5169460074542993</v>
      </c>
      <c r="V114" s="8">
        <f t="shared" si="729"/>
        <v>-3.2026096590707316</v>
      </c>
      <c r="W114" s="624">
        <f t="shared" si="652"/>
        <v>51.749992058983651</v>
      </c>
      <c r="X114" s="5">
        <f t="shared" si="730"/>
        <v>7.0251211877655022</v>
      </c>
      <c r="Y114" s="7">
        <f t="shared" si="650"/>
        <v>-3.2026096590707316</v>
      </c>
      <c r="Z114" s="21">
        <f t="shared" si="671"/>
        <v>0.96419910242341389</v>
      </c>
      <c r="AA114" s="5">
        <f t="shared" si="672"/>
        <v>0.25978287374420683</v>
      </c>
      <c r="AB114" s="5">
        <f t="shared" si="673"/>
        <v>-5.3225458148188548E-2</v>
      </c>
      <c r="AC114" s="8">
        <f t="shared" si="731"/>
        <v>1</v>
      </c>
      <c r="AD114" s="9">
        <f t="shared" si="732"/>
        <v>0.96419910242341389</v>
      </c>
      <c r="AE114" s="5">
        <f t="shared" si="733"/>
        <v>0.25978287374420683</v>
      </c>
      <c r="AF114" s="10">
        <f t="shared" si="734"/>
        <v>-5.3225458148188548E-2</v>
      </c>
      <c r="AG114" s="622">
        <f t="shared" si="735"/>
        <v>78.421230204189314</v>
      </c>
      <c r="AH114" s="623">
        <f t="shared" si="736"/>
        <v>15.377610433782291</v>
      </c>
      <c r="AI114" s="624">
        <f t="shared" si="737"/>
        <v>-86.948964155778043</v>
      </c>
      <c r="AJ114" s="625">
        <f t="shared" si="738"/>
        <v>105.07905971592642</v>
      </c>
      <c r="AK114" s="4">
        <f t="shared" si="739"/>
        <v>0.80094180199976317</v>
      </c>
      <c r="AL114" s="5">
        <f t="shared" si="740"/>
        <v>-0.59637176359573529</v>
      </c>
      <c r="AM114" s="6">
        <f t="shared" si="741"/>
        <v>-5.3225458148188548E-2</v>
      </c>
      <c r="AN114" s="612">
        <f t="shared" si="742"/>
        <v>-84.899933641766737</v>
      </c>
      <c r="AO114" s="613">
        <f t="shared" si="466"/>
        <v>36.779867832378812</v>
      </c>
      <c r="AP114" s="624">
        <f t="shared" si="743"/>
        <v>-36.670932343057231</v>
      </c>
      <c r="AQ114" s="625">
        <f t="shared" si="674"/>
        <v>1.7647796247219203</v>
      </c>
      <c r="AS114" s="56">
        <f t="shared" si="746"/>
        <v>-308.25000794101635</v>
      </c>
      <c r="AT114" s="78">
        <f t="shared" si="675"/>
        <v>-2.0381096290713367</v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20"/>
        <v>6.1580000000000004</v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0.02</v>
      </c>
      <c r="B115" s="770">
        <v>-5.6084042161531604</v>
      </c>
      <c r="C115" s="771">
        <v>4.4611274178435494</v>
      </c>
      <c r="D115" s="772">
        <v>-3.9536119240935625</v>
      </c>
      <c r="E115" s="773">
        <v>-0.97992471215675436</v>
      </c>
      <c r="F115" s="771">
        <v>-0.1993678973768869</v>
      </c>
      <c r="G115" s="774">
        <v>1.4578093184201008E-7</v>
      </c>
      <c r="H115" s="773">
        <v>0.314</v>
      </c>
      <c r="I115" s="771">
        <v>0.52</v>
      </c>
      <c r="J115" s="601">
        <v>6.1639999999999997</v>
      </c>
      <c r="K115" s="426" t="str">
        <f t="shared" si="651"/>
        <v>1613</v>
      </c>
      <c r="L115" s="327"/>
      <c r="M115" s="173">
        <f t="shared" si="667"/>
        <v>6.1639999999999997</v>
      </c>
      <c r="N115" s="21">
        <f t="shared" si="668"/>
        <v>-5.6084042161531604</v>
      </c>
      <c r="O115" s="5">
        <f t="shared" si="669"/>
        <v>4.4611274178435494</v>
      </c>
      <c r="P115" s="10">
        <f t="shared" si="670"/>
        <v>-3.9536119240935625</v>
      </c>
      <c r="Q115" s="624">
        <f t="shared" si="528"/>
        <v>141.49999205898365</v>
      </c>
      <c r="R115" s="5">
        <f t="shared" si="725"/>
        <v>7.1662999999999997</v>
      </c>
      <c r="S115" s="6">
        <f t="shared" si="726"/>
        <v>-3.9536119240935625</v>
      </c>
      <c r="T115" s="4">
        <f t="shared" si="727"/>
        <v>4.4611274178435494</v>
      </c>
      <c r="U115" s="5">
        <f t="shared" si="728"/>
        <v>5.6084042161531604</v>
      </c>
      <c r="V115" s="8">
        <f t="shared" si="729"/>
        <v>-3.9536119240935625</v>
      </c>
      <c r="W115" s="624">
        <f t="shared" si="652"/>
        <v>51.499992058983651</v>
      </c>
      <c r="X115" s="5">
        <f t="shared" si="730"/>
        <v>7.1662999999999997</v>
      </c>
      <c r="Y115" s="7">
        <f t="shared" si="650"/>
        <v>-3.9536119240935625</v>
      </c>
      <c r="Z115" s="21">
        <f t="shared" si="671"/>
        <v>0.97992471215675436</v>
      </c>
      <c r="AA115" s="5">
        <f t="shared" si="672"/>
        <v>0.1993678973768869</v>
      </c>
      <c r="AB115" s="5">
        <f t="shared" si="673"/>
        <v>-1.4578093184201008E-7</v>
      </c>
      <c r="AC115" s="8">
        <f t="shared" si="731"/>
        <v>1</v>
      </c>
      <c r="AD115" s="9">
        <f t="shared" si="732"/>
        <v>0.97992471215675436</v>
      </c>
      <c r="AE115" s="5">
        <f t="shared" si="733"/>
        <v>0.1993678973768869</v>
      </c>
      <c r="AF115" s="10">
        <f t="shared" si="734"/>
        <v>-1.4578093184201008E-7</v>
      </c>
      <c r="AG115" s="622">
        <f t="shared" si="735"/>
        <v>89.999958104427861</v>
      </c>
      <c r="AH115" s="623">
        <f t="shared" si="736"/>
        <v>11.499997834271971</v>
      </c>
      <c r="AI115" s="624">
        <f t="shared" si="737"/>
        <v>-89.999991647367878</v>
      </c>
      <c r="AJ115" s="625">
        <f t="shared" si="738"/>
        <v>101.49999783426898</v>
      </c>
      <c r="AK115" s="4">
        <f t="shared" si="739"/>
        <v>0.76604450791050716</v>
      </c>
      <c r="AL115" s="5">
        <f t="shared" si="740"/>
        <v>-0.6427875324709772</v>
      </c>
      <c r="AM115" s="6">
        <f t="shared" si="741"/>
        <v>-1.4578093184201008E-7</v>
      </c>
      <c r="AN115" s="612">
        <f t="shared" si="742"/>
        <v>-89.999987005609626</v>
      </c>
      <c r="AO115" s="613">
        <f t="shared" si="466"/>
        <v>39.999994224715394</v>
      </c>
      <c r="AP115" s="624">
        <f t="shared" si="743"/>
        <v>-39.999994224714662</v>
      </c>
      <c r="AQ115" s="625">
        <f t="shared" si="674"/>
        <v>1.7300341407596445</v>
      </c>
      <c r="AS115" s="56">
        <f t="shared" si="746"/>
        <v>-308.50000794101635</v>
      </c>
      <c r="AT115" s="78">
        <f t="shared" si="675"/>
        <v>-2.7881674496497233</v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>
        <f t="shared" si="720"/>
        <v>6.1639999999999997</v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>
        <v>-2.6017741347973655</v>
      </c>
      <c r="C116" s="771">
        <v>3.2743966919820906</v>
      </c>
      <c r="D116" s="772">
        <v>-5.8600176738132628E-2</v>
      </c>
      <c r="E116" s="773">
        <v>-6.3947888908281889E-2</v>
      </c>
      <c r="F116" s="771">
        <v>8.0479625266298052E-2</v>
      </c>
      <c r="G116" s="774">
        <v>0.99470281864543364</v>
      </c>
      <c r="H116" s="773">
        <v>0.26250000000000001</v>
      </c>
      <c r="I116" s="771">
        <v>0.40699999999999997</v>
      </c>
      <c r="J116" s="601">
        <v>6.2220000000000004</v>
      </c>
      <c r="K116" s="426" t="str">
        <f t="shared" si="651"/>
        <v/>
      </c>
      <c r="L116" s="327"/>
      <c r="M116" s="173">
        <f t="shared" si="667"/>
        <v>6.2220000000000004</v>
      </c>
      <c r="N116" s="21">
        <f t="shared" si="668"/>
        <v>-2.6017741347973655</v>
      </c>
      <c r="O116" s="5">
        <f t="shared" si="669"/>
        <v>3.2743966919820906</v>
      </c>
      <c r="P116" s="10">
        <f t="shared" si="670"/>
        <v>-5.8600176738132628E-2</v>
      </c>
      <c r="Q116" s="624">
        <f t="shared" si="528"/>
        <v>128.46999444562002</v>
      </c>
      <c r="R116" s="5">
        <f t="shared" si="725"/>
        <v>4.1822126135532418</v>
      </c>
      <c r="S116" s="6">
        <f t="shared" si="726"/>
        <v>-5.8600176738132628E-2</v>
      </c>
      <c r="T116" s="4">
        <f t="shared" si="727"/>
        <v>3.2743966919820906</v>
      </c>
      <c r="U116" s="5">
        <f t="shared" si="728"/>
        <v>2.6017741347973655</v>
      </c>
      <c r="V116" s="8">
        <f t="shared" si="729"/>
        <v>-5.8600176738132628E-2</v>
      </c>
      <c r="W116" s="624">
        <f t="shared" si="652"/>
        <v>38.469994445620017</v>
      </c>
      <c r="X116" s="5">
        <f t="shared" si="730"/>
        <v>4.1822126135532418</v>
      </c>
      <c r="Y116" s="7">
        <f t="shared" si="650"/>
        <v>-5.8600176738132628E-2</v>
      </c>
      <c r="Z116" s="21">
        <f t="shared" si="671"/>
        <v>6.3947888908281889E-2</v>
      </c>
      <c r="AA116" s="5">
        <f t="shared" si="672"/>
        <v>-8.0479625266298052E-2</v>
      </c>
      <c r="AB116" s="5">
        <f t="shared" si="673"/>
        <v>-0.99470281864543364</v>
      </c>
      <c r="AC116" s="8">
        <f t="shared" si="731"/>
        <v>1</v>
      </c>
      <c r="AD116" s="9">
        <f t="shared" si="732"/>
        <v>6.3947888908281889E-2</v>
      </c>
      <c r="AE116" s="5">
        <f t="shared" si="733"/>
        <v>-8.0479625266298052E-2</v>
      </c>
      <c r="AF116" s="10">
        <f t="shared" si="734"/>
        <v>-0.99470281864543364</v>
      </c>
      <c r="AG116" s="622">
        <f t="shared" si="735"/>
        <v>-4.6256232384410207</v>
      </c>
      <c r="AH116" s="623">
        <f t="shared" si="736"/>
        <v>86.333554069281092</v>
      </c>
      <c r="AI116" s="624">
        <f t="shared" si="737"/>
        <v>-5.8999991481597256</v>
      </c>
      <c r="AJ116" s="625">
        <f t="shared" si="738"/>
        <v>38.470120859391592</v>
      </c>
      <c r="AK116" s="4">
        <f t="shared" si="739"/>
        <v>2.2679489668914199E-7</v>
      </c>
      <c r="AL116" s="5">
        <f t="shared" si="740"/>
        <v>-0.10279252199833548</v>
      </c>
      <c r="AM116" s="6">
        <f t="shared" si="741"/>
        <v>-0.99470281864543364</v>
      </c>
      <c r="AN116" s="612">
        <f t="shared" si="742"/>
        <v>-5.8999991481455201</v>
      </c>
      <c r="AO116" s="613">
        <f t="shared" si="466"/>
        <v>0</v>
      </c>
      <c r="AP116" s="624">
        <f t="shared" si="743"/>
        <v>-89.999873586228432</v>
      </c>
      <c r="AQ116" s="625">
        <f t="shared" si="674"/>
        <v>2.9627038985712435</v>
      </c>
      <c r="AS116" s="56">
        <f t="shared" si="746"/>
        <v>-321.53000555437995</v>
      </c>
      <c r="AT116" s="78">
        <f t="shared" si="675"/>
        <v>1.1560687331339696</v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>
        <f>IFERROR(IF($IU116="","",IF($IU116&lt;(((Settings!$C$19/2)*-1)*$IE$8),"",1)),"")</f>
        <v>1</v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20"/>
        <v>6.2220000000000004</v>
      </c>
      <c r="IH116" s="797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0.122</v>
      </c>
      <c r="II116" s="800" cm="1">
        <f t="array" ref="II116">IFERROR(IF($IH116&lt;1,$IH116+LARGE((IF($M$9:$M$150="",0,$M$9:$M$150)-MOD(IF($M$9:$M$150="",0,$M$9:$M$150),1)),1),$IH116),"")</f>
        <v>6.1219999999999999</v>
      </c>
      <c r="IJ116" s="839" t="str">
        <f t="shared" si="721"/>
        <v>1613</v>
      </c>
      <c r="IK116" s="839" t="str">
        <f t="shared" si="722"/>
        <v/>
      </c>
      <c r="IL116" s="791">
        <f t="shared" si="654"/>
        <v>16.425997628379349</v>
      </c>
      <c r="IM116" s="830">
        <v>4.4742168378846103E-3</v>
      </c>
      <c r="IN116" s="5">
        <f t="shared" si="655"/>
        <v>0.08</v>
      </c>
      <c r="IO116" s="852">
        <v>40</v>
      </c>
      <c r="IP116" s="9">
        <f t="shared" si="656"/>
        <v>-4.1782126014892063</v>
      </c>
      <c r="IQ116" s="5">
        <f t="shared" si="657"/>
        <v>-8.6300260281584912E-2</v>
      </c>
      <c r="IR116" s="5">
        <f t="shared" si="723"/>
        <v>0.314</v>
      </c>
      <c r="IS116" s="5">
        <f t="shared" si="658"/>
        <v>0.29492248195591264</v>
      </c>
      <c r="IT116" s="791">
        <f t="shared" si="659"/>
        <v>11.066825626043236</v>
      </c>
      <c r="IU116" s="9">
        <f t="shared" si="660"/>
        <v>-4.1822126135532418</v>
      </c>
      <c r="IV116" s="5">
        <f t="shared" si="661"/>
        <v>-5.8600176738132628E-2</v>
      </c>
      <c r="IW116" s="5">
        <f t="shared" si="724"/>
        <v>0.26250000000000001</v>
      </c>
      <c r="IX116" s="5">
        <f t="shared" si="662"/>
        <v>0.26250000000000001</v>
      </c>
      <c r="IY116" s="833">
        <f t="shared" si="663"/>
        <v>5.8999991481455201</v>
      </c>
    </row>
    <row r="117" spans="1:259" ht="15" customHeight="1" x14ac:dyDescent="0.25">
      <c r="A117" s="84">
        <f t="shared" si="527"/>
        <v>0</v>
      </c>
      <c r="B117" s="770">
        <v>-3.0371419201594043</v>
      </c>
      <c r="C117" s="771">
        <v>3.8841642550641646</v>
      </c>
      <c r="D117" s="772">
        <v>-0.25910078144795662</v>
      </c>
      <c r="E117" s="773">
        <v>-0.16771833504577685</v>
      </c>
      <c r="F117" s="771">
        <v>0.21449259230902196</v>
      </c>
      <c r="G117" s="774">
        <v>0.96221800437012628</v>
      </c>
      <c r="H117" s="773">
        <v>0.26250000000000001</v>
      </c>
      <c r="I117" s="771">
        <v>0.40699999999999997</v>
      </c>
      <c r="J117" s="601">
        <v>6.2279999999999998</v>
      </c>
      <c r="K117" s="426" t="str">
        <f t="shared" si="651"/>
        <v/>
      </c>
      <c r="L117" s="327"/>
      <c r="M117" s="173">
        <f t="shared" si="667"/>
        <v>6.2279999999999998</v>
      </c>
      <c r="N117" s="21">
        <f t="shared" si="668"/>
        <v>-3.0371419201594043</v>
      </c>
      <c r="O117" s="5">
        <f t="shared" si="669"/>
        <v>3.8841642550641646</v>
      </c>
      <c r="P117" s="10">
        <f t="shared" si="670"/>
        <v>-0.25910078144795662</v>
      </c>
      <c r="Q117" s="624">
        <f t="shared" si="528"/>
        <v>128.02289451017324</v>
      </c>
      <c r="R117" s="5">
        <f t="shared" si="725"/>
        <v>4.930614870734451</v>
      </c>
      <c r="S117" s="6">
        <f t="shared" si="726"/>
        <v>-0.25910078144795662</v>
      </c>
      <c r="T117" s="4">
        <f t="shared" si="727"/>
        <v>3.8841642550641646</v>
      </c>
      <c r="U117" s="5">
        <f t="shared" si="728"/>
        <v>3.0371419201594039</v>
      </c>
      <c r="V117" s="8">
        <f t="shared" si="729"/>
        <v>-0.25910078144795662</v>
      </c>
      <c r="W117" s="624">
        <f t="shared" si="652"/>
        <v>38.022894510173245</v>
      </c>
      <c r="X117" s="5">
        <f t="shared" si="730"/>
        <v>4.930614870734451</v>
      </c>
      <c r="Y117" s="7">
        <f t="shared" si="650"/>
        <v>-0.25910078144795662</v>
      </c>
      <c r="Z117" s="21">
        <f t="shared" si="671"/>
        <v>0.16771833504577685</v>
      </c>
      <c r="AA117" s="5">
        <f t="shared" si="672"/>
        <v>-0.21449259230902196</v>
      </c>
      <c r="AB117" s="5">
        <f t="shared" si="673"/>
        <v>-0.96221800437012628</v>
      </c>
      <c r="AC117" s="8">
        <f t="shared" si="731"/>
        <v>1</v>
      </c>
      <c r="AD117" s="9">
        <f t="shared" si="732"/>
        <v>0.16771833504577685</v>
      </c>
      <c r="AE117" s="5">
        <f t="shared" si="733"/>
        <v>-0.21449259230902196</v>
      </c>
      <c r="AF117" s="10">
        <f t="shared" si="734"/>
        <v>-0.96221800437012628</v>
      </c>
      <c r="AG117" s="622">
        <f t="shared" si="735"/>
        <v>-12.566614199055063</v>
      </c>
      <c r="AH117" s="623">
        <f t="shared" si="736"/>
        <v>80.344815352273301</v>
      </c>
      <c r="AI117" s="624">
        <f t="shared" si="737"/>
        <v>-15.799997718767761</v>
      </c>
      <c r="AJ117" s="625">
        <f t="shared" si="738"/>
        <v>38.022942234502757</v>
      </c>
      <c r="AK117" s="4">
        <f t="shared" si="739"/>
        <v>2.2679489677934761E-7</v>
      </c>
      <c r="AL117" s="5">
        <f t="shared" si="740"/>
        <v>-0.27228020872975756</v>
      </c>
      <c r="AM117" s="6">
        <f t="shared" si="741"/>
        <v>-0.96221800437012628</v>
      </c>
      <c r="AN117" s="612">
        <f t="shared" si="742"/>
        <v>-15.799997718762578</v>
      </c>
      <c r="AO117" s="613">
        <f t="shared" si="466"/>
        <v>0</v>
      </c>
      <c r="AP117" s="624">
        <f t="shared" si="743"/>
        <v>-89.999952275670495</v>
      </c>
      <c r="AQ117" s="625">
        <f t="shared" si="674"/>
        <v>2.5136328309759595</v>
      </c>
      <c r="AS117" s="56">
        <f t="shared" si="746"/>
        <v>-321.97710548982673</v>
      </c>
      <c r="AT117" s="78">
        <f t="shared" si="675"/>
        <v>0.9572571726247221</v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>
        <f>IFERROR(IF($IU117="","",IF($IU117&lt;(((Settings!$C$19/2)*-1)*$IE$8),"",1)),"")</f>
        <v>1</v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>
        <f t="shared" si="720"/>
        <v>6.2279999999999998</v>
      </c>
      <c r="IH117" s="797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0.128</v>
      </c>
      <c r="II117" s="800" cm="1">
        <f t="array" ref="II117">IFERROR(IF($IH117&lt;1,$IH117+LARGE((IF($M$9:$M$150="",0,$M$9:$M$150)-MOD(IF($M$9:$M$150="",0,$M$9:$M$150),1)),1),$IH117),"")</f>
        <v>6.1280000000000001</v>
      </c>
      <c r="IJ117" s="839" t="str">
        <f t="shared" si="721"/>
        <v>1613</v>
      </c>
      <c r="IK117" s="839" t="str">
        <f t="shared" si="722"/>
        <v/>
      </c>
      <c r="IL117" s="791">
        <f t="shared" si="654"/>
        <v>16.419197629361207</v>
      </c>
      <c r="IM117" s="830">
        <v>3.29764623263868E-3</v>
      </c>
      <c r="IN117" s="5">
        <f t="shared" si="655"/>
        <v>0.04</v>
      </c>
      <c r="IO117" s="852">
        <v>20</v>
      </c>
      <c r="IP117" s="9">
        <f t="shared" si="656"/>
        <v>-4.9201148390663541</v>
      </c>
      <c r="IQ117" s="5">
        <f t="shared" si="657"/>
        <v>-0.2856008613721977</v>
      </c>
      <c r="IR117" s="5">
        <f t="shared" si="723"/>
        <v>0.314</v>
      </c>
      <c r="IS117" s="5">
        <f t="shared" si="658"/>
        <v>0.29417311760180692</v>
      </c>
      <c r="IT117" s="791">
        <f t="shared" si="659"/>
        <v>28.625046020196134</v>
      </c>
      <c r="IU117" s="9">
        <f t="shared" si="660"/>
        <v>-4.930614870734451</v>
      </c>
      <c r="IV117" s="5">
        <f t="shared" si="661"/>
        <v>-0.25910078144795662</v>
      </c>
      <c r="IW117" s="5">
        <f t="shared" si="724"/>
        <v>0.26250000000000001</v>
      </c>
      <c r="IX117" s="5">
        <f t="shared" si="662"/>
        <v>0.26250000000000001</v>
      </c>
      <c r="IY117" s="833">
        <f t="shared" si="663"/>
        <v>15.799997718762578</v>
      </c>
    </row>
    <row r="118" spans="1:259" ht="15" customHeight="1" x14ac:dyDescent="0.25">
      <c r="A118" s="84">
        <f t="shared" si="527"/>
        <v>0</v>
      </c>
      <c r="B118" s="770">
        <v>-3.4186965692426763</v>
      </c>
      <c r="C118" s="771">
        <v>4.4375382743917102</v>
      </c>
      <c r="D118" s="772">
        <v>-0.6263018889264963</v>
      </c>
      <c r="E118" s="773">
        <v>-0.26465986401272323</v>
      </c>
      <c r="F118" s="771">
        <v>0.34353356082465264</v>
      </c>
      <c r="G118" s="774">
        <v>0.90107704940693145</v>
      </c>
      <c r="H118" s="773">
        <v>0.26250000000000001</v>
      </c>
      <c r="I118" s="771">
        <v>0.40699999999999997</v>
      </c>
      <c r="J118" s="601">
        <v>6.234</v>
      </c>
      <c r="K118" s="426" t="str">
        <f t="shared" si="651"/>
        <v/>
      </c>
      <c r="L118" s="327"/>
      <c r="M118" s="173">
        <f t="shared" si="667"/>
        <v>6.234</v>
      </c>
      <c r="N118" s="21">
        <f t="shared" si="668"/>
        <v>-3.4186965692426763</v>
      </c>
      <c r="O118" s="5">
        <f t="shared" si="669"/>
        <v>4.4375382743917102</v>
      </c>
      <c r="P118" s="10">
        <f t="shared" si="670"/>
        <v>-0.6263018889264963</v>
      </c>
      <c r="Q118" s="624">
        <f t="shared" si="528"/>
        <v>127.61079456967313</v>
      </c>
      <c r="R118" s="5">
        <f t="shared" si="725"/>
        <v>5.6017168947781544</v>
      </c>
      <c r="S118" s="6">
        <f t="shared" si="726"/>
        <v>-0.6263018889264963</v>
      </c>
      <c r="T118" s="4">
        <f t="shared" si="727"/>
        <v>4.4375382743917111</v>
      </c>
      <c r="U118" s="5">
        <f t="shared" si="728"/>
        <v>3.4186965692426758</v>
      </c>
      <c r="V118" s="8">
        <f t="shared" si="729"/>
        <v>-0.6263018889264963</v>
      </c>
      <c r="W118" s="624">
        <f t="shared" si="652"/>
        <v>37.610794569673132</v>
      </c>
      <c r="X118" s="5">
        <f t="shared" si="730"/>
        <v>5.6017168947781544</v>
      </c>
      <c r="Y118" s="7">
        <f t="shared" si="650"/>
        <v>-0.6263018889264963</v>
      </c>
      <c r="Z118" s="21">
        <f t="shared" si="671"/>
        <v>0.26465986401272323</v>
      </c>
      <c r="AA118" s="5">
        <f t="shared" si="672"/>
        <v>-0.34353356082465264</v>
      </c>
      <c r="AB118" s="5">
        <f t="shared" si="673"/>
        <v>-0.90107704940693145</v>
      </c>
      <c r="AC118" s="8">
        <f t="shared" si="731"/>
        <v>1</v>
      </c>
      <c r="AD118" s="9">
        <f t="shared" si="732"/>
        <v>0.26465986401272323</v>
      </c>
      <c r="AE118" s="5">
        <f t="shared" si="733"/>
        <v>-0.34353356082465264</v>
      </c>
      <c r="AF118" s="10">
        <f t="shared" si="734"/>
        <v>-0.90107704940693145</v>
      </c>
      <c r="AG118" s="622">
        <f t="shared" si="735"/>
        <v>-20.869233194208942</v>
      </c>
      <c r="AH118" s="623">
        <f t="shared" si="736"/>
        <v>74.653257152424104</v>
      </c>
      <c r="AI118" s="624">
        <f t="shared" si="737"/>
        <v>-25.699996289382707</v>
      </c>
      <c r="AJ118" s="625">
        <f t="shared" si="738"/>
        <v>37.610824534206579</v>
      </c>
      <c r="AK118" s="4">
        <f t="shared" si="739"/>
        <v>2.2679489675159203E-7</v>
      </c>
      <c r="AL118" s="5">
        <f t="shared" si="740"/>
        <v>-0.43365902623149333</v>
      </c>
      <c r="AM118" s="6">
        <f t="shared" si="741"/>
        <v>-0.90107704940693145</v>
      </c>
      <c r="AN118" s="612">
        <f t="shared" si="742"/>
        <v>-25.699996289379641</v>
      </c>
      <c r="AO118" s="613">
        <f t="shared" si="466"/>
        <v>0</v>
      </c>
      <c r="AP118" s="624">
        <f t="shared" si="743"/>
        <v>-89.999970035466546</v>
      </c>
      <c r="AQ118" s="625">
        <f t="shared" si="674"/>
        <v>2.2128119803366921</v>
      </c>
      <c r="AS118" s="56">
        <f t="shared" si="746"/>
        <v>-322.38920543032685</v>
      </c>
      <c r="AT118" s="78">
        <f t="shared" si="675"/>
        <v>0.59161288714362736</v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>
        <f t="shared" si="720"/>
        <v>6.234</v>
      </c>
      <c r="IH118" s="797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0.13400000000000001</v>
      </c>
      <c r="II118" s="800" cm="1">
        <f t="array" ref="II118">IFERROR(IF($IH118&lt;1,$IH118+LARGE((IF($M$9:$M$150="",0,$M$9:$M$150)-MOD(IF($M$9:$M$150="",0,$M$9:$M$150),1)),1),$IH118),"")</f>
        <v>6.1340000000000003</v>
      </c>
      <c r="IJ118" s="839" t="str">
        <f t="shared" si="721"/>
        <v>1613</v>
      </c>
      <c r="IK118" s="839" t="str">
        <f t="shared" si="722"/>
        <v/>
      </c>
      <c r="IL118" s="791">
        <f t="shared" si="654"/>
        <v>16.222197657804443</v>
      </c>
      <c r="IM118" s="830">
        <v>1.22942812053836E-3</v>
      </c>
      <c r="IN118" s="5">
        <f t="shared" si="655"/>
        <v>0</v>
      </c>
      <c r="IO118" s="852">
        <v>0</v>
      </c>
      <c r="IP118" s="9">
        <f t="shared" si="656"/>
        <v>-5.5858168468236116</v>
      </c>
      <c r="IQ118" s="5">
        <f t="shared" si="657"/>
        <v>-0.64880195678670216</v>
      </c>
      <c r="IR118" s="5">
        <f t="shared" si="723"/>
        <v>0.314</v>
      </c>
      <c r="IS118" s="5">
        <f t="shared" si="658"/>
        <v>0.29104355402016929</v>
      </c>
      <c r="IT118" s="791">
        <f t="shared" si="659"/>
        <v>44.265674313003601</v>
      </c>
      <c r="IU118" s="9">
        <f t="shared" si="660"/>
        <v>-5.6017168947781544</v>
      </c>
      <c r="IV118" s="5">
        <f t="shared" si="661"/>
        <v>-0.6263018889264963</v>
      </c>
      <c r="IW118" s="5">
        <f t="shared" si="724"/>
        <v>0.26250000000000001</v>
      </c>
      <c r="IX118" s="5">
        <f t="shared" si="662"/>
        <v>0.26250000000000001</v>
      </c>
      <c r="IY118" s="833">
        <f t="shared" si="663"/>
        <v>25.699996289379641</v>
      </c>
    </row>
    <row r="119" spans="1:259" ht="15" customHeight="1" x14ac:dyDescent="0.25">
      <c r="A119" s="84">
        <f t="shared" si="527"/>
        <v>0</v>
      </c>
      <c r="B119" s="770">
        <v>-3.7208039163777609</v>
      </c>
      <c r="C119" s="771">
        <v>4.9194822204279216</v>
      </c>
      <c r="D119" s="772">
        <v>-1.1420034442823888</v>
      </c>
      <c r="E119" s="773">
        <v>-0.35029849710168753</v>
      </c>
      <c r="F119" s="771">
        <v>0.46314878939231713</v>
      </c>
      <c r="G119" s="774">
        <v>0.81411557030481263</v>
      </c>
      <c r="H119" s="773">
        <v>0.26250000000000001</v>
      </c>
      <c r="I119" s="771">
        <v>0.40699999999999997</v>
      </c>
      <c r="J119" s="601">
        <v>6.24</v>
      </c>
      <c r="K119" s="426" t="str">
        <f t="shared" si="651"/>
        <v/>
      </c>
      <c r="L119" s="327"/>
      <c r="M119" s="173">
        <f t="shared" si="667"/>
        <v>6.24</v>
      </c>
      <c r="N119" s="21">
        <f t="shared" si="668"/>
        <v>-3.7208039163777609</v>
      </c>
      <c r="O119" s="5">
        <f t="shared" si="669"/>
        <v>4.9194822204279216</v>
      </c>
      <c r="P119" s="10">
        <f t="shared" si="670"/>
        <v>-1.1420034442823888</v>
      </c>
      <c r="Q119" s="624">
        <f t="shared" si="528"/>
        <v>127.10169464317806</v>
      </c>
      <c r="R119" s="5">
        <f t="shared" si="725"/>
        <v>6.1681186030457065</v>
      </c>
      <c r="S119" s="6">
        <f t="shared" si="726"/>
        <v>-1.1420034442823888</v>
      </c>
      <c r="T119" s="4">
        <f t="shared" si="727"/>
        <v>4.9194822204279207</v>
      </c>
      <c r="U119" s="5">
        <f t="shared" si="728"/>
        <v>3.7208039163777618</v>
      </c>
      <c r="V119" s="8">
        <f t="shared" si="729"/>
        <v>-1.1420034442823888</v>
      </c>
      <c r="W119" s="624">
        <f t="shared" si="652"/>
        <v>37.101694643178064</v>
      </c>
      <c r="X119" s="5">
        <f t="shared" si="730"/>
        <v>6.1681186030457065</v>
      </c>
      <c r="Y119" s="7">
        <f t="shared" si="650"/>
        <v>-1.1420034442823888</v>
      </c>
      <c r="Z119" s="21">
        <f t="shared" si="671"/>
        <v>0.35029849710168753</v>
      </c>
      <c r="AA119" s="5">
        <f t="shared" si="672"/>
        <v>-0.46314878939231713</v>
      </c>
      <c r="AB119" s="5">
        <f t="shared" si="673"/>
        <v>-0.81411557030481263</v>
      </c>
      <c r="AC119" s="8">
        <f t="shared" si="731"/>
        <v>1</v>
      </c>
      <c r="AD119" s="9">
        <f t="shared" si="732"/>
        <v>0.35029849710168753</v>
      </c>
      <c r="AE119" s="5">
        <f t="shared" si="733"/>
        <v>-0.46314878939231713</v>
      </c>
      <c r="AF119" s="10">
        <f t="shared" si="734"/>
        <v>-0.81411557030481263</v>
      </c>
      <c r="AG119" s="622">
        <f t="shared" si="735"/>
        <v>-29.635464901632226</v>
      </c>
      <c r="AH119" s="623">
        <f t="shared" si="736"/>
        <v>69.494426387146433</v>
      </c>
      <c r="AI119" s="624">
        <f t="shared" si="737"/>
        <v>-35.49999487443695</v>
      </c>
      <c r="AJ119" s="625">
        <f t="shared" si="738"/>
        <v>37.101717020181475</v>
      </c>
      <c r="AK119" s="4">
        <f t="shared" si="739"/>
        <v>2.2679489658505858E-7</v>
      </c>
      <c r="AL119" s="5">
        <f t="shared" si="740"/>
        <v>-0.58070288288178706</v>
      </c>
      <c r="AM119" s="6">
        <f t="shared" si="741"/>
        <v>-0.81411557030481263</v>
      </c>
      <c r="AN119" s="612">
        <f t="shared" si="742"/>
        <v>-35.499994874434897</v>
      </c>
      <c r="AO119" s="613">
        <f t="shared" si="466"/>
        <v>0</v>
      </c>
      <c r="AP119" s="624">
        <f t="shared" si="743"/>
        <v>-89.999977622996596</v>
      </c>
      <c r="AQ119" s="625">
        <f t="shared" si="674"/>
        <v>2.0097904702600098</v>
      </c>
      <c r="AS119" s="56">
        <f t="shared" si="746"/>
        <v>-322.89830535682194</v>
      </c>
      <c r="AT119" s="78">
        <f t="shared" si="675"/>
        <v>7.7834598176716341E-2</v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>
        <f t="shared" si="720"/>
        <v>6.24</v>
      </c>
      <c r="IH119" s="797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0.14000000000000001</v>
      </c>
      <c r="II119" s="800" cm="1">
        <f t="array" ref="II119">IFERROR(IF($IH119&lt;1,$IH119+LARGE((IF($M$9:$M$150="",0,$M$9:$M$150)-MOD(IF($M$9:$M$150="",0,$M$9:$M$150),1)),1),$IH119),"")</f>
        <v>6.14</v>
      </c>
      <c r="IJ119" s="839" t="str">
        <f t="shared" si="721"/>
        <v>1613</v>
      </c>
      <c r="IK119" s="839" t="str">
        <f t="shared" si="722"/>
        <v/>
      </c>
      <c r="IL119" s="791">
        <f t="shared" si="654"/>
        <v>16.111797673744235</v>
      </c>
      <c r="IM119" s="830">
        <v>1.18373992095723E-4</v>
      </c>
      <c r="IN119" s="5">
        <f t="shared" si="655"/>
        <v>0</v>
      </c>
      <c r="IO119" s="852">
        <v>0</v>
      </c>
      <c r="IP119" s="9">
        <f t="shared" si="656"/>
        <v>-6.1504185496623451</v>
      </c>
      <c r="IQ119" s="5">
        <f t="shared" si="657"/>
        <v>-1.1563034874113181</v>
      </c>
      <c r="IR119" s="5">
        <f t="shared" si="723"/>
        <v>0.314</v>
      </c>
      <c r="IS119" s="5">
        <f t="shared" si="658"/>
        <v>0.28338860049196668</v>
      </c>
      <c r="IT119" s="791">
        <f t="shared" si="659"/>
        <v>56.587897896377854</v>
      </c>
      <c r="IU119" s="9">
        <f t="shared" si="660"/>
        <v>-6.1681186030457065</v>
      </c>
      <c r="IV119" s="5">
        <f t="shared" si="661"/>
        <v>-1.1420034442823888</v>
      </c>
      <c r="IW119" s="5">
        <f t="shared" si="724"/>
        <v>0.26250000000000001</v>
      </c>
      <c r="IX119" s="5">
        <f t="shared" si="662"/>
        <v>0.26250000000000001</v>
      </c>
      <c r="IY119" s="833">
        <f t="shared" si="663"/>
        <v>35.499994874434897</v>
      </c>
    </row>
    <row r="120" spans="1:259" ht="15" customHeight="1" x14ac:dyDescent="0.25">
      <c r="A120" s="84">
        <f t="shared" si="527"/>
        <v>0</v>
      </c>
      <c r="B120" s="770">
        <v>-3.9320002474018887</v>
      </c>
      <c r="C120" s="771">
        <v>5.2967997353921872</v>
      </c>
      <c r="D120" s="772">
        <v>-1.7768053588449628</v>
      </c>
      <c r="E120" s="773">
        <v>-0.42367489250345564</v>
      </c>
      <c r="F120" s="771">
        <v>0.57073230447659207</v>
      </c>
      <c r="G120" s="774">
        <v>0.70339478395068011</v>
      </c>
      <c r="H120" s="773">
        <v>0.26250000000000001</v>
      </c>
      <c r="I120" s="771">
        <v>0.40699999999999997</v>
      </c>
      <c r="J120" s="601">
        <v>6.2460000000000004</v>
      </c>
      <c r="K120" s="426" t="str">
        <f t="shared" si="651"/>
        <v/>
      </c>
      <c r="L120" s="327"/>
      <c r="M120" s="173">
        <f t="shared" si="667"/>
        <v>6.2460000000000004</v>
      </c>
      <c r="N120" s="21">
        <f t="shared" si="668"/>
        <v>-3.9320002474018887</v>
      </c>
      <c r="O120" s="5">
        <f t="shared" si="669"/>
        <v>5.2967997353921872</v>
      </c>
      <c r="P120" s="10">
        <f t="shared" si="670"/>
        <v>-1.7768053588449628</v>
      </c>
      <c r="Q120" s="624">
        <f t="shared" si="528"/>
        <v>126.58779471737604</v>
      </c>
      <c r="R120" s="5">
        <f t="shared" si="725"/>
        <v>6.5967198957072037</v>
      </c>
      <c r="S120" s="6">
        <f t="shared" si="726"/>
        <v>-1.7768053588449628</v>
      </c>
      <c r="T120" s="4">
        <f t="shared" si="727"/>
        <v>5.2967997353921863</v>
      </c>
      <c r="U120" s="5">
        <f t="shared" si="728"/>
        <v>3.9320002474018896</v>
      </c>
      <c r="V120" s="8">
        <f t="shared" si="729"/>
        <v>-1.7768053588449628</v>
      </c>
      <c r="W120" s="624">
        <f t="shared" si="652"/>
        <v>36.587794717376042</v>
      </c>
      <c r="X120" s="5">
        <f t="shared" si="730"/>
        <v>6.5967198957072037</v>
      </c>
      <c r="Y120" s="7">
        <f t="shared" si="650"/>
        <v>-1.7768053588449628</v>
      </c>
      <c r="Z120" s="21">
        <f t="shared" si="671"/>
        <v>0.42367489250345564</v>
      </c>
      <c r="AA120" s="5">
        <f t="shared" si="672"/>
        <v>-0.57073230447659207</v>
      </c>
      <c r="AB120" s="5">
        <f t="shared" si="673"/>
        <v>-0.70339478395068011</v>
      </c>
      <c r="AC120" s="8">
        <f t="shared" si="731"/>
        <v>1</v>
      </c>
      <c r="AD120" s="9">
        <f t="shared" si="732"/>
        <v>0.42367489250345564</v>
      </c>
      <c r="AE120" s="5">
        <f t="shared" si="733"/>
        <v>-0.57073230447659207</v>
      </c>
      <c r="AF120" s="10">
        <f t="shared" si="734"/>
        <v>-0.70339478395068011</v>
      </c>
      <c r="AG120" s="622">
        <f t="shared" si="735"/>
        <v>-39.055765732893676</v>
      </c>
      <c r="AH120" s="623">
        <f t="shared" si="736"/>
        <v>64.933182784917861</v>
      </c>
      <c r="AI120" s="624">
        <f t="shared" si="737"/>
        <v>-45.299993459491631</v>
      </c>
      <c r="AJ120" s="625">
        <f t="shared" si="738"/>
        <v>36.587812998751211</v>
      </c>
      <c r="AK120" s="4">
        <f t="shared" si="739"/>
        <v>2.2679489652954743E-7</v>
      </c>
      <c r="AL120" s="5">
        <f t="shared" si="740"/>
        <v>-0.71079939357805066</v>
      </c>
      <c r="AM120" s="6">
        <f t="shared" si="741"/>
        <v>-0.70339478395068011</v>
      </c>
      <c r="AN120" s="612">
        <f t="shared" si="742"/>
        <v>-45.299993459490175</v>
      </c>
      <c r="AO120" s="613">
        <f t="shared" ref="AO120:AO150" si="751">IF(ROUND(IF(M120="",0,DEGREES(ACOS(AK120))),4)=90,0,IF(M120="","",DEGREES(ACOS(AK120))))</f>
        <v>0</v>
      </c>
      <c r="AP120" s="624">
        <f t="shared" si="743"/>
        <v>-89.999981718624824</v>
      </c>
      <c r="AQ120" s="625">
        <f t="shared" si="674"/>
        <v>1.8793074902646165</v>
      </c>
      <c r="AS120" s="56">
        <f t="shared" si="746"/>
        <v>-323.41220528262397</v>
      </c>
      <c r="AT120" s="78">
        <f t="shared" si="675"/>
        <v>-0.55502591666616108</v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>
        <f t="shared" si="720"/>
        <v>6.2460000000000004</v>
      </c>
      <c r="IH120" s="797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0.14599999999999999</v>
      </c>
      <c r="II120" s="800" cm="1">
        <f t="array" ref="II120">IFERROR(IF($IH120&lt;1,$IH120+LARGE((IF($M$9:$M$150="",0,$M$9:$M$150)-MOD(IF($M$9:$M$150="",0,$M$9:$M$150),1)),1),$IH120),"")</f>
        <v>6.1459999999999999</v>
      </c>
      <c r="IJ120" s="839" t="str">
        <f t="shared" si="721"/>
        <v>1613</v>
      </c>
      <c r="IK120" s="839" t="str">
        <f t="shared" si="722"/>
        <v/>
      </c>
      <c r="IL120" s="791">
        <f t="shared" si="654"/>
        <v>16.103897674884834</v>
      </c>
      <c r="IM120" s="830">
        <v>2.12280061780065E-4</v>
      </c>
      <c r="IN120" s="5">
        <f t="shared" si="655"/>
        <v>0</v>
      </c>
      <c r="IO120" s="852">
        <v>0</v>
      </c>
      <c r="IP120" s="9">
        <f t="shared" si="656"/>
        <v>-6.58181985076867</v>
      </c>
      <c r="IQ120" s="5">
        <f t="shared" si="657"/>
        <v>-1.7810053715122007</v>
      </c>
      <c r="IR120" s="5">
        <f t="shared" si="723"/>
        <v>0.314</v>
      </c>
      <c r="IS120" s="5">
        <f t="shared" si="658"/>
        <v>0.27261591902855692</v>
      </c>
      <c r="IT120" s="791">
        <f t="shared" si="659"/>
        <v>66.81538679780121</v>
      </c>
      <c r="IU120" s="9">
        <f t="shared" si="660"/>
        <v>-6.5967198957072037</v>
      </c>
      <c r="IV120" s="5">
        <f t="shared" si="661"/>
        <v>-1.7768053588449628</v>
      </c>
      <c r="IW120" s="5">
        <f t="shared" si="724"/>
        <v>0.26250000000000001</v>
      </c>
      <c r="IX120" s="5">
        <f t="shared" si="662"/>
        <v>0.26250000000000001</v>
      </c>
      <c r="IY120" s="833">
        <f t="shared" si="663"/>
        <v>45.299993459490175</v>
      </c>
    </row>
    <row r="121" spans="1:259" ht="15" customHeight="1" x14ac:dyDescent="0.25">
      <c r="A121" s="84">
        <f t="shared" si="527"/>
        <v>0</v>
      </c>
      <c r="B121" s="770">
        <v>-4.0721069997437151</v>
      </c>
      <c r="C121" s="771">
        <v>5.5229093634076722</v>
      </c>
      <c r="D121" s="772">
        <v>-2.4829074884489852</v>
      </c>
      <c r="E121" s="773">
        <v>-0.48612108220253686</v>
      </c>
      <c r="F121" s="771">
        <v>0.65931497394084171</v>
      </c>
      <c r="G121" s="774">
        <v>0.57357654988294426</v>
      </c>
      <c r="H121" s="773">
        <v>0.26250000000000001</v>
      </c>
      <c r="I121" s="771">
        <v>0.40699999999999997</v>
      </c>
      <c r="J121" s="601">
        <v>6.2519999999999998</v>
      </c>
      <c r="K121" s="426" t="str">
        <f t="shared" si="651"/>
        <v/>
      </c>
      <c r="L121" s="327"/>
      <c r="M121" s="173">
        <f t="shared" si="667"/>
        <v>6.2519999999999998</v>
      </c>
      <c r="N121" s="21">
        <f t="shared" si="668"/>
        <v>-4.0721069997437151</v>
      </c>
      <c r="O121" s="5">
        <f t="shared" si="669"/>
        <v>5.5229093634076722</v>
      </c>
      <c r="P121" s="10">
        <f t="shared" si="670"/>
        <v>-2.4829074884489852</v>
      </c>
      <c r="Q121" s="624">
        <f t="shared" si="528"/>
        <v>126.40179474423111</v>
      </c>
      <c r="R121" s="5">
        <f t="shared" si="725"/>
        <v>6.8618206952512173</v>
      </c>
      <c r="S121" s="6">
        <f t="shared" si="726"/>
        <v>-2.4829074884489852</v>
      </c>
      <c r="T121" s="4">
        <f t="shared" si="727"/>
        <v>5.5229093634076722</v>
      </c>
      <c r="U121" s="5">
        <f t="shared" si="728"/>
        <v>4.0721069997437151</v>
      </c>
      <c r="V121" s="8">
        <f t="shared" si="729"/>
        <v>-2.4829074884489852</v>
      </c>
      <c r="W121" s="624">
        <f t="shared" si="652"/>
        <v>36.401794744231111</v>
      </c>
      <c r="X121" s="5">
        <f t="shared" si="730"/>
        <v>6.8618206952512173</v>
      </c>
      <c r="Y121" s="7">
        <f t="shared" si="650"/>
        <v>-2.4829074884489852</v>
      </c>
      <c r="Z121" s="21">
        <f t="shared" si="671"/>
        <v>0.48612108220253686</v>
      </c>
      <c r="AA121" s="5">
        <f t="shared" si="672"/>
        <v>-0.65931497394084171</v>
      </c>
      <c r="AB121" s="5">
        <f t="shared" si="673"/>
        <v>-0.57357654988294426</v>
      </c>
      <c r="AC121" s="8">
        <f t="shared" si="731"/>
        <v>1</v>
      </c>
      <c r="AD121" s="9">
        <f t="shared" si="732"/>
        <v>0.48612108220253686</v>
      </c>
      <c r="AE121" s="5">
        <f t="shared" si="733"/>
        <v>-0.65931497394084171</v>
      </c>
      <c r="AF121" s="10">
        <f t="shared" si="734"/>
        <v>-0.57357654988294426</v>
      </c>
      <c r="AG121" s="622">
        <f t="shared" si="735"/>
        <v>-48.978090126893036</v>
      </c>
      <c r="AH121" s="623">
        <f t="shared" si="736"/>
        <v>60.914051197191938</v>
      </c>
      <c r="AI121" s="624">
        <f t="shared" si="737"/>
        <v>-54.999992058984695</v>
      </c>
      <c r="AJ121" s="625">
        <f t="shared" si="738"/>
        <v>36.40181060745423</v>
      </c>
      <c r="AK121" s="4">
        <f t="shared" si="739"/>
        <v>2.2679489652954743E-7</v>
      </c>
      <c r="AL121" s="5">
        <f t="shared" si="740"/>
        <v>-0.81915196479305774</v>
      </c>
      <c r="AM121" s="6">
        <f t="shared" si="741"/>
        <v>-0.57357654988294426</v>
      </c>
      <c r="AN121" s="612">
        <f t="shared" si="742"/>
        <v>-54.999992058983665</v>
      </c>
      <c r="AO121" s="613">
        <f t="shared" si="751"/>
        <v>0</v>
      </c>
      <c r="AP121" s="624">
        <f t="shared" si="743"/>
        <v>-89.999984136776874</v>
      </c>
      <c r="AQ121" s="625">
        <f t="shared" si="674"/>
        <v>1.8067510787026757</v>
      </c>
      <c r="AS121" s="56">
        <f t="shared" si="746"/>
        <v>-323.5982052557689</v>
      </c>
      <c r="AT121" s="78">
        <f t="shared" si="675"/>
        <v>-1.2604253797049694</v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>
        <f t="shared" si="720"/>
        <v>6.2519999999999998</v>
      </c>
      <c r="IH121" s="797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0.152</v>
      </c>
      <c r="II121" s="800" cm="1">
        <f t="array" ref="II121">IFERROR(IF($IH121&lt;1,$IH121+LARGE((IF($M$9:$M$150="",0,$M$9:$M$150)-MOD(IF($M$9:$M$150="",0,$M$9:$M$150),1)),1),$IH121),"")</f>
        <v>6.1520000000000001</v>
      </c>
      <c r="IJ121" s="839" t="str">
        <f t="shared" si="721"/>
        <v>1613</v>
      </c>
      <c r="IK121" s="839" t="str">
        <f t="shared" si="722"/>
        <v/>
      </c>
      <c r="IL121" s="791">
        <f t="shared" si="654"/>
        <v>15.943597698029279</v>
      </c>
      <c r="IM121" s="830">
        <v>5.6865425641873101E-4</v>
      </c>
      <c r="IN121" s="5">
        <f t="shared" si="655"/>
        <v>0</v>
      </c>
      <c r="IO121" s="852">
        <v>0</v>
      </c>
      <c r="IP121" s="9">
        <f t="shared" si="656"/>
        <v>-6.8536206705199438</v>
      </c>
      <c r="IQ121" s="5">
        <f t="shared" si="657"/>
        <v>-2.4782074742737441</v>
      </c>
      <c r="IR121" s="5">
        <f t="shared" si="723"/>
        <v>0.314</v>
      </c>
      <c r="IS121" s="5">
        <f t="shared" si="658"/>
        <v>0.26096261495226147</v>
      </c>
      <c r="IT121" s="791">
        <f t="shared" si="659"/>
        <v>75.963923108390432</v>
      </c>
      <c r="IU121" s="9">
        <f t="shared" si="660"/>
        <v>-6.8618206952512173</v>
      </c>
      <c r="IV121" s="5">
        <f t="shared" si="661"/>
        <v>-2.4829074884489852</v>
      </c>
      <c r="IW121" s="5">
        <f t="shared" si="724"/>
        <v>0.26250000000000001</v>
      </c>
      <c r="IX121" s="5">
        <f t="shared" si="662"/>
        <v>0.26250000000000001</v>
      </c>
      <c r="IY121" s="833">
        <f t="shared" si="663"/>
        <v>54.999992058983665</v>
      </c>
    </row>
    <row r="122" spans="1:259" ht="15" customHeight="1" x14ac:dyDescent="0.25">
      <c r="A122" s="84">
        <f t="shared" si="527"/>
        <v>0</v>
      </c>
      <c r="B122" s="770">
        <v>-4.1540393462411318</v>
      </c>
      <c r="C122" s="771">
        <v>5.666474289975497</v>
      </c>
      <c r="D122" s="772">
        <v>-3.2125096889292215</v>
      </c>
      <c r="E122" s="773">
        <v>-0.53319634124159732</v>
      </c>
      <c r="F122" s="771">
        <v>0.72732622728349627</v>
      </c>
      <c r="G122" s="774">
        <v>0.43208589515526896</v>
      </c>
      <c r="H122" s="773">
        <v>0.26250000000000001</v>
      </c>
      <c r="I122" s="771">
        <v>0.40699999999999997</v>
      </c>
      <c r="J122" s="601">
        <v>6.258</v>
      </c>
      <c r="K122" s="426" t="str">
        <f t="shared" si="651"/>
        <v/>
      </c>
      <c r="L122" s="327"/>
      <c r="M122" s="173">
        <f t="shared" si="667"/>
        <v>6.258</v>
      </c>
      <c r="N122" s="21">
        <f t="shared" si="668"/>
        <v>-4.1540393462411318</v>
      </c>
      <c r="O122" s="5">
        <f t="shared" si="669"/>
        <v>5.666474289975497</v>
      </c>
      <c r="P122" s="10">
        <f t="shared" si="670"/>
        <v>-3.2125096889292215</v>
      </c>
      <c r="Q122" s="624">
        <f t="shared" si="528"/>
        <v>126.24479476689912</v>
      </c>
      <c r="R122" s="5">
        <f t="shared" si="725"/>
        <v>7.0260211904799119</v>
      </c>
      <c r="S122" s="6">
        <f t="shared" si="726"/>
        <v>-3.2125096889292215</v>
      </c>
      <c r="T122" s="4">
        <f t="shared" si="727"/>
        <v>5.6664742899754961</v>
      </c>
      <c r="U122" s="5">
        <f t="shared" si="728"/>
        <v>4.1540393462411327</v>
      </c>
      <c r="V122" s="8">
        <f t="shared" si="729"/>
        <v>-3.2125096889292215</v>
      </c>
      <c r="W122" s="624">
        <f t="shared" si="652"/>
        <v>36.244794766899119</v>
      </c>
      <c r="X122" s="5">
        <f t="shared" si="730"/>
        <v>7.0260211904799119</v>
      </c>
      <c r="Y122" s="7">
        <f t="shared" si="650"/>
        <v>-3.2125096889292215</v>
      </c>
      <c r="Z122" s="21">
        <f t="shared" si="671"/>
        <v>0.53319634124159732</v>
      </c>
      <c r="AA122" s="5">
        <f t="shared" si="672"/>
        <v>-0.72732622728349627</v>
      </c>
      <c r="AB122" s="5">
        <f t="shared" si="673"/>
        <v>-0.43208589515526896</v>
      </c>
      <c r="AC122" s="8">
        <f t="shared" si="731"/>
        <v>1</v>
      </c>
      <c r="AD122" s="9">
        <f t="shared" si="732"/>
        <v>0.53319634124159732</v>
      </c>
      <c r="AE122" s="5">
        <f t="shared" si="733"/>
        <v>-0.72732622728349627</v>
      </c>
      <c r="AF122" s="10">
        <f t="shared" si="734"/>
        <v>-0.43208589515526896</v>
      </c>
      <c r="AG122" s="622">
        <f t="shared" si="735"/>
        <v>-59.286537109349936</v>
      </c>
      <c r="AH122" s="623">
        <f t="shared" si="736"/>
        <v>57.7783257899343</v>
      </c>
      <c r="AI122" s="624">
        <f t="shared" si="737"/>
        <v>-64.399990701792476</v>
      </c>
      <c r="AJ122" s="625">
        <f t="shared" si="738"/>
        <v>36.244809175773277</v>
      </c>
      <c r="AK122" s="4">
        <f t="shared" si="739"/>
        <v>2.2679489636301398E-7</v>
      </c>
      <c r="AL122" s="5">
        <f t="shared" si="740"/>
        <v>-0.90183245628432473</v>
      </c>
      <c r="AM122" s="6">
        <f t="shared" si="741"/>
        <v>-0.43208589515526896</v>
      </c>
      <c r="AN122" s="612">
        <f t="shared" si="742"/>
        <v>-64.399990701791779</v>
      </c>
      <c r="AO122" s="613">
        <f t="shared" si="751"/>
        <v>0</v>
      </c>
      <c r="AP122" s="624">
        <f t="shared" si="743"/>
        <v>-89.999985591125835</v>
      </c>
      <c r="AQ122" s="625">
        <f t="shared" si="674"/>
        <v>1.7645537070615029</v>
      </c>
      <c r="AS122" s="56">
        <f t="shared" si="746"/>
        <v>-323.75520523310087</v>
      </c>
      <c r="AT122" s="78">
        <f t="shared" si="675"/>
        <v>-1.9894344691597292</v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>
        <f t="shared" si="720"/>
        <v>6.258</v>
      </c>
      <c r="IH122" s="797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0.158</v>
      </c>
      <c r="II122" s="800" cm="1">
        <f t="array" ref="II122">IFERROR(IF($IH122&lt;1,$IH122+LARGE((IF($M$9:$M$150="",0,$M$9:$M$150)-MOD(IF($M$9:$M$150="",0,$M$9:$M$150),1)),1),$IH122),"")</f>
        <v>6.1580000000000004</v>
      </c>
      <c r="IJ122" s="839" t="str">
        <f t="shared" si="721"/>
        <v>1613</v>
      </c>
      <c r="IK122" s="839" t="str">
        <f t="shared" si="722"/>
        <v/>
      </c>
      <c r="IL122" s="791">
        <f t="shared" si="654"/>
        <v>15.505197292084532</v>
      </c>
      <c r="IM122" s="830">
        <v>2.0455188191882101E-4</v>
      </c>
      <c r="IN122" s="5">
        <f t="shared" si="655"/>
        <v>0</v>
      </c>
      <c r="IO122" s="852">
        <v>0</v>
      </c>
      <c r="IP122" s="9">
        <f t="shared" si="656"/>
        <v>-7.0251211877655022</v>
      </c>
      <c r="IQ122" s="5">
        <f t="shared" si="657"/>
        <v>-3.2026096590707316</v>
      </c>
      <c r="IR122" s="5">
        <f t="shared" si="723"/>
        <v>0.314</v>
      </c>
      <c r="IS122" s="5">
        <f t="shared" si="658"/>
        <v>0.25149572582792562</v>
      </c>
      <c r="IT122" s="791">
        <f t="shared" si="659"/>
        <v>84.899933641766737</v>
      </c>
      <c r="IU122" s="9">
        <f t="shared" si="660"/>
        <v>-7.0260211904799119</v>
      </c>
      <c r="IV122" s="5">
        <f t="shared" si="661"/>
        <v>-3.2125096889292215</v>
      </c>
      <c r="IW122" s="5">
        <f t="shared" si="724"/>
        <v>0.26250000000000001</v>
      </c>
      <c r="IX122" s="5">
        <f t="shared" si="662"/>
        <v>0.26250000000000001</v>
      </c>
      <c r="IY122" s="833">
        <f t="shared" si="663"/>
        <v>64.399990701791779</v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0.90630781366099955</v>
      </c>
      <c r="F154" s="175">
        <f>F9*-1</f>
        <v>0.10938162473876802</v>
      </c>
      <c r="G154" s="175">
        <f>G9*-1</f>
        <v>-0.40821784266066358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0.93969263802333458</v>
      </c>
      <c r="F155" s="175">
        <f t="shared" si="940"/>
        <v>8.8521302156295584E-2</v>
      </c>
      <c r="G155" s="175">
        <f t="shared" si="940"/>
        <v>-0.33036604714967344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0.93969263802333458</v>
      </c>
      <c r="F156" s="175">
        <f t="shared" si="942"/>
        <v>8.8521302156295611E-2</v>
      </c>
      <c r="G156" s="175">
        <f t="shared" si="942"/>
        <v>-0.33036604714967333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0.93969263802333458</v>
      </c>
      <c r="F157" s="175">
        <f t="shared" si="943"/>
        <v>8.8521302156295611E-2</v>
      </c>
      <c r="G157" s="175">
        <f t="shared" si="943"/>
        <v>-0.33036604714967344</v>
      </c>
      <c r="H157" s="144"/>
      <c r="I157" s="91"/>
      <c r="J157" s="84">
        <f t="shared" si="941"/>
        <v>1.1100000000000001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0.93969263802333458</v>
      </c>
      <c r="F158" s="175">
        <f t="shared" si="946"/>
        <v>5.3503723084143327E-2</v>
      </c>
      <c r="G158" s="175">
        <f t="shared" si="946"/>
        <v>-0.33780926224850877</v>
      </c>
      <c r="H158" s="144"/>
      <c r="I158" s="91"/>
      <c r="J158" s="84">
        <f t="shared" si="941"/>
        <v>1.115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0.93939740856403853</v>
      </c>
      <c r="F159" s="175">
        <f t="shared" si="947"/>
        <v>-4.8810469971324079E-2</v>
      </c>
      <c r="G159" s="175">
        <f t="shared" si="947"/>
        <v>-0.33933765898341928</v>
      </c>
      <c r="H159" s="144"/>
      <c r="I159" s="91"/>
      <c r="J159" s="84">
        <f t="shared" si="941"/>
        <v>1.121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0.93610828259230305</v>
      </c>
      <c r="F160" s="175">
        <f t="shared" si="948"/>
        <v>-0.15935850774474852</v>
      </c>
      <c r="G160" s="175">
        <f t="shared" si="948"/>
        <v>-0.31353811454344116</v>
      </c>
      <c r="H160" s="144"/>
      <c r="I160" s="91"/>
      <c r="J160" s="84">
        <f t="shared" si="941"/>
        <v>1.127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0.92906024964294986</v>
      </c>
      <c r="F161" s="175">
        <f t="shared" si="949"/>
        <v>-0.25857796795303728</v>
      </c>
      <c r="G161" s="175">
        <f t="shared" si="949"/>
        <v>-0.2645458127104981</v>
      </c>
      <c r="H161" s="144"/>
      <c r="I161" s="91"/>
      <c r="J161" s="84">
        <f t="shared" si="941"/>
        <v>1.133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0.89259818101381216</v>
      </c>
      <c r="F162" s="175">
        <f t="shared" si="950"/>
        <v>-0.37496715853112661</v>
      </c>
      <c r="G162" s="175">
        <f t="shared" si="950"/>
        <v>-0.2503360087441015</v>
      </c>
      <c r="H162" s="144"/>
      <c r="I162" s="91"/>
      <c r="J162" s="84">
        <f t="shared" si="941"/>
        <v>1.139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0.85905746131502714</v>
      </c>
      <c r="F163" s="175">
        <f t="shared" si="951"/>
        <v>-0.47123229536851791</v>
      </c>
      <c r="G163" s="175">
        <f t="shared" si="951"/>
        <v>-0.19990098038953844</v>
      </c>
      <c r="H163" s="144"/>
      <c r="I163" s="91"/>
      <c r="J163" s="84">
        <f t="shared" si="941"/>
        <v>1.145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0.81575892333620881</v>
      </c>
      <c r="F164" s="175">
        <f t="shared" si="952"/>
        <v>-0.56040145140089526</v>
      </c>
      <c r="G164" s="175">
        <f t="shared" si="952"/>
        <v>-0.14313487438468453</v>
      </c>
      <c r="H164" s="144"/>
      <c r="I164" s="91"/>
      <c r="J164" s="84">
        <f t="shared" si="941"/>
        <v>1.151</v>
      </c>
    </row>
    <row r="165" spans="5:16" x14ac:dyDescent="0.25">
      <c r="E165" s="175">
        <f t="shared" ref="E165:G165" si="953">E20*-1</f>
        <v>0.78101870865938761</v>
      </c>
      <c r="F165" s="175">
        <f t="shared" si="953"/>
        <v>-0.62112210868069628</v>
      </c>
      <c r="G165" s="175">
        <f t="shared" si="953"/>
        <v>-6.4939224141254373E-2</v>
      </c>
      <c r="H165" s="144"/>
      <c r="I165" s="91"/>
      <c r="J165" s="84">
        <f t="shared" si="941"/>
        <v>1.157</v>
      </c>
    </row>
    <row r="166" spans="5:16" x14ac:dyDescent="0.25">
      <c r="E166" s="175">
        <f t="shared" ref="E166:G166" si="954">E21*-1</f>
        <v>0.74358922993511456</v>
      </c>
      <c r="F166" s="175">
        <f t="shared" si="954"/>
        <v>-0.66639464357346168</v>
      </c>
      <c r="G166" s="175">
        <f t="shared" si="954"/>
        <v>-5.4710475606618764E-2</v>
      </c>
      <c r="H166" s="144"/>
      <c r="I166" s="91"/>
      <c r="J166" s="84">
        <f t="shared" si="941"/>
        <v>1.163</v>
      </c>
    </row>
    <row r="167" spans="5:16" x14ac:dyDescent="0.25">
      <c r="E167" s="175">
        <f t="shared" ref="E167:G167" si="955">E22*-1</f>
        <v>0.72537444039686494</v>
      </c>
      <c r="F167" s="175">
        <f t="shared" si="955"/>
        <v>-0.68835450257764275</v>
      </c>
      <c r="G167" s="175">
        <f t="shared" si="955"/>
        <v>-1.457809318607852E-7</v>
      </c>
      <c r="H167" s="144"/>
      <c r="I167" s="91"/>
      <c r="J167" s="84">
        <f t="shared" si="941"/>
        <v>1.169</v>
      </c>
    </row>
    <row r="168" spans="5:16" x14ac:dyDescent="0.25">
      <c r="E168" s="175">
        <f t="shared" ref="E168:G168" si="956">E23*-1</f>
        <v>-2.145496675588866E-2</v>
      </c>
      <c r="F168" s="175">
        <f t="shared" si="956"/>
        <v>-7.0025112452268432E-2</v>
      </c>
      <c r="G168" s="175">
        <f t="shared" si="956"/>
        <v>-0.99731447799956807</v>
      </c>
      <c r="H168" s="144"/>
      <c r="I168" s="91"/>
      <c r="J168" s="84">
        <f t="shared" si="941"/>
        <v>1.2210000000000001</v>
      </c>
    </row>
    <row r="169" spans="5:16" x14ac:dyDescent="0.25">
      <c r="E169" s="175">
        <f t="shared" ref="E169:G169" si="957">E24*-1</f>
        <v>-7.2983987119499869E-2</v>
      </c>
      <c r="F169" s="175">
        <f t="shared" si="957"/>
        <v>-0.23419870659661671</v>
      </c>
      <c r="G169" s="175">
        <f t="shared" si="957"/>
        <v>-0.96944535867299542</v>
      </c>
      <c r="H169" s="144"/>
      <c r="I169" s="91"/>
      <c r="J169" s="84">
        <f t="shared" si="941"/>
        <v>1.2270000000000001</v>
      </c>
    </row>
    <row r="170" spans="5:16" x14ac:dyDescent="0.25">
      <c r="E170" s="175">
        <f t="shared" ref="E170:G170" si="958">E25*-1</f>
        <v>-0.12274374961941174</v>
      </c>
      <c r="F170" s="175">
        <f t="shared" si="958"/>
        <v>-0.3877739338913791</v>
      </c>
      <c r="G170" s="175">
        <f t="shared" si="958"/>
        <v>-0.91354548224145449</v>
      </c>
      <c r="H170" s="144"/>
      <c r="I170" s="91"/>
      <c r="J170" s="84">
        <f t="shared" si="941"/>
        <v>1.2330000000000001</v>
      </c>
    </row>
    <row r="171" spans="5:16" x14ac:dyDescent="0.25">
      <c r="E171" s="175">
        <f t="shared" ref="E171:G171" si="959">E26*-1</f>
        <v>-0.17262184248242679</v>
      </c>
      <c r="F171" s="175">
        <f t="shared" si="959"/>
        <v>-0.53035952616624571</v>
      </c>
      <c r="G171" s="175">
        <f t="shared" si="959"/>
        <v>-0.83001233274132002</v>
      </c>
      <c r="H171" s="144"/>
      <c r="I171" s="91"/>
      <c r="J171" s="84">
        <f t="shared" si="941"/>
        <v>1.2390000000000001</v>
      </c>
    </row>
    <row r="172" spans="5:16" x14ac:dyDescent="0.25">
      <c r="E172" s="175">
        <f t="shared" ref="E172:G172" si="960">E27*-1</f>
        <v>-0.2188185238522764</v>
      </c>
      <c r="F172" s="175">
        <f t="shared" si="960"/>
        <v>-0.65531431355216985</v>
      </c>
      <c r="G172" s="175">
        <f t="shared" si="960"/>
        <v>-0.72296722199056807</v>
      </c>
      <c r="H172" s="144"/>
      <c r="I172" s="91"/>
      <c r="J172" s="84">
        <f t="shared" si="941"/>
        <v>1.2450000000000001</v>
      </c>
    </row>
    <row r="173" spans="5:16" x14ac:dyDescent="0.25">
      <c r="E173" s="175">
        <f t="shared" ref="E173:G173" si="961">E28*-1</f>
        <v>-0.25629157900836536</v>
      </c>
      <c r="F173" s="175">
        <f t="shared" si="961"/>
        <v>-0.76080904054826848</v>
      </c>
      <c r="G173" s="175">
        <f t="shared" si="961"/>
        <v>-0.59622498299670579</v>
      </c>
      <c r="H173" s="144"/>
      <c r="I173" s="91"/>
      <c r="J173" s="84">
        <f t="shared" si="941"/>
        <v>1.2509999999999999</v>
      </c>
    </row>
    <row r="174" spans="5:16" x14ac:dyDescent="0.25">
      <c r="E174" s="175">
        <f t="shared" ref="E174:G174" si="962">E29*-1</f>
        <v>-0.28609608943913867</v>
      </c>
      <c r="F174" s="175">
        <f t="shared" si="962"/>
        <v>-0.84214629608583824</v>
      </c>
      <c r="G174" s="175">
        <f t="shared" si="962"/>
        <v>-0.45709806781098533</v>
      </c>
      <c r="H174" s="144"/>
      <c r="I174" s="91"/>
      <c r="J174" s="84">
        <f t="shared" si="941"/>
        <v>1.2569999999999999</v>
      </c>
    </row>
    <row r="175" spans="5:16" x14ac:dyDescent="0.25">
      <c r="E175" s="175">
        <f t="shared" ref="E175:G175" si="963">E30*-1</f>
        <v>-0.28609291441338697</v>
      </c>
      <c r="F175" s="175">
        <f t="shared" si="963"/>
        <v>-0.85996774572681467</v>
      </c>
      <c r="G175" s="175">
        <f t="shared" si="963"/>
        <v>-0.42261841019055846</v>
      </c>
      <c r="H175" s="144"/>
      <c r="I175" s="91"/>
      <c r="J175" s="84">
        <f t="shared" si="941"/>
        <v>1.2629999999999999</v>
      </c>
    </row>
    <row r="176" spans="5:16" x14ac:dyDescent="0.25">
      <c r="E176" s="175">
        <f t="shared" ref="E176:G176" si="964">E31*-1</f>
        <v>0.46157817470970963</v>
      </c>
      <c r="F176" s="175">
        <f t="shared" si="964"/>
        <v>-0.82159872802864986</v>
      </c>
      <c r="G176" s="175">
        <f t="shared" si="964"/>
        <v>-0.33454613842242703</v>
      </c>
      <c r="H176" s="144"/>
      <c r="I176" s="91"/>
      <c r="J176" s="84">
        <f t="shared" si="941"/>
        <v>2.1139999999999999</v>
      </c>
    </row>
    <row r="177" spans="5:10" x14ac:dyDescent="0.25">
      <c r="E177" s="175">
        <f t="shared" ref="E177:G177" si="965">E32*-1</f>
        <v>0.38306921945179306</v>
      </c>
      <c r="F177" s="175">
        <f t="shared" si="965"/>
        <v>-0.85820798404649346</v>
      </c>
      <c r="G177" s="175">
        <f t="shared" si="965"/>
        <v>-0.34166801024890786</v>
      </c>
      <c r="H177" s="144"/>
      <c r="I177" s="91"/>
      <c r="J177" s="84">
        <f t="shared" si="941"/>
        <v>2.12</v>
      </c>
    </row>
    <row r="178" spans="5:10" x14ac:dyDescent="0.25">
      <c r="E178" s="175">
        <f t="shared" ref="E178:G178" si="966">E33*-1</f>
        <v>0.26807811307199214</v>
      </c>
      <c r="F178" s="175">
        <f t="shared" si="966"/>
        <v>-0.90879280180528532</v>
      </c>
      <c r="G178" s="175">
        <f t="shared" si="966"/>
        <v>-0.31973390292344622</v>
      </c>
      <c r="H178" s="144"/>
      <c r="I178" s="91"/>
      <c r="J178" s="84">
        <f t="shared" si="941"/>
        <v>2.1259999999999999</v>
      </c>
    </row>
    <row r="179" spans="5:10" x14ac:dyDescent="0.25">
      <c r="E179" s="175">
        <f t="shared" ref="E179:G179" si="967">E34*-1</f>
        <v>0.1727419213989986</v>
      </c>
      <c r="F179" s="175">
        <f t="shared" si="967"/>
        <v>-0.94609325835545666</v>
      </c>
      <c r="G179" s="175">
        <f t="shared" si="967"/>
        <v>-0.27398499062127013</v>
      </c>
      <c r="H179" s="144"/>
      <c r="I179" s="91"/>
      <c r="J179" s="84">
        <f t="shared" si="941"/>
        <v>2.1320000000000001</v>
      </c>
    </row>
    <row r="180" spans="5:10" x14ac:dyDescent="0.25">
      <c r="E180" s="175">
        <f t="shared" ref="E180:G180" si="968">E35*-1</f>
        <v>6.1076267254086242E-2</v>
      </c>
      <c r="F180" s="175">
        <f t="shared" si="968"/>
        <v>-0.96619882403468105</v>
      </c>
      <c r="G180" s="175">
        <f t="shared" si="968"/>
        <v>-0.25045862335385255</v>
      </c>
      <c r="H180" s="144"/>
      <c r="I180" s="91"/>
      <c r="J180" s="84">
        <f t="shared" si="941"/>
        <v>2.1379999999999999</v>
      </c>
    </row>
    <row r="181" spans="5:10" x14ac:dyDescent="0.25">
      <c r="E181" s="175">
        <f t="shared" ref="E181:G181" si="969">E36*-1</f>
        <v>-5.455646593490919E-2</v>
      </c>
      <c r="F181" s="175">
        <f t="shared" si="969"/>
        <v>-0.97509111895475598</v>
      </c>
      <c r="G181" s="175">
        <f t="shared" si="969"/>
        <v>-0.21499046899863983</v>
      </c>
      <c r="H181" s="144"/>
      <c r="I181" s="91"/>
      <c r="J181" s="84">
        <f t="shared" si="941"/>
        <v>2.1440000000000001</v>
      </c>
    </row>
    <row r="182" spans="5:10" x14ac:dyDescent="0.25">
      <c r="E182" s="175">
        <f t="shared" ref="E182:G182" si="970">E37*-1</f>
        <v>-0.1572268693315873</v>
      </c>
      <c r="F182" s="175">
        <f t="shared" si="970"/>
        <v>-0.9745866574869182</v>
      </c>
      <c r="G182" s="175">
        <f t="shared" si="970"/>
        <v>-0.15956365064971595</v>
      </c>
      <c r="H182" s="144"/>
      <c r="I182" s="91"/>
      <c r="J182" s="84">
        <f t="shared" si="941"/>
        <v>2.15</v>
      </c>
    </row>
    <row r="183" spans="5:10" x14ac:dyDescent="0.25">
      <c r="E183" s="175">
        <f t="shared" ref="E183:G183" si="971">E38*-1</f>
        <v>-0.22991177563809914</v>
      </c>
      <c r="F183" s="175">
        <f t="shared" si="971"/>
        <v>-0.96978664268637083</v>
      </c>
      <c r="G183" s="175">
        <f t="shared" si="971"/>
        <v>-8.1574769935524233E-2</v>
      </c>
      <c r="H183" s="144"/>
      <c r="I183" s="91"/>
      <c r="J183" s="84">
        <f t="shared" si="941"/>
        <v>2.1560000000000001</v>
      </c>
    </row>
    <row r="184" spans="5:10" x14ac:dyDescent="0.25">
      <c r="E184" s="175">
        <f t="shared" ref="E184:G184" si="972">E39*-1</f>
        <v>-0.28971029315139718</v>
      </c>
      <c r="F184" s="175">
        <f t="shared" si="972"/>
        <v>-0.95555027333428155</v>
      </c>
      <c r="G184" s="175">
        <f t="shared" si="972"/>
        <v>-5.4695714392550415E-2</v>
      </c>
      <c r="H184" s="144"/>
      <c r="I184" s="91"/>
      <c r="J184" s="84">
        <f t="shared" si="941"/>
        <v>2.1619999999999999</v>
      </c>
    </row>
    <row r="185" spans="5:10" x14ac:dyDescent="0.25">
      <c r="E185" s="175">
        <f t="shared" ref="E185:G185" si="973">E40*-1</f>
        <v>-0.31730526578407953</v>
      </c>
      <c r="F185" s="175">
        <f t="shared" si="973"/>
        <v>-0.94832345131061346</v>
      </c>
      <c r="G185" s="175">
        <f t="shared" si="973"/>
        <v>-1.4578093196799048E-7</v>
      </c>
      <c r="H185" s="144"/>
      <c r="I185" s="91"/>
      <c r="J185" s="84">
        <f t="shared" si="941"/>
        <v>2.1680000000000001</v>
      </c>
    </row>
    <row r="186" spans="5:10" x14ac:dyDescent="0.25">
      <c r="E186" s="175">
        <f t="shared" ref="E186:G186" si="974">E41*-1</f>
        <v>-4.4980953306641654E-2</v>
      </c>
      <c r="F186" s="175">
        <f t="shared" si="974"/>
        <v>-5.8748564136167454E-3</v>
      </c>
      <c r="G186" s="175">
        <f t="shared" si="974"/>
        <v>-0.99897057008790069</v>
      </c>
      <c r="H186" s="144"/>
      <c r="I186" s="91"/>
      <c r="J186" s="84">
        <f t="shared" si="941"/>
        <v>2.2200000000000002</v>
      </c>
    </row>
    <row r="187" spans="5:10" x14ac:dyDescent="0.25">
      <c r="E187" s="175">
        <f t="shared" ref="E187:G187" si="975">E42*-1</f>
        <v>-0.21467631895730332</v>
      </c>
      <c r="F187" s="175">
        <f t="shared" si="975"/>
        <v>-2.7571203247073482E-2</v>
      </c>
      <c r="G187" s="175">
        <f t="shared" si="975"/>
        <v>-0.97629601393760224</v>
      </c>
      <c r="H187" s="144"/>
      <c r="I187" s="91"/>
      <c r="J187" s="84">
        <f t="shared" si="941"/>
        <v>2.226</v>
      </c>
    </row>
    <row r="188" spans="5:10" x14ac:dyDescent="0.25">
      <c r="E188" s="175">
        <f t="shared" ref="E188:G188" si="976">E43*-1</f>
        <v>-0.37806514233182231</v>
      </c>
      <c r="F188" s="175">
        <f t="shared" si="976"/>
        <v>-4.7763376253231155E-2</v>
      </c>
      <c r="G188" s="175">
        <f t="shared" si="976"/>
        <v>-0.92454605512246457</v>
      </c>
      <c r="H188" s="144"/>
      <c r="I188" s="91"/>
      <c r="J188" s="84">
        <f t="shared" si="941"/>
        <v>2.2320000000000002</v>
      </c>
    </row>
    <row r="189" spans="5:10" x14ac:dyDescent="0.25">
      <c r="E189" s="175">
        <f t="shared" ref="E189:G189" si="977">E44*-1</f>
        <v>-0.52906867695763404</v>
      </c>
      <c r="F189" s="175">
        <f t="shared" si="977"/>
        <v>-6.3587636256549451E-2</v>
      </c>
      <c r="G189" s="175">
        <f t="shared" si="977"/>
        <v>-0.84619320936627918</v>
      </c>
      <c r="H189" s="144"/>
      <c r="I189" s="91"/>
      <c r="J189" s="84">
        <f t="shared" si="941"/>
        <v>2.238</v>
      </c>
    </row>
    <row r="190" spans="5:10" x14ac:dyDescent="0.25">
      <c r="E190" s="175">
        <f t="shared" ref="E190:G190" si="978">E45*-1</f>
        <v>-0.66618097350346073</v>
      </c>
      <c r="F190" s="175">
        <f t="shared" si="978"/>
        <v>-7.5330315305517259E-2</v>
      </c>
      <c r="G190" s="175">
        <f t="shared" si="978"/>
        <v>-0.74197591210089342</v>
      </c>
      <c r="H190" s="144"/>
      <c r="I190" s="91"/>
      <c r="J190" s="84">
        <f t="shared" si="941"/>
        <v>2.2440000000000002</v>
      </c>
    </row>
    <row r="191" spans="5:10" x14ac:dyDescent="0.25">
      <c r="E191" s="175">
        <f t="shared" ref="E191:G191" si="979">E46*-1</f>
        <v>-0.78104184078434058</v>
      </c>
      <c r="F191" s="175">
        <f t="shared" si="979"/>
        <v>-8.685949932202891E-2</v>
      </c>
      <c r="G191" s="175">
        <f t="shared" si="979"/>
        <v>-0.61840849793783992</v>
      </c>
      <c r="H191" s="144"/>
      <c r="I191" s="91"/>
      <c r="J191" s="84">
        <f t="shared" si="941"/>
        <v>2.25</v>
      </c>
    </row>
    <row r="192" spans="5:10" x14ac:dyDescent="0.25">
      <c r="E192" s="175">
        <f t="shared" ref="E192:G192" si="980">E47*-1</f>
        <v>-0.87199067579555944</v>
      </c>
      <c r="F192" s="175">
        <f t="shared" si="980"/>
        <v>-9.4960642864749589E-2</v>
      </c>
      <c r="G192" s="175">
        <f t="shared" si="980"/>
        <v>-0.48022363293815207</v>
      </c>
      <c r="H192" s="144"/>
      <c r="I192" s="91"/>
      <c r="J192" s="84">
        <f t="shared" si="941"/>
        <v>2.2559999999999998</v>
      </c>
    </row>
    <row r="193" spans="5:10" x14ac:dyDescent="0.25">
      <c r="E193" s="175">
        <f t="shared" ref="E193:G193" si="981">E48*-1</f>
        <v>-0.90030308682524773</v>
      </c>
      <c r="F193" s="175">
        <f t="shared" si="981"/>
        <v>-0.10415388240932703</v>
      </c>
      <c r="G193" s="175">
        <f t="shared" si="981"/>
        <v>-0.42261841019055796</v>
      </c>
      <c r="H193" s="144"/>
      <c r="I193" s="91"/>
      <c r="J193" s="84">
        <f t="shared" si="941"/>
        <v>2.262</v>
      </c>
    </row>
    <row r="194" spans="5:10" x14ac:dyDescent="0.25">
      <c r="E194" s="175">
        <f t="shared" ref="E194:G194" si="982">E49*-1</f>
        <v>-0.46647363486210169</v>
      </c>
      <c r="F194" s="175">
        <f t="shared" si="982"/>
        <v>-0.8205246022327658</v>
      </c>
      <c r="G194" s="175">
        <f t="shared" si="982"/>
        <v>-0.33036604714967321</v>
      </c>
      <c r="H194" s="144"/>
      <c r="I194" s="91"/>
      <c r="J194" s="84">
        <f t="shared" si="941"/>
        <v>3.1030000000000002</v>
      </c>
    </row>
    <row r="195" spans="5:10" x14ac:dyDescent="0.25">
      <c r="E195" s="175">
        <f t="shared" ref="E195:G195" si="983">E50*-1</f>
        <v>-0.46647363486210203</v>
      </c>
      <c r="F195" s="175">
        <f t="shared" si="983"/>
        <v>-0.82052460223276569</v>
      </c>
      <c r="G195" s="175">
        <f t="shared" si="983"/>
        <v>-0.33036604714967344</v>
      </c>
      <c r="H195" s="144"/>
      <c r="I195" s="91"/>
      <c r="J195" s="84">
        <f t="shared" si="941"/>
        <v>3.1059999999999999</v>
      </c>
    </row>
    <row r="196" spans="5:10" x14ac:dyDescent="0.25">
      <c r="E196" s="175">
        <f t="shared" ref="E196:G196" si="984">E51*-1</f>
        <v>-0.46647363486210203</v>
      </c>
      <c r="F196" s="175">
        <f t="shared" si="984"/>
        <v>-0.82052460223276569</v>
      </c>
      <c r="G196" s="175">
        <f t="shared" si="984"/>
        <v>-0.33036604714967344</v>
      </c>
      <c r="H196" s="144"/>
      <c r="I196" s="91"/>
      <c r="J196" s="84">
        <f t="shared" si="941"/>
        <v>3.109</v>
      </c>
    </row>
    <row r="197" spans="5:10" x14ac:dyDescent="0.25">
      <c r="E197" s="175">
        <f t="shared" ref="E197:G197" si="985">E52*-1</f>
        <v>-0.46647363486210175</v>
      </c>
      <c r="F197" s="175">
        <f t="shared" si="985"/>
        <v>-0.8205246022327658</v>
      </c>
      <c r="G197" s="175">
        <f t="shared" si="985"/>
        <v>-0.33036604714967333</v>
      </c>
      <c r="H197" s="144"/>
      <c r="I197" s="91"/>
      <c r="J197" s="84">
        <f t="shared" si="941"/>
        <v>3.113</v>
      </c>
    </row>
    <row r="198" spans="5:10" x14ac:dyDescent="0.25">
      <c r="E198" s="175">
        <f t="shared" ref="E198:G198" si="986">E53*-1</f>
        <v>-0.54387558662958935</v>
      </c>
      <c r="F198" s="175">
        <f t="shared" si="986"/>
        <v>-0.76632710382343583</v>
      </c>
      <c r="G198" s="175">
        <f t="shared" si="986"/>
        <v>-0.34196800466404054</v>
      </c>
      <c r="H198" s="144"/>
      <c r="I198" s="91"/>
      <c r="J198" s="84">
        <f t="shared" si="941"/>
        <v>3.1190000000000002</v>
      </c>
    </row>
    <row r="199" spans="5:10" x14ac:dyDescent="0.25">
      <c r="E199" s="175">
        <f t="shared" ref="E199:G199" si="987">E54*-1</f>
        <v>-0.63874642151513483</v>
      </c>
      <c r="F199" s="175">
        <f t="shared" si="987"/>
        <v>-0.69740781252659889</v>
      </c>
      <c r="G199" s="175">
        <f t="shared" si="987"/>
        <v>-0.32500054158181674</v>
      </c>
      <c r="H199" s="144"/>
      <c r="I199" s="91"/>
      <c r="J199" s="84">
        <f t="shared" si="941"/>
        <v>3.125</v>
      </c>
    </row>
    <row r="200" spans="5:10" x14ac:dyDescent="0.25">
      <c r="E200" s="175">
        <f t="shared" ref="E200:G200" si="988">E55*-1</f>
        <v>-0.72080431307773618</v>
      </c>
      <c r="F200" s="175">
        <f t="shared" si="988"/>
        <v>-0.6327713658511932</v>
      </c>
      <c r="G200" s="175">
        <f t="shared" si="988"/>
        <v>-0.28291613741062616</v>
      </c>
      <c r="H200" s="144"/>
      <c r="I200" s="91"/>
      <c r="J200" s="84">
        <f t="shared" si="941"/>
        <v>3.1309999999999998</v>
      </c>
    </row>
    <row r="201" spans="5:10" x14ac:dyDescent="0.25">
      <c r="E201" s="175">
        <f t="shared" ref="E201:G201" si="989">E56*-1</f>
        <v>-0.79573934744121411</v>
      </c>
      <c r="F201" s="175">
        <f t="shared" si="989"/>
        <v>-0.54541470110974799</v>
      </c>
      <c r="G201" s="175">
        <f t="shared" si="989"/>
        <v>-0.26329013416228642</v>
      </c>
      <c r="H201" s="144"/>
      <c r="I201" s="91"/>
      <c r="J201" s="84">
        <f t="shared" si="941"/>
        <v>3.137</v>
      </c>
    </row>
    <row r="202" spans="5:10" x14ac:dyDescent="0.25">
      <c r="E202" s="175">
        <f t="shared" ref="E202:G202" si="990">E57*-1</f>
        <v>-0.86039383615314957</v>
      </c>
      <c r="F202" s="175">
        <f t="shared" si="990"/>
        <v>-0.4601565460288034</v>
      </c>
      <c r="G202" s="175">
        <f t="shared" si="990"/>
        <v>-0.21903972209740655</v>
      </c>
      <c r="H202" s="144"/>
      <c r="I202" s="91"/>
      <c r="J202" s="84">
        <f t="shared" si="941"/>
        <v>3.1429999999999998</v>
      </c>
    </row>
    <row r="203" spans="5:10" x14ac:dyDescent="0.25">
      <c r="E203" s="175">
        <f t="shared" ref="E203:G203" si="991">E58*-1</f>
        <v>-0.91394602211845144</v>
      </c>
      <c r="F203" s="175">
        <f t="shared" si="991"/>
        <v>-0.36998024850270705</v>
      </c>
      <c r="G203" s="175">
        <f t="shared" si="991"/>
        <v>-0.16678514433766092</v>
      </c>
      <c r="H203" s="144"/>
      <c r="I203" s="91"/>
      <c r="J203" s="84">
        <f t="shared" si="941"/>
        <v>3.149</v>
      </c>
    </row>
    <row r="204" spans="5:10" x14ac:dyDescent="0.25">
      <c r="E204" s="175">
        <f t="shared" ref="E204:G204" si="992">E59*-1</f>
        <v>-0.94831613924730529</v>
      </c>
      <c r="F204" s="175">
        <f t="shared" si="992"/>
        <v>-0.3036381847185074</v>
      </c>
      <c r="G204" s="175">
        <f t="shared" si="992"/>
        <v>-9.2197358009519073E-2</v>
      </c>
      <c r="H204" s="144"/>
      <c r="I204" s="91"/>
      <c r="J204" s="84">
        <f t="shared" si="941"/>
        <v>3.1549999999999998</v>
      </c>
    </row>
    <row r="205" spans="5:10" x14ac:dyDescent="0.25">
      <c r="E205" s="175">
        <f t="shared" ref="E205:G205" si="993">E60*-1</f>
        <v>-0.96883361691615077</v>
      </c>
      <c r="F205" s="175">
        <f t="shared" si="993"/>
        <v>-0.24272396789293629</v>
      </c>
      <c r="G205" s="175">
        <f t="shared" si="993"/>
        <v>-4.9462087940947794E-2</v>
      </c>
      <c r="H205" s="144"/>
      <c r="I205" s="91"/>
      <c r="J205" s="84">
        <f t="shared" si="941"/>
        <v>3.161</v>
      </c>
    </row>
    <row r="206" spans="5:10" x14ac:dyDescent="0.25">
      <c r="E206" s="175">
        <f t="shared" ref="E206:G206" si="994">E61*-1</f>
        <v>-0.97992480258789694</v>
      </c>
      <c r="F206" s="175">
        <f t="shared" si="994"/>
        <v>-0.19936745289301905</v>
      </c>
      <c r="G206" s="175">
        <f t="shared" si="994"/>
        <v>-1.4578093205264883E-7</v>
      </c>
      <c r="H206" s="144"/>
      <c r="I206" s="91"/>
      <c r="J206" s="84">
        <f t="shared" si="941"/>
        <v>3.1669999999999998</v>
      </c>
    </row>
    <row r="207" spans="5:10" x14ac:dyDescent="0.25">
      <c r="E207" s="175">
        <f t="shared" ref="E207:G207" si="995">E62*-1</f>
        <v>-1.0466547512595794E-2</v>
      </c>
      <c r="F207" s="175">
        <f t="shared" si="995"/>
        <v>1.3965592924232823E-2</v>
      </c>
      <c r="G207" s="175">
        <f t="shared" si="995"/>
        <v>-0.99984769520034478</v>
      </c>
      <c r="H207" s="144"/>
      <c r="I207" s="91"/>
      <c r="J207" s="84">
        <f t="shared" si="941"/>
        <v>3.2189999999999999</v>
      </c>
    </row>
    <row r="208" spans="5:10" x14ac:dyDescent="0.25">
      <c r="E208" s="175">
        <f t="shared" ref="E208:G208" si="996">E63*-1</f>
        <v>-0.11355211794552451</v>
      </c>
      <c r="F208" s="175">
        <f t="shared" si="996"/>
        <v>0.15120513506219646</v>
      </c>
      <c r="G208" s="175">
        <f t="shared" si="996"/>
        <v>-0.98195871789037492</v>
      </c>
      <c r="H208" s="144"/>
      <c r="I208" s="91"/>
      <c r="J208" s="84">
        <f t="shared" si="941"/>
        <v>3.2250000000000001</v>
      </c>
    </row>
    <row r="209" spans="5:10" x14ac:dyDescent="0.25">
      <c r="E209" s="175">
        <f t="shared" ref="E209:G209" si="997">E64*-1</f>
        <v>-0.21341011193131049</v>
      </c>
      <c r="F209" s="175">
        <f t="shared" si="997"/>
        <v>0.2838257283557522</v>
      </c>
      <c r="G209" s="175">
        <f t="shared" si="997"/>
        <v>-0.93482569500885693</v>
      </c>
      <c r="H209" s="144"/>
      <c r="I209" s="91"/>
      <c r="J209" s="84">
        <f t="shared" si="941"/>
        <v>3.2309999999999999</v>
      </c>
    </row>
    <row r="210" spans="5:10" x14ac:dyDescent="0.25">
      <c r="E210" s="175">
        <f t="shared" ref="E210:G210" si="998">E65*-1</f>
        <v>-0.30325297405246515</v>
      </c>
      <c r="F210" s="175">
        <f t="shared" si="998"/>
        <v>0.40698004420788186</v>
      </c>
      <c r="G210" s="175">
        <f t="shared" si="998"/>
        <v>-0.86162919945002181</v>
      </c>
      <c r="H210" s="144"/>
      <c r="I210" s="91"/>
      <c r="J210" s="84">
        <f t="shared" si="941"/>
        <v>3.2370000000000001</v>
      </c>
    </row>
    <row r="211" spans="5:10" x14ac:dyDescent="0.25">
      <c r="E211" s="175">
        <f t="shared" ref="E211:G211" si="999">E66*-1</f>
        <v>-0.38441885804118803</v>
      </c>
      <c r="F211" s="175">
        <f t="shared" si="999"/>
        <v>0.52180594787748025</v>
      </c>
      <c r="G211" s="175">
        <f t="shared" si="999"/>
        <v>-0.76153837351901943</v>
      </c>
      <c r="H211" s="144"/>
      <c r="I211" s="91"/>
      <c r="J211" s="84">
        <f t="shared" si="941"/>
        <v>3.2429999999999999</v>
      </c>
    </row>
    <row r="212" spans="5:10" x14ac:dyDescent="0.25">
      <c r="E212" s="175">
        <f t="shared" ref="E212:G212" si="1000">E67*-1</f>
        <v>-0.45501962403789092</v>
      </c>
      <c r="F212" s="175">
        <f t="shared" si="1000"/>
        <v>0.61904490139471224</v>
      </c>
      <c r="G212" s="175">
        <f t="shared" si="1000"/>
        <v>-0.64010979667368595</v>
      </c>
      <c r="H212" s="144"/>
      <c r="I212" s="91"/>
      <c r="J212" s="84">
        <f t="shared" si="941"/>
        <v>3.2490000000000001</v>
      </c>
    </row>
    <row r="213" spans="5:10" x14ac:dyDescent="0.25">
      <c r="E213" s="175">
        <f t="shared" ref="E213:G213" si="1001">E68*-1</f>
        <v>-0.50996740783921379</v>
      </c>
      <c r="F213" s="175">
        <f t="shared" si="1001"/>
        <v>0.69669576479506767</v>
      </c>
      <c r="G213" s="175">
        <f t="shared" si="1001"/>
        <v>-0.504527753704758</v>
      </c>
      <c r="H213" s="144"/>
      <c r="I213" s="91"/>
      <c r="J213" s="84">
        <f t="shared" si="941"/>
        <v>3.2549999999999999</v>
      </c>
    </row>
    <row r="214" spans="5:10" x14ac:dyDescent="0.25">
      <c r="E214" s="175">
        <f t="shared" ref="E214:G214" si="1002">E69*-1</f>
        <v>-0.54037695948266029</v>
      </c>
      <c r="F214" s="175">
        <f t="shared" si="1002"/>
        <v>0.7275894591239489</v>
      </c>
      <c r="G214" s="175">
        <f t="shared" si="1002"/>
        <v>-0.42261841019055807</v>
      </c>
      <c r="H214" s="144"/>
      <c r="I214" s="91"/>
      <c r="J214" s="84">
        <f t="shared" si="941"/>
        <v>3.2610000000000001</v>
      </c>
    </row>
    <row r="215" spans="5:10" x14ac:dyDescent="0.25">
      <c r="E215" s="175">
        <f t="shared" ref="E215:G215" si="1003">E70*-1</f>
        <v>-0.94078812562050074</v>
      </c>
      <c r="F215" s="175">
        <f t="shared" si="1003"/>
        <v>7.5999852514097563E-2</v>
      </c>
      <c r="G215" s="175">
        <f t="shared" si="1003"/>
        <v>-0.33036604714967349</v>
      </c>
      <c r="H215" s="144"/>
      <c r="I215" s="91"/>
      <c r="J215" s="84">
        <f t="shared" si="941"/>
        <v>4.1120000000000001</v>
      </c>
    </row>
    <row r="216" spans="5:10" x14ac:dyDescent="0.25">
      <c r="E216" s="175">
        <f t="shared" ref="E216:G216" si="1004">E71*-1</f>
        <v>-0.92541652547080078</v>
      </c>
      <c r="F216" s="175">
        <f t="shared" si="1004"/>
        <v>0.16317631059931642</v>
      </c>
      <c r="G216" s="175">
        <f t="shared" si="1004"/>
        <v>-0.34202009596622596</v>
      </c>
      <c r="H216" s="144"/>
      <c r="I216" s="91"/>
      <c r="J216" s="84">
        <f t="shared" si="941"/>
        <v>4.1180000000000003</v>
      </c>
    </row>
    <row r="217" spans="5:10" x14ac:dyDescent="0.25">
      <c r="E217" s="175">
        <f t="shared" ref="E217:G217" si="1005">E72*-1</f>
        <v>-0.90587511641395202</v>
      </c>
      <c r="F217" s="175">
        <f t="shared" si="1005"/>
        <v>0.26577391916451532</v>
      </c>
      <c r="G217" s="175">
        <f t="shared" si="1005"/>
        <v>-0.32977946775677602</v>
      </c>
      <c r="H217" s="144"/>
      <c r="I217" s="91"/>
      <c r="J217" s="84">
        <f t="shared" si="941"/>
        <v>4.1239999999999997</v>
      </c>
    </row>
    <row r="218" spans="5:10" x14ac:dyDescent="0.25">
      <c r="E218" s="175">
        <f t="shared" ref="E218:G218" si="1006">E73*-1</f>
        <v>-0.88223126121456341</v>
      </c>
      <c r="F218" s="175">
        <f t="shared" si="1006"/>
        <v>0.3695989867727858</v>
      </c>
      <c r="G218" s="175">
        <f t="shared" si="1006"/>
        <v>-0.29165834586428518</v>
      </c>
      <c r="H218" s="144"/>
      <c r="I218" s="91"/>
      <c r="J218" s="84">
        <f t="shared" si="941"/>
        <v>4.13</v>
      </c>
    </row>
    <row r="219" spans="5:10" x14ac:dyDescent="0.25">
      <c r="E219" s="175">
        <f t="shared" ref="E219:G219" si="1007">E74*-1</f>
        <v>-0.8426682629528367</v>
      </c>
      <c r="F219" s="175">
        <f t="shared" si="1007"/>
        <v>0.47111292769344976</v>
      </c>
      <c r="G219" s="175">
        <f t="shared" si="1007"/>
        <v>-0.26069677399644858</v>
      </c>
      <c r="H219" s="144"/>
      <c r="I219" s="91"/>
      <c r="J219" s="84">
        <f t="shared" ref="J219:J282" si="1008">J74</f>
        <v>4.1360000000000001</v>
      </c>
    </row>
    <row r="220" spans="5:10" x14ac:dyDescent="0.25">
      <c r="E220" s="175">
        <f t="shared" ref="E220:G220" si="1009">E75*-1</f>
        <v>-0.78424175090354764</v>
      </c>
      <c r="F220" s="175">
        <f t="shared" si="1009"/>
        <v>0.57483648215269434</v>
      </c>
      <c r="G220" s="175">
        <f t="shared" si="1009"/>
        <v>-0.23351208732323289</v>
      </c>
      <c r="H220" s="144"/>
      <c r="I220" s="91"/>
      <c r="J220" s="84">
        <f t="shared" si="1008"/>
        <v>4.1420000000000003</v>
      </c>
    </row>
    <row r="221" spans="5:10" x14ac:dyDescent="0.25">
      <c r="E221" s="175">
        <f t="shared" ref="E221:G221" si="1010">E76*-1</f>
        <v>-0.73486812866054607</v>
      </c>
      <c r="F221" s="175">
        <f t="shared" si="1010"/>
        <v>0.65570178069974872</v>
      </c>
      <c r="G221" s="175">
        <f t="shared" si="1010"/>
        <v>-0.17327437279103258</v>
      </c>
      <c r="H221" s="144"/>
      <c r="I221" s="91"/>
      <c r="J221" s="84">
        <f t="shared" si="1008"/>
        <v>4.1479999999999997</v>
      </c>
    </row>
    <row r="222" spans="5:10" x14ac:dyDescent="0.25">
      <c r="E222" s="175">
        <f t="shared" ref="E222:G222" si="1011">E77*-1</f>
        <v>-0.67751932618280164</v>
      </c>
      <c r="F222" s="175">
        <f t="shared" si="1011"/>
        <v>0.72730896740900364</v>
      </c>
      <c r="G222" s="175">
        <f t="shared" si="1011"/>
        <v>-0.10949533586071755</v>
      </c>
      <c r="H222" s="144"/>
      <c r="I222" s="91"/>
      <c r="J222" s="84">
        <f t="shared" si="1008"/>
        <v>4.1539999999999999</v>
      </c>
    </row>
    <row r="223" spans="5:10" x14ac:dyDescent="0.25">
      <c r="E223" s="175">
        <f t="shared" ref="E223:G223" si="1012">E78*-1</f>
        <v>-0.62966244140417893</v>
      </c>
      <c r="F223" s="175">
        <f t="shared" si="1012"/>
        <v>0.77523307050774803</v>
      </c>
      <c r="G223" s="175">
        <f t="shared" si="1012"/>
        <v>-5.0387461496469083E-2</v>
      </c>
      <c r="H223" s="144"/>
      <c r="I223" s="91"/>
      <c r="J223" s="84">
        <f t="shared" si="1008"/>
        <v>4.16</v>
      </c>
    </row>
    <row r="224" spans="5:10" x14ac:dyDescent="0.25">
      <c r="E224" s="175">
        <f t="shared" ref="E224:G224" si="1013">E79*-1</f>
        <v>-0.59482252341373143</v>
      </c>
      <c r="F224" s="175">
        <f t="shared" si="1013"/>
        <v>0.80385705547671837</v>
      </c>
      <c r="G224" s="175">
        <f t="shared" si="1013"/>
        <v>-1.4578093192829312E-7</v>
      </c>
      <c r="H224" s="144"/>
      <c r="I224" s="91"/>
      <c r="J224" s="84">
        <f t="shared" si="1008"/>
        <v>4.1660000000000004</v>
      </c>
    </row>
    <row r="225" spans="5:10" x14ac:dyDescent="0.25">
      <c r="E225" s="175">
        <f t="shared" ref="E225:G225" si="1014">E80*-1</f>
        <v>6.9252041633873676E-2</v>
      </c>
      <c r="F225" s="175">
        <f t="shared" si="1014"/>
        <v>0.14410462029199472</v>
      </c>
      <c r="G225" s="175">
        <f t="shared" si="1014"/>
        <v>-0.9871362687795644</v>
      </c>
      <c r="H225" s="144"/>
      <c r="I225" s="91"/>
      <c r="J225" s="84">
        <f t="shared" si="1008"/>
        <v>4.2240000000000002</v>
      </c>
    </row>
    <row r="226" spans="5:10" x14ac:dyDescent="0.25">
      <c r="E226" s="175">
        <f t="shared" ref="E226:G226" si="1015">E81*-1</f>
        <v>0.14552163648922953</v>
      </c>
      <c r="F226" s="175">
        <f t="shared" si="1015"/>
        <v>0.29307844847630865</v>
      </c>
      <c r="G226" s="175">
        <f t="shared" si="1015"/>
        <v>-0.94494892790680307</v>
      </c>
      <c r="H226" s="144"/>
      <c r="I226" s="91"/>
      <c r="J226" s="84">
        <f t="shared" si="1008"/>
        <v>4.2300000000000004</v>
      </c>
    </row>
    <row r="227" spans="5:10" x14ac:dyDescent="0.25">
      <c r="E227" s="175">
        <f t="shared" ref="E227:G227" si="1016">E82*-1</f>
        <v>0.22055113274763466</v>
      </c>
      <c r="F227" s="175">
        <f t="shared" si="1016"/>
        <v>0.43173777197879576</v>
      </c>
      <c r="G227" s="175">
        <f t="shared" si="1016"/>
        <v>-0.87461974256846087</v>
      </c>
      <c r="H227" s="144"/>
      <c r="I227" s="91"/>
      <c r="J227" s="84">
        <f t="shared" si="1008"/>
        <v>4.2359999999999998</v>
      </c>
    </row>
    <row r="228" spans="5:10" x14ac:dyDescent="0.25">
      <c r="E228" s="175">
        <f t="shared" ref="E228:G228" si="1017">E83*-1</f>
        <v>0.29149833043264067</v>
      </c>
      <c r="F228" s="175">
        <f t="shared" si="1017"/>
        <v>0.55467194293431221</v>
      </c>
      <c r="G228" s="175">
        <f t="shared" si="1017"/>
        <v>-0.77933802619688597</v>
      </c>
      <c r="H228" s="144"/>
      <c r="I228" s="91"/>
      <c r="J228" s="84">
        <f t="shared" si="1008"/>
        <v>4.242</v>
      </c>
    </row>
    <row r="229" spans="5:10" x14ac:dyDescent="0.25">
      <c r="E229" s="175">
        <f t="shared" ref="E229:G229" si="1018">E84*-1</f>
        <v>0.35572026248460603</v>
      </c>
      <c r="F229" s="175">
        <f t="shared" si="1018"/>
        <v>0.66040108277963794</v>
      </c>
      <c r="G229" s="175">
        <f t="shared" si="1018"/>
        <v>-0.6613119571891658</v>
      </c>
      <c r="H229" s="144"/>
      <c r="I229" s="91"/>
      <c r="J229" s="84">
        <f t="shared" si="1008"/>
        <v>4.2480000000000002</v>
      </c>
    </row>
    <row r="230" spans="5:10" x14ac:dyDescent="0.25">
      <c r="E230" s="175">
        <f t="shared" ref="E230:G230" si="1019">E85*-1</f>
        <v>0.40578951133784696</v>
      </c>
      <c r="F230" s="175">
        <f t="shared" si="1019"/>
        <v>0.74571285862430503</v>
      </c>
      <c r="G230" s="175">
        <f t="shared" si="1019"/>
        <v>-0.52843845901917352</v>
      </c>
      <c r="H230" s="144"/>
      <c r="I230" s="91"/>
      <c r="J230" s="84">
        <f t="shared" si="1008"/>
        <v>4.2539999999999996</v>
      </c>
    </row>
    <row r="231" spans="5:10" x14ac:dyDescent="0.25">
      <c r="E231" s="175">
        <f t="shared" ref="E231:G231" si="1020">E86*-1</f>
        <v>0.43564932290424635</v>
      </c>
      <c r="F231" s="175">
        <f t="shared" si="1020"/>
        <v>0.79473476507642316</v>
      </c>
      <c r="G231" s="175">
        <f t="shared" si="1020"/>
        <v>-0.42261841019055724</v>
      </c>
      <c r="H231" s="144"/>
      <c r="I231" s="91"/>
      <c r="J231" s="84">
        <f t="shared" si="1008"/>
        <v>4.26</v>
      </c>
    </row>
    <row r="232" spans="5:10" x14ac:dyDescent="0.25">
      <c r="E232" s="175">
        <f t="shared" ref="E232:G232" si="1021">E87*-1</f>
        <v>-0.47735857875335574</v>
      </c>
      <c r="F232" s="175">
        <f t="shared" si="1021"/>
        <v>0.81424017475268085</v>
      </c>
      <c r="G232" s="175">
        <f t="shared" si="1021"/>
        <v>-0.33036604714967344</v>
      </c>
      <c r="H232" s="144"/>
      <c r="I232" s="91"/>
      <c r="J232" s="84">
        <f t="shared" si="1008"/>
        <v>5.1020000000000003</v>
      </c>
    </row>
    <row r="233" spans="5:10" x14ac:dyDescent="0.25">
      <c r="E233" s="175">
        <f t="shared" ref="E233:G233" si="1022">E88*-1</f>
        <v>-0.47735857875335586</v>
      </c>
      <c r="F233" s="175">
        <f t="shared" si="1022"/>
        <v>0.81424017475268073</v>
      </c>
      <c r="G233" s="175">
        <f t="shared" si="1022"/>
        <v>-0.33036604714967338</v>
      </c>
      <c r="H233" s="144"/>
      <c r="I233" s="91"/>
      <c r="J233" s="84">
        <f t="shared" si="1008"/>
        <v>5.1050000000000004</v>
      </c>
    </row>
    <row r="234" spans="5:10" x14ac:dyDescent="0.25">
      <c r="E234" s="175">
        <f t="shared" ref="E234:G234" si="1023">E89*-1</f>
        <v>-0.4773585787533558</v>
      </c>
      <c r="F234" s="175">
        <f t="shared" si="1023"/>
        <v>0.81424017475268085</v>
      </c>
      <c r="G234" s="175">
        <f t="shared" si="1023"/>
        <v>-0.33036604714967338</v>
      </c>
      <c r="H234" s="144"/>
      <c r="I234" s="91"/>
      <c r="J234" s="84">
        <f t="shared" si="1008"/>
        <v>5.1079999999999997</v>
      </c>
    </row>
    <row r="235" spans="5:10" x14ac:dyDescent="0.25">
      <c r="E235" s="175">
        <f t="shared" ref="E235:G235" si="1024">E90*-1</f>
        <v>-0.47735857875335602</v>
      </c>
      <c r="F235" s="175">
        <f t="shared" si="1024"/>
        <v>0.81424017475268062</v>
      </c>
      <c r="G235" s="175">
        <f t="shared" si="1024"/>
        <v>-0.33036604714967327</v>
      </c>
      <c r="H235" s="144"/>
      <c r="I235" s="91"/>
      <c r="J235" s="84">
        <f t="shared" si="1008"/>
        <v>5.1109999999999998</v>
      </c>
    </row>
    <row r="236" spans="5:10" x14ac:dyDescent="0.25">
      <c r="E236" s="175">
        <f t="shared" ref="E236:G236" si="1025">E91*-1</f>
        <v>-0.41335388526507</v>
      </c>
      <c r="F236" s="175">
        <f t="shared" si="1025"/>
        <v>0.8440860309028313</v>
      </c>
      <c r="G236" s="175">
        <f t="shared" si="1025"/>
        <v>-0.34155136944678738</v>
      </c>
      <c r="H236" s="144"/>
      <c r="I236" s="91"/>
      <c r="J236" s="84">
        <f t="shared" si="1008"/>
        <v>5.117</v>
      </c>
    </row>
    <row r="237" spans="5:10" x14ac:dyDescent="0.25">
      <c r="E237" s="175">
        <f t="shared" ref="E237:G237" si="1026">E92*-1</f>
        <v>-0.31896463782915063</v>
      </c>
      <c r="F237" s="175">
        <f t="shared" si="1026"/>
        <v>0.88705500547873084</v>
      </c>
      <c r="G237" s="175">
        <f t="shared" si="1026"/>
        <v>-0.3337588606608784</v>
      </c>
      <c r="H237" s="144"/>
      <c r="I237" s="91"/>
      <c r="J237" s="84">
        <f t="shared" si="1008"/>
        <v>5.1230000000000002</v>
      </c>
    </row>
    <row r="238" spans="5:10" x14ac:dyDescent="0.25">
      <c r="E238" s="175">
        <f t="shared" ref="E238:G238" si="1027">E93*-1</f>
        <v>-0.21881375105612053</v>
      </c>
      <c r="F238" s="175">
        <f t="shared" si="1027"/>
        <v>0.92867792961948392</v>
      </c>
      <c r="G238" s="175">
        <f t="shared" si="1027"/>
        <v>-0.29946259430255912</v>
      </c>
      <c r="H238" s="144"/>
      <c r="I238" s="91"/>
      <c r="J238" s="84">
        <f t="shared" si="1008"/>
        <v>5.1289999999999996</v>
      </c>
    </row>
    <row r="239" spans="5:10" x14ac:dyDescent="0.25">
      <c r="E239" s="175">
        <f t="shared" ref="E239:G239" si="1028">E94*-1</f>
        <v>-0.11159116222525779</v>
      </c>
      <c r="F239" s="175">
        <f t="shared" si="1028"/>
        <v>0.95567435957516367</v>
      </c>
      <c r="G239" s="175">
        <f t="shared" si="1028"/>
        <v>-0.27245904456232906</v>
      </c>
      <c r="H239" s="144"/>
      <c r="I239" s="91"/>
      <c r="J239" s="84">
        <f t="shared" si="1008"/>
        <v>5.1349999999999998</v>
      </c>
    </row>
    <row r="240" spans="5:10" x14ac:dyDescent="0.25">
      <c r="E240" s="175">
        <f t="shared" ref="E240:G240" si="1029">E95*-1</f>
        <v>-1.9450982470756162E-3</v>
      </c>
      <c r="F240" s="175">
        <f t="shared" si="1029"/>
        <v>0.9718809879533894</v>
      </c>
      <c r="G240" s="175">
        <f t="shared" si="1029"/>
        <v>-0.23546456601270863</v>
      </c>
      <c r="H240" s="144"/>
      <c r="I240" s="91"/>
      <c r="J240" s="84">
        <f t="shared" si="1008"/>
        <v>5.141</v>
      </c>
    </row>
    <row r="241" spans="5:10" x14ac:dyDescent="0.25">
      <c r="E241" s="175">
        <f t="shared" ref="E241:G241" si="1030">E96*-1</f>
        <v>9.4427182075964483E-2</v>
      </c>
      <c r="F241" s="175">
        <f t="shared" si="1030"/>
        <v>0.97930534137028202</v>
      </c>
      <c r="G241" s="175">
        <f t="shared" si="1030"/>
        <v>-0.17900993170443952</v>
      </c>
      <c r="H241" s="144"/>
      <c r="I241" s="91"/>
      <c r="J241" s="84">
        <f t="shared" si="1008"/>
        <v>5.1470000000000002</v>
      </c>
    </row>
    <row r="242" spans="5:10" x14ac:dyDescent="0.25">
      <c r="E242" s="175">
        <f t="shared" ref="E242:G242" si="1031">E97*-1</f>
        <v>0.18802106823703568</v>
      </c>
      <c r="F242" s="175">
        <f t="shared" si="1031"/>
        <v>0.9750531395614539</v>
      </c>
      <c r="G242" s="175">
        <f t="shared" si="1031"/>
        <v>-0.11798073118249434</v>
      </c>
      <c r="H242" s="144"/>
      <c r="I242" s="91"/>
      <c r="J242" s="84">
        <f t="shared" si="1008"/>
        <v>5.1529999999999996</v>
      </c>
    </row>
    <row r="243" spans="5:10" x14ac:dyDescent="0.25">
      <c r="E243" s="175">
        <f t="shared" ref="E243:G243" si="1032">E98*-1</f>
        <v>0.25806986510726887</v>
      </c>
      <c r="F243" s="175">
        <f t="shared" si="1032"/>
        <v>0.96504346714568978</v>
      </c>
      <c r="G243" s="175">
        <f t="shared" si="1032"/>
        <v>-4.5728013765550295E-2</v>
      </c>
      <c r="H243" s="144"/>
      <c r="I243" s="91"/>
      <c r="J243" s="84">
        <f t="shared" si="1008"/>
        <v>5.1589999999999998</v>
      </c>
    </row>
    <row r="244" spans="5:10" x14ac:dyDescent="0.25">
      <c r="E244" s="175">
        <f t="shared" ref="E244:G244" si="1033">E99*-1</f>
        <v>0.31730483563420903</v>
      </c>
      <c r="F244" s="175">
        <f t="shared" si="1033"/>
        <v>0.94832359523694576</v>
      </c>
      <c r="G244" s="175">
        <f t="shared" si="1033"/>
        <v>-1.4578093221941204E-7</v>
      </c>
      <c r="H244" s="144"/>
      <c r="I244" s="91"/>
      <c r="J244" s="84">
        <f t="shared" si="1008"/>
        <v>5.165</v>
      </c>
    </row>
    <row r="245" spans="5:10" x14ac:dyDescent="0.25">
      <c r="E245" s="175">
        <f t="shared" ref="E245:G245" si="1034">E100*-1</f>
        <v>0.12894477746676375</v>
      </c>
      <c r="F245" s="175">
        <f t="shared" si="1034"/>
        <v>2.0256513223989515E-2</v>
      </c>
      <c r="G245" s="175">
        <f t="shared" si="1034"/>
        <v>-0.99144486384067432</v>
      </c>
      <c r="H245" s="144"/>
      <c r="I245" s="91"/>
      <c r="J245" s="84">
        <f t="shared" si="1008"/>
        <v>5.2229999999999999</v>
      </c>
    </row>
    <row r="246" spans="5:10" x14ac:dyDescent="0.25">
      <c r="E246" s="175">
        <f t="shared" ref="E246:G246" si="1035">E101*-1</f>
        <v>0.29753787075290378</v>
      </c>
      <c r="F246" s="175">
        <f t="shared" si="1035"/>
        <v>4.3533527645128439E-2</v>
      </c>
      <c r="G246" s="175">
        <f t="shared" si="1035"/>
        <v>-0.95371696400902883</v>
      </c>
      <c r="H246" s="144"/>
      <c r="I246" s="91"/>
      <c r="J246" s="84">
        <f t="shared" si="1008"/>
        <v>5.2290000000000001</v>
      </c>
    </row>
    <row r="247" spans="5:10" x14ac:dyDescent="0.25">
      <c r="E247" s="175">
        <f t="shared" ref="E247:G247" si="1036">E102*-1</f>
        <v>0.4544417553736162</v>
      </c>
      <c r="F247" s="175">
        <f t="shared" si="1036"/>
        <v>6.1984261916879613E-2</v>
      </c>
      <c r="G247" s="175">
        <f t="shared" si="1036"/>
        <v>-0.88861726420746867</v>
      </c>
      <c r="H247" s="144"/>
      <c r="I247" s="91"/>
      <c r="J247" s="84">
        <f t="shared" si="1008"/>
        <v>5.2350000000000003</v>
      </c>
    </row>
    <row r="248" spans="5:10" x14ac:dyDescent="0.25">
      <c r="E248" s="175">
        <f t="shared" ref="E248:G248" si="1037">E103*-1</f>
        <v>0.5998376681005968</v>
      </c>
      <c r="F248" s="175">
        <f t="shared" si="1037"/>
        <v>7.5728272998668286E-2</v>
      </c>
      <c r="G248" s="175">
        <f t="shared" si="1037"/>
        <v>-0.79652997470043629</v>
      </c>
      <c r="H248" s="144"/>
      <c r="I248" s="91"/>
      <c r="J248" s="84">
        <f t="shared" si="1008"/>
        <v>5.2409999999999997</v>
      </c>
    </row>
    <row r="249" spans="5:10" x14ac:dyDescent="0.25">
      <c r="E249" s="175">
        <f t="shared" ref="E249:G249" si="1038">E104*-1</f>
        <v>0.72642913887947969</v>
      </c>
      <c r="F249" s="175">
        <f t="shared" si="1038"/>
        <v>8.4727946452607991E-2</v>
      </c>
      <c r="G249" s="175">
        <f t="shared" si="1038"/>
        <v>-0.68199844668205933</v>
      </c>
      <c r="H249" s="144"/>
      <c r="I249" s="91"/>
      <c r="J249" s="84">
        <f t="shared" si="1008"/>
        <v>5.2469999999999999</v>
      </c>
    </row>
    <row r="250" spans="5:10" x14ac:dyDescent="0.25">
      <c r="E250" s="175">
        <f t="shared" ref="E250:G250" si="1039">E105*-1</f>
        <v>0.82959267628352695</v>
      </c>
      <c r="F250" s="175">
        <f t="shared" si="1039"/>
        <v>9.3524409418378848E-2</v>
      </c>
      <c r="G250" s="175">
        <f t="shared" si="1039"/>
        <v>-0.55048085915831702</v>
      </c>
      <c r="H250" s="144"/>
      <c r="I250" s="91"/>
      <c r="J250" s="84">
        <f t="shared" si="1008"/>
        <v>5.2530000000000001</v>
      </c>
    </row>
    <row r="251" spans="5:10" x14ac:dyDescent="0.25">
      <c r="E251" s="175">
        <f t="shared" ref="E251:G251" si="1040">E106*-1</f>
        <v>0.90089748509070677</v>
      </c>
      <c r="F251" s="175">
        <f t="shared" si="1040"/>
        <v>9.8880739910484156E-2</v>
      </c>
      <c r="G251" s="175">
        <f t="shared" si="1040"/>
        <v>-0.42261841019055829</v>
      </c>
      <c r="H251" s="144"/>
      <c r="I251" s="91"/>
      <c r="J251" s="84">
        <f t="shared" si="1008"/>
        <v>5.2590000000000003</v>
      </c>
    </row>
    <row r="252" spans="5:10" x14ac:dyDescent="0.25">
      <c r="E252" s="175">
        <f t="shared" ref="E252:G252" si="1041">E107*-1</f>
        <v>0.50970029871628131</v>
      </c>
      <c r="F252" s="175">
        <f t="shared" si="1041"/>
        <v>0.79025690840509333</v>
      </c>
      <c r="G252" s="175">
        <f t="shared" si="1041"/>
        <v>-0.34014647463491021</v>
      </c>
      <c r="H252" s="144"/>
      <c r="I252" s="91"/>
      <c r="J252" s="84">
        <f t="shared" si="1008"/>
        <v>6.1159999999999997</v>
      </c>
    </row>
    <row r="253" spans="5:10" x14ac:dyDescent="0.25">
      <c r="E253" s="175">
        <f t="shared" ref="E253:G253" si="1042">E108*-1</f>
        <v>0.59402766081741776</v>
      </c>
      <c r="F253" s="175">
        <f t="shared" si="1042"/>
        <v>0.73051413972219792</v>
      </c>
      <c r="G253" s="175">
        <f t="shared" si="1042"/>
        <v>-0.33686826779874085</v>
      </c>
      <c r="H253" s="144"/>
      <c r="I253" s="91"/>
      <c r="J253" s="84">
        <f t="shared" si="1008"/>
        <v>6.1219999999999999</v>
      </c>
    </row>
    <row r="254" spans="5:10" x14ac:dyDescent="0.25">
      <c r="E254" s="175">
        <f t="shared" ref="E254:G254" si="1043">E109*-1</f>
        <v>0.68110373178065764</v>
      </c>
      <c r="F254" s="175">
        <f t="shared" si="1043"/>
        <v>0.66473159281096028</v>
      </c>
      <c r="G254" s="175">
        <f t="shared" si="1043"/>
        <v>-0.30696842846368699</v>
      </c>
      <c r="H254" s="144"/>
      <c r="I254" s="91"/>
      <c r="J254" s="84">
        <f t="shared" si="1008"/>
        <v>6.1280000000000001</v>
      </c>
    </row>
    <row r="255" spans="5:10" x14ac:dyDescent="0.25">
      <c r="E255" s="175">
        <f t="shared" ref="E255:G255" si="1044">E110*-1</f>
        <v>0.75848987657285538</v>
      </c>
      <c r="F255" s="175">
        <f t="shared" si="1044"/>
        <v>0.59367551404392349</v>
      </c>
      <c r="G255" s="175">
        <f t="shared" si="1044"/>
        <v>-0.26877963308475988</v>
      </c>
      <c r="H255" s="144"/>
      <c r="I255" s="91"/>
      <c r="J255" s="84">
        <f t="shared" si="1008"/>
        <v>6.1340000000000003</v>
      </c>
    </row>
    <row r="256" spans="5:10" x14ac:dyDescent="0.25">
      <c r="E256" s="175">
        <f t="shared" ref="E256:G256" si="1045">E111*-1</f>
        <v>0.82836138495853084</v>
      </c>
      <c r="F256" s="175">
        <f t="shared" si="1045"/>
        <v>0.50752111542057832</v>
      </c>
      <c r="G256" s="175">
        <f t="shared" si="1045"/>
        <v>-0.23714917944584354</v>
      </c>
      <c r="H256" s="144"/>
      <c r="I256" s="91"/>
      <c r="J256" s="84">
        <f t="shared" si="1008"/>
        <v>6.14</v>
      </c>
    </row>
    <row r="257" spans="5:10" x14ac:dyDescent="0.25">
      <c r="E257" s="175">
        <f t="shared" ref="E257:G257" si="1046">E112*-1</f>
        <v>0.88902460828054741</v>
      </c>
      <c r="F257" s="175">
        <f t="shared" si="1046"/>
        <v>0.41409151289073148</v>
      </c>
      <c r="G257" s="175">
        <f t="shared" si="1046"/>
        <v>-0.19535471538584506</v>
      </c>
      <c r="H257" s="144"/>
      <c r="I257" s="91"/>
      <c r="J257" s="84">
        <f t="shared" si="1008"/>
        <v>6.1459999999999999</v>
      </c>
    </row>
    <row r="258" spans="5:10" x14ac:dyDescent="0.25">
      <c r="E258" s="175">
        <f t="shared" ref="E258:G258" si="1047">E113*-1</f>
        <v>0.93486509645921234</v>
      </c>
      <c r="F258" s="175">
        <f t="shared" si="1047"/>
        <v>0.32838131840812734</v>
      </c>
      <c r="G258" s="175">
        <f t="shared" si="1047"/>
        <v>-0.13488128536920105</v>
      </c>
      <c r="H258" s="144"/>
      <c r="I258" s="91"/>
      <c r="J258" s="84">
        <f t="shared" si="1008"/>
        <v>6.1520000000000001</v>
      </c>
    </row>
    <row r="259" spans="5:10" x14ac:dyDescent="0.25">
      <c r="E259" s="175">
        <f t="shared" ref="E259:G259" si="1048">E114*-1</f>
        <v>0.96419910242341389</v>
      </c>
      <c r="F259" s="175">
        <f t="shared" si="1048"/>
        <v>0.25978287374420683</v>
      </c>
      <c r="G259" s="175">
        <f t="shared" si="1048"/>
        <v>-5.3225458148188548E-2</v>
      </c>
      <c r="H259" s="144"/>
      <c r="I259" s="91"/>
      <c r="J259" s="84">
        <f t="shared" si="1008"/>
        <v>6.1580000000000004</v>
      </c>
    </row>
    <row r="260" spans="5:10" x14ac:dyDescent="0.25">
      <c r="E260" s="175">
        <f t="shared" ref="E260:G260" si="1049">E115*-1</f>
        <v>0.97992471215675436</v>
      </c>
      <c r="F260" s="175">
        <f t="shared" si="1049"/>
        <v>0.1993678973768869</v>
      </c>
      <c r="G260" s="175">
        <f t="shared" si="1049"/>
        <v>-1.4578093184201008E-7</v>
      </c>
      <c r="H260" s="144"/>
      <c r="I260" s="91"/>
      <c r="J260" s="84">
        <f t="shared" si="1008"/>
        <v>6.1639999999999997</v>
      </c>
    </row>
    <row r="261" spans="5:10" x14ac:dyDescent="0.25">
      <c r="E261" s="175">
        <f t="shared" ref="E261:G261" si="1050">E116*-1</f>
        <v>6.3947888908281889E-2</v>
      </c>
      <c r="F261" s="175">
        <f t="shared" si="1050"/>
        <v>-8.0479625266298052E-2</v>
      </c>
      <c r="G261" s="175">
        <f t="shared" si="1050"/>
        <v>-0.99470281864543364</v>
      </c>
      <c r="H261" s="144"/>
      <c r="I261" s="91"/>
      <c r="J261" s="84">
        <f t="shared" si="1008"/>
        <v>6.2220000000000004</v>
      </c>
    </row>
    <row r="262" spans="5:10" x14ac:dyDescent="0.25">
      <c r="E262" s="175">
        <f t="shared" ref="E262:G262" si="1051">E117*-1</f>
        <v>0.16771833504577685</v>
      </c>
      <c r="F262" s="175">
        <f t="shared" si="1051"/>
        <v>-0.21449259230902196</v>
      </c>
      <c r="G262" s="175">
        <f t="shared" si="1051"/>
        <v>-0.96221800437012628</v>
      </c>
      <c r="H262" s="144"/>
      <c r="I262" s="91"/>
      <c r="J262" s="84">
        <f t="shared" si="1008"/>
        <v>6.2279999999999998</v>
      </c>
    </row>
    <row r="263" spans="5:10" x14ac:dyDescent="0.25">
      <c r="E263" s="175">
        <f t="shared" ref="E263:G263" si="1052">E118*-1</f>
        <v>0.26465986401272323</v>
      </c>
      <c r="F263" s="175">
        <f t="shared" si="1052"/>
        <v>-0.34353356082465264</v>
      </c>
      <c r="G263" s="175">
        <f t="shared" si="1052"/>
        <v>-0.90107704940693145</v>
      </c>
      <c r="H263" s="144"/>
      <c r="I263" s="91"/>
      <c r="J263" s="84">
        <f t="shared" si="1008"/>
        <v>6.234</v>
      </c>
    </row>
    <row r="264" spans="5:10" x14ac:dyDescent="0.25">
      <c r="E264" s="175">
        <f t="shared" ref="E264:G264" si="1053">E119*-1</f>
        <v>0.35029849710168753</v>
      </c>
      <c r="F264" s="175">
        <f t="shared" si="1053"/>
        <v>-0.46314878939231713</v>
      </c>
      <c r="G264" s="175">
        <f t="shared" si="1053"/>
        <v>-0.81411557030481263</v>
      </c>
      <c r="H264" s="144"/>
      <c r="I264" s="91"/>
      <c r="J264" s="84">
        <f t="shared" si="1008"/>
        <v>6.24</v>
      </c>
    </row>
    <row r="265" spans="5:10" x14ac:dyDescent="0.25">
      <c r="E265" s="175">
        <f t="shared" ref="E265:G265" si="1054">E120*-1</f>
        <v>0.42367489250345564</v>
      </c>
      <c r="F265" s="175">
        <f t="shared" si="1054"/>
        <v>-0.57073230447659207</v>
      </c>
      <c r="G265" s="175">
        <f t="shared" si="1054"/>
        <v>-0.70339478395068011</v>
      </c>
      <c r="H265" s="144"/>
      <c r="I265" s="91"/>
      <c r="J265" s="84">
        <f t="shared" si="1008"/>
        <v>6.2460000000000004</v>
      </c>
    </row>
    <row r="266" spans="5:10" x14ac:dyDescent="0.25">
      <c r="E266" s="175">
        <f t="shared" ref="E266:G266" si="1055">E121*-1</f>
        <v>0.48612108220253686</v>
      </c>
      <c r="F266" s="175">
        <f t="shared" si="1055"/>
        <v>-0.65931497394084171</v>
      </c>
      <c r="G266" s="175">
        <f t="shared" si="1055"/>
        <v>-0.57357654988294426</v>
      </c>
      <c r="H266" s="144"/>
      <c r="I266" s="91"/>
      <c r="J266" s="84">
        <f t="shared" si="1008"/>
        <v>6.2519999999999998</v>
      </c>
    </row>
    <row r="267" spans="5:10" x14ac:dyDescent="0.25">
      <c r="E267" s="175">
        <f t="shared" ref="E267:G267" si="1056">E122*-1</f>
        <v>0.53319634124159732</v>
      </c>
      <c r="F267" s="175">
        <f t="shared" si="1056"/>
        <v>-0.72732622728349627</v>
      </c>
      <c r="G267" s="175">
        <f t="shared" si="1056"/>
        <v>-0.43208589515526896</v>
      </c>
      <c r="H267" s="144"/>
      <c r="I267" s="91"/>
      <c r="J267" s="84">
        <f t="shared" si="1008"/>
        <v>6.258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7" t="s">
        <v>1</v>
      </c>
      <c r="O2" s="1118"/>
      <c r="P2" s="1118"/>
      <c r="Q2" s="1118"/>
      <c r="R2" s="1118"/>
      <c r="S2" s="1118"/>
      <c r="T2" s="1118"/>
      <c r="U2" s="1118"/>
      <c r="V2" s="1118"/>
      <c r="W2" s="1118"/>
      <c r="X2" s="1118"/>
      <c r="Y2" s="1156"/>
      <c r="Z2" s="1117" t="s">
        <v>2</v>
      </c>
      <c r="AA2" s="1118"/>
      <c r="AB2" s="1118"/>
      <c r="AC2" s="1118"/>
      <c r="AD2" s="1118"/>
      <c r="AE2" s="1118"/>
      <c r="AF2" s="1118"/>
      <c r="AG2" s="1118"/>
      <c r="AH2" s="1118"/>
      <c r="AI2" s="1118"/>
      <c r="AJ2" s="1118"/>
      <c r="AK2" s="1118"/>
      <c r="AL2" s="1118"/>
      <c r="AM2" s="1118"/>
      <c r="AN2" s="1118"/>
      <c r="AO2" s="1118"/>
      <c r="AP2" s="1118"/>
      <c r="AQ2" s="1119"/>
      <c r="AS2" s="1162" t="s">
        <v>44</v>
      </c>
      <c r="AT2" s="1163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36"/>
      <c r="M3" s="1240"/>
      <c r="N3" s="1157"/>
      <c r="O3" s="1158"/>
      <c r="P3" s="1158"/>
      <c r="Q3" s="1158"/>
      <c r="R3" s="1158"/>
      <c r="S3" s="1158"/>
      <c r="T3" s="1158"/>
      <c r="U3" s="1158"/>
      <c r="V3" s="1158"/>
      <c r="W3" s="1158"/>
      <c r="X3" s="1158"/>
      <c r="Y3" s="1159"/>
      <c r="Z3" s="1058"/>
      <c r="AA3" s="1059"/>
      <c r="AB3" s="1059"/>
      <c r="AC3" s="1059"/>
      <c r="AD3" s="1059"/>
      <c r="AE3" s="1059"/>
      <c r="AF3" s="1059"/>
      <c r="AG3" s="1059"/>
      <c r="AH3" s="1059"/>
      <c r="AI3" s="1059"/>
      <c r="AJ3" s="1059"/>
      <c r="AK3" s="1059"/>
      <c r="AL3" s="1059"/>
      <c r="AM3" s="1059"/>
      <c r="AN3" s="1059"/>
      <c r="AO3" s="1059"/>
      <c r="AP3" s="1059"/>
      <c r="AQ3" s="1120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8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08" t="s">
        <v>3</v>
      </c>
      <c r="O4" s="1148"/>
      <c r="P4" s="1148"/>
      <c r="Q4" s="1149" t="s">
        <v>4</v>
      </c>
      <c r="R4" s="1148"/>
      <c r="S4" s="1150"/>
      <c r="T4" s="1217" t="str">
        <f>N4</f>
        <v>Cartesian Coordinates</v>
      </c>
      <c r="U4" s="1124"/>
      <c r="V4" s="1218"/>
      <c r="W4" s="1124" t="str">
        <f>Q4</f>
        <v>Polar XY; Cartesian Z</v>
      </c>
      <c r="X4" s="1124"/>
      <c r="Y4" s="1191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36"/>
      <c r="M5" s="1240"/>
      <c r="N5" s="1228" t="s">
        <v>5</v>
      </c>
      <c r="O5" s="1176"/>
      <c r="P5" s="1176"/>
      <c r="Q5" s="1175" t="s">
        <v>6</v>
      </c>
      <c r="R5" s="1176"/>
      <c r="S5" s="1177"/>
      <c r="T5" s="1146" t="str">
        <f>CONCATENATE("Relative to ",M8,"'s θ &amp; Z; Z Axis")</f>
        <v>Relative to 's θ &amp; Z; Z Axis</v>
      </c>
      <c r="U5" s="1131"/>
      <c r="V5" s="1174"/>
      <c r="W5" s="1131" t="str">
        <f>CONCATENATE("Relative to ",M8,"'s θ &amp; Z; Z Axis")</f>
        <v>Relative to 's θ &amp; Z; Z Axis</v>
      </c>
      <c r="X5" s="1131"/>
      <c r="Y5" s="1219"/>
      <c r="Z5" s="1209" t="str">
        <f>N5</f>
        <v>Relative to World_CS</v>
      </c>
      <c r="AA5" s="1131"/>
      <c r="AB5" s="1131"/>
      <c r="AC5" s="1131"/>
      <c r="AD5" s="1131"/>
      <c r="AE5" s="1131"/>
      <c r="AF5" s="1131"/>
      <c r="AG5" s="1146" t="str">
        <f>N5</f>
        <v>Relative to World_CS</v>
      </c>
      <c r="AH5" s="1131"/>
      <c r="AI5" s="1131"/>
      <c r="AJ5" s="1132"/>
      <c r="AK5" s="1185" t="s">
        <v>7</v>
      </c>
      <c r="AL5" s="1176"/>
      <c r="AM5" s="1176"/>
      <c r="AN5" s="1176"/>
      <c r="AO5" s="1176"/>
      <c r="AP5" s="1176"/>
      <c r="AQ5" s="1177"/>
      <c r="AS5" s="57">
        <f>((AS4*12)/60)/AS3</f>
        <v>0.25</v>
      </c>
      <c r="AT5" s="486" t="s">
        <v>47</v>
      </c>
      <c r="AV5" s="1243"/>
      <c r="AW5" s="1217" t="str">
        <f>W4</f>
        <v>Polar XY; Cartesian Z</v>
      </c>
      <c r="AX5" s="1124"/>
      <c r="AY5" s="1124"/>
      <c r="AZ5" s="964" t="s">
        <v>104</v>
      </c>
      <c r="BA5" s="1124" t="str">
        <f>AK4</f>
        <v>Polar Z Projection → XZ Plane</v>
      </c>
      <c r="BB5" s="1124"/>
      <c r="BC5" s="112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36"/>
      <c r="M6" s="1240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70" t="str">
        <f>N6</f>
        <v>X</v>
      </c>
      <c r="U6" s="1172" t="str">
        <f>O6</f>
        <v>Y</v>
      </c>
      <c r="V6" s="1215" t="str">
        <f>P6</f>
        <v>Z</v>
      </c>
      <c r="W6" s="1126" t="str">
        <f>Q6</f>
        <v>Projected XY</v>
      </c>
      <c r="X6" s="1127"/>
      <c r="Y6" s="1168" t="str">
        <f>S6</f>
        <v>Z</v>
      </c>
      <c r="Z6" s="1151" t="s">
        <v>12</v>
      </c>
      <c r="AA6" s="1152"/>
      <c r="AB6" s="1152"/>
      <c r="AC6" s="1153"/>
      <c r="AD6" s="1149" t="s">
        <v>13</v>
      </c>
      <c r="AE6" s="1148"/>
      <c r="AF6" s="1148"/>
      <c r="AG6" s="1147" t="s">
        <v>7</v>
      </c>
      <c r="AH6" s="1148"/>
      <c r="AI6" s="1149" t="s">
        <v>14</v>
      </c>
      <c r="AJ6" s="1150"/>
      <c r="AK6" s="1217" t="str">
        <f>AD6</f>
        <v>Unit Vector</v>
      </c>
      <c r="AL6" s="1124"/>
      <c r="AM6" s="1125"/>
      <c r="AN6" s="37" t="s">
        <v>15</v>
      </c>
      <c r="AO6" s="38" t="s">
        <v>16</v>
      </c>
      <c r="AP6" s="189" t="s">
        <v>17</v>
      </c>
      <c r="AQ6" s="1160" t="s">
        <v>108</v>
      </c>
      <c r="AS6" s="177">
        <f>AS5/360</f>
        <v>6.9444444444444447E-4</v>
      </c>
      <c r="AT6" s="487" t="s">
        <v>48</v>
      </c>
      <c r="AV6" s="1243"/>
      <c r="AW6" s="1146" t="str">
        <f>W5</f>
        <v>Relative to 's θ &amp; Z; Z Axis</v>
      </c>
      <c r="AX6" s="1131"/>
      <c r="AY6" s="1131"/>
      <c r="AZ6" s="1256"/>
      <c r="BA6" s="1131" t="str">
        <f>AK5</f>
        <v>Vector Along X Axis</v>
      </c>
      <c r="BB6" s="1131"/>
      <c r="BC6" s="1132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0" t="s">
        <v>40</v>
      </c>
      <c r="C7" s="1211"/>
      <c r="D7" s="1212"/>
      <c r="E7" s="1213" t="s">
        <v>41</v>
      </c>
      <c r="F7" s="1211"/>
      <c r="G7" s="1214"/>
      <c r="H7" s="878" t="s">
        <v>314</v>
      </c>
      <c r="I7" s="865"/>
      <c r="J7" s="866"/>
      <c r="K7" s="564"/>
      <c r="L7" s="36"/>
      <c r="M7" s="1241"/>
      <c r="N7" s="1225"/>
      <c r="O7" s="1227"/>
      <c r="P7" s="1223"/>
      <c r="Q7" s="39" t="s">
        <v>18</v>
      </c>
      <c r="R7" s="2" t="s">
        <v>19</v>
      </c>
      <c r="S7" s="1221"/>
      <c r="T7" s="1171"/>
      <c r="U7" s="1173"/>
      <c r="V7" s="1216"/>
      <c r="W7" s="40" t="str">
        <f>Q7</f>
        <v>&lt; θ°</v>
      </c>
      <c r="X7" s="30" t="str">
        <f>R7</f>
        <v>r</v>
      </c>
      <c r="Y7" s="116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1"/>
      <c r="AS7" s="1166" t="s">
        <v>54</v>
      </c>
      <c r="AT7" s="1164" t="s">
        <v>53</v>
      </c>
      <c r="AV7" s="1243"/>
      <c r="AW7" s="1255" t="str">
        <f>$W$6</f>
        <v>Projected XY</v>
      </c>
      <c r="AX7" s="1127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7"/>
      <c r="AT8" s="1165"/>
      <c r="AV8" s="1244"/>
      <c r="AW8" s="49" t="str">
        <f>$W$7</f>
        <v>&lt; θ°</v>
      </c>
      <c r="AX8" s="30" t="str">
        <f>$X$7</f>
        <v>r</v>
      </c>
      <c r="AY8" s="1258"/>
      <c r="AZ8" s="965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1"/>
      <c r="C158" s="1152"/>
      <c r="D158" s="1152"/>
      <c r="E158" s="1152"/>
      <c r="F158" s="1152"/>
      <c r="G158" s="1152"/>
      <c r="H158" s="1152"/>
      <c r="I158" s="1152"/>
      <c r="J158" s="1152"/>
      <c r="K158" s="1202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71"/>
    </row>
    <row r="160" spans="2:60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71"/>
    </row>
    <row r="161" spans="2:43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71"/>
    </row>
    <row r="162" spans="2:43" ht="15" customHeight="1" x14ac:dyDescent="0.25">
      <c r="B162" s="1210" t="s">
        <v>40</v>
      </c>
      <c r="C162" s="1211"/>
      <c r="D162" s="1212"/>
      <c r="E162" s="1213" t="s">
        <v>41</v>
      </c>
      <c r="F162" s="1211"/>
      <c r="G162" s="1214"/>
      <c r="H162" s="878" t="s">
        <v>314</v>
      </c>
      <c r="I162" s="865"/>
      <c r="J162" s="866"/>
      <c r="K162" s="564"/>
      <c r="M162" s="1049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1.115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1.169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1.2210000000000001</v>
      </c>
      <c r="N178" s="594" t="str">
        <f>Assy.Model!K23</f>
        <v/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1.2270000000000001</v>
      </c>
      <c r="N179" s="594" t="str">
        <f>Assy.Model!K24</f>
        <v/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1.2330000000000001</v>
      </c>
      <c r="N180" s="594" t="str">
        <f>Assy.Model!K25</f>
        <v/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1.2390000000000001</v>
      </c>
      <c r="N181" s="594" t="str">
        <f>Assy.Model!K26</f>
        <v/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1.2450000000000001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1.2509999999999999</v>
      </c>
      <c r="N183" s="594" t="str">
        <f>Assy.Model!K28</f>
        <v/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1.2569999999999999</v>
      </c>
      <c r="N184" s="594" t="str">
        <f>Assy.Model!K29</f>
        <v/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1.2629999999999999</v>
      </c>
      <c r="N185" s="594" t="str">
        <f>Assy.Model!K30</f>
        <v/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2.1139999999999999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2.12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2.1259999999999999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2.1320000000000001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2.1379999999999999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2.1440000000000001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2.15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2.1560000000000001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2.1619999999999999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2.1680000000000001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2.2200000000000002</v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2.226</v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2.2320000000000002</v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2.238</v>
      </c>
      <c r="N199" s="594" t="str">
        <f>Assy.Model!K44</f>
        <v/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2.2440000000000002</v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2.25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2.2559999999999998</v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2.262</v>
      </c>
      <c r="N203" s="594" t="str">
        <f>Assy.Model!K48</f>
        <v/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3.1030000000000002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3.1059999999999999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3.109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3.113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3.1190000000000002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3.125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3.1309999999999998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3.137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3.1429999999999998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3.149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3.1549999999999998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3.161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3.1669999999999998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3.2189999999999999</v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3.2250000000000001</v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3.2309999999999999</v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3.2370000000000001</v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3.2429999999999999</v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3.2490000000000001</v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3.2549999999999999</v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3.2610000000000001</v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4.1120000000000001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4.1180000000000003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4.1239999999999997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4.13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4.1360000000000001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4.1420000000000003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4.1479999999999997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4.1539999999999999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4.16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4.1660000000000004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4.2240000000000002</v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4.2300000000000004</v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4.2359999999999998</v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4.242</v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4.2480000000000002</v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4.2539999999999996</v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4.26</v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5.1020000000000003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5.1050000000000004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5.1079999999999997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5.1109999999999998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5.117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5.1230000000000002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5.1289999999999996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5.1349999999999998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5.141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5.1470000000000002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5.1529999999999996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5.1589999999999998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5.165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5.2229999999999999</v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5.2290000000000001</v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5.2350000000000003</v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5.2409999999999997</v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5.2469999999999999</v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5.2530000000000001</v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5.2590000000000003</v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6.1159999999999997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6.1219999999999999</v>
      </c>
      <c r="N263" s="594" t="str">
        <f>Assy.Model!K108</f>
        <v>1613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6.1280000000000001</v>
      </c>
      <c r="N264" s="594" t="str">
        <f>Assy.Model!K109</f>
        <v>1613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6.1340000000000003</v>
      </c>
      <c r="N265" s="594" t="str">
        <f>Assy.Model!K110</f>
        <v>1613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6.14</v>
      </c>
      <c r="N266" s="594" t="str">
        <f>Assy.Model!K111</f>
        <v>1613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6.1459999999999999</v>
      </c>
      <c r="N267" s="594" t="str">
        <f>Assy.Model!K112</f>
        <v>1613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6.1520000000000001</v>
      </c>
      <c r="N268" s="594" t="str">
        <f>Assy.Model!K113</f>
        <v>1613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6.1580000000000004</v>
      </c>
      <c r="N269" s="594" t="str">
        <f>Assy.Model!K114</f>
        <v>1613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6.1639999999999997</v>
      </c>
      <c r="N270" s="594" t="str">
        <f>Assy.Model!K115</f>
        <v>1613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6.2220000000000004</v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6.2279999999999998</v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6.234</v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6.24</v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6.2460000000000004</v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6.2519999999999998</v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6.258</v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2023-03-17T18:58:30Z</dcterms:modified>
</cp:coreProperties>
</file>